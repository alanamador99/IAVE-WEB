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W5163" i="1" l="1"/>
  <c r="W5408" i="1"/>
  <c r="W5052" i="1"/>
  <c r="W5362" i="1"/>
  <c r="W4901" i="1"/>
  <c r="W4830" i="1"/>
  <c r="W4932" i="1"/>
  <c r="W4951" i="1"/>
  <c r="W4969" i="1"/>
  <c r="W4987" i="1"/>
  <c r="W5005" i="1"/>
  <c r="W4841" i="1"/>
  <c r="W5042" i="1"/>
  <c r="W5059" i="1"/>
  <c r="W5077" i="1"/>
  <c r="W5097" i="1"/>
  <c r="W5116" i="1"/>
  <c r="W5133" i="1"/>
  <c r="W5151" i="1"/>
  <c r="W5168" i="1"/>
  <c r="W5184" i="1"/>
  <c r="W5204" i="1"/>
  <c r="W5222" i="1"/>
  <c r="W5241" i="1"/>
  <c r="W5257" i="1"/>
  <c r="W5268" i="1"/>
  <c r="W4885" i="1"/>
  <c r="W5297" i="1"/>
  <c r="W5314" i="1"/>
  <c r="W5331" i="1"/>
  <c r="W5351" i="1"/>
  <c r="W5370" i="1"/>
  <c r="W5389" i="1"/>
  <c r="W5409" i="1"/>
  <c r="W5428" i="1"/>
  <c r="W5447" i="1"/>
  <c r="W4955" i="1"/>
  <c r="W5029" i="1"/>
  <c r="W5082" i="1"/>
  <c r="W5173" i="1"/>
  <c r="W5261" i="1"/>
  <c r="W5356" i="1"/>
  <c r="W5451" i="1"/>
  <c r="W4976" i="1"/>
  <c r="W4941" i="1"/>
  <c r="W4902" i="1"/>
  <c r="W4916" i="1"/>
  <c r="W4834" i="1"/>
  <c r="W4952" i="1"/>
  <c r="W4970" i="1"/>
  <c r="W4988" i="1"/>
  <c r="W5006" i="1"/>
  <c r="W5025" i="1"/>
  <c r="W5043" i="1"/>
  <c r="W5060" i="1"/>
  <c r="W5078" i="1"/>
  <c r="W5098" i="1"/>
  <c r="W5117" i="1"/>
  <c r="W5134" i="1"/>
  <c r="W5152" i="1"/>
  <c r="W5169" i="1"/>
  <c r="W5185" i="1"/>
  <c r="W5205" i="1"/>
  <c r="W5223" i="1"/>
  <c r="W5242" i="1"/>
  <c r="W4869" i="1"/>
  <c r="W5269" i="1"/>
  <c r="W4886" i="1"/>
  <c r="W5298" i="1"/>
  <c r="W4890" i="1"/>
  <c r="W5332" i="1"/>
  <c r="W5352" i="1"/>
  <c r="W5371" i="1"/>
  <c r="W5390" i="1"/>
  <c r="W5410" i="1"/>
  <c r="W5429" i="1"/>
  <c r="W5448" i="1"/>
  <c r="W4827" i="1"/>
  <c r="W5047" i="1"/>
  <c r="W5156" i="1"/>
  <c r="W5246" i="1"/>
  <c r="W5318" i="1"/>
  <c r="W5413" i="1"/>
  <c r="W4908" i="1"/>
  <c r="W4925" i="1"/>
  <c r="W4903" i="1"/>
  <c r="W4917" i="1"/>
  <c r="W4933" i="1"/>
  <c r="W4953" i="1"/>
  <c r="W4971" i="1"/>
  <c r="W4989" i="1"/>
  <c r="W5007" i="1"/>
  <c r="W5026" i="1"/>
  <c r="W5044" i="1"/>
  <c r="W5061" i="1"/>
  <c r="W5079" i="1"/>
  <c r="W5099" i="1"/>
  <c r="W4850" i="1"/>
  <c r="W4853" i="1"/>
  <c r="W5153" i="1"/>
  <c r="W5170" i="1"/>
  <c r="W5186" i="1"/>
  <c r="W5206" i="1"/>
  <c r="W5224" i="1"/>
  <c r="W5243" i="1"/>
  <c r="W5258" i="1"/>
  <c r="W5270" i="1"/>
  <c r="W5279" i="1"/>
  <c r="W5299" i="1"/>
  <c r="W5315" i="1"/>
  <c r="W5333" i="1"/>
  <c r="W5353" i="1"/>
  <c r="W5372" i="1"/>
  <c r="W5391" i="1"/>
  <c r="W4895" i="1"/>
  <c r="W5430" i="1"/>
  <c r="W5449" i="1"/>
  <c r="W4936" i="1"/>
  <c r="W5010" i="1"/>
  <c r="W5102" i="1"/>
  <c r="W5209" i="1"/>
  <c r="W5282" i="1"/>
  <c r="W5375" i="1"/>
  <c r="W5014" i="1"/>
  <c r="W4977" i="1"/>
  <c r="W4826" i="1"/>
  <c r="W4918" i="1"/>
  <c r="W4934" i="1"/>
  <c r="W4835" i="1"/>
  <c r="W4972" i="1"/>
  <c r="W4839" i="1"/>
  <c r="W5008" i="1"/>
  <c r="W5027" i="1"/>
  <c r="W5045" i="1"/>
  <c r="W5062" i="1"/>
  <c r="W5080" i="1"/>
  <c r="W5100" i="1"/>
  <c r="W5118" i="1"/>
  <c r="W5135" i="1"/>
  <c r="W5154" i="1"/>
  <c r="W5171" i="1"/>
  <c r="W5187" i="1"/>
  <c r="W5207" i="1"/>
  <c r="W5225" i="1"/>
  <c r="W5244" i="1"/>
  <c r="W5259" i="1"/>
  <c r="W5271" i="1"/>
  <c r="W5280" i="1"/>
  <c r="W5300" i="1"/>
  <c r="W5316" i="1"/>
  <c r="W5334" i="1"/>
  <c r="W5354" i="1"/>
  <c r="W5373" i="1"/>
  <c r="W5392" i="1"/>
  <c r="W5411" i="1"/>
  <c r="W5431" i="1"/>
  <c r="W4897" i="1"/>
  <c r="W4838" i="1"/>
  <c r="W4991" i="1"/>
  <c r="W5064" i="1"/>
  <c r="W5137" i="1"/>
  <c r="W5189" i="1"/>
  <c r="W4877" i="1"/>
  <c r="W5336" i="1"/>
  <c r="W5433" i="1"/>
  <c r="W4959" i="1"/>
  <c r="W5015" i="1"/>
  <c r="W4904" i="1"/>
  <c r="W4919" i="1"/>
  <c r="W4935" i="1"/>
  <c r="W4954" i="1"/>
  <c r="W4837" i="1"/>
  <c r="W4990" i="1"/>
  <c r="W5009" i="1"/>
  <c r="W5028" i="1"/>
  <c r="W5046" i="1"/>
  <c r="W5063" i="1"/>
  <c r="W5081" i="1"/>
  <c r="W5101" i="1"/>
  <c r="W5119" i="1"/>
  <c r="W5136" i="1"/>
  <c r="W5155" i="1"/>
  <c r="W5172" i="1"/>
  <c r="W5188" i="1"/>
  <c r="W5208" i="1"/>
  <c r="W5226" i="1"/>
  <c r="W5245" i="1"/>
  <c r="W5260" i="1"/>
  <c r="W5272" i="1"/>
  <c r="W5281" i="1"/>
  <c r="W5301" i="1"/>
  <c r="W5317" i="1"/>
  <c r="W5335" i="1"/>
  <c r="W5355" i="1"/>
  <c r="W5374" i="1"/>
  <c r="W5393" i="1"/>
  <c r="W5412" i="1"/>
  <c r="W5432" i="1"/>
  <c r="W5450" i="1"/>
  <c r="W4920" i="1"/>
  <c r="W4851" i="1"/>
  <c r="W5227" i="1"/>
  <c r="W4887" i="1"/>
  <c r="W5394" i="1"/>
  <c r="W4940" i="1"/>
  <c r="W4836" i="1"/>
  <c r="W4905" i="1"/>
  <c r="W4921" i="1"/>
  <c r="W4937" i="1"/>
  <c r="W4956" i="1"/>
  <c r="W4973" i="1"/>
  <c r="W4992" i="1"/>
  <c r="W5011" i="1"/>
  <c r="W5030" i="1"/>
  <c r="W5048" i="1"/>
  <c r="W5065" i="1"/>
  <c r="W5083" i="1"/>
  <c r="W5103" i="1"/>
  <c r="W5120" i="1"/>
  <c r="W5138" i="1"/>
  <c r="W4855" i="1"/>
  <c r="W5174" i="1"/>
  <c r="W5190" i="1"/>
  <c r="W5210" i="1"/>
  <c r="W5228" i="1"/>
  <c r="W5247" i="1"/>
  <c r="W5262" i="1"/>
  <c r="W4878" i="1"/>
  <c r="W5283" i="1"/>
  <c r="W4888" i="1"/>
  <c r="W5319" i="1"/>
  <c r="W5337" i="1"/>
  <c r="W5357" i="1"/>
  <c r="W5376" i="1"/>
  <c r="W5395" i="1"/>
  <c r="W5414" i="1"/>
  <c r="W5434" i="1"/>
  <c r="W4898" i="1"/>
  <c r="W4995" i="1"/>
  <c r="W4996" i="1"/>
  <c r="W4906" i="1"/>
  <c r="W4922" i="1"/>
  <c r="W4938" i="1"/>
  <c r="W4957" i="1"/>
  <c r="W4974" i="1"/>
  <c r="W4993" i="1"/>
  <c r="W5012" i="1"/>
  <c r="W5031" i="1"/>
  <c r="W5049" i="1"/>
  <c r="W5066" i="1"/>
  <c r="W5084" i="1"/>
  <c r="W5104" i="1"/>
  <c r="W5121" i="1"/>
  <c r="W5139" i="1"/>
  <c r="W5157" i="1"/>
  <c r="W4858" i="1"/>
  <c r="W5191" i="1"/>
  <c r="W5211" i="1"/>
  <c r="W5229" i="1"/>
  <c r="W5248" i="1"/>
  <c r="W5263" i="1"/>
  <c r="W4879" i="1"/>
  <c r="W5284" i="1"/>
  <c r="W5302" i="1"/>
  <c r="W5320" i="1"/>
  <c r="W5338" i="1"/>
  <c r="W5358" i="1"/>
  <c r="W5377" i="1"/>
  <c r="W5396" i="1"/>
  <c r="W5415" i="1"/>
  <c r="W5435" i="1"/>
  <c r="W5452" i="1"/>
  <c r="W5032" i="1"/>
  <c r="W4843" i="1"/>
  <c r="W4907" i="1"/>
  <c r="W4923" i="1"/>
  <c r="W4939" i="1"/>
  <c r="W4958" i="1"/>
  <c r="W4975" i="1"/>
  <c r="W4994" i="1"/>
  <c r="W5013" i="1"/>
  <c r="W4842" i="1"/>
  <c r="W5050" i="1"/>
  <c r="W5067" i="1"/>
  <c r="W5085" i="1"/>
  <c r="W5105" i="1"/>
  <c r="W4852" i="1"/>
  <c r="W5140" i="1"/>
  <c r="W5158" i="1"/>
  <c r="W4859" i="1"/>
  <c r="W5192" i="1"/>
  <c r="W5212" i="1"/>
  <c r="W4864" i="1"/>
  <c r="W5249" i="1"/>
  <c r="W4870" i="1"/>
  <c r="W4880" i="1"/>
  <c r="W5285" i="1"/>
  <c r="W5303" i="1"/>
  <c r="W5321" i="1"/>
  <c r="W5339" i="1"/>
  <c r="W5359" i="1"/>
  <c r="W5378" i="1"/>
  <c r="W5397" i="1"/>
  <c r="W5416" i="1"/>
  <c r="W5436" i="1"/>
  <c r="W5453" i="1"/>
  <c r="W4924" i="1"/>
  <c r="W4844" i="1"/>
  <c r="W5068" i="1"/>
  <c r="W5086" i="1"/>
  <c r="W5106" i="1"/>
  <c r="W5122" i="1"/>
  <c r="W5141" i="1"/>
  <c r="W5159" i="1"/>
  <c r="W5175" i="1"/>
  <c r="W5193" i="1"/>
  <c r="W5213" i="1"/>
  <c r="W5230" i="1"/>
  <c r="W5250" i="1"/>
  <c r="W4871" i="1"/>
  <c r="W4824" i="1"/>
  <c r="W5286" i="1"/>
  <c r="W4889" i="1"/>
  <c r="W5322" i="1"/>
  <c r="W5340" i="1"/>
  <c r="W5360" i="1"/>
  <c r="W5379" i="1"/>
  <c r="W5398" i="1"/>
  <c r="W5417" i="1"/>
  <c r="W5437" i="1"/>
  <c r="W5454" i="1"/>
  <c r="W4909" i="1"/>
  <c r="W4845" i="1"/>
  <c r="W4847" i="1"/>
  <c r="W5087" i="1"/>
  <c r="W5107" i="1"/>
  <c r="W5123" i="1"/>
  <c r="W5142" i="1"/>
  <c r="W5160" i="1"/>
  <c r="W5176" i="1"/>
  <c r="W5194" i="1"/>
  <c r="W4862" i="1"/>
  <c r="W5231" i="1"/>
  <c r="W5251" i="1"/>
  <c r="W4872" i="1"/>
  <c r="W5273" i="1"/>
  <c r="W5287" i="1"/>
  <c r="W5304" i="1"/>
  <c r="W4891" i="1"/>
  <c r="W5341" i="1"/>
  <c r="W5361" i="1"/>
  <c r="W5380" i="1"/>
  <c r="W5399" i="1"/>
  <c r="W5418" i="1"/>
  <c r="W5438" i="1"/>
  <c r="W5455" i="1"/>
  <c r="W4910" i="1"/>
  <c r="W5051" i="1"/>
  <c r="W5069" i="1"/>
  <c r="W4914" i="1"/>
  <c r="W4832" i="1"/>
  <c r="W4948" i="1"/>
  <c r="W4966" i="1"/>
  <c r="W4984" i="1"/>
  <c r="W5002" i="1"/>
  <c r="W5022" i="1"/>
  <c r="W5039" i="1"/>
  <c r="W5056" i="1"/>
  <c r="W5074" i="1"/>
  <c r="W5094" i="1"/>
  <c r="W5114" i="1"/>
  <c r="W5130" i="1"/>
  <c r="W5149" i="1"/>
  <c r="W5165" i="1"/>
  <c r="W4861" i="1"/>
  <c r="W5201" i="1"/>
  <c r="W5219" i="1"/>
  <c r="W5238" i="1"/>
  <c r="W4866" i="1"/>
  <c r="W4875" i="1"/>
  <c r="W4883" i="1"/>
  <c r="W5294" i="1"/>
  <c r="W5311" i="1"/>
  <c r="W5328" i="1"/>
  <c r="W5348" i="1"/>
  <c r="W5368" i="1"/>
  <c r="W5386" i="1"/>
  <c r="W5406" i="1"/>
  <c r="W5425" i="1"/>
  <c r="W4896" i="1"/>
  <c r="W4915" i="1"/>
  <c r="W4931" i="1"/>
  <c r="W4949" i="1"/>
  <c r="W4967" i="1"/>
  <c r="W4985" i="1"/>
  <c r="W5003" i="1"/>
  <c r="W5023" i="1"/>
  <c r="W5040" i="1"/>
  <c r="W5057" i="1"/>
  <c r="W5075" i="1"/>
  <c r="W5095" i="1"/>
  <c r="W4849" i="1"/>
  <c r="W5131" i="1"/>
  <c r="W4854" i="1"/>
  <c r="W5166" i="1"/>
  <c r="W5182" i="1"/>
  <c r="W5202" i="1"/>
  <c r="W5220" i="1"/>
  <c r="W5239" i="1"/>
  <c r="W4867" i="1"/>
  <c r="W5267" i="1"/>
  <c r="W5278" i="1"/>
  <c r="W5295" i="1"/>
  <c r="W5312" i="1"/>
  <c r="W5329" i="1"/>
  <c r="W5349" i="1"/>
  <c r="W4893" i="1"/>
  <c r="W5387" i="1"/>
  <c r="W5407" i="1"/>
  <c r="W5426" i="1"/>
  <c r="W5445" i="1"/>
  <c r="W5405" i="1"/>
  <c r="W5350" i="1"/>
  <c r="W5305" i="1"/>
  <c r="W4823" i="1"/>
  <c r="W5215" i="1"/>
  <c r="W5162" i="1"/>
  <c r="W5112" i="1"/>
  <c r="W5054" i="1"/>
  <c r="W5000" i="1"/>
  <c r="W4947" i="1"/>
  <c r="W5216" i="1"/>
  <c r="W4873" i="1"/>
  <c r="W5110" i="1"/>
  <c r="W4856" i="1"/>
  <c r="W5401" i="1"/>
  <c r="W5055" i="1"/>
  <c r="W5404" i="1"/>
  <c r="W5111" i="1"/>
  <c r="W4863" i="1"/>
  <c r="W4998" i="1"/>
  <c r="W5344" i="1"/>
  <c r="W5291" i="1"/>
  <c r="W5255" i="1"/>
  <c r="W5200" i="1"/>
  <c r="W5150" i="1"/>
  <c r="W5108" i="1"/>
  <c r="W5041" i="1"/>
  <c r="W4997" i="1"/>
  <c r="W4943" i="1"/>
  <c r="W5446" i="1"/>
  <c r="W5400" i="1"/>
  <c r="W5343" i="1"/>
  <c r="W5290" i="1"/>
  <c r="W5254" i="1"/>
  <c r="W5199" i="1"/>
  <c r="W5148" i="1"/>
  <c r="W5096" i="1"/>
  <c r="W5038" i="1"/>
  <c r="W4986" i="1"/>
  <c r="W4942" i="1"/>
  <c r="W5444" i="1"/>
  <c r="W5388" i="1"/>
  <c r="W5342" i="1"/>
  <c r="W5289" i="1"/>
  <c r="W4865" i="1"/>
  <c r="W5198" i="1"/>
  <c r="W5147" i="1"/>
  <c r="W5093" i="1"/>
  <c r="W5037" i="1"/>
  <c r="W4983" i="1"/>
  <c r="W4833" i="1"/>
  <c r="W5443" i="1"/>
  <c r="W4894" i="1"/>
  <c r="W5330" i="1"/>
  <c r="W5288" i="1"/>
  <c r="W5253" i="1"/>
  <c r="W5197" i="1"/>
  <c r="W5146" i="1"/>
  <c r="W5092" i="1"/>
  <c r="W5036" i="1"/>
  <c r="W4982" i="1"/>
  <c r="W4930" i="1"/>
  <c r="W5442" i="1"/>
  <c r="W5385" i="1"/>
  <c r="W5327" i="1"/>
  <c r="W4884" i="1"/>
  <c r="W5252" i="1"/>
  <c r="W5196" i="1"/>
  <c r="W5145" i="1"/>
  <c r="W5091" i="1"/>
  <c r="W5035" i="1"/>
  <c r="W4981" i="1"/>
  <c r="W4831" i="1"/>
  <c r="W5292" i="1"/>
  <c r="W4929" i="1"/>
  <c r="W5306" i="1"/>
  <c r="W5161" i="1"/>
  <c r="W4857" i="1"/>
  <c r="W5203" i="1"/>
  <c r="W5277" i="1"/>
  <c r="W5440" i="1"/>
  <c r="W5033" i="1"/>
  <c r="W5113" i="1"/>
  <c r="W4846" i="1"/>
  <c r="W4899" i="1"/>
  <c r="W5053" i="1"/>
  <c r="W5109" i="1"/>
  <c r="W5456" i="1"/>
  <c r="W5441" i="1"/>
  <c r="W5384" i="1"/>
  <c r="W5326" i="1"/>
  <c r="W5240" i="1"/>
  <c r="W5195" i="1"/>
  <c r="W5144" i="1"/>
  <c r="W5090" i="1"/>
  <c r="W5034" i="1"/>
  <c r="W4980" i="1"/>
  <c r="W5383" i="1"/>
  <c r="W5325" i="1"/>
  <c r="W5276" i="1"/>
  <c r="W5237" i="1"/>
  <c r="W5183" i="1"/>
  <c r="W5143" i="1"/>
  <c r="W5089" i="1"/>
  <c r="W4979" i="1"/>
  <c r="W4928" i="1"/>
  <c r="W5439" i="1"/>
  <c r="W5382" i="1"/>
  <c r="W5324" i="1"/>
  <c r="W5275" i="1"/>
  <c r="W5236" i="1"/>
  <c r="W5181" i="1"/>
  <c r="W5132" i="1"/>
  <c r="W5088" i="1"/>
  <c r="W5024" i="1"/>
  <c r="W4978" i="1"/>
  <c r="W4927" i="1"/>
  <c r="W5427" i="1"/>
  <c r="W5381" i="1"/>
  <c r="W4892" i="1"/>
  <c r="W5274" i="1"/>
  <c r="W5235" i="1"/>
  <c r="W5180" i="1"/>
  <c r="W5129" i="1"/>
  <c r="W5076" i="1"/>
  <c r="W5021" i="1"/>
  <c r="W4968" i="1"/>
  <c r="W4926" i="1"/>
  <c r="W5424" i="1"/>
  <c r="W5369" i="1"/>
  <c r="W5323" i="1"/>
  <c r="W4882" i="1"/>
  <c r="W5234" i="1"/>
  <c r="W5179" i="1"/>
  <c r="W5128" i="1"/>
  <c r="W5073" i="1"/>
  <c r="W5020" i="1"/>
  <c r="W4965" i="1"/>
  <c r="W4825" i="1"/>
  <c r="W5214" i="1"/>
  <c r="W5423" i="1"/>
  <c r="W5367" i="1"/>
  <c r="W5313" i="1"/>
  <c r="W4881" i="1"/>
  <c r="W5233" i="1"/>
  <c r="W5178" i="1"/>
  <c r="W5127" i="1"/>
  <c r="W5072" i="1"/>
  <c r="W5019" i="1"/>
  <c r="W4964" i="1"/>
  <c r="W4829" i="1"/>
  <c r="W4874" i="1"/>
  <c r="W5296" i="1"/>
  <c r="W4868" i="1"/>
  <c r="W5256" i="1"/>
  <c r="W5422" i="1"/>
  <c r="W5366" i="1"/>
  <c r="W5310" i="1"/>
  <c r="W4876" i="1"/>
  <c r="W5232" i="1"/>
  <c r="W5177" i="1"/>
  <c r="W5126" i="1"/>
  <c r="W5071" i="1"/>
  <c r="W5018" i="1"/>
  <c r="W4963" i="1"/>
  <c r="W4913" i="1"/>
  <c r="W5293" i="1"/>
  <c r="W5345" i="1"/>
  <c r="W5421" i="1"/>
  <c r="W5365" i="1"/>
  <c r="W5309" i="1"/>
  <c r="W5266" i="1"/>
  <c r="W5221" i="1"/>
  <c r="W4860" i="1"/>
  <c r="W5125" i="1"/>
  <c r="W5070" i="1"/>
  <c r="W5017" i="1"/>
  <c r="W4962" i="1"/>
  <c r="W4912" i="1"/>
  <c r="W4950" i="1"/>
  <c r="W4900" i="1"/>
  <c r="W4946" i="1"/>
  <c r="W5346" i="1"/>
  <c r="W4999" i="1"/>
  <c r="W5457" i="1"/>
  <c r="W4944" i="1"/>
  <c r="W5420" i="1"/>
  <c r="W5364" i="1"/>
  <c r="W5308" i="1"/>
  <c r="W5265" i="1"/>
  <c r="W5218" i="1"/>
  <c r="W5167" i="1"/>
  <c r="W5124" i="1"/>
  <c r="W4848" i="1"/>
  <c r="W5016" i="1"/>
  <c r="W4961" i="1"/>
  <c r="W4828" i="1"/>
  <c r="W5001" i="1"/>
  <c r="W5347" i="1"/>
  <c r="W4840" i="1"/>
  <c r="W5403" i="1"/>
  <c r="W4945" i="1"/>
  <c r="W5402" i="1"/>
  <c r="W5419" i="1"/>
  <c r="W5363" i="1"/>
  <c r="W5307" i="1"/>
  <c r="W5264" i="1"/>
  <c r="W5217" i="1"/>
  <c r="W5164" i="1"/>
  <c r="W5115" i="1"/>
  <c r="W5058" i="1"/>
  <c r="W5004" i="1"/>
  <c r="W4960" i="1"/>
  <c r="W4911" i="1"/>
  <c r="U2099" i="1"/>
  <c r="U44" i="1"/>
  <c r="U1041" i="1"/>
  <c r="U3821" i="1"/>
  <c r="U2679" i="1"/>
  <c r="U2561" i="1"/>
  <c r="U2508" i="1"/>
  <c r="U2458" i="1"/>
  <c r="U2459" i="1"/>
  <c r="U2606" i="1"/>
  <c r="U1040" i="1"/>
  <c r="U2607" i="1"/>
  <c r="U564" i="1"/>
  <c r="U176" i="1"/>
  <c r="U3291" i="1"/>
  <c r="U2221" i="1"/>
  <c r="U261" i="1"/>
  <c r="U2654" i="1"/>
  <c r="U3293" i="1"/>
  <c r="U2777" i="1"/>
  <c r="U2549" i="1"/>
  <c r="U4048" i="1"/>
  <c r="U2492" i="1"/>
  <c r="U141" i="1"/>
  <c r="U2514" i="1"/>
  <c r="U155" i="1"/>
  <c r="U2493" i="1"/>
  <c r="U3012" i="1"/>
  <c r="U2778" i="1"/>
  <c r="U2483" i="1"/>
  <c r="U475" i="1"/>
  <c r="U570" i="1"/>
  <c r="U1895" i="1"/>
  <c r="U2986" i="1"/>
  <c r="U78" i="1"/>
  <c r="U3294" i="1"/>
  <c r="U3309" i="1"/>
  <c r="U207" i="1"/>
  <c r="U4681" i="1"/>
  <c r="U67" i="1"/>
  <c r="U2535" i="1"/>
  <c r="U2546" i="1"/>
  <c r="U2481" i="1"/>
  <c r="U4150" i="1"/>
  <c r="U2502" i="1"/>
  <c r="U2547" i="1"/>
  <c r="U87" i="1"/>
  <c r="U948" i="1"/>
  <c r="U2490" i="1"/>
  <c r="U2592" i="1"/>
  <c r="U1657" i="1"/>
  <c r="U80" i="1"/>
  <c r="U2116" i="1"/>
  <c r="U4702" i="1"/>
  <c r="U4255" i="1"/>
  <c r="U2484" i="1"/>
  <c r="U2521" i="1"/>
  <c r="U2753" i="1"/>
  <c r="U128" i="1"/>
  <c r="U81" i="1"/>
  <c r="U2568" i="1"/>
  <c r="U2072" i="1"/>
  <c r="U2543" i="1"/>
  <c r="U2499" i="1"/>
  <c r="U2696" i="1"/>
  <c r="U2518" i="1"/>
  <c r="U2480" i="1"/>
  <c r="U1090" i="1"/>
  <c r="U2474" i="1"/>
  <c r="U82" i="1"/>
  <c r="U2601" i="1"/>
  <c r="U3331" i="1"/>
  <c r="U2529" i="1"/>
  <c r="U100" i="1"/>
  <c r="U2337" i="1"/>
  <c r="U2581" i="1"/>
  <c r="U2478" i="1"/>
  <c r="U2609" i="1"/>
  <c r="U4720" i="1"/>
  <c r="U2503" i="1"/>
  <c r="U231" i="1"/>
  <c r="U55" i="1"/>
  <c r="U2475" i="1"/>
  <c r="U2657" i="1"/>
  <c r="U1832" i="1"/>
  <c r="U285" i="1"/>
  <c r="U79" i="1"/>
  <c r="U182" i="1"/>
  <c r="U4311" i="1"/>
  <c r="U1255" i="1"/>
  <c r="U2770" i="1"/>
  <c r="U2559" i="1"/>
  <c r="U2597" i="1"/>
  <c r="U2729" i="1"/>
  <c r="U191" i="1"/>
  <c r="U101" i="1"/>
  <c r="U4393" i="1"/>
  <c r="U95" i="1"/>
  <c r="U2225" i="1"/>
  <c r="U1751" i="1"/>
  <c r="U4402" i="1"/>
  <c r="U84" i="1"/>
  <c r="U1077" i="1"/>
  <c r="U153" i="1"/>
  <c r="U2093" i="1"/>
  <c r="U2505" i="1"/>
  <c r="U4563" i="1"/>
  <c r="U2611" i="1"/>
  <c r="U3319" i="1"/>
  <c r="U2352" i="1"/>
  <c r="U2471" i="1"/>
  <c r="U2467" i="1"/>
  <c r="U2061" i="1"/>
  <c r="U98" i="1"/>
  <c r="U2612" i="1"/>
  <c r="U3006" i="1"/>
  <c r="U2566" i="1"/>
  <c r="U2726" i="1"/>
  <c r="U2613" i="1"/>
  <c r="U74" i="1"/>
  <c r="U2575" i="1"/>
  <c r="U1200" i="1"/>
  <c r="U2466" i="1"/>
  <c r="U2517" i="1"/>
  <c r="U2776" i="1"/>
  <c r="U1820" i="1"/>
  <c r="U2650" i="1"/>
  <c r="U2523" i="1"/>
  <c r="U2628" i="1"/>
  <c r="U2614" i="1"/>
  <c r="U3822" i="1"/>
  <c r="U4537" i="1"/>
  <c r="U3054" i="1"/>
  <c r="U91" i="1"/>
  <c r="U800" i="1"/>
  <c r="U2375" i="1"/>
  <c r="U2730" i="1"/>
  <c r="U3466" i="1"/>
  <c r="U3000" i="1"/>
  <c r="U196" i="1"/>
  <c r="U3358" i="1"/>
  <c r="U2401" i="1"/>
  <c r="U4706" i="1"/>
  <c r="U1196" i="1"/>
  <c r="U151" i="1"/>
  <c r="U164" i="1"/>
  <c r="U2016" i="1"/>
  <c r="U2593" i="1"/>
  <c r="U4555" i="1"/>
  <c r="U2519" i="1"/>
  <c r="U2849" i="1"/>
  <c r="U2662" i="1"/>
  <c r="U3324" i="1"/>
  <c r="U3045" i="1"/>
  <c r="U2051" i="1"/>
  <c r="U1064" i="1"/>
  <c r="U4397" i="1"/>
  <c r="U1047" i="1"/>
  <c r="U4233" i="1"/>
  <c r="U1852" i="1"/>
  <c r="U57" i="1"/>
  <c r="U2578" i="1"/>
  <c r="U3635" i="1"/>
  <c r="U2728" i="1"/>
  <c r="U1752" i="1"/>
  <c r="U1565" i="1"/>
  <c r="U147" i="1"/>
  <c r="U3364" i="1"/>
  <c r="U3019" i="1"/>
  <c r="U1185" i="1"/>
  <c r="U3307" i="1"/>
  <c r="U2362" i="1"/>
  <c r="U2902" i="1"/>
  <c r="U104" i="1"/>
  <c r="U2587" i="1"/>
  <c r="U585" i="1"/>
  <c r="U1253" i="1"/>
  <c r="U2513" i="1"/>
  <c r="U2343" i="1"/>
  <c r="U2639" i="1"/>
  <c r="U108" i="1"/>
  <c r="U2780" i="1"/>
  <c r="U116" i="1"/>
  <c r="U3463" i="1"/>
  <c r="U3114" i="1"/>
  <c r="U2621" i="1"/>
  <c r="U305" i="1"/>
  <c r="U3010" i="1"/>
  <c r="U157" i="1"/>
  <c r="U1156" i="1"/>
  <c r="U1060" i="1"/>
  <c r="U562" i="1"/>
  <c r="U513" i="1"/>
  <c r="U2569" i="1"/>
  <c r="U3524" i="1"/>
  <c r="U2598" i="1"/>
  <c r="U212" i="1"/>
  <c r="U213" i="1"/>
  <c r="U4394" i="1"/>
  <c r="U2675" i="1"/>
  <c r="U1875" i="1"/>
  <c r="U4703" i="1"/>
  <c r="U746" i="1"/>
  <c r="U2354" i="1"/>
  <c r="U1046" i="1"/>
  <c r="U1091" i="1"/>
  <c r="U2140" i="1"/>
  <c r="U2476" i="1"/>
  <c r="U2550" i="1"/>
  <c r="U518" i="1"/>
  <c r="U3020" i="1"/>
  <c r="U1107" i="1"/>
  <c r="U3287" i="1"/>
  <c r="U3285" i="1"/>
  <c r="U4721" i="1"/>
  <c r="U1490" i="1"/>
  <c r="U1128" i="1"/>
  <c r="U178" i="1"/>
  <c r="U1896" i="1"/>
  <c r="U75" i="1"/>
  <c r="U77" i="1"/>
  <c r="U2273" i="1"/>
  <c r="U3895" i="1"/>
  <c r="U1083" i="1"/>
  <c r="U900" i="1"/>
  <c r="U160" i="1"/>
  <c r="U2504" i="1"/>
  <c r="U859" i="1"/>
  <c r="U2570" i="1"/>
  <c r="U2839" i="1"/>
  <c r="U3295" i="1"/>
  <c r="U2677" i="1"/>
  <c r="U2558" i="1"/>
  <c r="U2582" i="1"/>
  <c r="U136" i="1"/>
  <c r="U109" i="1"/>
  <c r="U2551" i="1"/>
  <c r="U2555" i="1"/>
  <c r="U2281" i="1"/>
  <c r="U2647" i="1"/>
  <c r="U1152" i="1"/>
  <c r="U120" i="1"/>
  <c r="U1610" i="1"/>
  <c r="U2644" i="1"/>
  <c r="U61" i="1"/>
  <c r="U123" i="1"/>
  <c r="U2707" i="1"/>
  <c r="U149" i="1"/>
  <c r="U1627" i="1"/>
  <c r="U2708" i="1"/>
  <c r="U154" i="1"/>
  <c r="U3832" i="1"/>
  <c r="U2993" i="1"/>
  <c r="U2027" i="1"/>
  <c r="U2577" i="1"/>
  <c r="U2190" i="1"/>
  <c r="U4565" i="1"/>
  <c r="U306" i="1"/>
  <c r="U1630" i="1"/>
  <c r="U3508" i="1"/>
  <c r="U2376" i="1"/>
  <c r="U2213" i="1"/>
  <c r="U2576" i="1"/>
  <c r="U2626" i="1"/>
  <c r="U2385" i="1"/>
  <c r="U940" i="1"/>
  <c r="U3334" i="1"/>
  <c r="U4677" i="1"/>
  <c r="U88" i="1"/>
  <c r="U1594" i="1"/>
  <c r="U125" i="1"/>
  <c r="U2021" i="1"/>
  <c r="U278" i="1"/>
  <c r="U3805" i="1"/>
  <c r="U2979" i="1"/>
  <c r="U2206" i="1"/>
  <c r="U3430" i="1"/>
  <c r="U3511" i="1"/>
  <c r="U3395" i="1"/>
  <c r="U3007" i="1"/>
  <c r="U179" i="1"/>
  <c r="U2515" i="1"/>
  <c r="U3444" i="1"/>
  <c r="U766" i="1"/>
  <c r="U1819" i="1"/>
  <c r="U2632" i="1"/>
  <c r="U3008" i="1"/>
  <c r="U2374" i="1"/>
  <c r="U173" i="1"/>
  <c r="U60" i="1"/>
  <c r="U4284" i="1"/>
  <c r="U2456" i="1"/>
  <c r="U2538" i="1"/>
  <c r="U3515" i="1"/>
  <c r="U1042" i="1"/>
  <c r="U3298" i="1"/>
  <c r="U228" i="1"/>
  <c r="U3454" i="1"/>
  <c r="U2975" i="1"/>
  <c r="U1092" i="1"/>
  <c r="U4464" i="1"/>
  <c r="U370" i="1"/>
  <c r="U2725" i="1"/>
  <c r="U1220" i="1"/>
  <c r="U3729" i="1"/>
  <c r="U246" i="1"/>
  <c r="U114" i="1"/>
  <c r="U2536" i="1"/>
  <c r="U919" i="1"/>
  <c r="U2685" i="1"/>
  <c r="U115" i="1"/>
  <c r="U2461" i="1"/>
  <c r="U2623" i="1"/>
  <c r="U2567" i="1"/>
  <c r="U3329" i="1"/>
  <c r="U1165" i="1"/>
  <c r="U2462" i="1"/>
  <c r="U2522" i="1"/>
  <c r="U2486" i="1"/>
  <c r="U812" i="1"/>
  <c r="U3840" i="1"/>
  <c r="U1212" i="1"/>
  <c r="U206" i="1"/>
  <c r="U170" i="1"/>
  <c r="U1050" i="1"/>
  <c r="U882" i="1"/>
  <c r="U1161" i="1"/>
  <c r="U1537" i="1"/>
  <c r="U1823" i="1"/>
  <c r="U189" i="1"/>
  <c r="U3574" i="1"/>
  <c r="U1623" i="1"/>
  <c r="U2583" i="1"/>
  <c r="U2540" i="1"/>
  <c r="U3473" i="1"/>
  <c r="U2500" i="1"/>
  <c r="U816" i="1"/>
  <c r="U3813" i="1"/>
  <c r="U3332" i="1"/>
  <c r="U3333" i="1"/>
  <c r="U76" i="1"/>
  <c r="U3825" i="1"/>
  <c r="U3407" i="1"/>
  <c r="U890" i="1"/>
  <c r="U2824" i="1"/>
  <c r="U72" i="1"/>
  <c r="U294" i="1"/>
  <c r="U4387" i="1"/>
  <c r="U2689" i="1"/>
  <c r="U235" i="1"/>
  <c r="U2396" i="1"/>
  <c r="U3924" i="1"/>
  <c r="U3925" i="1"/>
  <c r="U2937" i="1"/>
  <c r="U828" i="1"/>
  <c r="U2386" i="1"/>
  <c r="U1099" i="1"/>
  <c r="U2351" i="1"/>
  <c r="U2571" i="1"/>
  <c r="U888" i="1"/>
  <c r="U85" i="1"/>
  <c r="U1153" i="1"/>
  <c r="U2358" i="1"/>
  <c r="U1150" i="1"/>
  <c r="U3828" i="1"/>
  <c r="U3827" i="1"/>
  <c r="U606" i="1"/>
  <c r="U96" i="1"/>
  <c r="U65" i="1"/>
  <c r="U2588" i="1"/>
  <c r="U2620" i="1"/>
  <c r="U604" i="1"/>
  <c r="U2617" i="1"/>
  <c r="U965" i="1"/>
  <c r="U174" i="1"/>
  <c r="U2125" i="1"/>
  <c r="U603" i="1"/>
  <c r="U4242" i="1"/>
  <c r="U2652" i="1"/>
  <c r="U1560" i="1"/>
  <c r="U2580" i="1"/>
  <c r="U4029" i="1"/>
  <c r="U4244" i="1"/>
  <c r="U2509" i="1"/>
  <c r="U1833" i="1"/>
  <c r="U2713" i="1"/>
  <c r="U3314" i="1"/>
  <c r="U3328" i="1"/>
  <c r="U2415" i="1"/>
  <c r="U2985" i="1"/>
  <c r="U2394" i="1"/>
  <c r="U4391" i="1"/>
  <c r="U2813" i="1"/>
  <c r="U2649" i="1"/>
  <c r="U870" i="1"/>
  <c r="U2407" i="1"/>
  <c r="U3545" i="1"/>
  <c r="U2405" i="1"/>
  <c r="U4241" i="1"/>
  <c r="U866" i="1"/>
  <c r="U2665" i="1"/>
  <c r="U2404" i="1"/>
  <c r="U3686" i="1"/>
  <c r="U1634" i="1"/>
  <c r="U2554" i="1"/>
  <c r="U2552" i="1"/>
  <c r="U1171" i="1"/>
  <c r="U303" i="1"/>
  <c r="U2638" i="1"/>
  <c r="U2700" i="1"/>
  <c r="U3728" i="1"/>
  <c r="U3274" i="1"/>
  <c r="U2687" i="1"/>
  <c r="U3824" i="1"/>
  <c r="U1018" i="1"/>
  <c r="U3365" i="1"/>
  <c r="U4692" i="1"/>
  <c r="U667" i="1"/>
  <c r="U590" i="1"/>
  <c r="U4055" i="1"/>
  <c r="U2827" i="1"/>
  <c r="U3321" i="1"/>
  <c r="U1894" i="1"/>
  <c r="U2856" i="1"/>
  <c r="U1517" i="1"/>
  <c r="U1908" i="1"/>
  <c r="U222" i="1"/>
  <c r="U283" i="1"/>
  <c r="U474" i="1"/>
  <c r="U386" i="1"/>
  <c r="U3795" i="1"/>
  <c r="U3632" i="1"/>
  <c r="U94" i="1"/>
  <c r="U10" i="1"/>
  <c r="U797" i="1"/>
  <c r="U336" i="1"/>
  <c r="U1505" i="1"/>
  <c r="U186" i="1"/>
  <c r="U886" i="1"/>
  <c r="U1548" i="1"/>
  <c r="U4445" i="1"/>
  <c r="U2283" i="1"/>
  <c r="U420" i="1"/>
  <c r="U3278" i="1"/>
  <c r="U2765" i="1"/>
  <c r="U4060" i="1"/>
  <c r="U3170" i="1"/>
  <c r="U1883" i="1"/>
  <c r="U241" i="1"/>
  <c r="U2750" i="1"/>
  <c r="U1639" i="1"/>
  <c r="U496" i="1"/>
  <c r="U436" i="1"/>
  <c r="U2670" i="1"/>
  <c r="U4243" i="1"/>
  <c r="U328" i="1"/>
  <c r="U874" i="1"/>
  <c r="U2379" i="1"/>
  <c r="U2144" i="1"/>
  <c r="U2147" i="1"/>
  <c r="U2457" i="1"/>
  <c r="U1812" i="1"/>
  <c r="U908" i="1"/>
  <c r="U2209" i="1"/>
  <c r="U2153" i="1"/>
  <c r="U2748" i="1"/>
  <c r="U4687" i="1"/>
  <c r="U1916" i="1"/>
  <c r="U40" i="1"/>
  <c r="U754" i="1"/>
  <c r="U755" i="1"/>
  <c r="U4109" i="1"/>
  <c r="U172" i="1"/>
  <c r="U2669" i="1"/>
  <c r="U3942" i="1"/>
  <c r="U1582" i="1"/>
  <c r="U4727" i="1"/>
  <c r="U506" i="1"/>
  <c r="U442" i="1"/>
  <c r="U449" i="1"/>
  <c r="U507" i="1"/>
  <c r="U3637" i="1"/>
  <c r="U749" i="1"/>
  <c r="U20" i="1"/>
  <c r="U3311" i="1"/>
  <c r="U236" i="1"/>
  <c r="U3038" i="1"/>
  <c r="U3359" i="1"/>
  <c r="U3193" i="1"/>
  <c r="U877" i="1"/>
  <c r="U1899" i="1"/>
  <c r="U11" i="1"/>
  <c r="U3592" i="1"/>
  <c r="U3113" i="1"/>
  <c r="U70" i="1"/>
  <c r="U3141" i="1"/>
  <c r="U3636" i="1"/>
  <c r="U118" i="1"/>
  <c r="U3691" i="1"/>
  <c r="U396" i="1"/>
  <c r="U787" i="1"/>
  <c r="U3661" i="1"/>
  <c r="U392" i="1"/>
  <c r="U3907" i="1"/>
  <c r="U769" i="1"/>
  <c r="U826" i="1"/>
  <c r="U3555" i="1"/>
  <c r="U3946" i="1"/>
  <c r="U587" i="1"/>
  <c r="U2702" i="1"/>
  <c r="U3305" i="1"/>
  <c r="U239" i="1"/>
  <c r="U293" i="1"/>
  <c r="U4533" i="1"/>
  <c r="U2595" i="1"/>
  <c r="U2274" i="1"/>
  <c r="U3243" i="1"/>
  <c r="U591" i="1"/>
  <c r="U3238" i="1"/>
  <c r="U868" i="1"/>
  <c r="U3455" i="1"/>
  <c r="U1205" i="1"/>
  <c r="U2214" i="1"/>
  <c r="U4503" i="1"/>
  <c r="U1093" i="1"/>
  <c r="U2094" i="1"/>
  <c r="U1120" i="1"/>
  <c r="U3342" i="1"/>
  <c r="U3127" i="1"/>
  <c r="U1112" i="1"/>
  <c r="U3998" i="1"/>
  <c r="U1807" i="1"/>
  <c r="U2848" i="1"/>
  <c r="U150" i="1"/>
  <c r="U296" i="1"/>
  <c r="U706" i="1"/>
  <c r="U171" i="1"/>
  <c r="U3560" i="1"/>
  <c r="U134" i="1"/>
  <c r="U3391" i="1"/>
  <c r="U3707" i="1"/>
  <c r="U481" i="1"/>
  <c r="U3829" i="1"/>
  <c r="U102" i="1"/>
  <c r="U750" i="1"/>
  <c r="U3755" i="1"/>
  <c r="U1580" i="1"/>
  <c r="U3980" i="1"/>
  <c r="U846" i="1"/>
  <c r="U111" i="1"/>
  <c r="U3708" i="1"/>
  <c r="U2900" i="1"/>
  <c r="U2542" i="1"/>
  <c r="U2487" i="1"/>
  <c r="U394" i="1"/>
  <c r="U298" i="1"/>
  <c r="U395" i="1"/>
  <c r="U1561" i="1"/>
  <c r="U2560" i="1"/>
  <c r="U2146" i="1"/>
  <c r="U117" i="1"/>
  <c r="U2333" i="1"/>
  <c r="U2334" i="1"/>
  <c r="U2961" i="1"/>
  <c r="U2488" i="1"/>
  <c r="U3992" i="1"/>
  <c r="U783" i="1"/>
  <c r="U2489" i="1"/>
  <c r="U2998" i="1"/>
  <c r="U2999" i="1"/>
  <c r="U657" i="1"/>
  <c r="U307" i="1"/>
  <c r="U165" i="1"/>
  <c r="U247" i="1"/>
  <c r="U2314" i="1"/>
  <c r="U1945" i="1"/>
  <c r="U4729" i="1"/>
  <c r="U850" i="1"/>
  <c r="U4480" i="1"/>
  <c r="U3373" i="1"/>
  <c r="U3231" i="1"/>
  <c r="U778" i="1"/>
  <c r="U2510" i="1"/>
  <c r="U1221" i="1"/>
  <c r="U3597" i="1"/>
  <c r="U3214" i="1"/>
  <c r="U763" i="1"/>
  <c r="U1105" i="1"/>
  <c r="U2389" i="1"/>
  <c r="U4151" i="1"/>
  <c r="U138" i="1"/>
  <c r="U588" i="1"/>
  <c r="U3945" i="1"/>
  <c r="U3392" i="1"/>
  <c r="U2922" i="1"/>
  <c r="U2925" i="1"/>
  <c r="U3497" i="1"/>
  <c r="U1157" i="1"/>
  <c r="U2640" i="1"/>
  <c r="U3374" i="1"/>
  <c r="U184" i="1"/>
  <c r="U1182" i="1"/>
  <c r="U613" i="1"/>
  <c r="U879" i="1"/>
  <c r="U3612" i="1"/>
  <c r="U2667" i="1"/>
  <c r="U1550" i="1"/>
  <c r="U4655" i="1"/>
  <c r="U2062" i="1"/>
  <c r="U2300" i="1"/>
  <c r="U105" i="1"/>
  <c r="U2318" i="1"/>
  <c r="U905" i="1"/>
  <c r="U3520" i="1"/>
  <c r="U4041" i="1"/>
  <c r="U3543" i="1"/>
  <c r="U2460" i="1"/>
  <c r="U1033" i="1"/>
  <c r="U806" i="1"/>
  <c r="U4045" i="1"/>
  <c r="U2756" i="1"/>
  <c r="U1024" i="1"/>
  <c r="U2049" i="1"/>
  <c r="U2428" i="1"/>
  <c r="U368" i="1"/>
  <c r="U402" i="1"/>
  <c r="U4554" i="1"/>
  <c r="U3954" i="1"/>
  <c r="U329" i="1"/>
  <c r="U825" i="1"/>
  <c r="U226" i="1"/>
  <c r="U4276" i="1"/>
  <c r="U4732" i="1"/>
  <c r="U2028" i="1"/>
  <c r="U97" i="1"/>
  <c r="U3363" i="1"/>
  <c r="U180" i="1"/>
  <c r="U422" i="1"/>
  <c r="U1292" i="1"/>
  <c r="U2373" i="1"/>
  <c r="U3710" i="1"/>
  <c r="U775" i="1"/>
  <c r="U1177" i="1"/>
  <c r="U1562" i="1"/>
  <c r="U1201" i="1"/>
  <c r="U37" i="1"/>
  <c r="U1441" i="1"/>
  <c r="U2164" i="1"/>
  <c r="U1407" i="1"/>
  <c r="U1563" i="1"/>
  <c r="U38" i="1"/>
  <c r="U2757" i="1"/>
  <c r="U872" i="1"/>
  <c r="U4149" i="1"/>
  <c r="U3290" i="1"/>
  <c r="U3521" i="1"/>
  <c r="U1396" i="1"/>
  <c r="U234" i="1"/>
  <c r="U4016" i="1"/>
  <c r="U2855" i="1"/>
  <c r="U4712" i="1"/>
  <c r="U4734" i="1"/>
  <c r="U2286" i="1"/>
  <c r="U4735" i="1"/>
  <c r="U1625" i="1"/>
  <c r="U4287" i="1"/>
  <c r="U3353" i="1"/>
  <c r="U2755" i="1"/>
  <c r="U1882" i="1"/>
  <c r="U3237" i="1"/>
  <c r="U299" i="1"/>
  <c r="U446" i="1"/>
  <c r="U601" i="1"/>
  <c r="U2496" i="1"/>
  <c r="U2643" i="1"/>
  <c r="U609" i="1"/>
  <c r="U2873" i="1"/>
  <c r="U3306" i="1"/>
  <c r="U1194" i="1"/>
  <c r="U3814" i="1"/>
  <c r="U1494" i="1"/>
  <c r="U2763" i="1"/>
  <c r="U434" i="1"/>
  <c r="U1019" i="1"/>
  <c r="U3229" i="1"/>
  <c r="U22" i="1"/>
  <c r="U798" i="1"/>
  <c r="U2287" i="1"/>
  <c r="U4619" i="1"/>
  <c r="U1390" i="1"/>
  <c r="U1549" i="1"/>
  <c r="U2063" i="1"/>
  <c r="U476" i="1"/>
  <c r="U4688" i="1"/>
  <c r="U7" i="1"/>
  <c r="U551" i="1"/>
  <c r="U63" i="1"/>
  <c r="U15" i="1"/>
  <c r="U2390" i="1"/>
  <c r="U1397" i="1"/>
  <c r="U3620" i="1"/>
  <c r="U1513" i="1"/>
  <c r="U3758" i="1"/>
  <c r="U1109" i="1"/>
  <c r="U1509" i="1"/>
  <c r="U216" i="1"/>
  <c r="U2712" i="1"/>
  <c r="U4379" i="1"/>
  <c r="U4095" i="1"/>
  <c r="U615" i="1"/>
  <c r="U3589" i="1"/>
  <c r="U131" i="1"/>
  <c r="U3598" i="1"/>
  <c r="U2656" i="1"/>
  <c r="U254" i="1"/>
  <c r="U2171" i="1"/>
  <c r="U2215" i="1"/>
  <c r="U508" i="1"/>
  <c r="U2963" i="1"/>
  <c r="U2648" i="1"/>
  <c r="U1312" i="1"/>
  <c r="U49" i="1"/>
  <c r="U3812" i="1"/>
  <c r="U2161" i="1"/>
  <c r="U3228" i="1"/>
  <c r="U2139" i="1"/>
  <c r="U1518" i="1"/>
  <c r="U3347" i="1"/>
  <c r="U2516" i="1"/>
  <c r="U106" i="1"/>
  <c r="U1429" i="1"/>
  <c r="U1434" i="1"/>
  <c r="U3525" i="1"/>
  <c r="U86" i="1"/>
  <c r="U92" i="1"/>
  <c r="U187" i="1"/>
  <c r="U188" i="1"/>
  <c r="U145" i="1"/>
  <c r="U986" i="1"/>
  <c r="U1084" i="1"/>
  <c r="U1023" i="1"/>
  <c r="U1035" i="1"/>
  <c r="U3765" i="1"/>
  <c r="U2236" i="1"/>
  <c r="U3557" i="1"/>
  <c r="U3596" i="1"/>
  <c r="U4101" i="1"/>
  <c r="U3457" i="1"/>
  <c r="U1293" i="1"/>
  <c r="U2997" i="1"/>
  <c r="U981" i="1"/>
  <c r="U3362" i="1"/>
  <c r="U122" i="1"/>
  <c r="U28" i="1"/>
  <c r="U3834" i="1"/>
  <c r="U922" i="1"/>
  <c r="U3900" i="1"/>
  <c r="U1257" i="1"/>
  <c r="U4682" i="1"/>
  <c r="U2941" i="1"/>
  <c r="U2769" i="1"/>
  <c r="U2942" i="1"/>
  <c r="U4716" i="1"/>
  <c r="U3366" i="1"/>
  <c r="U441" i="1"/>
  <c r="U33" i="1"/>
  <c r="U3987" i="1"/>
  <c r="U2723" i="1"/>
  <c r="U2141" i="1"/>
  <c r="U2584" i="1"/>
  <c r="U46" i="1"/>
  <c r="U1811" i="1"/>
  <c r="U48" i="1"/>
  <c r="U2865" i="1"/>
  <c r="U702" i="1"/>
  <c r="U276" i="1"/>
  <c r="U861" i="1"/>
  <c r="U414" i="1"/>
  <c r="U4430" i="1"/>
  <c r="U681" i="1"/>
  <c r="U4217" i="1"/>
  <c r="U2491" i="1"/>
  <c r="U3387" i="1"/>
  <c r="U1848" i="1"/>
  <c r="U3478" i="1"/>
  <c r="U3930" i="1"/>
  <c r="U3509" i="1"/>
  <c r="U26" i="1"/>
  <c r="U983" i="1"/>
  <c r="U2224" i="1"/>
  <c r="U50" i="1"/>
  <c r="U1863" i="1"/>
  <c r="U1056" i="1"/>
  <c r="U1633" i="1"/>
  <c r="U997" i="1"/>
  <c r="U4615" i="1"/>
  <c r="U2229" i="1"/>
  <c r="U4429" i="1"/>
  <c r="U2419" i="1"/>
  <c r="U2477" i="1"/>
  <c r="U158" i="1"/>
  <c r="U2751" i="1"/>
  <c r="U3754" i="1"/>
  <c r="U4567" i="1"/>
  <c r="U4495" i="1"/>
  <c r="U2853" i="1"/>
  <c r="U2996" i="1"/>
  <c r="U3244" i="1"/>
  <c r="U1691" i="1"/>
  <c r="U3322" i="1"/>
  <c r="U3300" i="1"/>
  <c r="U3510" i="1"/>
  <c r="U3748" i="1"/>
  <c r="U1095" i="1"/>
  <c r="U4015" i="1"/>
  <c r="U181" i="1"/>
  <c r="U2533" i="1"/>
  <c r="U2069" i="1"/>
  <c r="U3947" i="1"/>
  <c r="U2530" i="1"/>
  <c r="U2907" i="1"/>
  <c r="U1856" i="1"/>
  <c r="U9" i="1"/>
  <c r="U3495" i="1"/>
  <c r="U2944" i="1"/>
  <c r="U2528" i="1"/>
  <c r="U1872" i="1"/>
  <c r="U2714" i="1"/>
  <c r="U660" i="1"/>
  <c r="U4484" i="1"/>
  <c r="U248" i="1"/>
  <c r="U362" i="1"/>
  <c r="U1053" i="1"/>
  <c r="U4279" i="1"/>
  <c r="U1134" i="1"/>
  <c r="U3330" i="1"/>
  <c r="U1801" i="1"/>
  <c r="U1795" i="1"/>
  <c r="U4238" i="1"/>
  <c r="U3461" i="1"/>
  <c r="U842" i="1"/>
  <c r="U784" i="1"/>
  <c r="U779" i="1"/>
  <c r="U1728" i="1"/>
  <c r="U1271" i="1"/>
  <c r="U2815" i="1"/>
  <c r="U624" i="1"/>
  <c r="U2821" i="1"/>
  <c r="U2923" i="1"/>
  <c r="U3345" i="1"/>
  <c r="U2433" i="1"/>
  <c r="U2627" i="1"/>
  <c r="U4478" i="1"/>
  <c r="U1179" i="1"/>
  <c r="U2319" i="1"/>
  <c r="U1999" i="1"/>
  <c r="U2234" i="1"/>
  <c r="U1887" i="1"/>
  <c r="U1475" i="1"/>
  <c r="U2511" i="1"/>
  <c r="U3640" i="1"/>
  <c r="U2532" i="1"/>
  <c r="U210" i="1"/>
  <c r="U2019" i="1"/>
  <c r="U1892" i="1"/>
  <c r="U1893" i="1"/>
  <c r="U201" i="1"/>
  <c r="U558" i="1"/>
  <c r="U565" i="1"/>
  <c r="U618" i="1"/>
  <c r="U554" i="1"/>
  <c r="U578" i="1"/>
  <c r="U4689" i="1"/>
  <c r="U903" i="1"/>
  <c r="U4614" i="1"/>
  <c r="U4219" i="1"/>
  <c r="U499" i="1"/>
  <c r="U3999" i="1"/>
  <c r="U2060" i="1"/>
  <c r="U2090" i="1"/>
  <c r="U3451" i="1"/>
  <c r="U4529" i="1"/>
  <c r="U2434" i="1"/>
  <c r="U2148" i="1"/>
  <c r="U1963" i="1"/>
  <c r="U2787" i="1"/>
  <c r="U2065" i="1"/>
  <c r="U4530" i="1"/>
  <c r="U3701" i="1"/>
  <c r="U747" i="1"/>
  <c r="U489" i="1"/>
  <c r="U2448" i="1"/>
  <c r="U1486" i="1"/>
  <c r="U3780" i="1"/>
  <c r="U1611" i="1"/>
  <c r="U932" i="1"/>
  <c r="U3551" i="1"/>
  <c r="U1596" i="1"/>
  <c r="U4521" i="1"/>
  <c r="U3550" i="1"/>
  <c r="U1049" i="1"/>
  <c r="U205" i="1"/>
  <c r="U758" i="1"/>
  <c r="U3377" i="1"/>
  <c r="U923" i="1"/>
  <c r="U1054" i="1"/>
  <c r="U1055" i="1"/>
  <c r="U639" i="1"/>
  <c r="U949" i="1"/>
  <c r="U1681" i="1"/>
  <c r="U4574" i="1"/>
  <c r="U2406" i="1"/>
  <c r="U2416" i="1"/>
  <c r="U3898" i="1"/>
  <c r="U2192" i="1"/>
  <c r="U3481" i="1"/>
  <c r="U2512" i="1"/>
  <c r="U3964" i="1"/>
  <c r="U3286" i="1"/>
  <c r="U1873" i="1"/>
  <c r="U1941" i="1"/>
  <c r="U1641" i="1"/>
  <c r="U516" i="1"/>
  <c r="U3781" i="1"/>
  <c r="U869" i="1"/>
  <c r="U3552" i="1"/>
  <c r="U3199" i="1"/>
  <c r="U132" i="1"/>
  <c r="U3516" i="1"/>
  <c r="U2690" i="1"/>
  <c r="U3299" i="1"/>
  <c r="U4474" i="1"/>
  <c r="U602" i="1"/>
  <c r="U644" i="1"/>
  <c r="U790" i="1"/>
  <c r="U229" i="1"/>
  <c r="U4486" i="1"/>
  <c r="U594" i="1"/>
  <c r="U696" i="1"/>
  <c r="U2917" i="1"/>
  <c r="U2938" i="1"/>
  <c r="U4705" i="1"/>
  <c r="U4621" i="1"/>
  <c r="U4622" i="1"/>
  <c r="U3530" i="1"/>
  <c r="U4744" i="1"/>
  <c r="U58" i="1"/>
  <c r="U642" i="1"/>
  <c r="U899" i="1"/>
  <c r="U2599" i="1"/>
  <c r="U1958" i="1"/>
  <c r="U1959" i="1"/>
  <c r="U4019" i="1"/>
  <c r="U4033" i="1"/>
  <c r="U4034" i="1"/>
  <c r="U4642" i="1"/>
  <c r="U2220" i="1"/>
  <c r="U4609" i="1"/>
  <c r="U1158" i="1"/>
  <c r="U3200" i="1"/>
  <c r="U2603" i="1"/>
  <c r="U2939" i="1"/>
  <c r="U1213" i="1"/>
  <c r="U2604" i="1"/>
  <c r="U2071" i="1"/>
  <c r="U1939" i="1"/>
  <c r="U1839" i="1"/>
  <c r="U3793" i="1"/>
  <c r="U3031" i="1"/>
  <c r="U2574" i="1"/>
  <c r="U1159" i="1"/>
  <c r="U915" i="1"/>
  <c r="U2830" i="1"/>
  <c r="U2851" i="1"/>
  <c r="U2836" i="1"/>
  <c r="U2837" i="1"/>
  <c r="U3001" i="1"/>
  <c r="U2055" i="1"/>
  <c r="U4661" i="1"/>
  <c r="U2050" i="1"/>
  <c r="U2831" i="1"/>
  <c r="U2864" i="1"/>
  <c r="U146" i="1"/>
  <c r="U1955" i="1"/>
  <c r="U2423" i="1"/>
  <c r="U1897" i="1"/>
  <c r="U827" i="1"/>
  <c r="U2838" i="1"/>
  <c r="U220" i="1"/>
  <c r="U4646" i="1"/>
  <c r="U4647" i="1"/>
  <c r="U2994" i="1"/>
  <c r="U4620" i="1"/>
  <c r="U2562" i="1"/>
  <c r="U1753" i="1"/>
  <c r="U2971" i="1"/>
  <c r="U69" i="1"/>
  <c r="U4318" i="1"/>
  <c r="U4216" i="1"/>
  <c r="U4220" i="1"/>
  <c r="U3766" i="1"/>
  <c r="U3991" i="1"/>
  <c r="U3512" i="1"/>
  <c r="U576" i="1"/>
  <c r="U2473" i="1"/>
  <c r="U1480" i="1"/>
  <c r="U4161" i="1"/>
  <c r="U574" i="1"/>
  <c r="U3448" i="1"/>
  <c r="U4400" i="1"/>
  <c r="U4212" i="1"/>
  <c r="U2692" i="1"/>
  <c r="U1597" i="1"/>
  <c r="U1600" i="1"/>
  <c r="U924" i="1"/>
  <c r="U3499" i="1"/>
  <c r="U3014" i="1"/>
  <c r="U4401" i="1"/>
  <c r="U2572" i="1"/>
  <c r="U2083" i="1"/>
  <c r="U1546" i="1"/>
  <c r="U4206" i="1"/>
  <c r="U2822" i="1"/>
  <c r="U1394" i="1"/>
  <c r="U2198" i="1"/>
  <c r="U759" i="1"/>
  <c r="U3443" i="1"/>
  <c r="U1025" i="1"/>
  <c r="U4584" i="1"/>
  <c r="U1172" i="1"/>
  <c r="U1837" i="1"/>
  <c r="U1712" i="1"/>
  <c r="U2761" i="1"/>
  <c r="U2673" i="1"/>
  <c r="U126" i="1"/>
  <c r="U3969" i="1"/>
  <c r="U3970" i="1"/>
  <c r="U2237" i="1"/>
  <c r="U1538" i="1"/>
  <c r="U1748" i="1"/>
  <c r="U517" i="1"/>
  <c r="U1058" i="1"/>
  <c r="U478" i="1"/>
  <c r="U3250" i="1"/>
  <c r="U3355" i="1"/>
  <c r="U1658" i="1"/>
  <c r="U3340" i="1"/>
  <c r="U3670" i="1"/>
  <c r="U914" i="1"/>
  <c r="U2585" i="1"/>
  <c r="U2814" i="1"/>
  <c r="U867" i="1"/>
  <c r="U573" i="1"/>
  <c r="U1183" i="1"/>
  <c r="U4392" i="1"/>
  <c r="U1174" i="1"/>
  <c r="U1188" i="1"/>
  <c r="U1216" i="1"/>
  <c r="U1391" i="1"/>
  <c r="U327" i="1"/>
  <c r="U1160" i="1"/>
  <c r="U1137" i="1"/>
  <c r="U1909" i="1"/>
  <c r="U2392" i="1"/>
  <c r="U889" i="1"/>
  <c r="U2301" i="1"/>
  <c r="U1094" i="1"/>
  <c r="U791" i="1"/>
  <c r="U3033" i="1"/>
  <c r="U2075" i="1"/>
  <c r="U599" i="1"/>
  <c r="U1637" i="1"/>
  <c r="U845" i="1"/>
  <c r="U2861" i="1"/>
  <c r="U1604" i="1"/>
  <c r="U1605" i="1"/>
  <c r="U925" i="1"/>
  <c r="U6" i="1"/>
  <c r="U2145" i="1"/>
  <c r="U4649" i="1"/>
  <c r="U2678" i="1"/>
  <c r="U3971" i="1"/>
  <c r="U311" i="1"/>
  <c r="U2875" i="1"/>
  <c r="U2602" i="1"/>
  <c r="U566" i="1"/>
  <c r="U1967" i="1"/>
  <c r="U3467" i="1"/>
  <c r="U3967" i="1"/>
  <c r="U4166" i="1"/>
  <c r="U430" i="1"/>
  <c r="U535" i="1"/>
  <c r="U3449" i="1"/>
  <c r="U3452" i="1"/>
  <c r="U3458" i="1"/>
  <c r="U1626" i="1"/>
  <c r="U390" i="1"/>
  <c r="U3292" i="1"/>
  <c r="U4662" i="1"/>
  <c r="U208" i="1"/>
  <c r="U1086" i="1"/>
  <c r="U3532" i="1"/>
  <c r="U3354" i="1"/>
  <c r="U2258" i="1"/>
  <c r="U2418" i="1"/>
  <c r="U4745" i="1"/>
  <c r="U2539" i="1"/>
  <c r="U4522" i="1"/>
  <c r="U4213" i="1"/>
  <c r="U2321" i="1"/>
  <c r="U2754" i="1"/>
  <c r="U1203" i="1"/>
  <c r="U2384" i="1"/>
  <c r="U468" i="1"/>
  <c r="U3806" i="1"/>
  <c r="U4566" i="1"/>
  <c r="U2211" i="1"/>
  <c r="U2565" i="1"/>
  <c r="U4638" i="1"/>
  <c r="U1946" i="1"/>
  <c r="U473" i="1"/>
  <c r="U1101" i="1"/>
  <c r="U1524" i="1"/>
  <c r="U909" i="1"/>
  <c r="U852" i="1"/>
  <c r="U4040" i="1"/>
  <c r="U1401" i="1"/>
  <c r="U1402" i="1"/>
  <c r="U1087" i="1"/>
  <c r="U4162" i="1"/>
  <c r="U4174" i="1"/>
  <c r="U1488" i="1"/>
  <c r="U4218" i="1"/>
  <c r="U2908" i="1"/>
  <c r="U129" i="1"/>
  <c r="U4519" i="1"/>
  <c r="U2347" i="1"/>
  <c r="U1516" i="1"/>
  <c r="U2359" i="1"/>
  <c r="U4053" i="1"/>
  <c r="U1121" i="1"/>
  <c r="U3284" i="1"/>
  <c r="U4229" i="1"/>
  <c r="U2845" i="1"/>
  <c r="U2256" i="1"/>
  <c r="U3723" i="1"/>
  <c r="U2634" i="1"/>
  <c r="U751" i="1"/>
  <c r="U3837" i="1"/>
  <c r="U1232" i="1"/>
  <c r="U2618" i="1"/>
  <c r="U1113" i="1"/>
  <c r="U4693" i="1"/>
  <c r="U2168" i="1"/>
  <c r="U2866" i="1"/>
  <c r="U382" i="1"/>
  <c r="U2973" i="1"/>
  <c r="U2149" i="1"/>
  <c r="U2058" i="1"/>
  <c r="U623" i="1"/>
  <c r="U2735" i="1"/>
  <c r="U177" i="1"/>
  <c r="U2579" i="1"/>
  <c r="U1853" i="1"/>
  <c r="U710" i="1"/>
  <c r="U1706" i="1"/>
  <c r="U1707" i="1"/>
  <c r="U2949" i="1"/>
  <c r="U652" i="1"/>
  <c r="U3313" i="1"/>
  <c r="U1822" i="1"/>
  <c r="U1258" i="1"/>
  <c r="U3583" i="1"/>
  <c r="U4043" i="1"/>
  <c r="U3826" i="1"/>
  <c r="U240" i="1"/>
  <c r="U4524" i="1"/>
  <c r="U3978" i="1"/>
  <c r="U1700" i="1"/>
  <c r="U297" i="1"/>
  <c r="U2980" i="1"/>
  <c r="U996" i="1"/>
  <c r="U709" i="1"/>
  <c r="U363" i="1"/>
  <c r="U967" i="1"/>
  <c r="U3372" i="1"/>
  <c r="U1492" i="1"/>
  <c r="U771" i="1"/>
  <c r="U796" i="1"/>
  <c r="U1922" i="1"/>
  <c r="U2252" i="1"/>
  <c r="U4383" i="1"/>
  <c r="U4382" i="1"/>
  <c r="U424" i="1"/>
  <c r="U3191" i="1"/>
  <c r="U782" i="1"/>
  <c r="U4009" i="1"/>
  <c r="U4310" i="1"/>
  <c r="U892" i="1"/>
  <c r="U4726" i="1"/>
  <c r="U2088" i="1"/>
  <c r="U2142" i="1"/>
  <c r="U776" i="1"/>
  <c r="U3800" i="1"/>
  <c r="U31" i="1"/>
  <c r="U410" i="1"/>
  <c r="U4412" i="1"/>
  <c r="U3624" i="1"/>
  <c r="U3641" i="1"/>
  <c r="U1877" i="1"/>
  <c r="U3186" i="1"/>
  <c r="U4420" i="1"/>
  <c r="U3606" i="1"/>
  <c r="U1997" i="1"/>
  <c r="U2635" i="1"/>
  <c r="U1419" i="1"/>
  <c r="U761" i="1"/>
  <c r="U2752" i="1"/>
  <c r="U3003" i="1"/>
  <c r="U4488" i="1"/>
  <c r="U2901" i="1"/>
  <c r="U2158" i="1"/>
  <c r="U1421" i="1"/>
  <c r="U2688" i="1"/>
  <c r="U2991" i="1"/>
  <c r="U457" i="1"/>
  <c r="U1456" i="1"/>
  <c r="U412" i="1"/>
  <c r="U674" i="1"/>
  <c r="U1082" i="1"/>
  <c r="U257" i="1"/>
  <c r="U3083" i="1"/>
  <c r="U4585" i="1"/>
  <c r="U2749" i="1"/>
  <c r="U2624" i="1"/>
  <c r="U3315" i="1"/>
  <c r="U2217" i="1"/>
  <c r="U1717" i="1"/>
  <c r="U3486" i="1"/>
  <c r="U3955" i="1"/>
  <c r="U2909" i="1"/>
  <c r="U2495" i="1"/>
  <c r="U2076" i="1"/>
  <c r="U2698" i="1"/>
  <c r="U2412" i="1"/>
  <c r="U3572" i="1"/>
  <c r="U2699" i="1"/>
  <c r="U2413" i="1"/>
  <c r="U1444" i="1"/>
  <c r="U1420" i="1"/>
  <c r="U2112" i="1"/>
  <c r="U2257" i="1"/>
  <c r="U4508" i="1"/>
  <c r="U1209" i="1"/>
  <c r="U1016" i="1"/>
  <c r="U1593" i="1"/>
  <c r="U2271" i="1"/>
  <c r="U421" i="1"/>
  <c r="U71" i="1"/>
  <c r="U1148" i="1"/>
  <c r="U3818" i="1"/>
  <c r="U2052" i="1"/>
  <c r="U2078" i="1"/>
  <c r="U832" i="1"/>
  <c r="U1445" i="1"/>
  <c r="U1145" i="1"/>
  <c r="U1461" i="1"/>
  <c r="U1149" i="1"/>
  <c r="U1146" i="1"/>
  <c r="U39" i="1"/>
  <c r="U3841" i="1"/>
  <c r="U1081" i="1"/>
  <c r="U1393" i="1"/>
  <c r="U686" i="1"/>
  <c r="U1559" i="1"/>
  <c r="U1793" i="1"/>
  <c r="U698" i="1"/>
  <c r="U2882" i="1"/>
  <c r="U4596" i="1"/>
  <c r="U3836" i="1"/>
  <c r="U1443" i="1"/>
  <c r="U32" i="1"/>
  <c r="U1798" i="1"/>
  <c r="U2442" i="1"/>
  <c r="U2013" i="1"/>
  <c r="U249" i="1"/>
  <c r="U3236" i="1"/>
  <c r="U3441" i="1"/>
  <c r="U35" i="1"/>
  <c r="U3187" i="1"/>
  <c r="U2879" i="1"/>
  <c r="U2655" i="1"/>
  <c r="U1098" i="1"/>
  <c r="U1065" i="1"/>
  <c r="U719" i="1"/>
  <c r="U1117" i="1"/>
  <c r="U942" i="1"/>
  <c r="U337" i="1"/>
  <c r="U3464" i="1"/>
  <c r="U934" i="1"/>
  <c r="U1937" i="1"/>
  <c r="U4000" i="1"/>
  <c r="U4110" i="1"/>
  <c r="U1845" i="1"/>
  <c r="U19" i="1"/>
  <c r="U3811" i="1"/>
  <c r="U2594" i="1"/>
  <c r="U3953" i="1"/>
  <c r="U1874" i="1"/>
  <c r="U2945" i="1"/>
  <c r="U4634" i="1"/>
  <c r="U744" i="1"/>
  <c r="U865" i="1"/>
  <c r="U2786" i="1"/>
  <c r="U2411" i="1"/>
  <c r="U2254" i="1"/>
  <c r="U943" i="1"/>
  <c r="U2784" i="1"/>
  <c r="U3500" i="1"/>
  <c r="U1433" i="1"/>
  <c r="U2773" i="1"/>
  <c r="U843" i="1"/>
  <c r="U3412" i="1"/>
  <c r="U244" i="1"/>
  <c r="U388" i="1"/>
  <c r="U1197" i="1"/>
  <c r="U3253" i="1"/>
  <c r="U3080" i="1"/>
  <c r="U3081" i="1"/>
  <c r="U2950" i="1"/>
  <c r="U3741" i="1"/>
  <c r="U581" i="1"/>
  <c r="U582" i="1"/>
  <c r="U3523" i="1"/>
  <c r="U2041" i="1"/>
  <c r="U1592" i="1"/>
  <c r="U3009" i="1"/>
  <c r="U3623" i="1"/>
  <c r="U498" i="1"/>
  <c r="U1557" i="1"/>
  <c r="U1484" i="1"/>
  <c r="U3350" i="1"/>
  <c r="U3312" i="1"/>
  <c r="U3519" i="1"/>
  <c r="U3594" i="1"/>
  <c r="U214" i="1"/>
  <c r="U3225" i="1"/>
  <c r="U577" i="1"/>
  <c r="U2659" i="1"/>
  <c r="U107" i="1"/>
  <c r="U3367" i="1"/>
  <c r="U1519" i="1"/>
  <c r="U4701" i="1"/>
  <c r="U1647" i="1"/>
  <c r="U2789" i="1"/>
  <c r="U757" i="1"/>
  <c r="U3084" i="1"/>
  <c r="U3558" i="1"/>
  <c r="U2360" i="1"/>
  <c r="U500" i="1"/>
  <c r="U2208" i="1"/>
  <c r="U1943" i="1"/>
  <c r="U458" i="1"/>
  <c r="U3369" i="1"/>
  <c r="U3482" i="1"/>
  <c r="U426" i="1"/>
  <c r="U4499" i="1"/>
  <c r="U3951" i="1"/>
  <c r="U1089" i="1"/>
  <c r="U1629" i="1"/>
  <c r="U3188" i="1"/>
  <c r="U286" i="1"/>
  <c r="U3671" i="1"/>
  <c r="U542" i="1"/>
  <c r="U1791" i="1"/>
  <c r="U4221" i="1"/>
  <c r="U2260" i="1"/>
  <c r="U1754" i="1"/>
  <c r="U492" i="1"/>
  <c r="U3772" i="1"/>
  <c r="U510" i="1"/>
  <c r="U3630" i="1"/>
  <c r="U2230" i="1"/>
  <c r="U73" i="1"/>
  <c r="U1966" i="1"/>
  <c r="U3937" i="1"/>
  <c r="U2596" i="1"/>
  <c r="U2610" i="1"/>
  <c r="U1522" i="1"/>
  <c r="U156" i="1"/>
  <c r="U2666" i="1"/>
  <c r="U1703" i="1"/>
  <c r="U4225" i="1"/>
  <c r="U2661" i="1"/>
  <c r="U438" i="1"/>
  <c r="U4137" i="1"/>
  <c r="U2671" i="1"/>
  <c r="U3744" i="1"/>
  <c r="U1249" i="1"/>
  <c r="U3618" i="1"/>
  <c r="U593" i="1"/>
  <c r="U3514" i="1"/>
  <c r="U490" i="1"/>
  <c r="U3657" i="1"/>
  <c r="U2316" i="1"/>
  <c r="U387" i="1"/>
  <c r="U2929" i="1"/>
  <c r="U1655" i="1"/>
  <c r="U4014" i="1"/>
  <c r="U4588" i="1"/>
  <c r="U3069" i="1"/>
  <c r="U103" i="1"/>
  <c r="U431" i="1"/>
  <c r="U4697" i="1"/>
  <c r="U4483" i="1"/>
  <c r="U3302" i="1"/>
  <c r="U2710" i="1"/>
  <c r="U3385" i="1"/>
  <c r="U2829" i="1"/>
  <c r="U4639" i="1"/>
  <c r="U43" i="1"/>
  <c r="U494" i="1"/>
  <c r="U3262" i="1"/>
  <c r="U4105" i="1"/>
  <c r="U1217" i="1"/>
  <c r="U1957" i="1"/>
  <c r="U4232" i="1"/>
  <c r="U56" i="1"/>
  <c r="U144" i="1"/>
  <c r="U563" i="1"/>
  <c r="U68" i="1"/>
  <c r="U3032" i="1"/>
  <c r="U4022" i="1"/>
  <c r="U427" i="1"/>
  <c r="U3410" i="1"/>
  <c r="U4592" i="1"/>
  <c r="U895" i="1"/>
  <c r="U527" i="1"/>
  <c r="U2792" i="1"/>
  <c r="U2465" i="1"/>
  <c r="U3846" i="1"/>
  <c r="U2118" i="1"/>
  <c r="U479" i="1"/>
  <c r="U365" i="1"/>
  <c r="U502" i="1"/>
  <c r="U364" i="1"/>
  <c r="U4349" i="1"/>
  <c r="U485" i="1"/>
  <c r="U3017" i="1"/>
  <c r="U1649" i="1"/>
  <c r="U3621" i="1"/>
  <c r="U2964" i="1"/>
  <c r="U167" i="1"/>
  <c r="U4214" i="1"/>
  <c r="U3325" i="1"/>
  <c r="U245" i="1"/>
  <c r="U3984" i="1"/>
  <c r="U2793" i="1"/>
  <c r="U3838" i="1"/>
  <c r="U3973" i="1"/>
  <c r="U3986" i="1"/>
  <c r="U152" i="1"/>
  <c r="U2910" i="1"/>
  <c r="U2956" i="1"/>
  <c r="U1167" i="1"/>
  <c r="U4626" i="1"/>
  <c r="U3048" i="1"/>
  <c r="U3049" i="1"/>
  <c r="U4610" i="1"/>
  <c r="U3625" i="1"/>
  <c r="U4750" i="1"/>
  <c r="U215" i="1"/>
  <c r="U4489" i="1"/>
  <c r="U2124" i="1"/>
  <c r="U2293" i="1"/>
  <c r="U2264" i="1"/>
  <c r="U2011" i="1"/>
  <c r="U2317" i="1"/>
  <c r="U2277" i="1"/>
  <c r="U456" i="1"/>
  <c r="U3904" i="1"/>
  <c r="U1231" i="1"/>
  <c r="U3296" i="1"/>
  <c r="U1654" i="1"/>
  <c r="U1014" i="1"/>
  <c r="U951" i="1"/>
  <c r="U1070" i="1"/>
  <c r="U1590" i="1"/>
  <c r="U3460" i="1"/>
  <c r="U3940" i="1"/>
  <c r="U4192" i="1"/>
  <c r="U2884" i="1"/>
  <c r="U2322" i="1"/>
  <c r="U2297" i="1"/>
  <c r="U1704" i="1"/>
  <c r="U3498" i="1"/>
  <c r="U2819" i="1"/>
  <c r="U2862" i="1"/>
  <c r="U4736" i="1"/>
  <c r="U2867" i="1"/>
  <c r="U553" i="1"/>
  <c r="U142" i="1"/>
  <c r="U366" i="1"/>
  <c r="U379" i="1"/>
  <c r="U3431" i="1"/>
  <c r="U4612" i="1"/>
  <c r="U2935" i="1"/>
  <c r="U4202" i="1"/>
  <c r="U374" i="1"/>
  <c r="U1404" i="1"/>
  <c r="U3263" i="1"/>
  <c r="U304" i="1"/>
  <c r="U21" i="1"/>
  <c r="U376" i="1"/>
  <c r="U3472" i="1"/>
  <c r="U3915" i="1"/>
  <c r="U1671" i="1"/>
  <c r="U3965" i="1"/>
  <c r="U2645" i="1"/>
  <c r="U4579" i="1"/>
  <c r="U3820" i="1"/>
  <c r="U3276" i="1"/>
  <c r="U880" i="1"/>
  <c r="U3849" i="1"/>
  <c r="U713" i="1"/>
  <c r="U2537" i="1"/>
  <c r="U3470" i="1"/>
  <c r="U2183" i="1"/>
  <c r="U2048" i="1"/>
  <c r="U3662" i="1"/>
  <c r="U3665" i="1"/>
  <c r="U4564" i="1"/>
  <c r="U2745" i="1"/>
  <c r="U2520" i="1"/>
  <c r="U255" i="1"/>
  <c r="U1523" i="1"/>
  <c r="U941" i="1"/>
  <c r="U3028" i="1"/>
  <c r="U3540" i="1"/>
  <c r="U1451" i="1"/>
  <c r="U3156" i="1"/>
  <c r="U3704" i="1"/>
  <c r="U3222" i="1"/>
  <c r="U2637" i="1"/>
  <c r="U3223" i="1"/>
  <c r="U3018" i="1"/>
  <c r="U2832" i="1"/>
  <c r="U3021" i="1"/>
  <c r="U3022" i="1"/>
  <c r="U3277" i="1"/>
  <c r="U428" i="1"/>
  <c r="U2429" i="1"/>
  <c r="U1695" i="1"/>
  <c r="U3378" i="1"/>
  <c r="U2038" i="1"/>
  <c r="U2186" i="1"/>
  <c r="U2196" i="1"/>
  <c r="U332" i="1"/>
  <c r="U3421" i="1"/>
  <c r="U3417" i="1"/>
  <c r="U3409" i="1"/>
  <c r="U3405" i="1"/>
  <c r="U3768" i="1"/>
  <c r="U3522" i="1"/>
  <c r="U2377" i="1"/>
  <c r="U112" i="1"/>
  <c r="U1585" i="1"/>
  <c r="U1586" i="1"/>
  <c r="U3351" i="1"/>
  <c r="U2184" i="1"/>
  <c r="U3422" i="1"/>
  <c r="U2199" i="1"/>
  <c r="U480" i="1"/>
  <c r="U1792" i="1"/>
  <c r="U338" i="1"/>
  <c r="U3479" i="1"/>
  <c r="U3192" i="1"/>
  <c r="U2881" i="1"/>
  <c r="U1080" i="1"/>
  <c r="U161" i="1"/>
  <c r="U1587" i="1"/>
  <c r="U4746" i="1"/>
  <c r="U1398" i="1"/>
  <c r="U2349" i="1"/>
  <c r="U2984" i="1"/>
  <c r="U113" i="1"/>
  <c r="U3368" i="1"/>
  <c r="U2983" i="1"/>
  <c r="U1953" i="1"/>
  <c r="U3149" i="1"/>
  <c r="U4020" i="1"/>
  <c r="U2840" i="1"/>
  <c r="U3823" i="1"/>
  <c r="U3402" i="1"/>
  <c r="U4026" i="1"/>
  <c r="U3675" i="1"/>
  <c r="U3634" i="1"/>
  <c r="U269" i="1"/>
  <c r="U3906" i="1"/>
  <c r="U2605" i="1"/>
  <c r="U3101" i="1"/>
  <c r="U3424" i="1"/>
  <c r="U2859" i="1"/>
  <c r="U1954" i="1"/>
  <c r="U3150" i="1"/>
  <c r="U1684" i="1"/>
  <c r="U2450" i="1"/>
  <c r="U4733" i="1"/>
  <c r="U2188" i="1"/>
  <c r="U4108" i="1"/>
  <c r="U4580" i="1"/>
  <c r="U887" i="1"/>
  <c r="U1650" i="1"/>
  <c r="U1520" i="1"/>
  <c r="U1718" i="1"/>
  <c r="U1755" i="1"/>
  <c r="U3559" i="1"/>
  <c r="U2174" i="1"/>
  <c r="U2485" i="1"/>
  <c r="U3432" i="1"/>
  <c r="U3604" i="1"/>
  <c r="U2408" i="1"/>
  <c r="U290" i="1"/>
  <c r="U2724" i="1"/>
  <c r="U3962" i="1"/>
  <c r="U83" i="1"/>
  <c r="U273" i="1"/>
  <c r="U444" i="1"/>
  <c r="U3418" i="1"/>
  <c r="U622" i="1"/>
  <c r="U258" i="1"/>
  <c r="U401" i="1"/>
  <c r="U4321" i="1"/>
  <c r="U3318" i="1"/>
  <c r="U3397" i="1"/>
  <c r="U169" i="1"/>
  <c r="U287" i="1"/>
  <c r="U2134" i="1"/>
  <c r="U1273" i="1"/>
  <c r="U2151" i="1"/>
  <c r="U4320" i="1"/>
  <c r="U803" i="1"/>
  <c r="U724" i="1"/>
  <c r="U1800" i="1"/>
  <c r="U4028" i="1"/>
  <c r="U898" i="1"/>
  <c r="U2854" i="1"/>
  <c r="U3705" i="1"/>
  <c r="U448" i="1"/>
  <c r="U407" i="1"/>
  <c r="U4624" i="1"/>
  <c r="U3122" i="1"/>
  <c r="U3047" i="1"/>
  <c r="U1254" i="1"/>
  <c r="U704" i="1"/>
  <c r="U4047" i="1"/>
  <c r="U727" i="1"/>
  <c r="U2741" i="1"/>
  <c r="U3098" i="1"/>
  <c r="U646" i="1"/>
  <c r="U1376" i="1"/>
  <c r="U2357" i="1"/>
  <c r="U4051" i="1"/>
  <c r="U4049" i="1"/>
  <c r="U3171" i="1"/>
  <c r="U1073" i="1"/>
  <c r="U447" i="1"/>
  <c r="U1530" i="1"/>
  <c r="U1110" i="1"/>
  <c r="U902" i="1"/>
  <c r="U1123" i="1"/>
  <c r="U1051" i="1"/>
  <c r="U2736" i="1"/>
  <c r="U4669" i="1"/>
  <c r="U18" i="1"/>
  <c r="U552" i="1"/>
  <c r="U641" i="1"/>
  <c r="U595" i="1"/>
  <c r="U550" i="1"/>
  <c r="U3151" i="1"/>
  <c r="U610" i="1"/>
  <c r="U617" i="1"/>
  <c r="U1168" i="1"/>
  <c r="U4548" i="1"/>
  <c r="U627" i="1"/>
  <c r="U137" i="1"/>
  <c r="U547" i="1"/>
  <c r="U3994" i="1"/>
  <c r="U1169" i="1"/>
  <c r="U523" i="1"/>
  <c r="U1940" i="1"/>
  <c r="U4001" i="1"/>
  <c r="U4549" i="1"/>
  <c r="U2247" i="1"/>
  <c r="U2631" i="1"/>
  <c r="U2960" i="1"/>
  <c r="U4678" i="1"/>
  <c r="U253" i="1"/>
  <c r="U2137" i="1"/>
  <c r="U211" i="1"/>
  <c r="U572" i="1"/>
  <c r="U638" i="1"/>
  <c r="U2826" i="1"/>
  <c r="U4170" i="1"/>
  <c r="U2878" i="1"/>
  <c r="U4751" i="1"/>
  <c r="U2421" i="1"/>
  <c r="U1723" i="1"/>
  <c r="U2344" i="1"/>
  <c r="U679" i="1"/>
  <c r="U2010" i="1"/>
  <c r="U807" i="1"/>
  <c r="U2896" i="1"/>
  <c r="U471" i="1"/>
  <c r="U3240" i="1"/>
  <c r="U4274" i="1"/>
  <c r="U3338" i="1"/>
  <c r="U1628" i="1"/>
  <c r="U1210" i="1"/>
  <c r="U3531" i="1"/>
  <c r="U455" i="1"/>
  <c r="U2207" i="1"/>
  <c r="U3271" i="1"/>
  <c r="U439" i="1"/>
  <c r="U310" i="1"/>
  <c r="U1599" i="1"/>
  <c r="U723" i="1"/>
  <c r="U204" i="1"/>
  <c r="U575" i="1"/>
  <c r="U381" i="1"/>
  <c r="U3316" i="1"/>
  <c r="U3308" i="1"/>
  <c r="U3216" i="1"/>
  <c r="U4179" i="1"/>
  <c r="U284" i="1"/>
  <c r="U341" i="1"/>
  <c r="U1483" i="1"/>
  <c r="U321" i="1"/>
  <c r="U4504" i="1"/>
  <c r="U2202" i="1"/>
  <c r="U2740" i="1"/>
  <c r="U873" i="1"/>
  <c r="U322" i="1"/>
  <c r="U1062" i="1"/>
  <c r="U4443" i="1"/>
  <c r="U3496" i="1"/>
  <c r="U1584" i="1"/>
  <c r="U4583" i="1"/>
  <c r="U2779" i="1"/>
  <c r="U2085" i="1"/>
  <c r="U3958" i="1"/>
  <c r="U3959" i="1"/>
  <c r="U3194" i="1"/>
  <c r="U3982" i="1"/>
  <c r="U2737" i="1"/>
  <c r="U935" i="1"/>
  <c r="U2738" i="1"/>
  <c r="U897" i="1"/>
  <c r="U4224" i="1"/>
  <c r="U4514" i="1"/>
  <c r="U2842" i="1"/>
  <c r="U4199" i="1"/>
  <c r="U4575" i="1"/>
  <c r="U1284" i="1"/>
  <c r="U4201" i="1"/>
  <c r="U1222" i="1"/>
  <c r="U2169" i="1"/>
  <c r="U3370" i="1"/>
  <c r="U4648" i="1"/>
  <c r="U1514" i="1"/>
  <c r="U4671" i="1"/>
  <c r="U1229" i="1"/>
  <c r="U753" i="1"/>
  <c r="U3938" i="1"/>
  <c r="U2272" i="1"/>
  <c r="U2843" i="1"/>
  <c r="U3899" i="1"/>
  <c r="U2672" i="1"/>
  <c r="U2651" i="1"/>
  <c r="U2817" i="1"/>
  <c r="U2526" i="1"/>
  <c r="U4680" i="1"/>
  <c r="U4471" i="1"/>
  <c r="U2924" i="1"/>
  <c r="U2847" i="1"/>
  <c r="U418" i="1"/>
  <c r="U2970" i="1"/>
  <c r="U1403" i="1"/>
  <c r="U3059" i="1"/>
  <c r="U3450" i="1"/>
  <c r="U3983" i="1"/>
  <c r="U333" i="1"/>
  <c r="U1619" i="1"/>
  <c r="U4663" i="1"/>
  <c r="U4755" i="1"/>
  <c r="U4754" i="1"/>
  <c r="U2436" i="1"/>
  <c r="U4656" i="1"/>
  <c r="U643" i="1"/>
  <c r="U841" i="1"/>
  <c r="U3013" i="1"/>
  <c r="U4717" i="1"/>
  <c r="U324" i="1"/>
  <c r="U3040" i="1"/>
  <c r="U1409" i="1"/>
  <c r="U561" i="1"/>
  <c r="U4679" i="1"/>
  <c r="U185" i="1"/>
  <c r="U4761" i="1"/>
  <c r="U219" i="1"/>
  <c r="U384" i="1"/>
  <c r="U559" i="1"/>
  <c r="U2545" i="1"/>
  <c r="U2388" i="1"/>
  <c r="U2739" i="1"/>
  <c r="U308" i="1"/>
  <c r="U4760" i="1"/>
  <c r="U3317" i="1"/>
  <c r="U4759" i="1"/>
  <c r="U4623" i="1"/>
  <c r="U4616" i="1"/>
  <c r="U4611" i="1"/>
  <c r="U3487" i="1"/>
  <c r="U1918" i="1"/>
  <c r="U1932" i="1"/>
  <c r="U524" i="1"/>
  <c r="U809" i="1"/>
  <c r="U3692" i="1"/>
  <c r="U3693" i="1"/>
  <c r="U3398" i="1"/>
  <c r="U3733" i="1"/>
  <c r="U2989" i="1"/>
  <c r="U2497" i="1"/>
  <c r="U2498" i="1"/>
  <c r="U2363" i="1"/>
  <c r="U1043" i="1"/>
  <c r="U2564" i="1"/>
  <c r="U1184" i="1"/>
  <c r="U2833" i="1"/>
  <c r="U931" i="1"/>
  <c r="U2068" i="1"/>
  <c r="U3684" i="1"/>
  <c r="U2366" i="1"/>
  <c r="U2629" i="1"/>
  <c r="U4477" i="1"/>
  <c r="U3239" i="1"/>
  <c r="U671" i="1"/>
  <c r="U672" i="1"/>
  <c r="U1677" i="1"/>
  <c r="U2047" i="1"/>
  <c r="U4587" i="1"/>
  <c r="U4608" i="1"/>
  <c r="U1448" i="1"/>
  <c r="U705" i="1"/>
  <c r="U166" i="1"/>
  <c r="U4758" i="1"/>
  <c r="U2391" i="1"/>
  <c r="U3065" i="1"/>
  <c r="U632" i="1"/>
  <c r="U252" i="1"/>
  <c r="U2030" i="1"/>
  <c r="U673" i="1"/>
  <c r="U3025" i="1"/>
  <c r="U4645" i="1"/>
  <c r="U4127" i="1"/>
  <c r="U597" i="1"/>
  <c r="U2798" i="1"/>
  <c r="U4188" i="1"/>
  <c r="U2711" i="1"/>
  <c r="U4523" i="1"/>
  <c r="U3956" i="1"/>
  <c r="U933" i="1"/>
  <c r="U3400" i="1"/>
  <c r="U3341" i="1"/>
  <c r="U4002" i="1"/>
  <c r="U1615" i="1"/>
  <c r="U3209" i="1"/>
  <c r="U440" i="1"/>
  <c r="U4657" i="1"/>
  <c r="U2589" i="1"/>
  <c r="U3005" i="1"/>
  <c r="U722" i="1"/>
  <c r="U2744" i="1"/>
  <c r="U3622" i="1"/>
  <c r="U483" i="1"/>
  <c r="U893" i="1"/>
  <c r="U3977" i="1"/>
  <c r="U1204" i="1"/>
  <c r="U4728" i="1"/>
  <c r="U4757" i="1"/>
  <c r="U556" i="1"/>
  <c r="U4448" i="1"/>
  <c r="U1756" i="1"/>
  <c r="U1757" i="1"/>
  <c r="U2912" i="1"/>
  <c r="U4211" i="1"/>
  <c r="U1009" i="1"/>
  <c r="U4122" i="1"/>
  <c r="U4124" i="1"/>
  <c r="U855" i="1"/>
  <c r="U1722" i="1"/>
  <c r="U2890" i="1"/>
  <c r="U589" i="1"/>
  <c r="U4496" i="1"/>
  <c r="U2676" i="1"/>
  <c r="U4003" i="1"/>
  <c r="U2292" i="1"/>
  <c r="U1968" i="1"/>
  <c r="U2435" i="1"/>
  <c r="U4607" i="1"/>
  <c r="U4534" i="1"/>
  <c r="U2883" i="1"/>
  <c r="U4676" i="1"/>
  <c r="U2323" i="1"/>
  <c r="U4004" i="1"/>
  <c r="U774" i="1"/>
  <c r="U1838" i="1"/>
  <c r="U4039" i="1"/>
  <c r="U3990" i="1"/>
  <c r="U584" i="1"/>
  <c r="U1758" i="1"/>
  <c r="U4042" i="1"/>
  <c r="U699" i="1"/>
  <c r="U4765" i="1"/>
  <c r="U1237" i="1"/>
  <c r="U2863" i="1"/>
  <c r="U435" i="1"/>
  <c r="U677" i="1"/>
  <c r="U4767" i="1"/>
  <c r="U2409" i="1"/>
  <c r="U450" i="1"/>
  <c r="U675" i="1"/>
  <c r="U4768" i="1"/>
  <c r="U2218" i="1"/>
  <c r="U4546" i="1"/>
  <c r="U3224" i="1"/>
  <c r="U3715" i="1"/>
  <c r="U1568" i="1"/>
  <c r="U760" i="1"/>
  <c r="U1206" i="1"/>
  <c r="U2128" i="1"/>
  <c r="U1929" i="1"/>
  <c r="U3929" i="1"/>
  <c r="U3867" i="1"/>
  <c r="U1802" i="1"/>
  <c r="U2355" i="1"/>
  <c r="U4644" i="1"/>
  <c r="U1545" i="1"/>
  <c r="U27" i="1"/>
  <c r="U335" i="1"/>
  <c r="U1889" i="1"/>
  <c r="U140" i="1"/>
  <c r="U2852" i="1"/>
  <c r="U3251" i="1"/>
  <c r="U2291" i="1"/>
  <c r="U30" i="1"/>
  <c r="U3996" i="1"/>
  <c r="U711" i="1"/>
  <c r="U979" i="1"/>
  <c r="U4756" i="1"/>
  <c r="U1669" i="1"/>
  <c r="U2586" i="1"/>
  <c r="U3672" i="1"/>
  <c r="U3673" i="1"/>
  <c r="U1806" i="1"/>
  <c r="U3932" i="1"/>
  <c r="U1038" i="1"/>
  <c r="U728" i="1"/>
  <c r="U4769" i="1"/>
  <c r="U3706" i="1"/>
  <c r="U3944" i="1"/>
  <c r="U819" i="1"/>
  <c r="U2573" i="1"/>
  <c r="U2279" i="1"/>
  <c r="U1759" i="1"/>
  <c r="U3751" i="1"/>
  <c r="U452" i="1"/>
  <c r="U1810" i="1"/>
  <c r="U1817" i="1"/>
  <c r="U419" i="1"/>
  <c r="U2155" i="1"/>
  <c r="U2129" i="1"/>
  <c r="U4547" i="1"/>
  <c r="U1127" i="1"/>
  <c r="U2608" i="1"/>
  <c r="U2834" i="1"/>
  <c r="U2823" i="1"/>
  <c r="U2086" i="1"/>
  <c r="U509" i="1"/>
  <c r="U2056" i="1"/>
  <c r="U1910" i="1"/>
  <c r="U4307" i="1"/>
  <c r="U1796" i="1"/>
  <c r="U409" i="1"/>
  <c r="U2892" i="1"/>
  <c r="U313" i="1"/>
  <c r="U2255" i="1"/>
  <c r="U4331" i="1"/>
  <c r="U1760" i="1"/>
  <c r="U4578" i="1"/>
  <c r="U1189" i="1"/>
  <c r="U1031" i="1"/>
  <c r="U4770" i="1"/>
  <c r="U2926" i="1"/>
  <c r="U1805" i="1"/>
  <c r="U3683" i="1"/>
  <c r="U2020" i="1"/>
  <c r="U130" i="1"/>
  <c r="U504" i="1"/>
  <c r="U3740" i="1"/>
  <c r="U4690" i="1"/>
  <c r="U4714" i="1"/>
  <c r="U4696" i="1"/>
  <c r="U4707" i="1"/>
  <c r="U4708" i="1"/>
  <c r="U4715" i="1"/>
  <c r="U612" i="1"/>
  <c r="U701" i="1"/>
  <c r="U4691" i="1"/>
  <c r="U4684" i="1"/>
  <c r="U762" i="1"/>
  <c r="U4695" i="1"/>
  <c r="U4694" i="1"/>
  <c r="U4699" i="1"/>
  <c r="U4686" i="1"/>
  <c r="U4683" i="1"/>
  <c r="U4700" i="1"/>
  <c r="U3549" i="1"/>
  <c r="U1535" i="1"/>
  <c r="U3050" i="1"/>
  <c r="U3802" i="1"/>
  <c r="U1890" i="1"/>
  <c r="U2160" i="1"/>
  <c r="U938" i="1"/>
  <c r="U403" i="1"/>
  <c r="U397" i="1"/>
  <c r="U377" i="1"/>
  <c r="U3044" i="1"/>
  <c r="U1027" i="1"/>
  <c r="U2916" i="1"/>
  <c r="U3896" i="1"/>
  <c r="U1736" i="1"/>
  <c r="U4128" i="1"/>
  <c r="U4518" i="1"/>
  <c r="U927" i="1"/>
  <c r="U2903" i="1"/>
  <c r="U460" i="1"/>
  <c r="U2874" i="1"/>
  <c r="U2534" i="1"/>
  <c r="U4664" i="1"/>
  <c r="U693" i="1"/>
  <c r="U497" i="1"/>
  <c r="U2440" i="1"/>
  <c r="U2324" i="1"/>
  <c r="U4145" i="1"/>
  <c r="U3502" i="1"/>
  <c r="U2441" i="1"/>
  <c r="U4470" i="1"/>
  <c r="U41" i="1"/>
  <c r="U795" i="1"/>
  <c r="U1803" i="1"/>
  <c r="U1808" i="1"/>
  <c r="U4204" i="1"/>
  <c r="U3817" i="1"/>
  <c r="U3375" i="1"/>
  <c r="U786" i="1"/>
  <c r="U4086" i="1"/>
  <c r="U1218" i="1"/>
  <c r="U4665" i="1"/>
  <c r="U1079" i="1"/>
  <c r="U3989" i="1"/>
  <c r="U3254" i="1"/>
  <c r="U3267" i="1"/>
  <c r="U3567" i="1"/>
  <c r="U1696" i="1"/>
  <c r="U119" i="1"/>
  <c r="U242" i="1"/>
  <c r="U183" i="1"/>
  <c r="U3304" i="1"/>
  <c r="U863" i="1"/>
  <c r="U928" i="1"/>
  <c r="U3839" i="1"/>
  <c r="U3504" i="1"/>
  <c r="U926" i="1"/>
  <c r="U881" i="1"/>
  <c r="U854" i="1"/>
  <c r="U1761" i="1"/>
  <c r="U864" i="1"/>
  <c r="U3782" i="1"/>
  <c r="U2766" i="1"/>
  <c r="U2250" i="1"/>
  <c r="U2245" i="1"/>
  <c r="U2159" i="1"/>
  <c r="U124" i="1"/>
  <c r="U2857" i="1"/>
  <c r="U3587" i="1"/>
  <c r="U3578" i="1"/>
  <c r="U3565" i="1"/>
  <c r="U2619" i="1"/>
  <c r="U939" i="1"/>
  <c r="U3474" i="1"/>
  <c r="U2506" i="1"/>
  <c r="U4709" i="1"/>
  <c r="U2447" i="1"/>
  <c r="U4650" i="1"/>
  <c r="U3568" i="1"/>
  <c r="U3584" i="1"/>
  <c r="U3571" i="1"/>
  <c r="U3586" i="1"/>
  <c r="U3563" i="1"/>
  <c r="U1191" i="1"/>
  <c r="U3202" i="1"/>
  <c r="U2156" i="1"/>
  <c r="U3099" i="1"/>
  <c r="U1187" i="1"/>
  <c r="U1763" i="1"/>
  <c r="U4339" i="1"/>
  <c r="U190" i="1"/>
  <c r="U3642" i="1"/>
  <c r="U2443" i="1"/>
  <c r="U2431" i="1"/>
  <c r="U3743" i="1"/>
  <c r="U3645" i="1"/>
  <c r="U2453" i="1"/>
  <c r="U1503" i="1"/>
  <c r="U4666" i="1"/>
  <c r="U4605" i="1"/>
  <c r="U4070" i="1"/>
  <c r="U4774" i="1"/>
  <c r="U2452" i="1"/>
  <c r="U2454" i="1"/>
  <c r="U3561" i="1"/>
  <c r="U4071" i="1"/>
  <c r="U3905" i="1"/>
  <c r="U3902" i="1"/>
  <c r="U2663" i="1"/>
  <c r="U3901" i="1"/>
  <c r="U999" i="1"/>
  <c r="U995" i="1"/>
  <c r="U973" i="1"/>
  <c r="U3585" i="1"/>
  <c r="U960" i="1"/>
  <c r="U2449" i="1"/>
  <c r="U4704" i="1"/>
  <c r="U4766" i="1"/>
  <c r="U1000" i="1"/>
  <c r="U4543" i="1"/>
  <c r="U4235" i="1"/>
  <c r="U605" i="1"/>
  <c r="U346" i="1"/>
  <c r="U1764" i="1"/>
  <c r="U1730" i="1"/>
  <c r="U1741" i="1"/>
  <c r="U3985" i="1"/>
  <c r="U93" i="1"/>
  <c r="U3709" i="1"/>
  <c r="U980" i="1"/>
  <c r="U4658" i="1"/>
  <c r="U3506" i="1"/>
  <c r="U3581" i="1"/>
  <c r="U3582" i="1"/>
  <c r="U3026" i="1"/>
  <c r="U770" i="1"/>
  <c r="U1481" i="1"/>
  <c r="U1745" i="1"/>
  <c r="U1701" i="1"/>
  <c r="U4123" i="1"/>
  <c r="U773" i="1"/>
  <c r="U4763" i="1"/>
  <c r="U3966" i="1"/>
  <c r="U3950" i="1"/>
  <c r="U24" i="1"/>
  <c r="U767" i="1"/>
  <c r="U4776" i="1"/>
  <c r="U640" i="1"/>
  <c r="U2033" i="1"/>
  <c r="U1010" i="1"/>
  <c r="U3539" i="1"/>
  <c r="U3227" i="1"/>
  <c r="U1652" i="1"/>
  <c r="U3280" i="1"/>
  <c r="U894" i="1"/>
  <c r="U12" i="1"/>
  <c r="U162" i="1"/>
  <c r="U1804" i="1"/>
  <c r="U2835" i="1"/>
  <c r="U670" i="1"/>
  <c r="U1067" i="1"/>
  <c r="U393" i="1"/>
  <c r="U3201" i="1"/>
  <c r="U4586" i="1"/>
  <c r="U3579" i="1"/>
  <c r="U3577" i="1"/>
  <c r="U3570" i="1"/>
  <c r="U194" i="1"/>
  <c r="U4606" i="1"/>
  <c r="U2280" i="1"/>
  <c r="U2947" i="1"/>
  <c r="U975" i="1"/>
  <c r="U3576" i="1"/>
  <c r="U2166" i="1"/>
  <c r="U2278" i="1"/>
  <c r="U1595" i="1"/>
  <c r="U1007" i="1"/>
  <c r="U1947" i="1"/>
  <c r="U4764" i="1"/>
  <c r="U3855" i="1"/>
  <c r="U645" i="1"/>
  <c r="U2127" i="1"/>
  <c r="U1332" i="1"/>
  <c r="U4208" i="1"/>
  <c r="U1765" i="1"/>
  <c r="U530" i="1"/>
  <c r="U4234" i="1"/>
  <c r="U4653" i="1"/>
  <c r="U4436" i="1"/>
  <c r="U3283" i="1"/>
  <c r="U143" i="1"/>
  <c r="U4189" i="1"/>
  <c r="U451" i="1"/>
  <c r="U29" i="1"/>
  <c r="U4144" i="1"/>
  <c r="U3562" i="1"/>
  <c r="U3566" i="1"/>
  <c r="U3569" i="1"/>
  <c r="U634" i="1"/>
  <c r="U4775" i="1"/>
  <c r="U4363" i="1"/>
  <c r="U4143" i="1"/>
  <c r="U3248" i="1"/>
  <c r="U3272" i="1"/>
  <c r="U2244" i="1"/>
  <c r="U3268" i="1"/>
  <c r="U4731" i="1"/>
  <c r="U4372" i="1"/>
  <c r="U4125" i="1"/>
  <c r="U1272" i="1"/>
  <c r="U2106" i="1"/>
  <c r="U348" i="1"/>
  <c r="U3071" i="1"/>
  <c r="U3336" i="1"/>
  <c r="U1406" i="1"/>
  <c r="U4635" i="1"/>
  <c r="U2701" i="1"/>
  <c r="U917" i="1"/>
  <c r="U3376" i="1"/>
  <c r="U4500" i="1"/>
  <c r="U2868" i="1"/>
  <c r="U2336" i="1"/>
  <c r="U2335" i="1"/>
  <c r="U209" i="1"/>
  <c r="U3928" i="1"/>
  <c r="U3459" i="1"/>
  <c r="U4778" i="1"/>
  <c r="U3249" i="1"/>
  <c r="U4772" i="1"/>
  <c r="U223" i="1"/>
  <c r="U2101" i="1"/>
  <c r="U875" i="1"/>
  <c r="U3273" i="1"/>
  <c r="U3235" i="1"/>
  <c r="U1314" i="1"/>
  <c r="U3653" i="1"/>
  <c r="U4223" i="1"/>
  <c r="U1022" i="1"/>
  <c r="U3264" i="1"/>
  <c r="U4228" i="1"/>
  <c r="U3343" i="1"/>
  <c r="U2658" i="1"/>
  <c r="U1005" i="1"/>
  <c r="U2759" i="1"/>
  <c r="U876" i="1"/>
  <c r="U2918" i="1"/>
  <c r="U2919" i="1"/>
  <c r="U2130" i="1"/>
  <c r="U3960" i="1"/>
  <c r="U3437" i="1"/>
  <c r="U3788" i="1"/>
  <c r="U3542" i="1"/>
  <c r="U2341" i="1"/>
  <c r="U2820" i="1"/>
  <c r="U1846" i="1"/>
  <c r="U3051" i="1"/>
  <c r="U2102" i="1"/>
  <c r="U3075" i="1"/>
  <c r="U858" i="1"/>
  <c r="U1015" i="1"/>
  <c r="U2990" i="1"/>
  <c r="U1554" i="1"/>
  <c r="U2126" i="1"/>
  <c r="U4550" i="1"/>
  <c r="U4551" i="1"/>
  <c r="U1686" i="1"/>
  <c r="U464" i="1"/>
  <c r="U2057" i="1"/>
  <c r="U3931" i="1"/>
  <c r="U2544" i="1"/>
  <c r="U985" i="1"/>
  <c r="U3897" i="1"/>
  <c r="U2616" i="1"/>
  <c r="U2796" i="1"/>
  <c r="U2841" i="1"/>
  <c r="U2646" i="1"/>
  <c r="U4737" i="1"/>
  <c r="U1731" i="1"/>
  <c r="U2715" i="1"/>
  <c r="U4517" i="1"/>
  <c r="U4069" i="1"/>
  <c r="U1885" i="1"/>
  <c r="U4253" i="1"/>
  <c r="U3011" i="1"/>
  <c r="U1693" i="1"/>
  <c r="U4577" i="1"/>
  <c r="U532" i="1"/>
  <c r="U3260" i="1"/>
  <c r="U3257" i="1"/>
  <c r="U199" i="1"/>
  <c r="U4749" i="1"/>
  <c r="U3727" i="1"/>
  <c r="U1645" i="1"/>
  <c r="U3204" i="1"/>
  <c r="U4303" i="1"/>
  <c r="U1725" i="1"/>
  <c r="U1646" i="1"/>
  <c r="U1345" i="1"/>
  <c r="U3232" i="1"/>
  <c r="U339" i="1"/>
  <c r="U1454" i="1"/>
  <c r="U1446" i="1"/>
  <c r="U2424" i="1"/>
  <c r="U1426" i="1"/>
  <c r="U264" i="1"/>
  <c r="U1468" i="1"/>
  <c r="U300" i="1"/>
  <c r="U2818" i="1"/>
  <c r="U1766" i="1"/>
  <c r="U1668" i="1"/>
  <c r="U1482" i="1"/>
  <c r="U2121" i="1"/>
  <c r="U4203" i="1"/>
  <c r="U4248" i="1"/>
  <c r="U3320" i="1"/>
  <c r="U2081" i="1"/>
  <c r="U3185" i="1"/>
  <c r="U4030" i="1"/>
  <c r="U1100" i="1"/>
  <c r="U1069" i="1"/>
  <c r="U1543" i="1"/>
  <c r="U1052" i="1"/>
  <c r="U2216" i="1"/>
  <c r="U3609" i="1"/>
  <c r="U911" i="1"/>
  <c r="U4498" i="1"/>
  <c r="U4068" i="1"/>
  <c r="U4771" i="1"/>
  <c r="U1030" i="1"/>
  <c r="U1096" i="1"/>
  <c r="U1136" i="1"/>
  <c r="U197" i="1"/>
  <c r="U1131" i="1"/>
  <c r="U2633" i="1"/>
  <c r="U262" i="1"/>
  <c r="U3680" i="1"/>
  <c r="U4114" i="1"/>
  <c r="U4115" i="1"/>
  <c r="U2025" i="1"/>
  <c r="U2017" i="1"/>
  <c r="U2046" i="1"/>
  <c r="U2200" i="1"/>
  <c r="U2885" i="1"/>
  <c r="U1659" i="1"/>
  <c r="U2743" i="1"/>
  <c r="U2636" i="1"/>
  <c r="U1660" i="1"/>
  <c r="U99" i="1"/>
  <c r="U1274" i="1"/>
  <c r="U1275" i="1"/>
  <c r="U3669" i="1"/>
  <c r="U1487" i="1"/>
  <c r="U4368" i="1"/>
  <c r="U4080" i="1"/>
  <c r="U2310" i="1"/>
  <c r="U367" i="1"/>
  <c r="U4036" i="1"/>
  <c r="U2227" i="1"/>
  <c r="U3297" i="1"/>
  <c r="U62" i="1"/>
  <c r="U347" i="1"/>
  <c r="U1864" i="1"/>
  <c r="U1238" i="1"/>
  <c r="U2014" i="1"/>
  <c r="U851" i="1"/>
  <c r="U4257" i="1"/>
  <c r="U2718" i="1"/>
  <c r="U2438" i="1"/>
  <c r="U555" i="1"/>
  <c r="U1938" i="1"/>
  <c r="U629" i="1"/>
  <c r="U4366" i="1"/>
  <c r="U1304" i="1"/>
  <c r="U1973" i="1"/>
  <c r="U4742" i="1"/>
  <c r="U354" i="1"/>
  <c r="U4748" i="1"/>
  <c r="U1797" i="1"/>
  <c r="U2697" i="1"/>
  <c r="U3265" i="1"/>
  <c r="U857" i="1"/>
  <c r="U2825" i="1"/>
  <c r="U4119" i="1"/>
  <c r="U408" i="1"/>
  <c r="U1226" i="1"/>
  <c r="U2731" i="1"/>
  <c r="U3830" i="1"/>
  <c r="U486" i="1"/>
  <c r="U4252" i="1"/>
  <c r="U2846" i="1"/>
  <c r="U3256" i="1"/>
  <c r="U4540" i="1"/>
  <c r="U3281" i="1"/>
  <c r="U2694" i="1"/>
  <c r="U1202" i="1"/>
  <c r="U3266" i="1"/>
  <c r="U3731" i="1"/>
  <c r="U4129" i="1"/>
  <c r="U1239" i="1"/>
  <c r="U822" i="1"/>
  <c r="U3258" i="1"/>
  <c r="U4531" i="1"/>
  <c r="U2238" i="1"/>
  <c r="U1198" i="1"/>
  <c r="U3883" i="1"/>
  <c r="U3881" i="1"/>
  <c r="U3735" i="1"/>
  <c r="U218" i="1"/>
  <c r="U3997" i="1"/>
  <c r="U3877" i="1"/>
  <c r="U3892" i="1"/>
  <c r="U4200" i="1"/>
  <c r="U1830" i="1"/>
  <c r="U1228" i="1"/>
  <c r="U3435" i="1"/>
  <c r="U4187" i="1"/>
  <c r="U3878" i="1"/>
  <c r="U3361" i="1"/>
  <c r="U4334" i="1"/>
  <c r="U1662" i="1"/>
  <c r="U2371" i="1"/>
  <c r="U3245" i="1"/>
  <c r="U3936" i="1"/>
  <c r="U3546" i="1"/>
  <c r="U3445" i="1"/>
  <c r="U274" i="1"/>
  <c r="U4035" i="1"/>
  <c r="U1850" i="1"/>
  <c r="U484" i="1"/>
  <c r="U4135" i="1"/>
  <c r="U3269" i="1"/>
  <c r="U4261" i="1"/>
  <c r="U355" i="1"/>
  <c r="U2850" i="1"/>
  <c r="U2275" i="1"/>
  <c r="U630" i="1"/>
  <c r="U1057" i="1"/>
  <c r="U4711" i="1"/>
  <c r="U3726" i="1"/>
  <c r="U989" i="1"/>
  <c r="U3255" i="1"/>
  <c r="U2369" i="1"/>
  <c r="U2266" i="1"/>
  <c r="U3891" i="1"/>
  <c r="U3888" i="1"/>
  <c r="U1656" i="1"/>
  <c r="U3261" i="1"/>
  <c r="U2307" i="1"/>
  <c r="U270" i="1"/>
  <c r="U4384" i="1"/>
  <c r="U2308" i="1"/>
  <c r="U1240" i="1"/>
  <c r="U2042" i="1"/>
  <c r="U4037" i="1"/>
  <c r="U4153" i="1"/>
  <c r="U2246" i="1"/>
  <c r="U1732" i="1"/>
  <c r="U4038" i="1"/>
  <c r="U2747" i="1"/>
  <c r="U1698" i="1"/>
  <c r="U3873" i="1"/>
  <c r="U3884" i="1"/>
  <c r="U3889" i="1"/>
  <c r="U3875" i="1"/>
  <c r="U537" i="1"/>
  <c r="U4319" i="1"/>
  <c r="U1569" i="1"/>
  <c r="U2930" i="1"/>
  <c r="U4643" i="1"/>
  <c r="U3063" i="1"/>
  <c r="U2693" i="1"/>
  <c r="U3796" i="1"/>
  <c r="U4171" i="1"/>
  <c r="U1215" i="1"/>
  <c r="U2197" i="1"/>
  <c r="U4449" i="1"/>
  <c r="U2463" i="1"/>
  <c r="U1354" i="1"/>
  <c r="U4594" i="1"/>
  <c r="U4326" i="1"/>
  <c r="U267" i="1"/>
  <c r="U3699" i="1"/>
  <c r="U691" i="1"/>
  <c r="U3046" i="1"/>
  <c r="U2734" i="1"/>
  <c r="U1078" i="1"/>
  <c r="U4740" i="1"/>
  <c r="U89" i="1"/>
  <c r="U3513" i="1"/>
  <c r="U4120" i="1"/>
  <c r="U3757" i="1"/>
  <c r="U1071" i="1"/>
  <c r="U1068" i="1"/>
  <c r="U3215" i="1"/>
  <c r="U3488" i="1"/>
  <c r="U540" i="1"/>
  <c r="U4226" i="1"/>
  <c r="U785" i="1"/>
  <c r="U1493" i="1"/>
  <c r="U1410" i="1"/>
  <c r="U3876" i="1"/>
  <c r="U3337" i="1"/>
  <c r="U2259" i="1"/>
  <c r="U3212" i="1"/>
  <c r="U4641" i="1"/>
  <c r="U3979" i="1"/>
  <c r="U2844" i="1"/>
  <c r="U1066" i="1"/>
  <c r="U4762" i="1"/>
  <c r="U3648" i="1"/>
  <c r="U66" i="1"/>
  <c r="U3064" i="1"/>
  <c r="U2768" i="1"/>
  <c r="U1661" i="1"/>
  <c r="U1692" i="1"/>
  <c r="U1635" i="1"/>
  <c r="U3433" i="1"/>
  <c r="U2709" i="1"/>
  <c r="U3446" i="1"/>
  <c r="U3246" i="1"/>
  <c r="U3247" i="1"/>
  <c r="U3655" i="1"/>
  <c r="U2339" i="1"/>
  <c r="U526" i="1"/>
  <c r="U2077" i="1"/>
  <c r="U309" i="1"/>
  <c r="U529" i="1"/>
  <c r="U1767" i="1"/>
  <c r="U3442" i="1"/>
  <c r="U3196" i="1"/>
  <c r="U3792" i="1"/>
  <c r="U1192" i="1"/>
  <c r="U3617" i="1"/>
  <c r="U3092" i="1"/>
  <c r="U3534" i="1"/>
  <c r="U1601" i="1"/>
  <c r="U4473" i="1"/>
  <c r="U1713" i="1"/>
  <c r="U3993" i="1"/>
  <c r="U1502" i="1"/>
  <c r="U3923" i="1"/>
  <c r="U1097" i="1"/>
  <c r="U1088" i="1"/>
  <c r="U4005" i="1"/>
  <c r="U2320" i="1"/>
  <c r="U3879" i="1"/>
  <c r="U4667" i="1"/>
  <c r="U2235" i="1"/>
  <c r="U525" i="1"/>
  <c r="U3882" i="1"/>
  <c r="U3894" i="1"/>
  <c r="U2934" i="1"/>
  <c r="U4710" i="1"/>
  <c r="U1609" i="1"/>
  <c r="U4197" i="1"/>
  <c r="U487" i="1"/>
  <c r="U2788" i="1"/>
  <c r="U1162" i="1"/>
  <c r="U1536" i="1"/>
  <c r="U4782" i="1"/>
  <c r="U163" i="1"/>
  <c r="U461" i="1"/>
  <c r="U3914" i="1"/>
  <c r="U3476" i="1"/>
  <c r="U4264" i="1"/>
  <c r="U4637" i="1"/>
  <c r="U2226" i="1"/>
  <c r="U1714" i="1"/>
  <c r="U1734" i="1"/>
  <c r="U4312" i="1"/>
  <c r="U4313" i="1"/>
  <c r="U2000" i="1"/>
  <c r="U977" i="1"/>
  <c r="U2064" i="1"/>
  <c r="U1499" i="1"/>
  <c r="U175" i="1"/>
  <c r="U3633" i="1"/>
  <c r="U3195" i="1"/>
  <c r="U2285" i="1"/>
  <c r="U2600" i="1"/>
  <c r="U1644" i="1"/>
  <c r="U2179" i="1"/>
  <c r="U3279" i="1"/>
  <c r="U3790" i="1"/>
  <c r="U3489" i="1"/>
  <c r="U3259" i="1"/>
  <c r="U4685" i="1"/>
  <c r="U2119" i="1"/>
  <c r="U2803" i="1"/>
  <c r="U3573" i="1"/>
  <c r="U36" i="1"/>
  <c r="U2270" i="1"/>
  <c r="U4786" i="1"/>
  <c r="U1175" i="1"/>
  <c r="U3439" i="1"/>
  <c r="U4572" i="1"/>
  <c r="U1905" i="1"/>
  <c r="U1227" i="1"/>
  <c r="U2032" i="1"/>
  <c r="U1140" i="1"/>
  <c r="U1710" i="1"/>
  <c r="U4305" i="1"/>
  <c r="U3301" i="1"/>
  <c r="U3352" i="1"/>
  <c r="U1449" i="1"/>
  <c r="U2427" i="1"/>
  <c r="U280" i="1"/>
  <c r="U2889" i="1"/>
  <c r="U3507" i="1"/>
  <c r="U1991" i="1"/>
  <c r="U1111" i="1"/>
  <c r="U4747" i="1"/>
  <c r="U1412" i="1"/>
  <c r="U4270" i="1"/>
  <c r="U16" i="1"/>
  <c r="U501" i="1"/>
  <c r="U1854" i="1"/>
  <c r="U3282" i="1"/>
  <c r="U891" i="1"/>
  <c r="U2107" i="1"/>
  <c r="U4414" i="1"/>
  <c r="U2326" i="1"/>
  <c r="U2097" i="1"/>
  <c r="U3880" i="1"/>
  <c r="U952" i="1"/>
  <c r="U936" i="1"/>
  <c r="U289" i="1"/>
  <c r="U3643" i="1"/>
  <c r="U1408" i="1"/>
  <c r="U3801" i="1"/>
  <c r="U139" i="1"/>
  <c r="U2615" i="1"/>
  <c r="U1738" i="1"/>
  <c r="U3886" i="1"/>
  <c r="U3893" i="1"/>
  <c r="U3874" i="1"/>
  <c r="U3890" i="1"/>
  <c r="U1144" i="1"/>
  <c r="U4309" i="1"/>
  <c r="U4176" i="1"/>
  <c r="U721" i="1"/>
  <c r="U2276" i="1"/>
  <c r="U477" i="1"/>
  <c r="U1699" i="1"/>
  <c r="U1640" i="1"/>
  <c r="U4367" i="1"/>
  <c r="U4340" i="1"/>
  <c r="U4330" i="1"/>
  <c r="U4335" i="1"/>
  <c r="U4376" i="1"/>
  <c r="U4332" i="1"/>
  <c r="U3912" i="1"/>
  <c r="U3462" i="1"/>
  <c r="U3518" i="1"/>
  <c r="U2193" i="1"/>
  <c r="U912" i="1"/>
  <c r="U2261" i="1"/>
  <c r="U3456" i="1"/>
  <c r="U2194" i="1"/>
  <c r="U3887" i="1"/>
  <c r="U2732" i="1"/>
  <c r="U4444" i="1"/>
  <c r="U2432" i="1"/>
  <c r="U1106" i="1"/>
  <c r="U2034" i="1"/>
  <c r="U14" i="1"/>
  <c r="U4365" i="1"/>
  <c r="U1225" i="1"/>
  <c r="U3885" i="1"/>
  <c r="U1166" i="1"/>
  <c r="U4536" i="1"/>
  <c r="U725" i="1"/>
  <c r="U668" i="1"/>
  <c r="U4084" i="1"/>
  <c r="U4618" i="1"/>
  <c r="U4741" i="1"/>
  <c r="U1544" i="1"/>
  <c r="U4056" i="1"/>
  <c r="U1573" i="1"/>
  <c r="U1539" i="1"/>
  <c r="U2927" i="1"/>
  <c r="U3275" i="1"/>
  <c r="U4315" i="1"/>
  <c r="U2674" i="1"/>
  <c r="U3651" i="1"/>
  <c r="U3804" i="1"/>
  <c r="U3230" i="1"/>
  <c r="U3638" i="1"/>
  <c r="U3289" i="1"/>
  <c r="U4783" i="1"/>
  <c r="U4370" i="1"/>
  <c r="U4625" i="1"/>
  <c r="U4231" i="1"/>
  <c r="U3327" i="1"/>
  <c r="U466" i="1"/>
  <c r="U3434" i="1"/>
  <c r="U2746" i="1"/>
  <c r="U3831" i="1"/>
  <c r="U3348" i="1"/>
  <c r="U1045" i="1"/>
  <c r="U4403" i="1"/>
  <c r="U1581" i="1"/>
  <c r="U3537" i="1"/>
  <c r="U2368" i="1"/>
  <c r="U2383" i="1"/>
  <c r="U777" i="1"/>
  <c r="U3714" i="1"/>
  <c r="U3756" i="1"/>
  <c r="U2327" i="1"/>
  <c r="U4532" i="1"/>
  <c r="U1676" i="1"/>
  <c r="U1744" i="1"/>
  <c r="U1135" i="1"/>
  <c r="U2797" i="1"/>
  <c r="U4713" i="1"/>
  <c r="U4447" i="1"/>
  <c r="U1616" i="1"/>
  <c r="U607" i="1"/>
  <c r="U1102" i="1"/>
  <c r="U2109" i="1"/>
  <c r="U4497" i="1"/>
  <c r="U2951" i="1"/>
  <c r="U1223" i="1"/>
  <c r="U4371" i="1"/>
  <c r="U3746" i="1"/>
  <c r="U4364" i="1"/>
  <c r="U3484" i="1"/>
  <c r="U2023" i="1"/>
  <c r="U133" i="1"/>
  <c r="U13" i="1"/>
  <c r="U1735" i="1"/>
  <c r="U2185" i="1"/>
  <c r="U4054" i="1"/>
  <c r="U3384" i="1"/>
  <c r="U2380" i="1"/>
  <c r="U548" i="1"/>
  <c r="U3808" i="1"/>
  <c r="U734" i="1"/>
  <c r="U735" i="1"/>
  <c r="U292" i="1"/>
  <c r="U2191" i="1"/>
  <c r="U3438" i="1"/>
  <c r="U3349" i="1"/>
  <c r="U3485" i="1"/>
  <c r="U3517" i="1"/>
  <c r="U4439" i="1"/>
  <c r="U2364" i="1"/>
  <c r="U2781" i="1"/>
  <c r="U4528" i="1"/>
  <c r="U330" i="1"/>
  <c r="U2103" i="1"/>
  <c r="U315" i="1"/>
  <c r="U1178" i="1"/>
  <c r="U3935" i="1"/>
  <c r="U2664" i="1"/>
  <c r="U2402" i="1"/>
  <c r="U2108" i="1"/>
  <c r="U4501" i="1"/>
  <c r="U4545" i="1"/>
  <c r="U1219" i="1"/>
  <c r="U1719" i="1"/>
  <c r="U4236" i="1"/>
  <c r="U3399" i="1"/>
  <c r="U3501" i="1"/>
  <c r="U2870" i="1"/>
  <c r="U1809" i="1"/>
  <c r="U4006" i="1"/>
  <c r="U2328" i="1"/>
  <c r="U1195" i="1"/>
  <c r="U202" i="1"/>
  <c r="U4562" i="1"/>
  <c r="U3903" i="1"/>
  <c r="U3440" i="1"/>
  <c r="U4738" i="1"/>
  <c r="U1418" i="1"/>
  <c r="U1118" i="1"/>
  <c r="U4520" i="1"/>
  <c r="U3752" i="1"/>
  <c r="U1638" i="1"/>
  <c r="U4568" i="1"/>
  <c r="U849" i="1"/>
  <c r="U2764" i="1"/>
  <c r="U1235" i="1"/>
  <c r="U3055" i="1"/>
  <c r="U110" i="1"/>
  <c r="U224" i="1"/>
  <c r="U1462" i="1"/>
  <c r="U1430" i="1"/>
  <c r="U521" i="1"/>
  <c r="U3233" i="1"/>
  <c r="U2622" i="1"/>
  <c r="U301" i="1"/>
  <c r="U1383" i="1"/>
  <c r="U3797" i="1"/>
  <c r="U1279" i="1"/>
  <c r="U1143" i="1"/>
  <c r="U4" i="1"/>
  <c r="U878" i="1"/>
  <c r="U3034" i="1"/>
  <c r="U1072" i="1"/>
  <c r="U3303" i="1"/>
  <c r="U2350" i="1"/>
  <c r="U2348" i="1"/>
  <c r="U417" i="1"/>
  <c r="U4345" i="1"/>
  <c r="U1515" i="1"/>
  <c r="U1477" i="1"/>
  <c r="U4358" i="1"/>
  <c r="U4031" i="1"/>
  <c r="U1114" i="1"/>
  <c r="U1687" i="1"/>
  <c r="U2553" i="1"/>
  <c r="U302" i="1"/>
  <c r="U2299" i="1"/>
  <c r="U4636" i="1"/>
  <c r="U4362" i="1"/>
  <c r="U1603" i="1"/>
  <c r="U2785" i="1"/>
  <c r="U656" i="1"/>
  <c r="U4246" i="1"/>
  <c r="U4597" i="1"/>
  <c r="U2804" i="1"/>
  <c r="U4493" i="1"/>
  <c r="U4573" i="1"/>
  <c r="U2282" i="1"/>
  <c r="U4247" i="1"/>
  <c r="U2241" i="1"/>
  <c r="U1724" i="1"/>
  <c r="U4652" i="1"/>
  <c r="U1849" i="1"/>
  <c r="U4369" i="1"/>
  <c r="U3654" i="1"/>
  <c r="U717" i="1"/>
  <c r="U3732" i="1"/>
  <c r="U1008" i="1"/>
  <c r="U1709" i="1"/>
  <c r="U225" i="1"/>
  <c r="U904" i="1"/>
  <c r="U1642" i="1"/>
  <c r="U2329" i="1"/>
  <c r="U2330" i="1"/>
  <c r="U1900" i="1"/>
  <c r="U3121" i="1"/>
  <c r="U2758" i="1"/>
  <c r="U3346" i="1"/>
  <c r="U64" i="1"/>
  <c r="U4773" i="1"/>
  <c r="U1974" i="1"/>
  <c r="U3159" i="1"/>
  <c r="U3030" i="1"/>
  <c r="U4630" i="1"/>
  <c r="U2641" i="1"/>
  <c r="U1553" i="1"/>
  <c r="U2719" i="1"/>
  <c r="U2338" i="1"/>
  <c r="U3477" i="1"/>
  <c r="U4553" i="1"/>
  <c r="U3720" i="1"/>
  <c r="U251" i="1"/>
  <c r="U4557" i="1"/>
  <c r="U4604" i="1"/>
  <c r="U4668" i="1"/>
  <c r="U2704" i="1"/>
  <c r="U3775" i="1"/>
  <c r="U291" i="1"/>
  <c r="U3091" i="1"/>
  <c r="U1794" i="1"/>
  <c r="U972" i="1"/>
  <c r="U4328" i="1"/>
  <c r="U2953" i="1"/>
  <c r="U4163" i="1"/>
  <c r="U4186" i="1"/>
  <c r="U4157" i="1"/>
  <c r="U4167" i="1"/>
  <c r="U4190" i="1"/>
  <c r="U4267" i="1"/>
  <c r="U688" i="1"/>
  <c r="U2294" i="1"/>
  <c r="U4787" i="1"/>
  <c r="U4091" i="1"/>
  <c r="U768" i="1"/>
  <c r="U4173" i="1"/>
  <c r="U968" i="1"/>
  <c r="U1675" i="1"/>
  <c r="U2988" i="1"/>
  <c r="U811" i="1"/>
  <c r="U1356" i="1"/>
  <c r="U3678" i="1"/>
  <c r="U1119" i="1"/>
  <c r="U4278" i="1"/>
  <c r="U4798" i="1"/>
  <c r="U4506" i="1"/>
  <c r="U4725" i="1"/>
  <c r="U3427" i="1"/>
  <c r="U2782" i="1"/>
  <c r="U4317" i="1"/>
  <c r="U4404" i="1"/>
  <c r="U4413" i="1"/>
  <c r="U4272" i="1"/>
  <c r="U1631" i="1"/>
  <c r="U4753" i="1"/>
  <c r="U4172" i="1"/>
  <c r="U4169" i="1"/>
  <c r="U4164" i="1"/>
  <c r="U4502" i="1"/>
  <c r="U319" i="1"/>
  <c r="U2802" i="1"/>
  <c r="U1769" i="1"/>
  <c r="U2794" i="1"/>
  <c r="U59" i="1"/>
  <c r="U4357" i="1"/>
  <c r="U1357" i="1"/>
  <c r="U4063" i="1"/>
  <c r="U4168" i="1"/>
  <c r="U987" i="1"/>
  <c r="U976" i="1"/>
  <c r="U974" i="1"/>
  <c r="U962" i="1"/>
  <c r="U978" i="1"/>
  <c r="U969" i="1"/>
  <c r="U279" i="1"/>
  <c r="U4133" i="1"/>
  <c r="U3453" i="1"/>
  <c r="U3335" i="1"/>
  <c r="U3419" i="1"/>
  <c r="U3428" i="1"/>
  <c r="U3408" i="1"/>
  <c r="U3067" i="1"/>
  <c r="U3339" i="1"/>
  <c r="U198" i="1"/>
  <c r="U4341" i="1"/>
  <c r="U4629" i="1"/>
  <c r="U2913" i="1"/>
  <c r="U3016" i="1"/>
  <c r="U411" i="1"/>
  <c r="U2981" i="1"/>
  <c r="U1995" i="1"/>
  <c r="U3172" i="1"/>
  <c r="U2248" i="1"/>
  <c r="U1531" i="1"/>
  <c r="U3097" i="1"/>
  <c r="U1961" i="1"/>
  <c r="U3102" i="1"/>
  <c r="U3175" i="1"/>
  <c r="U1855" i="1"/>
  <c r="U3771" i="1"/>
  <c r="U708" i="1"/>
  <c r="U1366" i="1"/>
  <c r="U1673" i="1"/>
  <c r="U1984" i="1"/>
  <c r="U3166" i="1"/>
  <c r="U443" i="1"/>
  <c r="U3093" i="1"/>
  <c r="U1834" i="1"/>
  <c r="U1982" i="1"/>
  <c r="U3165" i="1"/>
  <c r="U1694" i="1"/>
  <c r="U1876" i="1"/>
  <c r="U4590" i="1"/>
  <c r="U2727" i="1"/>
  <c r="U4595" i="1"/>
  <c r="U4752" i="1"/>
  <c r="U2531" i="1"/>
  <c r="U2311" i="1"/>
  <c r="U4576" i="1"/>
  <c r="U3664" i="1"/>
  <c r="U3599" i="1"/>
  <c r="U3607" i="1"/>
  <c r="U3110" i="1"/>
  <c r="U1815" i="1"/>
  <c r="U3078" i="1"/>
  <c r="U1970" i="1"/>
  <c r="U2911" i="1"/>
  <c r="U947" i="1"/>
  <c r="U2395" i="1"/>
  <c r="U1268" i="1"/>
  <c r="U1269" i="1"/>
  <c r="U2590" i="1"/>
  <c r="U2098" i="1"/>
  <c r="U1377" i="1"/>
  <c r="U1378" i="1"/>
  <c r="U1290" i="1"/>
  <c r="U1291" i="1"/>
  <c r="U1507" i="1"/>
  <c r="U1311" i="1"/>
  <c r="U148" i="1"/>
  <c r="U3087" i="1"/>
  <c r="U3142" i="1"/>
  <c r="U3107" i="1"/>
  <c r="U1479" i="1"/>
  <c r="U1470" i="1"/>
  <c r="U3154" i="1"/>
  <c r="U3168" i="1"/>
  <c r="U4779" i="1"/>
  <c r="U3787" i="1"/>
  <c r="U4781" i="1"/>
  <c r="U907" i="1"/>
  <c r="U3601" i="1"/>
  <c r="U4097" i="1"/>
  <c r="U4100" i="1"/>
  <c r="U1348" i="1"/>
  <c r="U1879" i="1"/>
  <c r="U3112" i="1"/>
  <c r="U3162" i="1"/>
  <c r="U3140" i="1"/>
  <c r="U1352" i="1"/>
  <c r="U1297" i="1"/>
  <c r="U1351" i="1"/>
  <c r="U1335" i="1"/>
  <c r="U1353" i="1"/>
  <c r="U1298" i="1"/>
  <c r="U896" i="1"/>
  <c r="U3111" i="1"/>
  <c r="U1971" i="1"/>
  <c r="U3158" i="1"/>
  <c r="U3503" i="1"/>
  <c r="U4422" i="1"/>
  <c r="U4083" i="1"/>
  <c r="U4476" i="1"/>
  <c r="U1034" i="1"/>
  <c r="U2089" i="1"/>
  <c r="U4096" i="1"/>
  <c r="U4415" i="1"/>
  <c r="U3002" i="1"/>
  <c r="U2932" i="1"/>
  <c r="U3178" i="1"/>
  <c r="U2004" i="1"/>
  <c r="U571" i="1"/>
  <c r="U1011" i="1"/>
  <c r="U1343" i="1"/>
  <c r="U1344" i="1"/>
  <c r="U1256" i="1"/>
  <c r="U1266" i="1"/>
  <c r="U1267" i="1"/>
  <c r="U1384" i="1"/>
  <c r="U1385" i="1"/>
  <c r="U2703" i="1"/>
  <c r="U281" i="1"/>
  <c r="U1567" i="1"/>
  <c r="U3169" i="1"/>
  <c r="U3100" i="1"/>
  <c r="U1620" i="1"/>
  <c r="U227" i="1"/>
  <c r="U848" i="1"/>
  <c r="U4027" i="1"/>
  <c r="U4032" i="1"/>
  <c r="U3794" i="1"/>
  <c r="U4561" i="1"/>
  <c r="U1478" i="1"/>
  <c r="U2095" i="1"/>
  <c r="U3652" i="1"/>
  <c r="U528" i="1"/>
  <c r="U3809" i="1"/>
  <c r="U1902" i="1"/>
  <c r="U1276" i="1"/>
  <c r="U3152" i="1"/>
  <c r="U2921" i="1"/>
  <c r="U662" i="1"/>
  <c r="U2762" i="1"/>
  <c r="U1927" i="1"/>
  <c r="U3134" i="1"/>
  <c r="U3948" i="1"/>
  <c r="U2111" i="1"/>
  <c r="U3085" i="1"/>
  <c r="U1825" i="1"/>
  <c r="U3086" i="1"/>
  <c r="U1942" i="1"/>
  <c r="U1886" i="1"/>
  <c r="U1358" i="1"/>
  <c r="U1359" i="1"/>
  <c r="U1170" i="1"/>
  <c r="U1063" i="1"/>
  <c r="U1422" i="1"/>
  <c r="U1277" i="1"/>
  <c r="U1278" i="1"/>
  <c r="U1251" i="1"/>
  <c r="U1252" i="1"/>
  <c r="U1262" i="1"/>
  <c r="U1263" i="1"/>
  <c r="U1329" i="1"/>
  <c r="U1330" i="1"/>
  <c r="U1981" i="1"/>
  <c r="U3164" i="1"/>
  <c r="U3135" i="1"/>
  <c r="U1930" i="1"/>
  <c r="U1935" i="1"/>
  <c r="U1936" i="1"/>
  <c r="U1842" i="1"/>
  <c r="U1843" i="1"/>
  <c r="U1844" i="1"/>
  <c r="U1824" i="1"/>
  <c r="U1989" i="1"/>
  <c r="U3129" i="1"/>
  <c r="U3095" i="1"/>
  <c r="U1840" i="1"/>
  <c r="U3139" i="1"/>
  <c r="U2807" i="1"/>
  <c r="U3526" i="1"/>
  <c r="U1299" i="1"/>
  <c r="U1250" i="1"/>
  <c r="U1300" i="1"/>
  <c r="U1859" i="1"/>
  <c r="U3104" i="1"/>
  <c r="U1367" i="1"/>
  <c r="U1881" i="1"/>
  <c r="U2091" i="1"/>
  <c r="U1142" i="1"/>
  <c r="U1423" i="1"/>
  <c r="U2165" i="1"/>
  <c r="U2073" i="1"/>
  <c r="U2548" i="1"/>
  <c r="U3103" i="1"/>
  <c r="U4388" i="1"/>
  <c r="U1979" i="1"/>
  <c r="U3163" i="1"/>
  <c r="U4810" i="1"/>
  <c r="U1749" i="1"/>
  <c r="U3106" i="1"/>
  <c r="U3179" i="1"/>
  <c r="U3180" i="1"/>
  <c r="U353" i="1"/>
  <c r="U2053" i="1"/>
  <c r="U2037" i="1"/>
  <c r="U2774" i="1"/>
  <c r="U1415" i="1"/>
  <c r="U1438" i="1"/>
  <c r="U4078" i="1"/>
  <c r="U2084" i="1"/>
  <c r="U3105" i="1"/>
  <c r="U1996" i="1"/>
  <c r="U1923" i="1"/>
  <c r="U1903" i="1"/>
  <c r="U1336" i="1"/>
  <c r="U1337" i="1"/>
  <c r="U844" i="1"/>
  <c r="U2325" i="1"/>
  <c r="U3119" i="1"/>
  <c r="U1374" i="1"/>
  <c r="U1380" i="1"/>
  <c r="U1375" i="1"/>
  <c r="U3627" i="1"/>
  <c r="U3146" i="1"/>
  <c r="U3126" i="1"/>
  <c r="U4058" i="1"/>
  <c r="U4280" i="1"/>
  <c r="U765" i="1"/>
  <c r="U539" i="1"/>
  <c r="U3547" i="1"/>
  <c r="U1770" i="1"/>
  <c r="U2175" i="1"/>
  <c r="U1925" i="1"/>
  <c r="U2006" i="1"/>
  <c r="U2008" i="1"/>
  <c r="U1870" i="1"/>
  <c r="U1871" i="1"/>
  <c r="U2009" i="1"/>
  <c r="U2007" i="1"/>
  <c r="U1926" i="1"/>
  <c r="U3109" i="1"/>
  <c r="U1866" i="1"/>
  <c r="U1288" i="1"/>
  <c r="U1289" i="1"/>
  <c r="U1987" i="1"/>
  <c r="U3182" i="1"/>
  <c r="U3157" i="1"/>
  <c r="U4094" i="1"/>
  <c r="U1370" i="1"/>
  <c r="U2959" i="1"/>
  <c r="U1371" i="1"/>
  <c r="U1309" i="1"/>
  <c r="U1310" i="1"/>
  <c r="U3687" i="1"/>
  <c r="U4812" i="1"/>
  <c r="U3819" i="1"/>
  <c r="U1917" i="1"/>
  <c r="U1880" i="1"/>
  <c r="U1972" i="1"/>
  <c r="U1884" i="1"/>
  <c r="U2717" i="1"/>
  <c r="U1245" i="1"/>
  <c r="U1282" i="1"/>
  <c r="U1283" i="1"/>
  <c r="U1246" i="1"/>
  <c r="U4327" i="1"/>
  <c r="U3922" i="1"/>
  <c r="U238" i="1"/>
  <c r="U839" i="1"/>
  <c r="U801" i="1"/>
  <c r="U4292" i="1"/>
  <c r="U2451" i="1"/>
  <c r="U3161" i="1"/>
  <c r="U2630" i="1"/>
  <c r="U265" i="1"/>
  <c r="U2899" i="1"/>
  <c r="U1320" i="1"/>
  <c r="U3190" i="1"/>
  <c r="U1321" i="1"/>
  <c r="U1944" i="1"/>
  <c r="U1207" i="1"/>
  <c r="U3181" i="1"/>
  <c r="U4396" i="1"/>
  <c r="U1980" i="1"/>
  <c r="U1983" i="1"/>
  <c r="U1878" i="1"/>
  <c r="U1975" i="1"/>
  <c r="U1322" i="1"/>
  <c r="U1323" i="1"/>
  <c r="U1439" i="1"/>
  <c r="U3133" i="1"/>
  <c r="U3125" i="1"/>
  <c r="U3096" i="1"/>
  <c r="U4446" i="1"/>
  <c r="U1243" i="1"/>
  <c r="U1244" i="1"/>
  <c r="U1324" i="1"/>
  <c r="U1325" i="1"/>
  <c r="U1920" i="1"/>
  <c r="U3088" i="1"/>
  <c r="U3117" i="1"/>
  <c r="U1264" i="1"/>
  <c r="U1772" i="1"/>
  <c r="U1265" i="1"/>
  <c r="U1364" i="1"/>
  <c r="U3153" i="1"/>
  <c r="U3128" i="1"/>
  <c r="U1365" i="1"/>
  <c r="U4410" i="1"/>
  <c r="U1286" i="1"/>
  <c r="U1287" i="1"/>
  <c r="U1301" i="1"/>
  <c r="U1302" i="1"/>
  <c r="U3089" i="1"/>
  <c r="U2721" i="1"/>
  <c r="U1988" i="1"/>
  <c r="U4205" i="1"/>
  <c r="U3981" i="1"/>
  <c r="U3553" i="1"/>
  <c r="U3" i="1"/>
  <c r="U3649" i="1"/>
  <c r="U1739" i="1"/>
  <c r="U1861" i="1"/>
  <c r="U1688" i="1"/>
  <c r="U4589" i="1"/>
  <c r="U1571" i="1"/>
  <c r="U4316" i="1"/>
  <c r="U700" i="1"/>
  <c r="U1511" i="1"/>
  <c r="U4377" i="1"/>
  <c r="U4416" i="1"/>
  <c r="U378" i="1"/>
  <c r="U1496" i="1"/>
  <c r="U1828" i="1"/>
  <c r="U1305" i="1"/>
  <c r="U1306" i="1"/>
  <c r="U4598" i="1"/>
  <c r="U4405" i="1"/>
  <c r="U1296" i="1"/>
  <c r="U2100" i="1"/>
  <c r="U794" i="1"/>
  <c r="U4633" i="1"/>
  <c r="U2591" i="1"/>
  <c r="U745" i="1"/>
  <c r="U780" i="1"/>
  <c r="U2992" i="1"/>
  <c r="U1349" i="1"/>
  <c r="U1333" i="1"/>
  <c r="U4675" i="1"/>
  <c r="U3115" i="1"/>
  <c r="U1816" i="1"/>
  <c r="U1818" i="1"/>
  <c r="U4021" i="1"/>
  <c r="U1948" i="1"/>
  <c r="U4374" i="1"/>
  <c r="U4023" i="1"/>
  <c r="U1648" i="1"/>
  <c r="U772" i="1"/>
  <c r="U2946" i="1"/>
  <c r="U3131" i="1"/>
  <c r="U3116" i="1"/>
  <c r="U1280" i="1"/>
  <c r="U1281" i="1"/>
  <c r="U3145" i="1"/>
  <c r="U3807" i="1"/>
  <c r="U3783" i="1"/>
  <c r="U4099" i="1"/>
  <c r="U4065" i="1"/>
  <c r="U3656" i="1"/>
  <c r="U2365" i="1"/>
  <c r="U3777" i="1"/>
  <c r="U4802" i="1"/>
  <c r="U4344" i="1"/>
  <c r="U3941" i="1"/>
  <c r="U2716" i="1"/>
  <c r="U1442" i="1"/>
  <c r="U2289" i="1"/>
  <c r="U3136" i="1"/>
  <c r="U3759" i="1"/>
  <c r="U1951" i="1"/>
  <c r="U3123" i="1"/>
  <c r="U1368" i="1"/>
  <c r="U1259" i="1"/>
  <c r="U3685" i="1"/>
  <c r="U3189" i="1"/>
  <c r="U192" i="1"/>
  <c r="U1868" i="1"/>
  <c r="U1869" i="1"/>
  <c r="U2897" i="1"/>
  <c r="U2120" i="1"/>
  <c r="U1773" i="1"/>
  <c r="U3138" i="1"/>
  <c r="U1934" i="1"/>
  <c r="U3094" i="1"/>
  <c r="U3155" i="1"/>
  <c r="U4215" i="1"/>
  <c r="U3810" i="1"/>
  <c r="U17" i="1"/>
  <c r="U2131" i="1"/>
  <c r="U3842" i="1"/>
  <c r="U1180" i="1"/>
  <c r="U2228" i="1"/>
  <c r="U3176" i="1"/>
  <c r="U3118" i="1"/>
  <c r="U3124" i="1"/>
  <c r="U1906" i="1"/>
  <c r="U47" i="1"/>
  <c r="U1417" i="1"/>
  <c r="U3148" i="1"/>
  <c r="U1865" i="1"/>
  <c r="U4426" i="1"/>
  <c r="U954" i="1"/>
  <c r="U4175" i="1"/>
  <c r="U4057" i="1"/>
  <c r="U1294" i="1"/>
  <c r="U1295" i="1"/>
  <c r="U4784" i="1"/>
  <c r="U1260" i="1"/>
  <c r="U1914" i="1"/>
  <c r="U1915" i="1"/>
  <c r="U1452" i="1"/>
  <c r="U1928" i="1"/>
  <c r="U1860" i="1"/>
  <c r="U1993" i="1"/>
  <c r="U3528" i="1"/>
  <c r="U1664" i="1"/>
  <c r="U885" i="1"/>
  <c r="U25" i="1"/>
  <c r="U716" i="1"/>
  <c r="U445" i="1"/>
  <c r="U1727" i="1"/>
  <c r="U1440" i="1"/>
  <c r="U2092" i="1"/>
  <c r="U3833" i="1"/>
  <c r="U1960" i="1"/>
  <c r="U1508" i="1"/>
  <c r="U1116" i="1"/>
  <c r="U453" i="1"/>
  <c r="U3527" i="1"/>
  <c r="U2800" i="1"/>
  <c r="U4698" i="1"/>
  <c r="U4411" i="1"/>
  <c r="U1504" i="1"/>
  <c r="U946" i="1"/>
  <c r="U1138" i="1"/>
  <c r="U4424" i="1"/>
  <c r="U4421" i="1"/>
  <c r="U4785" i="1"/>
  <c r="U3700" i="1"/>
  <c r="U1622" i="1"/>
  <c r="U1108" i="1"/>
  <c r="U4507" i="1"/>
  <c r="U4159" i="1"/>
  <c r="U4181" i="1"/>
  <c r="U1285" i="1"/>
  <c r="U1360" i="1"/>
  <c r="U1721" i="1"/>
  <c r="U4155" i="1"/>
  <c r="U4158" i="1"/>
  <c r="U1338" i="1"/>
  <c r="U1339" i="1"/>
  <c r="U1048" i="1"/>
  <c r="U4673" i="1"/>
  <c r="U3835" i="1"/>
  <c r="U2801" i="1"/>
  <c r="U2420" i="1"/>
  <c r="U3043" i="1"/>
  <c r="U2122" i="1"/>
  <c r="U2898" i="1"/>
  <c r="U1388" i="1"/>
  <c r="U1261" i="1"/>
  <c r="U1400" i="1"/>
  <c r="U1665" i="1"/>
  <c r="U1386" i="1"/>
  <c r="U1017" i="1"/>
  <c r="U2304" i="1"/>
  <c r="U4147" i="1"/>
  <c r="U4322" i="1"/>
  <c r="U3988" i="1"/>
  <c r="U4323" i="1"/>
  <c r="U560" i="1"/>
  <c r="U1742" i="1"/>
  <c r="U1774" i="1"/>
  <c r="U802" i="1"/>
  <c r="U1473" i="1"/>
  <c r="U1566" i="1"/>
  <c r="U1500" i="1"/>
  <c r="U1682" i="1"/>
  <c r="U1234" i="1"/>
  <c r="U1952" i="1"/>
  <c r="U2015" i="1"/>
  <c r="U1469" i="1"/>
  <c r="U4191" i="1"/>
  <c r="U4182" i="1"/>
  <c r="U4177" i="1"/>
  <c r="U4178" i="1"/>
  <c r="U4183" i="1"/>
  <c r="U1898" i="1"/>
  <c r="U2372" i="1"/>
  <c r="U808" i="1"/>
  <c r="U2967" i="1"/>
  <c r="U4718" i="1"/>
  <c r="U423" i="1"/>
  <c r="U567" i="1"/>
  <c r="U1621" i="1"/>
  <c r="U4494" i="1"/>
  <c r="U2966" i="1"/>
  <c r="U4719" i="1"/>
  <c r="U3631" i="1"/>
  <c r="U135" i="1"/>
  <c r="U1857" i="1"/>
  <c r="U1858" i="1"/>
  <c r="U953" i="1"/>
  <c r="U2968" i="1"/>
  <c r="U1775" i="1"/>
  <c r="U1085" i="1"/>
  <c r="U714" i="1"/>
  <c r="U1020" i="1"/>
  <c r="U838" i="1"/>
  <c r="U3803" i="1"/>
  <c r="U1921" i="1"/>
  <c r="U1104" i="1"/>
  <c r="U2268" i="1"/>
  <c r="U1313" i="1"/>
  <c r="U1340" i="1"/>
  <c r="U1933" i="1"/>
  <c r="U4526" i="1"/>
  <c r="U2039" i="1"/>
  <c r="U1862" i="1"/>
  <c r="U2265" i="1"/>
  <c r="U4152" i="1"/>
  <c r="U1122" i="1"/>
  <c r="U1453" i="1"/>
  <c r="U930" i="1"/>
  <c r="U2044" i="1"/>
  <c r="U2031" i="1"/>
  <c r="U684" i="1"/>
  <c r="U955" i="1"/>
  <c r="U4196" i="1"/>
  <c r="U1578" i="1"/>
  <c r="U2022" i="1"/>
  <c r="U4617" i="1"/>
  <c r="U1028" i="1"/>
  <c r="U736" i="1"/>
  <c r="U2079" i="1"/>
  <c r="U937" i="1"/>
  <c r="U958" i="1"/>
  <c r="U90" i="1"/>
  <c r="U1715" i="1"/>
  <c r="U1651" i="1"/>
  <c r="U1326" i="1"/>
  <c r="U1327" i="1"/>
  <c r="U1392" i="1"/>
  <c r="U1547" i="1"/>
  <c r="U1346" i="1"/>
  <c r="U1347" i="1"/>
  <c r="U2105" i="1"/>
  <c r="U2920" i="1"/>
  <c r="U1716" i="1"/>
  <c r="U1464" i="1"/>
  <c r="U1460" i="1"/>
  <c r="U3288" i="1"/>
  <c r="U2040" i="1"/>
  <c r="U4591" i="1"/>
  <c r="U4059" i="1"/>
  <c r="U217" i="1"/>
  <c r="U3863" i="1"/>
  <c r="U3854" i="1"/>
  <c r="U3856" i="1"/>
  <c r="U3869" i="1"/>
  <c r="U3850" i="1"/>
  <c r="U3872" i="1"/>
  <c r="U3860" i="1"/>
  <c r="U3868" i="1"/>
  <c r="U2113" i="1"/>
  <c r="U3628" i="1"/>
  <c r="U1572" i="1"/>
  <c r="U3505" i="1"/>
  <c r="U1829" i="1"/>
  <c r="U2002" i="1"/>
  <c r="U2003" i="1"/>
  <c r="U232" i="1"/>
  <c r="U4809" i="1"/>
  <c r="U3132" i="1"/>
  <c r="U349" i="1"/>
  <c r="U1888" i="1"/>
  <c r="U1827" i="1"/>
  <c r="U3401" i="1"/>
  <c r="U2976" i="1"/>
  <c r="U4571" i="1"/>
  <c r="U4807" i="1"/>
  <c r="U317" i="1"/>
  <c r="U2312" i="1"/>
  <c r="U3147" i="1"/>
  <c r="U2045" i="1"/>
  <c r="U1711" i="1"/>
  <c r="U1733" i="1"/>
  <c r="U856" i="1"/>
  <c r="U1776" i="1"/>
  <c r="U4613" i="1"/>
  <c r="U4602" i="1"/>
  <c r="U2253" i="1"/>
  <c r="U2660" i="1"/>
  <c r="U2893" i="1"/>
  <c r="U2886" i="1"/>
  <c r="U2877" i="1"/>
  <c r="U2888" i="1"/>
  <c r="U2887" i="1"/>
  <c r="U2891" i="1"/>
  <c r="U2880" i="1"/>
  <c r="U2894" i="1"/>
  <c r="U42" i="1"/>
  <c r="U2397" i="1"/>
  <c r="U793" i="1"/>
  <c r="U959" i="1"/>
  <c r="U3137" i="1"/>
  <c r="U2043" i="1"/>
  <c r="U325" i="1"/>
  <c r="U1133" i="1"/>
  <c r="U2464" i="1"/>
  <c r="U4207" i="1"/>
  <c r="U678" i="1"/>
  <c r="U921" i="1"/>
  <c r="U4354" i="1"/>
  <c r="U4359" i="1"/>
  <c r="U4329" i="1"/>
  <c r="U4355" i="1"/>
  <c r="U4350" i="1"/>
  <c r="U1574" i="1"/>
  <c r="U884" i="1"/>
  <c r="U2036" i="1"/>
  <c r="U2054" i="1"/>
  <c r="U3724" i="1"/>
  <c r="U945" i="1"/>
  <c r="U1962" i="1"/>
  <c r="U2170" i="1"/>
  <c r="U2445" i="1"/>
  <c r="U1851" i="1"/>
  <c r="U1831" i="1"/>
  <c r="U4552" i="1"/>
  <c r="U3548" i="1"/>
  <c r="U1990" i="1"/>
  <c r="U829" i="1"/>
  <c r="U3857" i="1"/>
  <c r="U3864" i="1"/>
  <c r="U3847" i="1"/>
  <c r="U3858" i="1"/>
  <c r="U2309" i="1"/>
  <c r="U3851" i="1"/>
  <c r="U4180" i="1"/>
  <c r="U4156" i="1"/>
  <c r="U4081" i="1"/>
  <c r="U830" i="1"/>
  <c r="U707" i="1"/>
  <c r="U4336" i="1"/>
  <c r="U1241" i="1"/>
  <c r="U4250" i="1"/>
  <c r="U2267" i="1"/>
  <c r="U1369" i="1"/>
  <c r="U2001" i="1"/>
  <c r="U1821" i="1"/>
  <c r="U1813" i="1"/>
  <c r="U1814" i="1"/>
  <c r="U1977" i="1"/>
  <c r="U1978" i="1"/>
  <c r="U2242" i="1"/>
  <c r="U3389" i="1"/>
  <c r="U1512" i="1"/>
  <c r="U1964" i="1"/>
  <c r="U1965" i="1"/>
  <c r="U3471" i="1"/>
  <c r="U3933" i="1"/>
  <c r="U4453" i="1"/>
  <c r="U1147" i="1"/>
  <c r="U1949" i="1"/>
  <c r="U4325" i="1"/>
  <c r="U1931" i="1"/>
  <c r="U3554" i="1"/>
  <c r="U1389" i="1"/>
  <c r="U2251" i="1"/>
  <c r="U3865" i="1"/>
  <c r="U3852" i="1"/>
  <c r="U3871" i="1"/>
  <c r="U3853" i="1"/>
  <c r="U3861" i="1"/>
  <c r="U3866" i="1"/>
  <c r="U1919" i="1"/>
  <c r="U3848" i="1"/>
  <c r="U3845" i="1"/>
  <c r="U3843" i="1"/>
  <c r="U3844" i="1"/>
  <c r="U3870" i="1"/>
  <c r="U3077" i="1"/>
  <c r="U389" i="1"/>
  <c r="U1361" i="1"/>
  <c r="U3702" i="1"/>
  <c r="U4075" i="1"/>
  <c r="U2162" i="1"/>
  <c r="U2681" i="1"/>
  <c r="U3590" i="1"/>
  <c r="U536" i="1"/>
  <c r="U3356" i="1"/>
  <c r="U3738" i="1"/>
  <c r="U1740" i="1"/>
  <c r="U1208" i="1"/>
  <c r="U3862" i="1"/>
  <c r="U1737" i="1"/>
  <c r="U2005" i="1"/>
  <c r="U2760" i="1"/>
  <c r="U343" i="1"/>
  <c r="U3695" i="1"/>
  <c r="U957" i="1"/>
  <c r="U2182" i="1"/>
  <c r="U1247" i="1"/>
  <c r="U1248" i="1"/>
  <c r="U2869" i="1"/>
  <c r="U4743" i="1"/>
  <c r="U1950" i="1"/>
  <c r="U2066" i="1"/>
  <c r="U4777" i="1"/>
  <c r="U520" i="1"/>
  <c r="U1591" i="1"/>
  <c r="U2012" i="1"/>
  <c r="U3036" i="1"/>
  <c r="U3203" i="1"/>
  <c r="U1425" i="1"/>
  <c r="U2501" i="1"/>
  <c r="U814" i="1"/>
  <c r="U2370" i="1"/>
  <c r="U608" i="1"/>
  <c r="U4324" i="1"/>
  <c r="U1003" i="1"/>
  <c r="U4475" i="1"/>
  <c r="U1450" i="1"/>
  <c r="U4085" i="1"/>
  <c r="U2720" i="1"/>
  <c r="U263" i="1"/>
  <c r="U1334" i="1"/>
  <c r="U1799" i="1"/>
  <c r="U1044" i="1"/>
  <c r="U266" i="1"/>
  <c r="U2243" i="1"/>
  <c r="U1328" i="1"/>
  <c r="U4052" i="1"/>
  <c r="U52" i="1"/>
  <c r="U2742" i="1"/>
  <c r="U2157" i="1"/>
  <c r="U3556" i="1"/>
  <c r="U920" i="1"/>
  <c r="U1039" i="1"/>
  <c r="U2805" i="1"/>
  <c r="U4799" i="1"/>
  <c r="U4050" i="1"/>
  <c r="U3120" i="1"/>
  <c r="U2914" i="1"/>
  <c r="U1867" i="1"/>
  <c r="U1125" i="1"/>
  <c r="U2173" i="1"/>
  <c r="U1498" i="1"/>
  <c r="U1762" i="1"/>
  <c r="U715" i="1"/>
  <c r="U3234" i="1"/>
  <c r="U1485" i="1"/>
  <c r="U1139" i="1"/>
  <c r="U4803" i="1"/>
  <c r="U4808" i="1"/>
  <c r="U4277" i="1"/>
  <c r="U4428" i="1"/>
  <c r="U2315" i="1"/>
  <c r="U3090" i="1"/>
  <c r="U3616" i="1"/>
  <c r="U2177" i="1"/>
  <c r="U1381" i="1"/>
  <c r="U2439" i="1"/>
  <c r="U4419" i="1"/>
  <c r="U2437" i="1"/>
  <c r="U805" i="1"/>
  <c r="U2080" i="1"/>
  <c r="U1907" i="1"/>
  <c r="U1904" i="1"/>
  <c r="U1124" i="1"/>
  <c r="U230" i="1"/>
  <c r="U823" i="1"/>
  <c r="U2527" i="1"/>
  <c r="U1372" i="1"/>
  <c r="U1373" i="1"/>
  <c r="U1341" i="1"/>
  <c r="U1163" i="1"/>
  <c r="U1164" i="1"/>
  <c r="U1307" i="1"/>
  <c r="U4790" i="1"/>
  <c r="U1525" i="1"/>
  <c r="U385" i="1"/>
  <c r="U3079" i="1"/>
  <c r="U1032" i="1"/>
  <c r="U1061" i="1"/>
  <c r="U1529" i="1"/>
  <c r="U320" i="1"/>
  <c r="U4297" i="1"/>
  <c r="U1528" i="1"/>
  <c r="U1510" i="1"/>
  <c r="U3082" i="1"/>
  <c r="U1129" i="1"/>
  <c r="U4237" i="1"/>
  <c r="U4088" i="1"/>
  <c r="U1308" i="1"/>
  <c r="U8" i="1"/>
  <c r="U1467" i="1"/>
  <c r="U4398" i="1"/>
  <c r="U4418" i="1"/>
  <c r="U4381" i="1"/>
  <c r="U2240" i="1"/>
  <c r="U4793" i="1"/>
  <c r="U4797" i="1"/>
  <c r="U358" i="1"/>
  <c r="U3610" i="1"/>
  <c r="U2668" i="1"/>
  <c r="U4293" i="1"/>
  <c r="U1841" i="1"/>
  <c r="U2905" i="1"/>
  <c r="U2906" i="1"/>
  <c r="U2972" i="1"/>
  <c r="U2087" i="1"/>
  <c r="U1491" i="1"/>
  <c r="U3023" i="1"/>
  <c r="U712" i="1"/>
  <c r="U2444" i="1"/>
  <c r="U3041" i="1"/>
  <c r="U2331" i="1"/>
  <c r="U3679" i="1"/>
  <c r="U2180" i="1"/>
  <c r="U4432" i="1"/>
  <c r="U2163" i="1"/>
  <c r="U4541" i="1"/>
  <c r="U1729" i="1"/>
  <c r="U1059" i="1"/>
  <c r="U3310" i="1"/>
  <c r="U1471" i="1"/>
  <c r="U658" i="1"/>
  <c r="U1653" i="1"/>
  <c r="U4796" i="1"/>
  <c r="U2212" i="1"/>
  <c r="U3042" i="1"/>
  <c r="U3029" i="1"/>
  <c r="U1678" i="1"/>
  <c r="U2096" i="1"/>
  <c r="U505" i="1"/>
  <c r="U4389" i="1"/>
  <c r="U1132" i="1"/>
  <c r="U2302" i="1"/>
  <c r="U250" i="1"/>
  <c r="U2706" i="1"/>
  <c r="U3198" i="1"/>
  <c r="U4627" i="1"/>
  <c r="U1606" i="1"/>
  <c r="U1495" i="1"/>
  <c r="U1607" i="1"/>
  <c r="U2733" i="1"/>
  <c r="U2563" i="1"/>
  <c r="U3916" i="1"/>
  <c r="U545" i="1"/>
  <c r="U4306" i="1"/>
  <c r="U4544" i="1"/>
  <c r="U4263" i="1"/>
  <c r="U4378" i="1"/>
  <c r="U2167" i="1"/>
  <c r="U781" i="1"/>
  <c r="U2367" i="1"/>
  <c r="U243" i="1"/>
  <c r="U1985" i="1"/>
  <c r="U2686" i="1"/>
  <c r="U1506" i="1"/>
  <c r="U4046" i="1"/>
  <c r="U3689" i="1"/>
  <c r="U730" i="1"/>
  <c r="U4791" i="1"/>
  <c r="U596" i="1"/>
  <c r="U4730" i="1"/>
  <c r="U961" i="1"/>
  <c r="U963" i="1"/>
  <c r="U495" i="1"/>
  <c r="U1362" i="1"/>
  <c r="U3963" i="1"/>
  <c r="U1363" i="1"/>
  <c r="U988" i="1"/>
  <c r="U4113" i="1"/>
  <c r="U2303" i="1"/>
  <c r="U2381" i="1"/>
  <c r="U1130" i="1"/>
  <c r="U3057" i="1"/>
  <c r="U2653" i="1"/>
  <c r="U3167" i="1"/>
  <c r="U1570" i="1"/>
  <c r="U2345" i="1"/>
  <c r="U764" i="1"/>
  <c r="U413" i="1"/>
  <c r="U3060" i="1"/>
  <c r="U1316" i="1"/>
  <c r="U1317" i="1"/>
  <c r="U3371" i="1"/>
  <c r="U4558" i="1"/>
  <c r="U514" i="1"/>
  <c r="U4406" i="1"/>
  <c r="U2806" i="1"/>
  <c r="U3939" i="1"/>
  <c r="U4299" i="1"/>
  <c r="U2018" i="1"/>
  <c r="U3394" i="1"/>
  <c r="U3711" i="1"/>
  <c r="U1576" i="1"/>
  <c r="U2940" i="1"/>
  <c r="U2361" i="1"/>
  <c r="U2399" i="1"/>
  <c r="U3241" i="1"/>
  <c r="U3242" i="1"/>
  <c r="U2114" i="1"/>
  <c r="U352" i="1"/>
  <c r="U1901" i="1"/>
  <c r="U2915" i="1"/>
  <c r="U1236" i="1"/>
  <c r="U1835" i="1"/>
  <c r="U1836" i="1"/>
  <c r="U1214" i="1"/>
  <c r="U2507" i="1"/>
  <c r="U4409" i="1"/>
  <c r="U4423" i="1"/>
  <c r="U1527" i="1"/>
  <c r="U1552" i="1"/>
  <c r="U1270" i="1"/>
  <c r="U3698" i="1"/>
  <c r="U4560" i="1"/>
  <c r="U282" i="1"/>
  <c r="U600" i="1"/>
  <c r="U1224" i="1"/>
  <c r="U2422" i="1"/>
  <c r="U3595" i="1"/>
  <c r="U2387" i="1"/>
  <c r="U1414" i="1"/>
  <c r="U2695" i="1"/>
  <c r="U2104" i="1"/>
  <c r="U1230" i="1"/>
  <c r="U4118" i="1"/>
  <c r="U1666" i="1"/>
  <c r="U970" i="1"/>
  <c r="U1777" i="1"/>
  <c r="U2974" i="1"/>
  <c r="U883" i="1"/>
  <c r="U3773" i="1"/>
  <c r="U756" i="1"/>
  <c r="U4813" i="1"/>
  <c r="U51" i="1"/>
  <c r="U1670" i="1"/>
  <c r="U1643" i="1"/>
  <c r="U971" i="1"/>
  <c r="U1233" i="1"/>
  <c r="U340" i="1"/>
  <c r="U4126" i="1"/>
  <c r="U3469" i="1"/>
  <c r="U1411" i="1"/>
  <c r="U1672" i="1"/>
  <c r="U4460" i="1"/>
  <c r="U1847" i="1"/>
  <c r="U817" i="1"/>
  <c r="U1690" i="1"/>
  <c r="U901" i="1"/>
  <c r="U4408" i="1"/>
  <c r="U906" i="1"/>
  <c r="U2222" i="1"/>
  <c r="U2223" i="1"/>
  <c r="U3926" i="1"/>
  <c r="U1826" i="1"/>
  <c r="U1632" i="1"/>
  <c r="U3061" i="1"/>
  <c r="U1303" i="1"/>
  <c r="U3697" i="1"/>
  <c r="U860" i="1"/>
  <c r="U4373" i="1"/>
  <c r="U4275" i="1"/>
  <c r="U2353" i="1"/>
  <c r="U2263" i="1"/>
  <c r="U862" i="1"/>
  <c r="U2029" i="1"/>
  <c r="U3619" i="1"/>
  <c r="U1912" i="1"/>
  <c r="U1913" i="1"/>
  <c r="U853" i="1"/>
  <c r="U1924" i="1"/>
  <c r="U1387" i="1"/>
  <c r="U1399" i="1"/>
  <c r="U4106" i="1"/>
  <c r="U1318" i="1"/>
  <c r="U1319" i="1"/>
  <c r="U557" i="1"/>
  <c r="U4254" i="1"/>
  <c r="U2195" i="1"/>
  <c r="U3416" i="1"/>
  <c r="U3406" i="1"/>
  <c r="U3426" i="1"/>
  <c r="U3411" i="1"/>
  <c r="U3423" i="1"/>
  <c r="U4198" i="1"/>
  <c r="U4462" i="1"/>
  <c r="U4511" i="1"/>
  <c r="U2203" i="1"/>
  <c r="U2204" i="1"/>
  <c r="U3130" i="1"/>
  <c r="U3663" i="1"/>
  <c r="U4346" i="1"/>
  <c r="U1029" i="1"/>
  <c r="U2683" i="1"/>
  <c r="U818" i="1"/>
  <c r="U272" i="1"/>
  <c r="U1526" i="1"/>
  <c r="U3393" i="1"/>
  <c r="U3646" i="1"/>
  <c r="U1608" i="1"/>
  <c r="U1447" i="1"/>
  <c r="U2969" i="1"/>
  <c r="U4632" i="1"/>
  <c r="U4510" i="1"/>
  <c r="U3784" i="1"/>
  <c r="U3762" i="1"/>
  <c r="U1437" i="1"/>
  <c r="U4286" i="1"/>
  <c r="U655" i="1"/>
  <c r="U4360" i="1"/>
  <c r="U726" i="1"/>
  <c r="U3995" i="1"/>
  <c r="U3415" i="1"/>
  <c r="U820" i="1"/>
  <c r="U804" i="1"/>
  <c r="U695" i="1"/>
  <c r="U3544" i="1"/>
  <c r="U391" i="1"/>
  <c r="U2808" i="1"/>
  <c r="U429" i="1"/>
  <c r="U1579" i="1"/>
  <c r="U3976" i="1"/>
  <c r="U3605" i="1"/>
  <c r="U4007" i="1"/>
  <c r="U918" i="1"/>
  <c r="U53" i="1"/>
  <c r="U3593" i="1"/>
  <c r="U2962" i="1"/>
  <c r="U2472" i="1"/>
  <c r="U3072" i="1"/>
  <c r="U4451" i="1"/>
  <c r="U3475" i="1"/>
  <c r="U4295" i="1"/>
  <c r="U4390" i="1"/>
  <c r="U4581" i="1"/>
  <c r="U4064" i="1"/>
  <c r="U2625" i="1"/>
  <c r="U4351" i="1"/>
  <c r="U4582" i="1"/>
  <c r="U3403" i="1"/>
  <c r="U3404" i="1"/>
  <c r="U3425" i="1"/>
  <c r="U3429" i="1"/>
  <c r="U3420" i="1"/>
  <c r="U2943" i="1"/>
  <c r="U956" i="1"/>
  <c r="U2895" i="1"/>
  <c r="U3383" i="1"/>
  <c r="U3205" i="1"/>
  <c r="U3968" i="1"/>
  <c r="U3323" i="1"/>
  <c r="U467" i="1"/>
  <c r="U1588" i="1"/>
  <c r="U2239" i="1"/>
  <c r="U1779" i="1"/>
  <c r="U1617" i="1"/>
  <c r="U2809" i="1"/>
  <c r="U2978" i="1"/>
  <c r="U470" i="1"/>
  <c r="U4814" i="1"/>
  <c r="U1667" i="1"/>
  <c r="U614" i="1"/>
  <c r="U3379" i="1"/>
  <c r="U3493" i="1"/>
  <c r="U4288" i="1"/>
  <c r="U512" i="1"/>
  <c r="U3629" i="1"/>
  <c r="U404" i="1"/>
  <c r="U4456" i="1"/>
  <c r="U1589" i="1"/>
  <c r="U3177" i="1"/>
  <c r="U620" i="1"/>
  <c r="U4132" i="1"/>
  <c r="U4527" i="1"/>
  <c r="U4538" i="1"/>
  <c r="U913" i="1"/>
  <c r="U4535" i="1"/>
  <c r="U833" i="1"/>
  <c r="U3529" i="1"/>
  <c r="U1190" i="1"/>
  <c r="U2378" i="1"/>
  <c r="U1154" i="1"/>
  <c r="U1455" i="1"/>
  <c r="U3541" i="1"/>
  <c r="U621" i="1"/>
  <c r="U4268" i="1"/>
  <c r="U3737" i="1"/>
  <c r="U2524" i="1"/>
  <c r="U4466" i="1"/>
  <c r="U4361" i="1"/>
  <c r="U4347" i="1"/>
  <c r="U1780" i="1"/>
  <c r="U1636" i="1"/>
  <c r="U1781" i="1"/>
  <c r="U1612" i="1"/>
  <c r="U1555" i="1"/>
  <c r="U268" i="1"/>
  <c r="U619" i="1"/>
  <c r="U3712" i="1"/>
  <c r="U2284" i="1"/>
  <c r="U3600" i="1"/>
  <c r="U685" i="1"/>
  <c r="U3360" i="1"/>
  <c r="U2070" i="1"/>
  <c r="U3815" i="1"/>
  <c r="U3108" i="1"/>
  <c r="U3414" i="1"/>
  <c r="U3613" i="1"/>
  <c r="U2067" i="1"/>
  <c r="U3053" i="1"/>
  <c r="U4138" i="1"/>
  <c r="U4160" i="1"/>
  <c r="U4795" i="1"/>
  <c r="U1558" i="1"/>
  <c r="U1782" i="1"/>
  <c r="U4342" i="1"/>
  <c r="U1126" i="1"/>
  <c r="U3226" i="1"/>
  <c r="U3952" i="1"/>
  <c r="U3764" i="1"/>
  <c r="U1476" i="1"/>
  <c r="U569" i="1"/>
  <c r="U4273" i="1"/>
  <c r="U1115" i="1"/>
  <c r="U3039" i="1"/>
  <c r="U1618" i="1"/>
  <c r="U4435" i="1"/>
  <c r="U1680" i="1"/>
  <c r="U168" i="1"/>
  <c r="U2187" i="1"/>
  <c r="U2858" i="1"/>
  <c r="U3068" i="1"/>
  <c r="U2269" i="1"/>
  <c r="U3588" i="1"/>
  <c r="U34" i="1"/>
  <c r="U277" i="1"/>
  <c r="U4674" i="1"/>
  <c r="U2135" i="1"/>
  <c r="U127" i="1"/>
  <c r="U3490" i="1"/>
  <c r="U3536" i="1"/>
  <c r="U3716" i="1"/>
  <c r="U503" i="1"/>
  <c r="U3608" i="1"/>
  <c r="U2176" i="1"/>
  <c r="U4490" i="1"/>
  <c r="U2767" i="1"/>
  <c r="U2305" i="1"/>
  <c r="U3056" i="1"/>
  <c r="U3494" i="1"/>
  <c r="U991" i="1"/>
  <c r="U437" i="1"/>
  <c r="U2082" i="1"/>
  <c r="U4269" i="1"/>
  <c r="U4593" i="1"/>
  <c r="U998" i="1"/>
  <c r="U982" i="1"/>
  <c r="U4251" i="1"/>
  <c r="U682" i="1"/>
  <c r="U4455" i="1"/>
  <c r="U4425" i="1"/>
  <c r="U4442" i="1"/>
  <c r="U4266" i="1"/>
  <c r="U3730" i="1"/>
  <c r="U616" i="1"/>
  <c r="U3676" i="1"/>
  <c r="U4024" i="1"/>
  <c r="U2933" i="1"/>
  <c r="U2290" i="1"/>
  <c r="U351" i="1"/>
  <c r="U54" i="1"/>
  <c r="U3911" i="1"/>
  <c r="U3219" i="1"/>
  <c r="U323" i="1"/>
  <c r="U3220" i="1"/>
  <c r="U2468" i="1"/>
  <c r="U3785" i="1"/>
  <c r="U3859" i="1"/>
  <c r="U4290" i="1"/>
  <c r="U4441" i="1"/>
  <c r="U3626" i="1"/>
  <c r="U2455" i="1"/>
  <c r="U2931" i="1"/>
  <c r="U4194" i="1"/>
  <c r="U406" i="1"/>
  <c r="U2482" i="1"/>
  <c r="U522" i="1"/>
  <c r="U2136" i="1"/>
  <c r="U359" i="1"/>
  <c r="U4258" i="1"/>
  <c r="U3492" i="1"/>
  <c r="U2123" i="1"/>
  <c r="U275" i="1"/>
  <c r="U4431" i="1"/>
  <c r="U3386" i="1"/>
  <c r="U1021" i="1"/>
  <c r="U1532" i="1"/>
  <c r="U3390" i="1"/>
  <c r="U992" i="1"/>
  <c r="U531" i="1"/>
  <c r="U580" i="1"/>
  <c r="U3769" i="1"/>
  <c r="U472" i="1"/>
  <c r="U4427" i="1"/>
  <c r="U1521" i="1"/>
  <c r="U4794" i="1"/>
  <c r="U3217" i="1"/>
  <c r="U3949" i="1"/>
  <c r="U2356" i="1"/>
  <c r="U3721" i="1"/>
  <c r="U4440" i="1"/>
  <c r="U4141" i="1"/>
  <c r="U1173" i="1"/>
  <c r="U984" i="1"/>
  <c r="U2342" i="1"/>
  <c r="U3173" i="1"/>
  <c r="U1998" i="1"/>
  <c r="U3174" i="1"/>
  <c r="U3667" i="1"/>
  <c r="U810" i="1"/>
  <c r="U3943" i="1"/>
  <c r="U4008" i="1"/>
  <c r="U3934" i="1"/>
  <c r="U2772" i="1"/>
  <c r="U3413" i="1"/>
  <c r="U4792" i="1"/>
  <c r="U4291" i="1"/>
  <c r="U3747" i="1"/>
  <c r="U799" i="1"/>
  <c r="U3052" i="1"/>
  <c r="U1783" i="1"/>
  <c r="U1395" i="1"/>
  <c r="U3062" i="1"/>
  <c r="U2691" i="1"/>
  <c r="U4801" i="1"/>
  <c r="U1037" i="1"/>
  <c r="U2172" i="1"/>
  <c r="U929" i="1"/>
  <c r="U4044" i="1"/>
  <c r="U4465" i="1"/>
  <c r="U4337" i="1"/>
  <c r="U4010" i="1"/>
  <c r="U910" i="1"/>
  <c r="U4333" i="1"/>
  <c r="U4353" i="1"/>
  <c r="U4338" i="1"/>
  <c r="U4512" i="1"/>
  <c r="U4481" i="1"/>
  <c r="U4417" i="1"/>
  <c r="U3718" i="1"/>
  <c r="U1466" i="1"/>
  <c r="U3603" i="1"/>
  <c r="U356" i="1"/>
  <c r="U4087" i="1"/>
  <c r="U3910" i="1"/>
  <c r="U3647" i="1"/>
  <c r="U1575" i="1"/>
  <c r="U611" i="1"/>
  <c r="U3015" i="1"/>
  <c r="U4395" i="1"/>
  <c r="U3909" i="1"/>
  <c r="U1564" i="1"/>
  <c r="U3927" i="1"/>
  <c r="U4282" i="1"/>
  <c r="U4654" i="1"/>
  <c r="U4265" i="1"/>
  <c r="U372" i="1"/>
  <c r="U3564" i="1"/>
  <c r="U3908" i="1"/>
  <c r="U3252" i="1"/>
  <c r="U1405" i="1"/>
  <c r="U4271" i="1"/>
  <c r="U2791" i="1"/>
  <c r="U692" i="1"/>
  <c r="U3197" i="1"/>
  <c r="U1103" i="1"/>
  <c r="U3696" i="1"/>
  <c r="U2722" i="1"/>
  <c r="U4659" i="1"/>
  <c r="U2556" i="1"/>
  <c r="U586" i="1"/>
  <c r="U4789" i="1"/>
  <c r="U380" i="1"/>
  <c r="U2393" i="1"/>
  <c r="U361" i="1"/>
  <c r="U835" i="1"/>
  <c r="U519" i="1"/>
  <c r="U2795" i="1"/>
  <c r="U1702" i="1"/>
  <c r="U1778" i="1"/>
  <c r="U1465" i="1"/>
  <c r="U541" i="1"/>
  <c r="U1193" i="1"/>
  <c r="U1424" i="1"/>
  <c r="U2977" i="1"/>
  <c r="U2340" i="1"/>
  <c r="U2783" i="1"/>
  <c r="U4067" i="1"/>
  <c r="U544" i="1"/>
  <c r="U4061" i="1"/>
  <c r="U2210" i="1"/>
  <c r="U3468" i="1"/>
  <c r="U2872" i="1"/>
  <c r="U1036" i="1"/>
  <c r="U3614" i="1"/>
  <c r="U3074" i="1"/>
  <c r="U3058" i="1"/>
  <c r="U2494" i="1"/>
  <c r="U2205" i="1"/>
  <c r="U350" i="1"/>
  <c r="U2955" i="1"/>
  <c r="U792" i="1"/>
  <c r="U360" i="1"/>
  <c r="U331" i="1"/>
  <c r="U371" i="1"/>
  <c r="U2470" i="1"/>
  <c r="U815" i="1"/>
  <c r="U3750" i="1"/>
  <c r="U4352" i="1"/>
  <c r="U2958" i="1"/>
  <c r="U1076" i="1"/>
  <c r="U334" i="1"/>
  <c r="U3639" i="1"/>
  <c r="U405" i="1"/>
  <c r="U1012" i="1"/>
  <c r="U3380" i="1"/>
  <c r="U4722" i="1"/>
  <c r="U2557" i="1"/>
  <c r="U3344" i="1"/>
  <c r="U4569" i="1"/>
  <c r="U1431" i="1"/>
  <c r="U3921" i="1"/>
  <c r="U3713" i="1"/>
  <c r="U4079" i="1"/>
  <c r="U4670" i="1"/>
  <c r="U3004" i="1"/>
  <c r="U834" i="1"/>
  <c r="U1786" i="1"/>
  <c r="U4559" i="1"/>
  <c r="U3270" i="1"/>
  <c r="U2810" i="1"/>
  <c r="U4116" i="1"/>
  <c r="U4672" i="1"/>
  <c r="U425" i="1"/>
  <c r="U4259" i="1"/>
  <c r="U4117" i="1"/>
  <c r="U3396" i="1"/>
  <c r="U4227" i="1"/>
  <c r="U3027" i="1"/>
  <c r="U1181" i="1"/>
  <c r="U3221" i="1"/>
  <c r="U4073" i="1"/>
  <c r="U3650" i="1"/>
  <c r="U3580" i="1"/>
  <c r="U4131" i="1"/>
  <c r="U463" i="1"/>
  <c r="U720" i="1"/>
  <c r="U3591" i="1"/>
  <c r="U2684" i="1"/>
  <c r="U4556" i="1"/>
  <c r="U3917" i="1"/>
  <c r="U3918" i="1"/>
  <c r="U1771" i="1"/>
  <c r="U964" i="1"/>
  <c r="U1501" i="1"/>
  <c r="U3688" i="1"/>
  <c r="U3615" i="1"/>
  <c r="U1784" i="1"/>
  <c r="U433" i="1"/>
  <c r="U966" i="1"/>
  <c r="U3682" i="1"/>
  <c r="U840" i="1"/>
  <c r="U2811" i="1"/>
  <c r="U4239" i="1"/>
  <c r="U3658" i="1"/>
  <c r="U2682" i="1"/>
  <c r="U4570" i="1"/>
  <c r="U4723" i="1"/>
  <c r="U4452" i="1"/>
  <c r="U4467" i="1"/>
  <c r="U23" i="1"/>
  <c r="U3798" i="1"/>
  <c r="U2479" i="1"/>
  <c r="U2410" i="1"/>
  <c r="U4601" i="1"/>
  <c r="U1790" i="1"/>
  <c r="U1002" i="1"/>
  <c r="U2332" i="1"/>
  <c r="U4296" i="1"/>
  <c r="U4651" i="1"/>
  <c r="U649" i="1"/>
  <c r="U1785" i="1"/>
  <c r="U2249" i="1"/>
  <c r="U4012" i="1"/>
  <c r="U1459" i="1"/>
  <c r="U789" i="1"/>
  <c r="U4724" i="1"/>
  <c r="U4509" i="1"/>
  <c r="U1994" i="1"/>
  <c r="U1551" i="1"/>
  <c r="U3659" i="1"/>
  <c r="U1956" i="1"/>
  <c r="U2" i="1"/>
  <c r="U1435" i="1"/>
  <c r="U4739" i="1"/>
  <c r="U2642" i="1"/>
  <c r="U4283" i="1"/>
  <c r="U1413" i="1"/>
  <c r="U4281" i="1"/>
  <c r="U491" i="1"/>
  <c r="U2957" i="1"/>
  <c r="U3742" i="1"/>
  <c r="U1726" i="1"/>
  <c r="U4788" i="1"/>
  <c r="U3913" i="1"/>
  <c r="U583" i="1"/>
  <c r="U2469" i="1"/>
  <c r="U4461" i="1"/>
  <c r="U2178" i="1"/>
  <c r="U4289" i="1"/>
  <c r="U661" i="1"/>
  <c r="U687" i="1"/>
  <c r="U1992" i="1"/>
  <c r="U3660" i="1"/>
  <c r="U733" i="1"/>
  <c r="U2382" i="1"/>
  <c r="U4458" i="1"/>
  <c r="U375" i="1"/>
  <c r="U3611" i="1"/>
  <c r="U1743" i="1"/>
  <c r="U732" i="1"/>
  <c r="U3722" i="1"/>
  <c r="U3602" i="1"/>
  <c r="U3770" i="1"/>
  <c r="U637" i="1"/>
  <c r="U271" i="1"/>
  <c r="U1428" i="1"/>
  <c r="U1472" i="1"/>
  <c r="U534" i="1"/>
  <c r="U4260" i="1"/>
  <c r="U5" i="1"/>
  <c r="U2295" i="1"/>
  <c r="U813" i="1"/>
  <c r="U4011" i="1"/>
  <c r="U689" i="1"/>
  <c r="U1602" i="1"/>
  <c r="U2771" i="1"/>
  <c r="U3972" i="1"/>
  <c r="U3694" i="1"/>
  <c r="U3483" i="1"/>
  <c r="U653" i="1"/>
  <c r="U3778" i="1"/>
  <c r="U1075" i="1"/>
  <c r="U1004" i="1"/>
  <c r="U579" i="1"/>
  <c r="U4185" i="1"/>
  <c r="U4454" i="1"/>
  <c r="U2876" i="1"/>
  <c r="U3160" i="1"/>
  <c r="U482" i="1"/>
  <c r="U2775" i="1"/>
  <c r="U4154" i="1"/>
  <c r="U4165" i="1"/>
  <c r="U4107" i="1"/>
  <c r="U1689" i="1"/>
  <c r="U4245" i="1"/>
  <c r="U2871" i="1"/>
  <c r="U737" i="1"/>
  <c r="U635" i="1"/>
  <c r="U4459" i="1"/>
  <c r="U373" i="1"/>
  <c r="U1141" i="1"/>
  <c r="U3210" i="1"/>
  <c r="U3213" i="1"/>
  <c r="U3211" i="1"/>
  <c r="U2828" i="1"/>
  <c r="U3668" i="1"/>
  <c r="U598" i="1"/>
  <c r="U650" i="1"/>
  <c r="U669" i="1"/>
  <c r="U4193" i="1"/>
  <c r="U3703" i="1"/>
  <c r="U1624" i="1"/>
  <c r="U3776" i="1"/>
  <c r="U1458" i="1"/>
  <c r="U3538" i="1"/>
  <c r="U4146" i="1"/>
  <c r="U3767" i="1"/>
  <c r="U916" i="1"/>
  <c r="U1969" i="1"/>
  <c r="U2403" i="1"/>
  <c r="U4140" i="1"/>
  <c r="U1679" i="1"/>
  <c r="U636" i="1"/>
  <c r="U2987" i="1"/>
  <c r="U345" i="1"/>
  <c r="U731" i="1"/>
  <c r="U648" i="1"/>
  <c r="U690" i="1"/>
  <c r="U2525" i="1"/>
  <c r="U568" i="1"/>
  <c r="U4139" i="1"/>
  <c r="U4386" i="1"/>
  <c r="U1541" i="1"/>
  <c r="U2026" i="1"/>
  <c r="U4294" i="1"/>
  <c r="U1026" i="1"/>
  <c r="U1006" i="1"/>
  <c r="U1013" i="1"/>
  <c r="U4210" i="1"/>
  <c r="U543" i="1"/>
  <c r="U664" i="1"/>
  <c r="U1720" i="1"/>
  <c r="U647" i="1"/>
  <c r="U2398" i="1"/>
  <c r="U2110" i="1"/>
  <c r="U738" i="1"/>
  <c r="U4136" i="1"/>
  <c r="U4600" i="1"/>
  <c r="U2790" i="1"/>
  <c r="U3357" i="1"/>
  <c r="U193" i="1"/>
  <c r="U1705" i="1"/>
  <c r="U821" i="1"/>
  <c r="U729" i="1"/>
  <c r="U4603" i="1"/>
  <c r="U3073" i="1"/>
  <c r="U3666" i="1"/>
  <c r="U663" i="1"/>
  <c r="U511" i="1"/>
  <c r="U703" i="1"/>
  <c r="U665" i="1"/>
  <c r="U837" i="1"/>
  <c r="U2680" i="1"/>
  <c r="U3447" i="1"/>
  <c r="U3774" i="1"/>
  <c r="U739" i="1"/>
  <c r="U3677" i="1"/>
  <c r="U3183" i="1"/>
  <c r="U3184" i="1"/>
  <c r="U654" i="1"/>
  <c r="U626" i="1"/>
  <c r="U697" i="1"/>
  <c r="U259" i="1"/>
  <c r="U659" i="1"/>
  <c r="U2816" i="1"/>
  <c r="U314" i="1"/>
  <c r="U1534" i="1"/>
  <c r="U4121" i="1"/>
  <c r="U2812" i="1"/>
  <c r="U2400" i="1"/>
  <c r="U4104" i="1"/>
  <c r="U3381" i="1"/>
  <c r="U4640" i="1"/>
  <c r="U1598" i="1"/>
  <c r="U631" i="1"/>
  <c r="U740" i="1"/>
  <c r="U680" i="1"/>
  <c r="U4308" i="1"/>
  <c r="U2150" i="1"/>
  <c r="U2995" i="1"/>
  <c r="U4438" i="1"/>
  <c r="U1001" i="1"/>
  <c r="U1242" i="1"/>
  <c r="U4457" i="1"/>
  <c r="U3745" i="1"/>
  <c r="U2132" i="1"/>
  <c r="U4111" i="1"/>
  <c r="U625" i="1"/>
  <c r="U741" i="1"/>
  <c r="U742" i="1"/>
  <c r="U651" i="1"/>
  <c r="U718" i="1"/>
  <c r="U4134" i="1"/>
  <c r="U4433" i="1"/>
  <c r="U3535" i="1"/>
  <c r="U3066" i="1"/>
  <c r="U195" i="1"/>
  <c r="U4815" i="1"/>
  <c r="U318" i="1"/>
  <c r="U2133" i="1"/>
  <c r="U1708" i="1"/>
  <c r="U4806" i="1"/>
  <c r="U4256" i="1"/>
  <c r="U2425" i="1"/>
  <c r="U2936" i="1"/>
  <c r="U1986" i="1"/>
  <c r="U1355" i="1"/>
  <c r="U4074" i="1"/>
  <c r="U1489" i="1"/>
  <c r="U2306" i="1"/>
  <c r="U203" i="1"/>
  <c r="U1613" i="1"/>
  <c r="U4469" i="1"/>
  <c r="U2860" i="1"/>
  <c r="U4525" i="1"/>
  <c r="U4811" i="1"/>
  <c r="U4513" i="1"/>
  <c r="U4380" i="1"/>
  <c r="U4062" i="1"/>
  <c r="U4112" i="1"/>
  <c r="U3791" i="1"/>
  <c r="U4089" i="1"/>
  <c r="U1788" i="1"/>
  <c r="U4230" i="1"/>
  <c r="U4209" i="1"/>
  <c r="U2705" i="1"/>
  <c r="U4184" i="1"/>
  <c r="U4399" i="1"/>
  <c r="U4385" i="1"/>
  <c r="U549" i="1"/>
  <c r="U1674" i="1"/>
  <c r="U1463" i="1"/>
  <c r="U2541" i="1"/>
  <c r="U836" i="1"/>
  <c r="U4222" i="1"/>
  <c r="U4780" i="1"/>
  <c r="U4539" i="1"/>
  <c r="U3218" i="1"/>
  <c r="U2189" i="1"/>
  <c r="U4130" i="1"/>
  <c r="U1789" i="1"/>
  <c r="U2928" i="1"/>
  <c r="U221" i="1"/>
  <c r="U2152" i="1"/>
  <c r="U2117" i="1"/>
  <c r="U2024" i="1"/>
  <c r="U2201" i="1"/>
  <c r="U4013" i="1"/>
  <c r="U2035" i="1"/>
  <c r="U3480" i="1"/>
  <c r="U3465" i="1"/>
  <c r="U3436" i="1"/>
  <c r="U3491" i="1"/>
  <c r="U1436" i="1"/>
  <c r="U4025" i="1"/>
  <c r="U4515" i="1"/>
  <c r="U4516" i="1"/>
  <c r="U4082" i="1"/>
  <c r="U3760" i="1"/>
  <c r="U4482" i="1"/>
  <c r="U3961" i="1"/>
  <c r="U1416" i="1"/>
  <c r="U944" i="1"/>
  <c r="U4542" i="1"/>
  <c r="U4375" i="1"/>
  <c r="U4472" i="1"/>
  <c r="U454" i="1"/>
  <c r="U3789" i="1"/>
  <c r="U3719" i="1"/>
  <c r="U2233" i="1"/>
  <c r="U159" i="1"/>
  <c r="U4356" i="1"/>
  <c r="U1685" i="1"/>
  <c r="U1891" i="1"/>
  <c r="U1663" i="1"/>
  <c r="U3076" i="1"/>
  <c r="U1542" i="1"/>
  <c r="U1533" i="1"/>
  <c r="U469" i="1"/>
  <c r="U3779" i="1"/>
  <c r="U3734" i="1"/>
  <c r="U3753" i="1"/>
  <c r="U3739" i="1"/>
  <c r="U326" i="1"/>
  <c r="U4066" i="1"/>
  <c r="U1540" i="1"/>
  <c r="U824" i="1"/>
  <c r="U4076" i="1"/>
  <c r="U4077" i="1"/>
  <c r="U2426" i="1"/>
  <c r="U4485" i="1"/>
  <c r="U4660" i="1"/>
  <c r="U538" i="1"/>
  <c r="U2219" i="1"/>
  <c r="U256" i="1"/>
  <c r="U1151" i="1"/>
  <c r="U493" i="1"/>
  <c r="U3763" i="1"/>
  <c r="U488" i="1"/>
  <c r="U1457" i="1"/>
  <c r="U1683" i="1"/>
  <c r="U847" i="1"/>
  <c r="U4463" i="1"/>
  <c r="U4072" i="1"/>
  <c r="U2138" i="1"/>
  <c r="U1211" i="1"/>
  <c r="U4487" i="1"/>
  <c r="U666" i="1"/>
  <c r="U950" i="1"/>
  <c r="U694" i="1"/>
  <c r="U4804" i="1"/>
  <c r="U4599" i="1"/>
  <c r="U3974" i="1"/>
  <c r="U3975" i="1"/>
  <c r="U4017" i="1"/>
  <c r="U3799" i="1"/>
  <c r="U4407" i="1"/>
  <c r="U2965" i="1"/>
  <c r="U4348" i="1"/>
  <c r="U1315" i="1"/>
  <c r="U3957" i="1"/>
  <c r="U1697" i="1"/>
  <c r="U4343" i="1"/>
  <c r="U1747" i="1"/>
  <c r="U3816" i="1"/>
  <c r="U1427" i="1"/>
  <c r="U3206" i="1"/>
  <c r="U2154" i="1"/>
  <c r="U3717" i="1"/>
  <c r="U1768" i="1"/>
  <c r="U4450" i="1"/>
  <c r="U4142" i="1"/>
  <c r="U4800" i="1"/>
  <c r="U2181" i="1"/>
  <c r="U3674" i="1"/>
  <c r="U4628" i="1"/>
  <c r="U3037" i="1"/>
  <c r="U1787" i="1"/>
  <c r="U4148" i="1"/>
  <c r="U676" i="1"/>
  <c r="U344" i="1"/>
  <c r="U312" i="1"/>
  <c r="U546" i="1"/>
  <c r="U1750" i="1"/>
  <c r="U4102" i="1"/>
  <c r="U1746" i="1"/>
  <c r="U4103" i="1"/>
  <c r="U3644" i="1"/>
  <c r="U260" i="1"/>
  <c r="U432" i="1"/>
  <c r="U683" i="1"/>
  <c r="U1911" i="1"/>
  <c r="U1474" i="1"/>
  <c r="U4805" i="1"/>
  <c r="U1350" i="1"/>
  <c r="U4093" i="1"/>
  <c r="U1497" i="1"/>
  <c r="U2059" i="1"/>
  <c r="U2346" i="1"/>
  <c r="U200" i="1"/>
  <c r="U4262" i="1"/>
  <c r="U399" i="1"/>
  <c r="U3382" i="1"/>
  <c r="U4195" i="1"/>
  <c r="U2074" i="1"/>
  <c r="U415" i="1"/>
  <c r="U3786" i="1"/>
  <c r="U4285" i="1"/>
  <c r="U2298" i="1"/>
  <c r="U3919" i="1"/>
  <c r="U3143" i="1"/>
  <c r="U4479" i="1"/>
  <c r="U4301" i="1"/>
  <c r="U3144" i="1"/>
  <c r="U2952" i="1"/>
  <c r="U515" i="1"/>
  <c r="U4018" i="1"/>
  <c r="U1074" i="1"/>
  <c r="U316" i="1"/>
  <c r="U383" i="1"/>
  <c r="U3207" i="1"/>
  <c r="U2288" i="1"/>
  <c r="U2296" i="1"/>
  <c r="U1379" i="1"/>
  <c r="U3681" i="1"/>
  <c r="U2414" i="1"/>
  <c r="U2954" i="1"/>
  <c r="U121" i="1"/>
  <c r="U1577" i="1"/>
  <c r="U628" i="1"/>
  <c r="U1583" i="1"/>
  <c r="U2143" i="1"/>
  <c r="U416" i="1"/>
  <c r="U4240" i="1"/>
  <c r="U4300" i="1"/>
  <c r="U4491" i="1"/>
  <c r="U3690" i="1"/>
  <c r="U2231" i="1"/>
  <c r="U2982" i="1"/>
  <c r="U3035" i="1"/>
  <c r="U4302" i="1"/>
  <c r="U533" i="1"/>
  <c r="U4468" i="1"/>
  <c r="U2904" i="1"/>
  <c r="U2262" i="1"/>
  <c r="U3761" i="1"/>
  <c r="U4505" i="1"/>
  <c r="U1556" i="1"/>
  <c r="U831" i="1"/>
  <c r="U459" i="1"/>
  <c r="U3208" i="1"/>
  <c r="U4298" i="1"/>
  <c r="U4092" i="1"/>
  <c r="U237" i="1"/>
  <c r="U2313" i="1"/>
  <c r="U2417" i="1"/>
  <c r="U3024" i="1"/>
  <c r="U752" i="1"/>
  <c r="U3326" i="1"/>
  <c r="U1342" i="1"/>
  <c r="U871" i="1"/>
  <c r="U592" i="1"/>
  <c r="U1382" i="1"/>
  <c r="U4304" i="1"/>
  <c r="U3920" i="1"/>
  <c r="U748" i="1"/>
  <c r="U2948" i="1"/>
  <c r="U4090" i="1"/>
  <c r="U1614" i="1"/>
  <c r="U788" i="1"/>
  <c r="U4098" i="1"/>
  <c r="U4249" i="1"/>
  <c r="U3070" i="1"/>
  <c r="U462" i="1"/>
  <c r="U2232" i="1"/>
  <c r="U357" i="1"/>
  <c r="U3736" i="1"/>
  <c r="U4314" i="1"/>
  <c r="U45" i="1"/>
  <c r="U4434" i="1"/>
  <c r="U4437" i="1"/>
  <c r="U342" i="1"/>
  <c r="U2430" i="1"/>
  <c r="U369" i="1"/>
  <c r="U2446" i="1"/>
  <c r="U400" i="1"/>
  <c r="U3388" i="1"/>
  <c r="U1176" i="1"/>
  <c r="U1976" i="1"/>
  <c r="U3533" i="1"/>
  <c r="U990" i="1"/>
  <c r="U398" i="1"/>
  <c r="U1199" i="1"/>
  <c r="U295" i="1"/>
  <c r="U1186" i="1"/>
  <c r="U4492" i="1"/>
  <c r="U743" i="1"/>
  <c r="U233" i="1"/>
  <c r="U2115" i="1"/>
  <c r="U4631" i="1"/>
  <c r="U994" i="1"/>
  <c r="U993" i="1"/>
  <c r="U3725" i="1"/>
  <c r="U288" i="1"/>
  <c r="U3575" i="1"/>
  <c r="U633" i="1"/>
  <c r="U1155" i="1"/>
  <c r="U1432" i="1"/>
  <c r="U1331" i="1"/>
  <c r="U465" i="1"/>
  <c r="U2799" i="1"/>
  <c r="U3749" i="1"/>
</calcChain>
</file>

<file path=xl/sharedStrings.xml><?xml version="1.0" encoding="utf-8"?>
<sst xmlns="http://schemas.openxmlformats.org/spreadsheetml/2006/main" count="5473" uniqueCount="762">
  <si>
    <t>id_Tipo_ruta</t>
  </si>
  <si>
    <t>Id_Ruta</t>
  </si>
  <si>
    <t>PoblacionOrigen</t>
  </si>
  <si>
    <t>PoblacionDestino</t>
  </si>
  <si>
    <t>Latinos</t>
  </si>
  <si>
    <t>Nacionales</t>
  </si>
  <si>
    <t>Exportacion</t>
  </si>
  <si>
    <t>Otros</t>
  </si>
  <si>
    <t>Alterna</t>
  </si>
  <si>
    <t>observaciones</t>
  </si>
  <si>
    <t>fecha_Alta</t>
  </si>
  <si>
    <t>id_destino</t>
  </si>
  <si>
    <t>id_origen</t>
  </si>
  <si>
    <t>Km_reales</t>
  </si>
  <si>
    <t>Km_oficiales</t>
  </si>
  <si>
    <t>Km_de_pago</t>
  </si>
  <si>
    <t>Km_Tabulados</t>
  </si>
  <si>
    <t>Peaje_Dos_Ejes</t>
  </si>
  <si>
    <t>Peaje_Tres_Ejes</t>
  </si>
  <si>
    <t>Cemex</t>
  </si>
  <si>
    <t/>
  </si>
  <si>
    <t>Ruta TUSA</t>
  </si>
  <si>
    <t>Caseta Plaza de Cobro Torreón</t>
  </si>
  <si>
    <t>Ruta creada para Pruebas de Carretera</t>
  </si>
  <si>
    <t>Ruta Altamira</t>
  </si>
  <si>
    <t>Ruta por Monterrey</t>
  </si>
  <si>
    <t>Ruta por Topolobampo (Unicamente bajo autorizacion de Yolanda Pozadas)</t>
  </si>
  <si>
    <t>Ruta por Huichapan</t>
  </si>
  <si>
    <t>RUTA POR JUCHITAN</t>
  </si>
  <si>
    <t>ruta por chichuahua</t>
  </si>
  <si>
    <t>ruta de Mty a Orizaba regreso a Sahagun</t>
  </si>
  <si>
    <t>viaje especial</t>
  </si>
  <si>
    <t>Ruta por Mazatlan</t>
  </si>
  <si>
    <t>RUTA  DE TOPOLOBAMPO A MAZATLAN</t>
  </si>
  <si>
    <t>Ruta por SLP y Cd Valles</t>
  </si>
  <si>
    <t>Ruta por Topolobampo</t>
  </si>
  <si>
    <t>Ruta por Chihuahua</t>
  </si>
  <si>
    <t>Ruta por Chetumal</t>
  </si>
  <si>
    <t>Escobedo-Sahagun-Veracruz</t>
  </si>
  <si>
    <t>ruta realizada para interrumpir un traslado LATINO</t>
  </si>
  <si>
    <t>ruta cemex</t>
  </si>
  <si>
    <t>Ruta de camioneta Gomez-Altamira-Escobedo</t>
  </si>
  <si>
    <t>Por Mazatlan</t>
  </si>
  <si>
    <t>ruta para proseguir traslado</t>
  </si>
  <si>
    <t>RUTA POR ESCRCEGA</t>
  </si>
  <si>
    <t>RUTA POR ESCARCEGA</t>
  </si>
  <si>
    <t>Prueba de carretera Local</t>
  </si>
  <si>
    <t>TURA POR TOPOLOBAMPO</t>
  </si>
  <si>
    <t>Ruta por Monterrey y Matehuala</t>
  </si>
  <si>
    <t>ruta enganchado</t>
  </si>
  <si>
    <t>Ruta embarcanndo en Topolobampo</t>
  </si>
  <si>
    <t>Ruta por Huamantla y Apizaco</t>
  </si>
  <si>
    <t>Ruta por Veracruz</t>
  </si>
  <si>
    <t>RUTA POR TOPOLOBAMPO</t>
  </si>
  <si>
    <t>Ruta por Cd. Sahagún y Escarcega, Campeche.</t>
  </si>
  <si>
    <t>Ruta Toluca-México-Puebla y Escarcega, Campeche.</t>
  </si>
  <si>
    <t>VIA TOPOLOBAMPO</t>
  </si>
  <si>
    <t>Ruta por el Pacifico</t>
  </si>
  <si>
    <t>Ruta por Monterrey y Chetumal</t>
  </si>
  <si>
    <t>Cruce por Topolobampo</t>
  </si>
  <si>
    <t>Ruta por Huamantla</t>
  </si>
  <si>
    <t>Ruta por Mexiquense</t>
  </si>
  <si>
    <t>RUTA POR CHETUMAL, Y LAS CHOAPAS</t>
  </si>
  <si>
    <t>POR TEPOLOBAMPO</t>
  </si>
  <si>
    <t>Rura por Chetumal</t>
  </si>
  <si>
    <t>Ruta Por Monterrey</t>
  </si>
  <si>
    <t>RUTA POR TEPOLOBAMPO</t>
  </si>
  <si>
    <t>Ruta por Arco Norte</t>
  </si>
  <si>
    <t>Ruta pasando a Sahagun</t>
  </si>
  <si>
    <t>cruce mazatlan</t>
  </si>
  <si>
    <t>Ruta pasando por Queretaro</t>
  </si>
  <si>
    <t>Ruta por San Luis Potosi</t>
  </si>
  <si>
    <t>Ruta por la Ventosa</t>
  </si>
  <si>
    <t>RUTA POR LAS CHOAPAS</t>
  </si>
  <si>
    <t>Ruta por SLP</t>
  </si>
  <si>
    <t>Rura por Guadalajara</t>
  </si>
  <si>
    <t>RUTA POR CHETUMAL</t>
  </si>
  <si>
    <t>RUTA POR HUAMANTLA</t>
  </si>
  <si>
    <t>ruta por Topolobampo, Sinaloa</t>
  </si>
  <si>
    <t>Ruta por Cordoba</t>
  </si>
  <si>
    <t>Rura por Huamantla</t>
  </si>
  <si>
    <t>Ruta por Escarcega</t>
  </si>
  <si>
    <t>RUTA POR GDL</t>
  </si>
  <si>
    <t>RUTA POR LA COSTA</t>
  </si>
  <si>
    <t>Ruta km reales por Amecameca</t>
  </si>
  <si>
    <t>RUTA POR CHIHUAHUA</t>
  </si>
  <si>
    <t>ruta por mazatlan</t>
  </si>
  <si>
    <t>Por Topolobambo</t>
  </si>
  <si>
    <t>ruta por queretaro</t>
  </si>
  <si>
    <t>ruta por guadalajara, mazatlan, culiacan, hermosillo</t>
  </si>
  <si>
    <t>Ruta Dgo</t>
  </si>
  <si>
    <t>Ruta tomada con cargas de gas (causa desvíos)</t>
  </si>
  <si>
    <t>Operacion OFF Line</t>
  </si>
  <si>
    <t>.</t>
  </si>
  <si>
    <t>ruta por topolobampo</t>
  </si>
  <si>
    <t>ruta santa catarina - veracruz</t>
  </si>
  <si>
    <t>Ruta creada para el cobro de un traslado en falso CRA</t>
  </si>
  <si>
    <t>ENG</t>
  </si>
  <si>
    <t>eng</t>
  </si>
  <si>
    <t>RUTA DE PRUEBA A CLIENTE</t>
  </si>
  <si>
    <t>Ruta eng</t>
  </si>
  <si>
    <t>Ruta de cruce por Topolobampo</t>
  </si>
  <si>
    <t>24.22030781310861, -110.30983351614644</t>
  </si>
  <si>
    <t>ruta manzanillo-guadalajara-san luis potosi-monterrey</t>
  </si>
  <si>
    <t>Ruta por autopista hasta Copandaro</t>
  </si>
  <si>
    <t>Ruta cuatrocienegas</t>
  </si>
  <si>
    <t>Ruta por Poza Rica</t>
  </si>
  <si>
    <t>Ruta por Matehuala</t>
  </si>
  <si>
    <t>Ruta por Bacalar y Escárcega</t>
  </si>
  <si>
    <t>Ruta para cargar gas en Puebla (Enco) y en La Estancia (Natgas)</t>
  </si>
  <si>
    <t>Ruta por Escárcega</t>
  </si>
  <si>
    <t>Proyecto Off Line por turno</t>
  </si>
  <si>
    <t>Ruta por Escárcega y tomando Macrolibramiento de GDL</t>
  </si>
  <si>
    <t>Ruta Chetumal-Escárcega y por el macrolibramiento de GDL</t>
  </si>
  <si>
    <t>Ruta por Chetumal y Escárcega</t>
  </si>
  <si>
    <t>Ruta por el macrilibramiento de GDL</t>
  </si>
  <si>
    <t>Ruta por el macro de GDL</t>
  </si>
  <si>
    <t>Ruta por macro de GDL</t>
  </si>
  <si>
    <t>Ruta por el Macrolibramiento de GDL y Escárcega</t>
  </si>
  <si>
    <t>Ruta por Bacalar</t>
  </si>
  <si>
    <t>Ruta por Azumbilla</t>
  </si>
  <si>
    <t>RUTA POR PENINSULA BAJA CALIFORNIA</t>
  </si>
  <si>
    <t>Cruce por Mazatlan</t>
  </si>
  <si>
    <t>Por Mazatlán</t>
  </si>
  <si>
    <t>Column1</t>
  </si>
  <si>
    <t>Column2</t>
  </si>
  <si>
    <t>19 - 1</t>
  </si>
  <si>
    <t>23 - 1</t>
  </si>
  <si>
    <t>35 - 1</t>
  </si>
  <si>
    <t>51 - 1</t>
  </si>
  <si>
    <t>169 - 1</t>
  </si>
  <si>
    <t>1 - 2</t>
  </si>
  <si>
    <t>2 - 2</t>
  </si>
  <si>
    <t>4 - 2</t>
  </si>
  <si>
    <t>7 - 2</t>
  </si>
  <si>
    <t>9 - 2</t>
  </si>
  <si>
    <t>11 - 2</t>
  </si>
  <si>
    <t>12 - 2</t>
  </si>
  <si>
    <t>18 - 2</t>
  </si>
  <si>
    <t>19 - 2</t>
  </si>
  <si>
    <t>23 - 2</t>
  </si>
  <si>
    <t>24 - 2</t>
  </si>
  <si>
    <t>25 - 2</t>
  </si>
  <si>
    <t>26 - 2</t>
  </si>
  <si>
    <t>33 - 2</t>
  </si>
  <si>
    <t>34 - 2</t>
  </si>
  <si>
    <t>35 - 2</t>
  </si>
  <si>
    <t>37 - 2</t>
  </si>
  <si>
    <t>38 - 2</t>
  </si>
  <si>
    <t>41 - 2</t>
  </si>
  <si>
    <t>42 - 2</t>
  </si>
  <si>
    <t>47 - 2</t>
  </si>
  <si>
    <t>52 - 2</t>
  </si>
  <si>
    <t>57 - 2</t>
  </si>
  <si>
    <t>60 - 2</t>
  </si>
  <si>
    <t>61 - 2</t>
  </si>
  <si>
    <t>65 - 2</t>
  </si>
  <si>
    <t>66 - 2</t>
  </si>
  <si>
    <t>69 - 2</t>
  </si>
  <si>
    <t>75 - 2</t>
  </si>
  <si>
    <t>76 - 2</t>
  </si>
  <si>
    <t>77 - 2</t>
  </si>
  <si>
    <t>79 - 2</t>
  </si>
  <si>
    <t>81 - 2</t>
  </si>
  <si>
    <t>92 - 2</t>
  </si>
  <si>
    <t>93 - 2</t>
  </si>
  <si>
    <t>99 - 2</t>
  </si>
  <si>
    <t>105 - 2</t>
  </si>
  <si>
    <t>107 - 2</t>
  </si>
  <si>
    <t>116 - 2</t>
  </si>
  <si>
    <t>121 - 2</t>
  </si>
  <si>
    <t>136 - 2</t>
  </si>
  <si>
    <t>147 - 2</t>
  </si>
  <si>
    <t>169 - 2</t>
  </si>
  <si>
    <t>179 - 2</t>
  </si>
  <si>
    <t>180 - 2</t>
  </si>
  <si>
    <t>183 - 2</t>
  </si>
  <si>
    <t>184 - 2</t>
  </si>
  <si>
    <t>254 - 2</t>
  </si>
  <si>
    <t>276 - 2</t>
  </si>
  <si>
    <t>306 - 2</t>
  </si>
  <si>
    <t>314 - 2</t>
  </si>
  <si>
    <t>318 - 2</t>
  </si>
  <si>
    <t>345 - 2</t>
  </si>
  <si>
    <t>359 - 2</t>
  </si>
  <si>
    <t>360 - 2</t>
  </si>
  <si>
    <t>385 - 2</t>
  </si>
  <si>
    <t>424 - 2</t>
  </si>
  <si>
    <t>492 - 2</t>
  </si>
  <si>
    <t>525 - 2</t>
  </si>
  <si>
    <t>602 - 2</t>
  </si>
  <si>
    <t>669 - 2</t>
  </si>
  <si>
    <t>684 - 2</t>
  </si>
  <si>
    <t>685 - 2</t>
  </si>
  <si>
    <t>714 - 2</t>
  </si>
  <si>
    <t>729 - 2</t>
  </si>
  <si>
    <t>3 - 3</t>
  </si>
  <si>
    <t>4 - 3</t>
  </si>
  <si>
    <t>19 - 3</t>
  </si>
  <si>
    <t>7 - 7</t>
  </si>
  <si>
    <t>9 - 7</t>
  </si>
  <si>
    <t>42 - 7</t>
  </si>
  <si>
    <t>136 - 7</t>
  </si>
  <si>
    <t>4 - 9</t>
  </si>
  <si>
    <t>9 - 9</t>
  </si>
  <si>
    <t>88 - 9</t>
  </si>
  <si>
    <t>7 - 11</t>
  </si>
  <si>
    <t>9 - 11</t>
  </si>
  <si>
    <t>12 - 11</t>
  </si>
  <si>
    <t>20 - 11</t>
  </si>
  <si>
    <t>71 - 11</t>
  </si>
  <si>
    <t>169 - 11</t>
  </si>
  <si>
    <t>59 - 12</t>
  </si>
  <si>
    <t>107 - 12</t>
  </si>
  <si>
    <t>11 - 13</t>
  </si>
  <si>
    <t>169 - 13</t>
  </si>
  <si>
    <t>15 - 15</t>
  </si>
  <si>
    <t>60 - 15</t>
  </si>
  <si>
    <t>15 - 16</t>
  </si>
  <si>
    <t>1 - 18</t>
  </si>
  <si>
    <t>3 - 18</t>
  </si>
  <si>
    <t>9 - 18</t>
  </si>
  <si>
    <t>16 - 18</t>
  </si>
  <si>
    <t>18 - 18</t>
  </si>
  <si>
    <t>20 - 18</t>
  </si>
  <si>
    <t>27 - 18</t>
  </si>
  <si>
    <t>34 - 18</t>
  </si>
  <si>
    <t>35 - 18</t>
  </si>
  <si>
    <t>42 - 18</t>
  </si>
  <si>
    <t>55 - 18</t>
  </si>
  <si>
    <t>57 - 18</t>
  </si>
  <si>
    <t>69 - 18</t>
  </si>
  <si>
    <t>105 - 18</t>
  </si>
  <si>
    <t>117 - 18</t>
  </si>
  <si>
    <t>136 - 18</t>
  </si>
  <si>
    <t>138 - 18</t>
  </si>
  <si>
    <t>169 - 18</t>
  </si>
  <si>
    <t>188 - 18</t>
  </si>
  <si>
    <t>290 - 18</t>
  </si>
  <si>
    <t>296 - 18</t>
  </si>
  <si>
    <t>306 - 18</t>
  </si>
  <si>
    <t>318 - 18</t>
  </si>
  <si>
    <t>384 - 18</t>
  </si>
  <si>
    <t>539 - 18</t>
  </si>
  <si>
    <t>591 - 18</t>
  </si>
  <si>
    <t>602 - 18</t>
  </si>
  <si>
    <t>688 - 18</t>
  </si>
  <si>
    <t>714 - 18</t>
  </si>
  <si>
    <t>831 - 18</t>
  </si>
  <si>
    <t>19 - 19</t>
  </si>
  <si>
    <t>20 - 19</t>
  </si>
  <si>
    <t>23 - 19</t>
  </si>
  <si>
    <t>52 - 19</t>
  </si>
  <si>
    <t>65 - 19</t>
  </si>
  <si>
    <t>7 - 20</t>
  </si>
  <si>
    <t>82 - 20</t>
  </si>
  <si>
    <t>3 - 23</t>
  </si>
  <si>
    <t>12 - 23</t>
  </si>
  <si>
    <t>13 - 23</t>
  </si>
  <si>
    <t>23 - 23</t>
  </si>
  <si>
    <t>26 - 23</t>
  </si>
  <si>
    <t>27 - 23</t>
  </si>
  <si>
    <t>38 - 23</t>
  </si>
  <si>
    <t>145 - 23</t>
  </si>
  <si>
    <t>179 - 23</t>
  </si>
  <si>
    <t>189 - 23</t>
  </si>
  <si>
    <t>669 - 23</t>
  </si>
  <si>
    <t>24 - 24</t>
  </si>
  <si>
    <t>31 - 24</t>
  </si>
  <si>
    <t>37 - 24</t>
  </si>
  <si>
    <t>9 - 26</t>
  </si>
  <si>
    <t>46 - 26</t>
  </si>
  <si>
    <t>23 - 27</t>
  </si>
  <si>
    <t>27 - 27</t>
  </si>
  <si>
    <t>71 - 27</t>
  </si>
  <si>
    <t>2 - 30</t>
  </si>
  <si>
    <t>27 - 30</t>
  </si>
  <si>
    <t>30 - 30</t>
  </si>
  <si>
    <t>71 - 30</t>
  </si>
  <si>
    <t>23 - 31</t>
  </si>
  <si>
    <t>26 - 31</t>
  </si>
  <si>
    <t>27 - 31</t>
  </si>
  <si>
    <t>30 - 31</t>
  </si>
  <si>
    <t>31 - 31</t>
  </si>
  <si>
    <t>43 - 31</t>
  </si>
  <si>
    <t>65 - 31</t>
  </si>
  <si>
    <t>71 - 31</t>
  </si>
  <si>
    <t>105 - 31</t>
  </si>
  <si>
    <t>179 - 31</t>
  </si>
  <si>
    <t>4 - 33</t>
  </si>
  <si>
    <t>11 - 33</t>
  </si>
  <si>
    <t>13 - 33</t>
  </si>
  <si>
    <t>17 - 33</t>
  </si>
  <si>
    <t>23 - 33</t>
  </si>
  <si>
    <t>24 - 33</t>
  </si>
  <si>
    <t>30 - 33</t>
  </si>
  <si>
    <t>33 - 33</t>
  </si>
  <si>
    <t>35 - 33</t>
  </si>
  <si>
    <t>51 - 33</t>
  </si>
  <si>
    <t>55 - 33</t>
  </si>
  <si>
    <t>102 - 33</t>
  </si>
  <si>
    <t>107 - 33</t>
  </si>
  <si>
    <t>130 - 33</t>
  </si>
  <si>
    <t>148 - 33</t>
  </si>
  <si>
    <t>288 - 33</t>
  </si>
  <si>
    <t>3 - 34</t>
  </si>
  <si>
    <t>4 - 34</t>
  </si>
  <si>
    <t>6 - 34</t>
  </si>
  <si>
    <t>9 - 34</t>
  </si>
  <si>
    <t>13 - 34</t>
  </si>
  <si>
    <t>15 - 34</t>
  </si>
  <si>
    <t>16 - 34</t>
  </si>
  <si>
    <t>17 - 34</t>
  </si>
  <si>
    <t>20 - 34</t>
  </si>
  <si>
    <t>24 - 34</t>
  </si>
  <si>
    <t>25 - 34</t>
  </si>
  <si>
    <t>26 - 34</t>
  </si>
  <si>
    <t>30 - 34</t>
  </si>
  <si>
    <t>31 - 34</t>
  </si>
  <si>
    <t>33 - 34</t>
  </si>
  <si>
    <t>35 - 34</t>
  </si>
  <si>
    <t>39 - 34</t>
  </si>
  <si>
    <t>40 - 34</t>
  </si>
  <si>
    <t>43 - 34</t>
  </si>
  <si>
    <t>46 - 34</t>
  </si>
  <si>
    <t>47 - 34</t>
  </si>
  <si>
    <t>49 - 34</t>
  </si>
  <si>
    <t>53 - 34</t>
  </si>
  <si>
    <t>55 - 34</t>
  </si>
  <si>
    <t>58 - 34</t>
  </si>
  <si>
    <t>59 - 34</t>
  </si>
  <si>
    <t>63 - 34</t>
  </si>
  <si>
    <t>64 - 34</t>
  </si>
  <si>
    <t>65 - 34</t>
  </si>
  <si>
    <t>116 - 34</t>
  </si>
  <si>
    <t>119 - 34</t>
  </si>
  <si>
    <t>121 - 34</t>
  </si>
  <si>
    <t>123 - 34</t>
  </si>
  <si>
    <t>126 - 34</t>
  </si>
  <si>
    <t>134 - 34</t>
  </si>
  <si>
    <t>145 - 34</t>
  </si>
  <si>
    <t>167 - 34</t>
  </si>
  <si>
    <t>179 - 34</t>
  </si>
  <si>
    <t>180 - 34</t>
  </si>
  <si>
    <t>190 - 34</t>
  </si>
  <si>
    <t>212 - 34</t>
  </si>
  <si>
    <t>286 - 34</t>
  </si>
  <si>
    <t>316 - 34</t>
  </si>
  <si>
    <t>384 - 34</t>
  </si>
  <si>
    <t>393 - 34</t>
  </si>
  <si>
    <t>425 - 34</t>
  </si>
  <si>
    <t>465 - 34</t>
  </si>
  <si>
    <t>492 - 34</t>
  </si>
  <si>
    <t>497 - 34</t>
  </si>
  <si>
    <t>513 - 34</t>
  </si>
  <si>
    <t>517 - 34</t>
  </si>
  <si>
    <t>525 - 34</t>
  </si>
  <si>
    <t>550 - 34</t>
  </si>
  <si>
    <t>566 - 34</t>
  </si>
  <si>
    <t>602 - 34</t>
  </si>
  <si>
    <t>662 - 34</t>
  </si>
  <si>
    <t>753 - 34</t>
  </si>
  <si>
    <t>849 - 34</t>
  </si>
  <si>
    <t>855 - 34</t>
  </si>
  <si>
    <t>856 - 34</t>
  </si>
  <si>
    <t>35 - 35</t>
  </si>
  <si>
    <t>65 - 35</t>
  </si>
  <si>
    <t>18 - 37</t>
  </si>
  <si>
    <t>23 - 37</t>
  </si>
  <si>
    <t>37 - 37</t>
  </si>
  <si>
    <t>35 - 42</t>
  </si>
  <si>
    <t>602 - 42</t>
  </si>
  <si>
    <t>765 - 46</t>
  </si>
  <si>
    <t>3 - 47</t>
  </si>
  <si>
    <t>6 - 47</t>
  </si>
  <si>
    <t>7 - 47</t>
  </si>
  <si>
    <t>13 - 47</t>
  </si>
  <si>
    <t>15 - 47</t>
  </si>
  <si>
    <t>19 - 47</t>
  </si>
  <si>
    <t>20 - 47</t>
  </si>
  <si>
    <t>37 - 47</t>
  </si>
  <si>
    <t>47 - 47</t>
  </si>
  <si>
    <t>58 - 47</t>
  </si>
  <si>
    <t>59 - 47</t>
  </si>
  <si>
    <t>60 - 47</t>
  </si>
  <si>
    <t>70 - 47</t>
  </si>
  <si>
    <t>71 - 47</t>
  </si>
  <si>
    <t>107 - 47</t>
  </si>
  <si>
    <t>117 - 47</t>
  </si>
  <si>
    <t>118 - 47</t>
  </si>
  <si>
    <t>121 - 47</t>
  </si>
  <si>
    <t>123 - 47</t>
  </si>
  <si>
    <t>180 - 47</t>
  </si>
  <si>
    <t>184 - 47</t>
  </si>
  <si>
    <t>189 - 47</t>
  </si>
  <si>
    <t>298 - 47</t>
  </si>
  <si>
    <t>345 - 47</t>
  </si>
  <si>
    <t>517 - 47</t>
  </si>
  <si>
    <t>669 - 47</t>
  </si>
  <si>
    <t>880 - 47</t>
  </si>
  <si>
    <t>51 - 51</t>
  </si>
  <si>
    <t>83 - 51</t>
  </si>
  <si>
    <t>3 - 52</t>
  </si>
  <si>
    <t>4 - 52</t>
  </si>
  <si>
    <t>6 - 52</t>
  </si>
  <si>
    <t>9 - 52</t>
  </si>
  <si>
    <t>12 - 52</t>
  </si>
  <si>
    <t>13 - 52</t>
  </si>
  <si>
    <t>16 - 52</t>
  </si>
  <si>
    <t>17 - 52</t>
  </si>
  <si>
    <t>18 - 52</t>
  </si>
  <si>
    <t>21 - 52</t>
  </si>
  <si>
    <t>23 - 52</t>
  </si>
  <si>
    <t>24 - 52</t>
  </si>
  <si>
    <t>25 - 52</t>
  </si>
  <si>
    <t>30 - 52</t>
  </si>
  <si>
    <t>31 - 52</t>
  </si>
  <si>
    <t>33 - 52</t>
  </si>
  <si>
    <t>35 - 52</t>
  </si>
  <si>
    <t>37 - 52</t>
  </si>
  <si>
    <t>39 - 52</t>
  </si>
  <si>
    <t>40 - 52</t>
  </si>
  <si>
    <t>43 - 52</t>
  </si>
  <si>
    <t>46 - 52</t>
  </si>
  <si>
    <t>47 - 52</t>
  </si>
  <si>
    <t>49 - 52</t>
  </si>
  <si>
    <t>52 - 52</t>
  </si>
  <si>
    <t>53 - 52</t>
  </si>
  <si>
    <t>58 - 52</t>
  </si>
  <si>
    <t>61 - 52</t>
  </si>
  <si>
    <t>62 - 52</t>
  </si>
  <si>
    <t>63 - 52</t>
  </si>
  <si>
    <t>65 - 52</t>
  </si>
  <si>
    <t>71 - 52</t>
  </si>
  <si>
    <t>81 - 52</t>
  </si>
  <si>
    <t>83 - 52</t>
  </si>
  <si>
    <t>84 - 52</t>
  </si>
  <si>
    <t>101 - 52</t>
  </si>
  <si>
    <t>107 - 52</t>
  </si>
  <si>
    <t>111 - 52</t>
  </si>
  <si>
    <t>116 - 52</t>
  </si>
  <si>
    <t>118 - 52</t>
  </si>
  <si>
    <t>119 - 52</t>
  </si>
  <si>
    <t>121 - 52</t>
  </si>
  <si>
    <t>123 - 52</t>
  </si>
  <si>
    <t>126 - 52</t>
  </si>
  <si>
    <t>134 - 52</t>
  </si>
  <si>
    <t>145 - 52</t>
  </si>
  <si>
    <t>167 - 52</t>
  </si>
  <si>
    <t>169 - 52</t>
  </si>
  <si>
    <t>179 - 52</t>
  </si>
  <si>
    <t>180 - 52</t>
  </si>
  <si>
    <t>183 - 52</t>
  </si>
  <si>
    <t>189 - 52</t>
  </si>
  <si>
    <t>190 - 52</t>
  </si>
  <si>
    <t>212 - 52</t>
  </si>
  <si>
    <t>230 - 52</t>
  </si>
  <si>
    <t>254 - 52</t>
  </si>
  <si>
    <t>280 - 52</t>
  </si>
  <si>
    <t>316 - 52</t>
  </si>
  <si>
    <t>329 - 52</t>
  </si>
  <si>
    <t>345 - 52</t>
  </si>
  <si>
    <t>384 - 52</t>
  </si>
  <si>
    <t>425 - 52</t>
  </si>
  <si>
    <t>492 - 52</t>
  </si>
  <si>
    <t>497 - 52</t>
  </si>
  <si>
    <t>517 - 52</t>
  </si>
  <si>
    <t>525 - 52</t>
  </si>
  <si>
    <t>550 - 52</t>
  </si>
  <si>
    <t>566 - 52</t>
  </si>
  <si>
    <t>662 - 52</t>
  </si>
  <si>
    <t>767 - 52</t>
  </si>
  <si>
    <t>849 - 52</t>
  </si>
  <si>
    <t>855 - 52</t>
  </si>
  <si>
    <t>856 - 52</t>
  </si>
  <si>
    <t>30 - 54</t>
  </si>
  <si>
    <t>38 - 54</t>
  </si>
  <si>
    <t>2 - 55</t>
  </si>
  <si>
    <t>24 - 55</t>
  </si>
  <si>
    <t>27 - 55</t>
  </si>
  <si>
    <t>35 - 55</t>
  </si>
  <si>
    <t>55 - 55</t>
  </si>
  <si>
    <t>72 - 55</t>
  </si>
  <si>
    <t>79 - 55</t>
  </si>
  <si>
    <t>384 - 55</t>
  </si>
  <si>
    <t>473 - 55</t>
  </si>
  <si>
    <t>525 - 55</t>
  </si>
  <si>
    <t>55 - 57</t>
  </si>
  <si>
    <t>65 - 57</t>
  </si>
  <si>
    <t>9 - 58</t>
  </si>
  <si>
    <t>260 - 60</t>
  </si>
  <si>
    <t>61 - 61</t>
  </si>
  <si>
    <t>662 - 61</t>
  </si>
  <si>
    <t>2 - 62</t>
  </si>
  <si>
    <t>34 - 62</t>
  </si>
  <si>
    <t>62 - 62</t>
  </si>
  <si>
    <t>107 - 62</t>
  </si>
  <si>
    <t>3 - 65</t>
  </si>
  <si>
    <t>4 - 65</t>
  </si>
  <si>
    <t>7 - 65</t>
  </si>
  <si>
    <t>9 - 65</t>
  </si>
  <si>
    <t>43 - 65</t>
  </si>
  <si>
    <t>47 - 65</t>
  </si>
  <si>
    <t>65 - 65</t>
  </si>
  <si>
    <t>117 - 65</t>
  </si>
  <si>
    <t>189 - 65</t>
  </si>
  <si>
    <t>492 - 65</t>
  </si>
  <si>
    <t>525 - 65</t>
  </si>
  <si>
    <t>674 - 65</t>
  </si>
  <si>
    <t>793 - 65</t>
  </si>
  <si>
    <t>4 - 67</t>
  </si>
  <si>
    <t>26 - 69</t>
  </si>
  <si>
    <t>35 - 69</t>
  </si>
  <si>
    <t>55 - 69</t>
  </si>
  <si>
    <t>276 - 69</t>
  </si>
  <si>
    <t>492 - 69</t>
  </si>
  <si>
    <t>59 - 71</t>
  </si>
  <si>
    <t>87 - 71</t>
  </si>
  <si>
    <t>145 - 71</t>
  </si>
  <si>
    <t>169 - 71</t>
  </si>
  <si>
    <t>18 - 72</t>
  </si>
  <si>
    <t>77 - 72</t>
  </si>
  <si>
    <t>345 - 72</t>
  </si>
  <si>
    <t>1 - 73</t>
  </si>
  <si>
    <t>2 - 73</t>
  </si>
  <si>
    <t>4 - 73</t>
  </si>
  <si>
    <t>7 - 73</t>
  </si>
  <si>
    <t>9 - 73</t>
  </si>
  <si>
    <t>12 - 73</t>
  </si>
  <si>
    <t>13 - 73</t>
  </si>
  <si>
    <t>16 - 73</t>
  </si>
  <si>
    <t>18 - 73</t>
  </si>
  <si>
    <t>21 - 73</t>
  </si>
  <si>
    <t>23 - 73</t>
  </si>
  <si>
    <t>24 - 73</t>
  </si>
  <si>
    <t>30 - 73</t>
  </si>
  <si>
    <t>31 - 73</t>
  </si>
  <si>
    <t>33 - 73</t>
  </si>
  <si>
    <t>34 - 73</t>
  </si>
  <si>
    <t>35 - 73</t>
  </si>
  <si>
    <t>37 - 73</t>
  </si>
  <si>
    <t>42 - 73</t>
  </si>
  <si>
    <t>43 - 73</t>
  </si>
  <si>
    <t>45 - 73</t>
  </si>
  <si>
    <t>47 - 73</t>
  </si>
  <si>
    <t>51 - 73</t>
  </si>
  <si>
    <t>52 - 73</t>
  </si>
  <si>
    <t>53 - 73</t>
  </si>
  <si>
    <t>54 - 73</t>
  </si>
  <si>
    <t>57 - 73</t>
  </si>
  <si>
    <t>60 - 73</t>
  </si>
  <si>
    <t>61 - 73</t>
  </si>
  <si>
    <t>62 - 73</t>
  </si>
  <si>
    <t>64 - 73</t>
  </si>
  <si>
    <t>69 - 73</t>
  </si>
  <si>
    <t>71 - 73</t>
  </si>
  <si>
    <t>73 - 73</t>
  </si>
  <si>
    <t>75 - 73</t>
  </si>
  <si>
    <t>81 - 73</t>
  </si>
  <si>
    <t>83 - 73</t>
  </si>
  <si>
    <t>84 - 73</t>
  </si>
  <si>
    <t>86 - 73</t>
  </si>
  <si>
    <t>88 - 73</t>
  </si>
  <si>
    <t>89 - 73</t>
  </si>
  <si>
    <t>92 - 73</t>
  </si>
  <si>
    <t>93 - 73</t>
  </si>
  <si>
    <t>95 - 73</t>
  </si>
  <si>
    <t>96 - 73</t>
  </si>
  <si>
    <t>107 - 73</t>
  </si>
  <si>
    <t>116 - 73</t>
  </si>
  <si>
    <t>118 - 73</t>
  </si>
  <si>
    <t>123 - 73</t>
  </si>
  <si>
    <t>136 - 73</t>
  </si>
  <si>
    <t>148 - 73</t>
  </si>
  <si>
    <t>169 - 73</t>
  </si>
  <si>
    <t>179 - 73</t>
  </si>
  <si>
    <t>180 - 73</t>
  </si>
  <si>
    <t>183 - 73</t>
  </si>
  <si>
    <t>189 - 73</t>
  </si>
  <si>
    <t>192 - 73</t>
  </si>
  <si>
    <t>216 - 73</t>
  </si>
  <si>
    <t>337 - 73</t>
  </si>
  <si>
    <t>365 - 73</t>
  </si>
  <si>
    <t>379 - 73</t>
  </si>
  <si>
    <t>384 - 73</t>
  </si>
  <si>
    <t>393 - 73</t>
  </si>
  <si>
    <t>425 - 73</t>
  </si>
  <si>
    <t>473 - 73</t>
  </si>
  <si>
    <t>490 - 73</t>
  </si>
  <si>
    <t>535 - 73</t>
  </si>
  <si>
    <t>612 - 73</t>
  </si>
  <si>
    <t>623 - 73</t>
  </si>
  <si>
    <t>629 - 73</t>
  </si>
  <si>
    <t>669 - 73</t>
  </si>
  <si>
    <t>684 - 73</t>
  </si>
  <si>
    <t>714 - 73</t>
  </si>
  <si>
    <t>724 - 73</t>
  </si>
  <si>
    <t>740 - 73</t>
  </si>
  <si>
    <t>843 - 73</t>
  </si>
  <si>
    <t>905 - 73</t>
  </si>
  <si>
    <t>38 - 75</t>
  </si>
  <si>
    <t>55 - 75</t>
  </si>
  <si>
    <t>61 - 75</t>
  </si>
  <si>
    <t>189 - 75</t>
  </si>
  <si>
    <t>714 - 75</t>
  </si>
  <si>
    <t>24 - 79</t>
  </si>
  <si>
    <t>35 - 79</t>
  </si>
  <si>
    <t>46 - 79</t>
  </si>
  <si>
    <t>59 - 79</t>
  </si>
  <si>
    <t>65 - 79</t>
  </si>
  <si>
    <t>105 - 79</t>
  </si>
  <si>
    <t>136 - 79</t>
  </si>
  <si>
    <t>155 - 79</t>
  </si>
  <si>
    <t>169 - 79</t>
  </si>
  <si>
    <t>255 - 79</t>
  </si>
  <si>
    <t>4 - 81</t>
  </si>
  <si>
    <t>30 - 81</t>
  </si>
  <si>
    <t>35 - 81</t>
  </si>
  <si>
    <t>47 - 81</t>
  </si>
  <si>
    <t>99 - 81</t>
  </si>
  <si>
    <t>107 - 81</t>
  </si>
  <si>
    <t>189 - 81</t>
  </si>
  <si>
    <t>200 - 81</t>
  </si>
  <si>
    <t>1 - 83</t>
  </si>
  <si>
    <t>23 - 83</t>
  </si>
  <si>
    <t>59 - 83</t>
  </si>
  <si>
    <t>83 - 83</t>
  </si>
  <si>
    <t>92 - 83</t>
  </si>
  <si>
    <t>99 - 83</t>
  </si>
  <si>
    <t>337 - 83</t>
  </si>
  <si>
    <t>379 - 83</t>
  </si>
  <si>
    <t>6 - 84</t>
  </si>
  <si>
    <t>9 - 84</t>
  </si>
  <si>
    <t>17 - 84</t>
  </si>
  <si>
    <t>46 - 84</t>
  </si>
  <si>
    <t>61 - 84</t>
  </si>
  <si>
    <t>121 - 84</t>
  </si>
  <si>
    <t>123 - 84</t>
  </si>
  <si>
    <t>189 - 84</t>
  </si>
  <si>
    <t>254 - 84</t>
  </si>
  <si>
    <t>260 - 84</t>
  </si>
  <si>
    <t>746 - 84</t>
  </si>
  <si>
    <t>767 - 84</t>
  </si>
  <si>
    <t>852 - 84</t>
  </si>
  <si>
    <t>61 - 85</t>
  </si>
  <si>
    <t>169 - 88</t>
  </si>
  <si>
    <t>260 - 88</t>
  </si>
  <si>
    <t>101 - 89</t>
  </si>
  <si>
    <t>9 - 92</t>
  </si>
  <si>
    <t>16 - 92</t>
  </si>
  <si>
    <t>47 - 92</t>
  </si>
  <si>
    <t>60 - 92</t>
  </si>
  <si>
    <t>169 - 92</t>
  </si>
  <si>
    <t>180 - 92</t>
  </si>
  <si>
    <t>1 - 93</t>
  </si>
  <si>
    <t>13 - 93</t>
  </si>
  <si>
    <t>17 - 93</t>
  </si>
  <si>
    <t>19 - 93</t>
  </si>
  <si>
    <t>23 - 93</t>
  </si>
  <si>
    <t>37 - 93</t>
  </si>
  <si>
    <t>38 - 93</t>
  </si>
  <si>
    <t>47 - 93</t>
  </si>
  <si>
    <t>52 - 93</t>
  </si>
  <si>
    <t>55 - 93</t>
  </si>
  <si>
    <t>105 - 93</t>
  </si>
  <si>
    <t>107 - 93</t>
  </si>
  <si>
    <t>117 - 93</t>
  </si>
  <si>
    <t>189 - 93</t>
  </si>
  <si>
    <t>345 - 93</t>
  </si>
  <si>
    <t>591 - 93</t>
  </si>
  <si>
    <t>47 - 95</t>
  </si>
  <si>
    <t>654 - 95</t>
  </si>
  <si>
    <t>4 - 99</t>
  </si>
  <si>
    <t>35 - 105</t>
  </si>
  <si>
    <t>36 - 105</t>
  </si>
  <si>
    <t>46 - 105</t>
  </si>
  <si>
    <t>59 - 105</t>
  </si>
  <si>
    <t>65 - 105</t>
  </si>
  <si>
    <t>105 - 105</t>
  </si>
  <si>
    <t>260 - 105</t>
  </si>
  <si>
    <t>353 - 105</t>
  </si>
  <si>
    <t>591 - 105</t>
  </si>
  <si>
    <t>30 - 107</t>
  </si>
  <si>
    <t>35 - 107</t>
  </si>
  <si>
    <t>83 - 107</t>
  </si>
  <si>
    <t>107 - 107</t>
  </si>
  <si>
    <t>59 - 115</t>
  </si>
  <si>
    <t>4 - 116</t>
  </si>
  <si>
    <t>59 - 116</t>
  </si>
  <si>
    <t>539 - 116</t>
  </si>
  <si>
    <t>23 - 117</t>
  </si>
  <si>
    <t>79 - 117</t>
  </si>
  <si>
    <t>3 - 136</t>
  </si>
  <si>
    <t>47 - 136</t>
  </si>
  <si>
    <t>65 - 136</t>
  </si>
  <si>
    <t>212 - 136</t>
  </si>
  <si>
    <t>3 - 144</t>
  </si>
  <si>
    <t>35 - 147</t>
  </si>
  <si>
    <t>451 - 159</t>
  </si>
  <si>
    <t>7 - 169</t>
  </si>
  <si>
    <t>12 - 169</t>
  </si>
  <si>
    <t>18 - 183</t>
  </si>
  <si>
    <t>8 - 184</t>
  </si>
  <si>
    <t>43 - 187</t>
  </si>
  <si>
    <t>645 - 216</t>
  </si>
  <si>
    <t>260 - 218</t>
  </si>
  <si>
    <t>15 - 227</t>
  </si>
  <si>
    <t>32 - 227</t>
  </si>
  <si>
    <t>71 - 227</t>
  </si>
  <si>
    <t>155 - 227</t>
  </si>
  <si>
    <t>180 - 227</t>
  </si>
  <si>
    <t>285 - 227</t>
  </si>
  <si>
    <t>155 - 260</t>
  </si>
  <si>
    <t>20 - 276</t>
  </si>
  <si>
    <t>57 - 276</t>
  </si>
  <si>
    <t>276 - 276</t>
  </si>
  <si>
    <t>318 - 276</t>
  </si>
  <si>
    <t>685 - 276</t>
  </si>
  <si>
    <t>7 - 280</t>
  </si>
  <si>
    <t>33 - 280</t>
  </si>
  <si>
    <t>132 - 306</t>
  </si>
  <si>
    <t>55 - 314</t>
  </si>
  <si>
    <t>105 - 314</t>
  </si>
  <si>
    <t>23 - 318</t>
  </si>
  <si>
    <t>34 - 318</t>
  </si>
  <si>
    <t>47 - 318</t>
  </si>
  <si>
    <t>169 - 318</t>
  </si>
  <si>
    <t>3 - 345</t>
  </si>
  <si>
    <t>3 - 379</t>
  </si>
  <si>
    <t>43 - 379</t>
  </si>
  <si>
    <t>47 - 379</t>
  </si>
  <si>
    <t>767 - 379</t>
  </si>
  <si>
    <t>26 - 385</t>
  </si>
  <si>
    <t>77 - 417</t>
  </si>
  <si>
    <t>75 - 525</t>
  </si>
  <si>
    <t>15 - 602</t>
  </si>
  <si>
    <t>79 - 602</t>
  </si>
  <si>
    <t>92 - 602</t>
  </si>
  <si>
    <t>99 - 602</t>
  </si>
  <si>
    <t>7 - 623</t>
  </si>
  <si>
    <t>31 - 623</t>
  </si>
  <si>
    <t>107 - 623</t>
  </si>
  <si>
    <t>33 - 629</t>
  </si>
  <si>
    <t>52 - 629</t>
  </si>
  <si>
    <t>73 - 645</t>
  </si>
  <si>
    <t>52 - 669</t>
  </si>
  <si>
    <t>183 - 669</t>
  </si>
  <si>
    <t>11 - 684</t>
  </si>
  <si>
    <t>36 - 684</t>
  </si>
  <si>
    <t>42 - 684</t>
  </si>
  <si>
    <t>43 - 684</t>
  </si>
  <si>
    <t>55 - 684</t>
  </si>
  <si>
    <t>79 - 684</t>
  </si>
  <si>
    <t>155 - 684</t>
  </si>
  <si>
    <t>169 - 684</t>
  </si>
  <si>
    <t>345 - 684</t>
  </si>
  <si>
    <t>684 - 684</t>
  </si>
  <si>
    <t>795 - 684</t>
  </si>
  <si>
    <t>1 - 714</t>
  </si>
  <si>
    <t>60 - 716</t>
  </si>
  <si>
    <t>73 - 724</t>
  </si>
  <si>
    <t>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</si>
</sst>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815" totalsRowShown="0">
  <autoFilter ref="A1:V4815">
    <filterColumn colId="21">
      <filters>
        <filter val="124 - 31"/>
        <filter val="124 - 345"/>
        <filter val="134 - 3"/>
        <filter val="134 - 34"/>
        <filter val="144 - 31"/>
        <filter val="144 - 384"/>
        <filter val="184 - 31"/>
        <filter val="214 - 318"/>
        <filter val="24 - 33"/>
        <filter val="24 - 34"/>
        <filter val="24 - 36"/>
        <filter val="244 - 345"/>
        <filter val="254 - 306"/>
        <filter val="254 - 318"/>
        <filter val="254 - 345"/>
        <filter val="294 - 38"/>
        <filter val="314 - 3"/>
        <filter val="314 - 31"/>
        <filter val="34 - 316"/>
        <filter val="34 - 318"/>
        <filter val="34 - 34"/>
        <filter val="34 - 379"/>
        <filter val="384 - 31"/>
        <filter val="384 - 34"/>
        <filter val="384 - 345"/>
        <filter val="384 - 37"/>
        <filter val="384 - 384"/>
        <filter val="4 - 3"/>
        <filter val="4 - 31"/>
        <filter val="4 - 316"/>
        <filter val="4 - 33"/>
        <filter val="4 - 34"/>
        <filter val="4 - 384"/>
        <filter val="424 - 35"/>
        <filter val="424 - 37"/>
        <filter val="524 - 31"/>
        <filter val="54 - 31"/>
        <filter val="54 - 33"/>
        <filter val="54 - 34"/>
        <filter val="54 - 379"/>
        <filter val="544 - 31"/>
        <filter val="64 - 34"/>
        <filter val="684 - 31"/>
        <filter val="684 - 318"/>
        <filter val="684 - 33"/>
        <filter val="684 - 37"/>
        <filter val="684 - 379"/>
        <filter val="814 - 33"/>
        <filter val="84 - 34"/>
        <filter val="84 - 379"/>
        <filter val="864 - 318"/>
        <filter val="874 - 33"/>
      </filters>
    </filterColumn>
  </autoFilter>
  <tableColumns count="22">
    <tableColumn id="1" name="id_Tipo_ruta"/>
    <tableColumn id="2" name="Id_Ruta"/>
    <tableColumn id="3" name="PoblacionOrigen"/>
    <tableColumn id="4" name="PoblacionDestino"/>
    <tableColumn id="5" name="Latinos"/>
    <tableColumn id="6" name="Nacionales"/>
    <tableColumn id="7" name="Exportacion"/>
    <tableColumn id="8" name="Otros"/>
    <tableColumn id="9" name="Alterna"/>
    <tableColumn id="20" name="Cemex"/>
    <tableColumn id="10" name="observaciones"/>
    <tableColumn id="11" name="fecha_Alta" dataDxfId="3"/>
    <tableColumn id="12" name="id_destino"/>
    <tableColumn id="13" name="id_origen"/>
    <tableColumn id="14" name="Km_reales"/>
    <tableColumn id="15" name="Km_oficiales"/>
    <tableColumn id="16" name="Km_de_pago"/>
    <tableColumn id="17" name="Km_Tabulados"/>
    <tableColumn id="18" name="Peaje_Dos_Ejes"/>
    <tableColumn id="19" name="Peaje_Tres_Ejes"/>
    <tableColumn id="21" name="Column1" dataDxfId="2">
      <calculatedColumnFormula>+SUM(Table1[[#This Row],[Latinos]:[Cemex]])</calculatedColumnFormula>
    </tableColumn>
    <tableColumn id="22" name="Column2" dataDxfId="1">
      <calculatedColumnFormula>+Table1[[#This Row],[id_destino]]&amp;" - "&amp;Table1[[#This Row],[id_origen]]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V4822:W5457" totalsRowShown="0">
  <autoFilter ref="V4822:W5457"/>
  <sortState ref="V4823:W5457">
    <sortCondition descending="1" ref="W4822:W5457"/>
  </sortState>
  <tableColumns count="2">
    <tableColumn id="1" name="."/>
    <tableColumn id="2" name=".2">
      <calculatedColumnFormula>+COUNTIF(Table1[Column2],V4823)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57"/>
  <sheetViews>
    <sheetView tabSelected="1" workbookViewId="0">
      <selection activeCell="H1163" sqref="H1163"/>
    </sheetView>
  </sheetViews>
  <sheetFormatPr defaultRowHeight="14.25"/>
  <cols>
    <col min="1" max="1" width="14" customWidth="1"/>
    <col min="2" max="2" width="9.875" customWidth="1"/>
    <col min="3" max="3" width="18" customWidth="1"/>
    <col min="4" max="4" width="19.125" customWidth="1"/>
    <col min="5" max="5" width="9.75" customWidth="1"/>
    <col min="6" max="6" width="13.125" customWidth="1"/>
    <col min="7" max="7" width="13.875" customWidth="1"/>
    <col min="9" max="9" width="9.625" customWidth="1"/>
    <col min="10" max="10" width="16.25" customWidth="1"/>
    <col min="11" max="11" width="12.375" customWidth="1"/>
    <col min="12" max="12" width="12.625" customWidth="1"/>
    <col min="13" max="13" width="11.375" customWidth="1"/>
    <col min="14" max="14" width="12.375" customWidth="1"/>
    <col min="15" max="15" width="14.625" customWidth="1"/>
    <col min="16" max="16" width="14.25" customWidth="1"/>
    <col min="17" max="17" width="16" customWidth="1"/>
    <col min="18" max="18" width="17.25" customWidth="1"/>
    <col min="19" max="19" width="17.625" customWidth="1"/>
    <col min="20" max="20" width="9.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124</v>
      </c>
      <c r="V1" t="s">
        <v>125</v>
      </c>
    </row>
    <row r="2" spans="1:22" hidden="1">
      <c r="A2">
        <v>4395</v>
      </c>
      <c r="B2">
        <v>2317</v>
      </c>
      <c r="C2">
        <v>7831</v>
      </c>
      <c r="D2">
        <v>7805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 t="s">
        <v>20</v>
      </c>
      <c r="L2" s="1">
        <v>45518</v>
      </c>
      <c r="M2">
        <v>1</v>
      </c>
      <c r="N2">
        <v>1</v>
      </c>
      <c r="O2">
        <v>7</v>
      </c>
      <c r="P2">
        <v>7</v>
      </c>
      <c r="Q2">
        <v>7</v>
      </c>
      <c r="S2">
        <v>0</v>
      </c>
      <c r="T2">
        <v>0</v>
      </c>
      <c r="U2">
        <f>+SUM(Table1[[#This Row],[Latinos]:[Cemex]])</f>
        <v>1</v>
      </c>
      <c r="V2" t="str">
        <f>+Table1[[#This Row],[id_destino]]&amp;" - "&amp;Table1[[#This Row],[id_origen]]</f>
        <v>1 - 1</v>
      </c>
    </row>
    <row r="3" spans="1:22" hidden="1">
      <c r="A3">
        <v>3284</v>
      </c>
      <c r="B3">
        <v>3620</v>
      </c>
      <c r="C3">
        <v>394</v>
      </c>
      <c r="D3">
        <v>427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 t="s">
        <v>20</v>
      </c>
      <c r="L3" s="1">
        <v>44840</v>
      </c>
      <c r="M3">
        <v>3</v>
      </c>
      <c r="N3">
        <v>1</v>
      </c>
      <c r="O3">
        <v>1647</v>
      </c>
      <c r="P3">
        <v>1736</v>
      </c>
      <c r="Q3">
        <v>1647</v>
      </c>
      <c r="S3">
        <v>2765</v>
      </c>
      <c r="T3">
        <v>2765</v>
      </c>
      <c r="U3">
        <f>+SUM(Table1[[#This Row],[Latinos]:[Cemex]])</f>
        <v>1</v>
      </c>
      <c r="V3" t="str">
        <f>+Table1[[#This Row],[id_destino]]&amp;" - "&amp;Table1[[#This Row],[id_origen]]</f>
        <v>3 - 1</v>
      </c>
    </row>
    <row r="4" spans="1:22" hidden="1">
      <c r="A4">
        <v>2837</v>
      </c>
      <c r="B4">
        <v>3599</v>
      </c>
      <c r="C4">
        <v>2161</v>
      </c>
      <c r="D4">
        <v>6722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 t="s">
        <v>20</v>
      </c>
      <c r="L4" s="1">
        <v>44511</v>
      </c>
      <c r="M4">
        <v>5</v>
      </c>
      <c r="N4">
        <v>1</v>
      </c>
      <c r="O4">
        <v>2519</v>
      </c>
      <c r="P4">
        <v>2461</v>
      </c>
      <c r="Q4">
        <v>2519</v>
      </c>
      <c r="S4">
        <v>4281</v>
      </c>
      <c r="T4">
        <v>4733</v>
      </c>
      <c r="U4">
        <f>+SUM(Table1[[#This Row],[Latinos]:[Cemex]])</f>
        <v>1</v>
      </c>
      <c r="V4" t="str">
        <f>+Table1[[#This Row],[id_destino]]&amp;" - "&amp;Table1[[#This Row],[id_origen]]</f>
        <v>5 - 1</v>
      </c>
    </row>
    <row r="5" spans="1:22" hidden="1">
      <c r="A5">
        <v>4433</v>
      </c>
      <c r="B5">
        <v>850</v>
      </c>
      <c r="C5">
        <v>2400</v>
      </c>
      <c r="D5">
        <v>7901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 t="s">
        <v>20</v>
      </c>
      <c r="L5" s="1">
        <v>45538</v>
      </c>
      <c r="M5">
        <v>7</v>
      </c>
      <c r="N5">
        <v>1</v>
      </c>
      <c r="O5">
        <v>2650</v>
      </c>
      <c r="P5">
        <v>2516</v>
      </c>
      <c r="Q5">
        <v>2650</v>
      </c>
      <c r="S5">
        <v>5518</v>
      </c>
      <c r="T5">
        <v>5754</v>
      </c>
      <c r="U5">
        <f>+SUM(Table1[[#This Row],[Latinos]:[Cemex]])</f>
        <v>1</v>
      </c>
      <c r="V5" t="str">
        <f>+Table1[[#This Row],[id_destino]]&amp;" - "&amp;Table1[[#This Row],[id_origen]]</f>
        <v>7 - 1</v>
      </c>
    </row>
    <row r="6" spans="1:22" hidden="1">
      <c r="A6">
        <v>1080</v>
      </c>
      <c r="B6">
        <v>2576</v>
      </c>
      <c r="C6">
        <v>641</v>
      </c>
      <c r="D6">
        <v>5616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t="s">
        <v>20</v>
      </c>
      <c r="L6" s="1">
        <v>43277</v>
      </c>
      <c r="M6">
        <v>11</v>
      </c>
      <c r="N6">
        <v>1</v>
      </c>
      <c r="O6">
        <v>714</v>
      </c>
      <c r="P6">
        <v>693</v>
      </c>
      <c r="Q6">
        <v>714</v>
      </c>
      <c r="S6">
        <v>370</v>
      </c>
      <c r="T6">
        <v>370</v>
      </c>
      <c r="U6">
        <f>+SUM(Table1[[#This Row],[Latinos]:[Cemex]])</f>
        <v>1</v>
      </c>
      <c r="V6" t="str">
        <f>+Table1[[#This Row],[id_destino]]&amp;" - "&amp;Table1[[#This Row],[id_origen]]</f>
        <v>11 - 1</v>
      </c>
    </row>
    <row r="7" spans="1:22" hidden="1">
      <c r="A7">
        <v>697</v>
      </c>
      <c r="B7">
        <v>658</v>
      </c>
      <c r="C7">
        <v>394</v>
      </c>
      <c r="D7">
        <v>349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 t="s">
        <v>20</v>
      </c>
      <c r="L7" s="1">
        <v>44838</v>
      </c>
      <c r="M7">
        <v>12</v>
      </c>
      <c r="N7">
        <v>1</v>
      </c>
      <c r="O7">
        <v>694</v>
      </c>
      <c r="P7">
        <v>691</v>
      </c>
      <c r="Q7">
        <v>694</v>
      </c>
      <c r="S7">
        <v>0</v>
      </c>
      <c r="T7">
        <v>0</v>
      </c>
      <c r="U7">
        <f>+SUM(Table1[[#This Row],[Latinos]:[Cemex]])</f>
        <v>1</v>
      </c>
      <c r="V7" t="str">
        <f>+Table1[[#This Row],[id_destino]]&amp;" - "&amp;Table1[[#This Row],[id_origen]]</f>
        <v>12 - 1</v>
      </c>
    </row>
    <row r="8" spans="1:22" hidden="1">
      <c r="A8">
        <v>3776</v>
      </c>
      <c r="B8">
        <v>1792</v>
      </c>
      <c r="C8">
        <v>3865</v>
      </c>
      <c r="D8">
        <v>7372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t="s">
        <v>20</v>
      </c>
      <c r="L8" s="1">
        <v>45083</v>
      </c>
      <c r="M8">
        <v>15</v>
      </c>
      <c r="N8">
        <v>1</v>
      </c>
      <c r="O8">
        <v>1170</v>
      </c>
      <c r="P8">
        <v>1170</v>
      </c>
      <c r="Q8">
        <v>1170</v>
      </c>
      <c r="S8">
        <v>0</v>
      </c>
      <c r="T8">
        <v>0</v>
      </c>
      <c r="U8">
        <f>+SUM(Table1[[#This Row],[Latinos]:[Cemex]])</f>
        <v>1</v>
      </c>
      <c r="V8" t="str">
        <f>+Table1[[#This Row],[id_destino]]&amp;" - "&amp;Table1[[#This Row],[id_origen]]</f>
        <v>15 - 1</v>
      </c>
    </row>
    <row r="9" spans="1:22" hidden="1">
      <c r="A9">
        <v>825</v>
      </c>
      <c r="B9">
        <v>1949</v>
      </c>
      <c r="C9">
        <v>4270</v>
      </c>
      <c r="D9">
        <v>5008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 t="s">
        <v>20</v>
      </c>
      <c r="L9" s="1">
        <v>44330</v>
      </c>
      <c r="M9">
        <v>16</v>
      </c>
      <c r="N9">
        <v>1</v>
      </c>
      <c r="O9">
        <v>805</v>
      </c>
      <c r="P9">
        <v>819</v>
      </c>
      <c r="Q9">
        <v>805</v>
      </c>
      <c r="S9">
        <v>1251</v>
      </c>
      <c r="T9">
        <v>1473</v>
      </c>
      <c r="U9">
        <f>+SUM(Table1[[#This Row],[Latinos]:[Cemex]])</f>
        <v>1</v>
      </c>
      <c r="V9" t="str">
        <f>+Table1[[#This Row],[id_destino]]&amp;" - "&amp;Table1[[#This Row],[id_origen]]</f>
        <v>16 - 1</v>
      </c>
    </row>
    <row r="10" spans="1:22" hidden="1">
      <c r="A10">
        <v>434</v>
      </c>
      <c r="B10">
        <v>1170</v>
      </c>
      <c r="C10">
        <v>394</v>
      </c>
      <c r="D10">
        <v>3935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 t="s">
        <v>20</v>
      </c>
      <c r="L10" s="1">
        <v>43066</v>
      </c>
      <c r="M10">
        <v>19</v>
      </c>
      <c r="N10">
        <v>1</v>
      </c>
      <c r="O10">
        <v>912</v>
      </c>
      <c r="P10">
        <v>912</v>
      </c>
      <c r="Q10">
        <v>912</v>
      </c>
      <c r="S10">
        <v>0</v>
      </c>
      <c r="T10">
        <v>0</v>
      </c>
      <c r="U10">
        <f>+SUM(Table1[[#This Row],[Latinos]:[Cemex]])</f>
        <v>1</v>
      </c>
      <c r="V10" t="str">
        <f>+Table1[[#This Row],[id_destino]]&amp;" - "&amp;Table1[[#This Row],[id_origen]]</f>
        <v>19 - 1</v>
      </c>
    </row>
    <row r="11" spans="1:22" hidden="1">
      <c r="A11">
        <v>492</v>
      </c>
      <c r="B11">
        <v>2317</v>
      </c>
      <c r="C11">
        <v>394</v>
      </c>
      <c r="D11">
        <v>1918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 t="s">
        <v>20</v>
      </c>
      <c r="L11" s="1">
        <v>44973</v>
      </c>
      <c r="M11">
        <v>19</v>
      </c>
      <c r="N11">
        <v>1</v>
      </c>
      <c r="O11">
        <v>100</v>
      </c>
      <c r="P11">
        <v>100</v>
      </c>
      <c r="Q11">
        <v>100</v>
      </c>
      <c r="S11">
        <v>0</v>
      </c>
      <c r="T11">
        <v>0</v>
      </c>
      <c r="U11">
        <f>+SUM(Table1[[#This Row],[Latinos]:[Cemex]])</f>
        <v>1</v>
      </c>
      <c r="V11" t="str">
        <f>+Table1[[#This Row],[id_destino]]&amp;" - "&amp;Table1[[#This Row],[id_origen]]</f>
        <v>19 - 1</v>
      </c>
    </row>
    <row r="12" spans="1:22" hidden="1">
      <c r="A12">
        <v>2193</v>
      </c>
      <c r="B12">
        <v>1295</v>
      </c>
      <c r="C12">
        <v>3865</v>
      </c>
      <c r="D12">
        <v>4455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 t="s">
        <v>20</v>
      </c>
      <c r="L12" s="1">
        <v>43851</v>
      </c>
      <c r="M12">
        <v>23</v>
      </c>
      <c r="N12">
        <v>1</v>
      </c>
      <c r="O12">
        <v>849</v>
      </c>
      <c r="P12">
        <v>789</v>
      </c>
      <c r="Q12">
        <v>849</v>
      </c>
      <c r="S12">
        <v>1649</v>
      </c>
      <c r="T12">
        <v>1687</v>
      </c>
      <c r="U12">
        <f>+SUM(Table1[[#This Row],[Latinos]:[Cemex]])</f>
        <v>1</v>
      </c>
      <c r="V12" t="str">
        <f>+Table1[[#This Row],[id_destino]]&amp;" - "&amp;Table1[[#This Row],[id_origen]]</f>
        <v>23 - 1</v>
      </c>
    </row>
    <row r="13" spans="1:22" hidden="1">
      <c r="A13">
        <v>2770</v>
      </c>
      <c r="B13">
        <v>1295</v>
      </c>
      <c r="C13">
        <v>2619</v>
      </c>
      <c r="D13">
        <v>5530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 t="s">
        <v>20</v>
      </c>
      <c r="L13" s="1">
        <v>44432</v>
      </c>
      <c r="M13">
        <v>23</v>
      </c>
      <c r="N13">
        <v>1</v>
      </c>
      <c r="O13">
        <v>852</v>
      </c>
      <c r="P13">
        <v>848</v>
      </c>
      <c r="Q13">
        <v>852</v>
      </c>
      <c r="S13">
        <v>0</v>
      </c>
      <c r="T13">
        <v>0</v>
      </c>
      <c r="U13">
        <f>+SUM(Table1[[#This Row],[Latinos]:[Cemex]])</f>
        <v>1</v>
      </c>
      <c r="V13" t="str">
        <f>+Table1[[#This Row],[id_destino]]&amp;" - "&amp;Table1[[#This Row],[id_origen]]</f>
        <v>23 - 1</v>
      </c>
    </row>
    <row r="14" spans="1:22" hidden="1">
      <c r="A14">
        <v>2706</v>
      </c>
      <c r="B14">
        <v>3513</v>
      </c>
      <c r="C14">
        <v>394</v>
      </c>
      <c r="D14">
        <v>387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 t="s">
        <v>20</v>
      </c>
      <c r="L14" s="1">
        <v>44364</v>
      </c>
      <c r="M14">
        <v>30</v>
      </c>
      <c r="N14">
        <v>1</v>
      </c>
      <c r="O14">
        <v>839</v>
      </c>
      <c r="P14">
        <v>839</v>
      </c>
      <c r="Q14">
        <v>839</v>
      </c>
      <c r="S14">
        <v>0</v>
      </c>
      <c r="T14">
        <v>0</v>
      </c>
      <c r="U14">
        <f>+SUM(Table1[[#This Row],[Latinos]:[Cemex]])</f>
        <v>1</v>
      </c>
      <c r="V14" t="str">
        <f>+Table1[[#This Row],[id_destino]]&amp;" - "&amp;Table1[[#This Row],[id_origen]]</f>
        <v>30 - 1</v>
      </c>
    </row>
    <row r="15" spans="1:22" hidden="1">
      <c r="A15">
        <v>700</v>
      </c>
      <c r="B15">
        <v>931</v>
      </c>
      <c r="C15">
        <v>394</v>
      </c>
      <c r="D15">
        <v>5437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 t="s">
        <v>20</v>
      </c>
      <c r="L15" s="1">
        <v>43133</v>
      </c>
      <c r="M15">
        <v>33</v>
      </c>
      <c r="N15">
        <v>1</v>
      </c>
      <c r="O15">
        <v>373</v>
      </c>
      <c r="P15">
        <v>373</v>
      </c>
      <c r="Q15">
        <v>373</v>
      </c>
      <c r="S15">
        <v>0</v>
      </c>
      <c r="T15">
        <v>0</v>
      </c>
      <c r="U15">
        <f>+SUM(Table1[[#This Row],[Latinos]:[Cemex]])</f>
        <v>1</v>
      </c>
      <c r="V15" t="str">
        <f>+Table1[[#This Row],[id_destino]]&amp;" - "&amp;Table1[[#This Row],[id_origen]]</f>
        <v>33 - 1</v>
      </c>
    </row>
    <row r="16" spans="1:22" hidden="1">
      <c r="A16">
        <v>2655</v>
      </c>
      <c r="B16">
        <v>273</v>
      </c>
      <c r="C16">
        <v>4270</v>
      </c>
      <c r="D16">
        <v>4977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20</v>
      </c>
      <c r="L16" s="1">
        <v>44295</v>
      </c>
      <c r="M16">
        <v>34</v>
      </c>
      <c r="N16">
        <v>1</v>
      </c>
      <c r="O16">
        <v>364</v>
      </c>
      <c r="P16">
        <v>341</v>
      </c>
      <c r="Q16">
        <v>364</v>
      </c>
      <c r="S16">
        <v>849</v>
      </c>
      <c r="T16">
        <v>849</v>
      </c>
      <c r="U16">
        <f>+SUM(Table1[[#This Row],[Latinos]:[Cemex]])</f>
        <v>1</v>
      </c>
      <c r="V16" t="str">
        <f>+Table1[[#This Row],[id_destino]]&amp;" - "&amp;Table1[[#This Row],[id_origen]]</f>
        <v>34 - 1</v>
      </c>
    </row>
    <row r="17" spans="1:22" hidden="1">
      <c r="A17">
        <v>3362</v>
      </c>
      <c r="B17">
        <v>33</v>
      </c>
      <c r="C17">
        <v>5199</v>
      </c>
      <c r="D17">
        <v>426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 t="s">
        <v>20</v>
      </c>
      <c r="L17" s="1">
        <v>44848</v>
      </c>
      <c r="M17">
        <v>35</v>
      </c>
      <c r="N17">
        <v>1</v>
      </c>
      <c r="O17">
        <v>1295</v>
      </c>
      <c r="P17">
        <v>1339</v>
      </c>
      <c r="Q17">
        <v>1295</v>
      </c>
      <c r="S17">
        <v>2106</v>
      </c>
      <c r="T17">
        <v>2106</v>
      </c>
      <c r="U17">
        <f>+SUM(Table1[[#This Row],[Latinos]:[Cemex]])</f>
        <v>1</v>
      </c>
      <c r="V17" t="str">
        <f>+Table1[[#This Row],[id_destino]]&amp;" - "&amp;Table1[[#This Row],[id_origen]]</f>
        <v>35 - 1</v>
      </c>
    </row>
    <row r="18" spans="1:22" hidden="1">
      <c r="A18">
        <v>1683</v>
      </c>
      <c r="B18">
        <v>1033</v>
      </c>
      <c r="C18">
        <v>4270</v>
      </c>
      <c r="D18">
        <v>6564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 t="s">
        <v>74</v>
      </c>
      <c r="L18" s="1">
        <v>44305</v>
      </c>
      <c r="M18">
        <v>35</v>
      </c>
      <c r="N18">
        <v>1</v>
      </c>
      <c r="O18">
        <v>1268</v>
      </c>
      <c r="P18">
        <v>1301</v>
      </c>
      <c r="Q18">
        <v>1268</v>
      </c>
      <c r="S18">
        <v>2196</v>
      </c>
      <c r="T18">
        <v>2196</v>
      </c>
      <c r="U18">
        <f>+SUM(Table1[[#This Row],[Latinos]:[Cemex]])</f>
        <v>2</v>
      </c>
      <c r="V18" t="str">
        <f>+Table1[[#This Row],[id_destino]]&amp;" - "&amp;Table1[[#This Row],[id_origen]]</f>
        <v>35 - 1</v>
      </c>
    </row>
    <row r="19" spans="1:22" hidden="1">
      <c r="A19">
        <v>1311</v>
      </c>
      <c r="B19">
        <v>2686</v>
      </c>
      <c r="C19">
        <v>394</v>
      </c>
      <c r="D19">
        <v>361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 t="s">
        <v>20</v>
      </c>
      <c r="L19" s="1">
        <v>45744</v>
      </c>
      <c r="M19">
        <v>43</v>
      </c>
      <c r="N19">
        <v>1</v>
      </c>
      <c r="O19">
        <v>1484</v>
      </c>
      <c r="P19">
        <v>1484</v>
      </c>
      <c r="Q19">
        <v>1484</v>
      </c>
      <c r="S19">
        <v>2463</v>
      </c>
      <c r="T19">
        <v>2463</v>
      </c>
      <c r="U19">
        <f>+SUM(Table1[[#This Row],[Latinos]:[Cemex]])</f>
        <v>1</v>
      </c>
      <c r="V19" t="str">
        <f>+Table1[[#This Row],[id_destino]]&amp;" - "&amp;Table1[[#This Row],[id_origen]]</f>
        <v>43 - 1</v>
      </c>
    </row>
    <row r="20" spans="1:22" hidden="1">
      <c r="A20">
        <v>484</v>
      </c>
      <c r="B20">
        <v>2315</v>
      </c>
      <c r="C20">
        <v>394</v>
      </c>
      <c r="D20">
        <v>478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 t="s">
        <v>34</v>
      </c>
      <c r="L20" s="1">
        <v>45177</v>
      </c>
      <c r="M20">
        <v>46</v>
      </c>
      <c r="N20">
        <v>1</v>
      </c>
      <c r="O20">
        <v>1105</v>
      </c>
      <c r="P20">
        <v>1116</v>
      </c>
      <c r="Q20">
        <v>1105</v>
      </c>
      <c r="S20">
        <v>986</v>
      </c>
      <c r="T20">
        <v>1040</v>
      </c>
      <c r="U20">
        <f>+SUM(Table1[[#This Row],[Latinos]:[Cemex]])</f>
        <v>1</v>
      </c>
      <c r="V20" t="str">
        <f>+Table1[[#This Row],[id_destino]]&amp;" - "&amp;Table1[[#This Row],[id_origen]]</f>
        <v>46 - 1</v>
      </c>
    </row>
    <row r="21" spans="1:22" hidden="1">
      <c r="A21">
        <v>1520</v>
      </c>
      <c r="B21">
        <v>2792</v>
      </c>
      <c r="C21">
        <v>394</v>
      </c>
      <c r="D21">
        <v>414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 t="s">
        <v>20</v>
      </c>
      <c r="L21" s="1">
        <v>43486</v>
      </c>
      <c r="M21">
        <v>49</v>
      </c>
      <c r="N21">
        <v>1</v>
      </c>
      <c r="O21">
        <v>586</v>
      </c>
      <c r="P21">
        <v>586</v>
      </c>
      <c r="Q21">
        <v>586</v>
      </c>
      <c r="S21">
        <v>0</v>
      </c>
      <c r="T21">
        <v>0</v>
      </c>
      <c r="U21">
        <f>+SUM(Table1[[#This Row],[Latinos]:[Cemex]])</f>
        <v>1</v>
      </c>
      <c r="V21" t="str">
        <f>+Table1[[#This Row],[id_destino]]&amp;" - "&amp;Table1[[#This Row],[id_origen]]</f>
        <v>49 - 1</v>
      </c>
    </row>
    <row r="22" spans="1:22" hidden="1">
      <c r="A22">
        <v>688</v>
      </c>
      <c r="B22">
        <v>2408</v>
      </c>
      <c r="C22">
        <v>394</v>
      </c>
      <c r="D22">
        <v>5450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 t="s">
        <v>20</v>
      </c>
      <c r="L22" s="1">
        <v>44447</v>
      </c>
      <c r="M22">
        <v>51</v>
      </c>
      <c r="N22">
        <v>1</v>
      </c>
      <c r="O22">
        <v>50</v>
      </c>
      <c r="P22">
        <v>100</v>
      </c>
      <c r="Q22">
        <v>50</v>
      </c>
      <c r="S22">
        <v>0</v>
      </c>
      <c r="T22">
        <v>0</v>
      </c>
      <c r="U22">
        <f>+SUM(Table1[[#This Row],[Latinos]:[Cemex]])</f>
        <v>1</v>
      </c>
      <c r="V22" t="str">
        <f>+Table1[[#This Row],[id_destino]]&amp;" - "&amp;Table1[[#This Row],[id_origen]]</f>
        <v>51 - 1</v>
      </c>
    </row>
    <row r="23" spans="1:22" hidden="1">
      <c r="A23">
        <v>4372</v>
      </c>
      <c r="B23">
        <v>2408</v>
      </c>
      <c r="C23">
        <v>2400</v>
      </c>
      <c r="D23">
        <v>6435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 t="s">
        <v>20</v>
      </c>
      <c r="L23" s="1">
        <v>45498</v>
      </c>
      <c r="M23">
        <v>51</v>
      </c>
      <c r="N23">
        <v>1</v>
      </c>
      <c r="O23">
        <v>50</v>
      </c>
      <c r="P23">
        <v>150</v>
      </c>
      <c r="Q23">
        <v>50</v>
      </c>
      <c r="S23">
        <v>0</v>
      </c>
      <c r="T23">
        <v>0</v>
      </c>
      <c r="U23">
        <f>+SUM(Table1[[#This Row],[Latinos]:[Cemex]])</f>
        <v>1</v>
      </c>
      <c r="V23" t="str">
        <f>+Table1[[#This Row],[id_destino]]&amp;" - "&amp;Table1[[#This Row],[id_origen]]</f>
        <v>51 - 1</v>
      </c>
    </row>
    <row r="24" spans="1:22" hidden="1">
      <c r="A24">
        <v>2182</v>
      </c>
      <c r="B24">
        <v>1004</v>
      </c>
      <c r="C24">
        <v>682</v>
      </c>
      <c r="D24">
        <v>3431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 t="s">
        <v>20</v>
      </c>
      <c r="L24" s="1">
        <v>43845</v>
      </c>
      <c r="M24">
        <v>52</v>
      </c>
      <c r="N24">
        <v>1</v>
      </c>
      <c r="O24">
        <v>50</v>
      </c>
      <c r="P24">
        <v>150</v>
      </c>
      <c r="Q24">
        <v>50</v>
      </c>
      <c r="S24">
        <v>0</v>
      </c>
      <c r="T24">
        <v>0</v>
      </c>
      <c r="U24">
        <f>+SUM(Table1[[#This Row],[Latinos]:[Cemex]])</f>
        <v>1</v>
      </c>
      <c r="V24" t="str">
        <f>+Table1[[#This Row],[id_destino]]&amp;" - "&amp;Table1[[#This Row],[id_origen]]</f>
        <v>52 - 1</v>
      </c>
    </row>
    <row r="25" spans="1:22" hidden="1">
      <c r="A25">
        <v>3392</v>
      </c>
      <c r="B25">
        <v>1677</v>
      </c>
      <c r="C25">
        <v>394</v>
      </c>
      <c r="D25">
        <v>389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 t="s">
        <v>20</v>
      </c>
      <c r="L25" s="1">
        <v>44884</v>
      </c>
      <c r="M25">
        <v>61</v>
      </c>
      <c r="N25">
        <v>1</v>
      </c>
      <c r="O25">
        <v>2405</v>
      </c>
      <c r="P25">
        <v>2411</v>
      </c>
      <c r="Q25">
        <v>2405</v>
      </c>
      <c r="S25">
        <v>4583</v>
      </c>
      <c r="T25">
        <v>5027</v>
      </c>
      <c r="U25">
        <f>+SUM(Table1[[#This Row],[Latinos]:[Cemex]])</f>
        <v>1</v>
      </c>
      <c r="V25" t="str">
        <f>+Table1[[#This Row],[id_destino]]&amp;" - "&amp;Table1[[#This Row],[id_origen]]</f>
        <v>61 - 1</v>
      </c>
    </row>
    <row r="26" spans="1:22" hidden="1">
      <c r="A26">
        <v>790</v>
      </c>
      <c r="B26">
        <v>1484</v>
      </c>
      <c r="C26">
        <v>394</v>
      </c>
      <c r="D26">
        <v>582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 t="s">
        <v>20</v>
      </c>
      <c r="L26" s="1">
        <v>44832</v>
      </c>
      <c r="M26">
        <v>63</v>
      </c>
      <c r="N26">
        <v>1</v>
      </c>
      <c r="O26">
        <v>688</v>
      </c>
      <c r="P26">
        <v>669</v>
      </c>
      <c r="Q26">
        <v>688</v>
      </c>
      <c r="S26">
        <v>763</v>
      </c>
      <c r="T26">
        <v>817</v>
      </c>
      <c r="U26">
        <f>+SUM(Table1[[#This Row],[Latinos]:[Cemex]])</f>
        <v>1</v>
      </c>
      <c r="V26" t="str">
        <f>+Table1[[#This Row],[id_destino]]&amp;" - "&amp;Table1[[#This Row],[id_origen]]</f>
        <v>63 - 1</v>
      </c>
    </row>
    <row r="27" spans="1:22" hidden="1">
      <c r="A27">
        <v>1958</v>
      </c>
      <c r="B27">
        <v>3045</v>
      </c>
      <c r="C27">
        <v>2161</v>
      </c>
      <c r="D27">
        <v>6080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 t="s">
        <v>20</v>
      </c>
      <c r="L27" s="1">
        <v>43740</v>
      </c>
      <c r="M27">
        <v>65</v>
      </c>
      <c r="N27">
        <v>1</v>
      </c>
      <c r="O27">
        <v>1018</v>
      </c>
      <c r="P27">
        <v>1018</v>
      </c>
      <c r="Q27">
        <v>1018</v>
      </c>
      <c r="S27">
        <v>0</v>
      </c>
      <c r="T27">
        <v>0</v>
      </c>
      <c r="U27">
        <f>+SUM(Table1[[#This Row],[Latinos]:[Cemex]])</f>
        <v>1</v>
      </c>
      <c r="V27" t="str">
        <f>+Table1[[#This Row],[id_destino]]&amp;" - "&amp;Table1[[#This Row],[id_origen]]</f>
        <v>65 - 1</v>
      </c>
    </row>
    <row r="28" spans="1:22" hidden="1">
      <c r="A28">
        <v>756</v>
      </c>
      <c r="B28">
        <v>1683</v>
      </c>
      <c r="C28">
        <v>4270</v>
      </c>
      <c r="D28">
        <v>3001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 t="s">
        <v>20</v>
      </c>
      <c r="L28" s="1">
        <v>43153</v>
      </c>
      <c r="M28">
        <v>71</v>
      </c>
      <c r="N28">
        <v>1</v>
      </c>
      <c r="O28">
        <v>845</v>
      </c>
      <c r="P28">
        <v>848</v>
      </c>
      <c r="Q28">
        <v>845</v>
      </c>
      <c r="S28">
        <v>1087</v>
      </c>
      <c r="T28">
        <v>1087</v>
      </c>
      <c r="U28">
        <f>+SUM(Table1[[#This Row],[Latinos]:[Cemex]])</f>
        <v>1</v>
      </c>
      <c r="V28" t="str">
        <f>+Table1[[#This Row],[id_destino]]&amp;" - "&amp;Table1[[#This Row],[id_origen]]</f>
        <v>71 - 1</v>
      </c>
    </row>
    <row r="29" spans="1:22" hidden="1">
      <c r="A29">
        <v>2231</v>
      </c>
      <c r="B29">
        <v>3216</v>
      </c>
      <c r="C29">
        <v>394</v>
      </c>
      <c r="D29">
        <v>6271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 t="s">
        <v>20</v>
      </c>
      <c r="L29" s="1">
        <v>44447</v>
      </c>
      <c r="M29">
        <v>84</v>
      </c>
      <c r="N29">
        <v>1</v>
      </c>
      <c r="O29">
        <v>50</v>
      </c>
      <c r="P29">
        <v>100</v>
      </c>
      <c r="Q29">
        <v>50</v>
      </c>
      <c r="S29">
        <v>0</v>
      </c>
      <c r="T29">
        <v>0</v>
      </c>
      <c r="U29">
        <f>+SUM(Table1[[#This Row],[Latinos]:[Cemex]])</f>
        <v>1</v>
      </c>
      <c r="V29" t="str">
        <f>+Table1[[#This Row],[id_destino]]&amp;" - "&amp;Table1[[#This Row],[id_origen]]</f>
        <v>84 - 1</v>
      </c>
    </row>
    <row r="30" spans="1:22" hidden="1">
      <c r="A30">
        <v>1965</v>
      </c>
      <c r="B30">
        <v>3051</v>
      </c>
      <c r="C30">
        <v>394</v>
      </c>
      <c r="D30">
        <v>5472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 t="s">
        <v>20</v>
      </c>
      <c r="L30" s="1">
        <v>44438</v>
      </c>
      <c r="M30">
        <v>102</v>
      </c>
      <c r="N30">
        <v>1</v>
      </c>
      <c r="O30">
        <v>302</v>
      </c>
      <c r="P30">
        <v>302</v>
      </c>
      <c r="Q30">
        <v>302</v>
      </c>
      <c r="S30">
        <v>0</v>
      </c>
      <c r="T30">
        <v>0</v>
      </c>
      <c r="U30">
        <f>+SUM(Table1[[#This Row],[Latinos]:[Cemex]])</f>
        <v>1</v>
      </c>
      <c r="V30" t="str">
        <f>+Table1[[#This Row],[id_destino]]&amp;" - "&amp;Table1[[#This Row],[id_origen]]</f>
        <v>102 - 1</v>
      </c>
    </row>
    <row r="31" spans="1:22" hidden="1">
      <c r="A31">
        <v>1210</v>
      </c>
      <c r="B31">
        <v>2637</v>
      </c>
      <c r="C31">
        <v>5564</v>
      </c>
      <c r="D31">
        <v>5355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 t="s">
        <v>20</v>
      </c>
      <c r="L31" s="1">
        <v>43342</v>
      </c>
      <c r="M31">
        <v>105</v>
      </c>
      <c r="N31">
        <v>1</v>
      </c>
      <c r="O31">
        <v>882</v>
      </c>
      <c r="P31">
        <v>860</v>
      </c>
      <c r="Q31">
        <v>882</v>
      </c>
      <c r="S31">
        <v>787</v>
      </c>
      <c r="T31">
        <v>787</v>
      </c>
      <c r="U31">
        <f>+SUM(Table1[[#This Row],[Latinos]:[Cemex]])</f>
        <v>1</v>
      </c>
      <c r="V31" t="str">
        <f>+Table1[[#This Row],[id_destino]]&amp;" - "&amp;Table1[[#This Row],[id_origen]]</f>
        <v>105 - 1</v>
      </c>
    </row>
    <row r="32" spans="1:22" hidden="1">
      <c r="A32">
        <v>1288</v>
      </c>
      <c r="B32">
        <v>2673</v>
      </c>
      <c r="C32">
        <v>394</v>
      </c>
      <c r="D32">
        <v>1637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 t="s">
        <v>20</v>
      </c>
      <c r="L32" s="1">
        <v>43368</v>
      </c>
      <c r="M32">
        <v>107</v>
      </c>
      <c r="N32">
        <v>1</v>
      </c>
      <c r="O32">
        <v>556</v>
      </c>
      <c r="P32">
        <v>556</v>
      </c>
      <c r="Q32">
        <v>556</v>
      </c>
      <c r="S32">
        <v>0</v>
      </c>
      <c r="T32">
        <v>0</v>
      </c>
      <c r="U32">
        <f>+SUM(Table1[[#This Row],[Latinos]:[Cemex]])</f>
        <v>1</v>
      </c>
      <c r="V32" t="str">
        <f>+Table1[[#This Row],[id_destino]]&amp;" - "&amp;Table1[[#This Row],[id_origen]]</f>
        <v>107 - 1</v>
      </c>
    </row>
    <row r="33" spans="1:22" hidden="1">
      <c r="A33">
        <v>768</v>
      </c>
      <c r="B33">
        <v>1931</v>
      </c>
      <c r="C33">
        <v>4270</v>
      </c>
      <c r="D33">
        <v>4990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 t="s">
        <v>20</v>
      </c>
      <c r="L33" s="1">
        <v>43160</v>
      </c>
      <c r="M33">
        <v>121</v>
      </c>
      <c r="N33">
        <v>1</v>
      </c>
      <c r="O33">
        <v>700</v>
      </c>
      <c r="P33">
        <v>685</v>
      </c>
      <c r="Q33">
        <v>700</v>
      </c>
      <c r="S33">
        <v>367</v>
      </c>
      <c r="T33">
        <v>367</v>
      </c>
      <c r="U33">
        <f>+SUM(Table1[[#This Row],[Latinos]:[Cemex]])</f>
        <v>1</v>
      </c>
      <c r="V33" t="str">
        <f>+Table1[[#This Row],[id_destino]]&amp;" - "&amp;Table1[[#This Row],[id_origen]]</f>
        <v>121 - 1</v>
      </c>
    </row>
    <row r="34" spans="1:22" hidden="1">
      <c r="A34">
        <v>4125</v>
      </c>
      <c r="B34">
        <v>4432</v>
      </c>
      <c r="C34">
        <v>6971</v>
      </c>
      <c r="D34">
        <v>7633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 t="s">
        <v>20</v>
      </c>
      <c r="L34" s="1">
        <v>45307</v>
      </c>
      <c r="M34">
        <v>144</v>
      </c>
      <c r="N34">
        <v>1</v>
      </c>
      <c r="O34">
        <v>753</v>
      </c>
      <c r="P34">
        <v>735</v>
      </c>
      <c r="Q34">
        <v>753</v>
      </c>
      <c r="S34">
        <v>549</v>
      </c>
      <c r="T34">
        <v>549</v>
      </c>
      <c r="U34">
        <f>+SUM(Table1[[#This Row],[Latinos]:[Cemex]])</f>
        <v>1</v>
      </c>
      <c r="V34" t="str">
        <f>+Table1[[#This Row],[id_destino]]&amp;" - "&amp;Table1[[#This Row],[id_origen]]</f>
        <v>144 - 1</v>
      </c>
    </row>
    <row r="35" spans="1:22" hidden="1">
      <c r="A35">
        <v>1295</v>
      </c>
      <c r="B35">
        <v>2678</v>
      </c>
      <c r="C35">
        <v>2161</v>
      </c>
      <c r="D35">
        <v>5714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 t="s">
        <v>20</v>
      </c>
      <c r="L35" s="1">
        <v>43371</v>
      </c>
      <c r="M35">
        <v>148</v>
      </c>
      <c r="N35">
        <v>1</v>
      </c>
      <c r="O35">
        <v>463</v>
      </c>
      <c r="P35">
        <v>463</v>
      </c>
      <c r="Q35">
        <v>463</v>
      </c>
      <c r="S35">
        <v>0</v>
      </c>
      <c r="T35">
        <v>0</v>
      </c>
      <c r="U35">
        <f>+SUM(Table1[[#This Row],[Latinos]:[Cemex]])</f>
        <v>1</v>
      </c>
      <c r="V35" t="str">
        <f>+Table1[[#This Row],[id_destino]]&amp;" - "&amp;Table1[[#This Row],[id_origen]]</f>
        <v>148 - 1</v>
      </c>
    </row>
    <row r="36" spans="1:22" hidden="1">
      <c r="A36">
        <v>2631</v>
      </c>
      <c r="B36">
        <v>3464</v>
      </c>
      <c r="C36">
        <v>6536</v>
      </c>
      <c r="D36">
        <v>6406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 t="s">
        <v>20</v>
      </c>
      <c r="L36" s="1">
        <v>44260</v>
      </c>
      <c r="M36">
        <v>159</v>
      </c>
      <c r="N36">
        <v>1</v>
      </c>
      <c r="O36">
        <v>1405</v>
      </c>
      <c r="P36">
        <v>1405</v>
      </c>
      <c r="Q36">
        <v>1405</v>
      </c>
      <c r="S36">
        <v>0</v>
      </c>
      <c r="T36">
        <v>0</v>
      </c>
      <c r="U36">
        <f>+SUM(Table1[[#This Row],[Latinos]:[Cemex]])</f>
        <v>1</v>
      </c>
      <c r="V36" t="str">
        <f>+Table1[[#This Row],[id_destino]]&amp;" - "&amp;Table1[[#This Row],[id_origen]]</f>
        <v>159 - 1</v>
      </c>
    </row>
    <row r="37" spans="1:22" hidden="1">
      <c r="A37">
        <v>648</v>
      </c>
      <c r="B37">
        <v>2386</v>
      </c>
      <c r="C37">
        <v>394</v>
      </c>
      <c r="D37">
        <v>382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 t="s">
        <v>20</v>
      </c>
      <c r="L37" s="1">
        <v>43123</v>
      </c>
      <c r="M37">
        <v>169</v>
      </c>
      <c r="N37">
        <v>1</v>
      </c>
      <c r="O37">
        <v>700</v>
      </c>
      <c r="P37">
        <v>700</v>
      </c>
      <c r="Q37">
        <v>700</v>
      </c>
      <c r="S37">
        <v>0</v>
      </c>
      <c r="T37">
        <v>0</v>
      </c>
      <c r="U37">
        <f>+SUM(Table1[[#This Row],[Latinos]:[Cemex]])</f>
        <v>1</v>
      </c>
      <c r="V37" t="str">
        <f>+Table1[[#This Row],[id_destino]]&amp;" - "&amp;Table1[[#This Row],[id_origen]]</f>
        <v>169 - 1</v>
      </c>
    </row>
    <row r="38" spans="1:22" hidden="1">
      <c r="A38">
        <v>653</v>
      </c>
      <c r="B38">
        <v>2386</v>
      </c>
      <c r="C38">
        <v>394</v>
      </c>
      <c r="D38">
        <v>382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 t="s">
        <v>20</v>
      </c>
      <c r="L38" s="1">
        <v>43792</v>
      </c>
      <c r="M38">
        <v>169</v>
      </c>
      <c r="N38">
        <v>1</v>
      </c>
      <c r="O38">
        <v>697</v>
      </c>
      <c r="P38">
        <v>697</v>
      </c>
      <c r="Q38">
        <v>697</v>
      </c>
      <c r="S38">
        <v>695</v>
      </c>
      <c r="T38">
        <v>695</v>
      </c>
      <c r="U38">
        <f>+SUM(Table1[[#This Row],[Latinos]:[Cemex]])</f>
        <v>1</v>
      </c>
      <c r="V38" t="str">
        <f>+Table1[[#This Row],[id_destino]]&amp;" - "&amp;Table1[[#This Row],[id_origen]]</f>
        <v>169 - 1</v>
      </c>
    </row>
    <row r="39" spans="1:22" hidden="1">
      <c r="A39">
        <v>1275</v>
      </c>
      <c r="B39">
        <v>2665</v>
      </c>
      <c r="C39">
        <v>394</v>
      </c>
      <c r="D39">
        <v>2670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 t="s">
        <v>20</v>
      </c>
      <c r="L39" s="1">
        <v>43796</v>
      </c>
      <c r="M39">
        <v>169</v>
      </c>
      <c r="N39">
        <v>1</v>
      </c>
      <c r="O39">
        <v>697</v>
      </c>
      <c r="P39">
        <v>697</v>
      </c>
      <c r="Q39">
        <v>697</v>
      </c>
      <c r="S39">
        <v>0</v>
      </c>
      <c r="T39">
        <v>0</v>
      </c>
      <c r="U39">
        <f>+SUM(Table1[[#This Row],[Latinos]:[Cemex]])</f>
        <v>1</v>
      </c>
      <c r="V39" t="str">
        <f>+Table1[[#This Row],[id_destino]]&amp;" - "&amp;Table1[[#This Row],[id_origen]]</f>
        <v>169 - 1</v>
      </c>
    </row>
    <row r="40" spans="1:22" hidden="1">
      <c r="A40">
        <v>469</v>
      </c>
      <c r="B40">
        <v>2305</v>
      </c>
      <c r="C40">
        <v>394</v>
      </c>
      <c r="D40">
        <v>405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 t="s">
        <v>20</v>
      </c>
      <c r="L40" s="1">
        <v>43073</v>
      </c>
      <c r="M40">
        <v>180</v>
      </c>
      <c r="N40">
        <v>1</v>
      </c>
      <c r="O40">
        <v>210</v>
      </c>
      <c r="P40">
        <v>210</v>
      </c>
      <c r="Q40">
        <v>210</v>
      </c>
      <c r="S40">
        <v>0</v>
      </c>
      <c r="T40">
        <v>0</v>
      </c>
      <c r="U40">
        <f>+SUM(Table1[[#This Row],[Latinos]:[Cemex]])</f>
        <v>1</v>
      </c>
      <c r="V40" t="str">
        <f>+Table1[[#This Row],[id_destino]]&amp;" - "&amp;Table1[[#This Row],[id_origen]]</f>
        <v>180 - 1</v>
      </c>
    </row>
    <row r="41" spans="1:22" hidden="1">
      <c r="A41">
        <v>2068</v>
      </c>
      <c r="B41">
        <v>3115</v>
      </c>
      <c r="C41">
        <v>394</v>
      </c>
      <c r="D41">
        <v>357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 t="s">
        <v>20</v>
      </c>
      <c r="L41" s="1">
        <v>45282</v>
      </c>
      <c r="M41">
        <v>190</v>
      </c>
      <c r="N41">
        <v>1</v>
      </c>
      <c r="O41">
        <v>574</v>
      </c>
      <c r="P41">
        <v>628</v>
      </c>
      <c r="Q41">
        <v>574</v>
      </c>
      <c r="S41">
        <v>170</v>
      </c>
      <c r="T41">
        <v>170</v>
      </c>
      <c r="U41">
        <f>+SUM(Table1[[#This Row],[Latinos]:[Cemex]])</f>
        <v>1</v>
      </c>
      <c r="V41" t="str">
        <f>+Table1[[#This Row],[id_destino]]&amp;" - "&amp;Table1[[#This Row],[id_origen]]</f>
        <v>190 - 1</v>
      </c>
    </row>
    <row r="42" spans="1:22" hidden="1">
      <c r="A42">
        <v>3577</v>
      </c>
      <c r="B42">
        <v>4086</v>
      </c>
      <c r="C42">
        <v>7229</v>
      </c>
      <c r="D42">
        <v>2506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 t="s">
        <v>20</v>
      </c>
      <c r="L42" s="1">
        <v>44964</v>
      </c>
      <c r="M42">
        <v>225</v>
      </c>
      <c r="N42">
        <v>1</v>
      </c>
      <c r="O42">
        <v>2444</v>
      </c>
      <c r="P42">
        <v>2418</v>
      </c>
      <c r="Q42">
        <v>2444</v>
      </c>
      <c r="S42">
        <v>2988</v>
      </c>
      <c r="T42">
        <v>2988</v>
      </c>
      <c r="U42">
        <f>+SUM(Table1[[#This Row],[Latinos]:[Cemex]])</f>
        <v>1</v>
      </c>
      <c r="V42" t="str">
        <f>+Table1[[#This Row],[id_destino]]&amp;" - "&amp;Table1[[#This Row],[id_origen]]</f>
        <v>225 - 1</v>
      </c>
    </row>
    <row r="43" spans="1:22" hidden="1">
      <c r="A43">
        <v>1428</v>
      </c>
      <c r="B43">
        <v>2742</v>
      </c>
      <c r="C43">
        <v>2161</v>
      </c>
      <c r="D43">
        <v>5746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 t="s">
        <v>20</v>
      </c>
      <c r="L43" s="1">
        <v>43431</v>
      </c>
      <c r="M43">
        <v>343</v>
      </c>
      <c r="N43">
        <v>1</v>
      </c>
      <c r="O43">
        <v>50</v>
      </c>
      <c r="P43">
        <v>150</v>
      </c>
      <c r="Q43">
        <v>50</v>
      </c>
      <c r="S43">
        <v>0</v>
      </c>
      <c r="T43">
        <v>0</v>
      </c>
      <c r="U43">
        <f>+SUM(Table1[[#This Row],[Latinos]:[Cemex]])</f>
        <v>1</v>
      </c>
      <c r="V43" t="str">
        <f>+Table1[[#This Row],[id_destino]]&amp;" - "&amp;Table1[[#This Row],[id_origen]]</f>
        <v>343 - 1</v>
      </c>
    </row>
    <row r="44" spans="1:22" hidden="1">
      <c r="A44">
        <v>2</v>
      </c>
      <c r="B44">
        <v>2219</v>
      </c>
      <c r="C44">
        <v>4270</v>
      </c>
      <c r="D44">
        <v>5275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20</v>
      </c>
      <c r="L44" s="1">
        <v>43945</v>
      </c>
      <c r="M44">
        <v>345</v>
      </c>
      <c r="N44">
        <v>1</v>
      </c>
      <c r="O44">
        <v>922</v>
      </c>
      <c r="P44">
        <v>896</v>
      </c>
      <c r="Q44">
        <v>922</v>
      </c>
      <c r="S44">
        <v>782.76</v>
      </c>
      <c r="T44">
        <v>782.76</v>
      </c>
      <c r="U44">
        <f>+SUM(Table1[[#This Row],[Latinos]:[Cemex]])</f>
        <v>1</v>
      </c>
      <c r="V44" t="str">
        <f>+Table1[[#This Row],[id_destino]]&amp;" - "&amp;Table1[[#This Row],[id_origen]]</f>
        <v>345 - 1</v>
      </c>
    </row>
    <row r="45" spans="1:22" hidden="1">
      <c r="A45">
        <v>4818</v>
      </c>
      <c r="B45">
        <v>4928</v>
      </c>
      <c r="C45">
        <v>8274</v>
      </c>
      <c r="D45">
        <v>4145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 t="s">
        <v>20</v>
      </c>
      <c r="L45" s="1">
        <v>45860</v>
      </c>
      <c r="M45">
        <v>353</v>
      </c>
      <c r="N45">
        <v>1</v>
      </c>
      <c r="O45">
        <v>793</v>
      </c>
      <c r="P45">
        <v>789</v>
      </c>
      <c r="Q45">
        <v>800</v>
      </c>
      <c r="S45">
        <v>0</v>
      </c>
      <c r="T45">
        <v>0</v>
      </c>
      <c r="U45">
        <f>+SUM(Table1[[#This Row],[Latinos]:[Cemex]])</f>
        <v>1</v>
      </c>
      <c r="V45" t="str">
        <f>+Table1[[#This Row],[id_destino]]&amp;" - "&amp;Table1[[#This Row],[id_origen]]</f>
        <v>353 - 1</v>
      </c>
    </row>
    <row r="46" spans="1:22" hidden="1">
      <c r="A46">
        <v>773</v>
      </c>
      <c r="B46">
        <v>2445</v>
      </c>
      <c r="C46">
        <v>4461</v>
      </c>
      <c r="D46">
        <v>1831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 t="s">
        <v>20</v>
      </c>
      <c r="L46" s="1">
        <v>44447</v>
      </c>
      <c r="M46">
        <v>379</v>
      </c>
      <c r="N46">
        <v>1</v>
      </c>
      <c r="O46">
        <v>50</v>
      </c>
      <c r="P46">
        <v>100</v>
      </c>
      <c r="Q46">
        <v>50</v>
      </c>
      <c r="S46">
        <v>0</v>
      </c>
      <c r="T46">
        <v>0</v>
      </c>
      <c r="U46">
        <f>+SUM(Table1[[#This Row],[Latinos]:[Cemex]])</f>
        <v>1</v>
      </c>
      <c r="V46" t="str">
        <f>+Table1[[#This Row],[id_destino]]&amp;" - "&amp;Table1[[#This Row],[id_origen]]</f>
        <v>379 - 1</v>
      </c>
    </row>
    <row r="47" spans="1:22" hidden="1">
      <c r="A47">
        <v>3371</v>
      </c>
      <c r="B47">
        <v>3943</v>
      </c>
      <c r="C47">
        <v>394</v>
      </c>
      <c r="D47">
        <v>7087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 t="s">
        <v>20</v>
      </c>
      <c r="L47" s="1">
        <v>44853</v>
      </c>
      <c r="M47">
        <v>468</v>
      </c>
      <c r="N47">
        <v>1</v>
      </c>
      <c r="O47">
        <v>329</v>
      </c>
      <c r="P47">
        <v>329</v>
      </c>
      <c r="Q47">
        <v>329</v>
      </c>
      <c r="S47">
        <v>264</v>
      </c>
      <c r="T47">
        <v>264</v>
      </c>
      <c r="U47">
        <f>+SUM(Table1[[#This Row],[Latinos]:[Cemex]])</f>
        <v>1</v>
      </c>
      <c r="V47" t="str">
        <f>+Table1[[#This Row],[id_destino]]&amp;" - "&amp;Table1[[#This Row],[id_origen]]</f>
        <v>468 - 1</v>
      </c>
    </row>
    <row r="48" spans="1:22" hidden="1">
      <c r="A48">
        <v>775</v>
      </c>
      <c r="B48">
        <v>2447</v>
      </c>
      <c r="C48">
        <v>394</v>
      </c>
      <c r="D48">
        <v>5483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 t="s">
        <v>20</v>
      </c>
      <c r="L48" s="1">
        <v>44447</v>
      </c>
      <c r="M48">
        <v>667</v>
      </c>
      <c r="N48">
        <v>1</v>
      </c>
      <c r="O48">
        <v>50</v>
      </c>
      <c r="P48">
        <v>100</v>
      </c>
      <c r="Q48">
        <v>50</v>
      </c>
      <c r="S48">
        <v>0</v>
      </c>
      <c r="T48">
        <v>0</v>
      </c>
      <c r="U48">
        <f>+SUM(Table1[[#This Row],[Latinos]:[Cemex]])</f>
        <v>1</v>
      </c>
      <c r="V48" t="str">
        <f>+Table1[[#This Row],[id_destino]]&amp;" - "&amp;Table1[[#This Row],[id_origen]]</f>
        <v>667 - 1</v>
      </c>
    </row>
    <row r="49" spans="1:22" hidden="1">
      <c r="A49">
        <v>724</v>
      </c>
      <c r="B49">
        <v>2426</v>
      </c>
      <c r="C49">
        <v>4270</v>
      </c>
      <c r="D49">
        <v>5467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 t="s">
        <v>20</v>
      </c>
      <c r="L49" s="1">
        <v>43143</v>
      </c>
      <c r="M49">
        <v>739</v>
      </c>
      <c r="N49">
        <v>1</v>
      </c>
      <c r="O49">
        <v>217</v>
      </c>
      <c r="P49">
        <v>217</v>
      </c>
      <c r="Q49">
        <v>217</v>
      </c>
      <c r="S49">
        <v>0</v>
      </c>
      <c r="T49">
        <v>0</v>
      </c>
      <c r="U49">
        <f>+SUM(Table1[[#This Row],[Latinos]:[Cemex]])</f>
        <v>1</v>
      </c>
      <c r="V49" t="str">
        <f>+Table1[[#This Row],[id_destino]]&amp;" - "&amp;Table1[[#This Row],[id_origen]]</f>
        <v>739 - 1</v>
      </c>
    </row>
    <row r="50" spans="1:22" hidden="1">
      <c r="A50">
        <v>793</v>
      </c>
      <c r="B50">
        <v>2452</v>
      </c>
      <c r="C50">
        <v>5199</v>
      </c>
      <c r="D50">
        <v>5487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 t="s">
        <v>20</v>
      </c>
      <c r="L50" s="1">
        <v>43166</v>
      </c>
      <c r="M50">
        <v>741</v>
      </c>
      <c r="N50">
        <v>1</v>
      </c>
      <c r="O50">
        <v>776</v>
      </c>
      <c r="P50">
        <v>776</v>
      </c>
      <c r="Q50">
        <v>776</v>
      </c>
      <c r="S50">
        <v>529</v>
      </c>
      <c r="T50">
        <v>529</v>
      </c>
      <c r="U50">
        <f>+SUM(Table1[[#This Row],[Latinos]:[Cemex]])</f>
        <v>1</v>
      </c>
      <c r="V50" t="str">
        <f>+Table1[[#This Row],[id_destino]]&amp;" - "&amp;Table1[[#This Row],[id_origen]]</f>
        <v>741 - 1</v>
      </c>
    </row>
    <row r="51" spans="1:22" hidden="1">
      <c r="A51">
        <v>3923</v>
      </c>
      <c r="B51">
        <v>4305</v>
      </c>
      <c r="C51">
        <v>3865</v>
      </c>
      <c r="D51">
        <v>6516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 t="s">
        <v>20</v>
      </c>
      <c r="L51" s="1">
        <v>45188</v>
      </c>
      <c r="M51">
        <v>825</v>
      </c>
      <c r="N51">
        <v>1</v>
      </c>
      <c r="O51">
        <v>819</v>
      </c>
      <c r="P51">
        <v>819</v>
      </c>
      <c r="Q51">
        <v>819</v>
      </c>
      <c r="S51">
        <v>0</v>
      </c>
      <c r="T51">
        <v>0</v>
      </c>
      <c r="U51">
        <f>+SUM(Table1[[#This Row],[Latinos]:[Cemex]])</f>
        <v>1</v>
      </c>
      <c r="V51" t="str">
        <f>+Table1[[#This Row],[id_destino]]&amp;" - "&amp;Table1[[#This Row],[id_origen]]</f>
        <v>825 - 1</v>
      </c>
    </row>
    <row r="52" spans="1:22" hidden="1">
      <c r="A52">
        <v>3713</v>
      </c>
      <c r="B52">
        <v>4178</v>
      </c>
      <c r="C52">
        <v>7329</v>
      </c>
      <c r="D52">
        <v>7204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 t="s">
        <v>20</v>
      </c>
      <c r="L52" s="1">
        <v>45045</v>
      </c>
      <c r="M52">
        <v>848</v>
      </c>
      <c r="N52">
        <v>1</v>
      </c>
      <c r="O52">
        <v>807</v>
      </c>
      <c r="P52">
        <v>849</v>
      </c>
      <c r="Q52">
        <v>807</v>
      </c>
      <c r="S52">
        <v>1063</v>
      </c>
      <c r="T52">
        <v>1063</v>
      </c>
      <c r="U52">
        <f>+SUM(Table1[[#This Row],[Latinos]:[Cemex]])</f>
        <v>1</v>
      </c>
      <c r="V52" t="str">
        <f>+Table1[[#This Row],[id_destino]]&amp;" - "&amp;Table1[[#This Row],[id_origen]]</f>
        <v>848 - 1</v>
      </c>
    </row>
    <row r="53" spans="1:22" hidden="1">
      <c r="A53">
        <v>4014</v>
      </c>
      <c r="B53">
        <v>4358</v>
      </c>
      <c r="C53">
        <v>2400</v>
      </c>
      <c r="D53">
        <v>7544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 t="s">
        <v>20</v>
      </c>
      <c r="L53" s="1">
        <v>45237</v>
      </c>
      <c r="M53">
        <v>885</v>
      </c>
      <c r="N53">
        <v>1</v>
      </c>
      <c r="O53">
        <v>1197</v>
      </c>
      <c r="P53">
        <v>1182</v>
      </c>
      <c r="Q53">
        <v>1197</v>
      </c>
      <c r="S53">
        <v>1743</v>
      </c>
      <c r="T53">
        <v>1743</v>
      </c>
      <c r="U53">
        <f>+SUM(Table1[[#This Row],[Latinos]:[Cemex]])</f>
        <v>1</v>
      </c>
      <c r="V53" t="str">
        <f>+Table1[[#This Row],[id_destino]]&amp;" - "&amp;Table1[[#This Row],[id_origen]]</f>
        <v>885 - 1</v>
      </c>
    </row>
    <row r="54" spans="1:22" hidden="1">
      <c r="A54">
        <v>4161</v>
      </c>
      <c r="B54">
        <v>4460</v>
      </c>
      <c r="C54">
        <v>2400</v>
      </c>
      <c r="D54">
        <v>7661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20</v>
      </c>
      <c r="L54" s="1">
        <v>45331</v>
      </c>
      <c r="M54">
        <v>897</v>
      </c>
      <c r="N54">
        <v>1</v>
      </c>
      <c r="O54">
        <v>869</v>
      </c>
      <c r="P54">
        <v>803</v>
      </c>
      <c r="Q54">
        <v>869</v>
      </c>
      <c r="S54">
        <v>1756</v>
      </c>
      <c r="T54">
        <v>1756</v>
      </c>
      <c r="U54">
        <f>+SUM(Table1[[#This Row],[Latinos]:[Cemex]])</f>
        <v>1</v>
      </c>
      <c r="V54" t="str">
        <f>+Table1[[#This Row],[id_destino]]&amp;" - "&amp;Table1[[#This Row],[id_origen]]</f>
        <v>897 - 1</v>
      </c>
    </row>
    <row r="55" spans="1:22" hidden="1">
      <c r="A55">
        <v>82</v>
      </c>
      <c r="B55">
        <v>16</v>
      </c>
      <c r="C55">
        <v>469</v>
      </c>
      <c r="D55">
        <v>4270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 t="s">
        <v>20</v>
      </c>
      <c r="L55" s="1">
        <v>44884</v>
      </c>
      <c r="M55">
        <v>1</v>
      </c>
      <c r="N55">
        <v>2</v>
      </c>
      <c r="O55">
        <v>947</v>
      </c>
      <c r="P55">
        <v>924</v>
      </c>
      <c r="Q55">
        <v>947</v>
      </c>
      <c r="S55">
        <v>1793</v>
      </c>
      <c r="T55">
        <v>1793</v>
      </c>
      <c r="U55">
        <f>+SUM(Table1[[#This Row],[Latinos]:[Cemex]])</f>
        <v>1</v>
      </c>
      <c r="V55" t="str">
        <f>+Table1[[#This Row],[id_destino]]&amp;" - "&amp;Table1[[#This Row],[id_origen]]</f>
        <v>1 - 2</v>
      </c>
    </row>
    <row r="56" spans="1:22" hidden="1">
      <c r="A56">
        <v>1435</v>
      </c>
      <c r="B56">
        <v>16</v>
      </c>
      <c r="C56">
        <v>4752</v>
      </c>
      <c r="D56">
        <v>5764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 t="s">
        <v>20</v>
      </c>
      <c r="L56" s="1">
        <v>45458</v>
      </c>
      <c r="M56">
        <v>1</v>
      </c>
      <c r="N56">
        <v>2</v>
      </c>
      <c r="O56">
        <v>937</v>
      </c>
      <c r="P56">
        <v>937</v>
      </c>
      <c r="Q56">
        <v>937</v>
      </c>
      <c r="S56">
        <v>1217</v>
      </c>
      <c r="T56">
        <v>1217</v>
      </c>
      <c r="U56">
        <f>+SUM(Table1[[#This Row],[Latinos]:[Cemex]])</f>
        <v>1</v>
      </c>
      <c r="V56" t="str">
        <f>+Table1[[#This Row],[id_destino]]&amp;" - "&amp;Table1[[#This Row],[id_origen]]</f>
        <v>1 - 2</v>
      </c>
    </row>
    <row r="57" spans="1:22" hidden="1">
      <c r="A57">
        <v>161</v>
      </c>
      <c r="B57">
        <v>920</v>
      </c>
      <c r="C57">
        <v>469</v>
      </c>
      <c r="D57">
        <v>469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 t="s">
        <v>23</v>
      </c>
      <c r="L57" s="1">
        <v>43004</v>
      </c>
      <c r="M57">
        <v>2</v>
      </c>
      <c r="N57">
        <v>2</v>
      </c>
      <c r="O57">
        <v>5</v>
      </c>
      <c r="P57">
        <v>150</v>
      </c>
      <c r="Q57">
        <v>5</v>
      </c>
      <c r="S57">
        <v>0</v>
      </c>
      <c r="T57">
        <v>0</v>
      </c>
      <c r="U57">
        <f>+SUM(Table1[[#This Row],[Latinos]:[Cemex]])</f>
        <v>1</v>
      </c>
      <c r="V57" t="str">
        <f>+Table1[[#This Row],[id_destino]]&amp;" - "&amp;Table1[[#This Row],[id_origen]]</f>
        <v>2 - 2</v>
      </c>
    </row>
    <row r="58" spans="1:22" hidden="1">
      <c r="A58">
        <v>949</v>
      </c>
      <c r="B58">
        <v>920</v>
      </c>
      <c r="C58">
        <v>469</v>
      </c>
      <c r="D58">
        <v>495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 t="s">
        <v>20</v>
      </c>
      <c r="L58" s="1">
        <v>43224</v>
      </c>
      <c r="M58">
        <v>2</v>
      </c>
      <c r="N58">
        <v>2</v>
      </c>
      <c r="O58">
        <v>0</v>
      </c>
      <c r="P58">
        <v>150</v>
      </c>
      <c r="Q58">
        <v>0</v>
      </c>
      <c r="S58">
        <v>0</v>
      </c>
      <c r="T58">
        <v>0</v>
      </c>
      <c r="U58">
        <f>+SUM(Table1[[#This Row],[Latinos]:[Cemex]])</f>
        <v>1</v>
      </c>
      <c r="V58" t="str">
        <f>+Table1[[#This Row],[id_destino]]&amp;" - "&amp;Table1[[#This Row],[id_origen]]</f>
        <v>2 - 2</v>
      </c>
    </row>
    <row r="59" spans="1:22" hidden="1">
      <c r="A59">
        <v>2951</v>
      </c>
      <c r="B59">
        <v>920</v>
      </c>
      <c r="C59">
        <v>3097</v>
      </c>
      <c r="D59">
        <v>469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20</v>
      </c>
      <c r="L59" s="1">
        <v>44638</v>
      </c>
      <c r="M59">
        <v>2</v>
      </c>
      <c r="N59">
        <v>2</v>
      </c>
      <c r="O59">
        <v>9</v>
      </c>
      <c r="P59">
        <v>150</v>
      </c>
      <c r="Q59">
        <v>9</v>
      </c>
      <c r="S59">
        <v>0</v>
      </c>
      <c r="T59">
        <v>0</v>
      </c>
      <c r="U59">
        <f>+SUM(Table1[[#This Row],[Latinos]:[Cemex]])</f>
        <v>1</v>
      </c>
      <c r="V59" t="str">
        <f>+Table1[[#This Row],[id_destino]]&amp;" - "&amp;Table1[[#This Row],[id_origen]]</f>
        <v>2 - 2</v>
      </c>
    </row>
    <row r="60" spans="1:22" hidden="1">
      <c r="A60">
        <v>290</v>
      </c>
      <c r="B60">
        <v>362</v>
      </c>
      <c r="C60">
        <v>469</v>
      </c>
      <c r="D60">
        <v>4631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 t="s">
        <v>20</v>
      </c>
      <c r="L60" s="1">
        <v>43031</v>
      </c>
      <c r="M60">
        <v>3</v>
      </c>
      <c r="N60">
        <v>2</v>
      </c>
      <c r="O60">
        <v>723</v>
      </c>
      <c r="P60">
        <v>724</v>
      </c>
      <c r="Q60">
        <v>723</v>
      </c>
      <c r="S60">
        <v>1936.01</v>
      </c>
      <c r="T60">
        <v>1936.01</v>
      </c>
      <c r="U60">
        <f>+SUM(Table1[[#This Row],[Latinos]:[Cemex]])</f>
        <v>1</v>
      </c>
      <c r="V60" t="str">
        <f>+Table1[[#This Row],[id_destino]]&amp;" - "&amp;Table1[[#This Row],[id_origen]]</f>
        <v>3 - 2</v>
      </c>
    </row>
    <row r="61" spans="1:22" hidden="1">
      <c r="A61">
        <v>245</v>
      </c>
      <c r="B61">
        <v>1540</v>
      </c>
      <c r="C61">
        <v>469</v>
      </c>
      <c r="D61">
        <v>2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 t="s">
        <v>20</v>
      </c>
      <c r="L61" s="1">
        <v>43022</v>
      </c>
      <c r="M61">
        <v>4</v>
      </c>
      <c r="N61">
        <v>2</v>
      </c>
      <c r="O61">
        <v>817</v>
      </c>
      <c r="P61">
        <v>798</v>
      </c>
      <c r="Q61">
        <v>817</v>
      </c>
      <c r="S61">
        <v>2112</v>
      </c>
      <c r="T61">
        <v>2112</v>
      </c>
      <c r="U61">
        <f>+SUM(Table1[[#This Row],[Latinos]:[Cemex]])</f>
        <v>1</v>
      </c>
      <c r="V61" t="str">
        <f>+Table1[[#This Row],[id_destino]]&amp;" - "&amp;Table1[[#This Row],[id_origen]]</f>
        <v>4 - 2</v>
      </c>
    </row>
    <row r="62" spans="1:22" hidden="1">
      <c r="A62">
        <v>2398</v>
      </c>
      <c r="B62">
        <v>1540</v>
      </c>
      <c r="C62">
        <v>469</v>
      </c>
      <c r="D62">
        <v>2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 t="s">
        <v>20</v>
      </c>
      <c r="L62" s="1">
        <v>44029</v>
      </c>
      <c r="M62">
        <v>4</v>
      </c>
      <c r="N62">
        <v>2</v>
      </c>
      <c r="O62">
        <v>805</v>
      </c>
      <c r="P62">
        <v>813</v>
      </c>
      <c r="Q62">
        <v>805</v>
      </c>
      <c r="S62">
        <v>1993</v>
      </c>
      <c r="T62">
        <v>1993</v>
      </c>
      <c r="U62">
        <f>+SUM(Table1[[#This Row],[Latinos]:[Cemex]])</f>
        <v>1</v>
      </c>
      <c r="V62" t="str">
        <f>+Table1[[#This Row],[id_destino]]&amp;" - "&amp;Table1[[#This Row],[id_origen]]</f>
        <v>4 - 2</v>
      </c>
    </row>
    <row r="63" spans="1:22" hidden="1">
      <c r="A63">
        <v>699</v>
      </c>
      <c r="B63">
        <v>365</v>
      </c>
      <c r="C63">
        <v>469</v>
      </c>
      <c r="D63">
        <v>5454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 t="s">
        <v>45</v>
      </c>
      <c r="L63" s="1">
        <v>43133</v>
      </c>
      <c r="M63">
        <v>5</v>
      </c>
      <c r="N63">
        <v>2</v>
      </c>
      <c r="O63">
        <v>1570</v>
      </c>
      <c r="P63">
        <v>1559</v>
      </c>
      <c r="Q63">
        <v>1570</v>
      </c>
      <c r="S63">
        <v>3625</v>
      </c>
      <c r="T63">
        <v>4160</v>
      </c>
      <c r="U63">
        <f>+SUM(Table1[[#This Row],[Latinos]:[Cemex]])</f>
        <v>1</v>
      </c>
      <c r="V63" t="str">
        <f>+Table1[[#This Row],[id_destino]]&amp;" - "&amp;Table1[[#This Row],[id_origen]]</f>
        <v>5 - 2</v>
      </c>
    </row>
    <row r="64" spans="1:22" hidden="1">
      <c r="A64">
        <v>2886</v>
      </c>
      <c r="B64">
        <v>1529</v>
      </c>
      <c r="C64">
        <v>469</v>
      </c>
      <c r="D64">
        <v>4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 t="s">
        <v>20</v>
      </c>
      <c r="L64" s="1">
        <v>44588</v>
      </c>
      <c r="M64">
        <v>6</v>
      </c>
      <c r="N64">
        <v>2</v>
      </c>
      <c r="O64">
        <v>1169</v>
      </c>
      <c r="P64">
        <v>1103</v>
      </c>
      <c r="Q64">
        <v>1169</v>
      </c>
      <c r="S64">
        <v>2703</v>
      </c>
      <c r="T64">
        <v>2786</v>
      </c>
      <c r="U64">
        <f>+SUM(Table1[[#This Row],[Latinos]:[Cemex]])</f>
        <v>1</v>
      </c>
      <c r="V64" t="str">
        <f>+Table1[[#This Row],[id_destino]]&amp;" - "&amp;Table1[[#This Row],[id_origen]]</f>
        <v>6 - 2</v>
      </c>
    </row>
    <row r="65" spans="1:22" hidden="1">
      <c r="A65">
        <v>369</v>
      </c>
      <c r="B65">
        <v>23</v>
      </c>
      <c r="C65">
        <v>3097</v>
      </c>
      <c r="D65">
        <v>5126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 t="s">
        <v>20</v>
      </c>
      <c r="L65" s="1">
        <v>43640</v>
      </c>
      <c r="M65">
        <v>7</v>
      </c>
      <c r="N65">
        <v>2</v>
      </c>
      <c r="O65">
        <v>1648</v>
      </c>
      <c r="P65">
        <v>1577</v>
      </c>
      <c r="Q65">
        <v>1648</v>
      </c>
      <c r="S65">
        <v>3703</v>
      </c>
      <c r="T65">
        <v>4229</v>
      </c>
      <c r="U65">
        <f>+SUM(Table1[[#This Row],[Latinos]:[Cemex]])</f>
        <v>1</v>
      </c>
      <c r="V65" t="str">
        <f>+Table1[[#This Row],[id_destino]]&amp;" - "&amp;Table1[[#This Row],[id_origen]]</f>
        <v>7 - 2</v>
      </c>
    </row>
    <row r="66" spans="1:22" hidden="1">
      <c r="A66">
        <v>2551</v>
      </c>
      <c r="B66">
        <v>23</v>
      </c>
      <c r="C66">
        <v>469</v>
      </c>
      <c r="D66">
        <v>6471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 t="s">
        <v>20</v>
      </c>
      <c r="L66" s="1">
        <v>44175</v>
      </c>
      <c r="M66">
        <v>7</v>
      </c>
      <c r="N66">
        <v>2</v>
      </c>
      <c r="O66">
        <v>1648</v>
      </c>
      <c r="P66">
        <v>1677</v>
      </c>
      <c r="Q66">
        <v>1648</v>
      </c>
      <c r="S66">
        <v>1832</v>
      </c>
      <c r="T66">
        <v>1832</v>
      </c>
      <c r="U66">
        <f>+SUM(Table1[[#This Row],[Latinos]:[Cemex]])</f>
        <v>1</v>
      </c>
      <c r="V66" t="str">
        <f>+Table1[[#This Row],[id_destino]]&amp;" - "&amp;Table1[[#This Row],[id_origen]]</f>
        <v>7 - 2</v>
      </c>
    </row>
    <row r="67" spans="1:22" hidden="1">
      <c r="A67">
        <v>40</v>
      </c>
      <c r="B67">
        <v>1337</v>
      </c>
      <c r="C67">
        <v>469</v>
      </c>
      <c r="D67">
        <v>7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 t="s">
        <v>21</v>
      </c>
      <c r="L67" s="1">
        <v>45819</v>
      </c>
      <c r="M67">
        <v>9</v>
      </c>
      <c r="N67">
        <v>2</v>
      </c>
      <c r="O67">
        <v>1352</v>
      </c>
      <c r="P67">
        <v>1274</v>
      </c>
      <c r="Q67">
        <v>1352</v>
      </c>
      <c r="S67">
        <v>2703</v>
      </c>
      <c r="T67">
        <v>2786</v>
      </c>
      <c r="U67">
        <f>+SUM(Table1[[#This Row],[Latinos]:[Cemex]])</f>
        <v>1</v>
      </c>
      <c r="V67" t="str">
        <f>+Table1[[#This Row],[id_destino]]&amp;" - "&amp;Table1[[#This Row],[id_origen]]</f>
        <v>9 - 2</v>
      </c>
    </row>
    <row r="68" spans="1:22" hidden="1">
      <c r="A68">
        <v>1438</v>
      </c>
      <c r="B68">
        <v>1337</v>
      </c>
      <c r="C68">
        <v>469</v>
      </c>
      <c r="D68">
        <v>7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 t="s">
        <v>20</v>
      </c>
      <c r="L68" s="1">
        <v>43433</v>
      </c>
      <c r="M68">
        <v>9</v>
      </c>
      <c r="N68">
        <v>2</v>
      </c>
      <c r="O68">
        <v>1353</v>
      </c>
      <c r="P68">
        <v>1353</v>
      </c>
      <c r="Q68">
        <v>1353</v>
      </c>
      <c r="S68">
        <v>2097</v>
      </c>
      <c r="T68">
        <v>2170</v>
      </c>
      <c r="U68">
        <f>+SUM(Table1[[#This Row],[Latinos]:[Cemex]])</f>
        <v>1</v>
      </c>
      <c r="V68" t="str">
        <f>+Table1[[#This Row],[id_destino]]&amp;" - "&amp;Table1[[#This Row],[id_origen]]</f>
        <v>9 - 2</v>
      </c>
    </row>
    <row r="69" spans="1:22" hidden="1">
      <c r="A69">
        <v>999</v>
      </c>
      <c r="B69">
        <v>2538</v>
      </c>
      <c r="C69">
        <v>469</v>
      </c>
      <c r="D69">
        <v>5575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 t="s">
        <v>20</v>
      </c>
      <c r="L69" s="1">
        <v>43242</v>
      </c>
      <c r="M69">
        <v>10</v>
      </c>
      <c r="N69">
        <v>2</v>
      </c>
      <c r="O69">
        <v>893</v>
      </c>
      <c r="P69">
        <v>900</v>
      </c>
      <c r="Q69">
        <v>893</v>
      </c>
      <c r="S69">
        <v>2220</v>
      </c>
      <c r="T69">
        <v>2220</v>
      </c>
      <c r="U69">
        <f>+SUM(Table1[[#This Row],[Latinos]:[Cemex]])</f>
        <v>1</v>
      </c>
      <c r="V69" t="str">
        <f>+Table1[[#This Row],[id_destino]]&amp;" - "&amp;Table1[[#This Row],[id_origen]]</f>
        <v>10 - 2</v>
      </c>
    </row>
    <row r="70" spans="1:22" hidden="1">
      <c r="A70">
        <v>495</v>
      </c>
      <c r="B70">
        <v>351</v>
      </c>
      <c r="C70">
        <v>469</v>
      </c>
      <c r="D70">
        <v>5282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 t="s">
        <v>20</v>
      </c>
      <c r="L70" s="1">
        <v>45751</v>
      </c>
      <c r="M70">
        <v>11</v>
      </c>
      <c r="N70">
        <v>2</v>
      </c>
      <c r="O70">
        <v>236</v>
      </c>
      <c r="P70">
        <v>240</v>
      </c>
      <c r="Q70">
        <v>236</v>
      </c>
      <c r="S70">
        <v>732</v>
      </c>
      <c r="T70">
        <v>732</v>
      </c>
      <c r="U70">
        <f>+SUM(Table1[[#This Row],[Latinos]:[Cemex]])</f>
        <v>1</v>
      </c>
      <c r="V70" t="str">
        <f>+Table1[[#This Row],[id_destino]]&amp;" - "&amp;Table1[[#This Row],[id_origen]]</f>
        <v>11 - 2</v>
      </c>
    </row>
    <row r="71" spans="1:22" hidden="1">
      <c r="A71">
        <v>1264</v>
      </c>
      <c r="B71">
        <v>351</v>
      </c>
      <c r="C71">
        <v>469</v>
      </c>
      <c r="D71">
        <v>404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 t="s">
        <v>20</v>
      </c>
      <c r="L71" s="1">
        <v>43356</v>
      </c>
      <c r="M71">
        <v>11</v>
      </c>
      <c r="N71">
        <v>2</v>
      </c>
      <c r="O71">
        <v>236</v>
      </c>
      <c r="P71">
        <v>236</v>
      </c>
      <c r="Q71">
        <v>236</v>
      </c>
      <c r="S71">
        <v>542</v>
      </c>
      <c r="T71">
        <v>542</v>
      </c>
      <c r="U71">
        <f>+SUM(Table1[[#This Row],[Latinos]:[Cemex]])</f>
        <v>1</v>
      </c>
      <c r="V71" t="str">
        <f>+Table1[[#This Row],[id_destino]]&amp;" - "&amp;Table1[[#This Row],[id_origen]]</f>
        <v>11 - 2</v>
      </c>
    </row>
    <row r="72" spans="1:22" hidden="1">
      <c r="A72">
        <v>346</v>
      </c>
      <c r="B72">
        <v>290</v>
      </c>
      <c r="C72">
        <v>469</v>
      </c>
      <c r="D72">
        <v>10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20</v>
      </c>
      <c r="L72" s="1">
        <v>43042</v>
      </c>
      <c r="M72">
        <v>12</v>
      </c>
      <c r="N72">
        <v>2</v>
      </c>
      <c r="O72">
        <v>529</v>
      </c>
      <c r="P72">
        <v>513</v>
      </c>
      <c r="Q72">
        <v>529</v>
      </c>
      <c r="S72">
        <v>2205</v>
      </c>
      <c r="T72">
        <v>2205</v>
      </c>
      <c r="U72">
        <f>+SUM(Table1[[#This Row],[Latinos]:[Cemex]])</f>
        <v>1</v>
      </c>
      <c r="V72" t="str">
        <f>+Table1[[#This Row],[id_destino]]&amp;" - "&amp;Table1[[#This Row],[id_origen]]</f>
        <v>12 - 2</v>
      </c>
    </row>
    <row r="73" spans="1:22" hidden="1">
      <c r="A73">
        <v>1391</v>
      </c>
      <c r="B73">
        <v>290</v>
      </c>
      <c r="C73">
        <v>469</v>
      </c>
      <c r="D73">
        <v>349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 t="s">
        <v>20</v>
      </c>
      <c r="L73" s="1">
        <v>43413</v>
      </c>
      <c r="M73">
        <v>12</v>
      </c>
      <c r="N73">
        <v>2</v>
      </c>
      <c r="O73">
        <v>524</v>
      </c>
      <c r="P73">
        <v>529</v>
      </c>
      <c r="Q73">
        <v>524</v>
      </c>
      <c r="S73">
        <v>1249</v>
      </c>
      <c r="T73">
        <v>1249</v>
      </c>
      <c r="U73">
        <f>+SUM(Table1[[#This Row],[Latinos]:[Cemex]])</f>
        <v>1</v>
      </c>
      <c r="V73" t="str">
        <f>+Table1[[#This Row],[id_destino]]&amp;" - "&amp;Table1[[#This Row],[id_origen]]</f>
        <v>12 - 2</v>
      </c>
    </row>
    <row r="74" spans="1:22" hidden="1">
      <c r="A74">
        <v>120</v>
      </c>
      <c r="B74">
        <v>1327</v>
      </c>
      <c r="C74">
        <v>469</v>
      </c>
      <c r="D74">
        <v>5256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 t="s">
        <v>20</v>
      </c>
      <c r="L74" s="1">
        <v>44538</v>
      </c>
      <c r="M74">
        <v>13</v>
      </c>
      <c r="N74">
        <v>2</v>
      </c>
      <c r="O74">
        <v>282</v>
      </c>
      <c r="P74">
        <v>278</v>
      </c>
      <c r="Q74">
        <v>282</v>
      </c>
      <c r="S74">
        <v>1093</v>
      </c>
      <c r="T74">
        <v>1093</v>
      </c>
      <c r="U74">
        <f>+SUM(Table1[[#This Row],[Latinos]:[Cemex]])</f>
        <v>1</v>
      </c>
      <c r="V74" t="str">
        <f>+Table1[[#This Row],[id_destino]]&amp;" - "&amp;Table1[[#This Row],[id_origen]]</f>
        <v>13 - 2</v>
      </c>
    </row>
    <row r="75" spans="1:22" hidden="1">
      <c r="A75">
        <v>220</v>
      </c>
      <c r="B75">
        <v>1616</v>
      </c>
      <c r="C75">
        <v>469</v>
      </c>
      <c r="D75">
        <v>14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 t="s">
        <v>20</v>
      </c>
      <c r="L75" s="1">
        <v>43017</v>
      </c>
      <c r="M75">
        <v>15</v>
      </c>
      <c r="N75">
        <v>2</v>
      </c>
      <c r="O75">
        <v>1836</v>
      </c>
      <c r="P75">
        <v>1814</v>
      </c>
      <c r="Q75">
        <v>1836</v>
      </c>
      <c r="S75">
        <v>4465</v>
      </c>
      <c r="T75">
        <v>5095</v>
      </c>
      <c r="U75">
        <f>+SUM(Table1[[#This Row],[Latinos]:[Cemex]])</f>
        <v>1</v>
      </c>
      <c r="V75" t="str">
        <f>+Table1[[#This Row],[id_destino]]&amp;" - "&amp;Table1[[#This Row],[id_origen]]</f>
        <v>15 - 2</v>
      </c>
    </row>
    <row r="76" spans="1:22" hidden="1">
      <c r="A76">
        <v>341</v>
      </c>
      <c r="B76">
        <v>1619</v>
      </c>
      <c r="C76">
        <v>469</v>
      </c>
      <c r="D76">
        <v>15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 t="s">
        <v>20</v>
      </c>
      <c r="L76" s="1">
        <v>43040</v>
      </c>
      <c r="M76">
        <v>16</v>
      </c>
      <c r="N76">
        <v>2</v>
      </c>
      <c r="O76">
        <v>1457</v>
      </c>
      <c r="P76">
        <v>1453</v>
      </c>
      <c r="Q76">
        <v>1457</v>
      </c>
      <c r="S76">
        <v>4106</v>
      </c>
      <c r="T76">
        <v>4549</v>
      </c>
      <c r="U76">
        <f>+SUM(Table1[[#This Row],[Latinos]:[Cemex]])</f>
        <v>1</v>
      </c>
      <c r="V76" t="str">
        <f>+Table1[[#This Row],[id_destino]]&amp;" - "&amp;Table1[[#This Row],[id_origen]]</f>
        <v>16 - 2</v>
      </c>
    </row>
    <row r="77" spans="1:22" hidden="1">
      <c r="A77">
        <v>221</v>
      </c>
      <c r="B77">
        <v>22</v>
      </c>
      <c r="C77">
        <v>469</v>
      </c>
      <c r="D77">
        <v>3272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 t="s">
        <v>20</v>
      </c>
      <c r="L77" s="1">
        <v>44307</v>
      </c>
      <c r="M77">
        <v>17</v>
      </c>
      <c r="N77">
        <v>2</v>
      </c>
      <c r="O77">
        <v>925</v>
      </c>
      <c r="P77">
        <v>914</v>
      </c>
      <c r="Q77">
        <v>925</v>
      </c>
      <c r="S77">
        <v>2413</v>
      </c>
      <c r="T77">
        <v>2451</v>
      </c>
      <c r="U77">
        <f>+SUM(Table1[[#This Row],[Latinos]:[Cemex]])</f>
        <v>1</v>
      </c>
      <c r="V77" t="str">
        <f>+Table1[[#This Row],[id_destino]]&amp;" - "&amp;Table1[[#This Row],[id_origen]]</f>
        <v>17 - 2</v>
      </c>
    </row>
    <row r="78" spans="1:22" hidden="1">
      <c r="A78">
        <v>35</v>
      </c>
      <c r="B78">
        <v>263</v>
      </c>
      <c r="C78">
        <v>469</v>
      </c>
      <c r="D78">
        <v>19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 t="s">
        <v>20</v>
      </c>
      <c r="L78" s="1">
        <v>43591</v>
      </c>
      <c r="M78">
        <v>18</v>
      </c>
      <c r="N78">
        <v>2</v>
      </c>
      <c r="O78">
        <v>107</v>
      </c>
      <c r="P78">
        <v>107</v>
      </c>
      <c r="Q78">
        <v>107</v>
      </c>
      <c r="S78">
        <v>179</v>
      </c>
      <c r="T78">
        <v>246</v>
      </c>
      <c r="U78">
        <f>+SUM(Table1[[#This Row],[Latinos]:[Cemex]])</f>
        <v>1</v>
      </c>
      <c r="V78" t="str">
        <f>+Table1[[#This Row],[id_destino]]&amp;" - "&amp;Table1[[#This Row],[id_origen]]</f>
        <v>18 - 2</v>
      </c>
    </row>
    <row r="79" spans="1:22" hidden="1">
      <c r="A79">
        <v>87</v>
      </c>
      <c r="B79">
        <v>263</v>
      </c>
      <c r="C79">
        <v>469</v>
      </c>
      <c r="D79">
        <v>4805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 t="s">
        <v>20</v>
      </c>
      <c r="L79" s="1">
        <v>45186</v>
      </c>
      <c r="M79">
        <v>18</v>
      </c>
      <c r="N79">
        <v>2</v>
      </c>
      <c r="O79">
        <v>107</v>
      </c>
      <c r="P79">
        <v>150</v>
      </c>
      <c r="Q79">
        <v>104</v>
      </c>
      <c r="S79">
        <v>511</v>
      </c>
      <c r="T79">
        <v>609</v>
      </c>
      <c r="U79">
        <f>+SUM(Table1[[#This Row],[Latinos]:[Cemex]])</f>
        <v>1</v>
      </c>
      <c r="V79" t="str">
        <f>+Table1[[#This Row],[id_destino]]&amp;" - "&amp;Table1[[#This Row],[id_origen]]</f>
        <v>18 - 2</v>
      </c>
    </row>
    <row r="80" spans="1:22" hidden="1">
      <c r="A80">
        <v>52</v>
      </c>
      <c r="B80">
        <v>166</v>
      </c>
      <c r="C80">
        <v>469</v>
      </c>
      <c r="D80">
        <v>7464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 t="s">
        <v>20</v>
      </c>
      <c r="L80" s="1">
        <v>45177</v>
      </c>
      <c r="M80">
        <v>19</v>
      </c>
      <c r="N80">
        <v>2</v>
      </c>
      <c r="O80">
        <v>92</v>
      </c>
      <c r="P80">
        <v>95</v>
      </c>
      <c r="Q80">
        <v>92</v>
      </c>
      <c r="S80">
        <v>102</v>
      </c>
      <c r="T80">
        <v>102</v>
      </c>
      <c r="U80">
        <f>+SUM(Table1[[#This Row],[Latinos]:[Cemex]])</f>
        <v>1</v>
      </c>
      <c r="V80" t="str">
        <f>+Table1[[#This Row],[id_destino]]&amp;" - "&amp;Table1[[#This Row],[id_origen]]</f>
        <v>19 - 2</v>
      </c>
    </row>
    <row r="81" spans="1:22" hidden="1">
      <c r="A81">
        <v>60</v>
      </c>
      <c r="B81">
        <v>166</v>
      </c>
      <c r="C81">
        <v>469</v>
      </c>
      <c r="D81">
        <v>1869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 t="s">
        <v>20</v>
      </c>
      <c r="L81" s="1">
        <v>42996</v>
      </c>
      <c r="M81">
        <v>19</v>
      </c>
      <c r="N81">
        <v>2</v>
      </c>
      <c r="O81">
        <v>95</v>
      </c>
      <c r="P81">
        <v>150</v>
      </c>
      <c r="Q81">
        <v>95</v>
      </c>
      <c r="S81">
        <v>198</v>
      </c>
      <c r="T81">
        <v>272</v>
      </c>
      <c r="U81">
        <f>+SUM(Table1[[#This Row],[Latinos]:[Cemex]])</f>
        <v>1</v>
      </c>
      <c r="V81" t="str">
        <f>+Table1[[#This Row],[id_destino]]&amp;" - "&amp;Table1[[#This Row],[id_origen]]</f>
        <v>19 - 2</v>
      </c>
    </row>
    <row r="82" spans="1:22" hidden="1">
      <c r="A82">
        <v>70</v>
      </c>
      <c r="B82">
        <v>773</v>
      </c>
      <c r="C82">
        <v>4752</v>
      </c>
      <c r="D82">
        <v>7996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 t="s">
        <v>20</v>
      </c>
      <c r="L82" s="1">
        <v>45601</v>
      </c>
      <c r="M82">
        <v>20</v>
      </c>
      <c r="N82">
        <v>2</v>
      </c>
      <c r="O82">
        <v>100</v>
      </c>
      <c r="P82">
        <v>100</v>
      </c>
      <c r="Q82">
        <v>100</v>
      </c>
      <c r="S82">
        <v>485</v>
      </c>
      <c r="T82">
        <v>578</v>
      </c>
      <c r="U82">
        <f>+SUM(Table1[[#This Row],[Latinos]:[Cemex]])</f>
        <v>1</v>
      </c>
      <c r="V82" t="str">
        <f>+Table1[[#This Row],[id_destino]]&amp;" - "&amp;Table1[[#This Row],[id_origen]]</f>
        <v>20 - 2</v>
      </c>
    </row>
    <row r="83" spans="1:22" hidden="1">
      <c r="A83">
        <v>1634</v>
      </c>
      <c r="B83">
        <v>2851</v>
      </c>
      <c r="C83">
        <v>469</v>
      </c>
      <c r="D83">
        <v>23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 t="s">
        <v>20</v>
      </c>
      <c r="L83" s="1">
        <v>43544</v>
      </c>
      <c r="M83">
        <v>21</v>
      </c>
      <c r="N83">
        <v>2</v>
      </c>
      <c r="O83">
        <v>2212</v>
      </c>
      <c r="P83">
        <v>2204</v>
      </c>
      <c r="Q83">
        <v>2212</v>
      </c>
      <c r="S83">
        <v>7389</v>
      </c>
      <c r="T83">
        <v>7501</v>
      </c>
      <c r="U83">
        <f>+SUM(Table1[[#This Row],[Latinos]:[Cemex]])</f>
        <v>1</v>
      </c>
      <c r="V83" t="str">
        <f>+Table1[[#This Row],[id_destino]]&amp;" - "&amp;Table1[[#This Row],[id_origen]]</f>
        <v>21 - 2</v>
      </c>
    </row>
    <row r="84" spans="1:22" hidden="1">
      <c r="A84">
        <v>102</v>
      </c>
      <c r="B84">
        <v>90</v>
      </c>
      <c r="C84">
        <v>469</v>
      </c>
      <c r="D84">
        <v>5009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 t="s">
        <v>20</v>
      </c>
      <c r="L84" s="1">
        <v>44258</v>
      </c>
      <c r="M84">
        <v>23</v>
      </c>
      <c r="N84">
        <v>2</v>
      </c>
      <c r="O84">
        <v>575</v>
      </c>
      <c r="P84">
        <v>566</v>
      </c>
      <c r="Q84">
        <v>575</v>
      </c>
      <c r="S84">
        <v>2558</v>
      </c>
      <c r="T84">
        <v>2558</v>
      </c>
      <c r="U84">
        <f>+SUM(Table1[[#This Row],[Latinos]:[Cemex]])</f>
        <v>1</v>
      </c>
      <c r="V84" t="str">
        <f>+Table1[[#This Row],[id_destino]]&amp;" - "&amp;Table1[[#This Row],[id_origen]]</f>
        <v>23 - 2</v>
      </c>
    </row>
    <row r="85" spans="1:22" hidden="1">
      <c r="A85">
        <v>361</v>
      </c>
      <c r="B85">
        <v>90</v>
      </c>
      <c r="C85">
        <v>469</v>
      </c>
      <c r="D85">
        <v>1443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 t="s">
        <v>20</v>
      </c>
      <c r="L85" s="1">
        <v>43351</v>
      </c>
      <c r="M85">
        <v>23</v>
      </c>
      <c r="N85">
        <v>2</v>
      </c>
      <c r="O85">
        <v>551</v>
      </c>
      <c r="P85">
        <v>551</v>
      </c>
      <c r="Q85">
        <v>551</v>
      </c>
      <c r="S85">
        <v>1757</v>
      </c>
      <c r="T85">
        <v>1575</v>
      </c>
      <c r="U85">
        <f>+SUM(Table1[[#This Row],[Latinos]:[Cemex]])</f>
        <v>1</v>
      </c>
      <c r="V85" t="str">
        <f>+Table1[[#This Row],[id_destino]]&amp;" - "&amp;Table1[[#This Row],[id_origen]]</f>
        <v>23 - 2</v>
      </c>
    </row>
    <row r="86" spans="1:22" hidden="1">
      <c r="A86">
        <v>736</v>
      </c>
      <c r="B86">
        <v>90</v>
      </c>
      <c r="C86">
        <v>469</v>
      </c>
      <c r="D86">
        <v>1443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 t="s">
        <v>20</v>
      </c>
      <c r="L86" s="1">
        <v>44081</v>
      </c>
      <c r="M86">
        <v>23</v>
      </c>
      <c r="N86">
        <v>2</v>
      </c>
      <c r="O86">
        <v>589</v>
      </c>
      <c r="P86">
        <v>569</v>
      </c>
      <c r="Q86">
        <v>589</v>
      </c>
      <c r="S86">
        <v>2415</v>
      </c>
      <c r="T86">
        <v>2415</v>
      </c>
      <c r="U86">
        <f>+SUM(Table1[[#This Row],[Latinos]:[Cemex]])</f>
        <v>2</v>
      </c>
      <c r="V86" t="str">
        <f>+Table1[[#This Row],[id_destino]]&amp;" - "&amp;Table1[[#This Row],[id_origen]]</f>
        <v>23 - 2</v>
      </c>
    </row>
    <row r="87" spans="1:22" hidden="1">
      <c r="A87">
        <v>47</v>
      </c>
      <c r="B87">
        <v>158</v>
      </c>
      <c r="C87">
        <v>469</v>
      </c>
      <c r="D87">
        <v>4768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 t="s">
        <v>20</v>
      </c>
      <c r="L87" s="1">
        <v>42998</v>
      </c>
      <c r="M87">
        <v>24</v>
      </c>
      <c r="N87">
        <v>2</v>
      </c>
      <c r="O87">
        <v>883</v>
      </c>
      <c r="P87">
        <v>859</v>
      </c>
      <c r="Q87">
        <v>883</v>
      </c>
      <c r="S87">
        <v>2360</v>
      </c>
      <c r="T87">
        <v>2423</v>
      </c>
      <c r="U87">
        <f>+SUM(Table1[[#This Row],[Latinos]:[Cemex]])</f>
        <v>1</v>
      </c>
      <c r="V87" t="str">
        <f>+Table1[[#This Row],[id_destino]]&amp;" - "&amp;Table1[[#This Row],[id_origen]]</f>
        <v>24 - 2</v>
      </c>
    </row>
    <row r="88" spans="1:22" hidden="1">
      <c r="A88">
        <v>269</v>
      </c>
      <c r="B88">
        <v>158</v>
      </c>
      <c r="C88">
        <v>469</v>
      </c>
      <c r="D88">
        <v>5314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 t="s">
        <v>20</v>
      </c>
      <c r="L88" s="1">
        <v>43028</v>
      </c>
      <c r="M88">
        <v>24</v>
      </c>
      <c r="N88">
        <v>2</v>
      </c>
      <c r="O88">
        <v>859</v>
      </c>
      <c r="P88">
        <v>855</v>
      </c>
      <c r="Q88">
        <v>859</v>
      </c>
      <c r="S88">
        <v>3598</v>
      </c>
      <c r="T88">
        <v>3685</v>
      </c>
      <c r="U88">
        <f>+SUM(Table1[[#This Row],[Latinos]:[Cemex]])</f>
        <v>1</v>
      </c>
      <c r="V88" t="str">
        <f>+Table1[[#This Row],[id_destino]]&amp;" - "&amp;Table1[[#This Row],[id_origen]]</f>
        <v>24 - 2</v>
      </c>
    </row>
    <row r="89" spans="1:22" hidden="1">
      <c r="A89">
        <v>2528</v>
      </c>
      <c r="B89">
        <v>3398</v>
      </c>
      <c r="C89">
        <v>469</v>
      </c>
      <c r="D89">
        <v>6463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 t="s">
        <v>88</v>
      </c>
      <c r="L89" s="1">
        <v>44155</v>
      </c>
      <c r="M89">
        <v>25</v>
      </c>
      <c r="N89">
        <v>2</v>
      </c>
      <c r="O89">
        <v>782</v>
      </c>
      <c r="P89">
        <v>780</v>
      </c>
      <c r="Q89">
        <v>782</v>
      </c>
      <c r="S89">
        <v>1874</v>
      </c>
      <c r="T89">
        <v>1874</v>
      </c>
      <c r="U89">
        <f>+SUM(Table1[[#This Row],[Latinos]:[Cemex]])</f>
        <v>1</v>
      </c>
      <c r="V89" t="str">
        <f>+Table1[[#This Row],[id_destino]]&amp;" - "&amp;Table1[[#This Row],[id_origen]]</f>
        <v>25 - 2</v>
      </c>
    </row>
    <row r="90" spans="1:22" hidden="1">
      <c r="A90">
        <v>3513</v>
      </c>
      <c r="B90">
        <v>3398</v>
      </c>
      <c r="C90">
        <v>469</v>
      </c>
      <c r="D90">
        <v>7179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 t="s">
        <v>20</v>
      </c>
      <c r="L90" s="1">
        <v>44941</v>
      </c>
      <c r="M90">
        <v>25</v>
      </c>
      <c r="N90">
        <v>2</v>
      </c>
      <c r="O90">
        <v>755</v>
      </c>
      <c r="P90">
        <v>744</v>
      </c>
      <c r="Q90">
        <v>755</v>
      </c>
      <c r="S90">
        <v>2509</v>
      </c>
      <c r="T90">
        <v>2509</v>
      </c>
      <c r="U90">
        <f>+SUM(Table1[[#This Row],[Latinos]:[Cemex]])</f>
        <v>1</v>
      </c>
      <c r="V90" t="str">
        <f>+Table1[[#This Row],[id_destino]]&amp;" - "&amp;Table1[[#This Row],[id_origen]]</f>
        <v>25 - 2</v>
      </c>
    </row>
    <row r="91" spans="1:22" hidden="1">
      <c r="A91">
        <v>134</v>
      </c>
      <c r="B91">
        <v>708</v>
      </c>
      <c r="C91">
        <v>469</v>
      </c>
      <c r="D91">
        <v>1168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 t="s">
        <v>20</v>
      </c>
      <c r="L91" s="1">
        <v>45159</v>
      </c>
      <c r="M91">
        <v>26</v>
      </c>
      <c r="N91">
        <v>2</v>
      </c>
      <c r="O91">
        <v>603</v>
      </c>
      <c r="P91">
        <v>580</v>
      </c>
      <c r="Q91">
        <v>603</v>
      </c>
      <c r="S91">
        <v>2558</v>
      </c>
      <c r="T91">
        <v>2558</v>
      </c>
      <c r="U91">
        <f>+SUM(Table1[[#This Row],[Latinos]:[Cemex]])</f>
        <v>1</v>
      </c>
      <c r="V91" t="str">
        <f>+Table1[[#This Row],[id_destino]]&amp;" - "&amp;Table1[[#This Row],[id_origen]]</f>
        <v>26 - 2</v>
      </c>
    </row>
    <row r="92" spans="1:22" hidden="1">
      <c r="A92">
        <v>737</v>
      </c>
      <c r="B92">
        <v>708</v>
      </c>
      <c r="C92">
        <v>469</v>
      </c>
      <c r="D92">
        <v>1169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 t="s">
        <v>20</v>
      </c>
      <c r="L92" s="1">
        <v>43147</v>
      </c>
      <c r="M92">
        <v>26</v>
      </c>
      <c r="N92">
        <v>2</v>
      </c>
      <c r="O92">
        <v>551</v>
      </c>
      <c r="P92">
        <v>580</v>
      </c>
      <c r="Q92">
        <v>551</v>
      </c>
      <c r="S92">
        <v>2415</v>
      </c>
      <c r="T92">
        <v>2415</v>
      </c>
      <c r="U92">
        <f>+SUM(Table1[[#This Row],[Latinos]:[Cemex]])</f>
        <v>2</v>
      </c>
      <c r="V92" t="str">
        <f>+Table1[[#This Row],[id_destino]]&amp;" - "&amp;Table1[[#This Row],[id_origen]]</f>
        <v>26 - 2</v>
      </c>
    </row>
    <row r="93" spans="1:22" hidden="1">
      <c r="A93">
        <v>2165</v>
      </c>
      <c r="B93">
        <v>708</v>
      </c>
      <c r="C93">
        <v>469</v>
      </c>
      <c r="D93">
        <v>6146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 t="s">
        <v>20</v>
      </c>
      <c r="L93" s="1">
        <v>43838</v>
      </c>
      <c r="M93">
        <v>26</v>
      </c>
      <c r="N93">
        <v>2</v>
      </c>
      <c r="O93">
        <v>574</v>
      </c>
      <c r="P93">
        <v>574</v>
      </c>
      <c r="Q93">
        <v>574</v>
      </c>
      <c r="S93">
        <v>1892</v>
      </c>
      <c r="T93">
        <v>1892</v>
      </c>
      <c r="U93">
        <f>+SUM(Table1[[#This Row],[Latinos]:[Cemex]])</f>
        <v>1</v>
      </c>
      <c r="V93" t="str">
        <f>+Table1[[#This Row],[id_destino]]&amp;" - "&amp;Table1[[#This Row],[id_origen]]</f>
        <v>26 - 2</v>
      </c>
    </row>
    <row r="94" spans="1:22" hidden="1">
      <c r="A94">
        <v>433</v>
      </c>
      <c r="B94">
        <v>174</v>
      </c>
      <c r="C94">
        <v>469</v>
      </c>
      <c r="D94">
        <v>4543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20</v>
      </c>
      <c r="L94" s="1">
        <v>43888</v>
      </c>
      <c r="M94">
        <v>27</v>
      </c>
      <c r="N94">
        <v>2</v>
      </c>
      <c r="O94">
        <v>915</v>
      </c>
      <c r="P94">
        <v>868</v>
      </c>
      <c r="Q94">
        <v>915</v>
      </c>
      <c r="S94">
        <v>4225</v>
      </c>
      <c r="T94">
        <v>4225</v>
      </c>
      <c r="U94">
        <f>+SUM(Table1[[#This Row],[Latinos]:[Cemex]])</f>
        <v>1</v>
      </c>
      <c r="V94" t="str">
        <f>+Table1[[#This Row],[id_destino]]&amp;" - "&amp;Table1[[#This Row],[id_origen]]</f>
        <v>27 - 2</v>
      </c>
    </row>
    <row r="95" spans="1:22" hidden="1">
      <c r="A95">
        <v>98</v>
      </c>
      <c r="B95">
        <v>554</v>
      </c>
      <c r="C95">
        <v>469</v>
      </c>
      <c r="D95">
        <v>4008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 t="s">
        <v>20</v>
      </c>
      <c r="L95" s="1">
        <v>43850</v>
      </c>
      <c r="M95">
        <v>31</v>
      </c>
      <c r="N95">
        <v>2</v>
      </c>
      <c r="O95">
        <v>1264</v>
      </c>
      <c r="P95">
        <v>1264</v>
      </c>
      <c r="Q95">
        <v>1264</v>
      </c>
      <c r="S95">
        <v>0</v>
      </c>
      <c r="T95">
        <v>0</v>
      </c>
      <c r="U95">
        <f>+SUM(Table1[[#This Row],[Latinos]:[Cemex]])</f>
        <v>1</v>
      </c>
      <c r="V95" t="str">
        <f>+Table1[[#This Row],[id_destino]]&amp;" - "&amp;Table1[[#This Row],[id_origen]]</f>
        <v>31 - 2</v>
      </c>
    </row>
    <row r="96" spans="1:22" hidden="1">
      <c r="A96">
        <v>368</v>
      </c>
      <c r="B96">
        <v>893</v>
      </c>
      <c r="C96">
        <v>469</v>
      </c>
      <c r="D96">
        <v>5155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 t="s">
        <v>20</v>
      </c>
      <c r="L96" s="1">
        <v>43046</v>
      </c>
      <c r="M96">
        <v>33</v>
      </c>
      <c r="N96">
        <v>2</v>
      </c>
      <c r="O96">
        <v>1023</v>
      </c>
      <c r="P96">
        <v>1005</v>
      </c>
      <c r="Q96">
        <v>1023</v>
      </c>
      <c r="S96">
        <v>2980.01</v>
      </c>
      <c r="T96">
        <v>3143.99</v>
      </c>
      <c r="U96">
        <f>+SUM(Table1[[#This Row],[Latinos]:[Cemex]])</f>
        <v>1</v>
      </c>
      <c r="V96" t="str">
        <f>+Table1[[#This Row],[id_destino]]&amp;" - "&amp;Table1[[#This Row],[id_origen]]</f>
        <v>33 - 2</v>
      </c>
    </row>
    <row r="97" spans="1:22" hidden="1">
      <c r="A97">
        <v>637</v>
      </c>
      <c r="B97">
        <v>893</v>
      </c>
      <c r="C97">
        <v>469</v>
      </c>
      <c r="D97">
        <v>637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 t="s">
        <v>20</v>
      </c>
      <c r="L97" s="1">
        <v>43120</v>
      </c>
      <c r="M97">
        <v>33</v>
      </c>
      <c r="N97">
        <v>2</v>
      </c>
      <c r="O97">
        <v>1011</v>
      </c>
      <c r="P97">
        <v>1011</v>
      </c>
      <c r="Q97">
        <v>1011</v>
      </c>
      <c r="S97">
        <v>1070</v>
      </c>
      <c r="T97">
        <v>1176</v>
      </c>
      <c r="U97">
        <f>+SUM(Table1[[#This Row],[Latinos]:[Cemex]])</f>
        <v>1</v>
      </c>
      <c r="V97" t="str">
        <f>+Table1[[#This Row],[id_destino]]&amp;" - "&amp;Table1[[#This Row],[id_origen]]</f>
        <v>33 - 2</v>
      </c>
    </row>
    <row r="98" spans="1:22" hidden="1">
      <c r="A98">
        <v>114</v>
      </c>
      <c r="B98">
        <v>969</v>
      </c>
      <c r="C98">
        <v>469</v>
      </c>
      <c r="D98">
        <v>40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 t="s">
        <v>20</v>
      </c>
      <c r="L98" s="1">
        <v>42993</v>
      </c>
      <c r="M98">
        <v>34</v>
      </c>
      <c r="N98">
        <v>2</v>
      </c>
      <c r="O98">
        <v>1013</v>
      </c>
      <c r="P98">
        <v>1013</v>
      </c>
      <c r="Q98">
        <v>1013</v>
      </c>
      <c r="S98">
        <v>2928</v>
      </c>
      <c r="T98">
        <v>3092</v>
      </c>
      <c r="U98">
        <f>+SUM(Table1[[#This Row],[Latinos]:[Cemex]])</f>
        <v>1</v>
      </c>
      <c r="V98" t="str">
        <f>+Table1[[#This Row],[id_destino]]&amp;" - "&amp;Table1[[#This Row],[id_origen]]</f>
        <v>34 - 2</v>
      </c>
    </row>
    <row r="99" spans="1:22" hidden="1">
      <c r="A99">
        <v>2386</v>
      </c>
      <c r="B99">
        <v>969</v>
      </c>
      <c r="C99">
        <v>469</v>
      </c>
      <c r="D99">
        <v>40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 t="s">
        <v>20</v>
      </c>
      <c r="L99" s="1">
        <v>45594</v>
      </c>
      <c r="M99">
        <v>34</v>
      </c>
      <c r="N99">
        <v>2</v>
      </c>
      <c r="O99">
        <v>1014</v>
      </c>
      <c r="P99">
        <v>1019</v>
      </c>
      <c r="Q99">
        <v>1014</v>
      </c>
      <c r="S99">
        <v>1246</v>
      </c>
      <c r="T99">
        <v>1368</v>
      </c>
      <c r="U99">
        <f>+SUM(Table1[[#This Row],[Latinos]:[Cemex]])</f>
        <v>1</v>
      </c>
      <c r="V99" t="str">
        <f>+Table1[[#This Row],[id_destino]]&amp;" - "&amp;Table1[[#This Row],[id_origen]]</f>
        <v>34 - 2</v>
      </c>
    </row>
    <row r="100" spans="1:22" hidden="1">
      <c r="A100">
        <v>74</v>
      </c>
      <c r="B100">
        <v>57</v>
      </c>
      <c r="C100">
        <v>469</v>
      </c>
      <c r="D100">
        <v>3618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20</v>
      </c>
      <c r="L100" s="1">
        <v>44596</v>
      </c>
      <c r="M100">
        <v>35</v>
      </c>
      <c r="N100">
        <v>2</v>
      </c>
      <c r="O100">
        <v>379</v>
      </c>
      <c r="P100">
        <v>379</v>
      </c>
      <c r="Q100">
        <v>379</v>
      </c>
      <c r="S100">
        <v>1661.12</v>
      </c>
      <c r="T100">
        <v>1661.12</v>
      </c>
      <c r="U100">
        <f>+SUM(Table1[[#This Row],[Latinos]:[Cemex]])</f>
        <v>1</v>
      </c>
      <c r="V100" t="str">
        <f>+Table1[[#This Row],[id_destino]]&amp;" - "&amp;Table1[[#This Row],[id_origen]]</f>
        <v>35 - 2</v>
      </c>
    </row>
    <row r="101" spans="1:22" hidden="1">
      <c r="A101">
        <v>96</v>
      </c>
      <c r="B101">
        <v>57</v>
      </c>
      <c r="C101">
        <v>469</v>
      </c>
      <c r="D101">
        <v>53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20</v>
      </c>
      <c r="L101" s="1">
        <v>42990</v>
      </c>
      <c r="M101">
        <v>35</v>
      </c>
      <c r="N101">
        <v>2</v>
      </c>
      <c r="O101">
        <v>380</v>
      </c>
      <c r="P101">
        <v>341</v>
      </c>
      <c r="Q101">
        <v>380</v>
      </c>
      <c r="S101">
        <v>1344</v>
      </c>
      <c r="T101">
        <v>1350</v>
      </c>
      <c r="U101">
        <f>+SUM(Table1[[#This Row],[Latinos]:[Cemex]])</f>
        <v>1</v>
      </c>
      <c r="V101" t="str">
        <f>+Table1[[#This Row],[id_destino]]&amp;" - "&amp;Table1[[#This Row],[id_origen]]</f>
        <v>35 - 2</v>
      </c>
    </row>
    <row r="102" spans="1:22" hidden="1">
      <c r="A102">
        <v>544</v>
      </c>
      <c r="B102">
        <v>57</v>
      </c>
      <c r="C102">
        <v>469</v>
      </c>
      <c r="D102">
        <v>5403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 t="s">
        <v>20</v>
      </c>
      <c r="L102" s="1">
        <v>43096</v>
      </c>
      <c r="M102">
        <v>35</v>
      </c>
      <c r="N102">
        <v>2</v>
      </c>
      <c r="O102">
        <v>379</v>
      </c>
      <c r="P102">
        <v>379</v>
      </c>
      <c r="Q102">
        <v>379</v>
      </c>
      <c r="S102">
        <v>992</v>
      </c>
      <c r="T102">
        <v>992</v>
      </c>
      <c r="U102">
        <f>+SUM(Table1[[#This Row],[Latinos]:[Cemex]])</f>
        <v>1</v>
      </c>
      <c r="V102" t="str">
        <f>+Table1[[#This Row],[id_destino]]&amp;" - "&amp;Table1[[#This Row],[id_origen]]</f>
        <v>35 - 2</v>
      </c>
    </row>
    <row r="103" spans="1:22" hidden="1">
      <c r="A103">
        <v>1419</v>
      </c>
      <c r="B103">
        <v>57</v>
      </c>
      <c r="C103">
        <v>469</v>
      </c>
      <c r="D103">
        <v>3618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 t="s">
        <v>20</v>
      </c>
      <c r="L103" s="1">
        <v>43427</v>
      </c>
      <c r="M103">
        <v>35</v>
      </c>
      <c r="N103">
        <v>2</v>
      </c>
      <c r="O103">
        <v>355</v>
      </c>
      <c r="P103">
        <v>355</v>
      </c>
      <c r="Q103">
        <v>355</v>
      </c>
      <c r="S103">
        <v>908</v>
      </c>
      <c r="T103">
        <v>911</v>
      </c>
      <c r="U103">
        <f>+SUM(Table1[[#This Row],[Latinos]:[Cemex]])</f>
        <v>2</v>
      </c>
      <c r="V103" t="str">
        <f>+Table1[[#This Row],[id_destino]]&amp;" - "&amp;Table1[[#This Row],[id_origen]]</f>
        <v>35 - 2</v>
      </c>
    </row>
    <row r="104" spans="1:22" hidden="1">
      <c r="A104">
        <v>174</v>
      </c>
      <c r="B104">
        <v>1133</v>
      </c>
      <c r="C104">
        <v>469</v>
      </c>
      <c r="D104">
        <v>556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 t="s">
        <v>20</v>
      </c>
      <c r="L104" s="1">
        <v>43895</v>
      </c>
      <c r="M104">
        <v>36</v>
      </c>
      <c r="N104">
        <v>2</v>
      </c>
      <c r="O104">
        <v>273</v>
      </c>
      <c r="P104">
        <v>237</v>
      </c>
      <c r="Q104">
        <v>273</v>
      </c>
      <c r="S104">
        <v>743</v>
      </c>
      <c r="T104">
        <v>749</v>
      </c>
      <c r="U104">
        <f>+SUM(Table1[[#This Row],[Latinos]:[Cemex]])</f>
        <v>1</v>
      </c>
      <c r="V104" t="str">
        <f>+Table1[[#This Row],[id_destino]]&amp;" - "&amp;Table1[[#This Row],[id_origen]]</f>
        <v>36 - 2</v>
      </c>
    </row>
    <row r="105" spans="1:22" hidden="1">
      <c r="A105">
        <v>613</v>
      </c>
      <c r="B105">
        <v>26</v>
      </c>
      <c r="C105">
        <v>469</v>
      </c>
      <c r="D105">
        <v>43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 t="s">
        <v>20</v>
      </c>
      <c r="L105" s="1">
        <v>43116</v>
      </c>
      <c r="M105">
        <v>37</v>
      </c>
      <c r="N105">
        <v>2</v>
      </c>
      <c r="O105">
        <v>678</v>
      </c>
      <c r="P105">
        <v>640</v>
      </c>
      <c r="Q105">
        <v>678</v>
      </c>
      <c r="S105">
        <v>2944</v>
      </c>
      <c r="T105">
        <v>2944</v>
      </c>
      <c r="U105">
        <f>+SUM(Table1[[#This Row],[Latinos]:[Cemex]])</f>
        <v>1</v>
      </c>
      <c r="V105" t="str">
        <f>+Table1[[#This Row],[id_destino]]&amp;" - "&amp;Table1[[#This Row],[id_origen]]</f>
        <v>37 - 2</v>
      </c>
    </row>
    <row r="106" spans="1:22" hidden="1">
      <c r="A106">
        <v>732</v>
      </c>
      <c r="B106">
        <v>26</v>
      </c>
      <c r="C106">
        <v>469</v>
      </c>
      <c r="D106">
        <v>4894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 t="s">
        <v>20</v>
      </c>
      <c r="L106" s="1">
        <v>43145</v>
      </c>
      <c r="M106">
        <v>37</v>
      </c>
      <c r="N106">
        <v>2</v>
      </c>
      <c r="O106">
        <v>647</v>
      </c>
      <c r="P106">
        <v>679</v>
      </c>
      <c r="Q106">
        <v>647</v>
      </c>
      <c r="S106">
        <v>1713</v>
      </c>
      <c r="T106">
        <v>1713</v>
      </c>
      <c r="U106">
        <f>+SUM(Table1[[#This Row],[Latinos]:[Cemex]])</f>
        <v>1</v>
      </c>
      <c r="V106" t="str">
        <f>+Table1[[#This Row],[id_destino]]&amp;" - "&amp;Table1[[#This Row],[id_origen]]</f>
        <v>37 - 2</v>
      </c>
    </row>
    <row r="107" spans="1:22" hidden="1">
      <c r="A107">
        <v>1356</v>
      </c>
      <c r="B107">
        <v>26</v>
      </c>
      <c r="C107">
        <v>469</v>
      </c>
      <c r="D107">
        <v>4894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20</v>
      </c>
      <c r="L107" s="1">
        <v>43400</v>
      </c>
      <c r="M107">
        <v>37</v>
      </c>
      <c r="N107">
        <v>2</v>
      </c>
      <c r="O107">
        <v>679</v>
      </c>
      <c r="P107">
        <v>679</v>
      </c>
      <c r="Q107">
        <v>679</v>
      </c>
      <c r="S107">
        <v>1476.72</v>
      </c>
      <c r="T107">
        <v>1476.72</v>
      </c>
      <c r="U107">
        <f>+SUM(Table1[[#This Row],[Latinos]:[Cemex]])</f>
        <v>1</v>
      </c>
      <c r="V107" t="str">
        <f>+Table1[[#This Row],[id_destino]]&amp;" - "&amp;Table1[[#This Row],[id_origen]]</f>
        <v>37 - 2</v>
      </c>
    </row>
    <row r="108" spans="1:22" hidden="1">
      <c r="A108">
        <v>181</v>
      </c>
      <c r="B108">
        <v>137</v>
      </c>
      <c r="C108">
        <v>469</v>
      </c>
      <c r="D108">
        <v>5299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 t="s">
        <v>20</v>
      </c>
      <c r="L108" s="1">
        <v>43006</v>
      </c>
      <c r="M108">
        <v>38</v>
      </c>
      <c r="N108">
        <v>2</v>
      </c>
      <c r="O108">
        <v>328</v>
      </c>
      <c r="P108">
        <v>327</v>
      </c>
      <c r="Q108">
        <v>328</v>
      </c>
      <c r="S108">
        <v>1621</v>
      </c>
      <c r="T108">
        <v>1621</v>
      </c>
      <c r="U108">
        <f>+SUM(Table1[[#This Row],[Latinos]:[Cemex]])</f>
        <v>1</v>
      </c>
      <c r="V108" t="str">
        <f>+Table1[[#This Row],[id_destino]]&amp;" - "&amp;Table1[[#This Row],[id_origen]]</f>
        <v>38 - 2</v>
      </c>
    </row>
    <row r="109" spans="1:22" hidden="1">
      <c r="A109">
        <v>236</v>
      </c>
      <c r="B109">
        <v>137</v>
      </c>
      <c r="C109">
        <v>469</v>
      </c>
      <c r="D109">
        <v>5299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 t="s">
        <v>20</v>
      </c>
      <c r="L109" s="1">
        <v>43020</v>
      </c>
      <c r="M109">
        <v>38</v>
      </c>
      <c r="N109">
        <v>2</v>
      </c>
      <c r="O109">
        <v>328</v>
      </c>
      <c r="P109">
        <v>328</v>
      </c>
      <c r="Q109">
        <v>328</v>
      </c>
      <c r="S109">
        <v>0</v>
      </c>
      <c r="T109">
        <v>0</v>
      </c>
      <c r="U109">
        <f>+SUM(Table1[[#This Row],[Latinos]:[Cemex]])</f>
        <v>1</v>
      </c>
      <c r="V109" t="str">
        <f>+Table1[[#This Row],[id_destino]]&amp;" - "&amp;Table1[[#This Row],[id_origen]]</f>
        <v>38 - 2</v>
      </c>
    </row>
    <row r="110" spans="1:22" hidden="1">
      <c r="A110">
        <v>2825</v>
      </c>
      <c r="B110">
        <v>127</v>
      </c>
      <c r="C110">
        <v>469</v>
      </c>
      <c r="D110">
        <v>6187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 t="s">
        <v>20</v>
      </c>
      <c r="L110" s="1">
        <v>44490</v>
      </c>
      <c r="M110">
        <v>39</v>
      </c>
      <c r="N110">
        <v>2</v>
      </c>
      <c r="O110">
        <v>443</v>
      </c>
      <c r="P110">
        <v>437</v>
      </c>
      <c r="Q110">
        <v>443</v>
      </c>
      <c r="S110">
        <v>2115</v>
      </c>
      <c r="T110">
        <v>2115</v>
      </c>
      <c r="U110">
        <f>+SUM(Table1[[#This Row],[Latinos]:[Cemex]])</f>
        <v>1</v>
      </c>
      <c r="V110" t="str">
        <f>+Table1[[#This Row],[id_destino]]&amp;" - "&amp;Table1[[#This Row],[id_origen]]</f>
        <v>39 - 2</v>
      </c>
    </row>
    <row r="111" spans="1:22" hidden="1">
      <c r="A111">
        <v>550</v>
      </c>
      <c r="B111">
        <v>138</v>
      </c>
      <c r="C111">
        <v>469</v>
      </c>
      <c r="D111">
        <v>46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 t="s">
        <v>20</v>
      </c>
      <c r="L111" s="1">
        <v>43098</v>
      </c>
      <c r="M111">
        <v>40</v>
      </c>
      <c r="N111">
        <v>2</v>
      </c>
      <c r="O111">
        <v>449</v>
      </c>
      <c r="P111">
        <v>460</v>
      </c>
      <c r="Q111">
        <v>449</v>
      </c>
      <c r="S111">
        <v>2200</v>
      </c>
      <c r="T111">
        <v>2200</v>
      </c>
      <c r="U111">
        <f>+SUM(Table1[[#This Row],[Latinos]:[Cemex]])</f>
        <v>1</v>
      </c>
      <c r="V111" t="str">
        <f>+Table1[[#This Row],[id_destino]]&amp;" - "&amp;Table1[[#This Row],[id_origen]]</f>
        <v>40 - 2</v>
      </c>
    </row>
    <row r="112" spans="1:22" hidden="1">
      <c r="A112">
        <v>1573</v>
      </c>
      <c r="B112">
        <v>15</v>
      </c>
      <c r="C112">
        <v>469</v>
      </c>
      <c r="D112">
        <v>3189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 t="s">
        <v>20</v>
      </c>
      <c r="L112" s="1">
        <v>43511</v>
      </c>
      <c r="M112">
        <v>41</v>
      </c>
      <c r="N112">
        <v>2</v>
      </c>
      <c r="O112">
        <v>448</v>
      </c>
      <c r="P112">
        <v>442</v>
      </c>
      <c r="Q112">
        <v>448</v>
      </c>
      <c r="S112">
        <v>960</v>
      </c>
      <c r="T112">
        <v>960</v>
      </c>
      <c r="U112">
        <f>+SUM(Table1[[#This Row],[Latinos]:[Cemex]])</f>
        <v>1</v>
      </c>
      <c r="V112" t="str">
        <f>+Table1[[#This Row],[id_destino]]&amp;" - "&amp;Table1[[#This Row],[id_origen]]</f>
        <v>41 - 2</v>
      </c>
    </row>
    <row r="113" spans="1:22" hidden="1">
      <c r="A113">
        <v>1593</v>
      </c>
      <c r="B113">
        <v>15</v>
      </c>
      <c r="C113">
        <v>469</v>
      </c>
      <c r="D113">
        <v>3189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 t="s">
        <v>20</v>
      </c>
      <c r="L113" s="1">
        <v>43522</v>
      </c>
      <c r="M113">
        <v>41</v>
      </c>
      <c r="N113">
        <v>2</v>
      </c>
      <c r="O113">
        <v>446</v>
      </c>
      <c r="P113">
        <v>434</v>
      </c>
      <c r="Q113">
        <v>446</v>
      </c>
      <c r="S113">
        <v>873</v>
      </c>
      <c r="T113">
        <v>873</v>
      </c>
      <c r="U113">
        <f>+SUM(Table1[[#This Row],[Latinos]:[Cemex]])</f>
        <v>1</v>
      </c>
      <c r="V113" t="str">
        <f>+Table1[[#This Row],[id_destino]]&amp;" - "&amp;Table1[[#This Row],[id_origen]]</f>
        <v>41 - 2</v>
      </c>
    </row>
    <row r="114" spans="1:22" hidden="1">
      <c r="A114">
        <v>307</v>
      </c>
      <c r="B114">
        <v>206</v>
      </c>
      <c r="C114">
        <v>469</v>
      </c>
      <c r="D114">
        <v>48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 t="s">
        <v>20</v>
      </c>
      <c r="L114" s="1">
        <v>43033</v>
      </c>
      <c r="M114">
        <v>42</v>
      </c>
      <c r="N114">
        <v>2</v>
      </c>
      <c r="O114">
        <v>241</v>
      </c>
      <c r="P114">
        <v>235</v>
      </c>
      <c r="Q114">
        <v>241</v>
      </c>
      <c r="S114">
        <v>840</v>
      </c>
      <c r="T114">
        <v>840</v>
      </c>
      <c r="U114">
        <f>+SUM(Table1[[#This Row],[Latinos]:[Cemex]])</f>
        <v>1</v>
      </c>
      <c r="V114" t="str">
        <f>+Table1[[#This Row],[id_destino]]&amp;" - "&amp;Table1[[#This Row],[id_origen]]</f>
        <v>42 - 2</v>
      </c>
    </row>
    <row r="115" spans="1:22" hidden="1">
      <c r="A115">
        <v>311</v>
      </c>
      <c r="B115">
        <v>206</v>
      </c>
      <c r="C115">
        <v>469</v>
      </c>
      <c r="D115">
        <v>48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 t="s">
        <v>20</v>
      </c>
      <c r="L115" s="1">
        <v>43034</v>
      </c>
      <c r="M115">
        <v>42</v>
      </c>
      <c r="N115">
        <v>2</v>
      </c>
      <c r="O115">
        <v>241</v>
      </c>
      <c r="P115">
        <v>241</v>
      </c>
      <c r="Q115">
        <v>241</v>
      </c>
      <c r="S115">
        <v>483</v>
      </c>
      <c r="T115">
        <v>483</v>
      </c>
      <c r="U115">
        <f>+SUM(Table1[[#This Row],[Latinos]:[Cemex]])</f>
        <v>1</v>
      </c>
      <c r="V115" t="str">
        <f>+Table1[[#This Row],[id_destino]]&amp;" - "&amp;Table1[[#This Row],[id_origen]]</f>
        <v>42 - 2</v>
      </c>
    </row>
    <row r="116" spans="1:22" hidden="1">
      <c r="A116">
        <v>183</v>
      </c>
      <c r="B116">
        <v>219</v>
      </c>
      <c r="C116">
        <v>469</v>
      </c>
      <c r="D116">
        <v>49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 t="s">
        <v>20</v>
      </c>
      <c r="L116" s="1">
        <v>43169</v>
      </c>
      <c r="M116">
        <v>43</v>
      </c>
      <c r="N116">
        <v>2</v>
      </c>
      <c r="O116">
        <v>574</v>
      </c>
      <c r="P116">
        <v>565</v>
      </c>
      <c r="Q116">
        <v>574</v>
      </c>
      <c r="S116">
        <v>1735</v>
      </c>
      <c r="T116">
        <v>1735</v>
      </c>
      <c r="U116">
        <f>+SUM(Table1[[#This Row],[Latinos]:[Cemex]])</f>
        <v>1</v>
      </c>
      <c r="V116" t="str">
        <f>+Table1[[#This Row],[id_destino]]&amp;" - "&amp;Table1[[#This Row],[id_origen]]</f>
        <v>43 - 2</v>
      </c>
    </row>
    <row r="117" spans="1:22" hidden="1">
      <c r="A117">
        <v>561</v>
      </c>
      <c r="B117">
        <v>2346</v>
      </c>
      <c r="C117">
        <v>469</v>
      </c>
      <c r="D117">
        <v>2569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 t="s">
        <v>20</v>
      </c>
      <c r="L117" s="1">
        <v>43103</v>
      </c>
      <c r="M117">
        <v>44</v>
      </c>
      <c r="N117">
        <v>2</v>
      </c>
      <c r="O117">
        <v>264</v>
      </c>
      <c r="P117">
        <v>264</v>
      </c>
      <c r="Q117">
        <v>264</v>
      </c>
      <c r="S117">
        <v>806</v>
      </c>
      <c r="T117">
        <v>806</v>
      </c>
      <c r="U117">
        <f>+SUM(Table1[[#This Row],[Latinos]:[Cemex]])</f>
        <v>1</v>
      </c>
      <c r="V117" t="str">
        <f>+Table1[[#This Row],[id_destino]]&amp;" - "&amp;Table1[[#This Row],[id_origen]]</f>
        <v>44 - 2</v>
      </c>
    </row>
    <row r="118" spans="1:22" hidden="1">
      <c r="A118">
        <v>498</v>
      </c>
      <c r="B118">
        <v>221</v>
      </c>
      <c r="C118">
        <v>469</v>
      </c>
      <c r="D118">
        <v>52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 t="s">
        <v>20</v>
      </c>
      <c r="L118" s="1">
        <v>43941</v>
      </c>
      <c r="M118">
        <v>46</v>
      </c>
      <c r="N118">
        <v>2</v>
      </c>
      <c r="O118">
        <v>201</v>
      </c>
      <c r="P118">
        <v>197</v>
      </c>
      <c r="Q118">
        <v>201</v>
      </c>
      <c r="S118">
        <v>713</v>
      </c>
      <c r="T118">
        <v>713</v>
      </c>
      <c r="U118">
        <f>+SUM(Table1[[#This Row],[Latinos]:[Cemex]])</f>
        <v>1</v>
      </c>
      <c r="V118" t="str">
        <f>+Table1[[#This Row],[id_destino]]&amp;" - "&amp;Table1[[#This Row],[id_origen]]</f>
        <v>46 - 2</v>
      </c>
    </row>
    <row r="119" spans="1:22" hidden="1">
      <c r="A119">
        <v>2085</v>
      </c>
      <c r="B119">
        <v>826</v>
      </c>
      <c r="C119">
        <v>469</v>
      </c>
      <c r="D119">
        <v>230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 t="s">
        <v>20</v>
      </c>
      <c r="L119" s="1">
        <v>43804</v>
      </c>
      <c r="M119">
        <v>47</v>
      </c>
      <c r="N119">
        <v>2</v>
      </c>
      <c r="O119">
        <v>179</v>
      </c>
      <c r="P119">
        <v>179</v>
      </c>
      <c r="Q119">
        <v>179</v>
      </c>
      <c r="S119">
        <v>130</v>
      </c>
      <c r="T119">
        <v>263</v>
      </c>
      <c r="U119">
        <f>+SUM(Table1[[#This Row],[Latinos]:[Cemex]])</f>
        <v>1</v>
      </c>
      <c r="V119" t="str">
        <f>+Table1[[#This Row],[id_destino]]&amp;" - "&amp;Table1[[#This Row],[id_origen]]</f>
        <v>47 - 2</v>
      </c>
    </row>
    <row r="120" spans="1:22" hidden="1">
      <c r="A120">
        <v>242</v>
      </c>
      <c r="B120">
        <v>2246</v>
      </c>
      <c r="C120">
        <v>469</v>
      </c>
      <c r="D120">
        <v>676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 t="s">
        <v>20</v>
      </c>
      <c r="L120" s="1">
        <v>43108</v>
      </c>
      <c r="M120">
        <v>47</v>
      </c>
      <c r="N120">
        <v>2</v>
      </c>
      <c r="O120">
        <v>181</v>
      </c>
      <c r="P120">
        <v>158</v>
      </c>
      <c r="Q120">
        <v>181</v>
      </c>
      <c r="S120">
        <v>967</v>
      </c>
      <c r="T120">
        <v>1151</v>
      </c>
      <c r="U120">
        <f>+SUM(Table1[[#This Row],[Latinos]:[Cemex]])</f>
        <v>1</v>
      </c>
      <c r="V120" t="str">
        <f>+Table1[[#This Row],[id_destino]]&amp;" - "&amp;Table1[[#This Row],[id_origen]]</f>
        <v>47 - 2</v>
      </c>
    </row>
    <row r="121" spans="1:22" hidden="1">
      <c r="A121">
        <v>4766</v>
      </c>
      <c r="B121">
        <v>163</v>
      </c>
      <c r="C121">
        <v>469</v>
      </c>
      <c r="D121">
        <v>6311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 t="s">
        <v>20</v>
      </c>
      <c r="L121" s="1">
        <v>45793</v>
      </c>
      <c r="M121">
        <v>49</v>
      </c>
      <c r="N121">
        <v>2</v>
      </c>
      <c r="O121">
        <v>371</v>
      </c>
      <c r="P121">
        <v>392</v>
      </c>
      <c r="Q121">
        <v>371</v>
      </c>
      <c r="S121">
        <v>1855</v>
      </c>
      <c r="T121">
        <v>1855</v>
      </c>
      <c r="U121">
        <f>+SUM(Table1[[#This Row],[Latinos]:[Cemex]])</f>
        <v>1</v>
      </c>
      <c r="V121" t="str">
        <f>+Table1[[#This Row],[id_destino]]&amp;" - "&amp;Table1[[#This Row],[id_origen]]</f>
        <v>49 - 2</v>
      </c>
    </row>
    <row r="122" spans="1:22" hidden="1">
      <c r="A122">
        <v>755</v>
      </c>
      <c r="B122">
        <v>764</v>
      </c>
      <c r="C122">
        <v>469</v>
      </c>
      <c r="D122">
        <v>5460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 t="s">
        <v>20</v>
      </c>
      <c r="L122" s="1">
        <v>43153</v>
      </c>
      <c r="M122">
        <v>51</v>
      </c>
      <c r="N122">
        <v>2</v>
      </c>
      <c r="O122">
        <v>917</v>
      </c>
      <c r="P122">
        <v>925</v>
      </c>
      <c r="Q122">
        <v>917</v>
      </c>
      <c r="S122">
        <v>1506</v>
      </c>
      <c r="T122">
        <v>1506</v>
      </c>
      <c r="U122">
        <f>+SUM(Table1[[#This Row],[Latinos]:[Cemex]])</f>
        <v>1</v>
      </c>
      <c r="V122" t="str">
        <f>+Table1[[#This Row],[id_destino]]&amp;" - "&amp;Table1[[#This Row],[id_origen]]</f>
        <v>51 - 2</v>
      </c>
    </row>
    <row r="123" spans="1:22" hidden="1">
      <c r="A123">
        <v>246</v>
      </c>
      <c r="B123">
        <v>859</v>
      </c>
      <c r="C123">
        <v>469</v>
      </c>
      <c r="D123">
        <v>7117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 t="s">
        <v>20</v>
      </c>
      <c r="L123" s="1">
        <v>45437</v>
      </c>
      <c r="M123">
        <v>52</v>
      </c>
      <c r="N123">
        <v>2</v>
      </c>
      <c r="O123">
        <v>948</v>
      </c>
      <c r="P123">
        <v>924</v>
      </c>
      <c r="Q123">
        <v>948</v>
      </c>
      <c r="S123">
        <v>1793</v>
      </c>
      <c r="T123">
        <v>1793</v>
      </c>
      <c r="U123">
        <f>+SUM(Table1[[#This Row],[Latinos]:[Cemex]])</f>
        <v>1</v>
      </c>
      <c r="V123" t="str">
        <f>+Table1[[#This Row],[id_destino]]&amp;" - "&amp;Table1[[#This Row],[id_origen]]</f>
        <v>52 - 2</v>
      </c>
    </row>
    <row r="124" spans="1:22" hidden="1">
      <c r="A124">
        <v>2104</v>
      </c>
      <c r="B124">
        <v>859</v>
      </c>
      <c r="C124">
        <v>469</v>
      </c>
      <c r="D124">
        <v>7117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 t="s">
        <v>20</v>
      </c>
      <c r="L124" s="1">
        <v>45437</v>
      </c>
      <c r="M124">
        <v>52</v>
      </c>
      <c r="N124">
        <v>2</v>
      </c>
      <c r="O124">
        <v>947</v>
      </c>
      <c r="P124">
        <v>919</v>
      </c>
      <c r="Q124">
        <v>947</v>
      </c>
      <c r="S124">
        <v>1159</v>
      </c>
      <c r="T124">
        <v>1159</v>
      </c>
      <c r="U124">
        <f>+SUM(Table1[[#This Row],[Latinos]:[Cemex]])</f>
        <v>1</v>
      </c>
      <c r="V124" t="str">
        <f>+Table1[[#This Row],[id_destino]]&amp;" - "&amp;Table1[[#This Row],[id_origen]]</f>
        <v>52 - 2</v>
      </c>
    </row>
    <row r="125" spans="1:22" hidden="1">
      <c r="A125">
        <v>271</v>
      </c>
      <c r="B125">
        <v>1238</v>
      </c>
      <c r="C125">
        <v>469</v>
      </c>
      <c r="D125">
        <v>2788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 t="s">
        <v>20</v>
      </c>
      <c r="L125" s="1">
        <v>43028</v>
      </c>
      <c r="M125">
        <v>53</v>
      </c>
      <c r="N125">
        <v>2</v>
      </c>
      <c r="O125">
        <v>1138</v>
      </c>
      <c r="P125">
        <v>1131</v>
      </c>
      <c r="Q125">
        <v>1138</v>
      </c>
      <c r="S125">
        <v>2523</v>
      </c>
      <c r="T125">
        <v>2523</v>
      </c>
      <c r="U125">
        <f>+SUM(Table1[[#This Row],[Latinos]:[Cemex]])</f>
        <v>1</v>
      </c>
      <c r="V125" t="str">
        <f>+Table1[[#This Row],[id_destino]]&amp;" - "&amp;Table1[[#This Row],[id_origen]]</f>
        <v>53 - 2</v>
      </c>
    </row>
    <row r="126" spans="1:22" hidden="1">
      <c r="A126">
        <v>1037</v>
      </c>
      <c r="B126">
        <v>1528</v>
      </c>
      <c r="C126">
        <v>469</v>
      </c>
      <c r="D126">
        <v>3460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 t="s">
        <v>20</v>
      </c>
      <c r="L126" s="1">
        <v>43258</v>
      </c>
      <c r="M126">
        <v>54</v>
      </c>
      <c r="N126">
        <v>2</v>
      </c>
      <c r="O126">
        <v>871</v>
      </c>
      <c r="P126">
        <v>862</v>
      </c>
      <c r="Q126">
        <v>871</v>
      </c>
      <c r="S126">
        <v>1224.99</v>
      </c>
      <c r="T126">
        <v>1224.99</v>
      </c>
      <c r="U126">
        <f>+SUM(Table1[[#This Row],[Latinos]:[Cemex]])</f>
        <v>1</v>
      </c>
      <c r="V126" t="str">
        <f>+Table1[[#This Row],[id_destino]]&amp;" - "&amp;Table1[[#This Row],[id_origen]]</f>
        <v>54 - 2</v>
      </c>
    </row>
    <row r="127" spans="1:22" hidden="1">
      <c r="A127">
        <v>4129</v>
      </c>
      <c r="B127">
        <v>617</v>
      </c>
      <c r="C127">
        <v>3097</v>
      </c>
      <c r="D127">
        <v>7635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 t="s">
        <v>20</v>
      </c>
      <c r="L127" s="1">
        <v>45307</v>
      </c>
      <c r="M127">
        <v>56</v>
      </c>
      <c r="N127">
        <v>2</v>
      </c>
      <c r="O127">
        <v>96</v>
      </c>
      <c r="P127">
        <v>100</v>
      </c>
      <c r="Q127">
        <v>96</v>
      </c>
      <c r="S127">
        <v>435</v>
      </c>
      <c r="T127">
        <v>435</v>
      </c>
      <c r="U127">
        <f>+SUM(Table1[[#This Row],[Latinos]:[Cemex]])</f>
        <v>1</v>
      </c>
      <c r="V127" t="str">
        <f>+Table1[[#This Row],[id_destino]]&amp;" - "&amp;Table1[[#This Row],[id_origen]]</f>
        <v>56 - 2</v>
      </c>
    </row>
    <row r="128" spans="1:22" hidden="1">
      <c r="A128">
        <v>59</v>
      </c>
      <c r="B128">
        <v>978</v>
      </c>
      <c r="C128">
        <v>469</v>
      </c>
      <c r="D128">
        <v>65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 t="s">
        <v>20</v>
      </c>
      <c r="L128" s="1">
        <v>42996</v>
      </c>
      <c r="M128">
        <v>57</v>
      </c>
      <c r="N128">
        <v>2</v>
      </c>
      <c r="O128">
        <v>67</v>
      </c>
      <c r="P128">
        <v>150</v>
      </c>
      <c r="Q128">
        <v>67</v>
      </c>
      <c r="S128">
        <v>0</v>
      </c>
      <c r="T128">
        <v>0</v>
      </c>
      <c r="U128">
        <f>+SUM(Table1[[#This Row],[Latinos]:[Cemex]])</f>
        <v>1</v>
      </c>
      <c r="V128" t="str">
        <f>+Table1[[#This Row],[id_destino]]&amp;" - "&amp;Table1[[#This Row],[id_origen]]</f>
        <v>57 - 2</v>
      </c>
    </row>
    <row r="129" spans="1:22" hidden="1">
      <c r="A129">
        <v>1138</v>
      </c>
      <c r="B129">
        <v>978</v>
      </c>
      <c r="C129">
        <v>469</v>
      </c>
      <c r="D129">
        <v>4703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 t="s">
        <v>20</v>
      </c>
      <c r="L129" s="1">
        <v>43307</v>
      </c>
      <c r="M129">
        <v>57</v>
      </c>
      <c r="N129">
        <v>2</v>
      </c>
      <c r="O129">
        <v>49</v>
      </c>
      <c r="P129">
        <v>150</v>
      </c>
      <c r="Q129">
        <v>49</v>
      </c>
      <c r="S129">
        <v>0</v>
      </c>
      <c r="T129">
        <v>0</v>
      </c>
      <c r="U129">
        <f>+SUM(Table1[[#This Row],[Latinos]:[Cemex]])</f>
        <v>1</v>
      </c>
      <c r="V129" t="str">
        <f>+Table1[[#This Row],[id_destino]]&amp;" - "&amp;Table1[[#This Row],[id_origen]]</f>
        <v>57 - 2</v>
      </c>
    </row>
    <row r="130" spans="1:22" hidden="1">
      <c r="A130">
        <v>2017</v>
      </c>
      <c r="B130">
        <v>103</v>
      </c>
      <c r="C130">
        <v>469</v>
      </c>
      <c r="D130">
        <v>974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 t="s">
        <v>20</v>
      </c>
      <c r="L130" s="1">
        <v>43770</v>
      </c>
      <c r="M130">
        <v>58</v>
      </c>
      <c r="N130">
        <v>2</v>
      </c>
      <c r="O130">
        <v>184</v>
      </c>
      <c r="P130">
        <v>184</v>
      </c>
      <c r="Q130">
        <v>184</v>
      </c>
      <c r="S130">
        <v>253</v>
      </c>
      <c r="T130">
        <v>253</v>
      </c>
      <c r="U130">
        <f>+SUM(Table1[[#This Row],[Latinos]:[Cemex]])</f>
        <v>1</v>
      </c>
      <c r="V130" t="str">
        <f>+Table1[[#This Row],[id_destino]]&amp;" - "&amp;Table1[[#This Row],[id_origen]]</f>
        <v>58 - 2</v>
      </c>
    </row>
    <row r="131" spans="1:22" hidden="1">
      <c r="A131">
        <v>714</v>
      </c>
      <c r="B131">
        <v>167</v>
      </c>
      <c r="C131">
        <v>469</v>
      </c>
      <c r="D131">
        <v>7304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 t="s">
        <v>20</v>
      </c>
      <c r="L131" s="1">
        <v>45028</v>
      </c>
      <c r="M131">
        <v>59</v>
      </c>
      <c r="N131">
        <v>2</v>
      </c>
      <c r="O131">
        <v>477</v>
      </c>
      <c r="P131">
        <v>486</v>
      </c>
      <c r="Q131">
        <v>477</v>
      </c>
      <c r="S131">
        <v>1800</v>
      </c>
      <c r="T131">
        <v>1890</v>
      </c>
      <c r="U131">
        <f>+SUM(Table1[[#This Row],[Latinos]:[Cemex]])</f>
        <v>1</v>
      </c>
      <c r="V131" t="str">
        <f>+Table1[[#This Row],[id_destino]]&amp;" - "&amp;Table1[[#This Row],[id_origen]]</f>
        <v>59 - 2</v>
      </c>
    </row>
    <row r="132" spans="1:22" hidden="1">
      <c r="A132">
        <v>930</v>
      </c>
      <c r="B132">
        <v>1359</v>
      </c>
      <c r="C132">
        <v>469</v>
      </c>
      <c r="D132">
        <v>70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 t="s">
        <v>20</v>
      </c>
      <c r="L132" s="1">
        <v>43217</v>
      </c>
      <c r="M132">
        <v>60</v>
      </c>
      <c r="N132">
        <v>2</v>
      </c>
      <c r="O132">
        <v>2893</v>
      </c>
      <c r="P132">
        <v>2795</v>
      </c>
      <c r="Q132">
        <v>2893</v>
      </c>
      <c r="S132">
        <v>8825</v>
      </c>
      <c r="T132">
        <v>8938</v>
      </c>
      <c r="U132">
        <f>+SUM(Table1[[#This Row],[Latinos]:[Cemex]])</f>
        <v>1</v>
      </c>
      <c r="V132" t="str">
        <f>+Table1[[#This Row],[id_destino]]&amp;" - "&amp;Table1[[#This Row],[id_origen]]</f>
        <v>60 - 2</v>
      </c>
    </row>
    <row r="133" spans="1:22" hidden="1">
      <c r="A133">
        <v>2769</v>
      </c>
      <c r="B133">
        <v>1359</v>
      </c>
      <c r="C133">
        <v>7836</v>
      </c>
      <c r="D133">
        <v>419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 t="s">
        <v>91</v>
      </c>
      <c r="L133" s="1">
        <v>45493</v>
      </c>
      <c r="M133">
        <v>60</v>
      </c>
      <c r="N133">
        <v>2</v>
      </c>
      <c r="O133">
        <v>2867</v>
      </c>
      <c r="P133">
        <v>2867</v>
      </c>
      <c r="Q133">
        <v>2867</v>
      </c>
      <c r="S133">
        <v>7090</v>
      </c>
      <c r="T133">
        <v>7245</v>
      </c>
      <c r="U133">
        <f>+SUM(Table1[[#This Row],[Latinos]:[Cemex]])</f>
        <v>1</v>
      </c>
      <c r="V133" t="str">
        <f>+Table1[[#This Row],[id_destino]]&amp;" - "&amp;Table1[[#This Row],[id_origen]]</f>
        <v>60 - 2</v>
      </c>
    </row>
    <row r="134" spans="1:22" hidden="1">
      <c r="A134">
        <v>539</v>
      </c>
      <c r="B134">
        <v>626</v>
      </c>
      <c r="C134">
        <v>469</v>
      </c>
      <c r="D134">
        <v>71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 t="s">
        <v>36</v>
      </c>
      <c r="L134" s="1">
        <v>43634</v>
      </c>
      <c r="M134">
        <v>61</v>
      </c>
      <c r="N134">
        <v>2</v>
      </c>
      <c r="O134">
        <v>2723</v>
      </c>
      <c r="P134">
        <v>2627</v>
      </c>
      <c r="Q134">
        <v>2723</v>
      </c>
      <c r="S134">
        <v>7612</v>
      </c>
      <c r="T134">
        <v>7724</v>
      </c>
      <c r="U134">
        <f>+SUM(Table1[[#This Row],[Latinos]:[Cemex]])</f>
        <v>1</v>
      </c>
      <c r="V134" t="str">
        <f>+Table1[[#This Row],[id_destino]]&amp;" - "&amp;Table1[[#This Row],[id_origen]]</f>
        <v>61 - 2</v>
      </c>
    </row>
    <row r="135" spans="1:22" hidden="1">
      <c r="A135">
        <v>3475</v>
      </c>
      <c r="B135">
        <v>626</v>
      </c>
      <c r="C135">
        <v>469</v>
      </c>
      <c r="D135">
        <v>71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 t="s">
        <v>20</v>
      </c>
      <c r="L135" s="1">
        <v>44915</v>
      </c>
      <c r="M135">
        <v>61</v>
      </c>
      <c r="N135">
        <v>2</v>
      </c>
      <c r="O135">
        <v>2627</v>
      </c>
      <c r="P135">
        <v>2627</v>
      </c>
      <c r="Q135">
        <v>2627</v>
      </c>
      <c r="S135">
        <v>7612</v>
      </c>
      <c r="T135">
        <v>7724</v>
      </c>
      <c r="U135">
        <f>+SUM(Table1[[#This Row],[Latinos]:[Cemex]])</f>
        <v>2</v>
      </c>
      <c r="V135" t="str">
        <f>+Table1[[#This Row],[id_destino]]&amp;" - "&amp;Table1[[#This Row],[id_origen]]</f>
        <v>61 - 2</v>
      </c>
    </row>
    <row r="136" spans="1:22" hidden="1">
      <c r="A136">
        <v>235</v>
      </c>
      <c r="B136">
        <v>379</v>
      </c>
      <c r="C136">
        <v>469</v>
      </c>
      <c r="D136">
        <v>3172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 t="s">
        <v>20</v>
      </c>
      <c r="L136" s="1">
        <v>43019</v>
      </c>
      <c r="M136">
        <v>65</v>
      </c>
      <c r="N136">
        <v>2</v>
      </c>
      <c r="O136">
        <v>103</v>
      </c>
      <c r="P136">
        <v>166</v>
      </c>
      <c r="Q136">
        <v>103</v>
      </c>
      <c r="S136">
        <v>1175</v>
      </c>
      <c r="T136">
        <v>1175</v>
      </c>
      <c r="U136">
        <f>+SUM(Table1[[#This Row],[Latinos]:[Cemex]])</f>
        <v>1</v>
      </c>
      <c r="V136" t="str">
        <f>+Table1[[#This Row],[id_destino]]&amp;" - "&amp;Table1[[#This Row],[id_origen]]</f>
        <v>65 - 2</v>
      </c>
    </row>
    <row r="137" spans="1:22" hidden="1">
      <c r="A137">
        <v>1695</v>
      </c>
      <c r="B137">
        <v>379</v>
      </c>
      <c r="C137">
        <v>469</v>
      </c>
      <c r="D137">
        <v>8022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 t="s">
        <v>20</v>
      </c>
      <c r="L137" s="1">
        <v>45616</v>
      </c>
      <c r="M137">
        <v>65</v>
      </c>
      <c r="N137">
        <v>2</v>
      </c>
      <c r="O137">
        <v>171</v>
      </c>
      <c r="P137">
        <v>171</v>
      </c>
      <c r="Q137">
        <v>171</v>
      </c>
      <c r="S137">
        <v>556</v>
      </c>
      <c r="T137">
        <v>560</v>
      </c>
      <c r="U137">
        <f>+SUM(Table1[[#This Row],[Latinos]:[Cemex]])</f>
        <v>1</v>
      </c>
      <c r="V137" t="str">
        <f>+Table1[[#This Row],[id_destino]]&amp;" - "&amp;Table1[[#This Row],[id_origen]]</f>
        <v>65 - 2</v>
      </c>
    </row>
    <row r="138" spans="1:22" hidden="1">
      <c r="A138">
        <v>593</v>
      </c>
      <c r="B138">
        <v>1183</v>
      </c>
      <c r="C138">
        <v>469</v>
      </c>
      <c r="D138">
        <v>3265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 t="s">
        <v>20</v>
      </c>
      <c r="L138" s="1">
        <v>43110</v>
      </c>
      <c r="M138">
        <v>66</v>
      </c>
      <c r="N138">
        <v>2</v>
      </c>
      <c r="O138">
        <v>82</v>
      </c>
      <c r="P138">
        <v>150</v>
      </c>
      <c r="Q138">
        <v>82</v>
      </c>
      <c r="S138">
        <v>100</v>
      </c>
      <c r="T138">
        <v>100</v>
      </c>
      <c r="U138">
        <f>+SUM(Table1[[#This Row],[Latinos]:[Cemex]])</f>
        <v>1</v>
      </c>
      <c r="V138" t="str">
        <f>+Table1[[#This Row],[id_destino]]&amp;" - "&amp;Table1[[#This Row],[id_origen]]</f>
        <v>66 - 2</v>
      </c>
    </row>
    <row r="139" spans="1:22" hidden="1">
      <c r="A139">
        <v>2671</v>
      </c>
      <c r="B139">
        <v>1183</v>
      </c>
      <c r="C139">
        <v>495</v>
      </c>
      <c r="D139">
        <v>769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 t="s">
        <v>20</v>
      </c>
      <c r="L139" s="1">
        <v>44713</v>
      </c>
      <c r="M139">
        <v>66</v>
      </c>
      <c r="N139">
        <v>2</v>
      </c>
      <c r="O139">
        <v>50</v>
      </c>
      <c r="P139">
        <v>50</v>
      </c>
      <c r="Q139">
        <v>50</v>
      </c>
      <c r="S139">
        <v>0</v>
      </c>
      <c r="T139">
        <v>0</v>
      </c>
      <c r="U139">
        <f>+SUM(Table1[[#This Row],[Latinos]:[Cemex]])</f>
        <v>1</v>
      </c>
      <c r="V139" t="str">
        <f>+Table1[[#This Row],[id_destino]]&amp;" - "&amp;Table1[[#This Row],[id_origen]]</f>
        <v>66 - 2</v>
      </c>
    </row>
    <row r="140" spans="1:22" hidden="1">
      <c r="A140">
        <v>1961</v>
      </c>
      <c r="B140">
        <v>3048</v>
      </c>
      <c r="C140">
        <v>469</v>
      </c>
      <c r="D140">
        <v>5409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 t="s">
        <v>20</v>
      </c>
      <c r="L140" s="1">
        <v>43740</v>
      </c>
      <c r="M140">
        <v>67</v>
      </c>
      <c r="N140">
        <v>2</v>
      </c>
      <c r="O140">
        <v>281</v>
      </c>
      <c r="P140">
        <v>225</v>
      </c>
      <c r="Q140">
        <v>281</v>
      </c>
      <c r="S140">
        <v>626</v>
      </c>
      <c r="T140">
        <v>626</v>
      </c>
      <c r="U140">
        <f>+SUM(Table1[[#This Row],[Latinos]:[Cemex]])</f>
        <v>1</v>
      </c>
      <c r="V140" t="str">
        <f>+Table1[[#This Row],[id_destino]]&amp;" - "&amp;Table1[[#This Row],[id_origen]]</f>
        <v>67 - 2</v>
      </c>
    </row>
    <row r="141" spans="1:22" hidden="1">
      <c r="A141">
        <v>24</v>
      </c>
      <c r="B141">
        <v>283</v>
      </c>
      <c r="C141">
        <v>469</v>
      </c>
      <c r="D141">
        <v>206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 t="s">
        <v>20</v>
      </c>
      <c r="L141" s="1">
        <v>42983</v>
      </c>
      <c r="M141">
        <v>69</v>
      </c>
      <c r="N141">
        <v>2</v>
      </c>
      <c r="O141">
        <v>70</v>
      </c>
      <c r="P141">
        <v>70</v>
      </c>
      <c r="Q141">
        <v>72</v>
      </c>
      <c r="S141">
        <v>179</v>
      </c>
      <c r="T141">
        <v>246</v>
      </c>
      <c r="U141">
        <f>+SUM(Table1[[#This Row],[Latinos]:[Cemex]])</f>
        <v>1</v>
      </c>
      <c r="V141" t="str">
        <f>+Table1[[#This Row],[id_destino]]&amp;" - "&amp;Table1[[#This Row],[id_origen]]</f>
        <v>69 - 2</v>
      </c>
    </row>
    <row r="142" spans="1:22" hidden="1">
      <c r="A142">
        <v>1509</v>
      </c>
      <c r="B142">
        <v>283</v>
      </c>
      <c r="C142">
        <v>4021</v>
      </c>
      <c r="D142">
        <v>1370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20</v>
      </c>
      <c r="L142" s="1">
        <v>43941</v>
      </c>
      <c r="M142">
        <v>69</v>
      </c>
      <c r="N142">
        <v>2</v>
      </c>
      <c r="O142">
        <v>70</v>
      </c>
      <c r="P142">
        <v>150</v>
      </c>
      <c r="Q142">
        <v>70</v>
      </c>
      <c r="S142">
        <v>216</v>
      </c>
      <c r="T142">
        <v>321</v>
      </c>
      <c r="U142">
        <f>+SUM(Table1[[#This Row],[Latinos]:[Cemex]])</f>
        <v>1</v>
      </c>
      <c r="V142" t="str">
        <f>+Table1[[#This Row],[id_destino]]&amp;" - "&amp;Table1[[#This Row],[id_origen]]</f>
        <v>69 - 2</v>
      </c>
    </row>
    <row r="143" spans="1:22" hidden="1">
      <c r="A143">
        <v>2228</v>
      </c>
      <c r="B143">
        <v>3213</v>
      </c>
      <c r="C143">
        <v>469</v>
      </c>
      <c r="D143">
        <v>5980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 t="s">
        <v>20</v>
      </c>
      <c r="L143" s="1">
        <v>43866</v>
      </c>
      <c r="M143">
        <v>70</v>
      </c>
      <c r="N143">
        <v>2</v>
      </c>
      <c r="O143">
        <v>117</v>
      </c>
      <c r="P143">
        <v>150</v>
      </c>
      <c r="Q143">
        <v>117</v>
      </c>
      <c r="S143">
        <v>78</v>
      </c>
      <c r="T143">
        <v>78</v>
      </c>
      <c r="U143">
        <f>+SUM(Table1[[#This Row],[Latinos]:[Cemex]])</f>
        <v>1</v>
      </c>
      <c r="V143" t="str">
        <f>+Table1[[#This Row],[id_destino]]&amp;" - "&amp;Table1[[#This Row],[id_origen]]</f>
        <v>70 - 2</v>
      </c>
    </row>
    <row r="144" spans="1:22" hidden="1">
      <c r="A144">
        <v>1436</v>
      </c>
      <c r="B144">
        <v>633</v>
      </c>
      <c r="C144">
        <v>4752</v>
      </c>
      <c r="D144">
        <v>5765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 t="s">
        <v>70</v>
      </c>
      <c r="L144" s="1">
        <v>43434</v>
      </c>
      <c r="M144">
        <v>71</v>
      </c>
      <c r="N144">
        <v>2</v>
      </c>
      <c r="O144">
        <v>589</v>
      </c>
      <c r="P144">
        <v>589</v>
      </c>
      <c r="Q144">
        <v>589</v>
      </c>
      <c r="S144">
        <v>1757</v>
      </c>
      <c r="T144">
        <v>1757</v>
      </c>
      <c r="U144">
        <f>+SUM(Table1[[#This Row],[Latinos]:[Cemex]])</f>
        <v>1</v>
      </c>
      <c r="V144" t="str">
        <f>+Table1[[#This Row],[id_destino]]&amp;" - "&amp;Table1[[#This Row],[id_origen]]</f>
        <v>71 - 2</v>
      </c>
    </row>
    <row r="145" spans="1:22" hidden="1">
      <c r="A145">
        <v>740</v>
      </c>
      <c r="B145">
        <v>679</v>
      </c>
      <c r="C145">
        <v>469</v>
      </c>
      <c r="D145">
        <v>3700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 t="s">
        <v>20</v>
      </c>
      <c r="L145" s="1">
        <v>43147</v>
      </c>
      <c r="M145">
        <v>72</v>
      </c>
      <c r="N145">
        <v>2</v>
      </c>
      <c r="O145">
        <v>52</v>
      </c>
      <c r="P145">
        <v>150</v>
      </c>
      <c r="Q145">
        <v>52</v>
      </c>
      <c r="S145">
        <v>53</v>
      </c>
      <c r="T145">
        <v>53</v>
      </c>
      <c r="U145">
        <f>+SUM(Table1[[#This Row],[Latinos]:[Cemex]])</f>
        <v>1</v>
      </c>
      <c r="V145" t="str">
        <f>+Table1[[#This Row],[id_destino]]&amp;" - "&amp;Table1[[#This Row],[id_origen]]</f>
        <v>72 - 2</v>
      </c>
    </row>
    <row r="146" spans="1:22" hidden="1">
      <c r="A146">
        <v>985</v>
      </c>
      <c r="B146">
        <v>2051</v>
      </c>
      <c r="C146">
        <v>469</v>
      </c>
      <c r="D146">
        <v>5569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 t="s">
        <v>20</v>
      </c>
      <c r="L146" s="1">
        <v>43237</v>
      </c>
      <c r="M146">
        <v>74</v>
      </c>
      <c r="N146">
        <v>2</v>
      </c>
      <c r="O146">
        <v>101</v>
      </c>
      <c r="P146">
        <v>150</v>
      </c>
      <c r="Q146">
        <v>101</v>
      </c>
      <c r="S146">
        <v>40</v>
      </c>
      <c r="T146">
        <v>40</v>
      </c>
      <c r="U146">
        <f>+SUM(Table1[[#This Row],[Latinos]:[Cemex]])</f>
        <v>1</v>
      </c>
      <c r="V146" t="str">
        <f>+Table1[[#This Row],[id_destino]]&amp;" - "&amp;Table1[[#This Row],[id_origen]]</f>
        <v>74 - 2</v>
      </c>
    </row>
    <row r="147" spans="1:22" hidden="1">
      <c r="A147">
        <v>167</v>
      </c>
      <c r="B147">
        <v>848</v>
      </c>
      <c r="C147">
        <v>469</v>
      </c>
      <c r="D147">
        <v>105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 t="s">
        <v>20</v>
      </c>
      <c r="L147" s="1">
        <v>43531</v>
      </c>
      <c r="M147">
        <v>75</v>
      </c>
      <c r="N147">
        <v>2</v>
      </c>
      <c r="O147">
        <v>87</v>
      </c>
      <c r="P147">
        <v>150</v>
      </c>
      <c r="Q147">
        <v>87</v>
      </c>
      <c r="S147">
        <v>294</v>
      </c>
      <c r="T147">
        <v>387</v>
      </c>
      <c r="U147">
        <f>+SUM(Table1[[#This Row],[Latinos]:[Cemex]])</f>
        <v>1</v>
      </c>
      <c r="V147" t="str">
        <f>+Table1[[#This Row],[id_destino]]&amp;" - "&amp;Table1[[#This Row],[id_origen]]</f>
        <v>75 - 2</v>
      </c>
    </row>
    <row r="148" spans="1:22" hidden="1">
      <c r="A148">
        <v>3028</v>
      </c>
      <c r="B148">
        <v>848</v>
      </c>
      <c r="C148">
        <v>469</v>
      </c>
      <c r="D148">
        <v>4908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 t="s">
        <v>20</v>
      </c>
      <c r="L148" s="1">
        <v>44697</v>
      </c>
      <c r="M148">
        <v>75</v>
      </c>
      <c r="N148">
        <v>2</v>
      </c>
      <c r="O148">
        <v>106</v>
      </c>
      <c r="P148">
        <v>150</v>
      </c>
      <c r="Q148">
        <v>106</v>
      </c>
      <c r="S148">
        <v>198</v>
      </c>
      <c r="T148">
        <v>272</v>
      </c>
      <c r="U148">
        <f>+SUM(Table1[[#This Row],[Latinos]:[Cemex]])</f>
        <v>1</v>
      </c>
      <c r="V148" t="str">
        <f>+Table1[[#This Row],[id_destino]]&amp;" - "&amp;Table1[[#This Row],[id_origen]]</f>
        <v>75 - 2</v>
      </c>
    </row>
    <row r="149" spans="1:22" hidden="1">
      <c r="A149">
        <v>248</v>
      </c>
      <c r="B149">
        <v>692</v>
      </c>
      <c r="C149">
        <v>469</v>
      </c>
      <c r="D149">
        <v>3049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 t="s">
        <v>20</v>
      </c>
      <c r="L149" s="1">
        <v>43024</v>
      </c>
      <c r="M149">
        <v>76</v>
      </c>
      <c r="N149">
        <v>2</v>
      </c>
      <c r="O149">
        <v>108</v>
      </c>
      <c r="P149">
        <v>150</v>
      </c>
      <c r="Q149">
        <v>108</v>
      </c>
      <c r="S149">
        <v>179</v>
      </c>
      <c r="T149">
        <v>246</v>
      </c>
      <c r="U149">
        <f>+SUM(Table1[[#This Row],[Latinos]:[Cemex]])</f>
        <v>1</v>
      </c>
      <c r="V149" t="str">
        <f>+Table1[[#This Row],[id_destino]]&amp;" - "&amp;Table1[[#This Row],[id_origen]]</f>
        <v>76 - 2</v>
      </c>
    </row>
    <row r="150" spans="1:22" hidden="1">
      <c r="A150">
        <v>534</v>
      </c>
      <c r="B150">
        <v>692</v>
      </c>
      <c r="C150">
        <v>469</v>
      </c>
      <c r="D150">
        <v>5397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 t="s">
        <v>20</v>
      </c>
      <c r="L150" s="1">
        <v>43091</v>
      </c>
      <c r="M150">
        <v>76</v>
      </c>
      <c r="N150">
        <v>2</v>
      </c>
      <c r="O150">
        <v>109</v>
      </c>
      <c r="P150">
        <v>150</v>
      </c>
      <c r="Q150">
        <v>109</v>
      </c>
      <c r="S150">
        <v>179</v>
      </c>
      <c r="T150">
        <v>246</v>
      </c>
      <c r="U150">
        <f>+SUM(Table1[[#This Row],[Latinos]:[Cemex]])</f>
        <v>1</v>
      </c>
      <c r="V150" t="str">
        <f>+Table1[[#This Row],[id_destino]]&amp;" - "&amp;Table1[[#This Row],[id_origen]]</f>
        <v>76 - 2</v>
      </c>
    </row>
    <row r="151" spans="1:22" hidden="1">
      <c r="A151">
        <v>145</v>
      </c>
      <c r="B151">
        <v>963</v>
      </c>
      <c r="C151">
        <v>469</v>
      </c>
      <c r="D151">
        <v>5289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 t="s">
        <v>20</v>
      </c>
      <c r="L151" s="1">
        <v>43000</v>
      </c>
      <c r="M151">
        <v>77</v>
      </c>
      <c r="N151">
        <v>2</v>
      </c>
      <c r="O151">
        <v>64</v>
      </c>
      <c r="P151">
        <v>100</v>
      </c>
      <c r="Q151">
        <v>64</v>
      </c>
      <c r="S151">
        <v>0</v>
      </c>
      <c r="T151">
        <v>0</v>
      </c>
      <c r="U151">
        <f>+SUM(Table1[[#This Row],[Latinos]:[Cemex]])</f>
        <v>1</v>
      </c>
      <c r="V151" t="str">
        <f>+Table1[[#This Row],[id_destino]]&amp;" - "&amp;Table1[[#This Row],[id_origen]]</f>
        <v>77 - 2</v>
      </c>
    </row>
    <row r="152" spans="1:22" hidden="1">
      <c r="A152">
        <v>1469</v>
      </c>
      <c r="B152">
        <v>963</v>
      </c>
      <c r="C152">
        <v>469</v>
      </c>
      <c r="D152">
        <v>4058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 t="s">
        <v>20</v>
      </c>
      <c r="L152" s="1">
        <v>43452</v>
      </c>
      <c r="M152">
        <v>77</v>
      </c>
      <c r="N152">
        <v>2</v>
      </c>
      <c r="O152">
        <v>63</v>
      </c>
      <c r="P152">
        <v>150</v>
      </c>
      <c r="Q152">
        <v>63</v>
      </c>
      <c r="S152">
        <v>0</v>
      </c>
      <c r="T152">
        <v>0</v>
      </c>
      <c r="U152">
        <f>+SUM(Table1[[#This Row],[Latinos]:[Cemex]])</f>
        <v>1</v>
      </c>
      <c r="V152" t="str">
        <f>+Table1[[#This Row],[id_destino]]&amp;" - "&amp;Table1[[#This Row],[id_origen]]</f>
        <v>77 - 2</v>
      </c>
    </row>
    <row r="153" spans="1:22" hidden="1">
      <c r="A153">
        <v>104</v>
      </c>
      <c r="B153">
        <v>656</v>
      </c>
      <c r="C153">
        <v>469</v>
      </c>
      <c r="D153">
        <v>2891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 t="s">
        <v>21</v>
      </c>
      <c r="L153" s="1">
        <v>45845</v>
      </c>
      <c r="M153">
        <v>79</v>
      </c>
      <c r="N153">
        <v>2</v>
      </c>
      <c r="O153">
        <v>180</v>
      </c>
      <c r="P153">
        <v>175</v>
      </c>
      <c r="Q153">
        <v>180</v>
      </c>
      <c r="S153">
        <v>69</v>
      </c>
      <c r="T153">
        <v>69</v>
      </c>
      <c r="U153">
        <f>+SUM(Table1[[#This Row],[Latinos]:[Cemex]])</f>
        <v>1</v>
      </c>
      <c r="V153" t="str">
        <f>+Table1[[#This Row],[id_destino]]&amp;" - "&amp;Table1[[#This Row],[id_origen]]</f>
        <v>79 - 2</v>
      </c>
    </row>
    <row r="154" spans="1:22" hidden="1">
      <c r="A154">
        <v>251</v>
      </c>
      <c r="B154">
        <v>656</v>
      </c>
      <c r="C154">
        <v>469</v>
      </c>
      <c r="D154">
        <v>5309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 t="s">
        <v>20</v>
      </c>
      <c r="L154" s="1">
        <v>43024</v>
      </c>
      <c r="M154">
        <v>79</v>
      </c>
      <c r="N154">
        <v>2</v>
      </c>
      <c r="O154">
        <v>180</v>
      </c>
      <c r="P154">
        <v>208</v>
      </c>
      <c r="Q154">
        <v>180</v>
      </c>
      <c r="S154">
        <v>335</v>
      </c>
      <c r="T154">
        <v>335</v>
      </c>
      <c r="U154">
        <f>+SUM(Table1[[#This Row],[Latinos]:[Cemex]])</f>
        <v>1</v>
      </c>
      <c r="V154" t="str">
        <f>+Table1[[#This Row],[id_destino]]&amp;" - "&amp;Table1[[#This Row],[id_origen]]</f>
        <v>79 - 2</v>
      </c>
    </row>
    <row r="155" spans="1:22" hidden="1">
      <c r="A155">
        <v>26</v>
      </c>
      <c r="B155">
        <v>1806</v>
      </c>
      <c r="C155">
        <v>469</v>
      </c>
      <c r="D155">
        <v>3581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0</v>
      </c>
      <c r="K155" t="s">
        <v>20</v>
      </c>
      <c r="L155" s="1">
        <v>43022</v>
      </c>
      <c r="M155">
        <v>79</v>
      </c>
      <c r="N155">
        <v>2</v>
      </c>
      <c r="O155">
        <v>177</v>
      </c>
      <c r="P155">
        <v>175</v>
      </c>
      <c r="Q155">
        <v>178</v>
      </c>
      <c r="S155">
        <v>65</v>
      </c>
      <c r="T155">
        <v>65</v>
      </c>
      <c r="U155">
        <f>+SUM(Table1[[#This Row],[Latinos]:[Cemex]])</f>
        <v>2</v>
      </c>
      <c r="V155" t="str">
        <f>+Table1[[#This Row],[id_destino]]&amp;" - "&amp;Table1[[#This Row],[id_origen]]</f>
        <v>79 - 2</v>
      </c>
    </row>
    <row r="156" spans="1:22" hidden="1">
      <c r="A156">
        <v>1397</v>
      </c>
      <c r="B156">
        <v>2721</v>
      </c>
      <c r="C156">
        <v>469</v>
      </c>
      <c r="D156">
        <v>146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 t="s">
        <v>20</v>
      </c>
      <c r="L156" s="1">
        <v>43417</v>
      </c>
      <c r="M156">
        <v>80</v>
      </c>
      <c r="N156">
        <v>2</v>
      </c>
      <c r="O156">
        <v>50</v>
      </c>
      <c r="P156">
        <v>150</v>
      </c>
      <c r="Q156">
        <v>50</v>
      </c>
      <c r="S156">
        <v>0</v>
      </c>
      <c r="T156">
        <v>0</v>
      </c>
      <c r="U156">
        <f>+SUM(Table1[[#This Row],[Latinos]:[Cemex]])</f>
        <v>1</v>
      </c>
      <c r="V156" t="str">
        <f>+Table1[[#This Row],[id_destino]]&amp;" - "&amp;Table1[[#This Row],[id_origen]]</f>
        <v>80 - 2</v>
      </c>
    </row>
    <row r="157" spans="1:22" hidden="1">
      <c r="A157">
        <v>189</v>
      </c>
      <c r="B157">
        <v>392</v>
      </c>
      <c r="C157">
        <v>469</v>
      </c>
      <c r="D157">
        <v>210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 t="s">
        <v>20</v>
      </c>
      <c r="L157" s="1">
        <v>43008</v>
      </c>
      <c r="M157">
        <v>81</v>
      </c>
      <c r="N157">
        <v>2</v>
      </c>
      <c r="O157">
        <v>108</v>
      </c>
      <c r="P157">
        <v>165</v>
      </c>
      <c r="Q157">
        <v>108</v>
      </c>
      <c r="S157">
        <v>674</v>
      </c>
      <c r="T157">
        <v>674</v>
      </c>
      <c r="U157">
        <f>+SUM(Table1[[#This Row],[Latinos]:[Cemex]])</f>
        <v>1</v>
      </c>
      <c r="V157" t="str">
        <f>+Table1[[#This Row],[id_destino]]&amp;" - "&amp;Table1[[#This Row],[id_origen]]</f>
        <v>81 - 2</v>
      </c>
    </row>
    <row r="158" spans="1:22" hidden="1">
      <c r="A158">
        <v>803</v>
      </c>
      <c r="B158">
        <v>392</v>
      </c>
      <c r="C158">
        <v>469</v>
      </c>
      <c r="D158">
        <v>210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 t="s">
        <v>20</v>
      </c>
      <c r="L158" s="1">
        <v>43169</v>
      </c>
      <c r="M158">
        <v>81</v>
      </c>
      <c r="N158">
        <v>2</v>
      </c>
      <c r="O158">
        <v>100</v>
      </c>
      <c r="P158">
        <v>150</v>
      </c>
      <c r="Q158">
        <v>100</v>
      </c>
      <c r="S158">
        <v>328</v>
      </c>
      <c r="T158">
        <v>328</v>
      </c>
      <c r="U158">
        <f>+SUM(Table1[[#This Row],[Latinos]:[Cemex]])</f>
        <v>1</v>
      </c>
      <c r="V158" t="str">
        <f>+Table1[[#This Row],[id_destino]]&amp;" - "&amp;Table1[[#This Row],[id_origen]]</f>
        <v>81 - 2</v>
      </c>
    </row>
    <row r="159" spans="1:22" hidden="1">
      <c r="A159">
        <v>4645</v>
      </c>
      <c r="B159">
        <v>2129</v>
      </c>
      <c r="C159">
        <v>469</v>
      </c>
      <c r="D159">
        <v>7316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 t="s">
        <v>20</v>
      </c>
      <c r="L159" s="1">
        <v>45699</v>
      </c>
      <c r="M159">
        <v>82</v>
      </c>
      <c r="N159">
        <v>2</v>
      </c>
      <c r="O159">
        <v>284</v>
      </c>
      <c r="P159">
        <v>287</v>
      </c>
      <c r="Q159">
        <v>284</v>
      </c>
      <c r="S159">
        <v>607</v>
      </c>
      <c r="T159">
        <v>700</v>
      </c>
      <c r="U159">
        <f>+SUM(Table1[[#This Row],[Latinos]:[Cemex]])</f>
        <v>1</v>
      </c>
      <c r="V159" t="str">
        <f>+Table1[[#This Row],[id_destino]]&amp;" - "&amp;Table1[[#This Row],[id_origen]]</f>
        <v>82 - 2</v>
      </c>
    </row>
    <row r="160" spans="1:22" hidden="1">
      <c r="A160">
        <v>226</v>
      </c>
      <c r="B160">
        <v>1922</v>
      </c>
      <c r="C160">
        <v>469</v>
      </c>
      <c r="D160">
        <v>5306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 t="s">
        <v>20</v>
      </c>
      <c r="L160" s="1">
        <v>43018</v>
      </c>
      <c r="M160">
        <v>83</v>
      </c>
      <c r="N160">
        <v>2</v>
      </c>
      <c r="O160">
        <v>943</v>
      </c>
      <c r="P160">
        <v>932</v>
      </c>
      <c r="Q160">
        <v>943</v>
      </c>
      <c r="S160">
        <v>1757.01</v>
      </c>
      <c r="T160">
        <v>1757.01</v>
      </c>
      <c r="U160">
        <f>+SUM(Table1[[#This Row],[Latinos]:[Cemex]])</f>
        <v>1</v>
      </c>
      <c r="V160" t="str">
        <f>+Table1[[#This Row],[id_destino]]&amp;" - "&amp;Table1[[#This Row],[id_origen]]</f>
        <v>83 - 2</v>
      </c>
    </row>
    <row r="161" spans="1:22" hidden="1">
      <c r="A161">
        <v>1587</v>
      </c>
      <c r="B161">
        <v>2826</v>
      </c>
      <c r="C161">
        <v>469</v>
      </c>
      <c r="D161">
        <v>3601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 t="s">
        <v>20</v>
      </c>
      <c r="L161" s="1">
        <v>43517</v>
      </c>
      <c r="M161">
        <v>84</v>
      </c>
      <c r="N161">
        <v>2</v>
      </c>
      <c r="O161">
        <v>974</v>
      </c>
      <c r="P161">
        <v>998</v>
      </c>
      <c r="Q161">
        <v>974</v>
      </c>
      <c r="S161">
        <v>1947</v>
      </c>
      <c r="T161">
        <v>1461</v>
      </c>
      <c r="U161">
        <f>+SUM(Table1[[#This Row],[Latinos]:[Cemex]])</f>
        <v>1</v>
      </c>
      <c r="V161" t="str">
        <f>+Table1[[#This Row],[id_destino]]&amp;" - "&amp;Table1[[#This Row],[id_origen]]</f>
        <v>84 - 2</v>
      </c>
    </row>
    <row r="162" spans="1:22" hidden="1">
      <c r="A162">
        <v>2194</v>
      </c>
      <c r="B162">
        <v>3193</v>
      </c>
      <c r="C162">
        <v>469</v>
      </c>
      <c r="D162">
        <v>6249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 t="s">
        <v>20</v>
      </c>
      <c r="L162" s="1">
        <v>43851</v>
      </c>
      <c r="M162">
        <v>86</v>
      </c>
      <c r="N162">
        <v>2</v>
      </c>
      <c r="O162">
        <v>62</v>
      </c>
      <c r="P162">
        <v>150</v>
      </c>
      <c r="Q162">
        <v>62</v>
      </c>
      <c r="S162">
        <v>130</v>
      </c>
      <c r="T162">
        <v>130</v>
      </c>
      <c r="U162">
        <f>+SUM(Table1[[#This Row],[Latinos]:[Cemex]])</f>
        <v>1</v>
      </c>
      <c r="V162" t="str">
        <f>+Table1[[#This Row],[id_destino]]&amp;" - "&amp;Table1[[#This Row],[id_origen]]</f>
        <v>86 - 2</v>
      </c>
    </row>
    <row r="163" spans="1:22" hidden="1">
      <c r="A163">
        <v>2601</v>
      </c>
      <c r="B163">
        <v>1067</v>
      </c>
      <c r="C163">
        <v>469</v>
      </c>
      <c r="D163">
        <v>195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 t="s">
        <v>20</v>
      </c>
      <c r="L163" s="1">
        <v>44233</v>
      </c>
      <c r="M163">
        <v>87</v>
      </c>
      <c r="N163">
        <v>2</v>
      </c>
      <c r="O163">
        <v>696</v>
      </c>
      <c r="P163">
        <v>696</v>
      </c>
      <c r="Q163">
        <v>696</v>
      </c>
      <c r="S163">
        <v>3114.99</v>
      </c>
      <c r="T163">
        <v>3114.99</v>
      </c>
      <c r="U163">
        <f>+SUM(Table1[[#This Row],[Latinos]:[Cemex]])</f>
        <v>1</v>
      </c>
      <c r="V163" t="str">
        <f>+Table1[[#This Row],[id_destino]]&amp;" - "&amp;Table1[[#This Row],[id_origen]]</f>
        <v>87 - 2</v>
      </c>
    </row>
    <row r="164" spans="1:22" hidden="1">
      <c r="A164">
        <v>146</v>
      </c>
      <c r="B164">
        <v>1684</v>
      </c>
      <c r="C164">
        <v>469</v>
      </c>
      <c r="D164">
        <v>5290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 t="s">
        <v>20</v>
      </c>
      <c r="L164" s="1">
        <v>43000</v>
      </c>
      <c r="M164">
        <v>88</v>
      </c>
      <c r="N164">
        <v>2</v>
      </c>
      <c r="O164">
        <v>243</v>
      </c>
      <c r="P164">
        <v>226</v>
      </c>
      <c r="Q164">
        <v>243</v>
      </c>
      <c r="S164">
        <v>732</v>
      </c>
      <c r="T164">
        <v>732</v>
      </c>
      <c r="U164">
        <f>+SUM(Table1[[#This Row],[Latinos]:[Cemex]])</f>
        <v>1</v>
      </c>
      <c r="V164" t="str">
        <f>+Table1[[#This Row],[id_destino]]&amp;" - "&amp;Table1[[#This Row],[id_origen]]</f>
        <v>88 - 2</v>
      </c>
    </row>
    <row r="165" spans="1:22" hidden="1">
      <c r="A165">
        <v>573</v>
      </c>
      <c r="B165">
        <v>1520</v>
      </c>
      <c r="C165">
        <v>469</v>
      </c>
      <c r="D165">
        <v>1431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 t="s">
        <v>20</v>
      </c>
      <c r="L165" s="1">
        <v>43105</v>
      </c>
      <c r="M165">
        <v>89</v>
      </c>
      <c r="N165">
        <v>2</v>
      </c>
      <c r="O165">
        <v>1042</v>
      </c>
      <c r="P165">
        <v>1033</v>
      </c>
      <c r="Q165">
        <v>1042</v>
      </c>
      <c r="S165">
        <v>1225</v>
      </c>
      <c r="T165">
        <v>1225</v>
      </c>
      <c r="U165">
        <f>+SUM(Table1[[#This Row],[Latinos]:[Cemex]])</f>
        <v>1</v>
      </c>
      <c r="V165" t="str">
        <f>+Table1[[#This Row],[id_destino]]&amp;" - "&amp;Table1[[#This Row],[id_origen]]</f>
        <v>89 - 2</v>
      </c>
    </row>
    <row r="166" spans="1:22" hidden="1">
      <c r="A166">
        <v>1864</v>
      </c>
      <c r="B166">
        <v>2981</v>
      </c>
      <c r="C166">
        <v>469</v>
      </c>
      <c r="D166">
        <v>5986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 t="s">
        <v>20</v>
      </c>
      <c r="L166" s="1">
        <v>43672</v>
      </c>
      <c r="M166">
        <v>90</v>
      </c>
      <c r="N166">
        <v>2</v>
      </c>
      <c r="O166">
        <v>205</v>
      </c>
      <c r="P166">
        <v>205</v>
      </c>
      <c r="Q166">
        <v>205</v>
      </c>
      <c r="S166">
        <v>575</v>
      </c>
      <c r="T166">
        <v>575</v>
      </c>
      <c r="U166">
        <f>+SUM(Table1[[#This Row],[Latinos]:[Cemex]])</f>
        <v>1</v>
      </c>
      <c r="V166" t="str">
        <f>+Table1[[#This Row],[id_destino]]&amp;" - "&amp;Table1[[#This Row],[id_origen]]</f>
        <v>90 - 2</v>
      </c>
    </row>
    <row r="167" spans="1:22" hidden="1">
      <c r="A167">
        <v>1460</v>
      </c>
      <c r="B167">
        <v>1234</v>
      </c>
      <c r="C167">
        <v>4752</v>
      </c>
      <c r="D167">
        <v>7903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 t="s">
        <v>20</v>
      </c>
      <c r="L167" s="1">
        <v>45539</v>
      </c>
      <c r="M167">
        <v>92</v>
      </c>
      <c r="N167">
        <v>2</v>
      </c>
      <c r="O167">
        <v>943</v>
      </c>
      <c r="P167">
        <v>944</v>
      </c>
      <c r="Q167">
        <v>943</v>
      </c>
      <c r="S167">
        <v>1217</v>
      </c>
      <c r="T167">
        <v>1217</v>
      </c>
      <c r="U167">
        <f>+SUM(Table1[[#This Row],[Latinos]:[Cemex]])</f>
        <v>1</v>
      </c>
      <c r="V167" t="str">
        <f>+Table1[[#This Row],[id_destino]]&amp;" - "&amp;Table1[[#This Row],[id_origen]]</f>
        <v>92 - 2</v>
      </c>
    </row>
    <row r="168" spans="1:22" hidden="1">
      <c r="A168">
        <v>4118</v>
      </c>
      <c r="B168">
        <v>1234</v>
      </c>
      <c r="C168">
        <v>469</v>
      </c>
      <c r="D168">
        <v>4946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20</v>
      </c>
      <c r="L168" s="1">
        <v>45301</v>
      </c>
      <c r="M168">
        <v>92</v>
      </c>
      <c r="N168">
        <v>2</v>
      </c>
      <c r="O168">
        <v>915</v>
      </c>
      <c r="P168">
        <v>944</v>
      </c>
      <c r="Q168">
        <v>915</v>
      </c>
      <c r="S168">
        <v>1217</v>
      </c>
      <c r="T168">
        <v>1217</v>
      </c>
      <c r="U168">
        <f>+SUM(Table1[[#This Row],[Latinos]:[Cemex]])</f>
        <v>1</v>
      </c>
      <c r="V168" t="str">
        <f>+Table1[[#This Row],[id_destino]]&amp;" - "&amp;Table1[[#This Row],[id_origen]]</f>
        <v>92 - 2</v>
      </c>
    </row>
    <row r="169" spans="1:22" hidden="1">
      <c r="A169">
        <v>1644</v>
      </c>
      <c r="B169">
        <v>2858</v>
      </c>
      <c r="C169">
        <v>469</v>
      </c>
      <c r="D169">
        <v>4946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 t="s">
        <v>20</v>
      </c>
      <c r="L169" s="1">
        <v>43549</v>
      </c>
      <c r="M169">
        <v>92</v>
      </c>
      <c r="N169">
        <v>2</v>
      </c>
      <c r="O169">
        <v>919</v>
      </c>
      <c r="P169">
        <v>935</v>
      </c>
      <c r="Q169">
        <v>919</v>
      </c>
      <c r="S169">
        <v>1482</v>
      </c>
      <c r="T169">
        <v>1482</v>
      </c>
      <c r="U169">
        <f>+SUM(Table1[[#This Row],[Latinos]:[Cemex]])</f>
        <v>1</v>
      </c>
      <c r="V169" t="str">
        <f>+Table1[[#This Row],[id_destino]]&amp;" - "&amp;Table1[[#This Row],[id_origen]]</f>
        <v>92 - 2</v>
      </c>
    </row>
    <row r="170" spans="1:22" hidden="1">
      <c r="A170">
        <v>324</v>
      </c>
      <c r="B170">
        <v>625</v>
      </c>
      <c r="C170">
        <v>469</v>
      </c>
      <c r="D170">
        <v>109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 t="s">
        <v>20</v>
      </c>
      <c r="L170" s="1">
        <v>43038</v>
      </c>
      <c r="M170">
        <v>93</v>
      </c>
      <c r="N170">
        <v>2</v>
      </c>
      <c r="O170">
        <v>110</v>
      </c>
      <c r="P170">
        <v>150</v>
      </c>
      <c r="Q170">
        <v>110</v>
      </c>
      <c r="S170">
        <v>838</v>
      </c>
      <c r="T170">
        <v>936</v>
      </c>
      <c r="U170">
        <f>+SUM(Table1[[#This Row],[Latinos]:[Cemex]])</f>
        <v>1</v>
      </c>
      <c r="V170" t="str">
        <f>+Table1[[#This Row],[id_destino]]&amp;" - "&amp;Table1[[#This Row],[id_origen]]</f>
        <v>93 - 2</v>
      </c>
    </row>
    <row r="171" spans="1:22" hidden="1">
      <c r="A171">
        <v>537</v>
      </c>
      <c r="B171">
        <v>625</v>
      </c>
      <c r="C171">
        <v>469</v>
      </c>
      <c r="D171">
        <v>109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 t="s">
        <v>20</v>
      </c>
      <c r="L171" s="1">
        <v>43360</v>
      </c>
      <c r="M171">
        <v>93</v>
      </c>
      <c r="N171">
        <v>2</v>
      </c>
      <c r="O171">
        <v>111</v>
      </c>
      <c r="P171">
        <v>150</v>
      </c>
      <c r="Q171">
        <v>111</v>
      </c>
      <c r="S171">
        <v>427</v>
      </c>
      <c r="T171">
        <v>485</v>
      </c>
      <c r="U171">
        <f>+SUM(Table1[[#This Row],[Latinos]:[Cemex]])</f>
        <v>1</v>
      </c>
      <c r="V171" t="str">
        <f>+Table1[[#This Row],[id_destino]]&amp;" - "&amp;Table1[[#This Row],[id_origen]]</f>
        <v>93 - 2</v>
      </c>
    </row>
    <row r="172" spans="1:22" hidden="1">
      <c r="A172">
        <v>473</v>
      </c>
      <c r="B172">
        <v>1177</v>
      </c>
      <c r="C172">
        <v>469</v>
      </c>
      <c r="D172">
        <v>3448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 t="s">
        <v>20</v>
      </c>
      <c r="L172" s="1">
        <v>43074</v>
      </c>
      <c r="M172">
        <v>95</v>
      </c>
      <c r="N172">
        <v>2</v>
      </c>
      <c r="O172">
        <v>940</v>
      </c>
      <c r="P172">
        <v>947</v>
      </c>
      <c r="Q172">
        <v>940</v>
      </c>
      <c r="S172">
        <v>1902.01</v>
      </c>
      <c r="T172">
        <v>1902.01</v>
      </c>
      <c r="U172">
        <f>+SUM(Table1[[#This Row],[Latinos]:[Cemex]])</f>
        <v>1</v>
      </c>
      <c r="V172" t="str">
        <f>+Table1[[#This Row],[id_destino]]&amp;" - "&amp;Table1[[#This Row],[id_origen]]</f>
        <v>95 - 2</v>
      </c>
    </row>
    <row r="173" spans="1:22" hidden="1">
      <c r="A173">
        <v>289</v>
      </c>
      <c r="B173">
        <v>493</v>
      </c>
      <c r="C173">
        <v>469</v>
      </c>
      <c r="D173">
        <v>268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28</v>
      </c>
      <c r="L173" s="1">
        <v>45883</v>
      </c>
      <c r="M173">
        <v>99</v>
      </c>
      <c r="N173">
        <v>2</v>
      </c>
      <c r="O173">
        <v>1162</v>
      </c>
      <c r="P173">
        <v>1144</v>
      </c>
      <c r="Q173">
        <v>1162</v>
      </c>
      <c r="S173">
        <v>2493.12</v>
      </c>
      <c r="T173">
        <v>2493.12</v>
      </c>
      <c r="U173">
        <f>+SUM(Table1[[#This Row],[Latinos]:[Cemex]])</f>
        <v>1</v>
      </c>
      <c r="V173" t="str">
        <f>+Table1[[#This Row],[id_destino]]&amp;" - "&amp;Table1[[#This Row],[id_origen]]</f>
        <v>99 - 2</v>
      </c>
    </row>
    <row r="174" spans="1:22" hidden="1">
      <c r="A174">
        <v>375</v>
      </c>
      <c r="B174">
        <v>493</v>
      </c>
      <c r="C174">
        <v>469</v>
      </c>
      <c r="D174">
        <v>268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 t="s">
        <v>20</v>
      </c>
      <c r="L174" s="1">
        <v>43048</v>
      </c>
      <c r="M174">
        <v>99</v>
      </c>
      <c r="N174">
        <v>2</v>
      </c>
      <c r="O174">
        <v>1114</v>
      </c>
      <c r="P174">
        <v>1114</v>
      </c>
      <c r="Q174">
        <v>1114</v>
      </c>
      <c r="S174">
        <v>1071</v>
      </c>
      <c r="T174">
        <v>1072</v>
      </c>
      <c r="U174">
        <f>+SUM(Table1[[#This Row],[Latinos]:[Cemex]])</f>
        <v>1</v>
      </c>
      <c r="V174" t="str">
        <f>+Table1[[#This Row],[id_destino]]&amp;" - "&amp;Table1[[#This Row],[id_origen]]</f>
        <v>99 - 2</v>
      </c>
    </row>
    <row r="175" spans="1:22" hidden="1">
      <c r="A175">
        <v>2616</v>
      </c>
      <c r="B175">
        <v>493</v>
      </c>
      <c r="C175">
        <v>3097</v>
      </c>
      <c r="D175">
        <v>268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 t="s">
        <v>20</v>
      </c>
      <c r="L175" s="1">
        <v>45880</v>
      </c>
      <c r="M175">
        <v>99</v>
      </c>
      <c r="N175">
        <v>2</v>
      </c>
      <c r="O175">
        <v>1170</v>
      </c>
      <c r="P175">
        <v>1144</v>
      </c>
      <c r="Q175">
        <v>1170</v>
      </c>
      <c r="S175">
        <v>2754</v>
      </c>
      <c r="T175">
        <v>2754</v>
      </c>
      <c r="U175">
        <f>+SUM(Table1[[#This Row],[Latinos]:[Cemex]])</f>
        <v>2</v>
      </c>
      <c r="V175" t="str">
        <f>+Table1[[#This Row],[id_destino]]&amp;" - "&amp;Table1[[#This Row],[id_origen]]</f>
        <v>99 - 2</v>
      </c>
    </row>
    <row r="176" spans="1:22" hidden="1">
      <c r="A176">
        <v>14</v>
      </c>
      <c r="B176">
        <v>724</v>
      </c>
      <c r="C176">
        <v>469</v>
      </c>
      <c r="D176">
        <v>2635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 t="s">
        <v>20</v>
      </c>
      <c r="L176" s="1">
        <v>43245</v>
      </c>
      <c r="M176">
        <v>105</v>
      </c>
      <c r="N176">
        <v>2</v>
      </c>
      <c r="O176">
        <v>97</v>
      </c>
      <c r="P176">
        <v>150</v>
      </c>
      <c r="Q176">
        <v>97</v>
      </c>
      <c r="S176">
        <v>602.01</v>
      </c>
      <c r="T176">
        <v>700</v>
      </c>
      <c r="U176">
        <f>+SUM(Table1[[#This Row],[Latinos]:[Cemex]])</f>
        <v>1</v>
      </c>
      <c r="V176" t="str">
        <f>+Table1[[#This Row],[id_destino]]&amp;" - "&amp;Table1[[#This Row],[id_origen]]</f>
        <v>105 - 2</v>
      </c>
    </row>
    <row r="177" spans="1:22" hidden="1">
      <c r="A177">
        <v>1166</v>
      </c>
      <c r="B177">
        <v>724</v>
      </c>
      <c r="C177">
        <v>469</v>
      </c>
      <c r="D177">
        <v>173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 t="s">
        <v>20</v>
      </c>
      <c r="L177" s="1">
        <v>43326</v>
      </c>
      <c r="M177">
        <v>105</v>
      </c>
      <c r="N177">
        <v>2</v>
      </c>
      <c r="O177">
        <v>99</v>
      </c>
      <c r="P177">
        <v>99</v>
      </c>
      <c r="Q177">
        <v>99</v>
      </c>
      <c r="S177">
        <v>188</v>
      </c>
      <c r="T177">
        <v>257</v>
      </c>
      <c r="U177">
        <f>+SUM(Table1[[#This Row],[Latinos]:[Cemex]])</f>
        <v>1</v>
      </c>
      <c r="V177" t="str">
        <f>+Table1[[#This Row],[id_destino]]&amp;" - "&amp;Table1[[#This Row],[id_origen]]</f>
        <v>105 - 2</v>
      </c>
    </row>
    <row r="178" spans="1:22" hidden="1">
      <c r="A178">
        <v>218</v>
      </c>
      <c r="B178">
        <v>422</v>
      </c>
      <c r="C178">
        <v>469</v>
      </c>
      <c r="D178">
        <v>4170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 t="s">
        <v>20</v>
      </c>
      <c r="L178" s="1">
        <v>43017</v>
      </c>
      <c r="M178">
        <v>107</v>
      </c>
      <c r="N178">
        <v>2</v>
      </c>
      <c r="O178">
        <v>434</v>
      </c>
      <c r="P178">
        <v>392</v>
      </c>
      <c r="Q178">
        <v>434</v>
      </c>
      <c r="S178">
        <v>1755</v>
      </c>
      <c r="T178">
        <v>1755</v>
      </c>
      <c r="U178">
        <f>+SUM(Table1[[#This Row],[Latinos]:[Cemex]])</f>
        <v>1</v>
      </c>
      <c r="V178" t="str">
        <f>+Table1[[#This Row],[id_destino]]&amp;" - "&amp;Table1[[#This Row],[id_origen]]</f>
        <v>107 - 2</v>
      </c>
    </row>
    <row r="179" spans="1:22" hidden="1">
      <c r="A179">
        <v>281</v>
      </c>
      <c r="B179">
        <v>422</v>
      </c>
      <c r="C179">
        <v>469</v>
      </c>
      <c r="D179">
        <v>1555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 t="s">
        <v>20</v>
      </c>
      <c r="L179" s="1">
        <v>45280</v>
      </c>
      <c r="M179">
        <v>107</v>
      </c>
      <c r="N179">
        <v>2</v>
      </c>
      <c r="O179">
        <v>436</v>
      </c>
      <c r="P179">
        <v>462</v>
      </c>
      <c r="Q179">
        <v>436</v>
      </c>
      <c r="S179">
        <v>733</v>
      </c>
      <c r="T179">
        <v>733</v>
      </c>
      <c r="U179">
        <f>+SUM(Table1[[#This Row],[Latinos]:[Cemex]])</f>
        <v>1</v>
      </c>
      <c r="V179" t="str">
        <f>+Table1[[#This Row],[id_destino]]&amp;" - "&amp;Table1[[#This Row],[id_origen]]</f>
        <v>107 - 2</v>
      </c>
    </row>
    <row r="180" spans="1:22" hidden="1">
      <c r="A180">
        <v>639</v>
      </c>
      <c r="B180">
        <v>422</v>
      </c>
      <c r="C180">
        <v>469</v>
      </c>
      <c r="D180">
        <v>1555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20</v>
      </c>
      <c r="L180" s="1">
        <v>45204</v>
      </c>
      <c r="M180">
        <v>107</v>
      </c>
      <c r="N180">
        <v>2</v>
      </c>
      <c r="O180">
        <v>462</v>
      </c>
      <c r="P180">
        <v>462</v>
      </c>
      <c r="Q180">
        <v>462</v>
      </c>
      <c r="S180">
        <v>1740</v>
      </c>
      <c r="T180">
        <v>1740</v>
      </c>
      <c r="U180">
        <f>+SUM(Table1[[#This Row],[Latinos]:[Cemex]])</f>
        <v>1</v>
      </c>
      <c r="V180" t="str">
        <f>+Table1[[#This Row],[id_destino]]&amp;" - "&amp;Table1[[#This Row],[id_origen]]</f>
        <v>107 - 2</v>
      </c>
    </row>
    <row r="181" spans="1:22" hidden="1">
      <c r="A181">
        <v>818</v>
      </c>
      <c r="B181">
        <v>585</v>
      </c>
      <c r="C181">
        <v>469</v>
      </c>
      <c r="D181">
        <v>5493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 t="s">
        <v>20</v>
      </c>
      <c r="L181" s="1">
        <v>43174</v>
      </c>
      <c r="M181">
        <v>115</v>
      </c>
      <c r="N181">
        <v>2</v>
      </c>
      <c r="O181">
        <v>199</v>
      </c>
      <c r="P181">
        <v>199</v>
      </c>
      <c r="Q181">
        <v>199</v>
      </c>
      <c r="S181">
        <v>267</v>
      </c>
      <c r="T181">
        <v>360</v>
      </c>
      <c r="U181">
        <f>+SUM(Table1[[#This Row],[Latinos]:[Cemex]])</f>
        <v>1</v>
      </c>
      <c r="V181" t="str">
        <f>+Table1[[#This Row],[id_destino]]&amp;" - "&amp;Table1[[#This Row],[id_origen]]</f>
        <v>115 - 2</v>
      </c>
    </row>
    <row r="182" spans="1:22" hidden="1">
      <c r="A182">
        <v>88</v>
      </c>
      <c r="B182">
        <v>226</v>
      </c>
      <c r="C182">
        <v>469</v>
      </c>
      <c r="D182">
        <v>4173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 t="s">
        <v>20</v>
      </c>
      <c r="L182" s="1">
        <v>42996</v>
      </c>
      <c r="M182">
        <v>116</v>
      </c>
      <c r="N182">
        <v>2</v>
      </c>
      <c r="O182">
        <v>185</v>
      </c>
      <c r="P182">
        <v>158</v>
      </c>
      <c r="Q182">
        <v>174</v>
      </c>
      <c r="S182">
        <v>394</v>
      </c>
      <c r="T182">
        <v>394</v>
      </c>
      <c r="U182">
        <f>+SUM(Table1[[#This Row],[Latinos]:[Cemex]])</f>
        <v>1</v>
      </c>
      <c r="V182" t="str">
        <f>+Table1[[#This Row],[id_destino]]&amp;" - "&amp;Table1[[#This Row],[id_origen]]</f>
        <v>116 - 2</v>
      </c>
    </row>
    <row r="183" spans="1:22" hidden="1">
      <c r="A183">
        <v>2087</v>
      </c>
      <c r="B183">
        <v>226</v>
      </c>
      <c r="C183">
        <v>469</v>
      </c>
      <c r="D183">
        <v>979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 t="s">
        <v>20</v>
      </c>
      <c r="L183" s="1">
        <v>43805</v>
      </c>
      <c r="M183">
        <v>116</v>
      </c>
      <c r="N183">
        <v>2</v>
      </c>
      <c r="O183">
        <v>175</v>
      </c>
      <c r="P183">
        <v>175</v>
      </c>
      <c r="Q183">
        <v>175</v>
      </c>
      <c r="S183">
        <v>97</v>
      </c>
      <c r="T183">
        <v>97</v>
      </c>
      <c r="U183">
        <f>+SUM(Table1[[#This Row],[Latinos]:[Cemex]])</f>
        <v>1</v>
      </c>
      <c r="V183" t="str">
        <f>+Table1[[#This Row],[id_destino]]&amp;" - "&amp;Table1[[#This Row],[id_origen]]</f>
        <v>116 - 2</v>
      </c>
    </row>
    <row r="184" spans="1:22" hidden="1">
      <c r="A184">
        <v>603</v>
      </c>
      <c r="B184">
        <v>1185</v>
      </c>
      <c r="C184">
        <v>469</v>
      </c>
      <c r="D184">
        <v>4607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 t="s">
        <v>20</v>
      </c>
      <c r="L184" s="1">
        <v>45828</v>
      </c>
      <c r="M184">
        <v>117</v>
      </c>
      <c r="N184">
        <v>2</v>
      </c>
      <c r="O184">
        <v>200</v>
      </c>
      <c r="P184">
        <v>193</v>
      </c>
      <c r="Q184">
        <v>200</v>
      </c>
      <c r="S184">
        <v>263</v>
      </c>
      <c r="T184">
        <v>361</v>
      </c>
      <c r="U184">
        <f>+SUM(Table1[[#This Row],[Latinos]:[Cemex]])</f>
        <v>1</v>
      </c>
      <c r="V184" t="str">
        <f>+Table1[[#This Row],[id_destino]]&amp;" - "&amp;Table1[[#This Row],[id_origen]]</f>
        <v>117 - 2</v>
      </c>
    </row>
    <row r="185" spans="1:22" hidden="1">
      <c r="A185">
        <v>1817</v>
      </c>
      <c r="B185">
        <v>1679</v>
      </c>
      <c r="C185">
        <v>469</v>
      </c>
      <c r="D185">
        <v>1584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 t="s">
        <v>20</v>
      </c>
      <c r="L185" s="1">
        <v>43645</v>
      </c>
      <c r="M185">
        <v>118</v>
      </c>
      <c r="N185">
        <v>2</v>
      </c>
      <c r="O185">
        <v>2935</v>
      </c>
      <c r="P185">
        <v>2858</v>
      </c>
      <c r="Q185">
        <v>2935</v>
      </c>
      <c r="S185">
        <v>8057</v>
      </c>
      <c r="T185">
        <v>8181</v>
      </c>
      <c r="U185">
        <f>+SUM(Table1[[#This Row],[Latinos]:[Cemex]])</f>
        <v>1</v>
      </c>
      <c r="V185" t="str">
        <f>+Table1[[#This Row],[id_destino]]&amp;" - "&amp;Table1[[#This Row],[id_origen]]</f>
        <v>118 - 2</v>
      </c>
    </row>
    <row r="186" spans="1:22" hidden="1">
      <c r="A186">
        <v>438</v>
      </c>
      <c r="B186">
        <v>2292</v>
      </c>
      <c r="C186">
        <v>469</v>
      </c>
      <c r="D186">
        <v>5359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 t="s">
        <v>20</v>
      </c>
      <c r="L186" s="1">
        <v>43067</v>
      </c>
      <c r="M186">
        <v>120</v>
      </c>
      <c r="N186">
        <v>2</v>
      </c>
      <c r="O186">
        <v>670</v>
      </c>
      <c r="P186">
        <v>906</v>
      </c>
      <c r="Q186">
        <v>670</v>
      </c>
      <c r="S186">
        <v>1438</v>
      </c>
      <c r="T186">
        <v>1438</v>
      </c>
      <c r="U186">
        <f>+SUM(Table1[[#This Row],[Latinos]:[Cemex]])</f>
        <v>1</v>
      </c>
      <c r="V186" t="str">
        <f>+Table1[[#This Row],[id_destino]]&amp;" - "&amp;Table1[[#This Row],[id_origen]]</f>
        <v>120 - 2</v>
      </c>
    </row>
    <row r="187" spans="1:22" hidden="1">
      <c r="A187">
        <v>738</v>
      </c>
      <c r="B187">
        <v>1868</v>
      </c>
      <c r="C187">
        <v>469</v>
      </c>
      <c r="D187">
        <v>623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 t="s">
        <v>20</v>
      </c>
      <c r="L187" s="1">
        <v>44937</v>
      </c>
      <c r="M187">
        <v>121</v>
      </c>
      <c r="N187">
        <v>2</v>
      </c>
      <c r="O187">
        <v>340</v>
      </c>
      <c r="P187">
        <v>340</v>
      </c>
      <c r="Q187">
        <v>340</v>
      </c>
      <c r="S187">
        <v>852</v>
      </c>
      <c r="T187">
        <v>852</v>
      </c>
      <c r="U187">
        <f>+SUM(Table1[[#This Row],[Latinos]:[Cemex]])</f>
        <v>1</v>
      </c>
      <c r="V187" t="str">
        <f>+Table1[[#This Row],[id_destino]]&amp;" - "&amp;Table1[[#This Row],[id_origen]]</f>
        <v>121 - 2</v>
      </c>
    </row>
    <row r="188" spans="1:22" hidden="1">
      <c r="A188">
        <v>739</v>
      </c>
      <c r="B188">
        <v>1868</v>
      </c>
      <c r="C188">
        <v>469</v>
      </c>
      <c r="D188">
        <v>623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 t="s">
        <v>20</v>
      </c>
      <c r="L188" s="1">
        <v>43147</v>
      </c>
      <c r="M188">
        <v>121</v>
      </c>
      <c r="N188">
        <v>2</v>
      </c>
      <c r="O188">
        <v>340</v>
      </c>
      <c r="P188">
        <v>336</v>
      </c>
      <c r="Q188">
        <v>340</v>
      </c>
      <c r="S188">
        <v>1308</v>
      </c>
      <c r="T188">
        <v>1308</v>
      </c>
      <c r="U188">
        <f>+SUM(Table1[[#This Row],[Latinos]:[Cemex]])</f>
        <v>1</v>
      </c>
      <c r="V188" t="str">
        <f>+Table1[[#This Row],[id_destino]]&amp;" - "&amp;Table1[[#This Row],[id_origen]]</f>
        <v>121 - 2</v>
      </c>
    </row>
    <row r="189" spans="1:22" hidden="1">
      <c r="A189">
        <v>330</v>
      </c>
      <c r="B189">
        <v>1764</v>
      </c>
      <c r="C189">
        <v>469</v>
      </c>
      <c r="D189">
        <v>4111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 t="s">
        <v>20</v>
      </c>
      <c r="L189" s="1">
        <v>43039</v>
      </c>
      <c r="M189">
        <v>124</v>
      </c>
      <c r="N189">
        <v>2</v>
      </c>
      <c r="O189">
        <v>426</v>
      </c>
      <c r="P189">
        <v>427</v>
      </c>
      <c r="Q189">
        <v>426</v>
      </c>
      <c r="S189">
        <v>1468</v>
      </c>
      <c r="T189">
        <v>1627</v>
      </c>
      <c r="U189">
        <f>+SUM(Table1[[#This Row],[Latinos]:[Cemex]])</f>
        <v>1</v>
      </c>
      <c r="V189" t="str">
        <f>+Table1[[#This Row],[id_destino]]&amp;" - "&amp;Table1[[#This Row],[id_origen]]</f>
        <v>124 - 2</v>
      </c>
    </row>
    <row r="190" spans="1:22" hidden="1">
      <c r="A190">
        <v>2128</v>
      </c>
      <c r="B190">
        <v>3151</v>
      </c>
      <c r="C190">
        <v>469</v>
      </c>
      <c r="D190">
        <v>6201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 t="s">
        <v>20</v>
      </c>
      <c r="L190" s="1">
        <v>43822</v>
      </c>
      <c r="M190">
        <v>125</v>
      </c>
      <c r="N190">
        <v>2</v>
      </c>
      <c r="O190">
        <v>436</v>
      </c>
      <c r="P190">
        <v>436</v>
      </c>
      <c r="Q190">
        <v>436</v>
      </c>
      <c r="S190">
        <v>900</v>
      </c>
      <c r="T190">
        <v>900</v>
      </c>
      <c r="U190">
        <f>+SUM(Table1[[#This Row],[Latinos]:[Cemex]])</f>
        <v>1</v>
      </c>
      <c r="V190" t="str">
        <f>+Table1[[#This Row],[id_destino]]&amp;" - "&amp;Table1[[#This Row],[id_origen]]</f>
        <v>125 - 2</v>
      </c>
    </row>
    <row r="191" spans="1:22" hidden="1">
      <c r="A191">
        <v>95</v>
      </c>
      <c r="B191">
        <v>207</v>
      </c>
      <c r="C191">
        <v>469</v>
      </c>
      <c r="D191">
        <v>47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 t="s">
        <v>20</v>
      </c>
      <c r="L191" s="1">
        <v>42990</v>
      </c>
      <c r="M191">
        <v>129</v>
      </c>
      <c r="N191">
        <v>2</v>
      </c>
      <c r="O191">
        <v>434</v>
      </c>
      <c r="P191">
        <v>434</v>
      </c>
      <c r="Q191">
        <v>434</v>
      </c>
      <c r="S191">
        <v>923</v>
      </c>
      <c r="T191">
        <v>923</v>
      </c>
      <c r="U191">
        <f>+SUM(Table1[[#This Row],[Latinos]:[Cemex]])</f>
        <v>1</v>
      </c>
      <c r="V191" t="str">
        <f>+Table1[[#This Row],[id_destino]]&amp;" - "&amp;Table1[[#This Row],[id_origen]]</f>
        <v>129 - 2</v>
      </c>
    </row>
    <row r="192" spans="1:22" hidden="1">
      <c r="A192">
        <v>3350</v>
      </c>
      <c r="B192">
        <v>3929</v>
      </c>
      <c r="C192">
        <v>469</v>
      </c>
      <c r="D192">
        <v>7069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 t="s">
        <v>20</v>
      </c>
      <c r="L192" s="1">
        <v>44845</v>
      </c>
      <c r="M192">
        <v>132</v>
      </c>
      <c r="N192">
        <v>2</v>
      </c>
      <c r="O192">
        <v>73</v>
      </c>
      <c r="P192">
        <v>150</v>
      </c>
      <c r="Q192">
        <v>73</v>
      </c>
      <c r="S192">
        <v>275</v>
      </c>
      <c r="T192">
        <v>275</v>
      </c>
      <c r="U192">
        <f>+SUM(Table1[[#This Row],[Latinos]:[Cemex]])</f>
        <v>1</v>
      </c>
      <c r="V192" t="str">
        <f>+Table1[[#This Row],[id_destino]]&amp;" - "&amp;Table1[[#This Row],[id_origen]]</f>
        <v>132 - 2</v>
      </c>
    </row>
    <row r="193" spans="1:22" hidden="1">
      <c r="A193">
        <v>4514</v>
      </c>
      <c r="B193">
        <v>4718</v>
      </c>
      <c r="C193">
        <v>469</v>
      </c>
      <c r="D193">
        <v>7986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 t="s">
        <v>20</v>
      </c>
      <c r="L193" s="1">
        <v>45596</v>
      </c>
      <c r="M193">
        <v>133</v>
      </c>
      <c r="N193">
        <v>2</v>
      </c>
      <c r="O193">
        <v>372</v>
      </c>
      <c r="P193">
        <v>367</v>
      </c>
      <c r="Q193">
        <v>372</v>
      </c>
      <c r="S193">
        <v>1337</v>
      </c>
      <c r="T193">
        <v>1337</v>
      </c>
      <c r="U193">
        <f>+SUM(Table1[[#This Row],[Latinos]:[Cemex]])</f>
        <v>1</v>
      </c>
      <c r="V193" t="str">
        <f>+Table1[[#This Row],[id_destino]]&amp;" - "&amp;Table1[[#This Row],[id_origen]]</f>
        <v>133 - 2</v>
      </c>
    </row>
    <row r="194" spans="1:22" hidden="1">
      <c r="A194">
        <v>2205</v>
      </c>
      <c r="B194">
        <v>3200</v>
      </c>
      <c r="C194">
        <v>469</v>
      </c>
      <c r="D194">
        <v>1005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 t="s">
        <v>20</v>
      </c>
      <c r="L194" s="1">
        <v>43888</v>
      </c>
      <c r="M194">
        <v>134</v>
      </c>
      <c r="N194">
        <v>2</v>
      </c>
      <c r="O194">
        <v>1127</v>
      </c>
      <c r="P194">
        <v>1127</v>
      </c>
      <c r="Q194">
        <v>1127</v>
      </c>
      <c r="S194">
        <v>2164</v>
      </c>
      <c r="T194">
        <v>2164</v>
      </c>
      <c r="U194">
        <f>+SUM(Table1[[#This Row],[Latinos]:[Cemex]])</f>
        <v>1</v>
      </c>
      <c r="V194" t="str">
        <f>+Table1[[#This Row],[id_destino]]&amp;" - "&amp;Table1[[#This Row],[id_origen]]</f>
        <v>134 - 2</v>
      </c>
    </row>
    <row r="195" spans="1:22" hidden="1">
      <c r="A195">
        <v>4570</v>
      </c>
      <c r="B195">
        <v>4762</v>
      </c>
      <c r="C195">
        <v>4752</v>
      </c>
      <c r="D195">
        <v>8041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 t="s">
        <v>20</v>
      </c>
      <c r="L195" s="1">
        <v>45623</v>
      </c>
      <c r="M195">
        <v>135</v>
      </c>
      <c r="N195">
        <v>2</v>
      </c>
      <c r="O195">
        <v>235</v>
      </c>
      <c r="P195">
        <v>235</v>
      </c>
      <c r="Q195">
        <v>235</v>
      </c>
      <c r="S195">
        <v>832</v>
      </c>
      <c r="T195">
        <v>832</v>
      </c>
      <c r="U195">
        <f>+SUM(Table1[[#This Row],[Latinos]:[Cemex]])</f>
        <v>1</v>
      </c>
      <c r="V195" t="str">
        <f>+Table1[[#This Row],[id_destino]]&amp;" - "&amp;Table1[[#This Row],[id_origen]]</f>
        <v>135 - 2</v>
      </c>
    </row>
    <row r="196" spans="1:22" hidden="1">
      <c r="A196">
        <v>140</v>
      </c>
      <c r="B196">
        <v>1182</v>
      </c>
      <c r="C196">
        <v>469</v>
      </c>
      <c r="D196">
        <v>3176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 t="s">
        <v>20</v>
      </c>
      <c r="L196" s="1">
        <v>42999</v>
      </c>
      <c r="M196">
        <v>136</v>
      </c>
      <c r="N196">
        <v>2</v>
      </c>
      <c r="O196">
        <v>99</v>
      </c>
      <c r="P196">
        <v>150</v>
      </c>
      <c r="Q196">
        <v>99</v>
      </c>
      <c r="S196">
        <v>366</v>
      </c>
      <c r="T196">
        <v>366</v>
      </c>
      <c r="U196">
        <f>+SUM(Table1[[#This Row],[Latinos]:[Cemex]])</f>
        <v>1</v>
      </c>
      <c r="V196" t="str">
        <f>+Table1[[#This Row],[id_destino]]&amp;" - "&amp;Table1[[#This Row],[id_origen]]</f>
        <v>136 - 2</v>
      </c>
    </row>
    <row r="197" spans="1:22" hidden="1">
      <c r="A197">
        <v>2370</v>
      </c>
      <c r="B197">
        <v>1182</v>
      </c>
      <c r="C197">
        <v>469</v>
      </c>
      <c r="D197">
        <v>3176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 t="s">
        <v>20</v>
      </c>
      <c r="L197" s="1">
        <v>43995</v>
      </c>
      <c r="M197">
        <v>136</v>
      </c>
      <c r="N197">
        <v>2</v>
      </c>
      <c r="O197">
        <v>105</v>
      </c>
      <c r="P197">
        <v>150</v>
      </c>
      <c r="Q197">
        <v>105</v>
      </c>
      <c r="S197">
        <v>0</v>
      </c>
      <c r="T197">
        <v>0</v>
      </c>
      <c r="U197">
        <f>+SUM(Table1[[#This Row],[Latinos]:[Cemex]])</f>
        <v>1</v>
      </c>
      <c r="V197" t="str">
        <f>+Table1[[#This Row],[id_destino]]&amp;" - "&amp;Table1[[#This Row],[id_origen]]</f>
        <v>136 - 2</v>
      </c>
    </row>
    <row r="198" spans="1:22" hidden="1">
      <c r="A198">
        <v>2971</v>
      </c>
      <c r="B198">
        <v>3692</v>
      </c>
      <c r="C198">
        <v>469</v>
      </c>
      <c r="D198">
        <v>6841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 t="s">
        <v>20</v>
      </c>
      <c r="L198" s="1">
        <v>44653</v>
      </c>
      <c r="M198">
        <v>137</v>
      </c>
      <c r="N198">
        <v>2</v>
      </c>
      <c r="O198">
        <v>155</v>
      </c>
      <c r="P198">
        <v>150</v>
      </c>
      <c r="Q198">
        <v>155</v>
      </c>
      <c r="S198">
        <v>521</v>
      </c>
      <c r="T198">
        <v>521</v>
      </c>
      <c r="U198">
        <f>+SUM(Table1[[#This Row],[Latinos]:[Cemex]])</f>
        <v>1</v>
      </c>
      <c r="V198" t="str">
        <f>+Table1[[#This Row],[id_destino]]&amp;" - "&amp;Table1[[#This Row],[id_origen]]</f>
        <v>137 - 2</v>
      </c>
    </row>
    <row r="199" spans="1:22" hidden="1">
      <c r="A199">
        <v>2328</v>
      </c>
      <c r="B199">
        <v>3274</v>
      </c>
      <c r="C199">
        <v>469</v>
      </c>
      <c r="D199">
        <v>2043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 t="s">
        <v>20</v>
      </c>
      <c r="L199" s="1">
        <v>43946</v>
      </c>
      <c r="M199">
        <v>138</v>
      </c>
      <c r="N199">
        <v>2</v>
      </c>
      <c r="O199">
        <v>682</v>
      </c>
      <c r="P199">
        <v>682</v>
      </c>
      <c r="Q199">
        <v>682</v>
      </c>
      <c r="S199">
        <v>1744</v>
      </c>
      <c r="T199">
        <v>1744</v>
      </c>
      <c r="U199">
        <f>+SUM(Table1[[#This Row],[Latinos]:[Cemex]])</f>
        <v>1</v>
      </c>
      <c r="V199" t="str">
        <f>+Table1[[#This Row],[id_destino]]&amp;" - "&amp;Table1[[#This Row],[id_origen]]</f>
        <v>138 - 2</v>
      </c>
    </row>
    <row r="200" spans="1:22" hidden="1">
      <c r="A200">
        <v>4738</v>
      </c>
      <c r="B200">
        <v>4878</v>
      </c>
      <c r="C200">
        <v>469</v>
      </c>
      <c r="D200">
        <v>6661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 t="s">
        <v>20</v>
      </c>
      <c r="L200" s="1">
        <v>45776</v>
      </c>
      <c r="M200">
        <v>140</v>
      </c>
      <c r="N200">
        <v>2</v>
      </c>
      <c r="O200">
        <v>950</v>
      </c>
      <c r="P200">
        <v>945</v>
      </c>
      <c r="Q200">
        <v>950</v>
      </c>
      <c r="S200">
        <v>2419</v>
      </c>
      <c r="T200">
        <v>2419</v>
      </c>
      <c r="U200">
        <f>+SUM(Table1[[#This Row],[Latinos]:[Cemex]])</f>
        <v>1</v>
      </c>
      <c r="V200" t="str">
        <f>+Table1[[#This Row],[id_destino]]&amp;" - "&amp;Table1[[#This Row],[id_origen]]</f>
        <v>140 - 2</v>
      </c>
    </row>
    <row r="201" spans="1:22" hidden="1">
      <c r="A201">
        <v>869</v>
      </c>
      <c r="B201">
        <v>2485</v>
      </c>
      <c r="C201">
        <v>469</v>
      </c>
      <c r="D201">
        <v>5520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 t="s">
        <v>20</v>
      </c>
      <c r="L201" s="1">
        <v>43888</v>
      </c>
      <c r="M201">
        <v>144</v>
      </c>
      <c r="N201">
        <v>2</v>
      </c>
      <c r="O201">
        <v>186</v>
      </c>
      <c r="P201">
        <v>188</v>
      </c>
      <c r="Q201">
        <v>186</v>
      </c>
      <c r="S201">
        <v>732</v>
      </c>
      <c r="T201">
        <v>732</v>
      </c>
      <c r="U201">
        <f>+SUM(Table1[[#This Row],[Latinos]:[Cemex]])</f>
        <v>1</v>
      </c>
      <c r="V201" t="str">
        <f>+Table1[[#This Row],[id_destino]]&amp;" - "&amp;Table1[[#This Row],[id_origen]]</f>
        <v>144 - 2</v>
      </c>
    </row>
    <row r="202" spans="1:22" hidden="1">
      <c r="A202">
        <v>2810</v>
      </c>
      <c r="B202">
        <v>3583</v>
      </c>
      <c r="C202">
        <v>469</v>
      </c>
      <c r="D202">
        <v>6695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 t="s">
        <v>20</v>
      </c>
      <c r="L202" s="1">
        <v>44480</v>
      </c>
      <c r="M202">
        <v>147</v>
      </c>
      <c r="N202">
        <v>2</v>
      </c>
      <c r="O202">
        <v>115</v>
      </c>
      <c r="P202">
        <v>150</v>
      </c>
      <c r="Q202">
        <v>115</v>
      </c>
      <c r="S202">
        <v>415</v>
      </c>
      <c r="T202">
        <v>441</v>
      </c>
      <c r="U202">
        <f>+SUM(Table1[[#This Row],[Latinos]:[Cemex]])</f>
        <v>1</v>
      </c>
      <c r="V202" t="str">
        <f>+Table1[[#This Row],[id_destino]]&amp;" - "&amp;Table1[[#This Row],[id_origen]]</f>
        <v>147 - 2</v>
      </c>
    </row>
    <row r="203" spans="1:22" hidden="1">
      <c r="A203">
        <v>4584</v>
      </c>
      <c r="B203">
        <v>3583</v>
      </c>
      <c r="C203">
        <v>4752</v>
      </c>
      <c r="D203">
        <v>8058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 t="s">
        <v>20</v>
      </c>
      <c r="L203" s="1">
        <v>45635</v>
      </c>
      <c r="M203">
        <v>147</v>
      </c>
      <c r="N203">
        <v>2</v>
      </c>
      <c r="O203">
        <v>104</v>
      </c>
      <c r="P203">
        <v>112</v>
      </c>
      <c r="Q203">
        <v>104</v>
      </c>
      <c r="S203">
        <v>150</v>
      </c>
      <c r="T203">
        <v>150</v>
      </c>
      <c r="U203">
        <f>+SUM(Table1[[#This Row],[Latinos]:[Cemex]])</f>
        <v>1</v>
      </c>
      <c r="V203" t="str">
        <f>+Table1[[#This Row],[id_destino]]&amp;" - "&amp;Table1[[#This Row],[id_origen]]</f>
        <v>147 - 2</v>
      </c>
    </row>
    <row r="204" spans="1:22" hidden="1">
      <c r="A204">
        <v>1737</v>
      </c>
      <c r="B204">
        <v>1538</v>
      </c>
      <c r="C204">
        <v>469</v>
      </c>
      <c r="D204">
        <v>1645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 t="s">
        <v>20</v>
      </c>
      <c r="L204" s="1">
        <v>43595</v>
      </c>
      <c r="M204">
        <v>148</v>
      </c>
      <c r="N204">
        <v>2</v>
      </c>
      <c r="O204">
        <v>629</v>
      </c>
      <c r="P204">
        <v>630</v>
      </c>
      <c r="Q204">
        <v>629</v>
      </c>
      <c r="S204">
        <v>2146</v>
      </c>
      <c r="T204">
        <v>2146</v>
      </c>
      <c r="U204">
        <f>+SUM(Table1[[#This Row],[Latinos]:[Cemex]])</f>
        <v>1</v>
      </c>
      <c r="V204" t="str">
        <f>+Table1[[#This Row],[id_destino]]&amp;" - "&amp;Table1[[#This Row],[id_origen]]</f>
        <v>148 - 2</v>
      </c>
    </row>
    <row r="205" spans="1:22" hidden="1">
      <c r="A205">
        <v>904</v>
      </c>
      <c r="B205">
        <v>2503</v>
      </c>
      <c r="C205">
        <v>469</v>
      </c>
      <c r="D205">
        <v>2111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 t="s">
        <v>20</v>
      </c>
      <c r="L205" s="1">
        <v>44786</v>
      </c>
      <c r="M205">
        <v>155</v>
      </c>
      <c r="N205">
        <v>2</v>
      </c>
      <c r="O205">
        <v>1036</v>
      </c>
      <c r="P205">
        <v>1101</v>
      </c>
      <c r="Q205">
        <v>1036</v>
      </c>
      <c r="S205">
        <v>5307</v>
      </c>
      <c r="T205">
        <v>5307</v>
      </c>
      <c r="U205">
        <f>+SUM(Table1[[#This Row],[Latinos]:[Cemex]])</f>
        <v>1</v>
      </c>
      <c r="V205" t="str">
        <f>+Table1[[#This Row],[id_destino]]&amp;" - "&amp;Table1[[#This Row],[id_origen]]</f>
        <v>155 - 2</v>
      </c>
    </row>
    <row r="206" spans="1:22" hidden="1">
      <c r="A206">
        <v>323</v>
      </c>
      <c r="B206">
        <v>2262</v>
      </c>
      <c r="C206">
        <v>469</v>
      </c>
      <c r="D206">
        <v>3255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 t="s">
        <v>20</v>
      </c>
      <c r="L206" s="1">
        <v>43038</v>
      </c>
      <c r="M206">
        <v>159</v>
      </c>
      <c r="N206">
        <v>2</v>
      </c>
      <c r="O206">
        <v>1597</v>
      </c>
      <c r="P206">
        <v>1600</v>
      </c>
      <c r="Q206">
        <v>1597</v>
      </c>
      <c r="S206">
        <v>6354</v>
      </c>
      <c r="T206">
        <v>6466</v>
      </c>
      <c r="U206">
        <f>+SUM(Table1[[#This Row],[Latinos]:[Cemex]])</f>
        <v>1</v>
      </c>
      <c r="V206" t="str">
        <f>+Table1[[#This Row],[id_destino]]&amp;" - "&amp;Table1[[#This Row],[id_origen]]</f>
        <v>159 - 2</v>
      </c>
    </row>
    <row r="207" spans="1:22" hidden="1">
      <c r="A207">
        <v>38</v>
      </c>
      <c r="B207">
        <v>375</v>
      </c>
      <c r="C207">
        <v>469</v>
      </c>
      <c r="D207">
        <v>12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 t="s">
        <v>20</v>
      </c>
      <c r="L207" s="1">
        <v>43888</v>
      </c>
      <c r="M207">
        <v>169</v>
      </c>
      <c r="N207">
        <v>2</v>
      </c>
      <c r="O207">
        <v>407</v>
      </c>
      <c r="P207">
        <v>400</v>
      </c>
      <c r="Q207">
        <v>407</v>
      </c>
      <c r="S207">
        <v>1681</v>
      </c>
      <c r="T207">
        <v>1681</v>
      </c>
      <c r="U207">
        <f>+SUM(Table1[[#This Row],[Latinos]:[Cemex]])</f>
        <v>1</v>
      </c>
      <c r="V207" t="str">
        <f>+Table1[[#This Row],[id_destino]]&amp;" - "&amp;Table1[[#This Row],[id_origen]]</f>
        <v>169 - 2</v>
      </c>
    </row>
    <row r="208" spans="1:22" hidden="1">
      <c r="A208">
        <v>1102</v>
      </c>
      <c r="B208">
        <v>375</v>
      </c>
      <c r="C208">
        <v>469</v>
      </c>
      <c r="D208">
        <v>12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 t="s">
        <v>20</v>
      </c>
      <c r="L208" s="1">
        <v>43290</v>
      </c>
      <c r="M208">
        <v>169</v>
      </c>
      <c r="N208">
        <v>2</v>
      </c>
      <c r="O208">
        <v>407</v>
      </c>
      <c r="P208">
        <v>407</v>
      </c>
      <c r="Q208">
        <v>407</v>
      </c>
      <c r="S208">
        <v>852</v>
      </c>
      <c r="T208">
        <v>852</v>
      </c>
      <c r="U208">
        <f>+SUM(Table1[[#This Row],[Latinos]:[Cemex]])</f>
        <v>1</v>
      </c>
      <c r="V208" t="str">
        <f>+Table1[[#This Row],[id_destino]]&amp;" - "&amp;Table1[[#This Row],[id_origen]]</f>
        <v>169 - 2</v>
      </c>
    </row>
    <row r="209" spans="1:22" hidden="1">
      <c r="A209">
        <v>2261</v>
      </c>
      <c r="B209">
        <v>3238</v>
      </c>
      <c r="C209">
        <v>469</v>
      </c>
      <c r="D209">
        <v>6295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 t="s">
        <v>20</v>
      </c>
      <c r="L209" s="1">
        <v>43885</v>
      </c>
      <c r="M209">
        <v>173</v>
      </c>
      <c r="N209">
        <v>2</v>
      </c>
      <c r="O209">
        <v>622</v>
      </c>
      <c r="P209">
        <v>614</v>
      </c>
      <c r="Q209">
        <v>622</v>
      </c>
      <c r="S209">
        <v>2654</v>
      </c>
      <c r="T209">
        <v>2654</v>
      </c>
      <c r="U209">
        <f>+SUM(Table1[[#This Row],[Latinos]:[Cemex]])</f>
        <v>1</v>
      </c>
      <c r="V209" t="str">
        <f>+Table1[[#This Row],[id_destino]]&amp;" - "&amp;Table1[[#This Row],[id_origen]]</f>
        <v>173 - 2</v>
      </c>
    </row>
    <row r="210" spans="1:22" hidden="1">
      <c r="A210">
        <v>865</v>
      </c>
      <c r="B210">
        <v>1265</v>
      </c>
      <c r="C210">
        <v>469</v>
      </c>
      <c r="D210">
        <v>5516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 t="s">
        <v>20</v>
      </c>
      <c r="L210" s="1">
        <v>44924</v>
      </c>
      <c r="M210">
        <v>179</v>
      </c>
      <c r="N210">
        <v>2</v>
      </c>
      <c r="O210">
        <v>2338</v>
      </c>
      <c r="P210">
        <v>1921</v>
      </c>
      <c r="Q210">
        <v>2338</v>
      </c>
      <c r="S210">
        <v>6803</v>
      </c>
      <c r="T210">
        <v>6915</v>
      </c>
      <c r="U210">
        <f>+SUM(Table1[[#This Row],[Latinos]:[Cemex]])</f>
        <v>1</v>
      </c>
      <c r="V210" t="str">
        <f>+Table1[[#This Row],[id_destino]]&amp;" - "&amp;Table1[[#This Row],[id_origen]]</f>
        <v>179 - 2</v>
      </c>
    </row>
    <row r="211" spans="1:22" hidden="1">
      <c r="A211">
        <v>1709</v>
      </c>
      <c r="B211">
        <v>1265</v>
      </c>
      <c r="C211">
        <v>4752</v>
      </c>
      <c r="D211">
        <v>5887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 t="s">
        <v>20</v>
      </c>
      <c r="L211" s="1">
        <v>43571</v>
      </c>
      <c r="M211">
        <v>179</v>
      </c>
      <c r="N211">
        <v>2</v>
      </c>
      <c r="O211">
        <v>1914</v>
      </c>
      <c r="P211">
        <v>1914</v>
      </c>
      <c r="Q211">
        <v>1914</v>
      </c>
      <c r="S211">
        <v>4424</v>
      </c>
      <c r="T211">
        <v>4510</v>
      </c>
      <c r="U211">
        <f>+SUM(Table1[[#This Row],[Latinos]:[Cemex]])</f>
        <v>1</v>
      </c>
      <c r="V211" t="str">
        <f>+Table1[[#This Row],[id_destino]]&amp;" - "&amp;Table1[[#This Row],[id_origen]]</f>
        <v>179 - 2</v>
      </c>
    </row>
    <row r="212" spans="1:22" hidden="1">
      <c r="A212">
        <v>197</v>
      </c>
      <c r="B212">
        <v>2125</v>
      </c>
      <c r="C212">
        <v>469</v>
      </c>
      <c r="D212">
        <v>3430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0</v>
      </c>
      <c r="K212" t="s">
        <v>24</v>
      </c>
      <c r="L212" s="1">
        <v>43011</v>
      </c>
      <c r="M212">
        <v>180</v>
      </c>
      <c r="N212">
        <v>2</v>
      </c>
      <c r="O212">
        <v>930</v>
      </c>
      <c r="P212">
        <v>1145</v>
      </c>
      <c r="Q212">
        <v>930</v>
      </c>
      <c r="S212">
        <v>2155</v>
      </c>
      <c r="T212">
        <v>2215</v>
      </c>
      <c r="U212">
        <f>+SUM(Table1[[#This Row],[Latinos]:[Cemex]])</f>
        <v>2</v>
      </c>
      <c r="V212" t="str">
        <f>+Table1[[#This Row],[id_destino]]&amp;" - "&amp;Table1[[#This Row],[id_origen]]</f>
        <v>180 - 2</v>
      </c>
    </row>
    <row r="213" spans="1:22" hidden="1">
      <c r="A213">
        <v>198</v>
      </c>
      <c r="B213">
        <v>2125</v>
      </c>
      <c r="C213">
        <v>469</v>
      </c>
      <c r="D213">
        <v>3430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 t="s">
        <v>25</v>
      </c>
      <c r="L213" s="1">
        <v>43011</v>
      </c>
      <c r="M213">
        <v>180</v>
      </c>
      <c r="N213">
        <v>2</v>
      </c>
      <c r="O213">
        <v>1168</v>
      </c>
      <c r="P213">
        <v>1145</v>
      </c>
      <c r="Q213">
        <v>1168</v>
      </c>
      <c r="S213">
        <v>2155</v>
      </c>
      <c r="T213">
        <v>2215</v>
      </c>
      <c r="U213">
        <f>+SUM(Table1[[#This Row],[Latinos]:[Cemex]])</f>
        <v>1</v>
      </c>
      <c r="V213" t="str">
        <f>+Table1[[#This Row],[id_destino]]&amp;" - "&amp;Table1[[#This Row],[id_origen]]</f>
        <v>180 - 2</v>
      </c>
    </row>
    <row r="214" spans="1:22" hidden="1">
      <c r="A214">
        <v>1352</v>
      </c>
      <c r="B214">
        <v>227</v>
      </c>
      <c r="C214">
        <v>469</v>
      </c>
      <c r="D214">
        <v>3000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 t="s">
        <v>20</v>
      </c>
      <c r="L214" s="1">
        <v>43397</v>
      </c>
      <c r="M214">
        <v>183</v>
      </c>
      <c r="N214">
        <v>2</v>
      </c>
      <c r="O214">
        <v>548</v>
      </c>
      <c r="P214">
        <v>546</v>
      </c>
      <c r="Q214">
        <v>548</v>
      </c>
      <c r="S214">
        <v>2526</v>
      </c>
      <c r="T214">
        <v>2526</v>
      </c>
      <c r="U214">
        <f>+SUM(Table1[[#This Row],[Latinos]:[Cemex]])</f>
        <v>1</v>
      </c>
      <c r="V214" t="str">
        <f>+Table1[[#This Row],[id_destino]]&amp;" - "&amp;Table1[[#This Row],[id_origen]]</f>
        <v>183 - 2</v>
      </c>
    </row>
    <row r="215" spans="1:22" hidden="1">
      <c r="A215">
        <v>1479</v>
      </c>
      <c r="B215">
        <v>227</v>
      </c>
      <c r="C215">
        <v>469</v>
      </c>
      <c r="D215">
        <v>3000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 t="s">
        <v>20</v>
      </c>
      <c r="L215" s="1">
        <v>43456</v>
      </c>
      <c r="M215">
        <v>183</v>
      </c>
      <c r="N215">
        <v>2</v>
      </c>
      <c r="O215">
        <v>595</v>
      </c>
      <c r="P215">
        <v>595</v>
      </c>
      <c r="Q215">
        <v>595</v>
      </c>
      <c r="S215">
        <v>1328</v>
      </c>
      <c r="T215">
        <v>1328</v>
      </c>
      <c r="U215">
        <f>+SUM(Table1[[#This Row],[Latinos]:[Cemex]])</f>
        <v>1</v>
      </c>
      <c r="V215" t="str">
        <f>+Table1[[#This Row],[id_destino]]&amp;" - "&amp;Table1[[#This Row],[id_origen]]</f>
        <v>183 - 2</v>
      </c>
    </row>
    <row r="216" spans="1:22" hidden="1">
      <c r="A216">
        <v>708</v>
      </c>
      <c r="B216">
        <v>1890</v>
      </c>
      <c r="C216">
        <v>469</v>
      </c>
      <c r="D216">
        <v>5171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 t="s">
        <v>20</v>
      </c>
      <c r="L216" s="1">
        <v>43138</v>
      </c>
      <c r="M216">
        <v>184</v>
      </c>
      <c r="N216">
        <v>2</v>
      </c>
      <c r="O216">
        <v>99</v>
      </c>
      <c r="P216">
        <v>150</v>
      </c>
      <c r="Q216">
        <v>99</v>
      </c>
      <c r="S216">
        <v>188</v>
      </c>
      <c r="T216">
        <v>257</v>
      </c>
      <c r="U216">
        <f>+SUM(Table1[[#This Row],[Latinos]:[Cemex]])</f>
        <v>1</v>
      </c>
      <c r="V216" t="str">
        <f>+Table1[[#This Row],[id_destino]]&amp;" - "&amp;Table1[[#This Row],[id_origen]]</f>
        <v>184 - 2</v>
      </c>
    </row>
    <row r="217" spans="1:22" hidden="1">
      <c r="A217">
        <v>3531</v>
      </c>
      <c r="B217">
        <v>1890</v>
      </c>
      <c r="C217">
        <v>469</v>
      </c>
      <c r="D217">
        <v>5146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 t="s">
        <v>20</v>
      </c>
      <c r="L217" s="1">
        <v>44950</v>
      </c>
      <c r="M217">
        <v>184</v>
      </c>
      <c r="N217">
        <v>2</v>
      </c>
      <c r="O217">
        <v>109</v>
      </c>
      <c r="P217">
        <v>99</v>
      </c>
      <c r="Q217">
        <v>109</v>
      </c>
      <c r="S217">
        <v>198</v>
      </c>
      <c r="T217">
        <v>272</v>
      </c>
      <c r="U217">
        <f>+SUM(Table1[[#This Row],[Latinos]:[Cemex]])</f>
        <v>1</v>
      </c>
      <c r="V217" t="str">
        <f>+Table1[[#This Row],[id_destino]]&amp;" - "&amp;Table1[[#This Row],[id_origen]]</f>
        <v>184 - 2</v>
      </c>
    </row>
    <row r="218" spans="1:22" hidden="1">
      <c r="A218">
        <v>2447</v>
      </c>
      <c r="B218">
        <v>3350</v>
      </c>
      <c r="C218">
        <v>469</v>
      </c>
      <c r="D218">
        <v>6396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 t="s">
        <v>20</v>
      </c>
      <c r="L218" s="1">
        <v>44077</v>
      </c>
      <c r="M218">
        <v>185</v>
      </c>
      <c r="N218">
        <v>2</v>
      </c>
      <c r="O218">
        <v>98</v>
      </c>
      <c r="P218">
        <v>150</v>
      </c>
      <c r="Q218">
        <v>98</v>
      </c>
      <c r="S218">
        <v>299</v>
      </c>
      <c r="T218">
        <v>299</v>
      </c>
      <c r="U218">
        <f>+SUM(Table1[[#This Row],[Latinos]:[Cemex]])</f>
        <v>1</v>
      </c>
      <c r="V218" t="str">
        <f>+Table1[[#This Row],[id_destino]]&amp;" - "&amp;Table1[[#This Row],[id_origen]]</f>
        <v>185 - 2</v>
      </c>
    </row>
    <row r="219" spans="1:22" hidden="1">
      <c r="A219">
        <v>1819</v>
      </c>
      <c r="B219">
        <v>2169</v>
      </c>
      <c r="C219">
        <v>469</v>
      </c>
      <c r="D219">
        <v>5958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 t="s">
        <v>20</v>
      </c>
      <c r="L219" s="1">
        <v>43647</v>
      </c>
      <c r="M219">
        <v>188</v>
      </c>
      <c r="N219">
        <v>2</v>
      </c>
      <c r="O219">
        <v>175</v>
      </c>
      <c r="P219">
        <v>182</v>
      </c>
      <c r="Q219">
        <v>175</v>
      </c>
      <c r="S219">
        <v>483</v>
      </c>
      <c r="T219">
        <v>608</v>
      </c>
      <c r="U219">
        <f>+SUM(Table1[[#This Row],[Latinos]:[Cemex]])</f>
        <v>1</v>
      </c>
      <c r="V219" t="str">
        <f>+Table1[[#This Row],[id_destino]]&amp;" - "&amp;Table1[[#This Row],[id_origen]]</f>
        <v>188 - 2</v>
      </c>
    </row>
    <row r="220" spans="1:22" hidden="1">
      <c r="A220">
        <v>991</v>
      </c>
      <c r="B220">
        <v>2534</v>
      </c>
      <c r="C220">
        <v>469</v>
      </c>
      <c r="D220">
        <v>3032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 t="s">
        <v>20</v>
      </c>
      <c r="L220" s="1">
        <v>45656</v>
      </c>
      <c r="M220">
        <v>189</v>
      </c>
      <c r="N220">
        <v>2</v>
      </c>
      <c r="O220">
        <v>1222</v>
      </c>
      <c r="P220">
        <v>1237</v>
      </c>
      <c r="Q220">
        <v>1422</v>
      </c>
      <c r="S220">
        <v>5181</v>
      </c>
      <c r="T220">
        <v>5181</v>
      </c>
      <c r="U220">
        <f>+SUM(Table1[[#This Row],[Latinos]:[Cemex]])</f>
        <v>1</v>
      </c>
      <c r="V220" t="str">
        <f>+Table1[[#This Row],[id_destino]]&amp;" - "&amp;Table1[[#This Row],[id_origen]]</f>
        <v>189 - 2</v>
      </c>
    </row>
    <row r="221" spans="1:22" hidden="1">
      <c r="A221">
        <v>4616</v>
      </c>
      <c r="B221">
        <v>4798</v>
      </c>
      <c r="C221">
        <v>469</v>
      </c>
      <c r="D221">
        <v>8087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 t="s">
        <v>20</v>
      </c>
      <c r="L221" s="1">
        <v>45673</v>
      </c>
      <c r="M221">
        <v>190</v>
      </c>
      <c r="N221">
        <v>2</v>
      </c>
      <c r="O221">
        <v>616</v>
      </c>
      <c r="P221">
        <v>606</v>
      </c>
      <c r="Q221">
        <v>616</v>
      </c>
      <c r="S221">
        <v>1755</v>
      </c>
      <c r="T221">
        <v>1755</v>
      </c>
      <c r="U221">
        <f>+SUM(Table1[[#This Row],[Latinos]:[Cemex]])</f>
        <v>1</v>
      </c>
      <c r="V221" t="str">
        <f>+Table1[[#This Row],[id_destino]]&amp;" - "&amp;Table1[[#This Row],[id_origen]]</f>
        <v>190 - 2</v>
      </c>
    </row>
    <row r="222" spans="1:22" hidden="1">
      <c r="A222">
        <v>427</v>
      </c>
      <c r="B222">
        <v>1548</v>
      </c>
      <c r="C222">
        <v>469</v>
      </c>
      <c r="D222">
        <v>4262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 t="s">
        <v>20</v>
      </c>
      <c r="L222" s="1">
        <v>44055</v>
      </c>
      <c r="M222">
        <v>192</v>
      </c>
      <c r="N222">
        <v>2</v>
      </c>
      <c r="O222">
        <v>560</v>
      </c>
      <c r="P222">
        <v>539</v>
      </c>
      <c r="Q222">
        <v>560</v>
      </c>
      <c r="S222">
        <v>2243</v>
      </c>
      <c r="T222">
        <v>2243</v>
      </c>
      <c r="U222">
        <f>+SUM(Table1[[#This Row],[Latinos]:[Cemex]])</f>
        <v>1</v>
      </c>
      <c r="V222" t="str">
        <f>+Table1[[#This Row],[id_destino]]&amp;" - "&amp;Table1[[#This Row],[id_origen]]</f>
        <v>192 - 2</v>
      </c>
    </row>
    <row r="223" spans="1:22" hidden="1">
      <c r="A223">
        <v>2267</v>
      </c>
      <c r="B223">
        <v>3243</v>
      </c>
      <c r="C223">
        <v>469</v>
      </c>
      <c r="D223">
        <v>6303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 t="s">
        <v>20</v>
      </c>
      <c r="L223" s="1">
        <v>43889</v>
      </c>
      <c r="M223">
        <v>201</v>
      </c>
      <c r="N223">
        <v>2</v>
      </c>
      <c r="O223">
        <v>406</v>
      </c>
      <c r="P223">
        <v>416</v>
      </c>
      <c r="Q223">
        <v>406</v>
      </c>
      <c r="S223">
        <v>1286</v>
      </c>
      <c r="T223">
        <v>1286</v>
      </c>
      <c r="U223">
        <f>+SUM(Table1[[#This Row],[Latinos]:[Cemex]])</f>
        <v>1</v>
      </c>
      <c r="V223" t="str">
        <f>+Table1[[#This Row],[id_destino]]&amp;" - "&amp;Table1[[#This Row],[id_origen]]</f>
        <v>201 - 2</v>
      </c>
    </row>
    <row r="224" spans="1:22" hidden="1">
      <c r="A224">
        <v>2826</v>
      </c>
      <c r="B224">
        <v>858</v>
      </c>
      <c r="C224">
        <v>469</v>
      </c>
      <c r="D224">
        <v>6704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 t="s">
        <v>20</v>
      </c>
      <c r="L224" s="1">
        <v>44490</v>
      </c>
      <c r="M224">
        <v>212</v>
      </c>
      <c r="N224">
        <v>2</v>
      </c>
      <c r="O224">
        <v>201</v>
      </c>
      <c r="P224">
        <v>175</v>
      </c>
      <c r="Q224">
        <v>201</v>
      </c>
      <c r="S224">
        <v>65</v>
      </c>
      <c r="T224">
        <v>65</v>
      </c>
      <c r="U224">
        <f>+SUM(Table1[[#This Row],[Latinos]:[Cemex]])</f>
        <v>1</v>
      </c>
      <c r="V224" t="str">
        <f>+Table1[[#This Row],[id_destino]]&amp;" - "&amp;Table1[[#This Row],[id_origen]]</f>
        <v>212 - 2</v>
      </c>
    </row>
    <row r="225" spans="1:22" hidden="1">
      <c r="A225">
        <v>2877</v>
      </c>
      <c r="B225">
        <v>3629</v>
      </c>
      <c r="C225">
        <v>469</v>
      </c>
      <c r="D225">
        <v>4192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 t="s">
        <v>20</v>
      </c>
      <c r="L225" s="1">
        <v>44579</v>
      </c>
      <c r="M225">
        <v>218</v>
      </c>
      <c r="N225">
        <v>2</v>
      </c>
      <c r="O225">
        <v>480</v>
      </c>
      <c r="P225">
        <v>489</v>
      </c>
      <c r="Q225">
        <v>480</v>
      </c>
      <c r="S225">
        <v>1258</v>
      </c>
      <c r="T225">
        <v>1258</v>
      </c>
      <c r="U225">
        <f>+SUM(Table1[[#This Row],[Latinos]:[Cemex]])</f>
        <v>1</v>
      </c>
      <c r="V225" t="str">
        <f>+Table1[[#This Row],[id_destino]]&amp;" - "&amp;Table1[[#This Row],[id_origen]]</f>
        <v>218 - 2</v>
      </c>
    </row>
    <row r="226" spans="1:22" hidden="1">
      <c r="A226">
        <v>633</v>
      </c>
      <c r="B226">
        <v>863</v>
      </c>
      <c r="C226">
        <v>469</v>
      </c>
      <c r="D226">
        <v>5431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 t="s">
        <v>20</v>
      </c>
      <c r="L226" s="1">
        <v>43941</v>
      </c>
      <c r="M226">
        <v>220</v>
      </c>
      <c r="N226">
        <v>2</v>
      </c>
      <c r="O226">
        <v>151</v>
      </c>
      <c r="P226">
        <v>151</v>
      </c>
      <c r="Q226">
        <v>151</v>
      </c>
      <c r="S226">
        <v>362</v>
      </c>
      <c r="T226">
        <v>362</v>
      </c>
      <c r="U226">
        <f>+SUM(Table1[[#This Row],[Latinos]:[Cemex]])</f>
        <v>1</v>
      </c>
      <c r="V226" t="str">
        <f>+Table1[[#This Row],[id_destino]]&amp;" - "&amp;Table1[[#This Row],[id_origen]]</f>
        <v>220 - 2</v>
      </c>
    </row>
    <row r="227" spans="1:22" hidden="1">
      <c r="A227">
        <v>3086</v>
      </c>
      <c r="B227">
        <v>3764</v>
      </c>
      <c r="C227">
        <v>469</v>
      </c>
      <c r="D227">
        <v>6924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 t="s">
        <v>20</v>
      </c>
      <c r="L227" s="1">
        <v>44718</v>
      </c>
      <c r="M227">
        <v>222</v>
      </c>
      <c r="N227">
        <v>2</v>
      </c>
      <c r="O227">
        <v>132</v>
      </c>
      <c r="P227">
        <v>150</v>
      </c>
      <c r="Q227">
        <v>132</v>
      </c>
      <c r="S227">
        <v>546</v>
      </c>
      <c r="T227">
        <v>620</v>
      </c>
      <c r="U227">
        <f>+SUM(Table1[[#This Row],[Latinos]:[Cemex]])</f>
        <v>1</v>
      </c>
      <c r="V227" t="str">
        <f>+Table1[[#This Row],[id_destino]]&amp;" - "&amp;Table1[[#This Row],[id_origen]]</f>
        <v>222 - 2</v>
      </c>
    </row>
    <row r="228" spans="1:22" hidden="1">
      <c r="A228">
        <v>297</v>
      </c>
      <c r="B228">
        <v>1410</v>
      </c>
      <c r="C228">
        <v>4021</v>
      </c>
      <c r="D228">
        <v>5322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 t="s">
        <v>20</v>
      </c>
      <c r="L228" s="1">
        <v>43032</v>
      </c>
      <c r="M228">
        <v>227</v>
      </c>
      <c r="N228">
        <v>2</v>
      </c>
      <c r="O228">
        <v>189</v>
      </c>
      <c r="P228">
        <v>167</v>
      </c>
      <c r="Q228">
        <v>189</v>
      </c>
      <c r="S228">
        <v>967</v>
      </c>
      <c r="T228">
        <v>1151</v>
      </c>
      <c r="U228">
        <f>+SUM(Table1[[#This Row],[Latinos]:[Cemex]])</f>
        <v>1</v>
      </c>
      <c r="V228" t="str">
        <f>+Table1[[#This Row],[id_destino]]&amp;" - "&amp;Table1[[#This Row],[id_origen]]</f>
        <v>227 - 2</v>
      </c>
    </row>
    <row r="229" spans="1:22" hidden="1">
      <c r="A229">
        <v>938</v>
      </c>
      <c r="B229">
        <v>2518</v>
      </c>
      <c r="C229">
        <v>469</v>
      </c>
      <c r="D229">
        <v>5548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 t="s">
        <v>20</v>
      </c>
      <c r="L229" s="1">
        <v>43220</v>
      </c>
      <c r="M229">
        <v>254</v>
      </c>
      <c r="N229">
        <v>2</v>
      </c>
      <c r="O229">
        <v>77</v>
      </c>
      <c r="P229">
        <v>150</v>
      </c>
      <c r="Q229">
        <v>77</v>
      </c>
      <c r="S229">
        <v>250</v>
      </c>
      <c r="T229">
        <v>343</v>
      </c>
      <c r="U229">
        <f>+SUM(Table1[[#This Row],[Latinos]:[Cemex]])</f>
        <v>1</v>
      </c>
      <c r="V229" t="str">
        <f>+Table1[[#This Row],[id_destino]]&amp;" - "&amp;Table1[[#This Row],[id_origen]]</f>
        <v>254 - 2</v>
      </c>
    </row>
    <row r="230" spans="1:22" hidden="1">
      <c r="A230">
        <v>3750</v>
      </c>
      <c r="B230">
        <v>2518</v>
      </c>
      <c r="C230">
        <v>469</v>
      </c>
      <c r="D230">
        <v>7350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 t="s">
        <v>20</v>
      </c>
      <c r="L230" s="1">
        <v>45068</v>
      </c>
      <c r="M230">
        <v>254</v>
      </c>
      <c r="N230">
        <v>2</v>
      </c>
      <c r="O230">
        <v>90</v>
      </c>
      <c r="P230">
        <v>150</v>
      </c>
      <c r="Q230">
        <v>90</v>
      </c>
      <c r="S230">
        <v>0</v>
      </c>
      <c r="T230">
        <v>0</v>
      </c>
      <c r="U230">
        <f>+SUM(Table1[[#This Row],[Latinos]:[Cemex]])</f>
        <v>1</v>
      </c>
      <c r="V230" t="str">
        <f>+Table1[[#This Row],[id_destino]]&amp;" - "&amp;Table1[[#This Row],[id_origen]]</f>
        <v>254 - 2</v>
      </c>
    </row>
    <row r="231" spans="1:22" hidden="1">
      <c r="A231">
        <v>81</v>
      </c>
      <c r="B231">
        <v>1496</v>
      </c>
      <c r="C231">
        <v>469</v>
      </c>
      <c r="D231">
        <v>33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 t="s">
        <v>20</v>
      </c>
      <c r="L231" s="1">
        <v>44958</v>
      </c>
      <c r="M231">
        <v>260</v>
      </c>
      <c r="N231">
        <v>2</v>
      </c>
      <c r="O231">
        <v>1441</v>
      </c>
      <c r="P231">
        <v>1446</v>
      </c>
      <c r="Q231">
        <v>1441</v>
      </c>
      <c r="S231">
        <v>6393</v>
      </c>
      <c r="T231">
        <v>6495</v>
      </c>
      <c r="U231">
        <f>+SUM(Table1[[#This Row],[Latinos]:[Cemex]])</f>
        <v>1</v>
      </c>
      <c r="V231" t="str">
        <f>+Table1[[#This Row],[id_destino]]&amp;" - "&amp;Table1[[#This Row],[id_origen]]</f>
        <v>260 - 2</v>
      </c>
    </row>
    <row r="232" spans="1:22" hidden="1">
      <c r="A232">
        <v>3547</v>
      </c>
      <c r="B232">
        <v>4062</v>
      </c>
      <c r="C232">
        <v>469</v>
      </c>
      <c r="D232">
        <v>7205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 t="s">
        <v>20</v>
      </c>
      <c r="L232" s="1">
        <v>44953</v>
      </c>
      <c r="M232">
        <v>264</v>
      </c>
      <c r="N232">
        <v>2</v>
      </c>
      <c r="O232">
        <v>144</v>
      </c>
      <c r="P232">
        <v>150</v>
      </c>
      <c r="Q232">
        <v>144</v>
      </c>
      <c r="S232">
        <v>375</v>
      </c>
      <c r="T232">
        <v>375</v>
      </c>
      <c r="U232">
        <f>+SUM(Table1[[#This Row],[Latinos]:[Cemex]])</f>
        <v>1</v>
      </c>
      <c r="V232" t="str">
        <f>+Table1[[#This Row],[id_destino]]&amp;" - "&amp;Table1[[#This Row],[id_origen]]</f>
        <v>264 - 2</v>
      </c>
    </row>
    <row r="233" spans="1:22" hidden="1">
      <c r="A233">
        <v>4837</v>
      </c>
      <c r="B233">
        <v>4943</v>
      </c>
      <c r="C233">
        <v>469</v>
      </c>
      <c r="D233">
        <v>665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 t="s">
        <v>20</v>
      </c>
      <c r="L233" s="1">
        <v>45876</v>
      </c>
      <c r="M233">
        <v>273</v>
      </c>
      <c r="N233">
        <v>2</v>
      </c>
      <c r="O233">
        <v>95</v>
      </c>
      <c r="P233">
        <v>150</v>
      </c>
      <c r="Q233">
        <v>95</v>
      </c>
      <c r="S233">
        <v>295</v>
      </c>
      <c r="T233">
        <v>295</v>
      </c>
      <c r="U233">
        <f>+SUM(Table1[[#This Row],[Latinos]:[Cemex]])</f>
        <v>1</v>
      </c>
      <c r="V233" t="str">
        <f>+Table1[[#This Row],[id_destino]]&amp;" - "&amp;Table1[[#This Row],[id_origen]]</f>
        <v>273 - 2</v>
      </c>
    </row>
    <row r="234" spans="1:22" hidden="1">
      <c r="A234">
        <v>660</v>
      </c>
      <c r="B234">
        <v>2393</v>
      </c>
      <c r="C234">
        <v>469</v>
      </c>
      <c r="D234">
        <v>5440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 t="s">
        <v>20</v>
      </c>
      <c r="L234" s="1">
        <v>43123</v>
      </c>
      <c r="M234">
        <v>275</v>
      </c>
      <c r="N234">
        <v>2</v>
      </c>
      <c r="O234">
        <v>103</v>
      </c>
      <c r="P234">
        <v>150</v>
      </c>
      <c r="Q234">
        <v>103</v>
      </c>
      <c r="S234">
        <v>552</v>
      </c>
      <c r="T234">
        <v>552</v>
      </c>
      <c r="U234">
        <f>+SUM(Table1[[#This Row],[Latinos]:[Cemex]])</f>
        <v>1</v>
      </c>
      <c r="V234" t="str">
        <f>+Table1[[#This Row],[id_destino]]&amp;" - "&amp;Table1[[#This Row],[id_origen]]</f>
        <v>275 - 2</v>
      </c>
    </row>
    <row r="235" spans="1:22" hidden="1">
      <c r="A235">
        <v>350</v>
      </c>
      <c r="B235">
        <v>907</v>
      </c>
      <c r="C235">
        <v>469</v>
      </c>
      <c r="D235">
        <v>4195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 t="s">
        <v>20</v>
      </c>
      <c r="L235" s="1">
        <v>43043</v>
      </c>
      <c r="M235">
        <v>276</v>
      </c>
      <c r="N235">
        <v>2</v>
      </c>
      <c r="O235">
        <v>52</v>
      </c>
      <c r="P235">
        <v>150</v>
      </c>
      <c r="Q235">
        <v>52</v>
      </c>
      <c r="S235">
        <v>94</v>
      </c>
      <c r="T235">
        <v>116</v>
      </c>
      <c r="U235">
        <f>+SUM(Table1[[#This Row],[Latinos]:[Cemex]])</f>
        <v>1</v>
      </c>
      <c r="V235" t="str">
        <f>+Table1[[#This Row],[id_destino]]&amp;" - "&amp;Table1[[#This Row],[id_origen]]</f>
        <v>276 - 2</v>
      </c>
    </row>
    <row r="236" spans="1:22" hidden="1">
      <c r="A236">
        <v>486</v>
      </c>
      <c r="B236">
        <v>907</v>
      </c>
      <c r="C236">
        <v>469</v>
      </c>
      <c r="D236">
        <v>5379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 t="s">
        <v>20</v>
      </c>
      <c r="L236" s="1">
        <v>43077</v>
      </c>
      <c r="M236">
        <v>276</v>
      </c>
      <c r="N236">
        <v>2</v>
      </c>
      <c r="O236">
        <v>50</v>
      </c>
      <c r="P236">
        <v>150</v>
      </c>
      <c r="Q236">
        <v>50</v>
      </c>
      <c r="S236">
        <v>179</v>
      </c>
      <c r="T236">
        <v>179</v>
      </c>
      <c r="U236">
        <f>+SUM(Table1[[#This Row],[Latinos]:[Cemex]])</f>
        <v>1</v>
      </c>
      <c r="V236" t="str">
        <f>+Table1[[#This Row],[id_destino]]&amp;" - "&amp;Table1[[#This Row],[id_origen]]</f>
        <v>276 - 2</v>
      </c>
    </row>
    <row r="237" spans="1:22" hidden="1">
      <c r="A237">
        <v>4793</v>
      </c>
      <c r="B237">
        <v>4913</v>
      </c>
      <c r="C237">
        <v>469</v>
      </c>
      <c r="D237">
        <v>8253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 t="s">
        <v>20</v>
      </c>
      <c r="L237" s="1">
        <v>45832</v>
      </c>
      <c r="M237">
        <v>286</v>
      </c>
      <c r="N237">
        <v>2</v>
      </c>
      <c r="O237">
        <v>640</v>
      </c>
      <c r="P237">
        <v>640</v>
      </c>
      <c r="Q237">
        <v>640</v>
      </c>
      <c r="S237">
        <v>3119</v>
      </c>
      <c r="T237">
        <v>3119</v>
      </c>
      <c r="U237">
        <f>+SUM(Table1[[#This Row],[Latinos]:[Cemex]])</f>
        <v>1</v>
      </c>
      <c r="V237" t="str">
        <f>+Table1[[#This Row],[id_destino]]&amp;" - "&amp;Table1[[#This Row],[id_origen]]</f>
        <v>286 - 2</v>
      </c>
    </row>
    <row r="238" spans="1:22" hidden="1">
      <c r="A238">
        <v>3231</v>
      </c>
      <c r="B238">
        <v>3851</v>
      </c>
      <c r="C238">
        <v>469</v>
      </c>
      <c r="D238">
        <v>7006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 t="s">
        <v>20</v>
      </c>
      <c r="L238" s="1">
        <v>44783</v>
      </c>
      <c r="M238">
        <v>290</v>
      </c>
      <c r="N238">
        <v>2</v>
      </c>
      <c r="O238">
        <v>106</v>
      </c>
      <c r="P238">
        <v>150</v>
      </c>
      <c r="Q238">
        <v>106</v>
      </c>
      <c r="S238">
        <v>160</v>
      </c>
      <c r="T238">
        <v>160</v>
      </c>
      <c r="U238">
        <f>+SUM(Table1[[#This Row],[Latinos]:[Cemex]])</f>
        <v>1</v>
      </c>
      <c r="V238" t="str">
        <f>+Table1[[#This Row],[id_destino]]&amp;" - "&amp;Table1[[#This Row],[id_origen]]</f>
        <v>290 - 2</v>
      </c>
    </row>
    <row r="239" spans="1:22" hidden="1">
      <c r="A239">
        <v>512</v>
      </c>
      <c r="B239">
        <v>2326</v>
      </c>
      <c r="C239">
        <v>469</v>
      </c>
      <c r="D239">
        <v>5392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 t="s">
        <v>32</v>
      </c>
      <c r="L239" s="1">
        <v>43087</v>
      </c>
      <c r="M239">
        <v>301</v>
      </c>
      <c r="N239">
        <v>2</v>
      </c>
      <c r="O239">
        <v>1390</v>
      </c>
      <c r="P239">
        <v>1390</v>
      </c>
      <c r="Q239">
        <v>1390</v>
      </c>
      <c r="S239">
        <v>2910</v>
      </c>
      <c r="T239">
        <v>2910</v>
      </c>
      <c r="U239">
        <f>+SUM(Table1[[#This Row],[Latinos]:[Cemex]])</f>
        <v>1</v>
      </c>
      <c r="V239" t="str">
        <f>+Table1[[#This Row],[id_destino]]&amp;" - "&amp;Table1[[#This Row],[id_origen]]</f>
        <v>301 - 2</v>
      </c>
    </row>
    <row r="240" spans="1:22" hidden="1">
      <c r="A240">
        <v>1180</v>
      </c>
      <c r="B240">
        <v>2616</v>
      </c>
      <c r="C240">
        <v>469</v>
      </c>
      <c r="D240">
        <v>8150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 t="s">
        <v>20</v>
      </c>
      <c r="L240" s="1">
        <v>45720</v>
      </c>
      <c r="M240">
        <v>304</v>
      </c>
      <c r="N240">
        <v>2</v>
      </c>
      <c r="O240">
        <v>84</v>
      </c>
      <c r="P240">
        <v>150</v>
      </c>
      <c r="Q240">
        <v>84</v>
      </c>
      <c r="S240">
        <v>255</v>
      </c>
      <c r="T240">
        <v>255</v>
      </c>
      <c r="U240">
        <f>+SUM(Table1[[#This Row],[Latinos]:[Cemex]])</f>
        <v>1</v>
      </c>
      <c r="V240" t="str">
        <f>+Table1[[#This Row],[id_destino]]&amp;" - "&amp;Table1[[#This Row],[id_origen]]</f>
        <v>304 - 2</v>
      </c>
    </row>
    <row r="241" spans="1:22" hidden="1">
      <c r="A241">
        <v>449</v>
      </c>
      <c r="B241">
        <v>1591</v>
      </c>
      <c r="C241">
        <v>469</v>
      </c>
      <c r="D241">
        <v>1612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 t="s">
        <v>20</v>
      </c>
      <c r="L241" s="1">
        <v>43068</v>
      </c>
      <c r="M241">
        <v>306</v>
      </c>
      <c r="N241">
        <v>2</v>
      </c>
      <c r="O241">
        <v>111</v>
      </c>
      <c r="P241">
        <v>150</v>
      </c>
      <c r="Q241">
        <v>111</v>
      </c>
      <c r="S241">
        <v>300</v>
      </c>
      <c r="T241">
        <v>300</v>
      </c>
      <c r="U241">
        <f>+SUM(Table1[[#This Row],[Latinos]:[Cemex]])</f>
        <v>1</v>
      </c>
      <c r="V241" t="str">
        <f>+Table1[[#This Row],[id_destino]]&amp;" - "&amp;Table1[[#This Row],[id_origen]]</f>
        <v>306 - 2</v>
      </c>
    </row>
    <row r="242" spans="1:22" hidden="1">
      <c r="A242">
        <v>2086</v>
      </c>
      <c r="B242">
        <v>1591</v>
      </c>
      <c r="C242">
        <v>469</v>
      </c>
      <c r="D242">
        <v>5047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 t="s">
        <v>20</v>
      </c>
      <c r="L242" s="1">
        <v>43805</v>
      </c>
      <c r="M242">
        <v>306</v>
      </c>
      <c r="N242">
        <v>2</v>
      </c>
      <c r="O242">
        <v>111</v>
      </c>
      <c r="P242">
        <v>111</v>
      </c>
      <c r="Q242">
        <v>111</v>
      </c>
      <c r="S242">
        <v>87</v>
      </c>
      <c r="T242">
        <v>87</v>
      </c>
      <c r="U242">
        <f>+SUM(Table1[[#This Row],[Latinos]:[Cemex]])</f>
        <v>1</v>
      </c>
      <c r="V242" t="str">
        <f>+Table1[[#This Row],[id_destino]]&amp;" - "&amp;Table1[[#This Row],[id_origen]]</f>
        <v>306 - 2</v>
      </c>
    </row>
    <row r="243" spans="1:22" hidden="1">
      <c r="A243">
        <v>3838</v>
      </c>
      <c r="B243">
        <v>4251</v>
      </c>
      <c r="C243">
        <v>469</v>
      </c>
      <c r="D243">
        <v>7427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 t="s">
        <v>20</v>
      </c>
      <c r="L243" s="1">
        <v>45135</v>
      </c>
      <c r="M243">
        <v>307</v>
      </c>
      <c r="N243">
        <v>2</v>
      </c>
      <c r="O243">
        <v>73</v>
      </c>
      <c r="P243">
        <v>150</v>
      </c>
      <c r="Q243">
        <v>73</v>
      </c>
      <c r="S243">
        <v>255</v>
      </c>
      <c r="T243">
        <v>255</v>
      </c>
      <c r="U243">
        <f>+SUM(Table1[[#This Row],[Latinos]:[Cemex]])</f>
        <v>1</v>
      </c>
      <c r="V243" t="str">
        <f>+Table1[[#This Row],[id_destino]]&amp;" - "&amp;Table1[[#This Row],[id_origen]]</f>
        <v>307 - 2</v>
      </c>
    </row>
    <row r="244" spans="1:22" hidden="1">
      <c r="A244">
        <v>1330</v>
      </c>
      <c r="B244">
        <v>863</v>
      </c>
      <c r="C244">
        <v>469</v>
      </c>
      <c r="D244">
        <v>3283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 t="s">
        <v>20</v>
      </c>
      <c r="L244" s="1">
        <v>43388</v>
      </c>
      <c r="M244">
        <v>314</v>
      </c>
      <c r="N244">
        <v>2</v>
      </c>
      <c r="O244">
        <v>52</v>
      </c>
      <c r="P244">
        <v>107</v>
      </c>
      <c r="Q244">
        <v>52</v>
      </c>
      <c r="S244">
        <v>191</v>
      </c>
      <c r="T244">
        <v>261</v>
      </c>
      <c r="U244">
        <f>+SUM(Table1[[#This Row],[Latinos]:[Cemex]])</f>
        <v>1</v>
      </c>
      <c r="V244" t="str">
        <f>+Table1[[#This Row],[id_destino]]&amp;" - "&amp;Table1[[#This Row],[id_origen]]</f>
        <v>314 - 2</v>
      </c>
    </row>
    <row r="245" spans="1:22" hidden="1">
      <c r="A245">
        <v>1463</v>
      </c>
      <c r="B245">
        <v>863</v>
      </c>
      <c r="C245">
        <v>4752</v>
      </c>
      <c r="D245">
        <v>5117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 t="s">
        <v>20</v>
      </c>
      <c r="L245" s="1">
        <v>43451</v>
      </c>
      <c r="M245">
        <v>314</v>
      </c>
      <c r="N245">
        <v>2</v>
      </c>
      <c r="O245">
        <v>58</v>
      </c>
      <c r="P245">
        <v>150</v>
      </c>
      <c r="Q245">
        <v>58</v>
      </c>
      <c r="S245">
        <v>191</v>
      </c>
      <c r="T245">
        <v>191</v>
      </c>
      <c r="U245">
        <f>+SUM(Table1[[#This Row],[Latinos]:[Cemex]])</f>
        <v>1</v>
      </c>
      <c r="V245" t="str">
        <f>+Table1[[#This Row],[id_destino]]&amp;" - "&amp;Table1[[#This Row],[id_origen]]</f>
        <v>314 - 2</v>
      </c>
    </row>
    <row r="246" spans="1:22" hidden="1">
      <c r="A246">
        <v>306</v>
      </c>
      <c r="B246">
        <v>2259</v>
      </c>
      <c r="C246">
        <v>469</v>
      </c>
      <c r="D246">
        <v>5325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 t="s">
        <v>20</v>
      </c>
      <c r="L246" s="1">
        <v>43033</v>
      </c>
      <c r="M246">
        <v>315</v>
      </c>
      <c r="N246">
        <v>2</v>
      </c>
      <c r="O246">
        <v>77</v>
      </c>
      <c r="P246">
        <v>150</v>
      </c>
      <c r="Q246">
        <v>77</v>
      </c>
      <c r="S246">
        <v>35</v>
      </c>
      <c r="T246">
        <v>35</v>
      </c>
      <c r="U246">
        <f>+SUM(Table1[[#This Row],[Latinos]:[Cemex]])</f>
        <v>1</v>
      </c>
      <c r="V246" t="str">
        <f>+Table1[[#This Row],[id_destino]]&amp;" - "&amp;Table1[[#This Row],[id_origen]]</f>
        <v>315 - 2</v>
      </c>
    </row>
    <row r="247" spans="1:22" hidden="1">
      <c r="A247">
        <v>574</v>
      </c>
      <c r="B247">
        <v>2350</v>
      </c>
      <c r="C247">
        <v>469</v>
      </c>
      <c r="D247">
        <v>3079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 t="s">
        <v>20</v>
      </c>
      <c r="L247" s="1">
        <v>43105</v>
      </c>
      <c r="M247">
        <v>316</v>
      </c>
      <c r="N247">
        <v>2</v>
      </c>
      <c r="O247">
        <v>564</v>
      </c>
      <c r="P247">
        <v>566</v>
      </c>
      <c r="Q247">
        <v>564</v>
      </c>
      <c r="S247">
        <v>2526</v>
      </c>
      <c r="T247">
        <v>2526</v>
      </c>
      <c r="U247">
        <f>+SUM(Table1[[#This Row],[Latinos]:[Cemex]])</f>
        <v>1</v>
      </c>
      <c r="V247" t="str">
        <f>+Table1[[#This Row],[id_destino]]&amp;" - "&amp;Table1[[#This Row],[id_origen]]</f>
        <v>316 - 2</v>
      </c>
    </row>
    <row r="248" spans="1:22" hidden="1">
      <c r="A248">
        <v>833</v>
      </c>
      <c r="B248">
        <v>1651</v>
      </c>
      <c r="C248">
        <v>469</v>
      </c>
      <c r="D248">
        <v>4545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 t="s">
        <v>20</v>
      </c>
      <c r="L248" s="1">
        <v>43180</v>
      </c>
      <c r="M248">
        <v>318</v>
      </c>
      <c r="N248">
        <v>2</v>
      </c>
      <c r="O248">
        <v>97</v>
      </c>
      <c r="P248">
        <v>150</v>
      </c>
      <c r="Q248">
        <v>97</v>
      </c>
      <c r="S248">
        <v>511</v>
      </c>
      <c r="T248">
        <v>609</v>
      </c>
      <c r="U248">
        <f>+SUM(Table1[[#This Row],[Latinos]:[Cemex]])</f>
        <v>1</v>
      </c>
      <c r="V248" t="str">
        <f>+Table1[[#This Row],[id_destino]]&amp;" - "&amp;Table1[[#This Row],[id_origen]]</f>
        <v>318 - 2</v>
      </c>
    </row>
    <row r="249" spans="1:22" hidden="1">
      <c r="A249">
        <v>1292</v>
      </c>
      <c r="B249">
        <v>1651</v>
      </c>
      <c r="C249">
        <v>469</v>
      </c>
      <c r="D249">
        <v>5204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 t="s">
        <v>20</v>
      </c>
      <c r="L249" s="1">
        <v>43804</v>
      </c>
      <c r="M249">
        <v>318</v>
      </c>
      <c r="N249">
        <v>2</v>
      </c>
      <c r="O249">
        <v>107</v>
      </c>
      <c r="P249">
        <v>107</v>
      </c>
      <c r="Q249">
        <v>107</v>
      </c>
      <c r="S249">
        <v>191</v>
      </c>
      <c r="T249">
        <v>261</v>
      </c>
      <c r="U249">
        <f>+SUM(Table1[[#This Row],[Latinos]:[Cemex]])</f>
        <v>1</v>
      </c>
      <c r="V249" t="str">
        <f>+Table1[[#This Row],[id_destino]]&amp;" - "&amp;Table1[[#This Row],[id_origen]]</f>
        <v>318 - 2</v>
      </c>
    </row>
    <row r="250" spans="1:22" hidden="1">
      <c r="A250">
        <v>3820</v>
      </c>
      <c r="B250">
        <v>4240</v>
      </c>
      <c r="C250">
        <v>469</v>
      </c>
      <c r="D250">
        <v>2836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 t="s">
        <v>20</v>
      </c>
      <c r="L250" s="1">
        <v>45117</v>
      </c>
      <c r="M250">
        <v>320</v>
      </c>
      <c r="N250">
        <v>2</v>
      </c>
      <c r="O250">
        <v>113</v>
      </c>
      <c r="P250">
        <v>150</v>
      </c>
      <c r="Q250">
        <v>113</v>
      </c>
      <c r="S250">
        <v>380</v>
      </c>
      <c r="T250">
        <v>380</v>
      </c>
      <c r="U250">
        <f>+SUM(Table1[[#This Row],[Latinos]:[Cemex]])</f>
        <v>1</v>
      </c>
      <c r="V250" t="str">
        <f>+Table1[[#This Row],[id_destino]]&amp;" - "&amp;Table1[[#This Row],[id_origen]]</f>
        <v>320 - 2</v>
      </c>
    </row>
    <row r="251" spans="1:22" hidden="1">
      <c r="A251">
        <v>2900</v>
      </c>
      <c r="B251">
        <v>2031</v>
      </c>
      <c r="C251">
        <v>469</v>
      </c>
      <c r="D251">
        <v>1291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 t="s">
        <v>20</v>
      </c>
      <c r="L251" s="1">
        <v>44597</v>
      </c>
      <c r="M251">
        <v>330</v>
      </c>
      <c r="N251">
        <v>2</v>
      </c>
      <c r="O251">
        <v>571</v>
      </c>
      <c r="P251">
        <v>566</v>
      </c>
      <c r="Q251">
        <v>571</v>
      </c>
      <c r="S251">
        <v>2526</v>
      </c>
      <c r="T251">
        <v>2526</v>
      </c>
      <c r="U251">
        <f>+SUM(Table1[[#This Row],[Latinos]:[Cemex]])</f>
        <v>1</v>
      </c>
      <c r="V251" t="str">
        <f>+Table1[[#This Row],[id_destino]]&amp;" - "&amp;Table1[[#This Row],[id_origen]]</f>
        <v>330 - 2</v>
      </c>
    </row>
    <row r="252" spans="1:22" hidden="1">
      <c r="A252">
        <v>1869</v>
      </c>
      <c r="B252">
        <v>1917</v>
      </c>
      <c r="C252">
        <v>469</v>
      </c>
      <c r="D252">
        <v>5998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 t="s">
        <v>20</v>
      </c>
      <c r="L252" s="1">
        <v>43677</v>
      </c>
      <c r="M252">
        <v>331</v>
      </c>
      <c r="N252">
        <v>2</v>
      </c>
      <c r="O252">
        <v>244</v>
      </c>
      <c r="P252">
        <v>244</v>
      </c>
      <c r="Q252">
        <v>244</v>
      </c>
      <c r="S252">
        <v>575</v>
      </c>
      <c r="T252">
        <v>575</v>
      </c>
      <c r="U252">
        <f>+SUM(Table1[[#This Row],[Latinos]:[Cemex]])</f>
        <v>1</v>
      </c>
      <c r="V252" t="str">
        <f>+Table1[[#This Row],[id_destino]]&amp;" - "&amp;Table1[[#This Row],[id_origen]]</f>
        <v>331 - 2</v>
      </c>
    </row>
    <row r="253" spans="1:22" hidden="1">
      <c r="A253">
        <v>1707</v>
      </c>
      <c r="B253">
        <v>1979</v>
      </c>
      <c r="C253">
        <v>469</v>
      </c>
      <c r="D253">
        <v>3336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 t="s">
        <v>20</v>
      </c>
      <c r="L253" s="1">
        <v>43570</v>
      </c>
      <c r="M253">
        <v>337</v>
      </c>
      <c r="N253">
        <v>2</v>
      </c>
      <c r="O253">
        <v>956</v>
      </c>
      <c r="P253">
        <v>940</v>
      </c>
      <c r="Q253">
        <v>956</v>
      </c>
      <c r="S253">
        <v>977</v>
      </c>
      <c r="T253">
        <v>977</v>
      </c>
      <c r="U253">
        <f>+SUM(Table1[[#This Row],[Latinos]:[Cemex]])</f>
        <v>1</v>
      </c>
      <c r="V253" t="str">
        <f>+Table1[[#This Row],[id_destino]]&amp;" - "&amp;Table1[[#This Row],[id_origen]]</f>
        <v>337 - 2</v>
      </c>
    </row>
    <row r="254" spans="1:22" hidden="1">
      <c r="A254">
        <v>717</v>
      </c>
      <c r="B254">
        <v>782</v>
      </c>
      <c r="C254">
        <v>469</v>
      </c>
      <c r="D254">
        <v>5378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 t="s">
        <v>20</v>
      </c>
      <c r="L254" s="1">
        <v>43140</v>
      </c>
      <c r="M254">
        <v>345</v>
      </c>
      <c r="N254">
        <v>2</v>
      </c>
      <c r="O254">
        <v>89</v>
      </c>
      <c r="P254">
        <v>150</v>
      </c>
      <c r="Q254">
        <v>89</v>
      </c>
      <c r="S254">
        <v>259</v>
      </c>
      <c r="T254">
        <v>343</v>
      </c>
      <c r="U254">
        <f>+SUM(Table1[[#This Row],[Latinos]:[Cemex]])</f>
        <v>1</v>
      </c>
      <c r="V254" t="str">
        <f>+Table1[[#This Row],[id_destino]]&amp;" - "&amp;Table1[[#This Row],[id_origen]]</f>
        <v>345 - 2</v>
      </c>
    </row>
    <row r="255" spans="1:22" hidden="1">
      <c r="A255">
        <v>1542</v>
      </c>
      <c r="B255">
        <v>782</v>
      </c>
      <c r="C255">
        <v>469</v>
      </c>
      <c r="D255">
        <v>5378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 t="s">
        <v>20</v>
      </c>
      <c r="L255" s="1">
        <v>45164</v>
      </c>
      <c r="M255">
        <v>345</v>
      </c>
      <c r="N255">
        <v>2</v>
      </c>
      <c r="O255">
        <v>101</v>
      </c>
      <c r="P255">
        <v>150</v>
      </c>
      <c r="Q255">
        <v>101</v>
      </c>
      <c r="S255">
        <v>246</v>
      </c>
      <c r="T255">
        <v>315</v>
      </c>
      <c r="U255">
        <f>+SUM(Table1[[#This Row],[Latinos]:[Cemex]])</f>
        <v>1</v>
      </c>
      <c r="V255" t="str">
        <f>+Table1[[#This Row],[id_destino]]&amp;" - "&amp;Table1[[#This Row],[id_origen]]</f>
        <v>345 - 2</v>
      </c>
    </row>
    <row r="256" spans="1:22" hidden="1">
      <c r="A256">
        <v>4670</v>
      </c>
      <c r="B256">
        <v>874</v>
      </c>
      <c r="C256">
        <v>469</v>
      </c>
      <c r="D256">
        <v>4145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 t="s">
        <v>20</v>
      </c>
      <c r="L256" s="1">
        <v>45716</v>
      </c>
      <c r="M256">
        <v>353</v>
      </c>
      <c r="N256">
        <v>2</v>
      </c>
      <c r="O256">
        <v>165</v>
      </c>
      <c r="P256">
        <v>165</v>
      </c>
      <c r="Q256">
        <v>165</v>
      </c>
      <c r="S256">
        <v>379</v>
      </c>
      <c r="T256">
        <v>379</v>
      </c>
      <c r="U256">
        <f>+SUM(Table1[[#This Row],[Latinos]:[Cemex]])</f>
        <v>1</v>
      </c>
      <c r="V256" t="str">
        <f>+Table1[[#This Row],[id_destino]]&amp;" - "&amp;Table1[[#This Row],[id_origen]]</f>
        <v>353 - 2</v>
      </c>
    </row>
    <row r="257" spans="1:22" hidden="1">
      <c r="A257">
        <v>1236</v>
      </c>
      <c r="B257">
        <v>2648</v>
      </c>
      <c r="C257">
        <v>4752</v>
      </c>
      <c r="D257">
        <v>5682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 t="s">
        <v>20</v>
      </c>
      <c r="L257" s="1">
        <v>43349</v>
      </c>
      <c r="M257">
        <v>359</v>
      </c>
      <c r="N257">
        <v>2</v>
      </c>
      <c r="O257">
        <v>116</v>
      </c>
      <c r="P257">
        <v>150</v>
      </c>
      <c r="Q257">
        <v>116</v>
      </c>
      <c r="S257">
        <v>188</v>
      </c>
      <c r="T257">
        <v>188</v>
      </c>
      <c r="U257">
        <f>+SUM(Table1[[#This Row],[Latinos]:[Cemex]])</f>
        <v>1</v>
      </c>
      <c r="V257" t="str">
        <f>+Table1[[#This Row],[id_destino]]&amp;" - "&amp;Table1[[#This Row],[id_origen]]</f>
        <v>359 - 2</v>
      </c>
    </row>
    <row r="258" spans="1:22" hidden="1">
      <c r="A258">
        <v>1639</v>
      </c>
      <c r="B258">
        <v>2648</v>
      </c>
      <c r="C258">
        <v>469</v>
      </c>
      <c r="D258">
        <v>5856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 t="s">
        <v>20</v>
      </c>
      <c r="L258" s="1">
        <v>43546</v>
      </c>
      <c r="M258">
        <v>359</v>
      </c>
      <c r="N258">
        <v>2</v>
      </c>
      <c r="O258">
        <v>115</v>
      </c>
      <c r="P258">
        <v>150</v>
      </c>
      <c r="Q258">
        <v>115</v>
      </c>
      <c r="S258">
        <v>191</v>
      </c>
      <c r="T258">
        <v>261</v>
      </c>
      <c r="U258">
        <f>+SUM(Table1[[#This Row],[Latinos]:[Cemex]])</f>
        <v>1</v>
      </c>
      <c r="V258" t="str">
        <f>+Table1[[#This Row],[id_destino]]&amp;" - "&amp;Table1[[#This Row],[id_origen]]</f>
        <v>359 - 2</v>
      </c>
    </row>
    <row r="259" spans="1:22" hidden="1">
      <c r="A259">
        <v>4536</v>
      </c>
      <c r="B259">
        <v>772</v>
      </c>
      <c r="C259">
        <v>4752</v>
      </c>
      <c r="D259">
        <v>8005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 t="s">
        <v>20</v>
      </c>
      <c r="L259" s="1">
        <v>45605</v>
      </c>
      <c r="M259">
        <v>360</v>
      </c>
      <c r="N259">
        <v>2</v>
      </c>
      <c r="O259">
        <v>562</v>
      </c>
      <c r="P259">
        <v>562</v>
      </c>
      <c r="Q259">
        <v>562</v>
      </c>
      <c r="S259">
        <v>2442</v>
      </c>
      <c r="T259">
        <v>2442</v>
      </c>
      <c r="U259">
        <f>+SUM(Table1[[#This Row],[Latinos]:[Cemex]])</f>
        <v>1</v>
      </c>
      <c r="V259" t="str">
        <f>+Table1[[#This Row],[id_destino]]&amp;" - "&amp;Table1[[#This Row],[id_origen]]</f>
        <v>360 - 2</v>
      </c>
    </row>
    <row r="260" spans="1:22" hidden="1">
      <c r="A260">
        <v>4726</v>
      </c>
      <c r="B260">
        <v>772</v>
      </c>
      <c r="C260">
        <v>469</v>
      </c>
      <c r="D260">
        <v>8207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 t="s">
        <v>20</v>
      </c>
      <c r="L260" s="1">
        <v>45762</v>
      </c>
      <c r="M260">
        <v>360</v>
      </c>
      <c r="N260">
        <v>2</v>
      </c>
      <c r="O260">
        <v>569</v>
      </c>
      <c r="P260">
        <v>566</v>
      </c>
      <c r="Q260">
        <v>569</v>
      </c>
      <c r="S260">
        <v>2558</v>
      </c>
      <c r="T260">
        <v>2558</v>
      </c>
      <c r="U260">
        <f>+SUM(Table1[[#This Row],[Latinos]:[Cemex]])</f>
        <v>1</v>
      </c>
      <c r="V260" t="str">
        <f>+Table1[[#This Row],[id_destino]]&amp;" - "&amp;Table1[[#This Row],[id_origen]]</f>
        <v>360 - 2</v>
      </c>
    </row>
    <row r="261" spans="1:22" hidden="1">
      <c r="A261">
        <v>17</v>
      </c>
      <c r="B261">
        <v>1565</v>
      </c>
      <c r="C261">
        <v>469</v>
      </c>
      <c r="D261">
        <v>9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 t="s">
        <v>20</v>
      </c>
      <c r="L261" s="1">
        <v>42983</v>
      </c>
      <c r="M261">
        <v>384</v>
      </c>
      <c r="N261">
        <v>2</v>
      </c>
      <c r="O261">
        <v>236</v>
      </c>
      <c r="P261">
        <v>240</v>
      </c>
      <c r="Q261">
        <v>244</v>
      </c>
      <c r="S261">
        <v>732</v>
      </c>
      <c r="T261">
        <v>732</v>
      </c>
      <c r="U261">
        <f>+SUM(Table1[[#This Row],[Latinos]:[Cemex]])</f>
        <v>1</v>
      </c>
      <c r="V261" t="str">
        <f>+Table1[[#This Row],[id_destino]]&amp;" - "&amp;Table1[[#This Row],[id_origen]]</f>
        <v>384 - 2</v>
      </c>
    </row>
    <row r="262" spans="1:22" hidden="1">
      <c r="A262">
        <v>2373</v>
      </c>
      <c r="B262">
        <v>3304</v>
      </c>
      <c r="C262">
        <v>469</v>
      </c>
      <c r="D262">
        <v>6293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 t="s">
        <v>20</v>
      </c>
      <c r="L262" s="1">
        <v>43999</v>
      </c>
      <c r="M262">
        <v>385</v>
      </c>
      <c r="N262">
        <v>2</v>
      </c>
      <c r="O262">
        <v>10</v>
      </c>
      <c r="P262">
        <v>150</v>
      </c>
      <c r="Q262">
        <v>10</v>
      </c>
      <c r="S262">
        <v>0</v>
      </c>
      <c r="T262">
        <v>0</v>
      </c>
      <c r="U262">
        <f>+SUM(Table1[[#This Row],[Latinos]:[Cemex]])</f>
        <v>1</v>
      </c>
      <c r="V262" t="str">
        <f>+Table1[[#This Row],[id_destino]]&amp;" - "&amp;Table1[[#This Row],[id_origen]]</f>
        <v>385 - 2</v>
      </c>
    </row>
    <row r="263" spans="1:22" hidden="1">
      <c r="A263">
        <v>3705</v>
      </c>
      <c r="B263">
        <v>3304</v>
      </c>
      <c r="C263">
        <v>469</v>
      </c>
      <c r="D263">
        <v>7324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 t="s">
        <v>20</v>
      </c>
      <c r="L263" s="1">
        <v>45040</v>
      </c>
      <c r="M263">
        <v>385</v>
      </c>
      <c r="N263">
        <v>2</v>
      </c>
      <c r="O263">
        <v>7</v>
      </c>
      <c r="P263">
        <v>150</v>
      </c>
      <c r="Q263">
        <v>7</v>
      </c>
      <c r="S263">
        <v>0</v>
      </c>
      <c r="T263">
        <v>0</v>
      </c>
      <c r="U263">
        <f>+SUM(Table1[[#This Row],[Latinos]:[Cemex]])</f>
        <v>1</v>
      </c>
      <c r="V263" t="str">
        <f>+Table1[[#This Row],[id_destino]]&amp;" - "&amp;Table1[[#This Row],[id_origen]]</f>
        <v>385 - 2</v>
      </c>
    </row>
    <row r="264" spans="1:22" hidden="1">
      <c r="A264">
        <v>2343</v>
      </c>
      <c r="B264">
        <v>3286</v>
      </c>
      <c r="C264">
        <v>469</v>
      </c>
      <c r="D264">
        <v>2377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 t="s">
        <v>20</v>
      </c>
      <c r="L264" s="1">
        <v>43959</v>
      </c>
      <c r="M264">
        <v>424</v>
      </c>
      <c r="N264">
        <v>2</v>
      </c>
      <c r="O264">
        <v>142</v>
      </c>
      <c r="P264">
        <v>130</v>
      </c>
      <c r="Q264">
        <v>142</v>
      </c>
      <c r="S264">
        <v>438</v>
      </c>
      <c r="T264">
        <v>438</v>
      </c>
      <c r="U264">
        <f>+SUM(Table1[[#This Row],[Latinos]:[Cemex]])</f>
        <v>1</v>
      </c>
      <c r="V264" t="str">
        <f>+Table1[[#This Row],[id_destino]]&amp;" - "&amp;Table1[[#This Row],[id_origen]]</f>
        <v>424 - 2</v>
      </c>
    </row>
    <row r="265" spans="1:22" hidden="1">
      <c r="A265">
        <v>3238</v>
      </c>
      <c r="B265">
        <v>3286</v>
      </c>
      <c r="C265">
        <v>469</v>
      </c>
      <c r="D265">
        <v>6999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 t="s">
        <v>20</v>
      </c>
      <c r="L265" s="1">
        <v>44793</v>
      </c>
      <c r="M265">
        <v>424</v>
      </c>
      <c r="N265">
        <v>2</v>
      </c>
      <c r="O265">
        <v>142</v>
      </c>
      <c r="P265">
        <v>150</v>
      </c>
      <c r="Q265">
        <v>142</v>
      </c>
      <c r="S265">
        <v>448</v>
      </c>
      <c r="T265">
        <v>448</v>
      </c>
      <c r="U265">
        <f>+SUM(Table1[[#This Row],[Latinos]:[Cemex]])</f>
        <v>1</v>
      </c>
      <c r="V265" t="str">
        <f>+Table1[[#This Row],[id_destino]]&amp;" - "&amp;Table1[[#This Row],[id_origen]]</f>
        <v>424 - 2</v>
      </c>
    </row>
    <row r="266" spans="1:22" hidden="1">
      <c r="A266">
        <v>3709</v>
      </c>
      <c r="B266">
        <v>1911</v>
      </c>
      <c r="C266">
        <v>469</v>
      </c>
      <c r="D266">
        <v>829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 t="s">
        <v>20</v>
      </c>
      <c r="L266" s="1">
        <v>45042</v>
      </c>
      <c r="M266">
        <v>425</v>
      </c>
      <c r="N266">
        <v>2</v>
      </c>
      <c r="O266">
        <v>124</v>
      </c>
      <c r="P266">
        <v>150</v>
      </c>
      <c r="Q266">
        <v>124</v>
      </c>
      <c r="S266">
        <v>198</v>
      </c>
      <c r="T266">
        <v>272</v>
      </c>
      <c r="U266">
        <f>+SUM(Table1[[#This Row],[Latinos]:[Cemex]])</f>
        <v>1</v>
      </c>
      <c r="V266" t="str">
        <f>+Table1[[#This Row],[id_destino]]&amp;" - "&amp;Table1[[#This Row],[id_origen]]</f>
        <v>425 - 2</v>
      </c>
    </row>
    <row r="267" spans="1:22" hidden="1">
      <c r="A267">
        <v>2521</v>
      </c>
      <c r="B267">
        <v>3394</v>
      </c>
      <c r="C267">
        <v>469</v>
      </c>
      <c r="D267">
        <v>6456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 t="s">
        <v>20</v>
      </c>
      <c r="L267" s="1">
        <v>44148</v>
      </c>
      <c r="M267">
        <v>462</v>
      </c>
      <c r="N267">
        <v>2</v>
      </c>
      <c r="O267">
        <v>163</v>
      </c>
      <c r="P267">
        <v>157</v>
      </c>
      <c r="Q267">
        <v>163</v>
      </c>
      <c r="S267">
        <v>468</v>
      </c>
      <c r="T267">
        <v>542</v>
      </c>
      <c r="U267">
        <f>+SUM(Table1[[#This Row],[Latinos]:[Cemex]])</f>
        <v>1</v>
      </c>
      <c r="V267" t="str">
        <f>+Table1[[#This Row],[id_destino]]&amp;" - "&amp;Table1[[#This Row],[id_origen]]</f>
        <v>462 - 2</v>
      </c>
    </row>
    <row r="268" spans="1:22" hidden="1">
      <c r="A268">
        <v>4086</v>
      </c>
      <c r="B268">
        <v>4411</v>
      </c>
      <c r="C268">
        <v>469</v>
      </c>
      <c r="D268">
        <v>7597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 t="s">
        <v>20</v>
      </c>
      <c r="L268" s="1">
        <v>45274</v>
      </c>
      <c r="M268">
        <v>464</v>
      </c>
      <c r="N268">
        <v>2</v>
      </c>
      <c r="O268">
        <v>186</v>
      </c>
      <c r="P268">
        <v>208</v>
      </c>
      <c r="Q268">
        <v>186</v>
      </c>
      <c r="S268">
        <v>50</v>
      </c>
      <c r="T268">
        <v>50</v>
      </c>
      <c r="U268">
        <f>+SUM(Table1[[#This Row],[Latinos]:[Cemex]])</f>
        <v>1</v>
      </c>
      <c r="V268" t="str">
        <f>+Table1[[#This Row],[id_destino]]&amp;" - "&amp;Table1[[#This Row],[id_origen]]</f>
        <v>464 - 2</v>
      </c>
    </row>
    <row r="269" spans="1:22" hidden="1">
      <c r="A269">
        <v>1606</v>
      </c>
      <c r="B269">
        <v>1384</v>
      </c>
      <c r="C269">
        <v>469</v>
      </c>
      <c r="D269">
        <v>3653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 t="s">
        <v>20</v>
      </c>
      <c r="L269" s="1">
        <v>43682</v>
      </c>
      <c r="M269">
        <v>473</v>
      </c>
      <c r="N269">
        <v>2</v>
      </c>
      <c r="O269">
        <v>96</v>
      </c>
      <c r="P269">
        <v>150</v>
      </c>
      <c r="Q269">
        <v>96</v>
      </c>
      <c r="S269">
        <v>188</v>
      </c>
      <c r="T269">
        <v>0</v>
      </c>
      <c r="U269">
        <f>+SUM(Table1[[#This Row],[Latinos]:[Cemex]])</f>
        <v>1</v>
      </c>
      <c r="V269" t="str">
        <f>+Table1[[#This Row],[id_destino]]&amp;" - "&amp;Table1[[#This Row],[id_origen]]</f>
        <v>473 - 2</v>
      </c>
    </row>
    <row r="270" spans="1:22" hidden="1">
      <c r="A270">
        <v>2489</v>
      </c>
      <c r="B270">
        <v>3376</v>
      </c>
      <c r="C270">
        <v>469</v>
      </c>
      <c r="D270">
        <v>6438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 t="s">
        <v>20</v>
      </c>
      <c r="L270" s="1">
        <v>44123</v>
      </c>
      <c r="M270">
        <v>492</v>
      </c>
      <c r="N270">
        <v>2</v>
      </c>
      <c r="O270">
        <v>242</v>
      </c>
      <c r="P270">
        <v>254</v>
      </c>
      <c r="Q270">
        <v>242</v>
      </c>
      <c r="S270">
        <v>633</v>
      </c>
      <c r="T270">
        <v>638</v>
      </c>
      <c r="U270">
        <f>+SUM(Table1[[#This Row],[Latinos]:[Cemex]])</f>
        <v>1</v>
      </c>
      <c r="V270" t="str">
        <f>+Table1[[#This Row],[id_destino]]&amp;" - "&amp;Table1[[#This Row],[id_origen]]</f>
        <v>492 - 2</v>
      </c>
    </row>
    <row r="271" spans="1:22" hidden="1">
      <c r="A271">
        <v>4428</v>
      </c>
      <c r="B271">
        <v>3376</v>
      </c>
      <c r="C271">
        <v>469</v>
      </c>
      <c r="D271">
        <v>7894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 t="s">
        <v>20</v>
      </c>
      <c r="L271" s="1">
        <v>45534</v>
      </c>
      <c r="M271">
        <v>492</v>
      </c>
      <c r="N271">
        <v>2</v>
      </c>
      <c r="O271">
        <v>253</v>
      </c>
      <c r="P271">
        <v>237</v>
      </c>
      <c r="Q271">
        <v>253</v>
      </c>
      <c r="S271">
        <v>743</v>
      </c>
      <c r="T271">
        <v>749</v>
      </c>
      <c r="U271">
        <f>+SUM(Table1[[#This Row],[Latinos]:[Cemex]])</f>
        <v>1</v>
      </c>
      <c r="V271" t="str">
        <f>+Table1[[#This Row],[id_destino]]&amp;" - "&amp;Table1[[#This Row],[id_origen]]</f>
        <v>492 - 2</v>
      </c>
    </row>
    <row r="272" spans="1:22" hidden="1">
      <c r="A272">
        <v>3984</v>
      </c>
      <c r="B272">
        <v>4336</v>
      </c>
      <c r="C272">
        <v>469</v>
      </c>
      <c r="D272">
        <v>3233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 t="s">
        <v>20</v>
      </c>
      <c r="L272" s="1">
        <v>45216</v>
      </c>
      <c r="M272">
        <v>505</v>
      </c>
      <c r="N272">
        <v>2</v>
      </c>
      <c r="O272">
        <v>405</v>
      </c>
      <c r="P272">
        <v>398</v>
      </c>
      <c r="Q272">
        <v>405</v>
      </c>
      <c r="S272">
        <v>1707</v>
      </c>
      <c r="T272">
        <v>1707</v>
      </c>
      <c r="U272">
        <f>+SUM(Table1[[#This Row],[Latinos]:[Cemex]])</f>
        <v>1</v>
      </c>
      <c r="V272" t="str">
        <f>+Table1[[#This Row],[id_destino]]&amp;" - "&amp;Table1[[#This Row],[id_origen]]</f>
        <v>505 - 2</v>
      </c>
    </row>
    <row r="273" spans="1:22" hidden="1">
      <c r="A273">
        <v>1635</v>
      </c>
      <c r="B273">
        <v>1883</v>
      </c>
      <c r="C273">
        <v>469</v>
      </c>
      <c r="D273">
        <v>5854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 t="s">
        <v>20</v>
      </c>
      <c r="L273" s="1">
        <v>43544</v>
      </c>
      <c r="M273">
        <v>506</v>
      </c>
      <c r="N273">
        <v>2</v>
      </c>
      <c r="O273">
        <v>166</v>
      </c>
      <c r="P273">
        <v>168</v>
      </c>
      <c r="Q273">
        <v>166</v>
      </c>
      <c r="S273">
        <v>474</v>
      </c>
      <c r="T273">
        <v>596</v>
      </c>
      <c r="U273">
        <f>+SUM(Table1[[#This Row],[Latinos]:[Cemex]])</f>
        <v>1</v>
      </c>
      <c r="V273" t="str">
        <f>+Table1[[#This Row],[id_destino]]&amp;" - "&amp;Table1[[#This Row],[id_origen]]</f>
        <v>506 - 2</v>
      </c>
    </row>
    <row r="274" spans="1:22" hidden="1">
      <c r="A274">
        <v>2465</v>
      </c>
      <c r="B274">
        <v>1169</v>
      </c>
      <c r="C274">
        <v>469</v>
      </c>
      <c r="D274">
        <v>6414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 t="s">
        <v>20</v>
      </c>
      <c r="L274" s="1">
        <v>44091</v>
      </c>
      <c r="M274">
        <v>525</v>
      </c>
      <c r="N274">
        <v>2</v>
      </c>
      <c r="O274">
        <v>126</v>
      </c>
      <c r="P274">
        <v>126</v>
      </c>
      <c r="Q274">
        <v>126</v>
      </c>
      <c r="S274">
        <v>351</v>
      </c>
      <c r="T274">
        <v>425</v>
      </c>
      <c r="U274">
        <f>+SUM(Table1[[#This Row],[Latinos]:[Cemex]])</f>
        <v>1</v>
      </c>
      <c r="V274" t="str">
        <f>+Table1[[#This Row],[id_destino]]&amp;" - "&amp;Table1[[#This Row],[id_origen]]</f>
        <v>525 - 2</v>
      </c>
    </row>
    <row r="275" spans="1:22" hidden="1">
      <c r="A275">
        <v>4183</v>
      </c>
      <c r="B275">
        <v>1169</v>
      </c>
      <c r="C275">
        <v>469</v>
      </c>
      <c r="D275">
        <v>7670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 t="s">
        <v>20</v>
      </c>
      <c r="L275" s="1">
        <v>45344</v>
      </c>
      <c r="M275">
        <v>525</v>
      </c>
      <c r="N275">
        <v>2</v>
      </c>
      <c r="O275">
        <v>110</v>
      </c>
      <c r="P275">
        <v>150</v>
      </c>
      <c r="Q275">
        <v>110</v>
      </c>
      <c r="S275">
        <v>259</v>
      </c>
      <c r="T275">
        <v>343</v>
      </c>
      <c r="U275">
        <f>+SUM(Table1[[#This Row],[Latinos]:[Cemex]])</f>
        <v>1</v>
      </c>
      <c r="V275" t="str">
        <f>+Table1[[#This Row],[id_destino]]&amp;" - "&amp;Table1[[#This Row],[id_origen]]</f>
        <v>525 - 2</v>
      </c>
    </row>
    <row r="276" spans="1:22" hidden="1">
      <c r="A276">
        <v>778</v>
      </c>
      <c r="B276">
        <v>306</v>
      </c>
      <c r="C276">
        <v>469</v>
      </c>
      <c r="D276">
        <v>2819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 t="s">
        <v>20</v>
      </c>
      <c r="L276" s="1">
        <v>43162</v>
      </c>
      <c r="M276">
        <v>529</v>
      </c>
      <c r="N276">
        <v>2</v>
      </c>
      <c r="O276">
        <v>140</v>
      </c>
      <c r="P276">
        <v>150</v>
      </c>
      <c r="Q276">
        <v>140</v>
      </c>
      <c r="S276">
        <v>256</v>
      </c>
      <c r="T276">
        <v>315</v>
      </c>
      <c r="U276">
        <f>+SUM(Table1[[#This Row],[Latinos]:[Cemex]])</f>
        <v>1</v>
      </c>
      <c r="V276" t="str">
        <f>+Table1[[#This Row],[id_destino]]&amp;" - "&amp;Table1[[#This Row],[id_origen]]</f>
        <v>529 - 2</v>
      </c>
    </row>
    <row r="277" spans="1:22" hidden="1">
      <c r="A277">
        <v>4126</v>
      </c>
      <c r="B277">
        <v>4433</v>
      </c>
      <c r="C277">
        <v>469</v>
      </c>
      <c r="D277">
        <v>6231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 t="s">
        <v>20</v>
      </c>
      <c r="L277" s="1">
        <v>45307</v>
      </c>
      <c r="M277">
        <v>539</v>
      </c>
      <c r="N277">
        <v>2</v>
      </c>
      <c r="O277">
        <v>115</v>
      </c>
      <c r="P277">
        <v>150</v>
      </c>
      <c r="Q277">
        <v>115</v>
      </c>
      <c r="S277">
        <v>325</v>
      </c>
      <c r="T277">
        <v>325</v>
      </c>
      <c r="U277">
        <f>+SUM(Table1[[#This Row],[Latinos]:[Cemex]])</f>
        <v>1</v>
      </c>
      <c r="V277" t="str">
        <f>+Table1[[#This Row],[id_destino]]&amp;" - "&amp;Table1[[#This Row],[id_origen]]</f>
        <v>539 - 2</v>
      </c>
    </row>
    <row r="278" spans="1:22" hidden="1">
      <c r="A278">
        <v>273</v>
      </c>
      <c r="B278">
        <v>2254</v>
      </c>
      <c r="C278">
        <v>3097</v>
      </c>
      <c r="D278">
        <v>5315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 t="s">
        <v>20</v>
      </c>
      <c r="L278" s="1">
        <v>43028</v>
      </c>
      <c r="M278">
        <v>543</v>
      </c>
      <c r="N278">
        <v>2</v>
      </c>
      <c r="O278">
        <v>85</v>
      </c>
      <c r="P278">
        <v>100</v>
      </c>
      <c r="Q278">
        <v>85</v>
      </c>
      <c r="S278">
        <v>0</v>
      </c>
      <c r="T278">
        <v>0</v>
      </c>
      <c r="U278">
        <f>+SUM(Table1[[#This Row],[Latinos]:[Cemex]])</f>
        <v>1</v>
      </c>
      <c r="V278" t="str">
        <f>+Table1[[#This Row],[id_destino]]&amp;" - "&amp;Table1[[#This Row],[id_origen]]</f>
        <v>543 - 2</v>
      </c>
    </row>
    <row r="279" spans="1:22" hidden="1">
      <c r="A279">
        <v>2962</v>
      </c>
      <c r="B279">
        <v>3684</v>
      </c>
      <c r="C279">
        <v>469</v>
      </c>
      <c r="D279">
        <v>6825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 t="s">
        <v>20</v>
      </c>
      <c r="L279" s="1">
        <v>44649</v>
      </c>
      <c r="M279">
        <v>544</v>
      </c>
      <c r="N279">
        <v>2</v>
      </c>
      <c r="O279">
        <v>977</v>
      </c>
      <c r="P279">
        <v>982</v>
      </c>
      <c r="Q279">
        <v>977</v>
      </c>
      <c r="S279">
        <v>1933</v>
      </c>
      <c r="T279">
        <v>1933</v>
      </c>
      <c r="U279">
        <f>+SUM(Table1[[#This Row],[Latinos]:[Cemex]])</f>
        <v>1</v>
      </c>
      <c r="V279" t="str">
        <f>+Table1[[#This Row],[id_destino]]&amp;" - "&amp;Table1[[#This Row],[id_origen]]</f>
        <v>544 - 2</v>
      </c>
    </row>
    <row r="280" spans="1:22" hidden="1">
      <c r="A280">
        <v>2647</v>
      </c>
      <c r="B280">
        <v>1636</v>
      </c>
      <c r="C280">
        <v>469</v>
      </c>
      <c r="D280">
        <v>6556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 t="s">
        <v>20</v>
      </c>
      <c r="L280" s="1">
        <v>44284</v>
      </c>
      <c r="M280">
        <v>559</v>
      </c>
      <c r="N280">
        <v>2</v>
      </c>
      <c r="O280">
        <v>115</v>
      </c>
      <c r="P280">
        <v>150</v>
      </c>
      <c r="Q280">
        <v>115</v>
      </c>
      <c r="S280">
        <v>198</v>
      </c>
      <c r="T280">
        <v>272</v>
      </c>
      <c r="U280">
        <f>+SUM(Table1[[#This Row],[Latinos]:[Cemex]])</f>
        <v>1</v>
      </c>
      <c r="V280" t="str">
        <f>+Table1[[#This Row],[id_destino]]&amp;" - "&amp;Table1[[#This Row],[id_origen]]</f>
        <v>559 - 2</v>
      </c>
    </row>
    <row r="281" spans="1:22" hidden="1">
      <c r="A281">
        <v>3081</v>
      </c>
      <c r="B281">
        <v>3759</v>
      </c>
      <c r="C281">
        <v>469</v>
      </c>
      <c r="D281">
        <v>4542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 t="s">
        <v>20</v>
      </c>
      <c r="L281" s="1">
        <v>44716</v>
      </c>
      <c r="M281">
        <v>570</v>
      </c>
      <c r="N281">
        <v>2</v>
      </c>
      <c r="O281">
        <v>97</v>
      </c>
      <c r="P281">
        <v>150</v>
      </c>
      <c r="Q281">
        <v>97</v>
      </c>
      <c r="S281">
        <v>375</v>
      </c>
      <c r="T281">
        <v>375</v>
      </c>
      <c r="U281">
        <f>+SUM(Table1[[#This Row],[Latinos]:[Cemex]])</f>
        <v>1</v>
      </c>
      <c r="V281" t="str">
        <f>+Table1[[#This Row],[id_destino]]&amp;" - "&amp;Table1[[#This Row],[id_origen]]</f>
        <v>570 - 2</v>
      </c>
    </row>
    <row r="282" spans="1:22" hidden="1">
      <c r="A282">
        <v>3903</v>
      </c>
      <c r="B282">
        <v>4289</v>
      </c>
      <c r="C282">
        <v>469</v>
      </c>
      <c r="D282">
        <v>5813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 t="s">
        <v>20</v>
      </c>
      <c r="L282" s="1">
        <v>45173</v>
      </c>
      <c r="M282">
        <v>590</v>
      </c>
      <c r="N282">
        <v>2</v>
      </c>
      <c r="O282">
        <v>908</v>
      </c>
      <c r="P282">
        <v>900</v>
      </c>
      <c r="Q282">
        <v>908</v>
      </c>
      <c r="S282">
        <v>2220</v>
      </c>
      <c r="T282">
        <v>2220</v>
      </c>
      <c r="U282">
        <f>+SUM(Table1[[#This Row],[Latinos]:[Cemex]])</f>
        <v>1</v>
      </c>
      <c r="V282" t="str">
        <f>+Table1[[#This Row],[id_destino]]&amp;" - "&amp;Table1[[#This Row],[id_origen]]</f>
        <v>590 - 2</v>
      </c>
    </row>
    <row r="283" spans="1:22" hidden="1">
      <c r="A283">
        <v>428</v>
      </c>
      <c r="B283">
        <v>2147</v>
      </c>
      <c r="C283">
        <v>469</v>
      </c>
      <c r="D283">
        <v>5208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 t="s">
        <v>20</v>
      </c>
      <c r="L283" s="1">
        <v>45775</v>
      </c>
      <c r="M283">
        <v>591</v>
      </c>
      <c r="N283">
        <v>2</v>
      </c>
      <c r="O283">
        <v>69</v>
      </c>
      <c r="P283">
        <v>150</v>
      </c>
      <c r="Q283">
        <v>69</v>
      </c>
      <c r="S283">
        <v>511</v>
      </c>
      <c r="T283">
        <v>609</v>
      </c>
      <c r="U283">
        <f>+SUM(Table1[[#This Row],[Latinos]:[Cemex]])</f>
        <v>1</v>
      </c>
      <c r="V283" t="str">
        <f>+Table1[[#This Row],[id_destino]]&amp;" - "&amp;Table1[[#This Row],[id_origen]]</f>
        <v>591 - 2</v>
      </c>
    </row>
    <row r="284" spans="1:22" hidden="1">
      <c r="A284">
        <v>1744</v>
      </c>
      <c r="B284">
        <v>1768</v>
      </c>
      <c r="C284">
        <v>469</v>
      </c>
      <c r="D284">
        <v>601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 t="s">
        <v>20</v>
      </c>
      <c r="L284" s="1">
        <v>43596</v>
      </c>
      <c r="M284">
        <v>601</v>
      </c>
      <c r="N284">
        <v>2</v>
      </c>
      <c r="O284">
        <v>88</v>
      </c>
      <c r="P284">
        <v>150</v>
      </c>
      <c r="Q284">
        <v>88</v>
      </c>
      <c r="S284">
        <v>196</v>
      </c>
      <c r="T284">
        <v>269</v>
      </c>
      <c r="U284">
        <f>+SUM(Table1[[#This Row],[Latinos]:[Cemex]])</f>
        <v>1</v>
      </c>
      <c r="V284" t="str">
        <f>+Table1[[#This Row],[id_destino]]&amp;" - "&amp;Table1[[#This Row],[id_origen]]</f>
        <v>601 - 2</v>
      </c>
    </row>
    <row r="285" spans="1:22" hidden="1">
      <c r="A285">
        <v>86</v>
      </c>
      <c r="B285">
        <v>1556</v>
      </c>
      <c r="C285">
        <v>469</v>
      </c>
      <c r="D285">
        <v>4107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 t="s">
        <v>20</v>
      </c>
      <c r="L285" s="1">
        <v>42996</v>
      </c>
      <c r="M285">
        <v>602</v>
      </c>
      <c r="N285">
        <v>2</v>
      </c>
      <c r="O285">
        <v>101</v>
      </c>
      <c r="P285">
        <v>150</v>
      </c>
      <c r="Q285">
        <v>101</v>
      </c>
      <c r="S285">
        <v>402</v>
      </c>
      <c r="T285">
        <v>402</v>
      </c>
      <c r="U285">
        <f>+SUM(Table1[[#This Row],[Latinos]:[Cemex]])</f>
        <v>1</v>
      </c>
      <c r="V285" t="str">
        <f>+Table1[[#This Row],[id_destino]]&amp;" - "&amp;Table1[[#This Row],[id_origen]]</f>
        <v>602 - 2</v>
      </c>
    </row>
    <row r="286" spans="1:22" hidden="1">
      <c r="A286">
        <v>1378</v>
      </c>
      <c r="B286">
        <v>1556</v>
      </c>
      <c r="C286">
        <v>469</v>
      </c>
      <c r="D286">
        <v>4107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 t="s">
        <v>20</v>
      </c>
      <c r="L286" s="1">
        <v>43411</v>
      </c>
      <c r="M286">
        <v>602</v>
      </c>
      <c r="N286">
        <v>2</v>
      </c>
      <c r="O286">
        <v>101</v>
      </c>
      <c r="P286">
        <v>150</v>
      </c>
      <c r="Q286">
        <v>101</v>
      </c>
      <c r="S286">
        <v>310</v>
      </c>
      <c r="T286">
        <v>310</v>
      </c>
      <c r="U286">
        <f>+SUM(Table1[[#This Row],[Latinos]:[Cemex]])</f>
        <v>1</v>
      </c>
      <c r="V286" t="str">
        <f>+Table1[[#This Row],[id_destino]]&amp;" - "&amp;Table1[[#This Row],[id_origen]]</f>
        <v>602 - 2</v>
      </c>
    </row>
    <row r="287" spans="1:22" hidden="1">
      <c r="A287">
        <v>1645</v>
      </c>
      <c r="B287">
        <v>1556</v>
      </c>
      <c r="C287">
        <v>469</v>
      </c>
      <c r="D287">
        <v>64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20</v>
      </c>
      <c r="L287" s="1">
        <v>45308</v>
      </c>
      <c r="M287">
        <v>602</v>
      </c>
      <c r="N287">
        <v>2</v>
      </c>
      <c r="O287">
        <v>102</v>
      </c>
      <c r="P287">
        <v>150</v>
      </c>
      <c r="Q287">
        <v>102</v>
      </c>
      <c r="S287">
        <v>330</v>
      </c>
      <c r="T287">
        <v>330</v>
      </c>
      <c r="U287">
        <f>+SUM(Table1[[#This Row],[Latinos]:[Cemex]])</f>
        <v>1</v>
      </c>
      <c r="V287" t="str">
        <f>+Table1[[#This Row],[id_destino]]&amp;" - "&amp;Table1[[#This Row],[id_origen]]</f>
        <v>602 - 2</v>
      </c>
    </row>
    <row r="288" spans="1:22" hidden="1">
      <c r="A288">
        <v>4843</v>
      </c>
      <c r="B288">
        <v>4949</v>
      </c>
      <c r="C288">
        <v>469</v>
      </c>
      <c r="D288">
        <v>8294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 t="s">
        <v>20</v>
      </c>
      <c r="L288" s="1">
        <v>45887</v>
      </c>
      <c r="M288">
        <v>605</v>
      </c>
      <c r="N288">
        <v>2</v>
      </c>
      <c r="O288">
        <v>229</v>
      </c>
      <c r="P288">
        <v>229</v>
      </c>
      <c r="Q288">
        <v>229</v>
      </c>
      <c r="S288">
        <v>1234</v>
      </c>
      <c r="T288">
        <v>1234</v>
      </c>
      <c r="U288">
        <f>+SUM(Table1[[#This Row],[Latinos]:[Cemex]])</f>
        <v>1</v>
      </c>
      <c r="V288" t="str">
        <f>+Table1[[#This Row],[id_destino]]&amp;" - "&amp;Table1[[#This Row],[id_origen]]</f>
        <v>605 - 2</v>
      </c>
    </row>
    <row r="289" spans="1:22" hidden="1">
      <c r="A289">
        <v>2667</v>
      </c>
      <c r="B289">
        <v>3489</v>
      </c>
      <c r="C289">
        <v>469</v>
      </c>
      <c r="D289">
        <v>2361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 t="s">
        <v>20</v>
      </c>
      <c r="L289" s="1">
        <v>44328</v>
      </c>
      <c r="M289">
        <v>623</v>
      </c>
      <c r="N289">
        <v>2</v>
      </c>
      <c r="O289">
        <v>539</v>
      </c>
      <c r="P289">
        <v>513</v>
      </c>
      <c r="Q289">
        <v>539</v>
      </c>
      <c r="S289">
        <v>2082</v>
      </c>
      <c r="T289">
        <v>2082</v>
      </c>
      <c r="U289">
        <f>+SUM(Table1[[#This Row],[Latinos]:[Cemex]])</f>
        <v>1</v>
      </c>
      <c r="V289" t="str">
        <f>+Table1[[#This Row],[id_destino]]&amp;" - "&amp;Table1[[#This Row],[id_origen]]</f>
        <v>623 - 2</v>
      </c>
    </row>
    <row r="290" spans="1:22" hidden="1">
      <c r="A290">
        <v>1631</v>
      </c>
      <c r="B290">
        <v>2849</v>
      </c>
      <c r="C290">
        <v>469</v>
      </c>
      <c r="D290">
        <v>3558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 t="s">
        <v>20</v>
      </c>
      <c r="L290" s="1">
        <v>43540</v>
      </c>
      <c r="M290">
        <v>629</v>
      </c>
      <c r="N290">
        <v>2</v>
      </c>
      <c r="O290">
        <v>1005</v>
      </c>
      <c r="P290">
        <v>923</v>
      </c>
      <c r="Q290">
        <v>1005</v>
      </c>
      <c r="S290">
        <v>795</v>
      </c>
      <c r="T290">
        <v>795</v>
      </c>
      <c r="U290">
        <f>+SUM(Table1[[#This Row],[Latinos]:[Cemex]])</f>
        <v>1</v>
      </c>
      <c r="V290" t="str">
        <f>+Table1[[#This Row],[id_destino]]&amp;" - "&amp;Table1[[#This Row],[id_origen]]</f>
        <v>629 - 2</v>
      </c>
    </row>
    <row r="291" spans="1:22" hidden="1">
      <c r="A291">
        <v>2906</v>
      </c>
      <c r="B291">
        <v>3646</v>
      </c>
      <c r="C291">
        <v>469</v>
      </c>
      <c r="D291">
        <v>6785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 t="s">
        <v>20</v>
      </c>
      <c r="L291" s="1">
        <v>44604</v>
      </c>
      <c r="M291">
        <v>631</v>
      </c>
      <c r="N291">
        <v>2</v>
      </c>
      <c r="O291">
        <v>393</v>
      </c>
      <c r="P291">
        <v>390</v>
      </c>
      <c r="Q291">
        <v>393</v>
      </c>
      <c r="S291">
        <v>976</v>
      </c>
      <c r="T291">
        <v>976</v>
      </c>
      <c r="U291">
        <f>+SUM(Table1[[#This Row],[Latinos]:[Cemex]])</f>
        <v>1</v>
      </c>
      <c r="V291" t="str">
        <f>+Table1[[#This Row],[id_destino]]&amp;" - "&amp;Table1[[#This Row],[id_origen]]</f>
        <v>631 - 2</v>
      </c>
    </row>
    <row r="292" spans="1:22" hidden="1">
      <c r="A292">
        <v>2780</v>
      </c>
      <c r="B292">
        <v>3561</v>
      </c>
      <c r="C292">
        <v>469</v>
      </c>
      <c r="D292">
        <v>6634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 t="s">
        <v>20</v>
      </c>
      <c r="L292" s="1">
        <v>44438</v>
      </c>
      <c r="M292">
        <v>633</v>
      </c>
      <c r="N292">
        <v>2</v>
      </c>
      <c r="O292">
        <v>115</v>
      </c>
      <c r="P292">
        <v>150</v>
      </c>
      <c r="Q292">
        <v>115</v>
      </c>
      <c r="S292">
        <v>357</v>
      </c>
      <c r="T292">
        <v>357</v>
      </c>
      <c r="U292">
        <f>+SUM(Table1[[#This Row],[Latinos]:[Cemex]])</f>
        <v>1</v>
      </c>
      <c r="V292" t="str">
        <f>+Table1[[#This Row],[id_destino]]&amp;" - "&amp;Table1[[#This Row],[id_origen]]</f>
        <v>633 - 2</v>
      </c>
    </row>
    <row r="293" spans="1:22" hidden="1">
      <c r="A293">
        <v>513</v>
      </c>
      <c r="B293">
        <v>1538</v>
      </c>
      <c r="C293">
        <v>469</v>
      </c>
      <c r="D293">
        <v>4572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 t="s">
        <v>20</v>
      </c>
      <c r="L293" s="1">
        <v>43166</v>
      </c>
      <c r="M293">
        <v>640</v>
      </c>
      <c r="N293">
        <v>2</v>
      </c>
      <c r="O293">
        <v>896</v>
      </c>
      <c r="P293">
        <v>896</v>
      </c>
      <c r="Q293">
        <v>896</v>
      </c>
      <c r="S293">
        <v>1247</v>
      </c>
      <c r="T293">
        <v>1247</v>
      </c>
      <c r="U293">
        <f>+SUM(Table1[[#This Row],[Latinos]:[Cemex]])</f>
        <v>1</v>
      </c>
      <c r="V293" t="str">
        <f>+Table1[[#This Row],[id_destino]]&amp;" - "&amp;Table1[[#This Row],[id_origen]]</f>
        <v>640 - 2</v>
      </c>
    </row>
    <row r="294" spans="1:22" hidden="1">
      <c r="A294">
        <v>347</v>
      </c>
      <c r="B294">
        <v>1664</v>
      </c>
      <c r="C294">
        <v>469</v>
      </c>
      <c r="D294">
        <v>4753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 t="s">
        <v>20</v>
      </c>
      <c r="L294" s="1">
        <v>43042</v>
      </c>
      <c r="M294">
        <v>658</v>
      </c>
      <c r="N294">
        <v>2</v>
      </c>
      <c r="O294">
        <v>514</v>
      </c>
      <c r="P294">
        <v>514</v>
      </c>
      <c r="Q294">
        <v>514</v>
      </c>
      <c r="S294">
        <v>1076</v>
      </c>
      <c r="T294">
        <v>1143</v>
      </c>
      <c r="U294">
        <f>+SUM(Table1[[#This Row],[Latinos]:[Cemex]])</f>
        <v>1</v>
      </c>
      <c r="V294" t="str">
        <f>+Table1[[#This Row],[id_destino]]&amp;" - "&amp;Table1[[#This Row],[id_origen]]</f>
        <v>658 - 2</v>
      </c>
    </row>
    <row r="295" spans="1:22" hidden="1">
      <c r="A295">
        <v>4833</v>
      </c>
      <c r="B295">
        <v>4940</v>
      </c>
      <c r="C295">
        <v>469</v>
      </c>
      <c r="D295">
        <v>8287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 t="s">
        <v>20</v>
      </c>
      <c r="L295" s="1">
        <v>45876</v>
      </c>
      <c r="M295">
        <v>663</v>
      </c>
      <c r="N295">
        <v>2</v>
      </c>
      <c r="O295">
        <v>99</v>
      </c>
      <c r="P295">
        <v>150</v>
      </c>
      <c r="Q295">
        <v>99</v>
      </c>
      <c r="S295">
        <v>523</v>
      </c>
      <c r="T295">
        <v>557</v>
      </c>
      <c r="U295">
        <f>+SUM(Table1[[#This Row],[Latinos]:[Cemex]])</f>
        <v>1</v>
      </c>
      <c r="V295" t="str">
        <f>+Table1[[#This Row],[id_destino]]&amp;" - "&amp;Table1[[#This Row],[id_origen]]</f>
        <v>663 - 2</v>
      </c>
    </row>
    <row r="296" spans="1:22" hidden="1">
      <c r="A296">
        <v>535</v>
      </c>
      <c r="B296">
        <v>1800</v>
      </c>
      <c r="C296">
        <v>469</v>
      </c>
      <c r="D296">
        <v>72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 t="s">
        <v>20</v>
      </c>
      <c r="L296" s="1">
        <v>43091</v>
      </c>
      <c r="M296">
        <v>669</v>
      </c>
      <c r="N296">
        <v>2</v>
      </c>
      <c r="O296">
        <v>431</v>
      </c>
      <c r="P296">
        <v>431</v>
      </c>
      <c r="Q296">
        <v>431</v>
      </c>
      <c r="S296">
        <v>828</v>
      </c>
      <c r="T296">
        <v>828</v>
      </c>
      <c r="U296">
        <f>+SUM(Table1[[#This Row],[Latinos]:[Cemex]])</f>
        <v>1</v>
      </c>
      <c r="V296" t="str">
        <f>+Table1[[#This Row],[id_destino]]&amp;" - "&amp;Table1[[#This Row],[id_origen]]</f>
        <v>669 - 2</v>
      </c>
    </row>
    <row r="297" spans="1:22" hidden="1">
      <c r="A297">
        <v>1184</v>
      </c>
      <c r="B297">
        <v>1800</v>
      </c>
      <c r="C297">
        <v>469</v>
      </c>
      <c r="D297">
        <v>72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 t="s">
        <v>20</v>
      </c>
      <c r="L297" s="1">
        <v>43333</v>
      </c>
      <c r="M297">
        <v>669</v>
      </c>
      <c r="N297">
        <v>2</v>
      </c>
      <c r="O297">
        <v>431</v>
      </c>
      <c r="P297">
        <v>431</v>
      </c>
      <c r="Q297">
        <v>431</v>
      </c>
      <c r="S297">
        <v>616</v>
      </c>
      <c r="T297">
        <v>616</v>
      </c>
      <c r="U297">
        <f>+SUM(Table1[[#This Row],[Latinos]:[Cemex]])</f>
        <v>1</v>
      </c>
      <c r="V297" t="str">
        <f>+Table1[[#This Row],[id_destino]]&amp;" - "&amp;Table1[[#This Row],[id_origen]]</f>
        <v>669 - 2</v>
      </c>
    </row>
    <row r="298" spans="1:22" hidden="1">
      <c r="A298">
        <v>556</v>
      </c>
      <c r="B298">
        <v>2344</v>
      </c>
      <c r="C298">
        <v>469</v>
      </c>
      <c r="D298">
        <v>1548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 t="s">
        <v>20</v>
      </c>
      <c r="L298" s="1">
        <v>44606</v>
      </c>
      <c r="M298">
        <v>684</v>
      </c>
      <c r="N298">
        <v>2</v>
      </c>
      <c r="O298">
        <v>180</v>
      </c>
      <c r="P298">
        <v>162</v>
      </c>
      <c r="Q298">
        <v>180</v>
      </c>
      <c r="S298">
        <v>307</v>
      </c>
      <c r="T298">
        <v>312</v>
      </c>
      <c r="U298">
        <f>+SUM(Table1[[#This Row],[Latinos]:[Cemex]])</f>
        <v>1</v>
      </c>
      <c r="V298" t="str">
        <f>+Table1[[#This Row],[id_destino]]&amp;" - "&amp;Table1[[#This Row],[id_origen]]</f>
        <v>684 - 2</v>
      </c>
    </row>
    <row r="299" spans="1:22" hidden="1">
      <c r="A299">
        <v>673</v>
      </c>
      <c r="B299">
        <v>2344</v>
      </c>
      <c r="C299">
        <v>469</v>
      </c>
      <c r="D299">
        <v>3489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 t="s">
        <v>20</v>
      </c>
      <c r="L299" s="1">
        <v>43126</v>
      </c>
      <c r="M299">
        <v>684</v>
      </c>
      <c r="N299">
        <v>2</v>
      </c>
      <c r="O299">
        <v>180</v>
      </c>
      <c r="P299">
        <v>180</v>
      </c>
      <c r="Q299">
        <v>180</v>
      </c>
      <c r="S299">
        <v>335</v>
      </c>
      <c r="T299">
        <v>335</v>
      </c>
      <c r="U299">
        <f>+SUM(Table1[[#This Row],[Latinos]:[Cemex]])</f>
        <v>1</v>
      </c>
      <c r="V299" t="str">
        <f>+Table1[[#This Row],[id_destino]]&amp;" - "&amp;Table1[[#This Row],[id_origen]]</f>
        <v>684 - 2</v>
      </c>
    </row>
    <row r="300" spans="1:22" hidden="1">
      <c r="A300">
        <v>2345</v>
      </c>
      <c r="B300">
        <v>3288</v>
      </c>
      <c r="C300">
        <v>469</v>
      </c>
      <c r="D300">
        <v>2996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 t="s">
        <v>20</v>
      </c>
      <c r="L300" s="1">
        <v>43960</v>
      </c>
      <c r="M300">
        <v>685</v>
      </c>
      <c r="N300">
        <v>2</v>
      </c>
      <c r="O300">
        <v>113</v>
      </c>
      <c r="P300">
        <v>113</v>
      </c>
      <c r="Q300">
        <v>113</v>
      </c>
      <c r="S300">
        <v>438</v>
      </c>
      <c r="T300">
        <v>438</v>
      </c>
      <c r="U300">
        <f>+SUM(Table1[[#This Row],[Latinos]:[Cemex]])</f>
        <v>1</v>
      </c>
      <c r="V300" t="str">
        <f>+Table1[[#This Row],[id_destino]]&amp;" - "&amp;Table1[[#This Row],[id_origen]]</f>
        <v>685 - 2</v>
      </c>
    </row>
    <row r="301" spans="1:22" hidden="1">
      <c r="A301">
        <v>2832</v>
      </c>
      <c r="B301">
        <v>3288</v>
      </c>
      <c r="C301">
        <v>469</v>
      </c>
      <c r="D301">
        <v>6714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 t="s">
        <v>20</v>
      </c>
      <c r="L301" s="1">
        <v>44501</v>
      </c>
      <c r="M301">
        <v>685</v>
      </c>
      <c r="N301">
        <v>2</v>
      </c>
      <c r="O301">
        <v>113</v>
      </c>
      <c r="P301">
        <v>150</v>
      </c>
      <c r="Q301">
        <v>113</v>
      </c>
      <c r="S301">
        <v>448</v>
      </c>
      <c r="T301">
        <v>448</v>
      </c>
      <c r="U301">
        <f>+SUM(Table1[[#This Row],[Latinos]:[Cemex]])</f>
        <v>1</v>
      </c>
      <c r="V301" t="str">
        <f>+Table1[[#This Row],[id_destino]]&amp;" - "&amp;Table1[[#This Row],[id_origen]]</f>
        <v>685 - 2</v>
      </c>
    </row>
    <row r="302" spans="1:22" hidden="1">
      <c r="A302">
        <v>2853</v>
      </c>
      <c r="B302">
        <v>3609</v>
      </c>
      <c r="C302">
        <v>469</v>
      </c>
      <c r="D302">
        <v>6739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 t="s">
        <v>20</v>
      </c>
      <c r="L302" s="1">
        <v>44539</v>
      </c>
      <c r="M302">
        <v>688</v>
      </c>
      <c r="N302">
        <v>2</v>
      </c>
      <c r="O302">
        <v>97</v>
      </c>
      <c r="P302">
        <v>150</v>
      </c>
      <c r="Q302">
        <v>97</v>
      </c>
      <c r="S302">
        <v>240</v>
      </c>
      <c r="T302">
        <v>336</v>
      </c>
      <c r="U302">
        <f>+SUM(Table1[[#This Row],[Latinos]:[Cemex]])</f>
        <v>1</v>
      </c>
      <c r="V302" t="str">
        <f>+Table1[[#This Row],[id_destino]]&amp;" - "&amp;Table1[[#This Row],[id_origen]]</f>
        <v>688 - 2</v>
      </c>
    </row>
    <row r="303" spans="1:22" hidden="1">
      <c r="A303">
        <v>408</v>
      </c>
      <c r="B303">
        <v>2282</v>
      </c>
      <c r="C303">
        <v>469</v>
      </c>
      <c r="D303">
        <v>255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 t="s">
        <v>20</v>
      </c>
      <c r="L303" s="1">
        <v>43060</v>
      </c>
      <c r="M303">
        <v>714</v>
      </c>
      <c r="N303">
        <v>2</v>
      </c>
      <c r="O303">
        <v>95</v>
      </c>
      <c r="P303">
        <v>150</v>
      </c>
      <c r="Q303">
        <v>95</v>
      </c>
      <c r="S303">
        <v>259</v>
      </c>
      <c r="T303">
        <v>343</v>
      </c>
      <c r="U303">
        <f>+SUM(Table1[[#This Row],[Latinos]:[Cemex]])</f>
        <v>1</v>
      </c>
      <c r="V303" t="str">
        <f>+Table1[[#This Row],[id_destino]]&amp;" - "&amp;Table1[[#This Row],[id_origen]]</f>
        <v>714 - 2</v>
      </c>
    </row>
    <row r="304" spans="1:22" hidden="1">
      <c r="A304">
        <v>1519</v>
      </c>
      <c r="B304">
        <v>2282</v>
      </c>
      <c r="C304">
        <v>469</v>
      </c>
      <c r="D304">
        <v>255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 t="s">
        <v>20</v>
      </c>
      <c r="L304" s="1">
        <v>43484</v>
      </c>
      <c r="M304">
        <v>714</v>
      </c>
      <c r="N304">
        <v>2</v>
      </c>
      <c r="O304">
        <v>95</v>
      </c>
      <c r="P304">
        <v>150</v>
      </c>
      <c r="Q304">
        <v>95</v>
      </c>
      <c r="S304">
        <v>191</v>
      </c>
      <c r="T304">
        <v>261</v>
      </c>
      <c r="U304">
        <f>+SUM(Table1[[#This Row],[Latinos]:[Cemex]])</f>
        <v>1</v>
      </c>
      <c r="V304" t="str">
        <f>+Table1[[#This Row],[id_destino]]&amp;" - "&amp;Table1[[#This Row],[id_origen]]</f>
        <v>714 - 2</v>
      </c>
    </row>
    <row r="305" spans="1:22" hidden="1">
      <c r="A305">
        <v>187</v>
      </c>
      <c r="B305">
        <v>2238</v>
      </c>
      <c r="C305">
        <v>469</v>
      </c>
      <c r="D305">
        <v>5301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 t="s">
        <v>20</v>
      </c>
      <c r="L305" s="1">
        <v>43007</v>
      </c>
      <c r="M305">
        <v>721</v>
      </c>
      <c r="N305">
        <v>2</v>
      </c>
      <c r="O305">
        <v>894</v>
      </c>
      <c r="P305">
        <v>894</v>
      </c>
      <c r="Q305">
        <v>894</v>
      </c>
      <c r="S305">
        <v>2118</v>
      </c>
      <c r="T305">
        <v>2118</v>
      </c>
      <c r="U305">
        <f>+SUM(Table1[[#This Row],[Latinos]:[Cemex]])</f>
        <v>1</v>
      </c>
      <c r="V305" t="str">
        <f>+Table1[[#This Row],[id_destino]]&amp;" - "&amp;Table1[[#This Row],[id_origen]]</f>
        <v>721 - 2</v>
      </c>
    </row>
    <row r="306" spans="1:22" hidden="1">
      <c r="A306">
        <v>258</v>
      </c>
      <c r="B306">
        <v>2249</v>
      </c>
      <c r="C306">
        <v>469</v>
      </c>
      <c r="D306">
        <v>5312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 t="s">
        <v>20</v>
      </c>
      <c r="L306" s="1">
        <v>43026</v>
      </c>
      <c r="M306">
        <v>723</v>
      </c>
      <c r="N306">
        <v>2</v>
      </c>
      <c r="O306">
        <v>88</v>
      </c>
      <c r="P306">
        <v>150</v>
      </c>
      <c r="Q306">
        <v>88</v>
      </c>
      <c r="S306">
        <v>105</v>
      </c>
      <c r="T306">
        <v>105</v>
      </c>
      <c r="U306">
        <f>+SUM(Table1[[#This Row],[Latinos]:[Cemex]])</f>
        <v>1</v>
      </c>
      <c r="V306" t="str">
        <f>+Table1[[#This Row],[id_destino]]&amp;" - "&amp;Table1[[#This Row],[id_origen]]</f>
        <v>723 - 2</v>
      </c>
    </row>
    <row r="307" spans="1:22" hidden="1">
      <c r="A307">
        <v>572</v>
      </c>
      <c r="B307">
        <v>2349</v>
      </c>
      <c r="C307">
        <v>469</v>
      </c>
      <c r="D307">
        <v>5411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 t="s">
        <v>20</v>
      </c>
      <c r="L307" s="1">
        <v>43104</v>
      </c>
      <c r="M307">
        <v>728</v>
      </c>
      <c r="N307">
        <v>2</v>
      </c>
      <c r="O307">
        <v>321</v>
      </c>
      <c r="P307">
        <v>321</v>
      </c>
      <c r="Q307">
        <v>321</v>
      </c>
      <c r="S307">
        <v>581</v>
      </c>
      <c r="T307">
        <v>581</v>
      </c>
      <c r="U307">
        <f>+SUM(Table1[[#This Row],[Latinos]:[Cemex]])</f>
        <v>1</v>
      </c>
      <c r="V307" t="str">
        <f>+Table1[[#This Row],[id_destino]]&amp;" - "&amp;Table1[[#This Row],[id_origen]]</f>
        <v>728 - 2</v>
      </c>
    </row>
    <row r="308" spans="1:22" hidden="1">
      <c r="A308">
        <v>1825</v>
      </c>
      <c r="B308">
        <v>2958</v>
      </c>
      <c r="C308">
        <v>469</v>
      </c>
      <c r="D308">
        <v>5412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 t="s">
        <v>20</v>
      </c>
      <c r="L308" s="1">
        <v>43649</v>
      </c>
      <c r="M308">
        <v>729</v>
      </c>
      <c r="N308">
        <v>2</v>
      </c>
      <c r="O308">
        <v>59</v>
      </c>
      <c r="P308">
        <v>150</v>
      </c>
      <c r="Q308">
        <v>59</v>
      </c>
      <c r="S308">
        <v>0</v>
      </c>
      <c r="T308">
        <v>0</v>
      </c>
      <c r="U308">
        <f>+SUM(Table1[[#This Row],[Latinos]:[Cemex]])</f>
        <v>1</v>
      </c>
      <c r="V308" t="str">
        <f>+Table1[[#This Row],[id_destino]]&amp;" - "&amp;Table1[[#This Row],[id_origen]]</f>
        <v>729 - 2</v>
      </c>
    </row>
    <row r="309" spans="1:22" hidden="1">
      <c r="A309">
        <v>2566</v>
      </c>
      <c r="B309">
        <v>2958</v>
      </c>
      <c r="C309">
        <v>469</v>
      </c>
      <c r="D309">
        <v>5412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 t="s">
        <v>20</v>
      </c>
      <c r="L309" s="1">
        <v>44183</v>
      </c>
      <c r="M309">
        <v>729</v>
      </c>
      <c r="N309">
        <v>2</v>
      </c>
      <c r="O309">
        <v>70</v>
      </c>
      <c r="P309">
        <v>150</v>
      </c>
      <c r="Q309">
        <v>70</v>
      </c>
      <c r="S309">
        <v>40</v>
      </c>
      <c r="T309">
        <v>40</v>
      </c>
      <c r="U309">
        <f>+SUM(Table1[[#This Row],[Latinos]:[Cemex]])</f>
        <v>1</v>
      </c>
      <c r="V309" t="str">
        <f>+Table1[[#This Row],[id_destino]]&amp;" - "&amp;Table1[[#This Row],[id_origen]]</f>
        <v>729 - 2</v>
      </c>
    </row>
    <row r="310" spans="1:22" hidden="1">
      <c r="A310">
        <v>1734</v>
      </c>
      <c r="B310">
        <v>2909</v>
      </c>
      <c r="C310">
        <v>469</v>
      </c>
      <c r="D310">
        <v>5734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 t="s">
        <v>20</v>
      </c>
      <c r="L310" s="1">
        <v>43594</v>
      </c>
      <c r="M310">
        <v>746</v>
      </c>
      <c r="N310">
        <v>2</v>
      </c>
      <c r="O310">
        <v>965</v>
      </c>
      <c r="P310">
        <v>965</v>
      </c>
      <c r="Q310">
        <v>965</v>
      </c>
      <c r="S310">
        <v>994</v>
      </c>
      <c r="T310">
        <v>994</v>
      </c>
      <c r="U310">
        <f>+SUM(Table1[[#This Row],[Latinos]:[Cemex]])</f>
        <v>1</v>
      </c>
      <c r="V310" t="str">
        <f>+Table1[[#This Row],[id_destino]]&amp;" - "&amp;Table1[[#This Row],[id_origen]]</f>
        <v>746 - 2</v>
      </c>
    </row>
    <row r="311" spans="1:22" hidden="1">
      <c r="A311">
        <v>1085</v>
      </c>
      <c r="B311">
        <v>2578</v>
      </c>
      <c r="C311">
        <v>469</v>
      </c>
      <c r="D311">
        <v>5620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 t="s">
        <v>20</v>
      </c>
      <c r="L311" s="1">
        <v>43280</v>
      </c>
      <c r="M311">
        <v>753</v>
      </c>
      <c r="N311">
        <v>2</v>
      </c>
      <c r="O311">
        <v>1264</v>
      </c>
      <c r="P311">
        <v>1264</v>
      </c>
      <c r="Q311">
        <v>1264</v>
      </c>
      <c r="S311">
        <v>2071</v>
      </c>
      <c r="T311">
        <v>2144</v>
      </c>
      <c r="U311">
        <f>+SUM(Table1[[#This Row],[Latinos]:[Cemex]])</f>
        <v>1</v>
      </c>
      <c r="V311" t="str">
        <f>+Table1[[#This Row],[id_destino]]&amp;" - "&amp;Table1[[#This Row],[id_origen]]</f>
        <v>753 - 2</v>
      </c>
    </row>
    <row r="312" spans="1:22" hidden="1">
      <c r="A312">
        <v>4719</v>
      </c>
      <c r="B312">
        <v>4868</v>
      </c>
      <c r="C312">
        <v>4752</v>
      </c>
      <c r="D312">
        <v>8198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 t="s">
        <v>20</v>
      </c>
      <c r="L312" s="1">
        <v>45756</v>
      </c>
      <c r="M312">
        <v>776</v>
      </c>
      <c r="N312">
        <v>2</v>
      </c>
      <c r="O312">
        <v>176</v>
      </c>
      <c r="P312">
        <v>176</v>
      </c>
      <c r="Q312">
        <v>176</v>
      </c>
      <c r="S312">
        <v>1227</v>
      </c>
      <c r="T312">
        <v>1325</v>
      </c>
      <c r="U312">
        <f>+SUM(Table1[[#This Row],[Latinos]:[Cemex]])</f>
        <v>1</v>
      </c>
      <c r="V312" t="str">
        <f>+Table1[[#This Row],[id_destino]]&amp;" - "&amp;Table1[[#This Row],[id_origen]]</f>
        <v>776 - 2</v>
      </c>
    </row>
    <row r="313" spans="1:22" hidden="1">
      <c r="A313">
        <v>2005</v>
      </c>
      <c r="B313">
        <v>3071</v>
      </c>
      <c r="C313">
        <v>469</v>
      </c>
      <c r="D313">
        <v>6112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 t="s">
        <v>20</v>
      </c>
      <c r="L313" s="1">
        <v>43762</v>
      </c>
      <c r="M313">
        <v>790</v>
      </c>
      <c r="N313">
        <v>2</v>
      </c>
      <c r="O313">
        <v>343</v>
      </c>
      <c r="P313">
        <v>316</v>
      </c>
      <c r="Q313">
        <v>343</v>
      </c>
      <c r="S313">
        <v>727</v>
      </c>
      <c r="T313">
        <v>800</v>
      </c>
      <c r="U313">
        <f>+SUM(Table1[[#This Row],[Latinos]:[Cemex]])</f>
        <v>1</v>
      </c>
      <c r="V313" t="str">
        <f>+Table1[[#This Row],[id_destino]]&amp;" - "&amp;Table1[[#This Row],[id_origen]]</f>
        <v>790 - 2</v>
      </c>
    </row>
    <row r="314" spans="1:22" hidden="1">
      <c r="A314">
        <v>4539</v>
      </c>
      <c r="B314">
        <v>4736</v>
      </c>
      <c r="C314">
        <v>469</v>
      </c>
      <c r="D314">
        <v>8006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 t="s">
        <v>20</v>
      </c>
      <c r="L314" s="1">
        <v>45607</v>
      </c>
      <c r="M314">
        <v>821</v>
      </c>
      <c r="N314">
        <v>2</v>
      </c>
      <c r="O314">
        <v>582</v>
      </c>
      <c r="P314">
        <v>580</v>
      </c>
      <c r="Q314">
        <v>582</v>
      </c>
      <c r="S314">
        <v>2472</v>
      </c>
      <c r="T314">
        <v>2472</v>
      </c>
      <c r="U314">
        <f>+SUM(Table1[[#This Row],[Latinos]:[Cemex]])</f>
        <v>1</v>
      </c>
      <c r="V314" t="str">
        <f>+Table1[[#This Row],[id_destino]]&amp;" - "&amp;Table1[[#This Row],[id_origen]]</f>
        <v>821 - 2</v>
      </c>
    </row>
    <row r="315" spans="1:22" hidden="1">
      <c r="A315">
        <v>2792</v>
      </c>
      <c r="B315">
        <v>3567</v>
      </c>
      <c r="C315">
        <v>469</v>
      </c>
      <c r="D315">
        <v>6670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 t="s">
        <v>20</v>
      </c>
      <c r="L315" s="1">
        <v>44445</v>
      </c>
      <c r="M315">
        <v>832</v>
      </c>
      <c r="N315">
        <v>2</v>
      </c>
      <c r="O315">
        <v>94</v>
      </c>
      <c r="P315">
        <v>150</v>
      </c>
      <c r="Q315">
        <v>94</v>
      </c>
      <c r="S315">
        <v>0</v>
      </c>
      <c r="T315">
        <v>0</v>
      </c>
      <c r="U315">
        <f>+SUM(Table1[[#This Row],[Latinos]:[Cemex]])</f>
        <v>1</v>
      </c>
      <c r="V315" t="str">
        <f>+Table1[[#This Row],[id_destino]]&amp;" - "&amp;Table1[[#This Row],[id_origen]]</f>
        <v>832 - 2</v>
      </c>
    </row>
    <row r="316" spans="1:22" hidden="1">
      <c r="A316">
        <v>4757</v>
      </c>
      <c r="B316">
        <v>4891</v>
      </c>
      <c r="C316">
        <v>469</v>
      </c>
      <c r="D316">
        <v>6810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 t="s">
        <v>20</v>
      </c>
      <c r="L316" s="1">
        <v>45822</v>
      </c>
      <c r="M316">
        <v>843</v>
      </c>
      <c r="N316">
        <v>2</v>
      </c>
      <c r="O316">
        <v>1189</v>
      </c>
      <c r="P316">
        <v>1137</v>
      </c>
      <c r="Q316">
        <v>1189</v>
      </c>
      <c r="S316">
        <v>2342</v>
      </c>
      <c r="T316">
        <v>2342</v>
      </c>
      <c r="U316">
        <f>+SUM(Table1[[#This Row],[Latinos]:[Cemex]])</f>
        <v>1</v>
      </c>
      <c r="V316" t="str">
        <f>+Table1[[#This Row],[id_destino]]&amp;" - "&amp;Table1[[#This Row],[id_origen]]</f>
        <v>843 - 2</v>
      </c>
    </row>
    <row r="317" spans="1:22" hidden="1">
      <c r="A317">
        <v>3557</v>
      </c>
      <c r="B317">
        <v>4068</v>
      </c>
      <c r="C317">
        <v>469</v>
      </c>
      <c r="D317">
        <v>6898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 t="s">
        <v>20</v>
      </c>
      <c r="L317" s="1">
        <v>44956</v>
      </c>
      <c r="M317">
        <v>847</v>
      </c>
      <c r="N317">
        <v>2</v>
      </c>
      <c r="O317">
        <v>629</v>
      </c>
      <c r="P317">
        <v>623</v>
      </c>
      <c r="Q317">
        <v>629</v>
      </c>
      <c r="S317">
        <v>717</v>
      </c>
      <c r="T317">
        <v>717</v>
      </c>
      <c r="U317">
        <f>+SUM(Table1[[#This Row],[Latinos]:[Cemex]])</f>
        <v>1</v>
      </c>
      <c r="V317" t="str">
        <f>+Table1[[#This Row],[id_destino]]&amp;" - "&amp;Table1[[#This Row],[id_origen]]</f>
        <v>847 - 2</v>
      </c>
    </row>
    <row r="318" spans="1:22" hidden="1">
      <c r="A318">
        <v>4572</v>
      </c>
      <c r="B318">
        <v>4767</v>
      </c>
      <c r="C318">
        <v>469</v>
      </c>
      <c r="D318">
        <v>8042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 t="s">
        <v>20</v>
      </c>
      <c r="L318" s="1">
        <v>45624</v>
      </c>
      <c r="M318">
        <v>923</v>
      </c>
      <c r="N318">
        <v>2</v>
      </c>
      <c r="O318">
        <v>238</v>
      </c>
      <c r="P318">
        <v>238</v>
      </c>
      <c r="Q318">
        <v>238</v>
      </c>
      <c r="S318">
        <v>925</v>
      </c>
      <c r="T318">
        <v>925</v>
      </c>
      <c r="U318">
        <f>+SUM(Table1[[#This Row],[Latinos]:[Cemex]])</f>
        <v>1</v>
      </c>
      <c r="V318" t="str">
        <f>+Table1[[#This Row],[id_destino]]&amp;" - "&amp;Table1[[#This Row],[id_origen]]</f>
        <v>923 - 2</v>
      </c>
    </row>
    <row r="319" spans="1:22" hidden="1">
      <c r="A319">
        <v>2947</v>
      </c>
      <c r="B319">
        <v>3673</v>
      </c>
      <c r="C319">
        <v>6817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 t="s">
        <v>20</v>
      </c>
      <c r="L319" s="1">
        <v>44634</v>
      </c>
      <c r="M319">
        <v>3</v>
      </c>
      <c r="N319">
        <v>3</v>
      </c>
      <c r="O319">
        <v>26</v>
      </c>
      <c r="P319">
        <v>150</v>
      </c>
      <c r="Q319">
        <v>26</v>
      </c>
      <c r="S319">
        <v>0</v>
      </c>
      <c r="T319">
        <v>0</v>
      </c>
      <c r="U319">
        <f>+SUM(Table1[[#This Row],[Latinos]:[Cemex]])</f>
        <v>1</v>
      </c>
      <c r="V319" t="str">
        <f>+Table1[[#This Row],[id_destino]]&amp;" - "&amp;Table1[[#This Row],[id_origen]]</f>
        <v>3 - 3</v>
      </c>
    </row>
    <row r="320" spans="1:22" hidden="1">
      <c r="A320">
        <v>3766</v>
      </c>
      <c r="B320">
        <v>3673</v>
      </c>
      <c r="C320">
        <v>4631</v>
      </c>
      <c r="D320">
        <v>3692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 t="s">
        <v>20</v>
      </c>
      <c r="L320" s="1">
        <v>45077</v>
      </c>
      <c r="M320">
        <v>3</v>
      </c>
      <c r="N320">
        <v>3</v>
      </c>
      <c r="O320">
        <v>15</v>
      </c>
      <c r="P320">
        <v>150</v>
      </c>
      <c r="Q320">
        <v>50</v>
      </c>
      <c r="S320">
        <v>0</v>
      </c>
      <c r="T320">
        <v>0</v>
      </c>
      <c r="U320">
        <f>+SUM(Table1[[#This Row],[Latinos]:[Cemex]])</f>
        <v>1</v>
      </c>
      <c r="V320" t="str">
        <f>+Table1[[#This Row],[id_destino]]&amp;" - "&amp;Table1[[#This Row],[id_origen]]</f>
        <v>3 - 3</v>
      </c>
    </row>
    <row r="321" spans="1:22">
      <c r="A321">
        <v>1747</v>
      </c>
      <c r="B321">
        <v>1730</v>
      </c>
      <c r="C321">
        <v>5905</v>
      </c>
      <c r="D321">
        <v>4632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 t="s">
        <v>20</v>
      </c>
      <c r="L321" s="1">
        <v>43601</v>
      </c>
      <c r="M321">
        <v>4</v>
      </c>
      <c r="N321">
        <v>3</v>
      </c>
      <c r="O321">
        <v>381</v>
      </c>
      <c r="P321">
        <v>243</v>
      </c>
      <c r="Q321">
        <v>381</v>
      </c>
      <c r="S321">
        <v>288</v>
      </c>
      <c r="T321">
        <v>288</v>
      </c>
      <c r="U321">
        <f>+SUM(Table1[[#This Row],[Latinos]:[Cemex]])</f>
        <v>1</v>
      </c>
      <c r="V321" t="str">
        <f>+Table1[[#This Row],[id_destino]]&amp;" - "&amp;Table1[[#This Row],[id_origen]]</f>
        <v>4 - 3</v>
      </c>
    </row>
    <row r="322" spans="1:22">
      <c r="A322">
        <v>1752</v>
      </c>
      <c r="B322">
        <v>1730</v>
      </c>
      <c r="C322">
        <v>5905</v>
      </c>
      <c r="D322">
        <v>4632</v>
      </c>
      <c r="E322">
        <v>0</v>
      </c>
      <c r="F322">
        <v>1</v>
      </c>
      <c r="G322">
        <v>0</v>
      </c>
      <c r="H322">
        <v>0</v>
      </c>
      <c r="I322">
        <v>1</v>
      </c>
      <c r="J322">
        <v>0</v>
      </c>
      <c r="K322" t="s">
        <v>20</v>
      </c>
      <c r="L322" s="1">
        <v>43600</v>
      </c>
      <c r="M322">
        <v>4</v>
      </c>
      <c r="N322">
        <v>3</v>
      </c>
      <c r="O322">
        <v>247</v>
      </c>
      <c r="P322">
        <v>248</v>
      </c>
      <c r="Q322">
        <v>247</v>
      </c>
      <c r="S322">
        <v>288</v>
      </c>
      <c r="T322">
        <v>288</v>
      </c>
      <c r="U322">
        <f>+SUM(Table1[[#This Row],[Latinos]:[Cemex]])</f>
        <v>2</v>
      </c>
      <c r="V322" t="str">
        <f>+Table1[[#This Row],[id_destino]]&amp;" - "&amp;Table1[[#This Row],[id_origen]]</f>
        <v>4 - 3</v>
      </c>
    </row>
    <row r="323" spans="1:22">
      <c r="A323">
        <v>4164</v>
      </c>
      <c r="B323">
        <v>1730</v>
      </c>
      <c r="C323">
        <v>427</v>
      </c>
      <c r="D323">
        <v>7206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 t="s">
        <v>20</v>
      </c>
      <c r="L323" s="1">
        <v>45334</v>
      </c>
      <c r="M323">
        <v>4</v>
      </c>
      <c r="N323">
        <v>3</v>
      </c>
      <c r="O323">
        <v>235</v>
      </c>
      <c r="P323">
        <v>252</v>
      </c>
      <c r="Q323">
        <v>235</v>
      </c>
      <c r="S323">
        <v>225</v>
      </c>
      <c r="T323">
        <v>225</v>
      </c>
      <c r="U323">
        <f>+SUM(Table1[[#This Row],[Latinos]:[Cemex]])</f>
        <v>1</v>
      </c>
      <c r="V323" t="str">
        <f>+Table1[[#This Row],[id_destino]]&amp;" - "&amp;Table1[[#This Row],[id_origen]]</f>
        <v>4 - 3</v>
      </c>
    </row>
    <row r="324" spans="1:22" hidden="1">
      <c r="A324">
        <v>1812</v>
      </c>
      <c r="B324">
        <v>1517</v>
      </c>
      <c r="C324">
        <v>427</v>
      </c>
      <c r="D324">
        <v>353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 t="s">
        <v>76</v>
      </c>
      <c r="L324" s="1">
        <v>43643</v>
      </c>
      <c r="M324">
        <v>7</v>
      </c>
      <c r="N324">
        <v>3</v>
      </c>
      <c r="O324">
        <v>954</v>
      </c>
      <c r="P324">
        <v>954</v>
      </c>
      <c r="Q324">
        <v>954</v>
      </c>
      <c r="S324">
        <v>80</v>
      </c>
      <c r="T324">
        <v>80</v>
      </c>
      <c r="U324">
        <f>+SUM(Table1[[#This Row],[Latinos]:[Cemex]])</f>
        <v>1</v>
      </c>
      <c r="V324" t="str">
        <f>+Table1[[#This Row],[id_destino]]&amp;" - "&amp;Table1[[#This Row],[id_origen]]</f>
        <v>7 - 3</v>
      </c>
    </row>
    <row r="325" spans="1:22" hidden="1">
      <c r="A325">
        <v>3583</v>
      </c>
      <c r="B325">
        <v>2911</v>
      </c>
      <c r="C325">
        <v>1</v>
      </c>
      <c r="D325">
        <v>7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 t="s">
        <v>20</v>
      </c>
      <c r="L325" s="1">
        <v>44967</v>
      </c>
      <c r="M325">
        <v>9</v>
      </c>
      <c r="N325">
        <v>3</v>
      </c>
      <c r="O325">
        <v>626</v>
      </c>
      <c r="P325">
        <v>552</v>
      </c>
      <c r="Q325">
        <v>626</v>
      </c>
      <c r="S325">
        <v>587</v>
      </c>
      <c r="T325">
        <v>670</v>
      </c>
      <c r="U325">
        <f>+SUM(Table1[[#This Row],[Latinos]:[Cemex]])</f>
        <v>1</v>
      </c>
      <c r="V325" t="str">
        <f>+Table1[[#This Row],[id_destino]]&amp;" - "&amp;Table1[[#This Row],[id_origen]]</f>
        <v>9 - 3</v>
      </c>
    </row>
    <row r="326" spans="1:22" hidden="1">
      <c r="A326">
        <v>4659</v>
      </c>
      <c r="B326">
        <v>4827</v>
      </c>
      <c r="C326">
        <v>8137</v>
      </c>
      <c r="D326">
        <v>8138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 t="s">
        <v>20</v>
      </c>
      <c r="L326" s="1">
        <v>45709</v>
      </c>
      <c r="M326">
        <v>10</v>
      </c>
      <c r="N326">
        <v>3</v>
      </c>
      <c r="O326">
        <v>170</v>
      </c>
      <c r="P326">
        <v>170</v>
      </c>
      <c r="Q326">
        <v>170</v>
      </c>
      <c r="S326">
        <v>229</v>
      </c>
      <c r="T326">
        <v>229</v>
      </c>
      <c r="U326">
        <f>+SUM(Table1[[#This Row],[Latinos]:[Cemex]])</f>
        <v>1</v>
      </c>
      <c r="V326" t="str">
        <f>+Table1[[#This Row],[id_destino]]&amp;" - "&amp;Table1[[#This Row],[id_origen]]</f>
        <v>10 - 3</v>
      </c>
    </row>
    <row r="327" spans="1:22" hidden="1">
      <c r="A327">
        <v>1062</v>
      </c>
      <c r="B327">
        <v>52</v>
      </c>
      <c r="C327">
        <v>1</v>
      </c>
      <c r="D327">
        <v>4035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 t="s">
        <v>20</v>
      </c>
      <c r="L327" s="1">
        <v>43269</v>
      </c>
      <c r="M327">
        <v>18</v>
      </c>
      <c r="N327">
        <v>3</v>
      </c>
      <c r="O327">
        <v>804</v>
      </c>
      <c r="P327">
        <v>810</v>
      </c>
      <c r="Q327">
        <v>804</v>
      </c>
      <c r="S327">
        <v>2920</v>
      </c>
      <c r="T327">
        <v>2920</v>
      </c>
      <c r="U327">
        <f>+SUM(Table1[[#This Row],[Latinos]:[Cemex]])</f>
        <v>1</v>
      </c>
      <c r="V327" t="str">
        <f>+Table1[[#This Row],[id_destino]]&amp;" - "&amp;Table1[[#This Row],[id_origen]]</f>
        <v>18 - 3</v>
      </c>
    </row>
    <row r="328" spans="1:22" hidden="1">
      <c r="A328">
        <v>456</v>
      </c>
      <c r="B328">
        <v>240</v>
      </c>
      <c r="C328">
        <v>5280</v>
      </c>
      <c r="D328">
        <v>1869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 t="s">
        <v>20</v>
      </c>
      <c r="L328" s="1">
        <v>43069</v>
      </c>
      <c r="M328">
        <v>19</v>
      </c>
      <c r="N328">
        <v>3</v>
      </c>
      <c r="O328">
        <v>732</v>
      </c>
      <c r="P328">
        <v>732</v>
      </c>
      <c r="Q328">
        <v>732</v>
      </c>
      <c r="S328">
        <v>1502</v>
      </c>
      <c r="T328">
        <v>1502</v>
      </c>
      <c r="U328">
        <f>+SUM(Table1[[#This Row],[Latinos]:[Cemex]])</f>
        <v>1</v>
      </c>
      <c r="V328" t="str">
        <f>+Table1[[#This Row],[id_destino]]&amp;" - "&amp;Table1[[#This Row],[id_origen]]</f>
        <v>19 - 3</v>
      </c>
    </row>
    <row r="329" spans="1:22" hidden="1">
      <c r="A329">
        <v>631</v>
      </c>
      <c r="B329">
        <v>240</v>
      </c>
      <c r="C329">
        <v>5280</v>
      </c>
      <c r="D329">
        <v>1869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 t="s">
        <v>20</v>
      </c>
      <c r="L329" s="1">
        <v>43119</v>
      </c>
      <c r="M329">
        <v>19</v>
      </c>
      <c r="N329">
        <v>3</v>
      </c>
      <c r="O329">
        <v>732</v>
      </c>
      <c r="P329">
        <v>732</v>
      </c>
      <c r="Q329">
        <v>732</v>
      </c>
      <c r="S329">
        <v>1502</v>
      </c>
      <c r="T329">
        <v>1502</v>
      </c>
      <c r="U329">
        <f>+SUM(Table1[[#This Row],[Latinos]:[Cemex]])</f>
        <v>1</v>
      </c>
      <c r="V329" t="str">
        <f>+Table1[[#This Row],[id_destino]]&amp;" - "&amp;Table1[[#This Row],[id_origen]]</f>
        <v>19 - 3</v>
      </c>
    </row>
    <row r="330" spans="1:22" hidden="1">
      <c r="A330">
        <v>2790</v>
      </c>
      <c r="B330">
        <v>1096</v>
      </c>
      <c r="C330">
        <v>6079</v>
      </c>
      <c r="D330">
        <v>6087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 t="s">
        <v>20</v>
      </c>
      <c r="L330" s="1">
        <v>44443</v>
      </c>
      <c r="M330">
        <v>20</v>
      </c>
      <c r="N330">
        <v>3</v>
      </c>
      <c r="O330">
        <v>801</v>
      </c>
      <c r="P330">
        <v>812</v>
      </c>
      <c r="Q330">
        <v>801</v>
      </c>
      <c r="S330">
        <v>1982</v>
      </c>
      <c r="T330">
        <v>2056</v>
      </c>
      <c r="U330">
        <f>+SUM(Table1[[#This Row],[Latinos]:[Cemex]])</f>
        <v>1</v>
      </c>
      <c r="V330" t="str">
        <f>+Table1[[#This Row],[id_destino]]&amp;" - "&amp;Table1[[#This Row],[id_origen]]</f>
        <v>20 - 3</v>
      </c>
    </row>
    <row r="331" spans="1:22" hidden="1">
      <c r="A331">
        <v>4304</v>
      </c>
      <c r="B331">
        <v>4556</v>
      </c>
      <c r="C331">
        <v>427</v>
      </c>
      <c r="D331">
        <v>387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 t="s">
        <v>20</v>
      </c>
      <c r="L331" s="1">
        <v>45447</v>
      </c>
      <c r="M331">
        <v>30</v>
      </c>
      <c r="N331">
        <v>3</v>
      </c>
      <c r="O331">
        <v>1788</v>
      </c>
      <c r="P331">
        <v>1817</v>
      </c>
      <c r="Q331">
        <v>1788</v>
      </c>
      <c r="S331">
        <v>6442</v>
      </c>
      <c r="T331">
        <v>6442</v>
      </c>
      <c r="U331">
        <f>+SUM(Table1[[#This Row],[Latinos]:[Cemex]])</f>
        <v>1</v>
      </c>
      <c r="V331" t="str">
        <f>+Table1[[#This Row],[id_destino]]&amp;" - "&amp;Table1[[#This Row],[id_origen]]</f>
        <v>30 - 3</v>
      </c>
    </row>
    <row r="332" spans="1:22" hidden="1">
      <c r="A332">
        <v>1565</v>
      </c>
      <c r="B332">
        <v>416</v>
      </c>
      <c r="C332">
        <v>427</v>
      </c>
      <c r="D332">
        <v>5811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 t="s">
        <v>20</v>
      </c>
      <c r="L332" s="1">
        <v>43509</v>
      </c>
      <c r="M332">
        <v>35</v>
      </c>
      <c r="N332">
        <v>3</v>
      </c>
      <c r="O332">
        <v>466</v>
      </c>
      <c r="P332">
        <v>466</v>
      </c>
      <c r="Q332">
        <v>466</v>
      </c>
      <c r="S332">
        <v>851</v>
      </c>
      <c r="T332">
        <v>851</v>
      </c>
      <c r="U332">
        <f>+SUM(Table1[[#This Row],[Latinos]:[Cemex]])</f>
        <v>1</v>
      </c>
      <c r="V332" t="str">
        <f>+Table1[[#This Row],[id_destino]]&amp;" - "&amp;Table1[[#This Row],[id_origen]]</f>
        <v>35 - 3</v>
      </c>
    </row>
    <row r="333" spans="1:22" hidden="1">
      <c r="A333">
        <v>1801</v>
      </c>
      <c r="B333">
        <v>1000</v>
      </c>
      <c r="C333">
        <v>5932</v>
      </c>
      <c r="D333">
        <v>49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 t="s">
        <v>20</v>
      </c>
      <c r="L333" s="1">
        <v>43640</v>
      </c>
      <c r="M333">
        <v>43</v>
      </c>
      <c r="N333">
        <v>3</v>
      </c>
      <c r="O333">
        <v>167</v>
      </c>
      <c r="P333">
        <v>163</v>
      </c>
      <c r="Q333">
        <v>167</v>
      </c>
      <c r="S333">
        <v>166</v>
      </c>
      <c r="T333">
        <v>166</v>
      </c>
      <c r="U333">
        <f>+SUM(Table1[[#This Row],[Latinos]:[Cemex]])</f>
        <v>1</v>
      </c>
      <c r="V333" t="str">
        <f>+Table1[[#This Row],[id_destino]]&amp;" - "&amp;Table1[[#This Row],[id_origen]]</f>
        <v>43 - 3</v>
      </c>
    </row>
    <row r="334" spans="1:22" hidden="1">
      <c r="A334">
        <v>4312</v>
      </c>
      <c r="B334">
        <v>4562</v>
      </c>
      <c r="C334">
        <v>427</v>
      </c>
      <c r="D334">
        <v>7799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 t="s">
        <v>20</v>
      </c>
      <c r="L334" s="1">
        <v>45453</v>
      </c>
      <c r="M334">
        <v>56</v>
      </c>
      <c r="N334">
        <v>3</v>
      </c>
      <c r="O334">
        <v>831</v>
      </c>
      <c r="P334">
        <v>831</v>
      </c>
      <c r="Q334">
        <v>831</v>
      </c>
      <c r="S334">
        <v>2428</v>
      </c>
      <c r="T334">
        <v>2428</v>
      </c>
      <c r="U334">
        <f>+SUM(Table1[[#This Row],[Latinos]:[Cemex]])</f>
        <v>1</v>
      </c>
      <c r="V334" t="str">
        <f>+Table1[[#This Row],[id_destino]]&amp;" - "&amp;Table1[[#This Row],[id_origen]]</f>
        <v>56 - 3</v>
      </c>
    </row>
    <row r="335" spans="1:22" hidden="1">
      <c r="A335">
        <v>1959</v>
      </c>
      <c r="B335">
        <v>3046</v>
      </c>
      <c r="C335">
        <v>4631</v>
      </c>
      <c r="D335">
        <v>5409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 t="s">
        <v>20</v>
      </c>
      <c r="L335" s="1">
        <v>43740</v>
      </c>
      <c r="M335">
        <v>67</v>
      </c>
      <c r="N335">
        <v>3</v>
      </c>
      <c r="O335">
        <v>546</v>
      </c>
      <c r="P335">
        <v>546</v>
      </c>
      <c r="Q335">
        <v>546</v>
      </c>
      <c r="S335">
        <v>926</v>
      </c>
      <c r="T335">
        <v>926</v>
      </c>
      <c r="U335">
        <f>+SUM(Table1[[#This Row],[Latinos]:[Cemex]])</f>
        <v>1</v>
      </c>
      <c r="V335" t="str">
        <f>+Table1[[#This Row],[id_destino]]&amp;" - "&amp;Table1[[#This Row],[id_origen]]</f>
        <v>67 - 3</v>
      </c>
    </row>
    <row r="336" spans="1:22" hidden="1">
      <c r="A336">
        <v>436</v>
      </c>
      <c r="B336">
        <v>2291</v>
      </c>
      <c r="C336">
        <v>427</v>
      </c>
      <c r="D336">
        <v>5358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 t="s">
        <v>20</v>
      </c>
      <c r="L336" s="1">
        <v>43066</v>
      </c>
      <c r="M336">
        <v>81</v>
      </c>
      <c r="N336">
        <v>3</v>
      </c>
      <c r="O336">
        <v>645</v>
      </c>
      <c r="P336">
        <v>645</v>
      </c>
      <c r="Q336">
        <v>645</v>
      </c>
      <c r="S336">
        <v>1206</v>
      </c>
      <c r="T336">
        <v>1026</v>
      </c>
      <c r="U336">
        <f>+SUM(Table1[[#This Row],[Latinos]:[Cemex]])</f>
        <v>1</v>
      </c>
      <c r="V336" t="str">
        <f>+Table1[[#This Row],[id_destino]]&amp;" - "&amp;Table1[[#This Row],[id_origen]]</f>
        <v>81 - 3</v>
      </c>
    </row>
    <row r="337" spans="1:22" hidden="1">
      <c r="A337">
        <v>1304</v>
      </c>
      <c r="B337">
        <v>2682</v>
      </c>
      <c r="C337">
        <v>4631</v>
      </c>
      <c r="D337">
        <v>3746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 t="s">
        <v>20</v>
      </c>
      <c r="L337" s="1">
        <v>43376</v>
      </c>
      <c r="M337">
        <v>115</v>
      </c>
      <c r="N337">
        <v>3</v>
      </c>
      <c r="O337">
        <v>769</v>
      </c>
      <c r="P337">
        <v>769</v>
      </c>
      <c r="Q337">
        <v>769</v>
      </c>
      <c r="S337">
        <v>1604</v>
      </c>
      <c r="T337">
        <v>1721</v>
      </c>
      <c r="U337">
        <f>+SUM(Table1[[#This Row],[Latinos]:[Cemex]])</f>
        <v>1</v>
      </c>
      <c r="V337" t="str">
        <f>+Table1[[#This Row],[id_destino]]&amp;" - "&amp;Table1[[#This Row],[id_origen]]</f>
        <v>115 - 3</v>
      </c>
    </row>
    <row r="338" spans="1:22">
      <c r="A338">
        <v>1582</v>
      </c>
      <c r="B338">
        <v>2825</v>
      </c>
      <c r="C338">
        <v>427</v>
      </c>
      <c r="D338">
        <v>415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 t="s">
        <v>73</v>
      </c>
      <c r="L338" s="1">
        <v>43517</v>
      </c>
      <c r="M338">
        <v>134</v>
      </c>
      <c r="N338">
        <v>3</v>
      </c>
      <c r="O338">
        <v>667</v>
      </c>
      <c r="P338">
        <v>667</v>
      </c>
      <c r="Q338">
        <v>667</v>
      </c>
      <c r="S338">
        <v>705</v>
      </c>
      <c r="T338">
        <v>705</v>
      </c>
      <c r="U338">
        <f>+SUM(Table1[[#This Row],[Latinos]:[Cemex]])</f>
        <v>1</v>
      </c>
      <c r="V338" t="str">
        <f>+Table1[[#This Row],[id_destino]]&amp;" - "&amp;Table1[[#This Row],[id_origen]]</f>
        <v>134 - 3</v>
      </c>
    </row>
    <row r="339" spans="1:22" hidden="1">
      <c r="A339">
        <v>2338</v>
      </c>
      <c r="B339">
        <v>3283</v>
      </c>
      <c r="C339">
        <v>1</v>
      </c>
      <c r="D339">
        <v>2043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 t="s">
        <v>20</v>
      </c>
      <c r="L339" s="1">
        <v>43958</v>
      </c>
      <c r="M339">
        <v>138</v>
      </c>
      <c r="N339">
        <v>3</v>
      </c>
      <c r="O339">
        <v>50</v>
      </c>
      <c r="P339">
        <v>150</v>
      </c>
      <c r="Q339">
        <v>50</v>
      </c>
      <c r="S339">
        <v>0</v>
      </c>
      <c r="T339">
        <v>0</v>
      </c>
      <c r="U339">
        <f>+SUM(Table1[[#This Row],[Latinos]:[Cemex]])</f>
        <v>1</v>
      </c>
      <c r="V339" t="str">
        <f>+Table1[[#This Row],[id_destino]]&amp;" - "&amp;Table1[[#This Row],[id_origen]]</f>
        <v>138 - 3</v>
      </c>
    </row>
    <row r="340" spans="1:22" hidden="1">
      <c r="A340">
        <v>3928</v>
      </c>
      <c r="B340">
        <v>4309</v>
      </c>
      <c r="C340">
        <v>427</v>
      </c>
      <c r="D340">
        <v>7426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 t="s">
        <v>20</v>
      </c>
      <c r="L340" s="1">
        <v>45190</v>
      </c>
      <c r="M340">
        <v>225</v>
      </c>
      <c r="N340">
        <v>3</v>
      </c>
      <c r="O340">
        <v>817</v>
      </c>
      <c r="P340">
        <v>806</v>
      </c>
      <c r="Q340">
        <v>817</v>
      </c>
      <c r="S340">
        <v>88</v>
      </c>
      <c r="T340">
        <v>88</v>
      </c>
      <c r="U340">
        <f>+SUM(Table1[[#This Row],[Latinos]:[Cemex]])</f>
        <v>1</v>
      </c>
      <c r="V340" t="str">
        <f>+Table1[[#This Row],[id_destino]]&amp;" - "&amp;Table1[[#This Row],[id_origen]]</f>
        <v>225 - 3</v>
      </c>
    </row>
    <row r="341" spans="1:22">
      <c r="A341">
        <v>1745</v>
      </c>
      <c r="B341">
        <v>2913</v>
      </c>
      <c r="C341">
        <v>3692</v>
      </c>
      <c r="D341">
        <v>2881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 t="s">
        <v>20</v>
      </c>
      <c r="L341" s="1">
        <v>43598</v>
      </c>
      <c r="M341">
        <v>314</v>
      </c>
      <c r="N341">
        <v>3</v>
      </c>
      <c r="O341">
        <v>792</v>
      </c>
      <c r="P341">
        <v>782</v>
      </c>
      <c r="Q341">
        <v>792</v>
      </c>
      <c r="S341">
        <v>0</v>
      </c>
      <c r="T341">
        <v>0</v>
      </c>
      <c r="U341">
        <f>+SUM(Table1[[#This Row],[Latinos]:[Cemex]])</f>
        <v>1</v>
      </c>
      <c r="V341" t="str">
        <f>+Table1[[#This Row],[id_destino]]&amp;" - "&amp;Table1[[#This Row],[id_origen]]</f>
        <v>314 - 3</v>
      </c>
    </row>
    <row r="342" spans="1:22" hidden="1">
      <c r="A342">
        <v>4821</v>
      </c>
      <c r="B342">
        <v>4931</v>
      </c>
      <c r="C342">
        <v>8277</v>
      </c>
      <c r="D342">
        <v>4145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 t="s">
        <v>20</v>
      </c>
      <c r="L342" s="1">
        <v>45862</v>
      </c>
      <c r="M342">
        <v>353</v>
      </c>
      <c r="N342">
        <v>3</v>
      </c>
      <c r="O342">
        <v>887</v>
      </c>
      <c r="P342">
        <v>884</v>
      </c>
      <c r="Q342">
        <v>887</v>
      </c>
      <c r="S342">
        <v>2774</v>
      </c>
      <c r="T342">
        <v>2274</v>
      </c>
      <c r="U342">
        <f>+SUM(Table1[[#This Row],[Latinos]:[Cemex]])</f>
        <v>1</v>
      </c>
      <c r="V342" t="str">
        <f>+Table1[[#This Row],[id_destino]]&amp;" - "&amp;Table1[[#This Row],[id_origen]]</f>
        <v>353 - 3</v>
      </c>
    </row>
    <row r="343" spans="1:22" hidden="1">
      <c r="A343">
        <v>3678</v>
      </c>
      <c r="B343">
        <v>4157</v>
      </c>
      <c r="C343">
        <v>427</v>
      </c>
      <c r="D343">
        <v>7298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 t="s">
        <v>20</v>
      </c>
      <c r="L343" s="1">
        <v>45022</v>
      </c>
      <c r="M343">
        <v>685</v>
      </c>
      <c r="N343">
        <v>3</v>
      </c>
      <c r="O343">
        <v>624</v>
      </c>
      <c r="P343">
        <v>612</v>
      </c>
      <c r="Q343">
        <v>624</v>
      </c>
      <c r="S343">
        <v>1516</v>
      </c>
      <c r="T343">
        <v>1516</v>
      </c>
      <c r="U343">
        <f>+SUM(Table1[[#This Row],[Latinos]:[Cemex]])</f>
        <v>1</v>
      </c>
      <c r="V343" t="str">
        <f>+Table1[[#This Row],[id_destino]]&amp;" - "&amp;Table1[[#This Row],[id_origen]]</f>
        <v>685 - 3</v>
      </c>
    </row>
    <row r="344" spans="1:22" hidden="1">
      <c r="A344">
        <v>4718</v>
      </c>
      <c r="B344">
        <v>2105</v>
      </c>
      <c r="C344">
        <v>8194</v>
      </c>
      <c r="D344">
        <v>8195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 t="s">
        <v>20</v>
      </c>
      <c r="L344" s="1">
        <v>45754</v>
      </c>
      <c r="M344">
        <v>703</v>
      </c>
      <c r="N344">
        <v>3</v>
      </c>
      <c r="O344">
        <v>468</v>
      </c>
      <c r="P344">
        <v>467</v>
      </c>
      <c r="Q344">
        <v>468</v>
      </c>
      <c r="S344">
        <v>736</v>
      </c>
      <c r="T344">
        <v>736</v>
      </c>
      <c r="U344">
        <f>+SUM(Table1[[#This Row],[Latinos]:[Cemex]])</f>
        <v>1</v>
      </c>
      <c r="V344" t="str">
        <f>+Table1[[#This Row],[id_destino]]&amp;" - "&amp;Table1[[#This Row],[id_origen]]</f>
        <v>703 - 3</v>
      </c>
    </row>
    <row r="345" spans="1:22" hidden="1">
      <c r="A345">
        <v>4488</v>
      </c>
      <c r="B345">
        <v>2887</v>
      </c>
      <c r="C345">
        <v>7206</v>
      </c>
      <c r="D345">
        <v>6933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 t="s">
        <v>20</v>
      </c>
      <c r="L345" s="1">
        <v>45581</v>
      </c>
      <c r="M345">
        <v>18</v>
      </c>
      <c r="N345">
        <v>4</v>
      </c>
      <c r="O345">
        <v>881</v>
      </c>
      <c r="P345">
        <v>881</v>
      </c>
      <c r="Q345">
        <v>881</v>
      </c>
      <c r="S345">
        <v>2523</v>
      </c>
      <c r="T345">
        <v>2616</v>
      </c>
      <c r="U345">
        <f>+SUM(Table1[[#This Row],[Latinos]:[Cemex]])</f>
        <v>1</v>
      </c>
      <c r="V345" t="str">
        <f>+Table1[[#This Row],[id_destino]]&amp;" - "&amp;Table1[[#This Row],[id_origen]]</f>
        <v>18 - 4</v>
      </c>
    </row>
    <row r="346" spans="1:22" hidden="1">
      <c r="A346">
        <v>2160</v>
      </c>
      <c r="B346">
        <v>3175</v>
      </c>
      <c r="C346">
        <v>6117</v>
      </c>
      <c r="D346">
        <v>6087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 t="s">
        <v>20</v>
      </c>
      <c r="L346" s="1">
        <v>43837</v>
      </c>
      <c r="M346">
        <v>20</v>
      </c>
      <c r="N346">
        <v>4</v>
      </c>
      <c r="O346">
        <v>902</v>
      </c>
      <c r="P346">
        <v>902</v>
      </c>
      <c r="Q346">
        <v>902</v>
      </c>
      <c r="S346">
        <v>2132</v>
      </c>
      <c r="T346">
        <v>2206</v>
      </c>
      <c r="U346">
        <f>+SUM(Table1[[#This Row],[Latinos]:[Cemex]])</f>
        <v>1</v>
      </c>
      <c r="V346" t="str">
        <f>+Table1[[#This Row],[id_destino]]&amp;" - "&amp;Table1[[#This Row],[id_origen]]</f>
        <v>20 - 4</v>
      </c>
    </row>
    <row r="347" spans="1:22" hidden="1">
      <c r="A347">
        <v>2399</v>
      </c>
      <c r="B347">
        <v>621</v>
      </c>
      <c r="C347">
        <v>2</v>
      </c>
      <c r="D347">
        <v>4008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 t="s">
        <v>20</v>
      </c>
      <c r="L347" s="1">
        <v>44030</v>
      </c>
      <c r="M347">
        <v>31</v>
      </c>
      <c r="N347">
        <v>4</v>
      </c>
      <c r="O347">
        <v>2061</v>
      </c>
      <c r="P347">
        <v>2052</v>
      </c>
      <c r="Q347">
        <v>2061</v>
      </c>
      <c r="S347">
        <v>5676</v>
      </c>
      <c r="T347">
        <v>5676</v>
      </c>
      <c r="U347">
        <f>+SUM(Table1[[#This Row],[Latinos]:[Cemex]])</f>
        <v>1</v>
      </c>
      <c r="V347" t="str">
        <f>+Table1[[#This Row],[id_destino]]&amp;" - "&amp;Table1[[#This Row],[id_origen]]</f>
        <v>31 - 4</v>
      </c>
    </row>
    <row r="348" spans="1:22" hidden="1">
      <c r="A348">
        <v>2249</v>
      </c>
      <c r="B348">
        <v>3228</v>
      </c>
      <c r="C348">
        <v>6117</v>
      </c>
      <c r="D348">
        <v>6088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 t="s">
        <v>20</v>
      </c>
      <c r="L348" s="1">
        <v>43876</v>
      </c>
      <c r="M348">
        <v>35</v>
      </c>
      <c r="N348">
        <v>4</v>
      </c>
      <c r="O348">
        <v>555</v>
      </c>
      <c r="P348">
        <v>555</v>
      </c>
      <c r="Q348">
        <v>555</v>
      </c>
      <c r="S348">
        <v>1144</v>
      </c>
      <c r="T348">
        <v>1144</v>
      </c>
      <c r="U348">
        <f>+SUM(Table1[[#This Row],[Latinos]:[Cemex]])</f>
        <v>1</v>
      </c>
      <c r="V348" t="str">
        <f>+Table1[[#This Row],[id_destino]]&amp;" - "&amp;Table1[[#This Row],[id_origen]]</f>
        <v>35 - 4</v>
      </c>
    </row>
    <row r="349" spans="1:22" hidden="1">
      <c r="A349">
        <v>3550</v>
      </c>
      <c r="B349">
        <v>2197</v>
      </c>
      <c r="C349">
        <v>7206</v>
      </c>
      <c r="D349">
        <v>7185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 t="s">
        <v>20</v>
      </c>
      <c r="L349" s="1">
        <v>44953</v>
      </c>
      <c r="M349">
        <v>43</v>
      </c>
      <c r="N349">
        <v>4</v>
      </c>
      <c r="O349">
        <v>239</v>
      </c>
      <c r="P349">
        <v>253</v>
      </c>
      <c r="Q349">
        <v>239</v>
      </c>
      <c r="S349">
        <v>428</v>
      </c>
      <c r="T349">
        <v>428</v>
      </c>
      <c r="U349">
        <f>+SUM(Table1[[#This Row],[Latinos]:[Cemex]])</f>
        <v>1</v>
      </c>
      <c r="V349" t="str">
        <f>+Table1[[#This Row],[id_destino]]&amp;" - "&amp;Table1[[#This Row],[id_origen]]</f>
        <v>43 - 4</v>
      </c>
    </row>
    <row r="350" spans="1:22" hidden="1">
      <c r="A350">
        <v>4300</v>
      </c>
      <c r="B350">
        <v>462</v>
      </c>
      <c r="C350">
        <v>2</v>
      </c>
      <c r="D350">
        <v>63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 t="s">
        <v>20</v>
      </c>
      <c r="L350" s="1">
        <v>45444</v>
      </c>
      <c r="M350">
        <v>55</v>
      </c>
      <c r="N350">
        <v>4</v>
      </c>
      <c r="O350">
        <v>840</v>
      </c>
      <c r="P350">
        <v>853</v>
      </c>
      <c r="Q350">
        <v>840</v>
      </c>
      <c r="S350">
        <v>2323</v>
      </c>
      <c r="T350">
        <v>2323</v>
      </c>
      <c r="U350">
        <f>+SUM(Table1[[#This Row],[Latinos]:[Cemex]])</f>
        <v>1</v>
      </c>
      <c r="V350" t="str">
        <f>+Table1[[#This Row],[id_destino]]&amp;" - "&amp;Table1[[#This Row],[id_origen]]</f>
        <v>55 - 4</v>
      </c>
    </row>
    <row r="351" spans="1:22" hidden="1">
      <c r="A351">
        <v>4160</v>
      </c>
      <c r="B351">
        <v>4459</v>
      </c>
      <c r="C351">
        <v>7639</v>
      </c>
      <c r="D351">
        <v>7657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 t="s">
        <v>20</v>
      </c>
      <c r="L351" s="1">
        <v>45329</v>
      </c>
      <c r="M351">
        <v>59</v>
      </c>
      <c r="N351">
        <v>4</v>
      </c>
      <c r="O351">
        <v>1150</v>
      </c>
      <c r="P351">
        <v>1102</v>
      </c>
      <c r="Q351">
        <v>1150</v>
      </c>
      <c r="S351">
        <v>3580</v>
      </c>
      <c r="T351">
        <v>3789</v>
      </c>
      <c r="U351">
        <f>+SUM(Table1[[#This Row],[Latinos]:[Cemex]])</f>
        <v>1</v>
      </c>
      <c r="V351" t="str">
        <f>+Table1[[#This Row],[id_destino]]&amp;" - "&amp;Table1[[#This Row],[id_origen]]</f>
        <v>59 - 4</v>
      </c>
    </row>
    <row r="352" spans="1:22" hidden="1">
      <c r="A352">
        <v>3888</v>
      </c>
      <c r="B352">
        <v>4281</v>
      </c>
      <c r="C352">
        <v>2</v>
      </c>
      <c r="D352">
        <v>24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 t="s">
        <v>20</v>
      </c>
      <c r="L352" s="1">
        <v>45164</v>
      </c>
      <c r="M352">
        <v>179</v>
      </c>
      <c r="N352">
        <v>4</v>
      </c>
      <c r="O352">
        <v>2724</v>
      </c>
      <c r="P352">
        <v>2717</v>
      </c>
      <c r="Q352">
        <v>2724</v>
      </c>
      <c r="S352">
        <v>8697</v>
      </c>
      <c r="T352">
        <v>8785</v>
      </c>
      <c r="U352">
        <f>+SUM(Table1[[#This Row],[Latinos]:[Cemex]])</f>
        <v>1</v>
      </c>
      <c r="V352" t="str">
        <f>+Table1[[#This Row],[id_destino]]&amp;" - "&amp;Table1[[#This Row],[id_origen]]</f>
        <v>179 - 4</v>
      </c>
    </row>
    <row r="353" spans="1:22" hidden="1">
      <c r="A353">
        <v>3164</v>
      </c>
      <c r="B353">
        <v>960</v>
      </c>
      <c r="C353">
        <v>4553</v>
      </c>
      <c r="D353">
        <v>5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 t="s">
        <v>20</v>
      </c>
      <c r="L353" s="1">
        <v>44750</v>
      </c>
      <c r="M353">
        <v>7</v>
      </c>
      <c r="N353">
        <v>5</v>
      </c>
      <c r="O353">
        <v>76</v>
      </c>
      <c r="P353">
        <v>150</v>
      </c>
      <c r="Q353">
        <v>76</v>
      </c>
      <c r="S353">
        <v>0</v>
      </c>
      <c r="T353">
        <v>0</v>
      </c>
      <c r="U353">
        <f>+SUM(Table1[[#This Row],[Latinos]:[Cemex]])</f>
        <v>1</v>
      </c>
      <c r="V353" t="str">
        <f>+Table1[[#This Row],[id_destino]]&amp;" - "&amp;Table1[[#This Row],[id_origen]]</f>
        <v>7 - 5</v>
      </c>
    </row>
    <row r="354" spans="1:22" hidden="1">
      <c r="A354">
        <v>2415</v>
      </c>
      <c r="B354">
        <v>1971</v>
      </c>
      <c r="C354">
        <v>5029</v>
      </c>
      <c r="D354">
        <v>464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 t="s">
        <v>20</v>
      </c>
      <c r="L354" s="1">
        <v>44055</v>
      </c>
      <c r="M354">
        <v>92</v>
      </c>
      <c r="N354">
        <v>5</v>
      </c>
      <c r="O354">
        <v>2480</v>
      </c>
      <c r="P354">
        <v>2480</v>
      </c>
      <c r="Q354">
        <v>2480</v>
      </c>
      <c r="S354">
        <v>0</v>
      </c>
      <c r="T354">
        <v>0</v>
      </c>
      <c r="U354">
        <f>+SUM(Table1[[#This Row],[Latinos]:[Cemex]])</f>
        <v>1</v>
      </c>
      <c r="V354" t="str">
        <f>+Table1[[#This Row],[id_destino]]&amp;" - "&amp;Table1[[#This Row],[id_origen]]</f>
        <v>92 - 5</v>
      </c>
    </row>
    <row r="355" spans="1:22" hidden="1">
      <c r="A355">
        <v>2473</v>
      </c>
      <c r="B355">
        <v>3366</v>
      </c>
      <c r="C355">
        <v>5029</v>
      </c>
      <c r="D355">
        <v>6422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 t="s">
        <v>20</v>
      </c>
      <c r="L355" s="1">
        <v>44109</v>
      </c>
      <c r="M355">
        <v>169</v>
      </c>
      <c r="N355">
        <v>5</v>
      </c>
      <c r="O355">
        <v>1973</v>
      </c>
      <c r="P355">
        <v>1973</v>
      </c>
      <c r="Q355">
        <v>1973</v>
      </c>
      <c r="S355">
        <v>0</v>
      </c>
      <c r="T355">
        <v>0</v>
      </c>
      <c r="U355">
        <f>+SUM(Table1[[#This Row],[Latinos]:[Cemex]])</f>
        <v>1</v>
      </c>
      <c r="V355" t="str">
        <f>+Table1[[#This Row],[id_destino]]&amp;" - "&amp;Table1[[#This Row],[id_origen]]</f>
        <v>169 - 5</v>
      </c>
    </row>
    <row r="356" spans="1:22" hidden="1">
      <c r="A356">
        <v>4243</v>
      </c>
      <c r="B356">
        <v>4518</v>
      </c>
      <c r="C356">
        <v>7032</v>
      </c>
      <c r="D356">
        <v>7206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 t="s">
        <v>110</v>
      </c>
      <c r="L356" s="1">
        <v>45789</v>
      </c>
      <c r="M356">
        <v>4</v>
      </c>
      <c r="N356">
        <v>6</v>
      </c>
      <c r="O356">
        <v>685</v>
      </c>
      <c r="P356">
        <v>702</v>
      </c>
      <c r="Q356">
        <v>685</v>
      </c>
      <c r="S356">
        <v>451</v>
      </c>
      <c r="T356">
        <v>451</v>
      </c>
      <c r="U356">
        <f>+SUM(Table1[[#This Row],[Latinos]:[Cemex]])</f>
        <v>1</v>
      </c>
      <c r="V356" t="str">
        <f>+Table1[[#This Row],[id_destino]]&amp;" - "&amp;Table1[[#This Row],[id_origen]]</f>
        <v>4 - 6</v>
      </c>
    </row>
    <row r="357" spans="1:22" hidden="1">
      <c r="A357">
        <v>4815</v>
      </c>
      <c r="B357">
        <v>4926</v>
      </c>
      <c r="C357">
        <v>8063</v>
      </c>
      <c r="D357">
        <v>8272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 t="s">
        <v>20</v>
      </c>
      <c r="L357" s="1">
        <v>45860</v>
      </c>
      <c r="M357">
        <v>6</v>
      </c>
      <c r="N357">
        <v>6</v>
      </c>
      <c r="O357">
        <v>3</v>
      </c>
      <c r="P357">
        <v>3</v>
      </c>
      <c r="Q357">
        <v>100</v>
      </c>
      <c r="S357">
        <v>0</v>
      </c>
      <c r="T357">
        <v>0</v>
      </c>
      <c r="U357">
        <f>+SUM(Table1[[#This Row],[Latinos]:[Cemex]])</f>
        <v>1</v>
      </c>
      <c r="V357" t="str">
        <f>+Table1[[#This Row],[id_destino]]&amp;" - "&amp;Table1[[#This Row],[id_origen]]</f>
        <v>6 - 6</v>
      </c>
    </row>
    <row r="358" spans="1:22" hidden="1">
      <c r="A358">
        <v>3784</v>
      </c>
      <c r="B358">
        <v>953</v>
      </c>
      <c r="C358">
        <v>352</v>
      </c>
      <c r="D358">
        <v>353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 t="s">
        <v>20</v>
      </c>
      <c r="L358" s="1">
        <v>45087</v>
      </c>
      <c r="M358">
        <v>7</v>
      </c>
      <c r="N358">
        <v>6</v>
      </c>
      <c r="O358">
        <v>481</v>
      </c>
      <c r="P358">
        <v>471</v>
      </c>
      <c r="Q358">
        <v>481</v>
      </c>
      <c r="S358">
        <v>1138</v>
      </c>
      <c r="T358">
        <v>1629</v>
      </c>
      <c r="U358">
        <f>+SUM(Table1[[#This Row],[Latinos]:[Cemex]])</f>
        <v>1</v>
      </c>
      <c r="V358" t="str">
        <f>+Table1[[#This Row],[id_destino]]&amp;" - "&amp;Table1[[#This Row],[id_origen]]</f>
        <v>7 - 6</v>
      </c>
    </row>
    <row r="359" spans="1:22" hidden="1">
      <c r="A359">
        <v>4179</v>
      </c>
      <c r="B359">
        <v>4471</v>
      </c>
      <c r="C359">
        <v>4</v>
      </c>
      <c r="D359">
        <v>7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 t="s">
        <v>20</v>
      </c>
      <c r="L359" s="1">
        <v>45341</v>
      </c>
      <c r="M359">
        <v>9</v>
      </c>
      <c r="N359">
        <v>6</v>
      </c>
      <c r="O359">
        <v>180</v>
      </c>
      <c r="P359">
        <v>170</v>
      </c>
      <c r="Q359">
        <v>180</v>
      </c>
      <c r="S359">
        <v>0</v>
      </c>
      <c r="T359">
        <v>0</v>
      </c>
      <c r="U359">
        <f>+SUM(Table1[[#This Row],[Latinos]:[Cemex]])</f>
        <v>1</v>
      </c>
      <c r="V359" t="str">
        <f>+Table1[[#This Row],[id_destino]]&amp;" - "&amp;Table1[[#This Row],[id_origen]]</f>
        <v>9 - 6</v>
      </c>
    </row>
    <row r="360" spans="1:22" hidden="1">
      <c r="A360">
        <v>4303</v>
      </c>
      <c r="B360">
        <v>4555</v>
      </c>
      <c r="C360">
        <v>7032</v>
      </c>
      <c r="D360">
        <v>387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 t="s">
        <v>112</v>
      </c>
      <c r="L360" s="1">
        <v>45447</v>
      </c>
      <c r="M360">
        <v>30</v>
      </c>
      <c r="N360">
        <v>6</v>
      </c>
      <c r="O360">
        <v>2252</v>
      </c>
      <c r="P360">
        <v>2288</v>
      </c>
      <c r="Q360">
        <v>2252</v>
      </c>
      <c r="S360">
        <v>6624</v>
      </c>
      <c r="T360">
        <v>6624</v>
      </c>
      <c r="U360">
        <f>+SUM(Table1[[#This Row],[Latinos]:[Cemex]])</f>
        <v>1</v>
      </c>
      <c r="V360" t="str">
        <f>+Table1[[#This Row],[id_destino]]&amp;" - "&amp;Table1[[#This Row],[id_origen]]</f>
        <v>30 - 6</v>
      </c>
    </row>
    <row r="361" spans="1:22" hidden="1">
      <c r="A361">
        <v>4275</v>
      </c>
      <c r="B361">
        <v>4538</v>
      </c>
      <c r="C361">
        <v>7756</v>
      </c>
      <c r="D361">
        <v>398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 t="s">
        <v>20</v>
      </c>
      <c r="L361" s="1">
        <v>45419</v>
      </c>
      <c r="M361">
        <v>42</v>
      </c>
      <c r="N361">
        <v>6</v>
      </c>
      <c r="O361">
        <v>931</v>
      </c>
      <c r="P361">
        <v>933</v>
      </c>
      <c r="Q361">
        <v>931</v>
      </c>
      <c r="S361">
        <v>1294</v>
      </c>
      <c r="T361">
        <v>1294</v>
      </c>
      <c r="U361">
        <f>+SUM(Table1[[#This Row],[Latinos]:[Cemex]])</f>
        <v>1</v>
      </c>
      <c r="V361" t="str">
        <f>+Table1[[#This Row],[id_destino]]&amp;" - "&amp;Table1[[#This Row],[id_origen]]</f>
        <v>42 - 6</v>
      </c>
    </row>
    <row r="362" spans="1:22" hidden="1">
      <c r="A362">
        <v>834</v>
      </c>
      <c r="B362">
        <v>850</v>
      </c>
      <c r="C362">
        <v>7352</v>
      </c>
      <c r="D362">
        <v>7329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 t="s">
        <v>20</v>
      </c>
      <c r="L362" s="1">
        <v>45070</v>
      </c>
      <c r="M362">
        <v>1</v>
      </c>
      <c r="N362">
        <v>7</v>
      </c>
      <c r="O362">
        <v>2568</v>
      </c>
      <c r="P362">
        <v>2584</v>
      </c>
      <c r="Q362">
        <v>2568</v>
      </c>
      <c r="S362">
        <v>3235</v>
      </c>
      <c r="T362">
        <v>3235</v>
      </c>
      <c r="U362">
        <f>+SUM(Table1[[#This Row],[Latinos]:[Cemex]])</f>
        <v>1</v>
      </c>
      <c r="V362" t="str">
        <f>+Table1[[#This Row],[id_destino]]&amp;" - "&amp;Table1[[#This Row],[id_origen]]</f>
        <v>1 - 7</v>
      </c>
    </row>
    <row r="363" spans="1:22" hidden="1">
      <c r="A363">
        <v>1188</v>
      </c>
      <c r="B363">
        <v>2620</v>
      </c>
      <c r="C363">
        <v>353</v>
      </c>
      <c r="D363">
        <v>424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 t="s">
        <v>62</v>
      </c>
      <c r="L363" s="1">
        <v>43644</v>
      </c>
      <c r="M363">
        <v>4</v>
      </c>
      <c r="N363">
        <v>7</v>
      </c>
      <c r="O363">
        <v>1305</v>
      </c>
      <c r="P363">
        <v>1205</v>
      </c>
      <c r="Q363">
        <v>1305</v>
      </c>
      <c r="S363">
        <v>272</v>
      </c>
      <c r="T363">
        <v>272</v>
      </c>
      <c r="U363">
        <f>+SUM(Table1[[#This Row],[Latinos]:[Cemex]])</f>
        <v>1</v>
      </c>
      <c r="V363" t="str">
        <f>+Table1[[#This Row],[id_destino]]&amp;" - "&amp;Table1[[#This Row],[id_origen]]</f>
        <v>4 - 7</v>
      </c>
    </row>
    <row r="364" spans="1:22" hidden="1">
      <c r="A364">
        <v>1453</v>
      </c>
      <c r="B364">
        <v>960</v>
      </c>
      <c r="C364">
        <v>5232</v>
      </c>
      <c r="D364">
        <v>4199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 t="s">
        <v>20</v>
      </c>
      <c r="L364" s="1">
        <v>43444</v>
      </c>
      <c r="M364">
        <v>5</v>
      </c>
      <c r="N364">
        <v>7</v>
      </c>
      <c r="O364">
        <v>68</v>
      </c>
      <c r="P364">
        <v>150</v>
      </c>
      <c r="Q364">
        <v>68</v>
      </c>
      <c r="S364">
        <v>0</v>
      </c>
      <c r="T364">
        <v>0</v>
      </c>
      <c r="U364">
        <f>+SUM(Table1[[#This Row],[Latinos]:[Cemex]])</f>
        <v>1</v>
      </c>
      <c r="V364" t="str">
        <f>+Table1[[#This Row],[id_destino]]&amp;" - "&amp;Table1[[#This Row],[id_origen]]</f>
        <v>5 - 7</v>
      </c>
    </row>
    <row r="365" spans="1:22" hidden="1">
      <c r="A365">
        <v>1451</v>
      </c>
      <c r="B365">
        <v>1078</v>
      </c>
      <c r="C365">
        <v>7743</v>
      </c>
      <c r="D365">
        <v>7744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 t="s">
        <v>20</v>
      </c>
      <c r="L365" s="1">
        <v>45406</v>
      </c>
      <c r="M365">
        <v>7</v>
      </c>
      <c r="N365">
        <v>7</v>
      </c>
      <c r="O365">
        <v>32</v>
      </c>
      <c r="P365">
        <v>100</v>
      </c>
      <c r="Q365">
        <v>32</v>
      </c>
      <c r="S365">
        <v>0</v>
      </c>
      <c r="T365">
        <v>0</v>
      </c>
      <c r="U365">
        <f>+SUM(Table1[[#This Row],[Latinos]:[Cemex]])</f>
        <v>1</v>
      </c>
      <c r="V365" t="str">
        <f>+Table1[[#This Row],[id_destino]]&amp;" - "&amp;Table1[[#This Row],[id_origen]]</f>
        <v>7 - 7</v>
      </c>
    </row>
    <row r="366" spans="1:22" hidden="1">
      <c r="A366">
        <v>1510</v>
      </c>
      <c r="B366">
        <v>1078</v>
      </c>
      <c r="C366">
        <v>3916</v>
      </c>
      <c r="D366">
        <v>3916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 t="s">
        <v>20</v>
      </c>
      <c r="L366" s="1">
        <v>43477</v>
      </c>
      <c r="M366">
        <v>7</v>
      </c>
      <c r="N366">
        <v>7</v>
      </c>
      <c r="O366">
        <v>50</v>
      </c>
      <c r="P366">
        <v>150</v>
      </c>
      <c r="Q366">
        <v>50</v>
      </c>
      <c r="S366">
        <v>0</v>
      </c>
      <c r="T366">
        <v>0</v>
      </c>
      <c r="U366">
        <f>+SUM(Table1[[#This Row],[Latinos]:[Cemex]])</f>
        <v>1</v>
      </c>
      <c r="V366" t="str">
        <f>+Table1[[#This Row],[id_destino]]&amp;" - "&amp;Table1[[#This Row],[id_origen]]</f>
        <v>7 - 7</v>
      </c>
    </row>
    <row r="367" spans="1:22" hidden="1">
      <c r="A367">
        <v>2394</v>
      </c>
      <c r="B367">
        <v>3316</v>
      </c>
      <c r="C367">
        <v>5</v>
      </c>
      <c r="D367">
        <v>6373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 t="s">
        <v>20</v>
      </c>
      <c r="L367" s="1">
        <v>44027</v>
      </c>
      <c r="M367">
        <v>8</v>
      </c>
      <c r="N367">
        <v>7</v>
      </c>
      <c r="O367">
        <v>394</v>
      </c>
      <c r="P367">
        <v>394</v>
      </c>
      <c r="Q367">
        <v>394</v>
      </c>
      <c r="S367">
        <v>0</v>
      </c>
      <c r="T367">
        <v>0</v>
      </c>
      <c r="U367">
        <f>+SUM(Table1[[#This Row],[Latinos]:[Cemex]])</f>
        <v>1</v>
      </c>
      <c r="V367" t="str">
        <f>+Table1[[#This Row],[id_destino]]&amp;" - "&amp;Table1[[#This Row],[id_origen]]</f>
        <v>8 - 7</v>
      </c>
    </row>
    <row r="368" spans="1:22" hidden="1">
      <c r="A368">
        <v>627</v>
      </c>
      <c r="B368">
        <v>364</v>
      </c>
      <c r="C368">
        <v>353</v>
      </c>
      <c r="D368">
        <v>7724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 t="s">
        <v>20</v>
      </c>
      <c r="L368" s="1">
        <v>45392</v>
      </c>
      <c r="M368">
        <v>9</v>
      </c>
      <c r="N368">
        <v>7</v>
      </c>
      <c r="O368">
        <v>310</v>
      </c>
      <c r="P368">
        <v>316</v>
      </c>
      <c r="Q368">
        <v>310</v>
      </c>
      <c r="S368">
        <v>1138</v>
      </c>
      <c r="T368">
        <v>1629</v>
      </c>
      <c r="U368">
        <f>+SUM(Table1[[#This Row],[Latinos]:[Cemex]])</f>
        <v>1</v>
      </c>
      <c r="V368" t="str">
        <f>+Table1[[#This Row],[id_destino]]&amp;" - "&amp;Table1[[#This Row],[id_origen]]</f>
        <v>9 - 7</v>
      </c>
    </row>
    <row r="369" spans="1:22" hidden="1">
      <c r="A369">
        <v>4823</v>
      </c>
      <c r="B369">
        <v>364</v>
      </c>
      <c r="C369">
        <v>353</v>
      </c>
      <c r="D369">
        <v>388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 t="s">
        <v>20</v>
      </c>
      <c r="L369" s="1">
        <v>45866</v>
      </c>
      <c r="M369">
        <v>9</v>
      </c>
      <c r="N369">
        <v>7</v>
      </c>
      <c r="O369">
        <v>308</v>
      </c>
      <c r="P369">
        <v>308</v>
      </c>
      <c r="Q369">
        <v>308</v>
      </c>
      <c r="S369">
        <v>1364</v>
      </c>
      <c r="T369">
        <v>1364</v>
      </c>
      <c r="U369">
        <f>+SUM(Table1[[#This Row],[Latinos]:[Cemex]])</f>
        <v>1</v>
      </c>
      <c r="V369" t="str">
        <f>+Table1[[#This Row],[id_destino]]&amp;" - "&amp;Table1[[#This Row],[id_origen]]</f>
        <v>9 - 7</v>
      </c>
    </row>
    <row r="370" spans="1:22" hidden="1">
      <c r="A370">
        <v>302</v>
      </c>
      <c r="B370">
        <v>453</v>
      </c>
      <c r="C370">
        <v>4014</v>
      </c>
      <c r="D370">
        <v>4455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 t="s">
        <v>20</v>
      </c>
      <c r="L370" s="1">
        <v>44782</v>
      </c>
      <c r="M370">
        <v>23</v>
      </c>
      <c r="N370">
        <v>7</v>
      </c>
      <c r="O370">
        <v>2239</v>
      </c>
      <c r="P370">
        <v>2150</v>
      </c>
      <c r="Q370">
        <v>2239</v>
      </c>
      <c r="S370">
        <v>6242</v>
      </c>
      <c r="T370">
        <v>6832</v>
      </c>
      <c r="U370">
        <f>+SUM(Table1[[#This Row],[Latinos]:[Cemex]])</f>
        <v>1</v>
      </c>
      <c r="V370" t="str">
        <f>+Table1[[#This Row],[id_destino]]&amp;" - "&amp;Table1[[#This Row],[id_origen]]</f>
        <v>23 - 7</v>
      </c>
    </row>
    <row r="371" spans="1:22" hidden="1">
      <c r="A371">
        <v>4305</v>
      </c>
      <c r="B371">
        <v>4557</v>
      </c>
      <c r="C371">
        <v>353</v>
      </c>
      <c r="D371">
        <v>387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 t="s">
        <v>113</v>
      </c>
      <c r="L371" s="1">
        <v>45447</v>
      </c>
      <c r="M371">
        <v>30</v>
      </c>
      <c r="N371">
        <v>7</v>
      </c>
      <c r="O371">
        <v>2721</v>
      </c>
      <c r="P371">
        <v>2752</v>
      </c>
      <c r="Q371">
        <v>2721</v>
      </c>
      <c r="S371">
        <v>6486</v>
      </c>
      <c r="T371">
        <v>6486</v>
      </c>
      <c r="U371">
        <f>+SUM(Table1[[#This Row],[Latinos]:[Cemex]])</f>
        <v>1</v>
      </c>
      <c r="V371" t="str">
        <f>+Table1[[#This Row],[id_destino]]&amp;" - "&amp;Table1[[#This Row],[id_origen]]</f>
        <v>30 - 7</v>
      </c>
    </row>
    <row r="372" spans="1:22" hidden="1">
      <c r="A372">
        <v>4257</v>
      </c>
      <c r="B372">
        <v>4528</v>
      </c>
      <c r="C372">
        <v>353</v>
      </c>
      <c r="D372">
        <v>398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 t="s">
        <v>20</v>
      </c>
      <c r="L372" s="1">
        <v>45404</v>
      </c>
      <c r="M372">
        <v>42</v>
      </c>
      <c r="N372">
        <v>7</v>
      </c>
      <c r="O372">
        <v>1376</v>
      </c>
      <c r="P372">
        <v>1397</v>
      </c>
      <c r="Q372">
        <v>1376</v>
      </c>
      <c r="S372">
        <v>1156</v>
      </c>
      <c r="T372">
        <v>1156</v>
      </c>
      <c r="U372">
        <f>+SUM(Table1[[#This Row],[Latinos]:[Cemex]])</f>
        <v>1</v>
      </c>
      <c r="V372" t="str">
        <f>+Table1[[#This Row],[id_destino]]&amp;" - "&amp;Table1[[#This Row],[id_origen]]</f>
        <v>42 - 7</v>
      </c>
    </row>
    <row r="373" spans="1:22" hidden="1">
      <c r="A373">
        <v>4463</v>
      </c>
      <c r="B373">
        <v>4528</v>
      </c>
      <c r="C373">
        <v>7921</v>
      </c>
      <c r="D373">
        <v>48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 t="s">
        <v>20</v>
      </c>
      <c r="L373" s="1">
        <v>45562</v>
      </c>
      <c r="M373">
        <v>42</v>
      </c>
      <c r="N373">
        <v>7</v>
      </c>
      <c r="O373">
        <v>1411</v>
      </c>
      <c r="P373">
        <v>1343</v>
      </c>
      <c r="Q373">
        <v>1411</v>
      </c>
      <c r="S373">
        <v>2902</v>
      </c>
      <c r="T373">
        <v>3492</v>
      </c>
      <c r="U373">
        <f>+SUM(Table1[[#This Row],[Latinos]:[Cemex]])</f>
        <v>1</v>
      </c>
      <c r="V373" t="str">
        <f>+Table1[[#This Row],[id_destino]]&amp;" - "&amp;Table1[[#This Row],[id_origen]]</f>
        <v>42 - 7</v>
      </c>
    </row>
    <row r="374" spans="1:22" hidden="1">
      <c r="A374">
        <v>1516</v>
      </c>
      <c r="B374">
        <v>2789</v>
      </c>
      <c r="C374">
        <v>3916</v>
      </c>
      <c r="D374">
        <v>71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 t="s">
        <v>20</v>
      </c>
      <c r="L374" s="1">
        <v>43483</v>
      </c>
      <c r="M374">
        <v>61</v>
      </c>
      <c r="N374">
        <v>7</v>
      </c>
      <c r="O374">
        <v>4356</v>
      </c>
      <c r="P374">
        <v>4356</v>
      </c>
      <c r="Q374">
        <v>4356</v>
      </c>
      <c r="S374">
        <v>4260</v>
      </c>
      <c r="T374">
        <v>4687</v>
      </c>
      <c r="U374">
        <f>+SUM(Table1[[#This Row],[Latinos]:[Cemex]])</f>
        <v>1</v>
      </c>
      <c r="V374" t="str">
        <f>+Table1[[#This Row],[id_destino]]&amp;" - "&amp;Table1[[#This Row],[id_origen]]</f>
        <v>61 - 7</v>
      </c>
    </row>
    <row r="375" spans="1:22" hidden="1">
      <c r="A375">
        <v>4420</v>
      </c>
      <c r="B375">
        <v>4645</v>
      </c>
      <c r="C375">
        <v>4014</v>
      </c>
      <c r="D375">
        <v>268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20</v>
      </c>
      <c r="L375" s="1">
        <v>45559</v>
      </c>
      <c r="M375">
        <v>99</v>
      </c>
      <c r="N375">
        <v>7</v>
      </c>
      <c r="O375">
        <v>1499</v>
      </c>
      <c r="P375">
        <v>1509</v>
      </c>
      <c r="Q375">
        <v>1499</v>
      </c>
      <c r="S375">
        <v>716</v>
      </c>
      <c r="T375">
        <v>716</v>
      </c>
      <c r="U375">
        <f>+SUM(Table1[[#This Row],[Latinos]:[Cemex]])</f>
        <v>1</v>
      </c>
      <c r="V375" t="str">
        <f>+Table1[[#This Row],[id_destino]]&amp;" - "&amp;Table1[[#This Row],[id_origen]]</f>
        <v>99 - 7</v>
      </c>
    </row>
    <row r="376" spans="1:22" hidden="1">
      <c r="A376">
        <v>1521</v>
      </c>
      <c r="B376">
        <v>2793</v>
      </c>
      <c r="C376">
        <v>3916</v>
      </c>
      <c r="D376">
        <v>1584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 t="s">
        <v>20</v>
      </c>
      <c r="L376" s="1">
        <v>43486</v>
      </c>
      <c r="M376">
        <v>118</v>
      </c>
      <c r="N376">
        <v>7</v>
      </c>
      <c r="O376">
        <v>4621</v>
      </c>
      <c r="P376">
        <v>4621</v>
      </c>
      <c r="Q376">
        <v>4621</v>
      </c>
      <c r="S376">
        <v>4898</v>
      </c>
      <c r="T376">
        <v>5377</v>
      </c>
      <c r="U376">
        <f>+SUM(Table1[[#This Row],[Latinos]:[Cemex]])</f>
        <v>1</v>
      </c>
      <c r="V376" t="str">
        <f>+Table1[[#This Row],[id_destino]]&amp;" - "&amp;Table1[[#This Row],[id_origen]]</f>
        <v>118 - 7</v>
      </c>
    </row>
    <row r="377" spans="1:22" hidden="1">
      <c r="A377">
        <v>2046</v>
      </c>
      <c r="B377">
        <v>3100</v>
      </c>
      <c r="C377">
        <v>5</v>
      </c>
      <c r="D377">
        <v>3176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 t="s">
        <v>20</v>
      </c>
      <c r="L377" s="1">
        <v>43781</v>
      </c>
      <c r="M377">
        <v>136</v>
      </c>
      <c r="N377">
        <v>7</v>
      </c>
      <c r="O377">
        <v>1580</v>
      </c>
      <c r="P377">
        <v>1580</v>
      </c>
      <c r="Q377">
        <v>1580</v>
      </c>
      <c r="S377">
        <v>1432</v>
      </c>
      <c r="T377">
        <v>1432</v>
      </c>
      <c r="U377">
        <f>+SUM(Table1[[#This Row],[Latinos]:[Cemex]])</f>
        <v>1</v>
      </c>
      <c r="V377" t="str">
        <f>+Table1[[#This Row],[id_destino]]&amp;" - "&amp;Table1[[#This Row],[id_origen]]</f>
        <v>136 - 7</v>
      </c>
    </row>
    <row r="378" spans="1:22" hidden="1">
      <c r="A378">
        <v>3296</v>
      </c>
      <c r="B378">
        <v>3100</v>
      </c>
      <c r="C378">
        <v>4014</v>
      </c>
      <c r="D378">
        <v>3176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 t="s">
        <v>20</v>
      </c>
      <c r="L378" s="1">
        <v>44813</v>
      </c>
      <c r="M378">
        <v>136</v>
      </c>
      <c r="N378">
        <v>7</v>
      </c>
      <c r="O378">
        <v>1567</v>
      </c>
      <c r="P378">
        <v>1501</v>
      </c>
      <c r="Q378">
        <v>1567</v>
      </c>
      <c r="S378">
        <v>2887</v>
      </c>
      <c r="T378">
        <v>3381</v>
      </c>
      <c r="U378">
        <f>+SUM(Table1[[#This Row],[Latinos]:[Cemex]])</f>
        <v>1</v>
      </c>
      <c r="V378" t="str">
        <f>+Table1[[#This Row],[id_destino]]&amp;" - "&amp;Table1[[#This Row],[id_origen]]</f>
        <v>136 - 7</v>
      </c>
    </row>
    <row r="379" spans="1:22" hidden="1">
      <c r="A379">
        <v>1511</v>
      </c>
      <c r="B379">
        <v>2785</v>
      </c>
      <c r="C379">
        <v>5232</v>
      </c>
      <c r="D379">
        <v>135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 t="s">
        <v>20</v>
      </c>
      <c r="L379" s="1">
        <v>43479</v>
      </c>
      <c r="M379">
        <v>227</v>
      </c>
      <c r="N379">
        <v>7</v>
      </c>
      <c r="O379">
        <v>1771</v>
      </c>
      <c r="P379">
        <v>1771</v>
      </c>
      <c r="Q379">
        <v>1771</v>
      </c>
      <c r="S379">
        <v>1864</v>
      </c>
      <c r="T379">
        <v>1864</v>
      </c>
      <c r="U379">
        <f>+SUM(Table1[[#This Row],[Latinos]:[Cemex]])</f>
        <v>1</v>
      </c>
      <c r="V379" t="str">
        <f>+Table1[[#This Row],[id_destino]]&amp;" - "&amp;Table1[[#This Row],[id_origen]]</f>
        <v>227 - 7</v>
      </c>
    </row>
    <row r="380" spans="1:22" hidden="1">
      <c r="A380">
        <v>4273</v>
      </c>
      <c r="B380">
        <v>4537</v>
      </c>
      <c r="C380">
        <v>353</v>
      </c>
      <c r="D380">
        <v>7298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 t="s">
        <v>20</v>
      </c>
      <c r="L380" s="1">
        <v>45418</v>
      </c>
      <c r="M380">
        <v>685</v>
      </c>
      <c r="N380">
        <v>7</v>
      </c>
      <c r="O380">
        <v>1544</v>
      </c>
      <c r="P380">
        <v>1527</v>
      </c>
      <c r="Q380">
        <v>1544</v>
      </c>
      <c r="S380">
        <v>1650</v>
      </c>
      <c r="T380">
        <v>1650</v>
      </c>
      <c r="U380">
        <f>+SUM(Table1[[#This Row],[Latinos]:[Cemex]])</f>
        <v>1</v>
      </c>
      <c r="V380" t="str">
        <f>+Table1[[#This Row],[id_destino]]&amp;" - "&amp;Table1[[#This Row],[id_origen]]</f>
        <v>685 - 7</v>
      </c>
    </row>
    <row r="381" spans="1:22" hidden="1">
      <c r="A381">
        <v>1739</v>
      </c>
      <c r="B381">
        <v>2911</v>
      </c>
      <c r="C381">
        <v>4531</v>
      </c>
      <c r="D381">
        <v>3542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 t="s">
        <v>20</v>
      </c>
      <c r="L381" s="1">
        <v>44025</v>
      </c>
      <c r="M381">
        <v>3</v>
      </c>
      <c r="N381">
        <v>9</v>
      </c>
      <c r="O381">
        <v>618</v>
      </c>
      <c r="P381">
        <v>618</v>
      </c>
      <c r="Q381">
        <v>618</v>
      </c>
      <c r="S381">
        <v>196</v>
      </c>
      <c r="T381">
        <v>196</v>
      </c>
      <c r="U381">
        <f>+SUM(Table1[[#This Row],[Latinos]:[Cemex]])</f>
        <v>1</v>
      </c>
      <c r="V381" t="str">
        <f>+Table1[[#This Row],[id_destino]]&amp;" - "&amp;Table1[[#This Row],[id_origen]]</f>
        <v>3 - 9</v>
      </c>
    </row>
    <row r="382" spans="1:22" hidden="1">
      <c r="A382">
        <v>1160</v>
      </c>
      <c r="B382">
        <v>2215</v>
      </c>
      <c r="C382">
        <v>388</v>
      </c>
      <c r="D382">
        <v>424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 t="s">
        <v>20</v>
      </c>
      <c r="L382" s="1">
        <v>43326</v>
      </c>
      <c r="M382">
        <v>4</v>
      </c>
      <c r="N382">
        <v>9</v>
      </c>
      <c r="O382">
        <v>869</v>
      </c>
      <c r="P382">
        <v>869</v>
      </c>
      <c r="Q382">
        <v>869</v>
      </c>
      <c r="S382">
        <v>361</v>
      </c>
      <c r="T382">
        <v>361</v>
      </c>
      <c r="U382">
        <f>+SUM(Table1[[#This Row],[Latinos]:[Cemex]])</f>
        <v>1</v>
      </c>
      <c r="V382" t="str">
        <f>+Table1[[#This Row],[id_destino]]&amp;" - "&amp;Table1[[#This Row],[id_origen]]</f>
        <v>4 - 9</v>
      </c>
    </row>
    <row r="383" spans="1:22" hidden="1">
      <c r="A383">
        <v>4758</v>
      </c>
      <c r="B383">
        <v>2215</v>
      </c>
      <c r="C383">
        <v>5959</v>
      </c>
      <c r="D383">
        <v>4632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 t="s">
        <v>20</v>
      </c>
      <c r="L383" s="1">
        <v>45789</v>
      </c>
      <c r="M383">
        <v>4</v>
      </c>
      <c r="N383">
        <v>9</v>
      </c>
      <c r="O383">
        <v>868</v>
      </c>
      <c r="P383">
        <v>792</v>
      </c>
      <c r="Q383">
        <v>868</v>
      </c>
      <c r="S383">
        <v>1073</v>
      </c>
      <c r="T383">
        <v>1156</v>
      </c>
      <c r="U383">
        <f>+SUM(Table1[[#This Row],[Latinos]:[Cemex]])</f>
        <v>1</v>
      </c>
      <c r="V383" t="str">
        <f>+Table1[[#This Row],[id_destino]]&amp;" - "&amp;Table1[[#This Row],[id_origen]]</f>
        <v>4 - 9</v>
      </c>
    </row>
    <row r="384" spans="1:22" hidden="1">
      <c r="A384">
        <v>1820</v>
      </c>
      <c r="B384">
        <v>364</v>
      </c>
      <c r="C384">
        <v>5959</v>
      </c>
      <c r="D384">
        <v>5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 t="s">
        <v>20</v>
      </c>
      <c r="L384" s="1">
        <v>43647</v>
      </c>
      <c r="M384">
        <v>7</v>
      </c>
      <c r="N384">
        <v>9</v>
      </c>
      <c r="O384">
        <v>304</v>
      </c>
      <c r="P384">
        <v>309</v>
      </c>
      <c r="Q384">
        <v>304</v>
      </c>
      <c r="S384">
        <v>1173</v>
      </c>
      <c r="T384">
        <v>1680</v>
      </c>
      <c r="U384">
        <f>+SUM(Table1[[#This Row],[Latinos]:[Cemex]])</f>
        <v>1</v>
      </c>
      <c r="V384" t="str">
        <f>+Table1[[#This Row],[id_destino]]&amp;" - "&amp;Table1[[#This Row],[id_origen]]</f>
        <v>7 - 9</v>
      </c>
    </row>
    <row r="385" spans="1:22" hidden="1">
      <c r="A385">
        <v>3761</v>
      </c>
      <c r="B385">
        <v>4203</v>
      </c>
      <c r="C385">
        <v>5959</v>
      </c>
      <c r="D385">
        <v>7442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 t="s">
        <v>20</v>
      </c>
      <c r="L385" s="1">
        <v>45153</v>
      </c>
      <c r="M385">
        <v>8</v>
      </c>
      <c r="N385">
        <v>9</v>
      </c>
      <c r="O385">
        <v>386</v>
      </c>
      <c r="P385">
        <v>370</v>
      </c>
      <c r="Q385">
        <v>386</v>
      </c>
      <c r="S385">
        <v>0</v>
      </c>
      <c r="T385">
        <v>0</v>
      </c>
      <c r="U385">
        <f>+SUM(Table1[[#This Row],[Latinos]:[Cemex]])</f>
        <v>1</v>
      </c>
      <c r="V385" t="str">
        <f>+Table1[[#This Row],[id_destino]]&amp;" - "&amp;Table1[[#This Row],[id_origen]]</f>
        <v>8 - 9</v>
      </c>
    </row>
    <row r="386" spans="1:22" hidden="1">
      <c r="A386">
        <v>430</v>
      </c>
      <c r="B386">
        <v>2181</v>
      </c>
      <c r="C386">
        <v>5254</v>
      </c>
      <c r="D386">
        <v>5356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 t="s">
        <v>20</v>
      </c>
      <c r="L386" s="1">
        <v>43066</v>
      </c>
      <c r="M386">
        <v>9</v>
      </c>
      <c r="N386">
        <v>9</v>
      </c>
      <c r="O386">
        <v>31</v>
      </c>
      <c r="P386">
        <v>150</v>
      </c>
      <c r="Q386">
        <v>31</v>
      </c>
      <c r="S386">
        <v>0</v>
      </c>
      <c r="T386">
        <v>0</v>
      </c>
      <c r="U386">
        <f>+SUM(Table1[[#This Row],[Latinos]:[Cemex]])</f>
        <v>1</v>
      </c>
      <c r="V386" t="str">
        <f>+Table1[[#This Row],[id_destino]]&amp;" - "&amp;Table1[[#This Row],[id_origen]]</f>
        <v>9 - 9</v>
      </c>
    </row>
    <row r="387" spans="1:22" hidden="1">
      <c r="A387">
        <v>1413</v>
      </c>
      <c r="B387">
        <v>2181</v>
      </c>
      <c r="C387">
        <v>5755</v>
      </c>
      <c r="D387">
        <v>5755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 t="s">
        <v>20</v>
      </c>
      <c r="L387" s="1">
        <v>43425</v>
      </c>
      <c r="M387">
        <v>9</v>
      </c>
      <c r="N387">
        <v>9</v>
      </c>
      <c r="O387">
        <v>50</v>
      </c>
      <c r="P387">
        <v>150</v>
      </c>
      <c r="Q387">
        <v>50</v>
      </c>
      <c r="S387">
        <v>0</v>
      </c>
      <c r="T387">
        <v>0</v>
      </c>
      <c r="U387">
        <f>+SUM(Table1[[#This Row],[Latinos]:[Cemex]])</f>
        <v>1</v>
      </c>
      <c r="V387" t="str">
        <f>+Table1[[#This Row],[id_destino]]&amp;" - "&amp;Table1[[#This Row],[id_origen]]</f>
        <v>9 - 9</v>
      </c>
    </row>
    <row r="388" spans="1:22" hidden="1">
      <c r="A388">
        <v>1331</v>
      </c>
      <c r="B388">
        <v>2696</v>
      </c>
      <c r="C388">
        <v>388</v>
      </c>
      <c r="D388">
        <v>355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 t="s">
        <v>20</v>
      </c>
      <c r="L388" s="1">
        <v>43402</v>
      </c>
      <c r="M388">
        <v>10</v>
      </c>
      <c r="N388">
        <v>9</v>
      </c>
      <c r="O388">
        <v>380</v>
      </c>
      <c r="P388">
        <v>380</v>
      </c>
      <c r="Q388">
        <v>380</v>
      </c>
      <c r="S388">
        <v>294</v>
      </c>
      <c r="T388">
        <v>637</v>
      </c>
      <c r="U388">
        <f>+SUM(Table1[[#This Row],[Latinos]:[Cemex]])</f>
        <v>1</v>
      </c>
      <c r="V388" t="str">
        <f>+Table1[[#This Row],[id_destino]]&amp;" - "&amp;Table1[[#This Row],[id_origen]]</f>
        <v>10 - 9</v>
      </c>
    </row>
    <row r="389" spans="1:22" hidden="1">
      <c r="A389">
        <v>3662</v>
      </c>
      <c r="B389">
        <v>4146</v>
      </c>
      <c r="C389">
        <v>5959</v>
      </c>
      <c r="D389">
        <v>6094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 t="s">
        <v>20</v>
      </c>
      <c r="L389" s="1">
        <v>45014</v>
      </c>
      <c r="M389">
        <v>20</v>
      </c>
      <c r="N389">
        <v>9</v>
      </c>
      <c r="O389">
        <v>1428</v>
      </c>
      <c r="P389">
        <v>1331</v>
      </c>
      <c r="Q389">
        <v>1428</v>
      </c>
      <c r="S389">
        <v>3313</v>
      </c>
      <c r="T389">
        <v>3396</v>
      </c>
      <c r="U389">
        <f>+SUM(Table1[[#This Row],[Latinos]:[Cemex]])</f>
        <v>1</v>
      </c>
      <c r="V389" t="str">
        <f>+Table1[[#This Row],[id_destino]]&amp;" - "&amp;Table1[[#This Row],[id_origen]]</f>
        <v>20 - 9</v>
      </c>
    </row>
    <row r="390" spans="1:22" hidden="1">
      <c r="A390">
        <v>1099</v>
      </c>
      <c r="B390">
        <v>583</v>
      </c>
      <c r="C390">
        <v>4531</v>
      </c>
      <c r="D390">
        <v>35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 t="s">
        <v>20</v>
      </c>
      <c r="L390" s="1">
        <v>43290</v>
      </c>
      <c r="M390">
        <v>31</v>
      </c>
      <c r="N390">
        <v>9</v>
      </c>
      <c r="O390">
        <v>2580</v>
      </c>
      <c r="P390">
        <v>2519</v>
      </c>
      <c r="Q390">
        <v>2580</v>
      </c>
      <c r="S390">
        <v>8289</v>
      </c>
      <c r="T390">
        <v>8372</v>
      </c>
      <c r="U390">
        <f>+SUM(Table1[[#This Row],[Latinos]:[Cemex]])</f>
        <v>1</v>
      </c>
      <c r="V390" t="str">
        <f>+Table1[[#This Row],[id_destino]]&amp;" - "&amp;Table1[[#This Row],[id_origen]]</f>
        <v>31 - 9</v>
      </c>
    </row>
    <row r="391" spans="1:22" hidden="1">
      <c r="A391">
        <v>4006</v>
      </c>
      <c r="B391">
        <v>561</v>
      </c>
      <c r="C391">
        <v>7354</v>
      </c>
      <c r="D391">
        <v>398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 t="s">
        <v>20</v>
      </c>
      <c r="L391" s="1">
        <v>45231</v>
      </c>
      <c r="M391">
        <v>42</v>
      </c>
      <c r="N391">
        <v>9</v>
      </c>
      <c r="O391">
        <v>1103</v>
      </c>
      <c r="P391">
        <v>1100</v>
      </c>
      <c r="Q391">
        <v>1103</v>
      </c>
      <c r="S391">
        <v>1259</v>
      </c>
      <c r="T391">
        <v>1259</v>
      </c>
      <c r="U391">
        <f>+SUM(Table1[[#This Row],[Latinos]:[Cemex]])</f>
        <v>1</v>
      </c>
      <c r="V391" t="str">
        <f>+Table1[[#This Row],[id_destino]]&amp;" - "&amp;Table1[[#This Row],[id_origen]]</f>
        <v>42 - 9</v>
      </c>
    </row>
    <row r="392" spans="1:22" hidden="1">
      <c r="A392">
        <v>503</v>
      </c>
      <c r="B392">
        <v>2323</v>
      </c>
      <c r="C392">
        <v>4531</v>
      </c>
      <c r="D392">
        <v>49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 t="s">
        <v>20</v>
      </c>
      <c r="L392" s="1">
        <v>43082</v>
      </c>
      <c r="M392">
        <v>43</v>
      </c>
      <c r="N392">
        <v>9</v>
      </c>
      <c r="O392">
        <v>781</v>
      </c>
      <c r="P392">
        <v>721</v>
      </c>
      <c r="Q392">
        <v>781</v>
      </c>
      <c r="S392">
        <v>966</v>
      </c>
      <c r="T392">
        <v>1049</v>
      </c>
      <c r="U392">
        <f>+SUM(Table1[[#This Row],[Latinos]:[Cemex]])</f>
        <v>1</v>
      </c>
      <c r="V392" t="str">
        <f>+Table1[[#This Row],[id_destino]]&amp;" - "&amp;Table1[[#This Row],[id_origen]]</f>
        <v>43 - 9</v>
      </c>
    </row>
    <row r="393" spans="1:22" hidden="1">
      <c r="A393">
        <v>2199</v>
      </c>
      <c r="B393">
        <v>1482</v>
      </c>
      <c r="C393">
        <v>6250</v>
      </c>
      <c r="D393">
        <v>6251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 t="s">
        <v>20</v>
      </c>
      <c r="L393" s="1">
        <v>45083</v>
      </c>
      <c r="M393">
        <v>52</v>
      </c>
      <c r="N393">
        <v>9</v>
      </c>
      <c r="O393">
        <v>0</v>
      </c>
      <c r="P393">
        <v>150</v>
      </c>
      <c r="Q393">
        <v>0</v>
      </c>
      <c r="S393">
        <v>0</v>
      </c>
      <c r="T393">
        <v>2743</v>
      </c>
      <c r="U393">
        <f>+SUM(Table1[[#This Row],[Latinos]:[Cemex]])</f>
        <v>1</v>
      </c>
      <c r="V393" t="str">
        <f>+Table1[[#This Row],[id_destino]]&amp;" - "&amp;Table1[[#This Row],[id_origen]]</f>
        <v>52 - 9</v>
      </c>
    </row>
    <row r="394" spans="1:22" hidden="1">
      <c r="A394">
        <v>555</v>
      </c>
      <c r="B394">
        <v>2343</v>
      </c>
      <c r="C394">
        <v>4531</v>
      </c>
      <c r="D394">
        <v>4253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 t="s">
        <v>37</v>
      </c>
      <c r="L394" s="1">
        <v>43102</v>
      </c>
      <c r="M394">
        <v>88</v>
      </c>
      <c r="N394">
        <v>9</v>
      </c>
      <c r="O394">
        <v>1907</v>
      </c>
      <c r="P394">
        <v>1907</v>
      </c>
      <c r="Q394">
        <v>1907</v>
      </c>
      <c r="S394">
        <v>2097</v>
      </c>
      <c r="T394">
        <v>2097</v>
      </c>
      <c r="U394">
        <f>+SUM(Table1[[#This Row],[Latinos]:[Cemex]])</f>
        <v>1</v>
      </c>
      <c r="V394" t="str">
        <f>+Table1[[#This Row],[id_destino]]&amp;" - "&amp;Table1[[#This Row],[id_origen]]</f>
        <v>88 - 9</v>
      </c>
    </row>
    <row r="395" spans="1:22" hidden="1">
      <c r="A395">
        <v>557</v>
      </c>
      <c r="B395">
        <v>2343</v>
      </c>
      <c r="C395">
        <v>4531</v>
      </c>
      <c r="D395">
        <v>4253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 t="s">
        <v>20</v>
      </c>
      <c r="L395" s="1">
        <v>43102</v>
      </c>
      <c r="M395">
        <v>88</v>
      </c>
      <c r="N395">
        <v>9</v>
      </c>
      <c r="O395">
        <v>1907</v>
      </c>
      <c r="P395">
        <v>1907</v>
      </c>
      <c r="Q395">
        <v>1907</v>
      </c>
      <c r="S395">
        <v>2097</v>
      </c>
      <c r="T395">
        <v>2097</v>
      </c>
      <c r="U395">
        <f>+SUM(Table1[[#This Row],[Latinos]:[Cemex]])</f>
        <v>1</v>
      </c>
      <c r="V395" t="str">
        <f>+Table1[[#This Row],[id_destino]]&amp;" - "&amp;Table1[[#This Row],[id_origen]]</f>
        <v>88 - 9</v>
      </c>
    </row>
    <row r="396" spans="1:22" hidden="1">
      <c r="A396">
        <v>500</v>
      </c>
      <c r="B396">
        <v>2320</v>
      </c>
      <c r="C396">
        <v>388</v>
      </c>
      <c r="D396">
        <v>485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 t="s">
        <v>20</v>
      </c>
      <c r="L396" s="1">
        <v>43082</v>
      </c>
      <c r="M396">
        <v>129</v>
      </c>
      <c r="N396">
        <v>9</v>
      </c>
      <c r="O396">
        <v>1455</v>
      </c>
      <c r="P396">
        <v>1455</v>
      </c>
      <c r="Q396">
        <v>1455</v>
      </c>
      <c r="S396">
        <v>1696</v>
      </c>
      <c r="T396">
        <v>1696</v>
      </c>
      <c r="U396">
        <f>+SUM(Table1[[#This Row],[Latinos]:[Cemex]])</f>
        <v>1</v>
      </c>
      <c r="V396" t="str">
        <f>+Table1[[#This Row],[id_destino]]&amp;" - "&amp;Table1[[#This Row],[id_origen]]</f>
        <v>129 - 9</v>
      </c>
    </row>
    <row r="397" spans="1:22" hidden="1">
      <c r="A397">
        <v>2045</v>
      </c>
      <c r="B397">
        <v>3099</v>
      </c>
      <c r="C397">
        <v>4531</v>
      </c>
      <c r="D397">
        <v>3176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 t="s">
        <v>20</v>
      </c>
      <c r="L397" s="1">
        <v>43781</v>
      </c>
      <c r="M397">
        <v>136</v>
      </c>
      <c r="N397">
        <v>9</v>
      </c>
      <c r="O397">
        <v>1244</v>
      </c>
      <c r="P397">
        <v>1244</v>
      </c>
      <c r="Q397">
        <v>1244</v>
      </c>
      <c r="S397">
        <v>1548</v>
      </c>
      <c r="T397">
        <v>1548</v>
      </c>
      <c r="U397">
        <f>+SUM(Table1[[#This Row],[Latinos]:[Cemex]])</f>
        <v>1</v>
      </c>
      <c r="V397" t="str">
        <f>+Table1[[#This Row],[id_destino]]&amp;" - "&amp;Table1[[#This Row],[id_origen]]</f>
        <v>136 - 9</v>
      </c>
    </row>
    <row r="398" spans="1:22" hidden="1">
      <c r="A398">
        <v>4831</v>
      </c>
      <c r="B398">
        <v>4939</v>
      </c>
      <c r="C398">
        <v>2202</v>
      </c>
      <c r="D398">
        <v>8282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 t="s">
        <v>20</v>
      </c>
      <c r="L398" s="1">
        <v>45873</v>
      </c>
      <c r="M398">
        <v>147</v>
      </c>
      <c r="N398">
        <v>9</v>
      </c>
      <c r="O398">
        <v>1358</v>
      </c>
      <c r="P398">
        <v>1358</v>
      </c>
      <c r="Q398">
        <v>1358</v>
      </c>
      <c r="S398">
        <v>2480</v>
      </c>
      <c r="T398">
        <v>2480</v>
      </c>
      <c r="U398">
        <f>+SUM(Table1[[#This Row],[Latinos]:[Cemex]])</f>
        <v>1</v>
      </c>
      <c r="V398" t="str">
        <f>+Table1[[#This Row],[id_destino]]&amp;" - "&amp;Table1[[#This Row],[id_origen]]</f>
        <v>147 - 9</v>
      </c>
    </row>
    <row r="399" spans="1:22" hidden="1">
      <c r="A399">
        <v>4740</v>
      </c>
      <c r="B399">
        <v>4876</v>
      </c>
      <c r="C399">
        <v>8139</v>
      </c>
      <c r="D399">
        <v>8213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 t="s">
        <v>20</v>
      </c>
      <c r="L399" s="1">
        <v>45777</v>
      </c>
      <c r="M399">
        <v>254</v>
      </c>
      <c r="N399">
        <v>9</v>
      </c>
      <c r="O399">
        <v>1310</v>
      </c>
      <c r="P399">
        <v>1310</v>
      </c>
      <c r="Q399">
        <v>1310</v>
      </c>
      <c r="S399">
        <v>2760</v>
      </c>
      <c r="T399">
        <v>2843</v>
      </c>
      <c r="U399">
        <f>+SUM(Table1[[#This Row],[Latinos]:[Cemex]])</f>
        <v>1</v>
      </c>
      <c r="V399" t="str">
        <f>+Table1[[#This Row],[id_destino]]&amp;" - "&amp;Table1[[#This Row],[id_origen]]</f>
        <v>254 - 9</v>
      </c>
    </row>
    <row r="400" spans="1:22" hidden="1">
      <c r="A400">
        <v>4825</v>
      </c>
      <c r="B400">
        <v>4934</v>
      </c>
      <c r="C400">
        <v>8278</v>
      </c>
      <c r="D400">
        <v>4145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 t="s">
        <v>20</v>
      </c>
      <c r="L400" s="1">
        <v>45867</v>
      </c>
      <c r="M400">
        <v>353</v>
      </c>
      <c r="N400">
        <v>9</v>
      </c>
      <c r="O400">
        <v>1605</v>
      </c>
      <c r="P400">
        <v>1605</v>
      </c>
      <c r="Q400">
        <v>1605</v>
      </c>
      <c r="S400">
        <v>3541</v>
      </c>
      <c r="T400">
        <v>3541</v>
      </c>
      <c r="U400">
        <f>+SUM(Table1[[#This Row],[Latinos]:[Cemex]])</f>
        <v>1</v>
      </c>
      <c r="V400" t="str">
        <f>+Table1[[#This Row],[id_destino]]&amp;" - "&amp;Table1[[#This Row],[id_origen]]</f>
        <v>353 - 9</v>
      </c>
    </row>
    <row r="401" spans="1:22" hidden="1">
      <c r="A401">
        <v>1640</v>
      </c>
      <c r="B401">
        <v>2855</v>
      </c>
      <c r="C401">
        <v>5755</v>
      </c>
      <c r="D401">
        <v>5857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 t="s">
        <v>20</v>
      </c>
      <c r="L401" s="1">
        <v>43546</v>
      </c>
      <c r="M401">
        <v>428</v>
      </c>
      <c r="N401">
        <v>9</v>
      </c>
      <c r="O401">
        <v>943</v>
      </c>
      <c r="P401">
        <v>869</v>
      </c>
      <c r="Q401">
        <v>943</v>
      </c>
      <c r="S401">
        <v>755</v>
      </c>
      <c r="T401">
        <v>947</v>
      </c>
      <c r="U401">
        <f>+SUM(Table1[[#This Row],[Latinos]:[Cemex]])</f>
        <v>1</v>
      </c>
      <c r="V401" t="str">
        <f>+Table1[[#This Row],[id_destino]]&amp;" - "&amp;Table1[[#This Row],[id_origen]]</f>
        <v>428 - 9</v>
      </c>
    </row>
    <row r="402" spans="1:22" hidden="1">
      <c r="A402">
        <v>628</v>
      </c>
      <c r="B402">
        <v>2373</v>
      </c>
      <c r="C402">
        <v>4531</v>
      </c>
      <c r="D402">
        <v>255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 t="s">
        <v>20</v>
      </c>
      <c r="L402" s="1">
        <v>43118</v>
      </c>
      <c r="M402">
        <v>714</v>
      </c>
      <c r="N402">
        <v>9</v>
      </c>
      <c r="O402">
        <v>1367</v>
      </c>
      <c r="P402">
        <v>1302</v>
      </c>
      <c r="Q402">
        <v>1367</v>
      </c>
      <c r="S402">
        <v>2622</v>
      </c>
      <c r="T402">
        <v>2705</v>
      </c>
      <c r="U402">
        <f>+SUM(Table1[[#This Row],[Latinos]:[Cemex]])</f>
        <v>1</v>
      </c>
      <c r="V402" t="str">
        <f>+Table1[[#This Row],[id_destino]]&amp;" - "&amp;Table1[[#This Row],[id_origen]]</f>
        <v>714 - 9</v>
      </c>
    </row>
    <row r="403" spans="1:22" hidden="1">
      <c r="A403">
        <v>2044</v>
      </c>
      <c r="B403">
        <v>3098</v>
      </c>
      <c r="C403">
        <v>7</v>
      </c>
      <c r="D403">
        <v>6145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 t="s">
        <v>20</v>
      </c>
      <c r="L403" s="1">
        <v>43780</v>
      </c>
      <c r="M403">
        <v>753</v>
      </c>
      <c r="N403">
        <v>9</v>
      </c>
      <c r="O403">
        <v>10</v>
      </c>
      <c r="P403">
        <v>10</v>
      </c>
      <c r="Q403">
        <v>10</v>
      </c>
      <c r="S403">
        <v>0</v>
      </c>
      <c r="T403">
        <v>0</v>
      </c>
      <c r="U403">
        <f>+SUM(Table1[[#This Row],[Latinos]:[Cemex]])</f>
        <v>1</v>
      </c>
      <c r="V403" t="str">
        <f>+Table1[[#This Row],[id_destino]]&amp;" - "&amp;Table1[[#This Row],[id_origen]]</f>
        <v>753 - 9</v>
      </c>
    </row>
    <row r="404" spans="1:22" hidden="1">
      <c r="A404">
        <v>4056</v>
      </c>
      <c r="B404">
        <v>4391</v>
      </c>
      <c r="C404">
        <v>7354</v>
      </c>
      <c r="D404">
        <v>7573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 t="s">
        <v>20</v>
      </c>
      <c r="L404" s="1">
        <v>45258</v>
      </c>
      <c r="M404">
        <v>891</v>
      </c>
      <c r="N404">
        <v>9</v>
      </c>
      <c r="O404">
        <v>549</v>
      </c>
      <c r="P404">
        <v>551</v>
      </c>
      <c r="Q404">
        <v>549</v>
      </c>
      <c r="S404">
        <v>138</v>
      </c>
      <c r="T404">
        <v>138</v>
      </c>
      <c r="U404">
        <f>+SUM(Table1[[#This Row],[Latinos]:[Cemex]])</f>
        <v>1</v>
      </c>
      <c r="V404" t="str">
        <f>+Table1[[#This Row],[id_destino]]&amp;" - "&amp;Table1[[#This Row],[id_origen]]</f>
        <v>891 - 9</v>
      </c>
    </row>
    <row r="405" spans="1:22" hidden="1">
      <c r="A405">
        <v>4314</v>
      </c>
      <c r="B405">
        <v>4564</v>
      </c>
      <c r="C405">
        <v>7354</v>
      </c>
      <c r="D405">
        <v>7800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 t="s">
        <v>20</v>
      </c>
      <c r="L405" s="1">
        <v>45453</v>
      </c>
      <c r="M405">
        <v>903</v>
      </c>
      <c r="N405">
        <v>9</v>
      </c>
      <c r="O405">
        <v>1240</v>
      </c>
      <c r="P405">
        <v>1240</v>
      </c>
      <c r="Q405">
        <v>1240</v>
      </c>
      <c r="S405">
        <v>1946</v>
      </c>
      <c r="T405">
        <v>2023</v>
      </c>
      <c r="U405">
        <f>+SUM(Table1[[#This Row],[Latinos]:[Cemex]])</f>
        <v>1</v>
      </c>
      <c r="V405" t="str">
        <f>+Table1[[#This Row],[id_destino]]&amp;" - "&amp;Table1[[#This Row],[id_origen]]</f>
        <v>903 - 9</v>
      </c>
    </row>
    <row r="406" spans="1:22" hidden="1">
      <c r="A406">
        <v>4175</v>
      </c>
      <c r="B406">
        <v>2576</v>
      </c>
      <c r="C406">
        <v>7147</v>
      </c>
      <c r="D406">
        <v>394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 t="s">
        <v>20</v>
      </c>
      <c r="L406" s="1">
        <v>45338</v>
      </c>
      <c r="M406">
        <v>1</v>
      </c>
      <c r="N406">
        <v>11</v>
      </c>
      <c r="O406">
        <v>713</v>
      </c>
      <c r="P406">
        <v>719</v>
      </c>
      <c r="Q406">
        <v>713</v>
      </c>
      <c r="S406">
        <v>485</v>
      </c>
      <c r="T406">
        <v>485</v>
      </c>
      <c r="U406">
        <f>+SUM(Table1[[#This Row],[Latinos]:[Cemex]])</f>
        <v>1</v>
      </c>
      <c r="V406" t="str">
        <f>+Table1[[#This Row],[id_destino]]&amp;" - "&amp;Table1[[#This Row],[id_origen]]</f>
        <v>1 - 11</v>
      </c>
    </row>
    <row r="407" spans="1:22" hidden="1">
      <c r="A407">
        <v>1658</v>
      </c>
      <c r="B407">
        <v>2870</v>
      </c>
      <c r="C407">
        <v>5832</v>
      </c>
      <c r="D407">
        <v>4631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 t="s">
        <v>20</v>
      </c>
      <c r="L407" s="1">
        <v>43551</v>
      </c>
      <c r="M407">
        <v>3</v>
      </c>
      <c r="N407">
        <v>11</v>
      </c>
      <c r="O407">
        <v>950</v>
      </c>
      <c r="P407">
        <v>950</v>
      </c>
      <c r="Q407">
        <v>950</v>
      </c>
      <c r="S407">
        <v>2210</v>
      </c>
      <c r="T407">
        <v>2210</v>
      </c>
      <c r="U407">
        <f>+SUM(Table1[[#This Row],[Latinos]:[Cemex]])</f>
        <v>1</v>
      </c>
      <c r="V407" t="str">
        <f>+Table1[[#This Row],[id_destino]]&amp;" - "&amp;Table1[[#This Row],[id_origen]]</f>
        <v>3 - 11</v>
      </c>
    </row>
    <row r="408" spans="1:22" hidden="1">
      <c r="A408">
        <v>2423</v>
      </c>
      <c r="B408">
        <v>3333</v>
      </c>
      <c r="C408">
        <v>5282</v>
      </c>
      <c r="D408">
        <v>2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 t="s">
        <v>20</v>
      </c>
      <c r="L408" s="1">
        <v>44061</v>
      </c>
      <c r="M408">
        <v>4</v>
      </c>
      <c r="N408">
        <v>11</v>
      </c>
      <c r="O408">
        <v>1033</v>
      </c>
      <c r="P408">
        <v>1040</v>
      </c>
      <c r="Q408">
        <v>1033</v>
      </c>
      <c r="S408">
        <v>2598</v>
      </c>
      <c r="T408">
        <v>2598</v>
      </c>
      <c r="U408">
        <f>+SUM(Table1[[#This Row],[Latinos]:[Cemex]])</f>
        <v>1</v>
      </c>
      <c r="V408" t="str">
        <f>+Table1[[#This Row],[id_destino]]&amp;" - "&amp;Table1[[#This Row],[id_origen]]</f>
        <v>4 - 11</v>
      </c>
    </row>
    <row r="409" spans="1:22" hidden="1">
      <c r="A409">
        <v>2003</v>
      </c>
      <c r="B409">
        <v>3069</v>
      </c>
      <c r="C409">
        <v>534</v>
      </c>
      <c r="D409">
        <v>4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 t="s">
        <v>20</v>
      </c>
      <c r="L409" s="1">
        <v>43761</v>
      </c>
      <c r="M409">
        <v>6</v>
      </c>
      <c r="N409">
        <v>11</v>
      </c>
      <c r="O409">
        <v>1418</v>
      </c>
      <c r="P409">
        <v>1418</v>
      </c>
      <c r="Q409">
        <v>1418</v>
      </c>
      <c r="S409">
        <v>2472</v>
      </c>
      <c r="T409">
        <v>2472</v>
      </c>
      <c r="U409">
        <f>+SUM(Table1[[#This Row],[Latinos]:[Cemex]])</f>
        <v>1</v>
      </c>
      <c r="V409" t="str">
        <f>+Table1[[#This Row],[id_destino]]&amp;" - "&amp;Table1[[#This Row],[id_origen]]</f>
        <v>6 - 11</v>
      </c>
    </row>
    <row r="410" spans="1:22" hidden="1">
      <c r="A410">
        <v>1211</v>
      </c>
      <c r="B410">
        <v>2638</v>
      </c>
      <c r="C410">
        <v>404</v>
      </c>
      <c r="D410">
        <v>353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 t="s">
        <v>37</v>
      </c>
      <c r="L410" s="1">
        <v>43342</v>
      </c>
      <c r="M410">
        <v>7</v>
      </c>
      <c r="N410">
        <v>11</v>
      </c>
      <c r="O410">
        <v>1903</v>
      </c>
      <c r="P410">
        <v>1903</v>
      </c>
      <c r="Q410">
        <v>1903</v>
      </c>
      <c r="S410">
        <v>2232</v>
      </c>
      <c r="T410">
        <v>2232</v>
      </c>
      <c r="U410">
        <f>+SUM(Table1[[#This Row],[Latinos]:[Cemex]])</f>
        <v>1</v>
      </c>
      <c r="V410" t="str">
        <f>+Table1[[#This Row],[id_destino]]&amp;" - "&amp;Table1[[#This Row],[id_origen]]</f>
        <v>7 - 11</v>
      </c>
    </row>
    <row r="411" spans="1:22" hidden="1">
      <c r="A411">
        <v>2976</v>
      </c>
      <c r="B411">
        <v>2638</v>
      </c>
      <c r="C411">
        <v>6798</v>
      </c>
      <c r="D411">
        <v>5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 t="s">
        <v>20</v>
      </c>
      <c r="L411" s="1">
        <v>44659</v>
      </c>
      <c r="M411">
        <v>7</v>
      </c>
      <c r="N411">
        <v>11</v>
      </c>
      <c r="O411">
        <v>1866</v>
      </c>
      <c r="P411">
        <v>1806</v>
      </c>
      <c r="Q411">
        <v>1866</v>
      </c>
      <c r="S411">
        <v>4559</v>
      </c>
      <c r="T411">
        <v>5149</v>
      </c>
      <c r="U411">
        <f>+SUM(Table1[[#This Row],[Latinos]:[Cemex]])</f>
        <v>1</v>
      </c>
      <c r="V411" t="str">
        <f>+Table1[[#This Row],[id_destino]]&amp;" - "&amp;Table1[[#This Row],[id_origen]]</f>
        <v>7 - 11</v>
      </c>
    </row>
    <row r="412" spans="1:22" hidden="1">
      <c r="A412">
        <v>1233</v>
      </c>
      <c r="B412">
        <v>2647</v>
      </c>
      <c r="C412">
        <v>404</v>
      </c>
      <c r="D412">
        <v>388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 t="s">
        <v>20</v>
      </c>
      <c r="L412" s="1">
        <v>43348</v>
      </c>
      <c r="M412">
        <v>9</v>
      </c>
      <c r="N412">
        <v>11</v>
      </c>
      <c r="O412">
        <v>1559</v>
      </c>
      <c r="P412">
        <v>1559</v>
      </c>
      <c r="Q412">
        <v>1559</v>
      </c>
      <c r="S412">
        <v>2339</v>
      </c>
      <c r="T412">
        <v>2339</v>
      </c>
      <c r="U412">
        <f>+SUM(Table1[[#This Row],[Latinos]:[Cemex]])</f>
        <v>1</v>
      </c>
      <c r="V412" t="str">
        <f>+Table1[[#This Row],[id_destino]]&amp;" - "&amp;Table1[[#This Row],[id_origen]]</f>
        <v>9 - 11</v>
      </c>
    </row>
    <row r="413" spans="1:22" hidden="1">
      <c r="A413">
        <v>3867</v>
      </c>
      <c r="B413">
        <v>2647</v>
      </c>
      <c r="C413">
        <v>6224</v>
      </c>
      <c r="D413">
        <v>4531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 t="s">
        <v>20</v>
      </c>
      <c r="L413" s="1">
        <v>45153</v>
      </c>
      <c r="M413">
        <v>9</v>
      </c>
      <c r="N413">
        <v>11</v>
      </c>
      <c r="O413">
        <v>1558</v>
      </c>
      <c r="P413">
        <v>1504</v>
      </c>
      <c r="Q413">
        <v>1558</v>
      </c>
      <c r="S413">
        <v>3386</v>
      </c>
      <c r="T413">
        <v>3469</v>
      </c>
      <c r="U413">
        <f>+SUM(Table1[[#This Row],[Latinos]:[Cemex]])</f>
        <v>1</v>
      </c>
      <c r="V413" t="str">
        <f>+Table1[[#This Row],[id_destino]]&amp;" - "&amp;Table1[[#This Row],[id_origen]]</f>
        <v>9 - 11</v>
      </c>
    </row>
    <row r="414" spans="1:22" hidden="1">
      <c r="A414">
        <v>780</v>
      </c>
      <c r="B414">
        <v>354</v>
      </c>
      <c r="C414">
        <v>1736</v>
      </c>
      <c r="D414">
        <v>9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 t="s">
        <v>20</v>
      </c>
      <c r="L414" s="1">
        <v>43162</v>
      </c>
      <c r="M414">
        <v>11</v>
      </c>
      <c r="N414">
        <v>11</v>
      </c>
      <c r="O414">
        <v>30</v>
      </c>
      <c r="P414">
        <v>150</v>
      </c>
      <c r="Q414">
        <v>30</v>
      </c>
      <c r="S414">
        <v>0</v>
      </c>
      <c r="T414">
        <v>0</v>
      </c>
      <c r="U414">
        <f>+SUM(Table1[[#This Row],[Latinos]:[Cemex]])</f>
        <v>1</v>
      </c>
      <c r="V414" t="str">
        <f>+Table1[[#This Row],[id_destino]]&amp;" - "&amp;Table1[[#This Row],[id_origen]]</f>
        <v>11 - 11</v>
      </c>
    </row>
    <row r="415" spans="1:22" hidden="1">
      <c r="A415">
        <v>4744</v>
      </c>
      <c r="B415">
        <v>257</v>
      </c>
      <c r="C415">
        <v>5282</v>
      </c>
      <c r="D415">
        <v>10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 t="s">
        <v>20</v>
      </c>
      <c r="L415" s="1">
        <v>45779</v>
      </c>
      <c r="M415">
        <v>12</v>
      </c>
      <c r="N415">
        <v>11</v>
      </c>
      <c r="O415">
        <v>334</v>
      </c>
      <c r="P415">
        <v>334</v>
      </c>
      <c r="Q415">
        <v>334</v>
      </c>
      <c r="S415">
        <v>1244</v>
      </c>
      <c r="T415">
        <v>1244</v>
      </c>
      <c r="U415">
        <f>+SUM(Table1[[#This Row],[Latinos]:[Cemex]])</f>
        <v>1</v>
      </c>
      <c r="V415" t="str">
        <f>+Table1[[#This Row],[id_destino]]&amp;" - "&amp;Table1[[#This Row],[id_origen]]</f>
        <v>12 - 11</v>
      </c>
    </row>
    <row r="416" spans="1:22" hidden="1">
      <c r="A416">
        <v>4771</v>
      </c>
      <c r="B416">
        <v>257</v>
      </c>
      <c r="C416">
        <v>5282</v>
      </c>
      <c r="D416">
        <v>10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20</v>
      </c>
      <c r="L416" s="1">
        <v>45798</v>
      </c>
      <c r="M416">
        <v>12</v>
      </c>
      <c r="N416">
        <v>11</v>
      </c>
      <c r="O416">
        <v>284</v>
      </c>
      <c r="P416">
        <v>284</v>
      </c>
      <c r="Q416">
        <v>284</v>
      </c>
      <c r="S416">
        <v>1244</v>
      </c>
      <c r="T416">
        <v>1244</v>
      </c>
      <c r="U416">
        <f>+SUM(Table1[[#This Row],[Latinos]:[Cemex]])</f>
        <v>1</v>
      </c>
      <c r="V416" t="str">
        <f>+Table1[[#This Row],[id_destino]]&amp;" - "&amp;Table1[[#This Row],[id_origen]]</f>
        <v>12 - 11</v>
      </c>
    </row>
    <row r="417" spans="1:22" hidden="1">
      <c r="A417">
        <v>2844</v>
      </c>
      <c r="B417">
        <v>3603</v>
      </c>
      <c r="C417">
        <v>5282</v>
      </c>
      <c r="D417">
        <v>6735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 t="s">
        <v>20</v>
      </c>
      <c r="L417" s="1">
        <v>45127</v>
      </c>
      <c r="M417">
        <v>15</v>
      </c>
      <c r="N417">
        <v>11</v>
      </c>
      <c r="O417">
        <v>1595</v>
      </c>
      <c r="P417">
        <v>1582</v>
      </c>
      <c r="Q417">
        <v>1595</v>
      </c>
      <c r="S417">
        <v>3607</v>
      </c>
      <c r="T417">
        <v>4237</v>
      </c>
      <c r="U417">
        <f>+SUM(Table1[[#This Row],[Latinos]:[Cemex]])</f>
        <v>1</v>
      </c>
      <c r="V417" t="str">
        <f>+Table1[[#This Row],[id_destino]]&amp;" - "&amp;Table1[[#This Row],[id_origen]]</f>
        <v>15 - 11</v>
      </c>
    </row>
    <row r="418" spans="1:22" hidden="1">
      <c r="A418">
        <v>1795</v>
      </c>
      <c r="B418">
        <v>495</v>
      </c>
      <c r="C418">
        <v>4518</v>
      </c>
      <c r="D418">
        <v>5008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 t="s">
        <v>20</v>
      </c>
      <c r="L418" s="1">
        <v>43635</v>
      </c>
      <c r="M418">
        <v>16</v>
      </c>
      <c r="N418">
        <v>11</v>
      </c>
      <c r="O418">
        <v>1221</v>
      </c>
      <c r="P418">
        <v>1231</v>
      </c>
      <c r="Q418">
        <v>1221</v>
      </c>
      <c r="S418">
        <v>1307</v>
      </c>
      <c r="T418">
        <v>1607</v>
      </c>
      <c r="U418">
        <f>+SUM(Table1[[#This Row],[Latinos]:[Cemex]])</f>
        <v>1</v>
      </c>
      <c r="V418" t="str">
        <f>+Table1[[#This Row],[id_destino]]&amp;" - "&amp;Table1[[#This Row],[id_origen]]</f>
        <v>16 - 11</v>
      </c>
    </row>
    <row r="419" spans="1:22" hidden="1">
      <c r="A419">
        <v>1989</v>
      </c>
      <c r="B419">
        <v>3063</v>
      </c>
      <c r="C419">
        <v>5282</v>
      </c>
      <c r="D419">
        <v>18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 t="s">
        <v>20</v>
      </c>
      <c r="L419" s="1">
        <v>43753</v>
      </c>
      <c r="M419">
        <v>17</v>
      </c>
      <c r="N419">
        <v>11</v>
      </c>
      <c r="O419">
        <v>680</v>
      </c>
      <c r="P419">
        <v>699</v>
      </c>
      <c r="Q419">
        <v>680</v>
      </c>
      <c r="S419">
        <v>135</v>
      </c>
      <c r="T419">
        <v>135</v>
      </c>
      <c r="U419">
        <f>+SUM(Table1[[#This Row],[Latinos]:[Cemex]])</f>
        <v>1</v>
      </c>
      <c r="V419" t="str">
        <f>+Table1[[#This Row],[id_destino]]&amp;" - "&amp;Table1[[#This Row],[id_origen]]</f>
        <v>17 - 11</v>
      </c>
    </row>
    <row r="420" spans="1:22" hidden="1">
      <c r="A420">
        <v>443</v>
      </c>
      <c r="B420">
        <v>1141</v>
      </c>
      <c r="C420">
        <v>7147</v>
      </c>
      <c r="D420">
        <v>7235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 t="s">
        <v>20</v>
      </c>
      <c r="L420" s="1">
        <v>44971</v>
      </c>
      <c r="M420">
        <v>18</v>
      </c>
      <c r="N420">
        <v>11</v>
      </c>
      <c r="O420">
        <v>189</v>
      </c>
      <c r="P420">
        <v>206</v>
      </c>
      <c r="Q420">
        <v>189</v>
      </c>
      <c r="S420">
        <v>551</v>
      </c>
      <c r="T420">
        <v>551</v>
      </c>
      <c r="U420">
        <f>+SUM(Table1[[#This Row],[Latinos]:[Cemex]])</f>
        <v>1</v>
      </c>
      <c r="V420" t="str">
        <f>+Table1[[#This Row],[id_destino]]&amp;" - "&amp;Table1[[#This Row],[id_origen]]</f>
        <v>18 - 11</v>
      </c>
    </row>
    <row r="421" spans="1:22" hidden="1">
      <c r="A421">
        <v>1263</v>
      </c>
      <c r="B421">
        <v>247</v>
      </c>
      <c r="C421">
        <v>404</v>
      </c>
      <c r="D421">
        <v>3935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 t="s">
        <v>20</v>
      </c>
      <c r="L421" s="1">
        <v>43356</v>
      </c>
      <c r="M421">
        <v>19</v>
      </c>
      <c r="N421">
        <v>11</v>
      </c>
      <c r="O421">
        <v>212</v>
      </c>
      <c r="P421">
        <v>212</v>
      </c>
      <c r="Q421">
        <v>212</v>
      </c>
      <c r="S421">
        <v>504</v>
      </c>
      <c r="T421">
        <v>504</v>
      </c>
      <c r="U421">
        <f>+SUM(Table1[[#This Row],[Latinos]:[Cemex]])</f>
        <v>1</v>
      </c>
      <c r="V421" t="str">
        <f>+Table1[[#This Row],[id_destino]]&amp;" - "&amp;Table1[[#This Row],[id_origen]]</f>
        <v>19 - 11</v>
      </c>
    </row>
    <row r="422" spans="1:22" hidden="1">
      <c r="A422">
        <v>640</v>
      </c>
      <c r="B422">
        <v>2380</v>
      </c>
      <c r="C422">
        <v>5282</v>
      </c>
      <c r="D422">
        <v>5404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 t="s">
        <v>20</v>
      </c>
      <c r="L422" s="1">
        <v>43120</v>
      </c>
      <c r="M422">
        <v>20</v>
      </c>
      <c r="N422">
        <v>11</v>
      </c>
      <c r="O422">
        <v>191</v>
      </c>
      <c r="P422">
        <v>191</v>
      </c>
      <c r="Q422">
        <v>191</v>
      </c>
      <c r="S422">
        <v>319</v>
      </c>
      <c r="T422">
        <v>319</v>
      </c>
      <c r="U422">
        <f>+SUM(Table1[[#This Row],[Latinos]:[Cemex]])</f>
        <v>1</v>
      </c>
      <c r="V422" t="str">
        <f>+Table1[[#This Row],[id_destino]]&amp;" - "&amp;Table1[[#This Row],[id_origen]]</f>
        <v>20 - 11</v>
      </c>
    </row>
    <row r="423" spans="1:22" hidden="1">
      <c r="A423">
        <v>3468</v>
      </c>
      <c r="B423">
        <v>2380</v>
      </c>
      <c r="C423">
        <v>7147</v>
      </c>
      <c r="D423">
        <v>7148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 t="s">
        <v>20</v>
      </c>
      <c r="L423" s="1">
        <v>44909</v>
      </c>
      <c r="M423">
        <v>20</v>
      </c>
      <c r="N423">
        <v>11</v>
      </c>
      <c r="O423">
        <v>211</v>
      </c>
      <c r="P423">
        <v>213</v>
      </c>
      <c r="Q423">
        <v>211</v>
      </c>
      <c r="S423">
        <v>534</v>
      </c>
      <c r="T423">
        <v>534</v>
      </c>
      <c r="U423">
        <f>+SUM(Table1[[#This Row],[Latinos]:[Cemex]])</f>
        <v>1</v>
      </c>
      <c r="V423" t="str">
        <f>+Table1[[#This Row],[id_destino]]&amp;" - "&amp;Table1[[#This Row],[id_origen]]</f>
        <v>20 - 11</v>
      </c>
    </row>
    <row r="424" spans="1:22" hidden="1">
      <c r="A424">
        <v>1199</v>
      </c>
      <c r="B424">
        <v>475</v>
      </c>
      <c r="C424">
        <v>404</v>
      </c>
      <c r="D424">
        <v>5530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 t="s">
        <v>20</v>
      </c>
      <c r="L424" s="1">
        <v>43405</v>
      </c>
      <c r="M424">
        <v>23</v>
      </c>
      <c r="N424">
        <v>11</v>
      </c>
      <c r="O424">
        <v>339</v>
      </c>
      <c r="P424">
        <v>360</v>
      </c>
      <c r="Q424">
        <v>339</v>
      </c>
      <c r="S424">
        <v>733</v>
      </c>
      <c r="T424">
        <v>733</v>
      </c>
      <c r="U424">
        <f>+SUM(Table1[[#This Row],[Latinos]:[Cemex]])</f>
        <v>1</v>
      </c>
      <c r="V424" t="str">
        <f>+Table1[[#This Row],[id_destino]]&amp;" - "&amp;Table1[[#This Row],[id_origen]]</f>
        <v>23 - 11</v>
      </c>
    </row>
    <row r="425" spans="1:22" hidden="1">
      <c r="A425">
        <v>4334</v>
      </c>
      <c r="B425">
        <v>4576</v>
      </c>
      <c r="C425">
        <v>7147</v>
      </c>
      <c r="D425">
        <v>387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 t="s">
        <v>116</v>
      </c>
      <c r="L425" s="1">
        <v>45465</v>
      </c>
      <c r="M425">
        <v>30</v>
      </c>
      <c r="N425">
        <v>11</v>
      </c>
      <c r="O425">
        <v>853</v>
      </c>
      <c r="P425">
        <v>853</v>
      </c>
      <c r="Q425">
        <v>853</v>
      </c>
      <c r="S425">
        <v>3025</v>
      </c>
      <c r="T425">
        <v>3025</v>
      </c>
      <c r="U425">
        <f>+SUM(Table1[[#This Row],[Latinos]:[Cemex]])</f>
        <v>1</v>
      </c>
      <c r="V425" t="str">
        <f>+Table1[[#This Row],[id_destino]]&amp;" - "&amp;Table1[[#This Row],[id_origen]]</f>
        <v>30 - 11</v>
      </c>
    </row>
    <row r="426" spans="1:22" hidden="1">
      <c r="A426">
        <v>1372</v>
      </c>
      <c r="B426">
        <v>734</v>
      </c>
      <c r="C426">
        <v>404</v>
      </c>
      <c r="D426">
        <v>4008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 t="s">
        <v>20</v>
      </c>
      <c r="L426" s="1">
        <v>43409</v>
      </c>
      <c r="M426">
        <v>31</v>
      </c>
      <c r="N426">
        <v>11</v>
      </c>
      <c r="O426">
        <v>1037</v>
      </c>
      <c r="P426">
        <v>1037</v>
      </c>
      <c r="Q426">
        <v>1037</v>
      </c>
      <c r="S426">
        <v>2433</v>
      </c>
      <c r="T426">
        <v>2433</v>
      </c>
      <c r="U426">
        <f>+SUM(Table1[[#This Row],[Latinos]:[Cemex]])</f>
        <v>1</v>
      </c>
      <c r="V426" t="str">
        <f>+Table1[[#This Row],[id_destino]]&amp;" - "&amp;Table1[[#This Row],[id_origen]]</f>
        <v>31 - 11</v>
      </c>
    </row>
    <row r="427" spans="1:22" hidden="1">
      <c r="A427">
        <v>1441</v>
      </c>
      <c r="B427">
        <v>2643</v>
      </c>
      <c r="C427">
        <v>9</v>
      </c>
      <c r="D427">
        <v>5767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 t="s">
        <v>20</v>
      </c>
      <c r="L427" s="1">
        <v>43434</v>
      </c>
      <c r="M427">
        <v>37</v>
      </c>
      <c r="N427">
        <v>11</v>
      </c>
      <c r="O427">
        <v>539</v>
      </c>
      <c r="P427">
        <v>539</v>
      </c>
      <c r="Q427">
        <v>539</v>
      </c>
      <c r="S427">
        <v>1571</v>
      </c>
      <c r="T427">
        <v>1571</v>
      </c>
      <c r="U427">
        <f>+SUM(Table1[[#This Row],[Latinos]:[Cemex]])</f>
        <v>1</v>
      </c>
      <c r="V427" t="str">
        <f>+Table1[[#This Row],[id_destino]]&amp;" - "&amp;Table1[[#This Row],[id_origen]]</f>
        <v>37 - 11</v>
      </c>
    </row>
    <row r="428" spans="1:22" hidden="1">
      <c r="A428">
        <v>1558</v>
      </c>
      <c r="B428">
        <v>2808</v>
      </c>
      <c r="C428">
        <v>404</v>
      </c>
      <c r="D428">
        <v>429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 t="s">
        <v>20</v>
      </c>
      <c r="L428" s="1">
        <v>43505</v>
      </c>
      <c r="M428">
        <v>40</v>
      </c>
      <c r="N428">
        <v>11</v>
      </c>
      <c r="O428">
        <v>244</v>
      </c>
      <c r="P428">
        <v>244</v>
      </c>
      <c r="Q428">
        <v>244</v>
      </c>
      <c r="S428">
        <v>316</v>
      </c>
      <c r="T428">
        <v>316</v>
      </c>
      <c r="U428">
        <f>+SUM(Table1[[#This Row],[Latinos]:[Cemex]])</f>
        <v>1</v>
      </c>
      <c r="V428" t="str">
        <f>+Table1[[#This Row],[id_destino]]&amp;" - "&amp;Table1[[#This Row],[id_origen]]</f>
        <v>40 - 11</v>
      </c>
    </row>
    <row r="429" spans="1:22" hidden="1">
      <c r="A429">
        <v>4008</v>
      </c>
      <c r="B429">
        <v>4353</v>
      </c>
      <c r="C429">
        <v>7147</v>
      </c>
      <c r="D429">
        <v>7532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 t="s">
        <v>20</v>
      </c>
      <c r="L429" s="1">
        <v>45231</v>
      </c>
      <c r="M429">
        <v>44</v>
      </c>
      <c r="N429">
        <v>11</v>
      </c>
      <c r="O429">
        <v>470</v>
      </c>
      <c r="P429">
        <v>452</v>
      </c>
      <c r="Q429">
        <v>470</v>
      </c>
      <c r="S429">
        <v>1939</v>
      </c>
      <c r="T429">
        <v>1951</v>
      </c>
      <c r="U429">
        <f>+SUM(Table1[[#This Row],[Latinos]:[Cemex]])</f>
        <v>1</v>
      </c>
      <c r="V429" t="str">
        <f>+Table1[[#This Row],[id_destino]]&amp;" - "&amp;Table1[[#This Row],[id_origen]]</f>
        <v>44 - 11</v>
      </c>
    </row>
    <row r="430" spans="1:22" hidden="1">
      <c r="A430">
        <v>1093</v>
      </c>
      <c r="B430">
        <v>2583</v>
      </c>
      <c r="C430">
        <v>5624</v>
      </c>
      <c r="D430">
        <v>2413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 t="s">
        <v>20</v>
      </c>
      <c r="L430" s="1">
        <v>43285</v>
      </c>
      <c r="M430">
        <v>47</v>
      </c>
      <c r="N430">
        <v>11</v>
      </c>
      <c r="O430">
        <v>188</v>
      </c>
      <c r="P430">
        <v>196</v>
      </c>
      <c r="Q430">
        <v>188</v>
      </c>
      <c r="S430">
        <v>204</v>
      </c>
      <c r="T430">
        <v>318</v>
      </c>
      <c r="U430">
        <f>+SUM(Table1[[#This Row],[Latinos]:[Cemex]])</f>
        <v>1</v>
      </c>
      <c r="V430" t="str">
        <f>+Table1[[#This Row],[id_destino]]&amp;" - "&amp;Table1[[#This Row],[id_origen]]</f>
        <v>47 - 11</v>
      </c>
    </row>
    <row r="431" spans="1:22" hidden="1">
      <c r="A431">
        <v>1420</v>
      </c>
      <c r="B431">
        <v>2736</v>
      </c>
      <c r="C431">
        <v>5282</v>
      </c>
      <c r="D431">
        <v>3431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 t="s">
        <v>20</v>
      </c>
      <c r="L431" s="1">
        <v>43427</v>
      </c>
      <c r="M431">
        <v>52</v>
      </c>
      <c r="N431">
        <v>11</v>
      </c>
      <c r="O431">
        <v>717</v>
      </c>
      <c r="P431">
        <v>704</v>
      </c>
      <c r="Q431">
        <v>717</v>
      </c>
      <c r="S431">
        <v>916</v>
      </c>
      <c r="T431">
        <v>916</v>
      </c>
      <c r="U431">
        <f>+SUM(Table1[[#This Row],[Latinos]:[Cemex]])</f>
        <v>1</v>
      </c>
      <c r="V431" t="str">
        <f>+Table1[[#This Row],[id_destino]]&amp;" - "&amp;Table1[[#This Row],[id_origen]]</f>
        <v>52 - 11</v>
      </c>
    </row>
    <row r="432" spans="1:22" hidden="1">
      <c r="A432">
        <v>4727</v>
      </c>
      <c r="B432">
        <v>906</v>
      </c>
      <c r="C432">
        <v>5282</v>
      </c>
      <c r="D432">
        <v>7658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 t="s">
        <v>20</v>
      </c>
      <c r="L432" s="1">
        <v>45763</v>
      </c>
      <c r="M432">
        <v>54</v>
      </c>
      <c r="N432">
        <v>11</v>
      </c>
      <c r="O432">
        <v>635</v>
      </c>
      <c r="P432">
        <v>634</v>
      </c>
      <c r="Q432">
        <v>635</v>
      </c>
      <c r="S432">
        <v>622</v>
      </c>
      <c r="T432">
        <v>622</v>
      </c>
      <c r="U432">
        <f>+SUM(Table1[[#This Row],[Latinos]:[Cemex]])</f>
        <v>1</v>
      </c>
      <c r="V432" t="str">
        <f>+Table1[[#This Row],[id_destino]]&amp;" - "&amp;Table1[[#This Row],[id_origen]]</f>
        <v>54 - 11</v>
      </c>
    </row>
    <row r="433" spans="1:22" hidden="1">
      <c r="A433">
        <v>4359</v>
      </c>
      <c r="B433">
        <v>4597</v>
      </c>
      <c r="C433">
        <v>7147</v>
      </c>
      <c r="D433">
        <v>1296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 t="s">
        <v>20</v>
      </c>
      <c r="L433" s="1">
        <v>45492</v>
      </c>
      <c r="M433">
        <v>55</v>
      </c>
      <c r="N433">
        <v>11</v>
      </c>
      <c r="O433">
        <v>255</v>
      </c>
      <c r="P433">
        <v>255</v>
      </c>
      <c r="Q433">
        <v>255</v>
      </c>
      <c r="S433">
        <v>572</v>
      </c>
      <c r="T433">
        <v>572</v>
      </c>
      <c r="U433">
        <f>+SUM(Table1[[#This Row],[Latinos]:[Cemex]])</f>
        <v>1</v>
      </c>
      <c r="V433" t="str">
        <f>+Table1[[#This Row],[id_destino]]&amp;" - "&amp;Table1[[#This Row],[id_origen]]</f>
        <v>55 - 11</v>
      </c>
    </row>
    <row r="434" spans="1:22" hidden="1">
      <c r="A434">
        <v>685</v>
      </c>
      <c r="B434">
        <v>2406</v>
      </c>
      <c r="C434">
        <v>7147</v>
      </c>
      <c r="D434">
        <v>6962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 t="s">
        <v>20</v>
      </c>
      <c r="L434" s="1">
        <v>45456</v>
      </c>
      <c r="M434">
        <v>59</v>
      </c>
      <c r="N434">
        <v>11</v>
      </c>
      <c r="O434">
        <v>623</v>
      </c>
      <c r="P434">
        <v>625</v>
      </c>
      <c r="Q434">
        <v>623</v>
      </c>
      <c r="S434">
        <v>1965</v>
      </c>
      <c r="T434">
        <v>1965</v>
      </c>
      <c r="U434">
        <f>+SUM(Table1[[#This Row],[Latinos]:[Cemex]])</f>
        <v>1</v>
      </c>
      <c r="V434" t="str">
        <f>+Table1[[#This Row],[id_destino]]&amp;" - "&amp;Table1[[#This Row],[id_origen]]</f>
        <v>59 - 11</v>
      </c>
    </row>
    <row r="435" spans="1:22" hidden="1">
      <c r="A435">
        <v>1936</v>
      </c>
      <c r="B435">
        <v>3030</v>
      </c>
      <c r="C435">
        <v>5282</v>
      </c>
      <c r="D435">
        <v>71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 t="s">
        <v>20</v>
      </c>
      <c r="L435" s="1">
        <v>43728</v>
      </c>
      <c r="M435">
        <v>61</v>
      </c>
      <c r="N435">
        <v>11</v>
      </c>
      <c r="O435">
        <v>2470</v>
      </c>
      <c r="P435">
        <v>2463</v>
      </c>
      <c r="Q435">
        <v>2470</v>
      </c>
      <c r="S435">
        <v>1960</v>
      </c>
      <c r="T435">
        <v>2387</v>
      </c>
      <c r="U435">
        <f>+SUM(Table1[[#This Row],[Latinos]:[Cemex]])</f>
        <v>1</v>
      </c>
      <c r="V435" t="str">
        <f>+Table1[[#This Row],[id_destino]]&amp;" - "&amp;Table1[[#This Row],[id_origen]]</f>
        <v>61 - 11</v>
      </c>
    </row>
    <row r="436" spans="1:22" hidden="1">
      <c r="A436">
        <v>453</v>
      </c>
      <c r="B436">
        <v>2298</v>
      </c>
      <c r="C436">
        <v>4518</v>
      </c>
      <c r="D436">
        <v>5365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 t="s">
        <v>20</v>
      </c>
      <c r="L436" s="1">
        <v>43069</v>
      </c>
      <c r="M436">
        <v>62</v>
      </c>
      <c r="N436">
        <v>11</v>
      </c>
      <c r="O436">
        <v>204</v>
      </c>
      <c r="P436">
        <v>204</v>
      </c>
      <c r="Q436">
        <v>204</v>
      </c>
      <c r="S436">
        <v>0</v>
      </c>
      <c r="T436">
        <v>0</v>
      </c>
      <c r="U436">
        <f>+SUM(Table1[[#This Row],[Latinos]:[Cemex]])</f>
        <v>1</v>
      </c>
      <c r="V436" t="str">
        <f>+Table1[[#This Row],[id_destino]]&amp;" - "&amp;Table1[[#This Row],[id_origen]]</f>
        <v>62 - 11</v>
      </c>
    </row>
    <row r="437" spans="1:22" hidden="1">
      <c r="A437">
        <v>4142</v>
      </c>
      <c r="B437">
        <v>4445</v>
      </c>
      <c r="C437">
        <v>7147</v>
      </c>
      <c r="D437">
        <v>7105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 t="s">
        <v>20</v>
      </c>
      <c r="L437" s="1">
        <v>45315</v>
      </c>
      <c r="M437">
        <v>68</v>
      </c>
      <c r="N437">
        <v>11</v>
      </c>
      <c r="O437">
        <v>211</v>
      </c>
      <c r="P437">
        <v>239</v>
      </c>
      <c r="Q437">
        <v>211</v>
      </c>
      <c r="S437">
        <v>568</v>
      </c>
      <c r="T437">
        <v>568</v>
      </c>
      <c r="U437">
        <f>+SUM(Table1[[#This Row],[Latinos]:[Cemex]])</f>
        <v>1</v>
      </c>
      <c r="V437" t="str">
        <f>+Table1[[#This Row],[id_destino]]&amp;" - "&amp;Table1[[#This Row],[id_origen]]</f>
        <v>68 - 11</v>
      </c>
    </row>
    <row r="438" spans="1:22" hidden="1">
      <c r="A438">
        <v>1402</v>
      </c>
      <c r="B438">
        <v>2725</v>
      </c>
      <c r="C438">
        <v>404</v>
      </c>
      <c r="D438">
        <v>420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 t="s">
        <v>20</v>
      </c>
      <c r="L438" s="1">
        <v>43419</v>
      </c>
      <c r="M438">
        <v>71</v>
      </c>
      <c r="N438">
        <v>11</v>
      </c>
      <c r="O438">
        <v>353</v>
      </c>
      <c r="P438">
        <v>353</v>
      </c>
      <c r="Q438">
        <v>353</v>
      </c>
      <c r="S438">
        <v>736</v>
      </c>
      <c r="T438">
        <v>736</v>
      </c>
      <c r="U438">
        <f>+SUM(Table1[[#This Row],[Latinos]:[Cemex]])</f>
        <v>1</v>
      </c>
      <c r="V438" t="str">
        <f>+Table1[[#This Row],[id_destino]]&amp;" - "&amp;Table1[[#This Row],[id_origen]]</f>
        <v>71 - 11</v>
      </c>
    </row>
    <row r="439" spans="1:22" hidden="1">
      <c r="A439">
        <v>1733</v>
      </c>
      <c r="B439">
        <v>2725</v>
      </c>
      <c r="C439">
        <v>4518</v>
      </c>
      <c r="D439">
        <v>5000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 t="s">
        <v>20</v>
      </c>
      <c r="L439" s="1">
        <v>43594</v>
      </c>
      <c r="M439">
        <v>71</v>
      </c>
      <c r="N439">
        <v>11</v>
      </c>
      <c r="O439">
        <v>348</v>
      </c>
      <c r="P439">
        <v>353</v>
      </c>
      <c r="Q439">
        <v>348</v>
      </c>
      <c r="S439">
        <v>770</v>
      </c>
      <c r="T439">
        <v>770</v>
      </c>
      <c r="U439">
        <f>+SUM(Table1[[#This Row],[Latinos]:[Cemex]])</f>
        <v>1</v>
      </c>
      <c r="V439" t="str">
        <f>+Table1[[#This Row],[id_destino]]&amp;" - "&amp;Table1[[#This Row],[id_origen]]</f>
        <v>71 - 11</v>
      </c>
    </row>
    <row r="440" spans="1:22" hidden="1">
      <c r="A440">
        <v>1887</v>
      </c>
      <c r="B440">
        <v>59</v>
      </c>
      <c r="C440">
        <v>5982</v>
      </c>
      <c r="D440">
        <v>468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 t="s">
        <v>20</v>
      </c>
      <c r="L440" s="1">
        <v>43693</v>
      </c>
      <c r="M440">
        <v>73</v>
      </c>
      <c r="N440">
        <v>11</v>
      </c>
      <c r="O440">
        <v>704</v>
      </c>
      <c r="P440">
        <v>695</v>
      </c>
      <c r="Q440">
        <v>704</v>
      </c>
      <c r="S440">
        <v>321</v>
      </c>
      <c r="T440">
        <v>321</v>
      </c>
      <c r="U440">
        <f>+SUM(Table1[[#This Row],[Latinos]:[Cemex]])</f>
        <v>1</v>
      </c>
      <c r="V440" t="str">
        <f>+Table1[[#This Row],[id_destino]]&amp;" - "&amp;Table1[[#This Row],[id_origen]]</f>
        <v>73 - 11</v>
      </c>
    </row>
    <row r="441" spans="1:22" hidden="1">
      <c r="A441">
        <v>767</v>
      </c>
      <c r="B441">
        <v>412</v>
      </c>
      <c r="C441">
        <v>5282</v>
      </c>
      <c r="D441">
        <v>105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 t="s">
        <v>20</v>
      </c>
      <c r="L441" s="1">
        <v>43159</v>
      </c>
      <c r="M441">
        <v>75</v>
      </c>
      <c r="N441">
        <v>11</v>
      </c>
      <c r="O441">
        <v>170</v>
      </c>
      <c r="P441">
        <v>170</v>
      </c>
      <c r="Q441">
        <v>170</v>
      </c>
      <c r="S441">
        <v>340</v>
      </c>
      <c r="T441">
        <v>340</v>
      </c>
      <c r="U441">
        <f>+SUM(Table1[[#This Row],[Latinos]:[Cemex]])</f>
        <v>1</v>
      </c>
      <c r="V441" t="str">
        <f>+Table1[[#This Row],[id_destino]]&amp;" - "&amp;Table1[[#This Row],[id_origen]]</f>
        <v>75 - 11</v>
      </c>
    </row>
    <row r="442" spans="1:22" hidden="1">
      <c r="A442">
        <v>479</v>
      </c>
      <c r="B442">
        <v>2312</v>
      </c>
      <c r="C442">
        <v>9</v>
      </c>
      <c r="D442">
        <v>210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 t="s">
        <v>20</v>
      </c>
      <c r="L442" s="1">
        <v>43126</v>
      </c>
      <c r="M442">
        <v>81</v>
      </c>
      <c r="N442">
        <v>11</v>
      </c>
      <c r="O442">
        <v>326</v>
      </c>
      <c r="P442">
        <v>326</v>
      </c>
      <c r="Q442">
        <v>326</v>
      </c>
      <c r="S442">
        <v>827</v>
      </c>
      <c r="T442">
        <v>827</v>
      </c>
      <c r="U442">
        <f>+SUM(Table1[[#This Row],[Latinos]:[Cemex]])</f>
        <v>1</v>
      </c>
      <c r="V442" t="str">
        <f>+Table1[[#This Row],[id_destino]]&amp;" - "&amp;Table1[[#This Row],[id_origen]]</f>
        <v>81 - 11</v>
      </c>
    </row>
    <row r="443" spans="1:22" hidden="1">
      <c r="A443">
        <v>2994</v>
      </c>
      <c r="B443">
        <v>3709</v>
      </c>
      <c r="C443">
        <v>5282</v>
      </c>
      <c r="D443">
        <v>6840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 t="s">
        <v>20</v>
      </c>
      <c r="L443" s="1">
        <v>44676</v>
      </c>
      <c r="M443">
        <v>83</v>
      </c>
      <c r="N443">
        <v>11</v>
      </c>
      <c r="O443">
        <v>726</v>
      </c>
      <c r="P443">
        <v>706</v>
      </c>
      <c r="Q443">
        <v>726</v>
      </c>
      <c r="S443">
        <v>654</v>
      </c>
      <c r="T443">
        <v>654</v>
      </c>
      <c r="U443">
        <f>+SUM(Table1[[#This Row],[Latinos]:[Cemex]])</f>
        <v>1</v>
      </c>
      <c r="V443" t="str">
        <f>+Table1[[#This Row],[id_destino]]&amp;" - "&amp;Table1[[#This Row],[id_origen]]</f>
        <v>83 - 11</v>
      </c>
    </row>
    <row r="444" spans="1:22" hidden="1">
      <c r="A444">
        <v>1636</v>
      </c>
      <c r="B444">
        <v>2852</v>
      </c>
      <c r="C444">
        <v>5282</v>
      </c>
      <c r="D444">
        <v>3601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 t="s">
        <v>20</v>
      </c>
      <c r="L444" s="1">
        <v>43544</v>
      </c>
      <c r="M444">
        <v>84</v>
      </c>
      <c r="N444">
        <v>11</v>
      </c>
      <c r="O444">
        <v>741</v>
      </c>
      <c r="P444">
        <v>739</v>
      </c>
      <c r="Q444">
        <v>741</v>
      </c>
      <c r="S444">
        <v>326</v>
      </c>
      <c r="T444">
        <v>326</v>
      </c>
      <c r="U444">
        <f>+SUM(Table1[[#This Row],[Latinos]:[Cemex]])</f>
        <v>1</v>
      </c>
      <c r="V444" t="str">
        <f>+Table1[[#This Row],[id_destino]]&amp;" - "&amp;Table1[[#This Row],[id_origen]]</f>
        <v>84 - 11</v>
      </c>
    </row>
    <row r="445" spans="1:22" hidden="1">
      <c r="A445">
        <v>3394</v>
      </c>
      <c r="B445">
        <v>3955</v>
      </c>
      <c r="C445">
        <v>5282</v>
      </c>
      <c r="D445">
        <v>268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20</v>
      </c>
      <c r="L445" s="1">
        <v>44875</v>
      </c>
      <c r="M445">
        <v>99</v>
      </c>
      <c r="N445">
        <v>11</v>
      </c>
      <c r="O445">
        <v>1389</v>
      </c>
      <c r="P445">
        <v>1382</v>
      </c>
      <c r="Q445">
        <v>1389</v>
      </c>
      <c r="S445">
        <v>3607.6</v>
      </c>
      <c r="T445">
        <v>3607.6</v>
      </c>
      <c r="U445">
        <f>+SUM(Table1[[#This Row],[Latinos]:[Cemex]])</f>
        <v>1</v>
      </c>
      <c r="V445" t="str">
        <f>+Table1[[#This Row],[id_destino]]&amp;" - "&amp;Table1[[#This Row],[id_origen]]</f>
        <v>99 - 11</v>
      </c>
    </row>
    <row r="446" spans="1:22" hidden="1">
      <c r="A446">
        <v>674</v>
      </c>
      <c r="B446">
        <v>2402</v>
      </c>
      <c r="C446">
        <v>404</v>
      </c>
      <c r="D446">
        <v>5384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 t="s">
        <v>20</v>
      </c>
      <c r="L446" s="1">
        <v>43126</v>
      </c>
      <c r="M446">
        <v>117</v>
      </c>
      <c r="N446">
        <v>11</v>
      </c>
      <c r="O446">
        <v>294</v>
      </c>
      <c r="P446">
        <v>294</v>
      </c>
      <c r="Q446">
        <v>294</v>
      </c>
      <c r="S446">
        <v>479</v>
      </c>
      <c r="T446">
        <v>479</v>
      </c>
      <c r="U446">
        <f>+SUM(Table1[[#This Row],[Latinos]:[Cemex]])</f>
        <v>1</v>
      </c>
      <c r="V446" t="str">
        <f>+Table1[[#This Row],[id_destino]]&amp;" - "&amp;Table1[[#This Row],[id_origen]]</f>
        <v>117 - 11</v>
      </c>
    </row>
    <row r="447" spans="1:22" hidden="1">
      <c r="A447">
        <v>1675</v>
      </c>
      <c r="B447">
        <v>2881</v>
      </c>
      <c r="C447">
        <v>4518</v>
      </c>
      <c r="D447">
        <v>4990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 t="s">
        <v>20</v>
      </c>
      <c r="L447" s="1">
        <v>43560</v>
      </c>
      <c r="M447">
        <v>121</v>
      </c>
      <c r="N447">
        <v>11</v>
      </c>
      <c r="O447">
        <v>106</v>
      </c>
      <c r="P447">
        <v>104</v>
      </c>
      <c r="Q447">
        <v>106</v>
      </c>
      <c r="S447">
        <v>316</v>
      </c>
      <c r="T447">
        <v>316</v>
      </c>
      <c r="U447">
        <f>+SUM(Table1[[#This Row],[Latinos]:[Cemex]])</f>
        <v>1</v>
      </c>
      <c r="V447" t="str">
        <f>+Table1[[#This Row],[id_destino]]&amp;" - "&amp;Table1[[#This Row],[id_origen]]</f>
        <v>121 - 11</v>
      </c>
    </row>
    <row r="448" spans="1:22" hidden="1">
      <c r="A448">
        <v>1657</v>
      </c>
      <c r="B448">
        <v>2869</v>
      </c>
      <c r="C448">
        <v>5845</v>
      </c>
      <c r="D448">
        <v>5862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0</v>
      </c>
      <c r="K448" t="s">
        <v>20</v>
      </c>
      <c r="L448" s="1">
        <v>43551</v>
      </c>
      <c r="M448">
        <v>144</v>
      </c>
      <c r="N448">
        <v>11</v>
      </c>
      <c r="O448">
        <v>57</v>
      </c>
      <c r="P448">
        <v>150</v>
      </c>
      <c r="Q448">
        <v>57</v>
      </c>
      <c r="S448">
        <v>0</v>
      </c>
      <c r="T448">
        <v>0</v>
      </c>
      <c r="U448">
        <f>+SUM(Table1[[#This Row],[Latinos]:[Cemex]])</f>
        <v>1</v>
      </c>
      <c r="V448" t="str">
        <f>+Table1[[#This Row],[id_destino]]&amp;" - "&amp;Table1[[#This Row],[id_origen]]</f>
        <v>144 - 11</v>
      </c>
    </row>
    <row r="449" spans="1:22" hidden="1">
      <c r="A449">
        <v>480</v>
      </c>
      <c r="B449">
        <v>2313</v>
      </c>
      <c r="C449">
        <v>9</v>
      </c>
      <c r="D449">
        <v>4966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 t="s">
        <v>20</v>
      </c>
      <c r="L449" s="1">
        <v>43076</v>
      </c>
      <c r="M449">
        <v>147</v>
      </c>
      <c r="N449">
        <v>11</v>
      </c>
      <c r="O449">
        <v>316</v>
      </c>
      <c r="P449">
        <v>316</v>
      </c>
      <c r="Q449">
        <v>316</v>
      </c>
      <c r="S449">
        <v>857</v>
      </c>
      <c r="T449">
        <v>880</v>
      </c>
      <c r="U449">
        <f>+SUM(Table1[[#This Row],[Latinos]:[Cemex]])</f>
        <v>1</v>
      </c>
      <c r="V449" t="str">
        <f>+Table1[[#This Row],[id_destino]]&amp;" - "&amp;Table1[[#This Row],[id_origen]]</f>
        <v>147 - 11</v>
      </c>
    </row>
    <row r="450" spans="1:22" hidden="1">
      <c r="A450">
        <v>1940</v>
      </c>
      <c r="B450">
        <v>3034</v>
      </c>
      <c r="C450">
        <v>5282</v>
      </c>
      <c r="D450">
        <v>1645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 t="s">
        <v>20</v>
      </c>
      <c r="L450" s="1">
        <v>43731</v>
      </c>
      <c r="M450">
        <v>148</v>
      </c>
      <c r="N450">
        <v>11</v>
      </c>
      <c r="O450">
        <v>396</v>
      </c>
      <c r="P450">
        <v>396</v>
      </c>
      <c r="Q450">
        <v>396</v>
      </c>
      <c r="S450">
        <v>0</v>
      </c>
      <c r="T450">
        <v>0</v>
      </c>
      <c r="U450">
        <f>+SUM(Table1[[#This Row],[Latinos]:[Cemex]])</f>
        <v>1</v>
      </c>
      <c r="V450" t="str">
        <f>+Table1[[#This Row],[id_destino]]&amp;" - "&amp;Table1[[#This Row],[id_origen]]</f>
        <v>148 - 11</v>
      </c>
    </row>
    <row r="451" spans="1:22" hidden="1">
      <c r="A451">
        <v>2230</v>
      </c>
      <c r="B451">
        <v>3215</v>
      </c>
      <c r="C451">
        <v>6224</v>
      </c>
      <c r="D451">
        <v>6270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 t="s">
        <v>74</v>
      </c>
      <c r="L451" s="1">
        <v>43867</v>
      </c>
      <c r="M451">
        <v>151</v>
      </c>
      <c r="N451">
        <v>11</v>
      </c>
      <c r="O451">
        <v>464</v>
      </c>
      <c r="P451">
        <v>455</v>
      </c>
      <c r="Q451">
        <v>464</v>
      </c>
      <c r="S451">
        <v>55</v>
      </c>
      <c r="T451">
        <v>55</v>
      </c>
      <c r="U451">
        <f>+SUM(Table1[[#This Row],[Latinos]:[Cemex]])</f>
        <v>1</v>
      </c>
      <c r="V451" t="str">
        <f>+Table1[[#This Row],[id_destino]]&amp;" - "&amp;Table1[[#This Row],[id_origen]]</f>
        <v>151 - 11</v>
      </c>
    </row>
    <row r="452" spans="1:22" hidden="1">
      <c r="A452">
        <v>1986</v>
      </c>
      <c r="B452">
        <v>313</v>
      </c>
      <c r="C452">
        <v>5282</v>
      </c>
      <c r="D452">
        <v>12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 t="s">
        <v>20</v>
      </c>
      <c r="L452" s="1">
        <v>43750</v>
      </c>
      <c r="M452">
        <v>169</v>
      </c>
      <c r="N452">
        <v>11</v>
      </c>
      <c r="O452">
        <v>169</v>
      </c>
      <c r="P452">
        <v>171</v>
      </c>
      <c r="Q452">
        <v>169</v>
      </c>
      <c r="S452">
        <v>325</v>
      </c>
      <c r="T452">
        <v>325</v>
      </c>
      <c r="U452">
        <f>+SUM(Table1[[#This Row],[Latinos]:[Cemex]])</f>
        <v>1</v>
      </c>
      <c r="V452" t="str">
        <f>+Table1[[#This Row],[id_destino]]&amp;" - "&amp;Table1[[#This Row],[id_origen]]</f>
        <v>169 - 11</v>
      </c>
    </row>
    <row r="453" spans="1:22" hidden="1">
      <c r="A453">
        <v>3402</v>
      </c>
      <c r="B453">
        <v>313</v>
      </c>
      <c r="C453">
        <v>7147</v>
      </c>
      <c r="D453">
        <v>7404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 t="s">
        <v>20</v>
      </c>
      <c r="L453" s="1">
        <v>45110</v>
      </c>
      <c r="M453">
        <v>169</v>
      </c>
      <c r="N453">
        <v>11</v>
      </c>
      <c r="O453">
        <v>167</v>
      </c>
      <c r="P453">
        <v>209</v>
      </c>
      <c r="Q453">
        <v>167</v>
      </c>
      <c r="S453">
        <v>372</v>
      </c>
      <c r="T453">
        <v>372</v>
      </c>
      <c r="U453">
        <f>+SUM(Table1[[#This Row],[Latinos]:[Cemex]])</f>
        <v>1</v>
      </c>
      <c r="V453" t="str">
        <f>+Table1[[#This Row],[id_destino]]&amp;" - "&amp;Table1[[#This Row],[id_origen]]</f>
        <v>169 - 11</v>
      </c>
    </row>
    <row r="454" spans="1:22" hidden="1">
      <c r="A454">
        <v>4640</v>
      </c>
      <c r="B454">
        <v>313</v>
      </c>
      <c r="C454">
        <v>7147</v>
      </c>
      <c r="D454">
        <v>7404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 t="s">
        <v>20</v>
      </c>
      <c r="L454" s="1">
        <v>45694</v>
      </c>
      <c r="M454">
        <v>169</v>
      </c>
      <c r="N454">
        <v>11</v>
      </c>
      <c r="O454">
        <v>174</v>
      </c>
      <c r="P454">
        <v>174</v>
      </c>
      <c r="Q454">
        <v>174</v>
      </c>
      <c r="S454">
        <v>695</v>
      </c>
      <c r="T454">
        <v>692</v>
      </c>
      <c r="U454">
        <f>+SUM(Table1[[#This Row],[Latinos]:[Cemex]])</f>
        <v>1</v>
      </c>
      <c r="V454" t="str">
        <f>+Table1[[#This Row],[id_destino]]&amp;" - "&amp;Table1[[#This Row],[id_origen]]</f>
        <v>169 - 11</v>
      </c>
    </row>
    <row r="455" spans="1:22" hidden="1">
      <c r="A455">
        <v>1730</v>
      </c>
      <c r="B455">
        <v>2907</v>
      </c>
      <c r="C455">
        <v>4518</v>
      </c>
      <c r="D455">
        <v>5045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 t="s">
        <v>20</v>
      </c>
      <c r="L455" s="1">
        <v>43593</v>
      </c>
      <c r="M455">
        <v>179</v>
      </c>
      <c r="N455">
        <v>11</v>
      </c>
      <c r="O455">
        <v>1730</v>
      </c>
      <c r="P455">
        <v>1703</v>
      </c>
      <c r="Q455">
        <v>1730</v>
      </c>
      <c r="S455">
        <v>3334</v>
      </c>
      <c r="T455">
        <v>3420</v>
      </c>
      <c r="U455">
        <f>+SUM(Table1[[#This Row],[Latinos]:[Cemex]])</f>
        <v>1</v>
      </c>
      <c r="V455" t="str">
        <f>+Table1[[#This Row],[id_destino]]&amp;" - "&amp;Table1[[#This Row],[id_origen]]</f>
        <v>179 - 11</v>
      </c>
    </row>
    <row r="456" spans="1:22" hidden="1">
      <c r="A456">
        <v>1487</v>
      </c>
      <c r="B456">
        <v>2775</v>
      </c>
      <c r="C456">
        <v>5282</v>
      </c>
      <c r="D456">
        <v>5738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 t="s">
        <v>20</v>
      </c>
      <c r="L456" s="1">
        <v>43462</v>
      </c>
      <c r="M456">
        <v>190</v>
      </c>
      <c r="N456">
        <v>11</v>
      </c>
      <c r="O456">
        <v>516</v>
      </c>
      <c r="P456">
        <v>516</v>
      </c>
      <c r="Q456">
        <v>516</v>
      </c>
      <c r="S456">
        <v>316</v>
      </c>
      <c r="T456">
        <v>333</v>
      </c>
      <c r="U456">
        <f>+SUM(Table1[[#This Row],[Latinos]:[Cemex]])</f>
        <v>1</v>
      </c>
      <c r="V456" t="str">
        <f>+Table1[[#This Row],[id_destino]]&amp;" - "&amp;Table1[[#This Row],[id_origen]]</f>
        <v>190 - 11</v>
      </c>
    </row>
    <row r="457" spans="1:22" hidden="1">
      <c r="A457">
        <v>1231</v>
      </c>
      <c r="B457">
        <v>2646</v>
      </c>
      <c r="C457">
        <v>404</v>
      </c>
      <c r="D457">
        <v>5490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 t="s">
        <v>20</v>
      </c>
      <c r="L457" s="1">
        <v>43348</v>
      </c>
      <c r="M457">
        <v>243</v>
      </c>
      <c r="N457">
        <v>11</v>
      </c>
      <c r="O457">
        <v>932</v>
      </c>
      <c r="P457">
        <v>932</v>
      </c>
      <c r="Q457">
        <v>932</v>
      </c>
      <c r="S457">
        <v>1887</v>
      </c>
      <c r="T457">
        <v>1887</v>
      </c>
      <c r="U457">
        <f>+SUM(Table1[[#This Row],[Latinos]:[Cemex]])</f>
        <v>1</v>
      </c>
      <c r="V457" t="str">
        <f>+Table1[[#This Row],[id_destino]]&amp;" - "&amp;Table1[[#This Row],[id_origen]]</f>
        <v>243 - 11</v>
      </c>
    </row>
    <row r="458" spans="1:22" hidden="1">
      <c r="A458">
        <v>1369</v>
      </c>
      <c r="B458">
        <v>541</v>
      </c>
      <c r="C458">
        <v>5282</v>
      </c>
      <c r="D458">
        <v>5732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 t="s">
        <v>20</v>
      </c>
      <c r="L458" s="1">
        <v>43409</v>
      </c>
      <c r="M458">
        <v>276</v>
      </c>
      <c r="N458">
        <v>11</v>
      </c>
      <c r="O458">
        <v>208</v>
      </c>
      <c r="P458">
        <v>210</v>
      </c>
      <c r="Q458">
        <v>208</v>
      </c>
      <c r="S458">
        <v>1093</v>
      </c>
      <c r="T458">
        <v>1186</v>
      </c>
      <c r="U458">
        <f>+SUM(Table1[[#This Row],[Latinos]:[Cemex]])</f>
        <v>1</v>
      </c>
      <c r="V458" t="str">
        <f>+Table1[[#This Row],[id_destino]]&amp;" - "&amp;Table1[[#This Row],[id_origen]]</f>
        <v>276 - 11</v>
      </c>
    </row>
    <row r="459" spans="1:22" hidden="1">
      <c r="A459">
        <v>4789</v>
      </c>
      <c r="B459">
        <v>4909</v>
      </c>
      <c r="C459">
        <v>1172</v>
      </c>
      <c r="D459">
        <v>8250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 t="s">
        <v>20</v>
      </c>
      <c r="L459" s="1">
        <v>45824</v>
      </c>
      <c r="M459">
        <v>286</v>
      </c>
      <c r="N459">
        <v>11</v>
      </c>
      <c r="O459">
        <v>498</v>
      </c>
      <c r="P459">
        <v>498</v>
      </c>
      <c r="Q459">
        <v>498</v>
      </c>
      <c r="S459">
        <v>2698</v>
      </c>
      <c r="T459">
        <v>2698</v>
      </c>
      <c r="U459">
        <f>+SUM(Table1[[#This Row],[Latinos]:[Cemex]])</f>
        <v>1</v>
      </c>
      <c r="V459" t="str">
        <f>+Table1[[#This Row],[id_destino]]&amp;" - "&amp;Table1[[#This Row],[id_origen]]</f>
        <v>286 - 11</v>
      </c>
    </row>
    <row r="460" spans="1:22" hidden="1">
      <c r="A460">
        <v>2056</v>
      </c>
      <c r="B460">
        <v>1187</v>
      </c>
      <c r="C460">
        <v>5282</v>
      </c>
      <c r="D460">
        <v>160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 t="s">
        <v>20</v>
      </c>
      <c r="L460" s="1">
        <v>43788</v>
      </c>
      <c r="M460">
        <v>345</v>
      </c>
      <c r="N460">
        <v>11</v>
      </c>
      <c r="O460">
        <v>219</v>
      </c>
      <c r="P460">
        <v>219</v>
      </c>
      <c r="Q460">
        <v>219</v>
      </c>
      <c r="S460">
        <v>574</v>
      </c>
      <c r="T460">
        <v>574</v>
      </c>
      <c r="U460">
        <f>+SUM(Table1[[#This Row],[Latinos]:[Cemex]])</f>
        <v>1</v>
      </c>
      <c r="V460" t="str">
        <f>+Table1[[#This Row],[id_destino]]&amp;" - "&amp;Table1[[#This Row],[id_origen]]</f>
        <v>345 - 11</v>
      </c>
    </row>
    <row r="461" spans="1:22" hidden="1">
      <c r="A461">
        <v>2602</v>
      </c>
      <c r="B461">
        <v>3445</v>
      </c>
      <c r="C461">
        <v>6449</v>
      </c>
      <c r="D461">
        <v>6401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 t="s">
        <v>20</v>
      </c>
      <c r="L461" s="1">
        <v>44233</v>
      </c>
      <c r="M461">
        <v>379</v>
      </c>
      <c r="N461">
        <v>11</v>
      </c>
      <c r="O461">
        <v>690</v>
      </c>
      <c r="P461">
        <v>690</v>
      </c>
      <c r="Q461">
        <v>690</v>
      </c>
      <c r="S461">
        <v>330</v>
      </c>
      <c r="T461">
        <v>330</v>
      </c>
      <c r="U461">
        <f>+SUM(Table1[[#This Row],[Latinos]:[Cemex]])</f>
        <v>1</v>
      </c>
      <c r="V461" t="str">
        <f>+Table1[[#This Row],[id_destino]]&amp;" - "&amp;Table1[[#This Row],[id_origen]]</f>
        <v>379 - 11</v>
      </c>
    </row>
    <row r="462" spans="1:22" hidden="1">
      <c r="A462">
        <v>4813</v>
      </c>
      <c r="B462">
        <v>4924</v>
      </c>
      <c r="C462">
        <v>1172</v>
      </c>
      <c r="D462">
        <v>8269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 t="s">
        <v>20</v>
      </c>
      <c r="L462" s="1">
        <v>45859</v>
      </c>
      <c r="M462">
        <v>418</v>
      </c>
      <c r="N462">
        <v>11</v>
      </c>
      <c r="O462">
        <v>583</v>
      </c>
      <c r="P462">
        <v>583</v>
      </c>
      <c r="Q462">
        <v>583</v>
      </c>
      <c r="S462">
        <v>2485</v>
      </c>
      <c r="T462">
        <v>2485</v>
      </c>
      <c r="U462">
        <f>+SUM(Table1[[#This Row],[Latinos]:[Cemex]])</f>
        <v>1</v>
      </c>
      <c r="V462" t="str">
        <f>+Table1[[#This Row],[id_destino]]&amp;" - "&amp;Table1[[#This Row],[id_origen]]</f>
        <v>418 - 11</v>
      </c>
    </row>
    <row r="463" spans="1:22" hidden="1">
      <c r="A463">
        <v>4346</v>
      </c>
      <c r="B463">
        <v>4586</v>
      </c>
      <c r="C463">
        <v>7147</v>
      </c>
      <c r="D463">
        <v>6566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 t="s">
        <v>20</v>
      </c>
      <c r="L463" s="1">
        <v>45486</v>
      </c>
      <c r="M463">
        <v>525</v>
      </c>
      <c r="N463">
        <v>11</v>
      </c>
      <c r="O463">
        <v>229</v>
      </c>
      <c r="P463">
        <v>229</v>
      </c>
      <c r="Q463">
        <v>229</v>
      </c>
      <c r="S463">
        <v>568</v>
      </c>
      <c r="T463">
        <v>568</v>
      </c>
      <c r="U463">
        <f>+SUM(Table1[[#This Row],[Latinos]:[Cemex]])</f>
        <v>1</v>
      </c>
      <c r="V463" t="str">
        <f>+Table1[[#This Row],[id_destino]]&amp;" - "&amp;Table1[[#This Row],[id_origen]]</f>
        <v>525 - 11</v>
      </c>
    </row>
    <row r="464" spans="1:22" hidden="1">
      <c r="A464">
        <v>2305</v>
      </c>
      <c r="B464">
        <v>3260</v>
      </c>
      <c r="C464">
        <v>5282</v>
      </c>
      <c r="D464">
        <v>5964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 t="s">
        <v>20</v>
      </c>
      <c r="L464" s="1">
        <v>43917</v>
      </c>
      <c r="M464">
        <v>536</v>
      </c>
      <c r="N464">
        <v>11</v>
      </c>
      <c r="O464">
        <v>1903</v>
      </c>
      <c r="P464">
        <v>1903</v>
      </c>
      <c r="Q464">
        <v>1903</v>
      </c>
      <c r="S464">
        <v>2437</v>
      </c>
      <c r="T464">
        <v>2437</v>
      </c>
      <c r="U464">
        <f>+SUM(Table1[[#This Row],[Latinos]:[Cemex]])</f>
        <v>1</v>
      </c>
      <c r="V464" t="str">
        <f>+Table1[[#This Row],[id_destino]]&amp;" - "&amp;Table1[[#This Row],[id_origen]]</f>
        <v>536 - 11</v>
      </c>
    </row>
    <row r="465" spans="1:22" hidden="1">
      <c r="A465">
        <v>4849</v>
      </c>
      <c r="B465">
        <v>4952</v>
      </c>
      <c r="C465">
        <v>5282</v>
      </c>
      <c r="D465">
        <v>4300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 t="s">
        <v>20</v>
      </c>
      <c r="L465" s="1">
        <v>45890</v>
      </c>
      <c r="M465">
        <v>580</v>
      </c>
      <c r="N465">
        <v>11</v>
      </c>
      <c r="O465">
        <v>62</v>
      </c>
      <c r="P465">
        <v>150</v>
      </c>
      <c r="Q465">
        <v>50</v>
      </c>
      <c r="S465">
        <v>0</v>
      </c>
      <c r="T465">
        <v>0</v>
      </c>
      <c r="U465">
        <f>+SUM(Table1[[#This Row],[Latinos]:[Cemex]])</f>
        <v>1</v>
      </c>
      <c r="V465" t="str">
        <f>+Table1[[#This Row],[id_destino]]&amp;" - "&amp;Table1[[#This Row],[id_origen]]</f>
        <v>580 - 11</v>
      </c>
    </row>
    <row r="466" spans="1:22" hidden="1">
      <c r="A466">
        <v>2735</v>
      </c>
      <c r="B466">
        <v>3430</v>
      </c>
      <c r="C466">
        <v>5282</v>
      </c>
      <c r="D466">
        <v>64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 t="s">
        <v>20</v>
      </c>
      <c r="L466" s="1">
        <v>44392</v>
      </c>
      <c r="M466">
        <v>602</v>
      </c>
      <c r="N466">
        <v>11</v>
      </c>
      <c r="O466">
        <v>150</v>
      </c>
      <c r="P466">
        <v>150</v>
      </c>
      <c r="Q466">
        <v>150</v>
      </c>
      <c r="S466">
        <v>266</v>
      </c>
      <c r="T466">
        <v>266</v>
      </c>
      <c r="U466">
        <f>+SUM(Table1[[#This Row],[Latinos]:[Cemex]])</f>
        <v>1</v>
      </c>
      <c r="V466" t="str">
        <f>+Table1[[#This Row],[id_destino]]&amp;" - "&amp;Table1[[#This Row],[id_origen]]</f>
        <v>602 - 11</v>
      </c>
    </row>
    <row r="467" spans="1:22" hidden="1">
      <c r="A467">
        <v>4040</v>
      </c>
      <c r="B467">
        <v>4378</v>
      </c>
      <c r="C467">
        <v>5282</v>
      </c>
      <c r="D467">
        <v>7513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 t="s">
        <v>20</v>
      </c>
      <c r="L467" s="1">
        <v>45245</v>
      </c>
      <c r="M467">
        <v>709</v>
      </c>
      <c r="N467">
        <v>11</v>
      </c>
      <c r="O467">
        <v>518</v>
      </c>
      <c r="P467">
        <v>474</v>
      </c>
      <c r="Q467">
        <v>518</v>
      </c>
      <c r="S467">
        <v>648</v>
      </c>
      <c r="T467">
        <v>648</v>
      </c>
      <c r="U467">
        <f>+SUM(Table1[[#This Row],[Latinos]:[Cemex]])</f>
        <v>1</v>
      </c>
      <c r="V467" t="str">
        <f>+Table1[[#This Row],[id_destino]]&amp;" - "&amp;Table1[[#This Row],[id_origen]]</f>
        <v>709 - 11</v>
      </c>
    </row>
    <row r="468" spans="1:22" hidden="1">
      <c r="A468">
        <v>1116</v>
      </c>
      <c r="B468">
        <v>2591</v>
      </c>
      <c r="C468">
        <v>349</v>
      </c>
      <c r="D468">
        <v>353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 t="s">
        <v>20</v>
      </c>
      <c r="L468" s="1">
        <v>43298</v>
      </c>
      <c r="M468">
        <v>7</v>
      </c>
      <c r="N468">
        <v>12</v>
      </c>
      <c r="O468">
        <v>2197</v>
      </c>
      <c r="P468">
        <v>2197</v>
      </c>
      <c r="Q468">
        <v>2197</v>
      </c>
      <c r="S468">
        <v>2936</v>
      </c>
      <c r="T468">
        <v>2936</v>
      </c>
      <c r="U468">
        <f>+SUM(Table1[[#This Row],[Latinos]:[Cemex]])</f>
        <v>1</v>
      </c>
      <c r="V468" t="str">
        <f>+Table1[[#This Row],[id_destino]]&amp;" - "&amp;Table1[[#This Row],[id_origen]]</f>
        <v>7 - 12</v>
      </c>
    </row>
    <row r="469" spans="1:22" hidden="1">
      <c r="A469">
        <v>4654</v>
      </c>
      <c r="B469">
        <v>4823</v>
      </c>
      <c r="C469">
        <v>7971</v>
      </c>
      <c r="D469">
        <v>8130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 t="s">
        <v>20</v>
      </c>
      <c r="L469" s="1">
        <v>45707</v>
      </c>
      <c r="M469">
        <v>8</v>
      </c>
      <c r="N469">
        <v>12</v>
      </c>
      <c r="O469">
        <v>1800</v>
      </c>
      <c r="P469">
        <v>1800</v>
      </c>
      <c r="Q469">
        <v>1800</v>
      </c>
      <c r="S469">
        <v>4325</v>
      </c>
      <c r="T469">
        <v>4325</v>
      </c>
      <c r="U469">
        <f>+SUM(Table1[[#This Row],[Latinos]:[Cemex]])</f>
        <v>1</v>
      </c>
      <c r="V469" t="str">
        <f>+Table1[[#This Row],[id_destino]]&amp;" - "&amp;Table1[[#This Row],[id_origen]]</f>
        <v>8 - 12</v>
      </c>
    </row>
    <row r="470" spans="1:22" hidden="1">
      <c r="A470">
        <v>4047</v>
      </c>
      <c r="B470">
        <v>4384</v>
      </c>
      <c r="C470">
        <v>7563</v>
      </c>
      <c r="D470">
        <v>7027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 t="s">
        <v>20</v>
      </c>
      <c r="L470" s="1">
        <v>45251</v>
      </c>
      <c r="M470">
        <v>13</v>
      </c>
      <c r="N470">
        <v>12</v>
      </c>
      <c r="O470">
        <v>234</v>
      </c>
      <c r="P470">
        <v>251</v>
      </c>
      <c r="Q470">
        <v>234</v>
      </c>
      <c r="S470">
        <v>749</v>
      </c>
      <c r="T470">
        <v>749</v>
      </c>
      <c r="U470">
        <f>+SUM(Table1[[#This Row],[Latinos]:[Cemex]])</f>
        <v>1</v>
      </c>
      <c r="V470" t="str">
        <f>+Table1[[#This Row],[id_destino]]&amp;" - "&amp;Table1[[#This Row],[id_origen]]</f>
        <v>13 - 12</v>
      </c>
    </row>
    <row r="471" spans="1:22" hidden="1">
      <c r="A471">
        <v>1723</v>
      </c>
      <c r="B471">
        <v>1136</v>
      </c>
      <c r="C471">
        <v>10</v>
      </c>
      <c r="D471">
        <v>4050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 t="s">
        <v>20</v>
      </c>
      <c r="L471" s="1">
        <v>43587</v>
      </c>
      <c r="M471">
        <v>18</v>
      </c>
      <c r="N471">
        <v>12</v>
      </c>
      <c r="O471">
        <v>460</v>
      </c>
      <c r="P471">
        <v>453</v>
      </c>
      <c r="Q471">
        <v>460</v>
      </c>
      <c r="S471">
        <v>1883</v>
      </c>
      <c r="T471">
        <v>1883</v>
      </c>
      <c r="U471">
        <f>+SUM(Table1[[#This Row],[Latinos]:[Cemex]])</f>
        <v>1</v>
      </c>
      <c r="V471" t="str">
        <f>+Table1[[#This Row],[id_destino]]&amp;" - "&amp;Table1[[#This Row],[id_origen]]</f>
        <v>18 - 12</v>
      </c>
    </row>
    <row r="472" spans="1:22" hidden="1">
      <c r="A472">
        <v>4193</v>
      </c>
      <c r="B472">
        <v>487</v>
      </c>
      <c r="C472">
        <v>3513</v>
      </c>
      <c r="D472">
        <v>7677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 t="s">
        <v>20</v>
      </c>
      <c r="L472" s="1">
        <v>45349</v>
      </c>
      <c r="M472">
        <v>24</v>
      </c>
      <c r="N472">
        <v>12</v>
      </c>
      <c r="O472">
        <v>527</v>
      </c>
      <c r="P472">
        <v>507</v>
      </c>
      <c r="Q472">
        <v>527</v>
      </c>
      <c r="S472">
        <v>2116</v>
      </c>
      <c r="T472">
        <v>2203</v>
      </c>
      <c r="U472">
        <f>+SUM(Table1[[#This Row],[Latinos]:[Cemex]])</f>
        <v>1</v>
      </c>
      <c r="V472" t="str">
        <f>+Table1[[#This Row],[id_destino]]&amp;" - "&amp;Table1[[#This Row],[id_origen]]</f>
        <v>24 - 12</v>
      </c>
    </row>
    <row r="473" spans="1:22" hidden="1">
      <c r="A473">
        <v>1123</v>
      </c>
      <c r="B473">
        <v>2595</v>
      </c>
      <c r="C473">
        <v>349</v>
      </c>
      <c r="D473">
        <v>5420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 t="s">
        <v>20</v>
      </c>
      <c r="L473" s="1">
        <v>43299</v>
      </c>
      <c r="M473">
        <v>26</v>
      </c>
      <c r="N473">
        <v>12</v>
      </c>
      <c r="O473">
        <v>246</v>
      </c>
      <c r="P473">
        <v>246</v>
      </c>
      <c r="Q473">
        <v>246</v>
      </c>
      <c r="S473">
        <v>687</v>
      </c>
      <c r="T473">
        <v>687</v>
      </c>
      <c r="U473">
        <f>+SUM(Table1[[#This Row],[Latinos]:[Cemex]])</f>
        <v>1</v>
      </c>
      <c r="V473" t="str">
        <f>+Table1[[#This Row],[id_destino]]&amp;" - "&amp;Table1[[#This Row],[id_origen]]</f>
        <v>26 - 12</v>
      </c>
    </row>
    <row r="474" spans="1:22" hidden="1">
      <c r="A474">
        <v>429</v>
      </c>
      <c r="B474">
        <v>289</v>
      </c>
      <c r="C474">
        <v>175</v>
      </c>
      <c r="D474">
        <v>34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 t="s">
        <v>20</v>
      </c>
      <c r="L474" s="1">
        <v>43066</v>
      </c>
      <c r="M474">
        <v>30</v>
      </c>
      <c r="N474">
        <v>12</v>
      </c>
      <c r="O474">
        <v>718</v>
      </c>
      <c r="P474">
        <v>718</v>
      </c>
      <c r="Q474">
        <v>718</v>
      </c>
      <c r="S474">
        <v>1899</v>
      </c>
      <c r="T474">
        <v>1899</v>
      </c>
      <c r="U474">
        <f>+SUM(Table1[[#This Row],[Latinos]:[Cemex]])</f>
        <v>1</v>
      </c>
      <c r="V474" t="str">
        <f>+Table1[[#This Row],[id_destino]]&amp;" - "&amp;Table1[[#This Row],[id_origen]]</f>
        <v>30 - 12</v>
      </c>
    </row>
    <row r="475" spans="1:22" hidden="1">
      <c r="A475">
        <v>31</v>
      </c>
      <c r="B475">
        <v>727</v>
      </c>
      <c r="C475">
        <v>175</v>
      </c>
      <c r="D475">
        <v>35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 t="s">
        <v>20</v>
      </c>
      <c r="L475" s="1">
        <v>43301</v>
      </c>
      <c r="M475">
        <v>31</v>
      </c>
      <c r="N475">
        <v>12</v>
      </c>
      <c r="O475">
        <v>920</v>
      </c>
      <c r="P475">
        <v>902</v>
      </c>
      <c r="Q475">
        <v>920</v>
      </c>
      <c r="S475">
        <v>4153</v>
      </c>
      <c r="T475">
        <v>4153</v>
      </c>
      <c r="U475">
        <f>+SUM(Table1[[#This Row],[Latinos]:[Cemex]])</f>
        <v>1</v>
      </c>
      <c r="V475" t="str">
        <f>+Table1[[#This Row],[id_destino]]&amp;" - "&amp;Table1[[#This Row],[id_origen]]</f>
        <v>31 - 12</v>
      </c>
    </row>
    <row r="476" spans="1:22" hidden="1">
      <c r="A476">
        <v>695</v>
      </c>
      <c r="B476">
        <v>968</v>
      </c>
      <c r="C476">
        <v>3029</v>
      </c>
      <c r="D476">
        <v>40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 t="s">
        <v>20</v>
      </c>
      <c r="L476" s="1">
        <v>43132</v>
      </c>
      <c r="M476">
        <v>34</v>
      </c>
      <c r="N476">
        <v>12</v>
      </c>
      <c r="O476">
        <v>521</v>
      </c>
      <c r="P476">
        <v>497</v>
      </c>
      <c r="Q476">
        <v>521</v>
      </c>
      <c r="S476">
        <v>682</v>
      </c>
      <c r="T476">
        <v>838</v>
      </c>
      <c r="U476">
        <f>+SUM(Table1[[#This Row],[Latinos]:[Cemex]])</f>
        <v>1</v>
      </c>
      <c r="V476" t="str">
        <f>+Table1[[#This Row],[id_destino]]&amp;" - "&amp;Table1[[#This Row],[id_origen]]</f>
        <v>34 - 12</v>
      </c>
    </row>
    <row r="477" spans="1:22" hidden="1">
      <c r="A477">
        <v>2683</v>
      </c>
      <c r="B477">
        <v>3499</v>
      </c>
      <c r="C477">
        <v>175</v>
      </c>
      <c r="D477">
        <v>45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 t="s">
        <v>20</v>
      </c>
      <c r="L477" s="1">
        <v>44344</v>
      </c>
      <c r="M477">
        <v>39</v>
      </c>
      <c r="N477">
        <v>12</v>
      </c>
      <c r="O477">
        <v>426</v>
      </c>
      <c r="P477">
        <v>416</v>
      </c>
      <c r="Q477">
        <v>426</v>
      </c>
      <c r="S477">
        <v>2070</v>
      </c>
      <c r="T477">
        <v>2070</v>
      </c>
      <c r="U477">
        <f>+SUM(Table1[[#This Row],[Latinos]:[Cemex]])</f>
        <v>1</v>
      </c>
      <c r="V477" t="str">
        <f>+Table1[[#This Row],[id_destino]]&amp;" - "&amp;Table1[[#This Row],[id_origen]]</f>
        <v>39 - 12</v>
      </c>
    </row>
    <row r="478" spans="1:22" hidden="1">
      <c r="A478">
        <v>1045</v>
      </c>
      <c r="B478">
        <v>600</v>
      </c>
      <c r="C478">
        <v>175</v>
      </c>
      <c r="D478">
        <v>3984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 t="s">
        <v>20</v>
      </c>
      <c r="L478" s="1">
        <v>43262</v>
      </c>
      <c r="M478">
        <v>59</v>
      </c>
      <c r="N478">
        <v>12</v>
      </c>
      <c r="O478">
        <v>889</v>
      </c>
      <c r="P478">
        <v>889</v>
      </c>
      <c r="Q478">
        <v>889</v>
      </c>
      <c r="S478">
        <v>2183</v>
      </c>
      <c r="T478">
        <v>2183</v>
      </c>
      <c r="U478">
        <f>+SUM(Table1[[#This Row],[Latinos]:[Cemex]])</f>
        <v>1</v>
      </c>
      <c r="V478" t="str">
        <f>+Table1[[#This Row],[id_destino]]&amp;" - "&amp;Table1[[#This Row],[id_origen]]</f>
        <v>59 - 12</v>
      </c>
    </row>
    <row r="479" spans="1:22" hidden="1">
      <c r="A479">
        <v>1450</v>
      </c>
      <c r="B479">
        <v>600</v>
      </c>
      <c r="C479">
        <v>175</v>
      </c>
      <c r="D479">
        <v>3984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 t="s">
        <v>71</v>
      </c>
      <c r="L479" s="1">
        <v>43442</v>
      </c>
      <c r="M479">
        <v>59</v>
      </c>
      <c r="N479">
        <v>12</v>
      </c>
      <c r="O479">
        <v>944</v>
      </c>
      <c r="P479">
        <v>995</v>
      </c>
      <c r="Q479">
        <v>944</v>
      </c>
      <c r="S479">
        <v>1764</v>
      </c>
      <c r="T479">
        <v>1764</v>
      </c>
      <c r="U479">
        <f>+SUM(Table1[[#This Row],[Latinos]:[Cemex]])</f>
        <v>2</v>
      </c>
      <c r="V479" t="str">
        <f>+Table1[[#This Row],[id_destino]]&amp;" - "&amp;Table1[[#This Row],[id_origen]]</f>
        <v>59 - 12</v>
      </c>
    </row>
    <row r="480" spans="1:22" hidden="1">
      <c r="A480">
        <v>1580</v>
      </c>
      <c r="B480">
        <v>600</v>
      </c>
      <c r="C480">
        <v>5828</v>
      </c>
      <c r="D480">
        <v>2812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 t="s">
        <v>20</v>
      </c>
      <c r="L480" s="1">
        <v>43514</v>
      </c>
      <c r="M480">
        <v>59</v>
      </c>
      <c r="N480">
        <v>12</v>
      </c>
      <c r="O480">
        <v>889</v>
      </c>
      <c r="P480">
        <v>889</v>
      </c>
      <c r="Q480">
        <v>889</v>
      </c>
      <c r="S480">
        <v>2238</v>
      </c>
      <c r="T480">
        <v>2238</v>
      </c>
      <c r="U480">
        <f>+SUM(Table1[[#This Row],[Latinos]:[Cemex]])</f>
        <v>1</v>
      </c>
      <c r="V480" t="str">
        <f>+Table1[[#This Row],[id_destino]]&amp;" - "&amp;Table1[[#This Row],[id_origen]]</f>
        <v>59 - 12</v>
      </c>
    </row>
    <row r="481" spans="1:22" hidden="1">
      <c r="A481">
        <v>542</v>
      </c>
      <c r="B481">
        <v>2337</v>
      </c>
      <c r="C481">
        <v>10</v>
      </c>
      <c r="D481">
        <v>105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 t="s">
        <v>20</v>
      </c>
      <c r="L481" s="1">
        <v>43096</v>
      </c>
      <c r="M481">
        <v>75</v>
      </c>
      <c r="N481">
        <v>12</v>
      </c>
      <c r="O481">
        <v>463</v>
      </c>
      <c r="P481">
        <v>463</v>
      </c>
      <c r="Q481">
        <v>463</v>
      </c>
      <c r="S481">
        <v>1091</v>
      </c>
      <c r="T481">
        <v>1091</v>
      </c>
      <c r="U481">
        <f>+SUM(Table1[[#This Row],[Latinos]:[Cemex]])</f>
        <v>1</v>
      </c>
      <c r="V481" t="str">
        <f>+Table1[[#This Row],[id_destino]]&amp;" - "&amp;Table1[[#This Row],[id_origen]]</f>
        <v>75 - 12</v>
      </c>
    </row>
    <row r="482" spans="1:22" hidden="1">
      <c r="A482">
        <v>4452</v>
      </c>
      <c r="B482">
        <v>3695</v>
      </c>
      <c r="C482">
        <v>7924</v>
      </c>
      <c r="D482">
        <v>7617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 t="s">
        <v>20</v>
      </c>
      <c r="L482" s="1">
        <v>45553</v>
      </c>
      <c r="M482">
        <v>81</v>
      </c>
      <c r="N482">
        <v>12</v>
      </c>
      <c r="O482">
        <v>597</v>
      </c>
      <c r="P482">
        <v>620</v>
      </c>
      <c r="Q482">
        <v>597</v>
      </c>
      <c r="S482">
        <v>2097</v>
      </c>
      <c r="T482">
        <v>2097</v>
      </c>
      <c r="U482">
        <f>+SUM(Table1[[#This Row],[Latinos]:[Cemex]])</f>
        <v>1</v>
      </c>
      <c r="V482" t="str">
        <f>+Table1[[#This Row],[id_destino]]&amp;" - "&amp;Table1[[#This Row],[id_origen]]</f>
        <v>81 - 12</v>
      </c>
    </row>
    <row r="483" spans="1:22" hidden="1">
      <c r="A483">
        <v>1894</v>
      </c>
      <c r="B483">
        <v>1389</v>
      </c>
      <c r="C483">
        <v>175</v>
      </c>
      <c r="D483">
        <v>268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20</v>
      </c>
      <c r="L483" s="1">
        <v>44596</v>
      </c>
      <c r="M483">
        <v>99</v>
      </c>
      <c r="N483">
        <v>12</v>
      </c>
      <c r="O483">
        <v>1668</v>
      </c>
      <c r="P483">
        <v>1675</v>
      </c>
      <c r="Q483">
        <v>1668</v>
      </c>
      <c r="S483">
        <v>4570.3999999999996</v>
      </c>
      <c r="T483">
        <v>4570.3999999999996</v>
      </c>
      <c r="U483">
        <f>+SUM(Table1[[#This Row],[Latinos]:[Cemex]])</f>
        <v>1</v>
      </c>
      <c r="V483" t="str">
        <f>+Table1[[#This Row],[id_destino]]&amp;" - "&amp;Table1[[#This Row],[id_origen]]</f>
        <v>99 - 12</v>
      </c>
    </row>
    <row r="484" spans="1:22" hidden="1">
      <c r="A484">
        <v>2469</v>
      </c>
      <c r="B484">
        <v>3363</v>
      </c>
      <c r="C484">
        <v>349</v>
      </c>
      <c r="D484">
        <v>5472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 t="s">
        <v>20</v>
      </c>
      <c r="L484" s="1">
        <v>44104</v>
      </c>
      <c r="M484">
        <v>102</v>
      </c>
      <c r="N484">
        <v>12</v>
      </c>
      <c r="O484">
        <v>1006</v>
      </c>
      <c r="P484">
        <v>1006</v>
      </c>
      <c r="Q484">
        <v>1006</v>
      </c>
      <c r="S484">
        <v>872</v>
      </c>
      <c r="T484">
        <v>872</v>
      </c>
      <c r="U484">
        <f>+SUM(Table1[[#This Row],[Latinos]:[Cemex]])</f>
        <v>1</v>
      </c>
      <c r="V484" t="str">
        <f>+Table1[[#This Row],[id_destino]]&amp;" - "&amp;Table1[[#This Row],[id_origen]]</f>
        <v>102 - 12</v>
      </c>
    </row>
    <row r="485" spans="1:22" hidden="1">
      <c r="A485">
        <v>1455</v>
      </c>
      <c r="B485">
        <v>29</v>
      </c>
      <c r="C485">
        <v>175</v>
      </c>
      <c r="D485">
        <v>1555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20</v>
      </c>
      <c r="L485" s="1">
        <v>44596</v>
      </c>
      <c r="M485">
        <v>107</v>
      </c>
      <c r="N485">
        <v>12</v>
      </c>
      <c r="O485">
        <v>626</v>
      </c>
      <c r="P485">
        <v>626</v>
      </c>
      <c r="Q485">
        <v>626</v>
      </c>
      <c r="S485">
        <v>1107.8</v>
      </c>
      <c r="T485">
        <v>1170.44</v>
      </c>
      <c r="U485">
        <f>+SUM(Table1[[#This Row],[Latinos]:[Cemex]])</f>
        <v>1</v>
      </c>
      <c r="V485" t="str">
        <f>+Table1[[#This Row],[id_destino]]&amp;" - "&amp;Table1[[#This Row],[id_origen]]</f>
        <v>107 - 12</v>
      </c>
    </row>
    <row r="486" spans="1:22" hidden="1">
      <c r="A486">
        <v>2427</v>
      </c>
      <c r="B486">
        <v>29</v>
      </c>
      <c r="C486">
        <v>349</v>
      </c>
      <c r="D486">
        <v>1637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 t="s">
        <v>20</v>
      </c>
      <c r="L486" s="1">
        <v>44067</v>
      </c>
      <c r="M486">
        <v>107</v>
      </c>
      <c r="N486">
        <v>12</v>
      </c>
      <c r="O486">
        <v>629</v>
      </c>
      <c r="P486">
        <v>619</v>
      </c>
      <c r="Q486">
        <v>629</v>
      </c>
      <c r="S486">
        <v>842</v>
      </c>
      <c r="T486">
        <v>896</v>
      </c>
      <c r="U486">
        <f>+SUM(Table1[[#This Row],[Latinos]:[Cemex]])</f>
        <v>1</v>
      </c>
      <c r="V486" t="str">
        <f>+Table1[[#This Row],[id_destino]]&amp;" - "&amp;Table1[[#This Row],[id_origen]]</f>
        <v>107 - 12</v>
      </c>
    </row>
    <row r="487" spans="1:22" hidden="1">
      <c r="A487">
        <v>2596</v>
      </c>
      <c r="B487">
        <v>3443</v>
      </c>
      <c r="C487">
        <v>6512</v>
      </c>
      <c r="D487">
        <v>6513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 t="s">
        <v>20</v>
      </c>
      <c r="L487" s="1">
        <v>44229</v>
      </c>
      <c r="M487">
        <v>121</v>
      </c>
      <c r="N487">
        <v>12</v>
      </c>
      <c r="O487">
        <v>194</v>
      </c>
      <c r="P487">
        <v>194</v>
      </c>
      <c r="Q487">
        <v>194</v>
      </c>
      <c r="S487">
        <v>0</v>
      </c>
      <c r="T487">
        <v>0</v>
      </c>
      <c r="U487">
        <f>+SUM(Table1[[#This Row],[Latinos]:[Cemex]])</f>
        <v>1</v>
      </c>
      <c r="V487" t="str">
        <f>+Table1[[#This Row],[id_destino]]&amp;" - "&amp;Table1[[#This Row],[id_origen]]</f>
        <v>121 - 12</v>
      </c>
    </row>
    <row r="488" spans="1:22" hidden="1">
      <c r="A488">
        <v>4674</v>
      </c>
      <c r="B488">
        <v>2383</v>
      </c>
      <c r="C488">
        <v>7072</v>
      </c>
      <c r="D488">
        <v>1645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 t="s">
        <v>20</v>
      </c>
      <c r="L488" s="1">
        <v>45719</v>
      </c>
      <c r="M488">
        <v>148</v>
      </c>
      <c r="N488">
        <v>12</v>
      </c>
      <c r="O488">
        <v>116</v>
      </c>
      <c r="P488">
        <v>150</v>
      </c>
      <c r="Q488">
        <v>116</v>
      </c>
      <c r="S488">
        <v>64</v>
      </c>
      <c r="T488">
        <v>64</v>
      </c>
      <c r="U488">
        <f>+SUM(Table1[[#This Row],[Latinos]:[Cemex]])</f>
        <v>1</v>
      </c>
      <c r="V488" t="str">
        <f>+Table1[[#This Row],[id_destino]]&amp;" - "&amp;Table1[[#This Row],[id_origen]]</f>
        <v>148 - 12</v>
      </c>
    </row>
    <row r="489" spans="1:22" hidden="1">
      <c r="A489">
        <v>893</v>
      </c>
      <c r="B489">
        <v>2497</v>
      </c>
      <c r="C489">
        <v>3029</v>
      </c>
      <c r="D489">
        <v>24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 t="s">
        <v>20</v>
      </c>
      <c r="L489" s="1">
        <v>43206</v>
      </c>
      <c r="M489">
        <v>179</v>
      </c>
      <c r="N489">
        <v>12</v>
      </c>
      <c r="O489">
        <v>1586</v>
      </c>
      <c r="P489">
        <v>1567</v>
      </c>
      <c r="Q489">
        <v>1586</v>
      </c>
      <c r="S489">
        <v>5371</v>
      </c>
      <c r="T489">
        <v>5483</v>
      </c>
      <c r="U489">
        <f>+SUM(Table1[[#This Row],[Latinos]:[Cemex]])</f>
        <v>1</v>
      </c>
      <c r="V489" t="str">
        <f>+Table1[[#This Row],[id_destino]]&amp;" - "&amp;Table1[[#This Row],[id_origen]]</f>
        <v>179 - 12</v>
      </c>
    </row>
    <row r="490" spans="1:22" hidden="1">
      <c r="A490">
        <v>1410</v>
      </c>
      <c r="B490">
        <v>1308</v>
      </c>
      <c r="C490">
        <v>175</v>
      </c>
      <c r="D490">
        <v>3032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 t="s">
        <v>20</v>
      </c>
      <c r="L490" s="1">
        <v>43761</v>
      </c>
      <c r="M490">
        <v>189</v>
      </c>
      <c r="N490">
        <v>12</v>
      </c>
      <c r="O490">
        <v>1245</v>
      </c>
      <c r="P490">
        <v>1245</v>
      </c>
      <c r="Q490">
        <v>1245</v>
      </c>
      <c r="S490">
        <v>1978</v>
      </c>
      <c r="T490">
        <v>1978</v>
      </c>
      <c r="U490">
        <f>+SUM(Table1[[#This Row],[Latinos]:[Cemex]])</f>
        <v>1</v>
      </c>
      <c r="V490" t="str">
        <f>+Table1[[#This Row],[id_destino]]&amp;" - "&amp;Table1[[#This Row],[id_origen]]</f>
        <v>189 - 12</v>
      </c>
    </row>
    <row r="491" spans="1:22" hidden="1">
      <c r="A491">
        <v>4402</v>
      </c>
      <c r="B491">
        <v>4631</v>
      </c>
      <c r="C491">
        <v>7623</v>
      </c>
      <c r="D491">
        <v>7876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 t="s">
        <v>20</v>
      </c>
      <c r="L491" s="1">
        <v>45523</v>
      </c>
      <c r="M491">
        <v>233</v>
      </c>
      <c r="N491">
        <v>12</v>
      </c>
      <c r="O491">
        <v>525</v>
      </c>
      <c r="P491">
        <v>525</v>
      </c>
      <c r="Q491">
        <v>525</v>
      </c>
      <c r="S491">
        <v>1201</v>
      </c>
      <c r="T491">
        <v>1201</v>
      </c>
      <c r="U491">
        <f>+SUM(Table1[[#This Row],[Latinos]:[Cemex]])</f>
        <v>1</v>
      </c>
      <c r="V491" t="str">
        <f>+Table1[[#This Row],[id_destino]]&amp;" - "&amp;Table1[[#This Row],[id_origen]]</f>
        <v>233 - 12</v>
      </c>
    </row>
    <row r="492" spans="1:22" hidden="1">
      <c r="A492">
        <v>1386</v>
      </c>
      <c r="B492">
        <v>2714</v>
      </c>
      <c r="C492">
        <v>349</v>
      </c>
      <c r="D492">
        <v>422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 t="s">
        <v>20</v>
      </c>
      <c r="L492" s="1">
        <v>45660</v>
      </c>
      <c r="M492">
        <v>280</v>
      </c>
      <c r="N492">
        <v>12</v>
      </c>
      <c r="O492">
        <v>456</v>
      </c>
      <c r="P492">
        <v>467</v>
      </c>
      <c r="Q492">
        <v>456</v>
      </c>
      <c r="S492">
        <v>929</v>
      </c>
      <c r="T492">
        <v>929</v>
      </c>
      <c r="U492">
        <f>+SUM(Table1[[#This Row],[Latinos]:[Cemex]])</f>
        <v>1</v>
      </c>
      <c r="V492" t="str">
        <f>+Table1[[#This Row],[id_destino]]&amp;" - "&amp;Table1[[#This Row],[id_origen]]</f>
        <v>280 - 12</v>
      </c>
    </row>
    <row r="493" spans="1:22" hidden="1">
      <c r="A493">
        <v>4672</v>
      </c>
      <c r="B493">
        <v>4834</v>
      </c>
      <c r="C493">
        <v>7623</v>
      </c>
      <c r="D493">
        <v>5330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 t="s">
        <v>20</v>
      </c>
      <c r="L493" s="1">
        <v>45719</v>
      </c>
      <c r="M493">
        <v>318</v>
      </c>
      <c r="N493">
        <v>12</v>
      </c>
      <c r="O493">
        <v>456</v>
      </c>
      <c r="P493">
        <v>456</v>
      </c>
      <c r="Q493">
        <v>456</v>
      </c>
      <c r="S493">
        <v>1976</v>
      </c>
      <c r="T493">
        <v>1976</v>
      </c>
      <c r="U493">
        <f>+SUM(Table1[[#This Row],[Latinos]:[Cemex]])</f>
        <v>1</v>
      </c>
      <c r="V493" t="str">
        <f>+Table1[[#This Row],[id_destino]]&amp;" - "&amp;Table1[[#This Row],[id_origen]]</f>
        <v>318 - 12</v>
      </c>
    </row>
    <row r="494" spans="1:22" hidden="1">
      <c r="A494">
        <v>1429</v>
      </c>
      <c r="B494">
        <v>2743</v>
      </c>
      <c r="C494">
        <v>10</v>
      </c>
      <c r="D494">
        <v>5378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 t="s">
        <v>20</v>
      </c>
      <c r="L494" s="1">
        <v>43431</v>
      </c>
      <c r="M494">
        <v>345</v>
      </c>
      <c r="N494">
        <v>12</v>
      </c>
      <c r="O494">
        <v>518</v>
      </c>
      <c r="P494">
        <v>518</v>
      </c>
      <c r="Q494">
        <v>518</v>
      </c>
      <c r="S494">
        <v>1269</v>
      </c>
      <c r="T494">
        <v>1269</v>
      </c>
      <c r="U494">
        <f>+SUM(Table1[[#This Row],[Latinos]:[Cemex]])</f>
        <v>1</v>
      </c>
      <c r="V494" t="str">
        <f>+Table1[[#This Row],[id_destino]]&amp;" - "&amp;Table1[[#This Row],[id_origen]]</f>
        <v>345 - 12</v>
      </c>
    </row>
    <row r="495" spans="1:22" hidden="1">
      <c r="A495">
        <v>3851</v>
      </c>
      <c r="B495">
        <v>4259</v>
      </c>
      <c r="C495">
        <v>3513</v>
      </c>
      <c r="D495">
        <v>7394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 t="s">
        <v>20</v>
      </c>
      <c r="L495" s="1">
        <v>45142</v>
      </c>
      <c r="M495">
        <v>507</v>
      </c>
      <c r="N495">
        <v>12</v>
      </c>
      <c r="O495">
        <v>275</v>
      </c>
      <c r="P495">
        <v>171</v>
      </c>
      <c r="Q495">
        <v>275</v>
      </c>
      <c r="S495">
        <v>240</v>
      </c>
      <c r="T495">
        <v>278</v>
      </c>
      <c r="U495">
        <f>+SUM(Table1[[#This Row],[Latinos]:[Cemex]])</f>
        <v>1</v>
      </c>
      <c r="V495" t="str">
        <f>+Table1[[#This Row],[id_destino]]&amp;" - "&amp;Table1[[#This Row],[id_origen]]</f>
        <v>507 - 12</v>
      </c>
    </row>
    <row r="496" spans="1:22" hidden="1">
      <c r="A496">
        <v>452</v>
      </c>
      <c r="B496">
        <v>2297</v>
      </c>
      <c r="C496">
        <v>2615</v>
      </c>
      <c r="D496">
        <v>72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 t="s">
        <v>20</v>
      </c>
      <c r="L496" s="1">
        <v>43069</v>
      </c>
      <c r="M496">
        <v>669</v>
      </c>
      <c r="N496">
        <v>12</v>
      </c>
      <c r="O496">
        <v>187</v>
      </c>
      <c r="P496">
        <v>205</v>
      </c>
      <c r="Q496">
        <v>187</v>
      </c>
      <c r="S496">
        <v>155</v>
      </c>
      <c r="T496">
        <v>155</v>
      </c>
      <c r="U496">
        <f>+SUM(Table1[[#This Row],[Latinos]:[Cemex]])</f>
        <v>1</v>
      </c>
      <c r="V496" t="str">
        <f>+Table1[[#This Row],[id_destino]]&amp;" - "&amp;Table1[[#This Row],[id_origen]]</f>
        <v>669 - 12</v>
      </c>
    </row>
    <row r="497" spans="1:22" hidden="1">
      <c r="A497">
        <v>2061</v>
      </c>
      <c r="B497">
        <v>3109</v>
      </c>
      <c r="C497">
        <v>358</v>
      </c>
      <c r="D497">
        <v>394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 t="s">
        <v>20</v>
      </c>
      <c r="L497" s="1">
        <v>43792</v>
      </c>
      <c r="M497">
        <v>1</v>
      </c>
      <c r="N497">
        <v>13</v>
      </c>
      <c r="O497">
        <v>737</v>
      </c>
      <c r="P497">
        <v>737</v>
      </c>
      <c r="Q497">
        <v>373</v>
      </c>
      <c r="S497">
        <v>477</v>
      </c>
      <c r="T497">
        <v>477</v>
      </c>
      <c r="U497">
        <f>+SUM(Table1[[#This Row],[Latinos]:[Cemex]])</f>
        <v>1</v>
      </c>
      <c r="V497" t="str">
        <f>+Table1[[#This Row],[id_destino]]&amp;" - "&amp;Table1[[#This Row],[id_origen]]</f>
        <v>1 - 13</v>
      </c>
    </row>
    <row r="498" spans="1:22" hidden="1">
      <c r="A498">
        <v>1345</v>
      </c>
      <c r="B498">
        <v>2701</v>
      </c>
      <c r="C498">
        <v>358</v>
      </c>
      <c r="D498">
        <v>353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 t="s">
        <v>20</v>
      </c>
      <c r="L498" s="1">
        <v>43393</v>
      </c>
      <c r="M498">
        <v>7</v>
      </c>
      <c r="N498">
        <v>13</v>
      </c>
      <c r="O498">
        <v>1941</v>
      </c>
      <c r="P498">
        <v>1954</v>
      </c>
      <c r="Q498">
        <v>1941</v>
      </c>
      <c r="S498">
        <v>2399</v>
      </c>
      <c r="T498">
        <v>2399</v>
      </c>
      <c r="U498">
        <f>+SUM(Table1[[#This Row],[Latinos]:[Cemex]])</f>
        <v>1</v>
      </c>
      <c r="V498" t="str">
        <f>+Table1[[#This Row],[id_destino]]&amp;" - "&amp;Table1[[#This Row],[id_origen]]</f>
        <v>7 - 13</v>
      </c>
    </row>
    <row r="499" spans="1:22" hidden="1">
      <c r="A499">
        <v>879</v>
      </c>
      <c r="B499">
        <v>2491</v>
      </c>
      <c r="C499">
        <v>4546</v>
      </c>
      <c r="D499">
        <v>5282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 t="s">
        <v>20</v>
      </c>
      <c r="L499" s="1">
        <v>43200</v>
      </c>
      <c r="M499">
        <v>11</v>
      </c>
      <c r="N499">
        <v>13</v>
      </c>
      <c r="O499">
        <v>50</v>
      </c>
      <c r="P499">
        <v>150</v>
      </c>
      <c r="Q499">
        <v>50</v>
      </c>
      <c r="S499">
        <v>146</v>
      </c>
      <c r="T499">
        <v>146</v>
      </c>
      <c r="U499">
        <f>+SUM(Table1[[#This Row],[Latinos]:[Cemex]])</f>
        <v>1</v>
      </c>
      <c r="V499" t="str">
        <f>+Table1[[#This Row],[id_destino]]&amp;" - "&amp;Table1[[#This Row],[id_origen]]</f>
        <v>11 - 13</v>
      </c>
    </row>
    <row r="500" spans="1:22" hidden="1">
      <c r="A500">
        <v>1366</v>
      </c>
      <c r="B500">
        <v>2491</v>
      </c>
      <c r="C500">
        <v>358</v>
      </c>
      <c r="D500">
        <v>404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 t="s">
        <v>20</v>
      </c>
      <c r="L500" s="1">
        <v>45523</v>
      </c>
      <c r="M500">
        <v>11</v>
      </c>
      <c r="N500">
        <v>13</v>
      </c>
      <c r="O500">
        <v>162</v>
      </c>
      <c r="P500">
        <v>170</v>
      </c>
      <c r="Q500">
        <v>162</v>
      </c>
      <c r="S500">
        <v>384</v>
      </c>
      <c r="T500">
        <v>384</v>
      </c>
      <c r="U500">
        <f>+SUM(Table1[[#This Row],[Latinos]:[Cemex]])</f>
        <v>1</v>
      </c>
      <c r="V500" t="str">
        <f>+Table1[[#This Row],[id_destino]]&amp;" - "&amp;Table1[[#This Row],[id_origen]]</f>
        <v>11 - 13</v>
      </c>
    </row>
    <row r="501" spans="1:22" hidden="1">
      <c r="A501">
        <v>2656</v>
      </c>
      <c r="B501">
        <v>3481</v>
      </c>
      <c r="C501">
        <v>1386</v>
      </c>
      <c r="D501">
        <v>20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 t="s">
        <v>20</v>
      </c>
      <c r="L501" s="1">
        <v>44298</v>
      </c>
      <c r="M501">
        <v>20</v>
      </c>
      <c r="N501">
        <v>13</v>
      </c>
      <c r="O501">
        <v>249</v>
      </c>
      <c r="P501">
        <v>242</v>
      </c>
      <c r="Q501">
        <v>249</v>
      </c>
      <c r="S501">
        <v>551</v>
      </c>
      <c r="T501">
        <v>551</v>
      </c>
      <c r="U501">
        <f>+SUM(Table1[[#This Row],[Latinos]:[Cemex]])</f>
        <v>1</v>
      </c>
      <c r="V501" t="str">
        <f>+Table1[[#This Row],[id_destino]]&amp;" - "&amp;Table1[[#This Row],[id_origen]]</f>
        <v>20 - 13</v>
      </c>
    </row>
    <row r="502" spans="1:22" hidden="1">
      <c r="A502">
        <v>1452</v>
      </c>
      <c r="B502">
        <v>2754</v>
      </c>
      <c r="C502">
        <v>4546</v>
      </c>
      <c r="D502">
        <v>44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 t="s">
        <v>20</v>
      </c>
      <c r="L502" s="1">
        <v>43444</v>
      </c>
      <c r="M502">
        <v>38</v>
      </c>
      <c r="N502">
        <v>13</v>
      </c>
      <c r="O502">
        <v>146</v>
      </c>
      <c r="P502">
        <v>197</v>
      </c>
      <c r="Q502">
        <v>150</v>
      </c>
      <c r="S502">
        <v>1018</v>
      </c>
      <c r="T502">
        <v>1018</v>
      </c>
      <c r="U502">
        <f>+SUM(Table1[[#This Row],[Latinos]:[Cemex]])</f>
        <v>1</v>
      </c>
      <c r="V502" t="str">
        <f>+Table1[[#This Row],[id_destino]]&amp;" - "&amp;Table1[[#This Row],[id_origen]]</f>
        <v>38 - 13</v>
      </c>
    </row>
    <row r="503" spans="1:22" hidden="1">
      <c r="A503">
        <v>4133</v>
      </c>
      <c r="B503">
        <v>4440</v>
      </c>
      <c r="C503">
        <v>7027</v>
      </c>
      <c r="D503">
        <v>478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 t="s">
        <v>20</v>
      </c>
      <c r="L503" s="1">
        <v>45310</v>
      </c>
      <c r="M503">
        <v>46</v>
      </c>
      <c r="N503">
        <v>13</v>
      </c>
      <c r="O503">
        <v>460</v>
      </c>
      <c r="P503">
        <v>456</v>
      </c>
      <c r="Q503">
        <v>460</v>
      </c>
      <c r="S503">
        <v>980</v>
      </c>
      <c r="T503">
        <v>980</v>
      </c>
      <c r="U503">
        <f>+SUM(Table1[[#This Row],[Latinos]:[Cemex]])</f>
        <v>1</v>
      </c>
      <c r="V503" t="str">
        <f>+Table1[[#This Row],[id_destino]]&amp;" - "&amp;Table1[[#This Row],[id_origen]]</f>
        <v>46 - 13</v>
      </c>
    </row>
    <row r="504" spans="1:22" hidden="1">
      <c r="A504">
        <v>2018</v>
      </c>
      <c r="B504">
        <v>2772</v>
      </c>
      <c r="C504">
        <v>5256</v>
      </c>
      <c r="D504">
        <v>6119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 t="s">
        <v>20</v>
      </c>
      <c r="L504" s="1">
        <v>43770</v>
      </c>
      <c r="M504">
        <v>65</v>
      </c>
      <c r="N504">
        <v>13</v>
      </c>
      <c r="O504">
        <v>380</v>
      </c>
      <c r="P504">
        <v>380</v>
      </c>
      <c r="Q504">
        <v>380</v>
      </c>
      <c r="S504">
        <v>1080</v>
      </c>
      <c r="T504">
        <v>1080</v>
      </c>
      <c r="U504">
        <f>+SUM(Table1[[#This Row],[Latinos]:[Cemex]])</f>
        <v>1</v>
      </c>
      <c r="V504" t="str">
        <f>+Table1[[#This Row],[id_destino]]&amp;" - "&amp;Table1[[#This Row],[id_origen]]</f>
        <v>65 - 13</v>
      </c>
    </row>
    <row r="505" spans="1:22" hidden="1">
      <c r="A505">
        <v>3816</v>
      </c>
      <c r="B505">
        <v>4236</v>
      </c>
      <c r="C505">
        <v>5256</v>
      </c>
      <c r="D505">
        <v>4234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 t="s">
        <v>20</v>
      </c>
      <c r="L505" s="1">
        <v>45107</v>
      </c>
      <c r="M505">
        <v>79</v>
      </c>
      <c r="N505">
        <v>13</v>
      </c>
      <c r="O505">
        <v>448</v>
      </c>
      <c r="P505">
        <v>460</v>
      </c>
      <c r="Q505">
        <v>448</v>
      </c>
      <c r="S505">
        <v>1653</v>
      </c>
      <c r="T505">
        <v>1659</v>
      </c>
      <c r="U505">
        <f>+SUM(Table1[[#This Row],[Latinos]:[Cemex]])</f>
        <v>1</v>
      </c>
      <c r="V505" t="str">
        <f>+Table1[[#This Row],[id_destino]]&amp;" - "&amp;Table1[[#This Row],[id_origen]]</f>
        <v>79 - 13</v>
      </c>
    </row>
    <row r="506" spans="1:22" hidden="1">
      <c r="A506">
        <v>478</v>
      </c>
      <c r="B506">
        <v>2311</v>
      </c>
      <c r="C506">
        <v>11</v>
      </c>
      <c r="D506">
        <v>210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 t="s">
        <v>20</v>
      </c>
      <c r="L506" s="1">
        <v>43075</v>
      </c>
      <c r="M506">
        <v>81</v>
      </c>
      <c r="N506">
        <v>13</v>
      </c>
      <c r="O506">
        <v>377</v>
      </c>
      <c r="P506">
        <v>377</v>
      </c>
      <c r="Q506">
        <v>377</v>
      </c>
      <c r="S506">
        <v>948</v>
      </c>
      <c r="T506">
        <v>948</v>
      </c>
      <c r="U506">
        <f>+SUM(Table1[[#This Row],[Latinos]:[Cemex]])</f>
        <v>1</v>
      </c>
      <c r="V506" t="str">
        <f>+Table1[[#This Row],[id_destino]]&amp;" - "&amp;Table1[[#This Row],[id_origen]]</f>
        <v>81 - 13</v>
      </c>
    </row>
    <row r="507" spans="1:22" hidden="1">
      <c r="A507">
        <v>481</v>
      </c>
      <c r="B507">
        <v>2314</v>
      </c>
      <c r="C507">
        <v>11</v>
      </c>
      <c r="D507">
        <v>4966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 t="s">
        <v>20</v>
      </c>
      <c r="L507" s="1">
        <v>43076</v>
      </c>
      <c r="M507">
        <v>147</v>
      </c>
      <c r="N507">
        <v>13</v>
      </c>
      <c r="O507">
        <v>366</v>
      </c>
      <c r="P507">
        <v>366</v>
      </c>
      <c r="Q507">
        <v>366</v>
      </c>
      <c r="S507">
        <v>994</v>
      </c>
      <c r="T507">
        <v>1017</v>
      </c>
      <c r="U507">
        <f>+SUM(Table1[[#This Row],[Latinos]:[Cemex]])</f>
        <v>1</v>
      </c>
      <c r="V507" t="str">
        <f>+Table1[[#This Row],[id_destino]]&amp;" - "&amp;Table1[[#This Row],[id_origen]]</f>
        <v>147 - 13</v>
      </c>
    </row>
    <row r="508" spans="1:22" hidden="1">
      <c r="A508">
        <v>720</v>
      </c>
      <c r="B508">
        <v>2424</v>
      </c>
      <c r="C508">
        <v>7610</v>
      </c>
      <c r="D508">
        <v>7611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 t="s">
        <v>20</v>
      </c>
      <c r="L508" s="1">
        <v>45294</v>
      </c>
      <c r="M508">
        <v>169</v>
      </c>
      <c r="N508">
        <v>13</v>
      </c>
      <c r="O508">
        <v>115</v>
      </c>
      <c r="P508">
        <v>128</v>
      </c>
      <c r="Q508">
        <v>115</v>
      </c>
      <c r="S508">
        <v>199</v>
      </c>
      <c r="T508">
        <v>199</v>
      </c>
      <c r="U508">
        <f>+SUM(Table1[[#This Row],[Latinos]:[Cemex]])</f>
        <v>1</v>
      </c>
      <c r="V508" t="str">
        <f>+Table1[[#This Row],[id_destino]]&amp;" - "&amp;Table1[[#This Row],[id_origen]]</f>
        <v>169 - 13</v>
      </c>
    </row>
    <row r="509" spans="1:22" hidden="1">
      <c r="A509">
        <v>1998</v>
      </c>
      <c r="B509">
        <v>2424</v>
      </c>
      <c r="C509">
        <v>4546</v>
      </c>
      <c r="D509">
        <v>12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 t="s">
        <v>20</v>
      </c>
      <c r="L509" s="1">
        <v>43757</v>
      </c>
      <c r="M509">
        <v>169</v>
      </c>
      <c r="N509">
        <v>13</v>
      </c>
      <c r="O509">
        <v>126</v>
      </c>
      <c r="P509">
        <v>150</v>
      </c>
      <c r="Q509">
        <v>126</v>
      </c>
      <c r="S509">
        <v>169</v>
      </c>
      <c r="T509">
        <v>169</v>
      </c>
      <c r="U509">
        <f>+SUM(Table1[[#This Row],[Latinos]:[Cemex]])</f>
        <v>1</v>
      </c>
      <c r="V509" t="str">
        <f>+Table1[[#This Row],[id_destino]]&amp;" - "&amp;Table1[[#This Row],[id_origen]]</f>
        <v>169 - 13</v>
      </c>
    </row>
    <row r="510" spans="1:22" hidden="1">
      <c r="A510">
        <v>1388</v>
      </c>
      <c r="B510">
        <v>2716</v>
      </c>
      <c r="C510">
        <v>358</v>
      </c>
      <c r="D510">
        <v>422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 t="s">
        <v>20</v>
      </c>
      <c r="L510" s="1">
        <v>43413</v>
      </c>
      <c r="M510">
        <v>280</v>
      </c>
      <c r="N510">
        <v>13</v>
      </c>
      <c r="O510">
        <v>214</v>
      </c>
      <c r="P510">
        <v>214</v>
      </c>
      <c r="Q510">
        <v>214</v>
      </c>
      <c r="S510">
        <v>436</v>
      </c>
      <c r="T510">
        <v>436</v>
      </c>
      <c r="U510">
        <f>+SUM(Table1[[#This Row],[Latinos]:[Cemex]])</f>
        <v>1</v>
      </c>
      <c r="V510" t="str">
        <f>+Table1[[#This Row],[id_destino]]&amp;" - "&amp;Table1[[#This Row],[id_origen]]</f>
        <v>280 - 13</v>
      </c>
    </row>
    <row r="511" spans="1:22" hidden="1">
      <c r="A511">
        <v>4522</v>
      </c>
      <c r="B511">
        <v>4723</v>
      </c>
      <c r="C511">
        <v>5256</v>
      </c>
      <c r="D511">
        <v>7995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 t="s">
        <v>20</v>
      </c>
      <c r="L511" s="1">
        <v>45600</v>
      </c>
      <c r="M511">
        <v>586</v>
      </c>
      <c r="N511">
        <v>13</v>
      </c>
      <c r="O511">
        <v>537</v>
      </c>
      <c r="P511">
        <v>531</v>
      </c>
      <c r="Q511">
        <v>537</v>
      </c>
      <c r="S511">
        <v>2018</v>
      </c>
      <c r="T511">
        <v>2018</v>
      </c>
      <c r="U511">
        <f>+SUM(Table1[[#This Row],[Latinos]:[Cemex]])</f>
        <v>1</v>
      </c>
      <c r="V511" t="str">
        <f>+Table1[[#This Row],[id_destino]]&amp;" - "&amp;Table1[[#This Row],[id_origen]]</f>
        <v>586 - 13</v>
      </c>
    </row>
    <row r="512" spans="1:22" hidden="1">
      <c r="A512">
        <v>4054</v>
      </c>
      <c r="B512">
        <v>4389</v>
      </c>
      <c r="C512">
        <v>6889</v>
      </c>
      <c r="D512">
        <v>6816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 t="s">
        <v>20</v>
      </c>
      <c r="L512" s="1">
        <v>45257</v>
      </c>
      <c r="M512">
        <v>602</v>
      </c>
      <c r="N512">
        <v>13</v>
      </c>
      <c r="O512">
        <v>189</v>
      </c>
      <c r="P512">
        <v>191</v>
      </c>
      <c r="Q512">
        <v>189</v>
      </c>
      <c r="S512">
        <v>482</v>
      </c>
      <c r="T512">
        <v>482</v>
      </c>
      <c r="U512">
        <f>+SUM(Table1[[#This Row],[Latinos]:[Cemex]])</f>
        <v>1</v>
      </c>
      <c r="V512" t="str">
        <f>+Table1[[#This Row],[id_destino]]&amp;" - "&amp;Table1[[#This Row],[id_origen]]</f>
        <v>602 - 13</v>
      </c>
    </row>
    <row r="513" spans="1:22" hidden="1">
      <c r="A513">
        <v>193</v>
      </c>
      <c r="B513">
        <v>2239</v>
      </c>
      <c r="C513">
        <v>14</v>
      </c>
      <c r="D513">
        <v>5300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 t="s">
        <v>20</v>
      </c>
      <c r="L513" s="1">
        <v>43010</v>
      </c>
      <c r="M513">
        <v>15</v>
      </c>
      <c r="N513">
        <v>15</v>
      </c>
      <c r="O513">
        <v>50</v>
      </c>
      <c r="P513">
        <v>150</v>
      </c>
      <c r="Q513">
        <v>50</v>
      </c>
      <c r="S513">
        <v>0</v>
      </c>
      <c r="T513">
        <v>0</v>
      </c>
      <c r="U513">
        <f>+SUM(Table1[[#This Row],[Latinos]:[Cemex]])</f>
        <v>1</v>
      </c>
      <c r="V513" t="str">
        <f>+Table1[[#This Row],[id_destino]]&amp;" - "&amp;Table1[[#This Row],[id_origen]]</f>
        <v>15 - 15</v>
      </c>
    </row>
    <row r="514" spans="1:22" hidden="1">
      <c r="A514">
        <v>3873</v>
      </c>
      <c r="B514">
        <v>2239</v>
      </c>
      <c r="C514">
        <v>14</v>
      </c>
      <c r="D514">
        <v>7435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 t="s">
        <v>20</v>
      </c>
      <c r="L514" s="1">
        <v>45155</v>
      </c>
      <c r="M514">
        <v>15</v>
      </c>
      <c r="N514">
        <v>15</v>
      </c>
      <c r="O514">
        <v>10</v>
      </c>
      <c r="P514">
        <v>150</v>
      </c>
      <c r="Q514">
        <v>10</v>
      </c>
      <c r="S514">
        <v>0</v>
      </c>
      <c r="T514">
        <v>0</v>
      </c>
      <c r="U514">
        <f>+SUM(Table1[[#This Row],[Latinos]:[Cemex]])</f>
        <v>1</v>
      </c>
      <c r="V514" t="str">
        <f>+Table1[[#This Row],[id_destino]]&amp;" - "&amp;Table1[[#This Row],[id_origen]]</f>
        <v>15 - 15</v>
      </c>
    </row>
    <row r="515" spans="1:22" hidden="1">
      <c r="A515">
        <v>4754</v>
      </c>
      <c r="B515">
        <v>2213</v>
      </c>
      <c r="C515">
        <v>14</v>
      </c>
      <c r="D515">
        <v>18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 t="s">
        <v>20</v>
      </c>
      <c r="L515" s="1">
        <v>45786</v>
      </c>
      <c r="M515">
        <v>17</v>
      </c>
      <c r="N515">
        <v>15</v>
      </c>
      <c r="O515">
        <v>1045</v>
      </c>
      <c r="P515">
        <v>1045</v>
      </c>
      <c r="Q515">
        <v>1045</v>
      </c>
      <c r="S515">
        <v>2920</v>
      </c>
      <c r="T515">
        <v>3772</v>
      </c>
      <c r="U515">
        <f>+SUM(Table1[[#This Row],[Latinos]:[Cemex]])</f>
        <v>1</v>
      </c>
      <c r="V515" t="str">
        <f>+Table1[[#This Row],[id_destino]]&amp;" - "&amp;Table1[[#This Row],[id_origen]]</f>
        <v>17 - 15</v>
      </c>
    </row>
    <row r="516" spans="1:22" hidden="1">
      <c r="A516">
        <v>925</v>
      </c>
      <c r="B516">
        <v>1140</v>
      </c>
      <c r="C516">
        <v>3441</v>
      </c>
      <c r="D516">
        <v>157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 t="s">
        <v>20</v>
      </c>
      <c r="L516" s="1">
        <v>43215</v>
      </c>
      <c r="M516">
        <v>33</v>
      </c>
      <c r="N516">
        <v>15</v>
      </c>
      <c r="O516">
        <v>826</v>
      </c>
      <c r="P516">
        <v>815</v>
      </c>
      <c r="Q516">
        <v>826</v>
      </c>
      <c r="S516">
        <v>1597</v>
      </c>
      <c r="T516">
        <v>2042</v>
      </c>
      <c r="U516">
        <f>+SUM(Table1[[#This Row],[Latinos]:[Cemex]])</f>
        <v>1</v>
      </c>
      <c r="V516" t="str">
        <f>+Table1[[#This Row],[id_destino]]&amp;" - "&amp;Table1[[#This Row],[id_origen]]</f>
        <v>33 - 15</v>
      </c>
    </row>
    <row r="517" spans="1:22" hidden="1">
      <c r="A517">
        <v>1043</v>
      </c>
      <c r="B517">
        <v>1571</v>
      </c>
      <c r="C517">
        <v>14</v>
      </c>
      <c r="D517">
        <v>3431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 t="s">
        <v>20</v>
      </c>
      <c r="L517" s="1">
        <v>44605</v>
      </c>
      <c r="M517">
        <v>52</v>
      </c>
      <c r="N517">
        <v>15</v>
      </c>
      <c r="O517">
        <v>1170</v>
      </c>
      <c r="P517">
        <v>1164</v>
      </c>
      <c r="Q517">
        <v>1170</v>
      </c>
      <c r="S517">
        <v>2609</v>
      </c>
      <c r="T517">
        <v>3115</v>
      </c>
      <c r="U517">
        <f>+SUM(Table1[[#This Row],[Latinos]:[Cemex]])</f>
        <v>1</v>
      </c>
      <c r="V517" t="str">
        <f>+Table1[[#This Row],[id_destino]]&amp;" - "&amp;Table1[[#This Row],[id_origen]]</f>
        <v>52 - 15</v>
      </c>
    </row>
    <row r="518" spans="1:22" hidden="1">
      <c r="A518">
        <v>210</v>
      </c>
      <c r="B518">
        <v>2242</v>
      </c>
      <c r="C518">
        <v>5300</v>
      </c>
      <c r="D518">
        <v>5305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 t="s">
        <v>20</v>
      </c>
      <c r="L518" s="1">
        <v>43013</v>
      </c>
      <c r="M518">
        <v>60</v>
      </c>
      <c r="N518">
        <v>15</v>
      </c>
      <c r="O518">
        <v>0</v>
      </c>
      <c r="P518">
        <v>0</v>
      </c>
      <c r="Q518">
        <v>0</v>
      </c>
      <c r="S518">
        <v>0</v>
      </c>
      <c r="T518">
        <v>0</v>
      </c>
      <c r="U518">
        <f>+SUM(Table1[[#This Row],[Latinos]:[Cemex]])</f>
        <v>1</v>
      </c>
      <c r="V518" t="str">
        <f>+Table1[[#This Row],[id_destino]]&amp;" - "&amp;Table1[[#This Row],[id_origen]]</f>
        <v>60 - 15</v>
      </c>
    </row>
    <row r="519" spans="1:22" hidden="1">
      <c r="A519">
        <v>4277</v>
      </c>
      <c r="B519">
        <v>2242</v>
      </c>
      <c r="C519">
        <v>6778</v>
      </c>
      <c r="D519">
        <v>70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 t="s">
        <v>20</v>
      </c>
      <c r="L519" s="1">
        <v>45421</v>
      </c>
      <c r="M519">
        <v>60</v>
      </c>
      <c r="N519">
        <v>15</v>
      </c>
      <c r="O519">
        <v>1275</v>
      </c>
      <c r="P519">
        <v>1298</v>
      </c>
      <c r="Q519">
        <v>1275</v>
      </c>
      <c r="S519">
        <v>1306.99</v>
      </c>
      <c r="T519">
        <v>1306.99</v>
      </c>
      <c r="U519">
        <f>+SUM(Table1[[#This Row],[Latinos]:[Cemex]])</f>
        <v>1</v>
      </c>
      <c r="V519" t="str">
        <f>+Table1[[#This Row],[id_destino]]&amp;" - "&amp;Table1[[#This Row],[id_origen]]</f>
        <v>60 - 15</v>
      </c>
    </row>
    <row r="520" spans="1:22" hidden="1">
      <c r="A520">
        <v>3689</v>
      </c>
      <c r="B520">
        <v>4166</v>
      </c>
      <c r="C520">
        <v>7309</v>
      </c>
      <c r="D520">
        <v>7311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 t="s">
        <v>20</v>
      </c>
      <c r="L520" s="1">
        <v>45030</v>
      </c>
      <c r="M520">
        <v>126</v>
      </c>
      <c r="N520">
        <v>15</v>
      </c>
      <c r="O520">
        <v>2646</v>
      </c>
      <c r="P520">
        <v>2729</v>
      </c>
      <c r="Q520">
        <v>2646</v>
      </c>
      <c r="S520">
        <v>5009</v>
      </c>
      <c r="T520">
        <v>5473</v>
      </c>
      <c r="U520">
        <f>+SUM(Table1[[#This Row],[Latinos]:[Cemex]])</f>
        <v>1</v>
      </c>
      <c r="V520" t="str">
        <f>+Table1[[#This Row],[id_destino]]&amp;" - "&amp;Table1[[#This Row],[id_origen]]</f>
        <v>126 - 15</v>
      </c>
    </row>
    <row r="521" spans="1:22" hidden="1">
      <c r="A521">
        <v>2829</v>
      </c>
      <c r="B521">
        <v>3594</v>
      </c>
      <c r="C521">
        <v>14</v>
      </c>
      <c r="D521">
        <v>6491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 t="s">
        <v>20</v>
      </c>
      <c r="L521" s="1">
        <v>44496</v>
      </c>
      <c r="M521">
        <v>179</v>
      </c>
      <c r="N521">
        <v>15</v>
      </c>
      <c r="O521">
        <v>752</v>
      </c>
      <c r="P521">
        <v>752</v>
      </c>
      <c r="Q521">
        <v>752</v>
      </c>
      <c r="S521">
        <v>197</v>
      </c>
      <c r="T521">
        <v>197</v>
      </c>
      <c r="U521">
        <f>+SUM(Table1[[#This Row],[Latinos]:[Cemex]])</f>
        <v>1</v>
      </c>
      <c r="V521" t="str">
        <f>+Table1[[#This Row],[id_destino]]&amp;" - "&amp;Table1[[#This Row],[id_origen]]</f>
        <v>179 - 15</v>
      </c>
    </row>
    <row r="522" spans="1:22" hidden="1">
      <c r="A522">
        <v>4177</v>
      </c>
      <c r="B522">
        <v>500</v>
      </c>
      <c r="C522">
        <v>3348</v>
      </c>
      <c r="D522">
        <v>10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 t="s">
        <v>20</v>
      </c>
      <c r="L522" s="1">
        <v>45339</v>
      </c>
      <c r="M522">
        <v>12</v>
      </c>
      <c r="N522">
        <v>16</v>
      </c>
      <c r="O522">
        <v>959</v>
      </c>
      <c r="P522">
        <v>944</v>
      </c>
      <c r="Q522">
        <v>959</v>
      </c>
      <c r="S522">
        <v>2178</v>
      </c>
      <c r="T522">
        <v>2178</v>
      </c>
      <c r="U522">
        <f>+SUM(Table1[[#This Row],[Latinos]:[Cemex]])</f>
        <v>1</v>
      </c>
      <c r="V522" t="str">
        <f>+Table1[[#This Row],[id_destino]]&amp;" - "&amp;Table1[[#This Row],[id_origen]]</f>
        <v>12 - 16</v>
      </c>
    </row>
    <row r="523" spans="1:22" hidden="1">
      <c r="A523">
        <v>1699</v>
      </c>
      <c r="B523">
        <v>528</v>
      </c>
      <c r="C523">
        <v>15</v>
      </c>
      <c r="D523">
        <v>14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 t="s">
        <v>20</v>
      </c>
      <c r="L523" s="1">
        <v>43567</v>
      </c>
      <c r="M523">
        <v>15</v>
      </c>
      <c r="N523">
        <v>16</v>
      </c>
      <c r="O523">
        <v>363</v>
      </c>
      <c r="P523">
        <v>363</v>
      </c>
      <c r="Q523">
        <v>363</v>
      </c>
      <c r="S523">
        <v>0</v>
      </c>
      <c r="T523">
        <v>0</v>
      </c>
      <c r="U523">
        <f>+SUM(Table1[[#This Row],[Latinos]:[Cemex]])</f>
        <v>1</v>
      </c>
      <c r="V523" t="str">
        <f>+Table1[[#This Row],[id_destino]]&amp;" - "&amp;Table1[[#This Row],[id_origen]]</f>
        <v>15 - 16</v>
      </c>
    </row>
    <row r="524" spans="1:22" hidden="1">
      <c r="A524">
        <v>1835</v>
      </c>
      <c r="B524">
        <v>528</v>
      </c>
      <c r="C524">
        <v>4342</v>
      </c>
      <c r="D524">
        <v>14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 t="s">
        <v>20</v>
      </c>
      <c r="L524" s="1">
        <v>43656</v>
      </c>
      <c r="M524">
        <v>15</v>
      </c>
      <c r="N524">
        <v>16</v>
      </c>
      <c r="O524">
        <v>352</v>
      </c>
      <c r="P524">
        <v>355</v>
      </c>
      <c r="Q524">
        <v>352</v>
      </c>
      <c r="S524">
        <v>489</v>
      </c>
      <c r="T524">
        <v>697</v>
      </c>
      <c r="U524">
        <f>+SUM(Table1[[#This Row],[Latinos]:[Cemex]])</f>
        <v>1</v>
      </c>
      <c r="V524" t="str">
        <f>+Table1[[#This Row],[id_destino]]&amp;" - "&amp;Table1[[#This Row],[id_origen]]</f>
        <v>15 - 16</v>
      </c>
    </row>
    <row r="525" spans="1:22" hidden="1">
      <c r="A525">
        <v>2589</v>
      </c>
      <c r="B525">
        <v>501</v>
      </c>
      <c r="C525">
        <v>3348</v>
      </c>
      <c r="D525">
        <v>18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 t="s">
        <v>20</v>
      </c>
      <c r="L525" s="1">
        <v>44215</v>
      </c>
      <c r="M525">
        <v>17</v>
      </c>
      <c r="N525">
        <v>16</v>
      </c>
      <c r="O525">
        <v>689</v>
      </c>
      <c r="P525">
        <v>688</v>
      </c>
      <c r="Q525">
        <v>689</v>
      </c>
      <c r="S525">
        <v>1784</v>
      </c>
      <c r="T525">
        <v>2275</v>
      </c>
      <c r="U525">
        <f>+SUM(Table1[[#This Row],[Latinos]:[Cemex]])</f>
        <v>1</v>
      </c>
      <c r="V525" t="str">
        <f>+Table1[[#This Row],[id_destino]]&amp;" - "&amp;Table1[[#This Row],[id_origen]]</f>
        <v>17 - 16</v>
      </c>
    </row>
    <row r="526" spans="1:22" hidden="1">
      <c r="A526">
        <v>2564</v>
      </c>
      <c r="B526">
        <v>3421</v>
      </c>
      <c r="C526">
        <v>3348</v>
      </c>
      <c r="D526">
        <v>6484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 t="s">
        <v>20</v>
      </c>
      <c r="L526" s="1">
        <v>44181</v>
      </c>
      <c r="M526">
        <v>20</v>
      </c>
      <c r="N526">
        <v>16</v>
      </c>
      <c r="O526">
        <v>1416</v>
      </c>
      <c r="P526">
        <v>1412</v>
      </c>
      <c r="Q526">
        <v>1416</v>
      </c>
      <c r="S526">
        <v>1796</v>
      </c>
      <c r="T526">
        <v>2103</v>
      </c>
      <c r="U526">
        <f>+SUM(Table1[[#This Row],[Latinos]:[Cemex]])</f>
        <v>1</v>
      </c>
      <c r="V526" t="str">
        <f>+Table1[[#This Row],[id_destino]]&amp;" - "&amp;Table1[[#This Row],[id_origen]]</f>
        <v>20 - 16</v>
      </c>
    </row>
    <row r="527" spans="1:22" hidden="1">
      <c r="A527">
        <v>1445</v>
      </c>
      <c r="B527">
        <v>2751</v>
      </c>
      <c r="C527">
        <v>3348</v>
      </c>
      <c r="D527">
        <v>5298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 t="s">
        <v>20</v>
      </c>
      <c r="L527" s="1">
        <v>43438</v>
      </c>
      <c r="M527">
        <v>60</v>
      </c>
      <c r="N527">
        <v>16</v>
      </c>
      <c r="O527">
        <v>1402</v>
      </c>
      <c r="P527">
        <v>1422</v>
      </c>
      <c r="Q527">
        <v>1402</v>
      </c>
      <c r="S527">
        <v>1534</v>
      </c>
      <c r="T527">
        <v>1752</v>
      </c>
      <c r="U527">
        <f>+SUM(Table1[[#This Row],[Latinos]:[Cemex]])</f>
        <v>1</v>
      </c>
      <c r="V527" t="str">
        <f>+Table1[[#This Row],[id_destino]]&amp;" - "&amp;Table1[[#This Row],[id_origen]]</f>
        <v>60 - 16</v>
      </c>
    </row>
    <row r="528" spans="1:22" hidden="1">
      <c r="A528">
        <v>3095</v>
      </c>
      <c r="B528">
        <v>714</v>
      </c>
      <c r="C528">
        <v>6707</v>
      </c>
      <c r="D528">
        <v>6929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 t="s">
        <v>20</v>
      </c>
      <c r="L528" s="1">
        <v>44723</v>
      </c>
      <c r="M528">
        <v>61</v>
      </c>
      <c r="N528">
        <v>16</v>
      </c>
      <c r="O528">
        <v>1232</v>
      </c>
      <c r="P528">
        <v>1256</v>
      </c>
      <c r="Q528">
        <v>1232</v>
      </c>
      <c r="S528">
        <v>968</v>
      </c>
      <c r="T528">
        <v>1119</v>
      </c>
      <c r="U528">
        <f>+SUM(Table1[[#This Row],[Latinos]:[Cemex]])</f>
        <v>1</v>
      </c>
      <c r="V528" t="str">
        <f>+Table1[[#This Row],[id_destino]]&amp;" - "&amp;Table1[[#This Row],[id_origen]]</f>
        <v>61 - 16</v>
      </c>
    </row>
    <row r="529" spans="1:22" hidden="1">
      <c r="A529">
        <v>2567</v>
      </c>
      <c r="B529">
        <v>3422</v>
      </c>
      <c r="C529">
        <v>3348</v>
      </c>
      <c r="D529">
        <v>6491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 t="s">
        <v>20</v>
      </c>
      <c r="L529" s="1">
        <v>44183</v>
      </c>
      <c r="M529">
        <v>179</v>
      </c>
      <c r="N529">
        <v>16</v>
      </c>
      <c r="O529">
        <v>891</v>
      </c>
      <c r="P529">
        <v>881</v>
      </c>
      <c r="Q529">
        <v>891</v>
      </c>
      <c r="S529">
        <v>513</v>
      </c>
      <c r="T529">
        <v>602</v>
      </c>
      <c r="U529">
        <f>+SUM(Table1[[#This Row],[Latinos]:[Cemex]])</f>
        <v>1</v>
      </c>
      <c r="V529" t="str">
        <f>+Table1[[#This Row],[id_destino]]&amp;" - "&amp;Table1[[#This Row],[id_origen]]</f>
        <v>179 - 16</v>
      </c>
    </row>
    <row r="530" spans="1:22" hidden="1">
      <c r="A530">
        <v>2223</v>
      </c>
      <c r="B530">
        <v>1028</v>
      </c>
      <c r="C530">
        <v>4342</v>
      </c>
      <c r="D530">
        <v>2623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 t="s">
        <v>20</v>
      </c>
      <c r="L530" s="1">
        <v>43862</v>
      </c>
      <c r="M530">
        <v>288</v>
      </c>
      <c r="N530">
        <v>16</v>
      </c>
      <c r="O530">
        <v>797</v>
      </c>
      <c r="P530">
        <v>816</v>
      </c>
      <c r="Q530">
        <v>797</v>
      </c>
      <c r="S530">
        <v>1253</v>
      </c>
      <c r="T530">
        <v>1490</v>
      </c>
      <c r="U530">
        <f>+SUM(Table1[[#This Row],[Latinos]:[Cemex]])</f>
        <v>1</v>
      </c>
      <c r="V530" t="str">
        <f>+Table1[[#This Row],[id_destino]]&amp;" - "&amp;Table1[[#This Row],[id_origen]]</f>
        <v>288 - 16</v>
      </c>
    </row>
    <row r="531" spans="1:22" hidden="1">
      <c r="A531">
        <v>4190</v>
      </c>
      <c r="B531">
        <v>4479</v>
      </c>
      <c r="C531">
        <v>4892</v>
      </c>
      <c r="D531">
        <v>4145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 t="s">
        <v>20</v>
      </c>
      <c r="L531" s="1">
        <v>45348</v>
      </c>
      <c r="M531">
        <v>353</v>
      </c>
      <c r="N531">
        <v>16</v>
      </c>
      <c r="O531">
        <v>1297</v>
      </c>
      <c r="P531">
        <v>1295</v>
      </c>
      <c r="Q531">
        <v>1297</v>
      </c>
      <c r="S531">
        <v>1874</v>
      </c>
      <c r="T531">
        <v>2238</v>
      </c>
      <c r="U531">
        <f>+SUM(Table1[[#This Row],[Latinos]:[Cemex]])</f>
        <v>1</v>
      </c>
      <c r="V531" t="str">
        <f>+Table1[[#This Row],[id_destino]]&amp;" - "&amp;Table1[[#This Row],[id_origen]]</f>
        <v>353 - 16</v>
      </c>
    </row>
    <row r="532" spans="1:22" hidden="1">
      <c r="A532">
        <v>2325</v>
      </c>
      <c r="B532">
        <v>3273</v>
      </c>
      <c r="C532">
        <v>18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 t="s">
        <v>20</v>
      </c>
      <c r="L532" s="1">
        <v>43943</v>
      </c>
      <c r="M532">
        <v>3</v>
      </c>
      <c r="N532">
        <v>17</v>
      </c>
      <c r="O532">
        <v>1639</v>
      </c>
      <c r="P532">
        <v>1639</v>
      </c>
      <c r="Q532">
        <v>1639</v>
      </c>
      <c r="S532">
        <v>0</v>
      </c>
      <c r="T532">
        <v>0</v>
      </c>
      <c r="U532">
        <f>+SUM(Table1[[#This Row],[Latinos]:[Cemex]])</f>
        <v>1</v>
      </c>
      <c r="V532" t="str">
        <f>+Table1[[#This Row],[id_destino]]&amp;" - "&amp;Table1[[#This Row],[id_origen]]</f>
        <v>3 - 17</v>
      </c>
    </row>
    <row r="533" spans="1:22" hidden="1">
      <c r="A533">
        <v>4781</v>
      </c>
      <c r="B533">
        <v>4903</v>
      </c>
      <c r="C533">
        <v>18</v>
      </c>
      <c r="D533">
        <v>4991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 t="s">
        <v>20</v>
      </c>
      <c r="L533" s="1">
        <v>45819</v>
      </c>
      <c r="M533">
        <v>24</v>
      </c>
      <c r="N533">
        <v>17</v>
      </c>
      <c r="O533">
        <v>924</v>
      </c>
      <c r="P533">
        <v>924</v>
      </c>
      <c r="Q533">
        <v>924</v>
      </c>
      <c r="S533">
        <v>5235</v>
      </c>
      <c r="T533">
        <v>5326</v>
      </c>
      <c r="U533">
        <f>+SUM(Table1[[#This Row],[Latinos]:[Cemex]])</f>
        <v>1</v>
      </c>
      <c r="V533" t="str">
        <f>+Table1[[#This Row],[id_destino]]&amp;" - "&amp;Table1[[#This Row],[id_origen]]</f>
        <v>24 - 17</v>
      </c>
    </row>
    <row r="534" spans="1:22" hidden="1">
      <c r="A534">
        <v>4431</v>
      </c>
      <c r="B534">
        <v>4654</v>
      </c>
      <c r="C534">
        <v>3410</v>
      </c>
      <c r="D534">
        <v>34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 t="s">
        <v>20</v>
      </c>
      <c r="L534" s="1">
        <v>45537</v>
      </c>
      <c r="M534">
        <v>30</v>
      </c>
      <c r="N534">
        <v>17</v>
      </c>
      <c r="O534">
        <v>248</v>
      </c>
      <c r="P534">
        <v>249</v>
      </c>
      <c r="Q534">
        <v>248</v>
      </c>
      <c r="S534">
        <v>1624</v>
      </c>
      <c r="T534">
        <v>1624</v>
      </c>
      <c r="U534">
        <f>+SUM(Table1[[#This Row],[Latinos]:[Cemex]])</f>
        <v>1</v>
      </c>
      <c r="V534" t="str">
        <f>+Table1[[#This Row],[id_destino]]&amp;" - "&amp;Table1[[#This Row],[id_origen]]</f>
        <v>30 - 17</v>
      </c>
    </row>
    <row r="535" spans="1:22" hidden="1">
      <c r="A535">
        <v>1094</v>
      </c>
      <c r="B535">
        <v>2584</v>
      </c>
      <c r="C535">
        <v>3410</v>
      </c>
      <c r="D535">
        <v>35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 t="s">
        <v>20</v>
      </c>
      <c r="L535" s="1">
        <v>43286</v>
      </c>
      <c r="M535">
        <v>31</v>
      </c>
      <c r="N535">
        <v>17</v>
      </c>
      <c r="O535">
        <v>462</v>
      </c>
      <c r="P535">
        <v>452</v>
      </c>
      <c r="Q535">
        <v>462</v>
      </c>
      <c r="S535">
        <v>2257</v>
      </c>
      <c r="T535">
        <v>2257</v>
      </c>
      <c r="U535">
        <f>+SUM(Table1[[#This Row],[Latinos]:[Cemex]])</f>
        <v>1</v>
      </c>
      <c r="V535" t="str">
        <f>+Table1[[#This Row],[id_destino]]&amp;" - "&amp;Table1[[#This Row],[id_origen]]</f>
        <v>31 - 17</v>
      </c>
    </row>
    <row r="536" spans="1:22" hidden="1">
      <c r="A536">
        <v>3669</v>
      </c>
      <c r="B536">
        <v>1178</v>
      </c>
      <c r="C536">
        <v>7007</v>
      </c>
      <c r="D536">
        <v>6804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 t="s">
        <v>20</v>
      </c>
      <c r="L536" s="1">
        <v>45019</v>
      </c>
      <c r="M536">
        <v>34</v>
      </c>
      <c r="N536">
        <v>17</v>
      </c>
      <c r="O536">
        <v>530</v>
      </c>
      <c r="P536">
        <v>530</v>
      </c>
      <c r="Q536">
        <v>530</v>
      </c>
      <c r="S536">
        <v>0</v>
      </c>
      <c r="T536">
        <v>0</v>
      </c>
      <c r="U536">
        <f>+SUM(Table1[[#This Row],[Latinos]:[Cemex]])</f>
        <v>1</v>
      </c>
      <c r="V536" t="str">
        <f>+Table1[[#This Row],[id_destino]]&amp;" - "&amp;Table1[[#This Row],[id_origen]]</f>
        <v>34 - 17</v>
      </c>
    </row>
    <row r="537" spans="1:22" hidden="1">
      <c r="A537">
        <v>2505</v>
      </c>
      <c r="B537">
        <v>488</v>
      </c>
      <c r="C537">
        <v>18</v>
      </c>
      <c r="D537">
        <v>2556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 t="s">
        <v>20</v>
      </c>
      <c r="L537" s="1">
        <v>44226</v>
      </c>
      <c r="M537">
        <v>47</v>
      </c>
      <c r="N537">
        <v>17</v>
      </c>
      <c r="O537">
        <v>876</v>
      </c>
      <c r="P537">
        <v>876</v>
      </c>
      <c r="Q537">
        <v>876</v>
      </c>
      <c r="S537">
        <v>341</v>
      </c>
      <c r="T537">
        <v>401</v>
      </c>
      <c r="U537">
        <f>+SUM(Table1[[#This Row],[Latinos]:[Cemex]])</f>
        <v>1</v>
      </c>
      <c r="V537" t="str">
        <f>+Table1[[#This Row],[id_destino]]&amp;" - "&amp;Table1[[#This Row],[id_origen]]</f>
        <v>47 - 17</v>
      </c>
    </row>
    <row r="538" spans="1:22" hidden="1">
      <c r="A538">
        <v>4668</v>
      </c>
      <c r="B538">
        <v>1059</v>
      </c>
      <c r="C538">
        <v>18</v>
      </c>
      <c r="D538">
        <v>8143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 t="s">
        <v>20</v>
      </c>
      <c r="L538" s="1">
        <v>45714</v>
      </c>
      <c r="M538">
        <v>51</v>
      </c>
      <c r="N538">
        <v>17</v>
      </c>
      <c r="O538">
        <v>589</v>
      </c>
      <c r="P538">
        <v>598</v>
      </c>
      <c r="Q538">
        <v>583</v>
      </c>
      <c r="S538">
        <v>2185</v>
      </c>
      <c r="T538">
        <v>2615</v>
      </c>
      <c r="U538">
        <f>+SUM(Table1[[#This Row],[Latinos]:[Cemex]])</f>
        <v>1</v>
      </c>
      <c r="V538" t="str">
        <f>+Table1[[#This Row],[id_destino]]&amp;" - "&amp;Table1[[#This Row],[id_origen]]</f>
        <v>51 - 17</v>
      </c>
    </row>
    <row r="539" spans="1:22" hidden="1">
      <c r="A539">
        <v>3191</v>
      </c>
      <c r="B539">
        <v>3829</v>
      </c>
      <c r="C539">
        <v>368</v>
      </c>
      <c r="D539">
        <v>2304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 t="s">
        <v>20</v>
      </c>
      <c r="L539" s="1">
        <v>44765</v>
      </c>
      <c r="M539">
        <v>110</v>
      </c>
      <c r="N539">
        <v>17</v>
      </c>
      <c r="O539">
        <v>925</v>
      </c>
      <c r="P539">
        <v>839</v>
      </c>
      <c r="Q539">
        <v>925</v>
      </c>
      <c r="S539">
        <v>1075</v>
      </c>
      <c r="T539">
        <v>1403</v>
      </c>
      <c r="U539">
        <f>+SUM(Table1[[#This Row],[Latinos]:[Cemex]])</f>
        <v>1</v>
      </c>
      <c r="V539" t="str">
        <f>+Table1[[#This Row],[id_destino]]&amp;" - "&amp;Table1[[#This Row],[id_origen]]</f>
        <v>110 - 17</v>
      </c>
    </row>
    <row r="540" spans="1:22" hidden="1">
      <c r="A540">
        <v>2536</v>
      </c>
      <c r="B540">
        <v>3403</v>
      </c>
      <c r="C540">
        <v>18</v>
      </c>
      <c r="D540">
        <v>3176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 t="s">
        <v>20</v>
      </c>
      <c r="L540" s="1">
        <v>44161</v>
      </c>
      <c r="M540">
        <v>136</v>
      </c>
      <c r="N540">
        <v>17</v>
      </c>
      <c r="O540">
        <v>1015</v>
      </c>
      <c r="P540">
        <v>1015</v>
      </c>
      <c r="Q540">
        <v>1015</v>
      </c>
      <c r="S540">
        <v>1191</v>
      </c>
      <c r="T540">
        <v>1191</v>
      </c>
      <c r="U540">
        <f>+SUM(Table1[[#This Row],[Latinos]:[Cemex]])</f>
        <v>1</v>
      </c>
      <c r="V540" t="str">
        <f>+Table1[[#This Row],[id_destino]]&amp;" - "&amp;Table1[[#This Row],[id_origen]]</f>
        <v>136 - 17</v>
      </c>
    </row>
    <row r="541" spans="1:22" hidden="1">
      <c r="A541">
        <v>4282</v>
      </c>
      <c r="B541">
        <v>4543</v>
      </c>
      <c r="C541">
        <v>3272</v>
      </c>
      <c r="D541">
        <v>2111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 t="s">
        <v>20</v>
      </c>
      <c r="L541" s="1">
        <v>45425</v>
      </c>
      <c r="M541">
        <v>155</v>
      </c>
      <c r="N541">
        <v>17</v>
      </c>
      <c r="O541">
        <v>248</v>
      </c>
      <c r="P541">
        <v>299</v>
      </c>
      <c r="Q541">
        <v>448</v>
      </c>
      <c r="S541">
        <v>1624</v>
      </c>
      <c r="T541">
        <v>1624</v>
      </c>
      <c r="U541">
        <f>+SUM(Table1[[#This Row],[Latinos]:[Cemex]])</f>
        <v>1</v>
      </c>
      <c r="V541" t="str">
        <f>+Table1[[#This Row],[id_destino]]&amp;" - "&amp;Table1[[#This Row],[id_origen]]</f>
        <v>155 - 17</v>
      </c>
    </row>
    <row r="542" spans="1:22" hidden="1">
      <c r="A542">
        <v>1380</v>
      </c>
      <c r="B542">
        <v>2121</v>
      </c>
      <c r="C542">
        <v>3410</v>
      </c>
      <c r="D542">
        <v>3032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 t="s">
        <v>20</v>
      </c>
      <c r="L542" s="1">
        <v>43412</v>
      </c>
      <c r="M542">
        <v>189</v>
      </c>
      <c r="N542">
        <v>17</v>
      </c>
      <c r="O542">
        <v>439</v>
      </c>
      <c r="P542">
        <v>450</v>
      </c>
      <c r="Q542">
        <v>439</v>
      </c>
      <c r="S542">
        <v>2835</v>
      </c>
      <c r="T542">
        <v>1579</v>
      </c>
      <c r="U542">
        <f>+SUM(Table1[[#This Row],[Latinos]:[Cemex]])</f>
        <v>1</v>
      </c>
      <c r="V542" t="str">
        <f>+Table1[[#This Row],[id_destino]]&amp;" - "&amp;Table1[[#This Row],[id_origen]]</f>
        <v>189 - 17</v>
      </c>
    </row>
    <row r="543" spans="1:22" hidden="1">
      <c r="A543">
        <v>4503</v>
      </c>
      <c r="B543">
        <v>4708</v>
      </c>
      <c r="C543">
        <v>18</v>
      </c>
      <c r="D543">
        <v>7973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 t="s">
        <v>20</v>
      </c>
      <c r="L543" s="1">
        <v>45590</v>
      </c>
      <c r="M543">
        <v>345</v>
      </c>
      <c r="N543">
        <v>17</v>
      </c>
      <c r="O543">
        <v>923</v>
      </c>
      <c r="P543">
        <v>892</v>
      </c>
      <c r="Q543">
        <v>923</v>
      </c>
      <c r="S543">
        <v>2631</v>
      </c>
      <c r="T543">
        <v>2669</v>
      </c>
      <c r="U543">
        <f>+SUM(Table1[[#This Row],[Latinos]:[Cemex]])</f>
        <v>1</v>
      </c>
      <c r="V543" t="str">
        <f>+Table1[[#This Row],[id_destino]]&amp;" - "&amp;Table1[[#This Row],[id_origen]]</f>
        <v>345 - 17</v>
      </c>
    </row>
    <row r="544" spans="1:22" hidden="1">
      <c r="A544">
        <v>4289</v>
      </c>
      <c r="B544">
        <v>4547</v>
      </c>
      <c r="C544">
        <v>3272</v>
      </c>
      <c r="D544">
        <v>7768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 t="s">
        <v>20</v>
      </c>
      <c r="L544" s="1">
        <v>45432</v>
      </c>
      <c r="M544">
        <v>902</v>
      </c>
      <c r="N544">
        <v>17</v>
      </c>
      <c r="O544">
        <v>1290</v>
      </c>
      <c r="P544">
        <v>1278</v>
      </c>
      <c r="Q544">
        <v>1290</v>
      </c>
      <c r="S544">
        <v>3499</v>
      </c>
      <c r="T544">
        <v>3499</v>
      </c>
      <c r="U544">
        <f>+SUM(Table1[[#This Row],[Latinos]:[Cemex]])</f>
        <v>1</v>
      </c>
      <c r="V544" t="str">
        <f>+Table1[[#This Row],[id_destino]]&amp;" - "&amp;Table1[[#This Row],[id_origen]]</f>
        <v>902 - 17</v>
      </c>
    </row>
    <row r="545" spans="1:22" hidden="1">
      <c r="A545">
        <v>3830</v>
      </c>
      <c r="B545">
        <v>1171</v>
      </c>
      <c r="C545">
        <v>5691</v>
      </c>
      <c r="D545">
        <v>2678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 t="s">
        <v>20</v>
      </c>
      <c r="L545" s="1">
        <v>45129</v>
      </c>
      <c r="M545">
        <v>1</v>
      </c>
      <c r="N545">
        <v>18</v>
      </c>
      <c r="O545">
        <v>873</v>
      </c>
      <c r="P545">
        <v>864</v>
      </c>
      <c r="Q545">
        <v>873</v>
      </c>
      <c r="S545">
        <v>1471</v>
      </c>
      <c r="T545">
        <v>1471</v>
      </c>
      <c r="U545">
        <f>+SUM(Table1[[#This Row],[Latinos]:[Cemex]])</f>
        <v>1</v>
      </c>
      <c r="V545" t="str">
        <f>+Table1[[#This Row],[id_destino]]&amp;" - "&amp;Table1[[#This Row],[id_origen]]</f>
        <v>1 - 18</v>
      </c>
    </row>
    <row r="546" spans="1:22" hidden="1">
      <c r="A546">
        <v>4720</v>
      </c>
      <c r="B546">
        <v>1171</v>
      </c>
      <c r="C546">
        <v>4177</v>
      </c>
      <c r="D546">
        <v>2678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 t="s">
        <v>20</v>
      </c>
      <c r="L546" s="1">
        <v>45761</v>
      </c>
      <c r="M546">
        <v>1</v>
      </c>
      <c r="N546">
        <v>18</v>
      </c>
      <c r="O546">
        <v>864</v>
      </c>
      <c r="P546">
        <v>864</v>
      </c>
      <c r="Q546">
        <v>864</v>
      </c>
      <c r="S546">
        <v>1471</v>
      </c>
      <c r="T546">
        <v>1471</v>
      </c>
      <c r="U546">
        <f>+SUM(Table1[[#This Row],[Latinos]:[Cemex]])</f>
        <v>1</v>
      </c>
      <c r="V546" t="str">
        <f>+Table1[[#This Row],[id_destino]]&amp;" - "&amp;Table1[[#This Row],[id_origen]]</f>
        <v>1 - 18</v>
      </c>
    </row>
    <row r="547" spans="1:22" hidden="1">
      <c r="A547">
        <v>1696</v>
      </c>
      <c r="B547">
        <v>263</v>
      </c>
      <c r="C547">
        <v>4177</v>
      </c>
      <c r="D547">
        <v>469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20</v>
      </c>
      <c r="L547" s="1">
        <v>43566</v>
      </c>
      <c r="M547">
        <v>2</v>
      </c>
      <c r="N547">
        <v>18</v>
      </c>
      <c r="O547">
        <v>106</v>
      </c>
      <c r="P547">
        <v>150</v>
      </c>
      <c r="Q547">
        <v>106</v>
      </c>
      <c r="S547">
        <v>196</v>
      </c>
      <c r="T547">
        <v>269</v>
      </c>
      <c r="U547">
        <f>+SUM(Table1[[#This Row],[Latinos]:[Cemex]])</f>
        <v>1</v>
      </c>
      <c r="V547" t="str">
        <f>+Table1[[#This Row],[id_destino]]&amp;" - "&amp;Table1[[#This Row],[id_origen]]</f>
        <v>2 - 18</v>
      </c>
    </row>
    <row r="548" spans="1:22" hidden="1">
      <c r="A548">
        <v>2776</v>
      </c>
      <c r="B548">
        <v>52</v>
      </c>
      <c r="C548">
        <v>188</v>
      </c>
      <c r="D548">
        <v>6662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 t="s">
        <v>20</v>
      </c>
      <c r="L548" s="1">
        <v>44436</v>
      </c>
      <c r="M548">
        <v>3</v>
      </c>
      <c r="N548">
        <v>18</v>
      </c>
      <c r="O548">
        <v>804</v>
      </c>
      <c r="P548">
        <v>804</v>
      </c>
      <c r="Q548">
        <v>804</v>
      </c>
      <c r="S548">
        <v>0</v>
      </c>
      <c r="T548">
        <v>0</v>
      </c>
      <c r="U548">
        <f>+SUM(Table1[[#This Row],[Latinos]:[Cemex]])</f>
        <v>1</v>
      </c>
      <c r="V548" t="str">
        <f>+Table1[[#This Row],[id_destino]]&amp;" - "&amp;Table1[[#This Row],[id_origen]]</f>
        <v>3 - 18</v>
      </c>
    </row>
    <row r="549" spans="1:22" hidden="1">
      <c r="A549">
        <v>4603</v>
      </c>
      <c r="B549">
        <v>52</v>
      </c>
      <c r="C549">
        <v>6933</v>
      </c>
      <c r="D549">
        <v>427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 t="s">
        <v>20</v>
      </c>
      <c r="L549" s="1">
        <v>45668</v>
      </c>
      <c r="M549">
        <v>3</v>
      </c>
      <c r="N549">
        <v>18</v>
      </c>
      <c r="O549">
        <v>800</v>
      </c>
      <c r="P549">
        <v>800</v>
      </c>
      <c r="Q549">
        <v>800</v>
      </c>
      <c r="S549">
        <v>2866</v>
      </c>
      <c r="T549">
        <v>2866</v>
      </c>
      <c r="U549">
        <f>+SUM(Table1[[#This Row],[Latinos]:[Cemex]])</f>
        <v>1</v>
      </c>
      <c r="V549" t="str">
        <f>+Table1[[#This Row],[id_destino]]&amp;" - "&amp;Table1[[#This Row],[id_origen]]</f>
        <v>3 - 18</v>
      </c>
    </row>
    <row r="550" spans="1:22" hidden="1">
      <c r="A550">
        <v>1688</v>
      </c>
      <c r="B550">
        <v>2887</v>
      </c>
      <c r="C550">
        <v>188</v>
      </c>
      <c r="D550">
        <v>5874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 t="s">
        <v>20</v>
      </c>
      <c r="L550" s="1">
        <v>43564</v>
      </c>
      <c r="M550">
        <v>4</v>
      </c>
      <c r="N550">
        <v>18</v>
      </c>
      <c r="O550">
        <v>881</v>
      </c>
      <c r="P550">
        <v>910</v>
      </c>
      <c r="Q550">
        <v>881</v>
      </c>
      <c r="S550">
        <v>2061</v>
      </c>
      <c r="T550">
        <v>2131</v>
      </c>
      <c r="U550">
        <f>+SUM(Table1[[#This Row],[Latinos]:[Cemex]])</f>
        <v>1</v>
      </c>
      <c r="V550" t="str">
        <f>+Table1[[#This Row],[id_destino]]&amp;" - "&amp;Table1[[#This Row],[id_origen]]</f>
        <v>4 - 18</v>
      </c>
    </row>
    <row r="551" spans="1:22" hidden="1">
      <c r="A551">
        <v>698</v>
      </c>
      <c r="B551">
        <v>1326</v>
      </c>
      <c r="C551">
        <v>4177</v>
      </c>
      <c r="D551">
        <v>5454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 t="s">
        <v>44</v>
      </c>
      <c r="L551" s="1">
        <v>43133</v>
      </c>
      <c r="M551">
        <v>5</v>
      </c>
      <c r="N551">
        <v>18</v>
      </c>
      <c r="O551">
        <v>1666</v>
      </c>
      <c r="P551">
        <v>1637</v>
      </c>
      <c r="Q551">
        <v>1666</v>
      </c>
      <c r="S551">
        <v>4713</v>
      </c>
      <c r="T551">
        <v>5248</v>
      </c>
      <c r="U551">
        <f>+SUM(Table1[[#This Row],[Latinos]:[Cemex]])</f>
        <v>1</v>
      </c>
      <c r="V551" t="str">
        <f>+Table1[[#This Row],[id_destino]]&amp;" - "&amp;Table1[[#This Row],[id_origen]]</f>
        <v>5 - 18</v>
      </c>
    </row>
    <row r="552" spans="1:22" hidden="1">
      <c r="A552">
        <v>1685</v>
      </c>
      <c r="B552">
        <v>2886</v>
      </c>
      <c r="C552">
        <v>188</v>
      </c>
      <c r="D552">
        <v>5606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 t="s">
        <v>20</v>
      </c>
      <c r="L552" s="1">
        <v>43564</v>
      </c>
      <c r="M552">
        <v>6</v>
      </c>
      <c r="N552">
        <v>18</v>
      </c>
      <c r="O552">
        <v>1173</v>
      </c>
      <c r="P552">
        <v>1203</v>
      </c>
      <c r="Q552">
        <v>1173</v>
      </c>
      <c r="S552">
        <v>2311</v>
      </c>
      <c r="T552">
        <v>2573</v>
      </c>
      <c r="U552">
        <f>+SUM(Table1[[#This Row],[Latinos]:[Cemex]])</f>
        <v>1</v>
      </c>
      <c r="V552" t="str">
        <f>+Table1[[#This Row],[id_destino]]&amp;" - "&amp;Table1[[#This Row],[id_origen]]</f>
        <v>6 - 18</v>
      </c>
    </row>
    <row r="553" spans="1:22" hidden="1">
      <c r="A553">
        <v>1508</v>
      </c>
      <c r="B553">
        <v>924</v>
      </c>
      <c r="C553">
        <v>4805</v>
      </c>
      <c r="D553">
        <v>3916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 t="s">
        <v>20</v>
      </c>
      <c r="L553" s="1">
        <v>43475</v>
      </c>
      <c r="M553">
        <v>7</v>
      </c>
      <c r="N553">
        <v>18</v>
      </c>
      <c r="O553">
        <v>1740</v>
      </c>
      <c r="P553">
        <v>1655</v>
      </c>
      <c r="Q553">
        <v>1740</v>
      </c>
      <c r="S553">
        <v>4830</v>
      </c>
      <c r="T553">
        <v>5420</v>
      </c>
      <c r="U553">
        <f>+SUM(Table1[[#This Row],[Latinos]:[Cemex]])</f>
        <v>1</v>
      </c>
      <c r="V553" t="str">
        <f>+Table1[[#This Row],[id_destino]]&amp;" - "&amp;Table1[[#This Row],[id_origen]]</f>
        <v>7 - 18</v>
      </c>
    </row>
    <row r="554" spans="1:22" hidden="1">
      <c r="A554">
        <v>873</v>
      </c>
      <c r="B554">
        <v>659</v>
      </c>
      <c r="C554">
        <v>2853</v>
      </c>
      <c r="D554">
        <v>5524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 t="s">
        <v>20</v>
      </c>
      <c r="L554" s="1">
        <v>43199</v>
      </c>
      <c r="M554">
        <v>9</v>
      </c>
      <c r="N554">
        <v>18</v>
      </c>
      <c r="O554">
        <v>1429</v>
      </c>
      <c r="P554">
        <v>1360</v>
      </c>
      <c r="Q554">
        <v>1249</v>
      </c>
      <c r="S554">
        <v>3657</v>
      </c>
      <c r="T554">
        <v>3740</v>
      </c>
      <c r="U554">
        <f>+SUM(Table1[[#This Row],[Latinos]:[Cemex]])</f>
        <v>1</v>
      </c>
      <c r="V554" t="str">
        <f>+Table1[[#This Row],[id_destino]]&amp;" - "&amp;Table1[[#This Row],[id_origen]]</f>
        <v>9 - 18</v>
      </c>
    </row>
    <row r="555" spans="1:22" hidden="1">
      <c r="A555">
        <v>2407</v>
      </c>
      <c r="B555">
        <v>659</v>
      </c>
      <c r="C555">
        <v>188</v>
      </c>
      <c r="D555">
        <v>7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 t="s">
        <v>20</v>
      </c>
      <c r="L555" s="1">
        <v>44047</v>
      </c>
      <c r="M555">
        <v>9</v>
      </c>
      <c r="N555">
        <v>18</v>
      </c>
      <c r="O555">
        <v>1425</v>
      </c>
      <c r="P555">
        <v>1429</v>
      </c>
      <c r="Q555">
        <v>1425</v>
      </c>
      <c r="S555">
        <v>2150</v>
      </c>
      <c r="T555">
        <v>2224</v>
      </c>
      <c r="U555">
        <f>+SUM(Table1[[#This Row],[Latinos]:[Cemex]])</f>
        <v>1</v>
      </c>
      <c r="V555" t="str">
        <f>+Table1[[#This Row],[id_destino]]&amp;" - "&amp;Table1[[#This Row],[id_origen]]</f>
        <v>9 - 18</v>
      </c>
    </row>
    <row r="556" spans="1:22" hidden="1">
      <c r="A556">
        <v>1900</v>
      </c>
      <c r="B556">
        <v>1141</v>
      </c>
      <c r="C556">
        <v>4805</v>
      </c>
      <c r="D556">
        <v>5282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 t="s">
        <v>20</v>
      </c>
      <c r="L556" s="1">
        <v>45509</v>
      </c>
      <c r="M556">
        <v>11</v>
      </c>
      <c r="N556">
        <v>18</v>
      </c>
      <c r="O556">
        <v>194</v>
      </c>
      <c r="P556">
        <v>170</v>
      </c>
      <c r="Q556">
        <v>194</v>
      </c>
      <c r="S556">
        <v>416</v>
      </c>
      <c r="T556">
        <v>416</v>
      </c>
      <c r="U556">
        <f>+SUM(Table1[[#This Row],[Latinos]:[Cemex]])</f>
        <v>1</v>
      </c>
      <c r="V556" t="str">
        <f>+Table1[[#This Row],[id_destino]]&amp;" - "&amp;Table1[[#This Row],[id_origen]]</f>
        <v>11 - 18</v>
      </c>
    </row>
    <row r="557" spans="1:22" hidden="1">
      <c r="A557">
        <v>3965</v>
      </c>
      <c r="B557">
        <v>1136</v>
      </c>
      <c r="C557">
        <v>4177</v>
      </c>
      <c r="D557">
        <v>7498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 t="s">
        <v>20</v>
      </c>
      <c r="L557" s="1">
        <v>45209</v>
      </c>
      <c r="M557">
        <v>12</v>
      </c>
      <c r="N557">
        <v>18</v>
      </c>
      <c r="O557">
        <v>459</v>
      </c>
      <c r="P557">
        <v>463</v>
      </c>
      <c r="Q557">
        <v>459</v>
      </c>
      <c r="S557">
        <v>1338</v>
      </c>
      <c r="T557">
        <v>1338</v>
      </c>
      <c r="U557">
        <f>+SUM(Table1[[#This Row],[Latinos]:[Cemex]])</f>
        <v>1</v>
      </c>
      <c r="V557" t="str">
        <f>+Table1[[#This Row],[id_destino]]&amp;" - "&amp;Table1[[#This Row],[id_origen]]</f>
        <v>12 - 18</v>
      </c>
    </row>
    <row r="558" spans="1:22" hidden="1">
      <c r="A558">
        <v>870</v>
      </c>
      <c r="B558">
        <v>667</v>
      </c>
      <c r="C558">
        <v>2853</v>
      </c>
      <c r="D558">
        <v>5521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 t="s">
        <v>20</v>
      </c>
      <c r="L558" s="1">
        <v>43199</v>
      </c>
      <c r="M558">
        <v>13</v>
      </c>
      <c r="N558">
        <v>18</v>
      </c>
      <c r="O558">
        <v>220</v>
      </c>
      <c r="P558">
        <v>220</v>
      </c>
      <c r="Q558">
        <v>220</v>
      </c>
      <c r="S558">
        <v>486</v>
      </c>
      <c r="T558">
        <v>486</v>
      </c>
      <c r="U558">
        <f>+SUM(Table1[[#This Row],[Latinos]:[Cemex]])</f>
        <v>1</v>
      </c>
      <c r="V558" t="str">
        <f>+Table1[[#This Row],[id_destino]]&amp;" - "&amp;Table1[[#This Row],[id_origen]]</f>
        <v>13 - 18</v>
      </c>
    </row>
    <row r="559" spans="1:22" hidden="1">
      <c r="A559">
        <v>1821</v>
      </c>
      <c r="B559">
        <v>2955</v>
      </c>
      <c r="C559">
        <v>188</v>
      </c>
      <c r="D559">
        <v>5513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 t="s">
        <v>20</v>
      </c>
      <c r="L559" s="1">
        <v>43650</v>
      </c>
      <c r="M559">
        <v>16</v>
      </c>
      <c r="N559">
        <v>18</v>
      </c>
      <c r="O559">
        <v>1390</v>
      </c>
      <c r="P559">
        <v>1391</v>
      </c>
      <c r="Q559">
        <v>1390</v>
      </c>
      <c r="S559">
        <v>1751</v>
      </c>
      <c r="T559">
        <v>2051</v>
      </c>
      <c r="U559">
        <f>+SUM(Table1[[#This Row],[Latinos]:[Cemex]])</f>
        <v>1</v>
      </c>
      <c r="V559" t="str">
        <f>+Table1[[#This Row],[id_destino]]&amp;" - "&amp;Table1[[#This Row],[id_origen]]</f>
        <v>16 - 18</v>
      </c>
    </row>
    <row r="560" spans="1:22" hidden="1">
      <c r="A560">
        <v>3445</v>
      </c>
      <c r="B560">
        <v>2955</v>
      </c>
      <c r="C560">
        <v>4805</v>
      </c>
      <c r="D560">
        <v>15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 t="s">
        <v>20</v>
      </c>
      <c r="L560" s="1">
        <v>44897</v>
      </c>
      <c r="M560">
        <v>16</v>
      </c>
      <c r="N560">
        <v>18</v>
      </c>
      <c r="O560">
        <v>1392</v>
      </c>
      <c r="P560">
        <v>1391</v>
      </c>
      <c r="Q560">
        <v>1392</v>
      </c>
      <c r="S560">
        <v>1859</v>
      </c>
      <c r="T560">
        <v>2184</v>
      </c>
      <c r="U560">
        <f>+SUM(Table1[[#This Row],[Latinos]:[Cemex]])</f>
        <v>1</v>
      </c>
      <c r="V560" t="str">
        <f>+Table1[[#This Row],[id_destino]]&amp;" - "&amp;Table1[[#This Row],[id_origen]]</f>
        <v>16 - 18</v>
      </c>
    </row>
    <row r="561" spans="1:22" hidden="1">
      <c r="A561">
        <v>1815</v>
      </c>
      <c r="B561">
        <v>2953</v>
      </c>
      <c r="C561">
        <v>7470</v>
      </c>
      <c r="D561">
        <v>18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 t="s">
        <v>20</v>
      </c>
      <c r="L561" s="1">
        <v>45184</v>
      </c>
      <c r="M561">
        <v>17</v>
      </c>
      <c r="N561">
        <v>18</v>
      </c>
      <c r="O561">
        <v>843</v>
      </c>
      <c r="P561">
        <v>848</v>
      </c>
      <c r="Q561">
        <v>843</v>
      </c>
      <c r="S561">
        <v>2110</v>
      </c>
      <c r="T561">
        <v>2148</v>
      </c>
      <c r="U561">
        <f>+SUM(Table1[[#This Row],[Latinos]:[Cemex]])</f>
        <v>1</v>
      </c>
      <c r="V561" t="str">
        <f>+Table1[[#This Row],[id_destino]]&amp;" - "&amp;Table1[[#This Row],[id_origen]]</f>
        <v>17 - 18</v>
      </c>
    </row>
    <row r="562" spans="1:22" hidden="1">
      <c r="A562">
        <v>192</v>
      </c>
      <c r="B562">
        <v>1172</v>
      </c>
      <c r="C562">
        <v>4050</v>
      </c>
      <c r="D562">
        <v>3940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 t="s">
        <v>20</v>
      </c>
      <c r="L562" s="1">
        <v>43010</v>
      </c>
      <c r="M562">
        <v>18</v>
      </c>
      <c r="N562">
        <v>18</v>
      </c>
      <c r="O562">
        <v>50</v>
      </c>
      <c r="P562">
        <v>150</v>
      </c>
      <c r="Q562">
        <v>50</v>
      </c>
      <c r="S562">
        <v>0</v>
      </c>
      <c r="T562">
        <v>0</v>
      </c>
      <c r="U562">
        <f>+SUM(Table1[[#This Row],[Latinos]:[Cemex]])</f>
        <v>1</v>
      </c>
      <c r="V562" t="str">
        <f>+Table1[[#This Row],[id_destino]]&amp;" - "&amp;Table1[[#This Row],[id_origen]]</f>
        <v>18 - 18</v>
      </c>
    </row>
    <row r="563" spans="1:22" hidden="1">
      <c r="A563">
        <v>1437</v>
      </c>
      <c r="B563">
        <v>1172</v>
      </c>
      <c r="C563">
        <v>4035</v>
      </c>
      <c r="D563">
        <v>4035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 t="s">
        <v>20</v>
      </c>
      <c r="L563" s="1">
        <v>43433</v>
      </c>
      <c r="M563">
        <v>18</v>
      </c>
      <c r="N563">
        <v>18</v>
      </c>
      <c r="O563">
        <v>50</v>
      </c>
      <c r="P563">
        <v>150</v>
      </c>
      <c r="Q563">
        <v>50</v>
      </c>
      <c r="S563">
        <v>0</v>
      </c>
      <c r="T563">
        <v>0</v>
      </c>
      <c r="U563">
        <f>+SUM(Table1[[#This Row],[Latinos]:[Cemex]])</f>
        <v>1</v>
      </c>
      <c r="V563" t="str">
        <f>+Table1[[#This Row],[id_destino]]&amp;" - "&amp;Table1[[#This Row],[id_origen]]</f>
        <v>18 - 18</v>
      </c>
    </row>
    <row r="564" spans="1:22" hidden="1">
      <c r="A564">
        <v>13</v>
      </c>
      <c r="B564">
        <v>706</v>
      </c>
      <c r="C564">
        <v>19</v>
      </c>
      <c r="D564">
        <v>757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 t="s">
        <v>20</v>
      </c>
      <c r="L564" s="1">
        <v>43192</v>
      </c>
      <c r="M564">
        <v>19</v>
      </c>
      <c r="N564">
        <v>18</v>
      </c>
      <c r="O564">
        <v>49</v>
      </c>
      <c r="P564">
        <v>150</v>
      </c>
      <c r="Q564">
        <v>49</v>
      </c>
      <c r="S564">
        <v>58</v>
      </c>
      <c r="T564">
        <v>58</v>
      </c>
      <c r="U564">
        <f>+SUM(Table1[[#This Row],[Latinos]:[Cemex]])</f>
        <v>1</v>
      </c>
      <c r="V564" t="str">
        <f>+Table1[[#This Row],[id_destino]]&amp;" - "&amp;Table1[[#This Row],[id_origen]]</f>
        <v>19 - 18</v>
      </c>
    </row>
    <row r="565" spans="1:22" hidden="1">
      <c r="A565">
        <v>871</v>
      </c>
      <c r="B565">
        <v>1121</v>
      </c>
      <c r="C565">
        <v>2853</v>
      </c>
      <c r="D565">
        <v>5404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 t="s">
        <v>20</v>
      </c>
      <c r="L565" s="1">
        <v>43199</v>
      </c>
      <c r="M565">
        <v>20</v>
      </c>
      <c r="N565">
        <v>18</v>
      </c>
      <c r="O565">
        <v>31</v>
      </c>
      <c r="P565">
        <v>150</v>
      </c>
      <c r="Q565">
        <v>31</v>
      </c>
      <c r="S565">
        <v>0</v>
      </c>
      <c r="T565">
        <v>0</v>
      </c>
      <c r="U565">
        <f>+SUM(Table1[[#This Row],[Latinos]:[Cemex]])</f>
        <v>1</v>
      </c>
      <c r="V565" t="str">
        <f>+Table1[[#This Row],[id_destino]]&amp;" - "&amp;Table1[[#This Row],[id_origen]]</f>
        <v>20 - 18</v>
      </c>
    </row>
    <row r="566" spans="1:22" hidden="1">
      <c r="A566">
        <v>1088</v>
      </c>
      <c r="B566">
        <v>1121</v>
      </c>
      <c r="C566">
        <v>19</v>
      </c>
      <c r="D566">
        <v>4401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 t="s">
        <v>20</v>
      </c>
      <c r="L566" s="1">
        <v>43283</v>
      </c>
      <c r="M566">
        <v>20</v>
      </c>
      <c r="N566">
        <v>18</v>
      </c>
      <c r="O566">
        <v>21</v>
      </c>
      <c r="P566">
        <v>150</v>
      </c>
      <c r="Q566">
        <v>21</v>
      </c>
      <c r="S566">
        <v>0</v>
      </c>
      <c r="T566">
        <v>0</v>
      </c>
      <c r="U566">
        <f>+SUM(Table1[[#This Row],[Latinos]:[Cemex]])</f>
        <v>1</v>
      </c>
      <c r="V566" t="str">
        <f>+Table1[[#This Row],[id_destino]]&amp;" - "&amp;Table1[[#This Row],[id_origen]]</f>
        <v>20 - 18</v>
      </c>
    </row>
    <row r="567" spans="1:22" hidden="1">
      <c r="A567">
        <v>3469</v>
      </c>
      <c r="B567">
        <v>428</v>
      </c>
      <c r="C567">
        <v>19</v>
      </c>
      <c r="D567">
        <v>7149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 t="s">
        <v>20</v>
      </c>
      <c r="L567" s="1">
        <v>44909</v>
      </c>
      <c r="M567">
        <v>23</v>
      </c>
      <c r="N567">
        <v>18</v>
      </c>
      <c r="O567">
        <v>519</v>
      </c>
      <c r="P567">
        <v>485</v>
      </c>
      <c r="Q567">
        <v>519</v>
      </c>
      <c r="S567">
        <v>1798</v>
      </c>
      <c r="T567">
        <v>1798</v>
      </c>
      <c r="U567">
        <f>+SUM(Table1[[#This Row],[Latinos]:[Cemex]])</f>
        <v>1</v>
      </c>
      <c r="V567" t="str">
        <f>+Table1[[#This Row],[id_destino]]&amp;" - "&amp;Table1[[#This Row],[id_origen]]</f>
        <v>23 - 18</v>
      </c>
    </row>
    <row r="568" spans="1:22" hidden="1">
      <c r="A568">
        <v>4493</v>
      </c>
      <c r="B568">
        <v>4701</v>
      </c>
      <c r="C568">
        <v>5691</v>
      </c>
      <c r="D568">
        <v>7965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 t="s">
        <v>20</v>
      </c>
      <c r="L568" s="1">
        <v>45583</v>
      </c>
      <c r="M568">
        <v>25</v>
      </c>
      <c r="N568">
        <v>18</v>
      </c>
      <c r="O568">
        <v>701</v>
      </c>
      <c r="P568">
        <v>699</v>
      </c>
      <c r="Q568">
        <v>701</v>
      </c>
      <c r="S568">
        <v>2922</v>
      </c>
      <c r="T568">
        <v>2922</v>
      </c>
      <c r="U568">
        <f>+SUM(Table1[[#This Row],[Latinos]:[Cemex]])</f>
        <v>1</v>
      </c>
      <c r="V568" t="str">
        <f>+Table1[[#This Row],[id_destino]]&amp;" - "&amp;Table1[[#This Row],[id_origen]]</f>
        <v>25 - 18</v>
      </c>
    </row>
    <row r="569" spans="1:22" hidden="1">
      <c r="A569">
        <v>4111</v>
      </c>
      <c r="B569">
        <v>1120</v>
      </c>
      <c r="C569">
        <v>5691</v>
      </c>
      <c r="D569">
        <v>7621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 t="s">
        <v>20</v>
      </c>
      <c r="L569" s="1">
        <v>45297</v>
      </c>
      <c r="M569">
        <v>26</v>
      </c>
      <c r="N569">
        <v>18</v>
      </c>
      <c r="O569">
        <v>535</v>
      </c>
      <c r="P569">
        <v>514</v>
      </c>
      <c r="Q569">
        <v>535</v>
      </c>
      <c r="S569">
        <v>2112</v>
      </c>
      <c r="T569">
        <v>2112</v>
      </c>
      <c r="U569">
        <f>+SUM(Table1[[#This Row],[Latinos]:[Cemex]])</f>
        <v>1</v>
      </c>
      <c r="V569" t="str">
        <f>+Table1[[#This Row],[id_destino]]&amp;" - "&amp;Table1[[#This Row],[id_origen]]</f>
        <v>26 - 18</v>
      </c>
    </row>
    <row r="570" spans="1:22" hidden="1">
      <c r="A570">
        <v>32</v>
      </c>
      <c r="B570">
        <v>662</v>
      </c>
      <c r="C570">
        <v>4177</v>
      </c>
      <c r="D570">
        <v>5279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 t="s">
        <v>20</v>
      </c>
      <c r="L570" s="1">
        <v>42983</v>
      </c>
      <c r="M570">
        <v>27</v>
      </c>
      <c r="N570">
        <v>18</v>
      </c>
      <c r="O570">
        <v>829</v>
      </c>
      <c r="P570">
        <v>829</v>
      </c>
      <c r="Q570">
        <v>837</v>
      </c>
      <c r="S570">
        <v>1928</v>
      </c>
      <c r="T570">
        <v>1928</v>
      </c>
      <c r="U570">
        <f>+SUM(Table1[[#This Row],[Latinos]:[Cemex]])</f>
        <v>1</v>
      </c>
      <c r="V570" t="str">
        <f>+Table1[[#This Row],[id_destino]]&amp;" - "&amp;Table1[[#This Row],[id_origen]]</f>
        <v>27 - 18</v>
      </c>
    </row>
    <row r="571" spans="1:22" hidden="1">
      <c r="A571">
        <v>3071</v>
      </c>
      <c r="B571">
        <v>662</v>
      </c>
      <c r="C571">
        <v>4805</v>
      </c>
      <c r="D571">
        <v>1294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 t="s">
        <v>20</v>
      </c>
      <c r="L571" s="1">
        <v>44714</v>
      </c>
      <c r="M571">
        <v>27</v>
      </c>
      <c r="N571">
        <v>18</v>
      </c>
      <c r="O571">
        <v>845</v>
      </c>
      <c r="P571">
        <v>828</v>
      </c>
      <c r="Q571">
        <v>845</v>
      </c>
      <c r="S571">
        <v>2189</v>
      </c>
      <c r="T571">
        <v>2189</v>
      </c>
      <c r="U571">
        <f>+SUM(Table1[[#This Row],[Latinos]:[Cemex]])</f>
        <v>1</v>
      </c>
      <c r="V571" t="str">
        <f>+Table1[[#This Row],[id_destino]]&amp;" - "&amp;Table1[[#This Row],[id_origen]]</f>
        <v>27 - 18</v>
      </c>
    </row>
    <row r="572" spans="1:22" hidden="1">
      <c r="A572">
        <v>1710</v>
      </c>
      <c r="B572">
        <v>2897</v>
      </c>
      <c r="C572">
        <v>188</v>
      </c>
      <c r="D572">
        <v>5888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 t="s">
        <v>20</v>
      </c>
      <c r="L572" s="1">
        <v>43571</v>
      </c>
      <c r="M572">
        <v>30</v>
      </c>
      <c r="N572">
        <v>18</v>
      </c>
      <c r="O572">
        <v>991</v>
      </c>
      <c r="P572">
        <v>990</v>
      </c>
      <c r="Q572">
        <v>991</v>
      </c>
      <c r="S572">
        <v>4985</v>
      </c>
      <c r="T572">
        <v>4985</v>
      </c>
      <c r="U572">
        <f>+SUM(Table1[[#This Row],[Latinos]:[Cemex]])</f>
        <v>1</v>
      </c>
      <c r="V572" t="str">
        <f>+Table1[[#This Row],[id_destino]]&amp;" - "&amp;Table1[[#This Row],[id_origen]]</f>
        <v>30 - 18</v>
      </c>
    </row>
    <row r="573" spans="1:22" hidden="1">
      <c r="A573">
        <v>1055</v>
      </c>
      <c r="B573">
        <v>376</v>
      </c>
      <c r="C573">
        <v>3979</v>
      </c>
      <c r="D573">
        <v>35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 t="s">
        <v>20</v>
      </c>
      <c r="L573" s="1">
        <v>43266</v>
      </c>
      <c r="M573">
        <v>31</v>
      </c>
      <c r="N573">
        <v>18</v>
      </c>
      <c r="O573">
        <v>1197</v>
      </c>
      <c r="P573">
        <v>1182</v>
      </c>
      <c r="Q573">
        <v>1197</v>
      </c>
      <c r="S573">
        <v>3255</v>
      </c>
      <c r="T573">
        <v>3255</v>
      </c>
      <c r="U573">
        <f>+SUM(Table1[[#This Row],[Latinos]:[Cemex]])</f>
        <v>1</v>
      </c>
      <c r="V573" t="str">
        <f>+Table1[[#This Row],[id_destino]]&amp;" - "&amp;Table1[[#This Row],[id_origen]]</f>
        <v>31 - 18</v>
      </c>
    </row>
    <row r="574" spans="1:22" hidden="1">
      <c r="A574">
        <v>1010</v>
      </c>
      <c r="B574">
        <v>925</v>
      </c>
      <c r="C574">
        <v>4211</v>
      </c>
      <c r="D574">
        <v>5580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 t="s">
        <v>20</v>
      </c>
      <c r="L574" s="1">
        <v>43248</v>
      </c>
      <c r="M574">
        <v>34</v>
      </c>
      <c r="N574">
        <v>18</v>
      </c>
      <c r="O574">
        <v>953</v>
      </c>
      <c r="P574">
        <v>964</v>
      </c>
      <c r="Q574">
        <v>953</v>
      </c>
      <c r="S574">
        <v>2999</v>
      </c>
      <c r="T574">
        <v>3163</v>
      </c>
      <c r="U574">
        <f>+SUM(Table1[[#This Row],[Latinos]:[Cemex]])</f>
        <v>1</v>
      </c>
      <c r="V574" t="str">
        <f>+Table1[[#This Row],[id_destino]]&amp;" - "&amp;Table1[[#This Row],[id_origen]]</f>
        <v>34 - 18</v>
      </c>
    </row>
    <row r="575" spans="1:22" hidden="1">
      <c r="A575">
        <v>1738</v>
      </c>
      <c r="B575">
        <v>925</v>
      </c>
      <c r="C575">
        <v>4805</v>
      </c>
      <c r="D575">
        <v>40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 t="s">
        <v>20</v>
      </c>
      <c r="L575" s="1">
        <v>43595</v>
      </c>
      <c r="M575">
        <v>34</v>
      </c>
      <c r="N575">
        <v>18</v>
      </c>
      <c r="O575">
        <v>953</v>
      </c>
      <c r="P575">
        <v>953</v>
      </c>
      <c r="Q575">
        <v>953</v>
      </c>
      <c r="S575">
        <v>989</v>
      </c>
      <c r="T575">
        <v>1108</v>
      </c>
      <c r="U575">
        <f>+SUM(Table1[[#This Row],[Latinos]:[Cemex]])</f>
        <v>1</v>
      </c>
      <c r="V575" t="str">
        <f>+Table1[[#This Row],[id_destino]]&amp;" - "&amp;Table1[[#This Row],[id_origen]]</f>
        <v>34 - 18</v>
      </c>
    </row>
    <row r="576" spans="1:22" hidden="1">
      <c r="A576">
        <v>1006</v>
      </c>
      <c r="B576">
        <v>919</v>
      </c>
      <c r="C576">
        <v>4805</v>
      </c>
      <c r="D576">
        <v>53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 t="s">
        <v>20</v>
      </c>
      <c r="L576" s="1">
        <v>43246</v>
      </c>
      <c r="M576">
        <v>35</v>
      </c>
      <c r="N576">
        <v>18</v>
      </c>
      <c r="O576">
        <v>433</v>
      </c>
      <c r="P576">
        <v>460</v>
      </c>
      <c r="Q576">
        <v>433</v>
      </c>
      <c r="S576">
        <v>1252</v>
      </c>
      <c r="T576">
        <v>1321</v>
      </c>
      <c r="U576">
        <f>+SUM(Table1[[#This Row],[Latinos]:[Cemex]])</f>
        <v>1</v>
      </c>
      <c r="V576" t="str">
        <f>+Table1[[#This Row],[id_destino]]&amp;" - "&amp;Table1[[#This Row],[id_origen]]</f>
        <v>35 - 18</v>
      </c>
    </row>
    <row r="577" spans="1:22" hidden="1">
      <c r="A577">
        <v>1354</v>
      </c>
      <c r="B577">
        <v>919</v>
      </c>
      <c r="C577">
        <v>4770</v>
      </c>
      <c r="D577">
        <v>53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 t="s">
        <v>20</v>
      </c>
      <c r="L577" s="1">
        <v>43398</v>
      </c>
      <c r="M577">
        <v>35</v>
      </c>
      <c r="N577">
        <v>18</v>
      </c>
      <c r="O577">
        <v>476</v>
      </c>
      <c r="P577">
        <v>476</v>
      </c>
      <c r="Q577">
        <v>476</v>
      </c>
      <c r="S577">
        <v>1276</v>
      </c>
      <c r="T577">
        <v>1346</v>
      </c>
      <c r="U577">
        <f>+SUM(Table1[[#This Row],[Latinos]:[Cemex]])</f>
        <v>1</v>
      </c>
      <c r="V577" t="str">
        <f>+Table1[[#This Row],[id_destino]]&amp;" - "&amp;Table1[[#This Row],[id_origen]]</f>
        <v>35 - 18</v>
      </c>
    </row>
    <row r="578" spans="1:22" hidden="1">
      <c r="A578">
        <v>874</v>
      </c>
      <c r="B578">
        <v>2487</v>
      </c>
      <c r="C578">
        <v>2853</v>
      </c>
      <c r="D578">
        <v>5525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 t="s">
        <v>20</v>
      </c>
      <c r="L578" s="1">
        <v>43199</v>
      </c>
      <c r="M578">
        <v>38</v>
      </c>
      <c r="N578">
        <v>18</v>
      </c>
      <c r="O578">
        <v>262</v>
      </c>
      <c r="P578">
        <v>267</v>
      </c>
      <c r="Q578">
        <v>262</v>
      </c>
      <c r="S578">
        <v>1232</v>
      </c>
      <c r="T578">
        <v>1232</v>
      </c>
      <c r="U578">
        <f>+SUM(Table1[[#This Row],[Latinos]:[Cemex]])</f>
        <v>1</v>
      </c>
      <c r="V578" t="str">
        <f>+Table1[[#This Row],[id_destino]]&amp;" - "&amp;Table1[[#This Row],[id_origen]]</f>
        <v>38 - 18</v>
      </c>
    </row>
    <row r="579" spans="1:22" hidden="1">
      <c r="A579">
        <v>4447</v>
      </c>
      <c r="B579">
        <v>1685</v>
      </c>
      <c r="C579">
        <v>7470</v>
      </c>
      <c r="D579">
        <v>45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 t="s">
        <v>20</v>
      </c>
      <c r="L579" s="1">
        <v>45547</v>
      </c>
      <c r="M579">
        <v>39</v>
      </c>
      <c r="N579">
        <v>18</v>
      </c>
      <c r="O579">
        <v>376</v>
      </c>
      <c r="P579">
        <v>377</v>
      </c>
      <c r="Q579">
        <v>376</v>
      </c>
      <c r="S579">
        <v>1695</v>
      </c>
      <c r="T579">
        <v>1695</v>
      </c>
      <c r="U579">
        <f>+SUM(Table1[[#This Row],[Latinos]:[Cemex]])</f>
        <v>1</v>
      </c>
      <c r="V579" t="str">
        <f>+Table1[[#This Row],[id_destino]]&amp;" - "&amp;Table1[[#This Row],[id_origen]]</f>
        <v>39 - 18</v>
      </c>
    </row>
    <row r="580" spans="1:22" hidden="1">
      <c r="A580">
        <v>4191</v>
      </c>
      <c r="B580">
        <v>2415</v>
      </c>
      <c r="C580">
        <v>4805</v>
      </c>
      <c r="D580">
        <v>46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 t="s">
        <v>20</v>
      </c>
      <c r="L580" s="1">
        <v>45348</v>
      </c>
      <c r="M580">
        <v>40</v>
      </c>
      <c r="N580">
        <v>18</v>
      </c>
      <c r="O580">
        <v>404</v>
      </c>
      <c r="P580">
        <v>401</v>
      </c>
      <c r="Q580">
        <v>404</v>
      </c>
      <c r="S580">
        <v>1779</v>
      </c>
      <c r="T580">
        <v>1779</v>
      </c>
      <c r="U580">
        <f>+SUM(Table1[[#This Row],[Latinos]:[Cemex]])</f>
        <v>1</v>
      </c>
      <c r="V580" t="str">
        <f>+Table1[[#This Row],[id_destino]]&amp;" - "&amp;Table1[[#This Row],[id_origen]]</f>
        <v>40 - 18</v>
      </c>
    </row>
    <row r="581" spans="1:22" hidden="1">
      <c r="A581">
        <v>1338</v>
      </c>
      <c r="B581">
        <v>1879</v>
      </c>
      <c r="C581">
        <v>4805</v>
      </c>
      <c r="D581">
        <v>48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 t="s">
        <v>20</v>
      </c>
      <c r="L581" s="1">
        <v>43391</v>
      </c>
      <c r="M581">
        <v>42</v>
      </c>
      <c r="N581">
        <v>18</v>
      </c>
      <c r="O581">
        <v>338</v>
      </c>
      <c r="P581">
        <v>313</v>
      </c>
      <c r="Q581">
        <v>338</v>
      </c>
      <c r="S581">
        <v>1928</v>
      </c>
      <c r="T581">
        <v>1928</v>
      </c>
      <c r="U581">
        <f>+SUM(Table1[[#This Row],[Latinos]:[Cemex]])</f>
        <v>1</v>
      </c>
      <c r="V581" t="str">
        <f>+Table1[[#This Row],[id_destino]]&amp;" - "&amp;Table1[[#This Row],[id_origen]]</f>
        <v>42 - 18</v>
      </c>
    </row>
    <row r="582" spans="1:22" hidden="1">
      <c r="A582">
        <v>1339</v>
      </c>
      <c r="B582">
        <v>1879</v>
      </c>
      <c r="C582">
        <v>4805</v>
      </c>
      <c r="D582">
        <v>48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 t="s">
        <v>20</v>
      </c>
      <c r="L582" s="1">
        <v>43391</v>
      </c>
      <c r="M582">
        <v>42</v>
      </c>
      <c r="N582">
        <v>18</v>
      </c>
      <c r="O582">
        <v>338</v>
      </c>
      <c r="P582">
        <v>338</v>
      </c>
      <c r="Q582">
        <v>338</v>
      </c>
      <c r="S582">
        <v>921</v>
      </c>
      <c r="T582">
        <v>991</v>
      </c>
      <c r="U582">
        <f>+SUM(Table1[[#This Row],[Latinos]:[Cemex]])</f>
        <v>1</v>
      </c>
      <c r="V582" t="str">
        <f>+Table1[[#This Row],[id_destino]]&amp;" - "&amp;Table1[[#This Row],[id_origen]]</f>
        <v>42 - 18</v>
      </c>
    </row>
    <row r="583" spans="1:22" hidden="1">
      <c r="A583">
        <v>4408</v>
      </c>
      <c r="B583">
        <v>4634</v>
      </c>
      <c r="C583">
        <v>2853</v>
      </c>
      <c r="D583">
        <v>5338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 t="s">
        <v>20</v>
      </c>
      <c r="L583" s="1">
        <v>45526</v>
      </c>
      <c r="M583">
        <v>44</v>
      </c>
      <c r="N583">
        <v>18</v>
      </c>
      <c r="O583">
        <v>328</v>
      </c>
      <c r="P583">
        <v>337</v>
      </c>
      <c r="Q583">
        <v>328</v>
      </c>
      <c r="S583">
        <v>2293</v>
      </c>
      <c r="T583">
        <v>2307</v>
      </c>
      <c r="U583">
        <f>+SUM(Table1[[#This Row],[Latinos]:[Cemex]])</f>
        <v>1</v>
      </c>
      <c r="V583" t="str">
        <f>+Table1[[#This Row],[id_destino]]&amp;" - "&amp;Table1[[#This Row],[id_origen]]</f>
        <v>44 - 18</v>
      </c>
    </row>
    <row r="584" spans="1:22" hidden="1">
      <c r="A584">
        <v>1929</v>
      </c>
      <c r="B584">
        <v>3023</v>
      </c>
      <c r="C584">
        <v>4035</v>
      </c>
      <c r="D584">
        <v>52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 t="s">
        <v>20</v>
      </c>
      <c r="L584" s="1">
        <v>43720</v>
      </c>
      <c r="M584">
        <v>46</v>
      </c>
      <c r="N584">
        <v>18</v>
      </c>
      <c r="O584">
        <v>268</v>
      </c>
      <c r="P584">
        <v>273</v>
      </c>
      <c r="Q584">
        <v>268</v>
      </c>
      <c r="S584">
        <v>1294</v>
      </c>
      <c r="T584">
        <v>1387</v>
      </c>
      <c r="U584">
        <f>+SUM(Table1[[#This Row],[Latinos]:[Cemex]])</f>
        <v>1</v>
      </c>
      <c r="V584" t="str">
        <f>+Table1[[#This Row],[id_destino]]&amp;" - "&amp;Table1[[#This Row],[id_origen]]</f>
        <v>46 - 18</v>
      </c>
    </row>
    <row r="585" spans="1:22" hidden="1">
      <c r="A585">
        <v>176</v>
      </c>
      <c r="B585">
        <v>243</v>
      </c>
      <c r="C585">
        <v>19</v>
      </c>
      <c r="D585">
        <v>230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 t="s">
        <v>20</v>
      </c>
      <c r="L585" s="1">
        <v>43006</v>
      </c>
      <c r="M585">
        <v>47</v>
      </c>
      <c r="N585">
        <v>18</v>
      </c>
      <c r="O585">
        <v>107</v>
      </c>
      <c r="P585">
        <v>150</v>
      </c>
      <c r="Q585">
        <v>107</v>
      </c>
      <c r="S585">
        <v>270</v>
      </c>
      <c r="T585">
        <v>322</v>
      </c>
      <c r="U585">
        <f>+SUM(Table1[[#This Row],[Latinos]:[Cemex]])</f>
        <v>1</v>
      </c>
      <c r="V585" t="str">
        <f>+Table1[[#This Row],[id_destino]]&amp;" - "&amp;Table1[[#This Row],[id_origen]]</f>
        <v>47 - 18</v>
      </c>
    </row>
    <row r="586" spans="1:22" hidden="1">
      <c r="A586">
        <v>4271</v>
      </c>
      <c r="B586">
        <v>888</v>
      </c>
      <c r="C586">
        <v>5691</v>
      </c>
      <c r="D586">
        <v>5321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 t="s">
        <v>20</v>
      </c>
      <c r="L586" s="1">
        <v>45415</v>
      </c>
      <c r="M586">
        <v>53</v>
      </c>
      <c r="N586">
        <v>18</v>
      </c>
      <c r="O586">
        <v>1081</v>
      </c>
      <c r="P586">
        <v>1073</v>
      </c>
      <c r="Q586">
        <v>1081</v>
      </c>
      <c r="S586">
        <v>2056</v>
      </c>
      <c r="T586">
        <v>2056</v>
      </c>
      <c r="U586">
        <f>+SUM(Table1[[#This Row],[Latinos]:[Cemex]])</f>
        <v>1</v>
      </c>
      <c r="V586" t="str">
        <f>+Table1[[#This Row],[id_destino]]&amp;" - "&amp;Table1[[#This Row],[id_origen]]</f>
        <v>53 - 18</v>
      </c>
    </row>
    <row r="587" spans="1:22" hidden="1">
      <c r="A587">
        <v>509</v>
      </c>
      <c r="B587">
        <v>1216</v>
      </c>
      <c r="C587">
        <v>19</v>
      </c>
      <c r="D587">
        <v>7704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 t="s">
        <v>20</v>
      </c>
      <c r="L587" s="1">
        <v>45372</v>
      </c>
      <c r="M587">
        <v>55</v>
      </c>
      <c r="N587">
        <v>18</v>
      </c>
      <c r="O587">
        <v>102</v>
      </c>
      <c r="P587">
        <v>150</v>
      </c>
      <c r="Q587">
        <v>102</v>
      </c>
      <c r="S587">
        <v>373</v>
      </c>
      <c r="T587">
        <v>373</v>
      </c>
      <c r="U587">
        <f>+SUM(Table1[[#This Row],[Latinos]:[Cemex]])</f>
        <v>1</v>
      </c>
      <c r="V587" t="str">
        <f>+Table1[[#This Row],[id_destino]]&amp;" - "&amp;Table1[[#This Row],[id_origen]]</f>
        <v>55 - 18</v>
      </c>
    </row>
    <row r="588" spans="1:22" hidden="1">
      <c r="A588">
        <v>594</v>
      </c>
      <c r="B588">
        <v>1216</v>
      </c>
      <c r="C588">
        <v>2903</v>
      </c>
      <c r="D588">
        <v>63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 t="s">
        <v>20</v>
      </c>
      <c r="L588" s="1">
        <v>43846</v>
      </c>
      <c r="M588">
        <v>55</v>
      </c>
      <c r="N588">
        <v>18</v>
      </c>
      <c r="O588">
        <v>89</v>
      </c>
      <c r="P588">
        <v>150</v>
      </c>
      <c r="Q588">
        <v>89</v>
      </c>
      <c r="S588">
        <v>37</v>
      </c>
      <c r="T588">
        <v>37</v>
      </c>
      <c r="U588">
        <f>+SUM(Table1[[#This Row],[Latinos]:[Cemex]])</f>
        <v>1</v>
      </c>
      <c r="V588" t="str">
        <f>+Table1[[#This Row],[id_destino]]&amp;" - "&amp;Table1[[#This Row],[id_origen]]</f>
        <v>55 - 18</v>
      </c>
    </row>
    <row r="589" spans="1:22" hidden="1">
      <c r="A589">
        <v>1912</v>
      </c>
      <c r="B589">
        <v>2859</v>
      </c>
      <c r="C589">
        <v>19</v>
      </c>
      <c r="D589">
        <v>1489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 t="s">
        <v>20</v>
      </c>
      <c r="L589" s="1">
        <v>43712</v>
      </c>
      <c r="M589">
        <v>56</v>
      </c>
      <c r="N589">
        <v>18</v>
      </c>
      <c r="O589">
        <v>51</v>
      </c>
      <c r="P589">
        <v>150</v>
      </c>
      <c r="Q589">
        <v>51</v>
      </c>
      <c r="S589">
        <v>188</v>
      </c>
      <c r="T589">
        <v>188</v>
      </c>
      <c r="U589">
        <f>+SUM(Table1[[#This Row],[Latinos]:[Cemex]])</f>
        <v>1</v>
      </c>
      <c r="V589" t="str">
        <f>+Table1[[#This Row],[id_destino]]&amp;" - "&amp;Table1[[#This Row],[id_origen]]</f>
        <v>56 - 18</v>
      </c>
    </row>
    <row r="590" spans="1:22" hidden="1">
      <c r="A590">
        <v>419</v>
      </c>
      <c r="B590">
        <v>1592</v>
      </c>
      <c r="C590">
        <v>4805</v>
      </c>
      <c r="D590">
        <v>4703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 t="s">
        <v>20</v>
      </c>
      <c r="L590" s="1">
        <v>43062</v>
      </c>
      <c r="M590">
        <v>57</v>
      </c>
      <c r="N590">
        <v>18</v>
      </c>
      <c r="O590">
        <v>136</v>
      </c>
      <c r="P590">
        <v>150</v>
      </c>
      <c r="Q590">
        <v>136</v>
      </c>
      <c r="S590">
        <v>581</v>
      </c>
      <c r="T590">
        <v>674</v>
      </c>
      <c r="U590">
        <f>+SUM(Table1[[#This Row],[Latinos]:[Cemex]])</f>
        <v>1</v>
      </c>
      <c r="V590" t="str">
        <f>+Table1[[#This Row],[id_destino]]&amp;" - "&amp;Table1[[#This Row],[id_origen]]</f>
        <v>57 - 18</v>
      </c>
    </row>
    <row r="591" spans="1:22" hidden="1">
      <c r="A591">
        <v>518</v>
      </c>
      <c r="B591">
        <v>1592</v>
      </c>
      <c r="C591">
        <v>4805</v>
      </c>
      <c r="D591">
        <v>6483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 t="s">
        <v>20</v>
      </c>
      <c r="L591" s="1">
        <v>45349</v>
      </c>
      <c r="M591">
        <v>57</v>
      </c>
      <c r="N591">
        <v>18</v>
      </c>
      <c r="O591">
        <v>254</v>
      </c>
      <c r="P591">
        <v>150</v>
      </c>
      <c r="Q591">
        <v>254</v>
      </c>
      <c r="S591">
        <v>581</v>
      </c>
      <c r="T591">
        <v>674</v>
      </c>
      <c r="U591">
        <f>+SUM(Table1[[#This Row],[Latinos]:[Cemex]])</f>
        <v>1</v>
      </c>
      <c r="V591" t="str">
        <f>+Table1[[#This Row],[id_destino]]&amp;" - "&amp;Table1[[#This Row],[id_origen]]</f>
        <v>57 - 18</v>
      </c>
    </row>
    <row r="592" spans="1:22" hidden="1">
      <c r="A592">
        <v>4801</v>
      </c>
      <c r="B592">
        <v>1592</v>
      </c>
      <c r="C592">
        <v>4805</v>
      </c>
      <c r="D592">
        <v>6483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 t="s">
        <v>20</v>
      </c>
      <c r="L592" s="1">
        <v>45840</v>
      </c>
      <c r="M592">
        <v>57</v>
      </c>
      <c r="N592">
        <v>18</v>
      </c>
      <c r="O592">
        <v>123</v>
      </c>
      <c r="P592">
        <v>123</v>
      </c>
      <c r="Q592">
        <v>123</v>
      </c>
      <c r="S592">
        <v>624</v>
      </c>
      <c r="T592">
        <v>624</v>
      </c>
      <c r="U592">
        <f>+SUM(Table1[[#This Row],[Latinos]:[Cemex]])</f>
        <v>1</v>
      </c>
      <c r="V592" t="str">
        <f>+Table1[[#This Row],[id_destino]]&amp;" - "&amp;Table1[[#This Row],[id_origen]]</f>
        <v>57 - 18</v>
      </c>
    </row>
    <row r="593" spans="1:22" hidden="1">
      <c r="A593">
        <v>1408</v>
      </c>
      <c r="B593">
        <v>1719</v>
      </c>
      <c r="C593">
        <v>4035</v>
      </c>
      <c r="D593">
        <v>5751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 t="s">
        <v>20</v>
      </c>
      <c r="L593" s="1">
        <v>43421</v>
      </c>
      <c r="M593">
        <v>58</v>
      </c>
      <c r="N593">
        <v>18</v>
      </c>
      <c r="O593">
        <v>147</v>
      </c>
      <c r="P593">
        <v>150</v>
      </c>
      <c r="Q593">
        <v>147</v>
      </c>
      <c r="S593">
        <v>185</v>
      </c>
      <c r="T593">
        <v>185</v>
      </c>
      <c r="U593">
        <f>+SUM(Table1[[#This Row],[Latinos]:[Cemex]])</f>
        <v>1</v>
      </c>
      <c r="V593" t="str">
        <f>+Table1[[#This Row],[id_destino]]&amp;" - "&amp;Table1[[#This Row],[id_origen]]</f>
        <v>58 - 18</v>
      </c>
    </row>
    <row r="594" spans="1:22" hidden="1">
      <c r="A594">
        <v>940</v>
      </c>
      <c r="B594">
        <v>1844</v>
      </c>
      <c r="C594">
        <v>188</v>
      </c>
      <c r="D594">
        <v>5550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 t="s">
        <v>20</v>
      </c>
      <c r="L594" s="1">
        <v>43220</v>
      </c>
      <c r="M594">
        <v>59</v>
      </c>
      <c r="N594">
        <v>18</v>
      </c>
      <c r="O594">
        <v>436</v>
      </c>
      <c r="P594">
        <v>424</v>
      </c>
      <c r="Q594">
        <v>436</v>
      </c>
      <c r="S594">
        <v>978</v>
      </c>
      <c r="T594">
        <v>978</v>
      </c>
      <c r="U594">
        <f>+SUM(Table1[[#This Row],[Latinos]:[Cemex]])</f>
        <v>1</v>
      </c>
      <c r="V594" t="str">
        <f>+Table1[[#This Row],[id_destino]]&amp;" - "&amp;Table1[[#This Row],[id_origen]]</f>
        <v>59 - 18</v>
      </c>
    </row>
    <row r="595" spans="1:22" hidden="1">
      <c r="A595">
        <v>1687</v>
      </c>
      <c r="B595">
        <v>2813</v>
      </c>
      <c r="C595">
        <v>188</v>
      </c>
      <c r="D595">
        <v>5873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 t="s">
        <v>20</v>
      </c>
      <c r="L595" s="1">
        <v>43567</v>
      </c>
      <c r="M595">
        <v>60</v>
      </c>
      <c r="N595">
        <v>18</v>
      </c>
      <c r="O595">
        <v>2872</v>
      </c>
      <c r="P595">
        <v>2823</v>
      </c>
      <c r="Q595">
        <v>2872</v>
      </c>
      <c r="S595">
        <v>2994</v>
      </c>
      <c r="T595">
        <v>3475</v>
      </c>
      <c r="U595">
        <f>+SUM(Table1[[#This Row],[Latinos]:[Cemex]])</f>
        <v>1</v>
      </c>
      <c r="V595" t="str">
        <f>+Table1[[#This Row],[id_destino]]&amp;" - "&amp;Table1[[#This Row],[id_origen]]</f>
        <v>60 - 18</v>
      </c>
    </row>
    <row r="596" spans="1:22" hidden="1">
      <c r="A596">
        <v>3847</v>
      </c>
      <c r="B596">
        <v>1594</v>
      </c>
      <c r="C596">
        <v>5691</v>
      </c>
      <c r="D596">
        <v>4317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 t="s">
        <v>20</v>
      </c>
      <c r="L596" s="1">
        <v>45141</v>
      </c>
      <c r="M596">
        <v>61</v>
      </c>
      <c r="N596">
        <v>18</v>
      </c>
      <c r="O596">
        <v>2657</v>
      </c>
      <c r="P596">
        <v>2562</v>
      </c>
      <c r="Q596">
        <v>2657</v>
      </c>
      <c r="S596">
        <v>7309</v>
      </c>
      <c r="T596">
        <v>7421</v>
      </c>
      <c r="U596">
        <f>+SUM(Table1[[#This Row],[Latinos]:[Cemex]])</f>
        <v>1</v>
      </c>
      <c r="V596" t="str">
        <f>+Table1[[#This Row],[id_destino]]&amp;" - "&amp;Table1[[#This Row],[id_origen]]</f>
        <v>61 - 18</v>
      </c>
    </row>
    <row r="597" spans="1:22" hidden="1">
      <c r="A597">
        <v>1875</v>
      </c>
      <c r="B597">
        <v>939</v>
      </c>
      <c r="C597">
        <v>188</v>
      </c>
      <c r="D597">
        <v>5515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 t="s">
        <v>20</v>
      </c>
      <c r="L597" s="1">
        <v>43679</v>
      </c>
      <c r="M597">
        <v>62</v>
      </c>
      <c r="N597">
        <v>18</v>
      </c>
      <c r="O597">
        <v>380</v>
      </c>
      <c r="P597">
        <v>371</v>
      </c>
      <c r="Q597">
        <v>380</v>
      </c>
      <c r="S597">
        <v>525</v>
      </c>
      <c r="T597">
        <v>525</v>
      </c>
      <c r="U597">
        <f>+SUM(Table1[[#This Row],[Latinos]:[Cemex]])</f>
        <v>1</v>
      </c>
      <c r="V597" t="str">
        <f>+Table1[[#This Row],[id_destino]]&amp;" - "&amp;Table1[[#This Row],[id_origen]]</f>
        <v>62 - 18</v>
      </c>
    </row>
    <row r="598" spans="1:22" hidden="1">
      <c r="A598">
        <v>4470</v>
      </c>
      <c r="B598">
        <v>4681</v>
      </c>
      <c r="C598">
        <v>188</v>
      </c>
      <c r="D598">
        <v>2873</v>
      </c>
      <c r="E598">
        <v>0</v>
      </c>
      <c r="F598">
        <v>1</v>
      </c>
      <c r="G598">
        <v>0</v>
      </c>
      <c r="H598">
        <v>0</v>
      </c>
      <c r="I598">
        <v>0</v>
      </c>
      <c r="K598" t="s">
        <v>20</v>
      </c>
      <c r="L598" s="1">
        <v>45570</v>
      </c>
      <c r="M598">
        <v>63</v>
      </c>
      <c r="N598">
        <v>18</v>
      </c>
      <c r="O598">
        <v>651</v>
      </c>
      <c r="P598">
        <v>600</v>
      </c>
      <c r="Q598">
        <v>651</v>
      </c>
      <c r="S598">
        <v>1024</v>
      </c>
      <c r="T598">
        <v>1024</v>
      </c>
      <c r="U598">
        <f>+SUM(Table1[[#This Row],[Latinos]:[Cemex]])</f>
        <v>1</v>
      </c>
      <c r="V598" t="str">
        <f>+Table1[[#This Row],[id_destino]]&amp;" - "&amp;Table1[[#This Row],[id_origen]]</f>
        <v>63 - 18</v>
      </c>
    </row>
    <row r="599" spans="1:22" hidden="1">
      <c r="A599">
        <v>1073</v>
      </c>
      <c r="B599">
        <v>2571</v>
      </c>
      <c r="C599">
        <v>19</v>
      </c>
      <c r="D599">
        <v>4672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 t="s">
        <v>20</v>
      </c>
      <c r="L599" s="1">
        <v>43274</v>
      </c>
      <c r="M599">
        <v>65</v>
      </c>
      <c r="N599">
        <v>18</v>
      </c>
      <c r="O599">
        <v>200</v>
      </c>
      <c r="P599">
        <v>200</v>
      </c>
      <c r="Q599">
        <v>200</v>
      </c>
      <c r="S599">
        <v>516</v>
      </c>
      <c r="T599">
        <v>585</v>
      </c>
      <c r="U599">
        <f>+SUM(Table1[[#This Row],[Latinos]:[Cemex]])</f>
        <v>1</v>
      </c>
      <c r="V599" t="str">
        <f>+Table1[[#This Row],[id_destino]]&amp;" - "&amp;Table1[[#This Row],[id_origen]]</f>
        <v>65 - 18</v>
      </c>
    </row>
    <row r="600" spans="1:22" hidden="1">
      <c r="A600">
        <v>3904</v>
      </c>
      <c r="B600">
        <v>4290</v>
      </c>
      <c r="C600">
        <v>5691</v>
      </c>
      <c r="D600">
        <v>5909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 t="s">
        <v>20</v>
      </c>
      <c r="L600" s="1">
        <v>45173</v>
      </c>
      <c r="M600">
        <v>67</v>
      </c>
      <c r="N600">
        <v>18</v>
      </c>
      <c r="O600">
        <v>309</v>
      </c>
      <c r="P600">
        <v>303</v>
      </c>
      <c r="Q600">
        <v>309</v>
      </c>
      <c r="S600">
        <v>1714</v>
      </c>
      <c r="T600">
        <v>1714</v>
      </c>
      <c r="U600">
        <f>+SUM(Table1[[#This Row],[Latinos]:[Cemex]])</f>
        <v>1</v>
      </c>
      <c r="V600" t="str">
        <f>+Table1[[#This Row],[id_destino]]&amp;" - "&amp;Table1[[#This Row],[id_origen]]</f>
        <v>67 - 18</v>
      </c>
    </row>
    <row r="601" spans="1:22" hidden="1">
      <c r="A601">
        <v>675</v>
      </c>
      <c r="B601">
        <v>1282</v>
      </c>
      <c r="C601">
        <v>19</v>
      </c>
      <c r="D601">
        <v>5446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 t="s">
        <v>20</v>
      </c>
      <c r="L601" s="1">
        <v>44545</v>
      </c>
      <c r="M601">
        <v>69</v>
      </c>
      <c r="N601">
        <v>18</v>
      </c>
      <c r="O601">
        <v>37</v>
      </c>
      <c r="P601">
        <v>150</v>
      </c>
      <c r="Q601">
        <v>37</v>
      </c>
      <c r="S601">
        <v>0</v>
      </c>
      <c r="T601">
        <v>0</v>
      </c>
      <c r="U601">
        <f>+SUM(Table1[[#This Row],[Latinos]:[Cemex]])</f>
        <v>1</v>
      </c>
      <c r="V601" t="str">
        <f>+Table1[[#This Row],[id_destino]]&amp;" - "&amp;Table1[[#This Row],[id_origen]]</f>
        <v>69 - 18</v>
      </c>
    </row>
    <row r="602" spans="1:22" hidden="1">
      <c r="A602">
        <v>935</v>
      </c>
      <c r="B602">
        <v>1282</v>
      </c>
      <c r="C602">
        <v>188</v>
      </c>
      <c r="D602">
        <v>4832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 t="s">
        <v>20</v>
      </c>
      <c r="L602" s="1">
        <v>43909</v>
      </c>
      <c r="M602">
        <v>69</v>
      </c>
      <c r="N602">
        <v>18</v>
      </c>
      <c r="O602">
        <v>35</v>
      </c>
      <c r="P602">
        <v>150</v>
      </c>
      <c r="Q602">
        <v>35</v>
      </c>
      <c r="S602">
        <v>0</v>
      </c>
      <c r="T602">
        <v>0</v>
      </c>
      <c r="U602">
        <f>+SUM(Table1[[#This Row],[Latinos]:[Cemex]])</f>
        <v>1</v>
      </c>
      <c r="V602" t="str">
        <f>+Table1[[#This Row],[id_destino]]&amp;" - "&amp;Table1[[#This Row],[id_origen]]</f>
        <v>69 - 18</v>
      </c>
    </row>
    <row r="603" spans="1:22" hidden="1">
      <c r="A603">
        <v>377</v>
      </c>
      <c r="B603">
        <v>526</v>
      </c>
      <c r="C603">
        <v>4805</v>
      </c>
      <c r="D603">
        <v>3499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 t="s">
        <v>20</v>
      </c>
      <c r="L603" s="1">
        <v>43049</v>
      </c>
      <c r="M603">
        <v>71</v>
      </c>
      <c r="N603">
        <v>18</v>
      </c>
      <c r="O603">
        <v>499</v>
      </c>
      <c r="P603">
        <v>499</v>
      </c>
      <c r="Q603">
        <v>499</v>
      </c>
      <c r="S603">
        <v>1481</v>
      </c>
      <c r="T603">
        <v>1481</v>
      </c>
      <c r="U603">
        <f>+SUM(Table1[[#This Row],[Latinos]:[Cemex]])</f>
        <v>1</v>
      </c>
      <c r="V603" t="str">
        <f>+Table1[[#This Row],[id_destino]]&amp;" - "&amp;Table1[[#This Row],[id_origen]]</f>
        <v>71 - 18</v>
      </c>
    </row>
    <row r="604" spans="1:22" hidden="1">
      <c r="A604">
        <v>372</v>
      </c>
      <c r="B604">
        <v>41</v>
      </c>
      <c r="C604">
        <v>4177</v>
      </c>
      <c r="D604">
        <v>468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 t="s">
        <v>20</v>
      </c>
      <c r="L604" s="1">
        <v>43048</v>
      </c>
      <c r="M604">
        <v>73</v>
      </c>
      <c r="N604">
        <v>18</v>
      </c>
      <c r="O604">
        <v>878</v>
      </c>
      <c r="P604">
        <v>878</v>
      </c>
      <c r="Q604">
        <v>878</v>
      </c>
      <c r="S604">
        <v>682</v>
      </c>
      <c r="T604">
        <v>682</v>
      </c>
      <c r="U604">
        <f>+SUM(Table1[[#This Row],[Latinos]:[Cemex]])</f>
        <v>1</v>
      </c>
      <c r="V604" t="str">
        <f>+Table1[[#This Row],[id_destino]]&amp;" - "&amp;Table1[[#This Row],[id_origen]]</f>
        <v>73 - 18</v>
      </c>
    </row>
    <row r="605" spans="1:22" hidden="1">
      <c r="A605">
        <v>2159</v>
      </c>
      <c r="B605">
        <v>3174</v>
      </c>
      <c r="C605">
        <v>19</v>
      </c>
      <c r="D605">
        <v>684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 t="s">
        <v>20</v>
      </c>
      <c r="L605" s="1">
        <v>43836</v>
      </c>
      <c r="M605">
        <v>74</v>
      </c>
      <c r="N605">
        <v>18</v>
      </c>
      <c r="O605">
        <v>57</v>
      </c>
      <c r="P605">
        <v>150</v>
      </c>
      <c r="Q605">
        <v>57</v>
      </c>
      <c r="S605">
        <v>229</v>
      </c>
      <c r="T605">
        <v>229</v>
      </c>
      <c r="U605">
        <f>+SUM(Table1[[#This Row],[Latinos]:[Cemex]])</f>
        <v>1</v>
      </c>
      <c r="V605" t="str">
        <f>+Table1[[#This Row],[id_destino]]&amp;" - "&amp;Table1[[#This Row],[id_origen]]</f>
        <v>74 - 18</v>
      </c>
    </row>
    <row r="606" spans="1:22" hidden="1">
      <c r="A606">
        <v>367</v>
      </c>
      <c r="B606">
        <v>787</v>
      </c>
      <c r="C606">
        <v>4177</v>
      </c>
      <c r="D606">
        <v>105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 t="s">
        <v>20</v>
      </c>
      <c r="L606" s="1">
        <v>43185</v>
      </c>
      <c r="M606">
        <v>75</v>
      </c>
      <c r="N606">
        <v>18</v>
      </c>
      <c r="O606">
        <v>20</v>
      </c>
      <c r="P606">
        <v>150</v>
      </c>
      <c r="Q606">
        <v>50</v>
      </c>
      <c r="S606">
        <v>0</v>
      </c>
      <c r="T606">
        <v>0</v>
      </c>
      <c r="U606">
        <f>+SUM(Table1[[#This Row],[Latinos]:[Cemex]])</f>
        <v>1</v>
      </c>
      <c r="V606" t="str">
        <f>+Table1[[#This Row],[id_destino]]&amp;" - "&amp;Table1[[#This Row],[id_origen]]</f>
        <v>75 - 18</v>
      </c>
    </row>
    <row r="607" spans="1:22" hidden="1">
      <c r="A607">
        <v>2758</v>
      </c>
      <c r="B607">
        <v>1968</v>
      </c>
      <c r="C607">
        <v>19</v>
      </c>
      <c r="D607">
        <v>6642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 t="s">
        <v>20</v>
      </c>
      <c r="L607" s="1">
        <v>44422</v>
      </c>
      <c r="M607">
        <v>77</v>
      </c>
      <c r="N607">
        <v>18</v>
      </c>
      <c r="O607">
        <v>89</v>
      </c>
      <c r="P607">
        <v>150</v>
      </c>
      <c r="Q607">
        <v>89</v>
      </c>
      <c r="S607">
        <v>153</v>
      </c>
      <c r="T607">
        <v>153</v>
      </c>
      <c r="U607">
        <f>+SUM(Table1[[#This Row],[Latinos]:[Cemex]])</f>
        <v>1</v>
      </c>
      <c r="V607" t="str">
        <f>+Table1[[#This Row],[id_destino]]&amp;" - "&amp;Table1[[#This Row],[id_origen]]</f>
        <v>77 - 18</v>
      </c>
    </row>
    <row r="608" spans="1:22" hidden="1">
      <c r="A608">
        <v>3698</v>
      </c>
      <c r="B608">
        <v>508</v>
      </c>
      <c r="C608">
        <v>19</v>
      </c>
      <c r="D608">
        <v>7320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 t="s">
        <v>20</v>
      </c>
      <c r="L608" s="1">
        <v>45035</v>
      </c>
      <c r="M608">
        <v>79</v>
      </c>
      <c r="N608">
        <v>18</v>
      </c>
      <c r="O608">
        <v>282</v>
      </c>
      <c r="P608">
        <v>305</v>
      </c>
      <c r="Q608">
        <v>305</v>
      </c>
      <c r="S608">
        <v>780</v>
      </c>
      <c r="T608">
        <v>876</v>
      </c>
      <c r="U608">
        <f>+SUM(Table1[[#This Row],[Latinos]:[Cemex]])</f>
        <v>1</v>
      </c>
      <c r="V608" t="str">
        <f>+Table1[[#This Row],[id_destino]]&amp;" - "&amp;Table1[[#This Row],[id_origen]]</f>
        <v>79 - 18</v>
      </c>
    </row>
    <row r="609" spans="1:22" hidden="1">
      <c r="A609">
        <v>678</v>
      </c>
      <c r="B609">
        <v>2403</v>
      </c>
      <c r="C609">
        <v>5447</v>
      </c>
      <c r="D609">
        <v>146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 t="s">
        <v>20</v>
      </c>
      <c r="L609" s="1">
        <v>43129</v>
      </c>
      <c r="M609">
        <v>80</v>
      </c>
      <c r="N609">
        <v>18</v>
      </c>
      <c r="O609">
        <v>60</v>
      </c>
      <c r="P609">
        <v>150</v>
      </c>
      <c r="Q609">
        <v>60</v>
      </c>
      <c r="S609">
        <v>144</v>
      </c>
      <c r="T609">
        <v>211</v>
      </c>
      <c r="U609">
        <f>+SUM(Table1[[#This Row],[Latinos]:[Cemex]])</f>
        <v>1</v>
      </c>
      <c r="V609" t="str">
        <f>+Table1[[#This Row],[id_destino]]&amp;" - "&amp;Table1[[#This Row],[id_origen]]</f>
        <v>80 - 18</v>
      </c>
    </row>
    <row r="610" spans="1:22" hidden="1">
      <c r="A610">
        <v>1690</v>
      </c>
      <c r="B610">
        <v>2889</v>
      </c>
      <c r="C610">
        <v>188</v>
      </c>
      <c r="D610">
        <v>1623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 t="s">
        <v>20</v>
      </c>
      <c r="L610" s="1">
        <v>43565</v>
      </c>
      <c r="M610">
        <v>83</v>
      </c>
      <c r="N610">
        <v>18</v>
      </c>
      <c r="O610">
        <v>894</v>
      </c>
      <c r="P610">
        <v>873</v>
      </c>
      <c r="Q610">
        <v>894</v>
      </c>
      <c r="S610">
        <v>1179</v>
      </c>
      <c r="T610">
        <v>1179</v>
      </c>
      <c r="U610">
        <f>+SUM(Table1[[#This Row],[Latinos]:[Cemex]])</f>
        <v>1</v>
      </c>
      <c r="V610" t="str">
        <f>+Table1[[#This Row],[id_destino]]&amp;" - "&amp;Table1[[#This Row],[id_origen]]</f>
        <v>83 - 18</v>
      </c>
    </row>
    <row r="611" spans="1:22" hidden="1">
      <c r="A611">
        <v>4248</v>
      </c>
      <c r="B611">
        <v>1331</v>
      </c>
      <c r="C611">
        <v>19</v>
      </c>
      <c r="D611">
        <v>885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 t="s">
        <v>20</v>
      </c>
      <c r="L611" s="1">
        <v>45398</v>
      </c>
      <c r="M611">
        <v>86</v>
      </c>
      <c r="N611">
        <v>18</v>
      </c>
      <c r="O611">
        <v>55</v>
      </c>
      <c r="P611">
        <v>58</v>
      </c>
      <c r="Q611">
        <v>55</v>
      </c>
      <c r="S611">
        <v>373</v>
      </c>
      <c r="T611">
        <v>373</v>
      </c>
      <c r="U611">
        <f>+SUM(Table1[[#This Row],[Latinos]:[Cemex]])</f>
        <v>1</v>
      </c>
      <c r="V611" t="str">
        <f>+Table1[[#This Row],[id_destino]]&amp;" - "&amp;Table1[[#This Row],[id_origen]]</f>
        <v>86 - 18</v>
      </c>
    </row>
    <row r="612" spans="1:22" hidden="1">
      <c r="A612">
        <v>2026</v>
      </c>
      <c r="B612">
        <v>1285</v>
      </c>
      <c r="C612">
        <v>4445</v>
      </c>
      <c r="D612">
        <v>6128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 t="s">
        <v>20</v>
      </c>
      <c r="L612" s="1">
        <v>43773</v>
      </c>
      <c r="M612">
        <v>88</v>
      </c>
      <c r="N612">
        <v>18</v>
      </c>
      <c r="O612">
        <v>186</v>
      </c>
      <c r="P612">
        <v>170</v>
      </c>
      <c r="Q612">
        <v>186</v>
      </c>
      <c r="S612">
        <v>363</v>
      </c>
      <c r="T612">
        <v>363</v>
      </c>
      <c r="U612">
        <f>+SUM(Table1[[#This Row],[Latinos]:[Cemex]])</f>
        <v>1</v>
      </c>
      <c r="V612" t="str">
        <f>+Table1[[#This Row],[id_destino]]&amp;" - "&amp;Table1[[#This Row],[id_origen]]</f>
        <v>88 - 18</v>
      </c>
    </row>
    <row r="613" spans="1:22" hidden="1">
      <c r="A613">
        <v>605</v>
      </c>
      <c r="B613">
        <v>468</v>
      </c>
      <c r="C613">
        <v>4805</v>
      </c>
      <c r="D613">
        <v>109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 t="s">
        <v>20</v>
      </c>
      <c r="L613" s="1">
        <v>43113</v>
      </c>
      <c r="M613">
        <v>93</v>
      </c>
      <c r="N613">
        <v>18</v>
      </c>
      <c r="O613">
        <v>32</v>
      </c>
      <c r="P613">
        <v>150</v>
      </c>
      <c r="Q613">
        <v>32</v>
      </c>
      <c r="S613">
        <v>234</v>
      </c>
      <c r="T613">
        <v>234</v>
      </c>
      <c r="U613">
        <f>+SUM(Table1[[#This Row],[Latinos]:[Cemex]])</f>
        <v>1</v>
      </c>
      <c r="V613" t="str">
        <f>+Table1[[#This Row],[id_destino]]&amp;" - "&amp;Table1[[#This Row],[id_origen]]</f>
        <v>93 - 18</v>
      </c>
    </row>
    <row r="614" spans="1:22" hidden="1">
      <c r="A614">
        <v>4050</v>
      </c>
      <c r="B614">
        <v>4387</v>
      </c>
      <c r="C614">
        <v>2853</v>
      </c>
      <c r="D614">
        <v>268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20</v>
      </c>
      <c r="L614" s="1">
        <v>45383</v>
      </c>
      <c r="M614">
        <v>99</v>
      </c>
      <c r="N614">
        <v>18</v>
      </c>
      <c r="O614">
        <v>1240</v>
      </c>
      <c r="P614">
        <v>1232</v>
      </c>
      <c r="Q614">
        <v>1240</v>
      </c>
      <c r="S614">
        <v>3865</v>
      </c>
      <c r="T614">
        <v>3865</v>
      </c>
      <c r="U614">
        <f>+SUM(Table1[[#This Row],[Latinos]:[Cemex]])</f>
        <v>1</v>
      </c>
      <c r="V614" t="str">
        <f>+Table1[[#This Row],[id_destino]]&amp;" - "&amp;Table1[[#This Row],[id_origen]]</f>
        <v>99 - 18</v>
      </c>
    </row>
    <row r="615" spans="1:22" hidden="1">
      <c r="A615">
        <v>712</v>
      </c>
      <c r="B615">
        <v>788</v>
      </c>
      <c r="C615">
        <v>4805</v>
      </c>
      <c r="D615">
        <v>7355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 t="s">
        <v>20</v>
      </c>
      <c r="L615" s="1">
        <v>45308</v>
      </c>
      <c r="M615">
        <v>105</v>
      </c>
      <c r="N615">
        <v>18</v>
      </c>
      <c r="O615">
        <v>11</v>
      </c>
      <c r="P615">
        <v>150</v>
      </c>
      <c r="Q615">
        <v>11</v>
      </c>
      <c r="S615">
        <v>0</v>
      </c>
      <c r="T615">
        <v>0</v>
      </c>
      <c r="U615">
        <f>+SUM(Table1[[#This Row],[Latinos]:[Cemex]])</f>
        <v>1</v>
      </c>
      <c r="V615" t="str">
        <f>+Table1[[#This Row],[id_destino]]&amp;" - "&amp;Table1[[#This Row],[id_origen]]</f>
        <v>105 - 18</v>
      </c>
    </row>
    <row r="616" spans="1:22" hidden="1">
      <c r="A616">
        <v>4155</v>
      </c>
      <c r="B616">
        <v>788</v>
      </c>
      <c r="C616">
        <v>4805</v>
      </c>
      <c r="D616">
        <v>7651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 t="s">
        <v>20</v>
      </c>
      <c r="L616" s="1">
        <v>45324</v>
      </c>
      <c r="M616">
        <v>105</v>
      </c>
      <c r="N616">
        <v>18</v>
      </c>
      <c r="O616">
        <v>12</v>
      </c>
      <c r="P616">
        <v>100</v>
      </c>
      <c r="Q616">
        <v>12</v>
      </c>
      <c r="S616">
        <v>0</v>
      </c>
      <c r="T616">
        <v>0</v>
      </c>
      <c r="U616">
        <f>+SUM(Table1[[#This Row],[Latinos]:[Cemex]])</f>
        <v>1</v>
      </c>
      <c r="V616" t="str">
        <f>+Table1[[#This Row],[id_destino]]&amp;" - "&amp;Table1[[#This Row],[id_origen]]</f>
        <v>105 - 18</v>
      </c>
    </row>
    <row r="617" spans="1:22" hidden="1">
      <c r="A617">
        <v>1691</v>
      </c>
      <c r="B617">
        <v>1846</v>
      </c>
      <c r="C617">
        <v>188</v>
      </c>
      <c r="D617">
        <v>5062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 t="s">
        <v>20</v>
      </c>
      <c r="L617" s="1">
        <v>43565</v>
      </c>
      <c r="M617">
        <v>107</v>
      </c>
      <c r="N617">
        <v>18</v>
      </c>
      <c r="O617">
        <v>494</v>
      </c>
      <c r="P617">
        <v>467</v>
      </c>
      <c r="Q617">
        <v>494</v>
      </c>
      <c r="S617">
        <v>2294</v>
      </c>
      <c r="T617">
        <v>2387</v>
      </c>
      <c r="U617">
        <f>+SUM(Table1[[#This Row],[Latinos]:[Cemex]])</f>
        <v>1</v>
      </c>
      <c r="V617" t="str">
        <f>+Table1[[#This Row],[id_destino]]&amp;" - "&amp;Table1[[#This Row],[id_origen]]</f>
        <v>107 - 18</v>
      </c>
    </row>
    <row r="618" spans="1:22" hidden="1">
      <c r="A618">
        <v>872</v>
      </c>
      <c r="B618">
        <v>2486</v>
      </c>
      <c r="C618">
        <v>2853</v>
      </c>
      <c r="D618">
        <v>5523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 t="s">
        <v>20</v>
      </c>
      <c r="L618" s="1">
        <v>43199</v>
      </c>
      <c r="M618">
        <v>114</v>
      </c>
      <c r="N618">
        <v>18</v>
      </c>
      <c r="O618">
        <v>322</v>
      </c>
      <c r="P618">
        <v>328</v>
      </c>
      <c r="Q618">
        <v>322</v>
      </c>
      <c r="S618">
        <v>889</v>
      </c>
      <c r="T618">
        <v>975</v>
      </c>
      <c r="U618">
        <f>+SUM(Table1[[#This Row],[Latinos]:[Cemex]])</f>
        <v>1</v>
      </c>
      <c r="V618" t="str">
        <f>+Table1[[#This Row],[id_destino]]&amp;" - "&amp;Table1[[#This Row],[id_origen]]</f>
        <v>114 - 18</v>
      </c>
    </row>
    <row r="619" spans="1:22" hidden="1">
      <c r="A619">
        <v>4087</v>
      </c>
      <c r="B619">
        <v>4412</v>
      </c>
      <c r="C619">
        <v>5691</v>
      </c>
      <c r="D619">
        <v>7598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 t="s">
        <v>20</v>
      </c>
      <c r="L619" s="1">
        <v>45275</v>
      </c>
      <c r="M619">
        <v>116</v>
      </c>
      <c r="N619">
        <v>18</v>
      </c>
      <c r="O619">
        <v>154</v>
      </c>
      <c r="P619">
        <v>153</v>
      </c>
      <c r="Q619">
        <v>154</v>
      </c>
      <c r="S619">
        <v>1129</v>
      </c>
      <c r="T619">
        <v>1129</v>
      </c>
      <c r="U619">
        <f>+SUM(Table1[[#This Row],[Latinos]:[Cemex]])</f>
        <v>1</v>
      </c>
      <c r="V619" t="str">
        <f>+Table1[[#This Row],[id_destino]]&amp;" - "&amp;Table1[[#This Row],[id_origen]]</f>
        <v>116 - 18</v>
      </c>
    </row>
    <row r="620" spans="1:22" hidden="1">
      <c r="A620">
        <v>4060</v>
      </c>
      <c r="B620">
        <v>1886</v>
      </c>
      <c r="C620">
        <v>4177</v>
      </c>
      <c r="D620">
        <v>5055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 t="s">
        <v>20</v>
      </c>
      <c r="L620" s="1">
        <v>45260</v>
      </c>
      <c r="M620">
        <v>117</v>
      </c>
      <c r="N620">
        <v>18</v>
      </c>
      <c r="O620">
        <v>146</v>
      </c>
      <c r="P620">
        <v>154</v>
      </c>
      <c r="Q620">
        <v>146</v>
      </c>
      <c r="S620">
        <v>316</v>
      </c>
      <c r="T620">
        <v>316</v>
      </c>
      <c r="U620">
        <f>+SUM(Table1[[#This Row],[Latinos]:[Cemex]])</f>
        <v>1</v>
      </c>
      <c r="V620" t="str">
        <f>+Table1[[#This Row],[id_destino]]&amp;" - "&amp;Table1[[#This Row],[id_origen]]</f>
        <v>117 - 18</v>
      </c>
    </row>
    <row r="621" spans="1:22" hidden="1">
      <c r="A621">
        <v>4073</v>
      </c>
      <c r="B621">
        <v>1886</v>
      </c>
      <c r="C621">
        <v>5793</v>
      </c>
      <c r="D621">
        <v>4607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 t="s">
        <v>20</v>
      </c>
      <c r="L621" s="1">
        <v>45325</v>
      </c>
      <c r="M621">
        <v>117</v>
      </c>
      <c r="N621">
        <v>18</v>
      </c>
      <c r="O621">
        <v>137</v>
      </c>
      <c r="P621">
        <v>150</v>
      </c>
      <c r="Q621">
        <v>137</v>
      </c>
      <c r="S621">
        <v>0</v>
      </c>
      <c r="T621">
        <v>0</v>
      </c>
      <c r="U621">
        <f>+SUM(Table1[[#This Row],[Latinos]:[Cemex]])</f>
        <v>1</v>
      </c>
      <c r="V621" t="str">
        <f>+Table1[[#This Row],[id_destino]]&amp;" - "&amp;Table1[[#This Row],[id_origen]]</f>
        <v>117 - 18</v>
      </c>
    </row>
    <row r="622" spans="1:22" hidden="1">
      <c r="A622">
        <v>1638</v>
      </c>
      <c r="B622">
        <v>2854</v>
      </c>
      <c r="C622">
        <v>6961</v>
      </c>
      <c r="D622">
        <v>7118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 t="s">
        <v>20</v>
      </c>
      <c r="L622" s="1">
        <v>44887</v>
      </c>
      <c r="M622">
        <v>124</v>
      </c>
      <c r="N622">
        <v>18</v>
      </c>
      <c r="O622">
        <v>378</v>
      </c>
      <c r="P622">
        <v>406</v>
      </c>
      <c r="Q622">
        <v>378</v>
      </c>
      <c r="S622">
        <v>1163</v>
      </c>
      <c r="T622">
        <v>1223</v>
      </c>
      <c r="U622">
        <f>+SUM(Table1[[#This Row],[Latinos]:[Cemex]])</f>
        <v>1</v>
      </c>
      <c r="V622" t="str">
        <f>+Table1[[#This Row],[id_destino]]&amp;" - "&amp;Table1[[#This Row],[id_origen]]</f>
        <v>124 - 18</v>
      </c>
    </row>
    <row r="623" spans="1:22" hidden="1">
      <c r="A623">
        <v>1164</v>
      </c>
      <c r="B623">
        <v>2610</v>
      </c>
      <c r="C623">
        <v>4675</v>
      </c>
      <c r="D623">
        <v>5650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 t="s">
        <v>20</v>
      </c>
      <c r="L623" s="1">
        <v>43325</v>
      </c>
      <c r="M623">
        <v>128</v>
      </c>
      <c r="N623">
        <v>18</v>
      </c>
      <c r="O623">
        <v>896</v>
      </c>
      <c r="P623">
        <v>863</v>
      </c>
      <c r="Q623">
        <v>896</v>
      </c>
      <c r="S623">
        <v>602</v>
      </c>
      <c r="T623">
        <v>602</v>
      </c>
      <c r="U623">
        <f>+SUM(Table1[[#This Row],[Latinos]:[Cemex]])</f>
        <v>1</v>
      </c>
      <c r="V623" t="str">
        <f>+Table1[[#This Row],[id_destino]]&amp;" - "&amp;Table1[[#This Row],[id_origen]]</f>
        <v>128 - 18</v>
      </c>
    </row>
    <row r="624" spans="1:22" hidden="1">
      <c r="A624">
        <v>849</v>
      </c>
      <c r="B624">
        <v>636</v>
      </c>
      <c r="C624">
        <v>4177</v>
      </c>
      <c r="D624">
        <v>47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 t="s">
        <v>20</v>
      </c>
      <c r="L624" s="1">
        <v>43192</v>
      </c>
      <c r="M624">
        <v>129</v>
      </c>
      <c r="N624">
        <v>18</v>
      </c>
      <c r="O624">
        <v>530</v>
      </c>
      <c r="P624">
        <v>530</v>
      </c>
      <c r="Q624">
        <v>530</v>
      </c>
      <c r="S624">
        <v>1105</v>
      </c>
      <c r="T624">
        <v>1174</v>
      </c>
      <c r="U624">
        <f>+SUM(Table1[[#This Row],[Latinos]:[Cemex]])</f>
        <v>1</v>
      </c>
      <c r="V624" t="str">
        <f>+Table1[[#This Row],[id_destino]]&amp;" - "&amp;Table1[[#This Row],[id_origen]]</f>
        <v>129 - 18</v>
      </c>
    </row>
    <row r="625" spans="1:22" hidden="1">
      <c r="A625">
        <v>4561</v>
      </c>
      <c r="B625">
        <v>4753</v>
      </c>
      <c r="C625">
        <v>188</v>
      </c>
      <c r="D625">
        <v>8027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 t="s">
        <v>20</v>
      </c>
      <c r="L625" s="1">
        <v>45618</v>
      </c>
      <c r="M625">
        <v>133</v>
      </c>
      <c r="N625">
        <v>18</v>
      </c>
      <c r="O625">
        <v>314</v>
      </c>
      <c r="P625">
        <v>307</v>
      </c>
      <c r="Q625">
        <v>307</v>
      </c>
      <c r="S625">
        <v>1094</v>
      </c>
      <c r="T625">
        <v>1094</v>
      </c>
      <c r="U625">
        <f>+SUM(Table1[[#This Row],[Latinos]:[Cemex]])</f>
        <v>1</v>
      </c>
      <c r="V625" t="str">
        <f>+Table1[[#This Row],[id_destino]]&amp;" - "&amp;Table1[[#This Row],[id_origen]]</f>
        <v>133 - 18</v>
      </c>
    </row>
    <row r="626" spans="1:22" hidden="1">
      <c r="A626">
        <v>4534</v>
      </c>
      <c r="B626">
        <v>4733</v>
      </c>
      <c r="C626">
        <v>2853</v>
      </c>
      <c r="D626">
        <v>8002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 t="s">
        <v>20</v>
      </c>
      <c r="L626" s="1">
        <v>45605</v>
      </c>
      <c r="M626">
        <v>135</v>
      </c>
      <c r="N626">
        <v>18</v>
      </c>
      <c r="O626">
        <v>308</v>
      </c>
      <c r="P626">
        <v>271</v>
      </c>
      <c r="Q626">
        <v>308</v>
      </c>
      <c r="S626">
        <v>1240</v>
      </c>
      <c r="T626">
        <v>1333</v>
      </c>
      <c r="U626">
        <f>+SUM(Table1[[#This Row],[Latinos]:[Cemex]])</f>
        <v>1</v>
      </c>
      <c r="V626" t="str">
        <f>+Table1[[#This Row],[id_destino]]&amp;" - "&amp;Table1[[#This Row],[id_origen]]</f>
        <v>135 - 18</v>
      </c>
    </row>
    <row r="627" spans="1:22" hidden="1">
      <c r="A627">
        <v>1694</v>
      </c>
      <c r="B627">
        <v>778</v>
      </c>
      <c r="C627">
        <v>188</v>
      </c>
      <c r="D627">
        <v>5879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 t="s">
        <v>20</v>
      </c>
      <c r="L627" s="1">
        <v>43566</v>
      </c>
      <c r="M627">
        <v>136</v>
      </c>
      <c r="N627">
        <v>18</v>
      </c>
      <c r="O627">
        <v>172</v>
      </c>
      <c r="P627">
        <v>178</v>
      </c>
      <c r="Q627">
        <v>172</v>
      </c>
      <c r="S627">
        <v>1461</v>
      </c>
      <c r="T627">
        <v>1461</v>
      </c>
      <c r="U627">
        <f>+SUM(Table1[[#This Row],[Latinos]:[Cemex]])</f>
        <v>1</v>
      </c>
      <c r="V627" t="str">
        <f>+Table1[[#This Row],[id_destino]]&amp;" - "&amp;Table1[[#This Row],[id_origen]]</f>
        <v>136 - 18</v>
      </c>
    </row>
    <row r="628" spans="1:22" hidden="1">
      <c r="A628">
        <v>4768</v>
      </c>
      <c r="B628">
        <v>778</v>
      </c>
      <c r="C628">
        <v>4805</v>
      </c>
      <c r="D628">
        <v>7005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 t="s">
        <v>20</v>
      </c>
      <c r="L628" s="1">
        <v>45798</v>
      </c>
      <c r="M628">
        <v>136</v>
      </c>
      <c r="N628">
        <v>18</v>
      </c>
      <c r="O628">
        <v>177</v>
      </c>
      <c r="P628">
        <v>177</v>
      </c>
      <c r="Q628">
        <v>177</v>
      </c>
      <c r="S628">
        <v>1407</v>
      </c>
      <c r="T628">
        <v>1407</v>
      </c>
      <c r="U628">
        <f>+SUM(Table1[[#This Row],[Latinos]:[Cemex]])</f>
        <v>1</v>
      </c>
      <c r="V628" t="str">
        <f>+Table1[[#This Row],[id_destino]]&amp;" - "&amp;Table1[[#This Row],[id_origen]]</f>
        <v>136 - 18</v>
      </c>
    </row>
    <row r="629" spans="1:22" hidden="1">
      <c r="A629">
        <v>2409</v>
      </c>
      <c r="B629">
        <v>3325</v>
      </c>
      <c r="C629">
        <v>5691</v>
      </c>
      <c r="D629">
        <v>2043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 t="s">
        <v>20</v>
      </c>
      <c r="L629" s="1">
        <v>44053</v>
      </c>
      <c r="M629">
        <v>138</v>
      </c>
      <c r="N629">
        <v>18</v>
      </c>
      <c r="O629">
        <v>764</v>
      </c>
      <c r="P629">
        <v>760</v>
      </c>
      <c r="Q629">
        <v>764</v>
      </c>
      <c r="S629">
        <v>2892</v>
      </c>
      <c r="T629">
        <v>2892</v>
      </c>
      <c r="U629">
        <f>+SUM(Table1[[#This Row],[Latinos]:[Cemex]])</f>
        <v>1</v>
      </c>
      <c r="V629" t="str">
        <f>+Table1[[#This Row],[id_destino]]&amp;" - "&amp;Table1[[#This Row],[id_origen]]</f>
        <v>138 - 18</v>
      </c>
    </row>
    <row r="630" spans="1:22" hidden="1">
      <c r="A630">
        <v>2476</v>
      </c>
      <c r="B630">
        <v>3325</v>
      </c>
      <c r="C630">
        <v>19</v>
      </c>
      <c r="D630">
        <v>2043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 t="s">
        <v>20</v>
      </c>
      <c r="L630" s="1">
        <v>44110</v>
      </c>
      <c r="M630">
        <v>138</v>
      </c>
      <c r="N630">
        <v>18</v>
      </c>
      <c r="O630">
        <v>774</v>
      </c>
      <c r="P630">
        <v>772</v>
      </c>
      <c r="Q630">
        <v>774</v>
      </c>
      <c r="S630">
        <v>1942</v>
      </c>
      <c r="T630">
        <v>2016</v>
      </c>
      <c r="U630">
        <f>+SUM(Table1[[#This Row],[Latinos]:[Cemex]])</f>
        <v>1</v>
      </c>
      <c r="V630" t="str">
        <f>+Table1[[#This Row],[id_destino]]&amp;" - "&amp;Table1[[#This Row],[id_origen]]</f>
        <v>138 - 18</v>
      </c>
    </row>
    <row r="631" spans="1:22" hidden="1">
      <c r="A631">
        <v>4548</v>
      </c>
      <c r="B631">
        <v>4743</v>
      </c>
      <c r="C631">
        <v>2853</v>
      </c>
      <c r="D631">
        <v>8016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 t="s">
        <v>20</v>
      </c>
      <c r="L631" s="1">
        <v>45611</v>
      </c>
      <c r="M631">
        <v>142</v>
      </c>
      <c r="N631">
        <v>18</v>
      </c>
      <c r="O631">
        <v>365</v>
      </c>
      <c r="P631">
        <v>361</v>
      </c>
      <c r="Q631">
        <v>365</v>
      </c>
      <c r="S631">
        <v>1745</v>
      </c>
      <c r="T631">
        <v>1838</v>
      </c>
      <c r="U631">
        <f>+SUM(Table1[[#This Row],[Latinos]:[Cemex]])</f>
        <v>1</v>
      </c>
      <c r="V631" t="str">
        <f>+Table1[[#This Row],[id_destino]]&amp;" - "&amp;Table1[[#This Row],[id_origen]]</f>
        <v>142 - 18</v>
      </c>
    </row>
    <row r="632" spans="1:22" hidden="1">
      <c r="A632">
        <v>1868</v>
      </c>
      <c r="B632">
        <v>1222</v>
      </c>
      <c r="C632">
        <v>5691</v>
      </c>
      <c r="D632">
        <v>764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 t="s">
        <v>20</v>
      </c>
      <c r="L632" s="1">
        <v>43676</v>
      </c>
      <c r="M632">
        <v>144</v>
      </c>
      <c r="N632">
        <v>18</v>
      </c>
      <c r="O632">
        <v>181</v>
      </c>
      <c r="P632">
        <v>150</v>
      </c>
      <c r="Q632">
        <v>181</v>
      </c>
      <c r="S632">
        <v>429</v>
      </c>
      <c r="T632">
        <v>429</v>
      </c>
      <c r="U632">
        <f>+SUM(Table1[[#This Row],[Latinos]:[Cemex]])</f>
        <v>1</v>
      </c>
      <c r="V632" t="str">
        <f>+Table1[[#This Row],[id_destino]]&amp;" - "&amp;Table1[[#This Row],[id_origen]]</f>
        <v>144 - 18</v>
      </c>
    </row>
    <row r="633" spans="1:22" hidden="1">
      <c r="A633">
        <v>4845</v>
      </c>
      <c r="B633">
        <v>4950</v>
      </c>
      <c r="C633">
        <v>4177</v>
      </c>
      <c r="D633">
        <v>8295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 t="s">
        <v>20</v>
      </c>
      <c r="L633" s="1">
        <v>45887</v>
      </c>
      <c r="M633">
        <v>145</v>
      </c>
      <c r="N633">
        <v>18</v>
      </c>
      <c r="O633">
        <v>711</v>
      </c>
      <c r="P633">
        <v>711</v>
      </c>
      <c r="Q633">
        <v>711</v>
      </c>
      <c r="S633">
        <v>3071</v>
      </c>
      <c r="T633">
        <v>3071</v>
      </c>
      <c r="U633">
        <f>+SUM(Table1[[#This Row],[Latinos]:[Cemex]])</f>
        <v>1</v>
      </c>
      <c r="V633" t="str">
        <f>+Table1[[#This Row],[id_destino]]&amp;" - "&amp;Table1[[#This Row],[id_origen]]</f>
        <v>145 - 18</v>
      </c>
    </row>
    <row r="634" spans="1:22" hidden="1">
      <c r="A634">
        <v>2236</v>
      </c>
      <c r="B634">
        <v>3221</v>
      </c>
      <c r="C634">
        <v>6006</v>
      </c>
      <c r="D634">
        <v>1645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 t="s">
        <v>20</v>
      </c>
      <c r="L634" s="1">
        <v>43872</v>
      </c>
      <c r="M634">
        <v>148</v>
      </c>
      <c r="N634">
        <v>18</v>
      </c>
      <c r="O634">
        <v>567</v>
      </c>
      <c r="P634">
        <v>589</v>
      </c>
      <c r="Q634">
        <v>567</v>
      </c>
      <c r="S634">
        <v>1234</v>
      </c>
      <c r="T634">
        <v>1234</v>
      </c>
      <c r="U634">
        <f>+SUM(Table1[[#This Row],[Latinos]:[Cemex]])</f>
        <v>1</v>
      </c>
      <c r="V634" t="str">
        <f>+Table1[[#This Row],[id_destino]]&amp;" - "&amp;Table1[[#This Row],[id_origen]]</f>
        <v>148 - 18</v>
      </c>
    </row>
    <row r="635" spans="1:22" hidden="1">
      <c r="A635">
        <v>4461</v>
      </c>
      <c r="B635">
        <v>4676</v>
      </c>
      <c r="C635">
        <v>2853</v>
      </c>
      <c r="D635">
        <v>1587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 t="s">
        <v>20</v>
      </c>
      <c r="L635" s="1">
        <v>45562</v>
      </c>
      <c r="M635">
        <v>149</v>
      </c>
      <c r="N635">
        <v>18</v>
      </c>
      <c r="O635">
        <v>454</v>
      </c>
      <c r="P635">
        <v>454</v>
      </c>
      <c r="Q635">
        <v>454</v>
      </c>
      <c r="S635">
        <v>1965</v>
      </c>
      <c r="T635">
        <v>1965</v>
      </c>
      <c r="U635">
        <f>+SUM(Table1[[#This Row],[Latinos]:[Cemex]])</f>
        <v>1</v>
      </c>
      <c r="V635" t="str">
        <f>+Table1[[#This Row],[id_destino]]&amp;" - "&amp;Table1[[#This Row],[id_origen]]</f>
        <v>149 - 18</v>
      </c>
    </row>
    <row r="636" spans="1:22" hidden="1">
      <c r="A636">
        <v>4486</v>
      </c>
      <c r="B636">
        <v>4696</v>
      </c>
      <c r="C636">
        <v>2853</v>
      </c>
      <c r="D636">
        <v>7960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 t="s">
        <v>20</v>
      </c>
      <c r="L636" s="1">
        <v>45580</v>
      </c>
      <c r="M636">
        <v>160</v>
      </c>
      <c r="N636">
        <v>18</v>
      </c>
      <c r="O636">
        <v>457</v>
      </c>
      <c r="P636">
        <v>454</v>
      </c>
      <c r="Q636">
        <v>457</v>
      </c>
      <c r="S636">
        <v>1814</v>
      </c>
      <c r="T636">
        <v>1814</v>
      </c>
      <c r="U636">
        <f>+SUM(Table1[[#This Row],[Latinos]:[Cemex]])</f>
        <v>1</v>
      </c>
      <c r="V636" t="str">
        <f>+Table1[[#This Row],[id_destino]]&amp;" - "&amp;Table1[[#This Row],[id_origen]]</f>
        <v>160 - 18</v>
      </c>
    </row>
    <row r="637" spans="1:22" hidden="1">
      <c r="A637">
        <v>4427</v>
      </c>
      <c r="B637">
        <v>4651</v>
      </c>
      <c r="C637">
        <v>2853</v>
      </c>
      <c r="D637">
        <v>7893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 t="s">
        <v>20</v>
      </c>
      <c r="L637" s="1">
        <v>45533</v>
      </c>
      <c r="M637">
        <v>162</v>
      </c>
      <c r="N637">
        <v>18</v>
      </c>
      <c r="O637">
        <v>298</v>
      </c>
      <c r="P637">
        <v>437</v>
      </c>
      <c r="Q637">
        <v>298</v>
      </c>
      <c r="S637">
        <v>1318</v>
      </c>
      <c r="T637">
        <v>1427</v>
      </c>
      <c r="U637">
        <f>+SUM(Table1[[#This Row],[Latinos]:[Cemex]])</f>
        <v>1</v>
      </c>
      <c r="V637" t="str">
        <f>+Table1[[#This Row],[id_destino]]&amp;" - "&amp;Table1[[#This Row],[id_origen]]</f>
        <v>162 - 18</v>
      </c>
    </row>
    <row r="638" spans="1:22" hidden="1">
      <c r="A638">
        <v>1711</v>
      </c>
      <c r="B638">
        <v>2898</v>
      </c>
      <c r="C638">
        <v>188</v>
      </c>
      <c r="D638">
        <v>5889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 t="s">
        <v>20</v>
      </c>
      <c r="L638" s="1">
        <v>43571</v>
      </c>
      <c r="M638">
        <v>167</v>
      </c>
      <c r="N638">
        <v>18</v>
      </c>
      <c r="O638">
        <v>622</v>
      </c>
      <c r="P638">
        <v>629</v>
      </c>
      <c r="Q638">
        <v>622</v>
      </c>
      <c r="S638">
        <v>2708</v>
      </c>
      <c r="T638">
        <v>2708</v>
      </c>
      <c r="U638">
        <f>+SUM(Table1[[#This Row],[Latinos]:[Cemex]])</f>
        <v>1</v>
      </c>
      <c r="V638" t="str">
        <f>+Table1[[#This Row],[id_destino]]&amp;" - "&amp;Table1[[#This Row],[id_origen]]</f>
        <v>167 - 18</v>
      </c>
    </row>
    <row r="639" spans="1:22" hidden="1">
      <c r="A639">
        <v>910</v>
      </c>
      <c r="B639">
        <v>1153</v>
      </c>
      <c r="C639">
        <v>4050</v>
      </c>
      <c r="D639">
        <v>12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 t="s">
        <v>20</v>
      </c>
      <c r="L639" s="1">
        <v>43210</v>
      </c>
      <c r="M639">
        <v>169</v>
      </c>
      <c r="N639">
        <v>18</v>
      </c>
      <c r="O639">
        <v>342</v>
      </c>
      <c r="P639">
        <v>340</v>
      </c>
      <c r="Q639">
        <v>342</v>
      </c>
      <c r="S639">
        <v>653</v>
      </c>
      <c r="T639">
        <v>653</v>
      </c>
      <c r="U639">
        <f>+SUM(Table1[[#This Row],[Latinos]:[Cemex]])</f>
        <v>1</v>
      </c>
      <c r="V639" t="str">
        <f>+Table1[[#This Row],[id_destino]]&amp;" - "&amp;Table1[[#This Row],[id_origen]]</f>
        <v>169 - 18</v>
      </c>
    </row>
    <row r="640" spans="1:22" hidden="1">
      <c r="A640">
        <v>2185</v>
      </c>
      <c r="B640">
        <v>1153</v>
      </c>
      <c r="C640">
        <v>19</v>
      </c>
      <c r="D640">
        <v>6243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 t="s">
        <v>20</v>
      </c>
      <c r="L640" s="1">
        <v>43846</v>
      </c>
      <c r="M640">
        <v>169</v>
      </c>
      <c r="N640">
        <v>18</v>
      </c>
      <c r="O640">
        <v>337</v>
      </c>
      <c r="P640">
        <v>340</v>
      </c>
      <c r="Q640">
        <v>337</v>
      </c>
      <c r="S640">
        <v>688</v>
      </c>
      <c r="T640">
        <v>688</v>
      </c>
      <c r="U640">
        <f>+SUM(Table1[[#This Row],[Latinos]:[Cemex]])</f>
        <v>1</v>
      </c>
      <c r="V640" t="str">
        <f>+Table1[[#This Row],[id_destino]]&amp;" - "&amp;Table1[[#This Row],[id_origen]]</f>
        <v>169 - 18</v>
      </c>
    </row>
    <row r="641" spans="1:22" hidden="1">
      <c r="A641">
        <v>1686</v>
      </c>
      <c r="B641">
        <v>1304</v>
      </c>
      <c r="C641">
        <v>188</v>
      </c>
      <c r="D641">
        <v>1307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 t="s">
        <v>20</v>
      </c>
      <c r="L641" s="1">
        <v>43564</v>
      </c>
      <c r="M641">
        <v>179</v>
      </c>
      <c r="N641">
        <v>18</v>
      </c>
      <c r="O641">
        <v>1864</v>
      </c>
      <c r="P641">
        <v>1853</v>
      </c>
      <c r="Q641">
        <v>1864</v>
      </c>
      <c r="S641">
        <v>6550</v>
      </c>
      <c r="T641">
        <v>6662</v>
      </c>
      <c r="U641">
        <f>+SUM(Table1[[#This Row],[Latinos]:[Cemex]])</f>
        <v>1</v>
      </c>
      <c r="V641" t="str">
        <f>+Table1[[#This Row],[id_destino]]&amp;" - "&amp;Table1[[#This Row],[id_origen]]</f>
        <v>179 - 18</v>
      </c>
    </row>
    <row r="642" spans="1:22" hidden="1">
      <c r="A642">
        <v>950</v>
      </c>
      <c r="B642">
        <v>2080</v>
      </c>
      <c r="C642">
        <v>19</v>
      </c>
      <c r="D642">
        <v>5557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 t="s">
        <v>20</v>
      </c>
      <c r="L642" s="1">
        <v>43224</v>
      </c>
      <c r="M642">
        <v>184</v>
      </c>
      <c r="N642">
        <v>18</v>
      </c>
      <c r="O642">
        <v>30</v>
      </c>
      <c r="P642">
        <v>150</v>
      </c>
      <c r="Q642">
        <v>30</v>
      </c>
      <c r="S642">
        <v>0</v>
      </c>
      <c r="T642">
        <v>0</v>
      </c>
      <c r="U642">
        <f>+SUM(Table1[[#This Row],[Latinos]:[Cemex]])</f>
        <v>1</v>
      </c>
      <c r="V642" t="str">
        <f>+Table1[[#This Row],[id_destino]]&amp;" - "&amp;Table1[[#This Row],[id_origen]]</f>
        <v>184 - 18</v>
      </c>
    </row>
    <row r="643" spans="1:22" hidden="1">
      <c r="A643">
        <v>1808</v>
      </c>
      <c r="B643">
        <v>2948</v>
      </c>
      <c r="C643">
        <v>19</v>
      </c>
      <c r="D643">
        <v>5949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 t="s">
        <v>20</v>
      </c>
      <c r="L643" s="1">
        <v>43641</v>
      </c>
      <c r="M643">
        <v>185</v>
      </c>
      <c r="N643">
        <v>18</v>
      </c>
      <c r="O643">
        <v>20</v>
      </c>
      <c r="P643">
        <v>150</v>
      </c>
      <c r="Q643">
        <v>20</v>
      </c>
      <c r="S643">
        <v>0</v>
      </c>
      <c r="T643">
        <v>0</v>
      </c>
      <c r="U643">
        <f>+SUM(Table1[[#This Row],[Latinos]:[Cemex]])</f>
        <v>1</v>
      </c>
      <c r="V643" t="str">
        <f>+Table1[[#This Row],[id_destino]]&amp;" - "&amp;Table1[[#This Row],[id_origen]]</f>
        <v>185 - 18</v>
      </c>
    </row>
    <row r="644" spans="1:22" hidden="1">
      <c r="A644">
        <v>936</v>
      </c>
      <c r="B644">
        <v>1998</v>
      </c>
      <c r="C644">
        <v>188</v>
      </c>
      <c r="D644">
        <v>5067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 t="s">
        <v>20</v>
      </c>
      <c r="L644" s="1">
        <v>43218</v>
      </c>
      <c r="M644">
        <v>188</v>
      </c>
      <c r="N644">
        <v>18</v>
      </c>
      <c r="O644">
        <v>86</v>
      </c>
      <c r="P644">
        <v>150</v>
      </c>
      <c r="Q644">
        <v>86</v>
      </c>
      <c r="S644">
        <v>281</v>
      </c>
      <c r="T644">
        <v>333</v>
      </c>
      <c r="U644">
        <f>+SUM(Table1[[#This Row],[Latinos]:[Cemex]])</f>
        <v>1</v>
      </c>
      <c r="V644" t="str">
        <f>+Table1[[#This Row],[id_destino]]&amp;" - "&amp;Table1[[#This Row],[id_origen]]</f>
        <v>188 - 18</v>
      </c>
    </row>
    <row r="645" spans="1:22" hidden="1">
      <c r="A645">
        <v>2218</v>
      </c>
      <c r="B645">
        <v>3207</v>
      </c>
      <c r="C645">
        <v>19</v>
      </c>
      <c r="D645">
        <v>5958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 t="s">
        <v>20</v>
      </c>
      <c r="L645" s="1">
        <v>43860</v>
      </c>
      <c r="M645">
        <v>188</v>
      </c>
      <c r="N645">
        <v>18</v>
      </c>
      <c r="O645">
        <v>101</v>
      </c>
      <c r="P645">
        <v>150</v>
      </c>
      <c r="Q645">
        <v>101</v>
      </c>
      <c r="S645">
        <v>287</v>
      </c>
      <c r="T645">
        <v>339</v>
      </c>
      <c r="U645">
        <f>+SUM(Table1[[#This Row],[Latinos]:[Cemex]])</f>
        <v>1</v>
      </c>
      <c r="V645" t="str">
        <f>+Table1[[#This Row],[id_destino]]&amp;" - "&amp;Table1[[#This Row],[id_origen]]</f>
        <v>188 - 18</v>
      </c>
    </row>
    <row r="646" spans="1:22" hidden="1">
      <c r="A646">
        <v>1668</v>
      </c>
      <c r="B646">
        <v>2876</v>
      </c>
      <c r="C646">
        <v>4177</v>
      </c>
      <c r="D646">
        <v>1302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 t="s">
        <v>20</v>
      </c>
      <c r="L646" s="1">
        <v>43556</v>
      </c>
      <c r="M646">
        <v>189</v>
      </c>
      <c r="N646">
        <v>18</v>
      </c>
      <c r="O646">
        <v>1149</v>
      </c>
      <c r="P646">
        <v>1129</v>
      </c>
      <c r="Q646">
        <v>1149</v>
      </c>
      <c r="S646">
        <v>2930</v>
      </c>
      <c r="T646">
        <v>2930</v>
      </c>
      <c r="U646">
        <f>+SUM(Table1[[#This Row],[Latinos]:[Cemex]])</f>
        <v>1</v>
      </c>
      <c r="V646" t="str">
        <f>+Table1[[#This Row],[id_destino]]&amp;" - "&amp;Table1[[#This Row],[id_origen]]</f>
        <v>189 - 18</v>
      </c>
    </row>
    <row r="647" spans="1:22" hidden="1">
      <c r="A647">
        <v>4506</v>
      </c>
      <c r="B647">
        <v>4711</v>
      </c>
      <c r="C647">
        <v>2853</v>
      </c>
      <c r="D647">
        <v>7977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 t="s">
        <v>20</v>
      </c>
      <c r="L647" s="1">
        <v>45591</v>
      </c>
      <c r="M647">
        <v>190</v>
      </c>
      <c r="N647">
        <v>18</v>
      </c>
      <c r="O647">
        <v>696</v>
      </c>
      <c r="P647">
        <v>682</v>
      </c>
      <c r="Q647">
        <v>696</v>
      </c>
      <c r="S647">
        <v>1028</v>
      </c>
      <c r="T647">
        <v>1057</v>
      </c>
      <c r="U647">
        <f>+SUM(Table1[[#This Row],[Latinos]:[Cemex]])</f>
        <v>1</v>
      </c>
      <c r="V647" t="str">
        <f>+Table1[[#This Row],[id_destino]]&amp;" - "&amp;Table1[[#This Row],[id_origen]]</f>
        <v>190 - 18</v>
      </c>
    </row>
    <row r="648" spans="1:22" hidden="1">
      <c r="A648">
        <v>4490</v>
      </c>
      <c r="B648">
        <v>4698</v>
      </c>
      <c r="C648">
        <v>2853</v>
      </c>
      <c r="D648">
        <v>7963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 t="s">
        <v>20</v>
      </c>
      <c r="L648" s="1">
        <v>45582</v>
      </c>
      <c r="M648">
        <v>211</v>
      </c>
      <c r="N648">
        <v>18</v>
      </c>
      <c r="O648">
        <v>328</v>
      </c>
      <c r="P648">
        <v>323</v>
      </c>
      <c r="Q648">
        <v>328</v>
      </c>
      <c r="S648">
        <v>1437</v>
      </c>
      <c r="T648">
        <v>1437</v>
      </c>
      <c r="U648">
        <f>+SUM(Table1[[#This Row],[Latinos]:[Cemex]])</f>
        <v>1</v>
      </c>
      <c r="V648" t="str">
        <f>+Table1[[#This Row],[id_destino]]&amp;" - "&amp;Table1[[#This Row],[id_origen]]</f>
        <v>211 - 18</v>
      </c>
    </row>
    <row r="649" spans="1:22" hidden="1">
      <c r="A649">
        <v>4382</v>
      </c>
      <c r="B649">
        <v>4614</v>
      </c>
      <c r="C649">
        <v>5691</v>
      </c>
      <c r="D649">
        <v>6704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 t="s">
        <v>20</v>
      </c>
      <c r="L649" s="1">
        <v>45505</v>
      </c>
      <c r="M649">
        <v>212</v>
      </c>
      <c r="N649">
        <v>18</v>
      </c>
      <c r="O649">
        <v>294</v>
      </c>
      <c r="P649">
        <v>306</v>
      </c>
      <c r="Q649">
        <v>294</v>
      </c>
      <c r="S649">
        <v>2059</v>
      </c>
      <c r="T649">
        <v>2073</v>
      </c>
      <c r="U649">
        <f>+SUM(Table1[[#This Row],[Latinos]:[Cemex]])</f>
        <v>1</v>
      </c>
      <c r="V649" t="str">
        <f>+Table1[[#This Row],[id_destino]]&amp;" - "&amp;Table1[[#This Row],[id_origen]]</f>
        <v>212 - 18</v>
      </c>
    </row>
    <row r="650" spans="1:22" hidden="1">
      <c r="A650">
        <v>4471</v>
      </c>
      <c r="B650">
        <v>4682</v>
      </c>
      <c r="C650">
        <v>188</v>
      </c>
      <c r="D650">
        <v>7941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 t="s">
        <v>20</v>
      </c>
      <c r="L650" s="1">
        <v>45570</v>
      </c>
      <c r="M650">
        <v>219</v>
      </c>
      <c r="N650">
        <v>18</v>
      </c>
      <c r="O650">
        <v>396</v>
      </c>
      <c r="P650">
        <v>391</v>
      </c>
      <c r="Q650">
        <v>396</v>
      </c>
      <c r="S650">
        <v>1505</v>
      </c>
      <c r="T650">
        <v>1603</v>
      </c>
      <c r="U650">
        <f>+SUM(Table1[[#This Row],[Latinos]:[Cemex]])</f>
        <v>1</v>
      </c>
      <c r="V650" t="str">
        <f>+Table1[[#This Row],[id_destino]]&amp;" - "&amp;Table1[[#This Row],[id_origen]]</f>
        <v>219 - 18</v>
      </c>
    </row>
    <row r="651" spans="1:22" hidden="1">
      <c r="A651">
        <v>4564</v>
      </c>
      <c r="B651">
        <v>4756</v>
      </c>
      <c r="C651">
        <v>188</v>
      </c>
      <c r="D651">
        <v>8032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 t="s">
        <v>20</v>
      </c>
      <c r="L651" s="1">
        <v>45621</v>
      </c>
      <c r="M651">
        <v>224</v>
      </c>
      <c r="N651">
        <v>18</v>
      </c>
      <c r="O651">
        <v>484</v>
      </c>
      <c r="P651">
        <v>638</v>
      </c>
      <c r="Q651">
        <v>484</v>
      </c>
      <c r="S651">
        <v>1595</v>
      </c>
      <c r="T651">
        <v>1595</v>
      </c>
      <c r="U651">
        <f>+SUM(Table1[[#This Row],[Latinos]:[Cemex]])</f>
        <v>1</v>
      </c>
      <c r="V651" t="str">
        <f>+Table1[[#This Row],[id_destino]]&amp;" - "&amp;Table1[[#This Row],[id_origen]]</f>
        <v>224 - 18</v>
      </c>
    </row>
    <row r="652" spans="1:22" hidden="1">
      <c r="A652">
        <v>1173</v>
      </c>
      <c r="B652">
        <v>649</v>
      </c>
      <c r="C652">
        <v>4211</v>
      </c>
      <c r="D652">
        <v>135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 t="s">
        <v>20</v>
      </c>
      <c r="L652" s="1">
        <v>43329</v>
      </c>
      <c r="M652">
        <v>227</v>
      </c>
      <c r="N652">
        <v>18</v>
      </c>
      <c r="O652">
        <v>107</v>
      </c>
      <c r="P652">
        <v>150</v>
      </c>
      <c r="Q652">
        <v>107</v>
      </c>
      <c r="S652">
        <v>723</v>
      </c>
      <c r="T652">
        <v>723</v>
      </c>
      <c r="U652">
        <f>+SUM(Table1[[#This Row],[Latinos]:[Cemex]])</f>
        <v>1</v>
      </c>
      <c r="V652" t="str">
        <f>+Table1[[#This Row],[id_destino]]&amp;" - "&amp;Table1[[#This Row],[id_origen]]</f>
        <v>227 - 18</v>
      </c>
    </row>
    <row r="653" spans="1:22" hidden="1">
      <c r="A653">
        <v>4443</v>
      </c>
      <c r="B653">
        <v>4662</v>
      </c>
      <c r="C653">
        <v>2853</v>
      </c>
      <c r="D653">
        <v>7910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 t="s">
        <v>20</v>
      </c>
      <c r="L653" s="1">
        <v>45544</v>
      </c>
      <c r="M653">
        <v>228</v>
      </c>
      <c r="N653">
        <v>18</v>
      </c>
      <c r="O653">
        <v>164</v>
      </c>
      <c r="P653">
        <v>172</v>
      </c>
      <c r="Q653">
        <v>164</v>
      </c>
      <c r="S653">
        <v>0</v>
      </c>
      <c r="T653">
        <v>0</v>
      </c>
      <c r="U653">
        <f>+SUM(Table1[[#This Row],[Latinos]:[Cemex]])</f>
        <v>1</v>
      </c>
      <c r="V653" t="str">
        <f>+Table1[[#This Row],[id_destino]]&amp;" - "&amp;Table1[[#This Row],[id_origen]]</f>
        <v>228 - 18</v>
      </c>
    </row>
    <row r="654" spans="1:22" hidden="1">
      <c r="A654">
        <v>4533</v>
      </c>
      <c r="B654">
        <v>4732</v>
      </c>
      <c r="C654">
        <v>2853</v>
      </c>
      <c r="D654">
        <v>8001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 t="s">
        <v>20</v>
      </c>
      <c r="L654" s="1">
        <v>45605</v>
      </c>
      <c r="M654">
        <v>230</v>
      </c>
      <c r="N654">
        <v>18</v>
      </c>
      <c r="O654">
        <v>675</v>
      </c>
      <c r="P654">
        <v>604</v>
      </c>
      <c r="Q654">
        <v>675</v>
      </c>
      <c r="S654">
        <v>2282</v>
      </c>
      <c r="T654">
        <v>2375</v>
      </c>
      <c r="U654">
        <f>+SUM(Table1[[#This Row],[Latinos]:[Cemex]])</f>
        <v>1</v>
      </c>
      <c r="V654" t="str">
        <f>+Table1[[#This Row],[id_destino]]&amp;" - "&amp;Table1[[#This Row],[id_origen]]</f>
        <v>230 - 18</v>
      </c>
    </row>
    <row r="655" spans="1:22" hidden="1">
      <c r="A655">
        <v>3997</v>
      </c>
      <c r="B655">
        <v>4344</v>
      </c>
      <c r="C655">
        <v>5691</v>
      </c>
      <c r="D655">
        <v>7525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 t="s">
        <v>20</v>
      </c>
      <c r="L655" s="1">
        <v>45227</v>
      </c>
      <c r="M655">
        <v>233</v>
      </c>
      <c r="N655">
        <v>18</v>
      </c>
      <c r="O655">
        <v>123</v>
      </c>
      <c r="P655">
        <v>150</v>
      </c>
      <c r="Q655">
        <v>123</v>
      </c>
      <c r="S655">
        <v>581</v>
      </c>
      <c r="T655">
        <v>674</v>
      </c>
      <c r="U655">
        <f>+SUM(Table1[[#This Row],[Latinos]:[Cemex]])</f>
        <v>1</v>
      </c>
      <c r="V655" t="str">
        <f>+Table1[[#This Row],[id_destino]]&amp;" - "&amp;Table1[[#This Row],[id_origen]]</f>
        <v>233 - 18</v>
      </c>
    </row>
    <row r="656" spans="1:22" hidden="1">
      <c r="A656">
        <v>2859</v>
      </c>
      <c r="B656">
        <v>3613</v>
      </c>
      <c r="C656">
        <v>19</v>
      </c>
      <c r="D656">
        <v>6751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 t="s">
        <v>20</v>
      </c>
      <c r="L656" s="1">
        <v>44557</v>
      </c>
      <c r="M656">
        <v>251</v>
      </c>
      <c r="N656">
        <v>18</v>
      </c>
      <c r="O656">
        <v>106</v>
      </c>
      <c r="P656">
        <v>150</v>
      </c>
      <c r="Q656">
        <v>106</v>
      </c>
      <c r="S656">
        <v>0</v>
      </c>
      <c r="T656">
        <v>0</v>
      </c>
      <c r="U656">
        <f>+SUM(Table1[[#This Row],[Latinos]:[Cemex]])</f>
        <v>1</v>
      </c>
      <c r="V656" t="str">
        <f>+Table1[[#This Row],[id_destino]]&amp;" - "&amp;Table1[[#This Row],[id_origen]]</f>
        <v>251 - 18</v>
      </c>
    </row>
    <row r="657" spans="1:22" hidden="1">
      <c r="A657">
        <v>571</v>
      </c>
      <c r="B657">
        <v>1354</v>
      </c>
      <c r="C657">
        <v>19</v>
      </c>
      <c r="D657">
        <v>5410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 t="s">
        <v>20</v>
      </c>
      <c r="L657" s="1">
        <v>43104</v>
      </c>
      <c r="M657">
        <v>254</v>
      </c>
      <c r="N657">
        <v>18</v>
      </c>
      <c r="O657">
        <v>30</v>
      </c>
      <c r="P657">
        <v>150</v>
      </c>
      <c r="Q657">
        <v>30</v>
      </c>
      <c r="S657">
        <v>0</v>
      </c>
      <c r="T657">
        <v>0</v>
      </c>
      <c r="U657">
        <f>+SUM(Table1[[#This Row],[Latinos]:[Cemex]])</f>
        <v>1</v>
      </c>
      <c r="V657" t="str">
        <f>+Table1[[#This Row],[id_destino]]&amp;" - "&amp;Table1[[#This Row],[id_origen]]</f>
        <v>254 - 18</v>
      </c>
    </row>
    <row r="658" spans="1:22" hidden="1">
      <c r="A658">
        <v>3808</v>
      </c>
      <c r="B658">
        <v>2137</v>
      </c>
      <c r="C658">
        <v>4805</v>
      </c>
      <c r="D658">
        <v>7397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 t="s">
        <v>20</v>
      </c>
      <c r="L658" s="1">
        <v>45105</v>
      </c>
      <c r="M658">
        <v>259</v>
      </c>
      <c r="N658">
        <v>18</v>
      </c>
      <c r="O658">
        <v>94</v>
      </c>
      <c r="P658">
        <v>150</v>
      </c>
      <c r="Q658">
        <v>94</v>
      </c>
      <c r="S658">
        <v>590</v>
      </c>
      <c r="T658">
        <v>676</v>
      </c>
      <c r="U658">
        <f>+SUM(Table1[[#This Row],[Latinos]:[Cemex]])</f>
        <v>1</v>
      </c>
      <c r="V658" t="str">
        <f>+Table1[[#This Row],[id_destino]]&amp;" - "&amp;Table1[[#This Row],[id_origen]]</f>
        <v>259 - 18</v>
      </c>
    </row>
    <row r="659" spans="1:22" hidden="1">
      <c r="A659">
        <v>4537</v>
      </c>
      <c r="B659">
        <v>4735</v>
      </c>
      <c r="C659">
        <v>7813</v>
      </c>
      <c r="D659">
        <v>664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 t="s">
        <v>20</v>
      </c>
      <c r="L659" s="1">
        <v>45607</v>
      </c>
      <c r="M659">
        <v>268</v>
      </c>
      <c r="N659">
        <v>18</v>
      </c>
      <c r="O659">
        <v>796</v>
      </c>
      <c r="P659">
        <v>789</v>
      </c>
      <c r="Q659">
        <v>796</v>
      </c>
      <c r="S659">
        <v>2866</v>
      </c>
      <c r="T659">
        <v>2866</v>
      </c>
      <c r="U659">
        <f>+SUM(Table1[[#This Row],[Latinos]:[Cemex]])</f>
        <v>1</v>
      </c>
      <c r="V659" t="str">
        <f>+Table1[[#This Row],[id_destino]]&amp;" - "&amp;Table1[[#This Row],[id_origen]]</f>
        <v>268 - 18</v>
      </c>
    </row>
    <row r="660" spans="1:22" hidden="1">
      <c r="A660">
        <v>831</v>
      </c>
      <c r="B660">
        <v>2471</v>
      </c>
      <c r="C660">
        <v>759</v>
      </c>
      <c r="D660">
        <v>5361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 t="s">
        <v>20</v>
      </c>
      <c r="L660" s="1">
        <v>45820</v>
      </c>
      <c r="M660">
        <v>276</v>
      </c>
      <c r="N660">
        <v>18</v>
      </c>
      <c r="O660">
        <v>66</v>
      </c>
      <c r="P660">
        <v>66</v>
      </c>
      <c r="Q660">
        <v>150</v>
      </c>
      <c r="S660">
        <v>144</v>
      </c>
      <c r="T660">
        <v>144</v>
      </c>
      <c r="U660">
        <f>+SUM(Table1[[#This Row],[Latinos]:[Cemex]])</f>
        <v>1</v>
      </c>
      <c r="V660" t="str">
        <f>+Table1[[#This Row],[id_destino]]&amp;" - "&amp;Table1[[#This Row],[id_origen]]</f>
        <v>276 - 18</v>
      </c>
    </row>
    <row r="661" spans="1:22" hidden="1">
      <c r="A661">
        <v>4413</v>
      </c>
      <c r="B661">
        <v>4638</v>
      </c>
      <c r="C661">
        <v>2853</v>
      </c>
      <c r="D661">
        <v>2356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 t="s">
        <v>20</v>
      </c>
      <c r="L661" s="1">
        <v>45530</v>
      </c>
      <c r="M661">
        <v>278</v>
      </c>
      <c r="N661">
        <v>18</v>
      </c>
      <c r="O661">
        <v>452</v>
      </c>
      <c r="P661">
        <v>453</v>
      </c>
      <c r="Q661">
        <v>452</v>
      </c>
      <c r="S661">
        <v>2253</v>
      </c>
      <c r="T661">
        <v>2253</v>
      </c>
      <c r="U661">
        <f>+SUM(Table1[[#This Row],[Latinos]:[Cemex]])</f>
        <v>1</v>
      </c>
      <c r="V661" t="str">
        <f>+Table1[[#This Row],[id_destino]]&amp;" - "&amp;Table1[[#This Row],[id_origen]]</f>
        <v>278 - 18</v>
      </c>
    </row>
    <row r="662" spans="1:22" hidden="1">
      <c r="A662">
        <v>3101</v>
      </c>
      <c r="B662">
        <v>3776</v>
      </c>
      <c r="C662">
        <v>6933</v>
      </c>
      <c r="D662">
        <v>6909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 t="s">
        <v>20</v>
      </c>
      <c r="L662" s="1">
        <v>44727</v>
      </c>
      <c r="M662">
        <v>280</v>
      </c>
      <c r="N662">
        <v>18</v>
      </c>
      <c r="O662">
        <v>88</v>
      </c>
      <c r="P662">
        <v>150</v>
      </c>
      <c r="Q662">
        <v>88</v>
      </c>
      <c r="S662">
        <v>199</v>
      </c>
      <c r="T662">
        <v>199</v>
      </c>
      <c r="U662">
        <f>+SUM(Table1[[#This Row],[Latinos]:[Cemex]])</f>
        <v>1</v>
      </c>
      <c r="V662" t="str">
        <f>+Table1[[#This Row],[id_destino]]&amp;" - "&amp;Table1[[#This Row],[id_origen]]</f>
        <v>280 - 18</v>
      </c>
    </row>
    <row r="663" spans="1:22" hidden="1">
      <c r="A663">
        <v>4521</v>
      </c>
      <c r="B663">
        <v>4722</v>
      </c>
      <c r="C663">
        <v>2853</v>
      </c>
      <c r="D663">
        <v>7993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 t="s">
        <v>20</v>
      </c>
      <c r="L663" s="1">
        <v>45600</v>
      </c>
      <c r="M663">
        <v>284</v>
      </c>
      <c r="N663">
        <v>18</v>
      </c>
      <c r="O663">
        <v>289</v>
      </c>
      <c r="P663">
        <v>282</v>
      </c>
      <c r="Q663">
        <v>289</v>
      </c>
      <c r="S663">
        <v>960</v>
      </c>
      <c r="T663">
        <v>1053</v>
      </c>
      <c r="U663">
        <f>+SUM(Table1[[#This Row],[Latinos]:[Cemex]])</f>
        <v>1</v>
      </c>
      <c r="V663" t="str">
        <f>+Table1[[#This Row],[id_destino]]&amp;" - "&amp;Table1[[#This Row],[id_origen]]</f>
        <v>284 - 18</v>
      </c>
    </row>
    <row r="664" spans="1:22" hidden="1">
      <c r="A664">
        <v>4504</v>
      </c>
      <c r="B664">
        <v>4709</v>
      </c>
      <c r="C664">
        <v>2853</v>
      </c>
      <c r="D664">
        <v>7975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 t="s">
        <v>20</v>
      </c>
      <c r="L664" s="1">
        <v>45590</v>
      </c>
      <c r="M664">
        <v>285</v>
      </c>
      <c r="N664">
        <v>18</v>
      </c>
      <c r="O664">
        <v>313</v>
      </c>
      <c r="P664">
        <v>315</v>
      </c>
      <c r="Q664">
        <v>313</v>
      </c>
      <c r="S664">
        <v>37</v>
      </c>
      <c r="T664">
        <v>37</v>
      </c>
      <c r="U664">
        <f>+SUM(Table1[[#This Row],[Latinos]:[Cemex]])</f>
        <v>1</v>
      </c>
      <c r="V664" t="str">
        <f>+Table1[[#This Row],[id_destino]]&amp;" - "&amp;Table1[[#This Row],[id_origen]]</f>
        <v>285 - 18</v>
      </c>
    </row>
    <row r="665" spans="1:22" hidden="1">
      <c r="A665">
        <v>4524</v>
      </c>
      <c r="B665">
        <v>1690</v>
      </c>
      <c r="C665">
        <v>7470</v>
      </c>
      <c r="D665">
        <v>6806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 t="s">
        <v>20</v>
      </c>
      <c r="L665" s="1">
        <v>45601</v>
      </c>
      <c r="M665">
        <v>290</v>
      </c>
      <c r="N665">
        <v>18</v>
      </c>
      <c r="O665">
        <v>40</v>
      </c>
      <c r="P665">
        <v>150</v>
      </c>
      <c r="Q665">
        <v>40</v>
      </c>
      <c r="S665">
        <v>513</v>
      </c>
      <c r="T665">
        <v>513</v>
      </c>
      <c r="U665">
        <f>+SUM(Table1[[#This Row],[Latinos]:[Cemex]])</f>
        <v>1</v>
      </c>
      <c r="V665" t="str">
        <f>+Table1[[#This Row],[id_destino]]&amp;" - "&amp;Table1[[#This Row],[id_origen]]</f>
        <v>290 - 18</v>
      </c>
    </row>
    <row r="666" spans="1:22" hidden="1">
      <c r="A666">
        <v>4684</v>
      </c>
      <c r="B666">
        <v>1690</v>
      </c>
      <c r="C666">
        <v>7526</v>
      </c>
      <c r="D666">
        <v>8157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 t="s">
        <v>20</v>
      </c>
      <c r="L666" s="1">
        <v>45727</v>
      </c>
      <c r="M666">
        <v>290</v>
      </c>
      <c r="N666">
        <v>18</v>
      </c>
      <c r="O666">
        <v>100</v>
      </c>
      <c r="P666">
        <v>100</v>
      </c>
      <c r="Q666">
        <v>100</v>
      </c>
      <c r="S666">
        <v>244</v>
      </c>
      <c r="T666">
        <v>244</v>
      </c>
      <c r="U666">
        <f>+SUM(Table1[[#This Row],[Latinos]:[Cemex]])</f>
        <v>1</v>
      </c>
      <c r="V666" t="str">
        <f>+Table1[[#This Row],[id_destino]]&amp;" - "&amp;Table1[[#This Row],[id_origen]]</f>
        <v>290 - 18</v>
      </c>
    </row>
    <row r="667" spans="1:22" hidden="1">
      <c r="A667">
        <v>418</v>
      </c>
      <c r="B667">
        <v>2286</v>
      </c>
      <c r="C667">
        <v>4805</v>
      </c>
      <c r="D667">
        <v>4696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 t="s">
        <v>20</v>
      </c>
      <c r="L667" s="1">
        <v>43062</v>
      </c>
      <c r="M667">
        <v>296</v>
      </c>
      <c r="N667">
        <v>18</v>
      </c>
      <c r="O667">
        <v>30</v>
      </c>
      <c r="P667">
        <v>150</v>
      </c>
      <c r="Q667">
        <v>30</v>
      </c>
      <c r="S667">
        <v>0</v>
      </c>
      <c r="T667">
        <v>0</v>
      </c>
      <c r="U667">
        <f>+SUM(Table1[[#This Row],[Latinos]:[Cemex]])</f>
        <v>1</v>
      </c>
      <c r="V667" t="str">
        <f>+Table1[[#This Row],[id_destino]]&amp;" - "&amp;Table1[[#This Row],[id_origen]]</f>
        <v>296 - 18</v>
      </c>
    </row>
    <row r="668" spans="1:22" hidden="1">
      <c r="A668">
        <v>2713</v>
      </c>
      <c r="B668">
        <v>2286</v>
      </c>
      <c r="C668">
        <v>19</v>
      </c>
      <c r="D668">
        <v>6606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 t="s">
        <v>20</v>
      </c>
      <c r="L668" s="1">
        <v>44369</v>
      </c>
      <c r="M668">
        <v>296</v>
      </c>
      <c r="N668">
        <v>18</v>
      </c>
      <c r="O668">
        <v>89</v>
      </c>
      <c r="P668">
        <v>150</v>
      </c>
      <c r="Q668">
        <v>89</v>
      </c>
      <c r="S668">
        <v>93</v>
      </c>
      <c r="T668">
        <v>93</v>
      </c>
      <c r="U668">
        <f>+SUM(Table1[[#This Row],[Latinos]:[Cemex]])</f>
        <v>1</v>
      </c>
      <c r="V668" t="str">
        <f>+Table1[[#This Row],[id_destino]]&amp;" - "&amp;Table1[[#This Row],[id_origen]]</f>
        <v>296 - 18</v>
      </c>
    </row>
    <row r="669" spans="1:22" hidden="1">
      <c r="A669">
        <v>4472</v>
      </c>
      <c r="B669">
        <v>4683</v>
      </c>
      <c r="C669">
        <v>7942</v>
      </c>
      <c r="D669">
        <v>7852</v>
      </c>
      <c r="E669">
        <v>0</v>
      </c>
      <c r="F669">
        <v>1</v>
      </c>
      <c r="G669">
        <v>0</v>
      </c>
      <c r="H669">
        <v>0</v>
      </c>
      <c r="I669">
        <v>0</v>
      </c>
      <c r="K669" t="s">
        <v>20</v>
      </c>
      <c r="L669" s="1">
        <v>45570</v>
      </c>
      <c r="M669">
        <v>298</v>
      </c>
      <c r="N669">
        <v>18</v>
      </c>
      <c r="O669">
        <v>788</v>
      </c>
      <c r="P669">
        <v>942</v>
      </c>
      <c r="Q669">
        <v>788</v>
      </c>
      <c r="S669">
        <v>2649</v>
      </c>
      <c r="T669">
        <v>2649</v>
      </c>
      <c r="U669">
        <f>+SUM(Table1[[#This Row],[Latinos]:[Cemex]])</f>
        <v>1</v>
      </c>
      <c r="V669" t="str">
        <f>+Table1[[#This Row],[id_destino]]&amp;" - "&amp;Table1[[#This Row],[id_origen]]</f>
        <v>298 - 18</v>
      </c>
    </row>
    <row r="670" spans="1:22" hidden="1">
      <c r="A670">
        <v>2197</v>
      </c>
      <c r="B670">
        <v>3195</v>
      </c>
      <c r="C670">
        <v>19</v>
      </c>
      <c r="D670">
        <v>5659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 t="s">
        <v>20</v>
      </c>
      <c r="L670" s="1">
        <v>43852</v>
      </c>
      <c r="M670">
        <v>304</v>
      </c>
      <c r="N670">
        <v>18</v>
      </c>
      <c r="O670">
        <v>50</v>
      </c>
      <c r="P670">
        <v>150</v>
      </c>
      <c r="Q670">
        <v>50</v>
      </c>
      <c r="S670">
        <v>0</v>
      </c>
      <c r="T670">
        <v>0</v>
      </c>
      <c r="U670">
        <f>+SUM(Table1[[#This Row],[Latinos]:[Cemex]])</f>
        <v>1</v>
      </c>
      <c r="V670" t="str">
        <f>+Table1[[#This Row],[id_destino]]&amp;" - "&amp;Table1[[#This Row],[id_origen]]</f>
        <v>304 - 18</v>
      </c>
    </row>
    <row r="671" spans="1:22" hidden="1">
      <c r="A671">
        <v>1856</v>
      </c>
      <c r="B671">
        <v>2975</v>
      </c>
      <c r="C671">
        <v>5691</v>
      </c>
      <c r="D671">
        <v>5989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 t="s">
        <v>20</v>
      </c>
      <c r="L671" s="1">
        <v>43669</v>
      </c>
      <c r="M671">
        <v>306</v>
      </c>
      <c r="N671">
        <v>18</v>
      </c>
      <c r="O671">
        <v>90</v>
      </c>
      <c r="P671">
        <v>150</v>
      </c>
      <c r="Q671">
        <v>90</v>
      </c>
      <c r="S671">
        <v>58</v>
      </c>
      <c r="T671">
        <v>58</v>
      </c>
      <c r="U671">
        <f>+SUM(Table1[[#This Row],[Latinos]:[Cemex]])</f>
        <v>1</v>
      </c>
      <c r="V671" t="str">
        <f>+Table1[[#This Row],[id_destino]]&amp;" - "&amp;Table1[[#This Row],[id_origen]]</f>
        <v>306 - 18</v>
      </c>
    </row>
    <row r="672" spans="1:22" hidden="1">
      <c r="A672">
        <v>1857</v>
      </c>
      <c r="B672">
        <v>2975</v>
      </c>
      <c r="C672">
        <v>5691</v>
      </c>
      <c r="D672">
        <v>5989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 t="s">
        <v>20</v>
      </c>
      <c r="L672" s="1">
        <v>43818</v>
      </c>
      <c r="M672">
        <v>306</v>
      </c>
      <c r="N672">
        <v>18</v>
      </c>
      <c r="O672">
        <v>90</v>
      </c>
      <c r="P672">
        <v>150</v>
      </c>
      <c r="Q672">
        <v>90</v>
      </c>
      <c r="S672">
        <v>377</v>
      </c>
      <c r="T672">
        <v>450</v>
      </c>
      <c r="U672">
        <f>+SUM(Table1[[#This Row],[Latinos]:[Cemex]])</f>
        <v>1</v>
      </c>
      <c r="V672" t="str">
        <f>+Table1[[#This Row],[id_destino]]&amp;" - "&amp;Table1[[#This Row],[id_origen]]</f>
        <v>306 - 18</v>
      </c>
    </row>
    <row r="673" spans="1:22" hidden="1">
      <c r="A673">
        <v>1871</v>
      </c>
      <c r="B673">
        <v>678</v>
      </c>
      <c r="C673">
        <v>19</v>
      </c>
      <c r="D673">
        <v>6000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 t="s">
        <v>20</v>
      </c>
      <c r="L673" s="1">
        <v>43677</v>
      </c>
      <c r="M673">
        <v>314</v>
      </c>
      <c r="N673">
        <v>18</v>
      </c>
      <c r="O673">
        <v>37</v>
      </c>
      <c r="P673">
        <v>150</v>
      </c>
      <c r="Q673">
        <v>37</v>
      </c>
      <c r="S673">
        <v>156</v>
      </c>
      <c r="T673">
        <v>221</v>
      </c>
      <c r="U673">
        <f>+SUM(Table1[[#This Row],[Latinos]:[Cemex]])</f>
        <v>1</v>
      </c>
      <c r="V673" t="str">
        <f>+Table1[[#This Row],[id_destino]]&amp;" - "&amp;Table1[[#This Row],[id_origen]]</f>
        <v>314 - 18</v>
      </c>
    </row>
    <row r="674" spans="1:22" hidden="1">
      <c r="A674">
        <v>1234</v>
      </c>
      <c r="B674">
        <v>1173</v>
      </c>
      <c r="C674">
        <v>4035</v>
      </c>
      <c r="D674">
        <v>5330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</v>
      </c>
      <c r="K674" t="s">
        <v>20</v>
      </c>
      <c r="L674" s="1">
        <v>43348</v>
      </c>
      <c r="M674">
        <v>318</v>
      </c>
      <c r="N674">
        <v>18</v>
      </c>
      <c r="O674">
        <v>21</v>
      </c>
      <c r="P674">
        <v>150</v>
      </c>
      <c r="Q674">
        <v>21</v>
      </c>
      <c r="S674">
        <v>0</v>
      </c>
      <c r="T674">
        <v>0</v>
      </c>
      <c r="U674">
        <f>+SUM(Table1[[#This Row],[Latinos]:[Cemex]])</f>
        <v>1</v>
      </c>
      <c r="V674" t="str">
        <f>+Table1[[#This Row],[id_destino]]&amp;" - "&amp;Table1[[#This Row],[id_origen]]</f>
        <v>318 - 18</v>
      </c>
    </row>
    <row r="675" spans="1:22" hidden="1">
      <c r="A675">
        <v>1941</v>
      </c>
      <c r="B675">
        <v>1173</v>
      </c>
      <c r="C675">
        <v>19</v>
      </c>
      <c r="D675">
        <v>6065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 t="s">
        <v>20</v>
      </c>
      <c r="L675" s="1">
        <v>43731</v>
      </c>
      <c r="M675">
        <v>318</v>
      </c>
      <c r="N675">
        <v>18</v>
      </c>
      <c r="O675">
        <v>15</v>
      </c>
      <c r="P675">
        <v>150</v>
      </c>
      <c r="Q675">
        <v>15</v>
      </c>
      <c r="S675">
        <v>0</v>
      </c>
      <c r="T675">
        <v>0</v>
      </c>
      <c r="U675">
        <f>+SUM(Table1[[#This Row],[Latinos]:[Cemex]])</f>
        <v>1</v>
      </c>
      <c r="V675" t="str">
        <f>+Table1[[#This Row],[id_destino]]&amp;" - "&amp;Table1[[#This Row],[id_origen]]</f>
        <v>318 - 18</v>
      </c>
    </row>
    <row r="676" spans="1:22" hidden="1">
      <c r="A676">
        <v>4717</v>
      </c>
      <c r="B676">
        <v>1173</v>
      </c>
      <c r="C676">
        <v>19</v>
      </c>
      <c r="D676">
        <v>7838</v>
      </c>
      <c r="E676">
        <v>0</v>
      </c>
      <c r="F676">
        <v>1</v>
      </c>
      <c r="G676">
        <v>0</v>
      </c>
      <c r="H676">
        <v>0</v>
      </c>
      <c r="I676">
        <v>1</v>
      </c>
      <c r="J676">
        <v>0</v>
      </c>
      <c r="K676" t="s">
        <v>20</v>
      </c>
      <c r="L676" s="1">
        <v>45752</v>
      </c>
      <c r="M676">
        <v>318</v>
      </c>
      <c r="N676">
        <v>18</v>
      </c>
      <c r="O676">
        <v>100</v>
      </c>
      <c r="P676">
        <v>100</v>
      </c>
      <c r="Q676">
        <v>100</v>
      </c>
      <c r="S676">
        <v>0</v>
      </c>
      <c r="T676">
        <v>0</v>
      </c>
      <c r="U676">
        <f>+SUM(Table1[[#This Row],[Latinos]:[Cemex]])</f>
        <v>2</v>
      </c>
      <c r="V676" t="str">
        <f>+Table1[[#This Row],[id_destino]]&amp;" - "&amp;Table1[[#This Row],[id_origen]]</f>
        <v>318 - 18</v>
      </c>
    </row>
    <row r="677" spans="1:22" hidden="1">
      <c r="A677">
        <v>1937</v>
      </c>
      <c r="B677">
        <v>3031</v>
      </c>
      <c r="C677">
        <v>19</v>
      </c>
      <c r="D677">
        <v>6064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 t="s">
        <v>20</v>
      </c>
      <c r="L677" s="1">
        <v>43728</v>
      </c>
      <c r="M677">
        <v>319</v>
      </c>
      <c r="N677">
        <v>18</v>
      </c>
      <c r="O677">
        <v>61</v>
      </c>
      <c r="P677">
        <v>150</v>
      </c>
      <c r="Q677">
        <v>61</v>
      </c>
      <c r="S677">
        <v>0</v>
      </c>
      <c r="T677">
        <v>0</v>
      </c>
      <c r="U677">
        <f>+SUM(Table1[[#This Row],[Latinos]:[Cemex]])</f>
        <v>1</v>
      </c>
      <c r="V677" t="str">
        <f>+Table1[[#This Row],[id_destino]]&amp;" - "&amp;Table1[[#This Row],[id_origen]]</f>
        <v>319 - 18</v>
      </c>
    </row>
    <row r="678" spans="1:22" hidden="1">
      <c r="A678">
        <v>3587</v>
      </c>
      <c r="B678">
        <v>4092</v>
      </c>
      <c r="C678">
        <v>5691</v>
      </c>
      <c r="D678">
        <v>7233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 t="s">
        <v>20</v>
      </c>
      <c r="L678" s="1">
        <v>44970</v>
      </c>
      <c r="M678">
        <v>324</v>
      </c>
      <c r="N678">
        <v>18</v>
      </c>
      <c r="O678">
        <v>262</v>
      </c>
      <c r="P678">
        <v>264</v>
      </c>
      <c r="Q678">
        <v>262</v>
      </c>
      <c r="S678">
        <v>1294</v>
      </c>
      <c r="T678">
        <v>1387</v>
      </c>
      <c r="U678">
        <f>+SUM(Table1[[#This Row],[Latinos]:[Cemex]])</f>
        <v>1</v>
      </c>
      <c r="V678" t="str">
        <f>+Table1[[#This Row],[id_destino]]&amp;" - "&amp;Table1[[#This Row],[id_origen]]</f>
        <v>324 - 18</v>
      </c>
    </row>
    <row r="679" spans="1:22" hidden="1">
      <c r="A679">
        <v>1719</v>
      </c>
      <c r="B679">
        <v>1152</v>
      </c>
      <c r="C679">
        <v>5899</v>
      </c>
      <c r="D679">
        <v>5378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 t="s">
        <v>20</v>
      </c>
      <c r="L679" s="1">
        <v>43585</v>
      </c>
      <c r="M679">
        <v>345</v>
      </c>
      <c r="N679">
        <v>18</v>
      </c>
      <c r="O679">
        <v>73</v>
      </c>
      <c r="P679">
        <v>150</v>
      </c>
      <c r="Q679">
        <v>73</v>
      </c>
      <c r="S679">
        <v>58</v>
      </c>
      <c r="T679">
        <v>58</v>
      </c>
      <c r="U679">
        <f>+SUM(Table1[[#This Row],[Latinos]:[Cemex]])</f>
        <v>1</v>
      </c>
      <c r="V679" t="str">
        <f>+Table1[[#This Row],[id_destino]]&amp;" - "&amp;Table1[[#This Row],[id_origen]]</f>
        <v>345 - 18</v>
      </c>
    </row>
    <row r="680" spans="1:22" hidden="1">
      <c r="A680">
        <v>4550</v>
      </c>
      <c r="B680">
        <v>4745</v>
      </c>
      <c r="C680">
        <v>2853</v>
      </c>
      <c r="D680">
        <v>8018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0</v>
      </c>
      <c r="K680" t="s">
        <v>20</v>
      </c>
      <c r="L680" s="1">
        <v>45611</v>
      </c>
      <c r="M680">
        <v>346</v>
      </c>
      <c r="N680">
        <v>18</v>
      </c>
      <c r="O680">
        <v>423</v>
      </c>
      <c r="P680">
        <v>428</v>
      </c>
      <c r="Q680">
        <v>423</v>
      </c>
      <c r="S680">
        <v>1826</v>
      </c>
      <c r="T680">
        <v>1826</v>
      </c>
      <c r="U680">
        <f>+SUM(Table1[[#This Row],[Latinos]:[Cemex]])</f>
        <v>1</v>
      </c>
      <c r="V680" t="str">
        <f>+Table1[[#This Row],[id_destino]]&amp;" - "&amp;Table1[[#This Row],[id_origen]]</f>
        <v>346 - 18</v>
      </c>
    </row>
    <row r="681" spans="1:22" hidden="1">
      <c r="A681">
        <v>782</v>
      </c>
      <c r="B681">
        <v>1162</v>
      </c>
      <c r="C681">
        <v>19</v>
      </c>
      <c r="D681">
        <v>4712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 t="s">
        <v>20</v>
      </c>
      <c r="L681" s="1">
        <v>43162</v>
      </c>
      <c r="M681">
        <v>384</v>
      </c>
      <c r="N681">
        <v>18</v>
      </c>
      <c r="O681">
        <v>170</v>
      </c>
      <c r="P681">
        <v>170</v>
      </c>
      <c r="Q681">
        <v>170</v>
      </c>
      <c r="S681">
        <v>340</v>
      </c>
      <c r="T681">
        <v>340</v>
      </c>
      <c r="U681">
        <f>+SUM(Table1[[#This Row],[Latinos]:[Cemex]])</f>
        <v>1</v>
      </c>
      <c r="V681" t="str">
        <f>+Table1[[#This Row],[id_destino]]&amp;" - "&amp;Table1[[#This Row],[id_origen]]</f>
        <v>384 - 18</v>
      </c>
    </row>
    <row r="682" spans="1:22" hidden="1">
      <c r="A682">
        <v>4149</v>
      </c>
      <c r="B682">
        <v>1162</v>
      </c>
      <c r="C682">
        <v>5691</v>
      </c>
      <c r="D682">
        <v>7567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 t="s">
        <v>20</v>
      </c>
      <c r="L682" s="1">
        <v>45321</v>
      </c>
      <c r="M682">
        <v>384</v>
      </c>
      <c r="N682">
        <v>18</v>
      </c>
      <c r="O682">
        <v>170</v>
      </c>
      <c r="P682">
        <v>178</v>
      </c>
      <c r="Q682">
        <v>170</v>
      </c>
      <c r="S682">
        <v>429</v>
      </c>
      <c r="T682">
        <v>429</v>
      </c>
      <c r="U682">
        <f>+SUM(Table1[[#This Row],[Latinos]:[Cemex]])</f>
        <v>1</v>
      </c>
      <c r="V682" t="str">
        <f>+Table1[[#This Row],[id_destino]]&amp;" - "&amp;Table1[[#This Row],[id_origen]]</f>
        <v>384 - 18</v>
      </c>
    </row>
    <row r="683" spans="1:22" hidden="1">
      <c r="A683">
        <v>4728</v>
      </c>
      <c r="B683">
        <v>689</v>
      </c>
      <c r="C683">
        <v>7470</v>
      </c>
      <c r="D683">
        <v>7324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 t="s">
        <v>20</v>
      </c>
      <c r="L683" s="1">
        <v>45768</v>
      </c>
      <c r="M683">
        <v>385</v>
      </c>
      <c r="N683">
        <v>18</v>
      </c>
      <c r="O683">
        <v>100</v>
      </c>
      <c r="P683">
        <v>100</v>
      </c>
      <c r="Q683">
        <v>100</v>
      </c>
      <c r="S683">
        <v>526</v>
      </c>
      <c r="T683">
        <v>624</v>
      </c>
      <c r="U683">
        <f>+SUM(Table1[[#This Row],[Latinos]:[Cemex]])</f>
        <v>1</v>
      </c>
      <c r="V683" t="str">
        <f>+Table1[[#This Row],[id_destino]]&amp;" - "&amp;Table1[[#This Row],[id_origen]]</f>
        <v>385 - 18</v>
      </c>
    </row>
    <row r="684" spans="1:22" hidden="1">
      <c r="A684">
        <v>3502</v>
      </c>
      <c r="B684">
        <v>4031</v>
      </c>
      <c r="C684">
        <v>19</v>
      </c>
      <c r="D684">
        <v>7172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 t="s">
        <v>20</v>
      </c>
      <c r="L684" s="1">
        <v>44936</v>
      </c>
      <c r="M684">
        <v>395</v>
      </c>
      <c r="N684">
        <v>18</v>
      </c>
      <c r="O684">
        <v>122</v>
      </c>
      <c r="P684">
        <v>150</v>
      </c>
      <c r="Q684">
        <v>122</v>
      </c>
      <c r="S684">
        <v>339</v>
      </c>
      <c r="T684">
        <v>339</v>
      </c>
      <c r="U684">
        <f>+SUM(Table1[[#This Row],[Latinos]:[Cemex]])</f>
        <v>1</v>
      </c>
      <c r="V684" t="str">
        <f>+Table1[[#This Row],[id_destino]]&amp;" - "&amp;Table1[[#This Row],[id_origen]]</f>
        <v>395 - 18</v>
      </c>
    </row>
    <row r="685" spans="1:22" hidden="1">
      <c r="A685">
        <v>4091</v>
      </c>
      <c r="B685">
        <v>4414</v>
      </c>
      <c r="C685">
        <v>5691</v>
      </c>
      <c r="D685">
        <v>7601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 t="s">
        <v>20</v>
      </c>
      <c r="L685" s="1">
        <v>45278</v>
      </c>
      <c r="M685">
        <v>417</v>
      </c>
      <c r="N685">
        <v>18</v>
      </c>
      <c r="O685">
        <v>89</v>
      </c>
      <c r="P685">
        <v>150</v>
      </c>
      <c r="Q685">
        <v>89</v>
      </c>
      <c r="S685">
        <v>581</v>
      </c>
      <c r="T685">
        <v>674</v>
      </c>
      <c r="U685">
        <f>+SUM(Table1[[#This Row],[Latinos]:[Cemex]])</f>
        <v>1</v>
      </c>
      <c r="V685" t="str">
        <f>+Table1[[#This Row],[id_destino]]&amp;" - "&amp;Table1[[#This Row],[id_origen]]</f>
        <v>417 - 18</v>
      </c>
    </row>
    <row r="686" spans="1:22" hidden="1">
      <c r="A686">
        <v>1280</v>
      </c>
      <c r="B686">
        <v>2667</v>
      </c>
      <c r="C686">
        <v>188</v>
      </c>
      <c r="D686">
        <v>2319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 t="s">
        <v>20</v>
      </c>
      <c r="L686" s="1">
        <v>43363</v>
      </c>
      <c r="M686">
        <v>418</v>
      </c>
      <c r="N686">
        <v>18</v>
      </c>
      <c r="O686">
        <v>700</v>
      </c>
      <c r="P686">
        <v>700</v>
      </c>
      <c r="Q686">
        <v>700</v>
      </c>
      <c r="S686">
        <v>1977</v>
      </c>
      <c r="T686">
        <v>1977</v>
      </c>
      <c r="U686">
        <f>+SUM(Table1[[#This Row],[Latinos]:[Cemex]])</f>
        <v>1</v>
      </c>
      <c r="V686" t="str">
        <f>+Table1[[#This Row],[id_destino]]&amp;" - "&amp;Table1[[#This Row],[id_origen]]</f>
        <v>418 - 18</v>
      </c>
    </row>
    <row r="687" spans="1:22" hidden="1">
      <c r="A687">
        <v>4414</v>
      </c>
      <c r="B687">
        <v>4639</v>
      </c>
      <c r="C687">
        <v>19</v>
      </c>
      <c r="D687">
        <v>7887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 t="s">
        <v>20</v>
      </c>
      <c r="L687" s="1">
        <v>45530</v>
      </c>
      <c r="M687">
        <v>423</v>
      </c>
      <c r="N687">
        <v>18</v>
      </c>
      <c r="O687">
        <v>45</v>
      </c>
      <c r="P687">
        <v>45</v>
      </c>
      <c r="Q687">
        <v>45</v>
      </c>
      <c r="S687">
        <v>222</v>
      </c>
      <c r="T687">
        <v>222</v>
      </c>
      <c r="U687">
        <f>+SUM(Table1[[#This Row],[Latinos]:[Cemex]])</f>
        <v>1</v>
      </c>
      <c r="V687" t="str">
        <f>+Table1[[#This Row],[id_destino]]&amp;" - "&amp;Table1[[#This Row],[id_origen]]</f>
        <v>423 - 18</v>
      </c>
    </row>
    <row r="688" spans="1:22" hidden="1">
      <c r="A688">
        <v>2918</v>
      </c>
      <c r="B688">
        <v>1135</v>
      </c>
      <c r="C688">
        <v>4177</v>
      </c>
      <c r="D688">
        <v>6743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 t="s">
        <v>20</v>
      </c>
      <c r="L688" s="1">
        <v>44608</v>
      </c>
      <c r="M688">
        <v>425</v>
      </c>
      <c r="N688">
        <v>18</v>
      </c>
      <c r="O688">
        <v>50</v>
      </c>
      <c r="P688">
        <v>150</v>
      </c>
      <c r="Q688">
        <v>50</v>
      </c>
      <c r="S688">
        <v>368</v>
      </c>
      <c r="T688">
        <v>368</v>
      </c>
      <c r="U688">
        <f>+SUM(Table1[[#This Row],[Latinos]:[Cemex]])</f>
        <v>1</v>
      </c>
      <c r="V688" t="str">
        <f>+Table1[[#This Row],[id_destino]]&amp;" - "&amp;Table1[[#This Row],[id_origen]]</f>
        <v>425 - 18</v>
      </c>
    </row>
    <row r="689" spans="1:22" hidden="1">
      <c r="A689">
        <v>4437</v>
      </c>
      <c r="B689">
        <v>4658</v>
      </c>
      <c r="C689">
        <v>2853</v>
      </c>
      <c r="D689">
        <v>7902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 t="s">
        <v>20</v>
      </c>
      <c r="L689" s="1">
        <v>45538</v>
      </c>
      <c r="M689">
        <v>439</v>
      </c>
      <c r="N689">
        <v>18</v>
      </c>
      <c r="O689">
        <v>206</v>
      </c>
      <c r="P689">
        <v>209</v>
      </c>
      <c r="Q689">
        <v>206</v>
      </c>
      <c r="S689">
        <v>698</v>
      </c>
      <c r="T689">
        <v>698</v>
      </c>
      <c r="U689">
        <f>+SUM(Table1[[#This Row],[Latinos]:[Cemex]])</f>
        <v>1</v>
      </c>
      <c r="V689" t="str">
        <f>+Table1[[#This Row],[id_destino]]&amp;" - "&amp;Table1[[#This Row],[id_origen]]</f>
        <v>439 - 18</v>
      </c>
    </row>
    <row r="690" spans="1:22" hidden="1">
      <c r="A690">
        <v>4491</v>
      </c>
      <c r="B690">
        <v>4699</v>
      </c>
      <c r="C690">
        <v>2853</v>
      </c>
      <c r="D690">
        <v>7964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 t="s">
        <v>20</v>
      </c>
      <c r="L690" s="1">
        <v>45582</v>
      </c>
      <c r="M690">
        <v>449</v>
      </c>
      <c r="N690">
        <v>18</v>
      </c>
      <c r="O690">
        <v>502</v>
      </c>
      <c r="P690">
        <v>495</v>
      </c>
      <c r="Q690">
        <v>502</v>
      </c>
      <c r="S690">
        <v>2326</v>
      </c>
      <c r="T690">
        <v>2419</v>
      </c>
      <c r="U690">
        <f>+SUM(Table1[[#This Row],[Latinos]:[Cemex]])</f>
        <v>1</v>
      </c>
      <c r="V690" t="str">
        <f>+Table1[[#This Row],[id_destino]]&amp;" - "&amp;Table1[[#This Row],[id_origen]]</f>
        <v>449 - 18</v>
      </c>
    </row>
    <row r="691" spans="1:22" hidden="1">
      <c r="A691">
        <v>2523</v>
      </c>
      <c r="B691">
        <v>589</v>
      </c>
      <c r="C691">
        <v>19</v>
      </c>
      <c r="D691">
        <v>6460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 t="s">
        <v>20</v>
      </c>
      <c r="L691" s="1">
        <v>44149</v>
      </c>
      <c r="M691">
        <v>461</v>
      </c>
      <c r="N691">
        <v>18</v>
      </c>
      <c r="O691">
        <v>30</v>
      </c>
      <c r="P691">
        <v>100</v>
      </c>
      <c r="Q691">
        <v>30</v>
      </c>
      <c r="S691">
        <v>0</v>
      </c>
      <c r="T691">
        <v>0</v>
      </c>
      <c r="U691">
        <f>+SUM(Table1[[#This Row],[Latinos]:[Cemex]])</f>
        <v>1</v>
      </c>
      <c r="V691" t="str">
        <f>+Table1[[#This Row],[id_destino]]&amp;" - "&amp;Table1[[#This Row],[id_origen]]</f>
        <v>461 - 18</v>
      </c>
    </row>
    <row r="692" spans="1:22" hidden="1">
      <c r="A692">
        <v>4264</v>
      </c>
      <c r="B692">
        <v>4533</v>
      </c>
      <c r="C692">
        <v>19</v>
      </c>
      <c r="D692">
        <v>7749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 t="s">
        <v>20</v>
      </c>
      <c r="L692" s="1">
        <v>45409</v>
      </c>
      <c r="M692">
        <v>464</v>
      </c>
      <c r="N692">
        <v>18</v>
      </c>
      <c r="O692">
        <v>62</v>
      </c>
      <c r="P692">
        <v>100</v>
      </c>
      <c r="Q692">
        <v>62</v>
      </c>
      <c r="S692">
        <v>200</v>
      </c>
      <c r="T692">
        <v>200</v>
      </c>
      <c r="U692">
        <f>+SUM(Table1[[#This Row],[Latinos]:[Cemex]])</f>
        <v>1</v>
      </c>
      <c r="V692" t="str">
        <f>+Table1[[#This Row],[id_destino]]&amp;" - "&amp;Table1[[#This Row],[id_origen]]</f>
        <v>464 - 18</v>
      </c>
    </row>
    <row r="693" spans="1:22" hidden="1">
      <c r="A693">
        <v>2060</v>
      </c>
      <c r="B693">
        <v>3108</v>
      </c>
      <c r="C693">
        <v>19</v>
      </c>
      <c r="D693">
        <v>6158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 t="s">
        <v>20</v>
      </c>
      <c r="L693" s="1">
        <v>43789</v>
      </c>
      <c r="M693">
        <v>472</v>
      </c>
      <c r="N693">
        <v>18</v>
      </c>
      <c r="O693">
        <v>35</v>
      </c>
      <c r="P693">
        <v>100</v>
      </c>
      <c r="Q693">
        <v>50</v>
      </c>
      <c r="S693">
        <v>0</v>
      </c>
      <c r="T693">
        <v>0</v>
      </c>
      <c r="U693">
        <f>+SUM(Table1[[#This Row],[Latinos]:[Cemex]])</f>
        <v>1</v>
      </c>
      <c r="V693" t="str">
        <f>+Table1[[#This Row],[id_destino]]&amp;" - "&amp;Table1[[#This Row],[id_origen]]</f>
        <v>472 - 18</v>
      </c>
    </row>
    <row r="694" spans="1:22" hidden="1">
      <c r="A694">
        <v>4686</v>
      </c>
      <c r="B694">
        <v>3072</v>
      </c>
      <c r="C694">
        <v>7526</v>
      </c>
      <c r="D694">
        <v>3653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 t="s">
        <v>20</v>
      </c>
      <c r="L694" s="1">
        <v>45728</v>
      </c>
      <c r="M694">
        <v>473</v>
      </c>
      <c r="N694">
        <v>18</v>
      </c>
      <c r="O694">
        <v>100</v>
      </c>
      <c r="P694">
        <v>100</v>
      </c>
      <c r="Q694">
        <v>100</v>
      </c>
      <c r="S694">
        <v>0</v>
      </c>
      <c r="T694">
        <v>0</v>
      </c>
      <c r="U694">
        <f>+SUM(Table1[[#This Row],[Latinos]:[Cemex]])</f>
        <v>1</v>
      </c>
      <c r="V694" t="str">
        <f>+Table1[[#This Row],[id_destino]]&amp;" - "&amp;Table1[[#This Row],[id_origen]]</f>
        <v>473 - 18</v>
      </c>
    </row>
    <row r="695" spans="1:22" hidden="1">
      <c r="A695">
        <v>4004</v>
      </c>
      <c r="B695">
        <v>4350</v>
      </c>
      <c r="C695">
        <v>5691</v>
      </c>
      <c r="D695">
        <v>7530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 t="s">
        <v>20</v>
      </c>
      <c r="L695" s="1">
        <v>45231</v>
      </c>
      <c r="M695">
        <v>474</v>
      </c>
      <c r="N695">
        <v>18</v>
      </c>
      <c r="O695">
        <v>56</v>
      </c>
      <c r="P695">
        <v>150</v>
      </c>
      <c r="Q695">
        <v>56</v>
      </c>
      <c r="S695">
        <v>222</v>
      </c>
      <c r="T695">
        <v>222</v>
      </c>
      <c r="U695">
        <f>+SUM(Table1[[#This Row],[Latinos]:[Cemex]])</f>
        <v>1</v>
      </c>
      <c r="V695" t="str">
        <f>+Table1[[#This Row],[id_destino]]&amp;" - "&amp;Table1[[#This Row],[id_origen]]</f>
        <v>474 - 18</v>
      </c>
    </row>
    <row r="696" spans="1:22" hidden="1">
      <c r="A696">
        <v>941</v>
      </c>
      <c r="B696">
        <v>2519</v>
      </c>
      <c r="C696">
        <v>188</v>
      </c>
      <c r="D696">
        <v>5551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 t="s">
        <v>20</v>
      </c>
      <c r="L696" s="1">
        <v>43220</v>
      </c>
      <c r="M696">
        <v>497</v>
      </c>
      <c r="N696">
        <v>18</v>
      </c>
      <c r="O696">
        <v>251</v>
      </c>
      <c r="P696">
        <v>251</v>
      </c>
      <c r="Q696">
        <v>251</v>
      </c>
      <c r="S696">
        <v>754</v>
      </c>
      <c r="T696">
        <v>754</v>
      </c>
      <c r="U696">
        <f>+SUM(Table1[[#This Row],[Latinos]:[Cemex]])</f>
        <v>1</v>
      </c>
      <c r="V696" t="str">
        <f>+Table1[[#This Row],[id_destino]]&amp;" - "&amp;Table1[[#This Row],[id_origen]]</f>
        <v>497 - 18</v>
      </c>
    </row>
    <row r="697" spans="1:22" hidden="1">
      <c r="A697">
        <v>4535</v>
      </c>
      <c r="B697">
        <v>4734</v>
      </c>
      <c r="C697">
        <v>2853</v>
      </c>
      <c r="D697">
        <v>8003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 t="s">
        <v>20</v>
      </c>
      <c r="L697" s="1">
        <v>45605</v>
      </c>
      <c r="M697">
        <v>499</v>
      </c>
      <c r="N697">
        <v>18</v>
      </c>
      <c r="O697">
        <v>187</v>
      </c>
      <c r="P697">
        <v>188</v>
      </c>
      <c r="Q697">
        <v>187</v>
      </c>
      <c r="S697">
        <v>590</v>
      </c>
      <c r="T697">
        <v>676</v>
      </c>
      <c r="U697">
        <f>+SUM(Table1[[#This Row],[Latinos]:[Cemex]])</f>
        <v>1</v>
      </c>
      <c r="V697" t="str">
        <f>+Table1[[#This Row],[id_destino]]&amp;" - "&amp;Table1[[#This Row],[id_origen]]</f>
        <v>499 - 18</v>
      </c>
    </row>
    <row r="698" spans="1:22" hidden="1">
      <c r="A698">
        <v>1283</v>
      </c>
      <c r="B698">
        <v>2670</v>
      </c>
      <c r="C698">
        <v>188</v>
      </c>
      <c r="D698">
        <v>5701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 t="s">
        <v>20</v>
      </c>
      <c r="L698" s="1">
        <v>43364</v>
      </c>
      <c r="M698">
        <v>501</v>
      </c>
      <c r="N698">
        <v>18</v>
      </c>
      <c r="O698">
        <v>764</v>
      </c>
      <c r="P698">
        <v>764</v>
      </c>
      <c r="Q698">
        <v>764</v>
      </c>
      <c r="S698">
        <v>2077</v>
      </c>
      <c r="T698">
        <v>2077</v>
      </c>
      <c r="U698">
        <f>+SUM(Table1[[#This Row],[Latinos]:[Cemex]])</f>
        <v>1</v>
      </c>
      <c r="V698" t="str">
        <f>+Table1[[#This Row],[id_destino]]&amp;" - "&amp;Table1[[#This Row],[id_origen]]</f>
        <v>501 - 18</v>
      </c>
    </row>
    <row r="699" spans="1:22" hidden="1">
      <c r="A699">
        <v>1932</v>
      </c>
      <c r="B699">
        <v>3026</v>
      </c>
      <c r="C699">
        <v>19</v>
      </c>
      <c r="D699">
        <v>6059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 t="s">
        <v>20</v>
      </c>
      <c r="L699" s="1">
        <v>43725</v>
      </c>
      <c r="M699">
        <v>506</v>
      </c>
      <c r="N699">
        <v>18</v>
      </c>
      <c r="O699">
        <v>66</v>
      </c>
      <c r="P699">
        <v>150</v>
      </c>
      <c r="Q699">
        <v>66</v>
      </c>
      <c r="S699">
        <v>150</v>
      </c>
      <c r="T699">
        <v>150</v>
      </c>
      <c r="U699">
        <f>+SUM(Table1[[#This Row],[Latinos]:[Cemex]])</f>
        <v>1</v>
      </c>
      <c r="V699" t="str">
        <f>+Table1[[#This Row],[id_destino]]&amp;" - "&amp;Table1[[#This Row],[id_origen]]</f>
        <v>506 - 18</v>
      </c>
    </row>
    <row r="700" spans="1:22" hidden="1">
      <c r="A700">
        <v>3292</v>
      </c>
      <c r="B700">
        <v>3668</v>
      </c>
      <c r="C700">
        <v>4177</v>
      </c>
      <c r="D700">
        <v>6744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 t="s">
        <v>20</v>
      </c>
      <c r="L700" s="1">
        <v>44811</v>
      </c>
      <c r="M700">
        <v>517</v>
      </c>
      <c r="N700">
        <v>18</v>
      </c>
      <c r="O700">
        <v>61</v>
      </c>
      <c r="P700">
        <v>150</v>
      </c>
      <c r="Q700">
        <v>61</v>
      </c>
      <c r="S700">
        <v>368</v>
      </c>
      <c r="T700">
        <v>368</v>
      </c>
      <c r="U700">
        <f>+SUM(Table1[[#This Row],[Latinos]:[Cemex]])</f>
        <v>1</v>
      </c>
      <c r="V700" t="str">
        <f>+Table1[[#This Row],[id_destino]]&amp;" - "&amp;Table1[[#This Row],[id_origen]]</f>
        <v>517 - 18</v>
      </c>
    </row>
    <row r="701" spans="1:22" hidden="1">
      <c r="A701">
        <v>2027</v>
      </c>
      <c r="B701">
        <v>1563</v>
      </c>
      <c r="C701">
        <v>4445</v>
      </c>
      <c r="D701">
        <v>6129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 t="s">
        <v>20</v>
      </c>
      <c r="L701" s="1">
        <v>43773</v>
      </c>
      <c r="M701">
        <v>525</v>
      </c>
      <c r="N701">
        <v>18</v>
      </c>
      <c r="O701">
        <v>45</v>
      </c>
      <c r="P701">
        <v>150</v>
      </c>
      <c r="Q701">
        <v>45</v>
      </c>
      <c r="S701">
        <v>301</v>
      </c>
      <c r="T701">
        <v>301</v>
      </c>
      <c r="U701">
        <f>+SUM(Table1[[#This Row],[Latinos]:[Cemex]])</f>
        <v>1</v>
      </c>
      <c r="V701" t="str">
        <f>+Table1[[#This Row],[id_destino]]&amp;" - "&amp;Table1[[#This Row],[id_origen]]</f>
        <v>525 - 18</v>
      </c>
    </row>
    <row r="702" spans="1:22" hidden="1">
      <c r="A702">
        <v>777</v>
      </c>
      <c r="B702">
        <v>516</v>
      </c>
      <c r="C702">
        <v>4177</v>
      </c>
      <c r="D702">
        <v>2819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 t="s">
        <v>20</v>
      </c>
      <c r="L702" s="1">
        <v>43161</v>
      </c>
      <c r="M702">
        <v>529</v>
      </c>
      <c r="N702">
        <v>18</v>
      </c>
      <c r="O702">
        <v>60</v>
      </c>
      <c r="P702">
        <v>150</v>
      </c>
      <c r="Q702">
        <v>60</v>
      </c>
      <c r="S702">
        <v>368</v>
      </c>
      <c r="T702">
        <v>368</v>
      </c>
      <c r="U702">
        <f>+SUM(Table1[[#This Row],[Latinos]:[Cemex]])</f>
        <v>1</v>
      </c>
      <c r="V702" t="str">
        <f>+Table1[[#This Row],[id_destino]]&amp;" - "&amp;Table1[[#This Row],[id_origen]]</f>
        <v>529 - 18</v>
      </c>
    </row>
    <row r="703" spans="1:22" hidden="1">
      <c r="A703">
        <v>4523</v>
      </c>
      <c r="B703">
        <v>4724</v>
      </c>
      <c r="C703">
        <v>7942</v>
      </c>
      <c r="D703">
        <v>7956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 t="s">
        <v>20</v>
      </c>
      <c r="L703" s="1">
        <v>45600</v>
      </c>
      <c r="M703">
        <v>531</v>
      </c>
      <c r="N703">
        <v>18</v>
      </c>
      <c r="O703">
        <v>855</v>
      </c>
      <c r="P703">
        <v>849</v>
      </c>
      <c r="Q703">
        <v>855</v>
      </c>
      <c r="S703">
        <v>2913</v>
      </c>
      <c r="T703">
        <v>2913</v>
      </c>
      <c r="U703">
        <f>+SUM(Table1[[#This Row],[Latinos]:[Cemex]])</f>
        <v>1</v>
      </c>
      <c r="V703" t="str">
        <f>+Table1[[#This Row],[id_destino]]&amp;" - "&amp;Table1[[#This Row],[id_origen]]</f>
        <v>531 - 18</v>
      </c>
    </row>
    <row r="704" spans="1:22" hidden="1">
      <c r="A704">
        <v>1663</v>
      </c>
      <c r="B704">
        <v>2873</v>
      </c>
      <c r="C704">
        <v>188</v>
      </c>
      <c r="D704">
        <v>5864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 t="s">
        <v>20</v>
      </c>
      <c r="L704" s="1">
        <v>43554</v>
      </c>
      <c r="M704">
        <v>532</v>
      </c>
      <c r="N704">
        <v>18</v>
      </c>
      <c r="O704">
        <v>140</v>
      </c>
      <c r="P704">
        <v>159</v>
      </c>
      <c r="Q704">
        <v>140</v>
      </c>
      <c r="S704">
        <v>185</v>
      </c>
      <c r="T704">
        <v>185</v>
      </c>
      <c r="U704">
        <f>+SUM(Table1[[#This Row],[Latinos]:[Cemex]])</f>
        <v>1</v>
      </c>
      <c r="V704" t="str">
        <f>+Table1[[#This Row],[id_destino]]&amp;" - "&amp;Table1[[#This Row],[id_origen]]</f>
        <v>532 - 18</v>
      </c>
    </row>
    <row r="705" spans="1:22" hidden="1">
      <c r="A705">
        <v>1863</v>
      </c>
      <c r="B705">
        <v>2980</v>
      </c>
      <c r="C705">
        <v>188</v>
      </c>
      <c r="D705">
        <v>5964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 t="s">
        <v>20</v>
      </c>
      <c r="L705" s="1">
        <v>43672</v>
      </c>
      <c r="M705">
        <v>536</v>
      </c>
      <c r="N705">
        <v>18</v>
      </c>
      <c r="O705">
        <v>1720</v>
      </c>
      <c r="P705">
        <v>1742</v>
      </c>
      <c r="Q705">
        <v>1720</v>
      </c>
      <c r="S705">
        <v>2138</v>
      </c>
      <c r="T705">
        <v>2287</v>
      </c>
      <c r="U705">
        <f>+SUM(Table1[[#This Row],[Latinos]:[Cemex]])</f>
        <v>1</v>
      </c>
      <c r="V705" t="str">
        <f>+Table1[[#This Row],[id_destino]]&amp;" - "&amp;Table1[[#This Row],[id_origen]]</f>
        <v>536 - 18</v>
      </c>
    </row>
    <row r="706" spans="1:22" hidden="1">
      <c r="A706">
        <v>536</v>
      </c>
      <c r="B706">
        <v>1179</v>
      </c>
      <c r="C706">
        <v>19</v>
      </c>
      <c r="D706">
        <v>4921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 t="s">
        <v>20</v>
      </c>
      <c r="L706" s="1">
        <v>44440</v>
      </c>
      <c r="M706">
        <v>539</v>
      </c>
      <c r="N706">
        <v>18</v>
      </c>
      <c r="O706">
        <v>88</v>
      </c>
      <c r="P706">
        <v>150</v>
      </c>
      <c r="Q706">
        <v>88</v>
      </c>
      <c r="S706">
        <v>90</v>
      </c>
      <c r="T706">
        <v>90</v>
      </c>
      <c r="U706">
        <f>+SUM(Table1[[#This Row],[Latinos]:[Cemex]])</f>
        <v>1</v>
      </c>
      <c r="V706" t="str">
        <f>+Table1[[#This Row],[id_destino]]&amp;" - "&amp;Table1[[#This Row],[id_origen]]</f>
        <v>539 - 18</v>
      </c>
    </row>
    <row r="707" spans="1:22" hidden="1">
      <c r="A707">
        <v>3620</v>
      </c>
      <c r="B707">
        <v>4499</v>
      </c>
      <c r="C707">
        <v>19</v>
      </c>
      <c r="D707">
        <v>7706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 t="s">
        <v>20</v>
      </c>
      <c r="L707" s="1">
        <v>45373</v>
      </c>
      <c r="M707">
        <v>539</v>
      </c>
      <c r="N707">
        <v>18</v>
      </c>
      <c r="O707">
        <v>114</v>
      </c>
      <c r="P707">
        <v>150</v>
      </c>
      <c r="Q707">
        <v>114</v>
      </c>
      <c r="S707">
        <v>101</v>
      </c>
      <c r="T707">
        <v>101</v>
      </c>
      <c r="U707">
        <f>+SUM(Table1[[#This Row],[Latinos]:[Cemex]])</f>
        <v>1</v>
      </c>
      <c r="V707" t="str">
        <f>+Table1[[#This Row],[id_destino]]&amp;" - "&amp;Table1[[#This Row],[id_origen]]</f>
        <v>539 - 18</v>
      </c>
    </row>
    <row r="708" spans="1:22" hidden="1">
      <c r="A708">
        <v>2989</v>
      </c>
      <c r="B708">
        <v>3705</v>
      </c>
      <c r="C708">
        <v>5691</v>
      </c>
      <c r="D708">
        <v>6860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 t="s">
        <v>20</v>
      </c>
      <c r="L708" s="1">
        <v>44672</v>
      </c>
      <c r="M708">
        <v>547</v>
      </c>
      <c r="N708">
        <v>18</v>
      </c>
      <c r="O708">
        <v>189</v>
      </c>
      <c r="P708">
        <v>179</v>
      </c>
      <c r="Q708">
        <v>189</v>
      </c>
      <c r="S708">
        <v>385</v>
      </c>
      <c r="T708">
        <v>385</v>
      </c>
      <c r="U708">
        <f>+SUM(Table1[[#This Row],[Latinos]:[Cemex]])</f>
        <v>1</v>
      </c>
      <c r="V708" t="str">
        <f>+Table1[[#This Row],[id_destino]]&amp;" - "&amp;Table1[[#This Row],[id_origen]]</f>
        <v>547 - 18</v>
      </c>
    </row>
    <row r="709" spans="1:22" hidden="1">
      <c r="A709">
        <v>1187</v>
      </c>
      <c r="B709">
        <v>1554</v>
      </c>
      <c r="C709">
        <v>2853</v>
      </c>
      <c r="D709">
        <v>5664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 t="s">
        <v>20</v>
      </c>
      <c r="L709" s="1">
        <v>43335</v>
      </c>
      <c r="M709">
        <v>576</v>
      </c>
      <c r="N709">
        <v>18</v>
      </c>
      <c r="O709">
        <v>156</v>
      </c>
      <c r="P709">
        <v>156</v>
      </c>
      <c r="Q709">
        <v>156</v>
      </c>
      <c r="S709">
        <v>165</v>
      </c>
      <c r="T709">
        <v>165</v>
      </c>
      <c r="U709">
        <f>+SUM(Table1[[#This Row],[Latinos]:[Cemex]])</f>
        <v>1</v>
      </c>
      <c r="V709" t="str">
        <f>+Table1[[#This Row],[id_destino]]&amp;" - "&amp;Table1[[#This Row],[id_origen]]</f>
        <v>576 - 18</v>
      </c>
    </row>
    <row r="710" spans="1:22" hidden="1">
      <c r="A710">
        <v>1169</v>
      </c>
      <c r="B710">
        <v>2612</v>
      </c>
      <c r="C710">
        <v>19</v>
      </c>
      <c r="D710">
        <v>5655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 t="s">
        <v>20</v>
      </c>
      <c r="L710" s="1">
        <v>45257</v>
      </c>
      <c r="M710">
        <v>589</v>
      </c>
      <c r="N710">
        <v>18</v>
      </c>
      <c r="O710">
        <v>45</v>
      </c>
      <c r="P710">
        <v>100</v>
      </c>
      <c r="Q710">
        <v>45</v>
      </c>
      <c r="S710">
        <v>148</v>
      </c>
      <c r="T710">
        <v>148</v>
      </c>
      <c r="U710">
        <f>+SUM(Table1[[#This Row],[Latinos]:[Cemex]])</f>
        <v>1</v>
      </c>
      <c r="V710" t="str">
        <f>+Table1[[#This Row],[id_destino]]&amp;" - "&amp;Table1[[#This Row],[id_origen]]</f>
        <v>589 - 18</v>
      </c>
    </row>
    <row r="711" spans="1:22" hidden="1">
      <c r="A711">
        <v>1967</v>
      </c>
      <c r="B711">
        <v>1192</v>
      </c>
      <c r="C711">
        <v>5691</v>
      </c>
      <c r="D711">
        <v>6083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 t="s">
        <v>20</v>
      </c>
      <c r="L711" s="1">
        <v>43743</v>
      </c>
      <c r="M711">
        <v>591</v>
      </c>
      <c r="N711">
        <v>18</v>
      </c>
      <c r="O711">
        <v>20</v>
      </c>
      <c r="P711">
        <v>150</v>
      </c>
      <c r="Q711">
        <v>20</v>
      </c>
      <c r="S711">
        <v>0</v>
      </c>
      <c r="T711">
        <v>0</v>
      </c>
      <c r="U711">
        <f>+SUM(Table1[[#This Row],[Latinos]:[Cemex]])</f>
        <v>1</v>
      </c>
      <c r="V711" t="str">
        <f>+Table1[[#This Row],[id_destino]]&amp;" - "&amp;Table1[[#This Row],[id_origen]]</f>
        <v>591 - 18</v>
      </c>
    </row>
    <row r="712" spans="1:22" hidden="1">
      <c r="A712">
        <v>3795</v>
      </c>
      <c r="B712">
        <v>1192</v>
      </c>
      <c r="C712">
        <v>2853</v>
      </c>
      <c r="D712">
        <v>7011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 t="s">
        <v>20</v>
      </c>
      <c r="L712" s="1">
        <v>45768</v>
      </c>
      <c r="M712">
        <v>591</v>
      </c>
      <c r="N712">
        <v>18</v>
      </c>
      <c r="O712">
        <v>17</v>
      </c>
      <c r="P712">
        <v>100</v>
      </c>
      <c r="Q712">
        <v>17</v>
      </c>
      <c r="S712">
        <v>0</v>
      </c>
      <c r="T712">
        <v>0</v>
      </c>
      <c r="U712">
        <f>+SUM(Table1[[#This Row],[Latinos]:[Cemex]])</f>
        <v>1</v>
      </c>
      <c r="V712" t="str">
        <f>+Table1[[#This Row],[id_destino]]&amp;" - "&amp;Table1[[#This Row],[id_origen]]</f>
        <v>591 - 18</v>
      </c>
    </row>
    <row r="713" spans="1:22" hidden="1">
      <c r="A713">
        <v>1532</v>
      </c>
      <c r="B713">
        <v>2797</v>
      </c>
      <c r="C713">
        <v>4177</v>
      </c>
      <c r="D713">
        <v>601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 t="s">
        <v>20</v>
      </c>
      <c r="L713" s="1">
        <v>43494</v>
      </c>
      <c r="M713">
        <v>601</v>
      </c>
      <c r="N713">
        <v>18</v>
      </c>
      <c r="O713">
        <v>18</v>
      </c>
      <c r="P713">
        <v>18</v>
      </c>
      <c r="Q713">
        <v>150</v>
      </c>
      <c r="S713">
        <v>0</v>
      </c>
      <c r="T713">
        <v>0</v>
      </c>
      <c r="U713">
        <f>+SUM(Table1[[#This Row],[Latinos]:[Cemex]])</f>
        <v>1</v>
      </c>
      <c r="V713" t="str">
        <f>+Table1[[#This Row],[id_destino]]&amp;" - "&amp;Table1[[#This Row],[id_origen]]</f>
        <v>601 - 18</v>
      </c>
    </row>
    <row r="714" spans="1:22" hidden="1">
      <c r="A714">
        <v>3482</v>
      </c>
      <c r="B714">
        <v>1314</v>
      </c>
      <c r="C714">
        <v>19</v>
      </c>
      <c r="D714">
        <v>7155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 t="s">
        <v>20</v>
      </c>
      <c r="L714" s="1">
        <v>44917</v>
      </c>
      <c r="M714">
        <v>602</v>
      </c>
      <c r="N714">
        <v>18</v>
      </c>
      <c r="O714">
        <v>76</v>
      </c>
      <c r="P714">
        <v>150</v>
      </c>
      <c r="Q714">
        <v>76</v>
      </c>
      <c r="S714">
        <v>199</v>
      </c>
      <c r="T714">
        <v>199</v>
      </c>
      <c r="U714">
        <f>+SUM(Table1[[#This Row],[Latinos]:[Cemex]])</f>
        <v>1</v>
      </c>
      <c r="V714" t="str">
        <f>+Table1[[#This Row],[id_destino]]&amp;" - "&amp;Table1[[#This Row],[id_origen]]</f>
        <v>602 - 18</v>
      </c>
    </row>
    <row r="715" spans="1:22" hidden="1">
      <c r="A715">
        <v>3729</v>
      </c>
      <c r="B715">
        <v>1314</v>
      </c>
      <c r="C715">
        <v>7312</v>
      </c>
      <c r="D715">
        <v>7338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 t="s">
        <v>20</v>
      </c>
      <c r="L715" s="1">
        <v>45059</v>
      </c>
      <c r="M715">
        <v>602</v>
      </c>
      <c r="N715">
        <v>18</v>
      </c>
      <c r="O715">
        <v>92</v>
      </c>
      <c r="P715">
        <v>150</v>
      </c>
      <c r="Q715">
        <v>92</v>
      </c>
      <c r="S715">
        <v>222</v>
      </c>
      <c r="T715">
        <v>222</v>
      </c>
      <c r="U715">
        <f>+SUM(Table1[[#This Row],[Latinos]:[Cemex]])</f>
        <v>1</v>
      </c>
      <c r="V715" t="str">
        <f>+Table1[[#This Row],[id_destino]]&amp;" - "&amp;Table1[[#This Row],[id_origen]]</f>
        <v>602 - 18</v>
      </c>
    </row>
    <row r="716" spans="1:22" hidden="1">
      <c r="A716">
        <v>3393</v>
      </c>
      <c r="B716">
        <v>3954</v>
      </c>
      <c r="C716">
        <v>5447</v>
      </c>
      <c r="D716">
        <v>7089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 t="s">
        <v>20</v>
      </c>
      <c r="L716" s="1">
        <v>44869</v>
      </c>
      <c r="M716">
        <v>615</v>
      </c>
      <c r="N716">
        <v>18</v>
      </c>
      <c r="O716">
        <v>187</v>
      </c>
      <c r="P716">
        <v>206</v>
      </c>
      <c r="Q716">
        <v>187</v>
      </c>
      <c r="S716">
        <v>551</v>
      </c>
      <c r="T716">
        <v>551</v>
      </c>
      <c r="U716">
        <f>+SUM(Table1[[#This Row],[Latinos]:[Cemex]])</f>
        <v>1</v>
      </c>
      <c r="V716" t="str">
        <f>+Table1[[#This Row],[id_destino]]&amp;" - "&amp;Table1[[#This Row],[id_origen]]</f>
        <v>615 - 18</v>
      </c>
    </row>
    <row r="717" spans="1:22" hidden="1">
      <c r="A717">
        <v>2873</v>
      </c>
      <c r="B717">
        <v>3625</v>
      </c>
      <c r="C717">
        <v>19</v>
      </c>
      <c r="D717">
        <v>6764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 t="s">
        <v>20</v>
      </c>
      <c r="L717" s="1">
        <v>44574</v>
      </c>
      <c r="M717">
        <v>616</v>
      </c>
      <c r="N717">
        <v>18</v>
      </c>
      <c r="O717">
        <v>91</v>
      </c>
      <c r="P717">
        <v>150</v>
      </c>
      <c r="Q717">
        <v>91</v>
      </c>
      <c r="S717">
        <v>199</v>
      </c>
      <c r="T717">
        <v>199</v>
      </c>
      <c r="U717">
        <f>+SUM(Table1[[#This Row],[Latinos]:[Cemex]])</f>
        <v>1</v>
      </c>
      <c r="V717" t="str">
        <f>+Table1[[#This Row],[id_destino]]&amp;" - "&amp;Table1[[#This Row],[id_origen]]</f>
        <v>616 - 18</v>
      </c>
    </row>
    <row r="718" spans="1:22" hidden="1">
      <c r="A718">
        <v>4565</v>
      </c>
      <c r="B718">
        <v>4757</v>
      </c>
      <c r="C718">
        <v>188</v>
      </c>
      <c r="D718">
        <v>8036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 t="s">
        <v>20</v>
      </c>
      <c r="L718" s="1">
        <v>45621</v>
      </c>
      <c r="M718">
        <v>658</v>
      </c>
      <c r="N718">
        <v>18</v>
      </c>
      <c r="O718">
        <v>479</v>
      </c>
      <c r="P718">
        <v>616</v>
      </c>
      <c r="Q718">
        <v>479</v>
      </c>
      <c r="S718">
        <v>1495</v>
      </c>
      <c r="T718">
        <v>1495</v>
      </c>
      <c r="U718">
        <f>+SUM(Table1[[#This Row],[Latinos]:[Cemex]])</f>
        <v>1</v>
      </c>
      <c r="V718" t="str">
        <f>+Table1[[#This Row],[id_destino]]&amp;" - "&amp;Table1[[#This Row],[id_origen]]</f>
        <v>658 - 18</v>
      </c>
    </row>
    <row r="719" spans="1:22" hidden="1">
      <c r="A719">
        <v>1301</v>
      </c>
      <c r="B719">
        <v>2681</v>
      </c>
      <c r="C719">
        <v>4805</v>
      </c>
      <c r="D719">
        <v>72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 t="s">
        <v>20</v>
      </c>
      <c r="L719" s="1">
        <v>43375</v>
      </c>
      <c r="M719">
        <v>669</v>
      </c>
      <c r="N719">
        <v>18</v>
      </c>
      <c r="O719">
        <v>365</v>
      </c>
      <c r="P719">
        <v>365</v>
      </c>
      <c r="Q719">
        <v>365</v>
      </c>
      <c r="S719">
        <v>424</v>
      </c>
      <c r="T719">
        <v>424</v>
      </c>
      <c r="U719">
        <f>+SUM(Table1[[#This Row],[Latinos]:[Cemex]])</f>
        <v>1</v>
      </c>
      <c r="V719" t="str">
        <f>+Table1[[#This Row],[id_destino]]&amp;" - "&amp;Table1[[#This Row],[id_origen]]</f>
        <v>669 - 18</v>
      </c>
    </row>
    <row r="720" spans="1:22" hidden="1">
      <c r="A720">
        <v>4347</v>
      </c>
      <c r="B720">
        <v>1913</v>
      </c>
      <c r="C720">
        <v>7526</v>
      </c>
      <c r="D720">
        <v>7841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 t="s">
        <v>20</v>
      </c>
      <c r="L720" s="1">
        <v>45488</v>
      </c>
      <c r="M720">
        <v>679</v>
      </c>
      <c r="N720">
        <v>18</v>
      </c>
      <c r="O720">
        <v>41</v>
      </c>
      <c r="P720">
        <v>150</v>
      </c>
      <c r="Q720">
        <v>41</v>
      </c>
      <c r="S720">
        <v>175</v>
      </c>
      <c r="T720">
        <v>175</v>
      </c>
      <c r="U720">
        <f>+SUM(Table1[[#This Row],[Latinos]:[Cemex]])</f>
        <v>1</v>
      </c>
      <c r="V720" t="str">
        <f>+Table1[[#This Row],[id_destino]]&amp;" - "&amp;Table1[[#This Row],[id_origen]]</f>
        <v>679 - 18</v>
      </c>
    </row>
    <row r="721" spans="1:22" hidden="1">
      <c r="A721">
        <v>2681</v>
      </c>
      <c r="B721">
        <v>3498</v>
      </c>
      <c r="C721">
        <v>19</v>
      </c>
      <c r="D721">
        <v>6583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 t="s">
        <v>20</v>
      </c>
      <c r="L721" s="1">
        <v>44337</v>
      </c>
      <c r="M721">
        <v>680</v>
      </c>
      <c r="N721">
        <v>18</v>
      </c>
      <c r="O721">
        <v>176</v>
      </c>
      <c r="P721">
        <v>163</v>
      </c>
      <c r="Q721">
        <v>176</v>
      </c>
      <c r="S721">
        <v>317</v>
      </c>
      <c r="T721">
        <v>317</v>
      </c>
      <c r="U721">
        <f>+SUM(Table1[[#This Row],[Latinos]:[Cemex]])</f>
        <v>1</v>
      </c>
      <c r="V721" t="str">
        <f>+Table1[[#This Row],[id_destino]]&amp;" - "&amp;Table1[[#This Row],[id_origen]]</f>
        <v>680 - 18</v>
      </c>
    </row>
    <row r="722" spans="1:22" hidden="1">
      <c r="A722">
        <v>1891</v>
      </c>
      <c r="B722">
        <v>3001</v>
      </c>
      <c r="C722">
        <v>4035</v>
      </c>
      <c r="D722">
        <v>6024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 t="s">
        <v>20</v>
      </c>
      <c r="L722" s="1">
        <v>43697</v>
      </c>
      <c r="M722">
        <v>682</v>
      </c>
      <c r="N722">
        <v>18</v>
      </c>
      <c r="O722">
        <v>154</v>
      </c>
      <c r="P722">
        <v>146</v>
      </c>
      <c r="Q722">
        <v>154</v>
      </c>
      <c r="S722">
        <v>454</v>
      </c>
      <c r="T722">
        <v>454</v>
      </c>
      <c r="U722">
        <f>+SUM(Table1[[#This Row],[Latinos]:[Cemex]])</f>
        <v>1</v>
      </c>
      <c r="V722" t="str">
        <f>+Table1[[#This Row],[id_destino]]&amp;" - "&amp;Table1[[#This Row],[id_origen]]</f>
        <v>682 - 18</v>
      </c>
    </row>
    <row r="723" spans="1:22" hidden="1">
      <c r="A723">
        <v>1736</v>
      </c>
      <c r="B723">
        <v>2766</v>
      </c>
      <c r="C723">
        <v>7526</v>
      </c>
      <c r="D723">
        <v>3489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 t="s">
        <v>20</v>
      </c>
      <c r="L723" s="1">
        <v>45229</v>
      </c>
      <c r="M723">
        <v>684</v>
      </c>
      <c r="N723">
        <v>18</v>
      </c>
      <c r="O723">
        <v>284</v>
      </c>
      <c r="P723">
        <v>278</v>
      </c>
      <c r="Q723">
        <v>284</v>
      </c>
      <c r="S723">
        <v>1061</v>
      </c>
      <c r="T723">
        <v>1161</v>
      </c>
      <c r="U723">
        <f>+SUM(Table1[[#This Row],[Latinos]:[Cemex]])</f>
        <v>1</v>
      </c>
      <c r="V723" t="str">
        <f>+Table1[[#This Row],[id_destino]]&amp;" - "&amp;Table1[[#This Row],[id_origen]]</f>
        <v>684 - 18</v>
      </c>
    </row>
    <row r="724" spans="1:22" hidden="1">
      <c r="A724">
        <v>1651</v>
      </c>
      <c r="B724">
        <v>2863</v>
      </c>
      <c r="C724">
        <v>19</v>
      </c>
      <c r="D724">
        <v>5037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 t="s">
        <v>20</v>
      </c>
      <c r="L724" s="1">
        <v>43550</v>
      </c>
      <c r="M724">
        <v>685</v>
      </c>
      <c r="N724">
        <v>18</v>
      </c>
      <c r="O724">
        <v>209</v>
      </c>
      <c r="P724">
        <v>209</v>
      </c>
      <c r="Q724">
        <v>209</v>
      </c>
      <c r="S724">
        <v>602</v>
      </c>
      <c r="T724">
        <v>672</v>
      </c>
      <c r="U724">
        <f>+SUM(Table1[[#This Row],[Latinos]:[Cemex]])</f>
        <v>1</v>
      </c>
      <c r="V724" t="str">
        <f>+Table1[[#This Row],[id_destino]]&amp;" - "&amp;Table1[[#This Row],[id_origen]]</f>
        <v>685 - 18</v>
      </c>
    </row>
    <row r="725" spans="1:22" hidden="1">
      <c r="A725">
        <v>2712</v>
      </c>
      <c r="B725">
        <v>3518</v>
      </c>
      <c r="C725">
        <v>19</v>
      </c>
      <c r="D725">
        <v>7707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 t="s">
        <v>20</v>
      </c>
      <c r="L725" s="1">
        <v>45373</v>
      </c>
      <c r="M725">
        <v>688</v>
      </c>
      <c r="N725">
        <v>18</v>
      </c>
      <c r="O725">
        <v>84</v>
      </c>
      <c r="P725">
        <v>150</v>
      </c>
      <c r="Q725">
        <v>84</v>
      </c>
      <c r="S725">
        <v>58</v>
      </c>
      <c r="T725">
        <v>58</v>
      </c>
      <c r="U725">
        <f>+SUM(Table1[[#This Row],[Latinos]:[Cemex]])</f>
        <v>1</v>
      </c>
      <c r="V725" t="str">
        <f>+Table1[[#This Row],[id_destino]]&amp;" - "&amp;Table1[[#This Row],[id_origen]]</f>
        <v>688 - 18</v>
      </c>
    </row>
    <row r="726" spans="1:22" hidden="1">
      <c r="A726">
        <v>3999</v>
      </c>
      <c r="B726">
        <v>3518</v>
      </c>
      <c r="C726">
        <v>7526</v>
      </c>
      <c r="D726">
        <v>7528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 t="s">
        <v>20</v>
      </c>
      <c r="L726" s="1">
        <v>45230</v>
      </c>
      <c r="M726">
        <v>688</v>
      </c>
      <c r="N726">
        <v>18</v>
      </c>
      <c r="O726">
        <v>68</v>
      </c>
      <c r="P726">
        <v>100</v>
      </c>
      <c r="Q726">
        <v>68</v>
      </c>
      <c r="S726">
        <v>58</v>
      </c>
      <c r="T726">
        <v>58</v>
      </c>
      <c r="U726">
        <f>+SUM(Table1[[#This Row],[Latinos]:[Cemex]])</f>
        <v>1</v>
      </c>
      <c r="V726" t="str">
        <f>+Table1[[#This Row],[id_destino]]&amp;" - "&amp;Table1[[#This Row],[id_origen]]</f>
        <v>688 - 18</v>
      </c>
    </row>
    <row r="727" spans="1:22" hidden="1">
      <c r="A727">
        <v>1665</v>
      </c>
      <c r="B727">
        <v>2874</v>
      </c>
      <c r="C727">
        <v>4805</v>
      </c>
      <c r="D727">
        <v>255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 t="s">
        <v>20</v>
      </c>
      <c r="L727" s="1">
        <v>43554</v>
      </c>
      <c r="M727">
        <v>714</v>
      </c>
      <c r="N727">
        <v>18</v>
      </c>
      <c r="O727">
        <v>46</v>
      </c>
      <c r="P727">
        <v>150</v>
      </c>
      <c r="Q727">
        <v>46</v>
      </c>
      <c r="S727">
        <v>0</v>
      </c>
      <c r="T727">
        <v>0</v>
      </c>
      <c r="U727">
        <f>+SUM(Table1[[#This Row],[Latinos]:[Cemex]])</f>
        <v>1</v>
      </c>
      <c r="V727" t="str">
        <f>+Table1[[#This Row],[id_destino]]&amp;" - "&amp;Table1[[#This Row],[id_origen]]</f>
        <v>714 - 18</v>
      </c>
    </row>
    <row r="728" spans="1:22" hidden="1">
      <c r="A728">
        <v>1977</v>
      </c>
      <c r="B728">
        <v>2874</v>
      </c>
      <c r="C728">
        <v>4177</v>
      </c>
      <c r="D728">
        <v>255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 t="s">
        <v>20</v>
      </c>
      <c r="L728" s="1">
        <v>43747</v>
      </c>
      <c r="M728">
        <v>714</v>
      </c>
      <c r="N728">
        <v>18</v>
      </c>
      <c r="O728">
        <v>45</v>
      </c>
      <c r="P728">
        <v>150</v>
      </c>
      <c r="Q728">
        <v>45</v>
      </c>
      <c r="S728">
        <v>368</v>
      </c>
      <c r="T728">
        <v>368</v>
      </c>
      <c r="U728">
        <f>+SUM(Table1[[#This Row],[Latinos]:[Cemex]])</f>
        <v>1</v>
      </c>
      <c r="V728" t="str">
        <f>+Table1[[#This Row],[id_destino]]&amp;" - "&amp;Table1[[#This Row],[id_origen]]</f>
        <v>714 - 18</v>
      </c>
    </row>
    <row r="729" spans="1:22" hidden="1">
      <c r="A729">
        <v>4517</v>
      </c>
      <c r="B729">
        <v>4720</v>
      </c>
      <c r="C729">
        <v>2853</v>
      </c>
      <c r="D729">
        <v>7991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 t="s">
        <v>20</v>
      </c>
      <c r="L729" s="1">
        <v>45597</v>
      </c>
      <c r="M729">
        <v>725</v>
      </c>
      <c r="N729">
        <v>18</v>
      </c>
      <c r="O729">
        <v>347</v>
      </c>
      <c r="P729">
        <v>342</v>
      </c>
      <c r="Q729">
        <v>347</v>
      </c>
      <c r="S729">
        <v>1807</v>
      </c>
      <c r="T729">
        <v>1900</v>
      </c>
      <c r="U729">
        <f>+SUM(Table1[[#This Row],[Latinos]:[Cemex]])</f>
        <v>1</v>
      </c>
      <c r="V729" t="str">
        <f>+Table1[[#This Row],[id_destino]]&amp;" - "&amp;Table1[[#This Row],[id_origen]]</f>
        <v>725 - 18</v>
      </c>
    </row>
    <row r="730" spans="1:22" hidden="1">
      <c r="A730">
        <v>3845</v>
      </c>
      <c r="B730">
        <v>4255</v>
      </c>
      <c r="C730">
        <v>7416</v>
      </c>
      <c r="D730">
        <v>7417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 t="s">
        <v>20</v>
      </c>
      <c r="L730" s="1">
        <v>45140</v>
      </c>
      <c r="M730">
        <v>746</v>
      </c>
      <c r="N730">
        <v>18</v>
      </c>
      <c r="O730">
        <v>894</v>
      </c>
      <c r="P730">
        <v>900</v>
      </c>
      <c r="Q730">
        <v>894</v>
      </c>
      <c r="S730">
        <v>912</v>
      </c>
      <c r="T730">
        <v>912</v>
      </c>
      <c r="U730">
        <f>+SUM(Table1[[#This Row],[Latinos]:[Cemex]])</f>
        <v>1</v>
      </c>
      <c r="V730" t="str">
        <f>+Table1[[#This Row],[id_destino]]&amp;" - "&amp;Table1[[#This Row],[id_origen]]</f>
        <v>746 - 18</v>
      </c>
    </row>
    <row r="731" spans="1:22" hidden="1">
      <c r="A731">
        <v>4489</v>
      </c>
      <c r="B731">
        <v>4697</v>
      </c>
      <c r="C731">
        <v>2853</v>
      </c>
      <c r="D731">
        <v>7962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 t="s">
        <v>20</v>
      </c>
      <c r="L731" s="1">
        <v>45582</v>
      </c>
      <c r="M731">
        <v>754</v>
      </c>
      <c r="N731">
        <v>18</v>
      </c>
      <c r="O731">
        <v>282</v>
      </c>
      <c r="P731">
        <v>278</v>
      </c>
      <c r="Q731">
        <v>282</v>
      </c>
      <c r="S731">
        <v>1219</v>
      </c>
      <c r="T731">
        <v>1219</v>
      </c>
      <c r="U731">
        <f>+SUM(Table1[[#This Row],[Latinos]:[Cemex]])</f>
        <v>1</v>
      </c>
      <c r="V731" t="str">
        <f>+Table1[[#This Row],[id_destino]]&amp;" - "&amp;Table1[[#This Row],[id_origen]]</f>
        <v>754 - 18</v>
      </c>
    </row>
    <row r="732" spans="1:22" hidden="1">
      <c r="A732">
        <v>4423</v>
      </c>
      <c r="B732">
        <v>4648</v>
      </c>
      <c r="C732">
        <v>2853</v>
      </c>
      <c r="D732">
        <v>7892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 t="s">
        <v>20</v>
      </c>
      <c r="L732" s="1">
        <v>45532</v>
      </c>
      <c r="M732">
        <v>779</v>
      </c>
      <c r="N732">
        <v>18</v>
      </c>
      <c r="O732">
        <v>208</v>
      </c>
      <c r="P732">
        <v>205</v>
      </c>
      <c r="Q732">
        <v>208</v>
      </c>
      <c r="S732">
        <v>698</v>
      </c>
      <c r="T732">
        <v>698</v>
      </c>
      <c r="U732">
        <f>+SUM(Table1[[#This Row],[Latinos]:[Cemex]])</f>
        <v>1</v>
      </c>
      <c r="V732" t="str">
        <f>+Table1[[#This Row],[id_destino]]&amp;" - "&amp;Table1[[#This Row],[id_origen]]</f>
        <v>779 - 18</v>
      </c>
    </row>
    <row r="733" spans="1:22" hidden="1">
      <c r="A733">
        <v>4417</v>
      </c>
      <c r="B733">
        <v>4642</v>
      </c>
      <c r="C733">
        <v>2853</v>
      </c>
      <c r="D733">
        <v>7889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 t="s">
        <v>20</v>
      </c>
      <c r="L733" s="1">
        <v>45531</v>
      </c>
      <c r="M733">
        <v>798</v>
      </c>
      <c r="N733">
        <v>18</v>
      </c>
      <c r="O733">
        <v>486</v>
      </c>
      <c r="P733">
        <v>483</v>
      </c>
      <c r="Q733">
        <v>486</v>
      </c>
      <c r="S733">
        <v>2144</v>
      </c>
      <c r="T733">
        <v>2144</v>
      </c>
      <c r="U733">
        <f>+SUM(Table1[[#This Row],[Latinos]:[Cemex]])</f>
        <v>1</v>
      </c>
      <c r="V733" t="str">
        <f>+Table1[[#This Row],[id_destino]]&amp;" - "&amp;Table1[[#This Row],[id_origen]]</f>
        <v>798 - 18</v>
      </c>
    </row>
    <row r="734" spans="1:22" hidden="1">
      <c r="A734">
        <v>2778</v>
      </c>
      <c r="B734">
        <v>3560</v>
      </c>
      <c r="C734">
        <v>188</v>
      </c>
      <c r="D734">
        <v>6663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 t="s">
        <v>20</v>
      </c>
      <c r="L734" s="1">
        <v>44438</v>
      </c>
      <c r="M734">
        <v>831</v>
      </c>
      <c r="N734">
        <v>18</v>
      </c>
      <c r="O734">
        <v>522</v>
      </c>
      <c r="P734">
        <v>504</v>
      </c>
      <c r="Q734">
        <v>522</v>
      </c>
      <c r="S734">
        <v>1907</v>
      </c>
      <c r="T734">
        <v>1907</v>
      </c>
      <c r="U734">
        <f>+SUM(Table1[[#This Row],[Latinos]:[Cemex]])</f>
        <v>1</v>
      </c>
      <c r="V734" t="str">
        <f>+Table1[[#This Row],[id_destino]]&amp;" - "&amp;Table1[[#This Row],[id_origen]]</f>
        <v>831 - 18</v>
      </c>
    </row>
    <row r="735" spans="1:22" hidden="1">
      <c r="A735">
        <v>2779</v>
      </c>
      <c r="B735">
        <v>3560</v>
      </c>
      <c r="C735">
        <v>188</v>
      </c>
      <c r="D735">
        <v>6663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 t="s">
        <v>20</v>
      </c>
      <c r="L735" s="1">
        <v>44438</v>
      </c>
      <c r="M735">
        <v>831</v>
      </c>
      <c r="N735">
        <v>18</v>
      </c>
      <c r="O735">
        <v>522</v>
      </c>
      <c r="P735">
        <v>538</v>
      </c>
      <c r="Q735">
        <v>522</v>
      </c>
      <c r="S735">
        <v>0</v>
      </c>
      <c r="T735">
        <v>0</v>
      </c>
      <c r="U735">
        <f>+SUM(Table1[[#This Row],[Latinos]:[Cemex]])</f>
        <v>1</v>
      </c>
      <c r="V735" t="str">
        <f>+Table1[[#This Row],[id_destino]]&amp;" - "&amp;Table1[[#This Row],[id_origen]]</f>
        <v>831 - 18</v>
      </c>
    </row>
    <row r="736" spans="1:22" hidden="1">
      <c r="A736">
        <v>3509</v>
      </c>
      <c r="B736">
        <v>4037</v>
      </c>
      <c r="C736">
        <v>19</v>
      </c>
      <c r="D736">
        <v>7176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 t="s">
        <v>20</v>
      </c>
      <c r="L736" s="1">
        <v>44938</v>
      </c>
      <c r="M736">
        <v>868</v>
      </c>
      <c r="N736">
        <v>18</v>
      </c>
      <c r="O736">
        <v>46</v>
      </c>
      <c r="P736">
        <v>150</v>
      </c>
      <c r="Q736">
        <v>46</v>
      </c>
      <c r="S736">
        <v>0</v>
      </c>
      <c r="T736">
        <v>0</v>
      </c>
      <c r="U736">
        <f>+SUM(Table1[[#This Row],[Latinos]:[Cemex]])</f>
        <v>1</v>
      </c>
      <c r="V736" t="str">
        <f>+Table1[[#This Row],[id_destino]]&amp;" - "&amp;Table1[[#This Row],[id_origen]]</f>
        <v>868 - 18</v>
      </c>
    </row>
    <row r="737" spans="1:22" hidden="1">
      <c r="A737">
        <v>4460</v>
      </c>
      <c r="B737">
        <v>4675</v>
      </c>
      <c r="C737">
        <v>19</v>
      </c>
      <c r="D737">
        <v>7930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 t="s">
        <v>20</v>
      </c>
      <c r="L737" s="1">
        <v>45561</v>
      </c>
      <c r="M737">
        <v>912</v>
      </c>
      <c r="N737">
        <v>18</v>
      </c>
      <c r="O737">
        <v>33</v>
      </c>
      <c r="P737">
        <v>35</v>
      </c>
      <c r="Q737">
        <v>33</v>
      </c>
      <c r="S737">
        <v>0</v>
      </c>
      <c r="T737">
        <v>0</v>
      </c>
      <c r="U737">
        <f>+SUM(Table1[[#This Row],[Latinos]:[Cemex]])</f>
        <v>1</v>
      </c>
      <c r="V737" t="str">
        <f>+Table1[[#This Row],[id_destino]]&amp;" - "&amp;Table1[[#This Row],[id_origen]]</f>
        <v>912 - 18</v>
      </c>
    </row>
    <row r="738" spans="1:22" hidden="1">
      <c r="A738">
        <v>4509</v>
      </c>
      <c r="B738">
        <v>4714</v>
      </c>
      <c r="C738">
        <v>2853</v>
      </c>
      <c r="D738">
        <v>7980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 t="s">
        <v>20</v>
      </c>
      <c r="L738" s="1">
        <v>45594</v>
      </c>
      <c r="M738">
        <v>913</v>
      </c>
      <c r="N738">
        <v>18</v>
      </c>
      <c r="O738">
        <v>302</v>
      </c>
      <c r="P738">
        <v>297</v>
      </c>
      <c r="Q738">
        <v>302</v>
      </c>
      <c r="S738">
        <v>960</v>
      </c>
      <c r="T738">
        <v>1053</v>
      </c>
      <c r="U738">
        <f>+SUM(Table1[[#This Row],[Latinos]:[Cemex]])</f>
        <v>1</v>
      </c>
      <c r="V738" t="str">
        <f>+Table1[[#This Row],[id_destino]]&amp;" - "&amp;Table1[[#This Row],[id_origen]]</f>
        <v>913 - 18</v>
      </c>
    </row>
    <row r="739" spans="1:22" hidden="1">
      <c r="A739">
        <v>4529</v>
      </c>
      <c r="B739">
        <v>4729</v>
      </c>
      <c r="C739">
        <v>2853</v>
      </c>
      <c r="D739">
        <v>7999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 t="s">
        <v>20</v>
      </c>
      <c r="L739" s="1">
        <v>45603</v>
      </c>
      <c r="M739">
        <v>914</v>
      </c>
      <c r="N739">
        <v>18</v>
      </c>
      <c r="O739">
        <v>334</v>
      </c>
      <c r="P739">
        <v>335</v>
      </c>
      <c r="Q739">
        <v>334</v>
      </c>
      <c r="S739">
        <v>1388</v>
      </c>
      <c r="T739">
        <v>1388</v>
      </c>
      <c r="U739">
        <f>+SUM(Table1[[#This Row],[Latinos]:[Cemex]])</f>
        <v>1</v>
      </c>
      <c r="V739" t="str">
        <f>+Table1[[#This Row],[id_destino]]&amp;" - "&amp;Table1[[#This Row],[id_origen]]</f>
        <v>914 - 18</v>
      </c>
    </row>
    <row r="740" spans="1:22" hidden="1">
      <c r="A740">
        <v>4549</v>
      </c>
      <c r="B740">
        <v>4744</v>
      </c>
      <c r="C740">
        <v>2853</v>
      </c>
      <c r="D740">
        <v>8017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 t="s">
        <v>20</v>
      </c>
      <c r="L740" s="1">
        <v>45611</v>
      </c>
      <c r="M740">
        <v>918</v>
      </c>
      <c r="N740">
        <v>18</v>
      </c>
      <c r="O740">
        <v>506</v>
      </c>
      <c r="P740">
        <v>530</v>
      </c>
      <c r="Q740">
        <v>506</v>
      </c>
      <c r="S740">
        <v>1961</v>
      </c>
      <c r="T740">
        <v>1961</v>
      </c>
      <c r="U740">
        <f>+SUM(Table1[[#This Row],[Latinos]:[Cemex]])</f>
        <v>1</v>
      </c>
      <c r="V740" t="str">
        <f>+Table1[[#This Row],[id_destino]]&amp;" - "&amp;Table1[[#This Row],[id_origen]]</f>
        <v>918 - 18</v>
      </c>
    </row>
    <row r="741" spans="1:22" hidden="1">
      <c r="A741">
        <v>4562</v>
      </c>
      <c r="B741">
        <v>4754</v>
      </c>
      <c r="C741">
        <v>188</v>
      </c>
      <c r="D741">
        <v>8028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 t="s">
        <v>20</v>
      </c>
      <c r="L741" s="1">
        <v>45618</v>
      </c>
      <c r="M741">
        <v>921</v>
      </c>
      <c r="N741">
        <v>18</v>
      </c>
      <c r="O741">
        <v>810</v>
      </c>
      <c r="P741">
        <v>715</v>
      </c>
      <c r="Q741">
        <v>810</v>
      </c>
      <c r="S741">
        <v>2381</v>
      </c>
      <c r="T741">
        <v>2479</v>
      </c>
      <c r="U741">
        <f>+SUM(Table1[[#This Row],[Latinos]:[Cemex]])</f>
        <v>1</v>
      </c>
      <c r="V741" t="str">
        <f>+Table1[[#This Row],[id_destino]]&amp;" - "&amp;Table1[[#This Row],[id_origen]]</f>
        <v>921 - 18</v>
      </c>
    </row>
    <row r="742" spans="1:22" hidden="1">
      <c r="A742">
        <v>4563</v>
      </c>
      <c r="B742">
        <v>4755</v>
      </c>
      <c r="C742">
        <v>188</v>
      </c>
      <c r="D742">
        <v>8029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 t="s">
        <v>20</v>
      </c>
      <c r="L742" s="1">
        <v>45618</v>
      </c>
      <c r="M742">
        <v>922</v>
      </c>
      <c r="N742">
        <v>18</v>
      </c>
      <c r="O742">
        <v>528</v>
      </c>
      <c r="P742">
        <v>520</v>
      </c>
      <c r="Q742">
        <v>528</v>
      </c>
      <c r="S742">
        <v>2381</v>
      </c>
      <c r="T742">
        <v>2479</v>
      </c>
      <c r="U742">
        <f>+SUM(Table1[[#This Row],[Latinos]:[Cemex]])</f>
        <v>1</v>
      </c>
      <c r="V742" t="str">
        <f>+Table1[[#This Row],[id_destino]]&amp;" - "&amp;Table1[[#This Row],[id_origen]]</f>
        <v>922 - 18</v>
      </c>
    </row>
    <row r="743" spans="1:22" hidden="1">
      <c r="A743">
        <v>4836</v>
      </c>
      <c r="B743">
        <v>4942</v>
      </c>
      <c r="C743">
        <v>4177</v>
      </c>
      <c r="D743">
        <v>8288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 t="s">
        <v>20</v>
      </c>
      <c r="L743" s="1">
        <v>45876</v>
      </c>
      <c r="M743">
        <v>931</v>
      </c>
      <c r="N743">
        <v>18</v>
      </c>
      <c r="O743">
        <v>569</v>
      </c>
      <c r="P743">
        <v>447</v>
      </c>
      <c r="Q743">
        <v>569</v>
      </c>
      <c r="S743">
        <v>2365</v>
      </c>
      <c r="T743">
        <v>2365</v>
      </c>
      <c r="U743">
        <f>+SUM(Table1[[#This Row],[Latinos]:[Cemex]])</f>
        <v>1</v>
      </c>
      <c r="V743" t="str">
        <f>+Table1[[#This Row],[id_destino]]&amp;" - "&amp;Table1[[#This Row],[id_origen]]</f>
        <v>931 - 18</v>
      </c>
    </row>
    <row r="744" spans="1:22" hidden="1">
      <c r="A744">
        <v>1318</v>
      </c>
      <c r="B744">
        <v>17</v>
      </c>
      <c r="C744">
        <v>3935</v>
      </c>
      <c r="D744">
        <v>388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 t="s">
        <v>20</v>
      </c>
      <c r="L744" s="1">
        <v>43381</v>
      </c>
      <c r="M744">
        <v>9</v>
      </c>
      <c r="N744">
        <v>19</v>
      </c>
      <c r="O744">
        <v>1359</v>
      </c>
      <c r="P744">
        <v>1359</v>
      </c>
      <c r="Q744">
        <v>1359</v>
      </c>
      <c r="S744">
        <v>1812</v>
      </c>
      <c r="T744">
        <v>1812</v>
      </c>
      <c r="U744">
        <f>+SUM(Table1[[#This Row],[Latinos]:[Cemex]])</f>
        <v>1</v>
      </c>
      <c r="V744" t="str">
        <f>+Table1[[#This Row],[id_destino]]&amp;" - "&amp;Table1[[#This Row],[id_origen]]</f>
        <v>9 - 19</v>
      </c>
    </row>
    <row r="745" spans="1:22" hidden="1">
      <c r="A745">
        <v>3308</v>
      </c>
      <c r="B745">
        <v>3899</v>
      </c>
      <c r="C745">
        <v>22</v>
      </c>
      <c r="D745">
        <v>7047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 t="s">
        <v>20</v>
      </c>
      <c r="L745" s="1">
        <v>44825</v>
      </c>
      <c r="M745">
        <v>13</v>
      </c>
      <c r="N745">
        <v>19</v>
      </c>
      <c r="O745">
        <v>271</v>
      </c>
      <c r="P745">
        <v>263</v>
      </c>
      <c r="Q745">
        <v>271</v>
      </c>
      <c r="S745">
        <v>700</v>
      </c>
      <c r="T745">
        <v>700</v>
      </c>
      <c r="U745">
        <f>+SUM(Table1[[#This Row],[Latinos]:[Cemex]])</f>
        <v>1</v>
      </c>
      <c r="V745" t="str">
        <f>+Table1[[#This Row],[id_destino]]&amp;" - "&amp;Table1[[#This Row],[id_origen]]</f>
        <v>13 - 19</v>
      </c>
    </row>
    <row r="746" spans="1:22" hidden="1">
      <c r="A746">
        <v>203</v>
      </c>
      <c r="B746">
        <v>706</v>
      </c>
      <c r="C746">
        <v>1869</v>
      </c>
      <c r="D746">
        <v>5303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 t="s">
        <v>20</v>
      </c>
      <c r="L746" s="1">
        <v>43186</v>
      </c>
      <c r="M746">
        <v>18</v>
      </c>
      <c r="N746">
        <v>19</v>
      </c>
      <c r="O746">
        <v>37</v>
      </c>
      <c r="P746">
        <v>150</v>
      </c>
      <c r="Q746">
        <v>37</v>
      </c>
      <c r="S746">
        <v>368</v>
      </c>
      <c r="T746">
        <v>368</v>
      </c>
      <c r="U746">
        <f>+SUM(Table1[[#This Row],[Latinos]:[Cemex]])</f>
        <v>1</v>
      </c>
      <c r="V746" t="str">
        <f>+Table1[[#This Row],[id_destino]]&amp;" - "&amp;Table1[[#This Row],[id_origen]]</f>
        <v>18 - 19</v>
      </c>
    </row>
    <row r="747" spans="1:22" hidden="1">
      <c r="A747">
        <v>892</v>
      </c>
      <c r="B747">
        <v>921</v>
      </c>
      <c r="C747">
        <v>4841</v>
      </c>
      <c r="D747">
        <v>4841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 t="s">
        <v>20</v>
      </c>
      <c r="L747" s="1">
        <v>43206</v>
      </c>
      <c r="M747">
        <v>19</v>
      </c>
      <c r="N747">
        <v>19</v>
      </c>
      <c r="O747">
        <v>10</v>
      </c>
      <c r="P747">
        <v>150</v>
      </c>
      <c r="Q747">
        <v>10</v>
      </c>
      <c r="S747">
        <v>0</v>
      </c>
      <c r="T747">
        <v>0</v>
      </c>
      <c r="U747">
        <f>+SUM(Table1[[#This Row],[Latinos]:[Cemex]])</f>
        <v>1</v>
      </c>
      <c r="V747" t="str">
        <f>+Table1[[#This Row],[id_destino]]&amp;" - "&amp;Table1[[#This Row],[id_origen]]</f>
        <v>19 - 19</v>
      </c>
    </row>
    <row r="748" spans="1:22" hidden="1">
      <c r="A748">
        <v>4805</v>
      </c>
      <c r="B748">
        <v>921</v>
      </c>
      <c r="C748">
        <v>3935</v>
      </c>
      <c r="D748">
        <v>8260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 t="s">
        <v>20</v>
      </c>
      <c r="L748" s="1">
        <v>45842</v>
      </c>
      <c r="M748">
        <v>19</v>
      </c>
      <c r="N748">
        <v>19</v>
      </c>
      <c r="O748">
        <v>30</v>
      </c>
      <c r="P748">
        <v>30</v>
      </c>
      <c r="Q748">
        <v>150</v>
      </c>
      <c r="S748">
        <v>222</v>
      </c>
      <c r="T748">
        <v>222</v>
      </c>
      <c r="U748">
        <f>+SUM(Table1[[#This Row],[Latinos]:[Cemex]])</f>
        <v>1</v>
      </c>
      <c r="V748" t="str">
        <f>+Table1[[#This Row],[id_destino]]&amp;" - "&amp;Table1[[#This Row],[id_origen]]</f>
        <v>19 - 19</v>
      </c>
    </row>
    <row r="749" spans="1:22" hidden="1">
      <c r="A749">
        <v>483</v>
      </c>
      <c r="B749">
        <v>1334</v>
      </c>
      <c r="C749">
        <v>22</v>
      </c>
      <c r="D749">
        <v>4376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 t="s">
        <v>20</v>
      </c>
      <c r="L749" s="1">
        <v>43076</v>
      </c>
      <c r="M749">
        <v>20</v>
      </c>
      <c r="N749">
        <v>19</v>
      </c>
      <c r="O749">
        <v>40</v>
      </c>
      <c r="P749">
        <v>40</v>
      </c>
      <c r="Q749">
        <v>40</v>
      </c>
      <c r="S749">
        <v>150</v>
      </c>
      <c r="T749">
        <v>150</v>
      </c>
      <c r="U749">
        <f>+SUM(Table1[[#This Row],[Latinos]:[Cemex]])</f>
        <v>1</v>
      </c>
      <c r="V749" t="str">
        <f>+Table1[[#This Row],[id_destino]]&amp;" - "&amp;Table1[[#This Row],[id_origen]]</f>
        <v>20 - 19</v>
      </c>
    </row>
    <row r="750" spans="1:22" hidden="1">
      <c r="A750">
        <v>545</v>
      </c>
      <c r="B750">
        <v>1334</v>
      </c>
      <c r="C750">
        <v>5399</v>
      </c>
      <c r="D750">
        <v>5404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 t="s">
        <v>20</v>
      </c>
      <c r="L750" s="1">
        <v>43096</v>
      </c>
      <c r="M750">
        <v>20</v>
      </c>
      <c r="N750">
        <v>19</v>
      </c>
      <c r="O750">
        <v>50</v>
      </c>
      <c r="P750">
        <v>150</v>
      </c>
      <c r="Q750">
        <v>50</v>
      </c>
      <c r="S750">
        <v>0</v>
      </c>
      <c r="T750">
        <v>0</v>
      </c>
      <c r="U750">
        <f>+SUM(Table1[[#This Row],[Latinos]:[Cemex]])</f>
        <v>1</v>
      </c>
      <c r="V750" t="str">
        <f>+Table1[[#This Row],[id_destino]]&amp;" - "&amp;Table1[[#This Row],[id_origen]]</f>
        <v>20 - 19</v>
      </c>
    </row>
    <row r="751" spans="1:22" hidden="1">
      <c r="A751">
        <v>1152</v>
      </c>
      <c r="B751">
        <v>387</v>
      </c>
      <c r="C751">
        <v>3935</v>
      </c>
      <c r="D751">
        <v>5530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 t="s">
        <v>20</v>
      </c>
      <c r="L751" s="1">
        <v>43892</v>
      </c>
      <c r="M751">
        <v>23</v>
      </c>
      <c r="N751">
        <v>19</v>
      </c>
      <c r="O751">
        <v>527</v>
      </c>
      <c r="P751">
        <v>527</v>
      </c>
      <c r="Q751">
        <v>527</v>
      </c>
      <c r="S751">
        <v>1621</v>
      </c>
      <c r="T751">
        <v>1621</v>
      </c>
      <c r="U751">
        <f>+SUM(Table1[[#This Row],[Latinos]:[Cemex]])</f>
        <v>1</v>
      </c>
      <c r="V751" t="str">
        <f>+Table1[[#This Row],[id_destino]]&amp;" - "&amp;Table1[[#This Row],[id_origen]]</f>
        <v>23 - 19</v>
      </c>
    </row>
    <row r="752" spans="1:22" hidden="1">
      <c r="A752">
        <v>4797</v>
      </c>
      <c r="B752">
        <v>387</v>
      </c>
      <c r="C752">
        <v>3935</v>
      </c>
      <c r="D752">
        <v>5530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 t="s">
        <v>20</v>
      </c>
      <c r="L752" s="1">
        <v>45836</v>
      </c>
      <c r="M752">
        <v>23</v>
      </c>
      <c r="N752">
        <v>19</v>
      </c>
      <c r="O752">
        <v>530</v>
      </c>
      <c r="P752">
        <v>530</v>
      </c>
      <c r="Q752">
        <v>530</v>
      </c>
      <c r="S752">
        <v>2620</v>
      </c>
      <c r="T752">
        <v>2620</v>
      </c>
      <c r="U752">
        <f>+SUM(Table1[[#This Row],[Latinos]:[Cemex]])</f>
        <v>1</v>
      </c>
      <c r="V752" t="str">
        <f>+Table1[[#This Row],[id_destino]]&amp;" - "&amp;Table1[[#This Row],[id_origen]]</f>
        <v>23 - 19</v>
      </c>
    </row>
    <row r="753" spans="1:22" hidden="1">
      <c r="A753">
        <v>1782</v>
      </c>
      <c r="B753">
        <v>2935</v>
      </c>
      <c r="C753">
        <v>3935</v>
      </c>
      <c r="D753">
        <v>403</v>
      </c>
      <c r="E753">
        <v>0</v>
      </c>
      <c r="F753">
        <v>0</v>
      </c>
      <c r="G753">
        <v>0</v>
      </c>
      <c r="H753">
        <v>1</v>
      </c>
      <c r="I753">
        <v>0</v>
      </c>
      <c r="J753">
        <v>0</v>
      </c>
      <c r="K753" t="s">
        <v>20</v>
      </c>
      <c r="L753" s="1">
        <v>43624</v>
      </c>
      <c r="M753">
        <v>27</v>
      </c>
      <c r="N753">
        <v>19</v>
      </c>
      <c r="O753">
        <v>871</v>
      </c>
      <c r="P753">
        <v>871</v>
      </c>
      <c r="Q753">
        <v>871</v>
      </c>
      <c r="S753">
        <v>2090</v>
      </c>
      <c r="T753">
        <v>2090</v>
      </c>
      <c r="U753">
        <f>+SUM(Table1[[#This Row],[Latinos]:[Cemex]])</f>
        <v>1</v>
      </c>
      <c r="V753" t="str">
        <f>+Table1[[#This Row],[id_destino]]&amp;" - "&amp;Table1[[#This Row],[id_origen]]</f>
        <v>27 - 19</v>
      </c>
    </row>
    <row r="754" spans="1:22" hidden="1">
      <c r="A754">
        <v>470</v>
      </c>
      <c r="B754">
        <v>2306</v>
      </c>
      <c r="C754">
        <v>3935</v>
      </c>
      <c r="D754">
        <v>387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0</v>
      </c>
      <c r="K754" t="s">
        <v>20</v>
      </c>
      <c r="L754" s="1">
        <v>43614</v>
      </c>
      <c r="M754">
        <v>30</v>
      </c>
      <c r="N754">
        <v>19</v>
      </c>
      <c r="O754">
        <v>1012</v>
      </c>
      <c r="P754">
        <v>1012</v>
      </c>
      <c r="Q754">
        <v>1012</v>
      </c>
      <c r="S754">
        <v>2916</v>
      </c>
      <c r="T754">
        <v>2916</v>
      </c>
      <c r="U754">
        <f>+SUM(Table1[[#This Row],[Latinos]:[Cemex]])</f>
        <v>1</v>
      </c>
      <c r="V754" t="str">
        <f>+Table1[[#This Row],[id_destino]]&amp;" - "&amp;Table1[[#This Row],[id_origen]]</f>
        <v>30 - 19</v>
      </c>
    </row>
    <row r="755" spans="1:22" hidden="1">
      <c r="A755">
        <v>471</v>
      </c>
      <c r="B755">
        <v>717</v>
      </c>
      <c r="C755">
        <v>3935</v>
      </c>
      <c r="D755">
        <v>366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 t="s">
        <v>20</v>
      </c>
      <c r="L755" s="1">
        <v>43120</v>
      </c>
      <c r="M755">
        <v>31</v>
      </c>
      <c r="N755">
        <v>19</v>
      </c>
      <c r="O755">
        <v>1225</v>
      </c>
      <c r="P755">
        <v>1225</v>
      </c>
      <c r="Q755">
        <v>1225</v>
      </c>
      <c r="S755">
        <v>3221</v>
      </c>
      <c r="T755">
        <v>3221</v>
      </c>
      <c r="U755">
        <f>+SUM(Table1[[#This Row],[Latinos]:[Cemex]])</f>
        <v>1</v>
      </c>
      <c r="V755" t="str">
        <f>+Table1[[#This Row],[id_destino]]&amp;" - "&amp;Table1[[#This Row],[id_origen]]</f>
        <v>31 - 19</v>
      </c>
    </row>
    <row r="756" spans="1:22" hidden="1">
      <c r="A756">
        <v>3921</v>
      </c>
      <c r="B756">
        <v>1603</v>
      </c>
      <c r="C756">
        <v>209</v>
      </c>
      <c r="D756">
        <v>7471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 t="s">
        <v>20</v>
      </c>
      <c r="L756" s="1">
        <v>45184</v>
      </c>
      <c r="M756">
        <v>34</v>
      </c>
      <c r="N756">
        <v>19</v>
      </c>
      <c r="O756">
        <v>980</v>
      </c>
      <c r="P756">
        <v>980</v>
      </c>
      <c r="Q756">
        <v>980</v>
      </c>
      <c r="S756">
        <v>1179</v>
      </c>
      <c r="T756">
        <v>1326</v>
      </c>
      <c r="U756">
        <f>+SUM(Table1[[#This Row],[Latinos]:[Cemex]])</f>
        <v>1</v>
      </c>
      <c r="V756" t="str">
        <f>+Table1[[#This Row],[id_destino]]&amp;" - "&amp;Table1[[#This Row],[id_origen]]</f>
        <v>34 - 19</v>
      </c>
    </row>
    <row r="757" spans="1:22" hidden="1">
      <c r="A757">
        <v>1362</v>
      </c>
      <c r="B757">
        <v>887</v>
      </c>
      <c r="C757">
        <v>3935</v>
      </c>
      <c r="D757">
        <v>429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 t="s">
        <v>20</v>
      </c>
      <c r="L757" s="1">
        <v>43402</v>
      </c>
      <c r="M757">
        <v>40</v>
      </c>
      <c r="N757">
        <v>19</v>
      </c>
      <c r="O757">
        <v>426</v>
      </c>
      <c r="P757">
        <v>426</v>
      </c>
      <c r="Q757">
        <v>426</v>
      </c>
      <c r="S757">
        <v>1191</v>
      </c>
      <c r="T757">
        <v>1191</v>
      </c>
      <c r="U757">
        <f>+SUM(Table1[[#This Row],[Latinos]:[Cemex]])</f>
        <v>1</v>
      </c>
      <c r="V757" t="str">
        <f>+Table1[[#This Row],[id_destino]]&amp;" - "&amp;Table1[[#This Row],[id_origen]]</f>
        <v>40 - 19</v>
      </c>
    </row>
    <row r="758" spans="1:22" hidden="1">
      <c r="A758">
        <v>905</v>
      </c>
      <c r="B758">
        <v>1233</v>
      </c>
      <c r="C758">
        <v>4841</v>
      </c>
      <c r="D758">
        <v>3431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 t="s">
        <v>20</v>
      </c>
      <c r="L758" s="1">
        <v>43209</v>
      </c>
      <c r="M758">
        <v>52</v>
      </c>
      <c r="N758">
        <v>19</v>
      </c>
      <c r="O758">
        <v>893</v>
      </c>
      <c r="P758">
        <v>893</v>
      </c>
      <c r="Q758">
        <v>893</v>
      </c>
      <c r="S758">
        <v>877</v>
      </c>
      <c r="T758">
        <v>877</v>
      </c>
      <c r="U758">
        <f>+SUM(Table1[[#This Row],[Latinos]:[Cemex]])</f>
        <v>1</v>
      </c>
      <c r="V758" t="str">
        <f>+Table1[[#This Row],[id_destino]]&amp;" - "&amp;Table1[[#This Row],[id_origen]]</f>
        <v>52 - 19</v>
      </c>
    </row>
    <row r="759" spans="1:22" hidden="1">
      <c r="A759">
        <v>1028</v>
      </c>
      <c r="B759">
        <v>1233</v>
      </c>
      <c r="C759">
        <v>4841</v>
      </c>
      <c r="D759">
        <v>3431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 t="s">
        <v>20</v>
      </c>
      <c r="L759" s="1">
        <v>43253</v>
      </c>
      <c r="M759">
        <v>52</v>
      </c>
      <c r="N759">
        <v>19</v>
      </c>
      <c r="O759">
        <v>913</v>
      </c>
      <c r="P759">
        <v>913</v>
      </c>
      <c r="Q759">
        <v>913</v>
      </c>
      <c r="S759">
        <v>880</v>
      </c>
      <c r="T759">
        <v>880</v>
      </c>
      <c r="U759">
        <f>+SUM(Table1[[#This Row],[Latinos]:[Cemex]])</f>
        <v>1</v>
      </c>
      <c r="V759" t="str">
        <f>+Table1[[#This Row],[id_destino]]&amp;" - "&amp;Table1[[#This Row],[id_origen]]</f>
        <v>52 - 19</v>
      </c>
    </row>
    <row r="760" spans="1:22" hidden="1">
      <c r="A760">
        <v>1948</v>
      </c>
      <c r="B760">
        <v>110</v>
      </c>
      <c r="C760">
        <v>3935</v>
      </c>
      <c r="D760">
        <v>2927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 t="s">
        <v>20</v>
      </c>
      <c r="L760" s="1">
        <v>43735</v>
      </c>
      <c r="M760">
        <v>54</v>
      </c>
      <c r="N760">
        <v>19</v>
      </c>
      <c r="O760">
        <v>843</v>
      </c>
      <c r="P760">
        <v>843</v>
      </c>
      <c r="Q760">
        <v>843</v>
      </c>
      <c r="S760">
        <v>918</v>
      </c>
      <c r="T760">
        <v>918</v>
      </c>
      <c r="U760">
        <f>+SUM(Table1[[#This Row],[Latinos]:[Cemex]])</f>
        <v>1</v>
      </c>
      <c r="V760" t="str">
        <f>+Table1[[#This Row],[id_destino]]&amp;" - "&amp;Table1[[#This Row],[id_origen]]</f>
        <v>54 - 19</v>
      </c>
    </row>
    <row r="761" spans="1:22" hidden="1">
      <c r="A761">
        <v>1222</v>
      </c>
      <c r="B761">
        <v>1407</v>
      </c>
      <c r="C761">
        <v>3935</v>
      </c>
      <c r="D761">
        <v>1296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 t="s">
        <v>20</v>
      </c>
      <c r="L761" s="1">
        <v>43568</v>
      </c>
      <c r="M761">
        <v>55</v>
      </c>
      <c r="N761">
        <v>19</v>
      </c>
      <c r="O761">
        <v>117</v>
      </c>
      <c r="P761">
        <v>150</v>
      </c>
      <c r="Q761">
        <v>117</v>
      </c>
      <c r="S761">
        <v>339</v>
      </c>
      <c r="T761">
        <v>339</v>
      </c>
      <c r="U761">
        <f>+SUM(Table1[[#This Row],[Latinos]:[Cemex]])</f>
        <v>1</v>
      </c>
      <c r="V761" t="str">
        <f>+Table1[[#This Row],[id_destino]]&amp;" - "&amp;Table1[[#This Row],[id_origen]]</f>
        <v>55 - 19</v>
      </c>
    </row>
    <row r="762" spans="1:22" hidden="1">
      <c r="A762">
        <v>2030</v>
      </c>
      <c r="B762">
        <v>630</v>
      </c>
      <c r="C762">
        <v>22</v>
      </c>
      <c r="D762">
        <v>1489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 t="s">
        <v>20</v>
      </c>
      <c r="L762" s="1">
        <v>43774</v>
      </c>
      <c r="M762">
        <v>56</v>
      </c>
      <c r="N762">
        <v>19</v>
      </c>
      <c r="O762">
        <v>93</v>
      </c>
      <c r="P762">
        <v>150</v>
      </c>
      <c r="Q762">
        <v>93</v>
      </c>
      <c r="S762">
        <v>341</v>
      </c>
      <c r="T762">
        <v>341</v>
      </c>
      <c r="U762">
        <f>+SUM(Table1[[#This Row],[Latinos]:[Cemex]])</f>
        <v>1</v>
      </c>
      <c r="V762" t="str">
        <f>+Table1[[#This Row],[id_destino]]&amp;" - "&amp;Table1[[#This Row],[id_origen]]</f>
        <v>56 - 19</v>
      </c>
    </row>
    <row r="763" spans="1:22" hidden="1">
      <c r="A763">
        <v>589</v>
      </c>
      <c r="B763">
        <v>32</v>
      </c>
      <c r="C763">
        <v>3935</v>
      </c>
      <c r="D763">
        <v>348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 t="s">
        <v>20</v>
      </c>
      <c r="L763" s="1">
        <v>43110</v>
      </c>
      <c r="M763">
        <v>59</v>
      </c>
      <c r="N763">
        <v>19</v>
      </c>
      <c r="O763">
        <v>390</v>
      </c>
      <c r="P763">
        <v>390</v>
      </c>
      <c r="Q763">
        <v>390</v>
      </c>
      <c r="S763">
        <v>1139</v>
      </c>
      <c r="T763">
        <v>1139</v>
      </c>
      <c r="U763">
        <f>+SUM(Table1[[#This Row],[Latinos]:[Cemex]])</f>
        <v>1</v>
      </c>
      <c r="V763" t="str">
        <f>+Table1[[#This Row],[id_destino]]&amp;" - "&amp;Table1[[#This Row],[id_origen]]</f>
        <v>59 - 19</v>
      </c>
    </row>
    <row r="764" spans="1:22" hidden="1">
      <c r="A764">
        <v>3865</v>
      </c>
      <c r="B764">
        <v>210</v>
      </c>
      <c r="C764">
        <v>2527</v>
      </c>
      <c r="D764">
        <v>7440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 t="s">
        <v>20</v>
      </c>
      <c r="L764" s="1">
        <v>45152</v>
      </c>
      <c r="M764">
        <v>61</v>
      </c>
      <c r="N764">
        <v>19</v>
      </c>
      <c r="O764">
        <v>2588</v>
      </c>
      <c r="P764">
        <v>2607</v>
      </c>
      <c r="Q764">
        <v>2588</v>
      </c>
      <c r="S764">
        <v>7671</v>
      </c>
      <c r="T764">
        <v>7800</v>
      </c>
      <c r="U764">
        <f>+SUM(Table1[[#This Row],[Latinos]:[Cemex]])</f>
        <v>1</v>
      </c>
      <c r="V764" t="str">
        <f>+Table1[[#This Row],[id_destino]]&amp;" - "&amp;Table1[[#This Row],[id_origen]]</f>
        <v>61 - 19</v>
      </c>
    </row>
    <row r="765" spans="1:22" hidden="1">
      <c r="A765">
        <v>3190</v>
      </c>
      <c r="B765">
        <v>1470</v>
      </c>
      <c r="C765">
        <v>3935</v>
      </c>
      <c r="D765">
        <v>409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 t="s">
        <v>20</v>
      </c>
      <c r="L765" s="1">
        <v>44764</v>
      </c>
      <c r="M765">
        <v>62</v>
      </c>
      <c r="N765">
        <v>19</v>
      </c>
      <c r="O765">
        <v>417</v>
      </c>
      <c r="P765">
        <v>407</v>
      </c>
      <c r="Q765">
        <v>417</v>
      </c>
      <c r="S765">
        <v>620</v>
      </c>
      <c r="T765">
        <v>620</v>
      </c>
      <c r="U765">
        <f>+SUM(Table1[[#This Row],[Latinos]:[Cemex]])</f>
        <v>1</v>
      </c>
      <c r="V765" t="str">
        <f>+Table1[[#This Row],[id_destino]]&amp;" - "&amp;Table1[[#This Row],[id_origen]]</f>
        <v>62 - 19</v>
      </c>
    </row>
    <row r="766" spans="1:22" hidden="1">
      <c r="A766">
        <v>284</v>
      </c>
      <c r="B766">
        <v>1035</v>
      </c>
      <c r="C766">
        <v>1869</v>
      </c>
      <c r="D766">
        <v>3172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 t="s">
        <v>20</v>
      </c>
      <c r="L766" s="1">
        <v>44842</v>
      </c>
      <c r="M766">
        <v>65</v>
      </c>
      <c r="N766">
        <v>19</v>
      </c>
      <c r="O766">
        <v>135</v>
      </c>
      <c r="P766">
        <v>130</v>
      </c>
      <c r="Q766">
        <v>135</v>
      </c>
      <c r="S766">
        <v>296</v>
      </c>
      <c r="T766">
        <v>296</v>
      </c>
      <c r="U766">
        <f>+SUM(Table1[[#This Row],[Latinos]:[Cemex]])</f>
        <v>1</v>
      </c>
      <c r="V766" t="str">
        <f>+Table1[[#This Row],[id_destino]]&amp;" - "&amp;Table1[[#This Row],[id_origen]]</f>
        <v>65 - 19</v>
      </c>
    </row>
    <row r="767" spans="1:22" hidden="1">
      <c r="A767">
        <v>2183</v>
      </c>
      <c r="B767">
        <v>2005</v>
      </c>
      <c r="C767">
        <v>5838</v>
      </c>
      <c r="D767">
        <v>3237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 t="s">
        <v>20</v>
      </c>
      <c r="L767" s="1">
        <v>43845</v>
      </c>
      <c r="M767">
        <v>65</v>
      </c>
      <c r="N767">
        <v>19</v>
      </c>
      <c r="O767">
        <v>131</v>
      </c>
      <c r="P767">
        <v>125</v>
      </c>
      <c r="Q767">
        <v>131</v>
      </c>
      <c r="S767">
        <v>338</v>
      </c>
      <c r="T767">
        <v>338</v>
      </c>
      <c r="U767">
        <f>+SUM(Table1[[#This Row],[Latinos]:[Cemex]])</f>
        <v>1</v>
      </c>
      <c r="V767" t="str">
        <f>+Table1[[#This Row],[id_destino]]&amp;" - "&amp;Table1[[#This Row],[id_origen]]</f>
        <v>65 - 19</v>
      </c>
    </row>
    <row r="768" spans="1:22" hidden="1">
      <c r="A768">
        <v>2922</v>
      </c>
      <c r="B768">
        <v>1715</v>
      </c>
      <c r="C768">
        <v>22</v>
      </c>
      <c r="D768">
        <v>6797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 t="s">
        <v>20</v>
      </c>
      <c r="L768" s="1">
        <v>44614</v>
      </c>
      <c r="M768">
        <v>68</v>
      </c>
      <c r="N768">
        <v>19</v>
      </c>
      <c r="O768">
        <v>52</v>
      </c>
      <c r="P768">
        <v>150</v>
      </c>
      <c r="Q768">
        <v>52</v>
      </c>
      <c r="S768">
        <v>0</v>
      </c>
      <c r="T768">
        <v>0</v>
      </c>
      <c r="U768">
        <f>+SUM(Table1[[#This Row],[Latinos]:[Cemex]])</f>
        <v>1</v>
      </c>
      <c r="V768" t="str">
        <f>+Table1[[#This Row],[id_destino]]&amp;" - "&amp;Table1[[#This Row],[id_origen]]</f>
        <v>68 - 19</v>
      </c>
    </row>
    <row r="769" spans="1:22" hidden="1">
      <c r="A769">
        <v>505</v>
      </c>
      <c r="B769">
        <v>775</v>
      </c>
      <c r="C769">
        <v>22</v>
      </c>
      <c r="D769">
        <v>5391</v>
      </c>
      <c r="E769">
        <v>0</v>
      </c>
      <c r="F769">
        <v>0</v>
      </c>
      <c r="G769">
        <v>0</v>
      </c>
      <c r="H769">
        <v>1</v>
      </c>
      <c r="I769">
        <v>0</v>
      </c>
      <c r="J769">
        <v>0</v>
      </c>
      <c r="K769" t="s">
        <v>20</v>
      </c>
      <c r="L769" s="1">
        <v>44046</v>
      </c>
      <c r="M769">
        <v>69</v>
      </c>
      <c r="N769">
        <v>19</v>
      </c>
      <c r="O769">
        <v>30</v>
      </c>
      <c r="P769">
        <v>100</v>
      </c>
      <c r="Q769">
        <v>30</v>
      </c>
      <c r="S769">
        <v>38</v>
      </c>
      <c r="T769">
        <v>38</v>
      </c>
      <c r="U769">
        <f>+SUM(Table1[[#This Row],[Latinos]:[Cemex]])</f>
        <v>1</v>
      </c>
      <c r="V769" t="str">
        <f>+Table1[[#This Row],[id_destino]]&amp;" - "&amp;Table1[[#This Row],[id_origen]]</f>
        <v>69 - 19</v>
      </c>
    </row>
    <row r="770" spans="1:22" hidden="1">
      <c r="A770">
        <v>2173</v>
      </c>
      <c r="B770">
        <v>2061</v>
      </c>
      <c r="C770">
        <v>22</v>
      </c>
      <c r="D770">
        <v>6234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 t="s">
        <v>20</v>
      </c>
      <c r="L770" s="1">
        <v>43840</v>
      </c>
      <c r="M770">
        <v>70</v>
      </c>
      <c r="N770">
        <v>19</v>
      </c>
      <c r="O770">
        <v>37</v>
      </c>
      <c r="P770">
        <v>150</v>
      </c>
      <c r="Q770">
        <v>37</v>
      </c>
      <c r="S770">
        <v>0</v>
      </c>
      <c r="T770">
        <v>0</v>
      </c>
      <c r="U770">
        <f>+SUM(Table1[[#This Row],[Latinos]:[Cemex]])</f>
        <v>1</v>
      </c>
      <c r="V770" t="str">
        <f>+Table1[[#This Row],[id_destino]]&amp;" - "&amp;Table1[[#This Row],[id_origen]]</f>
        <v>70 - 19</v>
      </c>
    </row>
    <row r="771" spans="1:22" hidden="1">
      <c r="A771">
        <v>1192</v>
      </c>
      <c r="B771">
        <v>134</v>
      </c>
      <c r="C771">
        <v>390</v>
      </c>
      <c r="D771">
        <v>420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 t="s">
        <v>20</v>
      </c>
      <c r="L771" s="1">
        <v>43846</v>
      </c>
      <c r="M771">
        <v>71</v>
      </c>
      <c r="N771">
        <v>19</v>
      </c>
      <c r="O771">
        <v>527</v>
      </c>
      <c r="P771">
        <v>527</v>
      </c>
      <c r="Q771">
        <v>527</v>
      </c>
      <c r="S771">
        <v>1558</v>
      </c>
      <c r="T771">
        <v>1558</v>
      </c>
      <c r="U771">
        <f>+SUM(Table1[[#This Row],[Latinos]:[Cemex]])</f>
        <v>1</v>
      </c>
      <c r="V771" t="str">
        <f>+Table1[[#This Row],[id_destino]]&amp;" - "&amp;Table1[[#This Row],[id_origen]]</f>
        <v>71 - 19</v>
      </c>
    </row>
    <row r="772" spans="1:22" hidden="1">
      <c r="A772">
        <v>3322</v>
      </c>
      <c r="B772">
        <v>751</v>
      </c>
      <c r="C772">
        <v>22</v>
      </c>
      <c r="D772">
        <v>4473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 t="s">
        <v>20</v>
      </c>
      <c r="L772" s="1">
        <v>44830</v>
      </c>
      <c r="M772">
        <v>72</v>
      </c>
      <c r="N772">
        <v>19</v>
      </c>
      <c r="O772">
        <v>88</v>
      </c>
      <c r="P772">
        <v>150</v>
      </c>
      <c r="Q772">
        <v>88</v>
      </c>
      <c r="S772">
        <v>158</v>
      </c>
      <c r="T772">
        <v>232</v>
      </c>
      <c r="U772">
        <f>+SUM(Table1[[#This Row],[Latinos]:[Cemex]])</f>
        <v>1</v>
      </c>
      <c r="V772" t="str">
        <f>+Table1[[#This Row],[id_destino]]&amp;" - "&amp;Table1[[#This Row],[id_origen]]</f>
        <v>72 - 19</v>
      </c>
    </row>
    <row r="773" spans="1:22" hidden="1">
      <c r="A773">
        <v>2178</v>
      </c>
      <c r="B773">
        <v>1613</v>
      </c>
      <c r="C773">
        <v>22</v>
      </c>
      <c r="D773">
        <v>6238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 t="s">
        <v>20</v>
      </c>
      <c r="L773" s="1">
        <v>43841</v>
      </c>
      <c r="M773">
        <v>76</v>
      </c>
      <c r="N773">
        <v>19</v>
      </c>
      <c r="O773">
        <v>20</v>
      </c>
      <c r="P773">
        <v>150</v>
      </c>
      <c r="Q773">
        <v>20</v>
      </c>
      <c r="S773">
        <v>0</v>
      </c>
      <c r="T773">
        <v>0</v>
      </c>
      <c r="U773">
        <f>+SUM(Table1[[#This Row],[Latinos]:[Cemex]])</f>
        <v>1</v>
      </c>
      <c r="V773" t="str">
        <f>+Table1[[#This Row],[id_destino]]&amp;" - "&amp;Table1[[#This Row],[id_origen]]</f>
        <v>76 - 19</v>
      </c>
    </row>
    <row r="774" spans="1:22" hidden="1">
      <c r="A774">
        <v>1925</v>
      </c>
      <c r="B774">
        <v>606</v>
      </c>
      <c r="C774">
        <v>22</v>
      </c>
      <c r="D774">
        <v>4246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 t="s">
        <v>20</v>
      </c>
      <c r="L774" s="1">
        <v>43718</v>
      </c>
      <c r="M774">
        <v>79</v>
      </c>
      <c r="N774">
        <v>19</v>
      </c>
      <c r="O774">
        <v>265</v>
      </c>
      <c r="P774">
        <v>265</v>
      </c>
      <c r="Q774">
        <v>265</v>
      </c>
      <c r="S774">
        <v>720</v>
      </c>
      <c r="T774">
        <v>726</v>
      </c>
      <c r="U774">
        <f>+SUM(Table1[[#This Row],[Latinos]:[Cemex]])</f>
        <v>1</v>
      </c>
      <c r="V774" t="str">
        <f>+Table1[[#This Row],[id_destino]]&amp;" - "&amp;Table1[[#This Row],[id_origen]]</f>
        <v>79 - 19</v>
      </c>
    </row>
    <row r="775" spans="1:22" hidden="1">
      <c r="A775">
        <v>644</v>
      </c>
      <c r="B775">
        <v>2384</v>
      </c>
      <c r="C775">
        <v>5434</v>
      </c>
      <c r="D775">
        <v>146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 t="s">
        <v>20</v>
      </c>
      <c r="L775" s="1">
        <v>43224</v>
      </c>
      <c r="M775">
        <v>80</v>
      </c>
      <c r="N775">
        <v>19</v>
      </c>
      <c r="O775">
        <v>64</v>
      </c>
      <c r="P775">
        <v>150</v>
      </c>
      <c r="Q775">
        <v>64</v>
      </c>
      <c r="S775">
        <v>144</v>
      </c>
      <c r="T775">
        <v>211</v>
      </c>
      <c r="U775">
        <f>+SUM(Table1[[#This Row],[Latinos]:[Cemex]])</f>
        <v>1</v>
      </c>
      <c r="V775" t="str">
        <f>+Table1[[#This Row],[id_destino]]&amp;" - "&amp;Table1[[#This Row],[id_origen]]</f>
        <v>80 - 19</v>
      </c>
    </row>
    <row r="776" spans="1:22" hidden="1">
      <c r="A776">
        <v>1208</v>
      </c>
      <c r="B776">
        <v>2635</v>
      </c>
      <c r="C776">
        <v>390</v>
      </c>
      <c r="D776">
        <v>2596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 t="s">
        <v>20</v>
      </c>
      <c r="L776" s="1">
        <v>43341</v>
      </c>
      <c r="M776">
        <v>86</v>
      </c>
      <c r="N776">
        <v>19</v>
      </c>
      <c r="O776">
        <v>76</v>
      </c>
      <c r="P776">
        <v>150</v>
      </c>
      <c r="Q776">
        <v>76</v>
      </c>
      <c r="S776">
        <v>105</v>
      </c>
      <c r="T776">
        <v>105</v>
      </c>
      <c r="U776">
        <f>+SUM(Table1[[#This Row],[Latinos]:[Cemex]])</f>
        <v>1</v>
      </c>
      <c r="V776" t="str">
        <f>+Table1[[#This Row],[id_destino]]&amp;" - "&amp;Table1[[#This Row],[id_origen]]</f>
        <v>86 - 19</v>
      </c>
    </row>
    <row r="777" spans="1:22" hidden="1">
      <c r="A777">
        <v>2746</v>
      </c>
      <c r="B777">
        <v>3540</v>
      </c>
      <c r="C777">
        <v>390</v>
      </c>
      <c r="D777">
        <v>418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 t="s">
        <v>20</v>
      </c>
      <c r="L777" s="1">
        <v>44407</v>
      </c>
      <c r="M777">
        <v>145</v>
      </c>
      <c r="N777">
        <v>19</v>
      </c>
      <c r="O777">
        <v>763</v>
      </c>
      <c r="P777">
        <v>718</v>
      </c>
      <c r="Q777">
        <v>763</v>
      </c>
      <c r="S777">
        <v>1921</v>
      </c>
      <c r="T777">
        <v>1981</v>
      </c>
      <c r="U777">
        <f>+SUM(Table1[[#This Row],[Latinos]:[Cemex]])</f>
        <v>1</v>
      </c>
      <c r="V777" t="str">
        <f>+Table1[[#This Row],[id_destino]]&amp;" - "&amp;Table1[[#This Row],[id_origen]]</f>
        <v>145 - 19</v>
      </c>
    </row>
    <row r="778" spans="1:22" hidden="1">
      <c r="A778">
        <v>584</v>
      </c>
      <c r="B778">
        <v>2354</v>
      </c>
      <c r="C778">
        <v>22</v>
      </c>
      <c r="D778">
        <v>5414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 t="s">
        <v>20</v>
      </c>
      <c r="L778" s="1">
        <v>43108</v>
      </c>
      <c r="M778">
        <v>147</v>
      </c>
      <c r="N778">
        <v>19</v>
      </c>
      <c r="O778">
        <v>124</v>
      </c>
      <c r="P778">
        <v>150</v>
      </c>
      <c r="Q778">
        <v>124</v>
      </c>
      <c r="S778">
        <v>342</v>
      </c>
      <c r="T778">
        <v>365</v>
      </c>
      <c r="U778">
        <f>+SUM(Table1[[#This Row],[Latinos]:[Cemex]])</f>
        <v>1</v>
      </c>
      <c r="V778" t="str">
        <f>+Table1[[#This Row],[id_destino]]&amp;" - "&amp;Table1[[#This Row],[id_origen]]</f>
        <v>147 - 19</v>
      </c>
    </row>
    <row r="779" spans="1:22" hidden="1">
      <c r="A779">
        <v>845</v>
      </c>
      <c r="B779">
        <v>2476</v>
      </c>
      <c r="C779">
        <v>22</v>
      </c>
      <c r="D779">
        <v>5500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 t="s">
        <v>20</v>
      </c>
      <c r="L779" s="1">
        <v>43185</v>
      </c>
      <c r="M779">
        <v>181</v>
      </c>
      <c r="N779">
        <v>19</v>
      </c>
      <c r="O779">
        <v>35</v>
      </c>
      <c r="P779">
        <v>150</v>
      </c>
      <c r="Q779">
        <v>35</v>
      </c>
      <c r="S779">
        <v>34</v>
      </c>
      <c r="T779">
        <v>34</v>
      </c>
      <c r="U779">
        <f>+SUM(Table1[[#This Row],[Latinos]:[Cemex]])</f>
        <v>1</v>
      </c>
      <c r="V779" t="str">
        <f>+Table1[[#This Row],[id_destino]]&amp;" - "&amp;Table1[[#This Row],[id_origen]]</f>
        <v>181 - 19</v>
      </c>
    </row>
    <row r="780" spans="1:22" hidden="1">
      <c r="A780">
        <v>3309</v>
      </c>
      <c r="B780">
        <v>1891</v>
      </c>
      <c r="C780">
        <v>22</v>
      </c>
      <c r="D780">
        <v>7048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 t="s">
        <v>20</v>
      </c>
      <c r="L780" s="1">
        <v>44825</v>
      </c>
      <c r="M780">
        <v>184</v>
      </c>
      <c r="N780">
        <v>19</v>
      </c>
      <c r="O780">
        <v>63</v>
      </c>
      <c r="P780">
        <v>150</v>
      </c>
      <c r="Q780">
        <v>63</v>
      </c>
      <c r="S780">
        <v>0</v>
      </c>
      <c r="T780">
        <v>0</v>
      </c>
      <c r="U780">
        <f>+SUM(Table1[[#This Row],[Latinos]:[Cemex]])</f>
        <v>1</v>
      </c>
      <c r="V780" t="str">
        <f>+Table1[[#This Row],[id_destino]]&amp;" - "&amp;Table1[[#This Row],[id_origen]]</f>
        <v>184 - 19</v>
      </c>
    </row>
    <row r="781" spans="1:22" hidden="1">
      <c r="A781">
        <v>3836</v>
      </c>
      <c r="B781">
        <v>4250</v>
      </c>
      <c r="C781">
        <v>7425</v>
      </c>
      <c r="D781">
        <v>7426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 t="s">
        <v>20</v>
      </c>
      <c r="L781" s="1">
        <v>45134</v>
      </c>
      <c r="M781">
        <v>225</v>
      </c>
      <c r="N781">
        <v>19</v>
      </c>
      <c r="O781">
        <v>1562</v>
      </c>
      <c r="P781">
        <v>1665</v>
      </c>
      <c r="Q781">
        <v>1562</v>
      </c>
      <c r="S781">
        <v>1991</v>
      </c>
      <c r="T781">
        <v>1991</v>
      </c>
      <c r="U781">
        <f>+SUM(Table1[[#This Row],[Latinos]:[Cemex]])</f>
        <v>1</v>
      </c>
      <c r="V781" t="str">
        <f>+Table1[[#This Row],[id_destino]]&amp;" - "&amp;Table1[[#This Row],[id_origen]]</f>
        <v>225 - 19</v>
      </c>
    </row>
    <row r="782" spans="1:22" hidden="1">
      <c r="A782">
        <v>1201</v>
      </c>
      <c r="B782">
        <v>2629</v>
      </c>
      <c r="C782">
        <v>390</v>
      </c>
      <c r="D782">
        <v>5671</v>
      </c>
      <c r="E782">
        <v>0</v>
      </c>
      <c r="F782">
        <v>0</v>
      </c>
      <c r="G782">
        <v>0</v>
      </c>
      <c r="H782">
        <v>1</v>
      </c>
      <c r="I782">
        <v>0</v>
      </c>
      <c r="J782">
        <v>0</v>
      </c>
      <c r="K782" t="s">
        <v>20</v>
      </c>
      <c r="L782" s="1">
        <v>43340</v>
      </c>
      <c r="M782">
        <v>233</v>
      </c>
      <c r="N782">
        <v>19</v>
      </c>
      <c r="O782">
        <v>72</v>
      </c>
      <c r="P782">
        <v>150</v>
      </c>
      <c r="Q782">
        <v>72</v>
      </c>
      <c r="S782">
        <v>92</v>
      </c>
      <c r="T782">
        <v>92</v>
      </c>
      <c r="U782">
        <f>+SUM(Table1[[#This Row],[Latinos]:[Cemex]])</f>
        <v>1</v>
      </c>
      <c r="V782" t="str">
        <f>+Table1[[#This Row],[id_destino]]&amp;" - "&amp;Table1[[#This Row],[id_origen]]</f>
        <v>233 - 19</v>
      </c>
    </row>
    <row r="783" spans="1:22" hidden="1">
      <c r="A783">
        <v>567</v>
      </c>
      <c r="B783">
        <v>1477</v>
      </c>
      <c r="C783">
        <v>22</v>
      </c>
      <c r="D783">
        <v>5410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 t="s">
        <v>20</v>
      </c>
      <c r="L783" s="1">
        <v>43104</v>
      </c>
      <c r="M783">
        <v>254</v>
      </c>
      <c r="N783">
        <v>19</v>
      </c>
      <c r="O783">
        <v>15</v>
      </c>
      <c r="P783">
        <v>150</v>
      </c>
      <c r="Q783">
        <v>15</v>
      </c>
      <c r="S783">
        <v>0</v>
      </c>
      <c r="T783">
        <v>0</v>
      </c>
      <c r="U783">
        <f>+SUM(Table1[[#This Row],[Latinos]:[Cemex]])</f>
        <v>1</v>
      </c>
      <c r="V783" t="str">
        <f>+Table1[[#This Row],[id_destino]]&amp;" - "&amp;Table1[[#This Row],[id_origen]]</f>
        <v>254 - 19</v>
      </c>
    </row>
    <row r="784" spans="1:22" hidden="1">
      <c r="A784">
        <v>844</v>
      </c>
      <c r="B784">
        <v>1627</v>
      </c>
      <c r="C784">
        <v>22</v>
      </c>
      <c r="D784">
        <v>4195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 t="s">
        <v>20</v>
      </c>
      <c r="L784" s="1">
        <v>43185</v>
      </c>
      <c r="M784">
        <v>276</v>
      </c>
      <c r="N784">
        <v>19</v>
      </c>
      <c r="O784">
        <v>40</v>
      </c>
      <c r="P784">
        <v>150</v>
      </c>
      <c r="Q784">
        <v>40</v>
      </c>
      <c r="S784">
        <v>147</v>
      </c>
      <c r="T784">
        <v>217</v>
      </c>
      <c r="U784">
        <f>+SUM(Table1[[#This Row],[Latinos]:[Cemex]])</f>
        <v>1</v>
      </c>
      <c r="V784" t="str">
        <f>+Table1[[#This Row],[id_destino]]&amp;" - "&amp;Table1[[#This Row],[id_origen]]</f>
        <v>276 - 19</v>
      </c>
    </row>
    <row r="785" spans="1:22" hidden="1">
      <c r="A785">
        <v>2538</v>
      </c>
      <c r="B785">
        <v>3404</v>
      </c>
      <c r="C785">
        <v>209</v>
      </c>
      <c r="D785">
        <v>6467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 t="s">
        <v>20</v>
      </c>
      <c r="L785" s="1">
        <v>44163</v>
      </c>
      <c r="M785">
        <v>278</v>
      </c>
      <c r="N785">
        <v>19</v>
      </c>
      <c r="O785">
        <v>450</v>
      </c>
      <c r="P785">
        <v>475</v>
      </c>
      <c r="Q785">
        <v>450</v>
      </c>
      <c r="S785">
        <v>1379</v>
      </c>
      <c r="T785">
        <v>1453</v>
      </c>
      <c r="U785">
        <f>+SUM(Table1[[#This Row],[Latinos]:[Cemex]])</f>
        <v>1</v>
      </c>
      <c r="V785" t="str">
        <f>+Table1[[#This Row],[id_destino]]&amp;" - "&amp;Table1[[#This Row],[id_origen]]</f>
        <v>278 - 19</v>
      </c>
    </row>
    <row r="786" spans="1:22" hidden="1">
      <c r="A786">
        <v>2075</v>
      </c>
      <c r="B786">
        <v>575</v>
      </c>
      <c r="C786">
        <v>3935</v>
      </c>
      <c r="D786">
        <v>422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 t="s">
        <v>20</v>
      </c>
      <c r="L786" s="1">
        <v>43798</v>
      </c>
      <c r="M786">
        <v>280</v>
      </c>
      <c r="N786">
        <v>19</v>
      </c>
      <c r="O786">
        <v>94</v>
      </c>
      <c r="P786">
        <v>150</v>
      </c>
      <c r="Q786">
        <v>94</v>
      </c>
      <c r="S786">
        <v>341</v>
      </c>
      <c r="T786">
        <v>341</v>
      </c>
      <c r="U786">
        <f>+SUM(Table1[[#This Row],[Latinos]:[Cemex]])</f>
        <v>1</v>
      </c>
      <c r="V786" t="str">
        <f>+Table1[[#This Row],[id_destino]]&amp;" - "&amp;Table1[[#This Row],[id_origen]]</f>
        <v>280 - 19</v>
      </c>
    </row>
    <row r="787" spans="1:22" hidden="1">
      <c r="A787">
        <v>501</v>
      </c>
      <c r="B787">
        <v>2321</v>
      </c>
      <c r="C787">
        <v>22</v>
      </c>
      <c r="D787">
        <v>7725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 t="s">
        <v>20</v>
      </c>
      <c r="L787" s="1">
        <v>45392</v>
      </c>
      <c r="M787">
        <v>282</v>
      </c>
      <c r="N787">
        <v>19</v>
      </c>
      <c r="O787">
        <v>579</v>
      </c>
      <c r="P787">
        <v>571</v>
      </c>
      <c r="Q787">
        <v>579</v>
      </c>
      <c r="S787">
        <v>1426</v>
      </c>
      <c r="T787">
        <v>1426</v>
      </c>
      <c r="U787">
        <f>+SUM(Table1[[#This Row],[Latinos]:[Cemex]])</f>
        <v>1</v>
      </c>
      <c r="V787" t="str">
        <f>+Table1[[#This Row],[id_destino]]&amp;" - "&amp;Table1[[#This Row],[id_origen]]</f>
        <v>282 - 19</v>
      </c>
    </row>
    <row r="788" spans="1:22" hidden="1">
      <c r="A788">
        <v>4809</v>
      </c>
      <c r="B788">
        <v>4920</v>
      </c>
      <c r="C788">
        <v>7464</v>
      </c>
      <c r="D788">
        <v>8253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 t="s">
        <v>20</v>
      </c>
      <c r="L788" s="1">
        <v>45852</v>
      </c>
      <c r="M788">
        <v>286</v>
      </c>
      <c r="N788">
        <v>19</v>
      </c>
      <c r="O788">
        <v>626</v>
      </c>
      <c r="P788">
        <v>617</v>
      </c>
      <c r="Q788">
        <v>626</v>
      </c>
      <c r="S788">
        <v>3138</v>
      </c>
      <c r="T788">
        <v>3138</v>
      </c>
      <c r="U788">
        <f>+SUM(Table1[[#This Row],[Latinos]:[Cemex]])</f>
        <v>1</v>
      </c>
      <c r="V788" t="str">
        <f>+Table1[[#This Row],[id_destino]]&amp;" - "&amp;Table1[[#This Row],[id_origen]]</f>
        <v>286 - 19</v>
      </c>
    </row>
    <row r="789" spans="1:22" hidden="1">
      <c r="A789">
        <v>4388</v>
      </c>
      <c r="B789">
        <v>4621</v>
      </c>
      <c r="C789">
        <v>22</v>
      </c>
      <c r="D789">
        <v>7868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 t="s">
        <v>20</v>
      </c>
      <c r="L789" s="1">
        <v>45511</v>
      </c>
      <c r="M789">
        <v>290</v>
      </c>
      <c r="N789">
        <v>19</v>
      </c>
      <c r="O789">
        <v>54</v>
      </c>
      <c r="P789">
        <v>54</v>
      </c>
      <c r="Q789">
        <v>54</v>
      </c>
      <c r="S789">
        <v>88</v>
      </c>
      <c r="T789">
        <v>88</v>
      </c>
      <c r="U789">
        <f>+SUM(Table1[[#This Row],[Latinos]:[Cemex]])</f>
        <v>1</v>
      </c>
      <c r="V789" t="str">
        <f>+Table1[[#This Row],[id_destino]]&amp;" - "&amp;Table1[[#This Row],[id_origen]]</f>
        <v>290 - 19</v>
      </c>
    </row>
    <row r="790" spans="1:22" hidden="1">
      <c r="A790">
        <v>937</v>
      </c>
      <c r="B790">
        <v>2098</v>
      </c>
      <c r="C790">
        <v>22</v>
      </c>
      <c r="D790">
        <v>5547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 t="s">
        <v>20</v>
      </c>
      <c r="L790" s="1">
        <v>43871</v>
      </c>
      <c r="M790">
        <v>345</v>
      </c>
      <c r="N790">
        <v>19</v>
      </c>
      <c r="O790">
        <v>36</v>
      </c>
      <c r="P790">
        <v>150</v>
      </c>
      <c r="Q790">
        <v>36</v>
      </c>
      <c r="S790">
        <v>0</v>
      </c>
      <c r="T790">
        <v>0</v>
      </c>
      <c r="U790">
        <f>+SUM(Table1[[#This Row],[Latinos]:[Cemex]])</f>
        <v>1</v>
      </c>
      <c r="V790" t="str">
        <f>+Table1[[#This Row],[id_destino]]&amp;" - "&amp;Table1[[#This Row],[id_origen]]</f>
        <v>345 - 19</v>
      </c>
    </row>
    <row r="791" spans="1:22" hidden="1">
      <c r="A791">
        <v>1070</v>
      </c>
      <c r="B791">
        <v>2569</v>
      </c>
      <c r="C791">
        <v>3935</v>
      </c>
      <c r="D791">
        <v>5610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 t="s">
        <v>20</v>
      </c>
      <c r="L791" s="1">
        <v>43273</v>
      </c>
      <c r="M791">
        <v>407</v>
      </c>
      <c r="N791">
        <v>19</v>
      </c>
      <c r="O791">
        <v>111</v>
      </c>
      <c r="P791">
        <v>111</v>
      </c>
      <c r="Q791">
        <v>150</v>
      </c>
      <c r="S791">
        <v>105</v>
      </c>
      <c r="T791">
        <v>105</v>
      </c>
      <c r="U791">
        <f>+SUM(Table1[[#This Row],[Latinos]:[Cemex]])</f>
        <v>1</v>
      </c>
      <c r="V791" t="str">
        <f>+Table1[[#This Row],[id_destino]]&amp;" - "&amp;Table1[[#This Row],[id_origen]]</f>
        <v>407 - 19</v>
      </c>
    </row>
    <row r="792" spans="1:22" hidden="1">
      <c r="A792">
        <v>4302</v>
      </c>
      <c r="B792">
        <v>4554</v>
      </c>
      <c r="C792">
        <v>22</v>
      </c>
      <c r="D792">
        <v>7791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 t="s">
        <v>20</v>
      </c>
      <c r="L792" s="1">
        <v>45446</v>
      </c>
      <c r="M792">
        <v>464</v>
      </c>
      <c r="N792">
        <v>19</v>
      </c>
      <c r="O792">
        <v>59</v>
      </c>
      <c r="P792">
        <v>63</v>
      </c>
      <c r="Q792">
        <v>59</v>
      </c>
      <c r="S792">
        <v>200</v>
      </c>
      <c r="T792">
        <v>200</v>
      </c>
      <c r="U792">
        <f>+SUM(Table1[[#This Row],[Latinos]:[Cemex]])</f>
        <v>1</v>
      </c>
      <c r="V792" t="str">
        <f>+Table1[[#This Row],[id_destino]]&amp;" - "&amp;Table1[[#This Row],[id_origen]]</f>
        <v>464 - 19</v>
      </c>
    </row>
    <row r="793" spans="1:22" hidden="1">
      <c r="A793">
        <v>3579</v>
      </c>
      <c r="B793">
        <v>1527</v>
      </c>
      <c r="C793">
        <v>22</v>
      </c>
      <c r="D793">
        <v>7230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 t="s">
        <v>20</v>
      </c>
      <c r="L793" s="1">
        <v>44965</v>
      </c>
      <c r="M793">
        <v>473</v>
      </c>
      <c r="N793">
        <v>19</v>
      </c>
      <c r="O793">
        <v>93</v>
      </c>
      <c r="P793">
        <v>150</v>
      </c>
      <c r="Q793">
        <v>93</v>
      </c>
      <c r="S793">
        <v>0</v>
      </c>
      <c r="T793">
        <v>0</v>
      </c>
      <c r="U793">
        <f>+SUM(Table1[[#This Row],[Latinos]:[Cemex]])</f>
        <v>1</v>
      </c>
      <c r="V793" t="str">
        <f>+Table1[[#This Row],[id_destino]]&amp;" - "&amp;Table1[[#This Row],[id_origen]]</f>
        <v>473 - 19</v>
      </c>
    </row>
    <row r="794" spans="1:22" hidden="1">
      <c r="A794">
        <v>3305</v>
      </c>
      <c r="B794">
        <v>3897</v>
      </c>
      <c r="C794">
        <v>22</v>
      </c>
      <c r="D794">
        <v>7042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  <c r="K794" t="s">
        <v>20</v>
      </c>
      <c r="L794" s="1">
        <v>44824</v>
      </c>
      <c r="M794">
        <v>474</v>
      </c>
      <c r="N794">
        <v>19</v>
      </c>
      <c r="O794">
        <v>112</v>
      </c>
      <c r="P794">
        <v>150</v>
      </c>
      <c r="Q794">
        <v>112</v>
      </c>
      <c r="S794">
        <v>239</v>
      </c>
      <c r="T794">
        <v>239</v>
      </c>
      <c r="U794">
        <f>+SUM(Table1[[#This Row],[Latinos]:[Cemex]])</f>
        <v>1</v>
      </c>
      <c r="V794" t="str">
        <f>+Table1[[#This Row],[id_destino]]&amp;" - "&amp;Table1[[#This Row],[id_origen]]</f>
        <v>474 - 19</v>
      </c>
    </row>
    <row r="795" spans="1:22" hidden="1">
      <c r="A795">
        <v>2069</v>
      </c>
      <c r="B795">
        <v>3116</v>
      </c>
      <c r="C795">
        <v>22</v>
      </c>
      <c r="D795">
        <v>6167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 t="s">
        <v>20</v>
      </c>
      <c r="L795" s="1">
        <v>43795</v>
      </c>
      <c r="M795">
        <v>485</v>
      </c>
      <c r="N795">
        <v>19</v>
      </c>
      <c r="O795">
        <v>50</v>
      </c>
      <c r="P795">
        <v>150</v>
      </c>
      <c r="Q795">
        <v>50</v>
      </c>
      <c r="S795">
        <v>0</v>
      </c>
      <c r="T795">
        <v>0</v>
      </c>
      <c r="U795">
        <f>+SUM(Table1[[#This Row],[Latinos]:[Cemex]])</f>
        <v>1</v>
      </c>
      <c r="V795" t="str">
        <f>+Table1[[#This Row],[id_destino]]&amp;" - "&amp;Table1[[#This Row],[id_origen]]</f>
        <v>485 - 19</v>
      </c>
    </row>
    <row r="796" spans="1:22" hidden="1">
      <c r="A796">
        <v>1193</v>
      </c>
      <c r="B796">
        <v>2624</v>
      </c>
      <c r="C796">
        <v>390</v>
      </c>
      <c r="D796">
        <v>4134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 t="s">
        <v>20</v>
      </c>
      <c r="L796" s="1">
        <v>43339</v>
      </c>
      <c r="M796">
        <v>491</v>
      </c>
      <c r="N796">
        <v>19</v>
      </c>
      <c r="O796">
        <v>74</v>
      </c>
      <c r="P796">
        <v>150</v>
      </c>
      <c r="Q796">
        <v>74</v>
      </c>
      <c r="S796">
        <v>333</v>
      </c>
      <c r="T796">
        <v>333</v>
      </c>
      <c r="U796">
        <f>+SUM(Table1[[#This Row],[Latinos]:[Cemex]])</f>
        <v>1</v>
      </c>
      <c r="V796" t="str">
        <f>+Table1[[#This Row],[id_destino]]&amp;" - "&amp;Table1[[#This Row],[id_origen]]</f>
        <v>491 - 19</v>
      </c>
    </row>
    <row r="797" spans="1:22" hidden="1">
      <c r="A797">
        <v>435</v>
      </c>
      <c r="B797">
        <v>2290</v>
      </c>
      <c r="C797">
        <v>3935</v>
      </c>
      <c r="D797">
        <v>5357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 t="s">
        <v>20</v>
      </c>
      <c r="L797" s="1">
        <v>43066</v>
      </c>
      <c r="M797">
        <v>492</v>
      </c>
      <c r="N797">
        <v>19</v>
      </c>
      <c r="O797">
        <v>300</v>
      </c>
      <c r="P797">
        <v>300</v>
      </c>
      <c r="Q797">
        <v>300</v>
      </c>
      <c r="S797">
        <v>800</v>
      </c>
      <c r="T797">
        <v>807</v>
      </c>
      <c r="U797">
        <f>+SUM(Table1[[#This Row],[Latinos]:[Cemex]])</f>
        <v>1</v>
      </c>
      <c r="V797" t="str">
        <f>+Table1[[#This Row],[id_destino]]&amp;" - "&amp;Table1[[#This Row],[id_origen]]</f>
        <v>492 - 19</v>
      </c>
    </row>
    <row r="798" spans="1:22" hidden="1">
      <c r="A798">
        <v>689</v>
      </c>
      <c r="B798">
        <v>1350</v>
      </c>
      <c r="C798">
        <v>22</v>
      </c>
      <c r="D798">
        <v>5451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 t="s">
        <v>20</v>
      </c>
      <c r="L798" s="1">
        <v>43131</v>
      </c>
      <c r="M798">
        <v>525</v>
      </c>
      <c r="N798">
        <v>19</v>
      </c>
      <c r="O798">
        <v>50</v>
      </c>
      <c r="P798">
        <v>150</v>
      </c>
      <c r="Q798">
        <v>50</v>
      </c>
      <c r="S798">
        <v>0</v>
      </c>
      <c r="T798">
        <v>0</v>
      </c>
      <c r="U798">
        <f>+SUM(Table1[[#This Row],[Latinos]:[Cemex]])</f>
        <v>1</v>
      </c>
      <c r="V798" t="str">
        <f>+Table1[[#This Row],[id_destino]]&amp;" - "&amp;Table1[[#This Row],[id_origen]]</f>
        <v>525 - 19</v>
      </c>
    </row>
    <row r="799" spans="1:22" hidden="1">
      <c r="A799">
        <v>4219</v>
      </c>
      <c r="B799">
        <v>4500</v>
      </c>
      <c r="C799">
        <v>22</v>
      </c>
      <c r="D799">
        <v>7706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 t="s">
        <v>20</v>
      </c>
      <c r="L799" s="1">
        <v>45374</v>
      </c>
      <c r="M799">
        <v>539</v>
      </c>
      <c r="N799">
        <v>19</v>
      </c>
      <c r="O799">
        <v>34</v>
      </c>
      <c r="P799">
        <v>150</v>
      </c>
      <c r="Q799">
        <v>34</v>
      </c>
      <c r="S799">
        <v>43</v>
      </c>
      <c r="T799">
        <v>43</v>
      </c>
      <c r="U799">
        <f>+SUM(Table1[[#This Row],[Latinos]:[Cemex]])</f>
        <v>1</v>
      </c>
      <c r="V799" t="str">
        <f>+Table1[[#This Row],[id_destino]]&amp;" - "&amp;Table1[[#This Row],[id_origen]]</f>
        <v>539 - 19</v>
      </c>
    </row>
    <row r="800" spans="1:22" hidden="1">
      <c r="A800">
        <v>135</v>
      </c>
      <c r="B800">
        <v>1500</v>
      </c>
      <c r="C800">
        <v>1869</v>
      </c>
      <c r="D800">
        <v>4107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 t="s">
        <v>20</v>
      </c>
      <c r="L800" s="1">
        <v>42998</v>
      </c>
      <c r="M800">
        <v>602</v>
      </c>
      <c r="N800">
        <v>19</v>
      </c>
      <c r="O800">
        <v>108</v>
      </c>
      <c r="P800">
        <v>150</v>
      </c>
      <c r="Q800">
        <v>108</v>
      </c>
      <c r="S800">
        <v>327</v>
      </c>
      <c r="T800">
        <v>327</v>
      </c>
      <c r="U800">
        <f>+SUM(Table1[[#This Row],[Latinos]:[Cemex]])</f>
        <v>1</v>
      </c>
      <c r="V800" t="str">
        <f>+Table1[[#This Row],[id_destino]]&amp;" - "&amp;Table1[[#This Row],[id_origen]]</f>
        <v>602 - 19</v>
      </c>
    </row>
    <row r="801" spans="1:22" hidden="1">
      <c r="A801">
        <v>3233</v>
      </c>
      <c r="B801">
        <v>3853</v>
      </c>
      <c r="C801">
        <v>209</v>
      </c>
      <c r="D801">
        <v>7010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 t="s">
        <v>20</v>
      </c>
      <c r="L801" s="1">
        <v>45405</v>
      </c>
      <c r="M801">
        <v>639</v>
      </c>
      <c r="N801">
        <v>19</v>
      </c>
      <c r="O801">
        <v>661</v>
      </c>
      <c r="P801">
        <v>643</v>
      </c>
      <c r="Q801">
        <v>661</v>
      </c>
      <c r="S801">
        <v>1809</v>
      </c>
      <c r="T801">
        <v>1883</v>
      </c>
      <c r="U801">
        <f>+SUM(Table1[[#This Row],[Latinos]:[Cemex]])</f>
        <v>1</v>
      </c>
      <c r="V801" t="str">
        <f>+Table1[[#This Row],[id_destino]]&amp;" - "&amp;Table1[[#This Row],[id_origen]]</f>
        <v>639 - 19</v>
      </c>
    </row>
    <row r="802" spans="1:22" hidden="1">
      <c r="A802">
        <v>3448</v>
      </c>
      <c r="B802">
        <v>3997</v>
      </c>
      <c r="C802">
        <v>22</v>
      </c>
      <c r="D802">
        <v>4684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 t="s">
        <v>20</v>
      </c>
      <c r="L802" s="1">
        <v>44898</v>
      </c>
      <c r="M802">
        <v>651</v>
      </c>
      <c r="N802">
        <v>19</v>
      </c>
      <c r="O802">
        <v>101</v>
      </c>
      <c r="P802">
        <v>150</v>
      </c>
      <c r="Q802">
        <v>101</v>
      </c>
      <c r="S802">
        <v>176</v>
      </c>
      <c r="T802">
        <v>176</v>
      </c>
      <c r="U802">
        <f>+SUM(Table1[[#This Row],[Latinos]:[Cemex]])</f>
        <v>1</v>
      </c>
      <c r="V802" t="str">
        <f>+Table1[[#This Row],[id_destino]]&amp;" - "&amp;Table1[[#This Row],[id_origen]]</f>
        <v>651 - 19</v>
      </c>
    </row>
    <row r="803" spans="1:22" hidden="1">
      <c r="A803">
        <v>1650</v>
      </c>
      <c r="B803">
        <v>2862</v>
      </c>
      <c r="C803">
        <v>22</v>
      </c>
      <c r="D803">
        <v>5037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  <c r="K803" t="s">
        <v>20</v>
      </c>
      <c r="L803" s="1">
        <v>43550</v>
      </c>
      <c r="M803">
        <v>685</v>
      </c>
      <c r="N803">
        <v>19</v>
      </c>
      <c r="O803">
        <v>139</v>
      </c>
      <c r="P803">
        <v>150</v>
      </c>
      <c r="Q803">
        <v>139</v>
      </c>
      <c r="S803">
        <v>389</v>
      </c>
      <c r="T803">
        <v>389</v>
      </c>
      <c r="U803">
        <f>+SUM(Table1[[#This Row],[Latinos]:[Cemex]])</f>
        <v>1</v>
      </c>
      <c r="V803" t="str">
        <f>+Table1[[#This Row],[id_destino]]&amp;" - "&amp;Table1[[#This Row],[id_origen]]</f>
        <v>685 - 19</v>
      </c>
    </row>
    <row r="804" spans="1:22" hidden="1">
      <c r="A804">
        <v>4003</v>
      </c>
      <c r="B804">
        <v>4349</v>
      </c>
      <c r="C804">
        <v>22</v>
      </c>
      <c r="D804">
        <v>7528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</v>
      </c>
      <c r="K804" t="s">
        <v>20</v>
      </c>
      <c r="L804" s="1">
        <v>45230</v>
      </c>
      <c r="M804">
        <v>688</v>
      </c>
      <c r="N804">
        <v>19</v>
      </c>
      <c r="O804">
        <v>32</v>
      </c>
      <c r="P804">
        <v>100</v>
      </c>
      <c r="Q804">
        <v>32</v>
      </c>
      <c r="S804">
        <v>0</v>
      </c>
      <c r="T804">
        <v>0</v>
      </c>
      <c r="U804">
        <f>+SUM(Table1[[#This Row],[Latinos]:[Cemex]])</f>
        <v>1</v>
      </c>
      <c r="V804" t="str">
        <f>+Table1[[#This Row],[id_destino]]&amp;" - "&amp;Table1[[#This Row],[id_origen]]</f>
        <v>688 - 19</v>
      </c>
    </row>
    <row r="805" spans="1:22" hidden="1">
      <c r="A805">
        <v>3745</v>
      </c>
      <c r="B805">
        <v>2303</v>
      </c>
      <c r="C805">
        <v>22</v>
      </c>
      <c r="D805">
        <v>7347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 t="s">
        <v>20</v>
      </c>
      <c r="L805" s="1">
        <v>45064</v>
      </c>
      <c r="M805">
        <v>714</v>
      </c>
      <c r="N805">
        <v>19</v>
      </c>
      <c r="O805">
        <v>73</v>
      </c>
      <c r="P805">
        <v>150</v>
      </c>
      <c r="Q805">
        <v>73</v>
      </c>
      <c r="S805">
        <v>0</v>
      </c>
      <c r="T805">
        <v>0</v>
      </c>
      <c r="U805">
        <f>+SUM(Table1[[#This Row],[Latinos]:[Cemex]])</f>
        <v>1</v>
      </c>
      <c r="V805" t="str">
        <f>+Table1[[#This Row],[id_destino]]&amp;" - "&amp;Table1[[#This Row],[id_origen]]</f>
        <v>714 - 19</v>
      </c>
    </row>
    <row r="806" spans="1:22" hidden="1">
      <c r="A806">
        <v>621</v>
      </c>
      <c r="B806">
        <v>2368</v>
      </c>
      <c r="C806">
        <v>22</v>
      </c>
      <c r="D806">
        <v>5425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 t="s">
        <v>20</v>
      </c>
      <c r="L806" s="1">
        <v>43116</v>
      </c>
      <c r="M806">
        <v>733</v>
      </c>
      <c r="N806">
        <v>19</v>
      </c>
      <c r="O806">
        <v>144</v>
      </c>
      <c r="P806">
        <v>144</v>
      </c>
      <c r="Q806">
        <v>144</v>
      </c>
      <c r="S806">
        <v>144</v>
      </c>
      <c r="T806">
        <v>211</v>
      </c>
      <c r="U806">
        <f>+SUM(Table1[[#This Row],[Latinos]:[Cemex]])</f>
        <v>1</v>
      </c>
      <c r="V806" t="str">
        <f>+Table1[[#This Row],[id_destino]]&amp;" - "&amp;Table1[[#This Row],[id_origen]]</f>
        <v>733 - 19</v>
      </c>
    </row>
    <row r="807" spans="1:22" hidden="1">
      <c r="A807">
        <v>1721</v>
      </c>
      <c r="B807">
        <v>2903</v>
      </c>
      <c r="C807">
        <v>3488</v>
      </c>
      <c r="D807">
        <v>5902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 t="s">
        <v>20</v>
      </c>
      <c r="L807" s="1">
        <v>43585</v>
      </c>
      <c r="M807">
        <v>772</v>
      </c>
      <c r="N807">
        <v>19</v>
      </c>
      <c r="O807">
        <v>106</v>
      </c>
      <c r="P807">
        <v>150</v>
      </c>
      <c r="Q807">
        <v>106</v>
      </c>
      <c r="S807">
        <v>289</v>
      </c>
      <c r="T807">
        <v>339</v>
      </c>
      <c r="U807">
        <f>+SUM(Table1[[#This Row],[Latinos]:[Cemex]])</f>
        <v>1</v>
      </c>
      <c r="V807" t="str">
        <f>+Table1[[#This Row],[id_destino]]&amp;" - "&amp;Table1[[#This Row],[id_origen]]</f>
        <v>772 - 19</v>
      </c>
    </row>
    <row r="808" spans="1:22" hidden="1">
      <c r="A808">
        <v>3465</v>
      </c>
      <c r="B808">
        <v>4010</v>
      </c>
      <c r="C808">
        <v>22</v>
      </c>
      <c r="D808">
        <v>7143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 t="s">
        <v>20</v>
      </c>
      <c r="L808" s="1">
        <v>44907</v>
      </c>
      <c r="M808">
        <v>774</v>
      </c>
      <c r="N808">
        <v>19</v>
      </c>
      <c r="O808">
        <v>73</v>
      </c>
      <c r="P808">
        <v>150</v>
      </c>
      <c r="Q808">
        <v>73</v>
      </c>
      <c r="S808">
        <v>0</v>
      </c>
      <c r="T808">
        <v>0</v>
      </c>
      <c r="U808">
        <f>+SUM(Table1[[#This Row],[Latinos]:[Cemex]])</f>
        <v>1</v>
      </c>
      <c r="V808" t="str">
        <f>+Table1[[#This Row],[id_destino]]&amp;" - "&amp;Table1[[#This Row],[id_origen]]</f>
        <v>774 - 19</v>
      </c>
    </row>
    <row r="809" spans="1:22" hidden="1">
      <c r="A809">
        <v>1836</v>
      </c>
      <c r="B809">
        <v>2963</v>
      </c>
      <c r="C809">
        <v>22</v>
      </c>
      <c r="D809">
        <v>5974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 t="s">
        <v>20</v>
      </c>
      <c r="L809" s="1">
        <v>43658</v>
      </c>
      <c r="M809">
        <v>776</v>
      </c>
      <c r="N809">
        <v>19</v>
      </c>
      <c r="O809">
        <v>119</v>
      </c>
      <c r="P809">
        <v>150</v>
      </c>
      <c r="Q809">
        <v>119</v>
      </c>
      <c r="S809">
        <v>163</v>
      </c>
      <c r="T809">
        <v>163</v>
      </c>
      <c r="U809">
        <f>+SUM(Table1[[#This Row],[Latinos]:[Cemex]])</f>
        <v>1</v>
      </c>
      <c r="V809" t="str">
        <f>+Table1[[#This Row],[id_destino]]&amp;" - "&amp;Table1[[#This Row],[id_origen]]</f>
        <v>776 - 19</v>
      </c>
    </row>
    <row r="810" spans="1:22" hidden="1">
      <c r="A810">
        <v>4210</v>
      </c>
      <c r="B810">
        <v>4491</v>
      </c>
      <c r="C810">
        <v>22</v>
      </c>
      <c r="D810">
        <v>7698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 t="s">
        <v>20</v>
      </c>
      <c r="L810" s="1">
        <v>45366</v>
      </c>
      <c r="M810">
        <v>832</v>
      </c>
      <c r="N810">
        <v>19</v>
      </c>
      <c r="O810">
        <v>43</v>
      </c>
      <c r="P810">
        <v>100</v>
      </c>
      <c r="Q810">
        <v>43</v>
      </c>
      <c r="S810">
        <v>119</v>
      </c>
      <c r="T810">
        <v>119</v>
      </c>
      <c r="U810">
        <f>+SUM(Table1[[#This Row],[Latinos]:[Cemex]])</f>
        <v>1</v>
      </c>
      <c r="V810" t="str">
        <f>+Table1[[#This Row],[id_destino]]&amp;" - "&amp;Table1[[#This Row],[id_origen]]</f>
        <v>832 - 19</v>
      </c>
    </row>
    <row r="811" spans="1:22" hidden="1">
      <c r="A811">
        <v>2927</v>
      </c>
      <c r="B811">
        <v>3660</v>
      </c>
      <c r="C811">
        <v>22</v>
      </c>
      <c r="D811">
        <v>6803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 t="s">
        <v>20</v>
      </c>
      <c r="L811" s="1">
        <v>44622</v>
      </c>
      <c r="M811">
        <v>842</v>
      </c>
      <c r="N811">
        <v>19</v>
      </c>
      <c r="O811">
        <v>63</v>
      </c>
      <c r="P811">
        <v>150</v>
      </c>
      <c r="Q811">
        <v>63</v>
      </c>
      <c r="S811">
        <v>95</v>
      </c>
      <c r="T811">
        <v>95</v>
      </c>
      <c r="U811">
        <f>+SUM(Table1[[#This Row],[Latinos]:[Cemex]])</f>
        <v>1</v>
      </c>
      <c r="V811" t="str">
        <f>+Table1[[#This Row],[id_destino]]&amp;" - "&amp;Table1[[#This Row],[id_origen]]</f>
        <v>842 - 19</v>
      </c>
    </row>
    <row r="812" spans="1:22" hidden="1">
      <c r="A812">
        <v>320</v>
      </c>
      <c r="B812">
        <v>773</v>
      </c>
      <c r="C812">
        <v>4311</v>
      </c>
      <c r="D812">
        <v>469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 t="s">
        <v>20</v>
      </c>
      <c r="L812" s="1">
        <v>43036</v>
      </c>
      <c r="M812">
        <v>2</v>
      </c>
      <c r="N812">
        <v>20</v>
      </c>
      <c r="O812">
        <v>99</v>
      </c>
      <c r="P812">
        <v>150</v>
      </c>
      <c r="Q812">
        <v>99</v>
      </c>
      <c r="S812">
        <v>485</v>
      </c>
      <c r="T812">
        <v>578</v>
      </c>
      <c r="U812">
        <f>+SUM(Table1[[#This Row],[Latinos]:[Cemex]])</f>
        <v>1</v>
      </c>
      <c r="V812" t="str">
        <f>+Table1[[#This Row],[id_destino]]&amp;" - "&amp;Table1[[#This Row],[id_origen]]</f>
        <v>2 - 20</v>
      </c>
    </row>
    <row r="813" spans="1:22" hidden="1">
      <c r="A813">
        <v>4435</v>
      </c>
      <c r="B813">
        <v>1096</v>
      </c>
      <c r="C813">
        <v>7850</v>
      </c>
      <c r="D813">
        <v>3890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 t="s">
        <v>20</v>
      </c>
      <c r="L813" s="1">
        <v>45538</v>
      </c>
      <c r="M813">
        <v>3</v>
      </c>
      <c r="N813">
        <v>20</v>
      </c>
      <c r="O813">
        <v>781</v>
      </c>
      <c r="P813">
        <v>781</v>
      </c>
      <c r="Q813">
        <v>781</v>
      </c>
      <c r="S813">
        <v>2576</v>
      </c>
      <c r="T813">
        <v>2576</v>
      </c>
      <c r="U813">
        <f>+SUM(Table1[[#This Row],[Latinos]:[Cemex]])</f>
        <v>1</v>
      </c>
      <c r="V813" t="str">
        <f>+Table1[[#This Row],[id_destino]]&amp;" - "&amp;Table1[[#This Row],[id_origen]]</f>
        <v>3 - 20</v>
      </c>
    </row>
    <row r="814" spans="1:22" hidden="1">
      <c r="A814">
        <v>3696</v>
      </c>
      <c r="B814">
        <v>922</v>
      </c>
      <c r="C814">
        <v>3667</v>
      </c>
      <c r="D814">
        <v>5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 t="s">
        <v>20</v>
      </c>
      <c r="L814" s="1">
        <v>45035</v>
      </c>
      <c r="M814">
        <v>7</v>
      </c>
      <c r="N814">
        <v>20</v>
      </c>
      <c r="O814">
        <v>1788</v>
      </c>
      <c r="P814">
        <v>1666</v>
      </c>
      <c r="Q814">
        <v>1770</v>
      </c>
      <c r="S814">
        <v>3460</v>
      </c>
      <c r="T814">
        <v>4028</v>
      </c>
      <c r="U814">
        <f>+SUM(Table1[[#This Row],[Latinos]:[Cemex]])</f>
        <v>1</v>
      </c>
      <c r="V814" t="str">
        <f>+Table1[[#This Row],[id_destino]]&amp;" - "&amp;Table1[[#This Row],[id_origen]]</f>
        <v>7 - 20</v>
      </c>
    </row>
    <row r="815" spans="1:22" hidden="1">
      <c r="A815">
        <v>4307</v>
      </c>
      <c r="B815">
        <v>922</v>
      </c>
      <c r="C815">
        <v>6087</v>
      </c>
      <c r="D815">
        <v>7795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 t="s">
        <v>114</v>
      </c>
      <c r="L815" s="1">
        <v>45449</v>
      </c>
      <c r="M815">
        <v>7</v>
      </c>
      <c r="N815">
        <v>20</v>
      </c>
      <c r="O815">
        <v>1669</v>
      </c>
      <c r="P815">
        <v>1727</v>
      </c>
      <c r="Q815">
        <v>1669</v>
      </c>
      <c r="S815">
        <v>2331</v>
      </c>
      <c r="T815">
        <v>2424</v>
      </c>
      <c r="U815">
        <f>+SUM(Table1[[#This Row],[Latinos]:[Cemex]])</f>
        <v>1</v>
      </c>
      <c r="V815" t="str">
        <f>+Table1[[#This Row],[id_destino]]&amp;" - "&amp;Table1[[#This Row],[id_origen]]</f>
        <v>7 - 20</v>
      </c>
    </row>
    <row r="816" spans="1:22" hidden="1">
      <c r="A816">
        <v>337</v>
      </c>
      <c r="B816">
        <v>1335</v>
      </c>
      <c r="C816">
        <v>4401</v>
      </c>
      <c r="D816">
        <v>5332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 t="s">
        <v>20</v>
      </c>
      <c r="L816" s="1">
        <v>45827</v>
      </c>
      <c r="M816">
        <v>20</v>
      </c>
      <c r="N816">
        <v>20</v>
      </c>
      <c r="O816">
        <v>6</v>
      </c>
      <c r="P816">
        <v>6</v>
      </c>
      <c r="Q816">
        <v>0</v>
      </c>
      <c r="S816">
        <v>0</v>
      </c>
      <c r="T816">
        <v>0</v>
      </c>
      <c r="U816">
        <f>+SUM(Table1[[#This Row],[Latinos]:[Cemex]])</f>
        <v>1</v>
      </c>
      <c r="V816" t="str">
        <f>+Table1[[#This Row],[id_destino]]&amp;" - "&amp;Table1[[#This Row],[id_origen]]</f>
        <v>20 - 20</v>
      </c>
    </row>
    <row r="817" spans="1:22" hidden="1">
      <c r="A817">
        <v>3935</v>
      </c>
      <c r="B817">
        <v>454</v>
      </c>
      <c r="C817">
        <v>6087</v>
      </c>
      <c r="D817">
        <v>6055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  <c r="K817" t="s">
        <v>20</v>
      </c>
      <c r="L817" s="1">
        <v>45196</v>
      </c>
      <c r="M817">
        <v>23</v>
      </c>
      <c r="N817">
        <v>20</v>
      </c>
      <c r="O817">
        <v>536</v>
      </c>
      <c r="P817">
        <v>506</v>
      </c>
      <c r="Q817">
        <v>536</v>
      </c>
      <c r="S817">
        <v>2091</v>
      </c>
      <c r="T817">
        <v>2091</v>
      </c>
      <c r="U817">
        <f>+SUM(Table1[[#This Row],[Latinos]:[Cemex]])</f>
        <v>1</v>
      </c>
      <c r="V817" t="str">
        <f>+Table1[[#This Row],[id_destino]]&amp;" - "&amp;Table1[[#This Row],[id_origen]]</f>
        <v>23 - 20</v>
      </c>
    </row>
    <row r="818" spans="1:22" hidden="1">
      <c r="A818">
        <v>3983</v>
      </c>
      <c r="B818">
        <v>4335</v>
      </c>
      <c r="C818">
        <v>6087</v>
      </c>
      <c r="D818">
        <v>7511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 t="s">
        <v>20</v>
      </c>
      <c r="L818" s="1">
        <v>45215</v>
      </c>
      <c r="M818">
        <v>27</v>
      </c>
      <c r="N818">
        <v>20</v>
      </c>
      <c r="O818">
        <v>852</v>
      </c>
      <c r="P818">
        <v>849</v>
      </c>
      <c r="Q818">
        <v>852</v>
      </c>
      <c r="S818">
        <v>2644</v>
      </c>
      <c r="T818">
        <v>2644</v>
      </c>
      <c r="U818">
        <f>+SUM(Table1[[#This Row],[Latinos]:[Cemex]])</f>
        <v>1</v>
      </c>
      <c r="V818" t="str">
        <f>+Table1[[#This Row],[id_destino]]&amp;" - "&amp;Table1[[#This Row],[id_origen]]</f>
        <v>27 - 20</v>
      </c>
    </row>
    <row r="819" spans="1:22" hidden="1">
      <c r="A819">
        <v>1981</v>
      </c>
      <c r="B819">
        <v>1454</v>
      </c>
      <c r="C819">
        <v>6087</v>
      </c>
      <c r="D819">
        <v>6088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 t="s">
        <v>20</v>
      </c>
      <c r="L819" s="1">
        <v>43748</v>
      </c>
      <c r="M819">
        <v>35</v>
      </c>
      <c r="N819">
        <v>20</v>
      </c>
      <c r="O819">
        <v>468</v>
      </c>
      <c r="P819">
        <v>468</v>
      </c>
      <c r="Q819">
        <v>468</v>
      </c>
      <c r="S819">
        <v>1334</v>
      </c>
      <c r="T819">
        <v>1407</v>
      </c>
      <c r="U819">
        <f>+SUM(Table1[[#This Row],[Latinos]:[Cemex]])</f>
        <v>1</v>
      </c>
      <c r="V819" t="str">
        <f>+Table1[[#This Row],[id_destino]]&amp;" - "&amp;Table1[[#This Row],[id_origen]]</f>
        <v>35 - 20</v>
      </c>
    </row>
    <row r="820" spans="1:22" hidden="1">
      <c r="A820">
        <v>4002</v>
      </c>
      <c r="B820">
        <v>4348</v>
      </c>
      <c r="C820">
        <v>6087</v>
      </c>
      <c r="D820">
        <v>7527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 t="s">
        <v>20</v>
      </c>
      <c r="L820" s="1">
        <v>45230</v>
      </c>
      <c r="M820">
        <v>40</v>
      </c>
      <c r="N820">
        <v>20</v>
      </c>
      <c r="O820">
        <v>416</v>
      </c>
      <c r="P820">
        <v>415</v>
      </c>
      <c r="Q820">
        <v>416</v>
      </c>
      <c r="S820">
        <v>1779</v>
      </c>
      <c r="T820">
        <v>1779</v>
      </c>
      <c r="U820">
        <f>+SUM(Table1[[#This Row],[Latinos]:[Cemex]])</f>
        <v>1</v>
      </c>
      <c r="V820" t="str">
        <f>+Table1[[#This Row],[id_destino]]&amp;" - "&amp;Table1[[#This Row],[id_origen]]</f>
        <v>40 - 20</v>
      </c>
    </row>
    <row r="821" spans="1:22" hidden="1">
      <c r="A821">
        <v>4516</v>
      </c>
      <c r="B821">
        <v>1453</v>
      </c>
      <c r="C821">
        <v>7850</v>
      </c>
      <c r="D821">
        <v>7990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 t="s">
        <v>20</v>
      </c>
      <c r="L821" s="1">
        <v>45597</v>
      </c>
      <c r="M821">
        <v>49</v>
      </c>
      <c r="N821">
        <v>20</v>
      </c>
      <c r="O821">
        <v>444</v>
      </c>
      <c r="P821">
        <v>444</v>
      </c>
      <c r="Q821">
        <v>444</v>
      </c>
      <c r="S821">
        <v>2067</v>
      </c>
      <c r="T821">
        <v>2160</v>
      </c>
      <c r="U821">
        <f>+SUM(Table1[[#This Row],[Latinos]:[Cemex]])</f>
        <v>1</v>
      </c>
      <c r="V821" t="str">
        <f>+Table1[[#This Row],[id_destino]]&amp;" - "&amp;Table1[[#This Row],[id_origen]]</f>
        <v>49 - 20</v>
      </c>
    </row>
    <row r="822" spans="1:22" hidden="1">
      <c r="A822">
        <v>2439</v>
      </c>
      <c r="B822">
        <v>2174</v>
      </c>
      <c r="C822">
        <v>6087</v>
      </c>
      <c r="D822">
        <v>5116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 t="s">
        <v>20</v>
      </c>
      <c r="L822" s="1">
        <v>44075</v>
      </c>
      <c r="M822">
        <v>52</v>
      </c>
      <c r="N822">
        <v>20</v>
      </c>
      <c r="O822">
        <v>897</v>
      </c>
      <c r="P822">
        <v>872</v>
      </c>
      <c r="Q822">
        <v>897</v>
      </c>
      <c r="S822">
        <v>787</v>
      </c>
      <c r="T822">
        <v>787</v>
      </c>
      <c r="U822">
        <f>+SUM(Table1[[#This Row],[Latinos]:[Cemex]])</f>
        <v>1</v>
      </c>
      <c r="V822" t="str">
        <f>+Table1[[#This Row],[id_destino]]&amp;" - "&amp;Table1[[#This Row],[id_origen]]</f>
        <v>52 - 20</v>
      </c>
    </row>
    <row r="823" spans="1:22" hidden="1">
      <c r="A823">
        <v>3751</v>
      </c>
      <c r="B823">
        <v>1448</v>
      </c>
      <c r="C823">
        <v>7351</v>
      </c>
      <c r="D823">
        <v>3984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 t="s">
        <v>20</v>
      </c>
      <c r="L823" s="1">
        <v>45069</v>
      </c>
      <c r="M823">
        <v>59</v>
      </c>
      <c r="N823">
        <v>20</v>
      </c>
      <c r="O823">
        <v>433</v>
      </c>
      <c r="P823">
        <v>403</v>
      </c>
      <c r="Q823">
        <v>433</v>
      </c>
      <c r="S823">
        <v>978</v>
      </c>
      <c r="T823">
        <v>978</v>
      </c>
      <c r="U823">
        <f>+SUM(Table1[[#This Row],[Latinos]:[Cemex]])</f>
        <v>1</v>
      </c>
      <c r="V823" t="str">
        <f>+Table1[[#This Row],[id_destino]]&amp;" - "&amp;Table1[[#This Row],[id_origen]]</f>
        <v>59 - 20</v>
      </c>
    </row>
    <row r="824" spans="1:22" hidden="1">
      <c r="A824">
        <v>4662</v>
      </c>
      <c r="B824">
        <v>4830</v>
      </c>
      <c r="C824">
        <v>4269</v>
      </c>
      <c r="D824">
        <v>8140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 t="s">
        <v>20</v>
      </c>
      <c r="L824" s="1">
        <v>45712</v>
      </c>
      <c r="M824">
        <v>62</v>
      </c>
      <c r="N824">
        <v>20</v>
      </c>
      <c r="O824">
        <v>385</v>
      </c>
      <c r="P824">
        <v>385</v>
      </c>
      <c r="Q824">
        <v>385</v>
      </c>
      <c r="S824">
        <v>555</v>
      </c>
      <c r="T824">
        <v>555</v>
      </c>
      <c r="U824">
        <f>+SUM(Table1[[#This Row],[Latinos]:[Cemex]])</f>
        <v>1</v>
      </c>
      <c r="V824" t="str">
        <f>+Table1[[#This Row],[id_destino]]&amp;" - "&amp;Table1[[#This Row],[id_origen]]</f>
        <v>62 - 20</v>
      </c>
    </row>
    <row r="825" spans="1:22" hidden="1">
      <c r="A825">
        <v>632</v>
      </c>
      <c r="B825">
        <v>2375</v>
      </c>
      <c r="C825">
        <v>4401</v>
      </c>
      <c r="D825">
        <v>5430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 t="s">
        <v>20</v>
      </c>
      <c r="L825" s="1">
        <v>43119</v>
      </c>
      <c r="M825">
        <v>65</v>
      </c>
      <c r="N825">
        <v>20</v>
      </c>
      <c r="O825">
        <v>191</v>
      </c>
      <c r="P825">
        <v>191</v>
      </c>
      <c r="Q825">
        <v>191</v>
      </c>
      <c r="S825">
        <v>481</v>
      </c>
      <c r="T825">
        <v>548</v>
      </c>
      <c r="U825">
        <f>+SUM(Table1[[#This Row],[Latinos]:[Cemex]])</f>
        <v>1</v>
      </c>
      <c r="V825" t="str">
        <f>+Table1[[#This Row],[id_destino]]&amp;" - "&amp;Table1[[#This Row],[id_origen]]</f>
        <v>65 - 20</v>
      </c>
    </row>
    <row r="826" spans="1:22" hidden="1">
      <c r="A826">
        <v>506</v>
      </c>
      <c r="B826">
        <v>1789</v>
      </c>
      <c r="C826">
        <v>4401</v>
      </c>
      <c r="D826">
        <v>5391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 t="s">
        <v>20</v>
      </c>
      <c r="L826" s="1">
        <v>43083</v>
      </c>
      <c r="M826">
        <v>69</v>
      </c>
      <c r="N826">
        <v>20</v>
      </c>
      <c r="O826">
        <v>30</v>
      </c>
      <c r="P826">
        <v>150</v>
      </c>
      <c r="Q826">
        <v>30</v>
      </c>
      <c r="S826">
        <v>0</v>
      </c>
      <c r="T826">
        <v>0</v>
      </c>
      <c r="U826">
        <f>+SUM(Table1[[#This Row],[Latinos]:[Cemex]])</f>
        <v>1</v>
      </c>
      <c r="V826" t="str">
        <f>+Table1[[#This Row],[id_destino]]&amp;" - "&amp;Table1[[#This Row],[id_origen]]</f>
        <v>69 - 20</v>
      </c>
    </row>
    <row r="827" spans="1:22" hidden="1">
      <c r="A827">
        <v>989</v>
      </c>
      <c r="B827">
        <v>63</v>
      </c>
      <c r="C827">
        <v>5572</v>
      </c>
      <c r="D827">
        <v>5573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 t="s">
        <v>20</v>
      </c>
      <c r="L827" s="1">
        <v>43238</v>
      </c>
      <c r="M827">
        <v>73</v>
      </c>
      <c r="N827">
        <v>20</v>
      </c>
      <c r="O827">
        <v>899</v>
      </c>
      <c r="P827">
        <v>899</v>
      </c>
      <c r="Q827">
        <v>899</v>
      </c>
      <c r="S827">
        <v>723</v>
      </c>
      <c r="T827">
        <v>723</v>
      </c>
      <c r="U827">
        <f>+SUM(Table1[[#This Row],[Latinos]:[Cemex]])</f>
        <v>1</v>
      </c>
      <c r="V827" t="str">
        <f>+Table1[[#This Row],[id_destino]]&amp;" - "&amp;Table1[[#This Row],[id_origen]]</f>
        <v>73 - 20</v>
      </c>
    </row>
    <row r="828" spans="1:22" hidden="1">
      <c r="A828">
        <v>355</v>
      </c>
      <c r="B828">
        <v>1671</v>
      </c>
      <c r="C828">
        <v>4401</v>
      </c>
      <c r="D828">
        <v>5335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 t="s">
        <v>20</v>
      </c>
      <c r="L828" s="1">
        <v>43043</v>
      </c>
      <c r="M828">
        <v>76</v>
      </c>
      <c r="N828">
        <v>20</v>
      </c>
      <c r="O828">
        <v>15</v>
      </c>
      <c r="P828">
        <v>150</v>
      </c>
      <c r="Q828">
        <v>15</v>
      </c>
      <c r="S828">
        <v>0</v>
      </c>
      <c r="T828">
        <v>0</v>
      </c>
      <c r="U828">
        <f>+SUM(Table1[[#This Row],[Latinos]:[Cemex]])</f>
        <v>1</v>
      </c>
      <c r="V828" t="str">
        <f>+Table1[[#This Row],[id_destino]]&amp;" - "&amp;Table1[[#This Row],[id_origen]]</f>
        <v>76 - 20</v>
      </c>
    </row>
    <row r="829" spans="1:22" hidden="1">
      <c r="A829">
        <v>3608</v>
      </c>
      <c r="B829">
        <v>4108</v>
      </c>
      <c r="C829">
        <v>6087</v>
      </c>
      <c r="D829">
        <v>7248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 t="s">
        <v>20</v>
      </c>
      <c r="L829" s="1">
        <v>44984</v>
      </c>
      <c r="M829">
        <v>82</v>
      </c>
      <c r="N829">
        <v>20</v>
      </c>
      <c r="O829">
        <v>217</v>
      </c>
      <c r="P829">
        <v>220</v>
      </c>
      <c r="Q829">
        <v>217</v>
      </c>
      <c r="S829">
        <v>553</v>
      </c>
      <c r="T829">
        <v>553</v>
      </c>
      <c r="U829">
        <f>+SUM(Table1[[#This Row],[Latinos]:[Cemex]])</f>
        <v>1</v>
      </c>
      <c r="V829" t="str">
        <f>+Table1[[#This Row],[id_destino]]&amp;" - "&amp;Table1[[#This Row],[id_origen]]</f>
        <v>82 - 20</v>
      </c>
    </row>
    <row r="830" spans="1:22" hidden="1">
      <c r="A830">
        <v>3619</v>
      </c>
      <c r="B830">
        <v>4108</v>
      </c>
      <c r="C830">
        <v>6087</v>
      </c>
      <c r="D830">
        <v>7262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 t="s">
        <v>20</v>
      </c>
      <c r="L830" s="1">
        <v>44989</v>
      </c>
      <c r="M830">
        <v>82</v>
      </c>
      <c r="N830">
        <v>20</v>
      </c>
      <c r="O830">
        <v>216</v>
      </c>
      <c r="P830">
        <v>220</v>
      </c>
      <c r="Q830">
        <v>216</v>
      </c>
      <c r="S830">
        <v>553</v>
      </c>
      <c r="T830">
        <v>553</v>
      </c>
      <c r="U830">
        <f>+SUM(Table1[[#This Row],[Latinos]:[Cemex]])</f>
        <v>1</v>
      </c>
      <c r="V830" t="str">
        <f>+Table1[[#This Row],[id_destino]]&amp;" - "&amp;Table1[[#This Row],[id_origen]]</f>
        <v>82 - 20</v>
      </c>
    </row>
    <row r="831" spans="1:22" hidden="1">
      <c r="A831">
        <v>4788</v>
      </c>
      <c r="B831">
        <v>4908</v>
      </c>
      <c r="C831">
        <v>6087</v>
      </c>
      <c r="D831">
        <v>8249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 t="s">
        <v>20</v>
      </c>
      <c r="L831" s="1">
        <v>45824</v>
      </c>
      <c r="M831">
        <v>126</v>
      </c>
      <c r="N831">
        <v>20</v>
      </c>
      <c r="O831">
        <v>728</v>
      </c>
      <c r="P831">
        <v>801</v>
      </c>
      <c r="Q831">
        <v>728</v>
      </c>
      <c r="S831">
        <v>2578</v>
      </c>
      <c r="T831">
        <v>2578</v>
      </c>
      <c r="U831">
        <f>+SUM(Table1[[#This Row],[Latinos]:[Cemex]])</f>
        <v>1</v>
      </c>
      <c r="V831" t="str">
        <f>+Table1[[#This Row],[id_destino]]&amp;" - "&amp;Table1[[#This Row],[id_origen]]</f>
        <v>126 - 20</v>
      </c>
    </row>
    <row r="832" spans="1:22" hidden="1">
      <c r="A832">
        <v>1269</v>
      </c>
      <c r="B832">
        <v>2662</v>
      </c>
      <c r="C832">
        <v>5695</v>
      </c>
      <c r="D832">
        <v>485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 t="s">
        <v>20</v>
      </c>
      <c r="L832" s="1">
        <v>43360</v>
      </c>
      <c r="M832">
        <v>129</v>
      </c>
      <c r="N832">
        <v>20</v>
      </c>
      <c r="O832">
        <v>530</v>
      </c>
      <c r="P832">
        <v>530</v>
      </c>
      <c r="Q832">
        <v>530</v>
      </c>
      <c r="S832">
        <v>1133</v>
      </c>
      <c r="T832">
        <v>1202</v>
      </c>
      <c r="U832">
        <f>+SUM(Table1[[#This Row],[Latinos]:[Cemex]])</f>
        <v>1</v>
      </c>
      <c r="V832" t="str">
        <f>+Table1[[#This Row],[id_destino]]&amp;" - "&amp;Table1[[#This Row],[id_origen]]</f>
        <v>129 - 20</v>
      </c>
    </row>
    <row r="833" spans="1:22" hidden="1">
      <c r="A833">
        <v>4066</v>
      </c>
      <c r="B833">
        <v>4398</v>
      </c>
      <c r="C833">
        <v>7534</v>
      </c>
      <c r="D833">
        <v>7579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 t="s">
        <v>20</v>
      </c>
      <c r="L833" s="1">
        <v>45262</v>
      </c>
      <c r="M833">
        <v>132</v>
      </c>
      <c r="N833">
        <v>20</v>
      </c>
      <c r="O833">
        <v>157</v>
      </c>
      <c r="P833">
        <v>155</v>
      </c>
      <c r="Q833">
        <v>157</v>
      </c>
      <c r="S833">
        <v>570</v>
      </c>
      <c r="T833">
        <v>663</v>
      </c>
      <c r="U833">
        <f>+SUM(Table1[[#This Row],[Latinos]:[Cemex]])</f>
        <v>1</v>
      </c>
      <c r="V833" t="str">
        <f>+Table1[[#This Row],[id_destino]]&amp;" - "&amp;Table1[[#This Row],[id_origen]]</f>
        <v>132 - 20</v>
      </c>
    </row>
    <row r="834" spans="1:22" hidden="1">
      <c r="A834">
        <v>4327</v>
      </c>
      <c r="B834">
        <v>1724</v>
      </c>
      <c r="C834">
        <v>2887</v>
      </c>
      <c r="D834">
        <v>7005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 t="s">
        <v>20</v>
      </c>
      <c r="L834" s="1">
        <v>45461</v>
      </c>
      <c r="M834">
        <v>136</v>
      </c>
      <c r="N834">
        <v>20</v>
      </c>
      <c r="O834">
        <v>136</v>
      </c>
      <c r="P834">
        <v>150</v>
      </c>
      <c r="Q834">
        <v>136</v>
      </c>
      <c r="S834">
        <v>1090</v>
      </c>
      <c r="T834">
        <v>1090</v>
      </c>
      <c r="U834">
        <f>+SUM(Table1[[#This Row],[Latinos]:[Cemex]])</f>
        <v>1</v>
      </c>
      <c r="V834" t="str">
        <f>+Table1[[#This Row],[id_destino]]&amp;" - "&amp;Table1[[#This Row],[id_origen]]</f>
        <v>136 - 20</v>
      </c>
    </row>
    <row r="835" spans="1:22" hidden="1">
      <c r="A835">
        <v>4276</v>
      </c>
      <c r="B835">
        <v>4539</v>
      </c>
      <c r="C835">
        <v>7715</v>
      </c>
      <c r="D835">
        <v>3158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 t="s">
        <v>20</v>
      </c>
      <c r="L835" s="1">
        <v>45420</v>
      </c>
      <c r="M835">
        <v>147</v>
      </c>
      <c r="N835">
        <v>20</v>
      </c>
      <c r="O835">
        <v>159</v>
      </c>
      <c r="P835">
        <v>150</v>
      </c>
      <c r="Q835">
        <v>159</v>
      </c>
      <c r="S835">
        <v>979</v>
      </c>
      <c r="T835">
        <v>979</v>
      </c>
      <c r="U835">
        <f>+SUM(Table1[[#This Row],[Latinos]:[Cemex]])</f>
        <v>1</v>
      </c>
      <c r="V835" t="str">
        <f>+Table1[[#This Row],[id_destino]]&amp;" - "&amp;Table1[[#This Row],[id_origen]]</f>
        <v>147 - 20</v>
      </c>
    </row>
    <row r="836" spans="1:22" hidden="1">
      <c r="A836">
        <v>4607</v>
      </c>
      <c r="B836">
        <v>4789</v>
      </c>
      <c r="C836">
        <v>7534</v>
      </c>
      <c r="D836">
        <v>2111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 t="s">
        <v>20</v>
      </c>
      <c r="L836" s="1">
        <v>45667</v>
      </c>
      <c r="M836">
        <v>155</v>
      </c>
      <c r="N836">
        <v>20</v>
      </c>
      <c r="O836">
        <v>1071</v>
      </c>
      <c r="P836">
        <v>1654</v>
      </c>
      <c r="Q836">
        <v>1271</v>
      </c>
      <c r="S836">
        <v>5731</v>
      </c>
      <c r="T836">
        <v>5829</v>
      </c>
      <c r="U836">
        <f>+SUM(Table1[[#This Row],[Latinos]:[Cemex]])</f>
        <v>1</v>
      </c>
      <c r="V836" t="str">
        <f>+Table1[[#This Row],[id_destino]]&amp;" - "&amp;Table1[[#This Row],[id_origen]]</f>
        <v>155 - 20</v>
      </c>
    </row>
    <row r="837" spans="1:22" hidden="1">
      <c r="A837">
        <v>4525</v>
      </c>
      <c r="B837">
        <v>4725</v>
      </c>
      <c r="C837">
        <v>7850</v>
      </c>
      <c r="D837">
        <v>746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0</v>
      </c>
      <c r="K837" t="s">
        <v>20</v>
      </c>
      <c r="L837" s="1">
        <v>45603</v>
      </c>
      <c r="M837">
        <v>180</v>
      </c>
      <c r="N837">
        <v>20</v>
      </c>
      <c r="O837">
        <v>1103</v>
      </c>
      <c r="P837">
        <v>1098</v>
      </c>
      <c r="Q837">
        <v>1103</v>
      </c>
      <c r="S837">
        <v>1912</v>
      </c>
      <c r="T837">
        <v>1912</v>
      </c>
      <c r="U837">
        <f>+SUM(Table1[[#This Row],[Latinos]:[Cemex]])</f>
        <v>1</v>
      </c>
      <c r="V837" t="str">
        <f>+Table1[[#This Row],[id_destino]]&amp;" - "&amp;Table1[[#This Row],[id_origen]]</f>
        <v>180 - 20</v>
      </c>
    </row>
    <row r="838" spans="1:22" hidden="1">
      <c r="A838">
        <v>3484</v>
      </c>
      <c r="B838">
        <v>2117</v>
      </c>
      <c r="C838">
        <v>6087</v>
      </c>
      <c r="D838">
        <v>1184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 t="s">
        <v>20</v>
      </c>
      <c r="L838" s="1">
        <v>44918</v>
      </c>
      <c r="M838">
        <v>227</v>
      </c>
      <c r="N838">
        <v>20</v>
      </c>
      <c r="O838">
        <v>203</v>
      </c>
      <c r="P838">
        <v>168</v>
      </c>
      <c r="Q838">
        <v>203</v>
      </c>
      <c r="S838">
        <v>205</v>
      </c>
      <c r="T838">
        <v>257</v>
      </c>
      <c r="U838">
        <f>+SUM(Table1[[#This Row],[Latinos]:[Cemex]])</f>
        <v>1</v>
      </c>
      <c r="V838" t="str">
        <f>+Table1[[#This Row],[id_destino]]&amp;" - "&amp;Table1[[#This Row],[id_origen]]</f>
        <v>227 - 20</v>
      </c>
    </row>
    <row r="839" spans="1:22" hidden="1">
      <c r="A839">
        <v>3232</v>
      </c>
      <c r="B839">
        <v>3852</v>
      </c>
      <c r="C839">
        <v>6982</v>
      </c>
      <c r="D839">
        <v>6909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 t="s">
        <v>20</v>
      </c>
      <c r="L839" s="1">
        <v>44785</v>
      </c>
      <c r="M839">
        <v>280</v>
      </c>
      <c r="N839">
        <v>20</v>
      </c>
      <c r="O839">
        <v>199</v>
      </c>
      <c r="P839">
        <v>140</v>
      </c>
      <c r="Q839">
        <v>199</v>
      </c>
      <c r="S839">
        <v>266</v>
      </c>
      <c r="T839">
        <v>266</v>
      </c>
      <c r="U839">
        <f>+SUM(Table1[[#This Row],[Latinos]:[Cemex]])</f>
        <v>1</v>
      </c>
      <c r="V839" t="str">
        <f>+Table1[[#This Row],[id_destino]]&amp;" - "&amp;Table1[[#This Row],[id_origen]]</f>
        <v>280 - 20</v>
      </c>
    </row>
    <row r="840" spans="1:22" hidden="1">
      <c r="A840">
        <v>4363</v>
      </c>
      <c r="B840">
        <v>4601</v>
      </c>
      <c r="C840">
        <v>7549</v>
      </c>
      <c r="D840">
        <v>7852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 t="s">
        <v>20</v>
      </c>
      <c r="L840" s="1">
        <v>45495</v>
      </c>
      <c r="M840">
        <v>298</v>
      </c>
      <c r="N840">
        <v>20</v>
      </c>
      <c r="O840">
        <v>796</v>
      </c>
      <c r="P840">
        <v>769</v>
      </c>
      <c r="Q840">
        <v>796</v>
      </c>
      <c r="S840">
        <v>2576</v>
      </c>
      <c r="T840">
        <v>2576</v>
      </c>
      <c r="U840">
        <f>+SUM(Table1[[#This Row],[Latinos]:[Cemex]])</f>
        <v>1</v>
      </c>
      <c r="V840" t="str">
        <f>+Table1[[#This Row],[id_destino]]&amp;" - "&amp;Table1[[#This Row],[id_origen]]</f>
        <v>298 - 20</v>
      </c>
    </row>
    <row r="841" spans="1:22" hidden="1">
      <c r="A841">
        <v>1809</v>
      </c>
      <c r="B841">
        <v>1406</v>
      </c>
      <c r="C841">
        <v>4401</v>
      </c>
      <c r="D841">
        <v>5950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 t="s">
        <v>20</v>
      </c>
      <c r="L841" s="1">
        <v>43641</v>
      </c>
      <c r="M841">
        <v>306</v>
      </c>
      <c r="N841">
        <v>20</v>
      </c>
      <c r="O841">
        <v>76</v>
      </c>
      <c r="P841">
        <v>150</v>
      </c>
      <c r="Q841">
        <v>76</v>
      </c>
      <c r="S841">
        <v>58</v>
      </c>
      <c r="T841">
        <v>58</v>
      </c>
      <c r="U841">
        <f>+SUM(Table1[[#This Row],[Latinos]:[Cemex]])</f>
        <v>1</v>
      </c>
      <c r="V841" t="str">
        <f>+Table1[[#This Row],[id_destino]]&amp;" - "&amp;Table1[[#This Row],[id_origen]]</f>
        <v>306 - 20</v>
      </c>
    </row>
    <row r="842" spans="1:22" hidden="1">
      <c r="A842">
        <v>843</v>
      </c>
      <c r="B842">
        <v>1175</v>
      </c>
      <c r="C842">
        <v>4401</v>
      </c>
      <c r="D842">
        <v>4789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 t="s">
        <v>20</v>
      </c>
      <c r="L842" s="1">
        <v>43185</v>
      </c>
      <c r="M842">
        <v>318</v>
      </c>
      <c r="N842">
        <v>20</v>
      </c>
      <c r="O842">
        <v>40</v>
      </c>
      <c r="P842">
        <v>150</v>
      </c>
      <c r="Q842">
        <v>40</v>
      </c>
      <c r="S842">
        <v>88</v>
      </c>
      <c r="T842">
        <v>88</v>
      </c>
      <c r="U842">
        <f>+SUM(Table1[[#This Row],[Latinos]:[Cemex]])</f>
        <v>1</v>
      </c>
      <c r="V842" t="str">
        <f>+Table1[[#This Row],[id_destino]]&amp;" - "&amp;Table1[[#This Row],[id_origen]]</f>
        <v>318 - 20</v>
      </c>
    </row>
    <row r="843" spans="1:22" hidden="1">
      <c r="A843">
        <v>1328</v>
      </c>
      <c r="B843">
        <v>2694</v>
      </c>
      <c r="C843">
        <v>2588</v>
      </c>
      <c r="D843">
        <v>5378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 t="s">
        <v>20</v>
      </c>
      <c r="L843" s="1">
        <v>43386</v>
      </c>
      <c r="M843">
        <v>345</v>
      </c>
      <c r="N843">
        <v>20</v>
      </c>
      <c r="O843">
        <v>65</v>
      </c>
      <c r="P843">
        <v>150</v>
      </c>
      <c r="Q843">
        <v>65</v>
      </c>
      <c r="S843">
        <v>58</v>
      </c>
      <c r="T843">
        <v>58</v>
      </c>
      <c r="U843">
        <f>+SUM(Table1[[#This Row],[Latinos]:[Cemex]])</f>
        <v>1</v>
      </c>
      <c r="V843" t="str">
        <f>+Table1[[#This Row],[id_destino]]&amp;" - "&amp;Table1[[#This Row],[id_origen]]</f>
        <v>345 - 20</v>
      </c>
    </row>
    <row r="844" spans="1:22" hidden="1">
      <c r="A844">
        <v>3178</v>
      </c>
      <c r="B844">
        <v>3823</v>
      </c>
      <c r="C844">
        <v>6087</v>
      </c>
      <c r="D844">
        <v>6289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 t="s">
        <v>20</v>
      </c>
      <c r="L844" s="1">
        <v>44760</v>
      </c>
      <c r="M844">
        <v>379</v>
      </c>
      <c r="N844">
        <v>20</v>
      </c>
      <c r="O844">
        <v>898</v>
      </c>
      <c r="P844">
        <v>921</v>
      </c>
      <c r="Q844">
        <v>898</v>
      </c>
      <c r="S844">
        <v>825</v>
      </c>
      <c r="T844">
        <v>825</v>
      </c>
      <c r="U844">
        <f>+SUM(Table1[[#This Row],[Latinos]:[Cemex]])</f>
        <v>1</v>
      </c>
      <c r="V844" t="str">
        <f>+Table1[[#This Row],[id_destino]]&amp;" - "&amp;Table1[[#This Row],[id_origen]]</f>
        <v>379 - 20</v>
      </c>
    </row>
    <row r="845" spans="1:22" hidden="1">
      <c r="A845">
        <v>1075</v>
      </c>
      <c r="B845">
        <v>2572</v>
      </c>
      <c r="C845">
        <v>4401</v>
      </c>
      <c r="D845">
        <v>5613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 t="s">
        <v>20</v>
      </c>
      <c r="L845" s="1">
        <v>43274</v>
      </c>
      <c r="M845">
        <v>462</v>
      </c>
      <c r="N845">
        <v>20</v>
      </c>
      <c r="O845">
        <v>86</v>
      </c>
      <c r="P845">
        <v>86</v>
      </c>
      <c r="Q845">
        <v>150</v>
      </c>
      <c r="S845">
        <v>139</v>
      </c>
      <c r="T845">
        <v>139</v>
      </c>
      <c r="U845">
        <f>+SUM(Table1[[#This Row],[Latinos]:[Cemex]])</f>
        <v>1</v>
      </c>
      <c r="V845" t="str">
        <f>+Table1[[#This Row],[id_destino]]&amp;" - "&amp;Table1[[#This Row],[id_origen]]</f>
        <v>462 - 20</v>
      </c>
    </row>
    <row r="846" spans="1:22" hidden="1">
      <c r="A846">
        <v>549</v>
      </c>
      <c r="B846">
        <v>2341</v>
      </c>
      <c r="C846">
        <v>4401</v>
      </c>
      <c r="D846">
        <v>5405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 t="s">
        <v>20</v>
      </c>
      <c r="L846" s="1">
        <v>43097</v>
      </c>
      <c r="M846">
        <v>482</v>
      </c>
      <c r="N846">
        <v>20</v>
      </c>
      <c r="O846">
        <v>40</v>
      </c>
      <c r="P846">
        <v>40</v>
      </c>
      <c r="Q846">
        <v>40</v>
      </c>
      <c r="S846">
        <v>0</v>
      </c>
      <c r="T846">
        <v>0</v>
      </c>
      <c r="U846">
        <f>+SUM(Table1[[#This Row],[Latinos]:[Cemex]])</f>
        <v>1</v>
      </c>
      <c r="V846" t="str">
        <f>+Table1[[#This Row],[id_destino]]&amp;" - "&amp;Table1[[#This Row],[id_origen]]</f>
        <v>482 - 20</v>
      </c>
    </row>
    <row r="847" spans="1:22" hidden="1">
      <c r="A847">
        <v>4677</v>
      </c>
      <c r="B847">
        <v>4838</v>
      </c>
      <c r="C847">
        <v>4269</v>
      </c>
      <c r="D847">
        <v>6505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 t="s">
        <v>20</v>
      </c>
      <c r="L847" s="1">
        <v>45722</v>
      </c>
      <c r="M847">
        <v>747</v>
      </c>
      <c r="N847">
        <v>20</v>
      </c>
      <c r="O847">
        <v>1556</v>
      </c>
      <c r="P847">
        <v>1556</v>
      </c>
      <c r="Q847">
        <v>1556</v>
      </c>
      <c r="S847">
        <v>3465</v>
      </c>
      <c r="T847">
        <v>3465</v>
      </c>
      <c r="U847">
        <f>+SUM(Table1[[#This Row],[Latinos]:[Cemex]])</f>
        <v>1</v>
      </c>
      <c r="V847" t="str">
        <f>+Table1[[#This Row],[id_destino]]&amp;" - "&amp;Table1[[#This Row],[id_origen]]</f>
        <v>747 - 20</v>
      </c>
    </row>
    <row r="848" spans="1:22" hidden="1">
      <c r="A848">
        <v>3087</v>
      </c>
      <c r="B848">
        <v>3765</v>
      </c>
      <c r="C848">
        <v>6087</v>
      </c>
      <c r="D848">
        <v>6516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 t="s">
        <v>20</v>
      </c>
      <c r="L848" s="1">
        <v>44719</v>
      </c>
      <c r="M848">
        <v>825</v>
      </c>
      <c r="N848">
        <v>20</v>
      </c>
      <c r="O848">
        <v>1430</v>
      </c>
      <c r="P848">
        <v>1412</v>
      </c>
      <c r="Q848">
        <v>1430</v>
      </c>
      <c r="S848">
        <v>1859</v>
      </c>
      <c r="T848">
        <v>2184</v>
      </c>
      <c r="U848">
        <f>+SUM(Table1[[#This Row],[Latinos]:[Cemex]])</f>
        <v>1</v>
      </c>
      <c r="V848" t="str">
        <f>+Table1[[#This Row],[id_destino]]&amp;" - "&amp;Table1[[#This Row],[id_origen]]</f>
        <v>825 - 20</v>
      </c>
    </row>
    <row r="849" spans="1:22" hidden="1">
      <c r="A849">
        <v>2821</v>
      </c>
      <c r="B849">
        <v>3590</v>
      </c>
      <c r="C849">
        <v>6693</v>
      </c>
      <c r="D849">
        <v>6701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 t="s">
        <v>20</v>
      </c>
      <c r="L849" s="1">
        <v>44487</v>
      </c>
      <c r="M849">
        <v>835</v>
      </c>
      <c r="N849">
        <v>20</v>
      </c>
      <c r="O849">
        <v>120</v>
      </c>
      <c r="P849">
        <v>150</v>
      </c>
      <c r="Q849">
        <v>120</v>
      </c>
      <c r="S849">
        <v>0</v>
      </c>
      <c r="T849">
        <v>0</v>
      </c>
      <c r="U849">
        <f>+SUM(Table1[[#This Row],[Latinos]:[Cemex]])</f>
        <v>1</v>
      </c>
      <c r="V849" t="str">
        <f>+Table1[[#This Row],[id_destino]]&amp;" - "&amp;Table1[[#This Row],[id_origen]]</f>
        <v>835 - 20</v>
      </c>
    </row>
    <row r="850" spans="1:22" hidden="1">
      <c r="A850">
        <v>580</v>
      </c>
      <c r="B850">
        <v>2353</v>
      </c>
      <c r="C850">
        <v>23</v>
      </c>
      <c r="D850">
        <v>4008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 t="s">
        <v>20</v>
      </c>
      <c r="L850" s="1">
        <v>43106</v>
      </c>
      <c r="M850">
        <v>31</v>
      </c>
      <c r="N850">
        <v>21</v>
      </c>
      <c r="O850">
        <v>968</v>
      </c>
      <c r="P850">
        <v>974</v>
      </c>
      <c r="Q850">
        <v>0</v>
      </c>
      <c r="S850">
        <v>0</v>
      </c>
      <c r="T850">
        <v>0</v>
      </c>
      <c r="U850">
        <f>+SUM(Table1[[#This Row],[Latinos]:[Cemex]])</f>
        <v>1</v>
      </c>
      <c r="V850" t="str">
        <f>+Table1[[#This Row],[id_destino]]&amp;" - "&amp;Table1[[#This Row],[id_origen]]</f>
        <v>31 - 21</v>
      </c>
    </row>
    <row r="851" spans="1:22" hidden="1">
      <c r="A851">
        <v>2403</v>
      </c>
      <c r="B851">
        <v>3321</v>
      </c>
      <c r="C851">
        <v>23</v>
      </c>
      <c r="D851">
        <v>71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 t="s">
        <v>20</v>
      </c>
      <c r="L851" s="1">
        <v>44042</v>
      </c>
      <c r="M851">
        <v>61</v>
      </c>
      <c r="N851">
        <v>21</v>
      </c>
      <c r="O851">
        <v>630</v>
      </c>
      <c r="P851">
        <v>630</v>
      </c>
      <c r="Q851">
        <v>630</v>
      </c>
      <c r="S851">
        <v>254</v>
      </c>
      <c r="T851">
        <v>254</v>
      </c>
      <c r="U851">
        <f>+SUM(Table1[[#This Row],[Latinos]:[Cemex]])</f>
        <v>1</v>
      </c>
      <c r="V851" t="str">
        <f>+Table1[[#This Row],[id_destino]]&amp;" - "&amp;Table1[[#This Row],[id_origen]]</f>
        <v>61 - 21</v>
      </c>
    </row>
    <row r="852" spans="1:22" hidden="1">
      <c r="A852">
        <v>1127</v>
      </c>
      <c r="B852">
        <v>521</v>
      </c>
      <c r="C852">
        <v>299</v>
      </c>
      <c r="D852">
        <v>5634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 t="s">
        <v>20</v>
      </c>
      <c r="L852" s="1">
        <v>43302</v>
      </c>
      <c r="M852">
        <v>3</v>
      </c>
      <c r="N852">
        <v>23</v>
      </c>
      <c r="O852">
        <v>1264</v>
      </c>
      <c r="P852">
        <v>1264</v>
      </c>
      <c r="Q852">
        <v>1264</v>
      </c>
      <c r="S852">
        <v>3370</v>
      </c>
      <c r="T852">
        <v>3370</v>
      </c>
      <c r="U852">
        <f>+SUM(Table1[[#This Row],[Latinos]:[Cemex]])</f>
        <v>1</v>
      </c>
      <c r="V852" t="str">
        <f>+Table1[[#This Row],[id_destino]]&amp;" - "&amp;Table1[[#This Row],[id_origen]]</f>
        <v>3 - 23</v>
      </c>
    </row>
    <row r="853" spans="1:22" hidden="1">
      <c r="A853">
        <v>3958</v>
      </c>
      <c r="B853">
        <v>521</v>
      </c>
      <c r="C853">
        <v>5530</v>
      </c>
      <c r="D853">
        <v>427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 t="s">
        <v>20</v>
      </c>
      <c r="L853" s="1">
        <v>45206</v>
      </c>
      <c r="M853">
        <v>3</v>
      </c>
      <c r="N853">
        <v>23</v>
      </c>
      <c r="O853">
        <v>1298</v>
      </c>
      <c r="P853">
        <v>1298</v>
      </c>
      <c r="Q853">
        <v>1298</v>
      </c>
      <c r="S853">
        <v>4345</v>
      </c>
      <c r="T853">
        <v>4345</v>
      </c>
      <c r="U853">
        <f>+SUM(Table1[[#This Row],[Latinos]:[Cemex]])</f>
        <v>1</v>
      </c>
      <c r="V853" t="str">
        <f>+Table1[[#This Row],[id_destino]]&amp;" - "&amp;Table1[[#This Row],[id_origen]]</f>
        <v>3 - 23</v>
      </c>
    </row>
    <row r="854" spans="1:22" hidden="1">
      <c r="A854">
        <v>2096</v>
      </c>
      <c r="B854">
        <v>423</v>
      </c>
      <c r="C854">
        <v>2861</v>
      </c>
      <c r="D854">
        <v>501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 t="s">
        <v>20</v>
      </c>
      <c r="L854" s="1">
        <v>43808</v>
      </c>
      <c r="M854">
        <v>4</v>
      </c>
      <c r="N854">
        <v>23</v>
      </c>
      <c r="O854">
        <v>1379</v>
      </c>
      <c r="P854">
        <v>1355</v>
      </c>
      <c r="Q854">
        <v>1379</v>
      </c>
      <c r="S854">
        <v>3826</v>
      </c>
      <c r="T854">
        <v>3826</v>
      </c>
      <c r="U854">
        <f>+SUM(Table1[[#This Row],[Latinos]:[Cemex]])</f>
        <v>1</v>
      </c>
      <c r="V854" t="str">
        <f>+Table1[[#This Row],[id_destino]]&amp;" - "&amp;Table1[[#This Row],[id_origen]]</f>
        <v>4 - 23</v>
      </c>
    </row>
    <row r="855" spans="1:22" hidden="1">
      <c r="A855">
        <v>1909</v>
      </c>
      <c r="B855">
        <v>444</v>
      </c>
      <c r="C855">
        <v>299</v>
      </c>
      <c r="D855">
        <v>3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 t="s">
        <v>20</v>
      </c>
      <c r="L855" s="1">
        <v>43710</v>
      </c>
      <c r="M855">
        <v>5</v>
      </c>
      <c r="N855">
        <v>23</v>
      </c>
      <c r="O855">
        <v>2131</v>
      </c>
      <c r="P855">
        <v>2131</v>
      </c>
      <c r="Q855">
        <v>2131</v>
      </c>
      <c r="S855">
        <v>3590</v>
      </c>
      <c r="T855">
        <v>3590</v>
      </c>
      <c r="U855">
        <f>+SUM(Table1[[#This Row],[Latinos]:[Cemex]])</f>
        <v>1</v>
      </c>
      <c r="V855" t="str">
        <f>+Table1[[#This Row],[id_destino]]&amp;" - "&amp;Table1[[#This Row],[id_origen]]</f>
        <v>5 - 23</v>
      </c>
    </row>
    <row r="856" spans="1:22" hidden="1">
      <c r="A856">
        <v>3563</v>
      </c>
      <c r="B856">
        <v>439</v>
      </c>
      <c r="C856">
        <v>5530</v>
      </c>
      <c r="D856">
        <v>7032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 t="s">
        <v>20</v>
      </c>
      <c r="L856" s="1">
        <v>44958</v>
      </c>
      <c r="M856">
        <v>6</v>
      </c>
      <c r="N856">
        <v>23</v>
      </c>
      <c r="O856">
        <v>1740</v>
      </c>
      <c r="P856">
        <v>1736</v>
      </c>
      <c r="Q856">
        <v>1740</v>
      </c>
      <c r="S856">
        <v>3996</v>
      </c>
      <c r="T856">
        <v>3996</v>
      </c>
      <c r="U856">
        <f>+SUM(Table1[[#This Row],[Latinos]:[Cemex]])</f>
        <v>1</v>
      </c>
      <c r="V856" t="str">
        <f>+Table1[[#This Row],[id_destino]]&amp;" - "&amp;Table1[[#This Row],[id_origen]]</f>
        <v>6 - 23</v>
      </c>
    </row>
    <row r="857" spans="1:22" hidden="1">
      <c r="A857">
        <v>2420</v>
      </c>
      <c r="B857">
        <v>453</v>
      </c>
      <c r="C857">
        <v>5530</v>
      </c>
      <c r="D857">
        <v>353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 t="s">
        <v>20</v>
      </c>
      <c r="L857" s="1">
        <v>45048</v>
      </c>
      <c r="M857">
        <v>7</v>
      </c>
      <c r="N857">
        <v>23</v>
      </c>
      <c r="O857">
        <v>2211</v>
      </c>
      <c r="P857">
        <v>2214</v>
      </c>
      <c r="Q857">
        <v>2211</v>
      </c>
      <c r="S857">
        <v>4389</v>
      </c>
      <c r="T857">
        <v>4389</v>
      </c>
      <c r="U857">
        <f>+SUM(Table1[[#This Row],[Latinos]:[Cemex]])</f>
        <v>1</v>
      </c>
      <c r="V857" t="str">
        <f>+Table1[[#This Row],[id_destino]]&amp;" - "&amp;Table1[[#This Row],[id_origen]]</f>
        <v>7 - 23</v>
      </c>
    </row>
    <row r="858" spans="1:22" hidden="1">
      <c r="A858">
        <v>2297</v>
      </c>
      <c r="B858">
        <v>404</v>
      </c>
      <c r="C858">
        <v>299</v>
      </c>
      <c r="D858">
        <v>7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 t="s">
        <v>20</v>
      </c>
      <c r="L858" s="1">
        <v>43915</v>
      </c>
      <c r="M858">
        <v>9</v>
      </c>
      <c r="N858">
        <v>23</v>
      </c>
      <c r="O858">
        <v>1903</v>
      </c>
      <c r="P858">
        <v>1832</v>
      </c>
      <c r="Q858">
        <v>1903</v>
      </c>
      <c r="S858">
        <v>5069</v>
      </c>
      <c r="T858">
        <v>5152</v>
      </c>
      <c r="U858">
        <f>+SUM(Table1[[#This Row],[Latinos]:[Cemex]])</f>
        <v>1</v>
      </c>
      <c r="V858" t="str">
        <f>+Table1[[#This Row],[id_destino]]&amp;" - "&amp;Table1[[#This Row],[id_origen]]</f>
        <v>9 - 23</v>
      </c>
    </row>
    <row r="859" spans="1:22" hidden="1">
      <c r="A859">
        <v>228</v>
      </c>
      <c r="B859">
        <v>435</v>
      </c>
      <c r="C859">
        <v>4906</v>
      </c>
      <c r="D859">
        <v>10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 t="s">
        <v>20</v>
      </c>
      <c r="L859" s="1">
        <v>43019</v>
      </c>
      <c r="M859">
        <v>12</v>
      </c>
      <c r="N859">
        <v>23</v>
      </c>
      <c r="O859">
        <v>218</v>
      </c>
      <c r="P859">
        <v>220</v>
      </c>
      <c r="Q859">
        <v>218</v>
      </c>
      <c r="S859">
        <v>933</v>
      </c>
      <c r="T859">
        <v>933</v>
      </c>
      <c r="U859">
        <f>+SUM(Table1[[#This Row],[Latinos]:[Cemex]])</f>
        <v>1</v>
      </c>
      <c r="V859" t="str">
        <f>+Table1[[#This Row],[id_destino]]&amp;" - "&amp;Table1[[#This Row],[id_origen]]</f>
        <v>12 - 23</v>
      </c>
    </row>
    <row r="860" spans="1:22" hidden="1">
      <c r="A860">
        <v>3948</v>
      </c>
      <c r="B860">
        <v>435</v>
      </c>
      <c r="C860">
        <v>5530</v>
      </c>
      <c r="D860">
        <v>349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 t="s">
        <v>20</v>
      </c>
      <c r="L860" s="1">
        <v>45203</v>
      </c>
      <c r="M860">
        <v>12</v>
      </c>
      <c r="N860">
        <v>23</v>
      </c>
      <c r="O860">
        <v>243</v>
      </c>
      <c r="P860">
        <v>243</v>
      </c>
      <c r="Q860">
        <v>243</v>
      </c>
      <c r="S860">
        <v>933</v>
      </c>
      <c r="T860">
        <v>933</v>
      </c>
      <c r="U860">
        <f>+SUM(Table1[[#This Row],[Latinos]:[Cemex]])</f>
        <v>1</v>
      </c>
      <c r="V860" t="str">
        <f>+Table1[[#This Row],[id_destino]]&amp;" - "&amp;Table1[[#This Row],[id_origen]]</f>
        <v>12 - 23</v>
      </c>
    </row>
    <row r="861" spans="1:22" hidden="1">
      <c r="A861">
        <v>779</v>
      </c>
      <c r="B861">
        <v>484</v>
      </c>
      <c r="C861">
        <v>4906</v>
      </c>
      <c r="D861">
        <v>4546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 t="s">
        <v>20</v>
      </c>
      <c r="L861" s="1">
        <v>43162</v>
      </c>
      <c r="M861">
        <v>13</v>
      </c>
      <c r="N861">
        <v>23</v>
      </c>
      <c r="O861">
        <v>304</v>
      </c>
      <c r="P861">
        <v>301</v>
      </c>
      <c r="Q861">
        <v>304</v>
      </c>
      <c r="S861">
        <v>782</v>
      </c>
      <c r="T861">
        <v>782</v>
      </c>
      <c r="U861">
        <f>+SUM(Table1[[#This Row],[Latinos]:[Cemex]])</f>
        <v>1</v>
      </c>
      <c r="V861" t="str">
        <f>+Table1[[#This Row],[id_destino]]&amp;" - "&amp;Table1[[#This Row],[id_origen]]</f>
        <v>13 - 23</v>
      </c>
    </row>
    <row r="862" spans="1:22" hidden="1">
      <c r="A862">
        <v>3953</v>
      </c>
      <c r="B862">
        <v>484</v>
      </c>
      <c r="C862">
        <v>5530</v>
      </c>
      <c r="D862">
        <v>7027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 t="s">
        <v>20</v>
      </c>
      <c r="L862" s="1">
        <v>45205</v>
      </c>
      <c r="M862">
        <v>13</v>
      </c>
      <c r="N862">
        <v>23</v>
      </c>
      <c r="O862">
        <v>332</v>
      </c>
      <c r="P862">
        <v>340</v>
      </c>
      <c r="Q862">
        <v>332</v>
      </c>
      <c r="S862">
        <v>565</v>
      </c>
      <c r="T862">
        <v>565</v>
      </c>
      <c r="U862">
        <f>+SUM(Table1[[#This Row],[Latinos]:[Cemex]])</f>
        <v>1</v>
      </c>
      <c r="V862" t="str">
        <f>+Table1[[#This Row],[id_destino]]&amp;" - "&amp;Table1[[#This Row],[id_origen]]</f>
        <v>13 - 23</v>
      </c>
    </row>
    <row r="863" spans="1:22" hidden="1">
      <c r="A863">
        <v>2089</v>
      </c>
      <c r="B863">
        <v>414</v>
      </c>
      <c r="C863">
        <v>2861</v>
      </c>
      <c r="D863">
        <v>6175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 t="s">
        <v>20</v>
      </c>
      <c r="L863" s="1">
        <v>44043</v>
      </c>
      <c r="M863">
        <v>16</v>
      </c>
      <c r="N863">
        <v>23</v>
      </c>
      <c r="O863">
        <v>1179</v>
      </c>
      <c r="P863">
        <v>1154</v>
      </c>
      <c r="Q863">
        <v>1179</v>
      </c>
      <c r="S863">
        <v>2735</v>
      </c>
      <c r="T863">
        <v>3157</v>
      </c>
      <c r="U863">
        <f>+SUM(Table1[[#This Row],[Latinos]:[Cemex]])</f>
        <v>1</v>
      </c>
      <c r="V863" t="str">
        <f>+Table1[[#This Row],[id_destino]]&amp;" - "&amp;Table1[[#This Row],[id_origen]]</f>
        <v>16 - 23</v>
      </c>
    </row>
    <row r="864" spans="1:22" hidden="1">
      <c r="A864">
        <v>2098</v>
      </c>
      <c r="B864">
        <v>432</v>
      </c>
      <c r="C864">
        <v>2861</v>
      </c>
      <c r="D864">
        <v>6181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 t="s">
        <v>20</v>
      </c>
      <c r="L864" s="1">
        <v>43808</v>
      </c>
      <c r="M864">
        <v>17</v>
      </c>
      <c r="N864">
        <v>23</v>
      </c>
      <c r="O864">
        <v>650</v>
      </c>
      <c r="P864">
        <v>650</v>
      </c>
      <c r="Q864">
        <v>650</v>
      </c>
      <c r="S864">
        <v>941</v>
      </c>
      <c r="T864">
        <v>941</v>
      </c>
      <c r="U864">
        <f>+SUM(Table1[[#This Row],[Latinos]:[Cemex]])</f>
        <v>1</v>
      </c>
      <c r="V864" t="str">
        <f>+Table1[[#This Row],[id_destino]]&amp;" - "&amp;Table1[[#This Row],[id_origen]]</f>
        <v>17 - 23</v>
      </c>
    </row>
    <row r="865" spans="1:22" hidden="1">
      <c r="A865">
        <v>1319</v>
      </c>
      <c r="B865">
        <v>428</v>
      </c>
      <c r="C865">
        <v>4455</v>
      </c>
      <c r="D865">
        <v>4805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 t="s">
        <v>20</v>
      </c>
      <c r="L865" s="1">
        <v>45230</v>
      </c>
      <c r="M865">
        <v>18</v>
      </c>
      <c r="N865">
        <v>23</v>
      </c>
      <c r="O865">
        <v>508</v>
      </c>
      <c r="P865">
        <v>507</v>
      </c>
      <c r="Q865">
        <v>508</v>
      </c>
      <c r="S865">
        <v>2112</v>
      </c>
      <c r="T865">
        <v>2112</v>
      </c>
      <c r="U865">
        <f>+SUM(Table1[[#This Row],[Latinos]:[Cemex]])</f>
        <v>1</v>
      </c>
      <c r="V865" t="str">
        <f>+Table1[[#This Row],[id_destino]]&amp;" - "&amp;Table1[[#This Row],[id_origen]]</f>
        <v>18 - 23</v>
      </c>
    </row>
    <row r="866" spans="1:22" hidden="1">
      <c r="A866">
        <v>400</v>
      </c>
      <c r="B866">
        <v>2280</v>
      </c>
      <c r="C866">
        <v>5348</v>
      </c>
      <c r="D866">
        <v>4455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 t="s">
        <v>20</v>
      </c>
      <c r="L866" s="1">
        <v>43055</v>
      </c>
      <c r="M866">
        <v>23</v>
      </c>
      <c r="N866">
        <v>23</v>
      </c>
      <c r="O866">
        <v>20</v>
      </c>
      <c r="P866">
        <v>20</v>
      </c>
      <c r="Q866">
        <v>20</v>
      </c>
      <c r="S866">
        <v>0</v>
      </c>
      <c r="T866">
        <v>0</v>
      </c>
      <c r="U866">
        <f>+SUM(Table1[[#This Row],[Latinos]:[Cemex]])</f>
        <v>1</v>
      </c>
      <c r="V866" t="str">
        <f>+Table1[[#This Row],[id_destino]]&amp;" - "&amp;Table1[[#This Row],[id_origen]]</f>
        <v>23 - 23</v>
      </c>
    </row>
    <row r="867" spans="1:22" hidden="1">
      <c r="A867">
        <v>1054</v>
      </c>
      <c r="B867">
        <v>2280</v>
      </c>
      <c r="C867">
        <v>2606</v>
      </c>
      <c r="D867">
        <v>4455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 t="s">
        <v>20</v>
      </c>
      <c r="L867" s="1">
        <v>43265</v>
      </c>
      <c r="M867">
        <v>23</v>
      </c>
      <c r="N867">
        <v>23</v>
      </c>
      <c r="O867">
        <v>50</v>
      </c>
      <c r="P867">
        <v>150</v>
      </c>
      <c r="Q867">
        <v>50</v>
      </c>
      <c r="S867">
        <v>0</v>
      </c>
      <c r="T867">
        <v>0</v>
      </c>
      <c r="U867">
        <f>+SUM(Table1[[#This Row],[Latinos]:[Cemex]])</f>
        <v>1</v>
      </c>
      <c r="V867" t="str">
        <f>+Table1[[#This Row],[id_destino]]&amp;" - "&amp;Table1[[#This Row],[id_origen]]</f>
        <v>23 - 23</v>
      </c>
    </row>
    <row r="868" spans="1:22" hidden="1">
      <c r="A868">
        <v>520</v>
      </c>
      <c r="B868">
        <v>301</v>
      </c>
      <c r="C868">
        <v>3053</v>
      </c>
      <c r="D868">
        <v>5253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0</v>
      </c>
      <c r="K868" t="s">
        <v>20</v>
      </c>
      <c r="L868" s="1">
        <v>43088</v>
      </c>
      <c r="M868">
        <v>24</v>
      </c>
      <c r="N868">
        <v>23</v>
      </c>
      <c r="O868">
        <v>308</v>
      </c>
      <c r="P868">
        <v>308</v>
      </c>
      <c r="Q868">
        <v>308</v>
      </c>
      <c r="S868">
        <v>689</v>
      </c>
      <c r="T868">
        <v>689</v>
      </c>
      <c r="U868">
        <f>+SUM(Table1[[#This Row],[Latinos]:[Cemex]])</f>
        <v>1</v>
      </c>
      <c r="V868" t="str">
        <f>+Table1[[#This Row],[id_destino]]&amp;" - "&amp;Table1[[#This Row],[id_origen]]</f>
        <v>24 - 23</v>
      </c>
    </row>
    <row r="869" spans="1:22" hidden="1">
      <c r="A869">
        <v>927</v>
      </c>
      <c r="B869">
        <v>436</v>
      </c>
      <c r="C869">
        <v>5530</v>
      </c>
      <c r="D869">
        <v>362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 t="s">
        <v>20</v>
      </c>
      <c r="L869" s="1">
        <v>43216</v>
      </c>
      <c r="M869">
        <v>25</v>
      </c>
      <c r="N869">
        <v>23</v>
      </c>
      <c r="O869">
        <v>194</v>
      </c>
      <c r="P869">
        <v>194</v>
      </c>
      <c r="Q869">
        <v>194</v>
      </c>
      <c r="S869">
        <v>433</v>
      </c>
      <c r="T869">
        <v>433</v>
      </c>
      <c r="U869">
        <f>+SUM(Table1[[#This Row],[Latinos]:[Cemex]])</f>
        <v>1</v>
      </c>
      <c r="V869" t="str">
        <f>+Table1[[#This Row],[id_destino]]&amp;" - "&amp;Table1[[#This Row],[id_origen]]</f>
        <v>25 - 23</v>
      </c>
    </row>
    <row r="870" spans="1:22" hidden="1">
      <c r="A870">
        <v>395</v>
      </c>
      <c r="B870">
        <v>1579</v>
      </c>
      <c r="C870">
        <v>1443</v>
      </c>
      <c r="D870">
        <v>4690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 t="s">
        <v>20</v>
      </c>
      <c r="L870" s="1">
        <v>43055</v>
      </c>
      <c r="M870">
        <v>26</v>
      </c>
      <c r="N870">
        <v>23</v>
      </c>
      <c r="O870">
        <v>30</v>
      </c>
      <c r="P870">
        <v>150</v>
      </c>
      <c r="Q870">
        <v>30</v>
      </c>
      <c r="S870">
        <v>0</v>
      </c>
      <c r="T870">
        <v>0</v>
      </c>
      <c r="U870">
        <f>+SUM(Table1[[#This Row],[Latinos]:[Cemex]])</f>
        <v>1</v>
      </c>
      <c r="V870" t="str">
        <f>+Table1[[#This Row],[id_destino]]&amp;" - "&amp;Table1[[#This Row],[id_origen]]</f>
        <v>26 - 23</v>
      </c>
    </row>
    <row r="871" spans="1:22" hidden="1">
      <c r="A871">
        <v>4800</v>
      </c>
      <c r="B871">
        <v>1579</v>
      </c>
      <c r="C871">
        <v>3969</v>
      </c>
      <c r="D871">
        <v>1168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 t="s">
        <v>20</v>
      </c>
      <c r="L871" s="1">
        <v>45839</v>
      </c>
      <c r="M871">
        <v>26</v>
      </c>
      <c r="N871">
        <v>23</v>
      </c>
      <c r="O871">
        <v>42</v>
      </c>
      <c r="P871">
        <v>100</v>
      </c>
      <c r="Q871">
        <v>42</v>
      </c>
      <c r="S871">
        <v>0</v>
      </c>
      <c r="T871">
        <v>0</v>
      </c>
      <c r="U871">
        <f>+SUM(Table1[[#This Row],[Latinos]:[Cemex]])</f>
        <v>1</v>
      </c>
      <c r="V871" t="str">
        <f>+Table1[[#This Row],[id_destino]]&amp;" - "&amp;Table1[[#This Row],[id_origen]]</f>
        <v>26 - 23</v>
      </c>
    </row>
    <row r="872" spans="1:22" hidden="1">
      <c r="A872">
        <v>655</v>
      </c>
      <c r="B872">
        <v>1645</v>
      </c>
      <c r="C872">
        <v>4906</v>
      </c>
      <c r="D872">
        <v>4543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 t="s">
        <v>20</v>
      </c>
      <c r="L872" s="1">
        <v>43888</v>
      </c>
      <c r="M872">
        <v>27</v>
      </c>
      <c r="N872">
        <v>23</v>
      </c>
      <c r="O872">
        <v>344</v>
      </c>
      <c r="P872">
        <v>339</v>
      </c>
      <c r="Q872">
        <v>344</v>
      </c>
      <c r="S872">
        <v>1600</v>
      </c>
      <c r="T872">
        <v>1600</v>
      </c>
      <c r="U872">
        <f>+SUM(Table1[[#This Row],[Latinos]:[Cemex]])</f>
        <v>1</v>
      </c>
      <c r="V872" t="str">
        <f>+Table1[[#This Row],[id_destino]]&amp;" - "&amp;Table1[[#This Row],[id_origen]]</f>
        <v>27 - 23</v>
      </c>
    </row>
    <row r="873" spans="1:22" hidden="1">
      <c r="A873">
        <v>1751</v>
      </c>
      <c r="B873">
        <v>1645</v>
      </c>
      <c r="C873">
        <v>5530</v>
      </c>
      <c r="D873">
        <v>403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 t="s">
        <v>20</v>
      </c>
      <c r="L873" s="1">
        <v>43600</v>
      </c>
      <c r="M873">
        <v>27</v>
      </c>
      <c r="N873">
        <v>23</v>
      </c>
      <c r="O873">
        <v>335</v>
      </c>
      <c r="P873">
        <v>335</v>
      </c>
      <c r="Q873">
        <v>335</v>
      </c>
      <c r="S873">
        <v>391</v>
      </c>
      <c r="T873">
        <v>391</v>
      </c>
      <c r="U873">
        <f>+SUM(Table1[[#This Row],[Latinos]:[Cemex]])</f>
        <v>1</v>
      </c>
      <c r="V873" t="str">
        <f>+Table1[[#This Row],[id_destino]]&amp;" - "&amp;Table1[[#This Row],[id_origen]]</f>
        <v>27 - 23</v>
      </c>
    </row>
    <row r="874" spans="1:22" hidden="1">
      <c r="A874">
        <v>457</v>
      </c>
      <c r="B874">
        <v>524</v>
      </c>
      <c r="C874">
        <v>5367</v>
      </c>
      <c r="D874">
        <v>387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 t="s">
        <v>20</v>
      </c>
      <c r="L874" s="1">
        <v>43735</v>
      </c>
      <c r="M874">
        <v>30</v>
      </c>
      <c r="N874">
        <v>23</v>
      </c>
      <c r="O874">
        <v>476</v>
      </c>
      <c r="P874">
        <v>476</v>
      </c>
      <c r="Q874">
        <v>476</v>
      </c>
      <c r="S874">
        <v>1217</v>
      </c>
      <c r="T874">
        <v>1217</v>
      </c>
      <c r="U874">
        <f>+SUM(Table1[[#This Row],[Latinos]:[Cemex]])</f>
        <v>1</v>
      </c>
      <c r="V874" t="str">
        <f>+Table1[[#This Row],[id_destino]]&amp;" - "&amp;Table1[[#This Row],[id_origen]]</f>
        <v>30 - 23</v>
      </c>
    </row>
    <row r="875" spans="1:22" hidden="1">
      <c r="A875">
        <v>2269</v>
      </c>
      <c r="B875">
        <v>402</v>
      </c>
      <c r="C875">
        <v>2861</v>
      </c>
      <c r="D875">
        <v>40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 t="s">
        <v>20</v>
      </c>
      <c r="L875" s="1">
        <v>43895</v>
      </c>
      <c r="M875">
        <v>34</v>
      </c>
      <c r="N875">
        <v>23</v>
      </c>
      <c r="O875">
        <v>738</v>
      </c>
      <c r="P875">
        <v>708</v>
      </c>
      <c r="Q875">
        <v>738</v>
      </c>
      <c r="S875">
        <v>1661</v>
      </c>
      <c r="T875">
        <v>1817</v>
      </c>
      <c r="U875">
        <f>+SUM(Table1[[#This Row],[Latinos]:[Cemex]])</f>
        <v>1</v>
      </c>
      <c r="V875" t="str">
        <f>+Table1[[#This Row],[id_destino]]&amp;" - "&amp;Table1[[#This Row],[id_origen]]</f>
        <v>34 - 23</v>
      </c>
    </row>
    <row r="876" spans="1:22" hidden="1">
      <c r="A876">
        <v>2283</v>
      </c>
      <c r="B876">
        <v>401</v>
      </c>
      <c r="C876">
        <v>3053</v>
      </c>
      <c r="D876">
        <v>5095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 t="s">
        <v>20</v>
      </c>
      <c r="L876" s="1">
        <v>43903</v>
      </c>
      <c r="M876">
        <v>35</v>
      </c>
      <c r="N876">
        <v>23</v>
      </c>
      <c r="O876">
        <v>900</v>
      </c>
      <c r="P876">
        <v>897</v>
      </c>
      <c r="Q876">
        <v>900</v>
      </c>
      <c r="S876">
        <v>3033</v>
      </c>
      <c r="T876">
        <v>3038</v>
      </c>
      <c r="U876">
        <f>+SUM(Table1[[#This Row],[Latinos]:[Cemex]])</f>
        <v>1</v>
      </c>
      <c r="V876" t="str">
        <f>+Table1[[#This Row],[id_destino]]&amp;" - "&amp;Table1[[#This Row],[id_origen]]</f>
        <v>35 - 23</v>
      </c>
    </row>
    <row r="877" spans="1:22" hidden="1">
      <c r="A877">
        <v>490</v>
      </c>
      <c r="B877">
        <v>430</v>
      </c>
      <c r="C877">
        <v>5530</v>
      </c>
      <c r="D877">
        <v>395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 t="s">
        <v>20</v>
      </c>
      <c r="L877" s="1">
        <v>45054</v>
      </c>
      <c r="M877">
        <v>38</v>
      </c>
      <c r="N877">
        <v>23</v>
      </c>
      <c r="O877">
        <v>303</v>
      </c>
      <c r="P877">
        <v>273</v>
      </c>
      <c r="Q877">
        <v>303</v>
      </c>
      <c r="S877">
        <v>1083</v>
      </c>
      <c r="T877">
        <v>1083</v>
      </c>
      <c r="U877">
        <f>+SUM(Table1[[#This Row],[Latinos]:[Cemex]])</f>
        <v>1</v>
      </c>
      <c r="V877" t="str">
        <f>+Table1[[#This Row],[id_destino]]&amp;" - "&amp;Table1[[#This Row],[id_origen]]</f>
        <v>38 - 23</v>
      </c>
    </row>
    <row r="878" spans="1:22" hidden="1">
      <c r="A878">
        <v>2838</v>
      </c>
      <c r="B878">
        <v>430</v>
      </c>
      <c r="C878">
        <v>299</v>
      </c>
      <c r="D878">
        <v>44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 t="s">
        <v>20</v>
      </c>
      <c r="L878" s="1">
        <v>44518</v>
      </c>
      <c r="M878">
        <v>38</v>
      </c>
      <c r="N878">
        <v>23</v>
      </c>
      <c r="O878">
        <v>293</v>
      </c>
      <c r="P878">
        <v>284</v>
      </c>
      <c r="Q878">
        <v>293</v>
      </c>
      <c r="S878">
        <v>1083</v>
      </c>
      <c r="T878">
        <v>1083</v>
      </c>
      <c r="U878">
        <f>+SUM(Table1[[#This Row],[Latinos]:[Cemex]])</f>
        <v>1</v>
      </c>
      <c r="V878" t="str">
        <f>+Table1[[#This Row],[id_destino]]&amp;" - "&amp;Table1[[#This Row],[id_origen]]</f>
        <v>38 - 23</v>
      </c>
    </row>
    <row r="879" spans="1:22" hidden="1">
      <c r="A879">
        <v>606</v>
      </c>
      <c r="B879">
        <v>455</v>
      </c>
      <c r="C879">
        <v>4455</v>
      </c>
      <c r="D879">
        <v>5418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 t="s">
        <v>20</v>
      </c>
      <c r="L879" s="1">
        <v>43113</v>
      </c>
      <c r="M879">
        <v>39</v>
      </c>
      <c r="N879">
        <v>23</v>
      </c>
      <c r="O879">
        <v>266</v>
      </c>
      <c r="P879">
        <v>249</v>
      </c>
      <c r="Q879">
        <v>266</v>
      </c>
      <c r="S879">
        <v>497</v>
      </c>
      <c r="T879">
        <v>497</v>
      </c>
      <c r="U879">
        <f>+SUM(Table1[[#This Row],[Latinos]:[Cemex]])</f>
        <v>1</v>
      </c>
      <c r="V879" t="str">
        <f>+Table1[[#This Row],[id_destino]]&amp;" - "&amp;Table1[[#This Row],[id_origen]]</f>
        <v>39 - 23</v>
      </c>
    </row>
    <row r="880" spans="1:22" hidden="1">
      <c r="A880">
        <v>1530</v>
      </c>
      <c r="B880">
        <v>318</v>
      </c>
      <c r="C880">
        <v>2861</v>
      </c>
      <c r="D880">
        <v>46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 t="s">
        <v>20</v>
      </c>
      <c r="L880" s="1">
        <v>43493</v>
      </c>
      <c r="M880">
        <v>40</v>
      </c>
      <c r="N880">
        <v>23</v>
      </c>
      <c r="O880">
        <v>168</v>
      </c>
      <c r="P880">
        <v>152</v>
      </c>
      <c r="Q880">
        <v>168</v>
      </c>
      <c r="S880">
        <v>600</v>
      </c>
      <c r="T880">
        <v>600</v>
      </c>
      <c r="U880">
        <f>+SUM(Table1[[#This Row],[Latinos]:[Cemex]])</f>
        <v>1</v>
      </c>
      <c r="V880" t="str">
        <f>+Table1[[#This Row],[id_destino]]&amp;" - "&amp;Table1[[#This Row],[id_origen]]</f>
        <v>40 - 23</v>
      </c>
    </row>
    <row r="881" spans="1:22" hidden="1">
      <c r="A881">
        <v>2095</v>
      </c>
      <c r="B881">
        <v>3128</v>
      </c>
      <c r="C881">
        <v>2861</v>
      </c>
      <c r="D881">
        <v>6179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 t="s">
        <v>20</v>
      </c>
      <c r="L881" s="1">
        <v>43808</v>
      </c>
      <c r="M881">
        <v>41</v>
      </c>
      <c r="N881">
        <v>23</v>
      </c>
      <c r="O881">
        <v>995</v>
      </c>
      <c r="P881">
        <v>983</v>
      </c>
      <c r="Q881">
        <v>995</v>
      </c>
      <c r="S881">
        <v>2883</v>
      </c>
      <c r="T881">
        <v>2883</v>
      </c>
      <c r="U881">
        <f>+SUM(Table1[[#This Row],[Latinos]:[Cemex]])</f>
        <v>1</v>
      </c>
      <c r="V881" t="str">
        <f>+Table1[[#This Row],[id_destino]]&amp;" - "&amp;Table1[[#This Row],[id_origen]]</f>
        <v>41 - 23</v>
      </c>
    </row>
    <row r="882" spans="1:22" hidden="1">
      <c r="A882">
        <v>326</v>
      </c>
      <c r="B882">
        <v>438</v>
      </c>
      <c r="C882">
        <v>4906</v>
      </c>
      <c r="D882">
        <v>7000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 t="s">
        <v>20</v>
      </c>
      <c r="L882" s="1">
        <v>45136</v>
      </c>
      <c r="M882">
        <v>47</v>
      </c>
      <c r="N882">
        <v>23</v>
      </c>
      <c r="O882">
        <v>478</v>
      </c>
      <c r="P882">
        <v>467</v>
      </c>
      <c r="Q882">
        <v>478</v>
      </c>
      <c r="S882">
        <v>1834</v>
      </c>
      <c r="T882">
        <v>1948</v>
      </c>
      <c r="U882">
        <f>+SUM(Table1[[#This Row],[Latinos]:[Cemex]])</f>
        <v>1</v>
      </c>
      <c r="V882" t="str">
        <f>+Table1[[#This Row],[id_destino]]&amp;" - "&amp;Table1[[#This Row],[id_origen]]</f>
        <v>47 - 23</v>
      </c>
    </row>
    <row r="883" spans="1:22" hidden="1">
      <c r="A883">
        <v>3919</v>
      </c>
      <c r="B883">
        <v>1997</v>
      </c>
      <c r="C883">
        <v>5530</v>
      </c>
      <c r="D883">
        <v>2927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  <c r="K883" t="s">
        <v>74</v>
      </c>
      <c r="L883" s="1">
        <v>45182</v>
      </c>
      <c r="M883">
        <v>54</v>
      </c>
      <c r="N883">
        <v>23</v>
      </c>
      <c r="O883">
        <v>789</v>
      </c>
      <c r="P883">
        <v>772</v>
      </c>
      <c r="Q883">
        <v>789</v>
      </c>
      <c r="S883">
        <v>1389</v>
      </c>
      <c r="T883">
        <v>1389</v>
      </c>
      <c r="U883">
        <f>+SUM(Table1[[#This Row],[Latinos]:[Cemex]])</f>
        <v>1</v>
      </c>
      <c r="V883" t="str">
        <f>+Table1[[#This Row],[id_destino]]&amp;" - "&amp;Table1[[#This Row],[id_origen]]</f>
        <v>54 - 23</v>
      </c>
    </row>
    <row r="884" spans="1:22" hidden="1">
      <c r="A884">
        <v>3595</v>
      </c>
      <c r="B884">
        <v>97</v>
      </c>
      <c r="C884">
        <v>299</v>
      </c>
      <c r="D884">
        <v>63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  <c r="K884" t="s">
        <v>20</v>
      </c>
      <c r="L884" s="1">
        <v>44974</v>
      </c>
      <c r="M884">
        <v>55</v>
      </c>
      <c r="N884">
        <v>23</v>
      </c>
      <c r="O884">
        <v>554</v>
      </c>
      <c r="P884">
        <v>540</v>
      </c>
      <c r="Q884">
        <v>554</v>
      </c>
      <c r="S884">
        <v>1994</v>
      </c>
      <c r="T884">
        <v>1994</v>
      </c>
      <c r="U884">
        <f>+SUM(Table1[[#This Row],[Latinos]:[Cemex]])</f>
        <v>1</v>
      </c>
      <c r="V884" t="str">
        <f>+Table1[[#This Row],[id_destino]]&amp;" - "&amp;Table1[[#This Row],[id_origen]]</f>
        <v>55 - 23</v>
      </c>
    </row>
    <row r="885" spans="1:22" hidden="1">
      <c r="A885">
        <v>3391</v>
      </c>
      <c r="B885">
        <v>474</v>
      </c>
      <c r="C885">
        <v>5530</v>
      </c>
      <c r="D885">
        <v>389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 t="s">
        <v>20</v>
      </c>
      <c r="L885" s="1">
        <v>44868</v>
      </c>
      <c r="M885">
        <v>61</v>
      </c>
      <c r="N885">
        <v>23</v>
      </c>
      <c r="O885">
        <v>2046</v>
      </c>
      <c r="P885">
        <v>2057</v>
      </c>
      <c r="Q885">
        <v>2046</v>
      </c>
      <c r="S885">
        <v>3144</v>
      </c>
      <c r="T885">
        <v>3230</v>
      </c>
      <c r="U885">
        <f>+SUM(Table1[[#This Row],[Latinos]:[Cemex]])</f>
        <v>1</v>
      </c>
      <c r="V885" t="str">
        <f>+Table1[[#This Row],[id_destino]]&amp;" - "&amp;Table1[[#This Row],[id_origen]]</f>
        <v>61 - 23</v>
      </c>
    </row>
    <row r="886" spans="1:22" hidden="1">
      <c r="A886">
        <v>439</v>
      </c>
      <c r="B886">
        <v>171</v>
      </c>
      <c r="C886">
        <v>1443</v>
      </c>
      <c r="D886">
        <v>72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 t="s">
        <v>20</v>
      </c>
      <c r="L886" s="1">
        <v>44046</v>
      </c>
      <c r="M886">
        <v>62</v>
      </c>
      <c r="N886">
        <v>23</v>
      </c>
      <c r="O886">
        <v>345</v>
      </c>
      <c r="P886">
        <v>345</v>
      </c>
      <c r="Q886">
        <v>345</v>
      </c>
      <c r="S886">
        <v>807</v>
      </c>
      <c r="T886">
        <v>807</v>
      </c>
      <c r="U886">
        <f>+SUM(Table1[[#This Row],[Latinos]:[Cemex]])</f>
        <v>1</v>
      </c>
      <c r="V886" t="str">
        <f>+Table1[[#This Row],[id_destino]]&amp;" - "&amp;Table1[[#This Row],[id_origen]]</f>
        <v>62 - 23</v>
      </c>
    </row>
    <row r="887" spans="1:22" hidden="1">
      <c r="A887">
        <v>1620</v>
      </c>
      <c r="B887">
        <v>405</v>
      </c>
      <c r="C887">
        <v>299</v>
      </c>
      <c r="D887">
        <v>5847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 t="s">
        <v>20</v>
      </c>
      <c r="L887" s="1">
        <v>43536</v>
      </c>
      <c r="M887">
        <v>65</v>
      </c>
      <c r="N887">
        <v>23</v>
      </c>
      <c r="O887">
        <v>659</v>
      </c>
      <c r="P887">
        <v>656</v>
      </c>
      <c r="Q887">
        <v>659</v>
      </c>
      <c r="S887">
        <v>2838</v>
      </c>
      <c r="T887">
        <v>2838</v>
      </c>
      <c r="U887">
        <f>+SUM(Table1[[#This Row],[Latinos]:[Cemex]])</f>
        <v>1</v>
      </c>
      <c r="V887" t="str">
        <f>+Table1[[#This Row],[id_destino]]&amp;" - "&amp;Table1[[#This Row],[id_origen]]</f>
        <v>65 - 23</v>
      </c>
    </row>
    <row r="888" spans="1:22" hidden="1">
      <c r="A888">
        <v>360</v>
      </c>
      <c r="B888">
        <v>1568</v>
      </c>
      <c r="C888">
        <v>1443</v>
      </c>
      <c r="D888">
        <v>1977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 t="s">
        <v>20</v>
      </c>
      <c r="L888" s="1">
        <v>43045</v>
      </c>
      <c r="M888">
        <v>71</v>
      </c>
      <c r="N888">
        <v>23</v>
      </c>
      <c r="O888">
        <v>30</v>
      </c>
      <c r="P888">
        <v>150</v>
      </c>
      <c r="Q888">
        <v>30</v>
      </c>
      <c r="S888">
        <v>0</v>
      </c>
      <c r="T888">
        <v>0</v>
      </c>
      <c r="U888">
        <f>+SUM(Table1[[#This Row],[Latinos]:[Cemex]])</f>
        <v>1</v>
      </c>
      <c r="V888" t="str">
        <f>+Table1[[#This Row],[id_destino]]&amp;" - "&amp;Table1[[#This Row],[id_origen]]</f>
        <v>71 - 23</v>
      </c>
    </row>
    <row r="889" spans="1:22" hidden="1">
      <c r="A889">
        <v>1067</v>
      </c>
      <c r="B889">
        <v>1914</v>
      </c>
      <c r="C889">
        <v>3053</v>
      </c>
      <c r="D889">
        <v>4215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0</v>
      </c>
      <c r="K889" t="s">
        <v>20</v>
      </c>
      <c r="L889" s="1">
        <v>43272</v>
      </c>
      <c r="M889">
        <v>84</v>
      </c>
      <c r="N889">
        <v>23</v>
      </c>
      <c r="O889">
        <v>880</v>
      </c>
      <c r="P889">
        <v>880</v>
      </c>
      <c r="Q889">
        <v>880</v>
      </c>
      <c r="S889">
        <v>1070</v>
      </c>
      <c r="T889">
        <v>1070</v>
      </c>
      <c r="U889">
        <f>+SUM(Table1[[#This Row],[Latinos]:[Cemex]])</f>
        <v>1</v>
      </c>
      <c r="V889" t="str">
        <f>+Table1[[#This Row],[id_destino]]&amp;" - "&amp;Table1[[#This Row],[id_origen]]</f>
        <v>84 - 23</v>
      </c>
    </row>
    <row r="890" spans="1:22" hidden="1">
      <c r="A890">
        <v>344</v>
      </c>
      <c r="B890">
        <v>292</v>
      </c>
      <c r="C890">
        <v>4455</v>
      </c>
      <c r="D890">
        <v>5319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</v>
      </c>
      <c r="K890" t="s">
        <v>31</v>
      </c>
      <c r="L890" s="1">
        <v>43040</v>
      </c>
      <c r="M890">
        <v>105</v>
      </c>
      <c r="N890">
        <v>23</v>
      </c>
      <c r="O890">
        <v>510</v>
      </c>
      <c r="P890">
        <v>491</v>
      </c>
      <c r="Q890">
        <v>510</v>
      </c>
      <c r="S890">
        <v>0</v>
      </c>
      <c r="T890">
        <v>0</v>
      </c>
      <c r="U890">
        <f>+SUM(Table1[[#This Row],[Latinos]:[Cemex]])</f>
        <v>1</v>
      </c>
      <c r="V890" t="str">
        <f>+Table1[[#This Row],[id_destino]]&amp;" - "&amp;Table1[[#This Row],[id_origen]]</f>
        <v>105 - 23</v>
      </c>
    </row>
    <row r="891" spans="1:22" hidden="1">
      <c r="A891">
        <v>2659</v>
      </c>
      <c r="B891">
        <v>56</v>
      </c>
      <c r="C891">
        <v>5530</v>
      </c>
      <c r="D891">
        <v>378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 t="s">
        <v>86</v>
      </c>
      <c r="L891" s="1">
        <v>44306</v>
      </c>
      <c r="M891">
        <v>123</v>
      </c>
      <c r="N891">
        <v>23</v>
      </c>
      <c r="O891">
        <v>626</v>
      </c>
      <c r="P891">
        <v>626</v>
      </c>
      <c r="Q891">
        <v>626</v>
      </c>
      <c r="S891">
        <v>1447</v>
      </c>
      <c r="T891">
        <v>1447</v>
      </c>
      <c r="U891">
        <f>+SUM(Table1[[#This Row],[Latinos]:[Cemex]])</f>
        <v>1</v>
      </c>
      <c r="V891" t="str">
        <f>+Table1[[#This Row],[id_destino]]&amp;" - "&amp;Table1[[#This Row],[id_origen]]</f>
        <v>123 - 23</v>
      </c>
    </row>
    <row r="892" spans="1:22" hidden="1">
      <c r="A892">
        <v>1204</v>
      </c>
      <c r="B892">
        <v>2631</v>
      </c>
      <c r="C892">
        <v>4906</v>
      </c>
      <c r="D892">
        <v>5672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 t="s">
        <v>20</v>
      </c>
      <c r="L892" s="1">
        <v>43341</v>
      </c>
      <c r="M892">
        <v>145</v>
      </c>
      <c r="N892">
        <v>23</v>
      </c>
      <c r="O892">
        <v>206</v>
      </c>
      <c r="P892">
        <v>210</v>
      </c>
      <c r="Q892">
        <v>206</v>
      </c>
      <c r="S892">
        <v>788</v>
      </c>
      <c r="T892">
        <v>788</v>
      </c>
      <c r="U892">
        <f>+SUM(Table1[[#This Row],[Latinos]:[Cemex]])</f>
        <v>1</v>
      </c>
      <c r="V892" t="str">
        <f>+Table1[[#This Row],[id_destino]]&amp;" - "&amp;Table1[[#This Row],[id_origen]]</f>
        <v>145 - 23</v>
      </c>
    </row>
    <row r="893" spans="1:22" hidden="1">
      <c r="A893">
        <v>1895</v>
      </c>
      <c r="B893">
        <v>2631</v>
      </c>
      <c r="C893">
        <v>5530</v>
      </c>
      <c r="D893">
        <v>418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 t="s">
        <v>20</v>
      </c>
      <c r="L893" s="1">
        <v>43746</v>
      </c>
      <c r="M893">
        <v>145</v>
      </c>
      <c r="N893">
        <v>23</v>
      </c>
      <c r="O893">
        <v>216</v>
      </c>
      <c r="P893">
        <v>216</v>
      </c>
      <c r="Q893">
        <v>216</v>
      </c>
      <c r="S893">
        <v>342</v>
      </c>
      <c r="T893">
        <v>342</v>
      </c>
      <c r="U893">
        <f>+SUM(Table1[[#This Row],[Latinos]:[Cemex]])</f>
        <v>1</v>
      </c>
      <c r="V893" t="str">
        <f>+Table1[[#This Row],[id_destino]]&amp;" - "&amp;Table1[[#This Row],[id_origen]]</f>
        <v>145 - 23</v>
      </c>
    </row>
    <row r="894" spans="1:22" hidden="1">
      <c r="A894">
        <v>2192</v>
      </c>
      <c r="B894">
        <v>450</v>
      </c>
      <c r="C894">
        <v>2861</v>
      </c>
      <c r="D894">
        <v>1645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 t="s">
        <v>20</v>
      </c>
      <c r="L894" s="1">
        <v>44046</v>
      </c>
      <c r="M894">
        <v>148</v>
      </c>
      <c r="N894">
        <v>23</v>
      </c>
      <c r="O894">
        <v>345</v>
      </c>
      <c r="P894">
        <v>348</v>
      </c>
      <c r="Q894">
        <v>345</v>
      </c>
      <c r="S894">
        <v>806</v>
      </c>
      <c r="T894">
        <v>806</v>
      </c>
      <c r="U894">
        <f>+SUM(Table1[[#This Row],[Latinos]:[Cemex]])</f>
        <v>1</v>
      </c>
      <c r="V894" t="str">
        <f>+Table1[[#This Row],[id_destino]]&amp;" - "&amp;Table1[[#This Row],[id_origen]]</f>
        <v>148 - 23</v>
      </c>
    </row>
    <row r="895" spans="1:22" hidden="1">
      <c r="A895">
        <v>1444</v>
      </c>
      <c r="B895">
        <v>2750</v>
      </c>
      <c r="C895">
        <v>2606</v>
      </c>
      <c r="D895">
        <v>5768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 t="s">
        <v>20</v>
      </c>
      <c r="L895" s="1">
        <v>43438</v>
      </c>
      <c r="M895">
        <v>151</v>
      </c>
      <c r="N895">
        <v>23</v>
      </c>
      <c r="O895">
        <v>397</v>
      </c>
      <c r="P895">
        <v>386</v>
      </c>
      <c r="Q895">
        <v>397</v>
      </c>
      <c r="S895">
        <v>1173</v>
      </c>
      <c r="T895">
        <v>1211</v>
      </c>
      <c r="U895">
        <f>+SUM(Table1[[#This Row],[Latinos]:[Cemex]])</f>
        <v>1</v>
      </c>
      <c r="V895" t="str">
        <f>+Table1[[#This Row],[id_destino]]&amp;" - "&amp;Table1[[#This Row],[id_origen]]</f>
        <v>151 - 23</v>
      </c>
    </row>
    <row r="896" spans="1:22" hidden="1">
      <c r="A896">
        <v>3055</v>
      </c>
      <c r="B896">
        <v>3746</v>
      </c>
      <c r="C896">
        <v>6755</v>
      </c>
      <c r="D896">
        <v>2111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 t="s">
        <v>20</v>
      </c>
      <c r="L896" s="1">
        <v>44707</v>
      </c>
      <c r="M896">
        <v>155</v>
      </c>
      <c r="N896">
        <v>23</v>
      </c>
      <c r="O896">
        <v>535</v>
      </c>
      <c r="P896">
        <v>539</v>
      </c>
      <c r="Q896">
        <v>535</v>
      </c>
      <c r="S896">
        <v>2587</v>
      </c>
      <c r="T896">
        <v>2587</v>
      </c>
      <c r="U896">
        <f>+SUM(Table1[[#This Row],[Latinos]:[Cemex]])</f>
        <v>1</v>
      </c>
      <c r="V896" t="str">
        <f>+Table1[[#This Row],[id_destino]]&amp;" - "&amp;Table1[[#This Row],[id_origen]]</f>
        <v>155 - 23</v>
      </c>
    </row>
    <row r="897" spans="1:22" hidden="1">
      <c r="A897">
        <v>1767</v>
      </c>
      <c r="B897">
        <v>1306</v>
      </c>
      <c r="C897">
        <v>4455</v>
      </c>
      <c r="D897">
        <v>3255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  <c r="K897" t="s">
        <v>20</v>
      </c>
      <c r="L897" s="1">
        <v>43612</v>
      </c>
      <c r="M897">
        <v>159</v>
      </c>
      <c r="N897">
        <v>23</v>
      </c>
      <c r="O897">
        <v>1038</v>
      </c>
      <c r="P897">
        <v>1038</v>
      </c>
      <c r="Q897">
        <v>1038</v>
      </c>
      <c r="S897">
        <v>0</v>
      </c>
      <c r="T897">
        <v>0</v>
      </c>
      <c r="U897">
        <f>+SUM(Table1[[#This Row],[Latinos]:[Cemex]])</f>
        <v>1</v>
      </c>
      <c r="V897" t="str">
        <f>+Table1[[#This Row],[id_destino]]&amp;" - "&amp;Table1[[#This Row],[id_origen]]</f>
        <v>159 - 23</v>
      </c>
    </row>
    <row r="898" spans="1:22" hidden="1">
      <c r="A898">
        <v>1654</v>
      </c>
      <c r="B898">
        <v>2866</v>
      </c>
      <c r="C898">
        <v>4906</v>
      </c>
      <c r="D898">
        <v>5861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 t="s">
        <v>20</v>
      </c>
      <c r="L898" s="1">
        <v>43551</v>
      </c>
      <c r="M898">
        <v>160</v>
      </c>
      <c r="N898">
        <v>23</v>
      </c>
      <c r="O898">
        <v>127</v>
      </c>
      <c r="P898">
        <v>150</v>
      </c>
      <c r="Q898">
        <v>127</v>
      </c>
      <c r="S898">
        <v>415</v>
      </c>
      <c r="T898">
        <v>415</v>
      </c>
      <c r="U898">
        <f>+SUM(Table1[[#This Row],[Latinos]:[Cemex]])</f>
        <v>1</v>
      </c>
      <c r="V898" t="str">
        <f>+Table1[[#This Row],[id_destino]]&amp;" - "&amp;Table1[[#This Row],[id_origen]]</f>
        <v>160 - 23</v>
      </c>
    </row>
    <row r="899" spans="1:22" hidden="1">
      <c r="A899">
        <v>951</v>
      </c>
      <c r="B899">
        <v>334</v>
      </c>
      <c r="C899">
        <v>1443</v>
      </c>
      <c r="D899">
        <v>12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 t="s">
        <v>20</v>
      </c>
      <c r="L899" s="1">
        <v>43225</v>
      </c>
      <c r="M899">
        <v>169</v>
      </c>
      <c r="N899">
        <v>23</v>
      </c>
      <c r="O899">
        <v>233</v>
      </c>
      <c r="P899">
        <v>218</v>
      </c>
      <c r="Q899">
        <v>233</v>
      </c>
      <c r="S899">
        <v>933</v>
      </c>
      <c r="T899">
        <v>933</v>
      </c>
      <c r="U899">
        <f>+SUM(Table1[[#This Row],[Latinos]:[Cemex]])</f>
        <v>1</v>
      </c>
      <c r="V899" t="str">
        <f>+Table1[[#This Row],[id_destino]]&amp;" - "&amp;Table1[[#This Row],[id_origen]]</f>
        <v>169 - 23</v>
      </c>
    </row>
    <row r="900" spans="1:22" hidden="1">
      <c r="A900">
        <v>225</v>
      </c>
      <c r="B900">
        <v>431</v>
      </c>
      <c r="C900">
        <v>4443</v>
      </c>
      <c r="D900">
        <v>24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 t="s">
        <v>20</v>
      </c>
      <c r="L900" s="1">
        <v>43018</v>
      </c>
      <c r="M900">
        <v>179</v>
      </c>
      <c r="N900">
        <v>23</v>
      </c>
      <c r="O900">
        <v>1358</v>
      </c>
      <c r="P900">
        <v>1363</v>
      </c>
      <c r="Q900">
        <v>1358</v>
      </c>
      <c r="S900">
        <v>2393</v>
      </c>
      <c r="T900">
        <v>2479</v>
      </c>
      <c r="U900">
        <f>+SUM(Table1[[#This Row],[Latinos]:[Cemex]])</f>
        <v>1</v>
      </c>
      <c r="V900" t="str">
        <f>+Table1[[#This Row],[id_destino]]&amp;" - "&amp;Table1[[#This Row],[id_origen]]</f>
        <v>179 - 23</v>
      </c>
    </row>
    <row r="901" spans="1:22" hidden="1">
      <c r="A901">
        <v>3937</v>
      </c>
      <c r="B901">
        <v>431</v>
      </c>
      <c r="C901">
        <v>4455</v>
      </c>
      <c r="D901">
        <v>24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 t="s">
        <v>20</v>
      </c>
      <c r="L901" s="1">
        <v>45197</v>
      </c>
      <c r="M901">
        <v>179</v>
      </c>
      <c r="N901">
        <v>23</v>
      </c>
      <c r="O901">
        <v>1357</v>
      </c>
      <c r="P901">
        <v>1357</v>
      </c>
      <c r="Q901">
        <v>1357</v>
      </c>
      <c r="S901">
        <v>4071</v>
      </c>
      <c r="T901">
        <v>4167</v>
      </c>
      <c r="U901">
        <f>+SUM(Table1[[#This Row],[Latinos]:[Cemex]])</f>
        <v>1</v>
      </c>
      <c r="V901" t="str">
        <f>+Table1[[#This Row],[id_destino]]&amp;" - "&amp;Table1[[#This Row],[id_origen]]</f>
        <v>179 - 23</v>
      </c>
    </row>
    <row r="902" spans="1:22" hidden="1">
      <c r="A902">
        <v>1678</v>
      </c>
      <c r="B902">
        <v>2883</v>
      </c>
      <c r="C902">
        <v>4906</v>
      </c>
      <c r="D902">
        <v>5870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 t="s">
        <v>20</v>
      </c>
      <c r="L902" s="1">
        <v>43561</v>
      </c>
      <c r="M902">
        <v>184</v>
      </c>
      <c r="N902">
        <v>23</v>
      </c>
      <c r="O902">
        <v>525</v>
      </c>
      <c r="P902">
        <v>499</v>
      </c>
      <c r="Q902">
        <v>525</v>
      </c>
      <c r="S902">
        <v>1502</v>
      </c>
      <c r="T902">
        <v>1611</v>
      </c>
      <c r="U902">
        <f>+SUM(Table1[[#This Row],[Latinos]:[Cemex]])</f>
        <v>1</v>
      </c>
      <c r="V902" t="str">
        <f>+Table1[[#This Row],[id_destino]]&amp;" - "&amp;Table1[[#This Row],[id_origen]]</f>
        <v>184 - 23</v>
      </c>
    </row>
    <row r="903" spans="1:22" hidden="1">
      <c r="A903">
        <v>876</v>
      </c>
      <c r="B903">
        <v>557</v>
      </c>
      <c r="C903">
        <v>5382</v>
      </c>
      <c r="D903">
        <v>3169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 t="s">
        <v>50</v>
      </c>
      <c r="L903" s="1">
        <v>45472</v>
      </c>
      <c r="M903">
        <v>189</v>
      </c>
      <c r="N903">
        <v>23</v>
      </c>
      <c r="O903">
        <v>1054</v>
      </c>
      <c r="P903">
        <v>1054</v>
      </c>
      <c r="Q903">
        <v>1054</v>
      </c>
      <c r="S903">
        <v>1241</v>
      </c>
      <c r="T903">
        <v>1241</v>
      </c>
      <c r="U903">
        <f>+SUM(Table1[[#This Row],[Latinos]:[Cemex]])</f>
        <v>1</v>
      </c>
      <c r="V903" t="str">
        <f>+Table1[[#This Row],[id_destino]]&amp;" - "&amp;Table1[[#This Row],[id_origen]]</f>
        <v>189 - 23</v>
      </c>
    </row>
    <row r="904" spans="1:22" hidden="1">
      <c r="A904">
        <v>2878</v>
      </c>
      <c r="B904">
        <v>557</v>
      </c>
      <c r="C904">
        <v>6755</v>
      </c>
      <c r="D904">
        <v>3032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 t="s">
        <v>20</v>
      </c>
      <c r="L904" s="1">
        <v>44582</v>
      </c>
      <c r="M904">
        <v>189</v>
      </c>
      <c r="N904">
        <v>23</v>
      </c>
      <c r="O904">
        <v>663</v>
      </c>
      <c r="P904">
        <v>681</v>
      </c>
      <c r="Q904">
        <v>663</v>
      </c>
      <c r="S904">
        <v>3847</v>
      </c>
      <c r="T904">
        <v>2808</v>
      </c>
      <c r="U904">
        <f>+SUM(Table1[[#This Row],[Latinos]:[Cemex]])</f>
        <v>1</v>
      </c>
      <c r="V904" t="str">
        <f>+Table1[[#This Row],[id_destino]]&amp;" - "&amp;Table1[[#This Row],[id_origen]]</f>
        <v>189 - 23</v>
      </c>
    </row>
    <row r="905" spans="1:22" hidden="1">
      <c r="A905">
        <v>615</v>
      </c>
      <c r="B905">
        <v>2364</v>
      </c>
      <c r="C905">
        <v>3053</v>
      </c>
      <c r="D905">
        <v>4262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 t="s">
        <v>20</v>
      </c>
      <c r="L905" s="1">
        <v>43116</v>
      </c>
      <c r="M905">
        <v>192</v>
      </c>
      <c r="N905">
        <v>23</v>
      </c>
      <c r="O905">
        <v>63</v>
      </c>
      <c r="P905">
        <v>150</v>
      </c>
      <c r="Q905">
        <v>63</v>
      </c>
      <c r="S905">
        <v>199</v>
      </c>
      <c r="T905">
        <v>199</v>
      </c>
      <c r="U905">
        <f>+SUM(Table1[[#This Row],[Latinos]:[Cemex]])</f>
        <v>1</v>
      </c>
      <c r="V905" t="str">
        <f>+Table1[[#This Row],[id_destino]]&amp;" - "&amp;Table1[[#This Row],[id_origen]]</f>
        <v>192 - 23</v>
      </c>
    </row>
    <row r="906" spans="1:22" hidden="1">
      <c r="A906">
        <v>3939</v>
      </c>
      <c r="B906">
        <v>4316</v>
      </c>
      <c r="C906">
        <v>5530</v>
      </c>
      <c r="D906">
        <v>7426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  <c r="K906" t="s">
        <v>20</v>
      </c>
      <c r="L906" s="1">
        <v>45197</v>
      </c>
      <c r="M906">
        <v>225</v>
      </c>
      <c r="N906">
        <v>23</v>
      </c>
      <c r="O906">
        <v>2098</v>
      </c>
      <c r="P906">
        <v>2086</v>
      </c>
      <c r="Q906">
        <v>2098</v>
      </c>
      <c r="S906">
        <v>5307</v>
      </c>
      <c r="T906">
        <v>5564</v>
      </c>
      <c r="U906">
        <f>+SUM(Table1[[#This Row],[Latinos]:[Cemex]])</f>
        <v>1</v>
      </c>
      <c r="V906" t="str">
        <f>+Table1[[#This Row],[id_destino]]&amp;" - "&amp;Table1[[#This Row],[id_origen]]</f>
        <v>225 - 23</v>
      </c>
    </row>
    <row r="907" spans="1:22" hidden="1">
      <c r="A907">
        <v>3040</v>
      </c>
      <c r="B907">
        <v>1191</v>
      </c>
      <c r="C907">
        <v>6846</v>
      </c>
      <c r="D907">
        <v>33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 t="s">
        <v>20</v>
      </c>
      <c r="L907" s="1">
        <v>44702</v>
      </c>
      <c r="M907">
        <v>260</v>
      </c>
      <c r="N907">
        <v>23</v>
      </c>
      <c r="O907">
        <v>885</v>
      </c>
      <c r="P907">
        <v>886</v>
      </c>
      <c r="Q907">
        <v>885</v>
      </c>
      <c r="S907">
        <v>3619</v>
      </c>
      <c r="T907">
        <v>3717</v>
      </c>
      <c r="U907">
        <f>+SUM(Table1[[#This Row],[Latinos]:[Cemex]])</f>
        <v>1</v>
      </c>
      <c r="V907" t="str">
        <f>+Table1[[#This Row],[id_destino]]&amp;" - "&amp;Table1[[#This Row],[id_origen]]</f>
        <v>260 - 23</v>
      </c>
    </row>
    <row r="908" spans="1:22" hidden="1">
      <c r="A908">
        <v>463</v>
      </c>
      <c r="B908">
        <v>2302</v>
      </c>
      <c r="C908">
        <v>4455</v>
      </c>
      <c r="D908">
        <v>5372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 t="s">
        <v>20</v>
      </c>
      <c r="L908" s="1">
        <v>43070</v>
      </c>
      <c r="M908">
        <v>306</v>
      </c>
      <c r="N908">
        <v>23</v>
      </c>
      <c r="O908">
        <v>545</v>
      </c>
      <c r="P908">
        <v>545</v>
      </c>
      <c r="Q908">
        <v>545</v>
      </c>
      <c r="S908">
        <v>1701</v>
      </c>
      <c r="T908">
        <v>1701</v>
      </c>
      <c r="U908">
        <f>+SUM(Table1[[#This Row],[Latinos]:[Cemex]])</f>
        <v>1</v>
      </c>
      <c r="V908" t="str">
        <f>+Table1[[#This Row],[id_destino]]&amp;" - "&amp;Table1[[#This Row],[id_origen]]</f>
        <v>306 - 23</v>
      </c>
    </row>
    <row r="909" spans="1:22" hidden="1">
      <c r="A909">
        <v>1126</v>
      </c>
      <c r="B909">
        <v>779</v>
      </c>
      <c r="C909">
        <v>299</v>
      </c>
      <c r="D909">
        <v>5633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0</v>
      </c>
      <c r="K909" t="s">
        <v>20</v>
      </c>
      <c r="L909" s="1">
        <v>43302</v>
      </c>
      <c r="M909">
        <v>345</v>
      </c>
      <c r="N909">
        <v>23</v>
      </c>
      <c r="O909">
        <v>534</v>
      </c>
      <c r="P909">
        <v>534</v>
      </c>
      <c r="Q909">
        <v>534</v>
      </c>
      <c r="S909">
        <v>1773</v>
      </c>
      <c r="T909">
        <v>1773</v>
      </c>
      <c r="U909">
        <f>+SUM(Table1[[#This Row],[Latinos]:[Cemex]])</f>
        <v>1</v>
      </c>
      <c r="V909" t="str">
        <f>+Table1[[#This Row],[id_destino]]&amp;" - "&amp;Table1[[#This Row],[id_origen]]</f>
        <v>345 - 23</v>
      </c>
    </row>
    <row r="910" spans="1:22" hidden="1">
      <c r="A910">
        <v>4233</v>
      </c>
      <c r="B910">
        <v>4511</v>
      </c>
      <c r="C910">
        <v>4455</v>
      </c>
      <c r="D910">
        <v>829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 t="s">
        <v>20</v>
      </c>
      <c r="L910" s="1">
        <v>45387</v>
      </c>
      <c r="M910">
        <v>425</v>
      </c>
      <c r="N910">
        <v>23</v>
      </c>
      <c r="O910">
        <v>520</v>
      </c>
      <c r="P910">
        <v>544</v>
      </c>
      <c r="Q910">
        <v>520</v>
      </c>
      <c r="S910">
        <v>2579</v>
      </c>
      <c r="T910">
        <v>2579</v>
      </c>
      <c r="U910">
        <f>+SUM(Table1[[#This Row],[Latinos]:[Cemex]])</f>
        <v>1</v>
      </c>
      <c r="V910" t="str">
        <f>+Table1[[#This Row],[id_destino]]&amp;" - "&amp;Table1[[#This Row],[id_origen]]</f>
        <v>425 - 23</v>
      </c>
    </row>
    <row r="911" spans="1:22" hidden="1">
      <c r="A911">
        <v>2363</v>
      </c>
      <c r="B911">
        <v>3298</v>
      </c>
      <c r="C911">
        <v>4906</v>
      </c>
      <c r="D911">
        <v>6353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 t="s">
        <v>20</v>
      </c>
      <c r="L911" s="1">
        <v>43985</v>
      </c>
      <c r="M911">
        <v>511</v>
      </c>
      <c r="N911">
        <v>23</v>
      </c>
      <c r="O911">
        <v>80</v>
      </c>
      <c r="P911">
        <v>150</v>
      </c>
      <c r="Q911">
        <v>80</v>
      </c>
      <c r="S911">
        <v>246</v>
      </c>
      <c r="T911">
        <v>246</v>
      </c>
      <c r="U911">
        <f>+SUM(Table1[[#This Row],[Latinos]:[Cemex]])</f>
        <v>1</v>
      </c>
      <c r="V911" t="str">
        <f>+Table1[[#This Row],[id_destino]]&amp;" - "&amp;Table1[[#This Row],[id_origen]]</f>
        <v>511 - 23</v>
      </c>
    </row>
    <row r="912" spans="1:22" hidden="1">
      <c r="A912">
        <v>2696</v>
      </c>
      <c r="B912">
        <v>3507</v>
      </c>
      <c r="C912">
        <v>299</v>
      </c>
      <c r="D912">
        <v>6595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 t="s">
        <v>20</v>
      </c>
      <c r="L912" s="1">
        <v>44354</v>
      </c>
      <c r="M912">
        <v>554</v>
      </c>
      <c r="N912">
        <v>23</v>
      </c>
      <c r="O912">
        <v>341</v>
      </c>
      <c r="P912">
        <v>324</v>
      </c>
      <c r="Q912">
        <v>341</v>
      </c>
      <c r="S912">
        <v>842</v>
      </c>
      <c r="T912">
        <v>842</v>
      </c>
      <c r="U912">
        <f>+SUM(Table1[[#This Row],[Latinos]:[Cemex]])</f>
        <v>1</v>
      </c>
      <c r="V912" t="str">
        <f>+Table1[[#This Row],[id_destino]]&amp;" - "&amp;Table1[[#This Row],[id_origen]]</f>
        <v>554 - 23</v>
      </c>
    </row>
    <row r="913" spans="1:22" hidden="1">
      <c r="A913">
        <v>4064</v>
      </c>
      <c r="B913">
        <v>4396</v>
      </c>
      <c r="C913">
        <v>6846</v>
      </c>
      <c r="D913">
        <v>7011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 t="s">
        <v>20</v>
      </c>
      <c r="L913" s="1">
        <v>45262</v>
      </c>
      <c r="M913">
        <v>591</v>
      </c>
      <c r="N913">
        <v>23</v>
      </c>
      <c r="O913">
        <v>504</v>
      </c>
      <c r="P913">
        <v>501</v>
      </c>
      <c r="Q913">
        <v>504</v>
      </c>
      <c r="S913">
        <v>2046</v>
      </c>
      <c r="T913">
        <v>2046</v>
      </c>
      <c r="U913">
        <f>+SUM(Table1[[#This Row],[Latinos]:[Cemex]])</f>
        <v>1</v>
      </c>
      <c r="V913" t="str">
        <f>+Table1[[#This Row],[id_destino]]&amp;" - "&amp;Table1[[#This Row],[id_origen]]</f>
        <v>591 - 23</v>
      </c>
    </row>
    <row r="914" spans="1:22" hidden="1">
      <c r="A914">
        <v>1051</v>
      </c>
      <c r="B914">
        <v>2562</v>
      </c>
      <c r="C914">
        <v>5469</v>
      </c>
      <c r="D914">
        <v>5600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 t="s">
        <v>20</v>
      </c>
      <c r="L914" s="1">
        <v>43264</v>
      </c>
      <c r="M914">
        <v>594</v>
      </c>
      <c r="N914">
        <v>23</v>
      </c>
      <c r="O914">
        <v>1658</v>
      </c>
      <c r="P914">
        <v>1658</v>
      </c>
      <c r="Q914">
        <v>1658</v>
      </c>
      <c r="S914">
        <v>2633</v>
      </c>
      <c r="T914">
        <v>2720</v>
      </c>
      <c r="U914">
        <f>+SUM(Table1[[#This Row],[Latinos]:[Cemex]])</f>
        <v>1</v>
      </c>
      <c r="V914" t="str">
        <f>+Table1[[#This Row],[id_destino]]&amp;" - "&amp;Table1[[#This Row],[id_origen]]</f>
        <v>594 - 23</v>
      </c>
    </row>
    <row r="915" spans="1:22" hidden="1">
      <c r="A915">
        <v>974</v>
      </c>
      <c r="B915">
        <v>2528</v>
      </c>
      <c r="C915">
        <v>5469</v>
      </c>
      <c r="D915">
        <v>5566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 t="s">
        <v>20</v>
      </c>
      <c r="L915" s="1">
        <v>43236</v>
      </c>
      <c r="M915">
        <v>623</v>
      </c>
      <c r="N915">
        <v>23</v>
      </c>
      <c r="O915">
        <v>234</v>
      </c>
      <c r="P915">
        <v>227</v>
      </c>
      <c r="Q915">
        <v>234</v>
      </c>
      <c r="S915">
        <v>933</v>
      </c>
      <c r="T915">
        <v>933</v>
      </c>
      <c r="U915">
        <f>+SUM(Table1[[#This Row],[Latinos]:[Cemex]])</f>
        <v>1</v>
      </c>
      <c r="V915" t="str">
        <f>+Table1[[#This Row],[id_destino]]&amp;" - "&amp;Table1[[#This Row],[id_origen]]</f>
        <v>623 - 23</v>
      </c>
    </row>
    <row r="916" spans="1:22" hidden="1">
      <c r="A916">
        <v>4481</v>
      </c>
      <c r="B916">
        <v>4691</v>
      </c>
      <c r="C916">
        <v>4455</v>
      </c>
      <c r="D916">
        <v>7953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 t="s">
        <v>20</v>
      </c>
      <c r="L916" s="1">
        <v>45576</v>
      </c>
      <c r="M916">
        <v>627</v>
      </c>
      <c r="N916">
        <v>23</v>
      </c>
      <c r="O916">
        <v>127</v>
      </c>
      <c r="P916">
        <v>150</v>
      </c>
      <c r="Q916">
        <v>127</v>
      </c>
      <c r="S916">
        <v>347</v>
      </c>
      <c r="T916">
        <v>347</v>
      </c>
      <c r="U916">
        <f>+SUM(Table1[[#This Row],[Latinos]:[Cemex]])</f>
        <v>1</v>
      </c>
      <c r="V916" t="str">
        <f>+Table1[[#This Row],[id_destino]]&amp;" - "&amp;Table1[[#This Row],[id_origen]]</f>
        <v>627 - 23</v>
      </c>
    </row>
    <row r="917" spans="1:22" hidden="1">
      <c r="A917">
        <v>2255</v>
      </c>
      <c r="B917">
        <v>3233</v>
      </c>
      <c r="C917">
        <v>3053</v>
      </c>
      <c r="D917">
        <v>72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 t="s">
        <v>20</v>
      </c>
      <c r="L917" s="1">
        <v>43880</v>
      </c>
      <c r="M917">
        <v>669</v>
      </c>
      <c r="N917">
        <v>23</v>
      </c>
      <c r="O917">
        <v>341</v>
      </c>
      <c r="P917">
        <v>346</v>
      </c>
      <c r="Q917">
        <v>341</v>
      </c>
      <c r="S917">
        <v>900</v>
      </c>
      <c r="T917">
        <v>900</v>
      </c>
      <c r="U917">
        <f>+SUM(Table1[[#This Row],[Latinos]:[Cemex]])</f>
        <v>1</v>
      </c>
      <c r="V917" t="str">
        <f>+Table1[[#This Row],[id_destino]]&amp;" - "&amp;Table1[[#This Row],[id_origen]]</f>
        <v>669 - 23</v>
      </c>
    </row>
    <row r="918" spans="1:22" hidden="1">
      <c r="A918">
        <v>4013</v>
      </c>
      <c r="B918">
        <v>3233</v>
      </c>
      <c r="C918">
        <v>4455</v>
      </c>
      <c r="D918">
        <v>7542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 t="s">
        <v>20</v>
      </c>
      <c r="L918" s="1">
        <v>45237</v>
      </c>
      <c r="M918">
        <v>669</v>
      </c>
      <c r="N918">
        <v>23</v>
      </c>
      <c r="O918">
        <v>349</v>
      </c>
      <c r="P918">
        <v>345</v>
      </c>
      <c r="Q918">
        <v>349</v>
      </c>
      <c r="S918">
        <v>1063</v>
      </c>
      <c r="T918">
        <v>1063</v>
      </c>
      <c r="U918">
        <f>+SUM(Table1[[#This Row],[Latinos]:[Cemex]])</f>
        <v>1</v>
      </c>
      <c r="V918" t="str">
        <f>+Table1[[#This Row],[id_destino]]&amp;" - "&amp;Table1[[#This Row],[id_origen]]</f>
        <v>669 - 23</v>
      </c>
    </row>
    <row r="919" spans="1:22" hidden="1">
      <c r="A919">
        <v>309</v>
      </c>
      <c r="B919">
        <v>2260</v>
      </c>
      <c r="C919">
        <v>3053</v>
      </c>
      <c r="D919">
        <v>5326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 t="s">
        <v>20</v>
      </c>
      <c r="L919" s="1">
        <v>43034</v>
      </c>
      <c r="M919">
        <v>675</v>
      </c>
      <c r="N919">
        <v>23</v>
      </c>
      <c r="O919">
        <v>540</v>
      </c>
      <c r="P919">
        <v>540</v>
      </c>
      <c r="Q919">
        <v>540</v>
      </c>
      <c r="S919">
        <v>1566</v>
      </c>
      <c r="T919">
        <v>1566</v>
      </c>
      <c r="U919">
        <f>+SUM(Table1[[#This Row],[Latinos]:[Cemex]])</f>
        <v>1</v>
      </c>
      <c r="V919" t="str">
        <f>+Table1[[#This Row],[id_destino]]&amp;" - "&amp;Table1[[#This Row],[id_origen]]</f>
        <v>675 - 23</v>
      </c>
    </row>
    <row r="920" spans="1:22" hidden="1">
      <c r="A920">
        <v>3717</v>
      </c>
      <c r="B920">
        <v>4182</v>
      </c>
      <c r="C920">
        <v>5530</v>
      </c>
      <c r="D920">
        <v>7136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 t="s">
        <v>20</v>
      </c>
      <c r="L920" s="1">
        <v>45049</v>
      </c>
      <c r="M920">
        <v>690</v>
      </c>
      <c r="N920">
        <v>23</v>
      </c>
      <c r="O920">
        <v>2163</v>
      </c>
      <c r="P920">
        <v>2199</v>
      </c>
      <c r="Q920">
        <v>2163</v>
      </c>
      <c r="S920">
        <v>4389</v>
      </c>
      <c r="T920">
        <v>4389</v>
      </c>
      <c r="U920">
        <f>+SUM(Table1[[#This Row],[Latinos]:[Cemex]])</f>
        <v>1</v>
      </c>
      <c r="V920" t="str">
        <f>+Table1[[#This Row],[id_destino]]&amp;" - "&amp;Table1[[#This Row],[id_origen]]</f>
        <v>690 - 23</v>
      </c>
    </row>
    <row r="921" spans="1:22" hidden="1">
      <c r="A921">
        <v>3588</v>
      </c>
      <c r="B921">
        <v>4093</v>
      </c>
      <c r="C921">
        <v>4906</v>
      </c>
      <c r="D921">
        <v>7234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 t="s">
        <v>20</v>
      </c>
      <c r="L921" s="1">
        <v>45012</v>
      </c>
      <c r="M921">
        <v>710</v>
      </c>
      <c r="N921">
        <v>23</v>
      </c>
      <c r="O921">
        <v>693</v>
      </c>
      <c r="P921">
        <v>699</v>
      </c>
      <c r="Q921">
        <v>693</v>
      </c>
      <c r="S921">
        <v>3619</v>
      </c>
      <c r="T921">
        <v>2587</v>
      </c>
      <c r="U921">
        <f>+SUM(Table1[[#This Row],[Latinos]:[Cemex]])</f>
        <v>1</v>
      </c>
      <c r="V921" t="str">
        <f>+Table1[[#This Row],[id_destino]]&amp;" - "&amp;Table1[[#This Row],[id_origen]]</f>
        <v>710 - 23</v>
      </c>
    </row>
    <row r="922" spans="1:22" hidden="1">
      <c r="A922">
        <v>758</v>
      </c>
      <c r="B922">
        <v>2439</v>
      </c>
      <c r="C922">
        <v>3053</v>
      </c>
      <c r="D922">
        <v>5479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 t="s">
        <v>20</v>
      </c>
      <c r="L922" s="1">
        <v>43154</v>
      </c>
      <c r="M922">
        <v>740</v>
      </c>
      <c r="N922">
        <v>23</v>
      </c>
      <c r="O922">
        <v>759</v>
      </c>
      <c r="P922">
        <v>764</v>
      </c>
      <c r="Q922">
        <v>759</v>
      </c>
      <c r="S922">
        <v>1023</v>
      </c>
      <c r="T922">
        <v>1023</v>
      </c>
      <c r="U922">
        <f>+SUM(Table1[[#This Row],[Latinos]:[Cemex]])</f>
        <v>1</v>
      </c>
      <c r="V922" t="str">
        <f>+Table1[[#This Row],[id_destino]]&amp;" - "&amp;Table1[[#This Row],[id_origen]]</f>
        <v>740 - 23</v>
      </c>
    </row>
    <row r="923" spans="1:22" hidden="1">
      <c r="A923">
        <v>907</v>
      </c>
      <c r="B923">
        <v>2505</v>
      </c>
      <c r="C923">
        <v>5382</v>
      </c>
      <c r="D923">
        <v>5536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 t="s">
        <v>20</v>
      </c>
      <c r="L923" s="1">
        <v>43209</v>
      </c>
      <c r="M923">
        <v>745</v>
      </c>
      <c r="N923">
        <v>23</v>
      </c>
      <c r="O923">
        <v>190</v>
      </c>
      <c r="P923">
        <v>190</v>
      </c>
      <c r="Q923">
        <v>190</v>
      </c>
      <c r="S923">
        <v>0</v>
      </c>
      <c r="T923">
        <v>0</v>
      </c>
      <c r="U923">
        <f>+SUM(Table1[[#This Row],[Latinos]:[Cemex]])</f>
        <v>1</v>
      </c>
      <c r="V923" t="str">
        <f>+Table1[[#This Row],[id_destino]]&amp;" - "&amp;Table1[[#This Row],[id_origen]]</f>
        <v>745 - 23</v>
      </c>
    </row>
    <row r="924" spans="1:22" hidden="1">
      <c r="A924">
        <v>1017</v>
      </c>
      <c r="B924">
        <v>2547</v>
      </c>
      <c r="C924">
        <v>4906</v>
      </c>
      <c r="D924">
        <v>5584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0</v>
      </c>
      <c r="K924" t="s">
        <v>20</v>
      </c>
      <c r="L924" s="1">
        <v>43251</v>
      </c>
      <c r="M924">
        <v>749</v>
      </c>
      <c r="N924">
        <v>23</v>
      </c>
      <c r="O924">
        <v>245</v>
      </c>
      <c r="P924">
        <v>249</v>
      </c>
      <c r="Q924">
        <v>245</v>
      </c>
      <c r="S924">
        <v>377</v>
      </c>
      <c r="T924">
        <v>377</v>
      </c>
      <c r="U924">
        <f>+SUM(Table1[[#This Row],[Latinos]:[Cemex]])</f>
        <v>1</v>
      </c>
      <c r="V924" t="str">
        <f>+Table1[[#This Row],[id_destino]]&amp;" - "&amp;Table1[[#This Row],[id_origen]]</f>
        <v>749 - 23</v>
      </c>
    </row>
    <row r="925" spans="1:22" hidden="1">
      <c r="A925">
        <v>1079</v>
      </c>
      <c r="B925">
        <v>2575</v>
      </c>
      <c r="C925">
        <v>3053</v>
      </c>
      <c r="D925">
        <v>5615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 t="s">
        <v>20</v>
      </c>
      <c r="L925" s="1">
        <v>43277</v>
      </c>
      <c r="M925">
        <v>752</v>
      </c>
      <c r="N925">
        <v>23</v>
      </c>
      <c r="O925">
        <v>102</v>
      </c>
      <c r="P925">
        <v>102</v>
      </c>
      <c r="Q925">
        <v>150</v>
      </c>
      <c r="S925">
        <v>123</v>
      </c>
      <c r="T925">
        <v>123</v>
      </c>
      <c r="U925">
        <f>+SUM(Table1[[#This Row],[Latinos]:[Cemex]])</f>
        <v>1</v>
      </c>
      <c r="V925" t="str">
        <f>+Table1[[#This Row],[id_destino]]&amp;" - "&amp;Table1[[#This Row],[id_origen]]</f>
        <v>752 - 23</v>
      </c>
    </row>
    <row r="926" spans="1:22" hidden="1">
      <c r="A926">
        <v>2094</v>
      </c>
      <c r="B926">
        <v>3127</v>
      </c>
      <c r="C926">
        <v>2861</v>
      </c>
      <c r="D926">
        <v>6178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 t="s">
        <v>20</v>
      </c>
      <c r="L926" s="1">
        <v>43808</v>
      </c>
      <c r="M926">
        <v>770</v>
      </c>
      <c r="N926">
        <v>23</v>
      </c>
      <c r="O926">
        <v>658</v>
      </c>
      <c r="P926">
        <v>658</v>
      </c>
      <c r="Q926">
        <v>658</v>
      </c>
      <c r="S926">
        <v>1211</v>
      </c>
      <c r="T926">
        <v>1228</v>
      </c>
      <c r="U926">
        <f>+SUM(Table1[[#This Row],[Latinos]:[Cemex]])</f>
        <v>1</v>
      </c>
      <c r="V926" t="str">
        <f>+Table1[[#This Row],[id_destino]]&amp;" - "&amp;Table1[[#This Row],[id_origen]]</f>
        <v>770 - 23</v>
      </c>
    </row>
    <row r="927" spans="1:22" hidden="1">
      <c r="A927">
        <v>2054</v>
      </c>
      <c r="B927">
        <v>3105</v>
      </c>
      <c r="C927">
        <v>2861</v>
      </c>
      <c r="D927">
        <v>6154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 t="s">
        <v>20</v>
      </c>
      <c r="L927" s="1">
        <v>43788</v>
      </c>
      <c r="M927">
        <v>792</v>
      </c>
      <c r="N927">
        <v>23</v>
      </c>
      <c r="O927">
        <v>982</v>
      </c>
      <c r="P927">
        <v>982</v>
      </c>
      <c r="Q927">
        <v>982</v>
      </c>
      <c r="S927">
        <v>2883</v>
      </c>
      <c r="T927">
        <v>2883</v>
      </c>
      <c r="U927">
        <f>+SUM(Table1[[#This Row],[Latinos]:[Cemex]])</f>
        <v>1</v>
      </c>
      <c r="V927" t="str">
        <f>+Table1[[#This Row],[id_destino]]&amp;" - "&amp;Table1[[#This Row],[id_origen]]</f>
        <v>792 - 23</v>
      </c>
    </row>
    <row r="928" spans="1:22" hidden="1">
      <c r="A928">
        <v>2090</v>
      </c>
      <c r="B928">
        <v>3125</v>
      </c>
      <c r="C928">
        <v>2861</v>
      </c>
      <c r="D928">
        <v>6171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 t="s">
        <v>20</v>
      </c>
      <c r="L928" s="1">
        <v>43806</v>
      </c>
      <c r="M928">
        <v>795</v>
      </c>
      <c r="N928">
        <v>23</v>
      </c>
      <c r="O928">
        <v>1278</v>
      </c>
      <c r="P928">
        <v>1247</v>
      </c>
      <c r="Q928">
        <v>1278</v>
      </c>
      <c r="S928">
        <v>3328</v>
      </c>
      <c r="T928">
        <v>3328</v>
      </c>
      <c r="U928">
        <f>+SUM(Table1[[#This Row],[Latinos]:[Cemex]])</f>
        <v>1</v>
      </c>
      <c r="V928" t="str">
        <f>+Table1[[#This Row],[id_destino]]&amp;" - "&amp;Table1[[#This Row],[id_origen]]</f>
        <v>795 - 23</v>
      </c>
    </row>
    <row r="929" spans="1:22" hidden="1">
      <c r="A929">
        <v>4228</v>
      </c>
      <c r="B929">
        <v>4506</v>
      </c>
      <c r="C929">
        <v>4455</v>
      </c>
      <c r="D929">
        <v>7716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 t="s">
        <v>20</v>
      </c>
      <c r="L929" s="1">
        <v>45387</v>
      </c>
      <c r="M929">
        <v>852</v>
      </c>
      <c r="N929">
        <v>23</v>
      </c>
      <c r="O929">
        <v>520</v>
      </c>
      <c r="P929">
        <v>531</v>
      </c>
      <c r="Q929">
        <v>520</v>
      </c>
      <c r="S929">
        <v>2377</v>
      </c>
      <c r="T929">
        <v>2491</v>
      </c>
      <c r="U929">
        <f>+SUM(Table1[[#This Row],[Latinos]:[Cemex]])</f>
        <v>1</v>
      </c>
      <c r="V929" t="str">
        <f>+Table1[[#This Row],[id_destino]]&amp;" - "&amp;Table1[[#This Row],[id_origen]]</f>
        <v>852 - 23</v>
      </c>
    </row>
    <row r="930" spans="1:22" hidden="1">
      <c r="A930">
        <v>3499</v>
      </c>
      <c r="B930">
        <v>28</v>
      </c>
      <c r="C930">
        <v>7150</v>
      </c>
      <c r="D930">
        <v>394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 t="s">
        <v>20</v>
      </c>
      <c r="L930" s="1">
        <v>45070</v>
      </c>
      <c r="M930">
        <v>1</v>
      </c>
      <c r="N930">
        <v>24</v>
      </c>
      <c r="O930">
        <v>1165</v>
      </c>
      <c r="P930">
        <v>1152</v>
      </c>
      <c r="Q930">
        <v>1165</v>
      </c>
      <c r="S930">
        <v>2282</v>
      </c>
      <c r="T930">
        <v>2367</v>
      </c>
      <c r="U930">
        <f>+SUM(Table1[[#This Row],[Latinos]:[Cemex]])</f>
        <v>1</v>
      </c>
      <c r="V930" t="str">
        <f>+Table1[[#This Row],[id_destino]]&amp;" - "&amp;Table1[[#This Row],[id_origen]]</f>
        <v>1 - 24</v>
      </c>
    </row>
    <row r="931" spans="1:22" hidden="1">
      <c r="A931">
        <v>1849</v>
      </c>
      <c r="B931">
        <v>2969</v>
      </c>
      <c r="C931">
        <v>6010</v>
      </c>
      <c r="D931">
        <v>7209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 t="s">
        <v>20</v>
      </c>
      <c r="L931" s="1">
        <v>45309</v>
      </c>
      <c r="M931">
        <v>11</v>
      </c>
      <c r="N931">
        <v>24</v>
      </c>
      <c r="O931">
        <v>692</v>
      </c>
      <c r="P931">
        <v>655</v>
      </c>
      <c r="Q931">
        <v>692</v>
      </c>
      <c r="S931">
        <v>1862</v>
      </c>
      <c r="T931">
        <v>1947</v>
      </c>
      <c r="U931">
        <f>+SUM(Table1[[#This Row],[Latinos]:[Cemex]])</f>
        <v>1</v>
      </c>
      <c r="V931" t="str">
        <f>+Table1[[#This Row],[id_destino]]&amp;" - "&amp;Table1[[#This Row],[id_origen]]</f>
        <v>11 - 24</v>
      </c>
    </row>
    <row r="932" spans="1:22" hidden="1">
      <c r="A932">
        <v>898</v>
      </c>
      <c r="B932">
        <v>275</v>
      </c>
      <c r="C932">
        <v>4768</v>
      </c>
      <c r="D932">
        <v>4805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 t="s">
        <v>20</v>
      </c>
      <c r="L932" s="1">
        <v>43207</v>
      </c>
      <c r="M932">
        <v>18</v>
      </c>
      <c r="N932">
        <v>24</v>
      </c>
      <c r="O932">
        <v>793</v>
      </c>
      <c r="P932">
        <v>793</v>
      </c>
      <c r="Q932">
        <v>793</v>
      </c>
      <c r="S932">
        <v>2303</v>
      </c>
      <c r="T932">
        <v>2368</v>
      </c>
      <c r="U932">
        <f>+SUM(Table1[[#This Row],[Latinos]:[Cemex]])</f>
        <v>1</v>
      </c>
      <c r="V932" t="str">
        <f>+Table1[[#This Row],[id_destino]]&amp;" - "&amp;Table1[[#This Row],[id_origen]]</f>
        <v>18 - 24</v>
      </c>
    </row>
    <row r="933" spans="1:22" hidden="1">
      <c r="A933">
        <v>1881</v>
      </c>
      <c r="B933">
        <v>301</v>
      </c>
      <c r="C933">
        <v>7150</v>
      </c>
      <c r="D933">
        <v>5530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 t="s">
        <v>20</v>
      </c>
      <c r="L933" s="1">
        <v>45132</v>
      </c>
      <c r="M933">
        <v>23</v>
      </c>
      <c r="N933">
        <v>24</v>
      </c>
      <c r="O933">
        <v>299</v>
      </c>
      <c r="P933">
        <v>308</v>
      </c>
      <c r="Q933">
        <v>299</v>
      </c>
      <c r="S933">
        <v>897</v>
      </c>
      <c r="T933">
        <v>982</v>
      </c>
      <c r="U933">
        <f>+SUM(Table1[[#This Row],[Latinos]:[Cemex]])</f>
        <v>1</v>
      </c>
      <c r="V933" t="str">
        <f>+Table1[[#This Row],[id_destino]]&amp;" - "&amp;Table1[[#This Row],[id_origen]]</f>
        <v>23 - 24</v>
      </c>
    </row>
    <row r="934" spans="1:22" hidden="1">
      <c r="A934">
        <v>1306</v>
      </c>
      <c r="B934">
        <v>2683</v>
      </c>
      <c r="C934">
        <v>4991</v>
      </c>
      <c r="D934">
        <v>4768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 t="s">
        <v>20</v>
      </c>
      <c r="L934" s="1">
        <v>43376</v>
      </c>
      <c r="M934">
        <v>24</v>
      </c>
      <c r="N934">
        <v>24</v>
      </c>
      <c r="O934">
        <v>30</v>
      </c>
      <c r="P934">
        <v>150</v>
      </c>
      <c r="Q934">
        <v>30</v>
      </c>
      <c r="S934">
        <v>0</v>
      </c>
      <c r="T934">
        <v>0</v>
      </c>
      <c r="U934">
        <f>+SUM(Table1[[#This Row],[Latinos]:[Cemex]])</f>
        <v>1</v>
      </c>
      <c r="V934" t="str">
        <f>+Table1[[#This Row],[id_destino]]&amp;" - "&amp;Table1[[#This Row],[id_origen]]</f>
        <v>24 - 24</v>
      </c>
    </row>
    <row r="935" spans="1:22" hidden="1">
      <c r="A935">
        <v>1765</v>
      </c>
      <c r="B935">
        <v>2683</v>
      </c>
      <c r="C935">
        <v>4768</v>
      </c>
      <c r="D935">
        <v>4768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 t="s">
        <v>20</v>
      </c>
      <c r="L935" s="1">
        <v>43612</v>
      </c>
      <c r="M935">
        <v>24</v>
      </c>
      <c r="N935">
        <v>24</v>
      </c>
      <c r="O935">
        <v>0</v>
      </c>
      <c r="P935">
        <v>150</v>
      </c>
      <c r="Q935">
        <v>0</v>
      </c>
      <c r="S935">
        <v>0</v>
      </c>
      <c r="T935">
        <v>0</v>
      </c>
      <c r="U935">
        <f>+SUM(Table1[[#This Row],[Latinos]:[Cemex]])</f>
        <v>1</v>
      </c>
      <c r="V935" t="str">
        <f>+Table1[[#This Row],[id_destino]]&amp;" - "&amp;Table1[[#This Row],[id_origen]]</f>
        <v>24 - 24</v>
      </c>
    </row>
    <row r="936" spans="1:22" hidden="1">
      <c r="A936">
        <v>2666</v>
      </c>
      <c r="B936">
        <v>2683</v>
      </c>
      <c r="C936">
        <v>6010</v>
      </c>
      <c r="D936">
        <v>6010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 t="s">
        <v>20</v>
      </c>
      <c r="L936" s="1">
        <v>44325</v>
      </c>
      <c r="M936">
        <v>24</v>
      </c>
      <c r="N936">
        <v>24</v>
      </c>
      <c r="O936">
        <v>50</v>
      </c>
      <c r="P936">
        <v>150</v>
      </c>
      <c r="Q936">
        <v>50</v>
      </c>
      <c r="S936">
        <v>0</v>
      </c>
      <c r="T936">
        <v>0</v>
      </c>
      <c r="U936">
        <f>+SUM(Table1[[#This Row],[Latinos]:[Cemex]])</f>
        <v>1</v>
      </c>
      <c r="V936" t="str">
        <f>+Table1[[#This Row],[id_destino]]&amp;" - "&amp;Table1[[#This Row],[id_origen]]</f>
        <v>24 - 24</v>
      </c>
    </row>
    <row r="937" spans="1:22" hidden="1">
      <c r="A937">
        <v>3511</v>
      </c>
      <c r="B937">
        <v>4038</v>
      </c>
      <c r="C937">
        <v>7150</v>
      </c>
      <c r="D937">
        <v>7179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  <c r="K937" t="s">
        <v>20</v>
      </c>
      <c r="L937" s="1">
        <v>44940</v>
      </c>
      <c r="M937">
        <v>25</v>
      </c>
      <c r="N937">
        <v>24</v>
      </c>
      <c r="O937">
        <v>105</v>
      </c>
      <c r="P937">
        <v>115</v>
      </c>
      <c r="Q937">
        <v>105</v>
      </c>
      <c r="S937">
        <v>284</v>
      </c>
      <c r="T937">
        <v>350</v>
      </c>
      <c r="U937">
        <f>+SUM(Table1[[#This Row],[Latinos]:[Cemex]])</f>
        <v>1</v>
      </c>
      <c r="V937" t="str">
        <f>+Table1[[#This Row],[id_destino]]&amp;" - "&amp;Table1[[#This Row],[id_origen]]</f>
        <v>25 - 24</v>
      </c>
    </row>
    <row r="938" spans="1:22" hidden="1">
      <c r="A938">
        <v>2043</v>
      </c>
      <c r="B938">
        <v>1950</v>
      </c>
      <c r="C938">
        <v>6140</v>
      </c>
      <c r="D938">
        <v>6146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 t="s">
        <v>20</v>
      </c>
      <c r="L938" s="1">
        <v>43780</v>
      </c>
      <c r="M938">
        <v>26</v>
      </c>
      <c r="N938">
        <v>24</v>
      </c>
      <c r="O938">
        <v>308</v>
      </c>
      <c r="P938">
        <v>308</v>
      </c>
      <c r="Q938">
        <v>308</v>
      </c>
      <c r="S938">
        <v>737</v>
      </c>
      <c r="T938">
        <v>803</v>
      </c>
      <c r="U938">
        <f>+SUM(Table1[[#This Row],[Latinos]:[Cemex]])</f>
        <v>1</v>
      </c>
      <c r="V938" t="str">
        <f>+Table1[[#This Row],[id_destino]]&amp;" - "&amp;Table1[[#This Row],[id_origen]]</f>
        <v>26 - 24</v>
      </c>
    </row>
    <row r="939" spans="1:22" hidden="1">
      <c r="A939">
        <v>2110</v>
      </c>
      <c r="B939">
        <v>3136</v>
      </c>
      <c r="C939">
        <v>3738</v>
      </c>
      <c r="D939">
        <v>5978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 t="s">
        <v>20</v>
      </c>
      <c r="L939" s="1">
        <v>43816</v>
      </c>
      <c r="M939">
        <v>30</v>
      </c>
      <c r="N939">
        <v>24</v>
      </c>
      <c r="O939">
        <v>763</v>
      </c>
      <c r="P939">
        <v>763</v>
      </c>
      <c r="Q939">
        <v>763</v>
      </c>
      <c r="S939">
        <v>1954</v>
      </c>
      <c r="T939">
        <v>2020</v>
      </c>
      <c r="U939">
        <f>+SUM(Table1[[#This Row],[Latinos]:[Cemex]])</f>
        <v>1</v>
      </c>
      <c r="V939" t="str">
        <f>+Table1[[#This Row],[id_destino]]&amp;" - "&amp;Table1[[#This Row],[id_origen]]</f>
        <v>30 - 24</v>
      </c>
    </row>
    <row r="940" spans="1:22" hidden="1">
      <c r="A940">
        <v>266</v>
      </c>
      <c r="B940">
        <v>342</v>
      </c>
      <c r="C940">
        <v>7150</v>
      </c>
      <c r="D940">
        <v>7211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 t="s">
        <v>20</v>
      </c>
      <c r="L940" s="1">
        <v>44957</v>
      </c>
      <c r="M940">
        <v>31</v>
      </c>
      <c r="N940">
        <v>24</v>
      </c>
      <c r="O940">
        <v>945</v>
      </c>
      <c r="P940">
        <v>976</v>
      </c>
      <c r="Q940">
        <v>945</v>
      </c>
      <c r="S940">
        <v>2687</v>
      </c>
      <c r="T940">
        <v>2753</v>
      </c>
      <c r="U940">
        <f>+SUM(Table1[[#This Row],[Latinos]:[Cemex]])</f>
        <v>1</v>
      </c>
      <c r="V940" t="str">
        <f>+Table1[[#This Row],[id_destino]]&amp;" - "&amp;Table1[[#This Row],[id_origen]]</f>
        <v>31 - 24</v>
      </c>
    </row>
    <row r="941" spans="1:22" hidden="1">
      <c r="A941">
        <v>1544</v>
      </c>
      <c r="B941">
        <v>342</v>
      </c>
      <c r="C941">
        <v>4768</v>
      </c>
      <c r="D941">
        <v>4008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 t="s">
        <v>20</v>
      </c>
      <c r="L941" s="1">
        <v>43501</v>
      </c>
      <c r="M941">
        <v>31</v>
      </c>
      <c r="N941">
        <v>24</v>
      </c>
      <c r="O941">
        <v>954</v>
      </c>
      <c r="P941">
        <v>947</v>
      </c>
      <c r="Q941">
        <v>954</v>
      </c>
      <c r="S941">
        <v>4263</v>
      </c>
      <c r="T941">
        <v>4350</v>
      </c>
      <c r="U941">
        <f>+SUM(Table1[[#This Row],[Latinos]:[Cemex]])</f>
        <v>1</v>
      </c>
      <c r="V941" t="str">
        <f>+Table1[[#This Row],[id_destino]]&amp;" - "&amp;Table1[[#This Row],[id_origen]]</f>
        <v>31 - 24</v>
      </c>
    </row>
    <row r="942" spans="1:22" hidden="1">
      <c r="A942">
        <v>1303</v>
      </c>
      <c r="B942">
        <v>1544</v>
      </c>
      <c r="C942">
        <v>4768</v>
      </c>
      <c r="D942">
        <v>4894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 t="s">
        <v>20</v>
      </c>
      <c r="L942" s="1">
        <v>43375</v>
      </c>
      <c r="M942">
        <v>37</v>
      </c>
      <c r="N942">
        <v>24</v>
      </c>
      <c r="O942">
        <v>348</v>
      </c>
      <c r="P942">
        <v>348</v>
      </c>
      <c r="Q942">
        <v>348</v>
      </c>
      <c r="S942">
        <v>0</v>
      </c>
      <c r="T942">
        <v>0</v>
      </c>
      <c r="U942">
        <f>+SUM(Table1[[#This Row],[Latinos]:[Cemex]])</f>
        <v>1</v>
      </c>
      <c r="V942" t="str">
        <f>+Table1[[#This Row],[id_destino]]&amp;" - "&amp;Table1[[#This Row],[id_origen]]</f>
        <v>37 - 24</v>
      </c>
    </row>
    <row r="943" spans="1:22" hidden="1">
      <c r="A943">
        <v>1323</v>
      </c>
      <c r="B943">
        <v>1544</v>
      </c>
      <c r="C943">
        <v>4768</v>
      </c>
      <c r="D943">
        <v>4894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 t="s">
        <v>20</v>
      </c>
      <c r="L943" s="1">
        <v>43384</v>
      </c>
      <c r="M943">
        <v>37</v>
      </c>
      <c r="N943">
        <v>24</v>
      </c>
      <c r="O943">
        <v>858</v>
      </c>
      <c r="P943">
        <v>858</v>
      </c>
      <c r="Q943">
        <v>858</v>
      </c>
      <c r="S943">
        <v>1598.52</v>
      </c>
      <c r="T943">
        <v>1648.92</v>
      </c>
      <c r="U943">
        <f>+SUM(Table1[[#This Row],[Latinos]:[Cemex]])</f>
        <v>1</v>
      </c>
      <c r="V943" t="str">
        <f>+Table1[[#This Row],[id_destino]]&amp;" - "&amp;Table1[[#This Row],[id_origen]]</f>
        <v>37 - 24</v>
      </c>
    </row>
    <row r="944" spans="1:22" hidden="1">
      <c r="A944">
        <v>4636</v>
      </c>
      <c r="B944">
        <v>4810</v>
      </c>
      <c r="C944">
        <v>2338</v>
      </c>
      <c r="D944">
        <v>361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 t="s">
        <v>20</v>
      </c>
      <c r="L944" s="1">
        <v>45689</v>
      </c>
      <c r="M944">
        <v>43</v>
      </c>
      <c r="N944">
        <v>24</v>
      </c>
      <c r="O944">
        <v>1420</v>
      </c>
      <c r="P944">
        <v>1420</v>
      </c>
      <c r="Q944">
        <v>1420</v>
      </c>
      <c r="S944">
        <v>5410</v>
      </c>
      <c r="T944">
        <v>5410</v>
      </c>
      <c r="U944">
        <f>+SUM(Table1[[#This Row],[Latinos]:[Cemex]])</f>
        <v>1</v>
      </c>
      <c r="V944" t="str">
        <f>+Table1[[#This Row],[id_destino]]&amp;" - "&amp;Table1[[#This Row],[id_origen]]</f>
        <v>43 - 24</v>
      </c>
    </row>
    <row r="945" spans="1:22" hidden="1">
      <c r="A945">
        <v>3599</v>
      </c>
      <c r="B945">
        <v>4103</v>
      </c>
      <c r="C945">
        <v>6010</v>
      </c>
      <c r="D945">
        <v>7247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 t="s">
        <v>103</v>
      </c>
      <c r="L945" s="1">
        <v>44978</v>
      </c>
      <c r="M945">
        <v>51</v>
      </c>
      <c r="N945">
        <v>24</v>
      </c>
      <c r="O945">
        <v>1157</v>
      </c>
      <c r="P945">
        <v>1157</v>
      </c>
      <c r="Q945">
        <v>1157</v>
      </c>
      <c r="S945">
        <v>1984</v>
      </c>
      <c r="T945">
        <v>1984</v>
      </c>
      <c r="U945">
        <f>+SUM(Table1[[#This Row],[Latinos]:[Cemex]])</f>
        <v>1</v>
      </c>
      <c r="V945" t="str">
        <f>+Table1[[#This Row],[id_destino]]&amp;" - "&amp;Table1[[#This Row],[id_origen]]</f>
        <v>51 - 24</v>
      </c>
    </row>
    <row r="946" spans="1:22" hidden="1">
      <c r="A946">
        <v>3408</v>
      </c>
      <c r="B946">
        <v>3966</v>
      </c>
      <c r="C946">
        <v>2338</v>
      </c>
      <c r="D946">
        <v>7105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 t="s">
        <v>20</v>
      </c>
      <c r="L946" s="1">
        <v>44875</v>
      </c>
      <c r="M946">
        <v>68</v>
      </c>
      <c r="N946">
        <v>24</v>
      </c>
      <c r="O946">
        <v>818</v>
      </c>
      <c r="P946">
        <v>810</v>
      </c>
      <c r="Q946">
        <v>818</v>
      </c>
      <c r="S946">
        <v>2696</v>
      </c>
      <c r="T946">
        <v>2762</v>
      </c>
      <c r="U946">
        <f>+SUM(Table1[[#This Row],[Latinos]:[Cemex]])</f>
        <v>1</v>
      </c>
      <c r="V946" t="str">
        <f>+Table1[[#This Row],[id_destino]]&amp;" - "&amp;Table1[[#This Row],[id_origen]]</f>
        <v>68 - 24</v>
      </c>
    </row>
    <row r="947" spans="1:22" hidden="1">
      <c r="A947">
        <v>3016</v>
      </c>
      <c r="B947">
        <v>3723</v>
      </c>
      <c r="C947">
        <v>6010</v>
      </c>
      <c r="D947">
        <v>6877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 t="s">
        <v>20</v>
      </c>
      <c r="L947" s="1">
        <v>44690</v>
      </c>
      <c r="M947">
        <v>71</v>
      </c>
      <c r="N947">
        <v>24</v>
      </c>
      <c r="O947">
        <v>299</v>
      </c>
      <c r="P947">
        <v>299</v>
      </c>
      <c r="Q947">
        <v>299</v>
      </c>
      <c r="S947">
        <v>749</v>
      </c>
      <c r="T947">
        <v>815</v>
      </c>
      <c r="U947">
        <f>+SUM(Table1[[#This Row],[Latinos]:[Cemex]])</f>
        <v>1</v>
      </c>
      <c r="V947" t="str">
        <f>+Table1[[#This Row],[id_destino]]&amp;" - "&amp;Table1[[#This Row],[id_origen]]</f>
        <v>71 - 24</v>
      </c>
    </row>
    <row r="948" spans="1:22" hidden="1">
      <c r="A948">
        <v>48</v>
      </c>
      <c r="B948">
        <v>78</v>
      </c>
      <c r="C948">
        <v>4768</v>
      </c>
      <c r="D948">
        <v>468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 t="s">
        <v>20</v>
      </c>
      <c r="L948" s="1">
        <v>43775</v>
      </c>
      <c r="M948">
        <v>73</v>
      </c>
      <c r="N948">
        <v>24</v>
      </c>
      <c r="O948">
        <v>1156</v>
      </c>
      <c r="P948">
        <v>1156</v>
      </c>
      <c r="Q948">
        <v>1156</v>
      </c>
      <c r="S948">
        <v>1818</v>
      </c>
      <c r="T948">
        <v>1884</v>
      </c>
      <c r="U948">
        <f>+SUM(Table1[[#This Row],[Latinos]:[Cemex]])</f>
        <v>1</v>
      </c>
      <c r="V948" t="str">
        <f>+Table1[[#This Row],[id_destino]]&amp;" - "&amp;Table1[[#This Row],[id_origen]]</f>
        <v>73 - 24</v>
      </c>
    </row>
    <row r="949" spans="1:22" hidden="1">
      <c r="A949">
        <v>911</v>
      </c>
      <c r="B949">
        <v>935</v>
      </c>
      <c r="C949">
        <v>4768</v>
      </c>
      <c r="D949">
        <v>105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 t="s">
        <v>20</v>
      </c>
      <c r="L949" s="1">
        <v>43211</v>
      </c>
      <c r="M949">
        <v>75</v>
      </c>
      <c r="N949">
        <v>24</v>
      </c>
      <c r="O949">
        <v>793</v>
      </c>
      <c r="P949">
        <v>793</v>
      </c>
      <c r="Q949">
        <v>793</v>
      </c>
      <c r="S949">
        <v>2303</v>
      </c>
      <c r="T949">
        <v>2303</v>
      </c>
      <c r="U949">
        <f>+SUM(Table1[[#This Row],[Latinos]:[Cemex]])</f>
        <v>1</v>
      </c>
      <c r="V949" t="str">
        <f>+Table1[[#This Row],[id_destino]]&amp;" - "&amp;Table1[[#This Row],[id_origen]]</f>
        <v>75 - 24</v>
      </c>
    </row>
    <row r="950" spans="1:22" hidden="1">
      <c r="A950">
        <v>4685</v>
      </c>
      <c r="B950">
        <v>4845</v>
      </c>
      <c r="C950">
        <v>6010</v>
      </c>
      <c r="D950">
        <v>8158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 t="s">
        <v>20</v>
      </c>
      <c r="L950" s="1">
        <v>45727</v>
      </c>
      <c r="M950">
        <v>88</v>
      </c>
      <c r="N950">
        <v>24</v>
      </c>
      <c r="O950">
        <v>683</v>
      </c>
      <c r="P950">
        <v>683</v>
      </c>
      <c r="Q950">
        <v>683</v>
      </c>
      <c r="S950">
        <v>2992</v>
      </c>
      <c r="T950">
        <v>2992</v>
      </c>
      <c r="U950">
        <f>+SUM(Table1[[#This Row],[Latinos]:[Cemex]])</f>
        <v>1</v>
      </c>
      <c r="V950" t="str">
        <f>+Table1[[#This Row],[id_destino]]&amp;" - "&amp;Table1[[#This Row],[id_origen]]</f>
        <v>88 - 24</v>
      </c>
    </row>
    <row r="951" spans="1:22" hidden="1">
      <c r="A951">
        <v>1493</v>
      </c>
      <c r="B951">
        <v>1461</v>
      </c>
      <c r="C951">
        <v>4991</v>
      </c>
      <c r="D951">
        <v>173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 t="s">
        <v>20</v>
      </c>
      <c r="L951" s="1">
        <v>43469</v>
      </c>
      <c r="M951">
        <v>105</v>
      </c>
      <c r="N951">
        <v>24</v>
      </c>
      <c r="O951">
        <v>793</v>
      </c>
      <c r="P951">
        <v>793</v>
      </c>
      <c r="Q951">
        <v>793</v>
      </c>
      <c r="S951">
        <v>2380</v>
      </c>
      <c r="T951">
        <v>2446</v>
      </c>
      <c r="U951">
        <f>+SUM(Table1[[#This Row],[Latinos]:[Cemex]])</f>
        <v>1</v>
      </c>
      <c r="V951" t="str">
        <f>+Table1[[#This Row],[id_destino]]&amp;" - "&amp;Table1[[#This Row],[id_origen]]</f>
        <v>105 - 24</v>
      </c>
    </row>
    <row r="952" spans="1:22" hidden="1">
      <c r="A952">
        <v>2665</v>
      </c>
      <c r="B952">
        <v>3488</v>
      </c>
      <c r="C952">
        <v>6010</v>
      </c>
      <c r="D952">
        <v>6572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  <c r="K952" t="s">
        <v>20</v>
      </c>
      <c r="L952" s="1">
        <v>44320</v>
      </c>
      <c r="M952">
        <v>173</v>
      </c>
      <c r="N952">
        <v>24</v>
      </c>
      <c r="O952">
        <v>274</v>
      </c>
      <c r="P952">
        <v>267</v>
      </c>
      <c r="Q952">
        <v>274</v>
      </c>
      <c r="S952">
        <v>749</v>
      </c>
      <c r="T952">
        <v>815</v>
      </c>
      <c r="U952">
        <f>+SUM(Table1[[#This Row],[Latinos]:[Cemex]])</f>
        <v>1</v>
      </c>
      <c r="V952" t="str">
        <f>+Table1[[#This Row],[id_destino]]&amp;" - "&amp;Table1[[#This Row],[id_origen]]</f>
        <v>173 - 24</v>
      </c>
    </row>
    <row r="953" spans="1:22" hidden="1">
      <c r="A953">
        <v>3478</v>
      </c>
      <c r="B953">
        <v>4016</v>
      </c>
      <c r="C953">
        <v>7150</v>
      </c>
      <c r="D953">
        <v>5146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 t="s">
        <v>20</v>
      </c>
      <c r="L953" s="1">
        <v>44912</v>
      </c>
      <c r="M953">
        <v>184</v>
      </c>
      <c r="N953">
        <v>24</v>
      </c>
      <c r="O953">
        <v>813</v>
      </c>
      <c r="P953">
        <v>805</v>
      </c>
      <c r="Q953">
        <v>813</v>
      </c>
      <c r="S953">
        <v>2370</v>
      </c>
      <c r="T953">
        <v>2545</v>
      </c>
      <c r="U953">
        <f>+SUM(Table1[[#This Row],[Latinos]:[Cemex]])</f>
        <v>1</v>
      </c>
      <c r="V953" t="str">
        <f>+Table1[[#This Row],[id_destino]]&amp;" - "&amp;Table1[[#This Row],[id_origen]]</f>
        <v>184 - 24</v>
      </c>
    </row>
    <row r="954" spans="1:22" hidden="1">
      <c r="A954">
        <v>3376</v>
      </c>
      <c r="B954">
        <v>3947</v>
      </c>
      <c r="C954">
        <v>4991</v>
      </c>
      <c r="D954">
        <v>7090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 t="s">
        <v>20</v>
      </c>
      <c r="L954" s="1">
        <v>44859</v>
      </c>
      <c r="M954">
        <v>318</v>
      </c>
      <c r="N954">
        <v>24</v>
      </c>
      <c r="O954">
        <v>801</v>
      </c>
      <c r="P954">
        <v>793</v>
      </c>
      <c r="Q954">
        <v>801</v>
      </c>
      <c r="S954">
        <v>2656</v>
      </c>
      <c r="T954">
        <v>2722</v>
      </c>
      <c r="U954">
        <f>+SUM(Table1[[#This Row],[Latinos]:[Cemex]])</f>
        <v>1</v>
      </c>
      <c r="V954" t="str">
        <f>+Table1[[#This Row],[id_destino]]&amp;" - "&amp;Table1[[#This Row],[id_origen]]</f>
        <v>318 - 24</v>
      </c>
    </row>
    <row r="955" spans="1:22" hidden="1">
      <c r="A955">
        <v>3503</v>
      </c>
      <c r="B955">
        <v>4032</v>
      </c>
      <c r="C955">
        <v>7150</v>
      </c>
      <c r="D955">
        <v>6566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 t="s">
        <v>20</v>
      </c>
      <c r="L955" s="1">
        <v>45280</v>
      </c>
      <c r="M955">
        <v>525</v>
      </c>
      <c r="N955">
        <v>24</v>
      </c>
      <c r="O955">
        <v>848</v>
      </c>
      <c r="P955">
        <v>836</v>
      </c>
      <c r="Q955">
        <v>848</v>
      </c>
      <c r="S955">
        <v>2696</v>
      </c>
      <c r="T955">
        <v>2762</v>
      </c>
      <c r="U955">
        <f>+SUM(Table1[[#This Row],[Latinos]:[Cemex]])</f>
        <v>1</v>
      </c>
      <c r="V955" t="str">
        <f>+Table1[[#This Row],[id_destino]]&amp;" - "&amp;Table1[[#This Row],[id_origen]]</f>
        <v>525 - 24</v>
      </c>
    </row>
    <row r="956" spans="1:22" hidden="1">
      <c r="A956">
        <v>4034</v>
      </c>
      <c r="B956">
        <v>4373</v>
      </c>
      <c r="C956">
        <v>4991</v>
      </c>
      <c r="D956">
        <v>7011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 t="s">
        <v>20</v>
      </c>
      <c r="L956" s="1">
        <v>45244</v>
      </c>
      <c r="M956">
        <v>591</v>
      </c>
      <c r="N956">
        <v>24</v>
      </c>
      <c r="O956">
        <v>784</v>
      </c>
      <c r="P956">
        <v>793</v>
      </c>
      <c r="Q956">
        <v>784</v>
      </c>
      <c r="S956">
        <v>3106</v>
      </c>
      <c r="T956">
        <v>3191</v>
      </c>
      <c r="U956">
        <f>+SUM(Table1[[#This Row],[Latinos]:[Cemex]])</f>
        <v>1</v>
      </c>
      <c r="V956" t="str">
        <f>+Table1[[#This Row],[id_destino]]&amp;" - "&amp;Table1[[#This Row],[id_origen]]</f>
        <v>591 - 24</v>
      </c>
    </row>
    <row r="957" spans="1:22" hidden="1">
      <c r="A957">
        <v>3680</v>
      </c>
      <c r="B957">
        <v>4159</v>
      </c>
      <c r="C957">
        <v>6010</v>
      </c>
      <c r="D957">
        <v>7303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 t="s">
        <v>20</v>
      </c>
      <c r="L957" s="1">
        <v>45026</v>
      </c>
      <c r="M957">
        <v>875</v>
      </c>
      <c r="N957">
        <v>24</v>
      </c>
      <c r="O957">
        <v>668</v>
      </c>
      <c r="P957">
        <v>695</v>
      </c>
      <c r="Q957">
        <v>668</v>
      </c>
      <c r="S957">
        <v>2202</v>
      </c>
      <c r="T957">
        <v>2287</v>
      </c>
      <c r="U957">
        <f>+SUM(Table1[[#This Row],[Latinos]:[Cemex]])</f>
        <v>1</v>
      </c>
      <c r="V957" t="str">
        <f>+Table1[[#This Row],[id_destino]]&amp;" - "&amp;Table1[[#This Row],[id_origen]]</f>
        <v>875 - 24</v>
      </c>
    </row>
    <row r="958" spans="1:22" hidden="1">
      <c r="A958">
        <v>3512</v>
      </c>
      <c r="B958">
        <v>4039</v>
      </c>
      <c r="C958">
        <v>7179</v>
      </c>
      <c r="D958">
        <v>6566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 t="s">
        <v>20</v>
      </c>
      <c r="L958" s="1">
        <v>44940</v>
      </c>
      <c r="M958">
        <v>525</v>
      </c>
      <c r="N958">
        <v>25</v>
      </c>
      <c r="O958">
        <v>720</v>
      </c>
      <c r="P958">
        <v>721</v>
      </c>
      <c r="Q958">
        <v>720</v>
      </c>
      <c r="S958">
        <v>2494</v>
      </c>
      <c r="T958">
        <v>2494</v>
      </c>
      <c r="U958">
        <f>+SUM(Table1[[#This Row],[Latinos]:[Cemex]])</f>
        <v>1</v>
      </c>
      <c r="V958" t="str">
        <f>+Table1[[#This Row],[id_destino]]&amp;" - "&amp;Table1[[#This Row],[id_origen]]</f>
        <v>525 - 25</v>
      </c>
    </row>
    <row r="959" spans="1:22" hidden="1">
      <c r="A959">
        <v>3580</v>
      </c>
      <c r="B959">
        <v>4088</v>
      </c>
      <c r="C959">
        <v>1362</v>
      </c>
      <c r="D959">
        <v>2768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 t="s">
        <v>20</v>
      </c>
      <c r="L959" s="1">
        <v>44965</v>
      </c>
      <c r="M959">
        <v>1</v>
      </c>
      <c r="N959">
        <v>26</v>
      </c>
      <c r="O959">
        <v>867</v>
      </c>
      <c r="P959">
        <v>796</v>
      </c>
      <c r="Q959">
        <v>867</v>
      </c>
      <c r="S959">
        <v>1649</v>
      </c>
      <c r="T959">
        <v>1687</v>
      </c>
      <c r="U959">
        <f>+SUM(Table1[[#This Row],[Latinos]:[Cemex]])</f>
        <v>1</v>
      </c>
      <c r="V959" t="str">
        <f>+Table1[[#This Row],[id_destino]]&amp;" - "&amp;Table1[[#This Row],[id_origen]]</f>
        <v>1 - 26</v>
      </c>
    </row>
    <row r="960" spans="1:22" hidden="1">
      <c r="A960">
        <v>2152</v>
      </c>
      <c r="B960">
        <v>404</v>
      </c>
      <c r="C960">
        <v>6146</v>
      </c>
      <c r="D960">
        <v>995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 t="s">
        <v>20</v>
      </c>
      <c r="L960" s="1">
        <v>43833</v>
      </c>
      <c r="M960">
        <v>9</v>
      </c>
      <c r="N960">
        <v>26</v>
      </c>
      <c r="O960">
        <v>1917</v>
      </c>
      <c r="P960">
        <v>1917</v>
      </c>
      <c r="Q960">
        <v>1917</v>
      </c>
      <c r="S960">
        <v>3745</v>
      </c>
      <c r="T960">
        <v>3745</v>
      </c>
      <c r="U960">
        <f>+SUM(Table1[[#This Row],[Latinos]:[Cemex]])</f>
        <v>1</v>
      </c>
      <c r="V960" t="str">
        <f>+Table1[[#This Row],[id_destino]]&amp;" - "&amp;Table1[[#This Row],[id_origen]]</f>
        <v>9 - 26</v>
      </c>
    </row>
    <row r="961" spans="1:22" hidden="1">
      <c r="A961">
        <v>3849</v>
      </c>
      <c r="B961">
        <v>3168</v>
      </c>
      <c r="C961">
        <v>1362</v>
      </c>
      <c r="D961">
        <v>7371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 t="s">
        <v>20</v>
      </c>
      <c r="L961" s="1">
        <v>45142</v>
      </c>
      <c r="M961">
        <v>9</v>
      </c>
      <c r="N961">
        <v>26</v>
      </c>
      <c r="O961">
        <v>1929</v>
      </c>
      <c r="P961">
        <v>1846</v>
      </c>
      <c r="Q961">
        <v>1929</v>
      </c>
      <c r="S961">
        <v>5069</v>
      </c>
      <c r="T961">
        <v>5152</v>
      </c>
      <c r="U961">
        <f>+SUM(Table1[[#This Row],[Latinos]:[Cemex]])</f>
        <v>1</v>
      </c>
      <c r="V961" t="str">
        <f>+Table1[[#This Row],[id_destino]]&amp;" - "&amp;Table1[[#This Row],[id_origen]]</f>
        <v>9 - 26</v>
      </c>
    </row>
    <row r="962" spans="1:22" hidden="1">
      <c r="A962">
        <v>2959</v>
      </c>
      <c r="B962">
        <v>3681</v>
      </c>
      <c r="C962">
        <v>1168</v>
      </c>
      <c r="D962">
        <v>5256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 t="s">
        <v>20</v>
      </c>
      <c r="L962" s="1">
        <v>44648</v>
      </c>
      <c r="M962">
        <v>13</v>
      </c>
      <c r="N962">
        <v>26</v>
      </c>
      <c r="O962">
        <v>325</v>
      </c>
      <c r="P962">
        <v>327</v>
      </c>
      <c r="Q962">
        <v>325</v>
      </c>
      <c r="S962">
        <v>683</v>
      </c>
      <c r="T962">
        <v>683</v>
      </c>
      <c r="U962">
        <f>+SUM(Table1[[#This Row],[Latinos]:[Cemex]])</f>
        <v>1</v>
      </c>
      <c r="V962" t="str">
        <f>+Table1[[#This Row],[id_destino]]&amp;" - "&amp;Table1[[#This Row],[id_origen]]</f>
        <v>13 - 26</v>
      </c>
    </row>
    <row r="963" spans="1:22" hidden="1">
      <c r="A963">
        <v>3850</v>
      </c>
      <c r="B963">
        <v>4258</v>
      </c>
      <c r="C963">
        <v>1362</v>
      </c>
      <c r="D963">
        <v>7435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 t="s">
        <v>20</v>
      </c>
      <c r="L963" s="1">
        <v>45162</v>
      </c>
      <c r="M963">
        <v>15</v>
      </c>
      <c r="N963">
        <v>26</v>
      </c>
      <c r="O963">
        <v>1465</v>
      </c>
      <c r="P963">
        <v>1527</v>
      </c>
      <c r="Q963">
        <v>1465</v>
      </c>
      <c r="S963">
        <v>3366</v>
      </c>
      <c r="T963">
        <v>3996</v>
      </c>
      <c r="U963">
        <f>+SUM(Table1[[#This Row],[Latinos]:[Cemex]])</f>
        <v>1</v>
      </c>
      <c r="V963" t="str">
        <f>+Table1[[#This Row],[id_destino]]&amp;" - "&amp;Table1[[#This Row],[id_origen]]</f>
        <v>15 - 26</v>
      </c>
    </row>
    <row r="964" spans="1:22" hidden="1">
      <c r="A964">
        <v>4354</v>
      </c>
      <c r="B964">
        <v>944</v>
      </c>
      <c r="C964">
        <v>1168</v>
      </c>
      <c r="D964">
        <v>7845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 t="s">
        <v>20</v>
      </c>
      <c r="L964" s="1">
        <v>45489</v>
      </c>
      <c r="M964">
        <v>16</v>
      </c>
      <c r="N964">
        <v>26</v>
      </c>
      <c r="O964">
        <v>1185</v>
      </c>
      <c r="P964">
        <v>1167</v>
      </c>
      <c r="Q964">
        <v>1185</v>
      </c>
      <c r="S964">
        <v>2735</v>
      </c>
      <c r="T964">
        <v>3157</v>
      </c>
      <c r="U964">
        <f>+SUM(Table1[[#This Row],[Latinos]:[Cemex]])</f>
        <v>1</v>
      </c>
      <c r="V964" t="str">
        <f>+Table1[[#This Row],[id_destino]]&amp;" - "&amp;Table1[[#This Row],[id_origen]]</f>
        <v>16 - 26</v>
      </c>
    </row>
    <row r="965" spans="1:22" hidden="1">
      <c r="A965">
        <v>374</v>
      </c>
      <c r="B965">
        <v>464</v>
      </c>
      <c r="C965">
        <v>5336</v>
      </c>
      <c r="D965">
        <v>3772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 t="s">
        <v>20</v>
      </c>
      <c r="L965" s="1">
        <v>43048</v>
      </c>
      <c r="M965">
        <v>18</v>
      </c>
      <c r="N965">
        <v>26</v>
      </c>
      <c r="O965">
        <v>508</v>
      </c>
      <c r="P965">
        <v>508</v>
      </c>
      <c r="Q965">
        <v>508</v>
      </c>
      <c r="S965">
        <v>1481</v>
      </c>
      <c r="T965">
        <v>1481</v>
      </c>
      <c r="U965">
        <f>+SUM(Table1[[#This Row],[Latinos]:[Cemex]])</f>
        <v>1</v>
      </c>
      <c r="V965" t="str">
        <f>+Table1[[#This Row],[id_destino]]&amp;" - "&amp;Table1[[#This Row],[id_origen]]</f>
        <v>18 - 26</v>
      </c>
    </row>
    <row r="966" spans="1:22" hidden="1">
      <c r="A966">
        <v>4360</v>
      </c>
      <c r="B966">
        <v>4598</v>
      </c>
      <c r="C966">
        <v>1168</v>
      </c>
      <c r="D966">
        <v>1168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 t="s">
        <v>20</v>
      </c>
      <c r="L966" s="1">
        <v>45493</v>
      </c>
      <c r="M966">
        <v>26</v>
      </c>
      <c r="N966">
        <v>26</v>
      </c>
      <c r="O966">
        <v>0</v>
      </c>
      <c r="P966">
        <v>150</v>
      </c>
      <c r="Q966">
        <v>100</v>
      </c>
      <c r="S966">
        <v>0</v>
      </c>
      <c r="T966">
        <v>0</v>
      </c>
      <c r="U966">
        <f>+SUM(Table1[[#This Row],[Latinos]:[Cemex]])</f>
        <v>1</v>
      </c>
      <c r="V966" t="str">
        <f>+Table1[[#This Row],[id_destino]]&amp;" - "&amp;Table1[[#This Row],[id_origen]]</f>
        <v>26 - 26</v>
      </c>
    </row>
    <row r="967" spans="1:22" hidden="1">
      <c r="A967">
        <v>1189</v>
      </c>
      <c r="B967">
        <v>2621</v>
      </c>
      <c r="C967">
        <v>2282</v>
      </c>
      <c r="D967">
        <v>4543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 t="s">
        <v>20</v>
      </c>
      <c r="L967" s="1">
        <v>43335</v>
      </c>
      <c r="M967">
        <v>27</v>
      </c>
      <c r="N967">
        <v>26</v>
      </c>
      <c r="O967">
        <v>335</v>
      </c>
      <c r="P967">
        <v>329</v>
      </c>
      <c r="Q967">
        <v>335</v>
      </c>
      <c r="S967">
        <v>1600</v>
      </c>
      <c r="T967">
        <v>1600</v>
      </c>
      <c r="U967">
        <f>+SUM(Table1[[#This Row],[Latinos]:[Cemex]])</f>
        <v>1</v>
      </c>
      <c r="V967" t="str">
        <f>+Table1[[#This Row],[id_destino]]&amp;" - "&amp;Table1[[#This Row],[id_origen]]</f>
        <v>27 - 26</v>
      </c>
    </row>
    <row r="968" spans="1:22" hidden="1">
      <c r="A968">
        <v>2924</v>
      </c>
      <c r="B968">
        <v>2370</v>
      </c>
      <c r="C968">
        <v>1362</v>
      </c>
      <c r="D968">
        <v>34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 t="s">
        <v>20</v>
      </c>
      <c r="L968" s="1">
        <v>44617</v>
      </c>
      <c r="M968">
        <v>30</v>
      </c>
      <c r="N968">
        <v>26</v>
      </c>
      <c r="O968">
        <v>473</v>
      </c>
      <c r="P968">
        <v>479</v>
      </c>
      <c r="Q968">
        <v>473</v>
      </c>
      <c r="S968">
        <v>2587</v>
      </c>
      <c r="T968">
        <v>2587</v>
      </c>
      <c r="U968">
        <f>+SUM(Table1[[#This Row],[Latinos]:[Cemex]])</f>
        <v>1</v>
      </c>
      <c r="V968" t="str">
        <f>+Table1[[#This Row],[id_destino]]&amp;" - "&amp;Table1[[#This Row],[id_origen]]</f>
        <v>30 - 26</v>
      </c>
    </row>
    <row r="969" spans="1:22" hidden="1">
      <c r="A969">
        <v>2961</v>
      </c>
      <c r="B969">
        <v>3683</v>
      </c>
      <c r="C969">
        <v>1168</v>
      </c>
      <c r="D969">
        <v>45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 t="s">
        <v>20</v>
      </c>
      <c r="L969" s="1">
        <v>44648</v>
      </c>
      <c r="M969">
        <v>39</v>
      </c>
      <c r="N969">
        <v>26</v>
      </c>
      <c r="O969">
        <v>269</v>
      </c>
      <c r="P969">
        <v>289</v>
      </c>
      <c r="Q969">
        <v>269</v>
      </c>
      <c r="S969">
        <v>504</v>
      </c>
      <c r="T969">
        <v>504</v>
      </c>
      <c r="U969">
        <f>+SUM(Table1[[#This Row],[Latinos]:[Cemex]])</f>
        <v>1</v>
      </c>
      <c r="V969" t="str">
        <f>+Table1[[#This Row],[id_destino]]&amp;" - "&amp;Table1[[#This Row],[id_origen]]</f>
        <v>39 - 26</v>
      </c>
    </row>
    <row r="970" spans="1:22" hidden="1">
      <c r="A970">
        <v>3916</v>
      </c>
      <c r="B970">
        <v>4300</v>
      </c>
      <c r="C970">
        <v>1362</v>
      </c>
      <c r="D970">
        <v>7463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 t="s">
        <v>20</v>
      </c>
      <c r="L970" s="1">
        <v>45177</v>
      </c>
      <c r="M970">
        <v>46</v>
      </c>
      <c r="N970">
        <v>26</v>
      </c>
      <c r="O970">
        <v>776</v>
      </c>
      <c r="P970">
        <v>758</v>
      </c>
      <c r="Q970">
        <v>776</v>
      </c>
      <c r="S970">
        <v>3189</v>
      </c>
      <c r="T970">
        <v>3189</v>
      </c>
      <c r="U970">
        <f>+SUM(Table1[[#This Row],[Latinos]:[Cemex]])</f>
        <v>1</v>
      </c>
      <c r="V970" t="str">
        <f>+Table1[[#This Row],[id_destino]]&amp;" - "&amp;Table1[[#This Row],[id_origen]]</f>
        <v>46 - 26</v>
      </c>
    </row>
    <row r="971" spans="1:22" hidden="1">
      <c r="A971">
        <v>3926</v>
      </c>
      <c r="B971">
        <v>4300</v>
      </c>
      <c r="C971">
        <v>1362</v>
      </c>
      <c r="D971">
        <v>7463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 t="s">
        <v>20</v>
      </c>
      <c r="L971" s="1">
        <v>45188</v>
      </c>
      <c r="M971">
        <v>46</v>
      </c>
      <c r="N971">
        <v>26</v>
      </c>
      <c r="O971">
        <v>773</v>
      </c>
      <c r="P971">
        <v>773</v>
      </c>
      <c r="Q971">
        <v>773</v>
      </c>
      <c r="S971">
        <v>2464</v>
      </c>
      <c r="T971">
        <v>2464</v>
      </c>
      <c r="U971">
        <f>+SUM(Table1[[#This Row],[Latinos]:[Cemex]])</f>
        <v>1</v>
      </c>
      <c r="V971" t="str">
        <f>+Table1[[#This Row],[id_destino]]&amp;" - "&amp;Table1[[#This Row],[id_origen]]</f>
        <v>46 - 26</v>
      </c>
    </row>
    <row r="972" spans="1:22" hidden="1">
      <c r="A972">
        <v>2909</v>
      </c>
      <c r="B972">
        <v>3648</v>
      </c>
      <c r="C972">
        <v>1362</v>
      </c>
      <c r="D972">
        <v>6786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 t="s">
        <v>20</v>
      </c>
      <c r="L972" s="1">
        <v>44606</v>
      </c>
      <c r="M972">
        <v>52</v>
      </c>
      <c r="N972">
        <v>26</v>
      </c>
      <c r="O972">
        <v>861</v>
      </c>
      <c r="P972">
        <v>850</v>
      </c>
      <c r="Q972">
        <v>861</v>
      </c>
      <c r="S972">
        <v>1516</v>
      </c>
      <c r="T972">
        <v>1516</v>
      </c>
      <c r="U972">
        <f>+SUM(Table1[[#This Row],[Latinos]:[Cemex]])</f>
        <v>1</v>
      </c>
      <c r="V972" t="str">
        <f>+Table1[[#This Row],[id_destino]]&amp;" - "&amp;Table1[[#This Row],[id_origen]]</f>
        <v>52 - 26</v>
      </c>
    </row>
    <row r="973" spans="1:22" hidden="1">
      <c r="A973">
        <v>2150</v>
      </c>
      <c r="B973">
        <v>1824</v>
      </c>
      <c r="C973">
        <v>6146</v>
      </c>
      <c r="D973">
        <v>991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 t="s">
        <v>20</v>
      </c>
      <c r="L973" s="1">
        <v>43833</v>
      </c>
      <c r="M973">
        <v>55</v>
      </c>
      <c r="N973">
        <v>26</v>
      </c>
      <c r="O973">
        <v>563</v>
      </c>
      <c r="P973">
        <v>563</v>
      </c>
      <c r="Q973">
        <v>563</v>
      </c>
      <c r="S973">
        <v>1772</v>
      </c>
      <c r="T973">
        <v>1772</v>
      </c>
      <c r="U973">
        <f>+SUM(Table1[[#This Row],[Latinos]:[Cemex]])</f>
        <v>1</v>
      </c>
      <c r="V973" t="str">
        <f>+Table1[[#This Row],[id_destino]]&amp;" - "&amp;Table1[[#This Row],[id_origen]]</f>
        <v>55 - 26</v>
      </c>
    </row>
    <row r="974" spans="1:22" hidden="1">
      <c r="A974">
        <v>2958</v>
      </c>
      <c r="B974">
        <v>1834</v>
      </c>
      <c r="C974">
        <v>1168</v>
      </c>
      <c r="D974">
        <v>3984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 t="s">
        <v>20</v>
      </c>
      <c r="L974" s="1">
        <v>44648</v>
      </c>
      <c r="M974">
        <v>59</v>
      </c>
      <c r="N974">
        <v>26</v>
      </c>
      <c r="O974">
        <v>906</v>
      </c>
      <c r="P974">
        <v>909</v>
      </c>
      <c r="Q974">
        <v>909</v>
      </c>
      <c r="S974">
        <v>2846</v>
      </c>
      <c r="T974">
        <v>3029</v>
      </c>
      <c r="U974">
        <f>+SUM(Table1[[#This Row],[Latinos]:[Cemex]])</f>
        <v>1</v>
      </c>
      <c r="V974" t="str">
        <f>+Table1[[#This Row],[id_destino]]&amp;" - "&amp;Table1[[#This Row],[id_origen]]</f>
        <v>59 - 26</v>
      </c>
    </row>
    <row r="975" spans="1:22" hidden="1">
      <c r="A975">
        <v>2209</v>
      </c>
      <c r="B975">
        <v>2063</v>
      </c>
      <c r="C975">
        <v>3252</v>
      </c>
      <c r="D975">
        <v>70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 t="s">
        <v>20</v>
      </c>
      <c r="L975" s="1">
        <v>43892</v>
      </c>
      <c r="M975">
        <v>60</v>
      </c>
      <c r="N975">
        <v>26</v>
      </c>
      <c r="O975">
        <v>2224</v>
      </c>
      <c r="P975">
        <v>2224</v>
      </c>
      <c r="Q975">
        <v>2224</v>
      </c>
      <c r="S975">
        <v>5839</v>
      </c>
      <c r="T975">
        <v>6018</v>
      </c>
      <c r="U975">
        <f>+SUM(Table1[[#This Row],[Latinos]:[Cemex]])</f>
        <v>1</v>
      </c>
      <c r="V975" t="str">
        <f>+Table1[[#This Row],[id_destino]]&amp;" - "&amp;Table1[[#This Row],[id_origen]]</f>
        <v>60 - 26</v>
      </c>
    </row>
    <row r="976" spans="1:22" hidden="1">
      <c r="A976">
        <v>2957</v>
      </c>
      <c r="B976">
        <v>2182</v>
      </c>
      <c r="C976">
        <v>1168</v>
      </c>
      <c r="D976">
        <v>71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 t="s">
        <v>20</v>
      </c>
      <c r="L976" s="1">
        <v>44648</v>
      </c>
      <c r="M976">
        <v>61</v>
      </c>
      <c r="N976">
        <v>26</v>
      </c>
      <c r="O976">
        <v>2406</v>
      </c>
      <c r="P976">
        <v>2058</v>
      </c>
      <c r="Q976">
        <v>2406</v>
      </c>
      <c r="S976">
        <v>5197</v>
      </c>
      <c r="T976">
        <v>5309</v>
      </c>
      <c r="U976">
        <f>+SUM(Table1[[#This Row],[Latinos]:[Cemex]])</f>
        <v>1</v>
      </c>
      <c r="V976" t="str">
        <f>+Table1[[#This Row],[id_destino]]&amp;" - "&amp;Table1[[#This Row],[id_origen]]</f>
        <v>61 - 26</v>
      </c>
    </row>
    <row r="977" spans="1:22" hidden="1">
      <c r="A977">
        <v>2613</v>
      </c>
      <c r="B977">
        <v>3453</v>
      </c>
      <c r="C977">
        <v>2282</v>
      </c>
      <c r="D977">
        <v>6238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 t="s">
        <v>20</v>
      </c>
      <c r="L977" s="1">
        <v>44244</v>
      </c>
      <c r="M977">
        <v>76</v>
      </c>
      <c r="N977">
        <v>26</v>
      </c>
      <c r="O977">
        <v>548</v>
      </c>
      <c r="P977">
        <v>535</v>
      </c>
      <c r="Q977">
        <v>548</v>
      </c>
      <c r="S977">
        <v>2492</v>
      </c>
      <c r="T977">
        <v>2606</v>
      </c>
      <c r="U977">
        <f>+SUM(Table1[[#This Row],[Latinos]:[Cemex]])</f>
        <v>1</v>
      </c>
      <c r="V977" t="str">
        <f>+Table1[[#This Row],[id_destino]]&amp;" - "&amp;Table1[[#This Row],[id_origen]]</f>
        <v>76 - 26</v>
      </c>
    </row>
    <row r="978" spans="1:22" hidden="1">
      <c r="A978">
        <v>2960</v>
      </c>
      <c r="B978">
        <v>3682</v>
      </c>
      <c r="C978">
        <v>1168</v>
      </c>
      <c r="D978">
        <v>3176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 t="s">
        <v>20</v>
      </c>
      <c r="L978" s="1">
        <v>44648</v>
      </c>
      <c r="M978">
        <v>136</v>
      </c>
      <c r="N978">
        <v>26</v>
      </c>
      <c r="O978">
        <v>661</v>
      </c>
      <c r="P978">
        <v>669</v>
      </c>
      <c r="Q978">
        <v>661</v>
      </c>
      <c r="S978">
        <v>2838</v>
      </c>
      <c r="T978">
        <v>2838</v>
      </c>
      <c r="U978">
        <f>+SUM(Table1[[#This Row],[Latinos]:[Cemex]])</f>
        <v>1</v>
      </c>
      <c r="V978" t="str">
        <f>+Table1[[#This Row],[id_destino]]&amp;" - "&amp;Table1[[#This Row],[id_origen]]</f>
        <v>136 - 26</v>
      </c>
    </row>
    <row r="979" spans="1:22" hidden="1">
      <c r="A979">
        <v>1968</v>
      </c>
      <c r="B979">
        <v>3053</v>
      </c>
      <c r="C979">
        <v>5420</v>
      </c>
      <c r="D979">
        <v>418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 t="s">
        <v>20</v>
      </c>
      <c r="L979" s="1">
        <v>43743</v>
      </c>
      <c r="M979">
        <v>145</v>
      </c>
      <c r="N979">
        <v>26</v>
      </c>
      <c r="O979">
        <v>211</v>
      </c>
      <c r="P979">
        <v>211</v>
      </c>
      <c r="Q979">
        <v>211</v>
      </c>
      <c r="S979">
        <v>342</v>
      </c>
      <c r="T979">
        <v>342</v>
      </c>
      <c r="U979">
        <f>+SUM(Table1[[#This Row],[Latinos]:[Cemex]])</f>
        <v>1</v>
      </c>
      <c r="V979" t="str">
        <f>+Table1[[#This Row],[id_destino]]&amp;" - "&amp;Table1[[#This Row],[id_origen]]</f>
        <v>145 - 26</v>
      </c>
    </row>
    <row r="980" spans="1:22" hidden="1">
      <c r="A980">
        <v>2167</v>
      </c>
      <c r="B980">
        <v>3179</v>
      </c>
      <c r="C980">
        <v>6146</v>
      </c>
      <c r="D980">
        <v>1504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  <c r="K980" t="s">
        <v>20</v>
      </c>
      <c r="L980" s="1">
        <v>43838</v>
      </c>
      <c r="M980">
        <v>148</v>
      </c>
      <c r="N980">
        <v>26</v>
      </c>
      <c r="O980">
        <v>371</v>
      </c>
      <c r="P980">
        <v>371</v>
      </c>
      <c r="Q980">
        <v>371</v>
      </c>
      <c r="S980">
        <v>806</v>
      </c>
      <c r="T980">
        <v>806</v>
      </c>
      <c r="U980">
        <f>+SUM(Table1[[#This Row],[Latinos]:[Cemex]])</f>
        <v>1</v>
      </c>
      <c r="V980" t="str">
        <f>+Table1[[#This Row],[id_destino]]&amp;" - "&amp;Table1[[#This Row],[id_origen]]</f>
        <v>148 - 26</v>
      </c>
    </row>
    <row r="981" spans="1:22" hidden="1">
      <c r="A981">
        <v>753</v>
      </c>
      <c r="B981">
        <v>2438</v>
      </c>
      <c r="C981">
        <v>1169</v>
      </c>
      <c r="D981">
        <v>2111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 t="s">
        <v>20</v>
      </c>
      <c r="L981" s="1">
        <v>43153</v>
      </c>
      <c r="M981">
        <v>155</v>
      </c>
      <c r="N981">
        <v>26</v>
      </c>
      <c r="O981">
        <v>480</v>
      </c>
      <c r="P981">
        <v>480</v>
      </c>
      <c r="Q981">
        <v>480</v>
      </c>
      <c r="S981">
        <v>1289</v>
      </c>
      <c r="T981">
        <v>1289</v>
      </c>
      <c r="U981">
        <f>+SUM(Table1[[#This Row],[Latinos]:[Cemex]])</f>
        <v>1</v>
      </c>
      <c r="V981" t="str">
        <f>+Table1[[#This Row],[id_destino]]&amp;" - "&amp;Table1[[#This Row],[id_origen]]</f>
        <v>155 - 26</v>
      </c>
    </row>
    <row r="982" spans="1:22" hidden="1">
      <c r="A982">
        <v>4147</v>
      </c>
      <c r="B982">
        <v>4449</v>
      </c>
      <c r="C982">
        <v>1362</v>
      </c>
      <c r="D982">
        <v>7458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 t="s">
        <v>20</v>
      </c>
      <c r="L982" s="1">
        <v>45318</v>
      </c>
      <c r="M982">
        <v>173</v>
      </c>
      <c r="N982">
        <v>26</v>
      </c>
      <c r="O982">
        <v>50</v>
      </c>
      <c r="P982">
        <v>150</v>
      </c>
      <c r="Q982">
        <v>50</v>
      </c>
      <c r="S982">
        <v>0</v>
      </c>
      <c r="T982">
        <v>0</v>
      </c>
      <c r="U982">
        <f>+SUM(Table1[[#This Row],[Latinos]:[Cemex]])</f>
        <v>1</v>
      </c>
      <c r="V982" t="str">
        <f>+Table1[[#This Row],[id_destino]]&amp;" - "&amp;Table1[[#This Row],[id_origen]]</f>
        <v>173 - 26</v>
      </c>
    </row>
    <row r="983" spans="1:22" hidden="1">
      <c r="A983">
        <v>791</v>
      </c>
      <c r="B983">
        <v>2451</v>
      </c>
      <c r="C983">
        <v>5420</v>
      </c>
      <c r="D983">
        <v>5486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 t="s">
        <v>20</v>
      </c>
      <c r="L983" s="1">
        <v>43165</v>
      </c>
      <c r="M983">
        <v>179</v>
      </c>
      <c r="N983">
        <v>26</v>
      </c>
      <c r="O983">
        <v>1358</v>
      </c>
      <c r="P983">
        <v>1358</v>
      </c>
      <c r="Q983">
        <v>1358</v>
      </c>
      <c r="S983">
        <v>2471</v>
      </c>
      <c r="T983">
        <v>2557</v>
      </c>
      <c r="U983">
        <f>+SUM(Table1[[#This Row],[Latinos]:[Cemex]])</f>
        <v>1</v>
      </c>
      <c r="V983" t="str">
        <f>+Table1[[#This Row],[id_destino]]&amp;" - "&amp;Table1[[#This Row],[id_origen]]</f>
        <v>179 - 26</v>
      </c>
    </row>
    <row r="984" spans="1:22" hidden="1">
      <c r="A984">
        <v>4204</v>
      </c>
      <c r="B984">
        <v>4487</v>
      </c>
      <c r="C984">
        <v>1362</v>
      </c>
      <c r="D984">
        <v>5627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 t="s">
        <v>20</v>
      </c>
      <c r="L984" s="1">
        <v>45357</v>
      </c>
      <c r="M984">
        <v>180</v>
      </c>
      <c r="N984">
        <v>26</v>
      </c>
      <c r="O984">
        <v>1082</v>
      </c>
      <c r="P984">
        <v>1024</v>
      </c>
      <c r="Q984">
        <v>1082</v>
      </c>
      <c r="S984">
        <v>2468</v>
      </c>
      <c r="T984">
        <v>2487</v>
      </c>
      <c r="U984">
        <f>+SUM(Table1[[#This Row],[Latinos]:[Cemex]])</f>
        <v>1</v>
      </c>
      <c r="V984" t="str">
        <f>+Table1[[#This Row],[id_destino]]&amp;" - "&amp;Table1[[#This Row],[id_origen]]</f>
        <v>180 - 26</v>
      </c>
    </row>
    <row r="985" spans="1:22" hidden="1">
      <c r="A985">
        <v>2309</v>
      </c>
      <c r="B985">
        <v>3263</v>
      </c>
      <c r="C985">
        <v>1169</v>
      </c>
      <c r="D985">
        <v>5870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 t="s">
        <v>20</v>
      </c>
      <c r="L985" s="1">
        <v>43922</v>
      </c>
      <c r="M985">
        <v>184</v>
      </c>
      <c r="N985">
        <v>26</v>
      </c>
      <c r="O985">
        <v>546</v>
      </c>
      <c r="P985">
        <v>534</v>
      </c>
      <c r="Q985">
        <v>546</v>
      </c>
      <c r="S985">
        <v>2112</v>
      </c>
      <c r="T985">
        <v>2112</v>
      </c>
      <c r="U985">
        <f>+SUM(Table1[[#This Row],[Latinos]:[Cemex]])</f>
        <v>1</v>
      </c>
      <c r="V985" t="str">
        <f>+Table1[[#This Row],[id_destino]]&amp;" - "&amp;Table1[[#This Row],[id_origen]]</f>
        <v>184 - 26</v>
      </c>
    </row>
    <row r="986" spans="1:22" hidden="1">
      <c r="A986">
        <v>741</v>
      </c>
      <c r="B986">
        <v>2429</v>
      </c>
      <c r="C986">
        <v>5420</v>
      </c>
      <c r="D986">
        <v>3169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 t="s">
        <v>20</v>
      </c>
      <c r="L986" s="1">
        <v>43185</v>
      </c>
      <c r="M986">
        <v>189</v>
      </c>
      <c r="N986">
        <v>26</v>
      </c>
      <c r="O986">
        <v>638</v>
      </c>
      <c r="P986">
        <v>638</v>
      </c>
      <c r="Q986">
        <v>638</v>
      </c>
      <c r="S986">
        <v>1289</v>
      </c>
      <c r="T986">
        <v>1289</v>
      </c>
      <c r="U986">
        <f>+SUM(Table1[[#This Row],[Latinos]:[Cemex]])</f>
        <v>1</v>
      </c>
      <c r="V986" t="str">
        <f>+Table1[[#This Row],[id_destino]]&amp;" - "&amp;Table1[[#This Row],[id_origen]]</f>
        <v>189 - 26</v>
      </c>
    </row>
    <row r="987" spans="1:22" hidden="1">
      <c r="A987">
        <v>2956</v>
      </c>
      <c r="B987">
        <v>3680</v>
      </c>
      <c r="C987">
        <v>1168</v>
      </c>
      <c r="D987">
        <v>33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 t="s">
        <v>20</v>
      </c>
      <c r="L987" s="1">
        <v>44648</v>
      </c>
      <c r="M987">
        <v>260</v>
      </c>
      <c r="N987">
        <v>26</v>
      </c>
      <c r="O987">
        <v>870</v>
      </c>
      <c r="P987">
        <v>874</v>
      </c>
      <c r="Q987">
        <v>870</v>
      </c>
      <c r="S987">
        <v>3619</v>
      </c>
      <c r="T987">
        <v>3717</v>
      </c>
      <c r="U987">
        <f>+SUM(Table1[[#This Row],[Latinos]:[Cemex]])</f>
        <v>1</v>
      </c>
      <c r="V987" t="str">
        <f>+Table1[[#This Row],[id_destino]]&amp;" - "&amp;Table1[[#This Row],[id_origen]]</f>
        <v>260 - 26</v>
      </c>
    </row>
    <row r="988" spans="1:22" hidden="1">
      <c r="A988">
        <v>3855</v>
      </c>
      <c r="B988">
        <v>4262</v>
      </c>
      <c r="C988">
        <v>1362</v>
      </c>
      <c r="D988">
        <v>7436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  <c r="K988" t="s">
        <v>20</v>
      </c>
      <c r="L988" s="1">
        <v>45145</v>
      </c>
      <c r="M988">
        <v>279</v>
      </c>
      <c r="N988">
        <v>26</v>
      </c>
      <c r="O988">
        <v>2179</v>
      </c>
      <c r="P988">
        <v>2149</v>
      </c>
      <c r="Q988">
        <v>2179</v>
      </c>
      <c r="S988">
        <v>6204</v>
      </c>
      <c r="T988">
        <v>6778</v>
      </c>
      <c r="U988">
        <f>+SUM(Table1[[#This Row],[Latinos]:[Cemex]])</f>
        <v>1</v>
      </c>
      <c r="V988" t="str">
        <f>+Table1[[#This Row],[id_destino]]&amp;" - "&amp;Table1[[#This Row],[id_origen]]</f>
        <v>279 - 26</v>
      </c>
    </row>
    <row r="989" spans="1:22" hidden="1">
      <c r="A989">
        <v>2480</v>
      </c>
      <c r="B989">
        <v>3371</v>
      </c>
      <c r="C989">
        <v>6427</v>
      </c>
      <c r="D989">
        <v>6428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 t="s">
        <v>20</v>
      </c>
      <c r="L989" s="1">
        <v>44116</v>
      </c>
      <c r="M989">
        <v>316</v>
      </c>
      <c r="N989">
        <v>26</v>
      </c>
      <c r="O989">
        <v>46</v>
      </c>
      <c r="P989">
        <v>100</v>
      </c>
      <c r="Q989">
        <v>46</v>
      </c>
      <c r="S989">
        <v>0</v>
      </c>
      <c r="T989">
        <v>0</v>
      </c>
      <c r="U989">
        <f>+SUM(Table1[[#This Row],[Latinos]:[Cemex]])</f>
        <v>1</v>
      </c>
      <c r="V989" t="str">
        <f>+Table1[[#This Row],[id_destino]]&amp;" - "&amp;Table1[[#This Row],[id_origen]]</f>
        <v>316 - 26</v>
      </c>
    </row>
    <row r="990" spans="1:22" hidden="1">
      <c r="A990">
        <v>4830</v>
      </c>
      <c r="B990">
        <v>4938</v>
      </c>
      <c r="C990">
        <v>980</v>
      </c>
      <c r="D990">
        <v>4905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 t="s">
        <v>20</v>
      </c>
      <c r="L990" s="1">
        <v>45873</v>
      </c>
      <c r="M990">
        <v>384</v>
      </c>
      <c r="N990">
        <v>26</v>
      </c>
      <c r="O990">
        <v>390</v>
      </c>
      <c r="P990">
        <v>390</v>
      </c>
      <c r="Q990">
        <v>390</v>
      </c>
      <c r="S990">
        <v>1650</v>
      </c>
      <c r="T990">
        <v>1650</v>
      </c>
      <c r="U990">
        <f>+SUM(Table1[[#This Row],[Latinos]:[Cemex]])</f>
        <v>1</v>
      </c>
      <c r="V990" t="str">
        <f>+Table1[[#This Row],[id_destino]]&amp;" - "&amp;Table1[[#This Row],[id_origen]]</f>
        <v>384 - 26</v>
      </c>
    </row>
    <row r="991" spans="1:22" hidden="1">
      <c r="A991">
        <v>4141</v>
      </c>
      <c r="B991">
        <v>4444</v>
      </c>
      <c r="C991">
        <v>1362</v>
      </c>
      <c r="D991">
        <v>7643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 t="s">
        <v>20</v>
      </c>
      <c r="L991" s="1">
        <v>45315</v>
      </c>
      <c r="M991">
        <v>393</v>
      </c>
      <c r="N991">
        <v>26</v>
      </c>
      <c r="O991">
        <v>815</v>
      </c>
      <c r="P991">
        <v>723</v>
      </c>
      <c r="Q991">
        <v>815</v>
      </c>
      <c r="S991">
        <v>1197</v>
      </c>
      <c r="T991">
        <v>1216</v>
      </c>
      <c r="U991">
        <f>+SUM(Table1[[#This Row],[Latinos]:[Cemex]])</f>
        <v>1</v>
      </c>
      <c r="V991" t="str">
        <f>+Table1[[#This Row],[id_destino]]&amp;" - "&amp;Table1[[#This Row],[id_origen]]</f>
        <v>393 - 26</v>
      </c>
    </row>
    <row r="992" spans="1:22" hidden="1">
      <c r="A992">
        <v>4189</v>
      </c>
      <c r="B992">
        <v>4478</v>
      </c>
      <c r="C992">
        <v>1168</v>
      </c>
      <c r="D992">
        <v>7674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 t="s">
        <v>20</v>
      </c>
      <c r="L992" s="1">
        <v>45346</v>
      </c>
      <c r="M992">
        <v>408</v>
      </c>
      <c r="N992">
        <v>26</v>
      </c>
      <c r="O992">
        <v>921</v>
      </c>
      <c r="P992">
        <v>912</v>
      </c>
      <c r="Q992">
        <v>921</v>
      </c>
      <c r="S992">
        <v>3783</v>
      </c>
      <c r="T992">
        <v>3789</v>
      </c>
      <c r="U992">
        <f>+SUM(Table1[[#This Row],[Latinos]:[Cemex]])</f>
        <v>1</v>
      </c>
      <c r="V992" t="str">
        <f>+Table1[[#This Row],[id_destino]]&amp;" - "&amp;Table1[[#This Row],[id_origen]]</f>
        <v>408 - 26</v>
      </c>
    </row>
    <row r="993" spans="1:22" hidden="1">
      <c r="A993">
        <v>4841</v>
      </c>
      <c r="B993">
        <v>4947</v>
      </c>
      <c r="C993">
        <v>1168</v>
      </c>
      <c r="D993">
        <v>8291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 t="s">
        <v>20</v>
      </c>
      <c r="L993" s="1">
        <v>45882</v>
      </c>
      <c r="M993">
        <v>466</v>
      </c>
      <c r="N993">
        <v>26</v>
      </c>
      <c r="O993">
        <v>625</v>
      </c>
      <c r="P993">
        <v>625</v>
      </c>
      <c r="Q993">
        <v>625</v>
      </c>
      <c r="S993">
        <v>2682</v>
      </c>
      <c r="T993">
        <v>2682</v>
      </c>
      <c r="U993">
        <f>+SUM(Table1[[#This Row],[Latinos]:[Cemex]])</f>
        <v>1</v>
      </c>
      <c r="V993" t="str">
        <f>+Table1[[#This Row],[id_destino]]&amp;" - "&amp;Table1[[#This Row],[id_origen]]</f>
        <v>466 - 26</v>
      </c>
    </row>
    <row r="994" spans="1:22" hidden="1">
      <c r="A994">
        <v>4840</v>
      </c>
      <c r="B994">
        <v>4946</v>
      </c>
      <c r="C994">
        <v>1168</v>
      </c>
      <c r="D994">
        <v>3486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 t="s">
        <v>20</v>
      </c>
      <c r="L994" s="1">
        <v>45882</v>
      </c>
      <c r="M994">
        <v>473</v>
      </c>
      <c r="N994">
        <v>26</v>
      </c>
      <c r="O994">
        <v>557</v>
      </c>
      <c r="P994">
        <v>557</v>
      </c>
      <c r="Q994">
        <v>557</v>
      </c>
      <c r="S994">
        <v>2623</v>
      </c>
      <c r="T994">
        <v>2623</v>
      </c>
      <c r="U994">
        <f>+SUM(Table1[[#This Row],[Latinos]:[Cemex]])</f>
        <v>1</v>
      </c>
      <c r="V994" t="str">
        <f>+Table1[[#This Row],[id_destino]]&amp;" - "&amp;Table1[[#This Row],[id_origen]]</f>
        <v>473 - 26</v>
      </c>
    </row>
    <row r="995" spans="1:22" hidden="1">
      <c r="A995">
        <v>2149</v>
      </c>
      <c r="B995">
        <v>3166</v>
      </c>
      <c r="C995">
        <v>6146</v>
      </c>
      <c r="D995">
        <v>6217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 t="s">
        <v>20</v>
      </c>
      <c r="L995" s="1">
        <v>43833</v>
      </c>
      <c r="M995">
        <v>492</v>
      </c>
      <c r="N995">
        <v>26</v>
      </c>
      <c r="O995">
        <v>859</v>
      </c>
      <c r="P995">
        <v>859</v>
      </c>
      <c r="Q995">
        <v>859</v>
      </c>
      <c r="S995">
        <v>2622</v>
      </c>
      <c r="T995">
        <v>2624</v>
      </c>
      <c r="U995">
        <f>+SUM(Table1[[#This Row],[Latinos]:[Cemex]])</f>
        <v>1</v>
      </c>
      <c r="V995" t="str">
        <f>+Table1[[#This Row],[id_destino]]&amp;" - "&amp;Table1[[#This Row],[id_origen]]</f>
        <v>492 - 26</v>
      </c>
    </row>
    <row r="996" spans="1:22" hidden="1">
      <c r="A996">
        <v>1186</v>
      </c>
      <c r="B996">
        <v>2619</v>
      </c>
      <c r="C996">
        <v>2282</v>
      </c>
      <c r="D996">
        <v>5283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 t="s">
        <v>20</v>
      </c>
      <c r="L996" s="1">
        <v>43335</v>
      </c>
      <c r="M996">
        <v>716</v>
      </c>
      <c r="N996">
        <v>26</v>
      </c>
      <c r="O996">
        <v>524</v>
      </c>
      <c r="P996">
        <v>535</v>
      </c>
      <c r="Q996">
        <v>524</v>
      </c>
      <c r="S996">
        <v>2492</v>
      </c>
      <c r="T996">
        <v>2606</v>
      </c>
      <c r="U996">
        <f>+SUM(Table1[[#This Row],[Latinos]:[Cemex]])</f>
        <v>1</v>
      </c>
      <c r="V996" t="str">
        <f>+Table1[[#This Row],[id_destino]]&amp;" - "&amp;Table1[[#This Row],[id_origen]]</f>
        <v>716 - 26</v>
      </c>
    </row>
    <row r="997" spans="1:22" hidden="1">
      <c r="A997">
        <v>797</v>
      </c>
      <c r="B997">
        <v>2456</v>
      </c>
      <c r="C997">
        <v>2282</v>
      </c>
      <c r="D997">
        <v>5488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 t="s">
        <v>20</v>
      </c>
      <c r="L997" s="1">
        <v>43166</v>
      </c>
      <c r="M997">
        <v>742</v>
      </c>
      <c r="N997">
        <v>26</v>
      </c>
      <c r="O997">
        <v>70</v>
      </c>
      <c r="P997">
        <v>150</v>
      </c>
      <c r="Q997">
        <v>70</v>
      </c>
      <c r="S997">
        <v>142</v>
      </c>
      <c r="T997">
        <v>142</v>
      </c>
      <c r="U997">
        <f>+SUM(Table1[[#This Row],[Latinos]:[Cemex]])</f>
        <v>1</v>
      </c>
      <c r="V997" t="str">
        <f>+Table1[[#This Row],[id_destino]]&amp;" - "&amp;Table1[[#This Row],[id_origen]]</f>
        <v>742 - 26</v>
      </c>
    </row>
    <row r="998" spans="1:22" hidden="1">
      <c r="A998">
        <v>4146</v>
      </c>
      <c r="B998">
        <v>4448</v>
      </c>
      <c r="C998">
        <v>1362</v>
      </c>
      <c r="D998">
        <v>7432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 t="s">
        <v>20</v>
      </c>
      <c r="L998" s="1">
        <v>45553</v>
      </c>
      <c r="M998">
        <v>747</v>
      </c>
      <c r="N998">
        <v>26</v>
      </c>
      <c r="O998">
        <v>1907</v>
      </c>
      <c r="P998">
        <v>1825</v>
      </c>
      <c r="Q998">
        <v>1907</v>
      </c>
      <c r="S998">
        <v>5069</v>
      </c>
      <c r="T998">
        <v>5152</v>
      </c>
      <c r="U998">
        <f>+SUM(Table1[[#This Row],[Latinos]:[Cemex]])</f>
        <v>1</v>
      </c>
      <c r="V998" t="str">
        <f>+Table1[[#This Row],[id_destino]]&amp;" - "&amp;Table1[[#This Row],[id_origen]]</f>
        <v>747 - 26</v>
      </c>
    </row>
    <row r="999" spans="1:22" hidden="1">
      <c r="A999">
        <v>2148</v>
      </c>
      <c r="B999">
        <v>3165</v>
      </c>
      <c r="C999">
        <v>6146</v>
      </c>
      <c r="D999">
        <v>6216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 t="s">
        <v>20</v>
      </c>
      <c r="L999" s="1">
        <v>43833</v>
      </c>
      <c r="M999">
        <v>803</v>
      </c>
      <c r="N999">
        <v>26</v>
      </c>
      <c r="O999">
        <v>606</v>
      </c>
      <c r="P999">
        <v>606</v>
      </c>
      <c r="Q999">
        <v>606</v>
      </c>
      <c r="S999">
        <v>855</v>
      </c>
      <c r="T999">
        <v>855</v>
      </c>
      <c r="U999">
        <f>+SUM(Table1[[#This Row],[Latinos]:[Cemex]])</f>
        <v>1</v>
      </c>
      <c r="V999" t="str">
        <f>+Table1[[#This Row],[id_destino]]&amp;" - "&amp;Table1[[#This Row],[id_origen]]</f>
        <v>803 - 26</v>
      </c>
    </row>
    <row r="1000" spans="1:22" hidden="1">
      <c r="A1000">
        <v>2156</v>
      </c>
      <c r="B1000">
        <v>3171</v>
      </c>
      <c r="C1000">
        <v>6146</v>
      </c>
      <c r="D1000">
        <v>6219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 t="s">
        <v>20</v>
      </c>
      <c r="L1000" s="1">
        <v>43834</v>
      </c>
      <c r="M1000">
        <v>804</v>
      </c>
      <c r="N1000">
        <v>26</v>
      </c>
      <c r="O1000">
        <v>755</v>
      </c>
      <c r="P1000">
        <v>755</v>
      </c>
      <c r="Q1000">
        <v>755</v>
      </c>
      <c r="S1000">
        <v>855</v>
      </c>
      <c r="T1000">
        <v>855</v>
      </c>
      <c r="U1000">
        <f>+SUM(Table1[[#This Row],[Latinos]:[Cemex]])</f>
        <v>1</v>
      </c>
      <c r="V1000" t="str">
        <f>+Table1[[#This Row],[id_destino]]&amp;" - "&amp;Table1[[#This Row],[id_origen]]</f>
        <v>804 - 26</v>
      </c>
    </row>
    <row r="1001" spans="1:22" hidden="1">
      <c r="A1001">
        <v>4555</v>
      </c>
      <c r="B1001">
        <v>4749</v>
      </c>
      <c r="C1001">
        <v>1168</v>
      </c>
      <c r="D1001">
        <v>8021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 t="s">
        <v>20</v>
      </c>
      <c r="L1001" s="1">
        <v>45615</v>
      </c>
      <c r="M1001">
        <v>814</v>
      </c>
      <c r="N1001">
        <v>26</v>
      </c>
      <c r="O1001">
        <v>1093</v>
      </c>
      <c r="P1001">
        <v>1109</v>
      </c>
      <c r="Q1001">
        <v>1093</v>
      </c>
      <c r="S1001">
        <v>4104</v>
      </c>
      <c r="T1001">
        <v>4216</v>
      </c>
      <c r="U1001">
        <f>+SUM(Table1[[#This Row],[Latinos]:[Cemex]])</f>
        <v>1</v>
      </c>
      <c r="V1001" t="str">
        <f>+Table1[[#This Row],[id_destino]]&amp;" - "&amp;Table1[[#This Row],[id_origen]]</f>
        <v>814 - 26</v>
      </c>
    </row>
    <row r="1002" spans="1:22" hidden="1">
      <c r="A1002">
        <v>4378</v>
      </c>
      <c r="B1002">
        <v>4610</v>
      </c>
      <c r="C1002">
        <v>1168</v>
      </c>
      <c r="D1002">
        <v>7423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 t="s">
        <v>20</v>
      </c>
      <c r="L1002" s="1">
        <v>45503</v>
      </c>
      <c r="M1002">
        <v>833</v>
      </c>
      <c r="N1002">
        <v>26</v>
      </c>
      <c r="O1002">
        <v>1271</v>
      </c>
      <c r="P1002">
        <v>1271</v>
      </c>
      <c r="Q1002">
        <v>1271</v>
      </c>
      <c r="S1002">
        <v>4332</v>
      </c>
      <c r="T1002">
        <v>4332</v>
      </c>
      <c r="U1002">
        <f>+SUM(Table1[[#This Row],[Latinos]:[Cemex]])</f>
        <v>1</v>
      </c>
      <c r="V1002" t="str">
        <f>+Table1[[#This Row],[id_destino]]&amp;" - "&amp;Table1[[#This Row],[id_origen]]</f>
        <v>833 - 26</v>
      </c>
    </row>
    <row r="1003" spans="1:22" hidden="1">
      <c r="A1003">
        <v>3700</v>
      </c>
      <c r="B1003">
        <v>4171</v>
      </c>
      <c r="C1003">
        <v>5420</v>
      </c>
      <c r="D1003">
        <v>7303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 t="s">
        <v>20</v>
      </c>
      <c r="L1003" s="1">
        <v>45036</v>
      </c>
      <c r="M1003">
        <v>875</v>
      </c>
      <c r="N1003">
        <v>26</v>
      </c>
      <c r="O1003">
        <v>396</v>
      </c>
      <c r="P1003">
        <v>360</v>
      </c>
      <c r="Q1003">
        <v>396</v>
      </c>
      <c r="S1003">
        <v>965</v>
      </c>
      <c r="T1003">
        <v>965</v>
      </c>
      <c r="U1003">
        <f>+SUM(Table1[[#This Row],[Latinos]:[Cemex]])</f>
        <v>1</v>
      </c>
      <c r="V1003" t="str">
        <f>+Table1[[#This Row],[id_destino]]&amp;" - "&amp;Table1[[#This Row],[id_origen]]</f>
        <v>875 - 26</v>
      </c>
    </row>
    <row r="1004" spans="1:22" hidden="1">
      <c r="A1004">
        <v>4446</v>
      </c>
      <c r="B1004">
        <v>4665</v>
      </c>
      <c r="C1004">
        <v>7898</v>
      </c>
      <c r="D1004">
        <v>7896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 t="s">
        <v>118</v>
      </c>
      <c r="L1004" s="1">
        <v>45545</v>
      </c>
      <c r="M1004">
        <v>9</v>
      </c>
      <c r="N1004">
        <v>27</v>
      </c>
      <c r="O1004">
        <v>2241</v>
      </c>
      <c r="P1004">
        <v>2241</v>
      </c>
      <c r="Q1004">
        <v>2241</v>
      </c>
      <c r="S1004">
        <v>4576</v>
      </c>
      <c r="T1004">
        <v>4576</v>
      </c>
      <c r="U1004">
        <f>+SUM(Table1[[#This Row],[Latinos]:[Cemex]])</f>
        <v>1</v>
      </c>
      <c r="V1004" t="str">
        <f>+Table1[[#This Row],[id_destino]]&amp;" - "&amp;Table1[[#This Row],[id_origen]]</f>
        <v>9 - 27</v>
      </c>
    </row>
    <row r="1005" spans="1:22" hidden="1">
      <c r="A1005">
        <v>2281</v>
      </c>
      <c r="B1005">
        <v>521</v>
      </c>
      <c r="C1005">
        <v>403</v>
      </c>
      <c r="D1005">
        <v>5530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 t="s">
        <v>20</v>
      </c>
      <c r="L1005" s="1">
        <v>43903</v>
      </c>
      <c r="M1005">
        <v>23</v>
      </c>
      <c r="N1005">
        <v>27</v>
      </c>
      <c r="O1005">
        <v>344</v>
      </c>
      <c r="P1005">
        <v>344</v>
      </c>
      <c r="Q1005">
        <v>344</v>
      </c>
      <c r="S1005">
        <v>391</v>
      </c>
      <c r="T1005">
        <v>391</v>
      </c>
      <c r="U1005">
        <f>+SUM(Table1[[#This Row],[Latinos]:[Cemex]])</f>
        <v>1</v>
      </c>
      <c r="V1005" t="str">
        <f>+Table1[[#This Row],[id_destino]]&amp;" - "&amp;Table1[[#This Row],[id_origen]]</f>
        <v>23 - 27</v>
      </c>
    </row>
    <row r="1006" spans="1:22" hidden="1">
      <c r="A1006">
        <v>4500</v>
      </c>
      <c r="B1006">
        <v>1645</v>
      </c>
      <c r="C1006">
        <v>403</v>
      </c>
      <c r="D1006">
        <v>5530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 t="s">
        <v>20</v>
      </c>
      <c r="L1006" s="1">
        <v>45587</v>
      </c>
      <c r="M1006">
        <v>23</v>
      </c>
      <c r="N1006">
        <v>27</v>
      </c>
      <c r="O1006">
        <v>298</v>
      </c>
      <c r="P1006">
        <v>298</v>
      </c>
      <c r="Q1006">
        <v>298</v>
      </c>
      <c r="S1006">
        <v>553</v>
      </c>
      <c r="T1006">
        <v>553</v>
      </c>
      <c r="U1006">
        <f>+SUM(Table1[[#This Row],[Latinos]:[Cemex]])</f>
        <v>1</v>
      </c>
      <c r="V1006" t="str">
        <f>+Table1[[#This Row],[id_destino]]&amp;" - "&amp;Table1[[#This Row],[id_origen]]</f>
        <v>23 - 27</v>
      </c>
    </row>
    <row r="1007" spans="1:22" hidden="1">
      <c r="A1007">
        <v>2214</v>
      </c>
      <c r="B1007">
        <v>1934</v>
      </c>
      <c r="C1007">
        <v>403</v>
      </c>
      <c r="D1007">
        <v>6262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  <c r="K1007" t="s">
        <v>82</v>
      </c>
      <c r="L1007" s="1">
        <v>43860</v>
      </c>
      <c r="M1007">
        <v>24</v>
      </c>
      <c r="N1007">
        <v>27</v>
      </c>
      <c r="O1007">
        <v>631</v>
      </c>
      <c r="P1007">
        <v>634</v>
      </c>
      <c r="Q1007">
        <v>631</v>
      </c>
      <c r="S1007">
        <v>1128</v>
      </c>
      <c r="T1007">
        <v>1194</v>
      </c>
      <c r="U1007">
        <f>+SUM(Table1[[#This Row],[Latinos]:[Cemex]])</f>
        <v>1</v>
      </c>
      <c r="V1007" t="str">
        <f>+Table1[[#This Row],[id_destino]]&amp;" - "&amp;Table1[[#This Row],[id_origen]]</f>
        <v>24 - 27</v>
      </c>
    </row>
    <row r="1008" spans="1:22" hidden="1">
      <c r="A1008">
        <v>2875</v>
      </c>
      <c r="B1008">
        <v>3627</v>
      </c>
      <c r="C1008">
        <v>403</v>
      </c>
      <c r="D1008">
        <v>5537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 t="s">
        <v>20</v>
      </c>
      <c r="L1008" s="1">
        <v>44579</v>
      </c>
      <c r="M1008">
        <v>25</v>
      </c>
      <c r="N1008">
        <v>27</v>
      </c>
      <c r="O1008">
        <v>492</v>
      </c>
      <c r="P1008">
        <v>529</v>
      </c>
      <c r="Q1008">
        <v>492</v>
      </c>
      <c r="S1008">
        <v>856</v>
      </c>
      <c r="T1008">
        <v>856</v>
      </c>
      <c r="U1008">
        <f>+SUM(Table1[[#This Row],[Latinos]:[Cemex]])</f>
        <v>1</v>
      </c>
      <c r="V1008" t="str">
        <f>+Table1[[#This Row],[id_destino]]&amp;" - "&amp;Table1[[#This Row],[id_origen]]</f>
        <v>25 - 27</v>
      </c>
    </row>
    <row r="1009" spans="1:22" hidden="1">
      <c r="A1009">
        <v>1906</v>
      </c>
      <c r="B1009">
        <v>2621</v>
      </c>
      <c r="C1009">
        <v>403</v>
      </c>
      <c r="D1009">
        <v>980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 t="s">
        <v>20</v>
      </c>
      <c r="L1009" s="1">
        <v>43746</v>
      </c>
      <c r="M1009">
        <v>26</v>
      </c>
      <c r="N1009">
        <v>27</v>
      </c>
      <c r="O1009">
        <v>339</v>
      </c>
      <c r="P1009">
        <v>339</v>
      </c>
      <c r="Q1009">
        <v>339</v>
      </c>
      <c r="S1009">
        <v>391</v>
      </c>
      <c r="T1009">
        <v>391</v>
      </c>
      <c r="U1009">
        <f>+SUM(Table1[[#This Row],[Latinos]:[Cemex]])</f>
        <v>1</v>
      </c>
      <c r="V1009" t="str">
        <f>+Table1[[#This Row],[id_destino]]&amp;" - "&amp;Table1[[#This Row],[id_origen]]</f>
        <v>26 - 27</v>
      </c>
    </row>
    <row r="1010" spans="1:22" hidden="1">
      <c r="A1010">
        <v>2187</v>
      </c>
      <c r="B1010">
        <v>1936</v>
      </c>
      <c r="C1010">
        <v>4543</v>
      </c>
      <c r="D1010">
        <v>5279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 t="s">
        <v>20</v>
      </c>
      <c r="L1010" s="1">
        <v>43847</v>
      </c>
      <c r="M1010">
        <v>27</v>
      </c>
      <c r="N1010">
        <v>27</v>
      </c>
      <c r="O1010">
        <v>20</v>
      </c>
      <c r="P1010">
        <v>150</v>
      </c>
      <c r="Q1010">
        <v>20</v>
      </c>
      <c r="S1010">
        <v>0</v>
      </c>
      <c r="T1010">
        <v>0</v>
      </c>
      <c r="U1010">
        <f>+SUM(Table1[[#This Row],[Latinos]:[Cemex]])</f>
        <v>1</v>
      </c>
      <c r="V1010" t="str">
        <f>+Table1[[#This Row],[id_destino]]&amp;" - "&amp;Table1[[#This Row],[id_origen]]</f>
        <v>27 - 27</v>
      </c>
    </row>
    <row r="1011" spans="1:22" hidden="1">
      <c r="A1011">
        <v>3072</v>
      </c>
      <c r="B1011">
        <v>1936</v>
      </c>
      <c r="C1011">
        <v>1294</v>
      </c>
      <c r="D1011">
        <v>4543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 t="s">
        <v>20</v>
      </c>
      <c r="L1011" s="1">
        <v>44714</v>
      </c>
      <c r="M1011">
        <v>27</v>
      </c>
      <c r="N1011">
        <v>27</v>
      </c>
      <c r="O1011">
        <v>22</v>
      </c>
      <c r="P1011">
        <v>150</v>
      </c>
      <c r="Q1011">
        <v>22</v>
      </c>
      <c r="S1011">
        <v>0</v>
      </c>
      <c r="T1011">
        <v>0</v>
      </c>
      <c r="U1011">
        <f>+SUM(Table1[[#This Row],[Latinos]:[Cemex]])</f>
        <v>1</v>
      </c>
      <c r="V1011" t="str">
        <f>+Table1[[#This Row],[id_destino]]&amp;" - "&amp;Table1[[#This Row],[id_origen]]</f>
        <v>27 - 27</v>
      </c>
    </row>
    <row r="1012" spans="1:22" hidden="1">
      <c r="A1012">
        <v>4315</v>
      </c>
      <c r="B1012">
        <v>663</v>
      </c>
      <c r="C1012">
        <v>5271</v>
      </c>
      <c r="D1012">
        <v>3499</v>
      </c>
      <c r="E1012">
        <v>0</v>
      </c>
      <c r="F1012">
        <v>0</v>
      </c>
      <c r="G1012">
        <v>0</v>
      </c>
      <c r="H1012">
        <v>1</v>
      </c>
      <c r="I1012">
        <v>1</v>
      </c>
      <c r="J1012">
        <v>0</v>
      </c>
      <c r="K1012" t="s">
        <v>20</v>
      </c>
      <c r="L1012" s="1">
        <v>45453</v>
      </c>
      <c r="M1012">
        <v>71</v>
      </c>
      <c r="N1012">
        <v>27</v>
      </c>
      <c r="O1012">
        <v>305</v>
      </c>
      <c r="P1012">
        <v>333</v>
      </c>
      <c r="Q1012">
        <v>305</v>
      </c>
      <c r="S1012">
        <v>553</v>
      </c>
      <c r="T1012">
        <v>553</v>
      </c>
      <c r="U1012">
        <f>+SUM(Table1[[#This Row],[Latinos]:[Cemex]])</f>
        <v>2</v>
      </c>
      <c r="V1012" t="str">
        <f>+Table1[[#This Row],[id_destino]]&amp;" - "&amp;Table1[[#This Row],[id_origen]]</f>
        <v>71 - 27</v>
      </c>
    </row>
    <row r="1013" spans="1:22" hidden="1">
      <c r="A1013">
        <v>4501</v>
      </c>
      <c r="B1013">
        <v>663</v>
      </c>
      <c r="C1013">
        <v>403</v>
      </c>
      <c r="D1013">
        <v>7972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 t="s">
        <v>20</v>
      </c>
      <c r="L1013" s="1">
        <v>45588</v>
      </c>
      <c r="M1013">
        <v>71</v>
      </c>
      <c r="N1013">
        <v>27</v>
      </c>
      <c r="O1013">
        <v>292</v>
      </c>
      <c r="P1013">
        <v>292</v>
      </c>
      <c r="Q1013">
        <v>292</v>
      </c>
      <c r="S1013">
        <v>553</v>
      </c>
      <c r="T1013">
        <v>553</v>
      </c>
      <c r="U1013">
        <f>+SUM(Table1[[#This Row],[Latinos]:[Cemex]])</f>
        <v>1</v>
      </c>
      <c r="V1013" t="str">
        <f>+Table1[[#This Row],[id_destino]]&amp;" - "&amp;Table1[[#This Row],[id_origen]]</f>
        <v>71 - 27</v>
      </c>
    </row>
    <row r="1014" spans="1:22" hidden="1">
      <c r="A1014">
        <v>1492</v>
      </c>
      <c r="B1014">
        <v>2778</v>
      </c>
      <c r="C1014">
        <v>4543</v>
      </c>
      <c r="D1014">
        <v>173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 t="s">
        <v>20</v>
      </c>
      <c r="L1014" s="1">
        <v>43469</v>
      </c>
      <c r="M1014">
        <v>105</v>
      </c>
      <c r="N1014">
        <v>27</v>
      </c>
      <c r="O1014">
        <v>829</v>
      </c>
      <c r="P1014">
        <v>829</v>
      </c>
      <c r="Q1014">
        <v>829</v>
      </c>
      <c r="S1014">
        <v>1938</v>
      </c>
      <c r="T1014">
        <v>1938</v>
      </c>
      <c r="U1014">
        <f>+SUM(Table1[[#This Row],[Latinos]:[Cemex]])</f>
        <v>1</v>
      </c>
      <c r="V1014" t="str">
        <f>+Table1[[#This Row],[id_destino]]&amp;" - "&amp;Table1[[#This Row],[id_origen]]</f>
        <v>105 - 27</v>
      </c>
    </row>
    <row r="1015" spans="1:22" hidden="1">
      <c r="A1015">
        <v>2298</v>
      </c>
      <c r="B1015">
        <v>3256</v>
      </c>
      <c r="C1015">
        <v>403</v>
      </c>
      <c r="D1015">
        <v>378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 t="s">
        <v>20</v>
      </c>
      <c r="L1015" s="1">
        <v>43915</v>
      </c>
      <c r="M1015">
        <v>123</v>
      </c>
      <c r="N1015">
        <v>27</v>
      </c>
      <c r="O1015">
        <v>383</v>
      </c>
      <c r="P1015">
        <v>383</v>
      </c>
      <c r="Q1015">
        <v>383</v>
      </c>
      <c r="S1015">
        <v>680</v>
      </c>
      <c r="T1015">
        <v>680</v>
      </c>
      <c r="U1015">
        <f>+SUM(Table1[[#This Row],[Latinos]:[Cemex]])</f>
        <v>1</v>
      </c>
      <c r="V1015" t="str">
        <f>+Table1[[#This Row],[id_destino]]&amp;" - "&amp;Table1[[#This Row],[id_origen]]</f>
        <v>123 - 27</v>
      </c>
    </row>
    <row r="1016" spans="1:22" hidden="1">
      <c r="A1016">
        <v>1260</v>
      </c>
      <c r="B1016">
        <v>2658</v>
      </c>
      <c r="C1016">
        <v>5279</v>
      </c>
      <c r="D1016">
        <v>12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 t="s">
        <v>20</v>
      </c>
      <c r="L1016" s="1">
        <v>43356</v>
      </c>
      <c r="M1016">
        <v>169</v>
      </c>
      <c r="N1016">
        <v>27</v>
      </c>
      <c r="O1016">
        <v>546</v>
      </c>
      <c r="P1016">
        <v>546</v>
      </c>
      <c r="Q1016">
        <v>546</v>
      </c>
      <c r="S1016">
        <v>1055</v>
      </c>
      <c r="T1016">
        <v>1055</v>
      </c>
      <c r="U1016">
        <f>+SUM(Table1[[#This Row],[Latinos]:[Cemex]])</f>
        <v>1</v>
      </c>
      <c r="V1016" t="str">
        <f>+Table1[[#This Row],[id_destino]]&amp;" - "&amp;Table1[[#This Row],[id_origen]]</f>
        <v>169 - 27</v>
      </c>
    </row>
    <row r="1017" spans="1:22" hidden="1">
      <c r="A1017">
        <v>3439</v>
      </c>
      <c r="B1017">
        <v>3251</v>
      </c>
      <c r="C1017">
        <v>7122</v>
      </c>
      <c r="D1017">
        <v>7121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 t="s">
        <v>20</v>
      </c>
      <c r="L1017" s="1">
        <v>44893</v>
      </c>
      <c r="M1017">
        <v>173</v>
      </c>
      <c r="N1017">
        <v>27</v>
      </c>
      <c r="O1017">
        <v>334</v>
      </c>
      <c r="P1017">
        <v>266</v>
      </c>
      <c r="Q1017">
        <v>334</v>
      </c>
      <c r="S1017">
        <v>0</v>
      </c>
      <c r="T1017">
        <v>0</v>
      </c>
      <c r="U1017">
        <f>+SUM(Table1[[#This Row],[Latinos]:[Cemex]])</f>
        <v>1</v>
      </c>
      <c r="V1017" t="str">
        <f>+Table1[[#This Row],[id_destino]]&amp;" - "&amp;Table1[[#This Row],[id_origen]]</f>
        <v>173 - 27</v>
      </c>
    </row>
    <row r="1018" spans="1:22" hidden="1">
      <c r="A1018">
        <v>415</v>
      </c>
      <c r="B1018">
        <v>653</v>
      </c>
      <c r="C1018">
        <v>5353</v>
      </c>
      <c r="D1018">
        <v>469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 t="s">
        <v>20</v>
      </c>
      <c r="L1018" s="1">
        <v>43061</v>
      </c>
      <c r="M1018">
        <v>2</v>
      </c>
      <c r="N1018">
        <v>30</v>
      </c>
      <c r="O1018">
        <v>1035</v>
      </c>
      <c r="P1018">
        <v>1051</v>
      </c>
      <c r="Q1018">
        <v>1035</v>
      </c>
      <c r="S1018">
        <v>5002</v>
      </c>
      <c r="T1018">
        <v>5002</v>
      </c>
      <c r="U1018">
        <f>+SUM(Table1[[#This Row],[Latinos]:[Cemex]])</f>
        <v>1</v>
      </c>
      <c r="V1018" t="str">
        <f>+Table1[[#This Row],[id_destino]]&amp;" - "&amp;Table1[[#This Row],[id_origen]]</f>
        <v>2 - 30</v>
      </c>
    </row>
    <row r="1019" spans="1:22" hidden="1">
      <c r="A1019">
        <v>686</v>
      </c>
      <c r="B1019">
        <v>653</v>
      </c>
      <c r="C1019">
        <v>34</v>
      </c>
      <c r="D1019">
        <v>469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 t="s">
        <v>43</v>
      </c>
      <c r="L1019" s="1">
        <v>43130</v>
      </c>
      <c r="M1019">
        <v>2</v>
      </c>
      <c r="N1019">
        <v>30</v>
      </c>
      <c r="O1019">
        <v>1057</v>
      </c>
      <c r="P1019">
        <v>1057</v>
      </c>
      <c r="Q1019">
        <v>1057</v>
      </c>
      <c r="S1019">
        <v>0</v>
      </c>
      <c r="T1019">
        <v>0</v>
      </c>
      <c r="U1019">
        <f>+SUM(Table1[[#This Row],[Latinos]:[Cemex]])</f>
        <v>1</v>
      </c>
      <c r="V1019" t="str">
        <f>+Table1[[#This Row],[id_destino]]&amp;" - "&amp;Table1[[#This Row],[id_origen]]</f>
        <v>2 - 30</v>
      </c>
    </row>
    <row r="1020" spans="1:22" hidden="1">
      <c r="A1020">
        <v>3483</v>
      </c>
      <c r="B1020">
        <v>653</v>
      </c>
      <c r="C1020">
        <v>5978</v>
      </c>
      <c r="D1020">
        <v>469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 t="s">
        <v>20</v>
      </c>
      <c r="L1020" s="1">
        <v>44917</v>
      </c>
      <c r="M1020">
        <v>2</v>
      </c>
      <c r="N1020">
        <v>30</v>
      </c>
      <c r="O1020">
        <v>1058</v>
      </c>
      <c r="P1020">
        <v>1035</v>
      </c>
      <c r="Q1020">
        <v>1058</v>
      </c>
      <c r="S1020">
        <v>3491</v>
      </c>
      <c r="T1020">
        <v>3491</v>
      </c>
      <c r="U1020">
        <f>+SUM(Table1[[#This Row],[Latinos]:[Cemex]])</f>
        <v>1</v>
      </c>
      <c r="V1020" t="str">
        <f>+Table1[[#This Row],[id_destino]]&amp;" - "&amp;Table1[[#This Row],[id_origen]]</f>
        <v>2 - 30</v>
      </c>
    </row>
    <row r="1021" spans="1:22" hidden="1">
      <c r="A1021">
        <v>4186</v>
      </c>
      <c r="B1021">
        <v>4476</v>
      </c>
      <c r="C1021">
        <v>7672</v>
      </c>
      <c r="D1021">
        <v>7671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 t="s">
        <v>20</v>
      </c>
      <c r="L1021" s="1">
        <v>45440</v>
      </c>
      <c r="M1021">
        <v>9</v>
      </c>
      <c r="N1021">
        <v>30</v>
      </c>
      <c r="O1021">
        <v>2414</v>
      </c>
      <c r="P1021">
        <v>2369</v>
      </c>
      <c r="Q1021">
        <v>2414</v>
      </c>
      <c r="S1021">
        <v>6983</v>
      </c>
      <c r="T1021">
        <v>6983</v>
      </c>
      <c r="U1021">
        <f>+SUM(Table1[[#This Row],[Latinos]:[Cemex]])</f>
        <v>1</v>
      </c>
      <c r="V1021" t="str">
        <f>+Table1[[#This Row],[id_destino]]&amp;" - "&amp;Table1[[#This Row],[id_origen]]</f>
        <v>9 - 30</v>
      </c>
    </row>
    <row r="1022" spans="1:22" hidden="1">
      <c r="A1022">
        <v>2275</v>
      </c>
      <c r="B1022">
        <v>524</v>
      </c>
      <c r="C1022">
        <v>34</v>
      </c>
      <c r="D1022">
        <v>5151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 t="s">
        <v>20</v>
      </c>
      <c r="L1022" s="1">
        <v>43895</v>
      </c>
      <c r="M1022">
        <v>23</v>
      </c>
      <c r="N1022">
        <v>30</v>
      </c>
      <c r="O1022">
        <v>484</v>
      </c>
      <c r="P1022">
        <v>478</v>
      </c>
      <c r="Q1022">
        <v>484</v>
      </c>
      <c r="S1022">
        <v>1217</v>
      </c>
      <c r="T1022">
        <v>1217</v>
      </c>
      <c r="U1022">
        <f>+SUM(Table1[[#This Row],[Latinos]:[Cemex]])</f>
        <v>1</v>
      </c>
      <c r="V1022" t="str">
        <f>+Table1[[#This Row],[id_destino]]&amp;" - "&amp;Table1[[#This Row],[id_origen]]</f>
        <v>23 - 30</v>
      </c>
    </row>
    <row r="1023" spans="1:22" hidden="1">
      <c r="A1023">
        <v>743</v>
      </c>
      <c r="B1023">
        <v>2430</v>
      </c>
      <c r="C1023">
        <v>387</v>
      </c>
      <c r="D1023">
        <v>362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 t="s">
        <v>20</v>
      </c>
      <c r="L1023" s="1">
        <v>43148</v>
      </c>
      <c r="M1023">
        <v>25</v>
      </c>
      <c r="N1023">
        <v>30</v>
      </c>
      <c r="O1023">
        <v>658</v>
      </c>
      <c r="P1023">
        <v>658</v>
      </c>
      <c r="Q1023">
        <v>658</v>
      </c>
      <c r="S1023">
        <v>1707</v>
      </c>
      <c r="T1023">
        <v>107</v>
      </c>
      <c r="U1023">
        <f>+SUM(Table1[[#This Row],[Latinos]:[Cemex]])</f>
        <v>1</v>
      </c>
      <c r="V1023" t="str">
        <f>+Table1[[#This Row],[id_destino]]&amp;" - "&amp;Table1[[#This Row],[id_origen]]</f>
        <v>25 - 30</v>
      </c>
    </row>
    <row r="1024" spans="1:22" hidden="1">
      <c r="A1024">
        <v>624</v>
      </c>
      <c r="B1024">
        <v>2370</v>
      </c>
      <c r="C1024">
        <v>387</v>
      </c>
      <c r="D1024">
        <v>5420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 t="s">
        <v>20</v>
      </c>
      <c r="L1024" s="1">
        <v>43773</v>
      </c>
      <c r="M1024">
        <v>26</v>
      </c>
      <c r="N1024">
        <v>30</v>
      </c>
      <c r="O1024">
        <v>476</v>
      </c>
      <c r="P1024">
        <v>476</v>
      </c>
      <c r="Q1024">
        <v>476</v>
      </c>
      <c r="S1024">
        <v>0</v>
      </c>
      <c r="T1024">
        <v>0</v>
      </c>
      <c r="U1024">
        <f>+SUM(Table1[[#This Row],[Latinos]:[Cemex]])</f>
        <v>1</v>
      </c>
      <c r="V1024" t="str">
        <f>+Table1[[#This Row],[id_destino]]&amp;" - "&amp;Table1[[#This Row],[id_origen]]</f>
        <v>26 - 30</v>
      </c>
    </row>
    <row r="1025" spans="1:22" hidden="1">
      <c r="A1025">
        <v>1030</v>
      </c>
      <c r="B1025">
        <v>2553</v>
      </c>
      <c r="C1025">
        <v>387</v>
      </c>
      <c r="D1025">
        <v>403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 t="s">
        <v>20</v>
      </c>
      <c r="L1025" s="1">
        <v>43256</v>
      </c>
      <c r="M1025">
        <v>27</v>
      </c>
      <c r="N1025">
        <v>30</v>
      </c>
      <c r="O1025">
        <v>434</v>
      </c>
      <c r="P1025">
        <v>434</v>
      </c>
      <c r="Q1025">
        <v>434</v>
      </c>
      <c r="S1025">
        <v>825</v>
      </c>
      <c r="T1025">
        <v>825</v>
      </c>
      <c r="U1025">
        <f>+SUM(Table1[[#This Row],[Latinos]:[Cemex]])</f>
        <v>1</v>
      </c>
      <c r="V1025" t="str">
        <f>+Table1[[#This Row],[id_destino]]&amp;" - "&amp;Table1[[#This Row],[id_origen]]</f>
        <v>27 - 30</v>
      </c>
    </row>
    <row r="1026" spans="1:22" hidden="1">
      <c r="A1026">
        <v>4499</v>
      </c>
      <c r="B1026">
        <v>2553</v>
      </c>
      <c r="C1026">
        <v>387</v>
      </c>
      <c r="D1026">
        <v>403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 t="s">
        <v>20</v>
      </c>
      <c r="L1026" s="1">
        <v>45587</v>
      </c>
      <c r="M1026">
        <v>27</v>
      </c>
      <c r="N1026">
        <v>30</v>
      </c>
      <c r="O1026">
        <v>437</v>
      </c>
      <c r="P1026">
        <v>437</v>
      </c>
      <c r="Q1026">
        <v>437</v>
      </c>
      <c r="S1026">
        <v>1530</v>
      </c>
      <c r="T1026">
        <v>1530</v>
      </c>
      <c r="U1026">
        <f>+SUM(Table1[[#This Row],[Latinos]:[Cemex]])</f>
        <v>1</v>
      </c>
      <c r="V1026" t="str">
        <f>+Table1[[#This Row],[id_destino]]&amp;" - "&amp;Table1[[#This Row],[id_origen]]</f>
        <v>27 - 30</v>
      </c>
    </row>
    <row r="1027" spans="1:22" hidden="1">
      <c r="A1027">
        <v>2048</v>
      </c>
      <c r="B1027">
        <v>3102</v>
      </c>
      <c r="C1027">
        <v>34</v>
      </c>
      <c r="D1027">
        <v>6130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 t="s">
        <v>20</v>
      </c>
      <c r="L1027" s="1">
        <v>43783</v>
      </c>
      <c r="M1027">
        <v>30</v>
      </c>
      <c r="N1027">
        <v>30</v>
      </c>
      <c r="O1027">
        <v>50</v>
      </c>
      <c r="P1027">
        <v>150</v>
      </c>
      <c r="Q1027">
        <v>50</v>
      </c>
      <c r="S1027">
        <v>0</v>
      </c>
      <c r="T1027">
        <v>0</v>
      </c>
      <c r="U1027">
        <f>+SUM(Table1[[#This Row],[Latinos]:[Cemex]])</f>
        <v>1</v>
      </c>
      <c r="V1027" t="str">
        <f>+Table1[[#This Row],[id_destino]]&amp;" - "&amp;Table1[[#This Row],[id_origen]]</f>
        <v>30 - 30</v>
      </c>
    </row>
    <row r="1028" spans="1:22" hidden="1">
      <c r="A1028">
        <v>3508</v>
      </c>
      <c r="B1028">
        <v>3102</v>
      </c>
      <c r="C1028">
        <v>34</v>
      </c>
      <c r="D1028">
        <v>5978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 t="s">
        <v>20</v>
      </c>
      <c r="L1028" s="1">
        <v>44938</v>
      </c>
      <c r="M1028">
        <v>30</v>
      </c>
      <c r="N1028">
        <v>30</v>
      </c>
      <c r="O1028">
        <v>50</v>
      </c>
      <c r="P1028">
        <v>150</v>
      </c>
      <c r="Q1028">
        <v>50</v>
      </c>
      <c r="S1028">
        <v>0</v>
      </c>
      <c r="T1028">
        <v>0</v>
      </c>
      <c r="U1028">
        <f>+SUM(Table1[[#This Row],[Latinos]:[Cemex]])</f>
        <v>1</v>
      </c>
      <c r="V1028" t="str">
        <f>+Table1[[#This Row],[id_destino]]&amp;" - "&amp;Table1[[#This Row],[id_origen]]</f>
        <v>30 - 30</v>
      </c>
    </row>
    <row r="1029" spans="1:22" hidden="1">
      <c r="A1029">
        <v>3981</v>
      </c>
      <c r="B1029">
        <v>3102</v>
      </c>
      <c r="C1029">
        <v>34</v>
      </c>
      <c r="D1029">
        <v>6939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 t="s">
        <v>20</v>
      </c>
      <c r="L1029" s="1">
        <v>45213</v>
      </c>
      <c r="M1029">
        <v>30</v>
      </c>
      <c r="N1029">
        <v>30</v>
      </c>
      <c r="O1029">
        <v>0</v>
      </c>
      <c r="P1029">
        <v>150</v>
      </c>
      <c r="Q1029">
        <v>0</v>
      </c>
      <c r="S1029">
        <v>0</v>
      </c>
      <c r="T1029">
        <v>0</v>
      </c>
      <c r="U1029">
        <f>+SUM(Table1[[#This Row],[Latinos]:[Cemex]])</f>
        <v>1</v>
      </c>
      <c r="V1029" t="str">
        <f>+Table1[[#This Row],[id_destino]]&amp;" - "&amp;Table1[[#This Row],[id_origen]]</f>
        <v>30 - 30</v>
      </c>
    </row>
    <row r="1030" spans="1:22" hidden="1">
      <c r="A1030">
        <v>2367</v>
      </c>
      <c r="B1030">
        <v>183</v>
      </c>
      <c r="C1030">
        <v>34</v>
      </c>
      <c r="D1030">
        <v>53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 t="s">
        <v>20</v>
      </c>
      <c r="L1030" s="1">
        <v>43992</v>
      </c>
      <c r="M1030">
        <v>35</v>
      </c>
      <c r="N1030">
        <v>30</v>
      </c>
      <c r="O1030">
        <v>1405</v>
      </c>
      <c r="P1030">
        <v>1405</v>
      </c>
      <c r="Q1030">
        <v>1405</v>
      </c>
      <c r="S1030">
        <v>4373</v>
      </c>
      <c r="T1030">
        <v>4373</v>
      </c>
      <c r="U1030">
        <f>+SUM(Table1[[#This Row],[Latinos]:[Cemex]])</f>
        <v>1</v>
      </c>
      <c r="V1030" t="str">
        <f>+Table1[[#This Row],[id_destino]]&amp;" - "&amp;Table1[[#This Row],[id_origen]]</f>
        <v>35 - 30</v>
      </c>
    </row>
    <row r="1031" spans="1:22" hidden="1">
      <c r="A1031">
        <v>2011</v>
      </c>
      <c r="B1031">
        <v>846</v>
      </c>
      <c r="C1031">
        <v>34</v>
      </c>
      <c r="D1031">
        <v>3431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 t="s">
        <v>20</v>
      </c>
      <c r="L1031" s="1">
        <v>43767</v>
      </c>
      <c r="M1031">
        <v>52</v>
      </c>
      <c r="N1031">
        <v>30</v>
      </c>
      <c r="O1031">
        <v>961</v>
      </c>
      <c r="P1031">
        <v>839</v>
      </c>
      <c r="Q1031">
        <v>961</v>
      </c>
      <c r="S1031">
        <v>3833</v>
      </c>
      <c r="T1031">
        <v>4263</v>
      </c>
      <c r="U1031">
        <f>+SUM(Table1[[#This Row],[Latinos]:[Cemex]])</f>
        <v>1</v>
      </c>
      <c r="V1031" t="str">
        <f>+Table1[[#This Row],[id_destino]]&amp;" - "&amp;Table1[[#This Row],[id_origen]]</f>
        <v>52 - 30</v>
      </c>
    </row>
    <row r="1032" spans="1:22" hidden="1">
      <c r="A1032">
        <v>3763</v>
      </c>
      <c r="B1032">
        <v>4206</v>
      </c>
      <c r="C1032">
        <v>7672</v>
      </c>
      <c r="D1032">
        <v>7773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 t="s">
        <v>20</v>
      </c>
      <c r="L1032" s="1">
        <v>45433</v>
      </c>
      <c r="M1032">
        <v>62</v>
      </c>
      <c r="N1032">
        <v>30</v>
      </c>
      <c r="O1032">
        <v>831</v>
      </c>
      <c r="P1032">
        <v>830</v>
      </c>
      <c r="Q1032">
        <v>831</v>
      </c>
      <c r="S1032">
        <v>3119</v>
      </c>
      <c r="T1032">
        <v>3119</v>
      </c>
      <c r="U1032">
        <f>+SUM(Table1[[#This Row],[Latinos]:[Cemex]])</f>
        <v>1</v>
      </c>
      <c r="V1032" t="str">
        <f>+Table1[[#This Row],[id_destino]]&amp;" - "&amp;Table1[[#This Row],[id_origen]]</f>
        <v>62 - 30</v>
      </c>
    </row>
    <row r="1033" spans="1:22" hidden="1">
      <c r="A1033">
        <v>620</v>
      </c>
      <c r="B1033">
        <v>2367</v>
      </c>
      <c r="C1033">
        <v>387</v>
      </c>
      <c r="D1033">
        <v>420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 t="s">
        <v>20</v>
      </c>
      <c r="L1033" s="1">
        <v>43531</v>
      </c>
      <c r="M1033">
        <v>71</v>
      </c>
      <c r="N1033">
        <v>30</v>
      </c>
      <c r="O1033">
        <v>476</v>
      </c>
      <c r="P1033">
        <v>476</v>
      </c>
      <c r="Q1033">
        <v>476</v>
      </c>
      <c r="S1033">
        <v>1291</v>
      </c>
      <c r="T1033">
        <v>1291</v>
      </c>
      <c r="U1033">
        <f>+SUM(Table1[[#This Row],[Latinos]:[Cemex]])</f>
        <v>1</v>
      </c>
      <c r="V1033" t="str">
        <f>+Table1[[#This Row],[id_destino]]&amp;" - "&amp;Table1[[#This Row],[id_origen]]</f>
        <v>71 - 30</v>
      </c>
    </row>
    <row r="1034" spans="1:22" hidden="1">
      <c r="A1034">
        <v>3063</v>
      </c>
      <c r="B1034">
        <v>2367</v>
      </c>
      <c r="C1034">
        <v>34</v>
      </c>
      <c r="D1034">
        <v>6912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 t="s">
        <v>20</v>
      </c>
      <c r="L1034" s="1">
        <v>44711</v>
      </c>
      <c r="M1034">
        <v>71</v>
      </c>
      <c r="N1034">
        <v>30</v>
      </c>
      <c r="O1034">
        <v>481</v>
      </c>
      <c r="P1034">
        <v>476</v>
      </c>
      <c r="Q1034">
        <v>481</v>
      </c>
      <c r="S1034">
        <v>1447</v>
      </c>
      <c r="T1034">
        <v>1447</v>
      </c>
      <c r="U1034">
        <f>+SUM(Table1[[#This Row],[Latinos]:[Cemex]])</f>
        <v>1</v>
      </c>
      <c r="V1034" t="str">
        <f>+Table1[[#This Row],[id_destino]]&amp;" - "&amp;Table1[[#This Row],[id_origen]]</f>
        <v>71 - 30</v>
      </c>
    </row>
    <row r="1035" spans="1:22" hidden="1">
      <c r="A1035">
        <v>744</v>
      </c>
      <c r="B1035">
        <v>2431</v>
      </c>
      <c r="C1035">
        <v>387</v>
      </c>
      <c r="D1035">
        <v>5470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 t="s">
        <v>20</v>
      </c>
      <c r="L1035" s="1">
        <v>43148</v>
      </c>
      <c r="M1035">
        <v>87</v>
      </c>
      <c r="N1035">
        <v>30</v>
      </c>
      <c r="O1035">
        <v>590</v>
      </c>
      <c r="P1035">
        <v>590</v>
      </c>
      <c r="Q1035">
        <v>590</v>
      </c>
      <c r="S1035">
        <v>1499</v>
      </c>
      <c r="T1035">
        <v>1499</v>
      </c>
      <c r="U1035">
        <f>+SUM(Table1[[#This Row],[Latinos]:[Cemex]])</f>
        <v>1</v>
      </c>
      <c r="V1035" t="str">
        <f>+Table1[[#This Row],[id_destino]]&amp;" - "&amp;Table1[[#This Row],[id_origen]]</f>
        <v>87 - 30</v>
      </c>
    </row>
    <row r="1036" spans="1:22" hidden="1">
      <c r="A1036">
        <v>4294</v>
      </c>
      <c r="B1036">
        <v>4550</v>
      </c>
      <c r="C1036">
        <v>7672</v>
      </c>
      <c r="D1036">
        <v>7778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  <c r="K1036" t="s">
        <v>20</v>
      </c>
      <c r="L1036" s="1">
        <v>45437</v>
      </c>
      <c r="M1036">
        <v>173</v>
      </c>
      <c r="N1036">
        <v>30</v>
      </c>
      <c r="O1036">
        <v>500</v>
      </c>
      <c r="P1036">
        <v>500</v>
      </c>
      <c r="Q1036">
        <v>500</v>
      </c>
      <c r="S1036">
        <v>2048</v>
      </c>
      <c r="T1036">
        <v>2048</v>
      </c>
      <c r="U1036">
        <f>+SUM(Table1[[#This Row],[Latinos]:[Cemex]])</f>
        <v>1</v>
      </c>
      <c r="V1036" t="str">
        <f>+Table1[[#This Row],[id_destino]]&amp;" - "&amp;Table1[[#This Row],[id_origen]]</f>
        <v>173 - 30</v>
      </c>
    </row>
    <row r="1037" spans="1:22" hidden="1">
      <c r="A1037">
        <v>4226</v>
      </c>
      <c r="B1037">
        <v>1011</v>
      </c>
      <c r="C1037">
        <v>34</v>
      </c>
      <c r="D1037">
        <v>24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 t="s">
        <v>20</v>
      </c>
      <c r="L1037" s="1">
        <v>45387</v>
      </c>
      <c r="M1037">
        <v>179</v>
      </c>
      <c r="N1037">
        <v>30</v>
      </c>
      <c r="O1037">
        <v>880</v>
      </c>
      <c r="P1037">
        <v>885</v>
      </c>
      <c r="Q1037">
        <v>880</v>
      </c>
      <c r="S1037">
        <v>1893</v>
      </c>
      <c r="T1037">
        <v>2005</v>
      </c>
      <c r="U1037">
        <f>+SUM(Table1[[#This Row],[Latinos]:[Cemex]])</f>
        <v>1</v>
      </c>
      <c r="V1037" t="str">
        <f>+Table1[[#This Row],[id_destino]]&amp;" - "&amp;Table1[[#This Row],[id_origen]]</f>
        <v>179 - 30</v>
      </c>
    </row>
    <row r="1038" spans="1:22" hidden="1">
      <c r="A1038">
        <v>1976</v>
      </c>
      <c r="B1038">
        <v>2938</v>
      </c>
      <c r="C1038">
        <v>34</v>
      </c>
      <c r="D1038">
        <v>3032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 t="s">
        <v>20</v>
      </c>
      <c r="L1038" s="1">
        <v>43747</v>
      </c>
      <c r="M1038">
        <v>189</v>
      </c>
      <c r="N1038">
        <v>30</v>
      </c>
      <c r="O1038">
        <v>216</v>
      </c>
      <c r="P1038">
        <v>216</v>
      </c>
      <c r="Q1038">
        <v>216</v>
      </c>
      <c r="S1038">
        <v>0</v>
      </c>
      <c r="T1038">
        <v>0</v>
      </c>
      <c r="U1038">
        <f>+SUM(Table1[[#This Row],[Latinos]:[Cemex]])</f>
        <v>1</v>
      </c>
      <c r="V1038" t="str">
        <f>+Table1[[#This Row],[id_destino]]&amp;" - "&amp;Table1[[#This Row],[id_origen]]</f>
        <v>189 - 30</v>
      </c>
    </row>
    <row r="1039" spans="1:22" hidden="1">
      <c r="A1039">
        <v>3718</v>
      </c>
      <c r="B1039">
        <v>2177</v>
      </c>
      <c r="C1039">
        <v>34</v>
      </c>
      <c r="D1039">
        <v>64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 t="s">
        <v>20</v>
      </c>
      <c r="L1039" s="1">
        <v>45049</v>
      </c>
      <c r="M1039">
        <v>602</v>
      </c>
      <c r="N1039">
        <v>30</v>
      </c>
      <c r="O1039">
        <v>956</v>
      </c>
      <c r="P1039">
        <v>956</v>
      </c>
      <c r="Q1039">
        <v>956</v>
      </c>
      <c r="S1039">
        <v>4567</v>
      </c>
      <c r="T1039">
        <v>4567</v>
      </c>
      <c r="U1039">
        <f>+SUM(Table1[[#This Row],[Latinos]:[Cemex]])</f>
        <v>1</v>
      </c>
      <c r="V1039" t="str">
        <f>+Table1[[#This Row],[id_destino]]&amp;" - "&amp;Table1[[#This Row],[id_origen]]</f>
        <v>602 - 30</v>
      </c>
    </row>
    <row r="1040" spans="1:22" hidden="1">
      <c r="A1040">
        <v>11</v>
      </c>
      <c r="B1040">
        <v>1688</v>
      </c>
      <c r="C1040">
        <v>2870</v>
      </c>
      <c r="D1040">
        <v>2884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 t="s">
        <v>20</v>
      </c>
      <c r="L1040" s="1">
        <v>44124</v>
      </c>
      <c r="M1040">
        <v>1</v>
      </c>
      <c r="N1040">
        <v>31</v>
      </c>
      <c r="O1040">
        <v>1046</v>
      </c>
      <c r="P1040">
        <v>1053</v>
      </c>
      <c r="Q1040">
        <v>1046</v>
      </c>
      <c r="S1040">
        <v>4580</v>
      </c>
      <c r="T1040">
        <v>5010</v>
      </c>
      <c r="U1040">
        <f>+SUM(Table1[[#This Row],[Latinos]:[Cemex]])</f>
        <v>1</v>
      </c>
      <c r="V1040" t="str">
        <f>+Table1[[#This Row],[id_destino]]&amp;" - "&amp;Table1[[#This Row],[id_origen]]</f>
        <v>1 - 31</v>
      </c>
    </row>
    <row r="1041" spans="1:22" hidden="1">
      <c r="A1041">
        <v>3</v>
      </c>
      <c r="B1041">
        <v>554</v>
      </c>
      <c r="C1041">
        <v>4008</v>
      </c>
      <c r="D1041">
        <v>469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 t="s">
        <v>20</v>
      </c>
      <c r="L1041" s="1">
        <v>45839</v>
      </c>
      <c r="M1041">
        <v>2</v>
      </c>
      <c r="N1041">
        <v>31</v>
      </c>
      <c r="O1041">
        <v>1267</v>
      </c>
      <c r="P1041">
        <v>1256</v>
      </c>
      <c r="Q1041">
        <v>1267</v>
      </c>
      <c r="S1041">
        <v>5977</v>
      </c>
      <c r="T1041">
        <v>5977</v>
      </c>
      <c r="U1041">
        <f>+SUM(Table1[[#This Row],[Latinos]:[Cemex]])</f>
        <v>1</v>
      </c>
      <c r="V1041" t="str">
        <f>+Table1[[#This Row],[id_destino]]&amp;" - "&amp;Table1[[#This Row],[id_origen]]</f>
        <v>2 - 31</v>
      </c>
    </row>
    <row r="1042" spans="1:22" hidden="1">
      <c r="A1042">
        <v>295</v>
      </c>
      <c r="B1042">
        <v>739</v>
      </c>
      <c r="C1042">
        <v>2870</v>
      </c>
      <c r="D1042">
        <v>3692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 t="s">
        <v>20</v>
      </c>
      <c r="L1042" s="1">
        <v>43032</v>
      </c>
      <c r="M1042">
        <v>3</v>
      </c>
      <c r="N1042">
        <v>31</v>
      </c>
      <c r="O1042">
        <v>1969</v>
      </c>
      <c r="P1042">
        <v>1969</v>
      </c>
      <c r="Q1042">
        <v>1969</v>
      </c>
      <c r="S1042">
        <v>7551.99</v>
      </c>
      <c r="T1042">
        <v>7551.99</v>
      </c>
      <c r="U1042">
        <f>+SUM(Table1[[#This Row],[Latinos]:[Cemex]])</f>
        <v>1</v>
      </c>
      <c r="V1042" t="str">
        <f>+Table1[[#This Row],[id_destino]]&amp;" - "&amp;Table1[[#This Row],[id_origen]]</f>
        <v>3 - 31</v>
      </c>
    </row>
    <row r="1043" spans="1:22">
      <c r="A1043">
        <v>1845</v>
      </c>
      <c r="B1043">
        <v>621</v>
      </c>
      <c r="C1043">
        <v>4008</v>
      </c>
      <c r="D1043">
        <v>2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 t="s">
        <v>20</v>
      </c>
      <c r="L1043" s="1">
        <v>43663</v>
      </c>
      <c r="M1043">
        <v>4</v>
      </c>
      <c r="N1043">
        <v>31</v>
      </c>
      <c r="O1043">
        <v>2051</v>
      </c>
      <c r="P1043">
        <v>2043</v>
      </c>
      <c r="Q1043">
        <v>2051</v>
      </c>
      <c r="S1043">
        <v>7832</v>
      </c>
      <c r="T1043">
        <v>7832</v>
      </c>
      <c r="U1043">
        <f>+SUM(Table1[[#This Row],[Latinos]:[Cemex]])</f>
        <v>1</v>
      </c>
      <c r="V1043" t="str">
        <f>+Table1[[#This Row],[id_destino]]&amp;" - "&amp;Table1[[#This Row],[id_origen]]</f>
        <v>4 - 31</v>
      </c>
    </row>
    <row r="1044" spans="1:22" hidden="1">
      <c r="A1044">
        <v>3708</v>
      </c>
      <c r="B1044">
        <v>736</v>
      </c>
      <c r="C1044">
        <v>4008</v>
      </c>
      <c r="D1044">
        <v>4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 t="s">
        <v>20</v>
      </c>
      <c r="L1044" s="1">
        <v>45041</v>
      </c>
      <c r="M1044">
        <v>6</v>
      </c>
      <c r="N1044">
        <v>31</v>
      </c>
      <c r="O1044">
        <v>2427</v>
      </c>
      <c r="P1044">
        <v>2348</v>
      </c>
      <c r="Q1044">
        <v>2427</v>
      </c>
      <c r="S1044">
        <v>8289</v>
      </c>
      <c r="T1044">
        <v>8372</v>
      </c>
      <c r="U1044">
        <f>+SUM(Table1[[#This Row],[Latinos]:[Cemex]])</f>
        <v>1</v>
      </c>
      <c r="V1044" t="str">
        <f>+Table1[[#This Row],[id_destino]]&amp;" - "&amp;Table1[[#This Row],[id_origen]]</f>
        <v>6 - 31</v>
      </c>
    </row>
    <row r="1045" spans="1:22" hidden="1">
      <c r="A1045">
        <v>2740</v>
      </c>
      <c r="B1045">
        <v>737</v>
      </c>
      <c r="C1045">
        <v>4008</v>
      </c>
      <c r="D1045">
        <v>5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 t="s">
        <v>20</v>
      </c>
      <c r="L1045" s="1">
        <v>44400</v>
      </c>
      <c r="M1045">
        <v>7</v>
      </c>
      <c r="N1045">
        <v>31</v>
      </c>
      <c r="O1045">
        <v>2827</v>
      </c>
      <c r="P1045">
        <v>2836</v>
      </c>
      <c r="Q1045">
        <v>2827</v>
      </c>
      <c r="S1045">
        <v>9345</v>
      </c>
      <c r="T1045">
        <v>9880</v>
      </c>
      <c r="U1045">
        <f>+SUM(Table1[[#This Row],[Latinos]:[Cemex]])</f>
        <v>1</v>
      </c>
      <c r="V1045" t="str">
        <f>+Table1[[#This Row],[id_destino]]&amp;" - "&amp;Table1[[#This Row],[id_origen]]</f>
        <v>7 - 31</v>
      </c>
    </row>
    <row r="1046" spans="1:22" hidden="1">
      <c r="A1046">
        <v>205</v>
      </c>
      <c r="B1046">
        <v>734</v>
      </c>
      <c r="C1046">
        <v>4008</v>
      </c>
      <c r="D1046">
        <v>5282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 t="s">
        <v>20</v>
      </c>
      <c r="L1046" s="1">
        <v>43012</v>
      </c>
      <c r="M1046">
        <v>11</v>
      </c>
      <c r="N1046">
        <v>31</v>
      </c>
      <c r="O1046">
        <v>1033</v>
      </c>
      <c r="P1046">
        <v>1032</v>
      </c>
      <c r="Q1046">
        <v>1033</v>
      </c>
      <c r="S1046">
        <v>4187</v>
      </c>
      <c r="T1046">
        <v>4187</v>
      </c>
      <c r="U1046">
        <f>+SUM(Table1[[#This Row],[Latinos]:[Cemex]])</f>
        <v>1</v>
      </c>
      <c r="V1046" t="str">
        <f>+Table1[[#This Row],[id_destino]]&amp;" - "&amp;Table1[[#This Row],[id_origen]]</f>
        <v>11 - 31</v>
      </c>
    </row>
    <row r="1047" spans="1:22" hidden="1">
      <c r="A1047">
        <v>158</v>
      </c>
      <c r="B1047">
        <v>719</v>
      </c>
      <c r="C1047">
        <v>4008</v>
      </c>
      <c r="D1047">
        <v>4546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 t="s">
        <v>20</v>
      </c>
      <c r="L1047" s="1">
        <v>43171</v>
      </c>
      <c r="M1047">
        <v>13</v>
      </c>
      <c r="N1047">
        <v>31</v>
      </c>
      <c r="O1047">
        <v>1095</v>
      </c>
      <c r="P1047">
        <v>1001</v>
      </c>
      <c r="Q1047">
        <v>1095</v>
      </c>
      <c r="S1047">
        <v>2229</v>
      </c>
      <c r="T1047">
        <v>2229</v>
      </c>
      <c r="U1047">
        <f>+SUM(Table1[[#This Row],[Latinos]:[Cemex]])</f>
        <v>1</v>
      </c>
      <c r="V1047" t="str">
        <f>+Table1[[#This Row],[id_destino]]&amp;" - "&amp;Table1[[#This Row],[id_origen]]</f>
        <v>13 - 31</v>
      </c>
    </row>
    <row r="1048" spans="1:22" hidden="1">
      <c r="A1048">
        <v>3426</v>
      </c>
      <c r="B1048">
        <v>3981</v>
      </c>
      <c r="C1048">
        <v>4008</v>
      </c>
      <c r="D1048">
        <v>6778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 t="s">
        <v>20</v>
      </c>
      <c r="L1048" s="1">
        <v>44884</v>
      </c>
      <c r="M1048">
        <v>15</v>
      </c>
      <c r="N1048">
        <v>31</v>
      </c>
      <c r="O1048">
        <v>1422</v>
      </c>
      <c r="P1048">
        <v>1506</v>
      </c>
      <c r="Q1048">
        <v>1422</v>
      </c>
      <c r="S1048">
        <v>4990</v>
      </c>
      <c r="T1048">
        <v>5865</v>
      </c>
      <c r="U1048">
        <f>+SUM(Table1[[#This Row],[Latinos]:[Cemex]])</f>
        <v>1</v>
      </c>
      <c r="V1048" t="str">
        <f>+Table1[[#This Row],[id_destino]]&amp;" - "&amp;Table1[[#This Row],[id_origen]]</f>
        <v>15 - 31</v>
      </c>
    </row>
    <row r="1049" spans="1:22" hidden="1">
      <c r="A1049">
        <v>903</v>
      </c>
      <c r="B1049">
        <v>958</v>
      </c>
      <c r="C1049">
        <v>5534</v>
      </c>
      <c r="D1049">
        <v>15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 t="s">
        <v>20</v>
      </c>
      <c r="L1049" s="1">
        <v>43209</v>
      </c>
      <c r="M1049">
        <v>16</v>
      </c>
      <c r="N1049">
        <v>31</v>
      </c>
      <c r="O1049">
        <v>1139</v>
      </c>
      <c r="P1049">
        <v>1138</v>
      </c>
      <c r="Q1049">
        <v>1139</v>
      </c>
      <c r="S1049">
        <v>4420</v>
      </c>
      <c r="T1049">
        <v>5026</v>
      </c>
      <c r="U1049">
        <f>+SUM(Table1[[#This Row],[Latinos]:[Cemex]])</f>
        <v>1</v>
      </c>
      <c r="V1049" t="str">
        <f>+Table1[[#This Row],[id_destino]]&amp;" - "&amp;Table1[[#This Row],[id_origen]]</f>
        <v>16 - 31</v>
      </c>
    </row>
    <row r="1050" spans="1:22" hidden="1">
      <c r="A1050">
        <v>325</v>
      </c>
      <c r="B1050">
        <v>376</v>
      </c>
      <c r="C1050">
        <v>4008</v>
      </c>
      <c r="D1050">
        <v>4177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 t="s">
        <v>20</v>
      </c>
      <c r="L1050" s="1">
        <v>43039</v>
      </c>
      <c r="M1050">
        <v>18</v>
      </c>
      <c r="N1050">
        <v>31</v>
      </c>
      <c r="O1050">
        <v>1197</v>
      </c>
      <c r="P1050">
        <v>1188</v>
      </c>
      <c r="Q1050">
        <v>1197</v>
      </c>
      <c r="S1050">
        <v>5332</v>
      </c>
      <c r="T1050">
        <v>5332</v>
      </c>
      <c r="U1050">
        <f>+SUM(Table1[[#This Row],[Latinos]:[Cemex]])</f>
        <v>1</v>
      </c>
      <c r="V1050" t="str">
        <f>+Table1[[#This Row],[id_destino]]&amp;" - "&amp;Table1[[#This Row],[id_origen]]</f>
        <v>18 - 31</v>
      </c>
    </row>
    <row r="1051" spans="1:22" hidden="1">
      <c r="A1051">
        <v>1680</v>
      </c>
      <c r="B1051">
        <v>717</v>
      </c>
      <c r="C1051">
        <v>2870</v>
      </c>
      <c r="D1051">
        <v>2876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 t="s">
        <v>20</v>
      </c>
      <c r="L1051" s="1">
        <v>43561</v>
      </c>
      <c r="M1051">
        <v>19</v>
      </c>
      <c r="N1051">
        <v>31</v>
      </c>
      <c r="O1051">
        <v>1197</v>
      </c>
      <c r="P1051">
        <v>1188</v>
      </c>
      <c r="Q1051">
        <v>1197</v>
      </c>
      <c r="S1051">
        <v>5332</v>
      </c>
      <c r="T1051">
        <v>5332</v>
      </c>
      <c r="U1051">
        <f>+SUM(Table1[[#This Row],[Latinos]:[Cemex]])</f>
        <v>1</v>
      </c>
      <c r="V1051" t="str">
        <f>+Table1[[#This Row],[id_destino]]&amp;" - "&amp;Table1[[#This Row],[id_origen]]</f>
        <v>19 - 31</v>
      </c>
    </row>
    <row r="1052" spans="1:22" hidden="1">
      <c r="A1052">
        <v>2360</v>
      </c>
      <c r="B1052">
        <v>3296</v>
      </c>
      <c r="C1052">
        <v>4008</v>
      </c>
      <c r="D1052">
        <v>5475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 t="s">
        <v>20</v>
      </c>
      <c r="L1052" s="1">
        <v>43980</v>
      </c>
      <c r="M1052">
        <v>20</v>
      </c>
      <c r="N1052">
        <v>31</v>
      </c>
      <c r="O1052">
        <v>1212</v>
      </c>
      <c r="P1052">
        <v>1203</v>
      </c>
      <c r="Q1052">
        <v>1212</v>
      </c>
      <c r="S1052">
        <v>3451</v>
      </c>
      <c r="T1052">
        <v>3451</v>
      </c>
      <c r="U1052">
        <f>+SUM(Table1[[#This Row],[Latinos]:[Cemex]])</f>
        <v>1</v>
      </c>
      <c r="V1052" t="str">
        <f>+Table1[[#This Row],[id_destino]]&amp;" - "&amp;Table1[[#This Row],[id_origen]]</f>
        <v>20 - 31</v>
      </c>
    </row>
    <row r="1053" spans="1:22" hidden="1">
      <c r="A1053">
        <v>835</v>
      </c>
      <c r="B1053">
        <v>394</v>
      </c>
      <c r="C1053">
        <v>4008</v>
      </c>
      <c r="D1053">
        <v>4455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 t="s">
        <v>20</v>
      </c>
      <c r="L1053" s="1">
        <v>44263</v>
      </c>
      <c r="M1053">
        <v>23</v>
      </c>
      <c r="N1053">
        <v>31</v>
      </c>
      <c r="O1053">
        <v>691</v>
      </c>
      <c r="P1053">
        <v>692</v>
      </c>
      <c r="Q1053">
        <v>691</v>
      </c>
      <c r="S1053">
        <v>3419</v>
      </c>
      <c r="T1053">
        <v>3419</v>
      </c>
      <c r="U1053">
        <f>+SUM(Table1[[#This Row],[Latinos]:[Cemex]])</f>
        <v>1</v>
      </c>
      <c r="V1053" t="str">
        <f>+Table1[[#This Row],[id_destino]]&amp;" - "&amp;Table1[[#This Row],[id_origen]]</f>
        <v>23 - 31</v>
      </c>
    </row>
    <row r="1054" spans="1:22" hidden="1">
      <c r="A1054">
        <v>908</v>
      </c>
      <c r="B1054">
        <v>394</v>
      </c>
      <c r="C1054">
        <v>35</v>
      </c>
      <c r="D1054">
        <v>4455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 t="s">
        <v>20</v>
      </c>
      <c r="L1054" s="1">
        <v>43210</v>
      </c>
      <c r="M1054">
        <v>23</v>
      </c>
      <c r="N1054">
        <v>31</v>
      </c>
      <c r="O1054">
        <v>689</v>
      </c>
      <c r="P1054">
        <v>689</v>
      </c>
      <c r="Q1054">
        <v>689</v>
      </c>
      <c r="S1054">
        <v>0</v>
      </c>
      <c r="T1054">
        <v>0</v>
      </c>
      <c r="U1054">
        <f>+SUM(Table1[[#This Row],[Latinos]:[Cemex]])</f>
        <v>1</v>
      </c>
      <c r="V1054" t="str">
        <f>+Table1[[#This Row],[id_destino]]&amp;" - "&amp;Table1[[#This Row],[id_origen]]</f>
        <v>23 - 31</v>
      </c>
    </row>
    <row r="1055" spans="1:22" hidden="1">
      <c r="A1055">
        <v>909</v>
      </c>
      <c r="B1055">
        <v>2506</v>
      </c>
      <c r="C1055">
        <v>366</v>
      </c>
      <c r="D1055">
        <v>5537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  <c r="K1055" t="s">
        <v>20</v>
      </c>
      <c r="L1055" s="1">
        <v>43210</v>
      </c>
      <c r="M1055">
        <v>25</v>
      </c>
      <c r="N1055">
        <v>31</v>
      </c>
      <c r="O1055">
        <v>872</v>
      </c>
      <c r="P1055">
        <v>872</v>
      </c>
      <c r="Q1055">
        <v>872</v>
      </c>
      <c r="S1055">
        <v>0</v>
      </c>
      <c r="T1055">
        <v>0</v>
      </c>
      <c r="U1055">
        <f>+SUM(Table1[[#This Row],[Latinos]:[Cemex]])</f>
        <v>1</v>
      </c>
      <c r="V1055" t="str">
        <f>+Table1[[#This Row],[id_destino]]&amp;" - "&amp;Table1[[#This Row],[id_origen]]</f>
        <v>25 - 31</v>
      </c>
    </row>
    <row r="1056" spans="1:22" hidden="1">
      <c r="A1056">
        <v>795</v>
      </c>
      <c r="B1056">
        <v>2454</v>
      </c>
      <c r="C1056">
        <v>366</v>
      </c>
      <c r="D1056">
        <v>5420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 t="s">
        <v>20</v>
      </c>
      <c r="L1056" s="1">
        <v>43833</v>
      </c>
      <c r="M1056">
        <v>26</v>
      </c>
      <c r="N1056">
        <v>31</v>
      </c>
      <c r="O1056">
        <v>693</v>
      </c>
      <c r="P1056">
        <v>693</v>
      </c>
      <c r="Q1056">
        <v>693</v>
      </c>
      <c r="S1056">
        <v>1696</v>
      </c>
      <c r="T1056">
        <v>1696</v>
      </c>
      <c r="U1056">
        <f>+SUM(Table1[[#This Row],[Latinos]:[Cemex]])</f>
        <v>1</v>
      </c>
      <c r="V1056" t="str">
        <f>+Table1[[#This Row],[id_destino]]&amp;" - "&amp;Table1[[#This Row],[id_origen]]</f>
        <v>26 - 31</v>
      </c>
    </row>
    <row r="1057" spans="1:22" hidden="1">
      <c r="A1057">
        <v>2477</v>
      </c>
      <c r="B1057">
        <v>2454</v>
      </c>
      <c r="C1057">
        <v>2870</v>
      </c>
      <c r="D1057">
        <v>6423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 t="s">
        <v>20</v>
      </c>
      <c r="L1057" s="1">
        <v>44111</v>
      </c>
      <c r="M1057">
        <v>26</v>
      </c>
      <c r="N1057">
        <v>31</v>
      </c>
      <c r="O1057">
        <v>693</v>
      </c>
      <c r="P1057">
        <v>684</v>
      </c>
      <c r="Q1057">
        <v>693</v>
      </c>
      <c r="S1057">
        <v>3220</v>
      </c>
      <c r="T1057">
        <v>3220</v>
      </c>
      <c r="U1057">
        <f>+SUM(Table1[[#This Row],[Latinos]:[Cemex]])</f>
        <v>1</v>
      </c>
      <c r="V1057" t="str">
        <f>+Table1[[#This Row],[id_destino]]&amp;" - "&amp;Table1[[#This Row],[id_origen]]</f>
        <v>26 - 31</v>
      </c>
    </row>
    <row r="1058" spans="1:22" hidden="1">
      <c r="A1058">
        <v>1044</v>
      </c>
      <c r="B1058">
        <v>2558</v>
      </c>
      <c r="C1058">
        <v>366</v>
      </c>
      <c r="D1058">
        <v>403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 t="s">
        <v>20</v>
      </c>
      <c r="L1058" s="1">
        <v>43260</v>
      </c>
      <c r="M1058">
        <v>27</v>
      </c>
      <c r="N1058">
        <v>31</v>
      </c>
      <c r="O1058">
        <v>647</v>
      </c>
      <c r="P1058">
        <v>647</v>
      </c>
      <c r="Q1058">
        <v>647</v>
      </c>
      <c r="S1058">
        <v>1281</v>
      </c>
      <c r="T1058">
        <v>1281</v>
      </c>
      <c r="U1058">
        <f>+SUM(Table1[[#This Row],[Latinos]:[Cemex]])</f>
        <v>1</v>
      </c>
      <c r="V1058" t="str">
        <f>+Table1[[#This Row],[id_destino]]&amp;" - "&amp;Table1[[#This Row],[id_origen]]</f>
        <v>27 - 31</v>
      </c>
    </row>
    <row r="1059" spans="1:22" hidden="1">
      <c r="A1059">
        <v>3805</v>
      </c>
      <c r="B1059">
        <v>2558</v>
      </c>
      <c r="C1059">
        <v>4008</v>
      </c>
      <c r="D1059">
        <v>4543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 t="s">
        <v>20</v>
      </c>
      <c r="L1059" s="1">
        <v>45100</v>
      </c>
      <c r="M1059">
        <v>27</v>
      </c>
      <c r="N1059">
        <v>31</v>
      </c>
      <c r="O1059">
        <v>642</v>
      </c>
      <c r="P1059">
        <v>647</v>
      </c>
      <c r="Q1059">
        <v>642</v>
      </c>
      <c r="S1059">
        <v>3094</v>
      </c>
      <c r="T1059">
        <v>3094</v>
      </c>
      <c r="U1059">
        <f>+SUM(Table1[[#This Row],[Latinos]:[Cemex]])</f>
        <v>1</v>
      </c>
      <c r="V1059" t="str">
        <f>+Table1[[#This Row],[id_destino]]&amp;" - "&amp;Table1[[#This Row],[id_origen]]</f>
        <v>27 - 31</v>
      </c>
    </row>
    <row r="1060" spans="1:22" hidden="1">
      <c r="A1060">
        <v>191</v>
      </c>
      <c r="B1060">
        <v>220</v>
      </c>
      <c r="C1060">
        <v>4008</v>
      </c>
      <c r="D1060">
        <v>34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 t="s">
        <v>20</v>
      </c>
      <c r="L1060" s="1">
        <v>43150</v>
      </c>
      <c r="M1060">
        <v>30</v>
      </c>
      <c r="N1060">
        <v>31</v>
      </c>
      <c r="O1060">
        <v>218</v>
      </c>
      <c r="P1060">
        <v>219</v>
      </c>
      <c r="Q1060">
        <v>218</v>
      </c>
      <c r="S1060">
        <v>714</v>
      </c>
      <c r="T1060">
        <v>714</v>
      </c>
      <c r="U1060">
        <f>+SUM(Table1[[#This Row],[Latinos]:[Cemex]])</f>
        <v>1</v>
      </c>
      <c r="V1060" t="str">
        <f>+Table1[[#This Row],[id_destino]]&amp;" - "&amp;Table1[[#This Row],[id_origen]]</f>
        <v>30 - 31</v>
      </c>
    </row>
    <row r="1061" spans="1:22" hidden="1">
      <c r="A1061">
        <v>3764</v>
      </c>
      <c r="B1061">
        <v>220</v>
      </c>
      <c r="C1061">
        <v>35</v>
      </c>
      <c r="D1061">
        <v>5978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 t="s">
        <v>20</v>
      </c>
      <c r="L1061" s="1">
        <v>45077</v>
      </c>
      <c r="M1061">
        <v>30</v>
      </c>
      <c r="N1061">
        <v>31</v>
      </c>
      <c r="O1061">
        <v>228</v>
      </c>
      <c r="P1061">
        <v>220</v>
      </c>
      <c r="Q1061">
        <v>228</v>
      </c>
      <c r="S1061">
        <v>765</v>
      </c>
      <c r="T1061">
        <v>765</v>
      </c>
      <c r="U1061">
        <f>+SUM(Table1[[#This Row],[Latinos]:[Cemex]])</f>
        <v>1</v>
      </c>
      <c r="V1061" t="str">
        <f>+Table1[[#This Row],[id_destino]]&amp;" - "&amp;Table1[[#This Row],[id_origen]]</f>
        <v>30 - 31</v>
      </c>
    </row>
    <row r="1062" spans="1:22" hidden="1">
      <c r="A1062">
        <v>1753</v>
      </c>
      <c r="B1062">
        <v>759</v>
      </c>
      <c r="C1062">
        <v>2870</v>
      </c>
      <c r="D1062">
        <v>3535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 t="s">
        <v>20</v>
      </c>
      <c r="L1062" s="1">
        <v>43738</v>
      </c>
      <c r="M1062">
        <v>31</v>
      </c>
      <c r="N1062">
        <v>31</v>
      </c>
      <c r="O1062">
        <v>50</v>
      </c>
      <c r="P1062">
        <v>150</v>
      </c>
      <c r="Q1062">
        <v>50</v>
      </c>
      <c r="S1062">
        <v>0</v>
      </c>
      <c r="T1062">
        <v>0</v>
      </c>
      <c r="U1062">
        <f>+SUM(Table1[[#This Row],[Latinos]:[Cemex]])</f>
        <v>1</v>
      </c>
      <c r="V1062" t="str">
        <f>+Table1[[#This Row],[id_destino]]&amp;" - "&amp;Table1[[#This Row],[id_origen]]</f>
        <v>31 - 31</v>
      </c>
    </row>
    <row r="1063" spans="1:22" hidden="1">
      <c r="A1063">
        <v>3115</v>
      </c>
      <c r="B1063">
        <v>759</v>
      </c>
      <c r="C1063">
        <v>4008</v>
      </c>
      <c r="D1063">
        <v>4008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 t="s">
        <v>20</v>
      </c>
      <c r="L1063" s="1">
        <v>44733</v>
      </c>
      <c r="M1063">
        <v>31</v>
      </c>
      <c r="N1063">
        <v>31</v>
      </c>
      <c r="O1063">
        <v>0</v>
      </c>
      <c r="P1063">
        <v>150</v>
      </c>
      <c r="Q1063">
        <v>600</v>
      </c>
      <c r="S1063">
        <v>0</v>
      </c>
      <c r="T1063">
        <v>0</v>
      </c>
      <c r="U1063">
        <f>+SUM(Table1[[#This Row],[Latinos]:[Cemex]])</f>
        <v>1</v>
      </c>
      <c r="V1063" t="str">
        <f>+Table1[[#This Row],[id_destino]]&amp;" - "&amp;Table1[[#This Row],[id_origen]]</f>
        <v>31 - 31</v>
      </c>
    </row>
    <row r="1064" spans="1:22" hidden="1">
      <c r="A1064">
        <v>156</v>
      </c>
      <c r="B1064">
        <v>77</v>
      </c>
      <c r="C1064">
        <v>4008</v>
      </c>
      <c r="D1064">
        <v>157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 t="s">
        <v>20</v>
      </c>
      <c r="L1064" s="1">
        <v>44124</v>
      </c>
      <c r="M1064">
        <v>33</v>
      </c>
      <c r="N1064">
        <v>31</v>
      </c>
      <c r="O1064">
        <v>697</v>
      </c>
      <c r="P1064">
        <v>686</v>
      </c>
      <c r="Q1064">
        <v>697</v>
      </c>
      <c r="S1064">
        <v>3525</v>
      </c>
      <c r="T1064">
        <v>3880</v>
      </c>
      <c r="U1064">
        <f>+SUM(Table1[[#This Row],[Latinos]:[Cemex]])</f>
        <v>1</v>
      </c>
      <c r="V1064" t="str">
        <f>+Table1[[#This Row],[id_destino]]&amp;" - "&amp;Table1[[#This Row],[id_origen]]</f>
        <v>33 - 31</v>
      </c>
    </row>
    <row r="1065" spans="1:22" hidden="1">
      <c r="A1065">
        <v>1300</v>
      </c>
      <c r="B1065">
        <v>761</v>
      </c>
      <c r="C1065">
        <v>2870</v>
      </c>
      <c r="D1065">
        <v>4048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 t="s">
        <v>20</v>
      </c>
      <c r="L1065" s="1">
        <v>43375</v>
      </c>
      <c r="M1065">
        <v>35</v>
      </c>
      <c r="N1065">
        <v>31</v>
      </c>
      <c r="O1065">
        <v>1592</v>
      </c>
      <c r="P1065">
        <v>1585</v>
      </c>
      <c r="Q1065">
        <v>1592</v>
      </c>
      <c r="S1065">
        <v>7411</v>
      </c>
      <c r="T1065">
        <v>7417</v>
      </c>
      <c r="U1065">
        <f>+SUM(Table1[[#This Row],[Latinos]:[Cemex]])</f>
        <v>1</v>
      </c>
      <c r="V1065" t="str">
        <f>+Table1[[#This Row],[id_destino]]&amp;" - "&amp;Table1[[#This Row],[id_origen]]</f>
        <v>35 - 31</v>
      </c>
    </row>
    <row r="1066" spans="1:22" hidden="1">
      <c r="A1066">
        <v>2548</v>
      </c>
      <c r="B1066">
        <v>697</v>
      </c>
      <c r="C1066">
        <v>4008</v>
      </c>
      <c r="D1066">
        <v>556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 t="s">
        <v>20</v>
      </c>
      <c r="L1066" s="1">
        <v>44172</v>
      </c>
      <c r="M1066">
        <v>36</v>
      </c>
      <c r="N1066">
        <v>31</v>
      </c>
      <c r="O1066">
        <v>1533</v>
      </c>
      <c r="P1066">
        <v>1533</v>
      </c>
      <c r="Q1066">
        <v>1533</v>
      </c>
      <c r="S1066">
        <v>4446</v>
      </c>
      <c r="T1066">
        <v>4448</v>
      </c>
      <c r="U1066">
        <f>+SUM(Table1[[#This Row],[Latinos]:[Cemex]])</f>
        <v>1</v>
      </c>
      <c r="V1066" t="str">
        <f>+Table1[[#This Row],[id_destino]]&amp;" - "&amp;Table1[[#This Row],[id_origen]]</f>
        <v>36 - 31</v>
      </c>
    </row>
    <row r="1067" spans="1:22" hidden="1">
      <c r="A1067">
        <v>2198</v>
      </c>
      <c r="B1067">
        <v>486</v>
      </c>
      <c r="C1067">
        <v>4008</v>
      </c>
      <c r="D1067">
        <v>44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 t="s">
        <v>20</v>
      </c>
      <c r="L1067" s="1">
        <v>44223</v>
      </c>
      <c r="M1067">
        <v>38</v>
      </c>
      <c r="N1067">
        <v>31</v>
      </c>
      <c r="O1067">
        <v>971</v>
      </c>
      <c r="P1067">
        <v>970</v>
      </c>
      <c r="Q1067">
        <v>971</v>
      </c>
      <c r="S1067">
        <v>4303</v>
      </c>
      <c r="T1067">
        <v>4303</v>
      </c>
      <c r="U1067">
        <f>+SUM(Table1[[#This Row],[Latinos]:[Cemex]])</f>
        <v>1</v>
      </c>
      <c r="V1067" t="str">
        <f>+Table1[[#This Row],[id_destino]]&amp;" - "&amp;Table1[[#This Row],[id_origen]]</f>
        <v>38 - 31</v>
      </c>
    </row>
    <row r="1068" spans="1:22" hidden="1">
      <c r="A1068">
        <v>2533</v>
      </c>
      <c r="B1068">
        <v>555</v>
      </c>
      <c r="C1068">
        <v>4008</v>
      </c>
      <c r="D1068">
        <v>3915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 t="s">
        <v>20</v>
      </c>
      <c r="L1068" s="1">
        <v>44160</v>
      </c>
      <c r="M1068">
        <v>40</v>
      </c>
      <c r="N1068">
        <v>31</v>
      </c>
      <c r="O1068">
        <v>853</v>
      </c>
      <c r="P1068">
        <v>843</v>
      </c>
      <c r="Q1068">
        <v>853</v>
      </c>
      <c r="S1068">
        <v>3717</v>
      </c>
      <c r="T1068">
        <v>3717</v>
      </c>
      <c r="U1068">
        <f>+SUM(Table1[[#This Row],[Latinos]:[Cemex]])</f>
        <v>1</v>
      </c>
      <c r="V1068" t="str">
        <f>+Table1[[#This Row],[id_destino]]&amp;" - "&amp;Table1[[#This Row],[id_origen]]</f>
        <v>40 - 31</v>
      </c>
    </row>
    <row r="1069" spans="1:22" hidden="1">
      <c r="A1069">
        <v>2358</v>
      </c>
      <c r="B1069">
        <v>702</v>
      </c>
      <c r="C1069">
        <v>4008</v>
      </c>
      <c r="D1069">
        <v>48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 t="s">
        <v>20</v>
      </c>
      <c r="L1069" s="1">
        <v>43980</v>
      </c>
      <c r="M1069">
        <v>42</v>
      </c>
      <c r="N1069">
        <v>31</v>
      </c>
      <c r="O1069">
        <v>1482</v>
      </c>
      <c r="P1069">
        <v>1480</v>
      </c>
      <c r="Q1069">
        <v>1482</v>
      </c>
      <c r="S1069">
        <v>6560</v>
      </c>
      <c r="T1069">
        <v>6560</v>
      </c>
      <c r="U1069">
        <f>+SUM(Table1[[#This Row],[Latinos]:[Cemex]])</f>
        <v>1</v>
      </c>
      <c r="V1069" t="str">
        <f>+Table1[[#This Row],[id_destino]]&amp;" - "&amp;Table1[[#This Row],[id_origen]]</f>
        <v>42 - 31</v>
      </c>
    </row>
    <row r="1070" spans="1:22" hidden="1">
      <c r="A1070">
        <v>1494</v>
      </c>
      <c r="B1070">
        <v>813</v>
      </c>
      <c r="C1070">
        <v>35</v>
      </c>
      <c r="D1070">
        <v>49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 t="s">
        <v>20</v>
      </c>
      <c r="L1070" s="1">
        <v>43472</v>
      </c>
      <c r="M1070">
        <v>43</v>
      </c>
      <c r="N1070">
        <v>31</v>
      </c>
      <c r="O1070">
        <v>1813</v>
      </c>
      <c r="P1070">
        <v>1813</v>
      </c>
      <c r="Q1070">
        <v>1813</v>
      </c>
      <c r="S1070">
        <v>0</v>
      </c>
      <c r="T1070">
        <v>0</v>
      </c>
      <c r="U1070">
        <f>+SUM(Table1[[#This Row],[Latinos]:[Cemex]])</f>
        <v>1</v>
      </c>
      <c r="V1070" t="str">
        <f>+Table1[[#This Row],[id_destino]]&amp;" - "&amp;Table1[[#This Row],[id_origen]]</f>
        <v>43 - 31</v>
      </c>
    </row>
    <row r="1071" spans="1:22" hidden="1">
      <c r="A1071">
        <v>2532</v>
      </c>
      <c r="B1071">
        <v>813</v>
      </c>
      <c r="C1071">
        <v>4008</v>
      </c>
      <c r="D1071">
        <v>49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 t="s">
        <v>20</v>
      </c>
      <c r="L1071" s="1">
        <v>44160</v>
      </c>
      <c r="M1071">
        <v>43</v>
      </c>
      <c r="N1071">
        <v>31</v>
      </c>
      <c r="O1071">
        <v>1813</v>
      </c>
      <c r="P1071">
        <v>1813</v>
      </c>
      <c r="Q1071">
        <v>1813</v>
      </c>
      <c r="S1071">
        <v>5258</v>
      </c>
      <c r="T1071">
        <v>5258</v>
      </c>
      <c r="U1071">
        <f>+SUM(Table1[[#This Row],[Latinos]:[Cemex]])</f>
        <v>1</v>
      </c>
      <c r="V1071" t="str">
        <f>+Table1[[#This Row],[id_destino]]&amp;" - "&amp;Table1[[#This Row],[id_origen]]</f>
        <v>43 - 31</v>
      </c>
    </row>
    <row r="1072" spans="1:22" hidden="1">
      <c r="A1072">
        <v>2840</v>
      </c>
      <c r="B1072">
        <v>703</v>
      </c>
      <c r="C1072">
        <v>4008</v>
      </c>
      <c r="D1072">
        <v>52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 t="s">
        <v>20</v>
      </c>
      <c r="L1072" s="1">
        <v>44525</v>
      </c>
      <c r="M1072">
        <v>46</v>
      </c>
      <c r="N1072">
        <v>31</v>
      </c>
      <c r="O1072">
        <v>1434</v>
      </c>
      <c r="P1072">
        <v>1431</v>
      </c>
      <c r="Q1072">
        <v>1434</v>
      </c>
      <c r="S1072">
        <v>6680</v>
      </c>
      <c r="T1072">
        <v>6680</v>
      </c>
      <c r="U1072">
        <f>+SUM(Table1[[#This Row],[Latinos]:[Cemex]])</f>
        <v>1</v>
      </c>
      <c r="V1072" t="str">
        <f>+Table1[[#This Row],[id_destino]]&amp;" - "&amp;Table1[[#This Row],[id_origen]]</f>
        <v>46 - 31</v>
      </c>
    </row>
    <row r="1073" spans="1:22" hidden="1">
      <c r="A1073">
        <v>1674</v>
      </c>
      <c r="B1073">
        <v>236</v>
      </c>
      <c r="C1073">
        <v>2870</v>
      </c>
      <c r="D1073">
        <v>5198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 t="s">
        <v>20</v>
      </c>
      <c r="L1073" s="1">
        <v>43560</v>
      </c>
      <c r="M1073">
        <v>47</v>
      </c>
      <c r="N1073">
        <v>31</v>
      </c>
      <c r="O1073">
        <v>1158</v>
      </c>
      <c r="P1073">
        <v>1144</v>
      </c>
      <c r="Q1073">
        <v>1158</v>
      </c>
      <c r="S1073">
        <v>4977</v>
      </c>
      <c r="T1073">
        <v>5034</v>
      </c>
      <c r="U1073">
        <f>+SUM(Table1[[#This Row],[Latinos]:[Cemex]])</f>
        <v>1</v>
      </c>
      <c r="V1073" t="str">
        <f>+Table1[[#This Row],[id_destino]]&amp;" - "&amp;Table1[[#This Row],[id_origen]]</f>
        <v>47 - 31</v>
      </c>
    </row>
    <row r="1074" spans="1:22" hidden="1">
      <c r="A1074">
        <v>4756</v>
      </c>
      <c r="B1074">
        <v>4890</v>
      </c>
      <c r="C1074">
        <v>4008</v>
      </c>
      <c r="D1074">
        <v>6311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 t="s">
        <v>20</v>
      </c>
      <c r="L1074" s="1">
        <v>45786</v>
      </c>
      <c r="M1074">
        <v>49</v>
      </c>
      <c r="N1074">
        <v>31</v>
      </c>
      <c r="O1074">
        <v>1478</v>
      </c>
      <c r="P1074">
        <v>1374</v>
      </c>
      <c r="Q1074">
        <v>1478</v>
      </c>
      <c r="S1074">
        <v>4046</v>
      </c>
      <c r="T1074">
        <v>4186</v>
      </c>
      <c r="U1074">
        <f>+SUM(Table1[[#This Row],[Latinos]:[Cemex]])</f>
        <v>1</v>
      </c>
      <c r="V1074" t="str">
        <f>+Table1[[#This Row],[id_destino]]&amp;" - "&amp;Table1[[#This Row],[id_origen]]</f>
        <v>49 - 31</v>
      </c>
    </row>
    <row r="1075" spans="1:22" hidden="1">
      <c r="A1075">
        <v>4445</v>
      </c>
      <c r="B1075">
        <v>4664</v>
      </c>
      <c r="C1075">
        <v>4008</v>
      </c>
      <c r="D1075">
        <v>3458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 t="s">
        <v>20</v>
      </c>
      <c r="L1075" s="1">
        <v>45544</v>
      </c>
      <c r="M1075">
        <v>53</v>
      </c>
      <c r="N1075">
        <v>31</v>
      </c>
      <c r="O1075">
        <v>1265</v>
      </c>
      <c r="P1075">
        <v>1250</v>
      </c>
      <c r="Q1075">
        <v>1265</v>
      </c>
      <c r="S1075">
        <v>5167</v>
      </c>
      <c r="T1075">
        <v>5597</v>
      </c>
      <c r="U1075">
        <f>+SUM(Table1[[#This Row],[Latinos]:[Cemex]])</f>
        <v>1</v>
      </c>
      <c r="V1075" t="str">
        <f>+Table1[[#This Row],[id_destino]]&amp;" - "&amp;Table1[[#This Row],[id_origen]]</f>
        <v>53 - 31</v>
      </c>
    </row>
    <row r="1076" spans="1:22">
      <c r="A1076">
        <v>4311</v>
      </c>
      <c r="B1076">
        <v>4100</v>
      </c>
      <c r="C1076">
        <v>4008</v>
      </c>
      <c r="D1076">
        <v>7731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 t="s">
        <v>20</v>
      </c>
      <c r="L1076" s="1">
        <v>45452</v>
      </c>
      <c r="M1076">
        <v>54</v>
      </c>
      <c r="N1076">
        <v>31</v>
      </c>
      <c r="O1076">
        <v>968</v>
      </c>
      <c r="P1076">
        <v>959</v>
      </c>
      <c r="Q1076">
        <v>968</v>
      </c>
      <c r="S1076">
        <v>4027</v>
      </c>
      <c r="T1076">
        <v>4457</v>
      </c>
      <c r="U1076">
        <f>+SUM(Table1[[#This Row],[Latinos]:[Cemex]])</f>
        <v>1</v>
      </c>
      <c r="V1076" t="str">
        <f>+Table1[[#This Row],[id_destino]]&amp;" - "&amp;Table1[[#This Row],[id_origen]]</f>
        <v>54 - 31</v>
      </c>
    </row>
    <row r="1077" spans="1:22" hidden="1">
      <c r="A1077">
        <v>103</v>
      </c>
      <c r="B1077">
        <v>735</v>
      </c>
      <c r="C1077">
        <v>4008</v>
      </c>
      <c r="D1077">
        <v>63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 t="s">
        <v>20</v>
      </c>
      <c r="L1077" s="1">
        <v>42991</v>
      </c>
      <c r="M1077">
        <v>55</v>
      </c>
      <c r="N1077">
        <v>31</v>
      </c>
      <c r="O1077">
        <v>1273</v>
      </c>
      <c r="P1077">
        <v>1241</v>
      </c>
      <c r="Q1077">
        <v>1273</v>
      </c>
      <c r="S1077">
        <v>5808</v>
      </c>
      <c r="T1077">
        <v>5808</v>
      </c>
      <c r="U1077">
        <f>+SUM(Table1[[#This Row],[Latinos]:[Cemex]])</f>
        <v>1</v>
      </c>
      <c r="V1077" t="str">
        <f>+Table1[[#This Row],[id_destino]]&amp;" - "&amp;Table1[[#This Row],[id_origen]]</f>
        <v>55 - 31</v>
      </c>
    </row>
    <row r="1078" spans="1:22" hidden="1">
      <c r="A1078">
        <v>2526</v>
      </c>
      <c r="B1078">
        <v>720</v>
      </c>
      <c r="C1078">
        <v>4008</v>
      </c>
      <c r="D1078">
        <v>65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 t="s">
        <v>20</v>
      </c>
      <c r="L1078" s="1">
        <v>44155</v>
      </c>
      <c r="M1078">
        <v>57</v>
      </c>
      <c r="N1078">
        <v>31</v>
      </c>
      <c r="O1078">
        <v>1286</v>
      </c>
      <c r="P1078">
        <v>1286</v>
      </c>
      <c r="Q1078">
        <v>1286</v>
      </c>
      <c r="S1078">
        <v>5585</v>
      </c>
      <c r="T1078">
        <v>5585</v>
      </c>
      <c r="U1078">
        <f>+SUM(Table1[[#This Row],[Latinos]:[Cemex]])</f>
        <v>1</v>
      </c>
      <c r="V1078" t="str">
        <f>+Table1[[#This Row],[id_destino]]&amp;" - "&amp;Table1[[#This Row],[id_origen]]</f>
        <v>57 - 31</v>
      </c>
    </row>
    <row r="1079" spans="1:22" hidden="1">
      <c r="A1079">
        <v>2079</v>
      </c>
      <c r="B1079">
        <v>748</v>
      </c>
      <c r="C1079">
        <v>4008</v>
      </c>
      <c r="D1079">
        <v>3984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 t="s">
        <v>20</v>
      </c>
      <c r="L1079" s="1">
        <v>44879</v>
      </c>
      <c r="M1079">
        <v>59</v>
      </c>
      <c r="N1079">
        <v>31</v>
      </c>
      <c r="O1079">
        <v>1584</v>
      </c>
      <c r="P1079">
        <v>1534</v>
      </c>
      <c r="Q1079">
        <v>1584</v>
      </c>
      <c r="S1079">
        <v>6336</v>
      </c>
      <c r="T1079">
        <v>6504</v>
      </c>
      <c r="U1079">
        <f>+SUM(Table1[[#This Row],[Latinos]:[Cemex]])</f>
        <v>1</v>
      </c>
      <c r="V1079" t="str">
        <f>+Table1[[#This Row],[id_destino]]&amp;" - "&amp;Table1[[#This Row],[id_origen]]</f>
        <v>59 - 31</v>
      </c>
    </row>
    <row r="1080" spans="1:22" hidden="1">
      <c r="A1080">
        <v>1586</v>
      </c>
      <c r="B1080">
        <v>2814</v>
      </c>
      <c r="C1080">
        <v>2870</v>
      </c>
      <c r="D1080">
        <v>70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 t="s">
        <v>20</v>
      </c>
      <c r="L1080" s="1">
        <v>44124</v>
      </c>
      <c r="M1080">
        <v>60</v>
      </c>
      <c r="N1080">
        <v>31</v>
      </c>
      <c r="O1080">
        <v>1561</v>
      </c>
      <c r="P1080">
        <v>1559</v>
      </c>
      <c r="Q1080">
        <v>1561</v>
      </c>
      <c r="S1080">
        <v>1634</v>
      </c>
      <c r="T1080">
        <v>1774</v>
      </c>
      <c r="U1080">
        <f>+SUM(Table1[[#This Row],[Latinos]:[Cemex]])</f>
        <v>1</v>
      </c>
      <c r="V1080" t="str">
        <f>+Table1[[#This Row],[id_destino]]&amp;" - "&amp;Table1[[#This Row],[id_origen]]</f>
        <v>60 - 31</v>
      </c>
    </row>
    <row r="1081" spans="1:22" hidden="1">
      <c r="A1081">
        <v>1277</v>
      </c>
      <c r="B1081">
        <v>190</v>
      </c>
      <c r="C1081">
        <v>4008</v>
      </c>
      <c r="D1081">
        <v>71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 t="s">
        <v>20</v>
      </c>
      <c r="L1081" s="1">
        <v>44124</v>
      </c>
      <c r="M1081">
        <v>61</v>
      </c>
      <c r="N1081">
        <v>31</v>
      </c>
      <c r="O1081">
        <v>1389</v>
      </c>
      <c r="P1081">
        <v>1395</v>
      </c>
      <c r="Q1081">
        <v>1389</v>
      </c>
      <c r="S1081">
        <v>1895</v>
      </c>
      <c r="T1081">
        <v>2007</v>
      </c>
      <c r="U1081">
        <f>+SUM(Table1[[#This Row],[Latinos]:[Cemex]])</f>
        <v>1</v>
      </c>
      <c r="V1081" t="str">
        <f>+Table1[[#This Row],[id_destino]]&amp;" - "&amp;Table1[[#This Row],[id_origen]]</f>
        <v>61 - 31</v>
      </c>
    </row>
    <row r="1082" spans="1:22" hidden="1">
      <c r="A1082">
        <v>1235</v>
      </c>
      <c r="B1082">
        <v>934</v>
      </c>
      <c r="C1082">
        <v>4008</v>
      </c>
      <c r="D1082">
        <v>5681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 t="s">
        <v>20</v>
      </c>
      <c r="L1082" s="1">
        <v>43349</v>
      </c>
      <c r="M1082">
        <v>62</v>
      </c>
      <c r="N1082">
        <v>31</v>
      </c>
      <c r="O1082">
        <v>955</v>
      </c>
      <c r="P1082">
        <v>955</v>
      </c>
      <c r="Q1082">
        <v>955</v>
      </c>
      <c r="S1082">
        <v>1754</v>
      </c>
      <c r="T1082">
        <v>1754</v>
      </c>
      <c r="U1082">
        <f>+SUM(Table1[[#This Row],[Latinos]:[Cemex]])</f>
        <v>1</v>
      </c>
      <c r="V1082" t="str">
        <f>+Table1[[#This Row],[id_destino]]&amp;" - "&amp;Table1[[#This Row],[id_origen]]</f>
        <v>62 - 31</v>
      </c>
    </row>
    <row r="1083" spans="1:22" hidden="1">
      <c r="A1083">
        <v>224</v>
      </c>
      <c r="B1083">
        <v>222</v>
      </c>
      <c r="C1083">
        <v>4008</v>
      </c>
      <c r="D1083">
        <v>3172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  <c r="K1083" t="s">
        <v>20</v>
      </c>
      <c r="L1083" s="1">
        <v>43017</v>
      </c>
      <c r="M1083">
        <v>65</v>
      </c>
      <c r="N1083">
        <v>31</v>
      </c>
      <c r="O1083">
        <v>1338</v>
      </c>
      <c r="P1083">
        <v>1338</v>
      </c>
      <c r="Q1083">
        <v>1338</v>
      </c>
      <c r="S1083">
        <v>3639</v>
      </c>
      <c r="T1083">
        <v>3693</v>
      </c>
      <c r="U1083">
        <f>+SUM(Table1[[#This Row],[Latinos]:[Cemex]])</f>
        <v>1</v>
      </c>
      <c r="V1083" t="str">
        <f>+Table1[[#This Row],[id_destino]]&amp;" - "&amp;Table1[[#This Row],[id_origen]]</f>
        <v>65 - 31</v>
      </c>
    </row>
    <row r="1084" spans="1:22" hidden="1">
      <c r="A1084">
        <v>742</v>
      </c>
      <c r="B1084">
        <v>222</v>
      </c>
      <c r="C1084">
        <v>2870</v>
      </c>
      <c r="D1084">
        <v>2882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 t="s">
        <v>20</v>
      </c>
      <c r="L1084" s="1">
        <v>43148</v>
      </c>
      <c r="M1084">
        <v>65</v>
      </c>
      <c r="N1084">
        <v>31</v>
      </c>
      <c r="O1084">
        <v>1351</v>
      </c>
      <c r="P1084">
        <v>1353</v>
      </c>
      <c r="Q1084">
        <v>1342</v>
      </c>
      <c r="S1084">
        <v>6058</v>
      </c>
      <c r="T1084">
        <v>6058</v>
      </c>
      <c r="U1084">
        <f>+SUM(Table1[[#This Row],[Latinos]:[Cemex]])</f>
        <v>1</v>
      </c>
      <c r="V1084" t="str">
        <f>+Table1[[#This Row],[id_destino]]&amp;" - "&amp;Table1[[#This Row],[id_origen]]</f>
        <v>65 - 31</v>
      </c>
    </row>
    <row r="1085" spans="1:22" hidden="1">
      <c r="A1085">
        <v>3481</v>
      </c>
      <c r="B1085">
        <v>700</v>
      </c>
      <c r="C1085">
        <v>4008</v>
      </c>
      <c r="D1085">
        <v>3265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 t="s">
        <v>20</v>
      </c>
      <c r="L1085" s="1">
        <v>44917</v>
      </c>
      <c r="M1085">
        <v>66</v>
      </c>
      <c r="N1085">
        <v>31</v>
      </c>
      <c r="O1085">
        <v>1328</v>
      </c>
      <c r="P1085">
        <v>1323</v>
      </c>
      <c r="Q1085">
        <v>1328</v>
      </c>
      <c r="S1085">
        <v>5785</v>
      </c>
      <c r="T1085">
        <v>5785</v>
      </c>
      <c r="U1085">
        <f>+SUM(Table1[[#This Row],[Latinos]:[Cemex]])</f>
        <v>1</v>
      </c>
      <c r="V1085" t="str">
        <f>+Table1[[#This Row],[id_destino]]&amp;" - "&amp;Table1[[#This Row],[id_origen]]</f>
        <v>66 - 31</v>
      </c>
    </row>
    <row r="1086" spans="1:22" hidden="1">
      <c r="A1086">
        <v>1103</v>
      </c>
      <c r="B1086">
        <v>731</v>
      </c>
      <c r="C1086">
        <v>366</v>
      </c>
      <c r="D1086">
        <v>420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 t="s">
        <v>20</v>
      </c>
      <c r="L1086" s="1">
        <v>43291</v>
      </c>
      <c r="M1086">
        <v>71</v>
      </c>
      <c r="N1086">
        <v>31</v>
      </c>
      <c r="O1086">
        <v>689</v>
      </c>
      <c r="P1086">
        <v>689</v>
      </c>
      <c r="Q1086">
        <v>689</v>
      </c>
      <c r="S1086">
        <v>1697</v>
      </c>
      <c r="T1086">
        <v>1697</v>
      </c>
      <c r="U1086">
        <f>+SUM(Table1[[#This Row],[Latinos]:[Cemex]])</f>
        <v>1</v>
      </c>
      <c r="V1086" t="str">
        <f>+Table1[[#This Row],[id_destino]]&amp;" - "&amp;Table1[[#This Row],[id_origen]]</f>
        <v>71 - 31</v>
      </c>
    </row>
    <row r="1087" spans="1:22" hidden="1">
      <c r="A1087">
        <v>1131</v>
      </c>
      <c r="B1087">
        <v>731</v>
      </c>
      <c r="C1087">
        <v>4008</v>
      </c>
      <c r="D1087">
        <v>4197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 t="s">
        <v>20</v>
      </c>
      <c r="L1087" s="1">
        <v>43633</v>
      </c>
      <c r="M1087">
        <v>71</v>
      </c>
      <c r="N1087">
        <v>31</v>
      </c>
      <c r="O1087">
        <v>695</v>
      </c>
      <c r="P1087">
        <v>688</v>
      </c>
      <c r="Q1087">
        <v>695</v>
      </c>
      <c r="S1087">
        <v>3220</v>
      </c>
      <c r="T1087">
        <v>3220</v>
      </c>
      <c r="U1087">
        <f>+SUM(Table1[[#This Row],[Latinos]:[Cemex]])</f>
        <v>1</v>
      </c>
      <c r="V1087" t="str">
        <f>+Table1[[#This Row],[id_destino]]&amp;" - "&amp;Table1[[#This Row],[id_origen]]</f>
        <v>71 - 31</v>
      </c>
    </row>
    <row r="1088" spans="1:22" hidden="1">
      <c r="A1088">
        <v>2583</v>
      </c>
      <c r="B1088">
        <v>607</v>
      </c>
      <c r="C1088">
        <v>4008</v>
      </c>
      <c r="D1088">
        <v>846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 t="s">
        <v>20</v>
      </c>
      <c r="L1088" s="1">
        <v>44200</v>
      </c>
      <c r="M1088">
        <v>72</v>
      </c>
      <c r="N1088">
        <v>31</v>
      </c>
      <c r="O1088">
        <v>1227</v>
      </c>
      <c r="P1088">
        <v>1225</v>
      </c>
      <c r="Q1088">
        <v>1227</v>
      </c>
      <c r="S1088">
        <v>6038</v>
      </c>
      <c r="T1088">
        <v>6131</v>
      </c>
      <c r="U1088">
        <f>+SUM(Table1[[#This Row],[Latinos]:[Cemex]])</f>
        <v>1</v>
      </c>
      <c r="V1088" t="str">
        <f>+Table1[[#This Row],[id_destino]]&amp;" - "&amp;Table1[[#This Row],[id_origen]]</f>
        <v>72 - 31</v>
      </c>
    </row>
    <row r="1089" spans="1:22" hidden="1">
      <c r="A1089">
        <v>1375</v>
      </c>
      <c r="B1089">
        <v>842</v>
      </c>
      <c r="C1089">
        <v>4008</v>
      </c>
      <c r="D1089">
        <v>5702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 t="s">
        <v>20</v>
      </c>
      <c r="L1089" s="1">
        <v>43409</v>
      </c>
      <c r="M1089">
        <v>77</v>
      </c>
      <c r="N1089">
        <v>31</v>
      </c>
      <c r="O1089">
        <v>1243</v>
      </c>
      <c r="P1089">
        <v>1240</v>
      </c>
      <c r="Q1089">
        <v>1243</v>
      </c>
      <c r="S1089">
        <v>5989</v>
      </c>
      <c r="T1089">
        <v>6079</v>
      </c>
      <c r="U1089">
        <f>+SUM(Table1[[#This Row],[Latinos]:[Cemex]])</f>
        <v>1</v>
      </c>
      <c r="V1089" t="str">
        <f>+Table1[[#This Row],[id_destino]]&amp;" - "&amp;Table1[[#This Row],[id_origen]]</f>
        <v>77 - 31</v>
      </c>
    </row>
    <row r="1090" spans="1:22" hidden="1">
      <c r="A1090">
        <v>68</v>
      </c>
      <c r="B1090">
        <v>1575</v>
      </c>
      <c r="C1090">
        <v>4008</v>
      </c>
      <c r="D1090">
        <v>4238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 t="s">
        <v>20</v>
      </c>
      <c r="L1090" s="1">
        <v>42986</v>
      </c>
      <c r="M1090">
        <v>79</v>
      </c>
      <c r="N1090">
        <v>31</v>
      </c>
      <c r="O1090">
        <v>1420</v>
      </c>
      <c r="P1090">
        <v>1437</v>
      </c>
      <c r="Q1090">
        <v>1420</v>
      </c>
      <c r="S1090">
        <v>6195</v>
      </c>
      <c r="T1090">
        <v>6201</v>
      </c>
      <c r="U1090">
        <f>+SUM(Table1[[#This Row],[Latinos]:[Cemex]])</f>
        <v>1</v>
      </c>
      <c r="V1090" t="str">
        <f>+Table1[[#This Row],[id_destino]]&amp;" - "&amp;Table1[[#This Row],[id_origen]]</f>
        <v>79 - 31</v>
      </c>
    </row>
    <row r="1091" spans="1:22" hidden="1">
      <c r="A1091">
        <v>206</v>
      </c>
      <c r="B1091">
        <v>2241</v>
      </c>
      <c r="C1091">
        <v>4008</v>
      </c>
      <c r="D1091">
        <v>1431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 t="s">
        <v>20</v>
      </c>
      <c r="L1091" s="1">
        <v>44124</v>
      </c>
      <c r="M1091">
        <v>89</v>
      </c>
      <c r="N1091">
        <v>31</v>
      </c>
      <c r="O1091">
        <v>1076</v>
      </c>
      <c r="P1091">
        <v>1018</v>
      </c>
      <c r="Q1091">
        <v>1076</v>
      </c>
      <c r="S1091">
        <v>1682</v>
      </c>
      <c r="T1091">
        <v>1682</v>
      </c>
      <c r="U1091">
        <f>+SUM(Table1[[#This Row],[Latinos]:[Cemex]])</f>
        <v>1</v>
      </c>
      <c r="V1091" t="str">
        <f>+Table1[[#This Row],[id_destino]]&amp;" - "&amp;Table1[[#This Row],[id_origen]]</f>
        <v>89 - 31</v>
      </c>
    </row>
    <row r="1092" spans="1:22" hidden="1">
      <c r="A1092">
        <v>300</v>
      </c>
      <c r="B1092">
        <v>604</v>
      </c>
      <c r="C1092">
        <v>4008</v>
      </c>
      <c r="D1092">
        <v>5319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 t="s">
        <v>20</v>
      </c>
      <c r="L1092" s="1">
        <v>43033</v>
      </c>
      <c r="M1092">
        <v>105</v>
      </c>
      <c r="N1092">
        <v>31</v>
      </c>
      <c r="O1092">
        <v>1182</v>
      </c>
      <c r="P1092">
        <v>1182</v>
      </c>
      <c r="Q1092">
        <v>1182</v>
      </c>
      <c r="S1092">
        <v>3147</v>
      </c>
      <c r="T1092">
        <v>3147</v>
      </c>
      <c r="U1092">
        <f>+SUM(Table1[[#This Row],[Latinos]:[Cemex]])</f>
        <v>1</v>
      </c>
      <c r="V1092" t="str">
        <f>+Table1[[#This Row],[id_destino]]&amp;" - "&amp;Table1[[#This Row],[id_origen]]</f>
        <v>105 - 31</v>
      </c>
    </row>
    <row r="1093" spans="1:22" hidden="1">
      <c r="A1093">
        <v>525</v>
      </c>
      <c r="B1093">
        <v>604</v>
      </c>
      <c r="C1093">
        <v>4008</v>
      </c>
      <c r="D1093">
        <v>4181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 t="s">
        <v>20</v>
      </c>
      <c r="L1093" s="1">
        <v>43088</v>
      </c>
      <c r="M1093">
        <v>105</v>
      </c>
      <c r="N1093">
        <v>31</v>
      </c>
      <c r="O1093">
        <v>1202</v>
      </c>
      <c r="P1093">
        <v>1196</v>
      </c>
      <c r="Q1093">
        <v>1202</v>
      </c>
      <c r="S1093">
        <v>5332</v>
      </c>
      <c r="T1093">
        <v>5332</v>
      </c>
      <c r="U1093">
        <f>+SUM(Table1[[#This Row],[Latinos]:[Cemex]])</f>
        <v>1</v>
      </c>
      <c r="V1093" t="str">
        <f>+Table1[[#This Row],[id_destino]]&amp;" - "&amp;Table1[[#This Row],[id_origen]]</f>
        <v>105 - 31</v>
      </c>
    </row>
    <row r="1094" spans="1:22" hidden="1">
      <c r="A1094">
        <v>1069</v>
      </c>
      <c r="B1094">
        <v>756</v>
      </c>
      <c r="C1094">
        <v>4008</v>
      </c>
      <c r="D1094">
        <v>4170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 t="s">
        <v>20</v>
      </c>
      <c r="L1094" s="1">
        <v>45586</v>
      </c>
      <c r="M1094">
        <v>107</v>
      </c>
      <c r="N1094">
        <v>31</v>
      </c>
      <c r="O1094">
        <v>1384</v>
      </c>
      <c r="P1094">
        <v>1374</v>
      </c>
      <c r="Q1094">
        <v>1384</v>
      </c>
      <c r="S1094">
        <v>3631</v>
      </c>
      <c r="T1094">
        <v>3764</v>
      </c>
      <c r="U1094">
        <f>+SUM(Table1[[#This Row],[Latinos]:[Cemex]])</f>
        <v>1</v>
      </c>
      <c r="V1094" t="str">
        <f>+Table1[[#This Row],[id_destino]]&amp;" - "&amp;Table1[[#This Row],[id_origen]]</f>
        <v>107 - 31</v>
      </c>
    </row>
    <row r="1095" spans="1:22" hidden="1">
      <c r="A1095">
        <v>816</v>
      </c>
      <c r="B1095">
        <v>2465</v>
      </c>
      <c r="C1095">
        <v>366</v>
      </c>
      <c r="D1095">
        <v>356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 t="s">
        <v>20</v>
      </c>
      <c r="L1095" s="1">
        <v>44124</v>
      </c>
      <c r="M1095">
        <v>111</v>
      </c>
      <c r="N1095">
        <v>31</v>
      </c>
      <c r="O1095">
        <v>445</v>
      </c>
      <c r="P1095">
        <v>445</v>
      </c>
      <c r="Q1095">
        <v>445</v>
      </c>
      <c r="S1095">
        <v>0</v>
      </c>
      <c r="T1095">
        <v>0</v>
      </c>
      <c r="U1095">
        <f>+SUM(Table1[[#This Row],[Latinos]:[Cemex]])</f>
        <v>1</v>
      </c>
      <c r="V1095" t="str">
        <f>+Table1[[#This Row],[id_destino]]&amp;" - "&amp;Table1[[#This Row],[id_origen]]</f>
        <v>111 - 31</v>
      </c>
    </row>
    <row r="1096" spans="1:22" hidden="1">
      <c r="A1096">
        <v>2368</v>
      </c>
      <c r="B1096">
        <v>698</v>
      </c>
      <c r="C1096">
        <v>4008</v>
      </c>
      <c r="D1096">
        <v>4607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 t="s">
        <v>20</v>
      </c>
      <c r="L1096" s="1">
        <v>43992</v>
      </c>
      <c r="M1096">
        <v>117</v>
      </c>
      <c r="N1096">
        <v>31</v>
      </c>
      <c r="O1096">
        <v>1301</v>
      </c>
      <c r="P1096">
        <v>1245</v>
      </c>
      <c r="Q1096">
        <v>1301</v>
      </c>
      <c r="S1096">
        <v>5358</v>
      </c>
      <c r="T1096">
        <v>5526</v>
      </c>
      <c r="U1096">
        <f>+SUM(Table1[[#This Row],[Latinos]:[Cemex]])</f>
        <v>1</v>
      </c>
      <c r="V1096" t="str">
        <f>+Table1[[#This Row],[id_destino]]&amp;" - "&amp;Table1[[#This Row],[id_origen]]</f>
        <v>117 - 31</v>
      </c>
    </row>
    <row r="1097" spans="1:22" hidden="1">
      <c r="A1097">
        <v>2582</v>
      </c>
      <c r="B1097">
        <v>553</v>
      </c>
      <c r="C1097">
        <v>4008</v>
      </c>
      <c r="D1097">
        <v>1584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 t="s">
        <v>20</v>
      </c>
      <c r="L1097" s="1">
        <v>44200</v>
      </c>
      <c r="M1097">
        <v>118</v>
      </c>
      <c r="N1097">
        <v>31</v>
      </c>
      <c r="O1097">
        <v>1654</v>
      </c>
      <c r="P1097">
        <v>1654</v>
      </c>
      <c r="Q1097">
        <v>1654</v>
      </c>
      <c r="S1097">
        <v>1838</v>
      </c>
      <c r="T1097">
        <v>1980</v>
      </c>
      <c r="U1097">
        <f>+SUM(Table1[[#This Row],[Latinos]:[Cemex]])</f>
        <v>1</v>
      </c>
      <c r="V1097" t="str">
        <f>+Table1[[#This Row],[id_destino]]&amp;" - "&amp;Table1[[#This Row],[id_origen]]</f>
        <v>118 - 31</v>
      </c>
    </row>
    <row r="1098" spans="1:22" hidden="1">
      <c r="A1098">
        <v>1299</v>
      </c>
      <c r="B1098">
        <v>2680</v>
      </c>
      <c r="C1098">
        <v>4008</v>
      </c>
      <c r="D1098">
        <v>623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 t="s">
        <v>20</v>
      </c>
      <c r="L1098" s="1">
        <v>43374</v>
      </c>
      <c r="M1098">
        <v>121</v>
      </c>
      <c r="N1098">
        <v>31</v>
      </c>
      <c r="O1098">
        <v>943</v>
      </c>
      <c r="P1098">
        <v>930</v>
      </c>
      <c r="Q1098">
        <v>943</v>
      </c>
      <c r="S1098">
        <v>3791</v>
      </c>
      <c r="T1098">
        <v>3791</v>
      </c>
      <c r="U1098">
        <f>+SUM(Table1[[#This Row],[Latinos]:[Cemex]])</f>
        <v>1</v>
      </c>
      <c r="V1098" t="str">
        <f>+Table1[[#This Row],[id_destino]]&amp;" - "&amp;Table1[[#This Row],[id_origen]]</f>
        <v>121 - 31</v>
      </c>
    </row>
    <row r="1099" spans="1:22">
      <c r="A1099">
        <v>357</v>
      </c>
      <c r="B1099">
        <v>2268</v>
      </c>
      <c r="C1099">
        <v>4008</v>
      </c>
      <c r="D1099">
        <v>4838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 t="s">
        <v>20</v>
      </c>
      <c r="L1099" s="1">
        <v>43045</v>
      </c>
      <c r="M1099">
        <v>124</v>
      </c>
      <c r="N1099">
        <v>31</v>
      </c>
      <c r="O1099">
        <v>851</v>
      </c>
      <c r="P1099">
        <v>854</v>
      </c>
      <c r="Q1099">
        <v>851</v>
      </c>
      <c r="S1099">
        <v>2073</v>
      </c>
      <c r="T1099">
        <v>2073</v>
      </c>
      <c r="U1099">
        <f>+SUM(Table1[[#This Row],[Latinos]:[Cemex]])</f>
        <v>1</v>
      </c>
      <c r="V1099" t="str">
        <f>+Table1[[#This Row],[id_destino]]&amp;" - "&amp;Table1[[#This Row],[id_origen]]</f>
        <v>124 - 31</v>
      </c>
    </row>
    <row r="1100" spans="1:22" hidden="1">
      <c r="A1100">
        <v>2357</v>
      </c>
      <c r="B1100">
        <v>699</v>
      </c>
      <c r="C1100">
        <v>4008</v>
      </c>
      <c r="D1100">
        <v>47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 t="s">
        <v>20</v>
      </c>
      <c r="L1100" s="1">
        <v>43979</v>
      </c>
      <c r="M1100">
        <v>129</v>
      </c>
      <c r="N1100">
        <v>31</v>
      </c>
      <c r="O1100">
        <v>1680</v>
      </c>
      <c r="P1100">
        <v>1689</v>
      </c>
      <c r="Q1100">
        <v>1680</v>
      </c>
      <c r="S1100">
        <v>6593</v>
      </c>
      <c r="T1100">
        <v>6593</v>
      </c>
      <c r="U1100">
        <f>+SUM(Table1[[#This Row],[Latinos]:[Cemex]])</f>
        <v>1</v>
      </c>
      <c r="V1100" t="str">
        <f>+Table1[[#This Row],[id_destino]]&amp;" - "&amp;Table1[[#This Row],[id_origen]]</f>
        <v>129 - 31</v>
      </c>
    </row>
    <row r="1101" spans="1:22" hidden="1">
      <c r="A1101">
        <v>1124</v>
      </c>
      <c r="B1101">
        <v>802</v>
      </c>
      <c r="C1101">
        <v>2870</v>
      </c>
      <c r="D1101">
        <v>5094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 t="s">
        <v>20</v>
      </c>
      <c r="L1101" s="1">
        <v>43300</v>
      </c>
      <c r="M1101">
        <v>136</v>
      </c>
      <c r="N1101">
        <v>31</v>
      </c>
      <c r="O1101">
        <v>1342</v>
      </c>
      <c r="P1101">
        <v>1353</v>
      </c>
      <c r="Q1101">
        <v>1342</v>
      </c>
      <c r="S1101">
        <v>6058</v>
      </c>
      <c r="T1101">
        <v>6058</v>
      </c>
      <c r="U1101">
        <f>+SUM(Table1[[#This Row],[Latinos]:[Cemex]])</f>
        <v>1</v>
      </c>
      <c r="V1101" t="str">
        <f>+Table1[[#This Row],[id_destino]]&amp;" - "&amp;Table1[[#This Row],[id_origen]]</f>
        <v>136 - 31</v>
      </c>
    </row>
    <row r="1102" spans="1:22">
      <c r="A1102">
        <v>2759</v>
      </c>
      <c r="B1102">
        <v>3549</v>
      </c>
      <c r="C1102">
        <v>4008</v>
      </c>
      <c r="D1102">
        <v>764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 t="s">
        <v>20</v>
      </c>
      <c r="L1102" s="1">
        <v>44422</v>
      </c>
      <c r="M1102">
        <v>144</v>
      </c>
      <c r="N1102">
        <v>31</v>
      </c>
      <c r="O1102">
        <v>1049</v>
      </c>
      <c r="P1102">
        <v>1080</v>
      </c>
      <c r="Q1102">
        <v>1044</v>
      </c>
      <c r="S1102">
        <v>4444</v>
      </c>
      <c r="T1102">
        <v>4444</v>
      </c>
      <c r="U1102">
        <f>+SUM(Table1[[#This Row],[Latinos]:[Cemex]])</f>
        <v>1</v>
      </c>
      <c r="V1102" t="str">
        <f>+Table1[[#This Row],[id_destino]]&amp;" - "&amp;Table1[[#This Row],[id_origen]]</f>
        <v>144 - 31</v>
      </c>
    </row>
    <row r="1103" spans="1:22" hidden="1">
      <c r="A1103">
        <v>4266</v>
      </c>
      <c r="B1103">
        <v>1577</v>
      </c>
      <c r="C1103">
        <v>2870</v>
      </c>
      <c r="D1103">
        <v>5818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 t="s">
        <v>20</v>
      </c>
      <c r="L1103" s="1">
        <v>45411</v>
      </c>
      <c r="M1103">
        <v>145</v>
      </c>
      <c r="N1103">
        <v>31</v>
      </c>
      <c r="O1103">
        <v>481</v>
      </c>
      <c r="P1103">
        <v>478</v>
      </c>
      <c r="Q1103">
        <v>481</v>
      </c>
      <c r="S1103">
        <v>2320</v>
      </c>
      <c r="T1103">
        <v>2320</v>
      </c>
      <c r="U1103">
        <f>+SUM(Table1[[#This Row],[Latinos]:[Cemex]])</f>
        <v>1</v>
      </c>
      <c r="V1103" t="str">
        <f>+Table1[[#This Row],[id_destino]]&amp;" - "&amp;Table1[[#This Row],[id_origen]]</f>
        <v>145 - 31</v>
      </c>
    </row>
    <row r="1104" spans="1:22" hidden="1">
      <c r="A1104">
        <v>3487</v>
      </c>
      <c r="B1104">
        <v>716</v>
      </c>
      <c r="C1104">
        <v>4008</v>
      </c>
      <c r="D1104">
        <v>1645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 t="s">
        <v>20</v>
      </c>
      <c r="L1104" s="1">
        <v>44922</v>
      </c>
      <c r="M1104">
        <v>148</v>
      </c>
      <c r="N1104">
        <v>31</v>
      </c>
      <c r="O1104">
        <v>754</v>
      </c>
      <c r="P1104">
        <v>745</v>
      </c>
      <c r="Q1104">
        <v>754</v>
      </c>
      <c r="S1104">
        <v>2363</v>
      </c>
      <c r="T1104">
        <v>2363</v>
      </c>
      <c r="U1104">
        <f>+SUM(Table1[[#This Row],[Latinos]:[Cemex]])</f>
        <v>1</v>
      </c>
      <c r="V1104" t="str">
        <f>+Table1[[#This Row],[id_destino]]&amp;" - "&amp;Table1[[#This Row],[id_origen]]</f>
        <v>148 - 31</v>
      </c>
    </row>
    <row r="1105" spans="1:22" hidden="1">
      <c r="A1105">
        <v>590</v>
      </c>
      <c r="B1105">
        <v>1256</v>
      </c>
      <c r="C1105">
        <v>2870</v>
      </c>
      <c r="D1105">
        <v>2111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 t="s">
        <v>20</v>
      </c>
      <c r="L1105" s="1">
        <v>44525</v>
      </c>
      <c r="M1105">
        <v>155</v>
      </c>
      <c r="N1105">
        <v>31</v>
      </c>
      <c r="O1105">
        <v>256</v>
      </c>
      <c r="P1105">
        <v>269</v>
      </c>
      <c r="Q1105">
        <v>256</v>
      </c>
      <c r="S1105">
        <v>675</v>
      </c>
      <c r="T1105">
        <v>675</v>
      </c>
      <c r="U1105">
        <f>+SUM(Table1[[#This Row],[Latinos]:[Cemex]])</f>
        <v>1</v>
      </c>
      <c r="V1105" t="str">
        <f>+Table1[[#This Row],[id_destino]]&amp;" - "&amp;Table1[[#This Row],[id_origen]]</f>
        <v>155 - 31</v>
      </c>
    </row>
    <row r="1106" spans="1:22" hidden="1">
      <c r="A1106">
        <v>2704</v>
      </c>
      <c r="B1106">
        <v>3511</v>
      </c>
      <c r="C1106">
        <v>4008</v>
      </c>
      <c r="D1106">
        <v>6601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 t="s">
        <v>20</v>
      </c>
      <c r="L1106" s="1">
        <v>44362</v>
      </c>
      <c r="M1106">
        <v>160</v>
      </c>
      <c r="N1106">
        <v>31</v>
      </c>
      <c r="O1106">
        <v>825</v>
      </c>
      <c r="P1106">
        <v>825</v>
      </c>
      <c r="Q1106">
        <v>825</v>
      </c>
      <c r="S1106">
        <v>2291</v>
      </c>
      <c r="T1106">
        <v>2291</v>
      </c>
      <c r="U1106">
        <f>+SUM(Table1[[#This Row],[Latinos]:[Cemex]])</f>
        <v>1</v>
      </c>
      <c r="V1106" t="str">
        <f>+Table1[[#This Row],[id_destino]]&amp;" - "&amp;Table1[[#This Row],[id_origen]]</f>
        <v>160 - 31</v>
      </c>
    </row>
    <row r="1107" spans="1:22" hidden="1">
      <c r="A1107">
        <v>212</v>
      </c>
      <c r="B1107">
        <v>683</v>
      </c>
      <c r="C1107">
        <v>4008</v>
      </c>
      <c r="D1107">
        <v>12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 t="s">
        <v>20</v>
      </c>
      <c r="L1107" s="1">
        <v>45826</v>
      </c>
      <c r="M1107">
        <v>169</v>
      </c>
      <c r="N1107">
        <v>31</v>
      </c>
      <c r="O1107">
        <v>948</v>
      </c>
      <c r="P1107">
        <v>905</v>
      </c>
      <c r="Q1107">
        <v>948</v>
      </c>
      <c r="S1107">
        <v>4407</v>
      </c>
      <c r="T1107">
        <v>4407</v>
      </c>
      <c r="U1107">
        <f>+SUM(Table1[[#This Row],[Latinos]:[Cemex]])</f>
        <v>1</v>
      </c>
      <c r="V1107" t="str">
        <f>+Table1[[#This Row],[id_destino]]&amp;" - "&amp;Table1[[#This Row],[id_origen]]</f>
        <v>169 - 31</v>
      </c>
    </row>
    <row r="1108" spans="1:22" hidden="1">
      <c r="A1108">
        <v>3415</v>
      </c>
      <c r="B1108">
        <v>3973</v>
      </c>
      <c r="C1108">
        <v>4008</v>
      </c>
      <c r="D1108">
        <v>6295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 t="s">
        <v>20</v>
      </c>
      <c r="L1108" s="1">
        <v>44880</v>
      </c>
      <c r="M1108">
        <v>173</v>
      </c>
      <c r="N1108">
        <v>31</v>
      </c>
      <c r="O1108">
        <v>707</v>
      </c>
      <c r="P1108">
        <v>717</v>
      </c>
      <c r="Q1108">
        <v>707</v>
      </c>
      <c r="S1108">
        <v>1938</v>
      </c>
      <c r="T1108">
        <v>1938</v>
      </c>
      <c r="U1108">
        <f>+SUM(Table1[[#This Row],[Latinos]:[Cemex]])</f>
        <v>1</v>
      </c>
      <c r="V1108" t="str">
        <f>+Table1[[#This Row],[id_destino]]&amp;" - "&amp;Table1[[#This Row],[id_origen]]</f>
        <v>173 - 31</v>
      </c>
    </row>
    <row r="1109" spans="1:22" hidden="1">
      <c r="A1109">
        <v>706</v>
      </c>
      <c r="B1109">
        <v>189</v>
      </c>
      <c r="C1109">
        <v>366</v>
      </c>
      <c r="D1109">
        <v>372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 t="s">
        <v>20</v>
      </c>
      <c r="L1109" s="1">
        <v>44124</v>
      </c>
      <c r="M1109">
        <v>179</v>
      </c>
      <c r="N1109">
        <v>31</v>
      </c>
      <c r="O1109">
        <v>695</v>
      </c>
      <c r="P1109">
        <v>695</v>
      </c>
      <c r="Q1109">
        <v>695</v>
      </c>
      <c r="S1109">
        <v>728</v>
      </c>
      <c r="T1109">
        <v>814</v>
      </c>
      <c r="U1109">
        <f>+SUM(Table1[[#This Row],[Latinos]:[Cemex]])</f>
        <v>1</v>
      </c>
      <c r="V1109" t="str">
        <f>+Table1[[#This Row],[id_destino]]&amp;" - "&amp;Table1[[#This Row],[id_origen]]</f>
        <v>179 - 31</v>
      </c>
    </row>
    <row r="1110" spans="1:22" hidden="1">
      <c r="A1110">
        <v>1677</v>
      </c>
      <c r="B1110">
        <v>189</v>
      </c>
      <c r="C1110">
        <v>2870</v>
      </c>
      <c r="D1110">
        <v>4025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 t="s">
        <v>20</v>
      </c>
      <c r="L1110" s="1">
        <v>44586</v>
      </c>
      <c r="M1110">
        <v>179</v>
      </c>
      <c r="N1110">
        <v>31</v>
      </c>
      <c r="O1110">
        <v>689</v>
      </c>
      <c r="P1110">
        <v>686</v>
      </c>
      <c r="Q1110">
        <v>689</v>
      </c>
      <c r="S1110">
        <v>1136</v>
      </c>
      <c r="T1110">
        <v>1248</v>
      </c>
      <c r="U1110">
        <f>+SUM(Table1[[#This Row],[Latinos]:[Cemex]])</f>
        <v>1</v>
      </c>
      <c r="V1110" t="str">
        <f>+Table1[[#This Row],[id_destino]]&amp;" - "&amp;Table1[[#This Row],[id_origen]]</f>
        <v>179 - 31</v>
      </c>
    </row>
    <row r="1111" spans="1:22" hidden="1">
      <c r="A1111">
        <v>2651</v>
      </c>
      <c r="B1111">
        <v>3478</v>
      </c>
      <c r="C1111">
        <v>4008</v>
      </c>
      <c r="D1111">
        <v>3430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 t="s">
        <v>20</v>
      </c>
      <c r="L1111" s="1">
        <v>44292</v>
      </c>
      <c r="M1111">
        <v>180</v>
      </c>
      <c r="N1111">
        <v>31</v>
      </c>
      <c r="O1111">
        <v>1282</v>
      </c>
      <c r="P1111">
        <v>1272</v>
      </c>
      <c r="Q1111">
        <v>1282</v>
      </c>
      <c r="S1111">
        <v>5343</v>
      </c>
      <c r="T1111">
        <v>5773</v>
      </c>
      <c r="U1111">
        <f>+SUM(Table1[[#This Row],[Latinos]:[Cemex]])</f>
        <v>1</v>
      </c>
      <c r="V1111" t="str">
        <f>+Table1[[#This Row],[id_destino]]&amp;" - "&amp;Table1[[#This Row],[id_origen]]</f>
        <v>180 - 31</v>
      </c>
    </row>
    <row r="1112" spans="1:22">
      <c r="A1112">
        <v>530</v>
      </c>
      <c r="B1112">
        <v>2332</v>
      </c>
      <c r="C1112">
        <v>4008</v>
      </c>
      <c r="D1112">
        <v>5171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 t="s">
        <v>20</v>
      </c>
      <c r="L1112" s="1">
        <v>43095</v>
      </c>
      <c r="M1112">
        <v>184</v>
      </c>
      <c r="N1112">
        <v>31</v>
      </c>
      <c r="O1112">
        <v>1206</v>
      </c>
      <c r="P1112">
        <v>1194</v>
      </c>
      <c r="Q1112">
        <v>1206</v>
      </c>
      <c r="S1112">
        <v>3034</v>
      </c>
      <c r="T1112">
        <v>3142</v>
      </c>
      <c r="U1112">
        <f>+SUM(Table1[[#This Row],[Latinos]:[Cemex]])</f>
        <v>1</v>
      </c>
      <c r="V1112" t="str">
        <f>+Table1[[#This Row],[id_destino]]&amp;" - "&amp;Table1[[#This Row],[id_origen]]</f>
        <v>184 - 31</v>
      </c>
    </row>
    <row r="1113" spans="1:22" hidden="1">
      <c r="A1113">
        <v>1156</v>
      </c>
      <c r="B1113">
        <v>2606</v>
      </c>
      <c r="C1113">
        <v>5534</v>
      </c>
      <c r="D1113">
        <v>3032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 t="s">
        <v>20</v>
      </c>
      <c r="L1113" s="1">
        <v>43319</v>
      </c>
      <c r="M1113">
        <v>189</v>
      </c>
      <c r="N1113">
        <v>31</v>
      </c>
      <c r="O1113">
        <v>431</v>
      </c>
      <c r="P1113">
        <v>419</v>
      </c>
      <c r="Q1113">
        <v>431</v>
      </c>
      <c r="S1113">
        <v>675</v>
      </c>
      <c r="T1113">
        <v>903</v>
      </c>
      <c r="U1113">
        <f>+SUM(Table1[[#This Row],[Latinos]:[Cemex]])</f>
        <v>1</v>
      </c>
      <c r="V1113" t="str">
        <f>+Table1[[#This Row],[id_destino]]&amp;" - "&amp;Table1[[#This Row],[id_origen]]</f>
        <v>189 - 31</v>
      </c>
    </row>
    <row r="1114" spans="1:22" hidden="1">
      <c r="A1114">
        <v>2850</v>
      </c>
      <c r="B1114">
        <v>793</v>
      </c>
      <c r="C1114">
        <v>4008</v>
      </c>
      <c r="D1114">
        <v>4262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 t="s">
        <v>20</v>
      </c>
      <c r="L1114" s="1">
        <v>44536</v>
      </c>
      <c r="M1114">
        <v>192</v>
      </c>
      <c r="N1114">
        <v>31</v>
      </c>
      <c r="O1114">
        <v>761</v>
      </c>
      <c r="P1114">
        <v>758</v>
      </c>
      <c r="Q1114">
        <v>761</v>
      </c>
      <c r="S1114">
        <v>3507</v>
      </c>
      <c r="T1114">
        <v>3507</v>
      </c>
      <c r="U1114">
        <f>+SUM(Table1[[#This Row],[Latinos]:[Cemex]])</f>
        <v>1</v>
      </c>
      <c r="V1114" t="str">
        <f>+Table1[[#This Row],[id_destino]]&amp;" - "&amp;Table1[[#This Row],[id_origen]]</f>
        <v>192 - 31</v>
      </c>
    </row>
    <row r="1115" spans="1:22" hidden="1">
      <c r="A1115">
        <v>4113</v>
      </c>
      <c r="B1115">
        <v>4426</v>
      </c>
      <c r="C1115">
        <v>35</v>
      </c>
      <c r="D1115">
        <v>7622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 t="s">
        <v>20</v>
      </c>
      <c r="L1115" s="1">
        <v>45299</v>
      </c>
      <c r="M1115">
        <v>212</v>
      </c>
      <c r="N1115">
        <v>31</v>
      </c>
      <c r="O1115">
        <v>1484</v>
      </c>
      <c r="P1115">
        <v>1437</v>
      </c>
      <c r="Q1115">
        <v>1484</v>
      </c>
      <c r="S1115">
        <v>6195</v>
      </c>
      <c r="T1115">
        <v>6201</v>
      </c>
      <c r="U1115">
        <f>+SUM(Table1[[#This Row],[Latinos]:[Cemex]])</f>
        <v>1</v>
      </c>
      <c r="V1115" t="str">
        <f>+Table1[[#This Row],[id_destino]]&amp;" - "&amp;Table1[[#This Row],[id_origen]]</f>
        <v>212 - 31</v>
      </c>
    </row>
    <row r="1116" spans="1:22" hidden="1">
      <c r="A1116">
        <v>3401</v>
      </c>
      <c r="B1116">
        <v>3960</v>
      </c>
      <c r="C1116">
        <v>4008</v>
      </c>
      <c r="D1116">
        <v>1347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 t="s">
        <v>20</v>
      </c>
      <c r="L1116" s="1">
        <v>44872</v>
      </c>
      <c r="M1116">
        <v>216</v>
      </c>
      <c r="N1116">
        <v>31</v>
      </c>
      <c r="O1116">
        <v>998</v>
      </c>
      <c r="P1116">
        <v>947</v>
      </c>
      <c r="Q1116">
        <v>998</v>
      </c>
      <c r="S1116">
        <v>3813</v>
      </c>
      <c r="T1116">
        <v>3813</v>
      </c>
      <c r="U1116">
        <f>+SUM(Table1[[#This Row],[Latinos]:[Cemex]])</f>
        <v>1</v>
      </c>
      <c r="V1116" t="str">
        <f>+Table1[[#This Row],[id_destino]]&amp;" - "&amp;Table1[[#This Row],[id_origen]]</f>
        <v>216 - 31</v>
      </c>
    </row>
    <row r="1117" spans="1:22" hidden="1">
      <c r="A1117">
        <v>1302</v>
      </c>
      <c r="B1117">
        <v>895</v>
      </c>
      <c r="C1117">
        <v>2870</v>
      </c>
      <c r="D1117">
        <v>3943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 t="s">
        <v>20</v>
      </c>
      <c r="L1117" s="1">
        <v>43591</v>
      </c>
      <c r="M1117">
        <v>260</v>
      </c>
      <c r="N1117">
        <v>31</v>
      </c>
      <c r="O1117">
        <v>214</v>
      </c>
      <c r="P1117">
        <v>214</v>
      </c>
      <c r="Q1117">
        <v>214</v>
      </c>
      <c r="S1117">
        <v>317</v>
      </c>
      <c r="T1117">
        <v>415</v>
      </c>
      <c r="U1117">
        <f>+SUM(Table1[[#This Row],[Latinos]:[Cemex]])</f>
        <v>1</v>
      </c>
      <c r="V1117" t="str">
        <f>+Table1[[#This Row],[id_destino]]&amp;" - "&amp;Table1[[#This Row],[id_origen]]</f>
        <v>260 - 31</v>
      </c>
    </row>
    <row r="1118" spans="1:22" hidden="1">
      <c r="A1118">
        <v>2816</v>
      </c>
      <c r="B1118">
        <v>540</v>
      </c>
      <c r="C1118">
        <v>4008</v>
      </c>
      <c r="D1118">
        <v>5225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 t="s">
        <v>20</v>
      </c>
      <c r="L1118" s="1">
        <v>44483</v>
      </c>
      <c r="M1118">
        <v>276</v>
      </c>
      <c r="N1118">
        <v>31</v>
      </c>
      <c r="O1118">
        <v>1237</v>
      </c>
      <c r="P1118">
        <v>1227</v>
      </c>
      <c r="Q1118">
        <v>1237</v>
      </c>
      <c r="S1118">
        <v>6038</v>
      </c>
      <c r="T1118">
        <v>6131</v>
      </c>
      <c r="U1118">
        <f>+SUM(Table1[[#This Row],[Latinos]:[Cemex]])</f>
        <v>1</v>
      </c>
      <c r="V1118" t="str">
        <f>+Table1[[#This Row],[id_destino]]&amp;" - "&amp;Table1[[#This Row],[id_origen]]</f>
        <v>276 - 31</v>
      </c>
    </row>
    <row r="1119" spans="1:22" hidden="1">
      <c r="A1119">
        <v>2930</v>
      </c>
      <c r="B1119">
        <v>3663</v>
      </c>
      <c r="C1119">
        <v>4008</v>
      </c>
      <c r="D1119">
        <v>6806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 t="s">
        <v>20</v>
      </c>
      <c r="L1119" s="1">
        <v>44624</v>
      </c>
      <c r="M1119">
        <v>290</v>
      </c>
      <c r="N1119">
        <v>31</v>
      </c>
      <c r="O1119">
        <v>1187</v>
      </c>
      <c r="P1119">
        <v>1227</v>
      </c>
      <c r="Q1119">
        <v>1187</v>
      </c>
      <c r="S1119">
        <v>6038</v>
      </c>
      <c r="T1119">
        <v>6131</v>
      </c>
      <c r="U1119">
        <f>+SUM(Table1[[#This Row],[Latinos]:[Cemex]])</f>
        <v>1</v>
      </c>
      <c r="V1119" t="str">
        <f>+Table1[[#This Row],[id_destino]]&amp;" - "&amp;Table1[[#This Row],[id_origen]]</f>
        <v>290 - 31</v>
      </c>
    </row>
    <row r="1120" spans="1:22" hidden="1">
      <c r="A1120">
        <v>527</v>
      </c>
      <c r="B1120">
        <v>1670</v>
      </c>
      <c r="C1120">
        <v>4008</v>
      </c>
      <c r="D1120">
        <v>1612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 t="s">
        <v>20</v>
      </c>
      <c r="L1120" s="1">
        <v>43088</v>
      </c>
      <c r="M1120">
        <v>306</v>
      </c>
      <c r="N1120">
        <v>31</v>
      </c>
      <c r="O1120">
        <v>1270</v>
      </c>
      <c r="P1120">
        <v>1264</v>
      </c>
      <c r="Q1120">
        <v>1270</v>
      </c>
      <c r="S1120">
        <v>6492</v>
      </c>
      <c r="T1120">
        <v>6492</v>
      </c>
      <c r="U1120">
        <f>+SUM(Table1[[#This Row],[Latinos]:[Cemex]])</f>
        <v>1</v>
      </c>
      <c r="V1120" t="str">
        <f>+Table1[[#This Row],[id_destino]]&amp;" - "&amp;Table1[[#This Row],[id_origen]]</f>
        <v>306 - 31</v>
      </c>
    </row>
    <row r="1121" spans="1:22">
      <c r="A1121">
        <v>1145</v>
      </c>
      <c r="B1121">
        <v>1478</v>
      </c>
      <c r="C1121">
        <v>2870</v>
      </c>
      <c r="D1121">
        <v>2881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 t="s">
        <v>20</v>
      </c>
      <c r="L1121" s="1">
        <v>45164</v>
      </c>
      <c r="M1121">
        <v>314</v>
      </c>
      <c r="N1121">
        <v>31</v>
      </c>
      <c r="O1121">
        <v>1229</v>
      </c>
      <c r="P1121">
        <v>1225</v>
      </c>
      <c r="Q1121">
        <v>1229</v>
      </c>
      <c r="S1121">
        <v>6024</v>
      </c>
      <c r="T1121">
        <v>6024</v>
      </c>
      <c r="U1121">
        <f>+SUM(Table1[[#This Row],[Latinos]:[Cemex]])</f>
        <v>1</v>
      </c>
      <c r="V1121" t="str">
        <f>+Table1[[#This Row],[id_destino]]&amp;" - "&amp;Table1[[#This Row],[id_origen]]</f>
        <v>314 - 31</v>
      </c>
    </row>
    <row r="1122" spans="1:22" hidden="1">
      <c r="A1122">
        <v>3497</v>
      </c>
      <c r="B1122">
        <v>4028</v>
      </c>
      <c r="C1122">
        <v>4008</v>
      </c>
      <c r="D1122">
        <v>7164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 t="s">
        <v>20</v>
      </c>
      <c r="L1122" s="1">
        <v>44930</v>
      </c>
      <c r="M1122">
        <v>337</v>
      </c>
      <c r="N1122">
        <v>31</v>
      </c>
      <c r="O1122">
        <v>1070</v>
      </c>
      <c r="P1122">
        <v>1061</v>
      </c>
      <c r="Q1122">
        <v>1070</v>
      </c>
      <c r="S1122">
        <v>4580</v>
      </c>
      <c r="T1122">
        <v>5010</v>
      </c>
      <c r="U1122">
        <f>+SUM(Table1[[#This Row],[Latinos]:[Cemex]])</f>
        <v>1</v>
      </c>
      <c r="V1122" t="str">
        <f>+Table1[[#This Row],[id_destino]]&amp;" - "&amp;Table1[[#This Row],[id_origen]]</f>
        <v>337 - 31</v>
      </c>
    </row>
    <row r="1123" spans="1:22" hidden="1">
      <c r="A1123">
        <v>1679</v>
      </c>
      <c r="B1123">
        <v>954</v>
      </c>
      <c r="C1123">
        <v>2870</v>
      </c>
      <c r="D1123">
        <v>2916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 t="s">
        <v>20</v>
      </c>
      <c r="L1123" s="1">
        <v>43561</v>
      </c>
      <c r="M1123">
        <v>345</v>
      </c>
      <c r="N1123">
        <v>31</v>
      </c>
      <c r="O1123">
        <v>1228</v>
      </c>
      <c r="P1123">
        <v>1240</v>
      </c>
      <c r="Q1123">
        <v>1228</v>
      </c>
      <c r="S1123">
        <v>5597</v>
      </c>
      <c r="T1123">
        <v>5711</v>
      </c>
      <c r="U1123">
        <f>+SUM(Table1[[#This Row],[Latinos]:[Cemex]])</f>
        <v>1</v>
      </c>
      <c r="V1123" t="str">
        <f>+Table1[[#This Row],[id_destino]]&amp;" - "&amp;Table1[[#This Row],[id_origen]]</f>
        <v>345 - 31</v>
      </c>
    </row>
    <row r="1124" spans="1:22" hidden="1">
      <c r="A1124">
        <v>3749</v>
      </c>
      <c r="B1124">
        <v>4198</v>
      </c>
      <c r="C1124">
        <v>4008</v>
      </c>
      <c r="D1124">
        <v>7349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 t="s">
        <v>20</v>
      </c>
      <c r="L1124" s="1">
        <v>45068</v>
      </c>
      <c r="M1124">
        <v>352</v>
      </c>
      <c r="N1124">
        <v>31</v>
      </c>
      <c r="O1124">
        <v>761</v>
      </c>
      <c r="P1124">
        <v>767</v>
      </c>
      <c r="Q1124">
        <v>761</v>
      </c>
      <c r="S1124">
        <v>3523</v>
      </c>
      <c r="T1124">
        <v>3523</v>
      </c>
      <c r="U1124">
        <f>+SUM(Table1[[#This Row],[Latinos]:[Cemex]])</f>
        <v>1</v>
      </c>
      <c r="V1124" t="str">
        <f>+Table1[[#This Row],[id_destino]]&amp;" - "&amp;Table1[[#This Row],[id_origen]]</f>
        <v>352 - 31</v>
      </c>
    </row>
    <row r="1125" spans="1:22">
      <c r="A1125">
        <v>3725</v>
      </c>
      <c r="B1125">
        <v>211</v>
      </c>
      <c r="C1125">
        <v>4008</v>
      </c>
      <c r="D1125">
        <v>6807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 t="s">
        <v>20</v>
      </c>
      <c r="L1125" s="1">
        <v>45052</v>
      </c>
      <c r="M1125">
        <v>384</v>
      </c>
      <c r="N1125">
        <v>31</v>
      </c>
      <c r="O1125">
        <v>1068</v>
      </c>
      <c r="P1125">
        <v>1089</v>
      </c>
      <c r="Q1125">
        <v>1068</v>
      </c>
      <c r="S1125">
        <v>4196</v>
      </c>
      <c r="T1125">
        <v>4196</v>
      </c>
      <c r="U1125">
        <f>+SUM(Table1[[#This Row],[Latinos]:[Cemex]])</f>
        <v>1</v>
      </c>
      <c r="V1125" t="str">
        <f>+Table1[[#This Row],[id_destino]]&amp;" - "&amp;Table1[[#This Row],[id_origen]]</f>
        <v>384 - 31</v>
      </c>
    </row>
    <row r="1126" spans="1:22" hidden="1">
      <c r="A1126">
        <v>4106</v>
      </c>
      <c r="B1126">
        <v>4424</v>
      </c>
      <c r="C1126">
        <v>35</v>
      </c>
      <c r="D1126">
        <v>7613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 t="s">
        <v>20</v>
      </c>
      <c r="L1126" s="1">
        <v>45295</v>
      </c>
      <c r="M1126">
        <v>400</v>
      </c>
      <c r="N1126">
        <v>31</v>
      </c>
      <c r="O1126">
        <v>280</v>
      </c>
      <c r="P1126">
        <v>278</v>
      </c>
      <c r="Q1126">
        <v>280</v>
      </c>
      <c r="S1126">
        <v>973</v>
      </c>
      <c r="T1126">
        <v>973</v>
      </c>
      <c r="U1126">
        <f>+SUM(Table1[[#This Row],[Latinos]:[Cemex]])</f>
        <v>1</v>
      </c>
      <c r="V1126" t="str">
        <f>+Table1[[#This Row],[id_destino]]&amp;" - "&amp;Table1[[#This Row],[id_origen]]</f>
        <v>400 - 31</v>
      </c>
    </row>
    <row r="1127" spans="1:22" hidden="1">
      <c r="A1127">
        <v>1993</v>
      </c>
      <c r="B1127">
        <v>3066</v>
      </c>
      <c r="C1127">
        <v>6097</v>
      </c>
      <c r="D1127">
        <v>6098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 t="s">
        <v>20</v>
      </c>
      <c r="L1127" s="1">
        <v>43755</v>
      </c>
      <c r="M1127">
        <v>402</v>
      </c>
      <c r="N1127">
        <v>31</v>
      </c>
      <c r="O1127">
        <v>1685</v>
      </c>
      <c r="P1127">
        <v>1674</v>
      </c>
      <c r="Q1127">
        <v>1685</v>
      </c>
      <c r="S1127">
        <v>4579</v>
      </c>
      <c r="T1127">
        <v>4579</v>
      </c>
      <c r="U1127">
        <f>+SUM(Table1[[#This Row],[Latinos]:[Cemex]])</f>
        <v>1</v>
      </c>
      <c r="V1127" t="str">
        <f>+Table1[[#This Row],[id_destino]]&amp;" - "&amp;Table1[[#This Row],[id_origen]]</f>
        <v>402 - 31</v>
      </c>
    </row>
    <row r="1128" spans="1:22" hidden="1">
      <c r="A1128">
        <v>217</v>
      </c>
      <c r="B1128">
        <v>2244</v>
      </c>
      <c r="C1128">
        <v>4008</v>
      </c>
      <c r="D1128">
        <v>1548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 t="s">
        <v>20</v>
      </c>
      <c r="L1128" s="1">
        <v>43015</v>
      </c>
      <c r="M1128">
        <v>416</v>
      </c>
      <c r="N1128">
        <v>31</v>
      </c>
      <c r="O1128">
        <v>1420</v>
      </c>
      <c r="P1128">
        <v>1405</v>
      </c>
      <c r="Q1128">
        <v>1420</v>
      </c>
      <c r="S1128">
        <v>6013</v>
      </c>
      <c r="T1128">
        <v>6017</v>
      </c>
      <c r="U1128">
        <f>+SUM(Table1[[#This Row],[Latinos]:[Cemex]])</f>
        <v>1</v>
      </c>
      <c r="V1128" t="str">
        <f>+Table1[[#This Row],[id_destino]]&amp;" - "&amp;Table1[[#This Row],[id_origen]]</f>
        <v>416 - 31</v>
      </c>
    </row>
    <row r="1129" spans="1:22" hidden="1">
      <c r="A1129">
        <v>3771</v>
      </c>
      <c r="B1129">
        <v>4211</v>
      </c>
      <c r="C1129">
        <v>4008</v>
      </c>
      <c r="D1129">
        <v>7368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 t="s">
        <v>20</v>
      </c>
      <c r="L1129" s="1">
        <v>45078</v>
      </c>
      <c r="M1129">
        <v>506</v>
      </c>
      <c r="N1129">
        <v>31</v>
      </c>
      <c r="O1129">
        <v>1229</v>
      </c>
      <c r="P1129">
        <v>1174</v>
      </c>
      <c r="Q1129">
        <v>1229</v>
      </c>
      <c r="S1129">
        <v>5251</v>
      </c>
      <c r="T1129">
        <v>5365</v>
      </c>
      <c r="U1129">
        <f>+SUM(Table1[[#This Row],[Latinos]:[Cemex]])</f>
        <v>1</v>
      </c>
      <c r="V1129" t="str">
        <f>+Table1[[#This Row],[id_destino]]&amp;" - "&amp;Table1[[#This Row],[id_origen]]</f>
        <v>506 - 31</v>
      </c>
    </row>
    <row r="1130" spans="1:22">
      <c r="A1130">
        <v>3859</v>
      </c>
      <c r="B1130">
        <v>4264</v>
      </c>
      <c r="C1130">
        <v>4008</v>
      </c>
      <c r="D1130">
        <v>7415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 t="s">
        <v>20</v>
      </c>
      <c r="L1130" s="1">
        <v>45146</v>
      </c>
      <c r="M1130">
        <v>524</v>
      </c>
      <c r="N1130">
        <v>31</v>
      </c>
      <c r="O1130">
        <v>1073</v>
      </c>
      <c r="P1130">
        <v>1090</v>
      </c>
      <c r="Q1130">
        <v>1073</v>
      </c>
      <c r="S1130">
        <v>4900</v>
      </c>
      <c r="T1130">
        <v>4900</v>
      </c>
      <c r="U1130">
        <f>+SUM(Table1[[#This Row],[Latinos]:[Cemex]])</f>
        <v>1</v>
      </c>
      <c r="V1130" t="str">
        <f>+Table1[[#This Row],[id_destino]]&amp;" - "&amp;Table1[[#This Row],[id_origen]]</f>
        <v>524 - 31</v>
      </c>
    </row>
    <row r="1131" spans="1:22" hidden="1">
      <c r="A1131">
        <v>2371</v>
      </c>
      <c r="B1131">
        <v>3303</v>
      </c>
      <c r="C1131">
        <v>6359</v>
      </c>
      <c r="D1131">
        <v>6360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 t="s">
        <v>20</v>
      </c>
      <c r="L1131" s="1">
        <v>43995</v>
      </c>
      <c r="M1131">
        <v>538</v>
      </c>
      <c r="N1131">
        <v>31</v>
      </c>
      <c r="O1131">
        <v>1129</v>
      </c>
      <c r="P1131">
        <v>1129</v>
      </c>
      <c r="Q1131">
        <v>1129</v>
      </c>
      <c r="S1131">
        <v>3123</v>
      </c>
      <c r="T1131">
        <v>3123</v>
      </c>
      <c r="U1131">
        <f>+SUM(Table1[[#This Row],[Latinos]:[Cemex]])</f>
        <v>1</v>
      </c>
      <c r="V1131" t="str">
        <f>+Table1[[#This Row],[id_destino]]&amp;" - "&amp;Table1[[#This Row],[id_origen]]</f>
        <v>538 - 31</v>
      </c>
    </row>
    <row r="1132" spans="1:22">
      <c r="A1132">
        <v>3818</v>
      </c>
      <c r="B1132">
        <v>4238</v>
      </c>
      <c r="C1132">
        <v>4008</v>
      </c>
      <c r="D1132">
        <v>6825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 t="s">
        <v>20</v>
      </c>
      <c r="L1132" s="1">
        <v>45108</v>
      </c>
      <c r="M1132">
        <v>544</v>
      </c>
      <c r="N1132">
        <v>31</v>
      </c>
      <c r="O1132">
        <v>1049</v>
      </c>
      <c r="P1132">
        <v>1090</v>
      </c>
      <c r="Q1132">
        <v>1049</v>
      </c>
      <c r="S1132">
        <v>4940</v>
      </c>
      <c r="T1132">
        <v>5370</v>
      </c>
      <c r="U1132">
        <f>+SUM(Table1[[#This Row],[Latinos]:[Cemex]])</f>
        <v>1</v>
      </c>
      <c r="V1132" t="str">
        <f>+Table1[[#This Row],[id_destino]]&amp;" - "&amp;Table1[[#This Row],[id_origen]]</f>
        <v>544 - 31</v>
      </c>
    </row>
    <row r="1133" spans="1:22" hidden="1">
      <c r="A1133">
        <v>3584</v>
      </c>
      <c r="B1133">
        <v>4090</v>
      </c>
      <c r="C1133">
        <v>4008</v>
      </c>
      <c r="D1133">
        <v>7011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 t="s">
        <v>20</v>
      </c>
      <c r="L1133" s="1">
        <v>44970</v>
      </c>
      <c r="M1133">
        <v>591</v>
      </c>
      <c r="N1133">
        <v>31</v>
      </c>
      <c r="O1133">
        <v>1190</v>
      </c>
      <c r="P1133">
        <v>1188</v>
      </c>
      <c r="Q1133">
        <v>1190</v>
      </c>
      <c r="S1133">
        <v>5332</v>
      </c>
      <c r="T1133">
        <v>5332</v>
      </c>
      <c r="U1133">
        <f>+SUM(Table1[[#This Row],[Latinos]:[Cemex]])</f>
        <v>1</v>
      </c>
      <c r="V1133" t="str">
        <f>+Table1[[#This Row],[id_destino]]&amp;" - "&amp;Table1[[#This Row],[id_origen]]</f>
        <v>591 - 31</v>
      </c>
    </row>
    <row r="1134" spans="1:22" hidden="1">
      <c r="A1134">
        <v>837</v>
      </c>
      <c r="B1134">
        <v>1521</v>
      </c>
      <c r="C1134">
        <v>4008</v>
      </c>
      <c r="D1134">
        <v>64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 t="s">
        <v>20</v>
      </c>
      <c r="L1134" s="1">
        <v>43182</v>
      </c>
      <c r="M1134">
        <v>602</v>
      </c>
      <c r="N1134">
        <v>31</v>
      </c>
      <c r="O1134">
        <v>1163</v>
      </c>
      <c r="P1134">
        <v>1182</v>
      </c>
      <c r="Q1134">
        <v>1163</v>
      </c>
      <c r="S1134">
        <v>5275</v>
      </c>
      <c r="T1134">
        <v>5275</v>
      </c>
      <c r="U1134">
        <f>+SUM(Table1[[#This Row],[Latinos]:[Cemex]])</f>
        <v>1</v>
      </c>
      <c r="V1134" t="str">
        <f>+Table1[[#This Row],[id_destino]]&amp;" - "&amp;Table1[[#This Row],[id_origen]]</f>
        <v>602 - 31</v>
      </c>
    </row>
    <row r="1135" spans="1:22" hidden="1">
      <c r="A1135">
        <v>2753</v>
      </c>
      <c r="B1135">
        <v>3545</v>
      </c>
      <c r="C1135">
        <v>4008</v>
      </c>
      <c r="D1135">
        <v>6634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 t="s">
        <v>20</v>
      </c>
      <c r="L1135" s="1">
        <v>44414</v>
      </c>
      <c r="M1135">
        <v>633</v>
      </c>
      <c r="N1135">
        <v>31</v>
      </c>
      <c r="O1135">
        <v>1351</v>
      </c>
      <c r="P1135">
        <v>1327</v>
      </c>
      <c r="Q1135">
        <v>1341</v>
      </c>
      <c r="S1135">
        <v>6066</v>
      </c>
      <c r="T1135">
        <v>6066</v>
      </c>
      <c r="U1135">
        <f>+SUM(Table1[[#This Row],[Latinos]:[Cemex]])</f>
        <v>1</v>
      </c>
      <c r="V1135" t="str">
        <f>+Table1[[#This Row],[id_destino]]&amp;" - "&amp;Table1[[#This Row],[id_origen]]</f>
        <v>633 - 31</v>
      </c>
    </row>
    <row r="1136" spans="1:22" hidden="1">
      <c r="A1136">
        <v>2369</v>
      </c>
      <c r="B1136">
        <v>3302</v>
      </c>
      <c r="C1136">
        <v>4008</v>
      </c>
      <c r="D1136">
        <v>72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 t="s">
        <v>20</v>
      </c>
      <c r="L1136" s="1">
        <v>43992</v>
      </c>
      <c r="M1136">
        <v>669</v>
      </c>
      <c r="N1136">
        <v>31</v>
      </c>
      <c r="O1136">
        <v>1043</v>
      </c>
      <c r="P1136">
        <v>930</v>
      </c>
      <c r="Q1136">
        <v>1043</v>
      </c>
      <c r="S1136">
        <v>2634</v>
      </c>
      <c r="T1136">
        <v>2674.99</v>
      </c>
      <c r="U1136">
        <f>+SUM(Table1[[#This Row],[Latinos]:[Cemex]])</f>
        <v>1</v>
      </c>
      <c r="V1136" t="str">
        <f>+Table1[[#This Row],[id_destino]]&amp;" - "&amp;Table1[[#This Row],[id_origen]]</f>
        <v>669 - 31</v>
      </c>
    </row>
    <row r="1137" spans="1:22">
      <c r="A1137">
        <v>1064</v>
      </c>
      <c r="B1137">
        <v>2566</v>
      </c>
      <c r="C1137">
        <v>4008</v>
      </c>
      <c r="D1137">
        <v>5222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 t="s">
        <v>20</v>
      </c>
      <c r="L1137" s="1">
        <v>43270</v>
      </c>
      <c r="M1137">
        <v>684</v>
      </c>
      <c r="N1137">
        <v>31</v>
      </c>
      <c r="O1137">
        <v>1412</v>
      </c>
      <c r="P1137">
        <v>1405</v>
      </c>
      <c r="Q1137">
        <v>1412</v>
      </c>
      <c r="S1137">
        <v>6013</v>
      </c>
      <c r="T1137">
        <v>6017</v>
      </c>
      <c r="U1137">
        <f>+SUM(Table1[[#This Row],[Latinos]:[Cemex]])</f>
        <v>1</v>
      </c>
      <c r="V1137" t="str">
        <f>+Table1[[#This Row],[id_destino]]&amp;" - "&amp;Table1[[#This Row],[id_origen]]</f>
        <v>684 - 31</v>
      </c>
    </row>
    <row r="1138" spans="1:22" hidden="1">
      <c r="A1138">
        <v>3409</v>
      </c>
      <c r="B1138">
        <v>3967</v>
      </c>
      <c r="C1138">
        <v>4008</v>
      </c>
      <c r="D1138">
        <v>7106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 t="s">
        <v>20</v>
      </c>
      <c r="L1138" s="1">
        <v>44875</v>
      </c>
      <c r="M1138">
        <v>688</v>
      </c>
      <c r="N1138">
        <v>31</v>
      </c>
      <c r="O1138">
        <v>1262</v>
      </c>
      <c r="P1138">
        <v>1233</v>
      </c>
      <c r="Q1138">
        <v>1262</v>
      </c>
      <c r="S1138">
        <v>3943</v>
      </c>
      <c r="T1138">
        <v>3943</v>
      </c>
      <c r="U1138">
        <f>+SUM(Table1[[#This Row],[Latinos]:[Cemex]])</f>
        <v>1</v>
      </c>
      <c r="V1138" t="str">
        <f>+Table1[[#This Row],[id_destino]]&amp;" - "&amp;Table1[[#This Row],[id_origen]]</f>
        <v>688 - 31</v>
      </c>
    </row>
    <row r="1139" spans="1:22" hidden="1">
      <c r="A1139">
        <v>3732</v>
      </c>
      <c r="B1139">
        <v>4189</v>
      </c>
      <c r="C1139">
        <v>7341</v>
      </c>
      <c r="D1139">
        <v>7136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  <c r="K1139" t="s">
        <v>20</v>
      </c>
      <c r="L1139" s="1">
        <v>45061</v>
      </c>
      <c r="M1139">
        <v>690</v>
      </c>
      <c r="N1139">
        <v>31</v>
      </c>
      <c r="O1139">
        <v>2832</v>
      </c>
      <c r="P1139">
        <v>2809</v>
      </c>
      <c r="Q1139">
        <v>2832</v>
      </c>
      <c r="S1139">
        <v>7561</v>
      </c>
      <c r="T1139">
        <v>7561</v>
      </c>
      <c r="U1139">
        <f>+SUM(Table1[[#This Row],[Latinos]:[Cemex]])</f>
        <v>1</v>
      </c>
      <c r="V1139" t="str">
        <f>+Table1[[#This Row],[id_destino]]&amp;" - "&amp;Table1[[#This Row],[id_origen]]</f>
        <v>690 - 31</v>
      </c>
    </row>
    <row r="1140" spans="1:22" hidden="1">
      <c r="A1140">
        <v>2640</v>
      </c>
      <c r="B1140">
        <v>3470</v>
      </c>
      <c r="C1140">
        <v>4008</v>
      </c>
      <c r="D1140">
        <v>5412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 t="s">
        <v>20</v>
      </c>
      <c r="L1140" s="1">
        <v>44277</v>
      </c>
      <c r="M1140">
        <v>729</v>
      </c>
      <c r="N1140">
        <v>31</v>
      </c>
      <c r="O1140">
        <v>1226</v>
      </c>
      <c r="P1140">
        <v>1187</v>
      </c>
      <c r="Q1140">
        <v>1226</v>
      </c>
      <c r="S1140">
        <v>3797</v>
      </c>
      <c r="T1140">
        <v>3797</v>
      </c>
      <c r="U1140">
        <f>+SUM(Table1[[#This Row],[Latinos]:[Cemex]])</f>
        <v>1</v>
      </c>
      <c r="V1140" t="str">
        <f>+Table1[[#This Row],[id_destino]]&amp;" - "&amp;Table1[[#This Row],[id_origen]]</f>
        <v>729 - 31</v>
      </c>
    </row>
    <row r="1141" spans="1:22" hidden="1">
      <c r="A1141">
        <v>4464</v>
      </c>
      <c r="B1141">
        <v>4496</v>
      </c>
      <c r="C1141">
        <v>4008</v>
      </c>
      <c r="D1141">
        <v>6810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0</v>
      </c>
      <c r="K1141" t="s">
        <v>20</v>
      </c>
      <c r="L1141" s="1">
        <v>45825</v>
      </c>
      <c r="M1141">
        <v>843</v>
      </c>
      <c r="N1141">
        <v>31</v>
      </c>
      <c r="O1141">
        <v>1944</v>
      </c>
      <c r="P1141">
        <v>1944</v>
      </c>
      <c r="Q1141">
        <v>1944</v>
      </c>
      <c r="S1141">
        <v>5437</v>
      </c>
      <c r="T1141">
        <v>5437</v>
      </c>
      <c r="U1141">
        <f>+SUM(Table1[[#This Row],[Latinos]:[Cemex]])</f>
        <v>2</v>
      </c>
      <c r="V1141" t="str">
        <f>+Table1[[#This Row],[id_destino]]&amp;" - "&amp;Table1[[#This Row],[id_origen]]</f>
        <v>843 - 31</v>
      </c>
    </row>
    <row r="1142" spans="1:22" hidden="1">
      <c r="A1142">
        <v>3150</v>
      </c>
      <c r="B1142">
        <v>3803</v>
      </c>
      <c r="C1142">
        <v>4008</v>
      </c>
      <c r="D1142">
        <v>6960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 t="s">
        <v>20</v>
      </c>
      <c r="L1142" s="1">
        <v>44740</v>
      </c>
      <c r="M1142">
        <v>851</v>
      </c>
      <c r="N1142">
        <v>31</v>
      </c>
      <c r="O1142">
        <v>1319</v>
      </c>
      <c r="P1142">
        <v>1319</v>
      </c>
      <c r="Q1142">
        <v>1319</v>
      </c>
      <c r="S1142">
        <v>4112</v>
      </c>
      <c r="T1142">
        <v>4112</v>
      </c>
      <c r="U1142">
        <f>+SUM(Table1[[#This Row],[Latinos]:[Cemex]])</f>
        <v>1</v>
      </c>
      <c r="V1142" t="str">
        <f>+Table1[[#This Row],[id_destino]]&amp;" - "&amp;Table1[[#This Row],[id_origen]]</f>
        <v>851 - 31</v>
      </c>
    </row>
    <row r="1143" spans="1:22" hidden="1">
      <c r="A1143">
        <v>2836</v>
      </c>
      <c r="B1143">
        <v>3598</v>
      </c>
      <c r="C1143">
        <v>6720</v>
      </c>
      <c r="D1143">
        <v>34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 t="s">
        <v>20</v>
      </c>
      <c r="L1143" s="1">
        <v>44508</v>
      </c>
      <c r="M1143">
        <v>30</v>
      </c>
      <c r="N1143">
        <v>32</v>
      </c>
      <c r="O1143">
        <v>349</v>
      </c>
      <c r="P1143">
        <v>349</v>
      </c>
      <c r="Q1143">
        <v>349</v>
      </c>
      <c r="S1143">
        <v>685</v>
      </c>
      <c r="T1143">
        <v>759</v>
      </c>
      <c r="U1143">
        <f>+SUM(Table1[[#This Row],[Latinos]:[Cemex]])</f>
        <v>1</v>
      </c>
      <c r="V1143" t="str">
        <f>+Table1[[#This Row],[id_destino]]&amp;" - "&amp;Table1[[#This Row],[id_origen]]</f>
        <v>30 - 32</v>
      </c>
    </row>
    <row r="1144" spans="1:22" hidden="1">
      <c r="A1144">
        <v>2678</v>
      </c>
      <c r="B1144">
        <v>931</v>
      </c>
      <c r="C1144">
        <v>157</v>
      </c>
      <c r="D1144">
        <v>6576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 t="s">
        <v>20</v>
      </c>
      <c r="L1144" s="1">
        <v>44335</v>
      </c>
      <c r="M1144">
        <v>1</v>
      </c>
      <c r="N1144">
        <v>33</v>
      </c>
      <c r="O1144">
        <v>370</v>
      </c>
      <c r="P1144">
        <v>363</v>
      </c>
      <c r="Q1144">
        <v>370</v>
      </c>
      <c r="S1144">
        <v>1012</v>
      </c>
      <c r="T1144">
        <v>1073</v>
      </c>
      <c r="U1144">
        <f>+SUM(Table1[[#This Row],[Latinos]:[Cemex]])</f>
        <v>1</v>
      </c>
      <c r="V1144" t="str">
        <f>+Table1[[#This Row],[id_destino]]&amp;" - "&amp;Table1[[#This Row],[id_origen]]</f>
        <v>1 - 33</v>
      </c>
    </row>
    <row r="1145" spans="1:22" hidden="1">
      <c r="A1145">
        <v>1271</v>
      </c>
      <c r="B1145">
        <v>929</v>
      </c>
      <c r="C1145">
        <v>157</v>
      </c>
      <c r="D1145">
        <v>4631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 t="s">
        <v>20</v>
      </c>
      <c r="L1145" s="1">
        <v>45205</v>
      </c>
      <c r="M1145">
        <v>3</v>
      </c>
      <c r="N1145">
        <v>33</v>
      </c>
      <c r="O1145">
        <v>1728</v>
      </c>
      <c r="P1145">
        <v>1724</v>
      </c>
      <c r="Q1145">
        <v>1728</v>
      </c>
      <c r="S1145">
        <v>4681</v>
      </c>
      <c r="T1145">
        <v>4837</v>
      </c>
      <c r="U1145">
        <f>+SUM(Table1[[#This Row],[Latinos]:[Cemex]])</f>
        <v>1</v>
      </c>
      <c r="V1145" t="str">
        <f>+Table1[[#This Row],[id_destino]]&amp;" - "&amp;Table1[[#This Row],[id_origen]]</f>
        <v>3 - 33</v>
      </c>
    </row>
    <row r="1146" spans="1:22">
      <c r="A1146">
        <v>1274</v>
      </c>
      <c r="B1146">
        <v>1084</v>
      </c>
      <c r="C1146">
        <v>157</v>
      </c>
      <c r="D1146">
        <v>4632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 t="s">
        <v>20</v>
      </c>
      <c r="L1146" s="1">
        <v>43360</v>
      </c>
      <c r="M1146">
        <v>4</v>
      </c>
      <c r="N1146">
        <v>33</v>
      </c>
      <c r="O1146">
        <v>1810</v>
      </c>
      <c r="P1146">
        <v>1798</v>
      </c>
      <c r="Q1146">
        <v>1810</v>
      </c>
      <c r="S1146">
        <v>4961</v>
      </c>
      <c r="T1146">
        <v>5117</v>
      </c>
      <c r="U1146">
        <f>+SUM(Table1[[#This Row],[Latinos]:[Cemex]])</f>
        <v>1</v>
      </c>
      <c r="V1146" t="str">
        <f>+Table1[[#This Row],[id_destino]]&amp;" - "&amp;Table1[[#This Row],[id_origen]]</f>
        <v>4 - 33</v>
      </c>
    </row>
    <row r="1147" spans="1:22">
      <c r="A1147">
        <v>3640</v>
      </c>
      <c r="B1147">
        <v>1084</v>
      </c>
      <c r="C1147">
        <v>637</v>
      </c>
      <c r="D1147">
        <v>4632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 t="s">
        <v>20</v>
      </c>
      <c r="L1147" s="1">
        <v>45010</v>
      </c>
      <c r="M1147">
        <v>4</v>
      </c>
      <c r="N1147">
        <v>33</v>
      </c>
      <c r="O1147">
        <v>1831</v>
      </c>
      <c r="P1147">
        <v>1814</v>
      </c>
      <c r="Q1147">
        <v>1831</v>
      </c>
      <c r="S1147">
        <v>3706</v>
      </c>
      <c r="T1147">
        <v>3853</v>
      </c>
      <c r="U1147">
        <f>+SUM(Table1[[#This Row],[Latinos]:[Cemex]])</f>
        <v>1</v>
      </c>
      <c r="V1147" t="str">
        <f>+Table1[[#This Row],[id_destino]]&amp;" - "&amp;Table1[[#This Row],[id_origen]]</f>
        <v>4 - 33</v>
      </c>
    </row>
    <row r="1148" spans="1:22" hidden="1">
      <c r="A1148">
        <v>1265</v>
      </c>
      <c r="B1148">
        <v>877</v>
      </c>
      <c r="C1148">
        <v>157</v>
      </c>
      <c r="D1148">
        <v>3696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 t="s">
        <v>20</v>
      </c>
      <c r="L1148" s="1">
        <v>43357</v>
      </c>
      <c r="M1148">
        <v>7</v>
      </c>
      <c r="N1148">
        <v>33</v>
      </c>
      <c r="O1148">
        <v>2648</v>
      </c>
      <c r="P1148">
        <v>2576</v>
      </c>
      <c r="Q1148">
        <v>2648</v>
      </c>
      <c r="S1148">
        <v>6591</v>
      </c>
      <c r="T1148">
        <v>7337</v>
      </c>
      <c r="U1148">
        <f>+SUM(Table1[[#This Row],[Latinos]:[Cemex]])</f>
        <v>1</v>
      </c>
      <c r="V1148" t="str">
        <f>+Table1[[#This Row],[id_destino]]&amp;" - "&amp;Table1[[#This Row],[id_origen]]</f>
        <v>7 - 33</v>
      </c>
    </row>
    <row r="1149" spans="1:22" hidden="1">
      <c r="A1149">
        <v>1273</v>
      </c>
      <c r="B1149">
        <v>878</v>
      </c>
      <c r="C1149">
        <v>157</v>
      </c>
      <c r="D1149">
        <v>4531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 t="s">
        <v>20</v>
      </c>
      <c r="L1149" s="1">
        <v>45205</v>
      </c>
      <c r="M1149">
        <v>9</v>
      </c>
      <c r="N1149">
        <v>33</v>
      </c>
      <c r="O1149">
        <v>2354</v>
      </c>
      <c r="P1149">
        <v>2274</v>
      </c>
      <c r="Q1149">
        <v>2354</v>
      </c>
      <c r="S1149">
        <v>5418</v>
      </c>
      <c r="T1149">
        <v>5657</v>
      </c>
      <c r="U1149">
        <f>+SUM(Table1[[#This Row],[Latinos]:[Cemex]])</f>
        <v>1</v>
      </c>
      <c r="V1149" t="str">
        <f>+Table1[[#This Row],[id_destino]]&amp;" - "&amp;Table1[[#This Row],[id_origen]]</f>
        <v>9 - 33</v>
      </c>
    </row>
    <row r="1150" spans="1:22" hidden="1">
      <c r="A1150">
        <v>364</v>
      </c>
      <c r="B1150">
        <v>1107</v>
      </c>
      <c r="C1150">
        <v>157</v>
      </c>
      <c r="D1150">
        <v>5282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 t="s">
        <v>20</v>
      </c>
      <c r="L1150" s="1">
        <v>43476</v>
      </c>
      <c r="M1150">
        <v>11</v>
      </c>
      <c r="N1150">
        <v>33</v>
      </c>
      <c r="O1150">
        <v>792</v>
      </c>
      <c r="P1150">
        <v>785</v>
      </c>
      <c r="Q1150">
        <v>792</v>
      </c>
      <c r="S1150">
        <v>489</v>
      </c>
      <c r="T1150">
        <v>595</v>
      </c>
      <c r="U1150">
        <f>+SUM(Table1[[#This Row],[Latinos]:[Cemex]])</f>
        <v>1</v>
      </c>
      <c r="V1150" t="str">
        <f>+Table1[[#This Row],[id_destino]]&amp;" - "&amp;Table1[[#This Row],[id_origen]]</f>
        <v>11 - 33</v>
      </c>
    </row>
    <row r="1151" spans="1:22" hidden="1">
      <c r="A1151">
        <v>4671</v>
      </c>
      <c r="B1151">
        <v>1107</v>
      </c>
      <c r="C1151">
        <v>637</v>
      </c>
      <c r="D1151">
        <v>5282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 t="s">
        <v>20</v>
      </c>
      <c r="L1151" s="1">
        <v>45719</v>
      </c>
      <c r="M1151">
        <v>11</v>
      </c>
      <c r="N1151">
        <v>33</v>
      </c>
      <c r="O1151">
        <v>792</v>
      </c>
      <c r="P1151">
        <v>773</v>
      </c>
      <c r="Q1151">
        <v>792</v>
      </c>
      <c r="S1151">
        <v>774</v>
      </c>
      <c r="T1151">
        <v>774</v>
      </c>
      <c r="U1151">
        <f>+SUM(Table1[[#This Row],[Latinos]:[Cemex]])</f>
        <v>1</v>
      </c>
      <c r="V1151" t="str">
        <f>+Table1[[#This Row],[id_destino]]&amp;" - "&amp;Table1[[#This Row],[id_origen]]</f>
        <v>11 - 33</v>
      </c>
    </row>
    <row r="1152" spans="1:22" hidden="1">
      <c r="A1152">
        <v>241</v>
      </c>
      <c r="B1152">
        <v>1098</v>
      </c>
      <c r="C1152">
        <v>157</v>
      </c>
      <c r="D1152">
        <v>10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 t="s">
        <v>20</v>
      </c>
      <c r="L1152" s="1">
        <v>45414</v>
      </c>
      <c r="M1152">
        <v>12</v>
      </c>
      <c r="N1152">
        <v>33</v>
      </c>
      <c r="O1152">
        <v>503</v>
      </c>
      <c r="P1152">
        <v>495</v>
      </c>
      <c r="Q1152">
        <v>503</v>
      </c>
      <c r="S1152">
        <v>682</v>
      </c>
      <c r="T1152">
        <v>838</v>
      </c>
      <c r="U1152">
        <f>+SUM(Table1[[#This Row],[Latinos]:[Cemex]])</f>
        <v>1</v>
      </c>
      <c r="V1152" t="str">
        <f>+Table1[[#This Row],[id_destino]]&amp;" - "&amp;Table1[[#This Row],[id_origen]]</f>
        <v>12 - 33</v>
      </c>
    </row>
    <row r="1153" spans="1:22" hidden="1">
      <c r="A1153">
        <v>362</v>
      </c>
      <c r="B1153">
        <v>456</v>
      </c>
      <c r="C1153">
        <v>157</v>
      </c>
      <c r="D1153">
        <v>5256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 t="s">
        <v>20</v>
      </c>
      <c r="L1153" s="1">
        <v>43046</v>
      </c>
      <c r="M1153">
        <v>13</v>
      </c>
      <c r="N1153">
        <v>33</v>
      </c>
      <c r="O1153">
        <v>746</v>
      </c>
      <c r="P1153">
        <v>764</v>
      </c>
      <c r="Q1153">
        <v>746</v>
      </c>
      <c r="S1153">
        <v>1090</v>
      </c>
      <c r="T1153">
        <v>1196</v>
      </c>
      <c r="U1153">
        <f>+SUM(Table1[[#This Row],[Latinos]:[Cemex]])</f>
        <v>1</v>
      </c>
      <c r="V1153" t="str">
        <f>+Table1[[#This Row],[id_destino]]&amp;" - "&amp;Table1[[#This Row],[id_origen]]</f>
        <v>13 - 33</v>
      </c>
    </row>
    <row r="1154" spans="1:22" hidden="1">
      <c r="A1154">
        <v>4070</v>
      </c>
      <c r="B1154">
        <v>456</v>
      </c>
      <c r="C1154">
        <v>6919</v>
      </c>
      <c r="D1154">
        <v>7027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 t="s">
        <v>20</v>
      </c>
      <c r="L1154" s="1">
        <v>45265</v>
      </c>
      <c r="M1154">
        <v>13</v>
      </c>
      <c r="N1154">
        <v>33</v>
      </c>
      <c r="O1154">
        <v>764</v>
      </c>
      <c r="P1154">
        <v>764</v>
      </c>
      <c r="Q1154">
        <v>764</v>
      </c>
      <c r="S1154">
        <v>1478</v>
      </c>
      <c r="T1154">
        <v>1625</v>
      </c>
      <c r="U1154">
        <f>+SUM(Table1[[#This Row],[Latinos]:[Cemex]])</f>
        <v>1</v>
      </c>
      <c r="V1154" t="str">
        <f>+Table1[[#This Row],[id_destino]]&amp;" - "&amp;Table1[[#This Row],[id_origen]]</f>
        <v>13 - 33</v>
      </c>
    </row>
    <row r="1155" spans="1:22" hidden="1">
      <c r="A1155">
        <v>4846</v>
      </c>
      <c r="B1155">
        <v>1140</v>
      </c>
      <c r="C1155">
        <v>2317</v>
      </c>
      <c r="D1155">
        <v>14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 t="s">
        <v>20</v>
      </c>
      <c r="L1155" s="1">
        <v>45887</v>
      </c>
      <c r="M1155">
        <v>15</v>
      </c>
      <c r="N1155">
        <v>33</v>
      </c>
      <c r="O1155">
        <v>695</v>
      </c>
      <c r="P1155">
        <v>703</v>
      </c>
      <c r="Q1155">
        <v>0</v>
      </c>
      <c r="S1155">
        <v>0</v>
      </c>
      <c r="T1155">
        <v>0</v>
      </c>
      <c r="U1155">
        <f>+SUM(Table1[[#This Row],[Latinos]:[Cemex]])</f>
        <v>1</v>
      </c>
      <c r="V1155" t="str">
        <f>+Table1[[#This Row],[id_destino]]&amp;" - "&amp;Table1[[#This Row],[id_origen]]</f>
        <v>15 - 33</v>
      </c>
    </row>
    <row r="1156" spans="1:22" hidden="1">
      <c r="A1156">
        <v>190</v>
      </c>
      <c r="B1156">
        <v>897</v>
      </c>
      <c r="C1156">
        <v>157</v>
      </c>
      <c r="D1156">
        <v>15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 t="s">
        <v>20</v>
      </c>
      <c r="L1156" s="1">
        <v>43010</v>
      </c>
      <c r="M1156">
        <v>16</v>
      </c>
      <c r="N1156">
        <v>33</v>
      </c>
      <c r="O1156">
        <v>459</v>
      </c>
      <c r="P1156">
        <v>456</v>
      </c>
      <c r="Q1156">
        <v>459</v>
      </c>
      <c r="S1156">
        <v>1014</v>
      </c>
      <c r="T1156">
        <v>1262</v>
      </c>
      <c r="U1156">
        <f>+SUM(Table1[[#This Row],[Latinos]:[Cemex]])</f>
        <v>1</v>
      </c>
      <c r="V1156" t="str">
        <f>+Table1[[#This Row],[id_destino]]&amp;" - "&amp;Table1[[#This Row],[id_origen]]</f>
        <v>16 - 33</v>
      </c>
    </row>
    <row r="1157" spans="1:22" hidden="1">
      <c r="A1157">
        <v>600</v>
      </c>
      <c r="B1157">
        <v>799</v>
      </c>
      <c r="C1157">
        <v>157</v>
      </c>
      <c r="D1157">
        <v>18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 t="s">
        <v>20</v>
      </c>
      <c r="L1157" s="1">
        <v>43112</v>
      </c>
      <c r="M1157">
        <v>17</v>
      </c>
      <c r="N1157">
        <v>33</v>
      </c>
      <c r="O1157">
        <v>245</v>
      </c>
      <c r="P1157">
        <v>235</v>
      </c>
      <c r="Q1157">
        <v>245</v>
      </c>
      <c r="S1157">
        <v>1136</v>
      </c>
      <c r="T1157">
        <v>1490.99</v>
      </c>
      <c r="U1157">
        <f>+SUM(Table1[[#This Row],[Latinos]:[Cemex]])</f>
        <v>1</v>
      </c>
      <c r="V1157" t="str">
        <f>+Table1[[#This Row],[id_destino]]&amp;" - "&amp;Table1[[#This Row],[id_origen]]</f>
        <v>17 - 33</v>
      </c>
    </row>
    <row r="1158" spans="1:22" hidden="1">
      <c r="A1158">
        <v>961</v>
      </c>
      <c r="B1158">
        <v>799</v>
      </c>
      <c r="C1158">
        <v>6919</v>
      </c>
      <c r="D1158">
        <v>7342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 t="s">
        <v>20</v>
      </c>
      <c r="L1158" s="1">
        <v>45265</v>
      </c>
      <c r="M1158">
        <v>17</v>
      </c>
      <c r="N1158">
        <v>33</v>
      </c>
      <c r="O1158">
        <v>245</v>
      </c>
      <c r="P1158">
        <v>245</v>
      </c>
      <c r="Q1158">
        <v>245</v>
      </c>
      <c r="S1158">
        <v>1197</v>
      </c>
      <c r="T1158">
        <v>1566</v>
      </c>
      <c r="U1158">
        <f>+SUM(Table1[[#This Row],[Latinos]:[Cemex]])</f>
        <v>1</v>
      </c>
      <c r="V1158" t="str">
        <f>+Table1[[#This Row],[id_destino]]&amp;" - "&amp;Table1[[#This Row],[id_origen]]</f>
        <v>17 - 33</v>
      </c>
    </row>
    <row r="1159" spans="1:22" hidden="1">
      <c r="A1159">
        <v>973</v>
      </c>
      <c r="B1159">
        <v>693</v>
      </c>
      <c r="C1159">
        <v>157</v>
      </c>
      <c r="D1159">
        <v>198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 t="s">
        <v>20</v>
      </c>
      <c r="L1159" s="1">
        <v>43235</v>
      </c>
      <c r="M1159">
        <v>18</v>
      </c>
      <c r="N1159">
        <v>33</v>
      </c>
      <c r="O1159">
        <v>962</v>
      </c>
      <c r="P1159">
        <v>948</v>
      </c>
      <c r="Q1159">
        <v>962</v>
      </c>
      <c r="S1159">
        <v>2461</v>
      </c>
      <c r="T1159">
        <v>2617</v>
      </c>
      <c r="U1159">
        <f>+SUM(Table1[[#This Row],[Latinos]:[Cemex]])</f>
        <v>1</v>
      </c>
      <c r="V1159" t="str">
        <f>+Table1[[#This Row],[id_destino]]&amp;" - "&amp;Table1[[#This Row],[id_origen]]</f>
        <v>18 - 33</v>
      </c>
    </row>
    <row r="1160" spans="1:22" hidden="1">
      <c r="A1160">
        <v>1063</v>
      </c>
      <c r="B1160">
        <v>1713</v>
      </c>
      <c r="C1160">
        <v>157</v>
      </c>
      <c r="D1160">
        <v>5404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 t="s">
        <v>20</v>
      </c>
      <c r="L1160" s="1">
        <v>43270</v>
      </c>
      <c r="M1160">
        <v>20</v>
      </c>
      <c r="N1160">
        <v>33</v>
      </c>
      <c r="O1160">
        <v>973</v>
      </c>
      <c r="P1160">
        <v>966</v>
      </c>
      <c r="Q1160">
        <v>973</v>
      </c>
      <c r="S1160">
        <v>936</v>
      </c>
      <c r="T1160">
        <v>1050</v>
      </c>
      <c r="U1160">
        <f>+SUM(Table1[[#This Row],[Latinos]:[Cemex]])</f>
        <v>1</v>
      </c>
      <c r="V1160" t="str">
        <f>+Table1[[#This Row],[id_destino]]&amp;" - "&amp;Table1[[#This Row],[id_origen]]</f>
        <v>20 - 33</v>
      </c>
    </row>
    <row r="1161" spans="1:22" hidden="1">
      <c r="A1161">
        <v>327</v>
      </c>
      <c r="B1161">
        <v>413</v>
      </c>
      <c r="C1161">
        <v>157</v>
      </c>
      <c r="D1161">
        <v>4455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 t="s">
        <v>20</v>
      </c>
      <c r="L1161" s="1">
        <v>45889</v>
      </c>
      <c r="M1161">
        <v>23</v>
      </c>
      <c r="N1161">
        <v>33</v>
      </c>
      <c r="O1161">
        <v>720</v>
      </c>
      <c r="P1161">
        <v>707</v>
      </c>
      <c r="Q1161">
        <v>720</v>
      </c>
      <c r="S1161">
        <v>1615</v>
      </c>
      <c r="T1161">
        <v>1875</v>
      </c>
      <c r="U1161">
        <f>+SUM(Table1[[#This Row],[Latinos]:[Cemex]])</f>
        <v>1</v>
      </c>
      <c r="V1161" t="str">
        <f>+Table1[[#This Row],[id_destino]]&amp;" - "&amp;Table1[[#This Row],[id_origen]]</f>
        <v>23 - 33</v>
      </c>
    </row>
    <row r="1162" spans="1:22" hidden="1">
      <c r="A1162">
        <v>2598</v>
      </c>
      <c r="B1162">
        <v>413</v>
      </c>
      <c r="C1162">
        <v>157</v>
      </c>
      <c r="D1162">
        <v>4455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 t="s">
        <v>20</v>
      </c>
      <c r="L1162" s="1">
        <v>44231</v>
      </c>
      <c r="M1162">
        <v>23</v>
      </c>
      <c r="N1162">
        <v>33</v>
      </c>
      <c r="O1162">
        <v>750</v>
      </c>
      <c r="P1162">
        <v>750</v>
      </c>
      <c r="Q1162">
        <v>750</v>
      </c>
      <c r="S1162">
        <v>0</v>
      </c>
      <c r="T1162">
        <v>0</v>
      </c>
      <c r="U1162">
        <f>+SUM(Table1[[#This Row],[Latinos]:[Cemex]])</f>
        <v>1</v>
      </c>
      <c r="V1162" t="str">
        <f>+Table1[[#This Row],[id_destino]]&amp;" - "&amp;Table1[[#This Row],[id_origen]]</f>
        <v>23 - 33</v>
      </c>
    </row>
    <row r="1163" spans="1:22">
      <c r="A1163">
        <v>3756</v>
      </c>
      <c r="B1163">
        <v>209</v>
      </c>
      <c r="C1163">
        <v>5876</v>
      </c>
      <c r="D1163">
        <v>6945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 t="s">
        <v>20</v>
      </c>
      <c r="L1163" s="1">
        <v>45073</v>
      </c>
      <c r="M1163">
        <v>24</v>
      </c>
      <c r="N1163">
        <v>33</v>
      </c>
      <c r="O1163">
        <v>1015</v>
      </c>
      <c r="P1163">
        <v>908</v>
      </c>
      <c r="Q1163">
        <v>1015</v>
      </c>
      <c r="S1163">
        <v>2425</v>
      </c>
      <c r="T1163">
        <v>2581</v>
      </c>
      <c r="U1163">
        <f>+SUM(Table1[[#This Row],[Latinos]:[Cemex]])</f>
        <v>1</v>
      </c>
      <c r="V1163" t="str">
        <f>+Table1[[#This Row],[id_destino]]&amp;" - "&amp;Table1[[#This Row],[id_origen]]</f>
        <v>24 - 33</v>
      </c>
    </row>
    <row r="1164" spans="1:22">
      <c r="A1164">
        <v>3757</v>
      </c>
      <c r="B1164">
        <v>209</v>
      </c>
      <c r="C1164">
        <v>5876</v>
      </c>
      <c r="D1164">
        <v>6945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 t="s">
        <v>20</v>
      </c>
      <c r="L1164" s="1">
        <v>45073</v>
      </c>
      <c r="M1164">
        <v>24</v>
      </c>
      <c r="N1164">
        <v>33</v>
      </c>
      <c r="O1164">
        <v>0</v>
      </c>
      <c r="P1164">
        <v>150</v>
      </c>
      <c r="Q1164">
        <v>0</v>
      </c>
      <c r="S1164">
        <v>2559</v>
      </c>
      <c r="T1164">
        <v>2791</v>
      </c>
      <c r="U1164">
        <f>+SUM(Table1[[#This Row],[Latinos]:[Cemex]])</f>
        <v>1</v>
      </c>
      <c r="V1164" t="str">
        <f>+Table1[[#This Row],[id_destino]]&amp;" - "&amp;Table1[[#This Row],[id_origen]]</f>
        <v>24 - 33</v>
      </c>
    </row>
    <row r="1165" spans="1:22" hidden="1">
      <c r="A1165">
        <v>316</v>
      </c>
      <c r="B1165">
        <v>831</v>
      </c>
      <c r="C1165">
        <v>157</v>
      </c>
      <c r="D1165">
        <v>34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 t="s">
        <v>20</v>
      </c>
      <c r="L1165" s="1">
        <v>43035</v>
      </c>
      <c r="M1165">
        <v>30</v>
      </c>
      <c r="N1165">
        <v>33</v>
      </c>
      <c r="O1165">
        <v>493</v>
      </c>
      <c r="P1165">
        <v>483</v>
      </c>
      <c r="Q1165">
        <v>493</v>
      </c>
      <c r="S1165">
        <v>2713</v>
      </c>
      <c r="T1165">
        <v>3053</v>
      </c>
      <c r="U1165">
        <f>+SUM(Table1[[#This Row],[Latinos]:[Cemex]])</f>
        <v>1</v>
      </c>
      <c r="V1165" t="str">
        <f>+Table1[[#This Row],[id_destino]]&amp;" - "&amp;Table1[[#This Row],[id_origen]]</f>
        <v>30 - 33</v>
      </c>
    </row>
    <row r="1166" spans="1:22" hidden="1">
      <c r="A1166">
        <v>2710</v>
      </c>
      <c r="B1166">
        <v>831</v>
      </c>
      <c r="C1166">
        <v>5437</v>
      </c>
      <c r="D1166">
        <v>387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 t="s">
        <v>20</v>
      </c>
      <c r="L1166" s="1">
        <v>44366</v>
      </c>
      <c r="M1166">
        <v>30</v>
      </c>
      <c r="N1166">
        <v>33</v>
      </c>
      <c r="O1166">
        <v>489</v>
      </c>
      <c r="P1166">
        <v>489</v>
      </c>
      <c r="Q1166">
        <v>489</v>
      </c>
      <c r="S1166">
        <v>0</v>
      </c>
      <c r="T1166">
        <v>0</v>
      </c>
      <c r="U1166">
        <f>+SUM(Table1[[#This Row],[Latinos]:[Cemex]])</f>
        <v>1</v>
      </c>
      <c r="V1166" t="str">
        <f>+Table1[[#This Row],[id_destino]]&amp;" - "&amp;Table1[[#This Row],[id_origen]]</f>
        <v>30 - 33</v>
      </c>
    </row>
    <row r="1167" spans="1:22" hidden="1">
      <c r="A1167">
        <v>1472</v>
      </c>
      <c r="B1167">
        <v>77</v>
      </c>
      <c r="C1167">
        <v>637</v>
      </c>
      <c r="D1167">
        <v>4008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 t="s">
        <v>20</v>
      </c>
      <c r="L1167" s="1">
        <v>43453</v>
      </c>
      <c r="M1167">
        <v>31</v>
      </c>
      <c r="N1167">
        <v>33</v>
      </c>
      <c r="O1167">
        <v>697</v>
      </c>
      <c r="P1167">
        <v>697</v>
      </c>
      <c r="Q1167">
        <v>697</v>
      </c>
      <c r="S1167">
        <v>0</v>
      </c>
      <c r="T1167">
        <v>0</v>
      </c>
      <c r="U1167">
        <f>+SUM(Table1[[#This Row],[Latinos]:[Cemex]])</f>
        <v>1</v>
      </c>
      <c r="V1167" t="str">
        <f>+Table1[[#This Row],[id_destino]]&amp;" - "&amp;Table1[[#This Row],[id_origen]]</f>
        <v>31 - 33</v>
      </c>
    </row>
    <row r="1168" spans="1:22" hidden="1">
      <c r="A1168">
        <v>1692</v>
      </c>
      <c r="B1168">
        <v>1249</v>
      </c>
      <c r="C1168">
        <v>102</v>
      </c>
      <c r="D1168">
        <v>5876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 t="s">
        <v>20</v>
      </c>
      <c r="L1168" s="1">
        <v>43565</v>
      </c>
      <c r="M1168">
        <v>33</v>
      </c>
      <c r="N1168">
        <v>33</v>
      </c>
      <c r="O1168">
        <v>50</v>
      </c>
      <c r="P1168">
        <v>150</v>
      </c>
      <c r="Q1168">
        <v>50</v>
      </c>
      <c r="S1168">
        <v>0</v>
      </c>
      <c r="T1168">
        <v>0</v>
      </c>
      <c r="U1168">
        <f>+SUM(Table1[[#This Row],[Latinos]:[Cemex]])</f>
        <v>1</v>
      </c>
      <c r="V1168" t="str">
        <f>+Table1[[#This Row],[id_destino]]&amp;" - "&amp;Table1[[#This Row],[id_origen]]</f>
        <v>33 - 33</v>
      </c>
    </row>
    <row r="1169" spans="1:22" hidden="1">
      <c r="A1169">
        <v>1698</v>
      </c>
      <c r="B1169">
        <v>1249</v>
      </c>
      <c r="C1169">
        <v>102</v>
      </c>
      <c r="D1169">
        <v>5876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 t="s">
        <v>20</v>
      </c>
      <c r="L1169" s="1">
        <v>43567</v>
      </c>
      <c r="M1169">
        <v>33</v>
      </c>
      <c r="N1169">
        <v>33</v>
      </c>
      <c r="O1169">
        <v>50</v>
      </c>
      <c r="P1169">
        <v>150</v>
      </c>
      <c r="Q1169">
        <v>50</v>
      </c>
      <c r="S1169">
        <v>0</v>
      </c>
      <c r="T1169">
        <v>0</v>
      </c>
      <c r="U1169">
        <f>+SUM(Table1[[#This Row],[Latinos]:[Cemex]])</f>
        <v>1</v>
      </c>
      <c r="V1169" t="str">
        <f>+Table1[[#This Row],[id_destino]]&amp;" - "&amp;Table1[[#This Row],[id_origen]]</f>
        <v>33 - 33</v>
      </c>
    </row>
    <row r="1170" spans="1:22" hidden="1">
      <c r="A1170">
        <v>3114</v>
      </c>
      <c r="B1170">
        <v>1249</v>
      </c>
      <c r="C1170">
        <v>637</v>
      </c>
      <c r="D1170">
        <v>38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 t="s">
        <v>20</v>
      </c>
      <c r="L1170" s="1">
        <v>44732</v>
      </c>
      <c r="M1170">
        <v>33</v>
      </c>
      <c r="N1170">
        <v>33</v>
      </c>
      <c r="O1170">
        <v>50</v>
      </c>
      <c r="P1170">
        <v>150</v>
      </c>
      <c r="Q1170">
        <v>50</v>
      </c>
      <c r="S1170">
        <v>0</v>
      </c>
      <c r="T1170">
        <v>0</v>
      </c>
      <c r="U1170">
        <f>+SUM(Table1[[#This Row],[Latinos]:[Cemex]])</f>
        <v>1</v>
      </c>
      <c r="V1170" t="str">
        <f>+Table1[[#This Row],[id_destino]]&amp;" - "&amp;Table1[[#This Row],[id_origen]]</f>
        <v>33 - 33</v>
      </c>
    </row>
    <row r="1171" spans="1:22" hidden="1">
      <c r="A1171">
        <v>407</v>
      </c>
      <c r="B1171">
        <v>101</v>
      </c>
      <c r="C1171">
        <v>637</v>
      </c>
      <c r="D1171">
        <v>3618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 t="s">
        <v>20</v>
      </c>
      <c r="L1171" s="1">
        <v>43633</v>
      </c>
      <c r="M1171">
        <v>35</v>
      </c>
      <c r="N1171">
        <v>33</v>
      </c>
      <c r="O1171">
        <v>1352</v>
      </c>
      <c r="P1171">
        <v>1380</v>
      </c>
      <c r="Q1171">
        <v>1352</v>
      </c>
      <c r="S1171">
        <v>1968.1</v>
      </c>
      <c r="T1171">
        <v>2070.6799999999998</v>
      </c>
      <c r="U1171">
        <f>+SUM(Table1[[#This Row],[Latinos]:[Cemex]])</f>
        <v>1</v>
      </c>
      <c r="V1171" t="str">
        <f>+Table1[[#This Row],[id_destino]]&amp;" - "&amp;Table1[[#This Row],[id_origen]]</f>
        <v>35 - 33</v>
      </c>
    </row>
    <row r="1172" spans="1:22" hidden="1">
      <c r="A1172">
        <v>1032</v>
      </c>
      <c r="B1172">
        <v>101</v>
      </c>
      <c r="C1172">
        <v>637</v>
      </c>
      <c r="D1172">
        <v>3618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 t="s">
        <v>20</v>
      </c>
      <c r="L1172" s="1">
        <v>43256</v>
      </c>
      <c r="M1172">
        <v>35</v>
      </c>
      <c r="N1172">
        <v>33</v>
      </c>
      <c r="O1172">
        <v>1352</v>
      </c>
      <c r="P1172">
        <v>1352</v>
      </c>
      <c r="Q1172">
        <v>1352</v>
      </c>
      <c r="S1172">
        <v>0</v>
      </c>
      <c r="T1172">
        <v>0</v>
      </c>
      <c r="U1172">
        <f>+SUM(Table1[[#This Row],[Latinos]:[Cemex]])</f>
        <v>1</v>
      </c>
      <c r="V1172" t="str">
        <f>+Table1[[#This Row],[id_destino]]&amp;" - "&amp;Table1[[#This Row],[id_origen]]</f>
        <v>35 - 33</v>
      </c>
    </row>
    <row r="1173" spans="1:22" hidden="1">
      <c r="A1173">
        <v>4203</v>
      </c>
      <c r="B1173">
        <v>101</v>
      </c>
      <c r="C1173">
        <v>157</v>
      </c>
      <c r="D1173">
        <v>5095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 t="s">
        <v>20</v>
      </c>
      <c r="L1173" s="1">
        <v>45356</v>
      </c>
      <c r="M1173">
        <v>35</v>
      </c>
      <c r="N1173">
        <v>33</v>
      </c>
      <c r="O1173">
        <v>1336</v>
      </c>
      <c r="P1173">
        <v>1340</v>
      </c>
      <c r="Q1173">
        <v>1336</v>
      </c>
      <c r="S1173">
        <v>4362</v>
      </c>
      <c r="T1173">
        <v>4532</v>
      </c>
      <c r="U1173">
        <f>+SUM(Table1[[#This Row],[Latinos]:[Cemex]])</f>
        <v>1</v>
      </c>
      <c r="V1173" t="str">
        <f>+Table1[[#This Row],[id_destino]]&amp;" - "&amp;Table1[[#This Row],[id_origen]]</f>
        <v>35 - 33</v>
      </c>
    </row>
    <row r="1174" spans="1:22" hidden="1">
      <c r="A1174">
        <v>1058</v>
      </c>
      <c r="B1174">
        <v>2564</v>
      </c>
      <c r="C1174">
        <v>157</v>
      </c>
      <c r="D1174">
        <v>5605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 t="s">
        <v>20</v>
      </c>
      <c r="L1174" s="1">
        <v>43266</v>
      </c>
      <c r="M1174">
        <v>41</v>
      </c>
      <c r="N1174">
        <v>33</v>
      </c>
      <c r="O1174">
        <v>1440</v>
      </c>
      <c r="P1174">
        <v>1442</v>
      </c>
      <c r="Q1174">
        <v>1440</v>
      </c>
      <c r="S1174">
        <v>2166</v>
      </c>
      <c r="T1174">
        <v>2166</v>
      </c>
      <c r="U1174">
        <f>+SUM(Table1[[#This Row],[Latinos]:[Cemex]])</f>
        <v>1</v>
      </c>
      <c r="V1174" t="str">
        <f>+Table1[[#This Row],[id_destino]]&amp;" - "&amp;Table1[[#This Row],[id_origen]]</f>
        <v>41 - 33</v>
      </c>
    </row>
    <row r="1175" spans="1:22" hidden="1">
      <c r="A1175">
        <v>2634</v>
      </c>
      <c r="B1175">
        <v>780</v>
      </c>
      <c r="C1175">
        <v>157</v>
      </c>
      <c r="D1175">
        <v>6283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 t="s">
        <v>20</v>
      </c>
      <c r="L1175" s="1">
        <v>44265</v>
      </c>
      <c r="M1175">
        <v>47</v>
      </c>
      <c r="N1175">
        <v>33</v>
      </c>
      <c r="O1175">
        <v>967</v>
      </c>
      <c r="P1175">
        <v>961</v>
      </c>
      <c r="Q1175">
        <v>967</v>
      </c>
      <c r="S1175">
        <v>2282</v>
      </c>
      <c r="T1175">
        <v>2552</v>
      </c>
      <c r="U1175">
        <f>+SUM(Table1[[#This Row],[Latinos]:[Cemex]])</f>
        <v>1</v>
      </c>
      <c r="V1175" t="str">
        <f>+Table1[[#This Row],[id_destino]]&amp;" - "&amp;Table1[[#This Row],[id_origen]]</f>
        <v>47 - 33</v>
      </c>
    </row>
    <row r="1176" spans="1:22" hidden="1">
      <c r="A1176">
        <v>4827</v>
      </c>
      <c r="B1176">
        <v>1404</v>
      </c>
      <c r="C1176">
        <v>5155</v>
      </c>
      <c r="D1176">
        <v>8279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 t="s">
        <v>20</v>
      </c>
      <c r="L1176" s="1">
        <v>45868</v>
      </c>
      <c r="M1176">
        <v>49</v>
      </c>
      <c r="N1176">
        <v>33</v>
      </c>
      <c r="O1176">
        <v>838</v>
      </c>
      <c r="P1176">
        <v>891</v>
      </c>
      <c r="Q1176">
        <v>838</v>
      </c>
      <c r="S1176">
        <v>1640</v>
      </c>
      <c r="T1176">
        <v>1705</v>
      </c>
      <c r="U1176">
        <f>+SUM(Table1[[#This Row],[Latinos]:[Cemex]])</f>
        <v>1</v>
      </c>
      <c r="V1176" t="str">
        <f>+Table1[[#This Row],[id_destino]]&amp;" - "&amp;Table1[[#This Row],[id_origen]]</f>
        <v>49 - 33</v>
      </c>
    </row>
    <row r="1177" spans="1:22" hidden="1">
      <c r="A1177">
        <v>645</v>
      </c>
      <c r="B1177">
        <v>1024</v>
      </c>
      <c r="C1177">
        <v>5437</v>
      </c>
      <c r="D1177">
        <v>5396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  <c r="K1177" t="s">
        <v>20</v>
      </c>
      <c r="L1177" s="1">
        <v>43122</v>
      </c>
      <c r="M1177">
        <v>51</v>
      </c>
      <c r="N1177">
        <v>33</v>
      </c>
      <c r="O1177">
        <v>370</v>
      </c>
      <c r="P1177">
        <v>370</v>
      </c>
      <c r="Q1177">
        <v>370</v>
      </c>
      <c r="S1177">
        <v>0</v>
      </c>
      <c r="T1177">
        <v>0</v>
      </c>
      <c r="U1177">
        <f>+SUM(Table1[[#This Row],[Latinos]:[Cemex]])</f>
        <v>1</v>
      </c>
      <c r="V1177" t="str">
        <f>+Table1[[#This Row],[id_destino]]&amp;" - "&amp;Table1[[#This Row],[id_origen]]</f>
        <v>51 - 33</v>
      </c>
    </row>
    <row r="1178" spans="1:22" hidden="1">
      <c r="A1178">
        <v>2793</v>
      </c>
      <c r="B1178">
        <v>1024</v>
      </c>
      <c r="C1178">
        <v>157</v>
      </c>
      <c r="D1178">
        <v>4363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 t="s">
        <v>20</v>
      </c>
      <c r="L1178" s="1">
        <v>44446</v>
      </c>
      <c r="M1178">
        <v>51</v>
      </c>
      <c r="N1178">
        <v>33</v>
      </c>
      <c r="O1178">
        <v>368</v>
      </c>
      <c r="P1178">
        <v>397</v>
      </c>
      <c r="Q1178">
        <v>368</v>
      </c>
      <c r="S1178">
        <v>428</v>
      </c>
      <c r="T1178">
        <v>472</v>
      </c>
      <c r="U1178">
        <f>+SUM(Table1[[#This Row],[Latinos]:[Cemex]])</f>
        <v>1</v>
      </c>
      <c r="V1178" t="str">
        <f>+Table1[[#This Row],[id_destino]]&amp;" - "&amp;Table1[[#This Row],[id_origen]]</f>
        <v>51 - 33</v>
      </c>
    </row>
    <row r="1179" spans="1:22" hidden="1">
      <c r="A1179">
        <v>856</v>
      </c>
      <c r="B1179">
        <v>1487</v>
      </c>
      <c r="C1179">
        <v>157</v>
      </c>
      <c r="D1179">
        <v>3431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 t="s">
        <v>20</v>
      </c>
      <c r="L1179" s="1">
        <v>44306</v>
      </c>
      <c r="M1179">
        <v>52</v>
      </c>
      <c r="N1179">
        <v>33</v>
      </c>
      <c r="O1179">
        <v>356</v>
      </c>
      <c r="P1179">
        <v>368</v>
      </c>
      <c r="Q1179">
        <v>356</v>
      </c>
      <c r="S1179">
        <v>501</v>
      </c>
      <c r="T1179">
        <v>966</v>
      </c>
      <c r="U1179">
        <f>+SUM(Table1[[#This Row],[Latinos]:[Cemex]])</f>
        <v>1</v>
      </c>
      <c r="V1179" t="str">
        <f>+Table1[[#This Row],[id_destino]]&amp;" - "&amp;Table1[[#This Row],[id_origen]]</f>
        <v>52 - 33</v>
      </c>
    </row>
    <row r="1180" spans="1:22" hidden="1">
      <c r="A1180">
        <v>3365</v>
      </c>
      <c r="B1180">
        <v>1733</v>
      </c>
      <c r="C1180">
        <v>157</v>
      </c>
      <c r="D1180">
        <v>7081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 t="s">
        <v>20</v>
      </c>
      <c r="L1180" s="1">
        <v>44849</v>
      </c>
      <c r="M1180">
        <v>53</v>
      </c>
      <c r="N1180">
        <v>33</v>
      </c>
      <c r="O1180">
        <v>591</v>
      </c>
      <c r="P1180">
        <v>572</v>
      </c>
      <c r="Q1180">
        <v>591</v>
      </c>
      <c r="S1180">
        <v>1713</v>
      </c>
      <c r="T1180">
        <v>1774</v>
      </c>
      <c r="U1180">
        <f>+SUM(Table1[[#This Row],[Latinos]:[Cemex]])</f>
        <v>1</v>
      </c>
      <c r="V1180" t="str">
        <f>+Table1[[#This Row],[id_destino]]&amp;" - "&amp;Table1[[#This Row],[id_origen]]</f>
        <v>53 - 33</v>
      </c>
    </row>
    <row r="1181" spans="1:22">
      <c r="A1181">
        <v>4340</v>
      </c>
      <c r="B1181">
        <v>4581</v>
      </c>
      <c r="C1181">
        <v>6919</v>
      </c>
      <c r="D1181">
        <v>2927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 t="s">
        <v>20</v>
      </c>
      <c r="L1181" s="1">
        <v>45479</v>
      </c>
      <c r="M1181">
        <v>54</v>
      </c>
      <c r="N1181">
        <v>33</v>
      </c>
      <c r="O1181">
        <v>265</v>
      </c>
      <c r="P1181">
        <v>265</v>
      </c>
      <c r="Q1181">
        <v>265</v>
      </c>
      <c r="S1181">
        <v>485</v>
      </c>
      <c r="T1181">
        <v>520</v>
      </c>
      <c r="U1181">
        <f>+SUM(Table1[[#This Row],[Latinos]:[Cemex]])</f>
        <v>1</v>
      </c>
      <c r="V1181" t="str">
        <f>+Table1[[#This Row],[id_destino]]&amp;" - "&amp;Table1[[#This Row],[id_origen]]</f>
        <v>54 - 33</v>
      </c>
    </row>
    <row r="1182" spans="1:22" hidden="1">
      <c r="A1182">
        <v>604</v>
      </c>
      <c r="B1182">
        <v>34</v>
      </c>
      <c r="C1182">
        <v>637</v>
      </c>
      <c r="D1182">
        <v>63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 t="s">
        <v>39</v>
      </c>
      <c r="L1182" s="1">
        <v>43112</v>
      </c>
      <c r="M1182">
        <v>55</v>
      </c>
      <c r="N1182">
        <v>33</v>
      </c>
      <c r="O1182">
        <v>1004</v>
      </c>
      <c r="P1182">
        <v>1000</v>
      </c>
      <c r="Q1182">
        <v>1004</v>
      </c>
      <c r="S1182">
        <v>965</v>
      </c>
      <c r="T1182">
        <v>1071</v>
      </c>
      <c r="U1182">
        <f>+SUM(Table1[[#This Row],[Latinos]:[Cemex]])</f>
        <v>1</v>
      </c>
      <c r="V1182" t="str">
        <f>+Table1[[#This Row],[id_destino]]&amp;" - "&amp;Table1[[#This Row],[id_origen]]</f>
        <v>55 - 33</v>
      </c>
    </row>
    <row r="1183" spans="1:22" hidden="1">
      <c r="A1183">
        <v>1056</v>
      </c>
      <c r="B1183">
        <v>34</v>
      </c>
      <c r="C1183">
        <v>5155</v>
      </c>
      <c r="D1183">
        <v>5522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 t="s">
        <v>20</v>
      </c>
      <c r="L1183" s="1">
        <v>43266</v>
      </c>
      <c r="M1183">
        <v>55</v>
      </c>
      <c r="N1183">
        <v>33</v>
      </c>
      <c r="O1183">
        <v>1004</v>
      </c>
      <c r="P1183">
        <v>995</v>
      </c>
      <c r="Q1183">
        <v>1004</v>
      </c>
      <c r="S1183">
        <v>2604</v>
      </c>
      <c r="T1183">
        <v>2760</v>
      </c>
      <c r="U1183">
        <f>+SUM(Table1[[#This Row],[Latinos]:[Cemex]])</f>
        <v>1</v>
      </c>
      <c r="V1183" t="str">
        <f>+Table1[[#This Row],[id_destino]]&amp;" - "&amp;Table1[[#This Row],[id_origen]]</f>
        <v>55 - 33</v>
      </c>
    </row>
    <row r="1184" spans="1:22" hidden="1">
      <c r="A1184">
        <v>1847</v>
      </c>
      <c r="B1184">
        <v>534</v>
      </c>
      <c r="C1184">
        <v>4397</v>
      </c>
      <c r="D1184">
        <v>3984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 t="s">
        <v>20</v>
      </c>
      <c r="L1184" s="1">
        <v>43665</v>
      </c>
      <c r="M1184">
        <v>59</v>
      </c>
      <c r="N1184">
        <v>33</v>
      </c>
      <c r="O1184">
        <v>1374</v>
      </c>
      <c r="P1184">
        <v>1402</v>
      </c>
      <c r="Q1184">
        <v>1374</v>
      </c>
      <c r="S1184">
        <v>2952</v>
      </c>
      <c r="T1184">
        <v>3071</v>
      </c>
      <c r="U1184">
        <f>+SUM(Table1[[#This Row],[Latinos]:[Cemex]])</f>
        <v>1</v>
      </c>
      <c r="V1184" t="str">
        <f>+Table1[[#This Row],[id_destino]]&amp;" - "&amp;Table1[[#This Row],[id_origen]]</f>
        <v>59 - 33</v>
      </c>
    </row>
    <row r="1185" spans="1:22" hidden="1">
      <c r="A1185">
        <v>170</v>
      </c>
      <c r="B1185">
        <v>1642</v>
      </c>
      <c r="C1185">
        <v>157</v>
      </c>
      <c r="D1185">
        <v>5298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 t="s">
        <v>20</v>
      </c>
      <c r="L1185" s="1">
        <v>43005</v>
      </c>
      <c r="M1185">
        <v>60</v>
      </c>
      <c r="N1185">
        <v>33</v>
      </c>
      <c r="O1185">
        <v>1861</v>
      </c>
      <c r="P1185">
        <v>1861</v>
      </c>
      <c r="Q1185">
        <v>1861</v>
      </c>
      <c r="S1185">
        <v>1773</v>
      </c>
      <c r="T1185">
        <v>2077</v>
      </c>
      <c r="U1185">
        <f>+SUM(Table1[[#This Row],[Latinos]:[Cemex]])</f>
        <v>1</v>
      </c>
      <c r="V1185" t="str">
        <f>+Table1[[#This Row],[id_destino]]&amp;" - "&amp;Table1[[#This Row],[id_origen]]</f>
        <v>60 - 33</v>
      </c>
    </row>
    <row r="1186" spans="1:22" hidden="1">
      <c r="A1186">
        <v>4834</v>
      </c>
      <c r="B1186">
        <v>4941</v>
      </c>
      <c r="C1186">
        <v>5155</v>
      </c>
      <c r="D1186">
        <v>8285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 t="s">
        <v>20</v>
      </c>
      <c r="L1186" s="1">
        <v>45875</v>
      </c>
      <c r="M1186">
        <v>63</v>
      </c>
      <c r="N1186">
        <v>33</v>
      </c>
      <c r="O1186">
        <v>849</v>
      </c>
      <c r="P1186">
        <v>857</v>
      </c>
      <c r="Q1186">
        <v>849</v>
      </c>
      <c r="S1186">
        <v>1318</v>
      </c>
      <c r="T1186">
        <v>1417</v>
      </c>
      <c r="U1186">
        <f>+SUM(Table1[[#This Row],[Latinos]:[Cemex]])</f>
        <v>1</v>
      </c>
      <c r="V1186" t="str">
        <f>+Table1[[#This Row],[id_destino]]&amp;" - "&amp;Table1[[#This Row],[id_origen]]</f>
        <v>63 - 33</v>
      </c>
    </row>
    <row r="1187" spans="1:22" hidden="1">
      <c r="A1187">
        <v>2125</v>
      </c>
      <c r="B1187">
        <v>3148</v>
      </c>
      <c r="C1187">
        <v>157</v>
      </c>
      <c r="D1187">
        <v>2983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 t="s">
        <v>20</v>
      </c>
      <c r="L1187" s="1">
        <v>43819</v>
      </c>
      <c r="M1187">
        <v>65</v>
      </c>
      <c r="N1187">
        <v>33</v>
      </c>
      <c r="O1187">
        <v>1110</v>
      </c>
      <c r="P1187">
        <v>1102</v>
      </c>
      <c r="Q1187">
        <v>1110</v>
      </c>
      <c r="S1187">
        <v>3195</v>
      </c>
      <c r="T1187">
        <v>3351</v>
      </c>
      <c r="U1187">
        <f>+SUM(Table1[[#This Row],[Latinos]:[Cemex]])</f>
        <v>1</v>
      </c>
      <c r="V1187" t="str">
        <f>+Table1[[#This Row],[id_destino]]&amp;" - "&amp;Table1[[#This Row],[id_origen]]</f>
        <v>65 - 33</v>
      </c>
    </row>
    <row r="1188" spans="1:22" hidden="1">
      <c r="A1188">
        <v>1059</v>
      </c>
      <c r="B1188">
        <v>109</v>
      </c>
      <c r="C1188">
        <v>157</v>
      </c>
      <c r="D1188">
        <v>5501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 t="s">
        <v>20</v>
      </c>
      <c r="L1188" s="1">
        <v>43267</v>
      </c>
      <c r="M1188">
        <v>71</v>
      </c>
      <c r="N1188">
        <v>33</v>
      </c>
      <c r="O1188">
        <v>723</v>
      </c>
      <c r="P1188">
        <v>750</v>
      </c>
      <c r="Q1188">
        <v>723</v>
      </c>
      <c r="S1188">
        <v>1260</v>
      </c>
      <c r="T1188">
        <v>1374</v>
      </c>
      <c r="U1188">
        <f>+SUM(Table1[[#This Row],[Latinos]:[Cemex]])</f>
        <v>1</v>
      </c>
      <c r="V1188" t="str">
        <f>+Table1[[#This Row],[id_destino]]&amp;" - "&amp;Table1[[#This Row],[id_origen]]</f>
        <v>71 - 33</v>
      </c>
    </row>
    <row r="1189" spans="1:22" hidden="1">
      <c r="A1189">
        <v>2010</v>
      </c>
      <c r="B1189">
        <v>1002</v>
      </c>
      <c r="C1189">
        <v>157</v>
      </c>
      <c r="D1189">
        <v>4328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 t="s">
        <v>20</v>
      </c>
      <c r="L1189" s="1">
        <v>43766</v>
      </c>
      <c r="M1189">
        <v>79</v>
      </c>
      <c r="N1189">
        <v>33</v>
      </c>
      <c r="O1189">
        <v>1260</v>
      </c>
      <c r="P1189">
        <v>1175</v>
      </c>
      <c r="Q1189">
        <v>1260</v>
      </c>
      <c r="S1189">
        <v>2914</v>
      </c>
      <c r="T1189">
        <v>3070</v>
      </c>
      <c r="U1189">
        <f>+SUM(Table1[[#This Row],[Latinos]:[Cemex]])</f>
        <v>1</v>
      </c>
      <c r="V1189" t="str">
        <f>+Table1[[#This Row],[id_destino]]&amp;" - "&amp;Table1[[#This Row],[id_origen]]</f>
        <v>79 - 33</v>
      </c>
    </row>
    <row r="1190" spans="1:22" hidden="1">
      <c r="A1190">
        <v>4068</v>
      </c>
      <c r="B1190">
        <v>99</v>
      </c>
      <c r="C1190">
        <v>157</v>
      </c>
      <c r="D1190">
        <v>146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 t="s">
        <v>20</v>
      </c>
      <c r="L1190" s="1">
        <v>45265</v>
      </c>
      <c r="M1190">
        <v>80</v>
      </c>
      <c r="N1190">
        <v>33</v>
      </c>
      <c r="O1190">
        <v>996</v>
      </c>
      <c r="P1190">
        <v>988</v>
      </c>
      <c r="Q1190">
        <v>996</v>
      </c>
      <c r="S1190">
        <v>3167</v>
      </c>
      <c r="T1190">
        <v>3416</v>
      </c>
      <c r="U1190">
        <f>+SUM(Table1[[#This Row],[Latinos]:[Cemex]])</f>
        <v>1</v>
      </c>
      <c r="V1190" t="str">
        <f>+Table1[[#This Row],[id_destino]]&amp;" - "&amp;Table1[[#This Row],[id_origen]]</f>
        <v>80 - 33</v>
      </c>
    </row>
    <row r="1191" spans="1:22" hidden="1">
      <c r="A1191">
        <v>2121</v>
      </c>
      <c r="B1191">
        <v>3145</v>
      </c>
      <c r="C1191">
        <v>157</v>
      </c>
      <c r="D1191">
        <v>210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 t="s">
        <v>20</v>
      </c>
      <c r="L1191" s="1">
        <v>43818</v>
      </c>
      <c r="M1191">
        <v>81</v>
      </c>
      <c r="N1191">
        <v>33</v>
      </c>
      <c r="O1191">
        <v>1105</v>
      </c>
      <c r="P1191">
        <v>1101</v>
      </c>
      <c r="Q1191">
        <v>1105</v>
      </c>
      <c r="S1191">
        <v>1550</v>
      </c>
      <c r="T1191">
        <v>1669</v>
      </c>
      <c r="U1191">
        <f>+SUM(Table1[[#This Row],[Latinos]:[Cemex]])</f>
        <v>1</v>
      </c>
      <c r="V1191" t="str">
        <f>+Table1[[#This Row],[id_destino]]&amp;" - "&amp;Table1[[#This Row],[id_origen]]</f>
        <v>81 - 33</v>
      </c>
    </row>
    <row r="1192" spans="1:22" hidden="1">
      <c r="A1192">
        <v>2572</v>
      </c>
      <c r="B1192">
        <v>3426</v>
      </c>
      <c r="C1192">
        <v>157</v>
      </c>
      <c r="D1192">
        <v>4730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 t="s">
        <v>20</v>
      </c>
      <c r="L1192" s="1">
        <v>44186</v>
      </c>
      <c r="M1192">
        <v>83</v>
      </c>
      <c r="N1192">
        <v>33</v>
      </c>
      <c r="O1192">
        <v>392</v>
      </c>
      <c r="P1192">
        <v>385</v>
      </c>
      <c r="Q1192">
        <v>392</v>
      </c>
      <c r="S1192">
        <v>1212</v>
      </c>
      <c r="T1192">
        <v>1273</v>
      </c>
      <c r="U1192">
        <f>+SUM(Table1[[#This Row],[Latinos]:[Cemex]])</f>
        <v>1</v>
      </c>
      <c r="V1192" t="str">
        <f>+Table1[[#This Row],[id_destino]]&amp;" - "&amp;Table1[[#This Row],[id_origen]]</f>
        <v>83 - 33</v>
      </c>
    </row>
    <row r="1193" spans="1:22" hidden="1">
      <c r="A1193">
        <v>4283</v>
      </c>
      <c r="B1193">
        <v>4544</v>
      </c>
      <c r="C1193">
        <v>157</v>
      </c>
      <c r="D1193">
        <v>7763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 t="s">
        <v>20</v>
      </c>
      <c r="L1193" s="1">
        <v>45426</v>
      </c>
      <c r="M1193">
        <v>88</v>
      </c>
      <c r="N1193">
        <v>33</v>
      </c>
      <c r="O1193">
        <v>796</v>
      </c>
      <c r="P1193">
        <v>796</v>
      </c>
      <c r="Q1193">
        <v>785</v>
      </c>
      <c r="S1193">
        <v>1856</v>
      </c>
      <c r="T1193">
        <v>2012</v>
      </c>
      <c r="U1193">
        <f>+SUM(Table1[[#This Row],[Latinos]:[Cemex]])</f>
        <v>1</v>
      </c>
      <c r="V1193" t="str">
        <f>+Table1[[#This Row],[id_destino]]&amp;" - "&amp;Table1[[#This Row],[id_origen]]</f>
        <v>88 - 33</v>
      </c>
    </row>
    <row r="1194" spans="1:22" hidden="1">
      <c r="A1194">
        <v>681</v>
      </c>
      <c r="B1194">
        <v>854</v>
      </c>
      <c r="C1194">
        <v>157</v>
      </c>
      <c r="D1194">
        <v>847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 t="s">
        <v>20</v>
      </c>
      <c r="L1194" s="1">
        <v>43129</v>
      </c>
      <c r="M1194">
        <v>89</v>
      </c>
      <c r="N1194">
        <v>33</v>
      </c>
      <c r="O1194">
        <v>329</v>
      </c>
      <c r="P1194">
        <v>335</v>
      </c>
      <c r="Q1194">
        <v>329</v>
      </c>
      <c r="S1194">
        <v>88</v>
      </c>
      <c r="T1194">
        <v>114</v>
      </c>
      <c r="U1194">
        <f>+SUM(Table1[[#This Row],[Latinos]:[Cemex]])</f>
        <v>1</v>
      </c>
      <c r="V1194" t="str">
        <f>+Table1[[#This Row],[id_destino]]&amp;" - "&amp;Table1[[#This Row],[id_origen]]</f>
        <v>89 - 33</v>
      </c>
    </row>
    <row r="1195" spans="1:22" hidden="1">
      <c r="A1195">
        <v>2809</v>
      </c>
      <c r="B1195">
        <v>1372</v>
      </c>
      <c r="C1195">
        <v>157</v>
      </c>
      <c r="D1195">
        <v>109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 t="s">
        <v>20</v>
      </c>
      <c r="L1195" s="1">
        <v>44478</v>
      </c>
      <c r="M1195">
        <v>93</v>
      </c>
      <c r="N1195">
        <v>33</v>
      </c>
      <c r="O1195">
        <v>942</v>
      </c>
      <c r="P1195">
        <v>933</v>
      </c>
      <c r="Q1195">
        <v>942</v>
      </c>
      <c r="S1195">
        <v>938</v>
      </c>
      <c r="T1195">
        <v>1060</v>
      </c>
      <c r="U1195">
        <f>+SUM(Table1[[#This Row],[Latinos]:[Cemex]])</f>
        <v>1</v>
      </c>
      <c r="V1195" t="str">
        <f>+Table1[[#This Row],[id_destino]]&amp;" - "&amp;Table1[[#This Row],[id_origen]]</f>
        <v>93 - 33</v>
      </c>
    </row>
    <row r="1196" spans="1:22" hidden="1">
      <c r="A1196">
        <v>144</v>
      </c>
      <c r="B1196">
        <v>670</v>
      </c>
      <c r="C1196">
        <v>637</v>
      </c>
      <c r="D1196">
        <v>268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 t="s">
        <v>20</v>
      </c>
      <c r="L1196" s="1">
        <v>45191</v>
      </c>
      <c r="M1196">
        <v>99</v>
      </c>
      <c r="N1196">
        <v>33</v>
      </c>
      <c r="O1196">
        <v>2170</v>
      </c>
      <c r="P1196">
        <v>2145</v>
      </c>
      <c r="Q1196">
        <v>2170</v>
      </c>
      <c r="S1196">
        <v>5319</v>
      </c>
      <c r="T1196">
        <v>5475</v>
      </c>
      <c r="U1196">
        <f>+SUM(Table1[[#This Row],[Latinos]:[Cemex]])</f>
        <v>1</v>
      </c>
      <c r="V1196" t="str">
        <f>+Table1[[#This Row],[id_destino]]&amp;" - "&amp;Table1[[#This Row],[id_origen]]</f>
        <v>99 - 33</v>
      </c>
    </row>
    <row r="1197" spans="1:22" hidden="1">
      <c r="A1197">
        <v>1332</v>
      </c>
      <c r="B1197">
        <v>1813</v>
      </c>
      <c r="C1197">
        <v>157</v>
      </c>
      <c r="D1197">
        <v>5728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 t="s">
        <v>20</v>
      </c>
      <c r="L1197" s="1">
        <v>43389</v>
      </c>
      <c r="M1197">
        <v>101</v>
      </c>
      <c r="N1197">
        <v>33</v>
      </c>
      <c r="O1197">
        <v>410</v>
      </c>
      <c r="P1197">
        <v>410</v>
      </c>
      <c r="Q1197">
        <v>410</v>
      </c>
      <c r="S1197">
        <v>0</v>
      </c>
      <c r="T1197">
        <v>0</v>
      </c>
      <c r="U1197">
        <f>+SUM(Table1[[#This Row],[Latinos]:[Cemex]])</f>
        <v>1</v>
      </c>
      <c r="V1197" t="str">
        <f>+Table1[[#This Row],[id_destino]]&amp;" - "&amp;Table1[[#This Row],[id_origen]]</f>
        <v>101 - 33</v>
      </c>
    </row>
    <row r="1198" spans="1:22" hidden="1">
      <c r="A1198">
        <v>2443</v>
      </c>
      <c r="B1198">
        <v>3347</v>
      </c>
      <c r="C1198">
        <v>5437</v>
      </c>
      <c r="D1198">
        <v>5472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  <c r="K1198" t="s">
        <v>20</v>
      </c>
      <c r="L1198" s="1">
        <v>44077</v>
      </c>
      <c r="M1198">
        <v>102</v>
      </c>
      <c r="N1198">
        <v>33</v>
      </c>
      <c r="O1198">
        <v>672</v>
      </c>
      <c r="P1198">
        <v>672</v>
      </c>
      <c r="Q1198">
        <v>672</v>
      </c>
      <c r="S1198">
        <v>0</v>
      </c>
      <c r="T1198">
        <v>0</v>
      </c>
      <c r="U1198">
        <f>+SUM(Table1[[#This Row],[Latinos]:[Cemex]])</f>
        <v>1</v>
      </c>
      <c r="V1198" t="str">
        <f>+Table1[[#This Row],[id_destino]]&amp;" - "&amp;Table1[[#This Row],[id_origen]]</f>
        <v>102 - 33</v>
      </c>
    </row>
    <row r="1199" spans="1:22" hidden="1">
      <c r="A1199">
        <v>4832</v>
      </c>
      <c r="B1199">
        <v>3347</v>
      </c>
      <c r="C1199">
        <v>5155</v>
      </c>
      <c r="D1199">
        <v>8286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 t="s">
        <v>20</v>
      </c>
      <c r="L1199" s="1">
        <v>45875</v>
      </c>
      <c r="M1199">
        <v>102</v>
      </c>
      <c r="N1199">
        <v>33</v>
      </c>
      <c r="O1199">
        <v>682</v>
      </c>
      <c r="P1199">
        <v>682</v>
      </c>
      <c r="Q1199">
        <v>682</v>
      </c>
      <c r="S1199">
        <v>2255</v>
      </c>
      <c r="T1199">
        <v>2255</v>
      </c>
      <c r="U1199">
        <f>+SUM(Table1[[#This Row],[Latinos]:[Cemex]])</f>
        <v>1</v>
      </c>
      <c r="V1199" t="str">
        <f>+Table1[[#This Row],[id_destino]]&amp;" - "&amp;Table1[[#This Row],[id_origen]]</f>
        <v>102 - 33</v>
      </c>
    </row>
    <row r="1200" spans="1:22" hidden="1">
      <c r="A1200">
        <v>122</v>
      </c>
      <c r="B1200">
        <v>725</v>
      </c>
      <c r="C1200">
        <v>637</v>
      </c>
      <c r="D1200">
        <v>1555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 t="s">
        <v>20</v>
      </c>
      <c r="L1200" s="1">
        <v>45477</v>
      </c>
      <c r="M1200">
        <v>107</v>
      </c>
      <c r="N1200">
        <v>33</v>
      </c>
      <c r="O1200">
        <v>830</v>
      </c>
      <c r="P1200">
        <v>920</v>
      </c>
      <c r="Q1200">
        <v>830</v>
      </c>
      <c r="S1200">
        <v>982</v>
      </c>
      <c r="T1200">
        <v>1043</v>
      </c>
      <c r="U1200">
        <f>+SUM(Table1[[#This Row],[Latinos]:[Cemex]])</f>
        <v>1</v>
      </c>
      <c r="V1200" t="str">
        <f>+Table1[[#This Row],[id_destino]]&amp;" - "&amp;Table1[[#This Row],[id_origen]]</f>
        <v>107 - 33</v>
      </c>
    </row>
    <row r="1201" spans="1:22" hidden="1">
      <c r="A1201">
        <v>647</v>
      </c>
      <c r="B1201">
        <v>725</v>
      </c>
      <c r="C1201">
        <v>637</v>
      </c>
      <c r="D1201">
        <v>1555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 t="s">
        <v>41</v>
      </c>
      <c r="L1201" s="1">
        <v>43122</v>
      </c>
      <c r="M1201">
        <v>107</v>
      </c>
      <c r="N1201">
        <v>33</v>
      </c>
      <c r="O1201">
        <v>1334</v>
      </c>
      <c r="P1201">
        <v>1334</v>
      </c>
      <c r="Q1201">
        <v>830</v>
      </c>
      <c r="S1201">
        <v>0</v>
      </c>
      <c r="T1201">
        <v>0</v>
      </c>
      <c r="U1201">
        <f>+SUM(Table1[[#This Row],[Latinos]:[Cemex]])</f>
        <v>1</v>
      </c>
      <c r="V1201" t="str">
        <f>+Table1[[#This Row],[id_destino]]&amp;" - "&amp;Table1[[#This Row],[id_origen]]</f>
        <v>107 - 33</v>
      </c>
    </row>
    <row r="1202" spans="1:22" hidden="1">
      <c r="A1202">
        <v>2434</v>
      </c>
      <c r="B1202">
        <v>725</v>
      </c>
      <c r="C1202">
        <v>157</v>
      </c>
      <c r="D1202">
        <v>6389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 t="s">
        <v>20</v>
      </c>
      <c r="L1202" s="1">
        <v>44070</v>
      </c>
      <c r="M1202">
        <v>107</v>
      </c>
      <c r="N1202">
        <v>33</v>
      </c>
      <c r="O1202">
        <v>830</v>
      </c>
      <c r="P1202">
        <v>920</v>
      </c>
      <c r="Q1202">
        <v>830</v>
      </c>
      <c r="S1202">
        <v>490</v>
      </c>
      <c r="T1202">
        <v>542</v>
      </c>
      <c r="U1202">
        <f>+SUM(Table1[[#This Row],[Latinos]:[Cemex]])</f>
        <v>1</v>
      </c>
      <c r="V1202" t="str">
        <f>+Table1[[#This Row],[id_destino]]&amp;" - "&amp;Table1[[#This Row],[id_origen]]</f>
        <v>107 - 33</v>
      </c>
    </row>
    <row r="1203" spans="1:22" hidden="1">
      <c r="A1203">
        <v>1114</v>
      </c>
      <c r="B1203">
        <v>2589</v>
      </c>
      <c r="C1203">
        <v>157</v>
      </c>
      <c r="D1203">
        <v>5629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 t="s">
        <v>20</v>
      </c>
      <c r="L1203" s="1">
        <v>43295</v>
      </c>
      <c r="M1203">
        <v>110</v>
      </c>
      <c r="N1203">
        <v>33</v>
      </c>
      <c r="O1203">
        <v>595</v>
      </c>
      <c r="P1203">
        <v>595</v>
      </c>
      <c r="Q1203">
        <v>595</v>
      </c>
      <c r="S1203">
        <v>0</v>
      </c>
      <c r="T1203">
        <v>0</v>
      </c>
      <c r="U1203">
        <f>+SUM(Table1[[#This Row],[Latinos]:[Cemex]])</f>
        <v>1</v>
      </c>
      <c r="V1203" t="str">
        <f>+Table1[[#This Row],[id_destino]]&amp;" - "&amp;Table1[[#This Row],[id_origen]]</f>
        <v>110 - 33</v>
      </c>
    </row>
    <row r="1204" spans="1:22" hidden="1">
      <c r="A1204">
        <v>1897</v>
      </c>
      <c r="B1204">
        <v>3004</v>
      </c>
      <c r="C1204">
        <v>6026</v>
      </c>
      <c r="D1204">
        <v>6027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 t="s">
        <v>20</v>
      </c>
      <c r="L1204" s="1">
        <v>43701</v>
      </c>
      <c r="M1204">
        <v>120</v>
      </c>
      <c r="N1204">
        <v>33</v>
      </c>
      <c r="O1204">
        <v>1860</v>
      </c>
      <c r="P1204">
        <v>1907</v>
      </c>
      <c r="Q1204">
        <v>1860</v>
      </c>
      <c r="S1204">
        <v>2849</v>
      </c>
      <c r="T1204">
        <v>2968</v>
      </c>
      <c r="U1204">
        <f>+SUM(Table1[[#This Row],[Latinos]:[Cemex]])</f>
        <v>1</v>
      </c>
      <c r="V1204" t="str">
        <f>+Table1[[#This Row],[id_destino]]&amp;" - "&amp;Table1[[#This Row],[id_origen]]</f>
        <v>120 - 33</v>
      </c>
    </row>
    <row r="1205" spans="1:22" hidden="1">
      <c r="A1205">
        <v>522</v>
      </c>
      <c r="B1205">
        <v>1108</v>
      </c>
      <c r="C1205">
        <v>157</v>
      </c>
      <c r="D1205">
        <v>623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 t="s">
        <v>20</v>
      </c>
      <c r="L1205" s="1">
        <v>43088</v>
      </c>
      <c r="M1205">
        <v>121</v>
      </c>
      <c r="N1205">
        <v>33</v>
      </c>
      <c r="O1205">
        <v>688</v>
      </c>
      <c r="P1205">
        <v>677</v>
      </c>
      <c r="Q1205">
        <v>688</v>
      </c>
      <c r="S1205">
        <v>1427</v>
      </c>
      <c r="T1205">
        <v>1583</v>
      </c>
      <c r="U1205">
        <f>+SUM(Table1[[#This Row],[Latinos]:[Cemex]])</f>
        <v>1</v>
      </c>
      <c r="V1205" t="str">
        <f>+Table1[[#This Row],[id_destino]]&amp;" - "&amp;Table1[[#This Row],[id_origen]]</f>
        <v>121 - 33</v>
      </c>
    </row>
    <row r="1206" spans="1:22" hidden="1">
      <c r="A1206">
        <v>1949</v>
      </c>
      <c r="B1206">
        <v>3039</v>
      </c>
      <c r="C1206">
        <v>5437</v>
      </c>
      <c r="D1206">
        <v>391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 t="s">
        <v>20</v>
      </c>
      <c r="L1206" s="1">
        <v>43735</v>
      </c>
      <c r="M1206">
        <v>127</v>
      </c>
      <c r="N1206">
        <v>33</v>
      </c>
      <c r="O1206">
        <v>329</v>
      </c>
      <c r="P1206">
        <v>298</v>
      </c>
      <c r="Q1206">
        <v>329</v>
      </c>
      <c r="S1206">
        <v>0</v>
      </c>
      <c r="T1206">
        <v>0</v>
      </c>
      <c r="U1206">
        <f>+SUM(Table1[[#This Row],[Latinos]:[Cemex]])</f>
        <v>1</v>
      </c>
      <c r="V1206" t="str">
        <f>+Table1[[#This Row],[id_destino]]&amp;" - "&amp;Table1[[#This Row],[id_origen]]</f>
        <v>127 - 33</v>
      </c>
    </row>
    <row r="1207" spans="1:22" hidden="1">
      <c r="A1207">
        <v>3244</v>
      </c>
      <c r="B1207">
        <v>3861</v>
      </c>
      <c r="C1207">
        <v>157</v>
      </c>
      <c r="D1207">
        <v>7014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 t="s">
        <v>20</v>
      </c>
      <c r="L1207" s="1">
        <v>44795</v>
      </c>
      <c r="M1207">
        <v>130</v>
      </c>
      <c r="N1207">
        <v>33</v>
      </c>
      <c r="O1207">
        <v>544</v>
      </c>
      <c r="P1207">
        <v>541</v>
      </c>
      <c r="Q1207">
        <v>544</v>
      </c>
      <c r="S1207">
        <v>0</v>
      </c>
      <c r="T1207">
        <v>0</v>
      </c>
      <c r="U1207">
        <f>+SUM(Table1[[#This Row],[Latinos]:[Cemex]])</f>
        <v>1</v>
      </c>
      <c r="V1207" t="str">
        <f>+Table1[[#This Row],[id_destino]]&amp;" - "&amp;Table1[[#This Row],[id_origen]]</f>
        <v>130 - 33</v>
      </c>
    </row>
    <row r="1208" spans="1:22" hidden="1">
      <c r="A1208">
        <v>3673</v>
      </c>
      <c r="B1208">
        <v>3861</v>
      </c>
      <c r="C1208">
        <v>6919</v>
      </c>
      <c r="D1208">
        <v>2867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 t="s">
        <v>20</v>
      </c>
      <c r="L1208" s="1">
        <v>45021</v>
      </c>
      <c r="M1208">
        <v>130</v>
      </c>
      <c r="N1208">
        <v>33</v>
      </c>
      <c r="O1208">
        <v>539</v>
      </c>
      <c r="P1208">
        <v>541</v>
      </c>
      <c r="Q1208">
        <v>539</v>
      </c>
      <c r="S1208">
        <v>0</v>
      </c>
      <c r="T1208">
        <v>0</v>
      </c>
      <c r="U1208">
        <f>+SUM(Table1[[#This Row],[Latinos]:[Cemex]])</f>
        <v>1</v>
      </c>
      <c r="V1208" t="str">
        <f>+Table1[[#This Row],[id_destino]]&amp;" - "&amp;Table1[[#This Row],[id_origen]]</f>
        <v>130 - 33</v>
      </c>
    </row>
    <row r="1209" spans="1:22" hidden="1">
      <c r="A1209">
        <v>1259</v>
      </c>
      <c r="B1209">
        <v>1340</v>
      </c>
      <c r="C1209">
        <v>157</v>
      </c>
      <c r="D1209">
        <v>4811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 t="s">
        <v>20</v>
      </c>
      <c r="L1209" s="1">
        <v>43356</v>
      </c>
      <c r="M1209">
        <v>136</v>
      </c>
      <c r="N1209">
        <v>33</v>
      </c>
      <c r="O1209">
        <v>1101</v>
      </c>
      <c r="P1209">
        <v>1101</v>
      </c>
      <c r="Q1209">
        <v>1101</v>
      </c>
      <c r="S1209">
        <v>1469</v>
      </c>
      <c r="T1209">
        <v>1583</v>
      </c>
      <c r="U1209">
        <f>+SUM(Table1[[#This Row],[Latinos]:[Cemex]])</f>
        <v>1</v>
      </c>
      <c r="V1209" t="str">
        <f>+Table1[[#This Row],[id_destino]]&amp;" - "&amp;Table1[[#This Row],[id_origen]]</f>
        <v>136 - 33</v>
      </c>
    </row>
    <row r="1210" spans="1:22" hidden="1">
      <c r="A1210">
        <v>1728</v>
      </c>
      <c r="B1210">
        <v>694</v>
      </c>
      <c r="C1210">
        <v>157</v>
      </c>
      <c r="D1210">
        <v>1645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 t="s">
        <v>20</v>
      </c>
      <c r="L1210" s="1">
        <v>43592</v>
      </c>
      <c r="M1210">
        <v>148</v>
      </c>
      <c r="N1210">
        <v>33</v>
      </c>
      <c r="O1210">
        <v>389</v>
      </c>
      <c r="P1210">
        <v>388</v>
      </c>
      <c r="Q1210">
        <v>389</v>
      </c>
      <c r="S1210">
        <v>545</v>
      </c>
      <c r="T1210">
        <v>664</v>
      </c>
      <c r="U1210">
        <f>+SUM(Table1[[#This Row],[Latinos]:[Cemex]])</f>
        <v>1</v>
      </c>
      <c r="V1210" t="str">
        <f>+Table1[[#This Row],[id_destino]]&amp;" - "&amp;Table1[[#This Row],[id_origen]]</f>
        <v>148 - 33</v>
      </c>
    </row>
    <row r="1211" spans="1:22" hidden="1">
      <c r="A1211">
        <v>4682</v>
      </c>
      <c r="B1211">
        <v>694</v>
      </c>
      <c r="C1211">
        <v>637</v>
      </c>
      <c r="D1211">
        <v>1645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 t="s">
        <v>20</v>
      </c>
      <c r="L1211" s="1">
        <v>45726</v>
      </c>
      <c r="M1211">
        <v>148</v>
      </c>
      <c r="N1211">
        <v>33</v>
      </c>
      <c r="O1211">
        <v>389</v>
      </c>
      <c r="P1211">
        <v>388</v>
      </c>
      <c r="Q1211">
        <v>389</v>
      </c>
      <c r="S1211">
        <v>545</v>
      </c>
      <c r="T1211">
        <v>664</v>
      </c>
      <c r="U1211">
        <f>+SUM(Table1[[#This Row],[Latinos]:[Cemex]])</f>
        <v>1</v>
      </c>
      <c r="V1211" t="str">
        <f>+Table1[[#This Row],[id_destino]]&amp;" - "&amp;Table1[[#This Row],[id_origen]]</f>
        <v>148 - 33</v>
      </c>
    </row>
    <row r="1212" spans="1:22" hidden="1">
      <c r="A1212">
        <v>322</v>
      </c>
      <c r="B1212">
        <v>853</v>
      </c>
      <c r="C1212">
        <v>157</v>
      </c>
      <c r="D1212">
        <v>2111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 t="s">
        <v>20</v>
      </c>
      <c r="L1212" s="1">
        <v>43038</v>
      </c>
      <c r="M1212">
        <v>155</v>
      </c>
      <c r="N1212">
        <v>33</v>
      </c>
      <c r="O1212">
        <v>513</v>
      </c>
      <c r="P1212">
        <v>533</v>
      </c>
      <c r="Q1212">
        <v>513</v>
      </c>
      <c r="S1212">
        <v>2713</v>
      </c>
      <c r="T1212">
        <v>3053</v>
      </c>
      <c r="U1212">
        <f>+SUM(Table1[[#This Row],[Latinos]:[Cemex]])</f>
        <v>1</v>
      </c>
      <c r="V1212" t="str">
        <f>+Table1[[#This Row],[id_destino]]&amp;" - "&amp;Table1[[#This Row],[id_origen]]</f>
        <v>155 - 33</v>
      </c>
    </row>
    <row r="1213" spans="1:22" hidden="1">
      <c r="A1213">
        <v>965</v>
      </c>
      <c r="B1213">
        <v>729</v>
      </c>
      <c r="C1213">
        <v>157</v>
      </c>
      <c r="D1213">
        <v>5563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 t="s">
        <v>20</v>
      </c>
      <c r="L1213" s="1">
        <v>44105</v>
      </c>
      <c r="M1213">
        <v>169</v>
      </c>
      <c r="N1213">
        <v>33</v>
      </c>
      <c r="O1213">
        <v>629</v>
      </c>
      <c r="P1213">
        <v>619</v>
      </c>
      <c r="Q1213">
        <v>629</v>
      </c>
      <c r="S1213">
        <v>1232</v>
      </c>
      <c r="T1213">
        <v>1388</v>
      </c>
      <c r="U1213">
        <f>+SUM(Table1[[#This Row],[Latinos]:[Cemex]])</f>
        <v>1</v>
      </c>
      <c r="V1213" t="str">
        <f>+Table1[[#This Row],[id_destino]]&amp;" - "&amp;Table1[[#This Row],[id_origen]]</f>
        <v>169 - 33</v>
      </c>
    </row>
    <row r="1214" spans="1:22" hidden="1">
      <c r="A1214">
        <v>3894</v>
      </c>
      <c r="B1214">
        <v>4284</v>
      </c>
      <c r="C1214">
        <v>157</v>
      </c>
      <c r="D1214">
        <v>7458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 t="s">
        <v>20</v>
      </c>
      <c r="L1214" s="1">
        <v>45170</v>
      </c>
      <c r="M1214">
        <v>173</v>
      </c>
      <c r="N1214">
        <v>33</v>
      </c>
      <c r="O1214">
        <v>758</v>
      </c>
      <c r="P1214">
        <v>759</v>
      </c>
      <c r="Q1214">
        <v>758</v>
      </c>
      <c r="S1214">
        <v>1854</v>
      </c>
      <c r="T1214">
        <v>2010</v>
      </c>
      <c r="U1214">
        <f>+SUM(Table1[[#This Row],[Latinos]:[Cemex]])</f>
        <v>1</v>
      </c>
      <c r="V1214" t="str">
        <f>+Table1[[#This Row],[id_destino]]&amp;" - "&amp;Table1[[#This Row],[id_origen]]</f>
        <v>173 - 33</v>
      </c>
    </row>
    <row r="1215" spans="1:22" hidden="1">
      <c r="A1215">
        <v>2514</v>
      </c>
      <c r="B1215">
        <v>1324</v>
      </c>
      <c r="C1215">
        <v>5155</v>
      </c>
      <c r="D1215">
        <v>3393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 t="s">
        <v>20</v>
      </c>
      <c r="L1215" s="1">
        <v>44165</v>
      </c>
      <c r="M1215">
        <v>183</v>
      </c>
      <c r="N1215">
        <v>33</v>
      </c>
      <c r="O1215">
        <v>730</v>
      </c>
      <c r="P1215">
        <v>730</v>
      </c>
      <c r="Q1215">
        <v>730</v>
      </c>
      <c r="S1215">
        <v>2575</v>
      </c>
      <c r="T1215">
        <v>2575</v>
      </c>
      <c r="U1215">
        <f>+SUM(Table1[[#This Row],[Latinos]:[Cemex]])</f>
        <v>1</v>
      </c>
      <c r="V1215" t="str">
        <f>+Table1[[#This Row],[id_destino]]&amp;" - "&amp;Table1[[#This Row],[id_origen]]</f>
        <v>183 - 33</v>
      </c>
    </row>
    <row r="1216" spans="1:22" hidden="1">
      <c r="A1216">
        <v>1060</v>
      </c>
      <c r="B1216">
        <v>2565</v>
      </c>
      <c r="C1216">
        <v>157</v>
      </c>
      <c r="D1216">
        <v>5067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 t="s">
        <v>20</v>
      </c>
      <c r="L1216" s="1">
        <v>43269</v>
      </c>
      <c r="M1216">
        <v>188</v>
      </c>
      <c r="N1216">
        <v>33</v>
      </c>
      <c r="O1216">
        <v>980</v>
      </c>
      <c r="P1216">
        <v>963</v>
      </c>
      <c r="Q1216">
        <v>980</v>
      </c>
      <c r="S1216">
        <v>713</v>
      </c>
      <c r="T1216">
        <v>887</v>
      </c>
      <c r="U1216">
        <f>+SUM(Table1[[#This Row],[Latinos]:[Cemex]])</f>
        <v>1</v>
      </c>
      <c r="V1216" t="str">
        <f>+Table1[[#This Row],[id_destino]]&amp;" - "&amp;Table1[[#This Row],[id_origen]]</f>
        <v>188 - 33</v>
      </c>
    </row>
    <row r="1217" spans="1:22" hidden="1">
      <c r="A1217">
        <v>1432</v>
      </c>
      <c r="B1217">
        <v>977</v>
      </c>
      <c r="C1217">
        <v>157</v>
      </c>
      <c r="D1217">
        <v>3032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 t="s">
        <v>69</v>
      </c>
      <c r="L1217" s="1">
        <v>43432</v>
      </c>
      <c r="M1217">
        <v>189</v>
      </c>
      <c r="N1217">
        <v>33</v>
      </c>
      <c r="O1217">
        <v>669</v>
      </c>
      <c r="P1217">
        <v>673</v>
      </c>
      <c r="Q1217">
        <v>669</v>
      </c>
      <c r="S1217">
        <v>2941</v>
      </c>
      <c r="T1217">
        <v>3281</v>
      </c>
      <c r="U1217">
        <f>+SUM(Table1[[#This Row],[Latinos]:[Cemex]])</f>
        <v>1</v>
      </c>
      <c r="V1217" t="str">
        <f>+Table1[[#This Row],[id_destino]]&amp;" - "&amp;Table1[[#This Row],[id_origen]]</f>
        <v>189 - 33</v>
      </c>
    </row>
    <row r="1218" spans="1:22" hidden="1">
      <c r="A1218">
        <v>2077</v>
      </c>
      <c r="B1218">
        <v>1257</v>
      </c>
      <c r="C1218">
        <v>157</v>
      </c>
      <c r="D1218">
        <v>4262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 t="s">
        <v>20</v>
      </c>
      <c r="L1218" s="1">
        <v>43801</v>
      </c>
      <c r="M1218">
        <v>192</v>
      </c>
      <c r="N1218">
        <v>33</v>
      </c>
      <c r="O1218">
        <v>656</v>
      </c>
      <c r="P1218">
        <v>681</v>
      </c>
      <c r="Q1218">
        <v>656</v>
      </c>
      <c r="S1218">
        <v>1127</v>
      </c>
      <c r="T1218">
        <v>1246</v>
      </c>
      <c r="U1218">
        <f>+SUM(Table1[[#This Row],[Latinos]:[Cemex]])</f>
        <v>1</v>
      </c>
      <c r="V1218" t="str">
        <f>+Table1[[#This Row],[id_destino]]&amp;" - "&amp;Table1[[#This Row],[id_origen]]</f>
        <v>192 - 33</v>
      </c>
    </row>
    <row r="1219" spans="1:22" hidden="1">
      <c r="A1219">
        <v>2800</v>
      </c>
      <c r="B1219">
        <v>3574</v>
      </c>
      <c r="C1219">
        <v>157</v>
      </c>
      <c r="D1219">
        <v>6682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 t="s">
        <v>20</v>
      </c>
      <c r="L1219" s="1">
        <v>44466</v>
      </c>
      <c r="M1219">
        <v>218</v>
      </c>
      <c r="N1219">
        <v>33</v>
      </c>
      <c r="O1219">
        <v>610</v>
      </c>
      <c r="P1219">
        <v>574</v>
      </c>
      <c r="Q1219">
        <v>610</v>
      </c>
      <c r="S1219">
        <v>957</v>
      </c>
      <c r="T1219">
        <v>1113</v>
      </c>
      <c r="U1219">
        <f>+SUM(Table1[[#This Row],[Latinos]:[Cemex]])</f>
        <v>1</v>
      </c>
      <c r="V1219" t="str">
        <f>+Table1[[#This Row],[id_destino]]&amp;" - "&amp;Table1[[#This Row],[id_origen]]</f>
        <v>218 - 33</v>
      </c>
    </row>
    <row r="1220" spans="1:22" hidden="1">
      <c r="A1220">
        <v>304</v>
      </c>
      <c r="B1220">
        <v>696</v>
      </c>
      <c r="C1220">
        <v>157</v>
      </c>
      <c r="D1220">
        <v>33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 t="s">
        <v>20</v>
      </c>
      <c r="L1220" s="1">
        <v>44048</v>
      </c>
      <c r="M1220">
        <v>260</v>
      </c>
      <c r="N1220">
        <v>33</v>
      </c>
      <c r="O1220">
        <v>887</v>
      </c>
      <c r="P1220">
        <v>878</v>
      </c>
      <c r="Q1220">
        <v>887</v>
      </c>
      <c r="S1220">
        <v>3941</v>
      </c>
      <c r="T1220">
        <v>4398</v>
      </c>
      <c r="U1220">
        <f>+SUM(Table1[[#This Row],[Latinos]:[Cemex]])</f>
        <v>1</v>
      </c>
      <c r="V1220" t="str">
        <f>+Table1[[#This Row],[id_destino]]&amp;" - "&amp;Table1[[#This Row],[id_origen]]</f>
        <v>260 - 33</v>
      </c>
    </row>
    <row r="1221" spans="1:22" hidden="1">
      <c r="A1221">
        <v>586</v>
      </c>
      <c r="B1221">
        <v>2355</v>
      </c>
      <c r="C1221">
        <v>157</v>
      </c>
      <c r="D1221">
        <v>2623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 t="s">
        <v>20</v>
      </c>
      <c r="L1221" s="1">
        <v>43108</v>
      </c>
      <c r="M1221">
        <v>288</v>
      </c>
      <c r="N1221">
        <v>33</v>
      </c>
      <c r="O1221">
        <v>340</v>
      </c>
      <c r="P1221">
        <v>370</v>
      </c>
      <c r="Q1221">
        <v>340</v>
      </c>
      <c r="S1221">
        <v>428</v>
      </c>
      <c r="T1221">
        <v>472</v>
      </c>
      <c r="U1221">
        <f>+SUM(Table1[[#This Row],[Latinos]:[Cemex]])</f>
        <v>1</v>
      </c>
      <c r="V1221" t="str">
        <f>+Table1[[#This Row],[id_destino]]&amp;" - "&amp;Table1[[#This Row],[id_origen]]</f>
        <v>288 - 33</v>
      </c>
    </row>
    <row r="1222" spans="1:22" hidden="1">
      <c r="A1222">
        <v>1775</v>
      </c>
      <c r="B1222">
        <v>2355</v>
      </c>
      <c r="C1222">
        <v>157</v>
      </c>
      <c r="D1222">
        <v>2623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  <c r="K1222" t="s">
        <v>20</v>
      </c>
      <c r="L1222" s="1">
        <v>43620</v>
      </c>
      <c r="M1222">
        <v>288</v>
      </c>
      <c r="N1222">
        <v>33</v>
      </c>
      <c r="O1222">
        <v>341</v>
      </c>
      <c r="P1222">
        <v>341</v>
      </c>
      <c r="Q1222">
        <v>341</v>
      </c>
      <c r="S1222">
        <v>0</v>
      </c>
      <c r="T1222">
        <v>0</v>
      </c>
      <c r="U1222">
        <f>+SUM(Table1[[#This Row],[Latinos]:[Cemex]])</f>
        <v>1</v>
      </c>
      <c r="V1222" t="str">
        <f>+Table1[[#This Row],[id_destino]]&amp;" - "&amp;Table1[[#This Row],[id_origen]]</f>
        <v>288 - 33</v>
      </c>
    </row>
    <row r="1223" spans="1:22" hidden="1">
      <c r="A1223">
        <v>2763</v>
      </c>
      <c r="B1223">
        <v>2189</v>
      </c>
      <c r="C1223">
        <v>157</v>
      </c>
      <c r="D1223">
        <v>4409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 t="s">
        <v>20</v>
      </c>
      <c r="L1223" s="1">
        <v>44427</v>
      </c>
      <c r="M1223">
        <v>316</v>
      </c>
      <c r="N1223">
        <v>33</v>
      </c>
      <c r="O1223">
        <v>724</v>
      </c>
      <c r="P1223">
        <v>724</v>
      </c>
      <c r="Q1223">
        <v>724</v>
      </c>
      <c r="S1223">
        <v>1188</v>
      </c>
      <c r="T1223">
        <v>1310</v>
      </c>
      <c r="U1223">
        <f>+SUM(Table1[[#This Row],[Latinos]:[Cemex]])</f>
        <v>1</v>
      </c>
      <c r="V1223" t="str">
        <f>+Table1[[#This Row],[id_destino]]&amp;" - "&amp;Table1[[#This Row],[id_origen]]</f>
        <v>316 - 33</v>
      </c>
    </row>
    <row r="1224" spans="1:22" hidden="1">
      <c r="A1224">
        <v>3905</v>
      </c>
      <c r="B1224">
        <v>4292</v>
      </c>
      <c r="C1224">
        <v>157</v>
      </c>
      <c r="D1224">
        <v>7461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 t="s">
        <v>105</v>
      </c>
      <c r="L1224" s="1">
        <v>45175</v>
      </c>
      <c r="M1224">
        <v>365</v>
      </c>
      <c r="N1224">
        <v>33</v>
      </c>
      <c r="O1224">
        <v>505</v>
      </c>
      <c r="P1224">
        <v>499</v>
      </c>
      <c r="Q1224">
        <v>505</v>
      </c>
      <c r="S1224">
        <v>211</v>
      </c>
      <c r="T1224">
        <v>211</v>
      </c>
      <c r="U1224">
        <f>+SUM(Table1[[#This Row],[Latinos]:[Cemex]])</f>
        <v>1</v>
      </c>
      <c r="V1224" t="str">
        <f>+Table1[[#This Row],[id_destino]]&amp;" - "&amp;Table1[[#This Row],[id_origen]]</f>
        <v>365 - 33</v>
      </c>
    </row>
    <row r="1225" spans="1:22" hidden="1">
      <c r="A1225">
        <v>2708</v>
      </c>
      <c r="B1225">
        <v>3515</v>
      </c>
      <c r="C1225">
        <v>157</v>
      </c>
      <c r="D1225">
        <v>5380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 t="s">
        <v>20</v>
      </c>
      <c r="L1225" s="1">
        <v>44364</v>
      </c>
      <c r="M1225">
        <v>393</v>
      </c>
      <c r="N1225">
        <v>33</v>
      </c>
      <c r="O1225">
        <v>278</v>
      </c>
      <c r="P1225">
        <v>292</v>
      </c>
      <c r="Q1225">
        <v>278</v>
      </c>
      <c r="S1225">
        <v>573</v>
      </c>
      <c r="T1225">
        <v>634</v>
      </c>
      <c r="U1225">
        <f>+SUM(Table1[[#This Row],[Latinos]:[Cemex]])</f>
        <v>1</v>
      </c>
      <c r="V1225" t="str">
        <f>+Table1[[#This Row],[id_destino]]&amp;" - "&amp;Table1[[#This Row],[id_origen]]</f>
        <v>393 - 33</v>
      </c>
    </row>
    <row r="1226" spans="1:22" hidden="1">
      <c r="A1226">
        <v>2424</v>
      </c>
      <c r="B1226">
        <v>3334</v>
      </c>
      <c r="C1226">
        <v>157</v>
      </c>
      <c r="D1226">
        <v>6353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 t="s">
        <v>20</v>
      </c>
      <c r="L1226" s="1">
        <v>44062</v>
      </c>
      <c r="M1226">
        <v>511</v>
      </c>
      <c r="N1226">
        <v>33</v>
      </c>
      <c r="O1226">
        <v>777</v>
      </c>
      <c r="P1226">
        <v>777</v>
      </c>
      <c r="Q1226">
        <v>777</v>
      </c>
      <c r="S1226">
        <v>1493</v>
      </c>
      <c r="T1226">
        <v>1615</v>
      </c>
      <c r="U1226">
        <f>+SUM(Table1[[#This Row],[Latinos]:[Cemex]])</f>
        <v>1</v>
      </c>
      <c r="V1226" t="str">
        <f>+Table1[[#This Row],[id_destino]]&amp;" - "&amp;Table1[[#This Row],[id_origen]]</f>
        <v>511 - 33</v>
      </c>
    </row>
    <row r="1227" spans="1:22" hidden="1">
      <c r="A1227">
        <v>2638</v>
      </c>
      <c r="B1227">
        <v>3468</v>
      </c>
      <c r="C1227">
        <v>157</v>
      </c>
      <c r="D1227">
        <v>6547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 t="s">
        <v>20</v>
      </c>
      <c r="L1227" s="1">
        <v>44271</v>
      </c>
      <c r="M1227">
        <v>513</v>
      </c>
      <c r="N1227">
        <v>33</v>
      </c>
      <c r="O1227">
        <v>1357</v>
      </c>
      <c r="P1227">
        <v>1353</v>
      </c>
      <c r="Q1227">
        <v>1357</v>
      </c>
      <c r="S1227">
        <v>2317</v>
      </c>
      <c r="T1227">
        <v>2439</v>
      </c>
      <c r="U1227">
        <f>+SUM(Table1[[#This Row],[Latinos]:[Cemex]])</f>
        <v>1</v>
      </c>
      <c r="V1227" t="str">
        <f>+Table1[[#This Row],[id_destino]]&amp;" - "&amp;Table1[[#This Row],[id_origen]]</f>
        <v>513 - 33</v>
      </c>
    </row>
    <row r="1228" spans="1:22" hidden="1">
      <c r="A1228">
        <v>2453</v>
      </c>
      <c r="B1228">
        <v>3354</v>
      </c>
      <c r="C1228">
        <v>157</v>
      </c>
      <c r="D1228">
        <v>5710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 t="s">
        <v>20</v>
      </c>
      <c r="L1228" s="1">
        <v>44083</v>
      </c>
      <c r="M1228">
        <v>521</v>
      </c>
      <c r="N1228">
        <v>33</v>
      </c>
      <c r="O1228">
        <v>448</v>
      </c>
      <c r="P1228">
        <v>448</v>
      </c>
      <c r="Q1228">
        <v>448</v>
      </c>
      <c r="S1228">
        <v>0</v>
      </c>
      <c r="T1228">
        <v>0</v>
      </c>
      <c r="U1228">
        <f>+SUM(Table1[[#This Row],[Latinos]:[Cemex]])</f>
        <v>1</v>
      </c>
      <c r="V1228" t="str">
        <f>+Table1[[#This Row],[id_destino]]&amp;" - "&amp;Table1[[#This Row],[id_origen]]</f>
        <v>521 - 33</v>
      </c>
    </row>
    <row r="1229" spans="1:22" hidden="1">
      <c r="A1229">
        <v>1781</v>
      </c>
      <c r="B1229">
        <v>2934</v>
      </c>
      <c r="C1229">
        <v>157</v>
      </c>
      <c r="D1229">
        <v>4994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 t="s">
        <v>20</v>
      </c>
      <c r="L1229" s="1">
        <v>43622</v>
      </c>
      <c r="M1229">
        <v>591</v>
      </c>
      <c r="N1229">
        <v>33</v>
      </c>
      <c r="O1229">
        <v>951</v>
      </c>
      <c r="P1229">
        <v>945</v>
      </c>
      <c r="Q1229">
        <v>951</v>
      </c>
      <c r="S1229">
        <v>989</v>
      </c>
      <c r="T1229">
        <v>1108</v>
      </c>
      <c r="U1229">
        <f>+SUM(Table1[[#This Row],[Latinos]:[Cemex]])</f>
        <v>1</v>
      </c>
      <c r="V1229" t="str">
        <f>+Table1[[#This Row],[id_destino]]&amp;" - "&amp;Table1[[#This Row],[id_origen]]</f>
        <v>591 - 33</v>
      </c>
    </row>
    <row r="1230" spans="1:22" hidden="1">
      <c r="A1230">
        <v>3913</v>
      </c>
      <c r="B1230">
        <v>4297</v>
      </c>
      <c r="C1230">
        <v>2486</v>
      </c>
      <c r="D1230">
        <v>4858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 t="s">
        <v>20</v>
      </c>
      <c r="L1230" s="1">
        <v>45176</v>
      </c>
      <c r="M1230">
        <v>668</v>
      </c>
      <c r="N1230">
        <v>33</v>
      </c>
      <c r="O1230">
        <v>814</v>
      </c>
      <c r="P1230">
        <v>769</v>
      </c>
      <c r="Q1230">
        <v>814</v>
      </c>
      <c r="S1230">
        <v>2098</v>
      </c>
      <c r="T1230">
        <v>2254</v>
      </c>
      <c r="U1230">
        <f>+SUM(Table1[[#This Row],[Latinos]:[Cemex]])</f>
        <v>1</v>
      </c>
      <c r="V1230" t="str">
        <f>+Table1[[#This Row],[id_destino]]&amp;" - "&amp;Table1[[#This Row],[id_origen]]</f>
        <v>668 - 33</v>
      </c>
    </row>
    <row r="1231" spans="1:22" hidden="1">
      <c r="A1231">
        <v>1489</v>
      </c>
      <c r="B1231">
        <v>2777</v>
      </c>
      <c r="C1231">
        <v>157</v>
      </c>
      <c r="D1231">
        <v>3681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 t="s">
        <v>20</v>
      </c>
      <c r="L1231" s="1">
        <v>43467</v>
      </c>
      <c r="M1231">
        <v>677</v>
      </c>
      <c r="N1231">
        <v>33</v>
      </c>
      <c r="O1231">
        <v>386</v>
      </c>
      <c r="P1231">
        <v>386</v>
      </c>
      <c r="Q1231">
        <v>386</v>
      </c>
      <c r="S1231">
        <v>675</v>
      </c>
      <c r="T1231">
        <v>722</v>
      </c>
      <c r="U1231">
        <f>+SUM(Table1[[#This Row],[Latinos]:[Cemex]])</f>
        <v>1</v>
      </c>
      <c r="V1231" t="str">
        <f>+Table1[[#This Row],[id_destino]]&amp;" - "&amp;Table1[[#This Row],[id_origen]]</f>
        <v>677 - 33</v>
      </c>
    </row>
    <row r="1232" spans="1:22">
      <c r="A1232">
        <v>1154</v>
      </c>
      <c r="B1232">
        <v>2605</v>
      </c>
      <c r="C1232">
        <v>157</v>
      </c>
      <c r="D1232">
        <v>1548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 t="s">
        <v>20</v>
      </c>
      <c r="L1232" s="1">
        <v>43318</v>
      </c>
      <c r="M1232">
        <v>684</v>
      </c>
      <c r="N1232">
        <v>33</v>
      </c>
      <c r="O1232">
        <v>1182</v>
      </c>
      <c r="P1232">
        <v>1229</v>
      </c>
      <c r="Q1232">
        <v>1182</v>
      </c>
      <c r="S1232">
        <v>1846</v>
      </c>
      <c r="T1232">
        <v>1967</v>
      </c>
      <c r="U1232">
        <f>+SUM(Table1[[#This Row],[Latinos]:[Cemex]])</f>
        <v>1</v>
      </c>
      <c r="V1232" t="str">
        <f>+Table1[[#This Row],[id_destino]]&amp;" - "&amp;Table1[[#This Row],[id_origen]]</f>
        <v>684 - 33</v>
      </c>
    </row>
    <row r="1233" spans="1:22" hidden="1">
      <c r="A1233">
        <v>3927</v>
      </c>
      <c r="B1233">
        <v>4308</v>
      </c>
      <c r="C1233">
        <v>157</v>
      </c>
      <c r="D1233">
        <v>7476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 t="s">
        <v>20</v>
      </c>
      <c r="L1233" s="1">
        <v>45189</v>
      </c>
      <c r="M1233">
        <v>709</v>
      </c>
      <c r="N1233">
        <v>33</v>
      </c>
      <c r="O1233">
        <v>901</v>
      </c>
      <c r="P1233">
        <v>891</v>
      </c>
      <c r="Q1233">
        <v>901</v>
      </c>
      <c r="S1233">
        <v>1710</v>
      </c>
      <c r="T1233">
        <v>1961</v>
      </c>
      <c r="U1233">
        <f>+SUM(Table1[[#This Row],[Latinos]:[Cemex]])</f>
        <v>1</v>
      </c>
      <c r="V1233" t="str">
        <f>+Table1[[#This Row],[id_destino]]&amp;" - "&amp;Table1[[#This Row],[id_origen]]</f>
        <v>709 - 33</v>
      </c>
    </row>
    <row r="1234" spans="1:22" hidden="1">
      <c r="A1234">
        <v>3453</v>
      </c>
      <c r="B1234">
        <v>4002</v>
      </c>
      <c r="C1234">
        <v>157</v>
      </c>
      <c r="D1234">
        <v>7135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 t="s">
        <v>20</v>
      </c>
      <c r="L1234" s="1">
        <v>44900</v>
      </c>
      <c r="M1234">
        <v>739</v>
      </c>
      <c r="N1234">
        <v>33</v>
      </c>
      <c r="O1234">
        <v>329</v>
      </c>
      <c r="P1234">
        <v>331</v>
      </c>
      <c r="Q1234">
        <v>329</v>
      </c>
      <c r="S1234">
        <v>88</v>
      </c>
      <c r="T1234">
        <v>114</v>
      </c>
      <c r="U1234">
        <f>+SUM(Table1[[#This Row],[Latinos]:[Cemex]])</f>
        <v>1</v>
      </c>
      <c r="V1234" t="str">
        <f>+Table1[[#This Row],[id_destino]]&amp;" - "&amp;Table1[[#This Row],[id_origen]]</f>
        <v>739 - 33</v>
      </c>
    </row>
    <row r="1235" spans="1:22" hidden="1">
      <c r="A1235">
        <v>2823</v>
      </c>
      <c r="B1235">
        <v>3591</v>
      </c>
      <c r="C1235">
        <v>157</v>
      </c>
      <c r="D1235">
        <v>6330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 t="s">
        <v>20</v>
      </c>
      <c r="L1235" s="1">
        <v>44489</v>
      </c>
      <c r="M1235">
        <v>746</v>
      </c>
      <c r="N1235">
        <v>33</v>
      </c>
      <c r="O1235">
        <v>419</v>
      </c>
      <c r="P1235">
        <v>419</v>
      </c>
      <c r="Q1235">
        <v>419</v>
      </c>
      <c r="S1235">
        <v>520</v>
      </c>
      <c r="T1235">
        <v>572</v>
      </c>
      <c r="U1235">
        <f>+SUM(Table1[[#This Row],[Latinos]:[Cemex]])</f>
        <v>1</v>
      </c>
      <c r="V1235" t="str">
        <f>+Table1[[#This Row],[id_destino]]&amp;" - "&amp;Table1[[#This Row],[id_origen]]</f>
        <v>746 - 33</v>
      </c>
    </row>
    <row r="1236" spans="1:22" hidden="1">
      <c r="A1236">
        <v>3891</v>
      </c>
      <c r="B1236">
        <v>4282</v>
      </c>
      <c r="C1236">
        <v>157</v>
      </c>
      <c r="D1236">
        <v>7432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 t="s">
        <v>20</v>
      </c>
      <c r="L1236" s="1">
        <v>45169</v>
      </c>
      <c r="M1236">
        <v>747</v>
      </c>
      <c r="N1236">
        <v>33</v>
      </c>
      <c r="O1236">
        <v>2354</v>
      </c>
      <c r="P1236">
        <v>2274</v>
      </c>
      <c r="Q1236">
        <v>2354</v>
      </c>
      <c r="S1236">
        <v>5418</v>
      </c>
      <c r="T1236">
        <v>5657</v>
      </c>
      <c r="U1236">
        <f>+SUM(Table1[[#This Row],[Latinos]:[Cemex]])</f>
        <v>1</v>
      </c>
      <c r="V1236" t="str">
        <f>+Table1[[#This Row],[id_destino]]&amp;" - "&amp;Table1[[#This Row],[id_origen]]</f>
        <v>747 - 33</v>
      </c>
    </row>
    <row r="1237" spans="1:22" hidden="1">
      <c r="A1237">
        <v>1934</v>
      </c>
      <c r="B1237">
        <v>3028</v>
      </c>
      <c r="C1237">
        <v>157</v>
      </c>
      <c r="D1237">
        <v>6060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 t="s">
        <v>20</v>
      </c>
      <c r="L1237" s="1">
        <v>43726</v>
      </c>
      <c r="M1237">
        <v>788</v>
      </c>
      <c r="N1237">
        <v>33</v>
      </c>
      <c r="O1237">
        <v>548</v>
      </c>
      <c r="P1237">
        <v>535</v>
      </c>
      <c r="Q1237">
        <v>548</v>
      </c>
      <c r="S1237">
        <v>682</v>
      </c>
      <c r="T1237">
        <v>838</v>
      </c>
      <c r="U1237">
        <f>+SUM(Table1[[#This Row],[Latinos]:[Cemex]])</f>
        <v>1</v>
      </c>
      <c r="V1237" t="str">
        <f>+Table1[[#This Row],[id_destino]]&amp;" - "&amp;Table1[[#This Row],[id_origen]]</f>
        <v>788 - 33</v>
      </c>
    </row>
    <row r="1238" spans="1:22">
      <c r="A1238">
        <v>2401</v>
      </c>
      <c r="B1238">
        <v>3319</v>
      </c>
      <c r="C1238">
        <v>157</v>
      </c>
      <c r="D1238">
        <v>6375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 t="s">
        <v>20</v>
      </c>
      <c r="L1238" s="1">
        <v>44037</v>
      </c>
      <c r="M1238">
        <v>814</v>
      </c>
      <c r="N1238">
        <v>33</v>
      </c>
      <c r="O1238">
        <v>1352</v>
      </c>
      <c r="P1238">
        <v>1318</v>
      </c>
      <c r="Q1238">
        <v>1352</v>
      </c>
      <c r="S1238">
        <v>4230</v>
      </c>
      <c r="T1238">
        <v>4682</v>
      </c>
      <c r="U1238">
        <f>+SUM(Table1[[#This Row],[Latinos]:[Cemex]])</f>
        <v>1</v>
      </c>
      <c r="V1238" t="str">
        <f>+Table1[[#This Row],[id_destino]]&amp;" - "&amp;Table1[[#This Row],[id_origen]]</f>
        <v>814 - 33</v>
      </c>
    </row>
    <row r="1239" spans="1:22" hidden="1">
      <c r="A1239">
        <v>2438</v>
      </c>
      <c r="B1239">
        <v>3344</v>
      </c>
      <c r="C1239">
        <v>157</v>
      </c>
      <c r="D1239">
        <v>6392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 t="s">
        <v>20</v>
      </c>
      <c r="L1239" s="1">
        <v>44075</v>
      </c>
      <c r="M1239">
        <v>815</v>
      </c>
      <c r="N1239">
        <v>33</v>
      </c>
      <c r="O1239">
        <v>469</v>
      </c>
      <c r="P1239">
        <v>472</v>
      </c>
      <c r="Q1239">
        <v>469</v>
      </c>
      <c r="S1239">
        <v>1542</v>
      </c>
      <c r="T1239">
        <v>1603</v>
      </c>
      <c r="U1239">
        <f>+SUM(Table1[[#This Row],[Latinos]:[Cemex]])</f>
        <v>1</v>
      </c>
      <c r="V1239" t="str">
        <f>+Table1[[#This Row],[id_destino]]&amp;" - "&amp;Table1[[#This Row],[id_origen]]</f>
        <v>815 - 33</v>
      </c>
    </row>
    <row r="1240" spans="1:22" hidden="1">
      <c r="A1240">
        <v>2492</v>
      </c>
      <c r="B1240">
        <v>3377</v>
      </c>
      <c r="C1240">
        <v>157</v>
      </c>
      <c r="D1240">
        <v>6439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 t="s">
        <v>20</v>
      </c>
      <c r="L1240" s="1">
        <v>44125</v>
      </c>
      <c r="M1240">
        <v>818</v>
      </c>
      <c r="N1240">
        <v>33</v>
      </c>
      <c r="O1240">
        <v>663</v>
      </c>
      <c r="P1240">
        <v>663</v>
      </c>
      <c r="Q1240">
        <v>663</v>
      </c>
      <c r="S1240">
        <v>542</v>
      </c>
      <c r="T1240">
        <v>542</v>
      </c>
      <c r="U1240">
        <f>+SUM(Table1[[#This Row],[Latinos]:[Cemex]])</f>
        <v>1</v>
      </c>
      <c r="V1240" t="str">
        <f>+Table1[[#This Row],[id_destino]]&amp;" - "&amp;Table1[[#This Row],[id_origen]]</f>
        <v>818 - 33</v>
      </c>
    </row>
    <row r="1241" spans="1:22">
      <c r="A1241">
        <v>3622</v>
      </c>
      <c r="B1241">
        <v>4118</v>
      </c>
      <c r="C1241">
        <v>157</v>
      </c>
      <c r="D1241">
        <v>7268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 t="s">
        <v>20</v>
      </c>
      <c r="L1241" s="1">
        <v>44994</v>
      </c>
      <c r="M1241">
        <v>874</v>
      </c>
      <c r="N1241">
        <v>33</v>
      </c>
      <c r="O1241">
        <v>687</v>
      </c>
      <c r="P1241">
        <v>664</v>
      </c>
      <c r="Q1241">
        <v>687</v>
      </c>
      <c r="S1241">
        <v>1526</v>
      </c>
      <c r="T1241">
        <v>1587</v>
      </c>
      <c r="U1241">
        <f>+SUM(Table1[[#This Row],[Latinos]:[Cemex]])</f>
        <v>1</v>
      </c>
      <c r="V1241" t="str">
        <f>+Table1[[#This Row],[id_destino]]&amp;" - "&amp;Table1[[#This Row],[id_origen]]</f>
        <v>874 - 33</v>
      </c>
    </row>
    <row r="1242" spans="1:22" hidden="1">
      <c r="A1242">
        <v>4556</v>
      </c>
      <c r="B1242">
        <v>4750</v>
      </c>
      <c r="C1242">
        <v>2486</v>
      </c>
      <c r="D1242">
        <v>8023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 t="s">
        <v>20</v>
      </c>
      <c r="L1242" s="1">
        <v>45617</v>
      </c>
      <c r="M1242">
        <v>919</v>
      </c>
      <c r="N1242">
        <v>33</v>
      </c>
      <c r="O1242">
        <v>45</v>
      </c>
      <c r="P1242">
        <v>150</v>
      </c>
      <c r="Q1242">
        <v>50</v>
      </c>
      <c r="S1242">
        <v>0</v>
      </c>
      <c r="T1242">
        <v>0</v>
      </c>
      <c r="U1242">
        <f>+SUM(Table1[[#This Row],[Latinos]:[Cemex]])</f>
        <v>1</v>
      </c>
      <c r="V1242" t="str">
        <f>+Table1[[#This Row],[id_destino]]&amp;" - "&amp;Table1[[#This Row],[id_origen]]</f>
        <v>919 - 33</v>
      </c>
    </row>
    <row r="1243" spans="1:22" hidden="1">
      <c r="A1243">
        <v>3258</v>
      </c>
      <c r="B1243">
        <v>3871</v>
      </c>
      <c r="C1243">
        <v>6804</v>
      </c>
      <c r="D1243">
        <v>6817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 t="s">
        <v>20</v>
      </c>
      <c r="L1243" s="1">
        <v>45205</v>
      </c>
      <c r="M1243">
        <v>3</v>
      </c>
      <c r="N1243">
        <v>34</v>
      </c>
      <c r="O1243">
        <v>1733</v>
      </c>
      <c r="P1243">
        <v>1727</v>
      </c>
      <c r="Q1243">
        <v>1733</v>
      </c>
      <c r="S1243">
        <v>4681</v>
      </c>
      <c r="T1243">
        <v>4837</v>
      </c>
      <c r="U1243">
        <f>+SUM(Table1[[#This Row],[Latinos]:[Cemex]])</f>
        <v>1</v>
      </c>
      <c r="V1243" t="str">
        <f>+Table1[[#This Row],[id_destino]]&amp;" - "&amp;Table1[[#This Row],[id_origen]]</f>
        <v>3 - 34</v>
      </c>
    </row>
    <row r="1244" spans="1:22" hidden="1">
      <c r="A1244">
        <v>3259</v>
      </c>
      <c r="B1244">
        <v>3871</v>
      </c>
      <c r="C1244">
        <v>6804</v>
      </c>
      <c r="D1244">
        <v>6817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  <c r="K1244" t="s">
        <v>20</v>
      </c>
      <c r="L1244" s="1">
        <v>44797</v>
      </c>
      <c r="M1244">
        <v>3</v>
      </c>
      <c r="N1244">
        <v>34</v>
      </c>
      <c r="O1244">
        <v>0</v>
      </c>
      <c r="P1244">
        <v>150</v>
      </c>
      <c r="Q1244">
        <v>0</v>
      </c>
      <c r="S1244">
        <v>0</v>
      </c>
      <c r="T1244">
        <v>0</v>
      </c>
      <c r="U1244">
        <f>+SUM(Table1[[#This Row],[Latinos]:[Cemex]])</f>
        <v>1</v>
      </c>
      <c r="V1244" t="str">
        <f>+Table1[[#This Row],[id_destino]]&amp;" - "&amp;Table1[[#This Row],[id_origen]]</f>
        <v>3 - 34</v>
      </c>
    </row>
    <row r="1245" spans="1:22">
      <c r="A1245">
        <v>3225</v>
      </c>
      <c r="B1245">
        <v>3847</v>
      </c>
      <c r="C1245">
        <v>6804</v>
      </c>
      <c r="D1245">
        <v>6875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 t="s">
        <v>20</v>
      </c>
      <c r="L1245" s="1">
        <v>44777</v>
      </c>
      <c r="M1245">
        <v>4</v>
      </c>
      <c r="N1245">
        <v>34</v>
      </c>
      <c r="O1245">
        <v>1828</v>
      </c>
      <c r="P1245">
        <v>1800</v>
      </c>
      <c r="Q1245">
        <v>1828</v>
      </c>
      <c r="S1245">
        <v>4961</v>
      </c>
      <c r="T1245">
        <v>5117</v>
      </c>
      <c r="U1245">
        <f>+SUM(Table1[[#This Row],[Latinos]:[Cemex]])</f>
        <v>1</v>
      </c>
      <c r="V1245" t="str">
        <f>+Table1[[#This Row],[id_destino]]&amp;" - "&amp;Table1[[#This Row],[id_origen]]</f>
        <v>4 - 34</v>
      </c>
    </row>
    <row r="1246" spans="1:22">
      <c r="A1246">
        <v>3228</v>
      </c>
      <c r="B1246">
        <v>3847</v>
      </c>
      <c r="C1246">
        <v>6804</v>
      </c>
      <c r="D1246">
        <v>6875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 t="s">
        <v>20</v>
      </c>
      <c r="L1246" s="1">
        <v>44777</v>
      </c>
      <c r="M1246">
        <v>4</v>
      </c>
      <c r="N1246">
        <v>34</v>
      </c>
      <c r="O1246">
        <v>0</v>
      </c>
      <c r="P1246">
        <v>150</v>
      </c>
      <c r="Q1246">
        <v>0</v>
      </c>
      <c r="S1246">
        <v>0</v>
      </c>
      <c r="T1246">
        <v>0</v>
      </c>
      <c r="U1246">
        <f>+SUM(Table1[[#This Row],[Latinos]:[Cemex]])</f>
        <v>1</v>
      </c>
      <c r="V1246" t="str">
        <f>+Table1[[#This Row],[id_destino]]&amp;" - "&amp;Table1[[#This Row],[id_origen]]</f>
        <v>4 - 34</v>
      </c>
    </row>
    <row r="1247" spans="1:22" hidden="1">
      <c r="A1247">
        <v>3682</v>
      </c>
      <c r="B1247">
        <v>4161</v>
      </c>
      <c r="C1247">
        <v>6804</v>
      </c>
      <c r="D1247">
        <v>6975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 t="s">
        <v>20</v>
      </c>
      <c r="L1247" s="1">
        <v>45029</v>
      </c>
      <c r="M1247">
        <v>6</v>
      </c>
      <c r="N1247">
        <v>34</v>
      </c>
      <c r="O1247">
        <v>2231</v>
      </c>
      <c r="P1247">
        <v>2105</v>
      </c>
      <c r="Q1247">
        <v>2231</v>
      </c>
      <c r="S1247">
        <v>5418</v>
      </c>
      <c r="T1247">
        <v>5657</v>
      </c>
      <c r="U1247">
        <f>+SUM(Table1[[#This Row],[Latinos]:[Cemex]])</f>
        <v>1</v>
      </c>
      <c r="V1247" t="str">
        <f>+Table1[[#This Row],[id_destino]]&amp;" - "&amp;Table1[[#This Row],[id_origen]]</f>
        <v>6 - 34</v>
      </c>
    </row>
    <row r="1248" spans="1:22" hidden="1">
      <c r="A1248">
        <v>3683</v>
      </c>
      <c r="B1248">
        <v>4161</v>
      </c>
      <c r="C1248">
        <v>6804</v>
      </c>
      <c r="D1248">
        <v>6975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 t="s">
        <v>20</v>
      </c>
      <c r="L1248" s="1">
        <v>45029</v>
      </c>
      <c r="M1248">
        <v>6</v>
      </c>
      <c r="N1248">
        <v>34</v>
      </c>
      <c r="O1248">
        <v>0</v>
      </c>
      <c r="P1248">
        <v>150</v>
      </c>
      <c r="Q1248">
        <v>0</v>
      </c>
      <c r="S1248">
        <v>0</v>
      </c>
      <c r="T1248">
        <v>0</v>
      </c>
      <c r="U1248">
        <f>+SUM(Table1[[#This Row],[Latinos]:[Cemex]])</f>
        <v>1</v>
      </c>
      <c r="V1248" t="str">
        <f>+Table1[[#This Row],[id_destino]]&amp;" - "&amp;Table1[[#This Row],[id_origen]]</f>
        <v>6 - 34</v>
      </c>
    </row>
    <row r="1249" spans="1:22" hidden="1">
      <c r="A1249">
        <v>1406</v>
      </c>
      <c r="B1249">
        <v>2727</v>
      </c>
      <c r="C1249">
        <v>40</v>
      </c>
      <c r="D1249">
        <v>7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 t="s">
        <v>20</v>
      </c>
      <c r="L1249" s="1">
        <v>45797</v>
      </c>
      <c r="M1249">
        <v>9</v>
      </c>
      <c r="N1249">
        <v>34</v>
      </c>
      <c r="O1249">
        <v>2275</v>
      </c>
      <c r="P1249">
        <v>2275</v>
      </c>
      <c r="Q1249">
        <v>2275</v>
      </c>
      <c r="S1249">
        <v>5721</v>
      </c>
      <c r="T1249">
        <v>5968</v>
      </c>
      <c r="U1249">
        <f>+SUM(Table1[[#This Row],[Latinos]:[Cemex]])</f>
        <v>1</v>
      </c>
      <c r="V1249" t="str">
        <f>+Table1[[#This Row],[id_destino]]&amp;" - "&amp;Table1[[#This Row],[id_origen]]</f>
        <v>9 - 34</v>
      </c>
    </row>
    <row r="1250" spans="1:22" hidden="1">
      <c r="A1250">
        <v>3143</v>
      </c>
      <c r="B1250">
        <v>2727</v>
      </c>
      <c r="C1250">
        <v>6804</v>
      </c>
      <c r="D1250">
        <v>6859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 t="s">
        <v>20</v>
      </c>
      <c r="L1250" s="1">
        <v>44739</v>
      </c>
      <c r="M1250">
        <v>9</v>
      </c>
      <c r="N1250">
        <v>34</v>
      </c>
      <c r="O1250">
        <v>0</v>
      </c>
      <c r="P1250">
        <v>150</v>
      </c>
      <c r="Q1250">
        <v>0</v>
      </c>
      <c r="S1250">
        <v>0</v>
      </c>
      <c r="T1250">
        <v>0</v>
      </c>
      <c r="U1250">
        <f>+SUM(Table1[[#This Row],[Latinos]:[Cemex]])</f>
        <v>1</v>
      </c>
      <c r="V1250" t="str">
        <f>+Table1[[#This Row],[id_destino]]&amp;" - "&amp;Table1[[#This Row],[id_origen]]</f>
        <v>9 - 34</v>
      </c>
    </row>
    <row r="1251" spans="1:22" hidden="1">
      <c r="A1251">
        <v>3119</v>
      </c>
      <c r="B1251">
        <v>3787</v>
      </c>
      <c r="C1251">
        <v>6804</v>
      </c>
      <c r="D1251">
        <v>6889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 t="s">
        <v>20</v>
      </c>
      <c r="L1251" s="1">
        <v>44734</v>
      </c>
      <c r="M1251">
        <v>13</v>
      </c>
      <c r="N1251">
        <v>34</v>
      </c>
      <c r="O1251">
        <v>772</v>
      </c>
      <c r="P1251">
        <v>737</v>
      </c>
      <c r="Q1251">
        <v>772</v>
      </c>
      <c r="S1251">
        <v>1662</v>
      </c>
      <c r="T1251">
        <v>1818</v>
      </c>
      <c r="U1251">
        <f>+SUM(Table1[[#This Row],[Latinos]:[Cemex]])</f>
        <v>1</v>
      </c>
      <c r="V1251" t="str">
        <f>+Table1[[#This Row],[id_destino]]&amp;" - "&amp;Table1[[#This Row],[id_origen]]</f>
        <v>13 - 34</v>
      </c>
    </row>
    <row r="1252" spans="1:22" hidden="1">
      <c r="A1252">
        <v>3120</v>
      </c>
      <c r="B1252">
        <v>3787</v>
      </c>
      <c r="C1252">
        <v>6804</v>
      </c>
      <c r="D1252">
        <v>6889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 t="s">
        <v>20</v>
      </c>
      <c r="L1252" s="1">
        <v>44734</v>
      </c>
      <c r="M1252">
        <v>13</v>
      </c>
      <c r="N1252">
        <v>34</v>
      </c>
      <c r="O1252">
        <v>0</v>
      </c>
      <c r="P1252">
        <v>150</v>
      </c>
      <c r="Q1252">
        <v>0</v>
      </c>
      <c r="S1252">
        <v>0</v>
      </c>
      <c r="T1252">
        <v>0</v>
      </c>
      <c r="U1252">
        <f>+SUM(Table1[[#This Row],[Latinos]:[Cemex]])</f>
        <v>1</v>
      </c>
      <c r="V1252" t="str">
        <f>+Table1[[#This Row],[id_destino]]&amp;" - "&amp;Table1[[#This Row],[id_origen]]</f>
        <v>13 - 34</v>
      </c>
    </row>
    <row r="1253" spans="1:22" hidden="1">
      <c r="A1253">
        <v>177</v>
      </c>
      <c r="B1253">
        <v>866</v>
      </c>
      <c r="C1253">
        <v>5292</v>
      </c>
      <c r="D1253">
        <v>5300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 t="s">
        <v>20</v>
      </c>
      <c r="L1253" s="1">
        <v>44770</v>
      </c>
      <c r="M1253">
        <v>15</v>
      </c>
      <c r="N1253">
        <v>34</v>
      </c>
      <c r="O1253">
        <v>0</v>
      </c>
      <c r="P1253">
        <v>150</v>
      </c>
      <c r="Q1253">
        <v>0</v>
      </c>
      <c r="S1253">
        <v>0</v>
      </c>
      <c r="T1253">
        <v>0</v>
      </c>
      <c r="U1253">
        <f>+SUM(Table1[[#This Row],[Latinos]:[Cemex]])</f>
        <v>1</v>
      </c>
      <c r="V1253" t="str">
        <f>+Table1[[#This Row],[id_destino]]&amp;" - "&amp;Table1[[#This Row],[id_origen]]</f>
        <v>15 - 34</v>
      </c>
    </row>
    <row r="1254" spans="1:22" hidden="1">
      <c r="A1254">
        <v>1662</v>
      </c>
      <c r="B1254">
        <v>866</v>
      </c>
      <c r="C1254">
        <v>3358</v>
      </c>
      <c r="D1254">
        <v>14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 t="s">
        <v>20</v>
      </c>
      <c r="L1254" s="1">
        <v>44770</v>
      </c>
      <c r="M1254">
        <v>15</v>
      </c>
      <c r="N1254">
        <v>34</v>
      </c>
      <c r="O1254">
        <v>819</v>
      </c>
      <c r="P1254">
        <v>822</v>
      </c>
      <c r="Q1254">
        <v>819</v>
      </c>
      <c r="S1254">
        <v>1672</v>
      </c>
      <c r="T1254">
        <v>2138</v>
      </c>
      <c r="U1254">
        <f>+SUM(Table1[[#This Row],[Latinos]:[Cemex]])</f>
        <v>1</v>
      </c>
      <c r="V1254" t="str">
        <f>+Table1[[#This Row],[id_destino]]&amp;" - "&amp;Table1[[#This Row],[id_origen]]</f>
        <v>15 - 34</v>
      </c>
    </row>
    <row r="1255" spans="1:22" hidden="1">
      <c r="A1255">
        <v>90</v>
      </c>
      <c r="B1255">
        <v>72</v>
      </c>
      <c r="C1255">
        <v>3358</v>
      </c>
      <c r="D1255">
        <v>15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 t="s">
        <v>20</v>
      </c>
      <c r="L1255" s="1">
        <v>42990</v>
      </c>
      <c r="M1255">
        <v>16</v>
      </c>
      <c r="N1255">
        <v>34</v>
      </c>
      <c r="O1255">
        <v>467</v>
      </c>
      <c r="P1255">
        <v>463</v>
      </c>
      <c r="Q1255">
        <v>467</v>
      </c>
      <c r="S1255">
        <v>1014</v>
      </c>
      <c r="T1255">
        <v>1262</v>
      </c>
      <c r="U1255">
        <f>+SUM(Table1[[#This Row],[Latinos]:[Cemex]])</f>
        <v>1</v>
      </c>
      <c r="V1255" t="str">
        <f>+Table1[[#This Row],[id_destino]]&amp;" - "&amp;Table1[[#This Row],[id_origen]]</f>
        <v>16 - 34</v>
      </c>
    </row>
    <row r="1256" spans="1:22" hidden="1">
      <c r="A1256">
        <v>3075</v>
      </c>
      <c r="B1256">
        <v>72</v>
      </c>
      <c r="C1256">
        <v>6804</v>
      </c>
      <c r="D1256">
        <v>6918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 t="s">
        <v>98</v>
      </c>
      <c r="L1256" s="1">
        <v>44714</v>
      </c>
      <c r="M1256">
        <v>16</v>
      </c>
      <c r="N1256">
        <v>34</v>
      </c>
      <c r="O1256">
        <v>0</v>
      </c>
      <c r="P1256">
        <v>150</v>
      </c>
      <c r="Q1256">
        <v>0</v>
      </c>
      <c r="S1256">
        <v>0</v>
      </c>
      <c r="T1256">
        <v>0</v>
      </c>
      <c r="U1256">
        <f>+SUM(Table1[[#This Row],[Latinos]:[Cemex]])</f>
        <v>1</v>
      </c>
      <c r="V1256" t="str">
        <f>+Table1[[#This Row],[id_destino]]&amp;" - "&amp;Table1[[#This Row],[id_origen]]</f>
        <v>16 - 34</v>
      </c>
    </row>
    <row r="1257" spans="1:22" hidden="1">
      <c r="A1257">
        <v>760</v>
      </c>
      <c r="B1257">
        <v>1178</v>
      </c>
      <c r="C1257">
        <v>6804</v>
      </c>
      <c r="D1257">
        <v>7007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 t="s">
        <v>20</v>
      </c>
      <c r="L1257" s="1">
        <v>45070</v>
      </c>
      <c r="M1257">
        <v>17</v>
      </c>
      <c r="N1257">
        <v>34</v>
      </c>
      <c r="O1257">
        <v>261</v>
      </c>
      <c r="P1257">
        <v>251</v>
      </c>
      <c r="Q1257">
        <v>261</v>
      </c>
      <c r="S1257">
        <v>1197</v>
      </c>
      <c r="T1257">
        <v>1566</v>
      </c>
      <c r="U1257">
        <f>+SUM(Table1[[#This Row],[Latinos]:[Cemex]])</f>
        <v>1</v>
      </c>
      <c r="V1257" t="str">
        <f>+Table1[[#This Row],[id_destino]]&amp;" - "&amp;Table1[[#This Row],[id_origen]]</f>
        <v>17 - 34</v>
      </c>
    </row>
    <row r="1258" spans="1:22" hidden="1">
      <c r="A1258">
        <v>1176</v>
      </c>
      <c r="B1258">
        <v>1178</v>
      </c>
      <c r="C1258">
        <v>4471</v>
      </c>
      <c r="D1258">
        <v>18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 t="s">
        <v>20</v>
      </c>
      <c r="L1258" s="1">
        <v>43332</v>
      </c>
      <c r="M1258">
        <v>17</v>
      </c>
      <c r="N1258">
        <v>34</v>
      </c>
      <c r="O1258">
        <v>243</v>
      </c>
      <c r="P1258">
        <v>237</v>
      </c>
      <c r="Q1258">
        <v>243</v>
      </c>
      <c r="S1258">
        <v>1089</v>
      </c>
      <c r="T1258">
        <v>1429</v>
      </c>
      <c r="U1258">
        <f>+SUM(Table1[[#This Row],[Latinos]:[Cemex]])</f>
        <v>1</v>
      </c>
      <c r="V1258" t="str">
        <f>+Table1[[#This Row],[id_destino]]&amp;" - "&amp;Table1[[#This Row],[id_origen]]</f>
        <v>17 - 34</v>
      </c>
    </row>
    <row r="1259" spans="1:22" hidden="1">
      <c r="A1259">
        <v>3347</v>
      </c>
      <c r="B1259">
        <v>3926</v>
      </c>
      <c r="C1259">
        <v>6804</v>
      </c>
      <c r="D1259">
        <v>6812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 t="s">
        <v>20</v>
      </c>
      <c r="L1259" s="1">
        <v>44842</v>
      </c>
      <c r="M1259">
        <v>20</v>
      </c>
      <c r="N1259">
        <v>34</v>
      </c>
      <c r="O1259">
        <v>974</v>
      </c>
      <c r="P1259">
        <v>966</v>
      </c>
      <c r="Q1259">
        <v>974</v>
      </c>
      <c r="S1259">
        <v>2461</v>
      </c>
      <c r="T1259">
        <v>2617</v>
      </c>
      <c r="U1259">
        <f>+SUM(Table1[[#This Row],[Latinos]:[Cemex]])</f>
        <v>1</v>
      </c>
      <c r="V1259" t="str">
        <f>+Table1[[#This Row],[id_destino]]&amp;" - "&amp;Table1[[#This Row],[id_origen]]</f>
        <v>20 - 34</v>
      </c>
    </row>
    <row r="1260" spans="1:22" hidden="1">
      <c r="A1260">
        <v>3382</v>
      </c>
      <c r="B1260">
        <v>3926</v>
      </c>
      <c r="C1260">
        <v>6804</v>
      </c>
      <c r="D1260">
        <v>6812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 t="s">
        <v>20</v>
      </c>
      <c r="L1260" s="1">
        <v>44865</v>
      </c>
      <c r="M1260">
        <v>20</v>
      </c>
      <c r="N1260">
        <v>34</v>
      </c>
      <c r="O1260">
        <v>0</v>
      </c>
      <c r="P1260">
        <v>150</v>
      </c>
      <c r="Q1260">
        <v>0</v>
      </c>
      <c r="S1260">
        <v>0</v>
      </c>
      <c r="T1260">
        <v>0</v>
      </c>
      <c r="U1260">
        <f>+SUM(Table1[[#This Row],[Latinos]:[Cemex]])</f>
        <v>1</v>
      </c>
      <c r="V1260" t="str">
        <f>+Table1[[#This Row],[id_destino]]&amp;" - "&amp;Table1[[#This Row],[id_origen]]</f>
        <v>20 - 34</v>
      </c>
    </row>
    <row r="1261" spans="1:22" hidden="1">
      <c r="A1261">
        <v>3435</v>
      </c>
      <c r="B1261">
        <v>3987</v>
      </c>
      <c r="C1261">
        <v>6804</v>
      </c>
      <c r="D1261">
        <v>7078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 t="s">
        <v>20</v>
      </c>
      <c r="L1261" s="1">
        <v>44890</v>
      </c>
      <c r="M1261">
        <v>21</v>
      </c>
      <c r="N1261">
        <v>34</v>
      </c>
      <c r="O1261">
        <v>1192</v>
      </c>
      <c r="P1261">
        <v>1200</v>
      </c>
      <c r="Q1261">
        <v>1192</v>
      </c>
      <c r="S1261">
        <v>1154</v>
      </c>
      <c r="T1261">
        <v>1446</v>
      </c>
      <c r="U1261">
        <f>+SUM(Table1[[#This Row],[Latinos]:[Cemex]])</f>
        <v>1</v>
      </c>
      <c r="V1261" t="str">
        <f>+Table1[[#This Row],[id_destino]]&amp;" - "&amp;Table1[[#This Row],[id_origen]]</f>
        <v>21 - 34</v>
      </c>
    </row>
    <row r="1262" spans="1:22">
      <c r="A1262">
        <v>3121</v>
      </c>
      <c r="B1262">
        <v>1765</v>
      </c>
      <c r="C1262">
        <v>6804</v>
      </c>
      <c r="D1262">
        <v>6945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 t="s">
        <v>20</v>
      </c>
      <c r="L1262" s="1">
        <v>44734</v>
      </c>
      <c r="M1262">
        <v>24</v>
      </c>
      <c r="N1262">
        <v>34</v>
      </c>
      <c r="O1262">
        <v>1052</v>
      </c>
      <c r="P1262">
        <v>1052</v>
      </c>
      <c r="Q1262">
        <v>1052</v>
      </c>
      <c r="S1262">
        <v>2183</v>
      </c>
      <c r="T1262">
        <v>2371</v>
      </c>
      <c r="U1262">
        <f>+SUM(Table1[[#This Row],[Latinos]:[Cemex]])</f>
        <v>1</v>
      </c>
      <c r="V1262" t="str">
        <f>+Table1[[#This Row],[id_destino]]&amp;" - "&amp;Table1[[#This Row],[id_origen]]</f>
        <v>24 - 34</v>
      </c>
    </row>
    <row r="1263" spans="1:22">
      <c r="A1263">
        <v>3122</v>
      </c>
      <c r="B1263">
        <v>1765</v>
      </c>
      <c r="C1263">
        <v>6804</v>
      </c>
      <c r="D1263">
        <v>6945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 t="s">
        <v>20</v>
      </c>
      <c r="L1263" s="1">
        <v>44734</v>
      </c>
      <c r="M1263">
        <v>24</v>
      </c>
      <c r="N1263">
        <v>34</v>
      </c>
      <c r="O1263">
        <v>0</v>
      </c>
      <c r="P1263">
        <v>150</v>
      </c>
      <c r="Q1263">
        <v>0</v>
      </c>
      <c r="S1263">
        <v>0</v>
      </c>
      <c r="T1263">
        <v>0</v>
      </c>
      <c r="U1263">
        <f>+SUM(Table1[[#This Row],[Latinos]:[Cemex]])</f>
        <v>1</v>
      </c>
      <c r="V1263" t="str">
        <f>+Table1[[#This Row],[id_destino]]&amp;" - "&amp;Table1[[#This Row],[id_origen]]</f>
        <v>24 - 34</v>
      </c>
    </row>
    <row r="1264" spans="1:22" hidden="1">
      <c r="A1264">
        <v>3266</v>
      </c>
      <c r="B1264">
        <v>3876</v>
      </c>
      <c r="C1264">
        <v>6804</v>
      </c>
      <c r="D1264">
        <v>6950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 t="s">
        <v>20</v>
      </c>
      <c r="L1264" s="1">
        <v>44798</v>
      </c>
      <c r="M1264">
        <v>25</v>
      </c>
      <c r="N1264">
        <v>34</v>
      </c>
      <c r="O1264">
        <v>947</v>
      </c>
      <c r="P1264">
        <v>947</v>
      </c>
      <c r="Q1264">
        <v>947</v>
      </c>
      <c r="S1264">
        <v>1899</v>
      </c>
      <c r="T1264">
        <v>2021</v>
      </c>
      <c r="U1264">
        <f>+SUM(Table1[[#This Row],[Latinos]:[Cemex]])</f>
        <v>1</v>
      </c>
      <c r="V1264" t="str">
        <f>+Table1[[#This Row],[id_destino]]&amp;" - "&amp;Table1[[#This Row],[id_origen]]</f>
        <v>25 - 34</v>
      </c>
    </row>
    <row r="1265" spans="1:22" hidden="1">
      <c r="A1265">
        <v>3268</v>
      </c>
      <c r="B1265">
        <v>3876</v>
      </c>
      <c r="C1265">
        <v>6804</v>
      </c>
      <c r="D1265">
        <v>6950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 t="s">
        <v>20</v>
      </c>
      <c r="L1265" s="1">
        <v>44798</v>
      </c>
      <c r="M1265">
        <v>25</v>
      </c>
      <c r="N1265">
        <v>34</v>
      </c>
      <c r="O1265">
        <v>0</v>
      </c>
      <c r="P1265">
        <v>150</v>
      </c>
      <c r="Q1265">
        <v>0</v>
      </c>
      <c r="S1265">
        <v>0</v>
      </c>
      <c r="T1265">
        <v>0</v>
      </c>
      <c r="U1265">
        <f>+SUM(Table1[[#This Row],[Latinos]:[Cemex]])</f>
        <v>1</v>
      </c>
      <c r="V1265" t="str">
        <f>+Table1[[#This Row],[id_destino]]&amp;" - "&amp;Table1[[#This Row],[id_origen]]</f>
        <v>25 - 34</v>
      </c>
    </row>
    <row r="1266" spans="1:22" hidden="1">
      <c r="A1266">
        <v>3076</v>
      </c>
      <c r="B1266">
        <v>3757</v>
      </c>
      <c r="C1266">
        <v>6804</v>
      </c>
      <c r="D1266">
        <v>6855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 t="s">
        <v>20</v>
      </c>
      <c r="L1266" s="1">
        <v>44714</v>
      </c>
      <c r="M1266">
        <v>26</v>
      </c>
      <c r="N1266">
        <v>34</v>
      </c>
      <c r="O1266">
        <v>765</v>
      </c>
      <c r="P1266">
        <v>767</v>
      </c>
      <c r="Q1266">
        <v>765</v>
      </c>
      <c r="S1266">
        <v>1434</v>
      </c>
      <c r="T1266">
        <v>1556</v>
      </c>
      <c r="U1266">
        <f>+SUM(Table1[[#This Row],[Latinos]:[Cemex]])</f>
        <v>1</v>
      </c>
      <c r="V1266" t="str">
        <f>+Table1[[#This Row],[id_destino]]&amp;" - "&amp;Table1[[#This Row],[id_origen]]</f>
        <v>26 - 34</v>
      </c>
    </row>
    <row r="1267" spans="1:22" hidden="1">
      <c r="A1267">
        <v>3077</v>
      </c>
      <c r="B1267">
        <v>3757</v>
      </c>
      <c r="C1267">
        <v>6804</v>
      </c>
      <c r="D1267">
        <v>6855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 t="s">
        <v>20</v>
      </c>
      <c r="L1267" s="1">
        <v>44714</v>
      </c>
      <c r="M1267">
        <v>26</v>
      </c>
      <c r="N1267">
        <v>34</v>
      </c>
      <c r="O1267">
        <v>0</v>
      </c>
      <c r="P1267">
        <v>150</v>
      </c>
      <c r="Q1267">
        <v>0</v>
      </c>
      <c r="S1267">
        <v>0</v>
      </c>
      <c r="T1267">
        <v>0</v>
      </c>
      <c r="U1267">
        <f>+SUM(Table1[[#This Row],[Latinos]:[Cemex]])</f>
        <v>1</v>
      </c>
      <c r="V1267" t="str">
        <f>+Table1[[#This Row],[id_destino]]&amp;" - "&amp;Table1[[#This Row],[id_origen]]</f>
        <v>26 - 34</v>
      </c>
    </row>
    <row r="1268" spans="1:22" hidden="1">
      <c r="A1268">
        <v>3018</v>
      </c>
      <c r="B1268">
        <v>3725</v>
      </c>
      <c r="C1268">
        <v>6880</v>
      </c>
      <c r="D1268">
        <v>34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 t="s">
        <v>20</v>
      </c>
      <c r="L1268" s="1">
        <v>44691</v>
      </c>
      <c r="M1268">
        <v>30</v>
      </c>
      <c r="N1268">
        <v>34</v>
      </c>
      <c r="O1268">
        <v>491</v>
      </c>
      <c r="P1268">
        <v>488</v>
      </c>
      <c r="Q1268">
        <v>491</v>
      </c>
      <c r="S1268">
        <v>2321</v>
      </c>
      <c r="T1268">
        <v>2627</v>
      </c>
      <c r="U1268">
        <f>+SUM(Table1[[#This Row],[Latinos]:[Cemex]])</f>
        <v>1</v>
      </c>
      <c r="V1268" t="str">
        <f>+Table1[[#This Row],[id_destino]]&amp;" - "&amp;Table1[[#This Row],[id_origen]]</f>
        <v>30 - 34</v>
      </c>
    </row>
    <row r="1269" spans="1:22" hidden="1">
      <c r="A1269">
        <v>3019</v>
      </c>
      <c r="B1269">
        <v>3725</v>
      </c>
      <c r="C1269">
        <v>6880</v>
      </c>
      <c r="D1269">
        <v>34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 t="s">
        <v>97</v>
      </c>
      <c r="L1269" s="1">
        <v>44730</v>
      </c>
      <c r="M1269">
        <v>30</v>
      </c>
      <c r="N1269">
        <v>34</v>
      </c>
      <c r="O1269">
        <v>0</v>
      </c>
      <c r="P1269">
        <v>150</v>
      </c>
      <c r="Q1269">
        <v>0</v>
      </c>
      <c r="S1269">
        <v>0</v>
      </c>
      <c r="T1269">
        <v>0</v>
      </c>
      <c r="U1269">
        <f>+SUM(Table1[[#This Row],[Latinos]:[Cemex]])</f>
        <v>1</v>
      </c>
      <c r="V1269" t="str">
        <f>+Table1[[#This Row],[id_destino]]&amp;" - "&amp;Table1[[#This Row],[id_origen]]</f>
        <v>30 - 34</v>
      </c>
    </row>
    <row r="1270" spans="1:22" hidden="1">
      <c r="A1270">
        <v>3900</v>
      </c>
      <c r="B1270">
        <v>3725</v>
      </c>
      <c r="C1270">
        <v>40</v>
      </c>
      <c r="D1270">
        <v>5978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 t="s">
        <v>20</v>
      </c>
      <c r="L1270" s="1">
        <v>45218</v>
      </c>
      <c r="M1270">
        <v>30</v>
      </c>
      <c r="N1270">
        <v>34</v>
      </c>
      <c r="O1270">
        <v>488</v>
      </c>
      <c r="P1270">
        <v>480</v>
      </c>
      <c r="Q1270">
        <v>488</v>
      </c>
      <c r="S1270">
        <v>2668</v>
      </c>
      <c r="T1270">
        <v>3008</v>
      </c>
      <c r="U1270">
        <f>+SUM(Table1[[#This Row],[Latinos]:[Cemex]])</f>
        <v>1</v>
      </c>
      <c r="V1270" t="str">
        <f>+Table1[[#This Row],[id_destino]]&amp;" - "&amp;Table1[[#This Row],[id_origen]]</f>
        <v>30 - 34</v>
      </c>
    </row>
    <row r="1271" spans="1:22" hidden="1">
      <c r="A1271">
        <v>847</v>
      </c>
      <c r="B1271">
        <v>1385</v>
      </c>
      <c r="C1271">
        <v>40</v>
      </c>
      <c r="D1271">
        <v>35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 t="s">
        <v>20</v>
      </c>
      <c r="L1271" s="1">
        <v>43187</v>
      </c>
      <c r="M1271">
        <v>31</v>
      </c>
      <c r="N1271">
        <v>34</v>
      </c>
      <c r="O1271">
        <v>701</v>
      </c>
      <c r="P1271">
        <v>701</v>
      </c>
      <c r="Q1271">
        <v>701</v>
      </c>
      <c r="S1271">
        <v>0</v>
      </c>
      <c r="T1271">
        <v>0</v>
      </c>
      <c r="U1271">
        <f>+SUM(Table1[[#This Row],[Latinos]:[Cemex]])</f>
        <v>1</v>
      </c>
      <c r="V1271" t="str">
        <f>+Table1[[#This Row],[id_destino]]&amp;" - "&amp;Table1[[#This Row],[id_origen]]</f>
        <v>31 - 34</v>
      </c>
    </row>
    <row r="1272" spans="1:22" hidden="1">
      <c r="A1272">
        <v>2247</v>
      </c>
      <c r="B1272">
        <v>1385</v>
      </c>
      <c r="C1272">
        <v>40</v>
      </c>
      <c r="D1272">
        <v>35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 t="s">
        <v>20</v>
      </c>
      <c r="L1272" s="1">
        <v>43876</v>
      </c>
      <c r="M1272">
        <v>31</v>
      </c>
      <c r="N1272">
        <v>34</v>
      </c>
      <c r="O1272">
        <v>697</v>
      </c>
      <c r="P1272">
        <v>688</v>
      </c>
      <c r="Q1272">
        <v>697</v>
      </c>
      <c r="S1272">
        <v>3525</v>
      </c>
      <c r="T1272">
        <v>3880</v>
      </c>
      <c r="U1272">
        <f>+SUM(Table1[[#This Row],[Latinos]:[Cemex]])</f>
        <v>1</v>
      </c>
      <c r="V1272" t="str">
        <f>+Table1[[#This Row],[id_destino]]&amp;" - "&amp;Table1[[#This Row],[id_origen]]</f>
        <v>31 - 34</v>
      </c>
    </row>
    <row r="1273" spans="1:22" hidden="1">
      <c r="A1273">
        <v>1647</v>
      </c>
      <c r="B1273">
        <v>752</v>
      </c>
      <c r="C1273">
        <v>40</v>
      </c>
      <c r="D1273">
        <v>637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 t="s">
        <v>20</v>
      </c>
      <c r="L1273" s="1">
        <v>43549</v>
      </c>
      <c r="M1273">
        <v>33</v>
      </c>
      <c r="N1273">
        <v>34</v>
      </c>
      <c r="O1273">
        <v>50</v>
      </c>
      <c r="P1273">
        <v>150</v>
      </c>
      <c r="Q1273">
        <v>50</v>
      </c>
      <c r="S1273">
        <v>0</v>
      </c>
      <c r="T1273">
        <v>0</v>
      </c>
      <c r="U1273">
        <f>+SUM(Table1[[#This Row],[Latinos]:[Cemex]])</f>
        <v>1</v>
      </c>
      <c r="V1273" t="str">
        <f>+Table1[[#This Row],[id_destino]]&amp;" - "&amp;Table1[[#This Row],[id_origen]]</f>
        <v>33 - 34</v>
      </c>
    </row>
    <row r="1274" spans="1:22" hidden="1">
      <c r="A1274">
        <v>2387</v>
      </c>
      <c r="B1274">
        <v>752</v>
      </c>
      <c r="C1274">
        <v>40</v>
      </c>
      <c r="D1274">
        <v>6370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 t="s">
        <v>20</v>
      </c>
      <c r="L1274" s="1">
        <v>44016</v>
      </c>
      <c r="M1274">
        <v>33</v>
      </c>
      <c r="N1274">
        <v>34</v>
      </c>
      <c r="O1274">
        <v>15</v>
      </c>
      <c r="P1274">
        <v>150</v>
      </c>
      <c r="Q1274">
        <v>15</v>
      </c>
      <c r="S1274">
        <v>0</v>
      </c>
      <c r="T1274">
        <v>0</v>
      </c>
      <c r="U1274">
        <f>+SUM(Table1[[#This Row],[Latinos]:[Cemex]])</f>
        <v>1</v>
      </c>
      <c r="V1274" t="str">
        <f>+Table1[[#This Row],[id_destino]]&amp;" - "&amp;Table1[[#This Row],[id_origen]]</f>
        <v>33 - 34</v>
      </c>
    </row>
    <row r="1275" spans="1:22" hidden="1">
      <c r="A1275">
        <v>2388</v>
      </c>
      <c r="B1275">
        <v>752</v>
      </c>
      <c r="C1275">
        <v>40</v>
      </c>
      <c r="D1275">
        <v>6370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  <c r="K1275" t="s">
        <v>20</v>
      </c>
      <c r="L1275" s="1">
        <v>44670</v>
      </c>
      <c r="M1275">
        <v>33</v>
      </c>
      <c r="N1275">
        <v>34</v>
      </c>
      <c r="O1275">
        <v>15</v>
      </c>
      <c r="P1275">
        <v>150</v>
      </c>
      <c r="Q1275">
        <v>400</v>
      </c>
      <c r="S1275">
        <v>0</v>
      </c>
      <c r="T1275">
        <v>0</v>
      </c>
      <c r="U1275">
        <f>+SUM(Table1[[#This Row],[Latinos]:[Cemex]])</f>
        <v>1</v>
      </c>
      <c r="V1275" t="str">
        <f>+Table1[[#This Row],[id_destino]]&amp;" - "&amp;Table1[[#This Row],[id_origen]]</f>
        <v>33 - 34</v>
      </c>
    </row>
    <row r="1276" spans="1:22">
      <c r="A1276">
        <v>3098</v>
      </c>
      <c r="B1276">
        <v>3774</v>
      </c>
      <c r="C1276">
        <v>6804</v>
      </c>
      <c r="D1276">
        <v>6804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 t="s">
        <v>99</v>
      </c>
      <c r="L1276" s="1">
        <v>44727</v>
      </c>
      <c r="M1276">
        <v>34</v>
      </c>
      <c r="N1276">
        <v>34</v>
      </c>
      <c r="O1276">
        <v>50</v>
      </c>
      <c r="P1276">
        <v>150</v>
      </c>
      <c r="Q1276">
        <v>50</v>
      </c>
      <c r="S1276">
        <v>0</v>
      </c>
      <c r="T1276">
        <v>0</v>
      </c>
      <c r="U1276">
        <f>+SUM(Table1[[#This Row],[Latinos]:[Cemex]])</f>
        <v>1</v>
      </c>
      <c r="V1276" t="str">
        <f>+Table1[[#This Row],[id_destino]]&amp;" - "&amp;Table1[[#This Row],[id_origen]]</f>
        <v>34 - 34</v>
      </c>
    </row>
    <row r="1277" spans="1:22" hidden="1">
      <c r="A1277">
        <v>3117</v>
      </c>
      <c r="B1277">
        <v>3786</v>
      </c>
      <c r="C1277">
        <v>6804</v>
      </c>
      <c r="D1277">
        <v>6858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 t="s">
        <v>20</v>
      </c>
      <c r="L1277" s="1">
        <v>44849</v>
      </c>
      <c r="M1277">
        <v>35</v>
      </c>
      <c r="N1277">
        <v>34</v>
      </c>
      <c r="O1277">
        <v>1388</v>
      </c>
      <c r="P1277">
        <v>1342</v>
      </c>
      <c r="Q1277">
        <v>1388</v>
      </c>
      <c r="S1277">
        <v>4132</v>
      </c>
      <c r="T1277">
        <v>4294</v>
      </c>
      <c r="U1277">
        <f>+SUM(Table1[[#This Row],[Latinos]:[Cemex]])</f>
        <v>1</v>
      </c>
      <c r="V1277" t="str">
        <f>+Table1[[#This Row],[id_destino]]&amp;" - "&amp;Table1[[#This Row],[id_origen]]</f>
        <v>35 - 34</v>
      </c>
    </row>
    <row r="1278" spans="1:22" hidden="1">
      <c r="A1278">
        <v>3118</v>
      </c>
      <c r="B1278">
        <v>3786</v>
      </c>
      <c r="C1278">
        <v>6804</v>
      </c>
      <c r="D1278">
        <v>6858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 t="s">
        <v>20</v>
      </c>
      <c r="L1278" s="1">
        <v>44734</v>
      </c>
      <c r="M1278">
        <v>35</v>
      </c>
      <c r="N1278">
        <v>34</v>
      </c>
      <c r="O1278">
        <v>0</v>
      </c>
      <c r="P1278">
        <v>150</v>
      </c>
      <c r="Q1278">
        <v>0</v>
      </c>
      <c r="S1278">
        <v>0</v>
      </c>
      <c r="T1278">
        <v>0</v>
      </c>
      <c r="U1278">
        <f>+SUM(Table1[[#This Row],[Latinos]:[Cemex]])</f>
        <v>1</v>
      </c>
      <c r="V1278" t="str">
        <f>+Table1[[#This Row],[id_destino]]&amp;" - "&amp;Table1[[#This Row],[id_origen]]</f>
        <v>35 - 34</v>
      </c>
    </row>
    <row r="1279" spans="1:22" hidden="1">
      <c r="A1279">
        <v>2835</v>
      </c>
      <c r="B1279">
        <v>3597</v>
      </c>
      <c r="C1279">
        <v>6717</v>
      </c>
      <c r="D1279">
        <v>6342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 t="s">
        <v>20</v>
      </c>
      <c r="L1279" s="1">
        <v>44504</v>
      </c>
      <c r="M1279">
        <v>37</v>
      </c>
      <c r="N1279">
        <v>34</v>
      </c>
      <c r="O1279">
        <v>1195</v>
      </c>
      <c r="P1279">
        <v>1195</v>
      </c>
      <c r="Q1279">
        <v>0</v>
      </c>
      <c r="S1279">
        <v>0</v>
      </c>
      <c r="T1279">
        <v>0</v>
      </c>
      <c r="U1279">
        <f>+SUM(Table1[[#This Row],[Latinos]:[Cemex]])</f>
        <v>1</v>
      </c>
      <c r="V1279" t="str">
        <f>+Table1[[#This Row],[id_destino]]&amp;" - "&amp;Table1[[#This Row],[id_origen]]</f>
        <v>37 - 34</v>
      </c>
    </row>
    <row r="1280" spans="1:22" hidden="1">
      <c r="A1280">
        <v>3326</v>
      </c>
      <c r="B1280">
        <v>3908</v>
      </c>
      <c r="C1280">
        <v>6804</v>
      </c>
      <c r="D1280">
        <v>6956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 t="s">
        <v>20</v>
      </c>
      <c r="L1280" s="1">
        <v>44831</v>
      </c>
      <c r="M1280">
        <v>39</v>
      </c>
      <c r="N1280">
        <v>34</v>
      </c>
      <c r="O1280">
        <v>954</v>
      </c>
      <c r="P1280">
        <v>954</v>
      </c>
      <c r="Q1280">
        <v>954</v>
      </c>
      <c r="S1280">
        <v>1817</v>
      </c>
      <c r="T1280">
        <v>1939</v>
      </c>
      <c r="U1280">
        <f>+SUM(Table1[[#This Row],[Latinos]:[Cemex]])</f>
        <v>1</v>
      </c>
      <c r="V1280" t="str">
        <f>+Table1[[#This Row],[id_destino]]&amp;" - "&amp;Table1[[#This Row],[id_origen]]</f>
        <v>39 - 34</v>
      </c>
    </row>
    <row r="1281" spans="1:22" hidden="1">
      <c r="A1281">
        <v>3327</v>
      </c>
      <c r="B1281">
        <v>3908</v>
      </c>
      <c r="C1281">
        <v>6804</v>
      </c>
      <c r="D1281">
        <v>6956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 t="s">
        <v>20</v>
      </c>
      <c r="L1281" s="1">
        <v>44831</v>
      </c>
      <c r="M1281">
        <v>39</v>
      </c>
      <c r="N1281">
        <v>34</v>
      </c>
      <c r="O1281">
        <v>0</v>
      </c>
      <c r="P1281">
        <v>150</v>
      </c>
      <c r="Q1281">
        <v>0</v>
      </c>
      <c r="S1281">
        <v>0</v>
      </c>
      <c r="T1281">
        <v>0</v>
      </c>
      <c r="U1281">
        <f>+SUM(Table1[[#This Row],[Latinos]:[Cemex]])</f>
        <v>1</v>
      </c>
      <c r="V1281" t="str">
        <f>+Table1[[#This Row],[id_destino]]&amp;" - "&amp;Table1[[#This Row],[id_origen]]</f>
        <v>39 - 34</v>
      </c>
    </row>
    <row r="1282" spans="1:22" hidden="1">
      <c r="A1282">
        <v>3226</v>
      </c>
      <c r="B1282">
        <v>3848</v>
      </c>
      <c r="C1282">
        <v>6804</v>
      </c>
      <c r="D1282">
        <v>6974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 t="s">
        <v>20</v>
      </c>
      <c r="L1282" s="1">
        <v>44777</v>
      </c>
      <c r="M1282">
        <v>40</v>
      </c>
      <c r="N1282">
        <v>34</v>
      </c>
      <c r="O1282">
        <v>770</v>
      </c>
      <c r="P1282">
        <v>817</v>
      </c>
      <c r="Q1282">
        <v>770</v>
      </c>
      <c r="S1282">
        <v>2124</v>
      </c>
      <c r="T1282">
        <v>2280</v>
      </c>
      <c r="U1282">
        <f>+SUM(Table1[[#This Row],[Latinos]:[Cemex]])</f>
        <v>1</v>
      </c>
      <c r="V1282" t="str">
        <f>+Table1[[#This Row],[id_destino]]&amp;" - "&amp;Table1[[#This Row],[id_origen]]</f>
        <v>40 - 34</v>
      </c>
    </row>
    <row r="1283" spans="1:22" hidden="1">
      <c r="A1283">
        <v>3227</v>
      </c>
      <c r="B1283">
        <v>3848</v>
      </c>
      <c r="C1283">
        <v>6804</v>
      </c>
      <c r="D1283">
        <v>6974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  <c r="K1283" t="s">
        <v>20</v>
      </c>
      <c r="L1283" s="1">
        <v>44777</v>
      </c>
      <c r="M1283">
        <v>40</v>
      </c>
      <c r="N1283">
        <v>34</v>
      </c>
      <c r="O1283">
        <v>0</v>
      </c>
      <c r="P1283">
        <v>150</v>
      </c>
      <c r="Q1283">
        <v>0</v>
      </c>
      <c r="S1283">
        <v>0</v>
      </c>
      <c r="T1283">
        <v>0</v>
      </c>
      <c r="U1283">
        <f>+SUM(Table1[[#This Row],[Latinos]:[Cemex]])</f>
        <v>1</v>
      </c>
      <c r="V1283" t="str">
        <f>+Table1[[#This Row],[id_destino]]&amp;" - "&amp;Table1[[#This Row],[id_origen]]</f>
        <v>40 - 34</v>
      </c>
    </row>
    <row r="1284" spans="1:22" hidden="1">
      <c r="A1284">
        <v>1773</v>
      </c>
      <c r="B1284">
        <v>2930</v>
      </c>
      <c r="C1284">
        <v>40</v>
      </c>
      <c r="D1284">
        <v>49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  <c r="K1284" t="s">
        <v>20</v>
      </c>
      <c r="L1284" s="1">
        <v>44882</v>
      </c>
      <c r="M1284">
        <v>43</v>
      </c>
      <c r="N1284">
        <v>34</v>
      </c>
      <c r="O1284">
        <v>0</v>
      </c>
      <c r="P1284">
        <v>150</v>
      </c>
      <c r="Q1284">
        <v>0</v>
      </c>
      <c r="S1284">
        <v>0</v>
      </c>
      <c r="T1284">
        <v>0</v>
      </c>
      <c r="U1284">
        <f>+SUM(Table1[[#This Row],[Latinos]:[Cemex]])</f>
        <v>1</v>
      </c>
      <c r="V1284" t="str">
        <f>+Table1[[#This Row],[id_destino]]&amp;" - "&amp;Table1[[#This Row],[id_origen]]</f>
        <v>43 - 34</v>
      </c>
    </row>
    <row r="1285" spans="1:22" hidden="1">
      <c r="A1285">
        <v>3419</v>
      </c>
      <c r="B1285">
        <v>2930</v>
      </c>
      <c r="C1285">
        <v>6804</v>
      </c>
      <c r="D1285">
        <v>6890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 t="s">
        <v>20</v>
      </c>
      <c r="L1285" s="1">
        <v>44882</v>
      </c>
      <c r="M1285">
        <v>43</v>
      </c>
      <c r="N1285">
        <v>34</v>
      </c>
      <c r="O1285">
        <v>1625</v>
      </c>
      <c r="P1285">
        <v>1567</v>
      </c>
      <c r="Q1285">
        <v>1625</v>
      </c>
      <c r="S1285">
        <v>4489</v>
      </c>
      <c r="T1285">
        <v>4645</v>
      </c>
      <c r="U1285">
        <f>+SUM(Table1[[#This Row],[Latinos]:[Cemex]])</f>
        <v>1</v>
      </c>
      <c r="V1285" t="str">
        <f>+Table1[[#This Row],[id_destino]]&amp;" - "&amp;Table1[[#This Row],[id_origen]]</f>
        <v>43 - 34</v>
      </c>
    </row>
    <row r="1286" spans="1:22" hidden="1">
      <c r="A1286">
        <v>3274</v>
      </c>
      <c r="B1286">
        <v>3882</v>
      </c>
      <c r="C1286">
        <v>6804</v>
      </c>
      <c r="D1286">
        <v>6897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 t="s">
        <v>20</v>
      </c>
      <c r="L1286" s="1">
        <v>45211</v>
      </c>
      <c r="M1286">
        <v>46</v>
      </c>
      <c r="N1286">
        <v>34</v>
      </c>
      <c r="O1286">
        <v>1294</v>
      </c>
      <c r="P1286">
        <v>1177</v>
      </c>
      <c r="Q1286">
        <v>1294</v>
      </c>
      <c r="S1286">
        <v>2362</v>
      </c>
      <c r="T1286">
        <v>2251</v>
      </c>
      <c r="U1286">
        <f>+SUM(Table1[[#This Row],[Latinos]:[Cemex]])</f>
        <v>1</v>
      </c>
      <c r="V1286" t="str">
        <f>+Table1[[#This Row],[id_destino]]&amp;" - "&amp;Table1[[#This Row],[id_origen]]</f>
        <v>46 - 34</v>
      </c>
    </row>
    <row r="1287" spans="1:22" hidden="1">
      <c r="A1287">
        <v>3275</v>
      </c>
      <c r="B1287">
        <v>3882</v>
      </c>
      <c r="C1287">
        <v>5436</v>
      </c>
      <c r="D1287">
        <v>478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 t="s">
        <v>20</v>
      </c>
      <c r="L1287" s="1">
        <v>45082</v>
      </c>
      <c r="M1287">
        <v>46</v>
      </c>
      <c r="N1287">
        <v>34</v>
      </c>
      <c r="O1287">
        <v>0</v>
      </c>
      <c r="P1287">
        <v>150</v>
      </c>
      <c r="Q1287">
        <v>0</v>
      </c>
      <c r="S1287">
        <v>0</v>
      </c>
      <c r="T1287">
        <v>0</v>
      </c>
      <c r="U1287">
        <f>+SUM(Table1[[#This Row],[Latinos]:[Cemex]])</f>
        <v>1</v>
      </c>
      <c r="V1287" t="str">
        <f>+Table1[[#This Row],[id_destino]]&amp;" - "&amp;Table1[[#This Row],[id_origen]]</f>
        <v>46 - 34</v>
      </c>
    </row>
    <row r="1288" spans="1:22" hidden="1">
      <c r="A1288">
        <v>3205</v>
      </c>
      <c r="B1288">
        <v>162</v>
      </c>
      <c r="C1288">
        <v>6804</v>
      </c>
      <c r="D1288">
        <v>6815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 t="s">
        <v>20</v>
      </c>
      <c r="L1288" s="1">
        <v>44768</v>
      </c>
      <c r="M1288">
        <v>47</v>
      </c>
      <c r="N1288">
        <v>34</v>
      </c>
      <c r="O1288">
        <v>971</v>
      </c>
      <c r="P1288">
        <v>955</v>
      </c>
      <c r="Q1288">
        <v>971</v>
      </c>
      <c r="S1288">
        <v>2282</v>
      </c>
      <c r="T1288">
        <v>2552</v>
      </c>
      <c r="U1288">
        <f>+SUM(Table1[[#This Row],[Latinos]:[Cemex]])</f>
        <v>1</v>
      </c>
      <c r="V1288" t="str">
        <f>+Table1[[#This Row],[id_destino]]&amp;" - "&amp;Table1[[#This Row],[id_origen]]</f>
        <v>47 - 34</v>
      </c>
    </row>
    <row r="1289" spans="1:22" hidden="1">
      <c r="A1289">
        <v>3206</v>
      </c>
      <c r="B1289">
        <v>162</v>
      </c>
      <c r="C1289">
        <v>6804</v>
      </c>
      <c r="D1289">
        <v>6815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 t="s">
        <v>20</v>
      </c>
      <c r="L1289" s="1">
        <v>44768</v>
      </c>
      <c r="M1289">
        <v>47</v>
      </c>
      <c r="N1289">
        <v>34</v>
      </c>
      <c r="O1289">
        <v>0</v>
      </c>
      <c r="P1289">
        <v>150</v>
      </c>
      <c r="Q1289">
        <v>0</v>
      </c>
      <c r="S1289">
        <v>0</v>
      </c>
      <c r="T1289">
        <v>0</v>
      </c>
      <c r="U1289">
        <f>+SUM(Table1[[#This Row],[Latinos]:[Cemex]])</f>
        <v>1</v>
      </c>
      <c r="V1289" t="str">
        <f>+Table1[[#This Row],[id_destino]]&amp;" - "&amp;Table1[[#This Row],[id_origen]]</f>
        <v>47 - 34</v>
      </c>
    </row>
    <row r="1290" spans="1:22" hidden="1">
      <c r="A1290">
        <v>3024</v>
      </c>
      <c r="B1290">
        <v>3727</v>
      </c>
      <c r="C1290">
        <v>6804</v>
      </c>
      <c r="D1290">
        <v>6884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 t="s">
        <v>20</v>
      </c>
      <c r="L1290" s="1">
        <v>44694</v>
      </c>
      <c r="M1290">
        <v>49</v>
      </c>
      <c r="N1290">
        <v>34</v>
      </c>
      <c r="O1290">
        <v>841</v>
      </c>
      <c r="P1290">
        <v>937</v>
      </c>
      <c r="Q1290">
        <v>841</v>
      </c>
      <c r="S1290">
        <v>458</v>
      </c>
      <c r="T1290">
        <v>488</v>
      </c>
      <c r="U1290">
        <f>+SUM(Table1[[#This Row],[Latinos]:[Cemex]])</f>
        <v>1</v>
      </c>
      <c r="V1290" t="str">
        <f>+Table1[[#This Row],[id_destino]]&amp;" - "&amp;Table1[[#This Row],[id_origen]]</f>
        <v>49 - 34</v>
      </c>
    </row>
    <row r="1291" spans="1:22" hidden="1">
      <c r="A1291">
        <v>3025</v>
      </c>
      <c r="B1291">
        <v>3727</v>
      </c>
      <c r="C1291">
        <v>6804</v>
      </c>
      <c r="D1291">
        <v>6884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 t="s">
        <v>20</v>
      </c>
      <c r="L1291" s="1">
        <v>44694</v>
      </c>
      <c r="M1291">
        <v>49</v>
      </c>
      <c r="N1291">
        <v>34</v>
      </c>
      <c r="O1291">
        <v>841</v>
      </c>
      <c r="P1291">
        <v>936</v>
      </c>
      <c r="Q1291">
        <v>841</v>
      </c>
      <c r="S1291">
        <v>458</v>
      </c>
      <c r="T1291">
        <v>488</v>
      </c>
      <c r="U1291">
        <f>+SUM(Table1[[#This Row],[Latinos]:[Cemex]])</f>
        <v>1</v>
      </c>
      <c r="V1291" t="str">
        <f>+Table1[[#This Row],[id_destino]]&amp;" - "&amp;Table1[[#This Row],[id_origen]]</f>
        <v>49 - 34</v>
      </c>
    </row>
    <row r="1292" spans="1:22" hidden="1">
      <c r="A1292">
        <v>641</v>
      </c>
      <c r="B1292">
        <v>2381</v>
      </c>
      <c r="C1292">
        <v>5436</v>
      </c>
      <c r="D1292">
        <v>5396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 t="s">
        <v>40</v>
      </c>
      <c r="L1292" s="1">
        <v>43122</v>
      </c>
      <c r="M1292">
        <v>51</v>
      </c>
      <c r="N1292">
        <v>34</v>
      </c>
      <c r="O1292">
        <v>361</v>
      </c>
      <c r="P1292">
        <v>361</v>
      </c>
      <c r="Q1292">
        <v>361</v>
      </c>
      <c r="S1292">
        <v>0</v>
      </c>
      <c r="T1292">
        <v>0</v>
      </c>
      <c r="U1292">
        <f>+SUM(Table1[[#This Row],[Latinos]:[Cemex]])</f>
        <v>1</v>
      </c>
      <c r="V1292" t="str">
        <f>+Table1[[#This Row],[id_destino]]&amp;" - "&amp;Table1[[#This Row],[id_origen]]</f>
        <v>51 - 34</v>
      </c>
    </row>
    <row r="1293" spans="1:22" hidden="1">
      <c r="A1293">
        <v>751</v>
      </c>
      <c r="B1293">
        <v>1358</v>
      </c>
      <c r="C1293">
        <v>5292</v>
      </c>
      <c r="D1293">
        <v>5381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  <c r="K1293" t="s">
        <v>20</v>
      </c>
      <c r="L1293" s="1">
        <v>43152</v>
      </c>
      <c r="M1293">
        <v>52</v>
      </c>
      <c r="N1293">
        <v>34</v>
      </c>
      <c r="O1293">
        <v>343</v>
      </c>
      <c r="P1293">
        <v>361</v>
      </c>
      <c r="Q1293">
        <v>343</v>
      </c>
      <c r="S1293">
        <v>0</v>
      </c>
      <c r="T1293">
        <v>0</v>
      </c>
      <c r="U1293">
        <f>+SUM(Table1[[#This Row],[Latinos]:[Cemex]])</f>
        <v>1</v>
      </c>
      <c r="V1293" t="str">
        <f>+Table1[[#This Row],[id_destino]]&amp;" - "&amp;Table1[[#This Row],[id_origen]]</f>
        <v>52 - 34</v>
      </c>
    </row>
    <row r="1294" spans="1:22" hidden="1">
      <c r="A1294">
        <v>3379</v>
      </c>
      <c r="B1294">
        <v>1745</v>
      </c>
      <c r="C1294">
        <v>6804</v>
      </c>
      <c r="D1294">
        <v>6865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 t="s">
        <v>20</v>
      </c>
      <c r="L1294" s="1">
        <v>44863</v>
      </c>
      <c r="M1294">
        <v>53</v>
      </c>
      <c r="N1294">
        <v>34</v>
      </c>
      <c r="O1294">
        <v>582</v>
      </c>
      <c r="P1294">
        <v>550</v>
      </c>
      <c r="Q1294">
        <v>582</v>
      </c>
      <c r="S1294">
        <v>1507</v>
      </c>
      <c r="T1294">
        <v>1507</v>
      </c>
      <c r="U1294">
        <f>+SUM(Table1[[#This Row],[Latinos]:[Cemex]])</f>
        <v>1</v>
      </c>
      <c r="V1294" t="str">
        <f>+Table1[[#This Row],[id_destino]]&amp;" - "&amp;Table1[[#This Row],[id_origen]]</f>
        <v>53 - 34</v>
      </c>
    </row>
    <row r="1295" spans="1:22" hidden="1">
      <c r="A1295">
        <v>3380</v>
      </c>
      <c r="B1295">
        <v>1745</v>
      </c>
      <c r="C1295">
        <v>6804</v>
      </c>
      <c r="D1295">
        <v>6865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 t="s">
        <v>20</v>
      </c>
      <c r="L1295" s="1">
        <v>44863</v>
      </c>
      <c r="M1295">
        <v>53</v>
      </c>
      <c r="N1295">
        <v>34</v>
      </c>
      <c r="O1295">
        <v>0</v>
      </c>
      <c r="P1295">
        <v>150</v>
      </c>
      <c r="Q1295">
        <v>0</v>
      </c>
      <c r="S1295">
        <v>0</v>
      </c>
      <c r="T1295">
        <v>0</v>
      </c>
      <c r="U1295">
        <f>+SUM(Table1[[#This Row],[Latinos]:[Cemex]])</f>
        <v>1</v>
      </c>
      <c r="V1295" t="str">
        <f>+Table1[[#This Row],[id_destino]]&amp;" - "&amp;Table1[[#This Row],[id_origen]]</f>
        <v>53 - 34</v>
      </c>
    </row>
    <row r="1296" spans="1:22">
      <c r="A1296">
        <v>3303</v>
      </c>
      <c r="B1296">
        <v>3814</v>
      </c>
      <c r="C1296">
        <v>6804</v>
      </c>
      <c r="D1296">
        <v>6873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 t="s">
        <v>20</v>
      </c>
      <c r="L1296" s="1">
        <v>44823</v>
      </c>
      <c r="M1296">
        <v>54</v>
      </c>
      <c r="N1296">
        <v>34</v>
      </c>
      <c r="O1296">
        <v>291</v>
      </c>
      <c r="P1296">
        <v>259</v>
      </c>
      <c r="Q1296">
        <v>291</v>
      </c>
      <c r="S1296">
        <v>367</v>
      </c>
      <c r="T1296">
        <v>367</v>
      </c>
      <c r="U1296">
        <f>+SUM(Table1[[#This Row],[Latinos]:[Cemex]])</f>
        <v>1</v>
      </c>
      <c r="V1296" t="str">
        <f>+Table1[[#This Row],[id_destino]]&amp;" - "&amp;Table1[[#This Row],[id_origen]]</f>
        <v>54 - 34</v>
      </c>
    </row>
    <row r="1297" spans="1:22" hidden="1">
      <c r="A1297">
        <v>3050</v>
      </c>
      <c r="B1297">
        <v>1129</v>
      </c>
      <c r="C1297">
        <v>6804</v>
      </c>
      <c r="D1297">
        <v>6888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 t="s">
        <v>20</v>
      </c>
      <c r="L1297" s="1">
        <v>44707</v>
      </c>
      <c r="M1297">
        <v>55</v>
      </c>
      <c r="N1297">
        <v>34</v>
      </c>
      <c r="O1297">
        <v>1005</v>
      </c>
      <c r="P1297">
        <v>995</v>
      </c>
      <c r="Q1297">
        <v>1005</v>
      </c>
      <c r="S1297">
        <v>2650</v>
      </c>
      <c r="T1297">
        <v>2806</v>
      </c>
      <c r="U1297">
        <f>+SUM(Table1[[#This Row],[Latinos]:[Cemex]])</f>
        <v>1</v>
      </c>
      <c r="V1297" t="str">
        <f>+Table1[[#This Row],[id_destino]]&amp;" - "&amp;Table1[[#This Row],[id_origen]]</f>
        <v>55 - 34</v>
      </c>
    </row>
    <row r="1298" spans="1:22" hidden="1">
      <c r="A1298">
        <v>3054</v>
      </c>
      <c r="B1298">
        <v>1129</v>
      </c>
      <c r="C1298">
        <v>6804</v>
      </c>
      <c r="D1298">
        <v>6888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 t="s">
        <v>20</v>
      </c>
      <c r="L1298" s="1">
        <v>44896</v>
      </c>
      <c r="M1298">
        <v>55</v>
      </c>
      <c r="N1298">
        <v>34</v>
      </c>
      <c r="O1298">
        <v>0</v>
      </c>
      <c r="P1298">
        <v>150</v>
      </c>
      <c r="Q1298">
        <v>0</v>
      </c>
      <c r="S1298">
        <v>0</v>
      </c>
      <c r="T1298">
        <v>0</v>
      </c>
      <c r="U1298">
        <f>+SUM(Table1[[#This Row],[Latinos]:[Cemex]])</f>
        <v>1</v>
      </c>
      <c r="V1298" t="str">
        <f>+Table1[[#This Row],[id_destino]]&amp;" - "&amp;Table1[[#This Row],[id_origen]]</f>
        <v>55 - 34</v>
      </c>
    </row>
    <row r="1299" spans="1:22" hidden="1">
      <c r="A1299">
        <v>3142</v>
      </c>
      <c r="B1299">
        <v>3801</v>
      </c>
      <c r="C1299">
        <v>6804</v>
      </c>
      <c r="D1299">
        <v>6905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 t="s">
        <v>20</v>
      </c>
      <c r="L1299" s="1">
        <v>45154</v>
      </c>
      <c r="M1299">
        <v>58</v>
      </c>
      <c r="N1299">
        <v>34</v>
      </c>
      <c r="O1299">
        <v>1077</v>
      </c>
      <c r="P1299">
        <v>1079</v>
      </c>
      <c r="Q1299">
        <v>1077</v>
      </c>
      <c r="S1299">
        <v>2461</v>
      </c>
      <c r="T1299">
        <v>2617</v>
      </c>
      <c r="U1299">
        <f>+SUM(Table1[[#This Row],[Latinos]:[Cemex]])</f>
        <v>1</v>
      </c>
      <c r="V1299" t="str">
        <f>+Table1[[#This Row],[id_destino]]&amp;" - "&amp;Table1[[#This Row],[id_origen]]</f>
        <v>58 - 34</v>
      </c>
    </row>
    <row r="1300" spans="1:22" hidden="1">
      <c r="A1300">
        <v>3144</v>
      </c>
      <c r="B1300">
        <v>3801</v>
      </c>
      <c r="C1300">
        <v>6804</v>
      </c>
      <c r="D1300">
        <v>6905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 t="s">
        <v>20</v>
      </c>
      <c r="L1300" s="1">
        <v>44739</v>
      </c>
      <c r="M1300">
        <v>58</v>
      </c>
      <c r="N1300">
        <v>34</v>
      </c>
      <c r="O1300">
        <v>0</v>
      </c>
      <c r="P1300">
        <v>150</v>
      </c>
      <c r="Q1300">
        <v>0</v>
      </c>
      <c r="S1300">
        <v>0</v>
      </c>
      <c r="T1300">
        <v>0</v>
      </c>
      <c r="U1300">
        <f>+SUM(Table1[[#This Row],[Latinos]:[Cemex]])</f>
        <v>1</v>
      </c>
      <c r="V1300" t="str">
        <f>+Table1[[#This Row],[id_destino]]&amp;" - "&amp;Table1[[#This Row],[id_origen]]</f>
        <v>58 - 34</v>
      </c>
    </row>
    <row r="1301" spans="1:22" hidden="1">
      <c r="A1301">
        <v>3276</v>
      </c>
      <c r="B1301">
        <v>3883</v>
      </c>
      <c r="C1301">
        <v>6804</v>
      </c>
      <c r="D1301">
        <v>6959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 t="s">
        <v>20</v>
      </c>
      <c r="L1301" s="1">
        <v>44800</v>
      </c>
      <c r="M1301">
        <v>59</v>
      </c>
      <c r="N1301">
        <v>34</v>
      </c>
      <c r="O1301">
        <v>0</v>
      </c>
      <c r="P1301">
        <v>150</v>
      </c>
      <c r="Q1301">
        <v>0</v>
      </c>
      <c r="S1301">
        <v>0</v>
      </c>
      <c r="T1301">
        <v>0</v>
      </c>
      <c r="U1301">
        <f>+SUM(Table1[[#This Row],[Latinos]:[Cemex]])</f>
        <v>1</v>
      </c>
      <c r="V1301" t="str">
        <f>+Table1[[#This Row],[id_destino]]&amp;" - "&amp;Table1[[#This Row],[id_origen]]</f>
        <v>59 - 34</v>
      </c>
    </row>
    <row r="1302" spans="1:22" hidden="1">
      <c r="A1302">
        <v>3277</v>
      </c>
      <c r="B1302">
        <v>3883</v>
      </c>
      <c r="C1302">
        <v>6804</v>
      </c>
      <c r="D1302">
        <v>6959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 t="s">
        <v>20</v>
      </c>
      <c r="L1302" s="1">
        <v>44800</v>
      </c>
      <c r="M1302">
        <v>59</v>
      </c>
      <c r="N1302">
        <v>34</v>
      </c>
      <c r="O1302">
        <v>1410</v>
      </c>
      <c r="P1302">
        <v>1365</v>
      </c>
      <c r="Q1302">
        <v>1410</v>
      </c>
      <c r="S1302">
        <v>3439</v>
      </c>
      <c r="T1302">
        <v>3595</v>
      </c>
      <c r="U1302">
        <f>+SUM(Table1[[#This Row],[Latinos]:[Cemex]])</f>
        <v>1</v>
      </c>
      <c r="V1302" t="str">
        <f>+Table1[[#This Row],[id_destino]]&amp;" - "&amp;Table1[[#This Row],[id_origen]]</f>
        <v>59 - 34</v>
      </c>
    </row>
    <row r="1303" spans="1:22" hidden="1">
      <c r="A1303">
        <v>3946</v>
      </c>
      <c r="B1303">
        <v>4319</v>
      </c>
      <c r="C1303">
        <v>6804</v>
      </c>
      <c r="D1303">
        <v>70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 t="s">
        <v>20</v>
      </c>
      <c r="L1303" s="1">
        <v>45202</v>
      </c>
      <c r="M1303">
        <v>60</v>
      </c>
      <c r="N1303">
        <v>34</v>
      </c>
      <c r="O1303">
        <v>1891</v>
      </c>
      <c r="P1303">
        <v>1889</v>
      </c>
      <c r="Q1303">
        <v>1891</v>
      </c>
      <c r="S1303">
        <v>2642</v>
      </c>
      <c r="T1303">
        <v>3097</v>
      </c>
      <c r="U1303">
        <f>+SUM(Table1[[#This Row],[Latinos]:[Cemex]])</f>
        <v>1</v>
      </c>
      <c r="V1303" t="str">
        <f>+Table1[[#This Row],[id_destino]]&amp;" - "&amp;Table1[[#This Row],[id_origen]]</f>
        <v>60 - 34</v>
      </c>
    </row>
    <row r="1304" spans="1:22" hidden="1">
      <c r="A1304">
        <v>2411</v>
      </c>
      <c r="B1304">
        <v>3327</v>
      </c>
      <c r="C1304">
        <v>40</v>
      </c>
      <c r="D1304">
        <v>71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 t="s">
        <v>20</v>
      </c>
      <c r="L1304" s="1">
        <v>44684</v>
      </c>
      <c r="M1304">
        <v>61</v>
      </c>
      <c r="N1304">
        <v>34</v>
      </c>
      <c r="O1304">
        <v>1717</v>
      </c>
      <c r="P1304">
        <v>1725</v>
      </c>
      <c r="Q1304">
        <v>1717</v>
      </c>
      <c r="S1304">
        <v>2000</v>
      </c>
      <c r="T1304">
        <v>2388</v>
      </c>
      <c r="U1304">
        <f>+SUM(Table1[[#This Row],[Latinos]:[Cemex]])</f>
        <v>1</v>
      </c>
      <c r="V1304" t="str">
        <f>+Table1[[#This Row],[id_destino]]&amp;" - "&amp;Table1[[#This Row],[id_origen]]</f>
        <v>61 - 34</v>
      </c>
    </row>
    <row r="1305" spans="1:22" hidden="1">
      <c r="A1305">
        <v>3299</v>
      </c>
      <c r="B1305">
        <v>3894</v>
      </c>
      <c r="C1305">
        <v>6804</v>
      </c>
      <c r="D1305">
        <v>7020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 t="s">
        <v>20</v>
      </c>
      <c r="L1305" s="1">
        <v>44819</v>
      </c>
      <c r="M1305">
        <v>63</v>
      </c>
      <c r="N1305">
        <v>34</v>
      </c>
      <c r="O1305">
        <v>887</v>
      </c>
      <c r="P1305">
        <v>857</v>
      </c>
      <c r="Q1305">
        <v>887</v>
      </c>
      <c r="S1305">
        <v>1251</v>
      </c>
      <c r="T1305">
        <v>1346</v>
      </c>
      <c r="U1305">
        <f>+SUM(Table1[[#This Row],[Latinos]:[Cemex]])</f>
        <v>1</v>
      </c>
      <c r="V1305" t="str">
        <f>+Table1[[#This Row],[id_destino]]&amp;" - "&amp;Table1[[#This Row],[id_origen]]</f>
        <v>63 - 34</v>
      </c>
    </row>
    <row r="1306" spans="1:22" hidden="1">
      <c r="A1306">
        <v>3300</v>
      </c>
      <c r="B1306">
        <v>3894</v>
      </c>
      <c r="C1306">
        <v>6804</v>
      </c>
      <c r="D1306">
        <v>7020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 t="s">
        <v>20</v>
      </c>
      <c r="L1306" s="1">
        <v>44819</v>
      </c>
      <c r="M1306">
        <v>63</v>
      </c>
      <c r="N1306">
        <v>34</v>
      </c>
      <c r="O1306">
        <v>0</v>
      </c>
      <c r="P1306">
        <v>150</v>
      </c>
      <c r="Q1306">
        <v>0</v>
      </c>
      <c r="S1306">
        <v>0</v>
      </c>
      <c r="T1306">
        <v>0</v>
      </c>
      <c r="U1306">
        <f>+SUM(Table1[[#This Row],[Latinos]:[Cemex]])</f>
        <v>1</v>
      </c>
      <c r="V1306" t="str">
        <f>+Table1[[#This Row],[id_destino]]&amp;" - "&amp;Table1[[#This Row],[id_origen]]</f>
        <v>63 - 34</v>
      </c>
    </row>
    <row r="1307" spans="1:22">
      <c r="A1307">
        <v>3758</v>
      </c>
      <c r="B1307">
        <v>4200</v>
      </c>
      <c r="C1307">
        <v>6804</v>
      </c>
      <c r="D1307">
        <v>7085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 t="s">
        <v>20</v>
      </c>
      <c r="L1307" s="1">
        <v>45074</v>
      </c>
      <c r="M1307">
        <v>64</v>
      </c>
      <c r="N1307">
        <v>34</v>
      </c>
      <c r="O1307">
        <v>499</v>
      </c>
      <c r="P1307">
        <v>512</v>
      </c>
      <c r="Q1307">
        <v>499</v>
      </c>
      <c r="S1307">
        <v>465</v>
      </c>
      <c r="T1307">
        <v>465</v>
      </c>
      <c r="U1307">
        <f>+SUM(Table1[[#This Row],[Latinos]:[Cemex]])</f>
        <v>1</v>
      </c>
      <c r="V1307" t="str">
        <f>+Table1[[#This Row],[id_destino]]&amp;" - "&amp;Table1[[#This Row],[id_origen]]</f>
        <v>64 - 34</v>
      </c>
    </row>
    <row r="1308" spans="1:22">
      <c r="A1308">
        <v>3774</v>
      </c>
      <c r="B1308">
        <v>4200</v>
      </c>
      <c r="C1308">
        <v>6804</v>
      </c>
      <c r="D1308">
        <v>7085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 t="s">
        <v>20</v>
      </c>
      <c r="L1308" s="1">
        <v>45079</v>
      </c>
      <c r="M1308">
        <v>64</v>
      </c>
      <c r="N1308">
        <v>34</v>
      </c>
      <c r="O1308">
        <v>0</v>
      </c>
      <c r="P1308">
        <v>150</v>
      </c>
      <c r="Q1308">
        <v>0</v>
      </c>
      <c r="S1308">
        <v>0</v>
      </c>
      <c r="T1308">
        <v>0</v>
      </c>
      <c r="U1308">
        <f>+SUM(Table1[[#This Row],[Latinos]:[Cemex]])</f>
        <v>1</v>
      </c>
      <c r="V1308" t="str">
        <f>+Table1[[#This Row],[id_destino]]&amp;" - "&amp;Table1[[#This Row],[id_origen]]</f>
        <v>64 - 34</v>
      </c>
    </row>
    <row r="1309" spans="1:22" hidden="1">
      <c r="A1309">
        <v>3215</v>
      </c>
      <c r="B1309">
        <v>3843</v>
      </c>
      <c r="C1309">
        <v>6804</v>
      </c>
      <c r="D1309">
        <v>6820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 t="s">
        <v>20</v>
      </c>
      <c r="L1309" s="1">
        <v>44774</v>
      </c>
      <c r="M1309">
        <v>65</v>
      </c>
      <c r="N1309">
        <v>34</v>
      </c>
      <c r="O1309">
        <v>1112</v>
      </c>
      <c r="P1309">
        <v>1099</v>
      </c>
      <c r="Q1309">
        <v>1112</v>
      </c>
      <c r="S1309">
        <v>3241</v>
      </c>
      <c r="T1309">
        <v>3397</v>
      </c>
      <c r="U1309">
        <f>+SUM(Table1[[#This Row],[Latinos]:[Cemex]])</f>
        <v>1</v>
      </c>
      <c r="V1309" t="str">
        <f>+Table1[[#This Row],[id_destino]]&amp;" - "&amp;Table1[[#This Row],[id_origen]]</f>
        <v>65 - 34</v>
      </c>
    </row>
    <row r="1310" spans="1:22" hidden="1">
      <c r="A1310">
        <v>3216</v>
      </c>
      <c r="B1310">
        <v>3843</v>
      </c>
      <c r="C1310">
        <v>6804</v>
      </c>
      <c r="D1310">
        <v>6820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  <c r="K1310" t="s">
        <v>20</v>
      </c>
      <c r="L1310" s="1">
        <v>44774</v>
      </c>
      <c r="M1310">
        <v>65</v>
      </c>
      <c r="N1310">
        <v>34</v>
      </c>
      <c r="O1310">
        <v>0</v>
      </c>
      <c r="P1310">
        <v>150</v>
      </c>
      <c r="Q1310">
        <v>0</v>
      </c>
      <c r="S1310">
        <v>0</v>
      </c>
      <c r="T1310">
        <v>0</v>
      </c>
      <c r="U1310">
        <f>+SUM(Table1[[#This Row],[Latinos]:[Cemex]])</f>
        <v>1</v>
      </c>
      <c r="V1310" t="str">
        <f>+Table1[[#This Row],[id_destino]]&amp;" - "&amp;Table1[[#This Row],[id_origen]]</f>
        <v>65 - 34</v>
      </c>
    </row>
    <row r="1311" spans="1:22">
      <c r="A1311">
        <v>3027</v>
      </c>
      <c r="B1311">
        <v>2837</v>
      </c>
      <c r="C1311">
        <v>6804</v>
      </c>
      <c r="D1311">
        <v>6885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 t="s">
        <v>20</v>
      </c>
      <c r="L1311" s="1">
        <v>44695</v>
      </c>
      <c r="M1311">
        <v>84</v>
      </c>
      <c r="N1311">
        <v>34</v>
      </c>
      <c r="O1311">
        <v>404</v>
      </c>
      <c r="P1311">
        <v>404</v>
      </c>
      <c r="Q1311">
        <v>404</v>
      </c>
      <c r="S1311">
        <v>0</v>
      </c>
      <c r="T1311">
        <v>0</v>
      </c>
      <c r="U1311">
        <f>+SUM(Table1[[#This Row],[Latinos]:[Cemex]])</f>
        <v>1</v>
      </c>
      <c r="V1311" t="str">
        <f>+Table1[[#This Row],[id_destino]]&amp;" - "&amp;Table1[[#This Row],[id_origen]]</f>
        <v>84 - 34</v>
      </c>
    </row>
    <row r="1312" spans="1:22" hidden="1">
      <c r="A1312">
        <v>723</v>
      </c>
      <c r="B1312">
        <v>2146</v>
      </c>
      <c r="C1312">
        <v>40</v>
      </c>
      <c r="D1312">
        <v>268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 t="s">
        <v>20</v>
      </c>
      <c r="L1312" s="1">
        <v>44594</v>
      </c>
      <c r="M1312">
        <v>99</v>
      </c>
      <c r="N1312">
        <v>34</v>
      </c>
      <c r="O1312">
        <v>2170</v>
      </c>
      <c r="P1312">
        <v>2157</v>
      </c>
      <c r="Q1312">
        <v>2170</v>
      </c>
      <c r="S1312">
        <v>4598.24</v>
      </c>
      <c r="T1312">
        <v>4776.88</v>
      </c>
      <c r="U1312">
        <f>+SUM(Table1[[#This Row],[Latinos]:[Cemex]])</f>
        <v>1</v>
      </c>
      <c r="V1312" t="str">
        <f>+Table1[[#This Row],[id_destino]]&amp;" - "&amp;Table1[[#This Row],[id_origen]]</f>
        <v>99 - 34</v>
      </c>
    </row>
    <row r="1313" spans="1:22" hidden="1">
      <c r="A1313">
        <v>3489</v>
      </c>
      <c r="B1313">
        <v>4021</v>
      </c>
      <c r="C1313">
        <v>6804</v>
      </c>
      <c r="D1313">
        <v>7086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 t="s">
        <v>20</v>
      </c>
      <c r="L1313" s="1">
        <v>44922</v>
      </c>
      <c r="M1313">
        <v>101</v>
      </c>
      <c r="N1313">
        <v>34</v>
      </c>
      <c r="O1313">
        <v>418</v>
      </c>
      <c r="P1313">
        <v>417</v>
      </c>
      <c r="Q1313">
        <v>418</v>
      </c>
      <c r="S1313">
        <v>0</v>
      </c>
      <c r="T1313">
        <v>0</v>
      </c>
      <c r="U1313">
        <f>+SUM(Table1[[#This Row],[Latinos]:[Cemex]])</f>
        <v>1</v>
      </c>
      <c r="V1313" t="str">
        <f>+Table1[[#This Row],[id_destino]]&amp;" - "&amp;Table1[[#This Row],[id_origen]]</f>
        <v>101 - 34</v>
      </c>
    </row>
    <row r="1314" spans="1:22" hidden="1">
      <c r="A1314">
        <v>2272</v>
      </c>
      <c r="B1314">
        <v>3245</v>
      </c>
      <c r="C1314">
        <v>40</v>
      </c>
      <c r="D1314">
        <v>1555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 t="s">
        <v>20</v>
      </c>
      <c r="L1314" s="1">
        <v>44594</v>
      </c>
      <c r="M1314">
        <v>107</v>
      </c>
      <c r="N1314">
        <v>34</v>
      </c>
      <c r="O1314">
        <v>830</v>
      </c>
      <c r="P1314">
        <v>920</v>
      </c>
      <c r="Q1314">
        <v>830</v>
      </c>
      <c r="S1314">
        <v>581.16</v>
      </c>
      <c r="T1314">
        <v>641.48</v>
      </c>
      <c r="U1314">
        <f>+SUM(Table1[[#This Row],[Latinos]:[Cemex]])</f>
        <v>1</v>
      </c>
      <c r="V1314" t="str">
        <f>+Table1[[#This Row],[id_destino]]&amp;" - "&amp;Table1[[#This Row],[id_origen]]</f>
        <v>107 - 34</v>
      </c>
    </row>
    <row r="1315" spans="1:22" hidden="1">
      <c r="A1315">
        <v>4697</v>
      </c>
      <c r="B1315">
        <v>1159</v>
      </c>
      <c r="C1315">
        <v>40</v>
      </c>
      <c r="D1315">
        <v>8172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 t="s">
        <v>20</v>
      </c>
      <c r="L1315" s="1">
        <v>45736</v>
      </c>
      <c r="M1315">
        <v>110</v>
      </c>
      <c r="N1315">
        <v>34</v>
      </c>
      <c r="O1315">
        <v>601</v>
      </c>
      <c r="P1315">
        <v>601</v>
      </c>
      <c r="Q1315">
        <v>601</v>
      </c>
      <c r="S1315">
        <v>220</v>
      </c>
      <c r="T1315">
        <v>220</v>
      </c>
      <c r="U1315">
        <f>+SUM(Table1[[#This Row],[Latinos]:[Cemex]])</f>
        <v>1</v>
      </c>
      <c r="V1315" t="str">
        <f>+Table1[[#This Row],[id_destino]]&amp;" - "&amp;Table1[[#This Row],[id_origen]]</f>
        <v>110 - 34</v>
      </c>
    </row>
    <row r="1316" spans="1:22" hidden="1">
      <c r="A1316">
        <v>3869</v>
      </c>
      <c r="B1316">
        <v>4270</v>
      </c>
      <c r="C1316">
        <v>6804</v>
      </c>
      <c r="D1316">
        <v>6952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 t="s">
        <v>20</v>
      </c>
      <c r="L1316" s="1">
        <v>45154</v>
      </c>
      <c r="M1316">
        <v>116</v>
      </c>
      <c r="N1316">
        <v>34</v>
      </c>
      <c r="O1316">
        <v>1162</v>
      </c>
      <c r="P1316">
        <v>1087</v>
      </c>
      <c r="Q1316">
        <v>1162</v>
      </c>
      <c r="S1316">
        <v>3715</v>
      </c>
      <c r="T1316">
        <v>3871</v>
      </c>
      <c r="U1316">
        <f>+SUM(Table1[[#This Row],[Latinos]:[Cemex]])</f>
        <v>1</v>
      </c>
      <c r="V1316" t="str">
        <f>+Table1[[#This Row],[id_destino]]&amp;" - "&amp;Table1[[#This Row],[id_origen]]</f>
        <v>116 - 34</v>
      </c>
    </row>
    <row r="1317" spans="1:22" hidden="1">
      <c r="A1317">
        <v>3870</v>
      </c>
      <c r="B1317">
        <v>4270</v>
      </c>
      <c r="C1317">
        <v>6804</v>
      </c>
      <c r="D1317">
        <v>6952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 t="s">
        <v>20</v>
      </c>
      <c r="L1317" s="1">
        <v>45154</v>
      </c>
      <c r="M1317">
        <v>116</v>
      </c>
      <c r="N1317">
        <v>34</v>
      </c>
      <c r="O1317">
        <v>0</v>
      </c>
      <c r="P1317">
        <v>150</v>
      </c>
      <c r="Q1317">
        <v>0</v>
      </c>
      <c r="S1317">
        <v>0</v>
      </c>
      <c r="T1317">
        <v>0</v>
      </c>
      <c r="U1317">
        <f>+SUM(Table1[[#This Row],[Latinos]:[Cemex]])</f>
        <v>1</v>
      </c>
      <c r="V1317" t="str">
        <f>+Table1[[#This Row],[id_destino]]&amp;" - "&amp;Table1[[#This Row],[id_origen]]</f>
        <v>116 - 34</v>
      </c>
    </row>
    <row r="1318" spans="1:22" hidden="1">
      <c r="A1318">
        <v>3963</v>
      </c>
      <c r="B1318">
        <v>4325</v>
      </c>
      <c r="C1318">
        <v>6804</v>
      </c>
      <c r="D1318">
        <v>7019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 t="s">
        <v>20</v>
      </c>
      <c r="L1318" s="1">
        <v>45208</v>
      </c>
      <c r="M1318">
        <v>119</v>
      </c>
      <c r="N1318">
        <v>34</v>
      </c>
      <c r="O1318">
        <v>1257</v>
      </c>
      <c r="P1318">
        <v>1229</v>
      </c>
      <c r="Q1318">
        <v>1257</v>
      </c>
      <c r="S1318">
        <v>4472</v>
      </c>
      <c r="T1318">
        <v>4924</v>
      </c>
      <c r="U1318">
        <f>+SUM(Table1[[#This Row],[Latinos]:[Cemex]])</f>
        <v>1</v>
      </c>
      <c r="V1318" t="str">
        <f>+Table1[[#This Row],[id_destino]]&amp;" - "&amp;Table1[[#This Row],[id_origen]]</f>
        <v>119 - 34</v>
      </c>
    </row>
    <row r="1319" spans="1:22" hidden="1">
      <c r="A1319">
        <v>3964</v>
      </c>
      <c r="B1319">
        <v>4325</v>
      </c>
      <c r="C1319">
        <v>6804</v>
      </c>
      <c r="D1319">
        <v>7019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  <c r="K1319" t="s">
        <v>20</v>
      </c>
      <c r="L1319" s="1">
        <v>45209</v>
      </c>
      <c r="M1319">
        <v>119</v>
      </c>
      <c r="N1319">
        <v>34</v>
      </c>
      <c r="O1319">
        <v>0</v>
      </c>
      <c r="P1319">
        <v>150</v>
      </c>
      <c r="Q1319">
        <v>0</v>
      </c>
      <c r="S1319">
        <v>0</v>
      </c>
      <c r="T1319">
        <v>0</v>
      </c>
      <c r="U1319">
        <f>+SUM(Table1[[#This Row],[Latinos]:[Cemex]])</f>
        <v>1</v>
      </c>
      <c r="V1319" t="str">
        <f>+Table1[[#This Row],[id_destino]]&amp;" - "&amp;Table1[[#This Row],[id_origen]]</f>
        <v>119 - 34</v>
      </c>
    </row>
    <row r="1320" spans="1:22" hidden="1">
      <c r="A1320">
        <v>3240</v>
      </c>
      <c r="B1320">
        <v>3859</v>
      </c>
      <c r="C1320">
        <v>6804</v>
      </c>
      <c r="D1320">
        <v>6951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 t="s">
        <v>20</v>
      </c>
      <c r="L1320" s="1">
        <v>44795</v>
      </c>
      <c r="M1320">
        <v>121</v>
      </c>
      <c r="N1320">
        <v>34</v>
      </c>
      <c r="O1320">
        <v>739</v>
      </c>
      <c r="P1320">
        <v>680</v>
      </c>
      <c r="Q1320">
        <v>739</v>
      </c>
      <c r="S1320">
        <v>1460</v>
      </c>
      <c r="T1320">
        <v>1616</v>
      </c>
      <c r="U1320">
        <f>+SUM(Table1[[#This Row],[Latinos]:[Cemex]])</f>
        <v>1</v>
      </c>
      <c r="V1320" t="str">
        <f>+Table1[[#This Row],[id_destino]]&amp;" - "&amp;Table1[[#This Row],[id_origen]]</f>
        <v>121 - 34</v>
      </c>
    </row>
    <row r="1321" spans="1:22" hidden="1">
      <c r="A1321">
        <v>3242</v>
      </c>
      <c r="B1321">
        <v>3859</v>
      </c>
      <c r="C1321">
        <v>6804</v>
      </c>
      <c r="D1321">
        <v>6951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 t="s">
        <v>20</v>
      </c>
      <c r="L1321" s="1">
        <v>44795</v>
      </c>
      <c r="M1321">
        <v>121</v>
      </c>
      <c r="N1321">
        <v>34</v>
      </c>
      <c r="O1321">
        <v>0</v>
      </c>
      <c r="P1321">
        <v>150</v>
      </c>
      <c r="Q1321">
        <v>0</v>
      </c>
      <c r="S1321">
        <v>0</v>
      </c>
      <c r="T1321">
        <v>0</v>
      </c>
      <c r="U1321">
        <f>+SUM(Table1[[#This Row],[Latinos]:[Cemex]])</f>
        <v>1</v>
      </c>
      <c r="V1321" t="str">
        <f>+Table1[[#This Row],[id_destino]]&amp;" - "&amp;Table1[[#This Row],[id_origen]]</f>
        <v>121 - 34</v>
      </c>
    </row>
    <row r="1322" spans="1:22" hidden="1">
      <c r="A1322">
        <v>3251</v>
      </c>
      <c r="B1322">
        <v>3864</v>
      </c>
      <c r="C1322">
        <v>6804</v>
      </c>
      <c r="D1322">
        <v>6972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 t="s">
        <v>101</v>
      </c>
      <c r="L1322" s="1">
        <v>44797</v>
      </c>
      <c r="M1322">
        <v>123</v>
      </c>
      <c r="N1322">
        <v>34</v>
      </c>
      <c r="O1322">
        <v>940</v>
      </c>
      <c r="P1322">
        <v>970</v>
      </c>
      <c r="Q1322">
        <v>940</v>
      </c>
      <c r="S1322">
        <v>3006</v>
      </c>
      <c r="T1322">
        <v>3386</v>
      </c>
      <c r="U1322">
        <f>+SUM(Table1[[#This Row],[Latinos]:[Cemex]])</f>
        <v>1</v>
      </c>
      <c r="V1322" t="str">
        <f>+Table1[[#This Row],[id_destino]]&amp;" - "&amp;Table1[[#This Row],[id_origen]]</f>
        <v>123 - 34</v>
      </c>
    </row>
    <row r="1323" spans="1:22" hidden="1">
      <c r="A1323">
        <v>3252</v>
      </c>
      <c r="B1323">
        <v>3864</v>
      </c>
      <c r="C1323">
        <v>6804</v>
      </c>
      <c r="D1323">
        <v>6972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 t="s">
        <v>20</v>
      </c>
      <c r="L1323" s="1">
        <v>44797</v>
      </c>
      <c r="M1323">
        <v>123</v>
      </c>
      <c r="N1323">
        <v>34</v>
      </c>
      <c r="O1323">
        <v>0</v>
      </c>
      <c r="P1323">
        <v>150</v>
      </c>
      <c r="Q1323">
        <v>0</v>
      </c>
      <c r="S1323">
        <v>0</v>
      </c>
      <c r="T1323">
        <v>0</v>
      </c>
      <c r="U1323">
        <f>+SUM(Table1[[#This Row],[Latinos]:[Cemex]])</f>
        <v>1</v>
      </c>
      <c r="V1323" t="str">
        <f>+Table1[[#This Row],[id_destino]]&amp;" - "&amp;Table1[[#This Row],[id_origen]]</f>
        <v>123 - 34</v>
      </c>
    </row>
    <row r="1324" spans="1:22" hidden="1">
      <c r="A1324">
        <v>3260</v>
      </c>
      <c r="B1324">
        <v>3872</v>
      </c>
      <c r="C1324">
        <v>6804</v>
      </c>
      <c r="D1324">
        <v>6986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 t="s">
        <v>20</v>
      </c>
      <c r="L1324" s="1">
        <v>44797</v>
      </c>
      <c r="M1324">
        <v>126</v>
      </c>
      <c r="N1324">
        <v>34</v>
      </c>
      <c r="O1324">
        <v>1784</v>
      </c>
      <c r="P1324">
        <v>1784</v>
      </c>
      <c r="Q1324">
        <v>1784</v>
      </c>
      <c r="S1324">
        <v>3030</v>
      </c>
      <c r="T1324">
        <v>3152</v>
      </c>
      <c r="U1324">
        <f>+SUM(Table1[[#This Row],[Latinos]:[Cemex]])</f>
        <v>1</v>
      </c>
      <c r="V1324" t="str">
        <f>+Table1[[#This Row],[id_destino]]&amp;" - "&amp;Table1[[#This Row],[id_origen]]</f>
        <v>126 - 34</v>
      </c>
    </row>
    <row r="1325" spans="1:22" hidden="1">
      <c r="A1325">
        <v>3261</v>
      </c>
      <c r="B1325">
        <v>3872</v>
      </c>
      <c r="C1325">
        <v>6804</v>
      </c>
      <c r="D1325">
        <v>6986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 t="s">
        <v>20</v>
      </c>
      <c r="L1325" s="1">
        <v>44798</v>
      </c>
      <c r="M1325">
        <v>126</v>
      </c>
      <c r="N1325">
        <v>34</v>
      </c>
      <c r="O1325">
        <v>0</v>
      </c>
      <c r="P1325">
        <v>150</v>
      </c>
      <c r="Q1325">
        <v>0</v>
      </c>
      <c r="S1325">
        <v>0</v>
      </c>
      <c r="T1325">
        <v>0</v>
      </c>
      <c r="U1325">
        <f>+SUM(Table1[[#This Row],[Latinos]:[Cemex]])</f>
        <v>1</v>
      </c>
      <c r="V1325" t="str">
        <f>+Table1[[#This Row],[id_destino]]&amp;" - "&amp;Table1[[#This Row],[id_origen]]</f>
        <v>126 - 34</v>
      </c>
    </row>
    <row r="1326" spans="1:22">
      <c r="A1326">
        <v>3516</v>
      </c>
      <c r="B1326">
        <v>4042</v>
      </c>
      <c r="C1326">
        <v>6804</v>
      </c>
      <c r="D1326">
        <v>6934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 t="s">
        <v>20</v>
      </c>
      <c r="L1326" s="1">
        <v>44944</v>
      </c>
      <c r="M1326">
        <v>134</v>
      </c>
      <c r="N1326">
        <v>34</v>
      </c>
      <c r="O1326">
        <v>2182</v>
      </c>
      <c r="P1326">
        <v>2126</v>
      </c>
      <c r="Q1326">
        <v>2182</v>
      </c>
      <c r="S1326">
        <v>5364</v>
      </c>
      <c r="T1326">
        <v>5520</v>
      </c>
      <c r="U1326">
        <f>+SUM(Table1[[#This Row],[Latinos]:[Cemex]])</f>
        <v>1</v>
      </c>
      <c r="V1326" t="str">
        <f>+Table1[[#This Row],[id_destino]]&amp;" - "&amp;Table1[[#This Row],[id_origen]]</f>
        <v>134 - 34</v>
      </c>
    </row>
    <row r="1327" spans="1:22">
      <c r="A1327">
        <v>3517</v>
      </c>
      <c r="B1327">
        <v>4042</v>
      </c>
      <c r="C1327">
        <v>6804</v>
      </c>
      <c r="D1327">
        <v>6934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 t="s">
        <v>20</v>
      </c>
      <c r="L1327" s="1">
        <v>44944</v>
      </c>
      <c r="M1327">
        <v>134</v>
      </c>
      <c r="N1327">
        <v>34</v>
      </c>
      <c r="O1327">
        <v>0</v>
      </c>
      <c r="P1327">
        <v>150</v>
      </c>
      <c r="Q1327">
        <v>0</v>
      </c>
      <c r="S1327">
        <v>0</v>
      </c>
      <c r="T1327">
        <v>0</v>
      </c>
      <c r="U1327">
        <f>+SUM(Table1[[#This Row],[Latinos]:[Cemex]])</f>
        <v>1</v>
      </c>
      <c r="V1327" t="str">
        <f>+Table1[[#This Row],[id_destino]]&amp;" - "&amp;Table1[[#This Row],[id_origen]]</f>
        <v>134 - 34</v>
      </c>
    </row>
    <row r="1328" spans="1:22" hidden="1">
      <c r="A1328">
        <v>3711</v>
      </c>
      <c r="B1328">
        <v>805</v>
      </c>
      <c r="C1328">
        <v>6804</v>
      </c>
      <c r="D1328">
        <v>3176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 t="s">
        <v>20</v>
      </c>
      <c r="L1328" s="1">
        <v>45044</v>
      </c>
      <c r="M1328">
        <v>136</v>
      </c>
      <c r="N1328">
        <v>34</v>
      </c>
      <c r="O1328">
        <v>1154</v>
      </c>
      <c r="P1328">
        <v>1096</v>
      </c>
      <c r="Q1328">
        <v>1154</v>
      </c>
      <c r="S1328">
        <v>3233</v>
      </c>
      <c r="T1328">
        <v>3389</v>
      </c>
      <c r="U1328">
        <f>+SUM(Table1[[#This Row],[Latinos]:[Cemex]])</f>
        <v>1</v>
      </c>
      <c r="V1328" t="str">
        <f>+Table1[[#This Row],[id_destino]]&amp;" - "&amp;Table1[[#This Row],[id_origen]]</f>
        <v>136 - 34</v>
      </c>
    </row>
    <row r="1329" spans="1:22" hidden="1">
      <c r="A1329">
        <v>3123</v>
      </c>
      <c r="B1329">
        <v>3788</v>
      </c>
      <c r="C1329">
        <v>6804</v>
      </c>
      <c r="D1329">
        <v>6946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  <c r="K1329" t="s">
        <v>20</v>
      </c>
      <c r="L1329" s="1">
        <v>44734</v>
      </c>
      <c r="M1329">
        <v>145</v>
      </c>
      <c r="N1329">
        <v>34</v>
      </c>
      <c r="O1329">
        <v>700</v>
      </c>
      <c r="P1329">
        <v>700</v>
      </c>
      <c r="Q1329">
        <v>700</v>
      </c>
      <c r="S1329">
        <v>3246</v>
      </c>
      <c r="T1329">
        <v>3732</v>
      </c>
      <c r="U1329">
        <f>+SUM(Table1[[#This Row],[Latinos]:[Cemex]])</f>
        <v>1</v>
      </c>
      <c r="V1329" t="str">
        <f>+Table1[[#This Row],[id_destino]]&amp;" - "&amp;Table1[[#This Row],[id_origen]]</f>
        <v>145 - 34</v>
      </c>
    </row>
    <row r="1330" spans="1:22" hidden="1">
      <c r="A1330">
        <v>3124</v>
      </c>
      <c r="B1330">
        <v>3788</v>
      </c>
      <c r="C1330">
        <v>6804</v>
      </c>
      <c r="D1330">
        <v>6946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 t="s">
        <v>20</v>
      </c>
      <c r="L1330" s="1">
        <v>44734</v>
      </c>
      <c r="M1330">
        <v>145</v>
      </c>
      <c r="N1330">
        <v>34</v>
      </c>
      <c r="O1330">
        <v>0</v>
      </c>
      <c r="P1330">
        <v>150</v>
      </c>
      <c r="Q1330">
        <v>0</v>
      </c>
      <c r="S1330">
        <v>0</v>
      </c>
      <c r="T1330">
        <v>0</v>
      </c>
      <c r="U1330">
        <f>+SUM(Table1[[#This Row],[Latinos]:[Cemex]])</f>
        <v>1</v>
      </c>
      <c r="V1330" t="str">
        <f>+Table1[[#This Row],[id_destino]]&amp;" - "&amp;Table1[[#This Row],[id_origen]]</f>
        <v>145 - 34</v>
      </c>
    </row>
    <row r="1331" spans="1:22" hidden="1">
      <c r="A1331">
        <v>4848</v>
      </c>
      <c r="B1331">
        <v>4951</v>
      </c>
      <c r="C1331">
        <v>40</v>
      </c>
      <c r="D1331">
        <v>8296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 t="s">
        <v>20</v>
      </c>
      <c r="L1331" s="1">
        <v>45889</v>
      </c>
      <c r="M1331">
        <v>146</v>
      </c>
      <c r="N1331">
        <v>34</v>
      </c>
      <c r="O1331">
        <v>2509</v>
      </c>
      <c r="P1331">
        <v>2509</v>
      </c>
      <c r="Q1331">
        <v>2509</v>
      </c>
      <c r="S1331">
        <v>5195</v>
      </c>
      <c r="T1331">
        <v>5195</v>
      </c>
      <c r="U1331">
        <f>+SUM(Table1[[#This Row],[Latinos]:[Cemex]])</f>
        <v>1</v>
      </c>
      <c r="V1331" t="str">
        <f>+Table1[[#This Row],[id_destino]]&amp;" - "&amp;Table1[[#This Row],[id_origen]]</f>
        <v>146 - 34</v>
      </c>
    </row>
    <row r="1332" spans="1:22" hidden="1">
      <c r="A1332">
        <v>2220</v>
      </c>
      <c r="B1332">
        <v>3209</v>
      </c>
      <c r="C1332">
        <v>40</v>
      </c>
      <c r="D1332">
        <v>3255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 t="s">
        <v>20</v>
      </c>
      <c r="L1332" s="1">
        <v>43861</v>
      </c>
      <c r="M1332">
        <v>159</v>
      </c>
      <c r="N1332">
        <v>34</v>
      </c>
      <c r="O1332">
        <v>1044</v>
      </c>
      <c r="P1332">
        <v>1035</v>
      </c>
      <c r="Q1332">
        <v>1044</v>
      </c>
      <c r="S1332">
        <v>4065</v>
      </c>
      <c r="T1332">
        <v>4517</v>
      </c>
      <c r="U1332">
        <f>+SUM(Table1[[#This Row],[Latinos]:[Cemex]])</f>
        <v>1</v>
      </c>
      <c r="V1332" t="str">
        <f>+Table1[[#This Row],[id_destino]]&amp;" - "&amp;Table1[[#This Row],[id_origen]]</f>
        <v>159 - 34</v>
      </c>
    </row>
    <row r="1333" spans="1:22" hidden="1">
      <c r="A1333">
        <v>3312</v>
      </c>
      <c r="B1333">
        <v>3900</v>
      </c>
      <c r="C1333">
        <v>6804</v>
      </c>
      <c r="D1333">
        <v>6949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 t="s">
        <v>20</v>
      </c>
      <c r="L1333" s="1">
        <v>44826</v>
      </c>
      <c r="M1333">
        <v>167</v>
      </c>
      <c r="N1333">
        <v>34</v>
      </c>
      <c r="O1333">
        <v>1561</v>
      </c>
      <c r="P1333">
        <v>1545</v>
      </c>
      <c r="Q1333">
        <v>1561</v>
      </c>
      <c r="S1333">
        <v>4489</v>
      </c>
      <c r="T1333">
        <v>4645</v>
      </c>
      <c r="U1333">
        <f>+SUM(Table1[[#This Row],[Latinos]:[Cemex]])</f>
        <v>1</v>
      </c>
      <c r="V1333" t="str">
        <f>+Table1[[#This Row],[id_destino]]&amp;" - "&amp;Table1[[#This Row],[id_origen]]</f>
        <v>167 - 34</v>
      </c>
    </row>
    <row r="1334" spans="1:22" hidden="1">
      <c r="A1334">
        <v>3706</v>
      </c>
      <c r="B1334">
        <v>3900</v>
      </c>
      <c r="C1334">
        <v>6804</v>
      </c>
      <c r="D1334">
        <v>6949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 t="s">
        <v>20</v>
      </c>
      <c r="L1334" s="1">
        <v>45040</v>
      </c>
      <c r="M1334">
        <v>167</v>
      </c>
      <c r="N1334">
        <v>34</v>
      </c>
      <c r="O1334">
        <v>0</v>
      </c>
      <c r="P1334">
        <v>150</v>
      </c>
      <c r="Q1334">
        <v>0</v>
      </c>
      <c r="S1334">
        <v>0</v>
      </c>
      <c r="T1334">
        <v>0</v>
      </c>
      <c r="U1334">
        <f>+SUM(Table1[[#This Row],[Latinos]:[Cemex]])</f>
        <v>1</v>
      </c>
      <c r="V1334" t="str">
        <f>+Table1[[#This Row],[id_destino]]&amp;" - "&amp;Table1[[#This Row],[id_origen]]</f>
        <v>167 - 34</v>
      </c>
    </row>
    <row r="1335" spans="1:22" hidden="1">
      <c r="A1335">
        <v>3052</v>
      </c>
      <c r="B1335">
        <v>308</v>
      </c>
      <c r="C1335">
        <v>6804</v>
      </c>
      <c r="D1335">
        <v>6886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0</v>
      </c>
      <c r="K1335" t="s">
        <v>20</v>
      </c>
      <c r="L1335" s="1">
        <v>45204</v>
      </c>
      <c r="M1335">
        <v>169</v>
      </c>
      <c r="N1335">
        <v>34</v>
      </c>
      <c r="O1335">
        <v>0</v>
      </c>
      <c r="P1335">
        <v>150</v>
      </c>
      <c r="Q1335">
        <v>0</v>
      </c>
      <c r="S1335">
        <v>0</v>
      </c>
      <c r="T1335">
        <v>0</v>
      </c>
      <c r="U1335">
        <f>+SUM(Table1[[#This Row],[Latinos]:[Cemex]])</f>
        <v>1</v>
      </c>
      <c r="V1335" t="str">
        <f>+Table1[[#This Row],[id_destino]]&amp;" - "&amp;Table1[[#This Row],[id_origen]]</f>
        <v>169 - 34</v>
      </c>
    </row>
    <row r="1336" spans="1:22" hidden="1">
      <c r="A1336">
        <v>3176</v>
      </c>
      <c r="B1336">
        <v>3822</v>
      </c>
      <c r="C1336">
        <v>6804</v>
      </c>
      <c r="D1336">
        <v>6976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 t="s">
        <v>20</v>
      </c>
      <c r="L1336" s="1">
        <v>44758</v>
      </c>
      <c r="M1336">
        <v>179</v>
      </c>
      <c r="N1336">
        <v>34</v>
      </c>
      <c r="O1336">
        <v>1366</v>
      </c>
      <c r="P1336">
        <v>1149</v>
      </c>
      <c r="Q1336">
        <v>1366</v>
      </c>
      <c r="S1336">
        <v>1184</v>
      </c>
      <c r="T1336">
        <v>1491</v>
      </c>
      <c r="U1336">
        <f>+SUM(Table1[[#This Row],[Latinos]:[Cemex]])</f>
        <v>1</v>
      </c>
      <c r="V1336" t="str">
        <f>+Table1[[#This Row],[id_destino]]&amp;" - "&amp;Table1[[#This Row],[id_origen]]</f>
        <v>179 - 34</v>
      </c>
    </row>
    <row r="1337" spans="1:22" hidden="1">
      <c r="A1337">
        <v>3177</v>
      </c>
      <c r="B1337">
        <v>3822</v>
      </c>
      <c r="C1337">
        <v>6804</v>
      </c>
      <c r="D1337">
        <v>6976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 t="s">
        <v>20</v>
      </c>
      <c r="L1337" s="1">
        <v>44758</v>
      </c>
      <c r="M1337">
        <v>179</v>
      </c>
      <c r="N1337">
        <v>34</v>
      </c>
      <c r="O1337">
        <v>0</v>
      </c>
      <c r="P1337">
        <v>150</v>
      </c>
      <c r="Q1337">
        <v>0</v>
      </c>
      <c r="S1337">
        <v>0</v>
      </c>
      <c r="T1337">
        <v>0</v>
      </c>
      <c r="U1337">
        <f>+SUM(Table1[[#This Row],[Latinos]:[Cemex]])</f>
        <v>1</v>
      </c>
      <c r="V1337" t="str">
        <f>+Table1[[#This Row],[id_destino]]&amp;" - "&amp;Table1[[#This Row],[id_origen]]</f>
        <v>179 - 34</v>
      </c>
    </row>
    <row r="1338" spans="1:22" hidden="1">
      <c r="A1338">
        <v>3424</v>
      </c>
      <c r="B1338">
        <v>3980</v>
      </c>
      <c r="C1338">
        <v>6804</v>
      </c>
      <c r="D1338">
        <v>6896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 t="s">
        <v>20</v>
      </c>
      <c r="L1338" s="1">
        <v>44883</v>
      </c>
      <c r="M1338">
        <v>180</v>
      </c>
      <c r="N1338">
        <v>34</v>
      </c>
      <c r="O1338">
        <v>588</v>
      </c>
      <c r="P1338">
        <v>571</v>
      </c>
      <c r="Q1338">
        <v>588</v>
      </c>
      <c r="S1338">
        <v>1683</v>
      </c>
      <c r="T1338">
        <v>1683</v>
      </c>
      <c r="U1338">
        <f>+SUM(Table1[[#This Row],[Latinos]:[Cemex]])</f>
        <v>1</v>
      </c>
      <c r="V1338" t="str">
        <f>+Table1[[#This Row],[id_destino]]&amp;" - "&amp;Table1[[#This Row],[id_origen]]</f>
        <v>180 - 34</v>
      </c>
    </row>
    <row r="1339" spans="1:22" hidden="1">
      <c r="A1339">
        <v>3425</v>
      </c>
      <c r="B1339">
        <v>3980</v>
      </c>
      <c r="C1339">
        <v>6804</v>
      </c>
      <c r="D1339">
        <v>6896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 t="s">
        <v>20</v>
      </c>
      <c r="L1339" s="1">
        <v>44883</v>
      </c>
      <c r="M1339">
        <v>180</v>
      </c>
      <c r="N1339">
        <v>34</v>
      </c>
      <c r="O1339">
        <v>0</v>
      </c>
      <c r="P1339">
        <v>150</v>
      </c>
      <c r="Q1339">
        <v>0</v>
      </c>
      <c r="S1339">
        <v>0</v>
      </c>
      <c r="T1339">
        <v>0</v>
      </c>
      <c r="U1339">
        <f>+SUM(Table1[[#This Row],[Latinos]:[Cemex]])</f>
        <v>1</v>
      </c>
      <c r="V1339" t="str">
        <f>+Table1[[#This Row],[id_destino]]&amp;" - "&amp;Table1[[#This Row],[id_origen]]</f>
        <v>180 - 34</v>
      </c>
    </row>
    <row r="1340" spans="1:22" hidden="1">
      <c r="A1340">
        <v>3490</v>
      </c>
      <c r="B1340">
        <v>4022</v>
      </c>
      <c r="C1340">
        <v>6804</v>
      </c>
      <c r="D1340">
        <v>7052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 t="s">
        <v>20</v>
      </c>
      <c r="L1340" s="1">
        <v>44923</v>
      </c>
      <c r="M1340">
        <v>190</v>
      </c>
      <c r="N1340">
        <v>34</v>
      </c>
      <c r="O1340">
        <v>679</v>
      </c>
      <c r="P1340">
        <v>642</v>
      </c>
      <c r="Q1340">
        <v>679</v>
      </c>
      <c r="S1340">
        <v>1320</v>
      </c>
      <c r="T1340">
        <v>1320</v>
      </c>
      <c r="U1340">
        <f>+SUM(Table1[[#This Row],[Latinos]:[Cemex]])</f>
        <v>1</v>
      </c>
      <c r="V1340" t="str">
        <f>+Table1[[#This Row],[id_destino]]&amp;" - "&amp;Table1[[#This Row],[id_origen]]</f>
        <v>190 - 34</v>
      </c>
    </row>
    <row r="1341" spans="1:22" hidden="1">
      <c r="A1341">
        <v>3755</v>
      </c>
      <c r="B1341">
        <v>4022</v>
      </c>
      <c r="C1341">
        <v>6804</v>
      </c>
      <c r="D1341">
        <v>2940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 t="s">
        <v>20</v>
      </c>
      <c r="L1341" s="1">
        <v>45073</v>
      </c>
      <c r="M1341">
        <v>190</v>
      </c>
      <c r="N1341">
        <v>34</v>
      </c>
      <c r="O1341">
        <v>0</v>
      </c>
      <c r="P1341">
        <v>150</v>
      </c>
      <c r="Q1341">
        <v>0</v>
      </c>
      <c r="S1341">
        <v>0</v>
      </c>
      <c r="T1341">
        <v>0</v>
      </c>
      <c r="U1341">
        <f>+SUM(Table1[[#This Row],[Latinos]:[Cemex]])</f>
        <v>1</v>
      </c>
      <c r="V1341" t="str">
        <f>+Table1[[#This Row],[id_destino]]&amp;" - "&amp;Table1[[#This Row],[id_origen]]</f>
        <v>190 - 34</v>
      </c>
    </row>
    <row r="1342" spans="1:22" hidden="1">
      <c r="A1342">
        <v>4799</v>
      </c>
      <c r="B1342">
        <v>4915</v>
      </c>
      <c r="C1342">
        <v>40</v>
      </c>
      <c r="D1342">
        <v>8257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 t="s">
        <v>20</v>
      </c>
      <c r="L1342" s="1">
        <v>45862</v>
      </c>
      <c r="M1342">
        <v>192</v>
      </c>
      <c r="N1342">
        <v>34</v>
      </c>
      <c r="O1342">
        <v>644</v>
      </c>
      <c r="P1342">
        <v>644</v>
      </c>
      <c r="Q1342">
        <v>644</v>
      </c>
      <c r="S1342">
        <v>1507</v>
      </c>
      <c r="T1342">
        <v>1676</v>
      </c>
      <c r="U1342">
        <f>+SUM(Table1[[#This Row],[Latinos]:[Cemex]])</f>
        <v>1</v>
      </c>
      <c r="V1342" t="str">
        <f>+Table1[[#This Row],[id_destino]]&amp;" - "&amp;Table1[[#This Row],[id_origen]]</f>
        <v>192 - 34</v>
      </c>
    </row>
    <row r="1343" spans="1:22" hidden="1">
      <c r="A1343">
        <v>3073</v>
      </c>
      <c r="B1343">
        <v>3756</v>
      </c>
      <c r="C1343">
        <v>6804</v>
      </c>
      <c r="D1343">
        <v>6917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 t="s">
        <v>20</v>
      </c>
      <c r="L1343" s="1">
        <v>44714</v>
      </c>
      <c r="M1343">
        <v>212</v>
      </c>
      <c r="N1343">
        <v>34</v>
      </c>
      <c r="O1343">
        <v>1243</v>
      </c>
      <c r="P1343">
        <v>1237</v>
      </c>
      <c r="Q1343">
        <v>1243</v>
      </c>
      <c r="S1343">
        <v>2144</v>
      </c>
      <c r="T1343">
        <v>2277</v>
      </c>
      <c r="U1343">
        <f>+SUM(Table1[[#This Row],[Latinos]:[Cemex]])</f>
        <v>1</v>
      </c>
      <c r="V1343" t="str">
        <f>+Table1[[#This Row],[id_destino]]&amp;" - "&amp;Table1[[#This Row],[id_origen]]</f>
        <v>212 - 34</v>
      </c>
    </row>
    <row r="1344" spans="1:22" hidden="1">
      <c r="A1344">
        <v>3074</v>
      </c>
      <c r="B1344">
        <v>3756</v>
      </c>
      <c r="C1344">
        <v>6804</v>
      </c>
      <c r="D1344">
        <v>6917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 t="s">
        <v>97</v>
      </c>
      <c r="L1344" s="1">
        <v>44714</v>
      </c>
      <c r="M1344">
        <v>212</v>
      </c>
      <c r="N1344">
        <v>34</v>
      </c>
      <c r="O1344">
        <v>0</v>
      </c>
      <c r="P1344">
        <v>150</v>
      </c>
      <c r="Q1344">
        <v>0</v>
      </c>
      <c r="S1344">
        <v>0</v>
      </c>
      <c r="T1344">
        <v>0</v>
      </c>
      <c r="U1344">
        <f>+SUM(Table1[[#This Row],[Latinos]:[Cemex]])</f>
        <v>1</v>
      </c>
      <c r="V1344" t="str">
        <f>+Table1[[#This Row],[id_destino]]&amp;" - "&amp;Table1[[#This Row],[id_origen]]</f>
        <v>212 - 34</v>
      </c>
    </row>
    <row r="1345" spans="1:22" hidden="1">
      <c r="A1345">
        <v>2336</v>
      </c>
      <c r="B1345">
        <v>2163</v>
      </c>
      <c r="C1345">
        <v>3358</v>
      </c>
      <c r="D1345">
        <v>2180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 t="s">
        <v>20</v>
      </c>
      <c r="L1345" s="1">
        <v>43956</v>
      </c>
      <c r="M1345">
        <v>260</v>
      </c>
      <c r="N1345">
        <v>34</v>
      </c>
      <c r="O1345">
        <v>894</v>
      </c>
      <c r="P1345">
        <v>894</v>
      </c>
      <c r="Q1345">
        <v>894</v>
      </c>
      <c r="S1345">
        <v>2967</v>
      </c>
      <c r="T1345">
        <v>3347</v>
      </c>
      <c r="U1345">
        <f>+SUM(Table1[[#This Row],[Latinos]:[Cemex]])</f>
        <v>1</v>
      </c>
      <c r="V1345" t="str">
        <f>+Table1[[#This Row],[id_destino]]&amp;" - "&amp;Table1[[#This Row],[id_origen]]</f>
        <v>260 - 34</v>
      </c>
    </row>
    <row r="1346" spans="1:22" hidden="1">
      <c r="A1346">
        <v>3520</v>
      </c>
      <c r="B1346">
        <v>4045</v>
      </c>
      <c r="C1346">
        <v>6804</v>
      </c>
      <c r="D1346">
        <v>6953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 t="s">
        <v>20</v>
      </c>
      <c r="L1346" s="1">
        <v>44945</v>
      </c>
      <c r="M1346">
        <v>286</v>
      </c>
      <c r="N1346">
        <v>34</v>
      </c>
      <c r="O1346">
        <v>1217</v>
      </c>
      <c r="P1346">
        <v>1173</v>
      </c>
      <c r="Q1346">
        <v>1217</v>
      </c>
      <c r="S1346">
        <v>2818</v>
      </c>
      <c r="T1346">
        <v>2974</v>
      </c>
      <c r="U1346">
        <f>+SUM(Table1[[#This Row],[Latinos]:[Cemex]])</f>
        <v>1</v>
      </c>
      <c r="V1346" t="str">
        <f>+Table1[[#This Row],[id_destino]]&amp;" - "&amp;Table1[[#This Row],[id_origen]]</f>
        <v>286 - 34</v>
      </c>
    </row>
    <row r="1347" spans="1:22" hidden="1">
      <c r="A1347">
        <v>3521</v>
      </c>
      <c r="B1347">
        <v>4045</v>
      </c>
      <c r="C1347">
        <v>6804</v>
      </c>
      <c r="D1347">
        <v>6953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 t="s">
        <v>20</v>
      </c>
      <c r="L1347" s="1">
        <v>44945</v>
      </c>
      <c r="M1347">
        <v>286</v>
      </c>
      <c r="N1347">
        <v>34</v>
      </c>
      <c r="O1347">
        <v>0</v>
      </c>
      <c r="P1347">
        <v>150</v>
      </c>
      <c r="Q1347">
        <v>0</v>
      </c>
      <c r="S1347">
        <v>0</v>
      </c>
      <c r="T1347">
        <v>0</v>
      </c>
      <c r="U1347">
        <f>+SUM(Table1[[#This Row],[Latinos]:[Cemex]])</f>
        <v>1</v>
      </c>
      <c r="V1347" t="str">
        <f>+Table1[[#This Row],[id_destino]]&amp;" - "&amp;Table1[[#This Row],[id_origen]]</f>
        <v>286 - 34</v>
      </c>
    </row>
    <row r="1348" spans="1:22" hidden="1">
      <c r="A1348">
        <v>3044</v>
      </c>
      <c r="B1348">
        <v>2223</v>
      </c>
      <c r="C1348">
        <v>6804</v>
      </c>
      <c r="D1348">
        <v>6856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 t="s">
        <v>20</v>
      </c>
      <c r="L1348" s="1">
        <v>44774</v>
      </c>
      <c r="M1348">
        <v>316</v>
      </c>
      <c r="N1348">
        <v>34</v>
      </c>
      <c r="O1348">
        <v>746</v>
      </c>
      <c r="P1348">
        <v>703</v>
      </c>
      <c r="Q1348">
        <v>746</v>
      </c>
      <c r="S1348">
        <v>1760</v>
      </c>
      <c r="T1348">
        <v>1916</v>
      </c>
      <c r="U1348">
        <f>+SUM(Table1[[#This Row],[Latinos]:[Cemex]])</f>
        <v>1</v>
      </c>
      <c r="V1348" t="str">
        <f>+Table1[[#This Row],[id_destino]]&amp;" - "&amp;Table1[[#This Row],[id_origen]]</f>
        <v>316 - 34</v>
      </c>
    </row>
    <row r="1349" spans="1:22" hidden="1">
      <c r="A1349">
        <v>3311</v>
      </c>
      <c r="B1349">
        <v>2223</v>
      </c>
      <c r="C1349">
        <v>6804</v>
      </c>
      <c r="D1349">
        <v>6856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 t="s">
        <v>20</v>
      </c>
      <c r="L1349" s="1">
        <v>44826</v>
      </c>
      <c r="M1349">
        <v>316</v>
      </c>
      <c r="N1349">
        <v>34</v>
      </c>
      <c r="O1349">
        <v>0</v>
      </c>
      <c r="P1349">
        <v>150</v>
      </c>
      <c r="Q1349">
        <v>0</v>
      </c>
      <c r="S1349">
        <v>0</v>
      </c>
      <c r="T1349">
        <v>0</v>
      </c>
      <c r="U1349">
        <f>+SUM(Table1[[#This Row],[Latinos]:[Cemex]])</f>
        <v>1</v>
      </c>
      <c r="V1349" t="str">
        <f>+Table1[[#This Row],[id_destino]]&amp;" - "&amp;Table1[[#This Row],[id_origen]]</f>
        <v>316 - 34</v>
      </c>
    </row>
    <row r="1350" spans="1:22" hidden="1">
      <c r="A1350">
        <v>4732</v>
      </c>
      <c r="B1350">
        <v>4291</v>
      </c>
      <c r="C1350">
        <v>40</v>
      </c>
      <c r="D1350">
        <v>7461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 t="s">
        <v>20</v>
      </c>
      <c r="L1350" s="1">
        <v>45785</v>
      </c>
      <c r="M1350">
        <v>365</v>
      </c>
      <c r="N1350">
        <v>34</v>
      </c>
      <c r="O1350">
        <v>499</v>
      </c>
      <c r="P1350">
        <v>500</v>
      </c>
      <c r="Q1350">
        <v>499</v>
      </c>
      <c r="S1350">
        <v>230</v>
      </c>
      <c r="T1350">
        <v>230</v>
      </c>
      <c r="U1350">
        <f>+SUM(Table1[[#This Row],[Latinos]:[Cemex]])</f>
        <v>1</v>
      </c>
      <c r="V1350" t="str">
        <f>+Table1[[#This Row],[id_destino]]&amp;" - "&amp;Table1[[#This Row],[id_origen]]</f>
        <v>365 - 34</v>
      </c>
    </row>
    <row r="1351" spans="1:22" hidden="1">
      <c r="A1351">
        <v>3051</v>
      </c>
      <c r="B1351">
        <v>3336</v>
      </c>
      <c r="C1351">
        <v>6804</v>
      </c>
      <c r="D1351">
        <v>6839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 t="s">
        <v>20</v>
      </c>
      <c r="L1351" s="1">
        <v>45048</v>
      </c>
      <c r="M1351">
        <v>379</v>
      </c>
      <c r="N1351">
        <v>34</v>
      </c>
      <c r="O1351">
        <v>0</v>
      </c>
      <c r="P1351">
        <v>150</v>
      </c>
      <c r="Q1351">
        <v>50</v>
      </c>
      <c r="S1351">
        <v>0</v>
      </c>
      <c r="T1351">
        <v>0</v>
      </c>
      <c r="U1351">
        <f>+SUM(Table1[[#This Row],[Latinos]:[Cemex]])</f>
        <v>1</v>
      </c>
      <c r="V1351" t="str">
        <f>+Table1[[#This Row],[id_destino]]&amp;" - "&amp;Table1[[#This Row],[id_origen]]</f>
        <v>379 - 34</v>
      </c>
    </row>
    <row r="1352" spans="1:22">
      <c r="A1352">
        <v>3049</v>
      </c>
      <c r="B1352">
        <v>3745</v>
      </c>
      <c r="C1352">
        <v>6804</v>
      </c>
      <c r="D1352">
        <v>6887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 t="s">
        <v>20</v>
      </c>
      <c r="L1352" s="1">
        <v>44768</v>
      </c>
      <c r="M1352">
        <v>384</v>
      </c>
      <c r="N1352">
        <v>34</v>
      </c>
      <c r="O1352">
        <v>792</v>
      </c>
      <c r="P1352">
        <v>773</v>
      </c>
      <c r="Q1352">
        <v>792</v>
      </c>
      <c r="S1352">
        <v>1856</v>
      </c>
      <c r="T1352">
        <v>774</v>
      </c>
      <c r="U1352">
        <f>+SUM(Table1[[#This Row],[Latinos]:[Cemex]])</f>
        <v>1</v>
      </c>
      <c r="V1352" t="str">
        <f>+Table1[[#This Row],[id_destino]]&amp;" - "&amp;Table1[[#This Row],[id_origen]]</f>
        <v>384 - 34</v>
      </c>
    </row>
    <row r="1353" spans="1:22">
      <c r="A1353">
        <v>3053</v>
      </c>
      <c r="B1353">
        <v>3745</v>
      </c>
      <c r="C1353">
        <v>6804</v>
      </c>
      <c r="D1353">
        <v>6887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 t="s">
        <v>20</v>
      </c>
      <c r="L1353" s="1">
        <v>44896</v>
      </c>
      <c r="M1353">
        <v>384</v>
      </c>
      <c r="N1353">
        <v>34</v>
      </c>
      <c r="O1353">
        <v>0</v>
      </c>
      <c r="P1353">
        <v>150</v>
      </c>
      <c r="Q1353">
        <v>0</v>
      </c>
      <c r="S1353">
        <v>0</v>
      </c>
      <c r="T1353">
        <v>0</v>
      </c>
      <c r="U1353">
        <f>+SUM(Table1[[#This Row],[Latinos]:[Cemex]])</f>
        <v>1</v>
      </c>
      <c r="V1353" t="str">
        <f>+Table1[[#This Row],[id_destino]]&amp;" - "&amp;Table1[[#This Row],[id_origen]]</f>
        <v>384 - 34</v>
      </c>
    </row>
    <row r="1354" spans="1:22" hidden="1">
      <c r="A1354">
        <v>2518</v>
      </c>
      <c r="B1354">
        <v>3392</v>
      </c>
      <c r="C1354">
        <v>6455</v>
      </c>
      <c r="D1354">
        <v>1943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 t="s">
        <v>20</v>
      </c>
      <c r="L1354" s="1">
        <v>44148</v>
      </c>
      <c r="M1354">
        <v>393</v>
      </c>
      <c r="N1354">
        <v>34</v>
      </c>
      <c r="O1354">
        <v>303</v>
      </c>
      <c r="P1354">
        <v>303</v>
      </c>
      <c r="Q1354">
        <v>303</v>
      </c>
      <c r="S1354">
        <v>0</v>
      </c>
      <c r="T1354">
        <v>0</v>
      </c>
      <c r="U1354">
        <f>+SUM(Table1[[#This Row],[Latinos]:[Cemex]])</f>
        <v>1</v>
      </c>
      <c r="V1354" t="str">
        <f>+Table1[[#This Row],[id_destino]]&amp;" - "&amp;Table1[[#This Row],[id_origen]]</f>
        <v>393 - 34</v>
      </c>
    </row>
    <row r="1355" spans="1:22" hidden="1">
      <c r="A1355">
        <v>4580</v>
      </c>
      <c r="B1355">
        <v>3392</v>
      </c>
      <c r="C1355">
        <v>40</v>
      </c>
      <c r="D1355">
        <v>6904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 t="s">
        <v>20</v>
      </c>
      <c r="L1355" s="1">
        <v>45630</v>
      </c>
      <c r="M1355">
        <v>393</v>
      </c>
      <c r="N1355">
        <v>34</v>
      </c>
      <c r="O1355">
        <v>270</v>
      </c>
      <c r="P1355">
        <v>270</v>
      </c>
      <c r="Q1355">
        <v>270</v>
      </c>
      <c r="S1355">
        <v>367</v>
      </c>
      <c r="T1355">
        <v>367</v>
      </c>
      <c r="U1355">
        <f>+SUM(Table1[[#This Row],[Latinos]:[Cemex]])</f>
        <v>1</v>
      </c>
      <c r="V1355" t="str">
        <f>+Table1[[#This Row],[id_destino]]&amp;" - "&amp;Table1[[#This Row],[id_origen]]</f>
        <v>393 - 34</v>
      </c>
    </row>
    <row r="1356" spans="1:22" hidden="1">
      <c r="A1356">
        <v>2928</v>
      </c>
      <c r="B1356">
        <v>3661</v>
      </c>
      <c r="C1356">
        <v>6804</v>
      </c>
      <c r="D1356">
        <v>6743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 t="s">
        <v>20</v>
      </c>
      <c r="L1356" s="1">
        <v>44644</v>
      </c>
      <c r="M1356">
        <v>425</v>
      </c>
      <c r="N1356">
        <v>34</v>
      </c>
      <c r="O1356">
        <v>996</v>
      </c>
      <c r="P1356">
        <v>990</v>
      </c>
      <c r="Q1356">
        <v>996</v>
      </c>
      <c r="S1356">
        <v>2982</v>
      </c>
      <c r="T1356">
        <v>3138</v>
      </c>
      <c r="U1356">
        <f>+SUM(Table1[[#This Row],[Latinos]:[Cemex]])</f>
        <v>1</v>
      </c>
      <c r="V1356" t="str">
        <f>+Table1[[#This Row],[id_destino]]&amp;" - "&amp;Table1[[#This Row],[id_origen]]</f>
        <v>425 - 34</v>
      </c>
    </row>
    <row r="1357" spans="1:22" hidden="1">
      <c r="A1357">
        <v>2953</v>
      </c>
      <c r="B1357">
        <v>3661</v>
      </c>
      <c r="C1357">
        <v>6804</v>
      </c>
      <c r="D1357">
        <v>6743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 t="s">
        <v>20</v>
      </c>
      <c r="L1357" s="1">
        <v>44643</v>
      </c>
      <c r="M1357">
        <v>425</v>
      </c>
      <c r="N1357">
        <v>34</v>
      </c>
      <c r="O1357">
        <v>0</v>
      </c>
      <c r="P1357">
        <v>150</v>
      </c>
      <c r="Q1357">
        <v>0</v>
      </c>
      <c r="S1357">
        <v>0</v>
      </c>
      <c r="T1357">
        <v>0</v>
      </c>
      <c r="U1357">
        <f>+SUM(Table1[[#This Row],[Latinos]:[Cemex]])</f>
        <v>1</v>
      </c>
      <c r="V1357" t="str">
        <f>+Table1[[#This Row],[id_destino]]&amp;" - "&amp;Table1[[#This Row],[id_origen]]</f>
        <v>425 - 34</v>
      </c>
    </row>
    <row r="1358" spans="1:22" hidden="1">
      <c r="A1358">
        <v>3112</v>
      </c>
      <c r="B1358">
        <v>3783</v>
      </c>
      <c r="C1358">
        <v>6804</v>
      </c>
      <c r="D1358">
        <v>6938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 t="s">
        <v>20</v>
      </c>
      <c r="L1358" s="1">
        <v>44730</v>
      </c>
      <c r="M1358">
        <v>465</v>
      </c>
      <c r="N1358">
        <v>34</v>
      </c>
      <c r="O1358">
        <v>940</v>
      </c>
      <c r="P1358">
        <v>902</v>
      </c>
      <c r="Q1358">
        <v>940</v>
      </c>
      <c r="S1358">
        <v>3745</v>
      </c>
      <c r="T1358">
        <v>4183</v>
      </c>
      <c r="U1358">
        <f>+SUM(Table1[[#This Row],[Latinos]:[Cemex]])</f>
        <v>1</v>
      </c>
      <c r="V1358" t="str">
        <f>+Table1[[#This Row],[id_destino]]&amp;" - "&amp;Table1[[#This Row],[id_origen]]</f>
        <v>465 - 34</v>
      </c>
    </row>
    <row r="1359" spans="1:22" hidden="1">
      <c r="A1359">
        <v>3113</v>
      </c>
      <c r="B1359">
        <v>3783</v>
      </c>
      <c r="C1359">
        <v>6804</v>
      </c>
      <c r="D1359">
        <v>6938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  <c r="K1359" t="s">
        <v>20</v>
      </c>
      <c r="L1359" s="1">
        <v>44730</v>
      </c>
      <c r="M1359">
        <v>465</v>
      </c>
      <c r="N1359">
        <v>34</v>
      </c>
      <c r="O1359">
        <v>0</v>
      </c>
      <c r="P1359">
        <v>150</v>
      </c>
      <c r="Q1359">
        <v>0</v>
      </c>
      <c r="S1359">
        <v>0</v>
      </c>
      <c r="T1359">
        <v>0</v>
      </c>
      <c r="U1359">
        <f>+SUM(Table1[[#This Row],[Latinos]:[Cemex]])</f>
        <v>1</v>
      </c>
      <c r="V1359" t="str">
        <f>+Table1[[#This Row],[id_destino]]&amp;" - "&amp;Table1[[#This Row],[id_origen]]</f>
        <v>465 - 34</v>
      </c>
    </row>
    <row r="1360" spans="1:22" hidden="1">
      <c r="A1360">
        <v>3420</v>
      </c>
      <c r="B1360">
        <v>3977</v>
      </c>
      <c r="C1360">
        <v>6804</v>
      </c>
      <c r="D1360">
        <v>6906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 t="s">
        <v>20</v>
      </c>
      <c r="L1360" s="1">
        <v>44882</v>
      </c>
      <c r="M1360">
        <v>492</v>
      </c>
      <c r="N1360">
        <v>34</v>
      </c>
      <c r="O1360">
        <v>1297</v>
      </c>
      <c r="P1360">
        <v>1238</v>
      </c>
      <c r="Q1360">
        <v>1297</v>
      </c>
      <c r="S1360">
        <v>3558</v>
      </c>
      <c r="T1360">
        <v>3720</v>
      </c>
      <c r="U1360">
        <f>+SUM(Table1[[#This Row],[Latinos]:[Cemex]])</f>
        <v>1</v>
      </c>
      <c r="V1360" t="str">
        <f>+Table1[[#This Row],[id_destino]]&amp;" - "&amp;Table1[[#This Row],[id_origen]]</f>
        <v>492 - 34</v>
      </c>
    </row>
    <row r="1361" spans="1:22" hidden="1">
      <c r="A1361">
        <v>3663</v>
      </c>
      <c r="B1361">
        <v>3977</v>
      </c>
      <c r="C1361">
        <v>6804</v>
      </c>
      <c r="D1361">
        <v>6906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  <c r="K1361" t="s">
        <v>20</v>
      </c>
      <c r="L1361" s="1">
        <v>45099</v>
      </c>
      <c r="M1361">
        <v>492</v>
      </c>
      <c r="N1361">
        <v>34</v>
      </c>
      <c r="O1361">
        <v>0</v>
      </c>
      <c r="P1361">
        <v>150</v>
      </c>
      <c r="Q1361">
        <v>0</v>
      </c>
      <c r="S1361">
        <v>0</v>
      </c>
      <c r="T1361">
        <v>0</v>
      </c>
      <c r="U1361">
        <f>+SUM(Table1[[#This Row],[Latinos]:[Cemex]])</f>
        <v>1</v>
      </c>
      <c r="V1361" t="str">
        <f>+Table1[[#This Row],[id_destino]]&amp;" - "&amp;Table1[[#This Row],[id_origen]]</f>
        <v>492 - 34</v>
      </c>
    </row>
    <row r="1362" spans="1:22" hidden="1">
      <c r="A1362">
        <v>3852</v>
      </c>
      <c r="B1362">
        <v>4260</v>
      </c>
      <c r="C1362">
        <v>6804</v>
      </c>
      <c r="D1362">
        <v>6954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 t="s">
        <v>20</v>
      </c>
      <c r="L1362" s="1">
        <v>45143</v>
      </c>
      <c r="M1362">
        <v>497</v>
      </c>
      <c r="N1362">
        <v>34</v>
      </c>
      <c r="O1362">
        <v>834</v>
      </c>
      <c r="P1362">
        <v>797</v>
      </c>
      <c r="Q1362">
        <v>834</v>
      </c>
      <c r="S1362">
        <v>2321</v>
      </c>
      <c r="T1362">
        <v>2321</v>
      </c>
      <c r="U1362">
        <f>+SUM(Table1[[#This Row],[Latinos]:[Cemex]])</f>
        <v>1</v>
      </c>
      <c r="V1362" t="str">
        <f>+Table1[[#This Row],[id_destino]]&amp;" - "&amp;Table1[[#This Row],[id_origen]]</f>
        <v>497 - 34</v>
      </c>
    </row>
    <row r="1363" spans="1:22" hidden="1">
      <c r="A1363">
        <v>3854</v>
      </c>
      <c r="B1363">
        <v>4260</v>
      </c>
      <c r="C1363">
        <v>6804</v>
      </c>
      <c r="D1363">
        <v>6954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 t="s">
        <v>20</v>
      </c>
      <c r="L1363" s="1">
        <v>45143</v>
      </c>
      <c r="M1363">
        <v>497</v>
      </c>
      <c r="N1363">
        <v>34</v>
      </c>
      <c r="O1363">
        <v>0</v>
      </c>
      <c r="P1363">
        <v>150</v>
      </c>
      <c r="Q1363">
        <v>0</v>
      </c>
      <c r="S1363">
        <v>0</v>
      </c>
      <c r="T1363">
        <v>0</v>
      </c>
      <c r="U1363">
        <f>+SUM(Table1[[#This Row],[Latinos]:[Cemex]])</f>
        <v>1</v>
      </c>
      <c r="V1363" t="str">
        <f>+Table1[[#This Row],[id_destino]]&amp;" - "&amp;Table1[[#This Row],[id_origen]]</f>
        <v>497 - 34</v>
      </c>
    </row>
    <row r="1364" spans="1:22" hidden="1">
      <c r="A1364">
        <v>3269</v>
      </c>
      <c r="B1364">
        <v>3878</v>
      </c>
      <c r="C1364">
        <v>6804</v>
      </c>
      <c r="D1364">
        <v>6947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 t="s">
        <v>20</v>
      </c>
      <c r="L1364" s="1">
        <v>45208</v>
      </c>
      <c r="M1364">
        <v>513</v>
      </c>
      <c r="N1364">
        <v>34</v>
      </c>
      <c r="O1364">
        <v>1383</v>
      </c>
      <c r="P1364">
        <v>1352</v>
      </c>
      <c r="Q1364">
        <v>1383</v>
      </c>
      <c r="S1364">
        <v>3868</v>
      </c>
      <c r="T1364">
        <v>4024.01</v>
      </c>
      <c r="U1364">
        <f>+SUM(Table1[[#This Row],[Latinos]:[Cemex]])</f>
        <v>1</v>
      </c>
      <c r="V1364" t="str">
        <f>+Table1[[#This Row],[id_destino]]&amp;" - "&amp;Table1[[#This Row],[id_origen]]</f>
        <v>513 - 34</v>
      </c>
    </row>
    <row r="1365" spans="1:22" hidden="1">
      <c r="A1365">
        <v>3272</v>
      </c>
      <c r="B1365">
        <v>3878</v>
      </c>
      <c r="C1365">
        <v>6804</v>
      </c>
      <c r="D1365">
        <v>6947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 t="s">
        <v>20</v>
      </c>
      <c r="L1365" s="1">
        <v>44799</v>
      </c>
      <c r="M1365">
        <v>513</v>
      </c>
      <c r="N1365">
        <v>34</v>
      </c>
      <c r="O1365">
        <v>0</v>
      </c>
      <c r="P1365">
        <v>150</v>
      </c>
      <c r="Q1365">
        <v>0</v>
      </c>
      <c r="S1365">
        <v>0</v>
      </c>
      <c r="T1365">
        <v>0</v>
      </c>
      <c r="U1365">
        <f>+SUM(Table1[[#This Row],[Latinos]:[Cemex]])</f>
        <v>1</v>
      </c>
      <c r="V1365" t="str">
        <f>+Table1[[#This Row],[id_destino]]&amp;" - "&amp;Table1[[#This Row],[id_origen]]</f>
        <v>513 - 34</v>
      </c>
    </row>
    <row r="1366" spans="1:22" hidden="1">
      <c r="A1366">
        <v>2990</v>
      </c>
      <c r="B1366">
        <v>3706</v>
      </c>
      <c r="C1366">
        <v>6804</v>
      </c>
      <c r="D1366">
        <v>6744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 t="s">
        <v>20</v>
      </c>
      <c r="L1366" s="1">
        <v>44741</v>
      </c>
      <c r="M1366">
        <v>517</v>
      </c>
      <c r="N1366">
        <v>34</v>
      </c>
      <c r="O1366">
        <v>1006</v>
      </c>
      <c r="P1366">
        <v>990</v>
      </c>
      <c r="Q1366">
        <v>1006</v>
      </c>
      <c r="S1366">
        <v>2982</v>
      </c>
      <c r="T1366">
        <v>3138</v>
      </c>
      <c r="U1366">
        <f>+SUM(Table1[[#This Row],[Latinos]:[Cemex]])</f>
        <v>1</v>
      </c>
      <c r="V1366" t="str">
        <f>+Table1[[#This Row],[id_destino]]&amp;" - "&amp;Table1[[#This Row],[id_origen]]</f>
        <v>517 - 34</v>
      </c>
    </row>
    <row r="1367" spans="1:22" hidden="1">
      <c r="A1367">
        <v>3147</v>
      </c>
      <c r="B1367">
        <v>3706</v>
      </c>
      <c r="C1367">
        <v>6804</v>
      </c>
      <c r="D1367">
        <v>6744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 t="s">
        <v>20</v>
      </c>
      <c r="L1367" s="1">
        <v>44740</v>
      </c>
      <c r="M1367">
        <v>517</v>
      </c>
      <c r="N1367">
        <v>34</v>
      </c>
      <c r="O1367">
        <v>0</v>
      </c>
      <c r="P1367">
        <v>150</v>
      </c>
      <c r="Q1367">
        <v>0</v>
      </c>
      <c r="S1367">
        <v>0</v>
      </c>
      <c r="T1367">
        <v>0</v>
      </c>
      <c r="U1367">
        <f>+SUM(Table1[[#This Row],[Latinos]:[Cemex]])</f>
        <v>1</v>
      </c>
      <c r="V1367" t="str">
        <f>+Table1[[#This Row],[id_destino]]&amp;" - "&amp;Table1[[#This Row],[id_origen]]</f>
        <v>517 - 34</v>
      </c>
    </row>
    <row r="1368" spans="1:22" hidden="1">
      <c r="A1368">
        <v>3346</v>
      </c>
      <c r="B1368">
        <v>3925</v>
      </c>
      <c r="C1368">
        <v>6804</v>
      </c>
      <c r="D1368">
        <v>6745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 t="s">
        <v>20</v>
      </c>
      <c r="L1368" s="1">
        <v>44842</v>
      </c>
      <c r="M1368">
        <v>525</v>
      </c>
      <c r="N1368">
        <v>34</v>
      </c>
      <c r="O1368">
        <v>1012</v>
      </c>
      <c r="P1368">
        <v>990</v>
      </c>
      <c r="Q1368">
        <v>1012</v>
      </c>
      <c r="S1368">
        <v>2982</v>
      </c>
      <c r="T1368">
        <v>3138</v>
      </c>
      <c r="U1368">
        <f>+SUM(Table1[[#This Row],[Latinos]:[Cemex]])</f>
        <v>1</v>
      </c>
      <c r="V1368" t="str">
        <f>+Table1[[#This Row],[id_destino]]&amp;" - "&amp;Table1[[#This Row],[id_origen]]</f>
        <v>525 - 34</v>
      </c>
    </row>
    <row r="1369" spans="1:22" hidden="1">
      <c r="A1369">
        <v>3625</v>
      </c>
      <c r="B1369">
        <v>3925</v>
      </c>
      <c r="C1369">
        <v>6804</v>
      </c>
      <c r="D1369">
        <v>6745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 t="s">
        <v>20</v>
      </c>
      <c r="L1369" s="1">
        <v>45001</v>
      </c>
      <c r="M1369">
        <v>525</v>
      </c>
      <c r="N1369">
        <v>34</v>
      </c>
      <c r="O1369">
        <v>0</v>
      </c>
      <c r="P1369">
        <v>150</v>
      </c>
      <c r="Q1369">
        <v>0</v>
      </c>
      <c r="S1369">
        <v>0</v>
      </c>
      <c r="T1369">
        <v>0</v>
      </c>
      <c r="U1369">
        <f>+SUM(Table1[[#This Row],[Latinos]:[Cemex]])</f>
        <v>1</v>
      </c>
      <c r="V1369" t="str">
        <f>+Table1[[#This Row],[id_destino]]&amp;" - "&amp;Table1[[#This Row],[id_origen]]</f>
        <v>525 - 34</v>
      </c>
    </row>
    <row r="1370" spans="1:22" hidden="1">
      <c r="A1370">
        <v>3212</v>
      </c>
      <c r="B1370">
        <v>3840</v>
      </c>
      <c r="C1370">
        <v>6804</v>
      </c>
      <c r="D1370">
        <v>6884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 t="s">
        <v>20</v>
      </c>
      <c r="L1370" s="1">
        <v>44770</v>
      </c>
      <c r="M1370">
        <v>550</v>
      </c>
      <c r="N1370">
        <v>34</v>
      </c>
      <c r="O1370">
        <v>937</v>
      </c>
      <c r="P1370">
        <v>863</v>
      </c>
      <c r="Q1370">
        <v>937</v>
      </c>
      <c r="S1370">
        <v>1320</v>
      </c>
      <c r="T1370">
        <v>1320</v>
      </c>
      <c r="U1370">
        <f>+SUM(Table1[[#This Row],[Latinos]:[Cemex]])</f>
        <v>1</v>
      </c>
      <c r="V1370" t="str">
        <f>+Table1[[#This Row],[id_destino]]&amp;" - "&amp;Table1[[#This Row],[id_origen]]</f>
        <v>550 - 34</v>
      </c>
    </row>
    <row r="1371" spans="1:22" hidden="1">
      <c r="A1371">
        <v>3214</v>
      </c>
      <c r="B1371">
        <v>3840</v>
      </c>
      <c r="C1371">
        <v>6804</v>
      </c>
      <c r="D1371">
        <v>6884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 t="s">
        <v>20</v>
      </c>
      <c r="L1371" s="1">
        <v>44770</v>
      </c>
      <c r="M1371">
        <v>550</v>
      </c>
      <c r="N1371">
        <v>34</v>
      </c>
      <c r="O1371">
        <v>0</v>
      </c>
      <c r="P1371">
        <v>150</v>
      </c>
      <c r="Q1371">
        <v>0</v>
      </c>
      <c r="S1371">
        <v>0</v>
      </c>
      <c r="T1371">
        <v>0</v>
      </c>
      <c r="U1371">
        <f>+SUM(Table1[[#This Row],[Latinos]:[Cemex]])</f>
        <v>1</v>
      </c>
      <c r="V1371" t="str">
        <f>+Table1[[#This Row],[id_destino]]&amp;" - "&amp;Table1[[#This Row],[id_origen]]</f>
        <v>550 - 34</v>
      </c>
    </row>
    <row r="1372" spans="1:22" hidden="1">
      <c r="A1372">
        <v>3753</v>
      </c>
      <c r="B1372">
        <v>4199</v>
      </c>
      <c r="C1372">
        <v>6804</v>
      </c>
      <c r="D1372">
        <v>6921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 t="s">
        <v>20</v>
      </c>
      <c r="L1372" s="1">
        <v>45073</v>
      </c>
      <c r="M1372">
        <v>566</v>
      </c>
      <c r="N1372">
        <v>34</v>
      </c>
      <c r="O1372">
        <v>423</v>
      </c>
      <c r="P1372">
        <v>400</v>
      </c>
      <c r="Q1372">
        <v>423</v>
      </c>
      <c r="S1372">
        <v>618</v>
      </c>
      <c r="T1372">
        <v>774</v>
      </c>
      <c r="U1372">
        <f>+SUM(Table1[[#This Row],[Latinos]:[Cemex]])</f>
        <v>1</v>
      </c>
      <c r="V1372" t="str">
        <f>+Table1[[#This Row],[id_destino]]&amp;" - "&amp;Table1[[#This Row],[id_origen]]</f>
        <v>566 - 34</v>
      </c>
    </row>
    <row r="1373" spans="1:22" hidden="1">
      <c r="A1373">
        <v>3754</v>
      </c>
      <c r="B1373">
        <v>4199</v>
      </c>
      <c r="C1373">
        <v>6804</v>
      </c>
      <c r="D1373">
        <v>6921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0</v>
      </c>
      <c r="K1373" t="s">
        <v>20</v>
      </c>
      <c r="L1373" s="1">
        <v>45073</v>
      </c>
      <c r="M1373">
        <v>566</v>
      </c>
      <c r="N1373">
        <v>34</v>
      </c>
      <c r="O1373">
        <v>0</v>
      </c>
      <c r="P1373">
        <v>150</v>
      </c>
      <c r="Q1373">
        <v>0</v>
      </c>
      <c r="S1373">
        <v>0</v>
      </c>
      <c r="T1373">
        <v>0</v>
      </c>
      <c r="U1373">
        <f>+SUM(Table1[[#This Row],[Latinos]:[Cemex]])</f>
        <v>1</v>
      </c>
      <c r="V1373" t="str">
        <f>+Table1[[#This Row],[id_destino]]&amp;" - "&amp;Table1[[#This Row],[id_origen]]</f>
        <v>566 - 34</v>
      </c>
    </row>
    <row r="1374" spans="1:22" hidden="1">
      <c r="A1374">
        <v>3181</v>
      </c>
      <c r="B1374">
        <v>1694</v>
      </c>
      <c r="C1374">
        <v>6804</v>
      </c>
      <c r="D1374">
        <v>6816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 t="s">
        <v>20</v>
      </c>
      <c r="L1374" s="1">
        <v>44760</v>
      </c>
      <c r="M1374">
        <v>602</v>
      </c>
      <c r="N1374">
        <v>34</v>
      </c>
      <c r="O1374">
        <v>923</v>
      </c>
      <c r="P1374">
        <v>917</v>
      </c>
      <c r="Q1374">
        <v>923</v>
      </c>
      <c r="S1374">
        <v>2329</v>
      </c>
      <c r="T1374">
        <v>2485</v>
      </c>
      <c r="U1374">
        <f>+SUM(Table1[[#This Row],[Latinos]:[Cemex]])</f>
        <v>1</v>
      </c>
      <c r="V1374" t="str">
        <f>+Table1[[#This Row],[id_destino]]&amp;" - "&amp;Table1[[#This Row],[id_origen]]</f>
        <v>602 - 34</v>
      </c>
    </row>
    <row r="1375" spans="1:22" hidden="1">
      <c r="A1375">
        <v>3183</v>
      </c>
      <c r="B1375">
        <v>1694</v>
      </c>
      <c r="C1375">
        <v>6804</v>
      </c>
      <c r="D1375">
        <v>6816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  <c r="K1375" t="s">
        <v>20</v>
      </c>
      <c r="L1375" s="1">
        <v>44761</v>
      </c>
      <c r="M1375">
        <v>602</v>
      </c>
      <c r="N1375">
        <v>34</v>
      </c>
      <c r="O1375">
        <v>0</v>
      </c>
      <c r="P1375">
        <v>150</v>
      </c>
      <c r="Q1375">
        <v>0</v>
      </c>
      <c r="S1375">
        <v>0</v>
      </c>
      <c r="T1375">
        <v>0</v>
      </c>
      <c r="U1375">
        <f>+SUM(Table1[[#This Row],[Latinos]:[Cemex]])</f>
        <v>1</v>
      </c>
      <c r="V1375" t="str">
        <f>+Table1[[#This Row],[id_destino]]&amp;" - "&amp;Table1[[#This Row],[id_origen]]</f>
        <v>602 - 34</v>
      </c>
    </row>
    <row r="1376" spans="1:22" hidden="1">
      <c r="A1376">
        <v>1669</v>
      </c>
      <c r="B1376">
        <v>2877</v>
      </c>
      <c r="C1376">
        <v>40</v>
      </c>
      <c r="D1376">
        <v>3558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 t="s">
        <v>20</v>
      </c>
      <c r="L1376" s="1">
        <v>43558</v>
      </c>
      <c r="M1376">
        <v>629</v>
      </c>
      <c r="N1376">
        <v>34</v>
      </c>
      <c r="O1376">
        <v>13</v>
      </c>
      <c r="P1376">
        <v>150</v>
      </c>
      <c r="Q1376">
        <v>13</v>
      </c>
      <c r="S1376">
        <v>0</v>
      </c>
      <c r="T1376">
        <v>0</v>
      </c>
      <c r="U1376">
        <f>+SUM(Table1[[#This Row],[Latinos]:[Cemex]])</f>
        <v>1</v>
      </c>
      <c r="V1376" t="str">
        <f>+Table1[[#This Row],[id_destino]]&amp;" - "&amp;Table1[[#This Row],[id_origen]]</f>
        <v>629 - 34</v>
      </c>
    </row>
    <row r="1377" spans="1:22" hidden="1">
      <c r="A1377">
        <v>3022</v>
      </c>
      <c r="B1377">
        <v>3726</v>
      </c>
      <c r="C1377">
        <v>6804</v>
      </c>
      <c r="D1377">
        <v>6850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 t="s">
        <v>20</v>
      </c>
      <c r="L1377" s="1">
        <v>44694</v>
      </c>
      <c r="M1377">
        <v>662</v>
      </c>
      <c r="N1377">
        <v>34</v>
      </c>
      <c r="O1377">
        <v>1905</v>
      </c>
      <c r="P1377">
        <v>1903</v>
      </c>
      <c r="Q1377">
        <v>1905</v>
      </c>
      <c r="S1377">
        <v>2642</v>
      </c>
      <c r="T1377">
        <v>3097</v>
      </c>
      <c r="U1377">
        <f>+SUM(Table1[[#This Row],[Latinos]:[Cemex]])</f>
        <v>1</v>
      </c>
      <c r="V1377" t="str">
        <f>+Table1[[#This Row],[id_destino]]&amp;" - "&amp;Table1[[#This Row],[id_origen]]</f>
        <v>662 - 34</v>
      </c>
    </row>
    <row r="1378" spans="1:22" hidden="1">
      <c r="A1378">
        <v>3023</v>
      </c>
      <c r="B1378">
        <v>3726</v>
      </c>
      <c r="C1378">
        <v>6804</v>
      </c>
      <c r="D1378">
        <v>6850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 t="s">
        <v>20</v>
      </c>
      <c r="L1378" s="1">
        <v>44896</v>
      </c>
      <c r="M1378">
        <v>662</v>
      </c>
      <c r="N1378">
        <v>34</v>
      </c>
      <c r="O1378">
        <v>0</v>
      </c>
      <c r="P1378">
        <v>150</v>
      </c>
      <c r="Q1378">
        <v>0</v>
      </c>
      <c r="S1378">
        <v>0</v>
      </c>
      <c r="T1378">
        <v>0</v>
      </c>
      <c r="U1378">
        <f>+SUM(Table1[[#This Row],[Latinos]:[Cemex]])</f>
        <v>1</v>
      </c>
      <c r="V1378" t="str">
        <f>+Table1[[#This Row],[id_destino]]&amp;" - "&amp;Table1[[#This Row],[id_origen]]</f>
        <v>662 - 34</v>
      </c>
    </row>
    <row r="1379" spans="1:22" hidden="1">
      <c r="A1379">
        <v>4762</v>
      </c>
      <c r="B1379">
        <v>4893</v>
      </c>
      <c r="C1379">
        <v>40</v>
      </c>
      <c r="D1379">
        <v>7476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 t="s">
        <v>20</v>
      </c>
      <c r="L1379" s="1">
        <v>45813</v>
      </c>
      <c r="M1379">
        <v>709</v>
      </c>
      <c r="N1379">
        <v>34</v>
      </c>
      <c r="O1379">
        <v>890</v>
      </c>
      <c r="P1379">
        <v>899</v>
      </c>
      <c r="Q1379">
        <v>890</v>
      </c>
      <c r="S1379">
        <v>1885</v>
      </c>
      <c r="T1379">
        <v>1638</v>
      </c>
      <c r="U1379">
        <f>+SUM(Table1[[#This Row],[Latinos]:[Cemex]])</f>
        <v>1</v>
      </c>
      <c r="V1379" t="str">
        <f>+Table1[[#This Row],[id_destino]]&amp;" - "&amp;Table1[[#This Row],[id_origen]]</f>
        <v>709 - 34</v>
      </c>
    </row>
    <row r="1380" spans="1:22" hidden="1">
      <c r="A1380">
        <v>3182</v>
      </c>
      <c r="B1380">
        <v>3825</v>
      </c>
      <c r="C1380">
        <v>6804</v>
      </c>
      <c r="D1380">
        <v>6979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 t="s">
        <v>20</v>
      </c>
      <c r="L1380" s="1">
        <v>45063</v>
      </c>
      <c r="M1380">
        <v>753</v>
      </c>
      <c r="N1380">
        <v>34</v>
      </c>
      <c r="O1380">
        <v>2273</v>
      </c>
      <c r="P1380">
        <v>2276</v>
      </c>
      <c r="Q1380">
        <v>2273</v>
      </c>
      <c r="S1380">
        <v>5418</v>
      </c>
      <c r="T1380">
        <v>5657</v>
      </c>
      <c r="U1380">
        <f>+SUM(Table1[[#This Row],[Latinos]:[Cemex]])</f>
        <v>1</v>
      </c>
      <c r="V1380" t="str">
        <f>+Table1[[#This Row],[id_destino]]&amp;" - "&amp;Table1[[#This Row],[id_origen]]</f>
        <v>753 - 34</v>
      </c>
    </row>
    <row r="1381" spans="1:22" hidden="1">
      <c r="A1381">
        <v>3741</v>
      </c>
      <c r="B1381">
        <v>3825</v>
      </c>
      <c r="C1381">
        <v>6804</v>
      </c>
      <c r="D1381">
        <v>6979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 t="s">
        <v>20</v>
      </c>
      <c r="L1381" s="1">
        <v>45063</v>
      </c>
      <c r="M1381">
        <v>753</v>
      </c>
      <c r="N1381">
        <v>34</v>
      </c>
      <c r="O1381">
        <v>0</v>
      </c>
      <c r="P1381">
        <v>150</v>
      </c>
      <c r="Q1381">
        <v>0</v>
      </c>
      <c r="S1381">
        <v>0</v>
      </c>
      <c r="T1381">
        <v>0</v>
      </c>
      <c r="U1381">
        <f>+SUM(Table1[[#This Row],[Latinos]:[Cemex]])</f>
        <v>1</v>
      </c>
      <c r="V1381" t="str">
        <f>+Table1[[#This Row],[id_destino]]&amp;" - "&amp;Table1[[#This Row],[id_origen]]</f>
        <v>753 - 34</v>
      </c>
    </row>
    <row r="1382" spans="1:22" hidden="1">
      <c r="A1382">
        <v>4802</v>
      </c>
      <c r="B1382">
        <v>4916</v>
      </c>
      <c r="C1382">
        <v>40</v>
      </c>
      <c r="D1382">
        <v>8258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 t="s">
        <v>20</v>
      </c>
      <c r="L1382" s="1">
        <v>45840</v>
      </c>
      <c r="M1382">
        <v>788</v>
      </c>
      <c r="N1382">
        <v>34</v>
      </c>
      <c r="O1382">
        <v>538</v>
      </c>
      <c r="P1382">
        <v>538</v>
      </c>
      <c r="Q1382">
        <v>538</v>
      </c>
      <c r="S1382">
        <v>723</v>
      </c>
      <c r="T1382">
        <v>887</v>
      </c>
      <c r="U1382">
        <f>+SUM(Table1[[#This Row],[Latinos]:[Cemex]])</f>
        <v>1</v>
      </c>
      <c r="V1382" t="str">
        <f>+Table1[[#This Row],[id_destino]]&amp;" - "&amp;Table1[[#This Row],[id_origen]]</f>
        <v>788 - 34</v>
      </c>
    </row>
    <row r="1383" spans="1:22" hidden="1">
      <c r="A1383">
        <v>2833</v>
      </c>
      <c r="B1383">
        <v>3596</v>
      </c>
      <c r="C1383">
        <v>6653</v>
      </c>
      <c r="D1383">
        <v>6715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 t="s">
        <v>20</v>
      </c>
      <c r="L1383" s="1">
        <v>44501</v>
      </c>
      <c r="M1383">
        <v>836</v>
      </c>
      <c r="N1383">
        <v>34</v>
      </c>
      <c r="O1383">
        <v>1905</v>
      </c>
      <c r="P1383">
        <v>1890</v>
      </c>
      <c r="Q1383">
        <v>1905</v>
      </c>
      <c r="S1383">
        <v>1979</v>
      </c>
      <c r="T1383">
        <v>2309</v>
      </c>
      <c r="U1383">
        <f>+SUM(Table1[[#This Row],[Latinos]:[Cemex]])</f>
        <v>1</v>
      </c>
      <c r="V1383" t="str">
        <f>+Table1[[#This Row],[id_destino]]&amp;" - "&amp;Table1[[#This Row],[id_origen]]</f>
        <v>836 - 34</v>
      </c>
    </row>
    <row r="1384" spans="1:22" hidden="1">
      <c r="A1384">
        <v>3078</v>
      </c>
      <c r="B1384">
        <v>3758</v>
      </c>
      <c r="C1384">
        <v>6804</v>
      </c>
      <c r="D1384">
        <v>6916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 t="s">
        <v>20</v>
      </c>
      <c r="L1384" s="1">
        <v>44783</v>
      </c>
      <c r="M1384">
        <v>849</v>
      </c>
      <c r="N1384">
        <v>34</v>
      </c>
      <c r="O1384">
        <v>1302</v>
      </c>
      <c r="P1384">
        <v>1243</v>
      </c>
      <c r="Q1384">
        <v>1302</v>
      </c>
      <c r="S1384">
        <v>3689</v>
      </c>
      <c r="T1384">
        <v>3845</v>
      </c>
      <c r="U1384">
        <f>+SUM(Table1[[#This Row],[Latinos]:[Cemex]])</f>
        <v>1</v>
      </c>
      <c r="V1384" t="str">
        <f>+Table1[[#This Row],[id_destino]]&amp;" - "&amp;Table1[[#This Row],[id_origen]]</f>
        <v>849 - 34</v>
      </c>
    </row>
    <row r="1385" spans="1:22" hidden="1">
      <c r="A1385">
        <v>3079</v>
      </c>
      <c r="B1385">
        <v>3758</v>
      </c>
      <c r="C1385">
        <v>6804</v>
      </c>
      <c r="D1385">
        <v>6916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 t="s">
        <v>97</v>
      </c>
      <c r="L1385" s="1">
        <v>44714</v>
      </c>
      <c r="M1385">
        <v>849</v>
      </c>
      <c r="N1385">
        <v>34</v>
      </c>
      <c r="O1385">
        <v>0</v>
      </c>
      <c r="P1385">
        <v>150</v>
      </c>
      <c r="Q1385">
        <v>0</v>
      </c>
      <c r="S1385">
        <v>0</v>
      </c>
      <c r="T1385">
        <v>0</v>
      </c>
      <c r="U1385">
        <f>+SUM(Table1[[#This Row],[Latinos]:[Cemex]])</f>
        <v>1</v>
      </c>
      <c r="V1385" t="str">
        <f>+Table1[[#This Row],[id_destino]]&amp;" - "&amp;Table1[[#This Row],[id_origen]]</f>
        <v>849 - 34</v>
      </c>
    </row>
    <row r="1386" spans="1:22" hidden="1">
      <c r="A1386">
        <v>3438</v>
      </c>
      <c r="B1386">
        <v>3989</v>
      </c>
      <c r="C1386">
        <v>6804</v>
      </c>
      <c r="D1386">
        <v>6987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 t="s">
        <v>20</v>
      </c>
      <c r="L1386" s="1">
        <v>44893</v>
      </c>
      <c r="M1386">
        <v>855</v>
      </c>
      <c r="N1386">
        <v>34</v>
      </c>
      <c r="O1386">
        <v>1451</v>
      </c>
      <c r="P1386">
        <v>1446</v>
      </c>
      <c r="Q1386">
        <v>1451</v>
      </c>
      <c r="S1386">
        <v>3722</v>
      </c>
      <c r="T1386">
        <v>3878</v>
      </c>
      <c r="U1386">
        <f>+SUM(Table1[[#This Row],[Latinos]:[Cemex]])</f>
        <v>1</v>
      </c>
      <c r="V1386" t="str">
        <f>+Table1[[#This Row],[id_destino]]&amp;" - "&amp;Table1[[#This Row],[id_origen]]</f>
        <v>855 - 34</v>
      </c>
    </row>
    <row r="1387" spans="1:22" hidden="1">
      <c r="A1387">
        <v>3960</v>
      </c>
      <c r="B1387">
        <v>3989</v>
      </c>
      <c r="C1387">
        <v>6804</v>
      </c>
      <c r="D1387">
        <v>6987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 t="s">
        <v>20</v>
      </c>
      <c r="L1387" s="1">
        <v>45208</v>
      </c>
      <c r="M1387">
        <v>855</v>
      </c>
      <c r="N1387">
        <v>34</v>
      </c>
      <c r="O1387">
        <v>0</v>
      </c>
      <c r="P1387">
        <v>150</v>
      </c>
      <c r="Q1387">
        <v>0</v>
      </c>
      <c r="S1387">
        <v>0</v>
      </c>
      <c r="T1387">
        <v>0</v>
      </c>
      <c r="U1387">
        <f>+SUM(Table1[[#This Row],[Latinos]:[Cemex]])</f>
        <v>1</v>
      </c>
      <c r="V1387" t="str">
        <f>+Table1[[#This Row],[id_destino]]&amp;" - "&amp;Table1[[#This Row],[id_origen]]</f>
        <v>855 - 34</v>
      </c>
    </row>
    <row r="1388" spans="1:22" hidden="1">
      <c r="A1388">
        <v>3434</v>
      </c>
      <c r="B1388">
        <v>3986</v>
      </c>
      <c r="C1388">
        <v>6804</v>
      </c>
      <c r="D1388">
        <v>6988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 t="s">
        <v>20</v>
      </c>
      <c r="L1388" s="1">
        <v>44890</v>
      </c>
      <c r="M1388">
        <v>856</v>
      </c>
      <c r="N1388">
        <v>34</v>
      </c>
      <c r="O1388">
        <v>1258</v>
      </c>
      <c r="P1388">
        <v>1258</v>
      </c>
      <c r="Q1388">
        <v>1258</v>
      </c>
      <c r="S1388">
        <v>1956</v>
      </c>
      <c r="T1388">
        <v>2078</v>
      </c>
      <c r="U1388">
        <f>+SUM(Table1[[#This Row],[Latinos]:[Cemex]])</f>
        <v>1</v>
      </c>
      <c r="V1388" t="str">
        <f>+Table1[[#This Row],[id_destino]]&amp;" - "&amp;Table1[[#This Row],[id_origen]]</f>
        <v>856 - 34</v>
      </c>
    </row>
    <row r="1389" spans="1:22" hidden="1">
      <c r="A1389">
        <v>3645</v>
      </c>
      <c r="B1389">
        <v>3986</v>
      </c>
      <c r="C1389">
        <v>6804</v>
      </c>
      <c r="D1389">
        <v>6988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  <c r="K1389" t="s">
        <v>20</v>
      </c>
      <c r="L1389" s="1">
        <v>45012</v>
      </c>
      <c r="M1389">
        <v>856</v>
      </c>
      <c r="N1389">
        <v>34</v>
      </c>
      <c r="O1389">
        <v>0</v>
      </c>
      <c r="P1389">
        <v>150</v>
      </c>
      <c r="Q1389">
        <v>0</v>
      </c>
      <c r="S1389">
        <v>0</v>
      </c>
      <c r="T1389">
        <v>0</v>
      </c>
      <c r="U1389">
        <f>+SUM(Table1[[#This Row],[Latinos]:[Cemex]])</f>
        <v>1</v>
      </c>
      <c r="V1389" t="str">
        <f>+Table1[[#This Row],[id_destino]]&amp;" - "&amp;Table1[[#This Row],[id_origen]]</f>
        <v>856 - 34</v>
      </c>
    </row>
    <row r="1390" spans="1:22" hidden="1">
      <c r="A1390">
        <v>692</v>
      </c>
      <c r="B1390">
        <v>2411</v>
      </c>
      <c r="C1390">
        <v>5452</v>
      </c>
      <c r="D1390">
        <v>5453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 t="s">
        <v>20</v>
      </c>
      <c r="L1390" s="1">
        <v>43132</v>
      </c>
      <c r="M1390">
        <v>1</v>
      </c>
      <c r="N1390">
        <v>35</v>
      </c>
      <c r="O1390">
        <v>1067</v>
      </c>
      <c r="P1390">
        <v>1067</v>
      </c>
      <c r="Q1390">
        <v>1067</v>
      </c>
      <c r="S1390">
        <v>499</v>
      </c>
      <c r="T1390">
        <v>499</v>
      </c>
      <c r="U1390">
        <f>+SUM(Table1[[#This Row],[Latinos]:[Cemex]])</f>
        <v>1</v>
      </c>
      <c r="V1390" t="str">
        <f>+Table1[[#This Row],[id_destino]]&amp;" - "&amp;Table1[[#This Row],[id_origen]]</f>
        <v>1 - 35</v>
      </c>
    </row>
    <row r="1391" spans="1:22" hidden="1">
      <c r="A1391">
        <v>1061</v>
      </c>
      <c r="B1391">
        <v>416</v>
      </c>
      <c r="C1391">
        <v>53</v>
      </c>
      <c r="D1391">
        <v>1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 t="s">
        <v>20</v>
      </c>
      <c r="L1391" s="1">
        <v>43269</v>
      </c>
      <c r="M1391">
        <v>3</v>
      </c>
      <c r="N1391">
        <v>35</v>
      </c>
      <c r="O1391">
        <v>486</v>
      </c>
      <c r="P1391">
        <v>466</v>
      </c>
      <c r="Q1391">
        <v>486</v>
      </c>
      <c r="S1391">
        <v>845</v>
      </c>
      <c r="T1391">
        <v>845</v>
      </c>
      <c r="U1391">
        <f>+SUM(Table1[[#This Row],[Latinos]:[Cemex]])</f>
        <v>1</v>
      </c>
      <c r="V1391" t="str">
        <f>+Table1[[#This Row],[id_destino]]&amp;" - "&amp;Table1[[#This Row],[id_origen]]</f>
        <v>3 - 35</v>
      </c>
    </row>
    <row r="1392" spans="1:22" hidden="1">
      <c r="A1392">
        <v>3518</v>
      </c>
      <c r="B1392">
        <v>4043</v>
      </c>
      <c r="C1392">
        <v>7184</v>
      </c>
      <c r="D1392">
        <v>7032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 t="s">
        <v>20</v>
      </c>
      <c r="L1392" s="1">
        <v>44945</v>
      </c>
      <c r="M1392">
        <v>6</v>
      </c>
      <c r="N1392">
        <v>35</v>
      </c>
      <c r="O1392">
        <v>918</v>
      </c>
      <c r="P1392">
        <v>917</v>
      </c>
      <c r="Q1392">
        <v>918</v>
      </c>
      <c r="S1392">
        <v>1125</v>
      </c>
      <c r="T1392">
        <v>1125</v>
      </c>
      <c r="U1392">
        <f>+SUM(Table1[[#This Row],[Latinos]:[Cemex]])</f>
        <v>1</v>
      </c>
      <c r="V1392" t="str">
        <f>+Table1[[#This Row],[id_destino]]&amp;" - "&amp;Table1[[#This Row],[id_origen]]</f>
        <v>6 - 35</v>
      </c>
    </row>
    <row r="1393" spans="1:22" hidden="1">
      <c r="A1393">
        <v>1279</v>
      </c>
      <c r="B1393">
        <v>950</v>
      </c>
      <c r="C1393">
        <v>426</v>
      </c>
      <c r="D1393">
        <v>353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 t="s">
        <v>37</v>
      </c>
      <c r="L1393" s="1">
        <v>43363</v>
      </c>
      <c r="M1393">
        <v>7</v>
      </c>
      <c r="N1393">
        <v>35</v>
      </c>
      <c r="O1393">
        <v>1386</v>
      </c>
      <c r="P1393">
        <v>1420</v>
      </c>
      <c r="Q1393">
        <v>1386</v>
      </c>
      <c r="S1393">
        <v>931</v>
      </c>
      <c r="T1393">
        <v>931</v>
      </c>
      <c r="U1393">
        <f>+SUM(Table1[[#This Row],[Latinos]:[Cemex]])</f>
        <v>1</v>
      </c>
      <c r="V1393" t="str">
        <f>+Table1[[#This Row],[id_destino]]&amp;" - "&amp;Table1[[#This Row],[id_origen]]</f>
        <v>7 - 35</v>
      </c>
    </row>
    <row r="1394" spans="1:22" hidden="1">
      <c r="A1394">
        <v>1026</v>
      </c>
      <c r="B1394">
        <v>1493</v>
      </c>
      <c r="C1394">
        <v>53</v>
      </c>
      <c r="D1394">
        <v>7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 t="s">
        <v>20</v>
      </c>
      <c r="L1394" s="1">
        <v>43253</v>
      </c>
      <c r="M1394">
        <v>9</v>
      </c>
      <c r="N1394">
        <v>35</v>
      </c>
      <c r="O1394">
        <v>1093</v>
      </c>
      <c r="P1394">
        <v>1007</v>
      </c>
      <c r="Q1394">
        <v>1093</v>
      </c>
      <c r="S1394">
        <v>1303</v>
      </c>
      <c r="T1394">
        <v>1376</v>
      </c>
      <c r="U1394">
        <f>+SUM(Table1[[#This Row],[Latinos]:[Cemex]])</f>
        <v>1</v>
      </c>
      <c r="V1394" t="str">
        <f>+Table1[[#This Row],[id_destino]]&amp;" - "&amp;Table1[[#This Row],[id_origen]]</f>
        <v>9 - 35</v>
      </c>
    </row>
    <row r="1395" spans="1:22" hidden="1">
      <c r="A1395">
        <v>4222</v>
      </c>
      <c r="B1395">
        <v>1186</v>
      </c>
      <c r="C1395">
        <v>7710</v>
      </c>
      <c r="D1395">
        <v>7147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 t="s">
        <v>109</v>
      </c>
      <c r="L1395" s="1">
        <v>45381</v>
      </c>
      <c r="M1395">
        <v>11</v>
      </c>
      <c r="N1395">
        <v>35</v>
      </c>
      <c r="O1395">
        <v>610</v>
      </c>
      <c r="P1395">
        <v>649</v>
      </c>
      <c r="Q1395">
        <v>610</v>
      </c>
      <c r="S1395">
        <v>2096</v>
      </c>
      <c r="T1395">
        <v>2096</v>
      </c>
      <c r="U1395">
        <f>+SUM(Table1[[#This Row],[Latinos]:[Cemex]])</f>
        <v>1</v>
      </c>
      <c r="V1395" t="str">
        <f>+Table1[[#This Row],[id_destino]]&amp;" - "&amp;Table1[[#This Row],[id_origen]]</f>
        <v>11 - 35</v>
      </c>
    </row>
    <row r="1396" spans="1:22" hidden="1">
      <c r="A1396">
        <v>659</v>
      </c>
      <c r="B1396">
        <v>2392</v>
      </c>
      <c r="C1396">
        <v>8034</v>
      </c>
      <c r="D1396">
        <v>8035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 t="s">
        <v>20</v>
      </c>
      <c r="L1396" s="1">
        <v>45621</v>
      </c>
      <c r="M1396">
        <v>35</v>
      </c>
      <c r="N1396">
        <v>35</v>
      </c>
      <c r="O1396">
        <v>14</v>
      </c>
      <c r="P1396">
        <v>100</v>
      </c>
      <c r="Q1396">
        <v>14</v>
      </c>
      <c r="S1396">
        <v>58</v>
      </c>
      <c r="T1396">
        <v>58</v>
      </c>
      <c r="U1396">
        <f>+SUM(Table1[[#This Row],[Latinos]:[Cemex]])</f>
        <v>1</v>
      </c>
      <c r="V1396" t="str">
        <f>+Table1[[#This Row],[id_destino]]&amp;" - "&amp;Table1[[#This Row],[id_origen]]</f>
        <v>35 - 35</v>
      </c>
    </row>
    <row r="1397" spans="1:22" hidden="1">
      <c r="A1397">
        <v>702</v>
      </c>
      <c r="B1397">
        <v>2392</v>
      </c>
      <c r="C1397">
        <v>5456</v>
      </c>
      <c r="D1397">
        <v>5456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 t="s">
        <v>20</v>
      </c>
      <c r="L1397" s="1">
        <v>43134</v>
      </c>
      <c r="M1397">
        <v>35</v>
      </c>
      <c r="N1397">
        <v>35</v>
      </c>
      <c r="O1397">
        <v>200</v>
      </c>
      <c r="P1397">
        <v>150</v>
      </c>
      <c r="Q1397">
        <v>0</v>
      </c>
      <c r="S1397">
        <v>0</v>
      </c>
      <c r="T1397">
        <v>0</v>
      </c>
      <c r="U1397">
        <f>+SUM(Table1[[#This Row],[Latinos]:[Cemex]])</f>
        <v>1</v>
      </c>
      <c r="V1397" t="str">
        <f>+Table1[[#This Row],[id_destino]]&amp;" - "&amp;Table1[[#This Row],[id_origen]]</f>
        <v>35 - 35</v>
      </c>
    </row>
    <row r="1398" spans="1:22" hidden="1">
      <c r="A1398">
        <v>1590</v>
      </c>
      <c r="B1398">
        <v>2392</v>
      </c>
      <c r="C1398">
        <v>53</v>
      </c>
      <c r="D1398">
        <v>3618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 t="s">
        <v>20</v>
      </c>
      <c r="L1398" s="1">
        <v>43518</v>
      </c>
      <c r="M1398">
        <v>35</v>
      </c>
      <c r="N1398">
        <v>35</v>
      </c>
      <c r="O1398">
        <v>20</v>
      </c>
      <c r="P1398">
        <v>150</v>
      </c>
      <c r="Q1398">
        <v>20</v>
      </c>
      <c r="S1398">
        <v>0</v>
      </c>
      <c r="T1398">
        <v>0</v>
      </c>
      <c r="U1398">
        <f>+SUM(Table1[[#This Row],[Latinos]:[Cemex]])</f>
        <v>1</v>
      </c>
      <c r="V1398" t="str">
        <f>+Table1[[#This Row],[id_destino]]&amp;" - "&amp;Table1[[#This Row],[id_origen]]</f>
        <v>35 - 35</v>
      </c>
    </row>
    <row r="1399" spans="1:22" hidden="1">
      <c r="A1399">
        <v>3961</v>
      </c>
      <c r="B1399">
        <v>3038</v>
      </c>
      <c r="C1399">
        <v>53</v>
      </c>
      <c r="D1399">
        <v>52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 t="s">
        <v>20</v>
      </c>
      <c r="L1399" s="1">
        <v>45208</v>
      </c>
      <c r="M1399">
        <v>46</v>
      </c>
      <c r="N1399">
        <v>35</v>
      </c>
      <c r="O1399">
        <v>238</v>
      </c>
      <c r="P1399">
        <v>243</v>
      </c>
      <c r="Q1399">
        <v>238</v>
      </c>
      <c r="S1399">
        <v>1241</v>
      </c>
      <c r="T1399">
        <v>1241</v>
      </c>
      <c r="U1399">
        <f>+SUM(Table1[[#This Row],[Latinos]:[Cemex]])</f>
        <v>1</v>
      </c>
      <c r="V1399" t="str">
        <f>+Table1[[#This Row],[id_destino]]&amp;" - "&amp;Table1[[#This Row],[id_origen]]</f>
        <v>46 - 35</v>
      </c>
    </row>
    <row r="1400" spans="1:22" hidden="1">
      <c r="A1400">
        <v>3436</v>
      </c>
      <c r="B1400">
        <v>3988</v>
      </c>
      <c r="C1400">
        <v>53</v>
      </c>
      <c r="D1400">
        <v>7120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 t="s">
        <v>20</v>
      </c>
      <c r="L1400" s="1">
        <v>44891</v>
      </c>
      <c r="M1400">
        <v>56</v>
      </c>
      <c r="N1400">
        <v>35</v>
      </c>
      <c r="O1400">
        <v>478</v>
      </c>
      <c r="P1400">
        <v>469</v>
      </c>
      <c r="Q1400">
        <v>478</v>
      </c>
      <c r="S1400">
        <v>1580</v>
      </c>
      <c r="T1400">
        <v>1580</v>
      </c>
      <c r="U1400">
        <f>+SUM(Table1[[#This Row],[Latinos]:[Cemex]])</f>
        <v>1</v>
      </c>
      <c r="V1400" t="str">
        <f>+Table1[[#This Row],[id_destino]]&amp;" - "&amp;Table1[[#This Row],[id_origen]]</f>
        <v>56 - 35</v>
      </c>
    </row>
    <row r="1401" spans="1:22" hidden="1">
      <c r="A1401">
        <v>1129</v>
      </c>
      <c r="B1401">
        <v>1872</v>
      </c>
      <c r="C1401">
        <v>426</v>
      </c>
      <c r="D1401">
        <v>7340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  <c r="K1401" t="s">
        <v>20</v>
      </c>
      <c r="L1401" s="1">
        <v>45059</v>
      </c>
      <c r="M1401">
        <v>65</v>
      </c>
      <c r="N1401">
        <v>35</v>
      </c>
      <c r="O1401">
        <v>274</v>
      </c>
      <c r="P1401">
        <v>282</v>
      </c>
      <c r="Q1401">
        <v>274</v>
      </c>
      <c r="S1401">
        <v>905</v>
      </c>
      <c r="T1401">
        <v>905</v>
      </c>
      <c r="U1401">
        <f>+SUM(Table1[[#This Row],[Latinos]:[Cemex]])</f>
        <v>1</v>
      </c>
      <c r="V1401" t="str">
        <f>+Table1[[#This Row],[id_destino]]&amp;" - "&amp;Table1[[#This Row],[id_origen]]</f>
        <v>65 - 35</v>
      </c>
    </row>
    <row r="1402" spans="1:22" hidden="1">
      <c r="A1402">
        <v>1130</v>
      </c>
      <c r="B1402">
        <v>1872</v>
      </c>
      <c r="C1402">
        <v>53</v>
      </c>
      <c r="D1402">
        <v>3172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 t="s">
        <v>20</v>
      </c>
      <c r="L1402" s="1">
        <v>43301</v>
      </c>
      <c r="M1402">
        <v>65</v>
      </c>
      <c r="N1402">
        <v>35</v>
      </c>
      <c r="O1402">
        <v>282</v>
      </c>
      <c r="P1402">
        <v>277</v>
      </c>
      <c r="Q1402">
        <v>282</v>
      </c>
      <c r="S1402">
        <v>905</v>
      </c>
      <c r="T1402">
        <v>905</v>
      </c>
      <c r="U1402">
        <f>+SUM(Table1[[#This Row],[Latinos]:[Cemex]])</f>
        <v>1</v>
      </c>
      <c r="V1402" t="str">
        <f>+Table1[[#This Row],[id_destino]]&amp;" - "&amp;Table1[[#This Row],[id_origen]]</f>
        <v>65 - 35</v>
      </c>
    </row>
    <row r="1403" spans="1:22" hidden="1">
      <c r="A1403">
        <v>1797</v>
      </c>
      <c r="B1403">
        <v>172</v>
      </c>
      <c r="C1403">
        <v>3618</v>
      </c>
      <c r="D1403">
        <v>105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 t="s">
        <v>20</v>
      </c>
      <c r="L1403" s="1">
        <v>43663</v>
      </c>
      <c r="M1403">
        <v>75</v>
      </c>
      <c r="N1403">
        <v>35</v>
      </c>
      <c r="O1403">
        <v>468</v>
      </c>
      <c r="P1403">
        <v>468</v>
      </c>
      <c r="Q1403">
        <v>468</v>
      </c>
      <c r="S1403">
        <v>1106.6400000000001</v>
      </c>
      <c r="T1403">
        <v>1106.6400000000001</v>
      </c>
      <c r="U1403">
        <f>+SUM(Table1[[#This Row],[Latinos]:[Cemex]])</f>
        <v>1</v>
      </c>
      <c r="V1403" t="str">
        <f>+Table1[[#This Row],[id_destino]]&amp;" - "&amp;Table1[[#This Row],[id_origen]]</f>
        <v>75 - 35</v>
      </c>
    </row>
    <row r="1404" spans="1:22" hidden="1">
      <c r="A1404">
        <v>1517</v>
      </c>
      <c r="B1404">
        <v>2790</v>
      </c>
      <c r="C1404">
        <v>426</v>
      </c>
      <c r="D1404">
        <v>485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  <c r="K1404" t="s">
        <v>20</v>
      </c>
      <c r="L1404" s="1">
        <v>43483</v>
      </c>
      <c r="M1404">
        <v>129</v>
      </c>
      <c r="N1404">
        <v>35</v>
      </c>
      <c r="O1404">
        <v>467</v>
      </c>
      <c r="P1404">
        <v>467</v>
      </c>
      <c r="Q1404">
        <v>467</v>
      </c>
      <c r="S1404">
        <v>1108</v>
      </c>
      <c r="T1404">
        <v>1108</v>
      </c>
      <c r="U1404">
        <f>+SUM(Table1[[#This Row],[Latinos]:[Cemex]])</f>
        <v>1</v>
      </c>
      <c r="V1404" t="str">
        <f>+Table1[[#This Row],[id_destino]]&amp;" - "&amp;Table1[[#This Row],[id_origen]]</f>
        <v>129 - 35</v>
      </c>
    </row>
    <row r="1405" spans="1:22" hidden="1">
      <c r="A1405">
        <v>4261</v>
      </c>
      <c r="B1405">
        <v>4530</v>
      </c>
      <c r="C1405">
        <v>5095</v>
      </c>
      <c r="D1405">
        <v>4145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 t="s">
        <v>20</v>
      </c>
      <c r="L1405" s="1">
        <v>45407</v>
      </c>
      <c r="M1405">
        <v>353</v>
      </c>
      <c r="N1405">
        <v>35</v>
      </c>
      <c r="O1405">
        <v>492</v>
      </c>
      <c r="P1405">
        <v>533</v>
      </c>
      <c r="Q1405">
        <v>492</v>
      </c>
      <c r="S1405">
        <v>2070</v>
      </c>
      <c r="T1405">
        <v>2070</v>
      </c>
      <c r="U1405">
        <f>+SUM(Table1[[#This Row],[Latinos]:[Cemex]])</f>
        <v>1</v>
      </c>
      <c r="V1405" t="str">
        <f>+Table1[[#This Row],[id_destino]]&amp;" - "&amp;Table1[[#This Row],[id_origen]]</f>
        <v>353 - 35</v>
      </c>
    </row>
    <row r="1406" spans="1:22" hidden="1">
      <c r="A1406">
        <v>2252</v>
      </c>
      <c r="B1406">
        <v>3230</v>
      </c>
      <c r="C1406">
        <v>6088</v>
      </c>
      <c r="D1406">
        <v>6289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 t="s">
        <v>83</v>
      </c>
      <c r="L1406" s="1">
        <v>43878</v>
      </c>
      <c r="M1406">
        <v>379</v>
      </c>
      <c r="N1406">
        <v>35</v>
      </c>
      <c r="O1406">
        <v>983</v>
      </c>
      <c r="P1406">
        <v>983</v>
      </c>
      <c r="Q1406">
        <v>983</v>
      </c>
      <c r="S1406">
        <v>493</v>
      </c>
      <c r="T1406">
        <v>493</v>
      </c>
      <c r="U1406">
        <f>+SUM(Table1[[#This Row],[Latinos]:[Cemex]])</f>
        <v>1</v>
      </c>
      <c r="V1406" t="str">
        <f>+Table1[[#This Row],[id_destino]]&amp;" - "&amp;Table1[[#This Row],[id_origen]]</f>
        <v>379 - 35</v>
      </c>
    </row>
    <row r="1407" spans="1:22">
      <c r="A1407">
        <v>651</v>
      </c>
      <c r="B1407">
        <v>2389</v>
      </c>
      <c r="C1407">
        <v>426</v>
      </c>
      <c r="D1407">
        <v>2377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 t="s">
        <v>20</v>
      </c>
      <c r="L1407" s="1">
        <v>43122</v>
      </c>
      <c r="M1407">
        <v>424</v>
      </c>
      <c r="N1407">
        <v>35</v>
      </c>
      <c r="O1407">
        <v>254</v>
      </c>
      <c r="P1407">
        <v>254</v>
      </c>
      <c r="Q1407">
        <v>254</v>
      </c>
      <c r="S1407">
        <v>569</v>
      </c>
      <c r="T1407">
        <v>569</v>
      </c>
      <c r="U1407">
        <f>+SUM(Table1[[#This Row],[Latinos]:[Cemex]])</f>
        <v>1</v>
      </c>
      <c r="V1407" t="str">
        <f>+Table1[[#This Row],[id_destino]]&amp;" - "&amp;Table1[[#This Row],[id_origen]]</f>
        <v>424 - 35</v>
      </c>
    </row>
    <row r="1408" spans="1:22" hidden="1">
      <c r="A1408">
        <v>2669</v>
      </c>
      <c r="B1408">
        <v>3491</v>
      </c>
      <c r="C1408">
        <v>5095</v>
      </c>
      <c r="D1408">
        <v>6575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  <c r="K1408" t="s">
        <v>20</v>
      </c>
      <c r="L1408" s="1">
        <v>44330</v>
      </c>
      <c r="M1408">
        <v>829</v>
      </c>
      <c r="N1408">
        <v>35</v>
      </c>
      <c r="O1408">
        <v>283</v>
      </c>
      <c r="P1408">
        <v>249</v>
      </c>
      <c r="Q1408">
        <v>283</v>
      </c>
      <c r="S1408">
        <v>250</v>
      </c>
      <c r="T1408">
        <v>250</v>
      </c>
      <c r="U1408">
        <f>+SUM(Table1[[#This Row],[Latinos]:[Cemex]])</f>
        <v>1</v>
      </c>
      <c r="V1408" t="str">
        <f>+Table1[[#This Row],[id_destino]]&amp;" - "&amp;Table1[[#This Row],[id_origen]]</f>
        <v>829 - 35</v>
      </c>
    </row>
    <row r="1409" spans="1:22">
      <c r="A1409">
        <v>1814</v>
      </c>
      <c r="B1409">
        <v>2952</v>
      </c>
      <c r="C1409">
        <v>556</v>
      </c>
      <c r="D1409">
        <v>5954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  <c r="K1409" t="s">
        <v>20</v>
      </c>
      <c r="L1409" s="1">
        <v>43644</v>
      </c>
      <c r="M1409">
        <v>24</v>
      </c>
      <c r="N1409">
        <v>36</v>
      </c>
      <c r="O1409">
        <v>1123</v>
      </c>
      <c r="P1409">
        <v>1123</v>
      </c>
      <c r="Q1409">
        <v>1123</v>
      </c>
      <c r="S1409">
        <v>3552</v>
      </c>
      <c r="T1409">
        <v>3625</v>
      </c>
      <c r="U1409">
        <f>+SUM(Table1[[#This Row],[Latinos]:[Cemex]])</f>
        <v>1</v>
      </c>
      <c r="V1409" t="str">
        <f>+Table1[[#This Row],[id_destino]]&amp;" - "&amp;Table1[[#This Row],[id_origen]]</f>
        <v>24 - 36</v>
      </c>
    </row>
    <row r="1410" spans="1:22" hidden="1">
      <c r="A1410">
        <v>2540</v>
      </c>
      <c r="B1410">
        <v>3407</v>
      </c>
      <c r="C1410">
        <v>556</v>
      </c>
      <c r="D1410">
        <v>5016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 t="s">
        <v>20</v>
      </c>
      <c r="L1410" s="1">
        <v>44163</v>
      </c>
      <c r="M1410">
        <v>35</v>
      </c>
      <c r="N1410">
        <v>36</v>
      </c>
      <c r="O1410">
        <v>90</v>
      </c>
      <c r="P1410">
        <v>150</v>
      </c>
      <c r="Q1410">
        <v>90</v>
      </c>
      <c r="S1410">
        <v>141</v>
      </c>
      <c r="T1410">
        <v>141</v>
      </c>
      <c r="U1410">
        <f>+SUM(Table1[[#This Row],[Latinos]:[Cemex]])</f>
        <v>1</v>
      </c>
      <c r="V1410" t="str">
        <f>+Table1[[#This Row],[id_destino]]&amp;" - "&amp;Table1[[#This Row],[id_origen]]</f>
        <v>35 - 36</v>
      </c>
    </row>
    <row r="1411" spans="1:22" hidden="1">
      <c r="A1411">
        <v>3931</v>
      </c>
      <c r="B1411">
        <v>4311</v>
      </c>
      <c r="C1411">
        <v>556</v>
      </c>
      <c r="D1411">
        <v>52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 t="s">
        <v>20</v>
      </c>
      <c r="L1411" s="1">
        <v>45191</v>
      </c>
      <c r="M1411">
        <v>46</v>
      </c>
      <c r="N1411">
        <v>36</v>
      </c>
      <c r="O1411">
        <v>296</v>
      </c>
      <c r="P1411">
        <v>219</v>
      </c>
      <c r="Q1411">
        <v>296</v>
      </c>
      <c r="S1411">
        <v>725</v>
      </c>
      <c r="T1411">
        <v>725</v>
      </c>
      <c r="U1411">
        <f>+SUM(Table1[[#This Row],[Latinos]:[Cemex]])</f>
        <v>1</v>
      </c>
      <c r="V1411" t="str">
        <f>+Table1[[#This Row],[id_destino]]&amp;" - "&amp;Table1[[#This Row],[id_origen]]</f>
        <v>46 - 36</v>
      </c>
    </row>
    <row r="1412" spans="1:22" hidden="1">
      <c r="A1412">
        <v>2653</v>
      </c>
      <c r="B1412">
        <v>563</v>
      </c>
      <c r="C1412">
        <v>556</v>
      </c>
      <c r="D1412">
        <v>2413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 t="s">
        <v>20</v>
      </c>
      <c r="L1412" s="1">
        <v>44293</v>
      </c>
      <c r="M1412">
        <v>47</v>
      </c>
      <c r="N1412">
        <v>36</v>
      </c>
      <c r="O1412">
        <v>374</v>
      </c>
      <c r="P1412">
        <v>389</v>
      </c>
      <c r="Q1412">
        <v>374</v>
      </c>
      <c r="S1412">
        <v>946</v>
      </c>
      <c r="T1412">
        <v>948</v>
      </c>
      <c r="U1412">
        <f>+SUM(Table1[[#This Row],[Latinos]:[Cemex]])</f>
        <v>1</v>
      </c>
      <c r="V1412" t="str">
        <f>+Table1[[#This Row],[id_destino]]&amp;" - "&amp;Table1[[#This Row],[id_origen]]</f>
        <v>47 - 36</v>
      </c>
    </row>
    <row r="1413" spans="1:22" hidden="1">
      <c r="A1413">
        <v>4400</v>
      </c>
      <c r="B1413">
        <v>4630</v>
      </c>
      <c r="C1413">
        <v>556</v>
      </c>
      <c r="D1413">
        <v>6980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 t="s">
        <v>20</v>
      </c>
      <c r="L1413" s="1">
        <v>45521</v>
      </c>
      <c r="M1413">
        <v>121</v>
      </c>
      <c r="N1413">
        <v>36</v>
      </c>
      <c r="O1413">
        <v>581</v>
      </c>
      <c r="P1413">
        <v>562</v>
      </c>
      <c r="Q1413">
        <v>581</v>
      </c>
      <c r="S1413">
        <v>2102</v>
      </c>
      <c r="T1413">
        <v>2108</v>
      </c>
      <c r="U1413">
        <f>+SUM(Table1[[#This Row],[Latinos]:[Cemex]])</f>
        <v>1</v>
      </c>
      <c r="V1413" t="str">
        <f>+Table1[[#This Row],[id_destino]]&amp;" - "&amp;Table1[[#This Row],[id_origen]]</f>
        <v>121 - 36</v>
      </c>
    </row>
    <row r="1414" spans="1:22" hidden="1">
      <c r="A1414">
        <v>3909</v>
      </c>
      <c r="B1414">
        <v>4294</v>
      </c>
      <c r="C1414">
        <v>556</v>
      </c>
      <c r="D1414">
        <v>47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 t="s">
        <v>20</v>
      </c>
      <c r="L1414" s="1">
        <v>45175</v>
      </c>
      <c r="M1414">
        <v>129</v>
      </c>
      <c r="N1414">
        <v>36</v>
      </c>
      <c r="O1414">
        <v>409</v>
      </c>
      <c r="P1414">
        <v>438</v>
      </c>
      <c r="Q1414">
        <v>409</v>
      </c>
      <c r="S1414">
        <v>686</v>
      </c>
      <c r="T1414">
        <v>688</v>
      </c>
      <c r="U1414">
        <f>+SUM(Table1[[#This Row],[Latinos]:[Cemex]])</f>
        <v>1</v>
      </c>
      <c r="V1414" t="str">
        <f>+Table1[[#This Row],[id_destino]]&amp;" - "&amp;Table1[[#This Row],[id_origen]]</f>
        <v>129 - 36</v>
      </c>
    </row>
    <row r="1415" spans="1:22" hidden="1">
      <c r="A1415">
        <v>3168</v>
      </c>
      <c r="B1415">
        <v>3816</v>
      </c>
      <c r="C1415">
        <v>7009</v>
      </c>
      <c r="D1415">
        <v>394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 t="s">
        <v>20</v>
      </c>
      <c r="L1415" s="1">
        <v>45056</v>
      </c>
      <c r="M1415">
        <v>1</v>
      </c>
      <c r="N1415">
        <v>37</v>
      </c>
      <c r="O1415">
        <v>1164</v>
      </c>
      <c r="P1415">
        <v>1139</v>
      </c>
      <c r="Q1415">
        <v>1164</v>
      </c>
      <c r="S1415">
        <v>1989</v>
      </c>
      <c r="T1415">
        <v>1989</v>
      </c>
      <c r="U1415">
        <f>+SUM(Table1[[#This Row],[Latinos]:[Cemex]])</f>
        <v>1</v>
      </c>
      <c r="V1415" t="str">
        <f>+Table1[[#This Row],[id_destino]]&amp;" - "&amp;Table1[[#This Row],[id_origen]]</f>
        <v>1 - 37</v>
      </c>
    </row>
    <row r="1416" spans="1:22" hidden="1">
      <c r="A1416">
        <v>4635</v>
      </c>
      <c r="B1416">
        <v>26</v>
      </c>
      <c r="C1416">
        <v>1190</v>
      </c>
      <c r="D1416">
        <v>5670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 t="s">
        <v>20</v>
      </c>
      <c r="L1416" s="1">
        <v>45689</v>
      </c>
      <c r="M1416">
        <v>2</v>
      </c>
      <c r="N1416">
        <v>37</v>
      </c>
      <c r="O1416">
        <v>642</v>
      </c>
      <c r="P1416">
        <v>642</v>
      </c>
      <c r="Q1416">
        <v>642</v>
      </c>
      <c r="S1416">
        <v>2944</v>
      </c>
      <c r="T1416">
        <v>2944</v>
      </c>
      <c r="U1416">
        <f>+SUM(Table1[[#This Row],[Latinos]:[Cemex]])</f>
        <v>1</v>
      </c>
      <c r="V1416" t="str">
        <f>+Table1[[#This Row],[id_destino]]&amp;" - "&amp;Table1[[#This Row],[id_origen]]</f>
        <v>2 - 37</v>
      </c>
    </row>
    <row r="1417" spans="1:22" hidden="1">
      <c r="A1417">
        <v>3372</v>
      </c>
      <c r="B1417">
        <v>3944</v>
      </c>
      <c r="C1417">
        <v>7009</v>
      </c>
      <c r="D1417">
        <v>7032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0</v>
      </c>
      <c r="K1417" t="s">
        <v>20</v>
      </c>
      <c r="L1417" s="1">
        <v>44853</v>
      </c>
      <c r="M1417">
        <v>6</v>
      </c>
      <c r="N1417">
        <v>37</v>
      </c>
      <c r="O1417">
        <v>1806</v>
      </c>
      <c r="P1417">
        <v>1807</v>
      </c>
      <c r="Q1417">
        <v>1806</v>
      </c>
      <c r="S1417">
        <v>3994</v>
      </c>
      <c r="T1417">
        <v>3994</v>
      </c>
      <c r="U1417">
        <f>+SUM(Table1[[#This Row],[Latinos]:[Cemex]])</f>
        <v>1</v>
      </c>
      <c r="V1417" t="str">
        <f>+Table1[[#This Row],[id_destino]]&amp;" - "&amp;Table1[[#This Row],[id_origen]]</f>
        <v>6 - 37</v>
      </c>
    </row>
    <row r="1418" spans="1:22" hidden="1">
      <c r="A1418">
        <v>2815</v>
      </c>
      <c r="B1418">
        <v>3588</v>
      </c>
      <c r="C1418">
        <v>7290</v>
      </c>
      <c r="D1418">
        <v>7693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 t="s">
        <v>20</v>
      </c>
      <c r="L1418" s="1">
        <v>45625</v>
      </c>
      <c r="M1418">
        <v>9</v>
      </c>
      <c r="N1418">
        <v>37</v>
      </c>
      <c r="O1418">
        <v>1988</v>
      </c>
      <c r="P1418">
        <v>1988</v>
      </c>
      <c r="Q1418">
        <v>1988</v>
      </c>
      <c r="S1418">
        <v>4586</v>
      </c>
      <c r="T1418">
        <v>4586</v>
      </c>
      <c r="U1418">
        <f>+SUM(Table1[[#This Row],[Latinos]:[Cemex]])</f>
        <v>1</v>
      </c>
      <c r="V1418" t="str">
        <f>+Table1[[#This Row],[id_destino]]&amp;" - "&amp;Table1[[#This Row],[id_origen]]</f>
        <v>9 - 37</v>
      </c>
    </row>
    <row r="1419" spans="1:22" hidden="1">
      <c r="A1419">
        <v>1221</v>
      </c>
      <c r="B1419">
        <v>2643</v>
      </c>
      <c r="C1419">
        <v>1190</v>
      </c>
      <c r="D1419">
        <v>404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 t="s">
        <v>20</v>
      </c>
      <c r="L1419" s="1">
        <v>43959</v>
      </c>
      <c r="M1419">
        <v>11</v>
      </c>
      <c r="N1419">
        <v>37</v>
      </c>
      <c r="O1419">
        <v>503</v>
      </c>
      <c r="P1419">
        <v>503</v>
      </c>
      <c r="Q1419">
        <v>503</v>
      </c>
      <c r="S1419">
        <v>1693</v>
      </c>
      <c r="T1419">
        <v>1693</v>
      </c>
      <c r="U1419">
        <f>+SUM(Table1[[#This Row],[Latinos]:[Cemex]])</f>
        <v>1</v>
      </c>
      <c r="V1419" t="str">
        <f>+Table1[[#This Row],[id_destino]]&amp;" - "&amp;Table1[[#This Row],[id_origen]]</f>
        <v>11 - 37</v>
      </c>
    </row>
    <row r="1420" spans="1:22" hidden="1">
      <c r="A1420">
        <v>1255</v>
      </c>
      <c r="B1420">
        <v>1390</v>
      </c>
      <c r="C1420">
        <v>1190</v>
      </c>
      <c r="D1420">
        <v>349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 t="s">
        <v>20</v>
      </c>
      <c r="L1420" s="1">
        <v>43354</v>
      </c>
      <c r="M1420">
        <v>12</v>
      </c>
      <c r="N1420">
        <v>37</v>
      </c>
      <c r="O1420">
        <v>638</v>
      </c>
      <c r="P1420">
        <v>638</v>
      </c>
      <c r="Q1420">
        <v>638</v>
      </c>
      <c r="S1420">
        <v>1758</v>
      </c>
      <c r="T1420">
        <v>1758</v>
      </c>
      <c r="U1420">
        <f>+SUM(Table1[[#This Row],[Latinos]:[Cemex]])</f>
        <v>1</v>
      </c>
      <c r="V1420" t="str">
        <f>+Table1[[#This Row],[id_destino]]&amp;" - "&amp;Table1[[#This Row],[id_origen]]</f>
        <v>12 - 37</v>
      </c>
    </row>
    <row r="1421" spans="1:22" hidden="1">
      <c r="A1421">
        <v>1228</v>
      </c>
      <c r="B1421">
        <v>2645</v>
      </c>
      <c r="C1421">
        <v>1190</v>
      </c>
      <c r="D1421">
        <v>358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  <c r="K1421" t="s">
        <v>20</v>
      </c>
      <c r="L1421" s="1">
        <v>43348</v>
      </c>
      <c r="M1421">
        <v>13</v>
      </c>
      <c r="N1421">
        <v>37</v>
      </c>
      <c r="O1421">
        <v>460</v>
      </c>
      <c r="P1421">
        <v>460</v>
      </c>
      <c r="Q1421">
        <v>460</v>
      </c>
      <c r="S1421">
        <v>1416</v>
      </c>
      <c r="T1421">
        <v>1416</v>
      </c>
      <c r="U1421">
        <f>+SUM(Table1[[#This Row],[Latinos]:[Cemex]])</f>
        <v>1</v>
      </c>
      <c r="V1421" t="str">
        <f>+Table1[[#This Row],[id_destino]]&amp;" - "&amp;Table1[[#This Row],[id_origen]]</f>
        <v>13 - 37</v>
      </c>
    </row>
    <row r="1422" spans="1:22" hidden="1">
      <c r="A1422">
        <v>3116</v>
      </c>
      <c r="B1422">
        <v>3784</v>
      </c>
      <c r="C1422">
        <v>6342</v>
      </c>
      <c r="D1422">
        <v>6944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 t="s">
        <v>20</v>
      </c>
      <c r="L1422" s="1">
        <v>44748</v>
      </c>
      <c r="M1422">
        <v>15</v>
      </c>
      <c r="N1422">
        <v>37</v>
      </c>
      <c r="O1422">
        <v>1863</v>
      </c>
      <c r="P1422">
        <v>1949</v>
      </c>
      <c r="Q1422">
        <v>1863</v>
      </c>
      <c r="S1422">
        <v>3841</v>
      </c>
      <c r="T1422">
        <v>4341</v>
      </c>
      <c r="U1422">
        <f>+SUM(Table1[[#This Row],[Latinos]:[Cemex]])</f>
        <v>1</v>
      </c>
      <c r="V1422" t="str">
        <f>+Table1[[#This Row],[id_destino]]&amp;" - "&amp;Table1[[#This Row],[id_origen]]</f>
        <v>15 - 37</v>
      </c>
    </row>
    <row r="1423" spans="1:22" hidden="1">
      <c r="A1423">
        <v>3151</v>
      </c>
      <c r="B1423">
        <v>1600</v>
      </c>
      <c r="C1423">
        <v>6342</v>
      </c>
      <c r="D1423">
        <v>4177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 t="s">
        <v>20</v>
      </c>
      <c r="L1423" s="1">
        <v>44740</v>
      </c>
      <c r="M1423">
        <v>18</v>
      </c>
      <c r="N1423">
        <v>37</v>
      </c>
      <c r="O1423">
        <v>596</v>
      </c>
      <c r="P1423">
        <v>577</v>
      </c>
      <c r="Q1423">
        <v>596</v>
      </c>
      <c r="S1423">
        <v>1752</v>
      </c>
      <c r="T1423">
        <v>1752</v>
      </c>
      <c r="U1423">
        <f>+SUM(Table1[[#This Row],[Latinos]:[Cemex]])</f>
        <v>1</v>
      </c>
      <c r="V1423" t="str">
        <f>+Table1[[#This Row],[id_destino]]&amp;" - "&amp;Table1[[#This Row],[id_origen]]</f>
        <v>18 - 37</v>
      </c>
    </row>
    <row r="1424" spans="1:22" hidden="1">
      <c r="A1424">
        <v>4284</v>
      </c>
      <c r="B1424">
        <v>1600</v>
      </c>
      <c r="C1424">
        <v>43</v>
      </c>
      <c r="D1424">
        <v>3423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 t="s">
        <v>20</v>
      </c>
      <c r="L1424" s="1">
        <v>45426</v>
      </c>
      <c r="M1424">
        <v>18</v>
      </c>
      <c r="N1424">
        <v>37</v>
      </c>
      <c r="O1424">
        <v>583</v>
      </c>
      <c r="P1424">
        <v>580</v>
      </c>
      <c r="Q1424">
        <v>583</v>
      </c>
      <c r="S1424">
        <v>2641</v>
      </c>
      <c r="T1424">
        <v>2641</v>
      </c>
      <c r="U1424">
        <f>+SUM(Table1[[#This Row],[Latinos]:[Cemex]])</f>
        <v>1</v>
      </c>
      <c r="V1424" t="str">
        <f>+Table1[[#This Row],[id_destino]]&amp;" - "&amp;Table1[[#This Row],[id_origen]]</f>
        <v>18 - 37</v>
      </c>
    </row>
    <row r="1425" spans="1:22" hidden="1">
      <c r="A1425">
        <v>3694</v>
      </c>
      <c r="B1425">
        <v>1451</v>
      </c>
      <c r="C1425">
        <v>6342</v>
      </c>
      <c r="D1425">
        <v>4667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 t="s">
        <v>20</v>
      </c>
      <c r="L1425" s="1">
        <v>45035</v>
      </c>
      <c r="M1425">
        <v>20</v>
      </c>
      <c r="N1425">
        <v>37</v>
      </c>
      <c r="O1425">
        <v>588</v>
      </c>
      <c r="P1425">
        <v>598</v>
      </c>
      <c r="Q1425">
        <v>588</v>
      </c>
      <c r="S1425">
        <v>2057</v>
      </c>
      <c r="T1425">
        <v>2057</v>
      </c>
      <c r="U1425">
        <f>+SUM(Table1[[#This Row],[Latinos]:[Cemex]])</f>
        <v>1</v>
      </c>
      <c r="V1425" t="str">
        <f>+Table1[[#This Row],[id_destino]]&amp;" - "&amp;Table1[[#This Row],[id_origen]]</f>
        <v>20 - 37</v>
      </c>
    </row>
    <row r="1426" spans="1:22" hidden="1">
      <c r="A1426">
        <v>2342</v>
      </c>
      <c r="B1426">
        <v>338</v>
      </c>
      <c r="C1426">
        <v>5992</v>
      </c>
      <c r="D1426">
        <v>5530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 t="s">
        <v>20</v>
      </c>
      <c r="L1426" s="1">
        <v>43959</v>
      </c>
      <c r="M1426">
        <v>23</v>
      </c>
      <c r="N1426">
        <v>37</v>
      </c>
      <c r="O1426">
        <v>501</v>
      </c>
      <c r="P1426">
        <v>515</v>
      </c>
      <c r="Q1426">
        <v>501</v>
      </c>
      <c r="S1426">
        <v>1337</v>
      </c>
      <c r="T1426">
        <v>1337</v>
      </c>
      <c r="U1426">
        <f>+SUM(Table1[[#This Row],[Latinos]:[Cemex]])</f>
        <v>1</v>
      </c>
      <c r="V1426" t="str">
        <f>+Table1[[#This Row],[id_destino]]&amp;" - "&amp;Table1[[#This Row],[id_origen]]</f>
        <v>23 - 37</v>
      </c>
    </row>
    <row r="1427" spans="1:22" hidden="1">
      <c r="A1427">
        <v>4703</v>
      </c>
      <c r="B1427">
        <v>338</v>
      </c>
      <c r="C1427">
        <v>43</v>
      </c>
      <c r="D1427">
        <v>299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 t="s">
        <v>20</v>
      </c>
      <c r="L1427" s="1">
        <v>45741</v>
      </c>
      <c r="M1427">
        <v>23</v>
      </c>
      <c r="N1427">
        <v>37</v>
      </c>
      <c r="O1427">
        <v>587</v>
      </c>
      <c r="P1427">
        <v>504</v>
      </c>
      <c r="Q1427">
        <v>587</v>
      </c>
      <c r="S1427">
        <v>2035</v>
      </c>
      <c r="T1427">
        <v>2035</v>
      </c>
      <c r="U1427">
        <f>+SUM(Table1[[#This Row],[Latinos]:[Cemex]])</f>
        <v>1</v>
      </c>
      <c r="V1427" t="str">
        <f>+Table1[[#This Row],[id_destino]]&amp;" - "&amp;Table1[[#This Row],[id_origen]]</f>
        <v>23 - 37</v>
      </c>
    </row>
    <row r="1428" spans="1:22" hidden="1">
      <c r="A1428">
        <v>4429</v>
      </c>
      <c r="B1428">
        <v>4652</v>
      </c>
      <c r="C1428">
        <v>7290</v>
      </c>
      <c r="D1428">
        <v>7898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 t="s">
        <v>117</v>
      </c>
      <c r="L1428" s="1">
        <v>45536</v>
      </c>
      <c r="M1428">
        <v>27</v>
      </c>
      <c r="N1428">
        <v>37</v>
      </c>
      <c r="O1428">
        <v>820</v>
      </c>
      <c r="P1428">
        <v>820</v>
      </c>
      <c r="Q1428">
        <v>820</v>
      </c>
      <c r="S1428">
        <v>1619</v>
      </c>
      <c r="T1428">
        <v>1619</v>
      </c>
      <c r="U1428">
        <f>+SUM(Table1[[#This Row],[Latinos]:[Cemex]])</f>
        <v>1</v>
      </c>
      <c r="V1428" t="str">
        <f>+Table1[[#This Row],[id_destino]]&amp;" - "&amp;Table1[[#This Row],[id_origen]]</f>
        <v>27 - 37</v>
      </c>
    </row>
    <row r="1429" spans="1:22" hidden="1">
      <c r="A1429">
        <v>733</v>
      </c>
      <c r="B1429">
        <v>808</v>
      </c>
      <c r="C1429">
        <v>4894</v>
      </c>
      <c r="D1429">
        <v>4008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 t="s">
        <v>20</v>
      </c>
      <c r="L1429" s="1">
        <v>43145</v>
      </c>
      <c r="M1429">
        <v>31</v>
      </c>
      <c r="N1429">
        <v>37</v>
      </c>
      <c r="O1429">
        <v>1171</v>
      </c>
      <c r="P1429">
        <v>1199</v>
      </c>
      <c r="Q1429">
        <v>1171</v>
      </c>
      <c r="S1429">
        <v>2864</v>
      </c>
      <c r="T1429">
        <v>2864</v>
      </c>
      <c r="U1429">
        <f>+SUM(Table1[[#This Row],[Latinos]:[Cemex]])</f>
        <v>1</v>
      </c>
      <c r="V1429" t="str">
        <f>+Table1[[#This Row],[id_destino]]&amp;" - "&amp;Table1[[#This Row],[id_origen]]</f>
        <v>31 - 37</v>
      </c>
    </row>
    <row r="1430" spans="1:22" hidden="1">
      <c r="A1430">
        <v>2828</v>
      </c>
      <c r="B1430">
        <v>3593</v>
      </c>
      <c r="C1430">
        <v>5992</v>
      </c>
      <c r="D1430">
        <v>6342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 t="s">
        <v>20</v>
      </c>
      <c r="L1430" s="1">
        <v>44495</v>
      </c>
      <c r="M1430">
        <v>37</v>
      </c>
      <c r="N1430">
        <v>37</v>
      </c>
      <c r="O1430">
        <v>50</v>
      </c>
      <c r="P1430">
        <v>150</v>
      </c>
      <c r="Q1430">
        <v>100</v>
      </c>
      <c r="S1430">
        <v>0</v>
      </c>
      <c r="T1430">
        <v>0</v>
      </c>
      <c r="U1430">
        <f>+SUM(Table1[[#This Row],[Latinos]:[Cemex]])</f>
        <v>1</v>
      </c>
      <c r="V1430" t="str">
        <f>+Table1[[#This Row],[id_destino]]&amp;" - "&amp;Table1[[#This Row],[id_origen]]</f>
        <v>37 - 37</v>
      </c>
    </row>
    <row r="1431" spans="1:22" hidden="1">
      <c r="A1431">
        <v>4321</v>
      </c>
      <c r="B1431">
        <v>3593</v>
      </c>
      <c r="C1431">
        <v>43</v>
      </c>
      <c r="D1431">
        <v>7259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0</v>
      </c>
      <c r="K1431" t="s">
        <v>20</v>
      </c>
      <c r="L1431" s="1">
        <v>45455</v>
      </c>
      <c r="M1431">
        <v>37</v>
      </c>
      <c r="N1431">
        <v>37</v>
      </c>
      <c r="O1431">
        <v>1</v>
      </c>
      <c r="P1431">
        <v>150</v>
      </c>
      <c r="Q1431">
        <v>100</v>
      </c>
      <c r="S1431">
        <v>0</v>
      </c>
      <c r="T1431">
        <v>0</v>
      </c>
      <c r="U1431">
        <f>+SUM(Table1[[#This Row],[Latinos]:[Cemex]])</f>
        <v>1</v>
      </c>
      <c r="V1431" t="str">
        <f>+Table1[[#This Row],[id_destino]]&amp;" - "&amp;Table1[[#This Row],[id_origen]]</f>
        <v>37 - 37</v>
      </c>
    </row>
    <row r="1432" spans="1:22" hidden="1">
      <c r="A1432">
        <v>4847</v>
      </c>
      <c r="B1432">
        <v>3593</v>
      </c>
      <c r="C1432">
        <v>5992</v>
      </c>
      <c r="D1432">
        <v>5992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 t="s">
        <v>20</v>
      </c>
      <c r="L1432" s="1">
        <v>45888</v>
      </c>
      <c r="M1432">
        <v>37</v>
      </c>
      <c r="N1432">
        <v>37</v>
      </c>
      <c r="O1432">
        <v>30</v>
      </c>
      <c r="P1432">
        <v>150</v>
      </c>
      <c r="Q1432">
        <v>50</v>
      </c>
      <c r="S1432">
        <v>0</v>
      </c>
      <c r="T1432">
        <v>0</v>
      </c>
      <c r="U1432">
        <f>+SUM(Table1[[#This Row],[Latinos]:[Cemex]])</f>
        <v>1</v>
      </c>
      <c r="V1432" t="str">
        <f>+Table1[[#This Row],[id_destino]]&amp;" - "&amp;Table1[[#This Row],[id_origen]]</f>
        <v>37 - 37</v>
      </c>
    </row>
    <row r="1433" spans="1:22" hidden="1">
      <c r="A1433">
        <v>1326</v>
      </c>
      <c r="B1433">
        <v>579</v>
      </c>
      <c r="C1433">
        <v>1190</v>
      </c>
      <c r="D1433">
        <v>395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 t="s">
        <v>20</v>
      </c>
      <c r="L1433" s="1">
        <v>43384</v>
      </c>
      <c r="M1433">
        <v>38</v>
      </c>
      <c r="N1433">
        <v>37</v>
      </c>
      <c r="O1433">
        <v>315</v>
      </c>
      <c r="P1433">
        <v>315</v>
      </c>
      <c r="Q1433">
        <v>315</v>
      </c>
      <c r="S1433">
        <v>811</v>
      </c>
      <c r="T1433">
        <v>811</v>
      </c>
      <c r="U1433">
        <f>+SUM(Table1[[#This Row],[Latinos]:[Cemex]])</f>
        <v>1</v>
      </c>
      <c r="V1433" t="str">
        <f>+Table1[[#This Row],[id_destino]]&amp;" - "&amp;Table1[[#This Row],[id_origen]]</f>
        <v>38 - 37</v>
      </c>
    </row>
    <row r="1434" spans="1:22" hidden="1">
      <c r="A1434">
        <v>734</v>
      </c>
      <c r="B1434">
        <v>680</v>
      </c>
      <c r="C1434">
        <v>43</v>
      </c>
      <c r="D1434">
        <v>46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</v>
      </c>
      <c r="K1434" t="s">
        <v>20</v>
      </c>
      <c r="L1434" s="1">
        <v>43417</v>
      </c>
      <c r="M1434">
        <v>40</v>
      </c>
      <c r="N1434">
        <v>37</v>
      </c>
      <c r="O1434">
        <v>389</v>
      </c>
      <c r="P1434">
        <v>389</v>
      </c>
      <c r="Q1434">
        <v>389</v>
      </c>
      <c r="S1434">
        <v>752</v>
      </c>
      <c r="T1434">
        <v>752</v>
      </c>
      <c r="U1434">
        <f>+SUM(Table1[[#This Row],[Latinos]:[Cemex]])</f>
        <v>1</v>
      </c>
      <c r="V1434" t="str">
        <f>+Table1[[#This Row],[id_destino]]&amp;" - "&amp;Table1[[#This Row],[id_origen]]</f>
        <v>40 - 37</v>
      </c>
    </row>
    <row r="1435" spans="1:22" hidden="1">
      <c r="A1435">
        <v>4396</v>
      </c>
      <c r="B1435">
        <v>4627</v>
      </c>
      <c r="C1435">
        <v>7290</v>
      </c>
      <c r="D1435">
        <v>7871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0</v>
      </c>
      <c r="K1435" t="s">
        <v>20</v>
      </c>
      <c r="L1435" s="1">
        <v>45518</v>
      </c>
      <c r="M1435">
        <v>41</v>
      </c>
      <c r="N1435">
        <v>37</v>
      </c>
      <c r="O1435">
        <v>1052</v>
      </c>
      <c r="P1435">
        <v>1074</v>
      </c>
      <c r="Q1435">
        <v>1052</v>
      </c>
      <c r="S1435">
        <v>3770</v>
      </c>
      <c r="T1435">
        <v>3770</v>
      </c>
      <c r="U1435">
        <f>+SUM(Table1[[#This Row],[Latinos]:[Cemex]])</f>
        <v>1</v>
      </c>
      <c r="V1435" t="str">
        <f>+Table1[[#This Row],[id_destino]]&amp;" - "&amp;Table1[[#This Row],[id_origen]]</f>
        <v>41 - 37</v>
      </c>
    </row>
    <row r="1436" spans="1:22" hidden="1">
      <c r="A1436">
        <v>4627</v>
      </c>
      <c r="B1436">
        <v>4805</v>
      </c>
      <c r="C1436">
        <v>43</v>
      </c>
      <c r="D1436">
        <v>48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 t="s">
        <v>20</v>
      </c>
      <c r="L1436" s="1">
        <v>45682</v>
      </c>
      <c r="M1436">
        <v>42</v>
      </c>
      <c r="N1436">
        <v>37</v>
      </c>
      <c r="O1436">
        <v>868</v>
      </c>
      <c r="P1436">
        <v>866</v>
      </c>
      <c r="Q1436">
        <v>868</v>
      </c>
      <c r="S1436">
        <v>3869</v>
      </c>
      <c r="T1436">
        <v>3869</v>
      </c>
      <c r="U1436">
        <f>+SUM(Table1[[#This Row],[Latinos]:[Cemex]])</f>
        <v>1</v>
      </c>
      <c r="V1436" t="str">
        <f>+Table1[[#This Row],[id_destino]]&amp;" - "&amp;Table1[[#This Row],[id_origen]]</f>
        <v>42 - 37</v>
      </c>
    </row>
    <row r="1437" spans="1:22" hidden="1">
      <c r="A1437">
        <v>3995</v>
      </c>
      <c r="B1437">
        <v>4342</v>
      </c>
      <c r="C1437">
        <v>43</v>
      </c>
      <c r="D1437">
        <v>49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 t="s">
        <v>20</v>
      </c>
      <c r="L1437" s="1">
        <v>45227</v>
      </c>
      <c r="M1437">
        <v>43</v>
      </c>
      <c r="N1437">
        <v>37</v>
      </c>
      <c r="O1437">
        <v>1205</v>
      </c>
      <c r="P1437">
        <v>1196</v>
      </c>
      <c r="Q1437">
        <v>1205</v>
      </c>
      <c r="S1437">
        <v>4669</v>
      </c>
      <c r="T1437">
        <v>4669</v>
      </c>
      <c r="U1437">
        <f>+SUM(Table1[[#This Row],[Latinos]:[Cemex]])</f>
        <v>1</v>
      </c>
      <c r="V1437" t="str">
        <f>+Table1[[#This Row],[id_destino]]&amp;" - "&amp;Table1[[#This Row],[id_origen]]</f>
        <v>43 - 37</v>
      </c>
    </row>
    <row r="1438" spans="1:22" hidden="1">
      <c r="A1438">
        <v>3169</v>
      </c>
      <c r="B1438">
        <v>3817</v>
      </c>
      <c r="C1438">
        <v>5804</v>
      </c>
      <c r="D1438">
        <v>52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 t="s">
        <v>20</v>
      </c>
      <c r="L1438" s="1">
        <v>44754</v>
      </c>
      <c r="M1438">
        <v>46</v>
      </c>
      <c r="N1438">
        <v>37</v>
      </c>
      <c r="O1438">
        <v>821</v>
      </c>
      <c r="P1438">
        <v>812</v>
      </c>
      <c r="Q1438">
        <v>821</v>
      </c>
      <c r="S1438">
        <v>2066</v>
      </c>
      <c r="T1438">
        <v>2066</v>
      </c>
      <c r="U1438">
        <f>+SUM(Table1[[#This Row],[Latinos]:[Cemex]])</f>
        <v>1</v>
      </c>
      <c r="V1438" t="str">
        <f>+Table1[[#This Row],[id_destino]]&amp;" - "&amp;Table1[[#This Row],[id_origen]]</f>
        <v>46 - 37</v>
      </c>
    </row>
    <row r="1439" spans="1:22" hidden="1">
      <c r="A1439">
        <v>3253</v>
      </c>
      <c r="B1439">
        <v>3865</v>
      </c>
      <c r="C1439">
        <v>7009</v>
      </c>
      <c r="D1439">
        <v>7017</v>
      </c>
      <c r="E1439">
        <v>0</v>
      </c>
      <c r="F1439">
        <v>0</v>
      </c>
      <c r="G1439">
        <v>0</v>
      </c>
      <c r="H1439">
        <v>1</v>
      </c>
      <c r="I1439">
        <v>0</v>
      </c>
      <c r="J1439">
        <v>0</v>
      </c>
      <c r="K1439" t="s">
        <v>20</v>
      </c>
      <c r="L1439" s="1">
        <v>44797</v>
      </c>
      <c r="M1439">
        <v>51</v>
      </c>
      <c r="N1439">
        <v>37</v>
      </c>
      <c r="O1439">
        <v>1142</v>
      </c>
      <c r="P1439">
        <v>1127</v>
      </c>
      <c r="Q1439">
        <v>1142</v>
      </c>
      <c r="S1439">
        <v>1832</v>
      </c>
      <c r="T1439">
        <v>1832</v>
      </c>
      <c r="U1439">
        <f>+SUM(Table1[[#This Row],[Latinos]:[Cemex]])</f>
        <v>1</v>
      </c>
      <c r="V1439" t="str">
        <f>+Table1[[#This Row],[id_destino]]&amp;" - "&amp;Table1[[#This Row],[id_origen]]</f>
        <v>51 - 37</v>
      </c>
    </row>
    <row r="1440" spans="1:22" hidden="1">
      <c r="A1440">
        <v>3396</v>
      </c>
      <c r="B1440">
        <v>3957</v>
      </c>
      <c r="C1440">
        <v>6342</v>
      </c>
      <c r="D1440">
        <v>7102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 t="s">
        <v>20</v>
      </c>
      <c r="L1440" s="1">
        <v>44869</v>
      </c>
      <c r="M1440">
        <v>57</v>
      </c>
      <c r="N1440">
        <v>37</v>
      </c>
      <c r="O1440">
        <v>669</v>
      </c>
      <c r="P1440">
        <v>672</v>
      </c>
      <c r="Q1440">
        <v>669</v>
      </c>
      <c r="S1440">
        <v>1958</v>
      </c>
      <c r="T1440">
        <v>1958</v>
      </c>
      <c r="U1440">
        <f>+SUM(Table1[[#This Row],[Latinos]:[Cemex]])</f>
        <v>1</v>
      </c>
      <c r="V1440" t="str">
        <f>+Table1[[#This Row],[id_destino]]&amp;" - "&amp;Table1[[#This Row],[id_origen]]</f>
        <v>57 - 37</v>
      </c>
    </row>
    <row r="1441" spans="1:22" hidden="1">
      <c r="A1441">
        <v>649</v>
      </c>
      <c r="B1441">
        <v>2387</v>
      </c>
      <c r="C1441">
        <v>43</v>
      </c>
      <c r="D1441">
        <v>3984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0</v>
      </c>
      <c r="K1441" t="s">
        <v>20</v>
      </c>
      <c r="L1441" s="1">
        <v>43122</v>
      </c>
      <c r="M1441">
        <v>59</v>
      </c>
      <c r="N1441">
        <v>37</v>
      </c>
      <c r="O1441">
        <v>333</v>
      </c>
      <c r="P1441">
        <v>333</v>
      </c>
      <c r="Q1441">
        <v>333</v>
      </c>
      <c r="S1441">
        <v>147</v>
      </c>
      <c r="T1441">
        <v>147</v>
      </c>
      <c r="U1441">
        <f>+SUM(Table1[[#This Row],[Latinos]:[Cemex]])</f>
        <v>1</v>
      </c>
      <c r="V1441" t="str">
        <f>+Table1[[#This Row],[id_destino]]&amp;" - "&amp;Table1[[#This Row],[id_origen]]</f>
        <v>59 - 37</v>
      </c>
    </row>
    <row r="1442" spans="1:22" hidden="1">
      <c r="A1442">
        <v>3340</v>
      </c>
      <c r="B1442">
        <v>3919</v>
      </c>
      <c r="C1442">
        <v>6342</v>
      </c>
      <c r="D1442">
        <v>419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 t="s">
        <v>20</v>
      </c>
      <c r="L1442" s="1">
        <v>44839</v>
      </c>
      <c r="M1442">
        <v>60</v>
      </c>
      <c r="N1442">
        <v>37</v>
      </c>
      <c r="O1442">
        <v>2798</v>
      </c>
      <c r="P1442">
        <v>2798</v>
      </c>
      <c r="Q1442">
        <v>2798</v>
      </c>
      <c r="S1442">
        <v>5110</v>
      </c>
      <c r="T1442">
        <v>5252</v>
      </c>
      <c r="U1442">
        <f>+SUM(Table1[[#This Row],[Latinos]:[Cemex]])</f>
        <v>1</v>
      </c>
      <c r="V1442" t="str">
        <f>+Table1[[#This Row],[id_destino]]&amp;" - "&amp;Table1[[#This Row],[id_origen]]</f>
        <v>60 - 37</v>
      </c>
    </row>
    <row r="1443" spans="1:22" hidden="1">
      <c r="A1443">
        <v>1287</v>
      </c>
      <c r="B1443">
        <v>2672</v>
      </c>
      <c r="C1443">
        <v>1190</v>
      </c>
      <c r="D1443">
        <v>389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  <c r="K1443" t="s">
        <v>20</v>
      </c>
      <c r="L1443" s="1">
        <v>43368</v>
      </c>
      <c r="M1443">
        <v>61</v>
      </c>
      <c r="N1443">
        <v>37</v>
      </c>
      <c r="O1443">
        <v>2558</v>
      </c>
      <c r="P1443">
        <v>2558</v>
      </c>
      <c r="Q1443">
        <v>2558</v>
      </c>
      <c r="S1443">
        <v>4034</v>
      </c>
      <c r="T1443">
        <v>4120</v>
      </c>
      <c r="U1443">
        <f>+SUM(Table1[[#This Row],[Latinos]:[Cemex]])</f>
        <v>1</v>
      </c>
      <c r="V1443" t="str">
        <f>+Table1[[#This Row],[id_destino]]&amp;" - "&amp;Table1[[#This Row],[id_origen]]</f>
        <v>61 - 37</v>
      </c>
    </row>
    <row r="1444" spans="1:22" hidden="1">
      <c r="A1444">
        <v>1254</v>
      </c>
      <c r="B1444">
        <v>2657</v>
      </c>
      <c r="C1444">
        <v>1190</v>
      </c>
      <c r="D1444">
        <v>409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 t="s">
        <v>20</v>
      </c>
      <c r="L1444" s="1">
        <v>43354</v>
      </c>
      <c r="M1444">
        <v>62</v>
      </c>
      <c r="N1444">
        <v>37</v>
      </c>
      <c r="O1444">
        <v>641</v>
      </c>
      <c r="P1444">
        <v>641</v>
      </c>
      <c r="Q1444">
        <v>641</v>
      </c>
      <c r="S1444">
        <v>1367</v>
      </c>
      <c r="T1444">
        <v>1367</v>
      </c>
      <c r="U1444">
        <f>+SUM(Table1[[#This Row],[Latinos]:[Cemex]])</f>
        <v>1</v>
      </c>
      <c r="V1444" t="str">
        <f>+Table1[[#This Row],[id_destino]]&amp;" - "&amp;Table1[[#This Row],[id_origen]]</f>
        <v>62 - 37</v>
      </c>
    </row>
    <row r="1445" spans="1:22" hidden="1">
      <c r="A1445">
        <v>1270</v>
      </c>
      <c r="B1445">
        <v>2663</v>
      </c>
      <c r="C1445">
        <v>7290</v>
      </c>
      <c r="D1445">
        <v>7711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 t="s">
        <v>20</v>
      </c>
      <c r="L1445" s="1">
        <v>45562</v>
      </c>
      <c r="M1445">
        <v>65</v>
      </c>
      <c r="N1445">
        <v>37</v>
      </c>
      <c r="O1445">
        <v>736</v>
      </c>
      <c r="P1445">
        <v>736</v>
      </c>
      <c r="Q1445">
        <v>736</v>
      </c>
      <c r="S1445">
        <v>2798</v>
      </c>
      <c r="T1445">
        <v>2798</v>
      </c>
      <c r="U1445">
        <f>+SUM(Table1[[#This Row],[Latinos]:[Cemex]])</f>
        <v>1</v>
      </c>
      <c r="V1445" t="str">
        <f>+Table1[[#This Row],[id_destino]]&amp;" - "&amp;Table1[[#This Row],[id_origen]]</f>
        <v>65 - 37</v>
      </c>
    </row>
    <row r="1446" spans="1:22" hidden="1">
      <c r="A1446">
        <v>2340</v>
      </c>
      <c r="B1446">
        <v>3285</v>
      </c>
      <c r="C1446">
        <v>5992</v>
      </c>
      <c r="D1446">
        <v>420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 t="s">
        <v>20</v>
      </c>
      <c r="L1446" s="1">
        <v>44875</v>
      </c>
      <c r="M1446">
        <v>71</v>
      </c>
      <c r="N1446">
        <v>37</v>
      </c>
      <c r="O1446">
        <v>626</v>
      </c>
      <c r="P1446">
        <v>601</v>
      </c>
      <c r="Q1446">
        <v>626</v>
      </c>
      <c r="S1446">
        <v>1792</v>
      </c>
      <c r="T1446">
        <v>1792</v>
      </c>
      <c r="U1446">
        <f>+SUM(Table1[[#This Row],[Latinos]:[Cemex]])</f>
        <v>1</v>
      </c>
      <c r="V1446" t="str">
        <f>+Table1[[#This Row],[id_destino]]&amp;" - "&amp;Table1[[#This Row],[id_origen]]</f>
        <v>71 - 37</v>
      </c>
    </row>
    <row r="1447" spans="1:22" hidden="1">
      <c r="A1447">
        <v>3989</v>
      </c>
      <c r="B1447">
        <v>1165</v>
      </c>
      <c r="C1447">
        <v>43</v>
      </c>
      <c r="D1447">
        <v>7428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 t="s">
        <v>20</v>
      </c>
      <c r="L1447" s="1">
        <v>45222</v>
      </c>
      <c r="M1447">
        <v>79</v>
      </c>
      <c r="N1447">
        <v>37</v>
      </c>
      <c r="O1447">
        <v>805</v>
      </c>
      <c r="P1447">
        <v>805</v>
      </c>
      <c r="Q1447">
        <v>805</v>
      </c>
      <c r="S1447">
        <v>3094</v>
      </c>
      <c r="T1447">
        <v>3094</v>
      </c>
      <c r="U1447">
        <f>+SUM(Table1[[#This Row],[Latinos]:[Cemex]])</f>
        <v>1</v>
      </c>
      <c r="V1447" t="str">
        <f>+Table1[[#This Row],[id_destino]]&amp;" - "&amp;Table1[[#This Row],[id_origen]]</f>
        <v>79 - 37</v>
      </c>
    </row>
    <row r="1448" spans="1:22" hidden="1">
      <c r="A1448">
        <v>1862</v>
      </c>
      <c r="B1448">
        <v>1395</v>
      </c>
      <c r="C1448">
        <v>5992</v>
      </c>
      <c r="D1448">
        <v>210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 t="s">
        <v>20</v>
      </c>
      <c r="L1448" s="1">
        <v>43671</v>
      </c>
      <c r="M1448">
        <v>81</v>
      </c>
      <c r="N1448">
        <v>37</v>
      </c>
      <c r="O1448">
        <v>733</v>
      </c>
      <c r="P1448">
        <v>733</v>
      </c>
      <c r="Q1448">
        <v>733</v>
      </c>
      <c r="S1448">
        <v>2227</v>
      </c>
      <c r="T1448">
        <v>2227</v>
      </c>
      <c r="U1448">
        <f>+SUM(Table1[[#This Row],[Latinos]:[Cemex]])</f>
        <v>1</v>
      </c>
      <c r="V1448" t="str">
        <f>+Table1[[#This Row],[id_destino]]&amp;" - "&amp;Table1[[#This Row],[id_origen]]</f>
        <v>81 - 37</v>
      </c>
    </row>
    <row r="1449" spans="1:22" hidden="1">
      <c r="A1449">
        <v>2645</v>
      </c>
      <c r="B1449">
        <v>3474</v>
      </c>
      <c r="C1449">
        <v>6554</v>
      </c>
      <c r="D1449">
        <v>6555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 t="s">
        <v>20</v>
      </c>
      <c r="L1449" s="1">
        <v>44281</v>
      </c>
      <c r="M1449">
        <v>88</v>
      </c>
      <c r="N1449">
        <v>37</v>
      </c>
      <c r="O1449">
        <v>528</v>
      </c>
      <c r="P1449">
        <v>562</v>
      </c>
      <c r="Q1449">
        <v>528</v>
      </c>
      <c r="S1449">
        <v>1721</v>
      </c>
      <c r="T1449">
        <v>1721</v>
      </c>
      <c r="U1449">
        <f>+SUM(Table1[[#This Row],[Latinos]:[Cemex]])</f>
        <v>1</v>
      </c>
      <c r="V1449" t="str">
        <f>+Table1[[#This Row],[id_destino]]&amp;" - "&amp;Table1[[#This Row],[id_origen]]</f>
        <v>88 - 37</v>
      </c>
    </row>
    <row r="1450" spans="1:22" hidden="1">
      <c r="A1450">
        <v>3702</v>
      </c>
      <c r="B1450">
        <v>4173</v>
      </c>
      <c r="C1450">
        <v>6342</v>
      </c>
      <c r="D1450">
        <v>7321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  <c r="K1450" t="s">
        <v>20</v>
      </c>
      <c r="L1450" s="1">
        <v>45036</v>
      </c>
      <c r="M1450">
        <v>95</v>
      </c>
      <c r="N1450">
        <v>37</v>
      </c>
      <c r="O1450">
        <v>1147</v>
      </c>
      <c r="P1450">
        <v>161</v>
      </c>
      <c r="Q1450">
        <v>1147</v>
      </c>
      <c r="S1450">
        <v>1989</v>
      </c>
      <c r="T1450">
        <v>1989</v>
      </c>
      <c r="U1450">
        <f>+SUM(Table1[[#This Row],[Latinos]:[Cemex]])</f>
        <v>1</v>
      </c>
      <c r="V1450" t="str">
        <f>+Table1[[#This Row],[id_destino]]&amp;" - "&amp;Table1[[#This Row],[id_origen]]</f>
        <v>95 - 37</v>
      </c>
    </row>
    <row r="1451" spans="1:22" hidden="1">
      <c r="A1451">
        <v>1547</v>
      </c>
      <c r="B1451">
        <v>333</v>
      </c>
      <c r="C1451">
        <v>5804</v>
      </c>
      <c r="D1451">
        <v>5815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 t="s">
        <v>20</v>
      </c>
      <c r="L1451" s="1">
        <v>43501</v>
      </c>
      <c r="M1451">
        <v>107</v>
      </c>
      <c r="N1451">
        <v>37</v>
      </c>
      <c r="O1451">
        <v>1048</v>
      </c>
      <c r="P1451">
        <v>1012</v>
      </c>
      <c r="Q1451">
        <v>1048</v>
      </c>
      <c r="S1451">
        <v>4649</v>
      </c>
      <c r="T1451">
        <v>4649</v>
      </c>
      <c r="U1451">
        <f>+SUM(Table1[[#This Row],[Latinos]:[Cemex]])</f>
        <v>1</v>
      </c>
      <c r="V1451" t="str">
        <f>+Table1[[#This Row],[id_destino]]&amp;" - "&amp;Table1[[#This Row],[id_origen]]</f>
        <v>107 - 37</v>
      </c>
    </row>
    <row r="1452" spans="1:22" hidden="1">
      <c r="A1452">
        <v>3385</v>
      </c>
      <c r="B1452">
        <v>3951</v>
      </c>
      <c r="C1452">
        <v>1190</v>
      </c>
      <c r="D1452">
        <v>6790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 t="s">
        <v>20</v>
      </c>
      <c r="L1452" s="1">
        <v>44866</v>
      </c>
      <c r="M1452">
        <v>111</v>
      </c>
      <c r="N1452">
        <v>37</v>
      </c>
      <c r="O1452">
        <v>1634</v>
      </c>
      <c r="P1452">
        <v>1614</v>
      </c>
      <c r="Q1452">
        <v>1634</v>
      </c>
      <c r="S1452">
        <v>3916</v>
      </c>
      <c r="T1452">
        <v>4002</v>
      </c>
      <c r="U1452">
        <f>+SUM(Table1[[#This Row],[Latinos]:[Cemex]])</f>
        <v>1</v>
      </c>
      <c r="V1452" t="str">
        <f>+Table1[[#This Row],[id_destino]]&amp;" - "&amp;Table1[[#This Row],[id_origen]]</f>
        <v>111 - 37</v>
      </c>
    </row>
    <row r="1453" spans="1:22" hidden="1">
      <c r="A1453">
        <v>3498</v>
      </c>
      <c r="B1453">
        <v>2435</v>
      </c>
      <c r="C1453">
        <v>5804</v>
      </c>
      <c r="D1453">
        <v>4607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 t="s">
        <v>20</v>
      </c>
      <c r="L1453" s="1">
        <v>44931</v>
      </c>
      <c r="M1453">
        <v>117</v>
      </c>
      <c r="N1453">
        <v>37</v>
      </c>
      <c r="O1453">
        <v>687</v>
      </c>
      <c r="P1453">
        <v>617</v>
      </c>
      <c r="Q1453">
        <v>687</v>
      </c>
      <c r="S1453">
        <v>1021</v>
      </c>
      <c r="T1453">
        <v>1021</v>
      </c>
      <c r="U1453">
        <f>+SUM(Table1[[#This Row],[Latinos]:[Cemex]])</f>
        <v>1</v>
      </c>
      <c r="V1453" t="str">
        <f>+Table1[[#This Row],[id_destino]]&amp;" - "&amp;Table1[[#This Row],[id_origen]]</f>
        <v>117 - 37</v>
      </c>
    </row>
    <row r="1454" spans="1:22" hidden="1">
      <c r="A1454">
        <v>2339</v>
      </c>
      <c r="B1454">
        <v>3284</v>
      </c>
      <c r="C1454">
        <v>5992</v>
      </c>
      <c r="D1454">
        <v>1152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 t="s">
        <v>20</v>
      </c>
      <c r="L1454" s="1">
        <v>43958</v>
      </c>
      <c r="M1454">
        <v>121</v>
      </c>
      <c r="N1454">
        <v>37</v>
      </c>
      <c r="O1454">
        <v>449</v>
      </c>
      <c r="P1454">
        <v>449</v>
      </c>
      <c r="Q1454">
        <v>449</v>
      </c>
      <c r="S1454">
        <v>1477</v>
      </c>
      <c r="T1454">
        <v>1477</v>
      </c>
      <c r="U1454">
        <f>+SUM(Table1[[#This Row],[Latinos]:[Cemex]])</f>
        <v>1</v>
      </c>
      <c r="V1454" t="str">
        <f>+Table1[[#This Row],[id_destino]]&amp;" - "&amp;Table1[[#This Row],[id_origen]]</f>
        <v>121 - 37</v>
      </c>
    </row>
    <row r="1455" spans="1:22" hidden="1">
      <c r="A1455">
        <v>4071</v>
      </c>
      <c r="B1455">
        <v>4400</v>
      </c>
      <c r="C1455">
        <v>7290</v>
      </c>
      <c r="D1455">
        <v>7582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 t="s">
        <v>20</v>
      </c>
      <c r="L1455" s="1">
        <v>45265</v>
      </c>
      <c r="M1455">
        <v>167</v>
      </c>
      <c r="N1455">
        <v>37</v>
      </c>
      <c r="O1455">
        <v>1151</v>
      </c>
      <c r="P1455">
        <v>1189</v>
      </c>
      <c r="Q1455">
        <v>1151</v>
      </c>
      <c r="S1455">
        <v>4171</v>
      </c>
      <c r="T1455">
        <v>4171</v>
      </c>
      <c r="U1455">
        <f>+SUM(Table1[[#This Row],[Latinos]:[Cemex]])</f>
        <v>1</v>
      </c>
      <c r="V1455" t="str">
        <f>+Table1[[#This Row],[id_destino]]&amp;" - "&amp;Table1[[#This Row],[id_origen]]</f>
        <v>167 - 37</v>
      </c>
    </row>
    <row r="1456" spans="1:22" hidden="1">
      <c r="A1456">
        <v>1232</v>
      </c>
      <c r="B1456">
        <v>2460</v>
      </c>
      <c r="C1456">
        <v>1190</v>
      </c>
      <c r="D1456">
        <v>382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 t="s">
        <v>20</v>
      </c>
      <c r="L1456" s="1">
        <v>43958</v>
      </c>
      <c r="M1456">
        <v>169</v>
      </c>
      <c r="N1456">
        <v>37</v>
      </c>
      <c r="O1456">
        <v>515</v>
      </c>
      <c r="P1456">
        <v>515</v>
      </c>
      <c r="Q1456">
        <v>515</v>
      </c>
      <c r="S1456">
        <v>1477</v>
      </c>
      <c r="T1456">
        <v>1477</v>
      </c>
      <c r="U1456">
        <f>+SUM(Table1[[#This Row],[Latinos]:[Cemex]])</f>
        <v>1</v>
      </c>
      <c r="V1456" t="str">
        <f>+Table1[[#This Row],[id_destino]]&amp;" - "&amp;Table1[[#This Row],[id_origen]]</f>
        <v>169 - 37</v>
      </c>
    </row>
    <row r="1457" spans="1:22" hidden="1">
      <c r="A1457">
        <v>4675</v>
      </c>
      <c r="B1457">
        <v>4836</v>
      </c>
      <c r="C1457">
        <v>7865</v>
      </c>
      <c r="D1457">
        <v>8149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 t="s">
        <v>20</v>
      </c>
      <c r="L1457" s="1">
        <v>45720</v>
      </c>
      <c r="M1457">
        <v>179</v>
      </c>
      <c r="N1457">
        <v>37</v>
      </c>
      <c r="O1457">
        <v>1931</v>
      </c>
      <c r="P1457">
        <v>1931</v>
      </c>
      <c r="Q1457">
        <v>1931</v>
      </c>
      <c r="S1457">
        <v>7632</v>
      </c>
      <c r="T1457">
        <v>7632</v>
      </c>
      <c r="U1457">
        <f>+SUM(Table1[[#This Row],[Latinos]:[Cemex]])</f>
        <v>1</v>
      </c>
      <c r="V1457" t="str">
        <f>+Table1[[#This Row],[id_destino]]&amp;" - "&amp;Table1[[#This Row],[id_origen]]</f>
        <v>179 - 37</v>
      </c>
    </row>
    <row r="1458" spans="1:22" hidden="1">
      <c r="A1458">
        <v>4477</v>
      </c>
      <c r="B1458">
        <v>4687</v>
      </c>
      <c r="C1458">
        <v>7290</v>
      </c>
      <c r="D1458">
        <v>7949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  <c r="K1458" t="s">
        <v>20</v>
      </c>
      <c r="L1458" s="1">
        <v>45574</v>
      </c>
      <c r="M1458">
        <v>345</v>
      </c>
      <c r="N1458">
        <v>37</v>
      </c>
      <c r="O1458">
        <v>623</v>
      </c>
      <c r="P1458">
        <v>632</v>
      </c>
      <c r="Q1458">
        <v>623</v>
      </c>
      <c r="S1458">
        <v>2261</v>
      </c>
      <c r="T1458">
        <v>2261</v>
      </c>
      <c r="U1458">
        <f>+SUM(Table1[[#This Row],[Latinos]:[Cemex]])</f>
        <v>1</v>
      </c>
      <c r="V1458" t="str">
        <f>+Table1[[#This Row],[id_destino]]&amp;" - "&amp;Table1[[#This Row],[id_origen]]</f>
        <v>345 - 37</v>
      </c>
    </row>
    <row r="1459" spans="1:22" hidden="1">
      <c r="A1459">
        <v>4387</v>
      </c>
      <c r="B1459">
        <v>4620</v>
      </c>
      <c r="C1459">
        <v>7865</v>
      </c>
      <c r="D1459">
        <v>7867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 t="s">
        <v>20</v>
      </c>
      <c r="L1459" s="1">
        <v>45511</v>
      </c>
      <c r="M1459">
        <v>379</v>
      </c>
      <c r="N1459">
        <v>37</v>
      </c>
      <c r="O1459">
        <v>1109</v>
      </c>
      <c r="P1459">
        <v>1109</v>
      </c>
      <c r="Q1459">
        <v>1109</v>
      </c>
      <c r="S1459">
        <v>2059</v>
      </c>
      <c r="T1459">
        <v>2059</v>
      </c>
      <c r="U1459">
        <f>+SUM(Table1[[#This Row],[Latinos]:[Cemex]])</f>
        <v>1</v>
      </c>
      <c r="V1459" t="str">
        <f>+Table1[[#This Row],[id_destino]]&amp;" - "&amp;Table1[[#This Row],[id_origen]]</f>
        <v>379 - 37</v>
      </c>
    </row>
    <row r="1460" spans="1:22">
      <c r="A1460">
        <v>3526</v>
      </c>
      <c r="B1460">
        <v>1438</v>
      </c>
      <c r="C1460">
        <v>7009</v>
      </c>
      <c r="D1460">
        <v>7187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 t="s">
        <v>20</v>
      </c>
      <c r="L1460" s="1">
        <v>44946</v>
      </c>
      <c r="M1460">
        <v>384</v>
      </c>
      <c r="N1460">
        <v>37</v>
      </c>
      <c r="O1460">
        <v>517</v>
      </c>
      <c r="P1460">
        <v>503</v>
      </c>
      <c r="Q1460">
        <v>517</v>
      </c>
      <c r="S1460">
        <v>1721</v>
      </c>
      <c r="T1460">
        <v>1721</v>
      </c>
      <c r="U1460">
        <f>+SUM(Table1[[#This Row],[Latinos]:[Cemex]])</f>
        <v>1</v>
      </c>
      <c r="V1460" t="str">
        <f>+Table1[[#This Row],[id_destino]]&amp;" - "&amp;Table1[[#This Row],[id_origen]]</f>
        <v>384 - 37</v>
      </c>
    </row>
    <row r="1461" spans="1:22">
      <c r="A1461">
        <v>1272</v>
      </c>
      <c r="B1461">
        <v>2664</v>
      </c>
      <c r="C1461">
        <v>1190</v>
      </c>
      <c r="D1461">
        <v>2377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 t="s">
        <v>20</v>
      </c>
      <c r="L1461" s="1">
        <v>43959</v>
      </c>
      <c r="M1461">
        <v>424</v>
      </c>
      <c r="N1461">
        <v>37</v>
      </c>
      <c r="O1461">
        <v>762</v>
      </c>
      <c r="P1461">
        <v>762</v>
      </c>
      <c r="Q1461">
        <v>762</v>
      </c>
      <c r="S1461">
        <v>2401</v>
      </c>
      <c r="T1461">
        <v>2401</v>
      </c>
      <c r="U1461">
        <f>+SUM(Table1[[#This Row],[Latinos]:[Cemex]])</f>
        <v>1</v>
      </c>
      <c r="V1461" t="str">
        <f>+Table1[[#This Row],[id_destino]]&amp;" - "&amp;Table1[[#This Row],[id_origen]]</f>
        <v>424 - 37</v>
      </c>
    </row>
    <row r="1462" spans="1:22" hidden="1">
      <c r="A1462">
        <v>2827</v>
      </c>
      <c r="B1462">
        <v>3592</v>
      </c>
      <c r="C1462">
        <v>5992</v>
      </c>
      <c r="D1462">
        <v>6705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 t="s">
        <v>20</v>
      </c>
      <c r="L1462" s="1">
        <v>44491</v>
      </c>
      <c r="M1462">
        <v>491</v>
      </c>
      <c r="N1462">
        <v>37</v>
      </c>
      <c r="O1462">
        <v>549</v>
      </c>
      <c r="P1462">
        <v>546</v>
      </c>
      <c r="Q1462">
        <v>549</v>
      </c>
      <c r="S1462">
        <v>1553</v>
      </c>
      <c r="T1462">
        <v>1553</v>
      </c>
      <c r="U1462">
        <f>+SUM(Table1[[#This Row],[Latinos]:[Cemex]])</f>
        <v>1</v>
      </c>
      <c r="V1462" t="str">
        <f>+Table1[[#This Row],[id_destino]]&amp;" - "&amp;Table1[[#This Row],[id_origen]]</f>
        <v>491 - 37</v>
      </c>
    </row>
    <row r="1463" spans="1:22" hidden="1">
      <c r="A1463">
        <v>4605</v>
      </c>
      <c r="B1463">
        <v>4788</v>
      </c>
      <c r="C1463">
        <v>7290</v>
      </c>
      <c r="D1463">
        <v>8078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 t="s">
        <v>20</v>
      </c>
      <c r="L1463" s="1">
        <v>45666</v>
      </c>
      <c r="M1463">
        <v>492</v>
      </c>
      <c r="N1463">
        <v>37</v>
      </c>
      <c r="O1463">
        <v>861</v>
      </c>
      <c r="P1463">
        <v>861</v>
      </c>
      <c r="Q1463">
        <v>861</v>
      </c>
      <c r="S1463">
        <v>0</v>
      </c>
      <c r="T1463">
        <v>0</v>
      </c>
      <c r="U1463">
        <f>+SUM(Table1[[#This Row],[Latinos]:[Cemex]])</f>
        <v>1</v>
      </c>
      <c r="V1463" t="str">
        <f>+Table1[[#This Row],[id_destino]]&amp;" - "&amp;Table1[[#This Row],[id_origen]]</f>
        <v>492 - 37</v>
      </c>
    </row>
    <row r="1464" spans="1:22" hidden="1">
      <c r="A1464">
        <v>3525</v>
      </c>
      <c r="B1464">
        <v>4049</v>
      </c>
      <c r="C1464">
        <v>7009</v>
      </c>
      <c r="D1464">
        <v>6566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 t="s">
        <v>20</v>
      </c>
      <c r="L1464" s="1">
        <v>45280</v>
      </c>
      <c r="M1464">
        <v>525</v>
      </c>
      <c r="N1464">
        <v>37</v>
      </c>
      <c r="O1464">
        <v>597</v>
      </c>
      <c r="P1464">
        <v>619</v>
      </c>
      <c r="Q1464">
        <v>597</v>
      </c>
      <c r="S1464">
        <v>1901</v>
      </c>
      <c r="T1464">
        <v>1901</v>
      </c>
      <c r="U1464">
        <f>+SUM(Table1[[#This Row],[Latinos]:[Cemex]])</f>
        <v>1</v>
      </c>
      <c r="V1464" t="str">
        <f>+Table1[[#This Row],[id_destino]]&amp;" - "&amp;Table1[[#This Row],[id_origen]]</f>
        <v>525 - 37</v>
      </c>
    </row>
    <row r="1465" spans="1:22" hidden="1">
      <c r="A1465">
        <v>4281</v>
      </c>
      <c r="B1465">
        <v>4542</v>
      </c>
      <c r="C1465">
        <v>7290</v>
      </c>
      <c r="D1465">
        <v>7762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 t="s">
        <v>20</v>
      </c>
      <c r="L1465" s="1">
        <v>45423</v>
      </c>
      <c r="M1465">
        <v>529</v>
      </c>
      <c r="N1465">
        <v>37</v>
      </c>
      <c r="O1465">
        <v>612</v>
      </c>
      <c r="P1465">
        <v>13</v>
      </c>
      <c r="Q1465">
        <v>612</v>
      </c>
      <c r="S1465">
        <v>2203</v>
      </c>
      <c r="T1465">
        <v>2203</v>
      </c>
      <c r="U1465">
        <f>+SUM(Table1[[#This Row],[Latinos]:[Cemex]])</f>
        <v>1</v>
      </c>
      <c r="V1465" t="str">
        <f>+Table1[[#This Row],[id_destino]]&amp;" - "&amp;Table1[[#This Row],[id_origen]]</f>
        <v>529 - 37</v>
      </c>
    </row>
    <row r="1466" spans="1:22" hidden="1">
      <c r="A1466">
        <v>4241</v>
      </c>
      <c r="B1466">
        <v>4517</v>
      </c>
      <c r="C1466">
        <v>7290</v>
      </c>
      <c r="D1466">
        <v>7721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 t="s">
        <v>20</v>
      </c>
      <c r="L1466" s="1">
        <v>45389</v>
      </c>
      <c r="M1466">
        <v>590</v>
      </c>
      <c r="N1466">
        <v>37</v>
      </c>
      <c r="O1466">
        <v>1523</v>
      </c>
      <c r="P1466">
        <v>1525</v>
      </c>
      <c r="Q1466">
        <v>1523</v>
      </c>
      <c r="S1466">
        <v>4577</v>
      </c>
      <c r="T1466">
        <v>4577</v>
      </c>
      <c r="U1466">
        <f>+SUM(Table1[[#This Row],[Latinos]:[Cemex]])</f>
        <v>1</v>
      </c>
      <c r="V1466" t="str">
        <f>+Table1[[#This Row],[id_destino]]&amp;" - "&amp;Table1[[#This Row],[id_origen]]</f>
        <v>590 - 37</v>
      </c>
    </row>
    <row r="1467" spans="1:22">
      <c r="A1467">
        <v>3777</v>
      </c>
      <c r="B1467">
        <v>4214</v>
      </c>
      <c r="C1467">
        <v>43</v>
      </c>
      <c r="D1467">
        <v>7043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 t="s">
        <v>20</v>
      </c>
      <c r="L1467" s="1">
        <v>45084</v>
      </c>
      <c r="M1467">
        <v>684</v>
      </c>
      <c r="N1467">
        <v>37</v>
      </c>
      <c r="O1467">
        <v>795</v>
      </c>
      <c r="P1467">
        <v>814</v>
      </c>
      <c r="Q1467">
        <v>795</v>
      </c>
      <c r="S1467">
        <v>3184</v>
      </c>
      <c r="T1467">
        <v>3194</v>
      </c>
      <c r="U1467">
        <f>+SUM(Table1[[#This Row],[Latinos]:[Cemex]])</f>
        <v>1</v>
      </c>
      <c r="V1467" t="str">
        <f>+Table1[[#This Row],[id_destino]]&amp;" - "&amp;Table1[[#This Row],[id_origen]]</f>
        <v>684 - 37</v>
      </c>
    </row>
    <row r="1468" spans="1:22" hidden="1">
      <c r="A1468">
        <v>2344</v>
      </c>
      <c r="B1468">
        <v>3287</v>
      </c>
      <c r="C1468">
        <v>5992</v>
      </c>
      <c r="D1468">
        <v>2996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 t="s">
        <v>20</v>
      </c>
      <c r="L1468" s="1">
        <v>43959</v>
      </c>
      <c r="M1468">
        <v>685</v>
      </c>
      <c r="N1468">
        <v>37</v>
      </c>
      <c r="O1468">
        <v>745</v>
      </c>
      <c r="P1468">
        <v>745</v>
      </c>
      <c r="Q1468">
        <v>745</v>
      </c>
      <c r="S1468">
        <v>2401</v>
      </c>
      <c r="T1468">
        <v>2401</v>
      </c>
      <c r="U1468">
        <f>+SUM(Table1[[#This Row],[Latinos]:[Cemex]])</f>
        <v>1</v>
      </c>
      <c r="V1468" t="str">
        <f>+Table1[[#This Row],[id_destino]]&amp;" - "&amp;Table1[[#This Row],[id_origen]]</f>
        <v>685 - 37</v>
      </c>
    </row>
    <row r="1469" spans="1:22" hidden="1">
      <c r="A1469">
        <v>3457</v>
      </c>
      <c r="B1469">
        <v>4004</v>
      </c>
      <c r="C1469">
        <v>7009</v>
      </c>
      <c r="D1469">
        <v>7136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 t="s">
        <v>20</v>
      </c>
      <c r="L1469" s="1">
        <v>44903</v>
      </c>
      <c r="M1469">
        <v>690</v>
      </c>
      <c r="N1469">
        <v>37</v>
      </c>
      <c r="O1469">
        <v>2193</v>
      </c>
      <c r="P1469">
        <v>2184</v>
      </c>
      <c r="Q1469">
        <v>2193</v>
      </c>
      <c r="S1469">
        <v>5163</v>
      </c>
      <c r="T1469">
        <v>5615</v>
      </c>
      <c r="U1469">
        <f>+SUM(Table1[[#This Row],[Latinos]:[Cemex]])</f>
        <v>1</v>
      </c>
      <c r="V1469" t="str">
        <f>+Table1[[#This Row],[id_destino]]&amp;" - "&amp;Table1[[#This Row],[id_origen]]</f>
        <v>690 - 37</v>
      </c>
    </row>
    <row r="1470" spans="1:22" hidden="1">
      <c r="A1470">
        <v>3033</v>
      </c>
      <c r="B1470">
        <v>3732</v>
      </c>
      <c r="C1470">
        <v>6891</v>
      </c>
      <c r="D1470">
        <v>6898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  <c r="K1470" t="s">
        <v>20</v>
      </c>
      <c r="L1470" s="1">
        <v>44701</v>
      </c>
      <c r="M1470">
        <v>847</v>
      </c>
      <c r="N1470">
        <v>37</v>
      </c>
      <c r="O1470">
        <v>767</v>
      </c>
      <c r="P1470">
        <v>764</v>
      </c>
      <c r="Q1470">
        <v>767</v>
      </c>
      <c r="S1470">
        <v>2041</v>
      </c>
      <c r="T1470">
        <v>2041</v>
      </c>
      <c r="U1470">
        <f>+SUM(Table1[[#This Row],[Latinos]:[Cemex]])</f>
        <v>1</v>
      </c>
      <c r="V1470" t="str">
        <f>+Table1[[#This Row],[id_destino]]&amp;" - "&amp;Table1[[#This Row],[id_origen]]</f>
        <v>847 - 37</v>
      </c>
    </row>
    <row r="1471" spans="1:22" hidden="1">
      <c r="A1471">
        <v>3807</v>
      </c>
      <c r="B1471">
        <v>4231</v>
      </c>
      <c r="C1471">
        <v>6342</v>
      </c>
      <c r="D1471">
        <v>7396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 t="s">
        <v>20</v>
      </c>
      <c r="L1471" s="1">
        <v>45104</v>
      </c>
      <c r="M1471">
        <v>878</v>
      </c>
      <c r="N1471">
        <v>37</v>
      </c>
      <c r="O1471">
        <v>820</v>
      </c>
      <c r="P1471">
        <v>812</v>
      </c>
      <c r="Q1471">
        <v>820</v>
      </c>
      <c r="S1471">
        <v>2430</v>
      </c>
      <c r="T1471">
        <v>2430</v>
      </c>
      <c r="U1471">
        <f>+SUM(Table1[[#This Row],[Latinos]:[Cemex]])</f>
        <v>1</v>
      </c>
      <c r="V1471" t="str">
        <f>+Table1[[#This Row],[id_destino]]&amp;" - "&amp;Table1[[#This Row],[id_origen]]</f>
        <v>878 - 37</v>
      </c>
    </row>
    <row r="1472" spans="1:22" hidden="1">
      <c r="A1472">
        <v>4430</v>
      </c>
      <c r="B1472">
        <v>4653</v>
      </c>
      <c r="C1472">
        <v>7290</v>
      </c>
      <c r="D1472">
        <v>7895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 t="s">
        <v>20</v>
      </c>
      <c r="L1472" s="1">
        <v>45536</v>
      </c>
      <c r="M1472">
        <v>911</v>
      </c>
      <c r="N1472">
        <v>37</v>
      </c>
      <c r="O1472">
        <v>1985</v>
      </c>
      <c r="P1472">
        <v>2163</v>
      </c>
      <c r="Q1472">
        <v>1985</v>
      </c>
      <c r="S1472">
        <v>4586</v>
      </c>
      <c r="T1472">
        <v>4586</v>
      </c>
      <c r="U1472">
        <f>+SUM(Table1[[#This Row],[Latinos]:[Cemex]])</f>
        <v>1</v>
      </c>
      <c r="V1472" t="str">
        <f>+Table1[[#This Row],[id_destino]]&amp;" - "&amp;Table1[[#This Row],[id_origen]]</f>
        <v>911 - 37</v>
      </c>
    </row>
    <row r="1473" spans="1:22" hidden="1">
      <c r="A1473">
        <v>3449</v>
      </c>
      <c r="B1473">
        <v>3998</v>
      </c>
      <c r="C1473">
        <v>395</v>
      </c>
      <c r="D1473">
        <v>353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 t="s">
        <v>20</v>
      </c>
      <c r="L1473" s="1">
        <v>44898</v>
      </c>
      <c r="M1473">
        <v>7</v>
      </c>
      <c r="N1473">
        <v>38</v>
      </c>
      <c r="O1473">
        <v>1953</v>
      </c>
      <c r="P1473">
        <v>1964</v>
      </c>
      <c r="Q1473">
        <v>1953</v>
      </c>
      <c r="S1473">
        <v>4089</v>
      </c>
      <c r="T1473">
        <v>4506</v>
      </c>
      <c r="U1473">
        <f>+SUM(Table1[[#This Row],[Latinos]:[Cemex]])</f>
        <v>1</v>
      </c>
      <c r="V1473" t="str">
        <f>+Table1[[#This Row],[id_destino]]&amp;" - "&amp;Table1[[#This Row],[id_origen]]</f>
        <v>7 - 38</v>
      </c>
    </row>
    <row r="1474" spans="1:22" hidden="1">
      <c r="A1474">
        <v>4730</v>
      </c>
      <c r="B1474">
        <v>4871</v>
      </c>
      <c r="C1474">
        <v>8208</v>
      </c>
      <c r="D1474">
        <v>8209</v>
      </c>
      <c r="E1474">
        <v>0</v>
      </c>
      <c r="F1474">
        <v>0</v>
      </c>
      <c r="G1474">
        <v>0</v>
      </c>
      <c r="H1474">
        <v>1</v>
      </c>
      <c r="I1474">
        <v>0</v>
      </c>
      <c r="J1474">
        <v>0</v>
      </c>
      <c r="K1474" t="s">
        <v>20</v>
      </c>
      <c r="L1474" s="1">
        <v>45769</v>
      </c>
      <c r="M1474">
        <v>10</v>
      </c>
      <c r="N1474">
        <v>38</v>
      </c>
      <c r="O1474">
        <v>1213</v>
      </c>
      <c r="P1474">
        <v>1213</v>
      </c>
      <c r="Q1474">
        <v>1213</v>
      </c>
      <c r="S1474">
        <v>4056</v>
      </c>
      <c r="T1474">
        <v>4056</v>
      </c>
      <c r="U1474">
        <f>+SUM(Table1[[#This Row],[Latinos]:[Cemex]])</f>
        <v>1</v>
      </c>
      <c r="V1474" t="str">
        <f>+Table1[[#This Row],[id_destino]]&amp;" - "&amp;Table1[[#This Row],[id_origen]]</f>
        <v>10 - 38</v>
      </c>
    </row>
    <row r="1475" spans="1:22" hidden="1">
      <c r="A1475">
        <v>861</v>
      </c>
      <c r="B1475">
        <v>601</v>
      </c>
      <c r="C1475">
        <v>395</v>
      </c>
      <c r="D1475">
        <v>404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 t="s">
        <v>20</v>
      </c>
      <c r="L1475" s="1">
        <v>43195</v>
      </c>
      <c r="M1475">
        <v>11</v>
      </c>
      <c r="N1475">
        <v>38</v>
      </c>
      <c r="O1475">
        <v>189</v>
      </c>
      <c r="P1475">
        <v>189</v>
      </c>
      <c r="Q1475">
        <v>189</v>
      </c>
      <c r="S1475">
        <v>751</v>
      </c>
      <c r="T1475">
        <v>751</v>
      </c>
      <c r="U1475">
        <f>+SUM(Table1[[#This Row],[Latinos]:[Cemex]])</f>
        <v>1</v>
      </c>
      <c r="V1475" t="str">
        <f>+Table1[[#This Row],[id_destino]]&amp;" - "&amp;Table1[[#This Row],[id_origen]]</f>
        <v>11 - 38</v>
      </c>
    </row>
    <row r="1476" spans="1:22" hidden="1">
      <c r="A1476">
        <v>4110</v>
      </c>
      <c r="B1476">
        <v>2754</v>
      </c>
      <c r="C1476">
        <v>7618</v>
      </c>
      <c r="D1476">
        <v>7619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  <c r="K1476" t="s">
        <v>20</v>
      </c>
      <c r="L1476" s="1">
        <v>45297</v>
      </c>
      <c r="M1476">
        <v>13</v>
      </c>
      <c r="N1476">
        <v>38</v>
      </c>
      <c r="O1476">
        <v>135</v>
      </c>
      <c r="P1476">
        <v>135</v>
      </c>
      <c r="Q1476">
        <v>135</v>
      </c>
      <c r="S1476">
        <v>784</v>
      </c>
      <c r="T1476">
        <v>784</v>
      </c>
      <c r="U1476">
        <f>+SUM(Table1[[#This Row],[Latinos]:[Cemex]])</f>
        <v>1</v>
      </c>
      <c r="V1476" t="str">
        <f>+Table1[[#This Row],[id_destino]]&amp;" - "&amp;Table1[[#This Row],[id_origen]]</f>
        <v>13 - 38</v>
      </c>
    </row>
    <row r="1477" spans="1:22" hidden="1">
      <c r="A1477">
        <v>2847</v>
      </c>
      <c r="B1477">
        <v>3605</v>
      </c>
      <c r="C1477">
        <v>6703</v>
      </c>
      <c r="D1477">
        <v>1362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 t="s">
        <v>20</v>
      </c>
      <c r="L1477" s="1">
        <v>44748</v>
      </c>
      <c r="M1477">
        <v>26</v>
      </c>
      <c r="N1477">
        <v>38</v>
      </c>
      <c r="O1477">
        <v>297</v>
      </c>
      <c r="P1477">
        <v>296</v>
      </c>
      <c r="Q1477">
        <v>297</v>
      </c>
      <c r="S1477">
        <v>919</v>
      </c>
      <c r="T1477">
        <v>919</v>
      </c>
      <c r="U1477">
        <f>+SUM(Table1[[#This Row],[Latinos]:[Cemex]])</f>
        <v>1</v>
      </c>
      <c r="V1477" t="str">
        <f>+Table1[[#This Row],[id_destino]]&amp;" - "&amp;Table1[[#This Row],[id_origen]]</f>
        <v>26 - 38</v>
      </c>
    </row>
    <row r="1478" spans="1:22" hidden="1">
      <c r="A1478">
        <v>3092</v>
      </c>
      <c r="B1478">
        <v>3770</v>
      </c>
      <c r="C1478">
        <v>395</v>
      </c>
      <c r="D1478">
        <v>403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 t="s">
        <v>20</v>
      </c>
      <c r="L1478" s="1">
        <v>44721</v>
      </c>
      <c r="M1478">
        <v>27</v>
      </c>
      <c r="N1478">
        <v>38</v>
      </c>
      <c r="O1478">
        <v>619</v>
      </c>
      <c r="P1478">
        <v>617</v>
      </c>
      <c r="Q1478">
        <v>619</v>
      </c>
      <c r="S1478">
        <v>1310</v>
      </c>
      <c r="T1478">
        <v>1310</v>
      </c>
      <c r="U1478">
        <f>+SUM(Table1[[#This Row],[Latinos]:[Cemex]])</f>
        <v>1</v>
      </c>
      <c r="V1478" t="str">
        <f>+Table1[[#This Row],[id_destino]]&amp;" - "&amp;Table1[[#This Row],[id_origen]]</f>
        <v>27 - 38</v>
      </c>
    </row>
    <row r="1479" spans="1:22" hidden="1">
      <c r="A1479">
        <v>3032</v>
      </c>
      <c r="B1479">
        <v>3731</v>
      </c>
      <c r="C1479">
        <v>395</v>
      </c>
      <c r="D1479">
        <v>387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 t="s">
        <v>20</v>
      </c>
      <c r="L1479" s="1">
        <v>44700</v>
      </c>
      <c r="M1479">
        <v>30</v>
      </c>
      <c r="N1479">
        <v>38</v>
      </c>
      <c r="O1479">
        <v>785</v>
      </c>
      <c r="P1479">
        <v>758</v>
      </c>
      <c r="Q1479">
        <v>785</v>
      </c>
      <c r="S1479">
        <v>2366</v>
      </c>
      <c r="T1479">
        <v>2366</v>
      </c>
      <c r="U1479">
        <f>+SUM(Table1[[#This Row],[Latinos]:[Cemex]])</f>
        <v>1</v>
      </c>
      <c r="V1479" t="str">
        <f>+Table1[[#This Row],[id_destino]]&amp;" - "&amp;Table1[[#This Row],[id_origen]]</f>
        <v>30 - 38</v>
      </c>
    </row>
    <row r="1480" spans="1:22" hidden="1">
      <c r="A1480">
        <v>1008</v>
      </c>
      <c r="B1480">
        <v>579</v>
      </c>
      <c r="C1480">
        <v>2879</v>
      </c>
      <c r="D1480">
        <v>43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 t="s">
        <v>20</v>
      </c>
      <c r="L1480" s="1">
        <v>43248</v>
      </c>
      <c r="M1480">
        <v>37</v>
      </c>
      <c r="N1480">
        <v>38</v>
      </c>
      <c r="O1480">
        <v>351</v>
      </c>
      <c r="P1480">
        <v>312</v>
      </c>
      <c r="Q1480">
        <v>351</v>
      </c>
      <c r="S1480">
        <v>1378</v>
      </c>
      <c r="T1480">
        <v>1378</v>
      </c>
      <c r="U1480">
        <f>+SUM(Table1[[#This Row],[Latinos]:[Cemex]])</f>
        <v>1</v>
      </c>
      <c r="V1480" t="str">
        <f>+Table1[[#This Row],[id_destino]]&amp;" - "&amp;Table1[[#This Row],[id_origen]]</f>
        <v>37 - 38</v>
      </c>
    </row>
    <row r="1481" spans="1:22" hidden="1">
      <c r="A1481">
        <v>2174</v>
      </c>
      <c r="B1481">
        <v>3184</v>
      </c>
      <c r="C1481">
        <v>6235</v>
      </c>
      <c r="D1481">
        <v>44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 t="s">
        <v>20</v>
      </c>
      <c r="L1481" s="1">
        <v>43840</v>
      </c>
      <c r="M1481">
        <v>38</v>
      </c>
      <c r="N1481">
        <v>38</v>
      </c>
      <c r="O1481">
        <v>107</v>
      </c>
      <c r="P1481">
        <v>150</v>
      </c>
      <c r="Q1481">
        <v>107</v>
      </c>
      <c r="S1481">
        <v>0</v>
      </c>
      <c r="T1481">
        <v>0</v>
      </c>
      <c r="U1481">
        <f>+SUM(Table1[[#This Row],[Latinos]:[Cemex]])</f>
        <v>1</v>
      </c>
      <c r="V1481" t="str">
        <f>+Table1[[#This Row],[id_destino]]&amp;" - "&amp;Table1[[#This Row],[id_origen]]</f>
        <v>38 - 38</v>
      </c>
    </row>
    <row r="1482" spans="1:22" hidden="1">
      <c r="A1482">
        <v>2349</v>
      </c>
      <c r="B1482">
        <v>1310</v>
      </c>
      <c r="C1482">
        <v>6291</v>
      </c>
      <c r="D1482">
        <v>45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 t="s">
        <v>20</v>
      </c>
      <c r="L1482" s="1">
        <v>43965</v>
      </c>
      <c r="M1482">
        <v>39</v>
      </c>
      <c r="N1482">
        <v>38</v>
      </c>
      <c r="O1482">
        <v>115</v>
      </c>
      <c r="P1482">
        <v>150</v>
      </c>
      <c r="Q1482">
        <v>115</v>
      </c>
      <c r="S1482">
        <v>432</v>
      </c>
      <c r="T1482">
        <v>432</v>
      </c>
      <c r="U1482">
        <f>+SUM(Table1[[#This Row],[Latinos]:[Cemex]])</f>
        <v>1</v>
      </c>
      <c r="V1482" t="str">
        <f>+Table1[[#This Row],[id_destino]]&amp;" - "&amp;Table1[[#This Row],[id_origen]]</f>
        <v>39 - 38</v>
      </c>
    </row>
    <row r="1483" spans="1:22" hidden="1">
      <c r="A1483">
        <v>1746</v>
      </c>
      <c r="B1483">
        <v>917</v>
      </c>
      <c r="C1483">
        <v>44</v>
      </c>
      <c r="D1483">
        <v>46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 t="s">
        <v>20</v>
      </c>
      <c r="L1483" s="1">
        <v>43598</v>
      </c>
      <c r="M1483">
        <v>40</v>
      </c>
      <c r="N1483">
        <v>38</v>
      </c>
      <c r="O1483">
        <v>172</v>
      </c>
      <c r="P1483">
        <v>172</v>
      </c>
      <c r="Q1483">
        <v>172</v>
      </c>
      <c r="S1483">
        <v>376</v>
      </c>
      <c r="T1483">
        <v>376</v>
      </c>
      <c r="U1483">
        <f>+SUM(Table1[[#This Row],[Latinos]:[Cemex]])</f>
        <v>1</v>
      </c>
      <c r="V1483" t="str">
        <f>+Table1[[#This Row],[id_destino]]&amp;" - "&amp;Table1[[#This Row],[id_origen]]</f>
        <v>40 - 38</v>
      </c>
    </row>
    <row r="1484" spans="1:22" hidden="1">
      <c r="A1484">
        <v>1347</v>
      </c>
      <c r="B1484">
        <v>235</v>
      </c>
      <c r="C1484">
        <v>44</v>
      </c>
      <c r="D1484">
        <v>2413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0</v>
      </c>
      <c r="K1484" t="s">
        <v>20</v>
      </c>
      <c r="L1484" s="1">
        <v>43395</v>
      </c>
      <c r="M1484">
        <v>47</v>
      </c>
      <c r="N1484">
        <v>38</v>
      </c>
      <c r="O1484">
        <v>230</v>
      </c>
      <c r="P1484">
        <v>230</v>
      </c>
      <c r="Q1484">
        <v>230</v>
      </c>
      <c r="S1484">
        <v>521</v>
      </c>
      <c r="T1484">
        <v>581</v>
      </c>
      <c r="U1484">
        <f>+SUM(Table1[[#This Row],[Latinos]:[Cemex]])</f>
        <v>1</v>
      </c>
      <c r="V1484" t="str">
        <f>+Table1[[#This Row],[id_destino]]&amp;" - "&amp;Table1[[#This Row],[id_origen]]</f>
        <v>47 - 38</v>
      </c>
    </row>
    <row r="1485" spans="1:22" hidden="1">
      <c r="A1485">
        <v>3731</v>
      </c>
      <c r="B1485">
        <v>4188</v>
      </c>
      <c r="C1485">
        <v>395</v>
      </c>
      <c r="D1485">
        <v>5438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 t="s">
        <v>20</v>
      </c>
      <c r="L1485" s="1">
        <v>45061</v>
      </c>
      <c r="M1485">
        <v>65</v>
      </c>
      <c r="N1485">
        <v>38</v>
      </c>
      <c r="O1485">
        <v>420</v>
      </c>
      <c r="P1485">
        <v>421</v>
      </c>
      <c r="Q1485">
        <v>420</v>
      </c>
      <c r="S1485">
        <v>1746</v>
      </c>
      <c r="T1485">
        <v>1746</v>
      </c>
      <c r="U1485">
        <f>+SUM(Table1[[#This Row],[Latinos]:[Cemex]])</f>
        <v>1</v>
      </c>
      <c r="V1485" t="str">
        <f>+Table1[[#This Row],[id_destino]]&amp;" - "&amp;Table1[[#This Row],[id_origen]]</f>
        <v>65 - 38</v>
      </c>
    </row>
    <row r="1486" spans="1:22" hidden="1">
      <c r="A1486">
        <v>895</v>
      </c>
      <c r="B1486">
        <v>2499</v>
      </c>
      <c r="C1486">
        <v>44</v>
      </c>
      <c r="D1486">
        <v>3499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 t="s">
        <v>20</v>
      </c>
      <c r="L1486" s="1">
        <v>43207</v>
      </c>
      <c r="M1486">
        <v>71</v>
      </c>
      <c r="N1486">
        <v>38</v>
      </c>
      <c r="O1486">
        <v>287</v>
      </c>
      <c r="P1486">
        <v>287</v>
      </c>
      <c r="Q1486">
        <v>287</v>
      </c>
      <c r="S1486">
        <v>743</v>
      </c>
      <c r="T1486">
        <v>743</v>
      </c>
      <c r="U1486">
        <f>+SUM(Table1[[#This Row],[Latinos]:[Cemex]])</f>
        <v>1</v>
      </c>
      <c r="V1486" t="str">
        <f>+Table1[[#This Row],[id_destino]]&amp;" - "&amp;Table1[[#This Row],[id_origen]]</f>
        <v>71 - 38</v>
      </c>
    </row>
    <row r="1487" spans="1:22" hidden="1">
      <c r="A1487">
        <v>2390</v>
      </c>
      <c r="B1487">
        <v>58</v>
      </c>
      <c r="C1487">
        <v>5299</v>
      </c>
      <c r="D1487">
        <v>468</v>
      </c>
      <c r="E1487">
        <v>0</v>
      </c>
      <c r="F1487">
        <v>0</v>
      </c>
      <c r="G1487">
        <v>0</v>
      </c>
      <c r="H1487">
        <v>1</v>
      </c>
      <c r="I1487">
        <v>0</v>
      </c>
      <c r="J1487">
        <v>0</v>
      </c>
      <c r="K1487" t="s">
        <v>20</v>
      </c>
      <c r="L1487" s="1">
        <v>44025</v>
      </c>
      <c r="M1487">
        <v>73</v>
      </c>
      <c r="N1487">
        <v>38</v>
      </c>
      <c r="O1487">
        <v>827</v>
      </c>
      <c r="P1487">
        <v>834</v>
      </c>
      <c r="Q1487">
        <v>827</v>
      </c>
      <c r="S1487">
        <v>934</v>
      </c>
      <c r="T1487">
        <v>934</v>
      </c>
      <c r="U1487">
        <f>+SUM(Table1[[#This Row],[Latinos]:[Cemex]])</f>
        <v>1</v>
      </c>
      <c r="V1487" t="str">
        <f>+Table1[[#This Row],[id_destino]]&amp;" - "&amp;Table1[[#This Row],[id_origen]]</f>
        <v>73 - 38</v>
      </c>
    </row>
    <row r="1488" spans="1:22" hidden="1">
      <c r="A1488">
        <v>1135</v>
      </c>
      <c r="B1488">
        <v>1087</v>
      </c>
      <c r="C1488">
        <v>2879</v>
      </c>
      <c r="D1488">
        <v>5309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 t="s">
        <v>60</v>
      </c>
      <c r="L1488" s="1">
        <v>43305</v>
      </c>
      <c r="M1488">
        <v>79</v>
      </c>
      <c r="N1488">
        <v>38</v>
      </c>
      <c r="O1488">
        <v>526</v>
      </c>
      <c r="P1488">
        <v>492</v>
      </c>
      <c r="Q1488">
        <v>526</v>
      </c>
      <c r="S1488">
        <v>1780</v>
      </c>
      <c r="T1488">
        <v>1780</v>
      </c>
      <c r="U1488">
        <f>+SUM(Table1[[#This Row],[Latinos]:[Cemex]])</f>
        <v>1</v>
      </c>
      <c r="V1488" t="str">
        <f>+Table1[[#This Row],[id_destino]]&amp;" - "&amp;Table1[[#This Row],[id_origen]]</f>
        <v>79 - 38</v>
      </c>
    </row>
    <row r="1489" spans="1:22" hidden="1">
      <c r="A1489">
        <v>4582</v>
      </c>
      <c r="B1489">
        <v>4774</v>
      </c>
      <c r="C1489">
        <v>44</v>
      </c>
      <c r="D1489">
        <v>8054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 t="s">
        <v>20</v>
      </c>
      <c r="L1489" s="1">
        <v>45632</v>
      </c>
      <c r="M1489">
        <v>92</v>
      </c>
      <c r="N1489">
        <v>38</v>
      </c>
      <c r="O1489">
        <v>810</v>
      </c>
      <c r="P1489">
        <v>828</v>
      </c>
      <c r="Q1489">
        <v>810</v>
      </c>
      <c r="S1489">
        <v>1592</v>
      </c>
      <c r="T1489">
        <v>1592</v>
      </c>
      <c r="U1489">
        <f>+SUM(Table1[[#This Row],[Latinos]:[Cemex]])</f>
        <v>1</v>
      </c>
      <c r="V1489" t="str">
        <f>+Table1[[#This Row],[id_destino]]&amp;" - "&amp;Table1[[#This Row],[id_origen]]</f>
        <v>92 - 38</v>
      </c>
    </row>
    <row r="1490" spans="1:22" hidden="1">
      <c r="A1490">
        <v>216</v>
      </c>
      <c r="B1490">
        <v>180</v>
      </c>
      <c r="C1490">
        <v>44</v>
      </c>
      <c r="D1490">
        <v>173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 t="s">
        <v>20</v>
      </c>
      <c r="L1490" s="1">
        <v>43015</v>
      </c>
      <c r="M1490">
        <v>105</v>
      </c>
      <c r="N1490">
        <v>38</v>
      </c>
      <c r="O1490">
        <v>262</v>
      </c>
      <c r="P1490">
        <v>262</v>
      </c>
      <c r="Q1490">
        <v>262</v>
      </c>
      <c r="S1490">
        <v>738</v>
      </c>
      <c r="T1490">
        <v>738</v>
      </c>
      <c r="U1490">
        <f>+SUM(Table1[[#This Row],[Latinos]:[Cemex]])</f>
        <v>1</v>
      </c>
      <c r="V1490" t="str">
        <f>+Table1[[#This Row],[id_destino]]&amp;" - "&amp;Table1[[#This Row],[id_origen]]</f>
        <v>105 - 38</v>
      </c>
    </row>
    <row r="1491" spans="1:22" hidden="1">
      <c r="A1491">
        <v>3793</v>
      </c>
      <c r="B1491">
        <v>2156</v>
      </c>
      <c r="C1491">
        <v>6596</v>
      </c>
      <c r="D1491">
        <v>4607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 t="s">
        <v>20</v>
      </c>
      <c r="L1491" s="1">
        <v>45096</v>
      </c>
      <c r="M1491">
        <v>117</v>
      </c>
      <c r="N1491">
        <v>38</v>
      </c>
      <c r="O1491">
        <v>391</v>
      </c>
      <c r="P1491">
        <v>326</v>
      </c>
      <c r="Q1491">
        <v>391</v>
      </c>
      <c r="S1491">
        <v>1258</v>
      </c>
      <c r="T1491">
        <v>1426</v>
      </c>
      <c r="U1491">
        <f>+SUM(Table1[[#This Row],[Latinos]:[Cemex]])</f>
        <v>1</v>
      </c>
      <c r="V1491" t="str">
        <f>+Table1[[#This Row],[id_destino]]&amp;" - "&amp;Table1[[#This Row],[id_origen]]</f>
        <v>117 - 38</v>
      </c>
    </row>
    <row r="1492" spans="1:22" hidden="1">
      <c r="A1492">
        <v>1191</v>
      </c>
      <c r="B1492">
        <v>2623</v>
      </c>
      <c r="C1492">
        <v>3210</v>
      </c>
      <c r="D1492">
        <v>4262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 t="s">
        <v>20</v>
      </c>
      <c r="L1492" s="1">
        <v>43336</v>
      </c>
      <c r="M1492">
        <v>192</v>
      </c>
      <c r="N1492">
        <v>38</v>
      </c>
      <c r="O1492">
        <v>63</v>
      </c>
      <c r="P1492">
        <v>304</v>
      </c>
      <c r="Q1492">
        <v>63</v>
      </c>
      <c r="S1492">
        <v>1464</v>
      </c>
      <c r="T1492">
        <v>1464</v>
      </c>
      <c r="U1492">
        <f>+SUM(Table1[[#This Row],[Latinos]:[Cemex]])</f>
        <v>1</v>
      </c>
      <c r="V1492" t="str">
        <f>+Table1[[#This Row],[id_destino]]&amp;" - "&amp;Table1[[#This Row],[id_origen]]</f>
        <v>192 - 38</v>
      </c>
    </row>
    <row r="1493" spans="1:22">
      <c r="A1493">
        <v>2539</v>
      </c>
      <c r="B1493">
        <v>3406</v>
      </c>
      <c r="C1493">
        <v>6291</v>
      </c>
      <c r="D1493">
        <v>6468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 t="s">
        <v>20</v>
      </c>
      <c r="L1493" s="1">
        <v>44163</v>
      </c>
      <c r="M1493">
        <v>294</v>
      </c>
      <c r="N1493">
        <v>38</v>
      </c>
      <c r="O1493">
        <v>560</v>
      </c>
      <c r="P1493">
        <v>505</v>
      </c>
      <c r="Q1493">
        <v>560</v>
      </c>
      <c r="S1493">
        <v>1073</v>
      </c>
      <c r="T1493">
        <v>1256</v>
      </c>
      <c r="U1493">
        <f>+SUM(Table1[[#This Row],[Latinos]:[Cemex]])</f>
        <v>1</v>
      </c>
      <c r="V1493" t="str">
        <f>+Table1[[#This Row],[id_destino]]&amp;" - "&amp;Table1[[#This Row],[id_origen]]</f>
        <v>294 - 38</v>
      </c>
    </row>
    <row r="1494" spans="1:22" hidden="1">
      <c r="A1494">
        <v>683</v>
      </c>
      <c r="B1494">
        <v>2405</v>
      </c>
      <c r="C1494">
        <v>44</v>
      </c>
      <c r="D1494">
        <v>5449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 t="s">
        <v>20</v>
      </c>
      <c r="L1494" s="1">
        <v>43129</v>
      </c>
      <c r="M1494">
        <v>418</v>
      </c>
      <c r="N1494">
        <v>38</v>
      </c>
      <c r="O1494">
        <v>489</v>
      </c>
      <c r="P1494">
        <v>489</v>
      </c>
      <c r="Q1494">
        <v>489</v>
      </c>
      <c r="S1494">
        <v>1207</v>
      </c>
      <c r="T1494">
        <v>1027</v>
      </c>
      <c r="U1494">
        <f>+SUM(Table1[[#This Row],[Latinos]:[Cemex]])</f>
        <v>1</v>
      </c>
      <c r="V1494" t="str">
        <f>+Table1[[#This Row],[id_destino]]&amp;" - "&amp;Table1[[#This Row],[id_origen]]</f>
        <v>418 - 38</v>
      </c>
    </row>
    <row r="1495" spans="1:22" hidden="1">
      <c r="A1495">
        <v>3825</v>
      </c>
      <c r="B1495">
        <v>4244</v>
      </c>
      <c r="C1495">
        <v>7385</v>
      </c>
      <c r="D1495">
        <v>7403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 t="s">
        <v>20</v>
      </c>
      <c r="L1495" s="1">
        <v>45125</v>
      </c>
      <c r="M1495">
        <v>466</v>
      </c>
      <c r="N1495">
        <v>38</v>
      </c>
      <c r="O1495">
        <v>349</v>
      </c>
      <c r="P1495">
        <v>347</v>
      </c>
      <c r="Q1495">
        <v>349</v>
      </c>
      <c r="S1495">
        <v>1085</v>
      </c>
      <c r="T1495">
        <v>1085</v>
      </c>
      <c r="U1495">
        <f>+SUM(Table1[[#This Row],[Latinos]:[Cemex]])</f>
        <v>1</v>
      </c>
      <c r="V1495" t="str">
        <f>+Table1[[#This Row],[id_destino]]&amp;" - "&amp;Table1[[#This Row],[id_origen]]</f>
        <v>466 - 38</v>
      </c>
    </row>
    <row r="1496" spans="1:22" hidden="1">
      <c r="A1496">
        <v>3297</v>
      </c>
      <c r="B1496">
        <v>3893</v>
      </c>
      <c r="C1496">
        <v>395</v>
      </c>
      <c r="D1496">
        <v>6566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 t="s">
        <v>20</v>
      </c>
      <c r="L1496" s="1">
        <v>44817</v>
      </c>
      <c r="M1496">
        <v>525</v>
      </c>
      <c r="N1496">
        <v>38</v>
      </c>
      <c r="O1496">
        <v>283</v>
      </c>
      <c r="P1496">
        <v>305</v>
      </c>
      <c r="Q1496">
        <v>283</v>
      </c>
      <c r="S1496">
        <v>1028</v>
      </c>
      <c r="T1496">
        <v>1028</v>
      </c>
      <c r="U1496">
        <f>+SUM(Table1[[#This Row],[Latinos]:[Cemex]])</f>
        <v>1</v>
      </c>
      <c r="V1496" t="str">
        <f>+Table1[[#This Row],[id_destino]]&amp;" - "&amp;Table1[[#This Row],[id_origen]]</f>
        <v>525 - 38</v>
      </c>
    </row>
    <row r="1497" spans="1:22" hidden="1">
      <c r="A1497">
        <v>4735</v>
      </c>
      <c r="B1497">
        <v>4874</v>
      </c>
      <c r="C1497">
        <v>44</v>
      </c>
      <c r="D1497">
        <v>4753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 t="s">
        <v>20</v>
      </c>
      <c r="L1497" s="1">
        <v>45775</v>
      </c>
      <c r="M1497">
        <v>658</v>
      </c>
      <c r="N1497">
        <v>38</v>
      </c>
      <c r="O1497">
        <v>679</v>
      </c>
      <c r="P1497">
        <v>544</v>
      </c>
      <c r="Q1497">
        <v>679</v>
      </c>
      <c r="S1497">
        <v>1407</v>
      </c>
      <c r="T1497">
        <v>1407</v>
      </c>
      <c r="U1497">
        <f>+SUM(Table1[[#This Row],[Latinos]:[Cemex]])</f>
        <v>1</v>
      </c>
      <c r="V1497" t="str">
        <f>+Table1[[#This Row],[id_destino]]&amp;" - "&amp;Table1[[#This Row],[id_origen]]</f>
        <v>658 - 38</v>
      </c>
    </row>
    <row r="1498" spans="1:22" hidden="1">
      <c r="A1498">
        <v>3727</v>
      </c>
      <c r="B1498">
        <v>4186</v>
      </c>
      <c r="C1498">
        <v>395</v>
      </c>
      <c r="D1498">
        <v>7136</v>
      </c>
      <c r="E1498">
        <v>0</v>
      </c>
      <c r="F1498">
        <v>0</v>
      </c>
      <c r="G1498">
        <v>0</v>
      </c>
      <c r="H1498">
        <v>1</v>
      </c>
      <c r="I1498">
        <v>0</v>
      </c>
      <c r="J1498">
        <v>0</v>
      </c>
      <c r="K1498" t="s">
        <v>20</v>
      </c>
      <c r="L1498" s="1">
        <v>45056</v>
      </c>
      <c r="M1498">
        <v>690</v>
      </c>
      <c r="N1498">
        <v>38</v>
      </c>
      <c r="O1498">
        <v>1909</v>
      </c>
      <c r="P1498">
        <v>1888</v>
      </c>
      <c r="Q1498">
        <v>1909</v>
      </c>
      <c r="S1498">
        <v>3350</v>
      </c>
      <c r="T1498">
        <v>3350</v>
      </c>
      <c r="U1498">
        <f>+SUM(Table1[[#This Row],[Latinos]:[Cemex]])</f>
        <v>1</v>
      </c>
      <c r="V1498" t="str">
        <f>+Table1[[#This Row],[id_destino]]&amp;" - "&amp;Table1[[#This Row],[id_origen]]</f>
        <v>690 - 38</v>
      </c>
    </row>
    <row r="1499" spans="1:22" hidden="1">
      <c r="A1499">
        <v>2615</v>
      </c>
      <c r="B1499">
        <v>3455</v>
      </c>
      <c r="C1499">
        <v>44</v>
      </c>
      <c r="D1499">
        <v>6527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 t="s">
        <v>20</v>
      </c>
      <c r="L1499" s="1">
        <v>44245</v>
      </c>
      <c r="M1499">
        <v>826</v>
      </c>
      <c r="N1499">
        <v>38</v>
      </c>
      <c r="O1499">
        <v>393</v>
      </c>
      <c r="P1499">
        <v>393</v>
      </c>
      <c r="Q1499">
        <v>393</v>
      </c>
      <c r="S1499">
        <v>834</v>
      </c>
      <c r="T1499">
        <v>1017</v>
      </c>
      <c r="U1499">
        <f>+SUM(Table1[[#This Row],[Latinos]:[Cemex]])</f>
        <v>1</v>
      </c>
      <c r="V1499" t="str">
        <f>+Table1[[#This Row],[id_destino]]&amp;" - "&amp;Table1[[#This Row],[id_origen]]</f>
        <v>826 - 38</v>
      </c>
    </row>
    <row r="1500" spans="1:22" hidden="1">
      <c r="A1500">
        <v>3451</v>
      </c>
      <c r="B1500">
        <v>4000</v>
      </c>
      <c r="C1500">
        <v>7133</v>
      </c>
      <c r="D1500">
        <v>7134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 t="s">
        <v>20</v>
      </c>
      <c r="L1500" s="1">
        <v>44898</v>
      </c>
      <c r="M1500">
        <v>7</v>
      </c>
      <c r="N1500">
        <v>39</v>
      </c>
      <c r="O1500">
        <v>2064</v>
      </c>
      <c r="P1500">
        <v>2073</v>
      </c>
      <c r="Q1500">
        <v>2064</v>
      </c>
      <c r="S1500">
        <v>4275</v>
      </c>
      <c r="T1500">
        <v>4692</v>
      </c>
      <c r="U1500">
        <f>+SUM(Table1[[#This Row],[Latinos]:[Cemex]])</f>
        <v>1</v>
      </c>
      <c r="V1500" t="str">
        <f>+Table1[[#This Row],[id_destino]]&amp;" - "&amp;Table1[[#This Row],[id_origen]]</f>
        <v>7 - 39</v>
      </c>
    </row>
    <row r="1501" spans="1:22" hidden="1">
      <c r="A1501">
        <v>4355</v>
      </c>
      <c r="B1501">
        <v>4593</v>
      </c>
      <c r="C1501">
        <v>45</v>
      </c>
      <c r="D1501">
        <v>7840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 t="s">
        <v>20</v>
      </c>
      <c r="L1501" s="1">
        <v>45490</v>
      </c>
      <c r="M1501">
        <v>13</v>
      </c>
      <c r="N1501">
        <v>39</v>
      </c>
      <c r="O1501">
        <v>243</v>
      </c>
      <c r="P1501">
        <v>241</v>
      </c>
      <c r="Q1501">
        <v>243</v>
      </c>
      <c r="S1501">
        <v>1306</v>
      </c>
      <c r="T1501">
        <v>1306</v>
      </c>
      <c r="U1501">
        <f>+SUM(Table1[[#This Row],[Latinos]:[Cemex]])</f>
        <v>1</v>
      </c>
      <c r="V1501" t="str">
        <f>+Table1[[#This Row],[id_destino]]&amp;" - "&amp;Table1[[#This Row],[id_origen]]</f>
        <v>13 - 39</v>
      </c>
    </row>
    <row r="1502" spans="1:22" hidden="1">
      <c r="A1502">
        <v>2580</v>
      </c>
      <c r="B1502">
        <v>470</v>
      </c>
      <c r="C1502">
        <v>6187</v>
      </c>
      <c r="D1502">
        <v>43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 t="s">
        <v>20</v>
      </c>
      <c r="L1502" s="1">
        <v>44200</v>
      </c>
      <c r="M1502">
        <v>37</v>
      </c>
      <c r="N1502">
        <v>39</v>
      </c>
      <c r="O1502">
        <v>233</v>
      </c>
      <c r="P1502">
        <v>266</v>
      </c>
      <c r="Q1502">
        <v>233</v>
      </c>
      <c r="S1502">
        <v>687</v>
      </c>
      <c r="T1502">
        <v>687</v>
      </c>
      <c r="U1502">
        <f>+SUM(Table1[[#This Row],[Latinos]:[Cemex]])</f>
        <v>1</v>
      </c>
      <c r="V1502" t="str">
        <f>+Table1[[#This Row],[id_destino]]&amp;" - "&amp;Table1[[#This Row],[id_origen]]</f>
        <v>37 - 39</v>
      </c>
    </row>
    <row r="1503" spans="1:22" hidden="1">
      <c r="A1503">
        <v>2135</v>
      </c>
      <c r="B1503">
        <v>1310</v>
      </c>
      <c r="C1503">
        <v>45</v>
      </c>
      <c r="D1503">
        <v>44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 t="s">
        <v>20</v>
      </c>
      <c r="L1503" s="1">
        <v>43829</v>
      </c>
      <c r="M1503">
        <v>38</v>
      </c>
      <c r="N1503">
        <v>39</v>
      </c>
      <c r="O1503">
        <v>109</v>
      </c>
      <c r="P1503">
        <v>150</v>
      </c>
      <c r="Q1503">
        <v>109</v>
      </c>
      <c r="S1503">
        <v>180</v>
      </c>
      <c r="T1503">
        <v>180</v>
      </c>
      <c r="U1503">
        <f>+SUM(Table1[[#This Row],[Latinos]:[Cemex]])</f>
        <v>1</v>
      </c>
      <c r="V1503" t="str">
        <f>+Table1[[#This Row],[id_destino]]&amp;" - "&amp;Table1[[#This Row],[id_origen]]</f>
        <v>38 - 39</v>
      </c>
    </row>
    <row r="1504" spans="1:22" hidden="1">
      <c r="A1504">
        <v>3407</v>
      </c>
      <c r="B1504">
        <v>3965</v>
      </c>
      <c r="C1504">
        <v>45</v>
      </c>
      <c r="D1504">
        <v>6956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 t="s">
        <v>20</v>
      </c>
      <c r="L1504" s="1">
        <v>44874</v>
      </c>
      <c r="M1504">
        <v>39</v>
      </c>
      <c r="N1504">
        <v>39</v>
      </c>
      <c r="O1504">
        <v>50</v>
      </c>
      <c r="P1504">
        <v>150</v>
      </c>
      <c r="Q1504">
        <v>50</v>
      </c>
      <c r="S1504">
        <v>0</v>
      </c>
      <c r="T1504">
        <v>0</v>
      </c>
      <c r="U1504">
        <f>+SUM(Table1[[#This Row],[Latinos]:[Cemex]])</f>
        <v>1</v>
      </c>
      <c r="V1504" t="str">
        <f>+Table1[[#This Row],[id_destino]]&amp;" - "&amp;Table1[[#This Row],[id_origen]]</f>
        <v>39 - 39</v>
      </c>
    </row>
    <row r="1505" spans="1:22" hidden="1">
      <c r="A1505">
        <v>437</v>
      </c>
      <c r="B1505">
        <v>264</v>
      </c>
      <c r="C1505">
        <v>45</v>
      </c>
      <c r="D1505">
        <v>2413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 t="s">
        <v>20</v>
      </c>
      <c r="L1505" s="1">
        <v>43067</v>
      </c>
      <c r="M1505">
        <v>47</v>
      </c>
      <c r="N1505">
        <v>39</v>
      </c>
      <c r="O1505">
        <v>339</v>
      </c>
      <c r="P1505">
        <v>339</v>
      </c>
      <c r="Q1505">
        <v>339</v>
      </c>
      <c r="S1505">
        <v>667</v>
      </c>
      <c r="T1505">
        <v>727</v>
      </c>
      <c r="U1505">
        <f>+SUM(Table1[[#This Row],[Latinos]:[Cemex]])</f>
        <v>1</v>
      </c>
      <c r="V1505" t="str">
        <f>+Table1[[#This Row],[id_destino]]&amp;" - "&amp;Table1[[#This Row],[id_origen]]</f>
        <v>47 - 39</v>
      </c>
    </row>
    <row r="1506" spans="1:22" hidden="1">
      <c r="A1506">
        <v>3841</v>
      </c>
      <c r="B1506">
        <v>396</v>
      </c>
      <c r="C1506">
        <v>6792</v>
      </c>
      <c r="D1506">
        <v>7428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 t="s">
        <v>20</v>
      </c>
      <c r="L1506" s="1">
        <v>45136</v>
      </c>
      <c r="M1506">
        <v>79</v>
      </c>
      <c r="N1506">
        <v>39</v>
      </c>
      <c r="O1506">
        <v>603</v>
      </c>
      <c r="P1506">
        <v>602</v>
      </c>
      <c r="Q1506">
        <v>603</v>
      </c>
      <c r="S1506">
        <v>2148</v>
      </c>
      <c r="T1506">
        <v>2148</v>
      </c>
      <c r="U1506">
        <f>+SUM(Table1[[#This Row],[Latinos]:[Cemex]])</f>
        <v>1</v>
      </c>
      <c r="V1506" t="str">
        <f>+Table1[[#This Row],[id_destino]]&amp;" - "&amp;Table1[[#This Row],[id_origen]]</f>
        <v>79 - 39</v>
      </c>
    </row>
    <row r="1507" spans="1:22" hidden="1">
      <c r="A1507">
        <v>3026</v>
      </c>
      <c r="B1507">
        <v>3728</v>
      </c>
      <c r="C1507">
        <v>6792</v>
      </c>
      <c r="D1507">
        <v>3176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 t="s">
        <v>20</v>
      </c>
      <c r="L1507" s="1">
        <v>44694</v>
      </c>
      <c r="M1507">
        <v>136</v>
      </c>
      <c r="N1507">
        <v>39</v>
      </c>
      <c r="O1507">
        <v>520</v>
      </c>
      <c r="P1507">
        <v>528</v>
      </c>
      <c r="Q1507">
        <v>520</v>
      </c>
      <c r="S1507">
        <v>1686</v>
      </c>
      <c r="T1507">
        <v>1686</v>
      </c>
      <c r="U1507">
        <f>+SUM(Table1[[#This Row],[Latinos]:[Cemex]])</f>
        <v>1</v>
      </c>
      <c r="V1507" t="str">
        <f>+Table1[[#This Row],[id_destino]]&amp;" - "&amp;Table1[[#This Row],[id_origen]]</f>
        <v>136 - 39</v>
      </c>
    </row>
    <row r="1508" spans="1:22" hidden="1">
      <c r="A1508">
        <v>3400</v>
      </c>
      <c r="B1508">
        <v>1952</v>
      </c>
      <c r="C1508">
        <v>6792</v>
      </c>
      <c r="D1508">
        <v>5015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 t="s">
        <v>20</v>
      </c>
      <c r="L1508" s="1">
        <v>44872</v>
      </c>
      <c r="M1508">
        <v>149</v>
      </c>
      <c r="N1508">
        <v>39</v>
      </c>
      <c r="O1508">
        <v>109</v>
      </c>
      <c r="P1508">
        <v>150</v>
      </c>
      <c r="Q1508">
        <v>109</v>
      </c>
      <c r="S1508">
        <v>270</v>
      </c>
      <c r="T1508">
        <v>270</v>
      </c>
      <c r="U1508">
        <f>+SUM(Table1[[#This Row],[Latinos]:[Cemex]])</f>
        <v>1</v>
      </c>
      <c r="V1508" t="str">
        <f>+Table1[[#This Row],[id_destino]]&amp;" - "&amp;Table1[[#This Row],[id_origen]]</f>
        <v>149 - 39</v>
      </c>
    </row>
    <row r="1509" spans="1:22" hidden="1">
      <c r="A1509">
        <v>707</v>
      </c>
      <c r="B1509">
        <v>2416</v>
      </c>
      <c r="C1509">
        <v>45</v>
      </c>
      <c r="D1509">
        <v>4753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 t="s">
        <v>20</v>
      </c>
      <c r="L1509" s="1">
        <v>43137</v>
      </c>
      <c r="M1509">
        <v>658</v>
      </c>
      <c r="N1509">
        <v>39</v>
      </c>
      <c r="O1509">
        <v>469</v>
      </c>
      <c r="P1509">
        <v>469</v>
      </c>
      <c r="Q1509">
        <v>469</v>
      </c>
      <c r="S1509">
        <v>572</v>
      </c>
      <c r="T1509">
        <v>572</v>
      </c>
      <c r="U1509">
        <f>+SUM(Table1[[#This Row],[Latinos]:[Cemex]])</f>
        <v>1</v>
      </c>
      <c r="V1509" t="str">
        <f>+Table1[[#This Row],[id_destino]]&amp;" - "&amp;Table1[[#This Row],[id_origen]]</f>
        <v>658 - 39</v>
      </c>
    </row>
    <row r="1510" spans="1:22" hidden="1">
      <c r="A1510">
        <v>3769</v>
      </c>
      <c r="B1510">
        <v>4210</v>
      </c>
      <c r="C1510">
        <v>7133</v>
      </c>
      <c r="D1510">
        <v>7136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0</v>
      </c>
      <c r="K1510" t="s">
        <v>20</v>
      </c>
      <c r="L1510" s="1">
        <v>45077</v>
      </c>
      <c r="M1510">
        <v>690</v>
      </c>
      <c r="N1510">
        <v>39</v>
      </c>
      <c r="O1510">
        <v>2023</v>
      </c>
      <c r="P1510">
        <v>1998</v>
      </c>
      <c r="Q1510">
        <v>2023</v>
      </c>
      <c r="S1510">
        <v>3574</v>
      </c>
      <c r="T1510">
        <v>3574</v>
      </c>
      <c r="U1510">
        <f>+SUM(Table1[[#This Row],[Latinos]:[Cemex]])</f>
        <v>1</v>
      </c>
      <c r="V1510" t="str">
        <f>+Table1[[#This Row],[id_destino]]&amp;" - "&amp;Table1[[#This Row],[id_origen]]</f>
        <v>690 - 39</v>
      </c>
    </row>
    <row r="1511" spans="1:22" hidden="1">
      <c r="A1511">
        <v>3293</v>
      </c>
      <c r="B1511">
        <v>2179</v>
      </c>
      <c r="C1511">
        <v>6792</v>
      </c>
      <c r="D1511">
        <v>7034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 t="s">
        <v>20</v>
      </c>
      <c r="L1511" s="1">
        <v>44811</v>
      </c>
      <c r="M1511">
        <v>708</v>
      </c>
      <c r="N1511">
        <v>39</v>
      </c>
      <c r="O1511">
        <v>97</v>
      </c>
      <c r="P1511">
        <v>150</v>
      </c>
      <c r="Q1511">
        <v>97</v>
      </c>
      <c r="S1511">
        <v>0</v>
      </c>
      <c r="T1511">
        <v>0</v>
      </c>
      <c r="U1511">
        <f>+SUM(Table1[[#This Row],[Latinos]:[Cemex]])</f>
        <v>1</v>
      </c>
      <c r="V1511" t="str">
        <f>+Table1[[#This Row],[id_destino]]&amp;" - "&amp;Table1[[#This Row],[id_origen]]</f>
        <v>708 - 39</v>
      </c>
    </row>
    <row r="1512" spans="1:22" hidden="1">
      <c r="A1512">
        <v>3634</v>
      </c>
      <c r="B1512">
        <v>4124</v>
      </c>
      <c r="C1512">
        <v>7274</v>
      </c>
      <c r="D1512">
        <v>353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 t="s">
        <v>20</v>
      </c>
      <c r="L1512" s="1">
        <v>45007</v>
      </c>
      <c r="M1512">
        <v>7</v>
      </c>
      <c r="N1512">
        <v>40</v>
      </c>
      <c r="O1512">
        <v>2082</v>
      </c>
      <c r="P1512">
        <v>2199</v>
      </c>
      <c r="Q1512">
        <v>2082</v>
      </c>
      <c r="S1512">
        <v>4389</v>
      </c>
      <c r="T1512">
        <v>4389</v>
      </c>
      <c r="U1512">
        <f>+SUM(Table1[[#This Row],[Latinos]:[Cemex]])</f>
        <v>1</v>
      </c>
      <c r="V1512" t="str">
        <f>+Table1[[#This Row],[id_destino]]&amp;" - "&amp;Table1[[#This Row],[id_origen]]</f>
        <v>7 - 40</v>
      </c>
    </row>
    <row r="1513" spans="1:22" hidden="1">
      <c r="A1513">
        <v>704</v>
      </c>
      <c r="B1513">
        <v>2415</v>
      </c>
      <c r="C1513">
        <v>429</v>
      </c>
      <c r="D1513">
        <v>759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</v>
      </c>
      <c r="K1513" t="s">
        <v>20</v>
      </c>
      <c r="L1513" s="1">
        <v>43137</v>
      </c>
      <c r="M1513">
        <v>18</v>
      </c>
      <c r="N1513">
        <v>40</v>
      </c>
      <c r="O1513">
        <v>383</v>
      </c>
      <c r="P1513">
        <v>416</v>
      </c>
      <c r="Q1513">
        <v>416</v>
      </c>
      <c r="S1513">
        <v>1090</v>
      </c>
      <c r="T1513">
        <v>1090</v>
      </c>
      <c r="U1513">
        <f>+SUM(Table1[[#This Row],[Latinos]:[Cemex]])</f>
        <v>1</v>
      </c>
      <c r="V1513" t="str">
        <f>+Table1[[#This Row],[id_destino]]&amp;" - "&amp;Table1[[#This Row],[id_origen]]</f>
        <v>18 - 40</v>
      </c>
    </row>
    <row r="1514" spans="1:22" hidden="1">
      <c r="A1514">
        <v>1779</v>
      </c>
      <c r="B1514">
        <v>318</v>
      </c>
      <c r="C1514">
        <v>46</v>
      </c>
      <c r="D1514">
        <v>5930</v>
      </c>
      <c r="E1514">
        <v>0</v>
      </c>
      <c r="F1514">
        <v>0</v>
      </c>
      <c r="G1514">
        <v>0</v>
      </c>
      <c r="H1514">
        <v>1</v>
      </c>
      <c r="I1514">
        <v>0</v>
      </c>
      <c r="J1514">
        <v>0</v>
      </c>
      <c r="K1514" t="s">
        <v>20</v>
      </c>
      <c r="L1514" s="1">
        <v>43621</v>
      </c>
      <c r="M1514">
        <v>23</v>
      </c>
      <c r="N1514">
        <v>40</v>
      </c>
      <c r="O1514">
        <v>155</v>
      </c>
      <c r="P1514">
        <v>155</v>
      </c>
      <c r="Q1514">
        <v>155</v>
      </c>
      <c r="S1514">
        <v>455</v>
      </c>
      <c r="T1514">
        <v>455</v>
      </c>
      <c r="U1514">
        <f>+SUM(Table1[[#This Row],[Latinos]:[Cemex]])</f>
        <v>1</v>
      </c>
      <c r="V1514" t="str">
        <f>+Table1[[#This Row],[id_destino]]&amp;" - "&amp;Table1[[#This Row],[id_origen]]</f>
        <v>23 - 40</v>
      </c>
    </row>
    <row r="1515" spans="1:22" hidden="1">
      <c r="A1515">
        <v>2846</v>
      </c>
      <c r="B1515">
        <v>865</v>
      </c>
      <c r="C1515">
        <v>3915</v>
      </c>
      <c r="D1515">
        <v>1362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 t="s">
        <v>20</v>
      </c>
      <c r="L1515" s="1">
        <v>44532</v>
      </c>
      <c r="M1515">
        <v>26</v>
      </c>
      <c r="N1515">
        <v>40</v>
      </c>
      <c r="O1515">
        <v>165</v>
      </c>
      <c r="P1515">
        <v>168</v>
      </c>
      <c r="Q1515">
        <v>165</v>
      </c>
      <c r="S1515">
        <v>497</v>
      </c>
      <c r="T1515">
        <v>497</v>
      </c>
      <c r="U1515">
        <f>+SUM(Table1[[#This Row],[Latinos]:[Cemex]])</f>
        <v>1</v>
      </c>
      <c r="V1515" t="str">
        <f>+Table1[[#This Row],[id_destino]]&amp;" - "&amp;Table1[[#This Row],[id_origen]]</f>
        <v>26 - 40</v>
      </c>
    </row>
    <row r="1516" spans="1:22" hidden="1">
      <c r="A1516">
        <v>1142</v>
      </c>
      <c r="B1516">
        <v>680</v>
      </c>
      <c r="C1516">
        <v>3915</v>
      </c>
      <c r="D1516">
        <v>43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 t="s">
        <v>20</v>
      </c>
      <c r="L1516" s="1">
        <v>43311</v>
      </c>
      <c r="M1516">
        <v>37</v>
      </c>
      <c r="N1516">
        <v>40</v>
      </c>
      <c r="O1516">
        <v>389</v>
      </c>
      <c r="P1516">
        <v>389</v>
      </c>
      <c r="Q1516">
        <v>389</v>
      </c>
      <c r="S1516">
        <v>752</v>
      </c>
      <c r="T1516">
        <v>752</v>
      </c>
      <c r="U1516">
        <f>+SUM(Table1[[#This Row],[Latinos]:[Cemex]])</f>
        <v>1</v>
      </c>
      <c r="V1516" t="str">
        <f>+Table1[[#This Row],[id_destino]]&amp;" - "&amp;Table1[[#This Row],[id_origen]]</f>
        <v>37 - 40</v>
      </c>
    </row>
    <row r="1517" spans="1:22" hidden="1">
      <c r="A1517">
        <v>425</v>
      </c>
      <c r="B1517">
        <v>917</v>
      </c>
      <c r="C1517">
        <v>3915</v>
      </c>
      <c r="D1517">
        <v>44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 t="s">
        <v>20</v>
      </c>
      <c r="L1517" s="1">
        <v>43064</v>
      </c>
      <c r="M1517">
        <v>38</v>
      </c>
      <c r="N1517">
        <v>40</v>
      </c>
      <c r="O1517">
        <v>171</v>
      </c>
      <c r="P1517">
        <v>178</v>
      </c>
      <c r="Q1517">
        <v>171</v>
      </c>
      <c r="S1517">
        <v>750</v>
      </c>
      <c r="T1517">
        <v>750</v>
      </c>
      <c r="U1517">
        <f>+SUM(Table1[[#This Row],[Latinos]:[Cemex]])</f>
        <v>1</v>
      </c>
      <c r="V1517" t="str">
        <f>+Table1[[#This Row],[id_destino]]&amp;" - "&amp;Table1[[#This Row],[id_origen]]</f>
        <v>38 - 40</v>
      </c>
    </row>
    <row r="1518" spans="1:22" hidden="1">
      <c r="A1518">
        <v>729</v>
      </c>
      <c r="B1518">
        <v>1322</v>
      </c>
      <c r="C1518">
        <v>46</v>
      </c>
      <c r="D1518">
        <v>45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 t="s">
        <v>20</v>
      </c>
      <c r="L1518" s="1">
        <v>43145</v>
      </c>
      <c r="M1518">
        <v>39</v>
      </c>
      <c r="N1518">
        <v>40</v>
      </c>
      <c r="O1518">
        <v>111</v>
      </c>
      <c r="P1518">
        <v>150</v>
      </c>
      <c r="Q1518">
        <v>111</v>
      </c>
      <c r="S1518">
        <v>0</v>
      </c>
      <c r="T1518">
        <v>0</v>
      </c>
      <c r="U1518">
        <f>+SUM(Table1[[#This Row],[Latinos]:[Cemex]])</f>
        <v>1</v>
      </c>
      <c r="V1518" t="str">
        <f>+Table1[[#This Row],[id_destino]]&amp;" - "&amp;Table1[[#This Row],[id_origen]]</f>
        <v>39 - 40</v>
      </c>
    </row>
    <row r="1519" spans="1:22" hidden="1">
      <c r="A1519">
        <v>1358</v>
      </c>
      <c r="B1519">
        <v>671</v>
      </c>
      <c r="C1519">
        <v>3915</v>
      </c>
      <c r="D1519">
        <v>2413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 t="s">
        <v>20</v>
      </c>
      <c r="L1519" s="1">
        <v>43402</v>
      </c>
      <c r="M1519">
        <v>47</v>
      </c>
      <c r="N1519">
        <v>40</v>
      </c>
      <c r="O1519">
        <v>351</v>
      </c>
      <c r="P1519">
        <v>361</v>
      </c>
      <c r="Q1519">
        <v>351</v>
      </c>
      <c r="S1519">
        <v>1501</v>
      </c>
      <c r="T1519">
        <v>1615</v>
      </c>
      <c r="U1519">
        <f>+SUM(Table1[[#This Row],[Latinos]:[Cemex]])</f>
        <v>1</v>
      </c>
      <c r="V1519" t="str">
        <f>+Table1[[#This Row],[id_destino]]&amp;" - "&amp;Table1[[#This Row],[id_origen]]</f>
        <v>47 - 40</v>
      </c>
    </row>
    <row r="1520" spans="1:22" hidden="1">
      <c r="A1520">
        <v>1622</v>
      </c>
      <c r="B1520">
        <v>2845</v>
      </c>
      <c r="C1520">
        <v>3915</v>
      </c>
      <c r="D1520">
        <v>1522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0</v>
      </c>
      <c r="K1520" t="s">
        <v>20</v>
      </c>
      <c r="L1520" s="1">
        <v>43536</v>
      </c>
      <c r="M1520">
        <v>52</v>
      </c>
      <c r="N1520">
        <v>40</v>
      </c>
      <c r="O1520">
        <v>852</v>
      </c>
      <c r="P1520">
        <v>889</v>
      </c>
      <c r="Q1520">
        <v>852</v>
      </c>
      <c r="S1520">
        <v>2100</v>
      </c>
      <c r="T1520">
        <v>2119</v>
      </c>
      <c r="U1520">
        <f>+SUM(Table1[[#This Row],[Latinos]:[Cemex]])</f>
        <v>1</v>
      </c>
      <c r="V1520" t="str">
        <f>+Table1[[#This Row],[id_destino]]&amp;" - "&amp;Table1[[#This Row],[id_origen]]</f>
        <v>52 - 40</v>
      </c>
    </row>
    <row r="1521" spans="1:22" hidden="1">
      <c r="A1521">
        <v>4195</v>
      </c>
      <c r="B1521">
        <v>533</v>
      </c>
      <c r="C1521">
        <v>3915</v>
      </c>
      <c r="D1521">
        <v>3984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  <c r="K1521" t="s">
        <v>20</v>
      </c>
      <c r="L1521" s="1">
        <v>45350</v>
      </c>
      <c r="M1521">
        <v>59</v>
      </c>
      <c r="N1521">
        <v>40</v>
      </c>
      <c r="O1521">
        <v>613</v>
      </c>
      <c r="P1521">
        <v>613</v>
      </c>
      <c r="Q1521">
        <v>613</v>
      </c>
      <c r="S1521">
        <v>894</v>
      </c>
      <c r="T1521">
        <v>894</v>
      </c>
      <c r="U1521">
        <f>+SUM(Table1[[#This Row],[Latinos]:[Cemex]])</f>
        <v>1</v>
      </c>
      <c r="V1521" t="str">
        <f>+Table1[[#This Row],[id_destino]]&amp;" - "&amp;Table1[[#This Row],[id_origen]]</f>
        <v>59 - 40</v>
      </c>
    </row>
    <row r="1522" spans="1:22" hidden="1">
      <c r="A1522">
        <v>1396</v>
      </c>
      <c r="B1522">
        <v>2720</v>
      </c>
      <c r="C1522">
        <v>3915</v>
      </c>
      <c r="D1522">
        <v>5747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 t="s">
        <v>20</v>
      </c>
      <c r="L1522" s="1">
        <v>43417</v>
      </c>
      <c r="M1522">
        <v>69</v>
      </c>
      <c r="N1522">
        <v>40</v>
      </c>
      <c r="O1522">
        <v>401</v>
      </c>
      <c r="P1522">
        <v>401</v>
      </c>
      <c r="Q1522">
        <v>401</v>
      </c>
      <c r="S1522">
        <v>1289</v>
      </c>
      <c r="T1522">
        <v>1289</v>
      </c>
      <c r="U1522">
        <f>+SUM(Table1[[#This Row],[Latinos]:[Cemex]])</f>
        <v>1</v>
      </c>
      <c r="V1522" t="str">
        <f>+Table1[[#This Row],[id_destino]]&amp;" - "&amp;Table1[[#This Row],[id_origen]]</f>
        <v>69 - 40</v>
      </c>
    </row>
    <row r="1523" spans="1:22" hidden="1">
      <c r="A1523">
        <v>1543</v>
      </c>
      <c r="B1523">
        <v>2802</v>
      </c>
      <c r="C1523">
        <v>46</v>
      </c>
      <c r="D1523">
        <v>5814</v>
      </c>
      <c r="E1523">
        <v>0</v>
      </c>
      <c r="F1523">
        <v>0</v>
      </c>
      <c r="G1523">
        <v>0</v>
      </c>
      <c r="H1523">
        <v>1</v>
      </c>
      <c r="I1523">
        <v>0</v>
      </c>
      <c r="J1523">
        <v>0</v>
      </c>
      <c r="K1523" t="s">
        <v>20</v>
      </c>
      <c r="L1523" s="1">
        <v>43498</v>
      </c>
      <c r="M1523">
        <v>71</v>
      </c>
      <c r="N1523">
        <v>40</v>
      </c>
      <c r="O1523">
        <v>167</v>
      </c>
      <c r="P1523">
        <v>169</v>
      </c>
      <c r="Q1523">
        <v>167</v>
      </c>
      <c r="S1523">
        <v>430</v>
      </c>
      <c r="T1523">
        <v>430</v>
      </c>
      <c r="U1523">
        <f>+SUM(Table1[[#This Row],[Latinos]:[Cemex]])</f>
        <v>1</v>
      </c>
      <c r="V1523" t="str">
        <f>+Table1[[#This Row],[id_destino]]&amp;" - "&amp;Table1[[#This Row],[id_origen]]</f>
        <v>71 - 40</v>
      </c>
    </row>
    <row r="1524" spans="1:22" hidden="1">
      <c r="A1524">
        <v>1125</v>
      </c>
      <c r="B1524">
        <v>1164</v>
      </c>
      <c r="C1524">
        <v>3915</v>
      </c>
      <c r="D1524">
        <v>3930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 t="s">
        <v>20</v>
      </c>
      <c r="L1524" s="1">
        <v>45136</v>
      </c>
      <c r="M1524">
        <v>79</v>
      </c>
      <c r="N1524">
        <v>40</v>
      </c>
      <c r="O1524">
        <v>624</v>
      </c>
      <c r="P1524">
        <v>626</v>
      </c>
      <c r="Q1524">
        <v>624</v>
      </c>
      <c r="S1524">
        <v>2232</v>
      </c>
      <c r="T1524">
        <v>2232</v>
      </c>
      <c r="U1524">
        <f>+SUM(Table1[[#This Row],[Latinos]:[Cemex]])</f>
        <v>1</v>
      </c>
      <c r="V1524" t="str">
        <f>+Table1[[#This Row],[id_destino]]&amp;" - "&amp;Table1[[#This Row],[id_origen]]</f>
        <v>79 - 40</v>
      </c>
    </row>
    <row r="1525" spans="1:22" hidden="1">
      <c r="A1525">
        <v>3760</v>
      </c>
      <c r="B1525">
        <v>4202</v>
      </c>
      <c r="C1525">
        <v>46</v>
      </c>
      <c r="D1525">
        <v>7356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 t="s">
        <v>20</v>
      </c>
      <c r="L1525" s="1">
        <v>45075</v>
      </c>
      <c r="M1525">
        <v>107</v>
      </c>
      <c r="N1525">
        <v>40</v>
      </c>
      <c r="O1525">
        <v>916</v>
      </c>
      <c r="P1525">
        <v>766</v>
      </c>
      <c r="Q1525">
        <v>916</v>
      </c>
      <c r="S1525">
        <v>977</v>
      </c>
      <c r="T1525">
        <v>1031</v>
      </c>
      <c r="U1525">
        <f>+SUM(Table1[[#This Row],[Latinos]:[Cemex]])</f>
        <v>1</v>
      </c>
      <c r="V1525" t="str">
        <f>+Table1[[#This Row],[id_destino]]&amp;" - "&amp;Table1[[#This Row],[id_origen]]</f>
        <v>107 - 40</v>
      </c>
    </row>
    <row r="1526" spans="1:22" hidden="1">
      <c r="A1526">
        <v>3985</v>
      </c>
      <c r="B1526">
        <v>1796</v>
      </c>
      <c r="C1526">
        <v>46</v>
      </c>
      <c r="D1526">
        <v>6941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 t="s">
        <v>20</v>
      </c>
      <c r="L1526" s="1">
        <v>45216</v>
      </c>
      <c r="M1526">
        <v>117</v>
      </c>
      <c r="N1526">
        <v>40</v>
      </c>
      <c r="O1526">
        <v>510</v>
      </c>
      <c r="P1526">
        <v>460</v>
      </c>
      <c r="Q1526">
        <v>510</v>
      </c>
      <c r="S1526">
        <v>1805</v>
      </c>
      <c r="T1526">
        <v>1973</v>
      </c>
      <c r="U1526">
        <f>+SUM(Table1[[#This Row],[Latinos]:[Cemex]])</f>
        <v>1</v>
      </c>
      <c r="V1526" t="str">
        <f>+Table1[[#This Row],[id_destino]]&amp;" - "&amp;Table1[[#This Row],[id_origen]]</f>
        <v>117 - 40</v>
      </c>
    </row>
    <row r="1527" spans="1:22" hidden="1">
      <c r="A1527">
        <v>3898</v>
      </c>
      <c r="B1527">
        <v>684</v>
      </c>
      <c r="C1527">
        <v>3915</v>
      </c>
      <c r="D1527">
        <v>7459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 t="s">
        <v>20</v>
      </c>
      <c r="L1527" s="1">
        <v>45170</v>
      </c>
      <c r="M1527">
        <v>192</v>
      </c>
      <c r="N1527">
        <v>40</v>
      </c>
      <c r="O1527">
        <v>143</v>
      </c>
      <c r="P1527">
        <v>176</v>
      </c>
      <c r="Q1527">
        <v>143</v>
      </c>
      <c r="S1527">
        <v>796</v>
      </c>
      <c r="T1527">
        <v>796</v>
      </c>
      <c r="U1527">
        <f>+SUM(Table1[[#This Row],[Latinos]:[Cemex]])</f>
        <v>1</v>
      </c>
      <c r="V1527" t="str">
        <f>+Table1[[#This Row],[id_destino]]&amp;" - "&amp;Table1[[#This Row],[id_origen]]</f>
        <v>192 - 40</v>
      </c>
    </row>
    <row r="1528" spans="1:22" hidden="1">
      <c r="A1528">
        <v>3768</v>
      </c>
      <c r="B1528">
        <v>4209</v>
      </c>
      <c r="C1528">
        <v>7274</v>
      </c>
      <c r="D1528">
        <v>2506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 t="s">
        <v>20</v>
      </c>
      <c r="L1528" s="1">
        <v>45077</v>
      </c>
      <c r="M1528">
        <v>225</v>
      </c>
      <c r="N1528">
        <v>40</v>
      </c>
      <c r="O1528">
        <v>1962</v>
      </c>
      <c r="P1528">
        <v>1947</v>
      </c>
      <c r="Q1528">
        <v>1962</v>
      </c>
      <c r="S1528">
        <v>3840</v>
      </c>
      <c r="T1528">
        <v>3840</v>
      </c>
      <c r="U1528">
        <f>+SUM(Table1[[#This Row],[Latinos]:[Cemex]])</f>
        <v>1</v>
      </c>
      <c r="V1528" t="str">
        <f>+Table1[[#This Row],[id_destino]]&amp;" - "&amp;Table1[[#This Row],[id_origen]]</f>
        <v>225 - 40</v>
      </c>
    </row>
    <row r="1529" spans="1:22" hidden="1">
      <c r="A1529">
        <v>3765</v>
      </c>
      <c r="B1529">
        <v>4207</v>
      </c>
      <c r="C1529">
        <v>7274</v>
      </c>
      <c r="D1529">
        <v>7136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K1529" t="s">
        <v>20</v>
      </c>
      <c r="L1529" s="1">
        <v>45077</v>
      </c>
      <c r="M1529">
        <v>690</v>
      </c>
      <c r="N1529">
        <v>40</v>
      </c>
      <c r="O1529">
        <v>2081</v>
      </c>
      <c r="P1529">
        <v>2010</v>
      </c>
      <c r="Q1529">
        <v>2081</v>
      </c>
      <c r="S1529">
        <v>3840</v>
      </c>
      <c r="T1529">
        <v>3840</v>
      </c>
      <c r="U1529">
        <f>+SUM(Table1[[#This Row],[Latinos]:[Cemex]])</f>
        <v>1</v>
      </c>
      <c r="V1529" t="str">
        <f>+Table1[[#This Row],[id_destino]]&amp;" - "&amp;Table1[[#This Row],[id_origen]]</f>
        <v>690 - 40</v>
      </c>
    </row>
    <row r="1530" spans="1:22" hidden="1">
      <c r="A1530">
        <v>1676</v>
      </c>
      <c r="B1530">
        <v>2882</v>
      </c>
      <c r="C1530">
        <v>3915</v>
      </c>
      <c r="D1530">
        <v>255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0</v>
      </c>
      <c r="K1530" t="s">
        <v>20</v>
      </c>
      <c r="L1530" s="1">
        <v>43560</v>
      </c>
      <c r="M1530">
        <v>714</v>
      </c>
      <c r="N1530">
        <v>40</v>
      </c>
      <c r="O1530">
        <v>430</v>
      </c>
      <c r="P1530">
        <v>425</v>
      </c>
      <c r="Q1530">
        <v>430</v>
      </c>
      <c r="S1530">
        <v>1342</v>
      </c>
      <c r="T1530">
        <v>1342</v>
      </c>
      <c r="U1530">
        <f>+SUM(Table1[[#This Row],[Latinos]:[Cemex]])</f>
        <v>1</v>
      </c>
      <c r="V1530" t="str">
        <f>+Table1[[#This Row],[id_destino]]&amp;" - "&amp;Table1[[#This Row],[id_origen]]</f>
        <v>714 - 40</v>
      </c>
    </row>
    <row r="1531" spans="1:22" hidden="1">
      <c r="A1531">
        <v>2982</v>
      </c>
      <c r="B1531">
        <v>3700</v>
      </c>
      <c r="C1531">
        <v>3915</v>
      </c>
      <c r="D1531">
        <v>6854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 t="s">
        <v>20</v>
      </c>
      <c r="L1531" s="1">
        <v>44670</v>
      </c>
      <c r="M1531">
        <v>846</v>
      </c>
      <c r="N1531">
        <v>40</v>
      </c>
      <c r="O1531">
        <v>64</v>
      </c>
      <c r="P1531">
        <v>150</v>
      </c>
      <c r="Q1531">
        <v>64</v>
      </c>
      <c r="S1531">
        <v>0</v>
      </c>
      <c r="T1531">
        <v>0</v>
      </c>
      <c r="U1531">
        <f>+SUM(Table1[[#This Row],[Latinos]:[Cemex]])</f>
        <v>1</v>
      </c>
      <c r="V1531" t="str">
        <f>+Table1[[#This Row],[id_destino]]&amp;" - "&amp;Table1[[#This Row],[id_origen]]</f>
        <v>846 - 40</v>
      </c>
    </row>
    <row r="1532" spans="1:22" hidden="1">
      <c r="A1532">
        <v>4187</v>
      </c>
      <c r="B1532">
        <v>4477</v>
      </c>
      <c r="C1532">
        <v>3915</v>
      </c>
      <c r="D1532">
        <v>7673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 t="s">
        <v>20</v>
      </c>
      <c r="L1532" s="1">
        <v>45345</v>
      </c>
      <c r="M1532">
        <v>899</v>
      </c>
      <c r="N1532">
        <v>40</v>
      </c>
      <c r="O1532">
        <v>116</v>
      </c>
      <c r="P1532">
        <v>150</v>
      </c>
      <c r="Q1532">
        <v>116</v>
      </c>
      <c r="S1532">
        <v>0</v>
      </c>
      <c r="T1532">
        <v>0</v>
      </c>
      <c r="U1532">
        <f>+SUM(Table1[[#This Row],[Latinos]:[Cemex]])</f>
        <v>1</v>
      </c>
      <c r="V1532" t="str">
        <f>+Table1[[#This Row],[id_destino]]&amp;" - "&amp;Table1[[#This Row],[id_origen]]</f>
        <v>899 - 40</v>
      </c>
    </row>
    <row r="1533" spans="1:22" hidden="1">
      <c r="A1533">
        <v>4653</v>
      </c>
      <c r="B1533">
        <v>4822</v>
      </c>
      <c r="C1533">
        <v>3189</v>
      </c>
      <c r="D1533">
        <v>6380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 t="s">
        <v>20</v>
      </c>
      <c r="L1533" s="1">
        <v>45706</v>
      </c>
      <c r="M1533">
        <v>9</v>
      </c>
      <c r="N1533">
        <v>41</v>
      </c>
      <c r="O1533">
        <v>1433</v>
      </c>
      <c r="P1533">
        <v>1433</v>
      </c>
      <c r="Q1533">
        <v>1433</v>
      </c>
      <c r="S1533">
        <v>2038</v>
      </c>
      <c r="T1533">
        <v>2038</v>
      </c>
      <c r="U1533">
        <f>+SUM(Table1[[#This Row],[Latinos]:[Cemex]])</f>
        <v>1</v>
      </c>
      <c r="V1533" t="str">
        <f>+Table1[[#This Row],[id_destino]]&amp;" - "&amp;Table1[[#This Row],[id_origen]]</f>
        <v>9 - 41</v>
      </c>
    </row>
    <row r="1534" spans="1:22" hidden="1">
      <c r="A1534">
        <v>4540</v>
      </c>
      <c r="B1534">
        <v>2906</v>
      </c>
      <c r="C1534">
        <v>7871</v>
      </c>
      <c r="D1534">
        <v>8008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 t="s">
        <v>20</v>
      </c>
      <c r="L1534" s="1">
        <v>45608</v>
      </c>
      <c r="M1534">
        <v>47</v>
      </c>
      <c r="N1534">
        <v>41</v>
      </c>
      <c r="O1534">
        <v>529</v>
      </c>
      <c r="P1534">
        <v>529</v>
      </c>
      <c r="Q1534">
        <v>529</v>
      </c>
      <c r="S1534">
        <v>1581</v>
      </c>
      <c r="T1534">
        <v>1581</v>
      </c>
      <c r="U1534">
        <f>+SUM(Table1[[#This Row],[Latinos]:[Cemex]])</f>
        <v>1</v>
      </c>
      <c r="V1534" t="str">
        <f>+Table1[[#This Row],[id_destino]]&amp;" - "&amp;Table1[[#This Row],[id_origen]]</f>
        <v>47 - 41</v>
      </c>
    </row>
    <row r="1535" spans="1:22" hidden="1">
      <c r="A1535">
        <v>2038</v>
      </c>
      <c r="B1535">
        <v>3094</v>
      </c>
      <c r="C1535">
        <v>48</v>
      </c>
      <c r="D1535">
        <v>53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 t="s">
        <v>20</v>
      </c>
      <c r="L1535" s="1">
        <v>44540</v>
      </c>
      <c r="M1535">
        <v>35</v>
      </c>
      <c r="N1535">
        <v>42</v>
      </c>
      <c r="O1535">
        <v>138</v>
      </c>
      <c r="P1535">
        <v>138</v>
      </c>
      <c r="Q1535">
        <v>138</v>
      </c>
      <c r="S1535">
        <v>371</v>
      </c>
      <c r="T1535">
        <v>371</v>
      </c>
      <c r="U1535">
        <f>+SUM(Table1[[#This Row],[Latinos]:[Cemex]])</f>
        <v>1</v>
      </c>
      <c r="V1535" t="str">
        <f>+Table1[[#This Row],[id_destino]]&amp;" - "&amp;Table1[[#This Row],[id_origen]]</f>
        <v>35 - 42</v>
      </c>
    </row>
    <row r="1536" spans="1:22" hidden="1">
      <c r="A1536">
        <v>2599</v>
      </c>
      <c r="B1536">
        <v>3094</v>
      </c>
      <c r="C1536">
        <v>48</v>
      </c>
      <c r="D1536">
        <v>53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  <c r="K1536" t="s">
        <v>20</v>
      </c>
      <c r="L1536" s="1">
        <v>44232</v>
      </c>
      <c r="M1536">
        <v>35</v>
      </c>
      <c r="N1536">
        <v>42</v>
      </c>
      <c r="O1536">
        <v>138</v>
      </c>
      <c r="P1536">
        <v>150</v>
      </c>
      <c r="Q1536">
        <v>138</v>
      </c>
      <c r="S1536">
        <v>359.99</v>
      </c>
      <c r="T1536">
        <v>359.99</v>
      </c>
      <c r="U1536">
        <f>+SUM(Table1[[#This Row],[Latinos]:[Cemex]])</f>
        <v>1</v>
      </c>
      <c r="V1536" t="str">
        <f>+Table1[[#This Row],[id_destino]]&amp;" - "&amp;Table1[[#This Row],[id_origen]]</f>
        <v>35 - 42</v>
      </c>
    </row>
    <row r="1537" spans="1:22" hidden="1">
      <c r="A1537">
        <v>328</v>
      </c>
      <c r="B1537">
        <v>2263</v>
      </c>
      <c r="C1537">
        <v>48</v>
      </c>
      <c r="D1537">
        <v>5308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 t="s">
        <v>20</v>
      </c>
      <c r="L1537" s="1">
        <v>44357</v>
      </c>
      <c r="M1537">
        <v>42</v>
      </c>
      <c r="N1537">
        <v>42</v>
      </c>
      <c r="O1537">
        <v>50</v>
      </c>
      <c r="P1537">
        <v>150</v>
      </c>
      <c r="Q1537">
        <v>50</v>
      </c>
      <c r="S1537">
        <v>0</v>
      </c>
      <c r="T1537">
        <v>0</v>
      </c>
      <c r="U1537">
        <f>+SUM(Table1[[#This Row],[Latinos]:[Cemex]])</f>
        <v>1</v>
      </c>
      <c r="V1537" t="str">
        <f>+Table1[[#This Row],[id_destino]]&amp;" - "&amp;Table1[[#This Row],[id_origen]]</f>
        <v>42 - 42</v>
      </c>
    </row>
    <row r="1538" spans="1:22" hidden="1">
      <c r="A1538">
        <v>1041</v>
      </c>
      <c r="B1538">
        <v>2557</v>
      </c>
      <c r="C1538">
        <v>48</v>
      </c>
      <c r="D1538">
        <v>63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 t="s">
        <v>20</v>
      </c>
      <c r="L1538" s="1">
        <v>43259</v>
      </c>
      <c r="M1538">
        <v>55</v>
      </c>
      <c r="N1538">
        <v>42</v>
      </c>
      <c r="O1538">
        <v>279</v>
      </c>
      <c r="P1538">
        <v>281</v>
      </c>
      <c r="Q1538">
        <v>279</v>
      </c>
      <c r="S1538">
        <v>761</v>
      </c>
      <c r="T1538">
        <v>761</v>
      </c>
      <c r="U1538">
        <f>+SUM(Table1[[#This Row],[Latinos]:[Cemex]])</f>
        <v>1</v>
      </c>
      <c r="V1538" t="str">
        <f>+Table1[[#This Row],[id_destino]]&amp;" - "&amp;Table1[[#This Row],[id_origen]]</f>
        <v>55 - 42</v>
      </c>
    </row>
    <row r="1539" spans="1:22" hidden="1">
      <c r="A1539">
        <v>2720</v>
      </c>
      <c r="B1539">
        <v>3523</v>
      </c>
      <c r="C1539">
        <v>48</v>
      </c>
      <c r="D1539">
        <v>65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 t="s">
        <v>20</v>
      </c>
      <c r="L1539" s="1">
        <v>44377</v>
      </c>
      <c r="M1539">
        <v>57</v>
      </c>
      <c r="N1539">
        <v>42</v>
      </c>
      <c r="O1539">
        <v>304</v>
      </c>
      <c r="P1539">
        <v>294</v>
      </c>
      <c r="Q1539">
        <v>304</v>
      </c>
      <c r="S1539">
        <v>860</v>
      </c>
      <c r="T1539">
        <v>860</v>
      </c>
      <c r="U1539">
        <f>+SUM(Table1[[#This Row],[Latinos]:[Cemex]])</f>
        <v>1</v>
      </c>
      <c r="V1539" t="str">
        <f>+Table1[[#This Row],[id_destino]]&amp;" - "&amp;Table1[[#This Row],[id_origen]]</f>
        <v>57 - 42</v>
      </c>
    </row>
    <row r="1540" spans="1:22" hidden="1">
      <c r="A1540">
        <v>4661</v>
      </c>
      <c r="B1540">
        <v>4829</v>
      </c>
      <c r="C1540">
        <v>48</v>
      </c>
      <c r="D1540">
        <v>47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 t="s">
        <v>20</v>
      </c>
      <c r="L1540" s="1">
        <v>45710</v>
      </c>
      <c r="M1540">
        <v>129</v>
      </c>
      <c r="N1540">
        <v>42</v>
      </c>
      <c r="O1540">
        <v>288</v>
      </c>
      <c r="P1540">
        <v>288</v>
      </c>
      <c r="Q1540">
        <v>288</v>
      </c>
      <c r="S1540">
        <v>365.01</v>
      </c>
      <c r="T1540">
        <v>365.01</v>
      </c>
      <c r="U1540">
        <f>+SUM(Table1[[#This Row],[Latinos]:[Cemex]])</f>
        <v>1</v>
      </c>
      <c r="V1540" t="str">
        <f>+Table1[[#This Row],[id_destino]]&amp;" - "&amp;Table1[[#This Row],[id_origen]]</f>
        <v>129 - 42</v>
      </c>
    </row>
    <row r="1541" spans="1:22" hidden="1">
      <c r="A1541">
        <v>4496</v>
      </c>
      <c r="B1541">
        <v>4704</v>
      </c>
      <c r="C1541">
        <v>48</v>
      </c>
      <c r="D1541">
        <v>4195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 t="s">
        <v>20</v>
      </c>
      <c r="L1541" s="1">
        <v>45586</v>
      </c>
      <c r="M1541">
        <v>276</v>
      </c>
      <c r="N1541">
        <v>42</v>
      </c>
      <c r="O1541">
        <v>277</v>
      </c>
      <c r="P1541">
        <v>265</v>
      </c>
      <c r="Q1541">
        <v>277</v>
      </c>
      <c r="S1541">
        <v>775</v>
      </c>
      <c r="T1541">
        <v>775</v>
      </c>
      <c r="U1541">
        <f>+SUM(Table1[[#This Row],[Latinos]:[Cemex]])</f>
        <v>1</v>
      </c>
      <c r="V1541" t="str">
        <f>+Table1[[#This Row],[id_destino]]&amp;" - "&amp;Table1[[#This Row],[id_origen]]</f>
        <v>276 - 42</v>
      </c>
    </row>
    <row r="1542" spans="1:22" hidden="1">
      <c r="A1542">
        <v>4652</v>
      </c>
      <c r="B1542">
        <v>4821</v>
      </c>
      <c r="C1542">
        <v>48</v>
      </c>
      <c r="D1542">
        <v>7894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 t="s">
        <v>20</v>
      </c>
      <c r="L1542" s="1">
        <v>45706</v>
      </c>
      <c r="M1542">
        <v>492</v>
      </c>
      <c r="N1542">
        <v>42</v>
      </c>
      <c r="O1542">
        <v>141</v>
      </c>
      <c r="P1542">
        <v>150</v>
      </c>
      <c r="Q1542">
        <v>141</v>
      </c>
      <c r="S1542">
        <v>0</v>
      </c>
      <c r="T1542">
        <v>0</v>
      </c>
      <c r="U1542">
        <f>+SUM(Table1[[#This Row],[Latinos]:[Cemex]])</f>
        <v>1</v>
      </c>
      <c r="V1542" t="str">
        <f>+Table1[[#This Row],[id_destino]]&amp;" - "&amp;Table1[[#This Row],[id_origen]]</f>
        <v>492 - 42</v>
      </c>
    </row>
    <row r="1543" spans="1:22" hidden="1">
      <c r="A1543">
        <v>2359</v>
      </c>
      <c r="B1543">
        <v>3295</v>
      </c>
      <c r="C1543">
        <v>48</v>
      </c>
      <c r="D1543">
        <v>64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 t="s">
        <v>20</v>
      </c>
      <c r="L1543" s="1">
        <v>43980</v>
      </c>
      <c r="M1543">
        <v>602</v>
      </c>
      <c r="N1543">
        <v>42</v>
      </c>
      <c r="O1543">
        <v>338</v>
      </c>
      <c r="P1543">
        <v>332</v>
      </c>
      <c r="Q1543">
        <v>338</v>
      </c>
      <c r="S1543">
        <v>1149</v>
      </c>
      <c r="T1543">
        <v>1149</v>
      </c>
      <c r="U1543">
        <f>+SUM(Table1[[#This Row],[Latinos]:[Cemex]])</f>
        <v>1</v>
      </c>
      <c r="V1543" t="str">
        <f>+Table1[[#This Row],[id_destino]]&amp;" - "&amp;Table1[[#This Row],[id_origen]]</f>
        <v>602 - 42</v>
      </c>
    </row>
    <row r="1544" spans="1:22" hidden="1">
      <c r="A1544">
        <v>2717</v>
      </c>
      <c r="B1544">
        <v>3295</v>
      </c>
      <c r="C1544">
        <v>48</v>
      </c>
      <c r="D1544">
        <v>64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 t="s">
        <v>20</v>
      </c>
      <c r="L1544" s="1">
        <v>44372</v>
      </c>
      <c r="M1544">
        <v>602</v>
      </c>
      <c r="N1544">
        <v>42</v>
      </c>
      <c r="O1544">
        <v>338</v>
      </c>
      <c r="P1544">
        <v>294</v>
      </c>
      <c r="Q1544">
        <v>338</v>
      </c>
      <c r="S1544">
        <v>860</v>
      </c>
      <c r="T1544">
        <v>860</v>
      </c>
      <c r="U1544">
        <f>+SUM(Table1[[#This Row],[Latinos]:[Cemex]])</f>
        <v>1</v>
      </c>
      <c r="V1544" t="str">
        <f>+Table1[[#This Row],[id_destino]]&amp;" - "&amp;Table1[[#This Row],[id_origen]]</f>
        <v>602 - 42</v>
      </c>
    </row>
    <row r="1545" spans="1:22" hidden="1">
      <c r="A1545">
        <v>1957</v>
      </c>
      <c r="B1545">
        <v>1000</v>
      </c>
      <c r="C1545">
        <v>5601</v>
      </c>
      <c r="D1545">
        <v>6079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  <c r="K1545" t="s">
        <v>20</v>
      </c>
      <c r="L1545" s="1">
        <v>43739</v>
      </c>
      <c r="M1545">
        <v>3</v>
      </c>
      <c r="N1545">
        <v>43</v>
      </c>
      <c r="O1545">
        <v>163</v>
      </c>
      <c r="P1545">
        <v>163</v>
      </c>
      <c r="Q1545">
        <v>163</v>
      </c>
      <c r="S1545">
        <v>166</v>
      </c>
      <c r="T1545">
        <v>166</v>
      </c>
      <c r="U1545">
        <f>+SUM(Table1[[#This Row],[Latinos]:[Cemex]])</f>
        <v>1</v>
      </c>
      <c r="V1545" t="str">
        <f>+Table1[[#This Row],[id_destino]]&amp;" - "&amp;Table1[[#This Row],[id_origen]]</f>
        <v>3 - 43</v>
      </c>
    </row>
    <row r="1546" spans="1:22" hidden="1">
      <c r="A1546">
        <v>1023</v>
      </c>
      <c r="B1546">
        <v>640</v>
      </c>
      <c r="C1546">
        <v>49</v>
      </c>
      <c r="D1546">
        <v>4553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 t="s">
        <v>20</v>
      </c>
      <c r="L1546" s="1">
        <v>43252</v>
      </c>
      <c r="M1546">
        <v>5</v>
      </c>
      <c r="N1546">
        <v>43</v>
      </c>
      <c r="O1546">
        <v>1040</v>
      </c>
      <c r="P1546">
        <v>1049</v>
      </c>
      <c r="Q1546">
        <v>1040</v>
      </c>
      <c r="S1546">
        <v>1427</v>
      </c>
      <c r="T1546">
        <v>1850</v>
      </c>
      <c r="U1546">
        <f>+SUM(Table1[[#This Row],[Latinos]:[Cemex]])</f>
        <v>1</v>
      </c>
      <c r="V1546" t="str">
        <f>+Table1[[#This Row],[id_destino]]&amp;" - "&amp;Table1[[#This Row],[id_origen]]</f>
        <v>5 - 43</v>
      </c>
    </row>
    <row r="1547" spans="1:22" hidden="1">
      <c r="A1547">
        <v>3519</v>
      </c>
      <c r="B1547">
        <v>4044</v>
      </c>
      <c r="C1547">
        <v>7185</v>
      </c>
      <c r="D1547">
        <v>7032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 t="s">
        <v>20</v>
      </c>
      <c r="L1547" s="1">
        <v>44945</v>
      </c>
      <c r="M1547">
        <v>6</v>
      </c>
      <c r="N1547">
        <v>43</v>
      </c>
      <c r="O1547">
        <v>616</v>
      </c>
      <c r="P1547">
        <v>614</v>
      </c>
      <c r="Q1547">
        <v>616</v>
      </c>
      <c r="S1547">
        <v>386</v>
      </c>
      <c r="T1547">
        <v>386</v>
      </c>
      <c r="U1547">
        <f>+SUM(Table1[[#This Row],[Latinos]:[Cemex]])</f>
        <v>1</v>
      </c>
      <c r="V1547" t="str">
        <f>+Table1[[#This Row],[id_destino]]&amp;" - "&amp;Table1[[#This Row],[id_origen]]</f>
        <v>6 - 43</v>
      </c>
    </row>
    <row r="1548" spans="1:22" hidden="1">
      <c r="A1548">
        <v>440</v>
      </c>
      <c r="B1548">
        <v>640</v>
      </c>
      <c r="C1548">
        <v>361</v>
      </c>
      <c r="D1548">
        <v>353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 t="s">
        <v>20</v>
      </c>
      <c r="L1548" s="1">
        <v>45181</v>
      </c>
      <c r="M1548">
        <v>7</v>
      </c>
      <c r="N1548">
        <v>43</v>
      </c>
      <c r="O1548">
        <v>1082</v>
      </c>
      <c r="P1548">
        <v>1083</v>
      </c>
      <c r="Q1548">
        <v>1082</v>
      </c>
      <c r="S1548">
        <v>273</v>
      </c>
      <c r="T1548">
        <v>273</v>
      </c>
      <c r="U1548">
        <f>+SUM(Table1[[#This Row],[Latinos]:[Cemex]])</f>
        <v>1</v>
      </c>
      <c r="V1548" t="str">
        <f>+Table1[[#This Row],[id_destino]]&amp;" - "&amp;Table1[[#This Row],[id_origen]]</f>
        <v>7 - 43</v>
      </c>
    </row>
    <row r="1549" spans="1:22" hidden="1">
      <c r="A1549">
        <v>693</v>
      </c>
      <c r="B1549">
        <v>2323</v>
      </c>
      <c r="C1549">
        <v>361</v>
      </c>
      <c r="D1549">
        <v>5356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 t="s">
        <v>20</v>
      </c>
      <c r="L1549" s="1">
        <v>45721</v>
      </c>
      <c r="M1549">
        <v>9</v>
      </c>
      <c r="N1549">
        <v>43</v>
      </c>
      <c r="O1549">
        <v>772</v>
      </c>
      <c r="P1549">
        <v>772</v>
      </c>
      <c r="Q1549">
        <v>772</v>
      </c>
      <c r="S1549">
        <v>349</v>
      </c>
      <c r="T1549">
        <v>349</v>
      </c>
      <c r="U1549">
        <f>+SUM(Table1[[#This Row],[Latinos]:[Cemex]])</f>
        <v>1</v>
      </c>
      <c r="V1549" t="str">
        <f>+Table1[[#This Row],[id_destino]]&amp;" - "&amp;Table1[[#This Row],[id_origen]]</f>
        <v>9 - 43</v>
      </c>
    </row>
    <row r="1550" spans="1:22" hidden="1">
      <c r="A1550">
        <v>609</v>
      </c>
      <c r="B1550">
        <v>1749</v>
      </c>
      <c r="C1550">
        <v>361</v>
      </c>
      <c r="D1550">
        <v>426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 t="s">
        <v>20</v>
      </c>
      <c r="L1550" s="1">
        <v>43113</v>
      </c>
      <c r="M1550">
        <v>35</v>
      </c>
      <c r="N1550">
        <v>43</v>
      </c>
      <c r="O1550">
        <v>317</v>
      </c>
      <c r="P1550">
        <v>317</v>
      </c>
      <c r="Q1550">
        <v>317</v>
      </c>
      <c r="S1550">
        <v>644</v>
      </c>
      <c r="T1550">
        <v>644</v>
      </c>
      <c r="U1550">
        <f>+SUM(Table1[[#This Row],[Latinos]:[Cemex]])</f>
        <v>1</v>
      </c>
      <c r="V1550" t="str">
        <f>+Table1[[#This Row],[id_destino]]&amp;" - "&amp;Table1[[#This Row],[id_origen]]</f>
        <v>35 - 43</v>
      </c>
    </row>
    <row r="1551" spans="1:22" hidden="1">
      <c r="A1551">
        <v>4392</v>
      </c>
      <c r="B1551">
        <v>4624</v>
      </c>
      <c r="C1551">
        <v>49</v>
      </c>
      <c r="D1551">
        <v>48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 t="s">
        <v>20</v>
      </c>
      <c r="L1551" s="1">
        <v>45517</v>
      </c>
      <c r="M1551">
        <v>42</v>
      </c>
      <c r="N1551">
        <v>43</v>
      </c>
      <c r="O1551">
        <v>328</v>
      </c>
      <c r="P1551">
        <v>330</v>
      </c>
      <c r="Q1551">
        <v>328</v>
      </c>
      <c r="S1551">
        <v>800</v>
      </c>
      <c r="T1551">
        <v>800</v>
      </c>
      <c r="U1551">
        <f>+SUM(Table1[[#This Row],[Latinos]:[Cemex]])</f>
        <v>1</v>
      </c>
      <c r="V1551" t="str">
        <f>+Table1[[#This Row],[id_destino]]&amp;" - "&amp;Table1[[#This Row],[id_origen]]</f>
        <v>42 - 43</v>
      </c>
    </row>
    <row r="1552" spans="1:22" hidden="1">
      <c r="A1552">
        <v>3899</v>
      </c>
      <c r="B1552">
        <v>562</v>
      </c>
      <c r="C1552">
        <v>49</v>
      </c>
      <c r="D1552">
        <v>230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 t="s">
        <v>20</v>
      </c>
      <c r="L1552" s="1">
        <v>45170</v>
      </c>
      <c r="M1552">
        <v>47</v>
      </c>
      <c r="N1552">
        <v>43</v>
      </c>
      <c r="O1552">
        <v>734</v>
      </c>
      <c r="P1552">
        <v>654</v>
      </c>
      <c r="Q1552">
        <v>734</v>
      </c>
      <c r="S1552">
        <v>2039</v>
      </c>
      <c r="T1552">
        <v>2039</v>
      </c>
      <c r="U1552">
        <f>+SUM(Table1[[#This Row],[Latinos]:[Cemex]])</f>
        <v>1</v>
      </c>
      <c r="V1552" t="str">
        <f>+Table1[[#This Row],[id_destino]]&amp;" - "&amp;Table1[[#This Row],[id_origen]]</f>
        <v>47 - 43</v>
      </c>
    </row>
    <row r="1553" spans="1:22" hidden="1">
      <c r="A1553">
        <v>2893</v>
      </c>
      <c r="B1553">
        <v>1549</v>
      </c>
      <c r="C1553">
        <v>49</v>
      </c>
      <c r="D1553">
        <v>63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 t="s">
        <v>20</v>
      </c>
      <c r="L1553" s="1">
        <v>44594</v>
      </c>
      <c r="M1553">
        <v>55</v>
      </c>
      <c r="N1553">
        <v>43</v>
      </c>
      <c r="O1553">
        <v>616</v>
      </c>
      <c r="P1553">
        <v>614</v>
      </c>
      <c r="Q1553">
        <v>616</v>
      </c>
      <c r="S1553">
        <v>1651</v>
      </c>
      <c r="T1553">
        <v>1651</v>
      </c>
      <c r="U1553">
        <f>+SUM(Table1[[#This Row],[Latinos]:[Cemex]])</f>
        <v>1</v>
      </c>
      <c r="V1553" t="str">
        <f>+Table1[[#This Row],[id_destino]]&amp;" - "&amp;Table1[[#This Row],[id_origen]]</f>
        <v>55 - 43</v>
      </c>
    </row>
    <row r="1554" spans="1:22" hidden="1">
      <c r="A1554">
        <v>2300</v>
      </c>
      <c r="B1554">
        <v>2216</v>
      </c>
      <c r="C1554">
        <v>49</v>
      </c>
      <c r="D1554">
        <v>6322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 t="s">
        <v>20</v>
      </c>
      <c r="L1554" s="1">
        <v>43916</v>
      </c>
      <c r="M1554">
        <v>62</v>
      </c>
      <c r="N1554">
        <v>43</v>
      </c>
      <c r="O1554">
        <v>995</v>
      </c>
      <c r="P1554">
        <v>995</v>
      </c>
      <c r="Q1554">
        <v>995</v>
      </c>
      <c r="S1554">
        <v>2264</v>
      </c>
      <c r="T1554">
        <v>2264</v>
      </c>
      <c r="U1554">
        <f>+SUM(Table1[[#This Row],[Latinos]:[Cemex]])</f>
        <v>1</v>
      </c>
      <c r="V1554" t="str">
        <f>+Table1[[#This Row],[id_destino]]&amp;" - "&amp;Table1[[#This Row],[id_origen]]</f>
        <v>62 - 43</v>
      </c>
    </row>
    <row r="1555" spans="1:22" hidden="1">
      <c r="A1555">
        <v>4085</v>
      </c>
      <c r="B1555">
        <v>4410</v>
      </c>
      <c r="C1555">
        <v>49</v>
      </c>
      <c r="D1555">
        <v>268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 t="s">
        <v>20</v>
      </c>
      <c r="L1555" s="1">
        <v>45274</v>
      </c>
      <c r="M1555">
        <v>99</v>
      </c>
      <c r="N1555">
        <v>43</v>
      </c>
      <c r="O1555">
        <v>606</v>
      </c>
      <c r="P1555">
        <v>595</v>
      </c>
      <c r="Q1555">
        <v>606</v>
      </c>
      <c r="S1555">
        <v>852</v>
      </c>
      <c r="T1555">
        <v>852</v>
      </c>
      <c r="U1555">
        <f>+SUM(Table1[[#This Row],[Latinos]:[Cemex]])</f>
        <v>1</v>
      </c>
      <c r="V1555" t="str">
        <f>+Table1[[#This Row],[id_destino]]&amp;" - "&amp;Table1[[#This Row],[id_origen]]</f>
        <v>99 - 43</v>
      </c>
    </row>
    <row r="1556" spans="1:22" hidden="1">
      <c r="A1556">
        <v>4787</v>
      </c>
      <c r="B1556">
        <v>4907</v>
      </c>
      <c r="C1556">
        <v>5601</v>
      </c>
      <c r="D1556">
        <v>8249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 t="s">
        <v>20</v>
      </c>
      <c r="L1556" s="1">
        <v>45824</v>
      </c>
      <c r="M1556">
        <v>126</v>
      </c>
      <c r="N1556">
        <v>43</v>
      </c>
      <c r="O1556">
        <v>307</v>
      </c>
      <c r="P1556">
        <v>311</v>
      </c>
      <c r="Q1556">
        <v>307</v>
      </c>
      <c r="S1556">
        <v>324</v>
      </c>
      <c r="T1556">
        <v>324</v>
      </c>
      <c r="U1556">
        <f>+SUM(Table1[[#This Row],[Latinos]:[Cemex]])</f>
        <v>1</v>
      </c>
      <c r="V1556" t="str">
        <f>+Table1[[#This Row],[id_destino]]&amp;" - "&amp;Table1[[#This Row],[id_origen]]</f>
        <v>126 - 43</v>
      </c>
    </row>
    <row r="1557" spans="1:22" hidden="1">
      <c r="A1557">
        <v>1346</v>
      </c>
      <c r="B1557">
        <v>2702</v>
      </c>
      <c r="C1557">
        <v>5601</v>
      </c>
      <c r="D1557">
        <v>5730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  <c r="K1557" t="s">
        <v>20</v>
      </c>
      <c r="L1557" s="1">
        <v>43395</v>
      </c>
      <c r="M1557">
        <v>408</v>
      </c>
      <c r="N1557">
        <v>43</v>
      </c>
      <c r="O1557">
        <v>317</v>
      </c>
      <c r="P1557">
        <v>317</v>
      </c>
      <c r="Q1557">
        <v>317</v>
      </c>
      <c r="S1557">
        <v>693</v>
      </c>
      <c r="T1557">
        <v>693</v>
      </c>
      <c r="U1557">
        <f>+SUM(Table1[[#This Row],[Latinos]:[Cemex]])</f>
        <v>1</v>
      </c>
      <c r="V1557" t="str">
        <f>+Table1[[#This Row],[id_destino]]&amp;" - "&amp;Table1[[#This Row],[id_origen]]</f>
        <v>408 - 43</v>
      </c>
    </row>
    <row r="1558" spans="1:22" hidden="1">
      <c r="A1558">
        <v>4103</v>
      </c>
      <c r="B1558">
        <v>4421</v>
      </c>
      <c r="C1558">
        <v>49</v>
      </c>
      <c r="D1558">
        <v>7608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 t="s">
        <v>20</v>
      </c>
      <c r="L1558" s="1">
        <v>45293</v>
      </c>
      <c r="M1558">
        <v>894</v>
      </c>
      <c r="N1558">
        <v>43</v>
      </c>
      <c r="O1558">
        <v>52</v>
      </c>
      <c r="P1558">
        <v>53</v>
      </c>
      <c r="Q1558">
        <v>52</v>
      </c>
      <c r="S1558">
        <v>81</v>
      </c>
      <c r="T1558">
        <v>81</v>
      </c>
      <c r="U1558">
        <f>+SUM(Table1[[#This Row],[Latinos]:[Cemex]])</f>
        <v>1</v>
      </c>
      <c r="V1558" t="str">
        <f>+Table1[[#This Row],[id_destino]]&amp;" - "&amp;Table1[[#This Row],[id_origen]]</f>
        <v>894 - 43</v>
      </c>
    </row>
    <row r="1559" spans="1:22" hidden="1">
      <c r="A1559">
        <v>1281</v>
      </c>
      <c r="B1559">
        <v>2668</v>
      </c>
      <c r="C1559">
        <v>2569</v>
      </c>
      <c r="D1559">
        <v>353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  <c r="K1559" t="s">
        <v>37</v>
      </c>
      <c r="L1559" s="1">
        <v>43364</v>
      </c>
      <c r="M1559">
        <v>7</v>
      </c>
      <c r="N1559">
        <v>44</v>
      </c>
      <c r="O1559">
        <v>1529</v>
      </c>
      <c r="P1559">
        <v>1529</v>
      </c>
      <c r="Q1559">
        <v>1529</v>
      </c>
      <c r="S1559">
        <v>1263</v>
      </c>
      <c r="T1559">
        <v>1263</v>
      </c>
      <c r="U1559">
        <f>+SUM(Table1[[#This Row],[Latinos]:[Cemex]])</f>
        <v>1</v>
      </c>
      <c r="V1559" t="str">
        <f>+Table1[[#This Row],[id_destino]]&amp;" - "&amp;Table1[[#This Row],[id_origen]]</f>
        <v>7 - 44</v>
      </c>
    </row>
    <row r="1560" spans="1:22" hidden="1">
      <c r="A1560">
        <v>380</v>
      </c>
      <c r="B1560">
        <v>2273</v>
      </c>
      <c r="C1560">
        <v>5338</v>
      </c>
      <c r="D1560">
        <v>1869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 t="s">
        <v>20</v>
      </c>
      <c r="L1560" s="1">
        <v>43049</v>
      </c>
      <c r="M1560">
        <v>19</v>
      </c>
      <c r="N1560">
        <v>44</v>
      </c>
      <c r="O1560">
        <v>272</v>
      </c>
      <c r="P1560">
        <v>272</v>
      </c>
      <c r="Q1560">
        <v>272</v>
      </c>
      <c r="S1560">
        <v>800</v>
      </c>
      <c r="T1560">
        <v>807</v>
      </c>
      <c r="U1560">
        <f>+SUM(Table1[[#This Row],[Latinos]:[Cemex]])</f>
        <v>1</v>
      </c>
      <c r="V1560" t="str">
        <f>+Table1[[#This Row],[id_destino]]&amp;" - "&amp;Table1[[#This Row],[id_origen]]</f>
        <v>19 - 44</v>
      </c>
    </row>
    <row r="1561" spans="1:22" hidden="1">
      <c r="A1561">
        <v>558</v>
      </c>
      <c r="B1561">
        <v>2345</v>
      </c>
      <c r="C1561">
        <v>2569</v>
      </c>
      <c r="D1561">
        <v>426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 t="s">
        <v>20</v>
      </c>
      <c r="L1561" s="1">
        <v>43103</v>
      </c>
      <c r="M1561">
        <v>35</v>
      </c>
      <c r="N1561">
        <v>44</v>
      </c>
      <c r="O1561">
        <v>114</v>
      </c>
      <c r="P1561">
        <v>150</v>
      </c>
      <c r="Q1561">
        <v>114</v>
      </c>
      <c r="S1561">
        <v>392</v>
      </c>
      <c r="T1561">
        <v>392</v>
      </c>
      <c r="U1561">
        <f>+SUM(Table1[[#This Row],[Latinos]:[Cemex]])</f>
        <v>1</v>
      </c>
      <c r="V1561" t="str">
        <f>+Table1[[#This Row],[id_destino]]&amp;" - "&amp;Table1[[#This Row],[id_origen]]</f>
        <v>35 - 44</v>
      </c>
    </row>
    <row r="1562" spans="1:22" hidden="1">
      <c r="A1562">
        <v>646</v>
      </c>
      <c r="B1562">
        <v>2385</v>
      </c>
      <c r="C1562">
        <v>2569</v>
      </c>
      <c r="D1562">
        <v>5438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  <c r="K1562" t="s">
        <v>20</v>
      </c>
      <c r="L1562" s="1">
        <v>43122</v>
      </c>
      <c r="M1562">
        <v>65</v>
      </c>
      <c r="N1562">
        <v>44</v>
      </c>
      <c r="O1562">
        <v>171</v>
      </c>
      <c r="P1562">
        <v>178</v>
      </c>
      <c r="Q1562">
        <v>171</v>
      </c>
      <c r="S1562">
        <v>504</v>
      </c>
      <c r="T1562">
        <v>511</v>
      </c>
      <c r="U1562">
        <f>+SUM(Table1[[#This Row],[Latinos]:[Cemex]])</f>
        <v>1</v>
      </c>
      <c r="V1562" t="str">
        <f>+Table1[[#This Row],[id_destino]]&amp;" - "&amp;Table1[[#This Row],[id_origen]]</f>
        <v>65 - 44</v>
      </c>
    </row>
    <row r="1563" spans="1:22" hidden="1">
      <c r="A1563">
        <v>652</v>
      </c>
      <c r="B1563">
        <v>2390</v>
      </c>
      <c r="C1563">
        <v>2569</v>
      </c>
      <c r="D1563">
        <v>2377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 t="s">
        <v>20</v>
      </c>
      <c r="L1563" s="1">
        <v>43122</v>
      </c>
      <c r="M1563">
        <v>424</v>
      </c>
      <c r="N1563">
        <v>44</v>
      </c>
      <c r="O1563">
        <v>178</v>
      </c>
      <c r="P1563">
        <v>178</v>
      </c>
      <c r="Q1563">
        <v>178</v>
      </c>
      <c r="S1563">
        <v>504</v>
      </c>
      <c r="T1563">
        <v>511</v>
      </c>
      <c r="U1563">
        <f>+SUM(Table1[[#This Row],[Latinos]:[Cemex]])</f>
        <v>1</v>
      </c>
      <c r="V1563" t="str">
        <f>+Table1[[#This Row],[id_destino]]&amp;" - "&amp;Table1[[#This Row],[id_origen]]</f>
        <v>424 - 44</v>
      </c>
    </row>
    <row r="1564" spans="1:22" hidden="1">
      <c r="A1564">
        <v>4252</v>
      </c>
      <c r="B1564">
        <v>4524</v>
      </c>
      <c r="C1564">
        <v>7732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 t="s">
        <v>20</v>
      </c>
      <c r="L1564" s="1">
        <v>45400</v>
      </c>
      <c r="M1564">
        <v>3</v>
      </c>
      <c r="N1564">
        <v>45</v>
      </c>
      <c r="O1564">
        <v>463</v>
      </c>
      <c r="P1564">
        <v>468</v>
      </c>
      <c r="Q1564">
        <v>463</v>
      </c>
      <c r="S1564">
        <v>992</v>
      </c>
      <c r="T1564">
        <v>992</v>
      </c>
      <c r="U1564">
        <f>+SUM(Table1[[#This Row],[Latinos]:[Cemex]])</f>
        <v>1</v>
      </c>
      <c r="V1564" t="str">
        <f>+Table1[[#This Row],[id_destino]]&amp;" - "&amp;Table1[[#This Row],[id_origen]]</f>
        <v>3 - 45</v>
      </c>
    </row>
    <row r="1565" spans="1:22" hidden="1">
      <c r="A1565">
        <v>166</v>
      </c>
      <c r="B1565">
        <v>221</v>
      </c>
      <c r="C1565">
        <v>5296</v>
      </c>
      <c r="D1565">
        <v>3097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  <c r="K1565" t="s">
        <v>20</v>
      </c>
      <c r="L1565" s="1">
        <v>43004</v>
      </c>
      <c r="M1565">
        <v>2</v>
      </c>
      <c r="N1565">
        <v>46</v>
      </c>
      <c r="O1565">
        <v>201</v>
      </c>
      <c r="P1565">
        <v>201</v>
      </c>
      <c r="Q1565">
        <v>201</v>
      </c>
      <c r="S1565">
        <v>103</v>
      </c>
      <c r="T1565">
        <v>103</v>
      </c>
      <c r="U1565">
        <f>+SUM(Table1[[#This Row],[Latinos]:[Cemex]])</f>
        <v>1</v>
      </c>
      <c r="V1565" t="str">
        <f>+Table1[[#This Row],[id_destino]]&amp;" - "&amp;Table1[[#This Row],[id_origen]]</f>
        <v>2 - 46</v>
      </c>
    </row>
    <row r="1566" spans="1:22" hidden="1">
      <c r="A1566">
        <v>3450</v>
      </c>
      <c r="B1566">
        <v>3999</v>
      </c>
      <c r="C1566">
        <v>478</v>
      </c>
      <c r="D1566">
        <v>349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 t="s">
        <v>20</v>
      </c>
      <c r="L1566" s="1">
        <v>45167</v>
      </c>
      <c r="M1566">
        <v>12</v>
      </c>
      <c r="N1566">
        <v>46</v>
      </c>
      <c r="O1566">
        <v>711</v>
      </c>
      <c r="P1566">
        <v>698</v>
      </c>
      <c r="Q1566">
        <v>711</v>
      </c>
      <c r="S1566">
        <v>1711</v>
      </c>
      <c r="T1566">
        <v>1711</v>
      </c>
      <c r="U1566">
        <f>+SUM(Table1[[#This Row],[Latinos]:[Cemex]])</f>
        <v>1</v>
      </c>
      <c r="V1566" t="str">
        <f>+Table1[[#This Row],[id_destino]]&amp;" - "&amp;Table1[[#This Row],[id_origen]]</f>
        <v>12 - 46</v>
      </c>
    </row>
    <row r="1567" spans="1:22" hidden="1">
      <c r="A1567">
        <v>3082</v>
      </c>
      <c r="B1567">
        <v>3760</v>
      </c>
      <c r="C1567">
        <v>478</v>
      </c>
      <c r="D1567">
        <v>6919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 t="s">
        <v>20</v>
      </c>
      <c r="L1567" s="1">
        <v>44716</v>
      </c>
      <c r="M1567">
        <v>33</v>
      </c>
      <c r="N1567">
        <v>46</v>
      </c>
      <c r="O1567">
        <v>1174</v>
      </c>
      <c r="P1567">
        <v>1188</v>
      </c>
      <c r="Q1567">
        <v>1174</v>
      </c>
      <c r="S1567">
        <v>1342</v>
      </c>
      <c r="T1567">
        <v>1464</v>
      </c>
      <c r="U1567">
        <f>+SUM(Table1[[#This Row],[Latinos]:[Cemex]])</f>
        <v>1</v>
      </c>
      <c r="V1567" t="str">
        <f>+Table1[[#This Row],[id_destino]]&amp;" - "&amp;Table1[[#This Row],[id_origen]]</f>
        <v>33 - 46</v>
      </c>
    </row>
    <row r="1568" spans="1:22" hidden="1">
      <c r="A1568">
        <v>1947</v>
      </c>
      <c r="B1568">
        <v>3038</v>
      </c>
      <c r="C1568">
        <v>478</v>
      </c>
      <c r="D1568">
        <v>426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 t="s">
        <v>20</v>
      </c>
      <c r="L1568" s="1">
        <v>43734</v>
      </c>
      <c r="M1568">
        <v>35</v>
      </c>
      <c r="N1568">
        <v>46</v>
      </c>
      <c r="O1568">
        <v>249</v>
      </c>
      <c r="P1568">
        <v>249</v>
      </c>
      <c r="Q1568">
        <v>249</v>
      </c>
      <c r="S1568">
        <v>243</v>
      </c>
      <c r="T1568">
        <v>243</v>
      </c>
      <c r="U1568">
        <f>+SUM(Table1[[#This Row],[Latinos]:[Cemex]])</f>
        <v>1</v>
      </c>
      <c r="V1568" t="str">
        <f>+Table1[[#This Row],[id_destino]]&amp;" - "&amp;Table1[[#This Row],[id_origen]]</f>
        <v>35 - 46</v>
      </c>
    </row>
    <row r="1569" spans="1:22" hidden="1">
      <c r="A1569">
        <v>2507</v>
      </c>
      <c r="B1569">
        <v>3388</v>
      </c>
      <c r="C1569">
        <v>52</v>
      </c>
      <c r="D1569">
        <v>46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 t="s">
        <v>20</v>
      </c>
      <c r="L1569" s="1">
        <v>44139</v>
      </c>
      <c r="M1569">
        <v>40</v>
      </c>
      <c r="N1569">
        <v>46</v>
      </c>
      <c r="O1569">
        <v>636</v>
      </c>
      <c r="P1569">
        <v>619</v>
      </c>
      <c r="Q1569">
        <v>636</v>
      </c>
      <c r="S1569">
        <v>1558</v>
      </c>
      <c r="T1569">
        <v>1558</v>
      </c>
      <c r="U1569">
        <f>+SUM(Table1[[#This Row],[Latinos]:[Cemex]])</f>
        <v>1</v>
      </c>
      <c r="V1569" t="str">
        <f>+Table1[[#This Row],[id_destino]]&amp;" - "&amp;Table1[[#This Row],[id_origen]]</f>
        <v>40 - 46</v>
      </c>
    </row>
    <row r="1570" spans="1:22" hidden="1">
      <c r="A1570">
        <v>3863</v>
      </c>
      <c r="B1570">
        <v>4268</v>
      </c>
      <c r="C1570">
        <v>52</v>
      </c>
      <c r="D1570">
        <v>48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 t="s">
        <v>20</v>
      </c>
      <c r="L1570" s="1">
        <v>45148</v>
      </c>
      <c r="M1570">
        <v>42</v>
      </c>
      <c r="N1570">
        <v>46</v>
      </c>
      <c r="O1570">
        <v>370</v>
      </c>
      <c r="P1570">
        <v>368</v>
      </c>
      <c r="Q1570">
        <v>370</v>
      </c>
      <c r="S1570">
        <v>1623</v>
      </c>
      <c r="T1570">
        <v>1623</v>
      </c>
      <c r="U1570">
        <f>+SUM(Table1[[#This Row],[Latinos]:[Cemex]])</f>
        <v>1</v>
      </c>
      <c r="V1570" t="str">
        <f>+Table1[[#This Row],[id_destino]]&amp;" - "&amp;Table1[[#This Row],[id_origen]]</f>
        <v>42 - 46</v>
      </c>
    </row>
    <row r="1571" spans="1:22" hidden="1">
      <c r="A1571">
        <v>3290</v>
      </c>
      <c r="B1571">
        <v>603</v>
      </c>
      <c r="C1571">
        <v>52</v>
      </c>
      <c r="D1571">
        <v>6694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 t="s">
        <v>20</v>
      </c>
      <c r="L1571" s="1">
        <v>44806</v>
      </c>
      <c r="M1571">
        <v>47</v>
      </c>
      <c r="N1571">
        <v>46</v>
      </c>
      <c r="O1571">
        <v>344</v>
      </c>
      <c r="P1571">
        <v>327</v>
      </c>
      <c r="Q1571">
        <v>344</v>
      </c>
      <c r="S1571">
        <v>1259</v>
      </c>
      <c r="T1571">
        <v>1352</v>
      </c>
      <c r="U1571">
        <f>+SUM(Table1[[#This Row],[Latinos]:[Cemex]])</f>
        <v>1</v>
      </c>
      <c r="V1571" t="str">
        <f>+Table1[[#This Row],[id_destino]]&amp;" - "&amp;Table1[[#This Row],[id_origen]]</f>
        <v>47 - 46</v>
      </c>
    </row>
    <row r="1572" spans="1:22" hidden="1">
      <c r="A1572">
        <v>3542</v>
      </c>
      <c r="B1572">
        <v>4060</v>
      </c>
      <c r="C1572">
        <v>478</v>
      </c>
      <c r="D1572">
        <v>7200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  <c r="K1572" t="s">
        <v>20</v>
      </c>
      <c r="L1572" s="1">
        <v>44952</v>
      </c>
      <c r="M1572">
        <v>54</v>
      </c>
      <c r="N1572">
        <v>46</v>
      </c>
      <c r="O1572">
        <v>1050</v>
      </c>
      <c r="P1572">
        <v>1036</v>
      </c>
      <c r="Q1572">
        <v>1050</v>
      </c>
      <c r="S1572">
        <v>1120</v>
      </c>
      <c r="T1572">
        <v>1120</v>
      </c>
      <c r="U1572">
        <f>+SUM(Table1[[#This Row],[Latinos]:[Cemex]])</f>
        <v>1</v>
      </c>
      <c r="V1572" t="str">
        <f>+Table1[[#This Row],[id_destino]]&amp;" - "&amp;Table1[[#This Row],[id_origen]]</f>
        <v>54 - 46</v>
      </c>
    </row>
    <row r="1573" spans="1:22" hidden="1">
      <c r="A1573">
        <v>2719</v>
      </c>
      <c r="B1573">
        <v>3522</v>
      </c>
      <c r="C1573">
        <v>52</v>
      </c>
      <c r="D1573">
        <v>63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  <c r="K1573" t="s">
        <v>20</v>
      </c>
      <c r="L1573" s="1">
        <v>44375</v>
      </c>
      <c r="M1573">
        <v>55</v>
      </c>
      <c r="N1573">
        <v>46</v>
      </c>
      <c r="O1573">
        <v>197</v>
      </c>
      <c r="P1573">
        <v>185</v>
      </c>
      <c r="Q1573">
        <v>197</v>
      </c>
      <c r="S1573">
        <v>108</v>
      </c>
      <c r="T1573">
        <v>108</v>
      </c>
      <c r="U1573">
        <f>+SUM(Table1[[#This Row],[Latinos]:[Cemex]])</f>
        <v>1</v>
      </c>
      <c r="V1573" t="str">
        <f>+Table1[[#This Row],[id_destino]]&amp;" - "&amp;Table1[[#This Row],[id_origen]]</f>
        <v>55 - 46</v>
      </c>
    </row>
    <row r="1574" spans="1:22" hidden="1">
      <c r="A1574">
        <v>3594</v>
      </c>
      <c r="B1574">
        <v>4099</v>
      </c>
      <c r="C1574">
        <v>478</v>
      </c>
      <c r="D1574">
        <v>7240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  <c r="K1574" t="s">
        <v>20</v>
      </c>
      <c r="L1574" s="1">
        <v>44973</v>
      </c>
      <c r="M1574">
        <v>56</v>
      </c>
      <c r="N1574">
        <v>46</v>
      </c>
      <c r="O1574">
        <v>275</v>
      </c>
      <c r="P1574">
        <v>269</v>
      </c>
      <c r="Q1574">
        <v>275</v>
      </c>
      <c r="S1574">
        <v>493</v>
      </c>
      <c r="T1574">
        <v>493</v>
      </c>
      <c r="U1574">
        <f>+SUM(Table1[[#This Row],[Latinos]:[Cemex]])</f>
        <v>1</v>
      </c>
      <c r="V1574" t="str">
        <f>+Table1[[#This Row],[id_destino]]&amp;" - "&amp;Table1[[#This Row],[id_origen]]</f>
        <v>56 - 46</v>
      </c>
    </row>
    <row r="1575" spans="1:22" hidden="1">
      <c r="A1575">
        <v>4247</v>
      </c>
      <c r="B1575">
        <v>982</v>
      </c>
      <c r="C1575">
        <v>478</v>
      </c>
      <c r="D1575">
        <v>7714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  <c r="K1575" t="s">
        <v>20</v>
      </c>
      <c r="L1575" s="1">
        <v>45395</v>
      </c>
      <c r="M1575">
        <v>81</v>
      </c>
      <c r="N1575">
        <v>46</v>
      </c>
      <c r="O1575">
        <v>297</v>
      </c>
      <c r="P1575">
        <v>298</v>
      </c>
      <c r="Q1575">
        <v>297</v>
      </c>
      <c r="S1575">
        <v>487</v>
      </c>
      <c r="T1575">
        <v>556</v>
      </c>
      <c r="U1575">
        <f>+SUM(Table1[[#This Row],[Latinos]:[Cemex]])</f>
        <v>1</v>
      </c>
      <c r="V1575" t="str">
        <f>+Table1[[#This Row],[id_destino]]&amp;" - "&amp;Table1[[#This Row],[id_origen]]</f>
        <v>81 - 46</v>
      </c>
    </row>
    <row r="1576" spans="1:22" hidden="1">
      <c r="A1576">
        <v>3881</v>
      </c>
      <c r="B1576">
        <v>4278</v>
      </c>
      <c r="C1576">
        <v>478</v>
      </c>
      <c r="D1576">
        <v>5745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0</v>
      </c>
      <c r="K1576" t="s">
        <v>20</v>
      </c>
      <c r="L1576" s="1">
        <v>45167</v>
      </c>
      <c r="M1576">
        <v>121</v>
      </c>
      <c r="N1576">
        <v>46</v>
      </c>
      <c r="O1576">
        <v>515</v>
      </c>
      <c r="P1576">
        <v>509</v>
      </c>
      <c r="Q1576">
        <v>515</v>
      </c>
      <c r="S1576">
        <v>1161</v>
      </c>
      <c r="T1576">
        <v>1161</v>
      </c>
      <c r="U1576">
        <f>+SUM(Table1[[#This Row],[Latinos]:[Cemex]])</f>
        <v>1</v>
      </c>
      <c r="V1576" t="str">
        <f>+Table1[[#This Row],[id_destino]]&amp;" - "&amp;Table1[[#This Row],[id_origen]]</f>
        <v>121 - 46</v>
      </c>
    </row>
    <row r="1577" spans="1:22" hidden="1">
      <c r="A1577">
        <v>4767</v>
      </c>
      <c r="B1577">
        <v>4896</v>
      </c>
      <c r="C1577">
        <v>478</v>
      </c>
      <c r="D1577">
        <v>378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 t="s">
        <v>20</v>
      </c>
      <c r="L1577" s="1">
        <v>45797</v>
      </c>
      <c r="M1577">
        <v>123</v>
      </c>
      <c r="N1577">
        <v>46</v>
      </c>
      <c r="O1577">
        <v>1229</v>
      </c>
      <c r="P1577">
        <v>1229</v>
      </c>
      <c r="Q1577">
        <v>1429</v>
      </c>
      <c r="S1577">
        <v>6010</v>
      </c>
      <c r="T1577">
        <v>6010</v>
      </c>
      <c r="U1577">
        <f>+SUM(Table1[[#This Row],[Latinos]:[Cemex]])</f>
        <v>1</v>
      </c>
      <c r="V1577" t="str">
        <f>+Table1[[#This Row],[id_destino]]&amp;" - "&amp;Table1[[#This Row],[id_origen]]</f>
        <v>123 - 46</v>
      </c>
    </row>
    <row r="1578" spans="1:22" hidden="1">
      <c r="A1578">
        <v>3505</v>
      </c>
      <c r="B1578">
        <v>4034</v>
      </c>
      <c r="C1578">
        <v>478</v>
      </c>
      <c r="D1578">
        <v>391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 t="s">
        <v>20</v>
      </c>
      <c r="L1578" s="1">
        <v>44937</v>
      </c>
      <c r="M1578">
        <v>127</v>
      </c>
      <c r="N1578">
        <v>46</v>
      </c>
      <c r="O1578">
        <v>1121</v>
      </c>
      <c r="P1578">
        <v>1223</v>
      </c>
      <c r="Q1578">
        <v>1121</v>
      </c>
      <c r="S1578">
        <v>985</v>
      </c>
      <c r="T1578">
        <v>985</v>
      </c>
      <c r="U1578">
        <f>+SUM(Table1[[#This Row],[Latinos]:[Cemex]])</f>
        <v>1</v>
      </c>
      <c r="V1578" t="str">
        <f>+Table1[[#This Row],[id_destino]]&amp;" - "&amp;Table1[[#This Row],[id_origen]]</f>
        <v>127 - 46</v>
      </c>
    </row>
    <row r="1579" spans="1:22" hidden="1">
      <c r="A1579">
        <v>4009</v>
      </c>
      <c r="B1579">
        <v>4354</v>
      </c>
      <c r="C1579">
        <v>52</v>
      </c>
      <c r="D1579">
        <v>47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 t="s">
        <v>20</v>
      </c>
      <c r="L1579" s="1">
        <v>45233</v>
      </c>
      <c r="M1579">
        <v>129</v>
      </c>
      <c r="N1579">
        <v>46</v>
      </c>
      <c r="O1579">
        <v>616</v>
      </c>
      <c r="P1579">
        <v>589</v>
      </c>
      <c r="Q1579">
        <v>616</v>
      </c>
      <c r="S1579">
        <v>1341</v>
      </c>
      <c r="T1579">
        <v>1514</v>
      </c>
      <c r="U1579">
        <f>+SUM(Table1[[#This Row],[Latinos]:[Cemex]])</f>
        <v>1</v>
      </c>
      <c r="V1579" t="str">
        <f>+Table1[[#This Row],[id_destino]]&amp;" - "&amp;Table1[[#This Row],[id_origen]]</f>
        <v>129 - 46</v>
      </c>
    </row>
    <row r="1580" spans="1:22" hidden="1">
      <c r="A1580">
        <v>547</v>
      </c>
      <c r="B1580">
        <v>2339</v>
      </c>
      <c r="C1580">
        <v>478</v>
      </c>
      <c r="D1580">
        <v>6386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  <c r="K1580" t="s">
        <v>20</v>
      </c>
      <c r="L1580" s="1">
        <v>45166</v>
      </c>
      <c r="M1580">
        <v>169</v>
      </c>
      <c r="N1580">
        <v>46</v>
      </c>
      <c r="O1580">
        <v>586</v>
      </c>
      <c r="P1580">
        <v>576</v>
      </c>
      <c r="Q1580">
        <v>586</v>
      </c>
      <c r="S1580">
        <v>1161</v>
      </c>
      <c r="T1580">
        <v>1161</v>
      </c>
      <c r="U1580">
        <f>+SUM(Table1[[#This Row],[Latinos]:[Cemex]])</f>
        <v>1</v>
      </c>
      <c r="V1580" t="str">
        <f>+Table1[[#This Row],[id_destino]]&amp;" - "&amp;Table1[[#This Row],[id_origen]]</f>
        <v>169 - 46</v>
      </c>
    </row>
    <row r="1581" spans="1:22" hidden="1">
      <c r="A1581">
        <v>2742</v>
      </c>
      <c r="B1581">
        <v>3536</v>
      </c>
      <c r="C1581">
        <v>52</v>
      </c>
      <c r="D1581">
        <v>24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  <c r="K1581" t="s">
        <v>20</v>
      </c>
      <c r="L1581" s="1">
        <v>44405</v>
      </c>
      <c r="M1581">
        <v>179</v>
      </c>
      <c r="N1581">
        <v>46</v>
      </c>
      <c r="O1581">
        <v>2102</v>
      </c>
      <c r="P1581">
        <v>2083</v>
      </c>
      <c r="Q1581">
        <v>2102</v>
      </c>
      <c r="S1581">
        <v>4901</v>
      </c>
      <c r="T1581">
        <v>4987</v>
      </c>
      <c r="U1581">
        <f>+SUM(Table1[[#This Row],[Latinos]:[Cemex]])</f>
        <v>1</v>
      </c>
      <c r="V1581" t="str">
        <f>+Table1[[#This Row],[id_destino]]&amp;" - "&amp;Table1[[#This Row],[id_origen]]</f>
        <v>179 - 46</v>
      </c>
    </row>
    <row r="1582" spans="1:22" hidden="1">
      <c r="A1582">
        <v>476</v>
      </c>
      <c r="B1582">
        <v>2308</v>
      </c>
      <c r="C1582">
        <v>478</v>
      </c>
      <c r="D1582">
        <v>405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  <c r="K1582" t="s">
        <v>20</v>
      </c>
      <c r="L1582" s="1">
        <v>45259</v>
      </c>
      <c r="M1582">
        <v>180</v>
      </c>
      <c r="N1582">
        <v>46</v>
      </c>
      <c r="O1582">
        <v>1252</v>
      </c>
      <c r="P1582">
        <v>1300</v>
      </c>
      <c r="Q1582">
        <v>1252</v>
      </c>
      <c r="S1582">
        <v>1291</v>
      </c>
      <c r="T1582">
        <v>1345</v>
      </c>
      <c r="U1582">
        <f>+SUM(Table1[[#This Row],[Latinos]:[Cemex]])</f>
        <v>1</v>
      </c>
      <c r="V1582" t="str">
        <f>+Table1[[#This Row],[id_destino]]&amp;" - "&amp;Table1[[#This Row],[id_origen]]</f>
        <v>180 - 46</v>
      </c>
    </row>
    <row r="1583" spans="1:22" hidden="1">
      <c r="A1583">
        <v>4769</v>
      </c>
      <c r="B1583">
        <v>4897</v>
      </c>
      <c r="C1583">
        <v>478</v>
      </c>
      <c r="D1583">
        <v>3169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 t="s">
        <v>20</v>
      </c>
      <c r="L1583" s="1">
        <v>45797</v>
      </c>
      <c r="M1583">
        <v>189</v>
      </c>
      <c r="N1583">
        <v>46</v>
      </c>
      <c r="O1583">
        <v>1356</v>
      </c>
      <c r="P1583">
        <v>1356</v>
      </c>
      <c r="Q1583">
        <v>1556</v>
      </c>
      <c r="S1583">
        <v>6010</v>
      </c>
      <c r="T1583">
        <v>6010</v>
      </c>
      <c r="U1583">
        <f>+SUM(Table1[[#This Row],[Latinos]:[Cemex]])</f>
        <v>1</v>
      </c>
      <c r="V1583" t="str">
        <f>+Table1[[#This Row],[id_destino]]&amp;" - "&amp;Table1[[#This Row],[id_origen]]</f>
        <v>189 - 46</v>
      </c>
    </row>
    <row r="1584" spans="1:22" hidden="1">
      <c r="A1584">
        <v>1756</v>
      </c>
      <c r="B1584">
        <v>2918</v>
      </c>
      <c r="C1584">
        <v>52</v>
      </c>
      <c r="D1584">
        <v>5763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 t="s">
        <v>20</v>
      </c>
      <c r="L1584" s="1">
        <v>43606</v>
      </c>
      <c r="M1584">
        <v>276</v>
      </c>
      <c r="N1584">
        <v>46</v>
      </c>
      <c r="O1584">
        <v>247</v>
      </c>
      <c r="P1584">
        <v>247</v>
      </c>
      <c r="Q1584">
        <v>247</v>
      </c>
      <c r="S1584">
        <v>108</v>
      </c>
      <c r="T1584">
        <v>108</v>
      </c>
      <c r="U1584">
        <f>+SUM(Table1[[#This Row],[Latinos]:[Cemex]])</f>
        <v>1</v>
      </c>
      <c r="V1584" t="str">
        <f>+Table1[[#This Row],[id_destino]]&amp;" - "&amp;Table1[[#This Row],[id_origen]]</f>
        <v>276 - 46</v>
      </c>
    </row>
    <row r="1585" spans="1:22" hidden="1">
      <c r="A1585">
        <v>1574</v>
      </c>
      <c r="B1585">
        <v>2820</v>
      </c>
      <c r="C1585">
        <v>52</v>
      </c>
      <c r="D1585">
        <v>5781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 t="s">
        <v>20</v>
      </c>
      <c r="L1585" s="1">
        <v>43511</v>
      </c>
      <c r="M1585">
        <v>765</v>
      </c>
      <c r="N1585">
        <v>46</v>
      </c>
      <c r="O1585">
        <v>307</v>
      </c>
      <c r="P1585">
        <v>393</v>
      </c>
      <c r="Q1585">
        <v>307</v>
      </c>
      <c r="S1585">
        <v>582</v>
      </c>
      <c r="T1585">
        <v>582</v>
      </c>
      <c r="U1585">
        <f>+SUM(Table1[[#This Row],[Latinos]:[Cemex]])</f>
        <v>1</v>
      </c>
      <c r="V1585" t="str">
        <f>+Table1[[#This Row],[id_destino]]&amp;" - "&amp;Table1[[#This Row],[id_origen]]</f>
        <v>765 - 46</v>
      </c>
    </row>
    <row r="1586" spans="1:22" hidden="1">
      <c r="A1586">
        <v>1575</v>
      </c>
      <c r="B1586">
        <v>2820</v>
      </c>
      <c r="C1586">
        <v>52</v>
      </c>
      <c r="D1586">
        <v>5781</v>
      </c>
      <c r="E1586">
        <v>0</v>
      </c>
      <c r="F1586">
        <v>1</v>
      </c>
      <c r="G1586">
        <v>0</v>
      </c>
      <c r="H1586">
        <v>0</v>
      </c>
      <c r="I1586">
        <v>1</v>
      </c>
      <c r="J1586">
        <v>0</v>
      </c>
      <c r="K1586" t="s">
        <v>20</v>
      </c>
      <c r="L1586" s="1">
        <v>43512</v>
      </c>
      <c r="M1586">
        <v>765</v>
      </c>
      <c r="N1586">
        <v>46</v>
      </c>
      <c r="O1586">
        <v>390</v>
      </c>
      <c r="P1586">
        <v>384</v>
      </c>
      <c r="Q1586">
        <v>390</v>
      </c>
      <c r="S1586">
        <v>729</v>
      </c>
      <c r="T1586">
        <v>729</v>
      </c>
      <c r="U1586">
        <f>+SUM(Table1[[#This Row],[Latinos]:[Cemex]])</f>
        <v>2</v>
      </c>
      <c r="V1586" t="str">
        <f>+Table1[[#This Row],[id_destino]]&amp;" - "&amp;Table1[[#This Row],[id_origen]]</f>
        <v>765 - 46</v>
      </c>
    </row>
    <row r="1587" spans="1:22" hidden="1">
      <c r="A1587">
        <v>1588</v>
      </c>
      <c r="B1587">
        <v>2820</v>
      </c>
      <c r="C1587">
        <v>52</v>
      </c>
      <c r="D1587">
        <v>5781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 t="s">
        <v>20</v>
      </c>
      <c r="L1587" s="1">
        <v>43517</v>
      </c>
      <c r="M1587">
        <v>765</v>
      </c>
      <c r="N1587">
        <v>46</v>
      </c>
      <c r="O1587">
        <v>307</v>
      </c>
      <c r="P1587">
        <v>393</v>
      </c>
      <c r="Q1587">
        <v>307</v>
      </c>
      <c r="S1587">
        <v>582</v>
      </c>
      <c r="T1587">
        <v>582</v>
      </c>
      <c r="U1587">
        <f>+SUM(Table1[[#This Row],[Latinos]:[Cemex]])</f>
        <v>1</v>
      </c>
      <c r="V1587" t="str">
        <f>+Table1[[#This Row],[id_destino]]&amp;" - "&amp;Table1[[#This Row],[id_origen]]</f>
        <v>765 - 46</v>
      </c>
    </row>
    <row r="1588" spans="1:22" hidden="1">
      <c r="A1588">
        <v>4041</v>
      </c>
      <c r="B1588">
        <v>30</v>
      </c>
      <c r="C1588">
        <v>7000</v>
      </c>
      <c r="D1588">
        <v>7558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0</v>
      </c>
      <c r="K1588" t="s">
        <v>20</v>
      </c>
      <c r="L1588" s="1">
        <v>45245</v>
      </c>
      <c r="M1588">
        <v>1</v>
      </c>
      <c r="N1588">
        <v>47</v>
      </c>
      <c r="O1588">
        <v>888</v>
      </c>
      <c r="P1588">
        <v>886</v>
      </c>
      <c r="Q1588">
        <v>888</v>
      </c>
      <c r="S1588">
        <v>978</v>
      </c>
      <c r="T1588">
        <v>1092</v>
      </c>
      <c r="U1588">
        <f>+SUM(Table1[[#This Row],[Latinos]:[Cemex]])</f>
        <v>1</v>
      </c>
      <c r="V1588" t="str">
        <f>+Table1[[#This Row],[id_destino]]&amp;" - "&amp;Table1[[#This Row],[id_origen]]</f>
        <v>1 - 47</v>
      </c>
    </row>
    <row r="1589" spans="1:22" hidden="1">
      <c r="A1589">
        <v>4058</v>
      </c>
      <c r="B1589">
        <v>826</v>
      </c>
      <c r="C1589">
        <v>2413</v>
      </c>
      <c r="D1589">
        <v>469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 t="s">
        <v>20</v>
      </c>
      <c r="L1589" s="1">
        <v>45259</v>
      </c>
      <c r="M1589">
        <v>2</v>
      </c>
      <c r="N1589">
        <v>47</v>
      </c>
      <c r="O1589">
        <v>182</v>
      </c>
      <c r="P1589">
        <v>182</v>
      </c>
      <c r="Q1589">
        <v>182</v>
      </c>
      <c r="S1589">
        <v>575</v>
      </c>
      <c r="T1589">
        <v>720</v>
      </c>
      <c r="U1589">
        <f>+SUM(Table1[[#This Row],[Latinos]:[Cemex]])</f>
        <v>1</v>
      </c>
      <c r="V1589" t="str">
        <f>+Table1[[#This Row],[id_destino]]&amp;" - "&amp;Table1[[#This Row],[id_origen]]</f>
        <v>2 - 47</v>
      </c>
    </row>
    <row r="1590" spans="1:22" hidden="1">
      <c r="A1590">
        <v>1495</v>
      </c>
      <c r="B1590">
        <v>465</v>
      </c>
      <c r="C1590">
        <v>230</v>
      </c>
      <c r="D1590">
        <v>4631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 t="s">
        <v>20</v>
      </c>
      <c r="L1590" s="1">
        <v>43472</v>
      </c>
      <c r="M1590">
        <v>3</v>
      </c>
      <c r="N1590">
        <v>47</v>
      </c>
      <c r="O1590">
        <v>818</v>
      </c>
      <c r="P1590">
        <v>813</v>
      </c>
      <c r="Q1590">
        <v>818</v>
      </c>
      <c r="S1590">
        <v>2231</v>
      </c>
      <c r="T1590">
        <v>2231</v>
      </c>
      <c r="U1590">
        <f>+SUM(Table1[[#This Row],[Latinos]:[Cemex]])</f>
        <v>1</v>
      </c>
      <c r="V1590" t="str">
        <f>+Table1[[#This Row],[id_destino]]&amp;" - "&amp;Table1[[#This Row],[id_origen]]</f>
        <v>3 - 47</v>
      </c>
    </row>
    <row r="1591" spans="1:22" hidden="1">
      <c r="A1591">
        <v>3690</v>
      </c>
      <c r="B1591">
        <v>465</v>
      </c>
      <c r="C1591">
        <v>7249</v>
      </c>
      <c r="D1591">
        <v>6079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  <c r="K1591" t="s">
        <v>20</v>
      </c>
      <c r="L1591" s="1">
        <v>45030</v>
      </c>
      <c r="M1591">
        <v>3</v>
      </c>
      <c r="N1591">
        <v>47</v>
      </c>
      <c r="O1591">
        <v>879</v>
      </c>
      <c r="P1591">
        <v>895</v>
      </c>
      <c r="Q1591">
        <v>879</v>
      </c>
      <c r="S1591">
        <v>2510</v>
      </c>
      <c r="T1591">
        <v>2652</v>
      </c>
      <c r="U1591">
        <f>+SUM(Table1[[#This Row],[Latinos]:[Cemex]])</f>
        <v>1</v>
      </c>
      <c r="V1591" t="str">
        <f>+Table1[[#This Row],[id_destino]]&amp;" - "&amp;Table1[[#This Row],[id_origen]]</f>
        <v>3 - 47</v>
      </c>
    </row>
    <row r="1592" spans="1:22" hidden="1">
      <c r="A1592">
        <v>1342</v>
      </c>
      <c r="B1592">
        <v>1223</v>
      </c>
      <c r="C1592">
        <v>230</v>
      </c>
      <c r="D1592">
        <v>4632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 t="s">
        <v>20</v>
      </c>
      <c r="L1592" s="1">
        <v>43391</v>
      </c>
      <c r="M1592">
        <v>4</v>
      </c>
      <c r="N1592">
        <v>47</v>
      </c>
      <c r="O1592">
        <v>907</v>
      </c>
      <c r="P1592">
        <v>911</v>
      </c>
      <c r="Q1592">
        <v>907</v>
      </c>
      <c r="S1592">
        <v>2863</v>
      </c>
      <c r="T1592">
        <v>2863</v>
      </c>
      <c r="U1592">
        <f>+SUM(Table1[[#This Row],[Latinos]:[Cemex]])</f>
        <v>1</v>
      </c>
      <c r="V1592" t="str">
        <f>+Table1[[#This Row],[id_destino]]&amp;" - "&amp;Table1[[#This Row],[id_origen]]</f>
        <v>4 - 47</v>
      </c>
    </row>
    <row r="1593" spans="1:22" hidden="1">
      <c r="A1593">
        <v>1261</v>
      </c>
      <c r="B1593">
        <v>646</v>
      </c>
      <c r="C1593">
        <v>230</v>
      </c>
      <c r="D1593">
        <v>4199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 t="s">
        <v>64</v>
      </c>
      <c r="L1593" s="1">
        <v>43356</v>
      </c>
      <c r="M1593">
        <v>5</v>
      </c>
      <c r="N1593">
        <v>47</v>
      </c>
      <c r="O1593">
        <v>1723</v>
      </c>
      <c r="P1593">
        <v>1647</v>
      </c>
      <c r="Q1593">
        <v>1723</v>
      </c>
      <c r="S1593">
        <v>4024</v>
      </c>
      <c r="T1593">
        <v>4559</v>
      </c>
      <c r="U1593">
        <f>+SUM(Table1[[#This Row],[Latinos]:[Cemex]])</f>
        <v>1</v>
      </c>
      <c r="V1593" t="str">
        <f>+Table1[[#This Row],[id_destino]]&amp;" - "&amp;Table1[[#This Row],[id_origen]]</f>
        <v>5 - 47</v>
      </c>
    </row>
    <row r="1594" spans="1:22" hidden="1">
      <c r="A1594">
        <v>270</v>
      </c>
      <c r="B1594">
        <v>2253</v>
      </c>
      <c r="C1594">
        <v>230</v>
      </c>
      <c r="D1594">
        <v>2302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 t="s">
        <v>20</v>
      </c>
      <c r="L1594" s="1">
        <v>43028</v>
      </c>
      <c r="M1594">
        <v>6</v>
      </c>
      <c r="N1594">
        <v>47</v>
      </c>
      <c r="O1594">
        <v>1268</v>
      </c>
      <c r="P1594">
        <v>1192</v>
      </c>
      <c r="Q1594">
        <v>1268</v>
      </c>
      <c r="S1594">
        <v>2968</v>
      </c>
      <c r="T1594">
        <v>3051</v>
      </c>
      <c r="U1594">
        <f>+SUM(Table1[[#This Row],[Latinos]:[Cemex]])</f>
        <v>1</v>
      </c>
      <c r="V1594" t="str">
        <f>+Table1[[#This Row],[id_destino]]&amp;" - "&amp;Table1[[#This Row],[id_origen]]</f>
        <v>6 - 47</v>
      </c>
    </row>
    <row r="1595" spans="1:22" hidden="1">
      <c r="A1595">
        <v>2213</v>
      </c>
      <c r="B1595">
        <v>2253</v>
      </c>
      <c r="C1595">
        <v>2413</v>
      </c>
      <c r="D1595">
        <v>7752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  <c r="K1595" t="s">
        <v>81</v>
      </c>
      <c r="L1595" s="1">
        <v>45412</v>
      </c>
      <c r="M1595">
        <v>6</v>
      </c>
      <c r="N1595">
        <v>47</v>
      </c>
      <c r="O1595">
        <v>1263</v>
      </c>
      <c r="P1595">
        <v>1268</v>
      </c>
      <c r="Q1595">
        <v>1263</v>
      </c>
      <c r="S1595">
        <v>2397</v>
      </c>
      <c r="T1595">
        <v>2397</v>
      </c>
      <c r="U1595">
        <f>+SUM(Table1[[#This Row],[Latinos]:[Cemex]])</f>
        <v>1</v>
      </c>
      <c r="V1595" t="str">
        <f>+Table1[[#This Row],[id_destino]]&amp;" - "&amp;Table1[[#This Row],[id_origen]]</f>
        <v>6 - 47</v>
      </c>
    </row>
    <row r="1596" spans="1:22" hidden="1">
      <c r="A1596">
        <v>900</v>
      </c>
      <c r="B1596">
        <v>1513</v>
      </c>
      <c r="C1596">
        <v>230</v>
      </c>
      <c r="D1596">
        <v>5126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 t="s">
        <v>20</v>
      </c>
      <c r="L1596" s="1">
        <v>43420</v>
      </c>
      <c r="M1596">
        <v>7</v>
      </c>
      <c r="N1596">
        <v>47</v>
      </c>
      <c r="O1596">
        <v>1791</v>
      </c>
      <c r="P1596">
        <v>1666</v>
      </c>
      <c r="Q1596">
        <v>1791</v>
      </c>
      <c r="S1596">
        <v>4141</v>
      </c>
      <c r="T1596">
        <v>4731</v>
      </c>
      <c r="U1596">
        <f>+SUM(Table1[[#This Row],[Latinos]:[Cemex]])</f>
        <v>1</v>
      </c>
      <c r="V1596" t="str">
        <f>+Table1[[#This Row],[id_destino]]&amp;" - "&amp;Table1[[#This Row],[id_origen]]</f>
        <v>7 - 47</v>
      </c>
    </row>
    <row r="1597" spans="1:22" hidden="1">
      <c r="A1597">
        <v>1015</v>
      </c>
      <c r="B1597">
        <v>1513</v>
      </c>
      <c r="C1597">
        <v>230</v>
      </c>
      <c r="D1597">
        <v>5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 t="s">
        <v>54</v>
      </c>
      <c r="L1597" s="1">
        <v>43420</v>
      </c>
      <c r="M1597">
        <v>7</v>
      </c>
      <c r="N1597">
        <v>47</v>
      </c>
      <c r="O1597">
        <v>1791</v>
      </c>
      <c r="P1597">
        <v>1666</v>
      </c>
      <c r="Q1597">
        <v>1791</v>
      </c>
      <c r="S1597">
        <v>4141</v>
      </c>
      <c r="T1597">
        <v>4731</v>
      </c>
      <c r="U1597">
        <f>+SUM(Table1[[#This Row],[Latinos]:[Cemex]])</f>
        <v>1</v>
      </c>
      <c r="V1597" t="str">
        <f>+Table1[[#This Row],[id_destino]]&amp;" - "&amp;Table1[[#This Row],[id_origen]]</f>
        <v>7 - 47</v>
      </c>
    </row>
    <row r="1598" spans="1:22" hidden="1">
      <c r="A1598">
        <v>4547</v>
      </c>
      <c r="B1598">
        <v>1513</v>
      </c>
      <c r="C1598">
        <v>8008</v>
      </c>
      <c r="D1598">
        <v>4848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 t="s">
        <v>119</v>
      </c>
      <c r="L1598" s="1">
        <v>45611</v>
      </c>
      <c r="M1598">
        <v>7</v>
      </c>
      <c r="N1598">
        <v>47</v>
      </c>
      <c r="O1598">
        <v>1826</v>
      </c>
      <c r="P1598">
        <v>1826</v>
      </c>
      <c r="Q1598">
        <v>1826</v>
      </c>
      <c r="S1598">
        <v>3684</v>
      </c>
      <c r="T1598">
        <v>3684</v>
      </c>
      <c r="U1598">
        <f>+SUM(Table1[[#This Row],[Latinos]:[Cemex]])</f>
        <v>1</v>
      </c>
      <c r="V1598" t="str">
        <f>+Table1[[#This Row],[id_destino]]&amp;" - "&amp;Table1[[#This Row],[id_origen]]</f>
        <v>7 - 47</v>
      </c>
    </row>
    <row r="1599" spans="1:22" hidden="1">
      <c r="A1599">
        <v>1735</v>
      </c>
      <c r="B1599">
        <v>641</v>
      </c>
      <c r="C1599">
        <v>230</v>
      </c>
      <c r="D1599">
        <v>5911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 t="s">
        <v>20</v>
      </c>
      <c r="L1599" s="1">
        <v>43619</v>
      </c>
      <c r="M1599">
        <v>8</v>
      </c>
      <c r="N1599">
        <v>47</v>
      </c>
      <c r="O1599">
        <v>1385</v>
      </c>
      <c r="P1599">
        <v>1420</v>
      </c>
      <c r="Q1599">
        <v>1385</v>
      </c>
      <c r="S1599">
        <v>1882</v>
      </c>
      <c r="T1599">
        <v>1882</v>
      </c>
      <c r="U1599">
        <f>+SUM(Table1[[#This Row],[Latinos]:[Cemex]])</f>
        <v>1</v>
      </c>
      <c r="V1599" t="str">
        <f>+Table1[[#This Row],[id_destino]]&amp;" - "&amp;Table1[[#This Row],[id_origen]]</f>
        <v>8 - 47</v>
      </c>
    </row>
    <row r="1600" spans="1:22" hidden="1">
      <c r="A1600">
        <v>1016</v>
      </c>
      <c r="B1600">
        <v>1296</v>
      </c>
      <c r="C1600">
        <v>230</v>
      </c>
      <c r="D1600">
        <v>7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 t="s">
        <v>55</v>
      </c>
      <c r="L1600" s="1">
        <v>44062</v>
      </c>
      <c r="M1600">
        <v>9</v>
      </c>
      <c r="N1600">
        <v>47</v>
      </c>
      <c r="O1600">
        <v>1437</v>
      </c>
      <c r="P1600">
        <v>1387</v>
      </c>
      <c r="Q1600">
        <v>1437</v>
      </c>
      <c r="S1600">
        <v>3165</v>
      </c>
      <c r="T1600">
        <v>3248</v>
      </c>
      <c r="U1600">
        <f>+SUM(Table1[[#This Row],[Latinos]:[Cemex]])</f>
        <v>1</v>
      </c>
      <c r="V1600" t="str">
        <f>+Table1[[#This Row],[id_destino]]&amp;" - "&amp;Table1[[#This Row],[id_origen]]</f>
        <v>9 - 47</v>
      </c>
    </row>
    <row r="1601" spans="1:22" hidden="1">
      <c r="A1601">
        <v>2576</v>
      </c>
      <c r="B1601">
        <v>709</v>
      </c>
      <c r="C1601">
        <v>230</v>
      </c>
      <c r="D1601">
        <v>5740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 t="s">
        <v>20</v>
      </c>
      <c r="L1601" s="1">
        <v>44195</v>
      </c>
      <c r="M1601">
        <v>10</v>
      </c>
      <c r="N1601">
        <v>47</v>
      </c>
      <c r="O1601">
        <v>1062</v>
      </c>
      <c r="P1601">
        <v>986</v>
      </c>
      <c r="Q1601">
        <v>1062</v>
      </c>
      <c r="S1601">
        <v>2426</v>
      </c>
      <c r="T1601">
        <v>2552</v>
      </c>
      <c r="U1601">
        <f>+SUM(Table1[[#This Row],[Latinos]:[Cemex]])</f>
        <v>1</v>
      </c>
      <c r="V1601" t="str">
        <f>+Table1[[#This Row],[id_destino]]&amp;" - "&amp;Table1[[#This Row],[id_origen]]</f>
        <v>10 - 47</v>
      </c>
    </row>
    <row r="1602" spans="1:22" hidden="1">
      <c r="A1602">
        <v>4438</v>
      </c>
      <c r="B1602">
        <v>2583</v>
      </c>
      <c r="C1602">
        <v>7866</v>
      </c>
      <c r="D1602">
        <v>7209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  <c r="K1602" t="s">
        <v>20</v>
      </c>
      <c r="L1602" s="1">
        <v>45540</v>
      </c>
      <c r="M1602">
        <v>11</v>
      </c>
      <c r="N1602">
        <v>47</v>
      </c>
      <c r="O1602">
        <v>179</v>
      </c>
      <c r="P1602">
        <v>187</v>
      </c>
      <c r="Q1602">
        <v>179</v>
      </c>
      <c r="S1602">
        <v>132</v>
      </c>
      <c r="T1602">
        <v>192</v>
      </c>
      <c r="U1602">
        <f>+SUM(Table1[[#This Row],[Latinos]:[Cemex]])</f>
        <v>1</v>
      </c>
      <c r="V1602" t="str">
        <f>+Table1[[#This Row],[id_destino]]&amp;" - "&amp;Table1[[#This Row],[id_origen]]</f>
        <v>11 - 47</v>
      </c>
    </row>
    <row r="1603" spans="1:22" hidden="1">
      <c r="A1603">
        <v>2857</v>
      </c>
      <c r="B1603">
        <v>941</v>
      </c>
      <c r="C1603">
        <v>230</v>
      </c>
      <c r="D1603">
        <v>6747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 t="s">
        <v>20</v>
      </c>
      <c r="L1603" s="1">
        <v>44546</v>
      </c>
      <c r="M1603">
        <v>12</v>
      </c>
      <c r="N1603">
        <v>47</v>
      </c>
      <c r="O1603">
        <v>493</v>
      </c>
      <c r="P1603">
        <v>469</v>
      </c>
      <c r="Q1603">
        <v>493</v>
      </c>
      <c r="S1603">
        <v>1554</v>
      </c>
      <c r="T1603">
        <v>1668</v>
      </c>
      <c r="U1603">
        <f>+SUM(Table1[[#This Row],[Latinos]:[Cemex]])</f>
        <v>1</v>
      </c>
      <c r="V1603" t="str">
        <f>+Table1[[#This Row],[id_destino]]&amp;" - "&amp;Table1[[#This Row],[id_origen]]</f>
        <v>12 - 47</v>
      </c>
    </row>
    <row r="1604" spans="1:22" hidden="1">
      <c r="A1604">
        <v>1077</v>
      </c>
      <c r="B1604">
        <v>1264</v>
      </c>
      <c r="C1604">
        <v>230</v>
      </c>
      <c r="D1604">
        <v>5614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 t="s">
        <v>20</v>
      </c>
      <c r="L1604" s="1">
        <v>43274</v>
      </c>
      <c r="M1604">
        <v>13</v>
      </c>
      <c r="N1604">
        <v>47</v>
      </c>
      <c r="O1604">
        <v>240</v>
      </c>
      <c r="P1604">
        <v>235</v>
      </c>
      <c r="Q1604">
        <v>240</v>
      </c>
      <c r="S1604">
        <v>565</v>
      </c>
      <c r="T1604">
        <v>679</v>
      </c>
      <c r="U1604">
        <f>+SUM(Table1[[#This Row],[Latinos]:[Cemex]])</f>
        <v>1</v>
      </c>
      <c r="V1604" t="str">
        <f>+Table1[[#This Row],[id_destino]]&amp;" - "&amp;Table1[[#This Row],[id_origen]]</f>
        <v>13 - 47</v>
      </c>
    </row>
    <row r="1605" spans="1:22" hidden="1">
      <c r="A1605">
        <v>1078</v>
      </c>
      <c r="B1605">
        <v>1264</v>
      </c>
      <c r="C1605">
        <v>230</v>
      </c>
      <c r="D1605">
        <v>5614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 t="s">
        <v>20</v>
      </c>
      <c r="L1605" s="1">
        <v>43276</v>
      </c>
      <c r="M1605">
        <v>13</v>
      </c>
      <c r="N1605">
        <v>47</v>
      </c>
      <c r="O1605">
        <v>240</v>
      </c>
      <c r="P1605">
        <v>240</v>
      </c>
      <c r="Q1605">
        <v>240</v>
      </c>
      <c r="S1605">
        <v>263</v>
      </c>
      <c r="T1605">
        <v>323</v>
      </c>
      <c r="U1605">
        <f>+SUM(Table1[[#This Row],[Latinos]:[Cemex]])</f>
        <v>1</v>
      </c>
      <c r="V1605" t="str">
        <f>+Table1[[#This Row],[id_destino]]&amp;" - "&amp;Table1[[#This Row],[id_origen]]</f>
        <v>13 - 47</v>
      </c>
    </row>
    <row r="1606" spans="1:22" hidden="1">
      <c r="A1606">
        <v>3824</v>
      </c>
      <c r="B1606">
        <v>4243</v>
      </c>
      <c r="C1606">
        <v>230</v>
      </c>
      <c r="D1606">
        <v>7413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 t="s">
        <v>20</v>
      </c>
      <c r="L1606" s="1">
        <v>45280</v>
      </c>
      <c r="M1606">
        <v>15</v>
      </c>
      <c r="N1606">
        <v>47</v>
      </c>
      <c r="O1606">
        <v>1787</v>
      </c>
      <c r="P1606">
        <v>1772</v>
      </c>
      <c r="Q1606">
        <v>1787</v>
      </c>
      <c r="S1606">
        <v>3941</v>
      </c>
      <c r="T1606">
        <v>4685</v>
      </c>
      <c r="U1606">
        <f>+SUM(Table1[[#This Row],[Latinos]:[Cemex]])</f>
        <v>1</v>
      </c>
      <c r="V1606" t="str">
        <f>+Table1[[#This Row],[id_destino]]&amp;" - "&amp;Table1[[#This Row],[id_origen]]</f>
        <v>15 - 47</v>
      </c>
    </row>
    <row r="1607" spans="1:22" hidden="1">
      <c r="A1607">
        <v>3826</v>
      </c>
      <c r="B1607">
        <v>4243</v>
      </c>
      <c r="C1607">
        <v>7000</v>
      </c>
      <c r="D1607">
        <v>7414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 t="s">
        <v>20</v>
      </c>
      <c r="L1607" s="1">
        <v>45126</v>
      </c>
      <c r="M1607">
        <v>15</v>
      </c>
      <c r="N1607">
        <v>47</v>
      </c>
      <c r="O1607">
        <v>1787</v>
      </c>
      <c r="P1607">
        <v>1760</v>
      </c>
      <c r="Q1607">
        <v>1787</v>
      </c>
      <c r="S1607">
        <v>2222</v>
      </c>
      <c r="T1607">
        <v>2832</v>
      </c>
      <c r="U1607">
        <f>+SUM(Table1[[#This Row],[Latinos]:[Cemex]])</f>
        <v>1</v>
      </c>
      <c r="V1607" t="str">
        <f>+Table1[[#This Row],[id_destino]]&amp;" - "&amp;Table1[[#This Row],[id_origen]]</f>
        <v>15 - 47</v>
      </c>
    </row>
    <row r="1608" spans="1:22" hidden="1">
      <c r="A1608">
        <v>3988</v>
      </c>
      <c r="B1608">
        <v>2936</v>
      </c>
      <c r="C1608">
        <v>230</v>
      </c>
      <c r="D1608">
        <v>15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 t="s">
        <v>20</v>
      </c>
      <c r="L1608" s="1">
        <v>45829</v>
      </c>
      <c r="M1608">
        <v>16</v>
      </c>
      <c r="N1608">
        <v>47</v>
      </c>
      <c r="O1608">
        <v>1433</v>
      </c>
      <c r="P1608">
        <v>1414</v>
      </c>
      <c r="Q1608">
        <v>1433</v>
      </c>
      <c r="S1608">
        <v>3538</v>
      </c>
      <c r="T1608">
        <v>4095</v>
      </c>
      <c r="U1608">
        <f>+SUM(Table1[[#This Row],[Latinos]:[Cemex]])</f>
        <v>1</v>
      </c>
      <c r="V1608" t="str">
        <f>+Table1[[#This Row],[id_destino]]&amp;" - "&amp;Table1[[#This Row],[id_origen]]</f>
        <v>16 - 47</v>
      </c>
    </row>
    <row r="1609" spans="1:22" hidden="1">
      <c r="A1609">
        <v>2594</v>
      </c>
      <c r="B1609">
        <v>488</v>
      </c>
      <c r="C1609">
        <v>230</v>
      </c>
      <c r="D1609">
        <v>6511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 t="s">
        <v>20</v>
      </c>
      <c r="L1609" s="1">
        <v>44226</v>
      </c>
      <c r="M1609">
        <v>17</v>
      </c>
      <c r="N1609">
        <v>47</v>
      </c>
      <c r="O1609">
        <v>876</v>
      </c>
      <c r="P1609">
        <v>876</v>
      </c>
      <c r="Q1609">
        <v>876</v>
      </c>
      <c r="S1609">
        <v>340</v>
      </c>
      <c r="T1609">
        <v>401</v>
      </c>
      <c r="U1609">
        <f>+SUM(Table1[[#This Row],[Latinos]:[Cemex]])</f>
        <v>1</v>
      </c>
      <c r="V1609" t="str">
        <f>+Table1[[#This Row],[id_destino]]&amp;" - "&amp;Table1[[#This Row],[id_origen]]</f>
        <v>17 - 47</v>
      </c>
    </row>
    <row r="1610" spans="1:22" hidden="1">
      <c r="A1610">
        <v>243</v>
      </c>
      <c r="B1610">
        <v>243</v>
      </c>
      <c r="C1610">
        <v>2413</v>
      </c>
      <c r="D1610">
        <v>7438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 t="s">
        <v>20</v>
      </c>
      <c r="L1610" s="1">
        <v>45146</v>
      </c>
      <c r="M1610">
        <v>18</v>
      </c>
      <c r="N1610">
        <v>47</v>
      </c>
      <c r="O1610">
        <v>93</v>
      </c>
      <c r="P1610">
        <v>150</v>
      </c>
      <c r="Q1610">
        <v>93</v>
      </c>
      <c r="S1610">
        <v>723</v>
      </c>
      <c r="T1610">
        <v>723</v>
      </c>
      <c r="U1610">
        <f>+SUM(Table1[[#This Row],[Latinos]:[Cemex]])</f>
        <v>1</v>
      </c>
      <c r="V1610" t="str">
        <f>+Table1[[#This Row],[id_destino]]&amp;" - "&amp;Table1[[#This Row],[id_origen]]</f>
        <v>18 - 47</v>
      </c>
    </row>
    <row r="1611" spans="1:22" hidden="1">
      <c r="A1611">
        <v>897</v>
      </c>
      <c r="B1611">
        <v>350</v>
      </c>
      <c r="C1611">
        <v>2413</v>
      </c>
      <c r="D1611">
        <v>4841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 t="s">
        <v>20</v>
      </c>
      <c r="L1611" s="1">
        <v>43851</v>
      </c>
      <c r="M1611">
        <v>19</v>
      </c>
      <c r="N1611">
        <v>47</v>
      </c>
      <c r="O1611">
        <v>86</v>
      </c>
      <c r="P1611">
        <v>150</v>
      </c>
      <c r="Q1611">
        <v>86</v>
      </c>
      <c r="S1611">
        <v>199</v>
      </c>
      <c r="T1611">
        <v>251</v>
      </c>
      <c r="U1611">
        <f>+SUM(Table1[[#This Row],[Latinos]:[Cemex]])</f>
        <v>1</v>
      </c>
      <c r="V1611" t="str">
        <f>+Table1[[#This Row],[id_destino]]&amp;" - "&amp;Table1[[#This Row],[id_origen]]</f>
        <v>19 - 47</v>
      </c>
    </row>
    <row r="1612" spans="1:22" hidden="1">
      <c r="A1612">
        <v>4084</v>
      </c>
      <c r="B1612">
        <v>350</v>
      </c>
      <c r="C1612">
        <v>7053</v>
      </c>
      <c r="D1612">
        <v>969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  <c r="K1612" t="s">
        <v>20</v>
      </c>
      <c r="L1612" s="1">
        <v>45274</v>
      </c>
      <c r="M1612">
        <v>19</v>
      </c>
      <c r="N1612">
        <v>47</v>
      </c>
      <c r="O1612">
        <v>63</v>
      </c>
      <c r="P1612">
        <v>150</v>
      </c>
      <c r="Q1612">
        <v>63</v>
      </c>
      <c r="S1612">
        <v>543</v>
      </c>
      <c r="T1612">
        <v>543</v>
      </c>
      <c r="U1612">
        <f>+SUM(Table1[[#This Row],[Latinos]:[Cemex]])</f>
        <v>1</v>
      </c>
      <c r="V1612" t="str">
        <f>+Table1[[#This Row],[id_destino]]&amp;" - "&amp;Table1[[#This Row],[id_origen]]</f>
        <v>19 - 47</v>
      </c>
    </row>
    <row r="1613" spans="1:22" hidden="1">
      <c r="A1613">
        <v>4585</v>
      </c>
      <c r="B1613">
        <v>1147</v>
      </c>
      <c r="C1613">
        <v>230</v>
      </c>
      <c r="D1613">
        <v>8059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 t="s">
        <v>20</v>
      </c>
      <c r="L1613" s="1">
        <v>45636</v>
      </c>
      <c r="M1613">
        <v>20</v>
      </c>
      <c r="N1613">
        <v>47</v>
      </c>
      <c r="O1613">
        <v>71</v>
      </c>
      <c r="P1613">
        <v>150</v>
      </c>
      <c r="Q1613">
        <v>71</v>
      </c>
      <c r="S1613">
        <v>433</v>
      </c>
      <c r="T1613">
        <v>519</v>
      </c>
      <c r="U1613">
        <f>+SUM(Table1[[#This Row],[Latinos]:[Cemex]])</f>
        <v>1</v>
      </c>
      <c r="V1613" t="str">
        <f>+Table1[[#This Row],[id_destino]]&amp;" - "&amp;Table1[[#This Row],[id_origen]]</f>
        <v>20 - 47</v>
      </c>
    </row>
    <row r="1614" spans="1:22" hidden="1">
      <c r="A1614">
        <v>4808</v>
      </c>
      <c r="B1614">
        <v>1147</v>
      </c>
      <c r="C1614">
        <v>7053</v>
      </c>
      <c r="D1614">
        <v>8263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 t="s">
        <v>20</v>
      </c>
      <c r="L1614" s="1">
        <v>45848</v>
      </c>
      <c r="M1614">
        <v>20</v>
      </c>
      <c r="N1614">
        <v>47</v>
      </c>
      <c r="O1614">
        <v>72</v>
      </c>
      <c r="P1614">
        <v>150</v>
      </c>
      <c r="Q1614">
        <v>72</v>
      </c>
      <c r="S1614">
        <v>446.99</v>
      </c>
      <c r="T1614">
        <v>533</v>
      </c>
      <c r="U1614">
        <f>+SUM(Table1[[#This Row],[Latinos]:[Cemex]])</f>
        <v>1</v>
      </c>
      <c r="V1614" t="str">
        <f>+Table1[[#This Row],[id_destino]]&amp;" - "&amp;Table1[[#This Row],[id_origen]]</f>
        <v>20 - 47</v>
      </c>
    </row>
    <row r="1615" spans="1:22" hidden="1">
      <c r="A1615">
        <v>1885</v>
      </c>
      <c r="B1615">
        <v>2997</v>
      </c>
      <c r="C1615">
        <v>230</v>
      </c>
      <c r="D1615">
        <v>6021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 t="s">
        <v>20</v>
      </c>
      <c r="L1615" s="1">
        <v>44684</v>
      </c>
      <c r="M1615">
        <v>21</v>
      </c>
      <c r="N1615">
        <v>47</v>
      </c>
      <c r="O1615">
        <v>2108</v>
      </c>
      <c r="P1615">
        <v>2104</v>
      </c>
      <c r="Q1615">
        <v>2108</v>
      </c>
      <c r="S1615">
        <v>7192</v>
      </c>
      <c r="T1615">
        <v>7419</v>
      </c>
      <c r="U1615">
        <f>+SUM(Table1[[#This Row],[Latinos]:[Cemex]])</f>
        <v>1</v>
      </c>
      <c r="V1615" t="str">
        <f>+Table1[[#This Row],[id_destino]]&amp;" - "&amp;Table1[[#This Row],[id_origen]]</f>
        <v>21 - 47</v>
      </c>
    </row>
    <row r="1616" spans="1:22" hidden="1">
      <c r="A1616">
        <v>2757</v>
      </c>
      <c r="B1616">
        <v>438</v>
      </c>
      <c r="C1616">
        <v>230</v>
      </c>
      <c r="D1616">
        <v>4455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 t="s">
        <v>20</v>
      </c>
      <c r="L1616" s="1">
        <v>44421</v>
      </c>
      <c r="M1616">
        <v>23</v>
      </c>
      <c r="N1616">
        <v>47</v>
      </c>
      <c r="O1616">
        <v>467</v>
      </c>
      <c r="P1616">
        <v>452</v>
      </c>
      <c r="Q1616">
        <v>467</v>
      </c>
      <c r="S1616">
        <v>1501</v>
      </c>
      <c r="T1616">
        <v>1561</v>
      </c>
      <c r="U1616">
        <f>+SUM(Table1[[#This Row],[Latinos]:[Cemex]])</f>
        <v>1</v>
      </c>
      <c r="V1616" t="str">
        <f>+Table1[[#This Row],[id_destino]]&amp;" - "&amp;Table1[[#This Row],[id_origen]]</f>
        <v>23 - 47</v>
      </c>
    </row>
    <row r="1617" spans="1:22" hidden="1">
      <c r="A1617">
        <v>4044</v>
      </c>
      <c r="B1617">
        <v>529</v>
      </c>
      <c r="C1617">
        <v>230</v>
      </c>
      <c r="D1617">
        <v>4245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0</v>
      </c>
      <c r="K1617" t="s">
        <v>20</v>
      </c>
      <c r="L1617" s="1">
        <v>45246</v>
      </c>
      <c r="M1617">
        <v>26</v>
      </c>
      <c r="N1617">
        <v>47</v>
      </c>
      <c r="O1617">
        <v>479</v>
      </c>
      <c r="P1617">
        <v>480</v>
      </c>
      <c r="Q1617">
        <v>479</v>
      </c>
      <c r="S1617">
        <v>1834</v>
      </c>
      <c r="T1617">
        <v>1948</v>
      </c>
      <c r="U1617">
        <f>+SUM(Table1[[#This Row],[Latinos]:[Cemex]])</f>
        <v>1</v>
      </c>
      <c r="V1617" t="str">
        <f>+Table1[[#This Row],[id_destino]]&amp;" - "&amp;Table1[[#This Row],[id_origen]]</f>
        <v>26 - 47</v>
      </c>
    </row>
    <row r="1618" spans="1:22" hidden="1">
      <c r="A1618">
        <v>4115</v>
      </c>
      <c r="B1618">
        <v>4427</v>
      </c>
      <c r="C1618">
        <v>230</v>
      </c>
      <c r="D1618">
        <v>7625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  <c r="K1618" t="s">
        <v>20</v>
      </c>
      <c r="L1618" s="1">
        <v>45300</v>
      </c>
      <c r="M1618">
        <v>27</v>
      </c>
      <c r="N1618">
        <v>47</v>
      </c>
      <c r="O1618">
        <v>796</v>
      </c>
      <c r="P1618">
        <v>805</v>
      </c>
      <c r="Q1618">
        <v>796</v>
      </c>
      <c r="S1618">
        <v>3434</v>
      </c>
      <c r="T1618">
        <v>3548</v>
      </c>
      <c r="U1618">
        <f>+SUM(Table1[[#This Row],[Latinos]:[Cemex]])</f>
        <v>1</v>
      </c>
      <c r="V1618" t="str">
        <f>+Table1[[#This Row],[id_destino]]&amp;" - "&amp;Table1[[#This Row],[id_origen]]</f>
        <v>27 - 47</v>
      </c>
    </row>
    <row r="1619" spans="1:22" hidden="1">
      <c r="A1619">
        <v>1802</v>
      </c>
      <c r="B1619">
        <v>987</v>
      </c>
      <c r="C1619">
        <v>230</v>
      </c>
      <c r="D1619">
        <v>34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 t="s">
        <v>20</v>
      </c>
      <c r="L1619" s="1">
        <v>43640</v>
      </c>
      <c r="M1619">
        <v>30</v>
      </c>
      <c r="N1619">
        <v>47</v>
      </c>
      <c r="O1619">
        <v>950</v>
      </c>
      <c r="P1619">
        <v>950</v>
      </c>
      <c r="Q1619">
        <v>950</v>
      </c>
      <c r="S1619">
        <v>4421</v>
      </c>
      <c r="T1619">
        <v>4535</v>
      </c>
      <c r="U1619">
        <f>+SUM(Table1[[#This Row],[Latinos]:[Cemex]])</f>
        <v>1</v>
      </c>
      <c r="V1619" t="str">
        <f>+Table1[[#This Row],[id_destino]]&amp;" - "&amp;Table1[[#This Row],[id_origen]]</f>
        <v>30 - 47</v>
      </c>
    </row>
    <row r="1620" spans="1:22" hidden="1">
      <c r="A1620">
        <v>3085</v>
      </c>
      <c r="B1620">
        <v>3762</v>
      </c>
      <c r="C1620">
        <v>6923</v>
      </c>
      <c r="D1620">
        <v>6922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 t="s">
        <v>20</v>
      </c>
      <c r="L1620" s="1">
        <v>44721</v>
      </c>
      <c r="M1620">
        <v>32</v>
      </c>
      <c r="N1620">
        <v>47</v>
      </c>
      <c r="O1620">
        <v>1289</v>
      </c>
      <c r="P1620">
        <v>1286</v>
      </c>
      <c r="Q1620">
        <v>1289</v>
      </c>
      <c r="S1620">
        <v>5453</v>
      </c>
      <c r="T1620">
        <v>5665</v>
      </c>
      <c r="U1620">
        <f>+SUM(Table1[[#This Row],[Latinos]:[Cemex]])</f>
        <v>1</v>
      </c>
      <c r="V1620" t="str">
        <f>+Table1[[#This Row],[id_destino]]&amp;" - "&amp;Table1[[#This Row],[id_origen]]</f>
        <v>32 - 47</v>
      </c>
    </row>
    <row r="1621" spans="1:22" hidden="1">
      <c r="A1621">
        <v>3470</v>
      </c>
      <c r="B1621">
        <v>559</v>
      </c>
      <c r="C1621">
        <v>7000</v>
      </c>
      <c r="D1621">
        <v>53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 t="s">
        <v>20</v>
      </c>
      <c r="L1621" s="1">
        <v>44910</v>
      </c>
      <c r="M1621">
        <v>35</v>
      </c>
      <c r="N1621">
        <v>47</v>
      </c>
      <c r="O1621">
        <v>485</v>
      </c>
      <c r="P1621">
        <v>1263</v>
      </c>
      <c r="Q1621">
        <v>485</v>
      </c>
      <c r="S1621">
        <v>2726</v>
      </c>
      <c r="T1621">
        <v>2856</v>
      </c>
      <c r="U1621">
        <f>+SUM(Table1[[#This Row],[Latinos]:[Cemex]])</f>
        <v>1</v>
      </c>
      <c r="V1621" t="str">
        <f>+Table1[[#This Row],[id_destino]]&amp;" - "&amp;Table1[[#This Row],[id_origen]]</f>
        <v>35 - 47</v>
      </c>
    </row>
    <row r="1622" spans="1:22" hidden="1">
      <c r="A1622">
        <v>3414</v>
      </c>
      <c r="B1622">
        <v>563</v>
      </c>
      <c r="C1622">
        <v>230</v>
      </c>
      <c r="D1622">
        <v>556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 t="s">
        <v>20</v>
      </c>
      <c r="L1622" s="1">
        <v>44880</v>
      </c>
      <c r="M1622">
        <v>36</v>
      </c>
      <c r="N1622">
        <v>47</v>
      </c>
      <c r="O1622">
        <v>399</v>
      </c>
      <c r="P1622">
        <v>378</v>
      </c>
      <c r="Q1622">
        <v>399</v>
      </c>
      <c r="S1622">
        <v>1801</v>
      </c>
      <c r="T1622">
        <v>1815</v>
      </c>
      <c r="U1622">
        <f>+SUM(Table1[[#This Row],[Latinos]:[Cemex]])</f>
        <v>1</v>
      </c>
      <c r="V1622" t="str">
        <f>+Table1[[#This Row],[id_destino]]&amp;" - "&amp;Table1[[#This Row],[id_origen]]</f>
        <v>36 - 47</v>
      </c>
    </row>
    <row r="1623" spans="1:22" hidden="1">
      <c r="A1623">
        <v>332</v>
      </c>
      <c r="B1623">
        <v>21</v>
      </c>
      <c r="C1623">
        <v>2413</v>
      </c>
      <c r="D1623">
        <v>43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 t="s">
        <v>20</v>
      </c>
      <c r="L1623" s="1">
        <v>43039</v>
      </c>
      <c r="M1623">
        <v>37</v>
      </c>
      <c r="N1623">
        <v>47</v>
      </c>
      <c r="O1623">
        <v>580</v>
      </c>
      <c r="P1623">
        <v>580</v>
      </c>
      <c r="Q1623">
        <v>580</v>
      </c>
      <c r="S1623">
        <v>1265</v>
      </c>
      <c r="T1623">
        <v>1325</v>
      </c>
      <c r="U1623">
        <f>+SUM(Table1[[#This Row],[Latinos]:[Cemex]])</f>
        <v>1</v>
      </c>
      <c r="V1623" t="str">
        <f>+Table1[[#This Row],[id_destino]]&amp;" - "&amp;Table1[[#This Row],[id_origen]]</f>
        <v>37 - 47</v>
      </c>
    </row>
    <row r="1624" spans="1:22" hidden="1">
      <c r="A1624">
        <v>4475</v>
      </c>
      <c r="B1624">
        <v>21</v>
      </c>
      <c r="C1624">
        <v>230</v>
      </c>
      <c r="D1624">
        <v>43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 t="s">
        <v>20</v>
      </c>
      <c r="L1624" s="1">
        <v>45573</v>
      </c>
      <c r="M1624">
        <v>37</v>
      </c>
      <c r="N1624">
        <v>47</v>
      </c>
      <c r="O1624">
        <v>542</v>
      </c>
      <c r="P1624">
        <v>540</v>
      </c>
      <c r="Q1624">
        <v>542</v>
      </c>
      <c r="S1624">
        <v>2363</v>
      </c>
      <c r="T1624">
        <v>2477</v>
      </c>
      <c r="U1624">
        <f>+SUM(Table1[[#This Row],[Latinos]:[Cemex]])</f>
        <v>1</v>
      </c>
      <c r="V1624" t="str">
        <f>+Table1[[#This Row],[id_destino]]&amp;" - "&amp;Table1[[#This Row],[id_origen]]</f>
        <v>37 - 47</v>
      </c>
    </row>
    <row r="1625" spans="1:22" hidden="1">
      <c r="A1625">
        <v>667</v>
      </c>
      <c r="B1625">
        <v>235</v>
      </c>
      <c r="C1625">
        <v>230</v>
      </c>
      <c r="D1625">
        <v>44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 t="s">
        <v>20</v>
      </c>
      <c r="L1625" s="1">
        <v>43125</v>
      </c>
      <c r="M1625">
        <v>38</v>
      </c>
      <c r="N1625">
        <v>47</v>
      </c>
      <c r="O1625">
        <v>229</v>
      </c>
      <c r="P1625">
        <v>229</v>
      </c>
      <c r="Q1625">
        <v>229</v>
      </c>
      <c r="S1625">
        <v>505</v>
      </c>
      <c r="T1625">
        <v>565</v>
      </c>
      <c r="U1625">
        <f>+SUM(Table1[[#This Row],[Latinos]:[Cemex]])</f>
        <v>1</v>
      </c>
      <c r="V1625" t="str">
        <f>+Table1[[#This Row],[id_destino]]&amp;" - "&amp;Table1[[#This Row],[id_origen]]</f>
        <v>38 - 47</v>
      </c>
    </row>
    <row r="1626" spans="1:22" hidden="1">
      <c r="A1626">
        <v>1098</v>
      </c>
      <c r="B1626">
        <v>264</v>
      </c>
      <c r="C1626">
        <v>230</v>
      </c>
      <c r="D1626">
        <v>45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 t="s">
        <v>20</v>
      </c>
      <c r="L1626" s="1">
        <v>43290</v>
      </c>
      <c r="M1626">
        <v>39</v>
      </c>
      <c r="N1626">
        <v>47</v>
      </c>
      <c r="O1626">
        <v>339</v>
      </c>
      <c r="P1626">
        <v>336</v>
      </c>
      <c r="Q1626">
        <v>339</v>
      </c>
      <c r="S1626">
        <v>1417</v>
      </c>
      <c r="T1626">
        <v>1531</v>
      </c>
      <c r="U1626">
        <f>+SUM(Table1[[#This Row],[Latinos]:[Cemex]])</f>
        <v>1</v>
      </c>
      <c r="V1626" t="str">
        <f>+Table1[[#This Row],[id_destino]]&amp;" - "&amp;Table1[[#This Row],[id_origen]]</f>
        <v>39 - 47</v>
      </c>
    </row>
    <row r="1627" spans="1:22" hidden="1">
      <c r="A1627">
        <v>249</v>
      </c>
      <c r="B1627">
        <v>671</v>
      </c>
      <c r="C1627">
        <v>2413</v>
      </c>
      <c r="D1627">
        <v>46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 t="s">
        <v>20</v>
      </c>
      <c r="L1627" s="1">
        <v>43026</v>
      </c>
      <c r="M1627">
        <v>40</v>
      </c>
      <c r="N1627">
        <v>47</v>
      </c>
      <c r="O1627">
        <v>351</v>
      </c>
      <c r="P1627">
        <v>351</v>
      </c>
      <c r="Q1627">
        <v>351</v>
      </c>
      <c r="S1627">
        <v>505</v>
      </c>
      <c r="T1627">
        <v>565</v>
      </c>
      <c r="U1627">
        <f>+SUM(Table1[[#This Row],[Latinos]:[Cemex]])</f>
        <v>1</v>
      </c>
      <c r="V1627" t="str">
        <f>+Table1[[#This Row],[id_destino]]&amp;" - "&amp;Table1[[#This Row],[id_origen]]</f>
        <v>40 - 47</v>
      </c>
    </row>
    <row r="1628" spans="1:22" hidden="1">
      <c r="A1628">
        <v>1727</v>
      </c>
      <c r="B1628">
        <v>2906</v>
      </c>
      <c r="C1628">
        <v>230</v>
      </c>
      <c r="D1628">
        <v>5906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 t="s">
        <v>20</v>
      </c>
      <c r="L1628" s="1">
        <v>43592</v>
      </c>
      <c r="M1628">
        <v>41</v>
      </c>
      <c r="N1628">
        <v>47</v>
      </c>
      <c r="O1628">
        <v>522</v>
      </c>
      <c r="P1628">
        <v>535</v>
      </c>
      <c r="Q1628">
        <v>522</v>
      </c>
      <c r="S1628">
        <v>1143</v>
      </c>
      <c r="T1628">
        <v>1143</v>
      </c>
      <c r="U1628">
        <f>+SUM(Table1[[#This Row],[Latinos]:[Cemex]])</f>
        <v>1</v>
      </c>
      <c r="V1628" t="str">
        <f>+Table1[[#This Row],[id_destino]]&amp;" - "&amp;Table1[[#This Row],[id_origen]]</f>
        <v>41 - 47</v>
      </c>
    </row>
    <row r="1629" spans="1:22" hidden="1">
      <c r="A1629">
        <v>1376</v>
      </c>
      <c r="B1629">
        <v>593</v>
      </c>
      <c r="C1629">
        <v>2413</v>
      </c>
      <c r="D1629">
        <v>4988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 t="s">
        <v>67</v>
      </c>
      <c r="L1629" s="1">
        <v>43409</v>
      </c>
      <c r="M1629">
        <v>42</v>
      </c>
      <c r="N1629">
        <v>47</v>
      </c>
      <c r="O1629">
        <v>378</v>
      </c>
      <c r="P1629">
        <v>335</v>
      </c>
      <c r="Q1629">
        <v>378</v>
      </c>
      <c r="S1629">
        <v>886</v>
      </c>
      <c r="T1629">
        <v>886</v>
      </c>
      <c r="U1629">
        <f>+SUM(Table1[[#This Row],[Latinos]:[Cemex]])</f>
        <v>1</v>
      </c>
      <c r="V1629" t="str">
        <f>+Table1[[#This Row],[id_destino]]&amp;" - "&amp;Table1[[#This Row],[id_origen]]</f>
        <v>42 - 47</v>
      </c>
    </row>
    <row r="1630" spans="1:22" hidden="1">
      <c r="A1630">
        <v>259</v>
      </c>
      <c r="B1630">
        <v>753</v>
      </c>
      <c r="C1630">
        <v>676</v>
      </c>
      <c r="D1630">
        <v>2413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 t="s">
        <v>20</v>
      </c>
      <c r="L1630" s="1">
        <v>43026</v>
      </c>
      <c r="M1630">
        <v>47</v>
      </c>
      <c r="N1630">
        <v>47</v>
      </c>
      <c r="O1630">
        <v>50</v>
      </c>
      <c r="P1630">
        <v>150</v>
      </c>
      <c r="Q1630">
        <v>50</v>
      </c>
      <c r="S1630">
        <v>0</v>
      </c>
      <c r="T1630">
        <v>0</v>
      </c>
      <c r="U1630">
        <f>+SUM(Table1[[#This Row],[Latinos]:[Cemex]])</f>
        <v>1</v>
      </c>
      <c r="V1630" t="str">
        <f>+Table1[[#This Row],[id_destino]]&amp;" - "&amp;Table1[[#This Row],[id_origen]]</f>
        <v>47 - 47</v>
      </c>
    </row>
    <row r="1631" spans="1:22" hidden="1">
      <c r="A1631">
        <v>2941</v>
      </c>
      <c r="B1631">
        <v>753</v>
      </c>
      <c r="C1631">
        <v>8216</v>
      </c>
      <c r="D1631">
        <v>8217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 t="s">
        <v>20</v>
      </c>
      <c r="L1631" s="1">
        <v>45783</v>
      </c>
      <c r="M1631">
        <v>47</v>
      </c>
      <c r="N1631">
        <v>47</v>
      </c>
      <c r="O1631">
        <v>72</v>
      </c>
      <c r="P1631">
        <v>100</v>
      </c>
      <c r="Q1631">
        <v>100</v>
      </c>
      <c r="S1631">
        <v>0</v>
      </c>
      <c r="T1631">
        <v>0</v>
      </c>
      <c r="U1631">
        <f>+SUM(Table1[[#This Row],[Latinos]:[Cemex]])</f>
        <v>1</v>
      </c>
      <c r="V1631" t="str">
        <f>+Table1[[#This Row],[id_destino]]&amp;" - "&amp;Table1[[#This Row],[id_origen]]</f>
        <v>47 - 47</v>
      </c>
    </row>
    <row r="1632" spans="1:22" hidden="1">
      <c r="A1632">
        <v>3944</v>
      </c>
      <c r="B1632">
        <v>1458</v>
      </c>
      <c r="C1632">
        <v>230</v>
      </c>
      <c r="D1632">
        <v>7488</v>
      </c>
      <c r="E1632">
        <v>0</v>
      </c>
      <c r="F1632">
        <v>1</v>
      </c>
      <c r="G1632">
        <v>0</v>
      </c>
      <c r="H1632">
        <v>0</v>
      </c>
      <c r="I1632">
        <v>0</v>
      </c>
      <c r="J1632">
        <v>0</v>
      </c>
      <c r="K1632" t="s">
        <v>20</v>
      </c>
      <c r="L1632" s="1">
        <v>45201</v>
      </c>
      <c r="M1632">
        <v>49</v>
      </c>
      <c r="N1632">
        <v>47</v>
      </c>
      <c r="O1632">
        <v>532</v>
      </c>
      <c r="P1632">
        <v>500</v>
      </c>
      <c r="Q1632">
        <v>532</v>
      </c>
      <c r="S1632">
        <v>2301</v>
      </c>
      <c r="T1632">
        <v>2394</v>
      </c>
      <c r="U1632">
        <f>+SUM(Table1[[#This Row],[Latinos]:[Cemex]])</f>
        <v>1</v>
      </c>
      <c r="V1632" t="str">
        <f>+Table1[[#This Row],[id_destino]]&amp;" - "&amp;Table1[[#This Row],[id_origen]]</f>
        <v>49 - 47</v>
      </c>
    </row>
    <row r="1633" spans="1:22" hidden="1">
      <c r="A1633">
        <v>796</v>
      </c>
      <c r="B1633">
        <v>2455</v>
      </c>
      <c r="C1633">
        <v>230</v>
      </c>
      <c r="D1633">
        <v>1456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 t="s">
        <v>20</v>
      </c>
      <c r="L1633" s="1">
        <v>43166</v>
      </c>
      <c r="M1633">
        <v>54</v>
      </c>
      <c r="N1633">
        <v>47</v>
      </c>
      <c r="O1633">
        <v>818</v>
      </c>
      <c r="P1633">
        <v>818</v>
      </c>
      <c r="Q1633">
        <v>818</v>
      </c>
      <c r="S1633">
        <v>497</v>
      </c>
      <c r="T1633">
        <v>557</v>
      </c>
      <c r="U1633">
        <f>+SUM(Table1[[#This Row],[Latinos]:[Cemex]])</f>
        <v>1</v>
      </c>
      <c r="V1633" t="str">
        <f>+Table1[[#This Row],[id_destino]]&amp;" - "&amp;Table1[[#This Row],[id_origen]]</f>
        <v>54 - 47</v>
      </c>
    </row>
    <row r="1634" spans="1:22" hidden="1">
      <c r="A1634">
        <v>404</v>
      </c>
      <c r="B1634">
        <v>961</v>
      </c>
      <c r="C1634">
        <v>7113</v>
      </c>
      <c r="D1634">
        <v>1296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 t="s">
        <v>20</v>
      </c>
      <c r="L1634" s="1">
        <v>44903</v>
      </c>
      <c r="M1634">
        <v>55</v>
      </c>
      <c r="N1634">
        <v>47</v>
      </c>
      <c r="O1634">
        <v>166</v>
      </c>
      <c r="P1634">
        <v>184</v>
      </c>
      <c r="Q1634">
        <v>166</v>
      </c>
      <c r="S1634">
        <v>411</v>
      </c>
      <c r="T1634">
        <v>463</v>
      </c>
      <c r="U1634">
        <f>+SUM(Table1[[#This Row],[Latinos]:[Cemex]])</f>
        <v>1</v>
      </c>
      <c r="V1634" t="str">
        <f>+Table1[[#This Row],[id_destino]]&amp;" - "&amp;Table1[[#This Row],[id_origen]]</f>
        <v>55 - 47</v>
      </c>
    </row>
    <row r="1635" spans="1:22" hidden="1">
      <c r="A1635">
        <v>2556</v>
      </c>
      <c r="B1635">
        <v>578</v>
      </c>
      <c r="C1635">
        <v>230</v>
      </c>
      <c r="D1635">
        <v>6480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 t="s">
        <v>20</v>
      </c>
      <c r="L1635" s="1">
        <v>44176</v>
      </c>
      <c r="M1635">
        <v>58</v>
      </c>
      <c r="N1635">
        <v>47</v>
      </c>
      <c r="O1635">
        <v>183</v>
      </c>
      <c r="P1635">
        <v>183</v>
      </c>
      <c r="Q1635">
        <v>183</v>
      </c>
      <c r="S1635">
        <v>388</v>
      </c>
      <c r="T1635">
        <v>388</v>
      </c>
      <c r="U1635">
        <f>+SUM(Table1[[#This Row],[Latinos]:[Cemex]])</f>
        <v>1</v>
      </c>
      <c r="V1635" t="str">
        <f>+Table1[[#This Row],[id_destino]]&amp;" - "&amp;Table1[[#This Row],[id_origen]]</f>
        <v>58 - 47</v>
      </c>
    </row>
    <row r="1636" spans="1:22" hidden="1">
      <c r="A1636">
        <v>4082</v>
      </c>
      <c r="B1636">
        <v>578</v>
      </c>
      <c r="C1636">
        <v>230</v>
      </c>
      <c r="D1636">
        <v>6480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 t="s">
        <v>20</v>
      </c>
      <c r="L1636" s="1">
        <v>45272</v>
      </c>
      <c r="M1636">
        <v>58</v>
      </c>
      <c r="N1636">
        <v>47</v>
      </c>
      <c r="O1636">
        <v>143</v>
      </c>
      <c r="P1636">
        <v>150</v>
      </c>
      <c r="Q1636">
        <v>143</v>
      </c>
      <c r="S1636">
        <v>107</v>
      </c>
      <c r="T1636">
        <v>161</v>
      </c>
      <c r="U1636">
        <f>+SUM(Table1[[#This Row],[Latinos]:[Cemex]])</f>
        <v>1</v>
      </c>
      <c r="V1636" t="str">
        <f>+Table1[[#This Row],[id_destino]]&amp;" - "&amp;Table1[[#This Row],[id_origen]]</f>
        <v>58 - 47</v>
      </c>
    </row>
    <row r="1637" spans="1:22" hidden="1">
      <c r="A1637">
        <v>1074</v>
      </c>
      <c r="B1637">
        <v>228</v>
      </c>
      <c r="C1637">
        <v>2413</v>
      </c>
      <c r="D1637">
        <v>3984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  <c r="K1637" t="s">
        <v>20</v>
      </c>
      <c r="L1637" s="1">
        <v>43274</v>
      </c>
      <c r="M1637">
        <v>59</v>
      </c>
      <c r="N1637">
        <v>47</v>
      </c>
      <c r="O1637">
        <v>412</v>
      </c>
      <c r="P1637">
        <v>412</v>
      </c>
      <c r="Q1637">
        <v>412</v>
      </c>
      <c r="S1637">
        <v>1043</v>
      </c>
      <c r="T1637">
        <v>1082</v>
      </c>
      <c r="U1637">
        <f>+SUM(Table1[[#This Row],[Latinos]:[Cemex]])</f>
        <v>1</v>
      </c>
      <c r="V1637" t="str">
        <f>+Table1[[#This Row],[id_destino]]&amp;" - "&amp;Table1[[#This Row],[id_origen]]</f>
        <v>59 - 47</v>
      </c>
    </row>
    <row r="1638" spans="1:22" hidden="1">
      <c r="A1638">
        <v>2819</v>
      </c>
      <c r="B1638">
        <v>228</v>
      </c>
      <c r="C1638">
        <v>230</v>
      </c>
      <c r="D1638">
        <v>6699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 t="s">
        <v>20</v>
      </c>
      <c r="L1638" s="1">
        <v>44485</v>
      </c>
      <c r="M1638">
        <v>59</v>
      </c>
      <c r="N1638">
        <v>47</v>
      </c>
      <c r="O1638">
        <v>448</v>
      </c>
      <c r="P1638">
        <v>403</v>
      </c>
      <c r="Q1638">
        <v>448</v>
      </c>
      <c r="S1638">
        <v>1282</v>
      </c>
      <c r="T1638">
        <v>1336</v>
      </c>
      <c r="U1638">
        <f>+SUM(Table1[[#This Row],[Latinos]:[Cemex]])</f>
        <v>1</v>
      </c>
      <c r="V1638" t="str">
        <f>+Table1[[#This Row],[id_destino]]&amp;" - "&amp;Table1[[#This Row],[id_origen]]</f>
        <v>59 - 47</v>
      </c>
    </row>
    <row r="1639" spans="1:22" hidden="1">
      <c r="A1639">
        <v>451</v>
      </c>
      <c r="B1639">
        <v>1405</v>
      </c>
      <c r="C1639">
        <v>230</v>
      </c>
      <c r="D1639">
        <v>70</v>
      </c>
      <c r="E1639">
        <v>0</v>
      </c>
      <c r="F1639">
        <v>1</v>
      </c>
      <c r="G1639">
        <v>0</v>
      </c>
      <c r="H1639">
        <v>0</v>
      </c>
      <c r="I1639">
        <v>0</v>
      </c>
      <c r="J1639">
        <v>0</v>
      </c>
      <c r="K1639" t="s">
        <v>20</v>
      </c>
      <c r="L1639" s="1">
        <v>44365</v>
      </c>
      <c r="M1639">
        <v>60</v>
      </c>
      <c r="N1639">
        <v>47</v>
      </c>
      <c r="O1639">
        <v>2858</v>
      </c>
      <c r="P1639">
        <v>2696</v>
      </c>
      <c r="Q1639">
        <v>2858</v>
      </c>
      <c r="S1639">
        <v>7673</v>
      </c>
      <c r="T1639">
        <v>7966</v>
      </c>
      <c r="U1639">
        <f>+SUM(Table1[[#This Row],[Latinos]:[Cemex]])</f>
        <v>1</v>
      </c>
      <c r="V1639" t="str">
        <f>+Table1[[#This Row],[id_destino]]&amp;" - "&amp;Table1[[#This Row],[id_origen]]</f>
        <v>60 - 47</v>
      </c>
    </row>
    <row r="1640" spans="1:22" hidden="1">
      <c r="A1640">
        <v>2685</v>
      </c>
      <c r="B1640">
        <v>1405</v>
      </c>
      <c r="C1640">
        <v>230</v>
      </c>
      <c r="D1640">
        <v>70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  <c r="K1640" t="s">
        <v>20</v>
      </c>
      <c r="L1640" s="1">
        <v>44345</v>
      </c>
      <c r="M1640">
        <v>60</v>
      </c>
      <c r="N1640">
        <v>47</v>
      </c>
      <c r="O1640">
        <v>2858</v>
      </c>
      <c r="P1640">
        <v>2679</v>
      </c>
      <c r="Q1640">
        <v>2858</v>
      </c>
      <c r="S1640">
        <v>0</v>
      </c>
      <c r="T1640">
        <v>0</v>
      </c>
      <c r="U1640">
        <f>+SUM(Table1[[#This Row],[Latinos]:[Cemex]])</f>
        <v>1</v>
      </c>
      <c r="V1640" t="str">
        <f>+Table1[[#This Row],[id_destino]]&amp;" - "&amp;Table1[[#This Row],[id_origen]]</f>
        <v>60 - 47</v>
      </c>
    </row>
    <row r="1641" spans="1:22" hidden="1">
      <c r="A1641">
        <v>924</v>
      </c>
      <c r="B1641">
        <v>152</v>
      </c>
      <c r="C1641">
        <v>230</v>
      </c>
      <c r="D1641">
        <v>71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 t="s">
        <v>20</v>
      </c>
      <c r="L1641" s="1">
        <v>44263</v>
      </c>
      <c r="M1641">
        <v>61</v>
      </c>
      <c r="N1641">
        <v>47</v>
      </c>
      <c r="O1641">
        <v>2679</v>
      </c>
      <c r="P1641">
        <v>2530</v>
      </c>
      <c r="Q1641">
        <v>2679</v>
      </c>
      <c r="S1641">
        <v>7031</v>
      </c>
      <c r="T1641">
        <v>7257</v>
      </c>
      <c r="U1641">
        <f>+SUM(Table1[[#This Row],[Latinos]:[Cemex]])</f>
        <v>1</v>
      </c>
      <c r="V1641" t="str">
        <f>+Table1[[#This Row],[id_destino]]&amp;" - "&amp;Table1[[#This Row],[id_origen]]</f>
        <v>61 - 47</v>
      </c>
    </row>
    <row r="1642" spans="1:22" hidden="1">
      <c r="A1642">
        <v>2879</v>
      </c>
      <c r="B1642">
        <v>3630</v>
      </c>
      <c r="C1642">
        <v>230</v>
      </c>
      <c r="D1642">
        <v>3265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 t="s">
        <v>20</v>
      </c>
      <c r="L1642" s="1">
        <v>44583</v>
      </c>
      <c r="M1642">
        <v>66</v>
      </c>
      <c r="N1642">
        <v>47</v>
      </c>
      <c r="O1642">
        <v>243</v>
      </c>
      <c r="P1642">
        <v>217</v>
      </c>
      <c r="Q1642">
        <v>243</v>
      </c>
      <c r="S1642">
        <v>1006</v>
      </c>
      <c r="T1642">
        <v>1039</v>
      </c>
      <c r="U1642">
        <f>+SUM(Table1[[#This Row],[Latinos]:[Cemex]])</f>
        <v>1</v>
      </c>
      <c r="V1642" t="str">
        <f>+Table1[[#This Row],[id_destino]]&amp;" - "&amp;Table1[[#This Row],[id_origen]]</f>
        <v>66 - 47</v>
      </c>
    </row>
    <row r="1643" spans="1:22" hidden="1">
      <c r="A1643">
        <v>3925</v>
      </c>
      <c r="B1643">
        <v>4307</v>
      </c>
      <c r="C1643">
        <v>230</v>
      </c>
      <c r="D1643">
        <v>7473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 t="s">
        <v>20</v>
      </c>
      <c r="L1643" s="1">
        <v>45188</v>
      </c>
      <c r="M1643">
        <v>67</v>
      </c>
      <c r="N1643">
        <v>47</v>
      </c>
      <c r="O1643">
        <v>317</v>
      </c>
      <c r="P1643">
        <v>314</v>
      </c>
      <c r="Q1643">
        <v>317</v>
      </c>
      <c r="S1643">
        <v>1025</v>
      </c>
      <c r="T1643">
        <v>1025</v>
      </c>
      <c r="U1643">
        <f>+SUM(Table1[[#This Row],[Latinos]:[Cemex]])</f>
        <v>1</v>
      </c>
      <c r="V1643" t="str">
        <f>+Table1[[#This Row],[id_destino]]&amp;" - "&amp;Table1[[#This Row],[id_origen]]</f>
        <v>67 - 47</v>
      </c>
    </row>
    <row r="1644" spans="1:22" hidden="1">
      <c r="A1644">
        <v>2621</v>
      </c>
      <c r="B1644">
        <v>1965</v>
      </c>
      <c r="C1644">
        <v>230</v>
      </c>
      <c r="D1644">
        <v>6530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0</v>
      </c>
      <c r="K1644" t="s">
        <v>20</v>
      </c>
      <c r="L1644" s="1">
        <v>44250</v>
      </c>
      <c r="M1644">
        <v>69</v>
      </c>
      <c r="N1644">
        <v>47</v>
      </c>
      <c r="O1644">
        <v>95</v>
      </c>
      <c r="P1644">
        <v>150</v>
      </c>
      <c r="Q1644">
        <v>95</v>
      </c>
      <c r="S1644">
        <v>0</v>
      </c>
      <c r="T1644">
        <v>0</v>
      </c>
      <c r="U1644">
        <f>+SUM(Table1[[#This Row],[Latinos]:[Cemex]])</f>
        <v>1</v>
      </c>
      <c r="V1644" t="str">
        <f>+Table1[[#This Row],[id_destino]]&amp;" - "&amp;Table1[[#This Row],[id_origen]]</f>
        <v>69 - 47</v>
      </c>
    </row>
    <row r="1645" spans="1:22" hidden="1">
      <c r="A1645">
        <v>2331</v>
      </c>
      <c r="B1645">
        <v>3276</v>
      </c>
      <c r="C1645">
        <v>230</v>
      </c>
      <c r="D1645">
        <v>6335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  <c r="K1645" t="s">
        <v>20</v>
      </c>
      <c r="L1645" s="1">
        <v>43950</v>
      </c>
      <c r="M1645">
        <v>70</v>
      </c>
      <c r="N1645">
        <v>47</v>
      </c>
      <c r="O1645">
        <v>100</v>
      </c>
      <c r="P1645">
        <v>150</v>
      </c>
      <c r="Q1645">
        <v>100</v>
      </c>
      <c r="S1645">
        <v>214</v>
      </c>
      <c r="T1645">
        <v>214</v>
      </c>
      <c r="U1645">
        <f>+SUM(Table1[[#This Row],[Latinos]:[Cemex]])</f>
        <v>1</v>
      </c>
      <c r="V1645" t="str">
        <f>+Table1[[#This Row],[id_destino]]&amp;" - "&amp;Table1[[#This Row],[id_origen]]</f>
        <v>70 - 47</v>
      </c>
    </row>
    <row r="1646" spans="1:22" hidden="1">
      <c r="A1646">
        <v>2335</v>
      </c>
      <c r="B1646">
        <v>3279</v>
      </c>
      <c r="C1646">
        <v>230</v>
      </c>
      <c r="D1646">
        <v>6338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 t="s">
        <v>20</v>
      </c>
      <c r="L1646" s="1">
        <v>43955</v>
      </c>
      <c r="M1646">
        <v>70</v>
      </c>
      <c r="N1646">
        <v>47</v>
      </c>
      <c r="O1646">
        <v>100</v>
      </c>
      <c r="P1646">
        <v>150</v>
      </c>
      <c r="Q1646">
        <v>100</v>
      </c>
      <c r="S1646">
        <v>214</v>
      </c>
      <c r="T1646">
        <v>214</v>
      </c>
      <c r="U1646">
        <f>+SUM(Table1[[#This Row],[Latinos]:[Cemex]])</f>
        <v>1</v>
      </c>
      <c r="V1646" t="str">
        <f>+Table1[[#This Row],[id_destino]]&amp;" - "&amp;Table1[[#This Row],[id_origen]]</f>
        <v>70 - 47</v>
      </c>
    </row>
    <row r="1647" spans="1:22" hidden="1">
      <c r="A1647">
        <v>1360</v>
      </c>
      <c r="B1647">
        <v>965</v>
      </c>
      <c r="C1647">
        <v>230</v>
      </c>
      <c r="D1647">
        <v>5733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 t="s">
        <v>20</v>
      </c>
      <c r="L1647" s="1">
        <v>43402</v>
      </c>
      <c r="M1647">
        <v>71</v>
      </c>
      <c r="N1647">
        <v>47</v>
      </c>
      <c r="O1647">
        <v>466</v>
      </c>
      <c r="P1647">
        <v>474</v>
      </c>
      <c r="Q1647">
        <v>466</v>
      </c>
      <c r="S1647">
        <v>1834</v>
      </c>
      <c r="T1647">
        <v>1948</v>
      </c>
      <c r="U1647">
        <f>+SUM(Table1[[#This Row],[Latinos]:[Cemex]])</f>
        <v>1</v>
      </c>
      <c r="V1647" t="str">
        <f>+Table1[[#This Row],[id_destino]]&amp;" - "&amp;Table1[[#This Row],[id_origen]]</f>
        <v>71 - 47</v>
      </c>
    </row>
    <row r="1648" spans="1:22" hidden="1">
      <c r="A1648">
        <v>3321</v>
      </c>
      <c r="B1648">
        <v>965</v>
      </c>
      <c r="C1648">
        <v>7053</v>
      </c>
      <c r="D1648">
        <v>7054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 t="s">
        <v>20</v>
      </c>
      <c r="L1648" s="1">
        <v>44830</v>
      </c>
      <c r="M1648">
        <v>71</v>
      </c>
      <c r="N1648">
        <v>47</v>
      </c>
      <c r="O1648">
        <v>473</v>
      </c>
      <c r="P1648">
        <v>474</v>
      </c>
      <c r="Q1648">
        <v>473</v>
      </c>
      <c r="S1648">
        <v>1834</v>
      </c>
      <c r="T1648">
        <v>1948</v>
      </c>
      <c r="U1648">
        <f>+SUM(Table1[[#This Row],[Latinos]:[Cemex]])</f>
        <v>1</v>
      </c>
      <c r="V1648" t="str">
        <f>+Table1[[#This Row],[id_destino]]&amp;" - "&amp;Table1[[#This Row],[id_origen]]</f>
        <v>71 - 47</v>
      </c>
    </row>
    <row r="1649" spans="1:22" hidden="1">
      <c r="A1649">
        <v>1457</v>
      </c>
      <c r="B1649">
        <v>1145</v>
      </c>
      <c r="C1649">
        <v>2413</v>
      </c>
      <c r="D1649">
        <v>4328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 t="s">
        <v>20</v>
      </c>
      <c r="L1649" s="1">
        <v>43447</v>
      </c>
      <c r="M1649">
        <v>79</v>
      </c>
      <c r="N1649">
        <v>47</v>
      </c>
      <c r="O1649">
        <v>340</v>
      </c>
      <c r="P1649">
        <v>340</v>
      </c>
      <c r="Q1649">
        <v>340</v>
      </c>
      <c r="S1649">
        <v>617</v>
      </c>
      <c r="T1649">
        <v>617</v>
      </c>
      <c r="U1649">
        <f>+SUM(Table1[[#This Row],[Latinos]:[Cemex]])</f>
        <v>1</v>
      </c>
      <c r="V1649" t="str">
        <f>+Table1[[#This Row],[id_destino]]&amp;" - "&amp;Table1[[#This Row],[id_origen]]</f>
        <v>79 - 47</v>
      </c>
    </row>
    <row r="1650" spans="1:22" hidden="1">
      <c r="A1650">
        <v>1621</v>
      </c>
      <c r="B1650">
        <v>2844</v>
      </c>
      <c r="C1650">
        <v>2413</v>
      </c>
      <c r="D1650">
        <v>3601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 t="s">
        <v>20</v>
      </c>
      <c r="L1650" s="1">
        <v>44769</v>
      </c>
      <c r="M1650">
        <v>84</v>
      </c>
      <c r="N1650">
        <v>47</v>
      </c>
      <c r="O1650">
        <v>925</v>
      </c>
      <c r="P1650">
        <v>927</v>
      </c>
      <c r="Q1650">
        <v>925</v>
      </c>
      <c r="S1650">
        <v>1162</v>
      </c>
      <c r="T1650">
        <v>1276</v>
      </c>
      <c r="U1650">
        <f>+SUM(Table1[[#This Row],[Latinos]:[Cemex]])</f>
        <v>1</v>
      </c>
      <c r="V1650" t="str">
        <f>+Table1[[#This Row],[id_destino]]&amp;" - "&amp;Table1[[#This Row],[id_origen]]</f>
        <v>84 - 47</v>
      </c>
    </row>
    <row r="1651" spans="1:22" hidden="1">
      <c r="A1651">
        <v>3515</v>
      </c>
      <c r="B1651">
        <v>4041</v>
      </c>
      <c r="C1651">
        <v>6283</v>
      </c>
      <c r="D1651">
        <v>7183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 t="s">
        <v>20</v>
      </c>
      <c r="L1651" s="1">
        <v>44943</v>
      </c>
      <c r="M1651">
        <v>86</v>
      </c>
      <c r="N1651">
        <v>47</v>
      </c>
      <c r="O1651">
        <v>136</v>
      </c>
      <c r="P1651">
        <v>150</v>
      </c>
      <c r="Q1651">
        <v>136</v>
      </c>
      <c r="S1651">
        <v>298</v>
      </c>
      <c r="T1651">
        <v>350</v>
      </c>
      <c r="U1651">
        <f>+SUM(Table1[[#This Row],[Latinos]:[Cemex]])</f>
        <v>1</v>
      </c>
      <c r="V1651" t="str">
        <f>+Table1[[#This Row],[id_destino]]&amp;" - "&amp;Table1[[#This Row],[id_origen]]</f>
        <v>86 - 47</v>
      </c>
    </row>
    <row r="1652" spans="1:22" hidden="1">
      <c r="A1652">
        <v>2190</v>
      </c>
      <c r="B1652">
        <v>3192</v>
      </c>
      <c r="C1652">
        <v>230</v>
      </c>
      <c r="D1652">
        <v>847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 t="s">
        <v>20</v>
      </c>
      <c r="L1652" s="1">
        <v>43850</v>
      </c>
      <c r="M1652">
        <v>89</v>
      </c>
      <c r="N1652">
        <v>47</v>
      </c>
      <c r="O1652">
        <v>999</v>
      </c>
      <c r="P1652">
        <v>990</v>
      </c>
      <c r="Q1652">
        <v>999</v>
      </c>
      <c r="S1652">
        <v>697</v>
      </c>
      <c r="T1652">
        <v>811</v>
      </c>
      <c r="U1652">
        <f>+SUM(Table1[[#This Row],[Latinos]:[Cemex]])</f>
        <v>1</v>
      </c>
      <c r="V1652" t="str">
        <f>+Table1[[#This Row],[id_destino]]&amp;" - "&amp;Table1[[#This Row],[id_origen]]</f>
        <v>89 - 47</v>
      </c>
    </row>
    <row r="1653" spans="1:22" hidden="1">
      <c r="A1653">
        <v>3809</v>
      </c>
      <c r="B1653">
        <v>4232</v>
      </c>
      <c r="C1653">
        <v>7000</v>
      </c>
      <c r="D1653">
        <v>7398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 t="s">
        <v>20</v>
      </c>
      <c r="L1653" s="1">
        <v>45105</v>
      </c>
      <c r="M1653">
        <v>102</v>
      </c>
      <c r="N1653">
        <v>47</v>
      </c>
      <c r="O1653">
        <v>1209</v>
      </c>
      <c r="P1653">
        <v>1191</v>
      </c>
      <c r="Q1653">
        <v>1209</v>
      </c>
      <c r="S1653">
        <v>2301</v>
      </c>
      <c r="T1653">
        <v>2008</v>
      </c>
      <c r="U1653">
        <f>+SUM(Table1[[#This Row],[Latinos]:[Cemex]])</f>
        <v>1</v>
      </c>
      <c r="V1653" t="str">
        <f>+Table1[[#This Row],[id_destino]]&amp;" - "&amp;Table1[[#This Row],[id_origen]]</f>
        <v>102 - 47</v>
      </c>
    </row>
    <row r="1654" spans="1:22" hidden="1">
      <c r="A1654">
        <v>1491</v>
      </c>
      <c r="B1654">
        <v>238</v>
      </c>
      <c r="C1654">
        <v>2413</v>
      </c>
      <c r="D1654">
        <v>173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  <c r="K1654" t="s">
        <v>20</v>
      </c>
      <c r="L1654" s="1">
        <v>43468</v>
      </c>
      <c r="M1654">
        <v>105</v>
      </c>
      <c r="N1654">
        <v>47</v>
      </c>
      <c r="O1654">
        <v>107</v>
      </c>
      <c r="P1654">
        <v>150</v>
      </c>
      <c r="Q1654">
        <v>107</v>
      </c>
      <c r="S1654">
        <v>283</v>
      </c>
      <c r="T1654">
        <v>335</v>
      </c>
      <c r="U1654">
        <f>+SUM(Table1[[#This Row],[Latinos]:[Cemex]])</f>
        <v>1</v>
      </c>
      <c r="V1654" t="str">
        <f>+Table1[[#This Row],[id_destino]]&amp;" - "&amp;Table1[[#This Row],[id_origen]]</f>
        <v>105 - 47</v>
      </c>
    </row>
    <row r="1655" spans="1:22" hidden="1">
      <c r="A1655">
        <v>1415</v>
      </c>
      <c r="B1655">
        <v>631</v>
      </c>
      <c r="C1655">
        <v>230</v>
      </c>
      <c r="D1655">
        <v>1523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 t="s">
        <v>20</v>
      </c>
      <c r="L1655" s="1">
        <v>43425</v>
      </c>
      <c r="M1655">
        <v>107</v>
      </c>
      <c r="N1655">
        <v>47</v>
      </c>
      <c r="O1655">
        <v>578</v>
      </c>
      <c r="P1655">
        <v>521</v>
      </c>
      <c r="Q1655">
        <v>578</v>
      </c>
      <c r="S1655">
        <v>2301</v>
      </c>
      <c r="T1655">
        <v>2394</v>
      </c>
      <c r="U1655">
        <f>+SUM(Table1[[#This Row],[Latinos]:[Cemex]])</f>
        <v>1</v>
      </c>
      <c r="V1655" t="str">
        <f>+Table1[[#This Row],[id_destino]]&amp;" - "&amp;Table1[[#This Row],[id_origen]]</f>
        <v>107 - 47</v>
      </c>
    </row>
    <row r="1656" spans="1:22" hidden="1">
      <c r="A1656">
        <v>2486</v>
      </c>
      <c r="B1656">
        <v>631</v>
      </c>
      <c r="C1656">
        <v>6432</v>
      </c>
      <c r="D1656">
        <v>6433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 t="s">
        <v>20</v>
      </c>
      <c r="L1656" s="1">
        <v>44117</v>
      </c>
      <c r="M1656">
        <v>107</v>
      </c>
      <c r="N1656">
        <v>47</v>
      </c>
      <c r="O1656">
        <v>573</v>
      </c>
      <c r="P1656">
        <v>611</v>
      </c>
      <c r="Q1656">
        <v>573</v>
      </c>
      <c r="S1656">
        <v>1270</v>
      </c>
      <c r="T1656">
        <v>1396</v>
      </c>
      <c r="U1656">
        <f>+SUM(Table1[[#This Row],[Latinos]:[Cemex]])</f>
        <v>1</v>
      </c>
      <c r="V1656" t="str">
        <f>+Table1[[#This Row],[id_destino]]&amp;" - "&amp;Table1[[#This Row],[id_origen]]</f>
        <v>107 - 47</v>
      </c>
    </row>
    <row r="1657" spans="1:22" hidden="1">
      <c r="A1657">
        <v>51</v>
      </c>
      <c r="B1657">
        <v>1752</v>
      </c>
      <c r="C1657">
        <v>2413</v>
      </c>
      <c r="D1657">
        <v>5055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 t="s">
        <v>20</v>
      </c>
      <c r="L1657" s="1">
        <v>43977</v>
      </c>
      <c r="M1657">
        <v>117</v>
      </c>
      <c r="N1657">
        <v>47</v>
      </c>
      <c r="O1657">
        <v>145</v>
      </c>
      <c r="P1657">
        <v>150</v>
      </c>
      <c r="Q1657">
        <v>145</v>
      </c>
      <c r="S1657">
        <v>134</v>
      </c>
      <c r="T1657">
        <v>183</v>
      </c>
      <c r="U1657">
        <f>+SUM(Table1[[#This Row],[Latinos]:[Cemex]])</f>
        <v>1</v>
      </c>
      <c r="V1657" t="str">
        <f>+Table1[[#This Row],[id_destino]]&amp;" - "&amp;Table1[[#This Row],[id_origen]]</f>
        <v>117 - 47</v>
      </c>
    </row>
    <row r="1658" spans="1:22" hidden="1">
      <c r="A1658">
        <v>1048</v>
      </c>
      <c r="B1658">
        <v>1752</v>
      </c>
      <c r="C1658">
        <v>230</v>
      </c>
      <c r="D1658">
        <v>5598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 t="s">
        <v>20</v>
      </c>
      <c r="L1658" s="1">
        <v>43263</v>
      </c>
      <c r="M1658">
        <v>117</v>
      </c>
      <c r="N1658">
        <v>47</v>
      </c>
      <c r="O1658">
        <v>146</v>
      </c>
      <c r="P1658">
        <v>150</v>
      </c>
      <c r="Q1658">
        <v>146</v>
      </c>
      <c r="S1658">
        <v>107</v>
      </c>
      <c r="T1658">
        <v>161</v>
      </c>
      <c r="U1658">
        <f>+SUM(Table1[[#This Row],[Latinos]:[Cemex]])</f>
        <v>1</v>
      </c>
      <c r="V1658" t="str">
        <f>+Table1[[#This Row],[id_destino]]&amp;" - "&amp;Table1[[#This Row],[id_origen]]</f>
        <v>117 - 47</v>
      </c>
    </row>
    <row r="1659" spans="1:22" hidden="1">
      <c r="A1659">
        <v>2382</v>
      </c>
      <c r="B1659">
        <v>1586</v>
      </c>
      <c r="C1659">
        <v>230</v>
      </c>
      <c r="D1659">
        <v>6367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 t="s">
        <v>36</v>
      </c>
      <c r="L1659" s="1">
        <v>44043</v>
      </c>
      <c r="M1659">
        <v>118</v>
      </c>
      <c r="N1659">
        <v>47</v>
      </c>
      <c r="O1659">
        <v>2883</v>
      </c>
      <c r="P1659">
        <v>2774</v>
      </c>
      <c r="Q1659">
        <v>2883</v>
      </c>
      <c r="S1659">
        <v>5033</v>
      </c>
      <c r="T1659">
        <v>5235</v>
      </c>
      <c r="U1659">
        <f>+SUM(Table1[[#This Row],[Latinos]:[Cemex]])</f>
        <v>1</v>
      </c>
      <c r="V1659" t="str">
        <f>+Table1[[#This Row],[id_destino]]&amp;" - "&amp;Table1[[#This Row],[id_origen]]</f>
        <v>118 - 47</v>
      </c>
    </row>
    <row r="1660" spans="1:22" hidden="1">
      <c r="A1660">
        <v>2385</v>
      </c>
      <c r="B1660">
        <v>1586</v>
      </c>
      <c r="C1660">
        <v>230</v>
      </c>
      <c r="D1660">
        <v>6367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 t="s">
        <v>85</v>
      </c>
      <c r="L1660" s="1">
        <v>44016</v>
      </c>
      <c r="M1660">
        <v>118</v>
      </c>
      <c r="N1660">
        <v>47</v>
      </c>
      <c r="O1660">
        <v>2883</v>
      </c>
      <c r="P1660">
        <v>2883</v>
      </c>
      <c r="Q1660">
        <v>2883</v>
      </c>
      <c r="S1660">
        <v>2885</v>
      </c>
      <c r="T1660">
        <v>3435</v>
      </c>
      <c r="U1660">
        <f>+SUM(Table1[[#This Row],[Latinos]:[Cemex]])</f>
        <v>1</v>
      </c>
      <c r="V1660" t="str">
        <f>+Table1[[#This Row],[id_destino]]&amp;" - "&amp;Table1[[#This Row],[id_origen]]</f>
        <v>118 - 47</v>
      </c>
    </row>
    <row r="1661" spans="1:22" hidden="1">
      <c r="A1661">
        <v>2554</v>
      </c>
      <c r="B1661">
        <v>1586</v>
      </c>
      <c r="C1661">
        <v>230</v>
      </c>
      <c r="D1661">
        <v>6476</v>
      </c>
      <c r="E1661">
        <v>0</v>
      </c>
      <c r="F1661">
        <v>1</v>
      </c>
      <c r="G1661">
        <v>0</v>
      </c>
      <c r="H1661">
        <v>0</v>
      </c>
      <c r="I1661">
        <v>1</v>
      </c>
      <c r="J1661">
        <v>0</v>
      </c>
      <c r="K1661" t="s">
        <v>89</v>
      </c>
      <c r="L1661" s="1">
        <v>44176</v>
      </c>
      <c r="M1661">
        <v>118</v>
      </c>
      <c r="N1661">
        <v>47</v>
      </c>
      <c r="O1661">
        <v>2758</v>
      </c>
      <c r="P1661">
        <v>2774</v>
      </c>
      <c r="Q1661">
        <v>2758</v>
      </c>
      <c r="S1661">
        <v>5033</v>
      </c>
      <c r="T1661">
        <v>5235</v>
      </c>
      <c r="U1661">
        <f>+SUM(Table1[[#This Row],[Latinos]:[Cemex]])</f>
        <v>2</v>
      </c>
      <c r="V1661" t="str">
        <f>+Table1[[#This Row],[id_destino]]&amp;" - "&amp;Table1[[#This Row],[id_origen]]</f>
        <v>118 - 47</v>
      </c>
    </row>
    <row r="1662" spans="1:22" hidden="1">
      <c r="A1662">
        <v>2459</v>
      </c>
      <c r="B1662">
        <v>262</v>
      </c>
      <c r="C1662">
        <v>2413</v>
      </c>
      <c r="D1662">
        <v>6408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 t="s">
        <v>20</v>
      </c>
      <c r="L1662" s="1">
        <v>45287</v>
      </c>
      <c r="M1662">
        <v>121</v>
      </c>
      <c r="N1662">
        <v>47</v>
      </c>
      <c r="O1662">
        <v>293</v>
      </c>
      <c r="P1662">
        <v>313</v>
      </c>
      <c r="Q1662">
        <v>293</v>
      </c>
      <c r="S1662">
        <v>1385</v>
      </c>
      <c r="T1662">
        <v>1445</v>
      </c>
      <c r="U1662">
        <f>+SUM(Table1[[#This Row],[Latinos]:[Cemex]])</f>
        <v>1</v>
      </c>
      <c r="V1662" t="str">
        <f>+Table1[[#This Row],[id_destino]]&amp;" - "&amp;Table1[[#This Row],[id_origen]]</f>
        <v>121 - 47</v>
      </c>
    </row>
    <row r="1663" spans="1:22" hidden="1">
      <c r="A1663">
        <v>4650</v>
      </c>
      <c r="B1663">
        <v>262</v>
      </c>
      <c r="C1663">
        <v>6283</v>
      </c>
      <c r="D1663">
        <v>623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 t="s">
        <v>20</v>
      </c>
      <c r="L1663" s="1">
        <v>45701</v>
      </c>
      <c r="M1663">
        <v>121</v>
      </c>
      <c r="N1663">
        <v>47</v>
      </c>
      <c r="O1663">
        <v>299</v>
      </c>
      <c r="P1663">
        <v>299</v>
      </c>
      <c r="Q1663">
        <v>299</v>
      </c>
      <c r="S1663">
        <v>1567</v>
      </c>
      <c r="T1663">
        <v>1567</v>
      </c>
      <c r="U1663">
        <f>+SUM(Table1[[#This Row],[Latinos]:[Cemex]])</f>
        <v>1</v>
      </c>
      <c r="V1663" t="str">
        <f>+Table1[[#This Row],[id_destino]]&amp;" - "&amp;Table1[[#This Row],[id_origen]]</f>
        <v>121 - 47</v>
      </c>
    </row>
    <row r="1664" spans="1:22" hidden="1">
      <c r="A1664">
        <v>3390</v>
      </c>
      <c r="B1664">
        <v>3953</v>
      </c>
      <c r="C1664">
        <v>6283</v>
      </c>
      <c r="D1664">
        <v>7098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 t="s">
        <v>94</v>
      </c>
      <c r="L1664" s="1">
        <v>44866</v>
      </c>
      <c r="M1664">
        <v>123</v>
      </c>
      <c r="N1664">
        <v>47</v>
      </c>
      <c r="O1664">
        <v>1400</v>
      </c>
      <c r="P1664">
        <v>1013</v>
      </c>
      <c r="Q1664">
        <v>1400</v>
      </c>
      <c r="S1664">
        <v>5580</v>
      </c>
      <c r="T1664">
        <v>4509</v>
      </c>
      <c r="U1664">
        <f>+SUM(Table1[[#This Row],[Latinos]:[Cemex]])</f>
        <v>1</v>
      </c>
      <c r="V1664" t="str">
        <f>+Table1[[#This Row],[id_destino]]&amp;" - "&amp;Table1[[#This Row],[id_origen]]</f>
        <v>123 - 47</v>
      </c>
    </row>
    <row r="1665" spans="1:22" hidden="1">
      <c r="A1665">
        <v>3437</v>
      </c>
      <c r="B1665">
        <v>3953</v>
      </c>
      <c r="C1665">
        <v>6283</v>
      </c>
      <c r="D1665">
        <v>7098</v>
      </c>
      <c r="E1665">
        <v>0</v>
      </c>
      <c r="F1665">
        <v>1</v>
      </c>
      <c r="G1665">
        <v>0</v>
      </c>
      <c r="H1665">
        <v>0</v>
      </c>
      <c r="I1665">
        <v>1</v>
      </c>
      <c r="J1665">
        <v>0</v>
      </c>
      <c r="K1665" t="s">
        <v>35</v>
      </c>
      <c r="L1665" s="1">
        <v>44891</v>
      </c>
      <c r="M1665">
        <v>123</v>
      </c>
      <c r="N1665">
        <v>47</v>
      </c>
      <c r="O1665">
        <v>1371</v>
      </c>
      <c r="P1665">
        <v>1419</v>
      </c>
      <c r="Q1665">
        <v>1421</v>
      </c>
      <c r="S1665">
        <v>3633</v>
      </c>
      <c r="T1665">
        <v>3767</v>
      </c>
      <c r="U1665">
        <f>+SUM(Table1[[#This Row],[Latinos]:[Cemex]])</f>
        <v>2</v>
      </c>
      <c r="V1665" t="str">
        <f>+Table1[[#This Row],[id_destino]]&amp;" - "&amp;Table1[[#This Row],[id_origen]]</f>
        <v>123 - 47</v>
      </c>
    </row>
    <row r="1666" spans="1:22" hidden="1">
      <c r="A1666">
        <v>3915</v>
      </c>
      <c r="B1666">
        <v>4299</v>
      </c>
      <c r="C1666">
        <v>2413</v>
      </c>
      <c r="D1666">
        <v>7292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 t="s">
        <v>20</v>
      </c>
      <c r="L1666" s="1">
        <v>45177</v>
      </c>
      <c r="M1666">
        <v>130</v>
      </c>
      <c r="N1666">
        <v>47</v>
      </c>
      <c r="O1666">
        <v>1195</v>
      </c>
      <c r="P1666">
        <v>1200</v>
      </c>
      <c r="Q1666">
        <v>1195</v>
      </c>
      <c r="S1666">
        <v>609</v>
      </c>
      <c r="T1666">
        <v>609</v>
      </c>
      <c r="U1666">
        <f>+SUM(Table1[[#This Row],[Latinos]:[Cemex]])</f>
        <v>1</v>
      </c>
      <c r="V1666" t="str">
        <f>+Table1[[#This Row],[id_destino]]&amp;" - "&amp;Table1[[#This Row],[id_origen]]</f>
        <v>130 - 47</v>
      </c>
    </row>
    <row r="1667" spans="1:22" hidden="1">
      <c r="A1667">
        <v>4049</v>
      </c>
      <c r="B1667">
        <v>4386</v>
      </c>
      <c r="C1667">
        <v>7053</v>
      </c>
      <c r="D1667">
        <v>7497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  <c r="K1667" t="s">
        <v>20</v>
      </c>
      <c r="L1667" s="1">
        <v>45252</v>
      </c>
      <c r="M1667">
        <v>132</v>
      </c>
      <c r="N1667">
        <v>47</v>
      </c>
      <c r="O1667">
        <v>166</v>
      </c>
      <c r="P1667">
        <v>155</v>
      </c>
      <c r="Q1667">
        <v>166</v>
      </c>
      <c r="S1667">
        <v>634</v>
      </c>
      <c r="T1667">
        <v>634</v>
      </c>
      <c r="U1667">
        <f>+SUM(Table1[[#This Row],[Latinos]:[Cemex]])</f>
        <v>1</v>
      </c>
      <c r="V1667" t="str">
        <f>+Table1[[#This Row],[id_destino]]&amp;" - "&amp;Table1[[#This Row],[id_origen]]</f>
        <v>132 - 47</v>
      </c>
    </row>
    <row r="1668" spans="1:22" hidden="1">
      <c r="A1668">
        <v>2348</v>
      </c>
      <c r="B1668">
        <v>1224</v>
      </c>
      <c r="C1668">
        <v>6283</v>
      </c>
      <c r="D1668">
        <v>6346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 t="s">
        <v>20</v>
      </c>
      <c r="L1668" s="1">
        <v>43962</v>
      </c>
      <c r="M1668">
        <v>134</v>
      </c>
      <c r="N1668">
        <v>47</v>
      </c>
      <c r="O1668">
        <v>1210</v>
      </c>
      <c r="P1668">
        <v>1213</v>
      </c>
      <c r="Q1668">
        <v>1210</v>
      </c>
      <c r="S1668">
        <v>2380</v>
      </c>
      <c r="T1668">
        <v>2380</v>
      </c>
      <c r="U1668">
        <f>+SUM(Table1[[#This Row],[Latinos]:[Cemex]])</f>
        <v>1</v>
      </c>
      <c r="V1668" t="str">
        <f>+Table1[[#This Row],[id_destino]]&amp;" - "&amp;Table1[[#This Row],[id_origen]]</f>
        <v>134 - 47</v>
      </c>
    </row>
    <row r="1669" spans="1:22" hidden="1">
      <c r="A1669">
        <v>1970</v>
      </c>
      <c r="B1669">
        <v>1214</v>
      </c>
      <c r="C1669">
        <v>230</v>
      </c>
      <c r="D1669">
        <v>3176</v>
      </c>
      <c r="E1669">
        <v>0</v>
      </c>
      <c r="F1669">
        <v>1</v>
      </c>
      <c r="G1669">
        <v>0</v>
      </c>
      <c r="H1669">
        <v>0</v>
      </c>
      <c r="I1669">
        <v>1</v>
      </c>
      <c r="J1669">
        <v>0</v>
      </c>
      <c r="K1669" t="s">
        <v>20</v>
      </c>
      <c r="L1669" s="1">
        <v>43745</v>
      </c>
      <c r="M1669">
        <v>136</v>
      </c>
      <c r="N1669">
        <v>47</v>
      </c>
      <c r="O1669">
        <v>335</v>
      </c>
      <c r="P1669">
        <v>208</v>
      </c>
      <c r="Q1669">
        <v>335</v>
      </c>
      <c r="S1669">
        <v>930</v>
      </c>
      <c r="T1669">
        <v>930</v>
      </c>
      <c r="U1669">
        <f>+SUM(Table1[[#This Row],[Latinos]:[Cemex]])</f>
        <v>2</v>
      </c>
      <c r="V1669" t="str">
        <f>+Table1[[#This Row],[id_destino]]&amp;" - "&amp;Table1[[#This Row],[id_origen]]</f>
        <v>136 - 47</v>
      </c>
    </row>
    <row r="1670" spans="1:22" hidden="1">
      <c r="A1670">
        <v>3924</v>
      </c>
      <c r="B1670">
        <v>4306</v>
      </c>
      <c r="C1670">
        <v>230</v>
      </c>
      <c r="D1670">
        <v>7472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 t="s">
        <v>106</v>
      </c>
      <c r="L1670" s="1">
        <v>45188</v>
      </c>
      <c r="M1670">
        <v>142</v>
      </c>
      <c r="N1670">
        <v>47</v>
      </c>
      <c r="O1670">
        <v>441</v>
      </c>
      <c r="P1670">
        <v>380</v>
      </c>
      <c r="Q1670">
        <v>441</v>
      </c>
      <c r="S1670">
        <v>1352</v>
      </c>
      <c r="T1670">
        <v>1461</v>
      </c>
      <c r="U1670">
        <f>+SUM(Table1[[#This Row],[Latinos]:[Cemex]])</f>
        <v>1</v>
      </c>
      <c r="V1670" t="str">
        <f>+Table1[[#This Row],[id_destino]]&amp;" - "&amp;Table1[[#This Row],[id_origen]]</f>
        <v>142 - 47</v>
      </c>
    </row>
    <row r="1671" spans="1:22" hidden="1">
      <c r="A1671">
        <v>1524</v>
      </c>
      <c r="B1671">
        <v>2794</v>
      </c>
      <c r="C1671">
        <v>541</v>
      </c>
      <c r="D1671">
        <v>5805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 t="s">
        <v>20</v>
      </c>
      <c r="L1671" s="1">
        <v>43488</v>
      </c>
      <c r="M1671">
        <v>144</v>
      </c>
      <c r="N1671">
        <v>47</v>
      </c>
      <c r="O1671">
        <v>136</v>
      </c>
      <c r="P1671">
        <v>150</v>
      </c>
      <c r="Q1671">
        <v>136</v>
      </c>
      <c r="S1671">
        <v>204</v>
      </c>
      <c r="T1671">
        <v>318</v>
      </c>
      <c r="U1671">
        <f>+SUM(Table1[[#This Row],[Latinos]:[Cemex]])</f>
        <v>1</v>
      </c>
      <c r="V1671" t="str">
        <f>+Table1[[#This Row],[id_destino]]&amp;" - "&amp;Table1[[#This Row],[id_origen]]</f>
        <v>144 - 47</v>
      </c>
    </row>
    <row r="1672" spans="1:22" hidden="1">
      <c r="A1672">
        <v>3932</v>
      </c>
      <c r="B1672">
        <v>260</v>
      </c>
      <c r="C1672">
        <v>230</v>
      </c>
      <c r="D1672">
        <v>7481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 t="s">
        <v>20</v>
      </c>
      <c r="L1672" s="1">
        <v>45860</v>
      </c>
      <c r="M1672">
        <v>148</v>
      </c>
      <c r="N1672">
        <v>47</v>
      </c>
      <c r="O1672">
        <v>586</v>
      </c>
      <c r="P1672">
        <v>586</v>
      </c>
      <c r="Q1672">
        <v>586</v>
      </c>
      <c r="S1672">
        <v>1701</v>
      </c>
      <c r="T1672">
        <v>1815.01</v>
      </c>
      <c r="U1672">
        <f>+SUM(Table1[[#This Row],[Latinos]:[Cemex]])</f>
        <v>1</v>
      </c>
      <c r="V1672" t="str">
        <f>+Table1[[#This Row],[id_destino]]&amp;" - "&amp;Table1[[#This Row],[id_origen]]</f>
        <v>148 - 47</v>
      </c>
    </row>
    <row r="1673" spans="1:22" hidden="1">
      <c r="A1673">
        <v>2991</v>
      </c>
      <c r="B1673">
        <v>441</v>
      </c>
      <c r="C1673">
        <v>6563</v>
      </c>
      <c r="D1673">
        <v>6861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 t="s">
        <v>20</v>
      </c>
      <c r="L1673" s="1">
        <v>44673</v>
      </c>
      <c r="M1673">
        <v>149</v>
      </c>
      <c r="N1673">
        <v>47</v>
      </c>
      <c r="O1673">
        <v>439</v>
      </c>
      <c r="P1673">
        <v>421</v>
      </c>
      <c r="Q1673">
        <v>439</v>
      </c>
      <c r="S1673">
        <v>964</v>
      </c>
      <c r="T1673">
        <v>1024</v>
      </c>
      <c r="U1673">
        <f>+SUM(Table1[[#This Row],[Latinos]:[Cemex]])</f>
        <v>1</v>
      </c>
      <c r="V1673" t="str">
        <f>+Table1[[#This Row],[id_destino]]&amp;" - "&amp;Table1[[#This Row],[id_origen]]</f>
        <v>149 - 47</v>
      </c>
    </row>
    <row r="1674" spans="1:22" hidden="1">
      <c r="A1674">
        <v>4604</v>
      </c>
      <c r="B1674">
        <v>51</v>
      </c>
      <c r="C1674">
        <v>6563</v>
      </c>
      <c r="D1674">
        <v>8077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 t="s">
        <v>20</v>
      </c>
      <c r="L1674" s="1">
        <v>45665</v>
      </c>
      <c r="M1674">
        <v>151</v>
      </c>
      <c r="N1674">
        <v>47</v>
      </c>
      <c r="O1674">
        <v>660</v>
      </c>
      <c r="P1674">
        <v>641</v>
      </c>
      <c r="Q1674">
        <v>660</v>
      </c>
      <c r="S1674">
        <v>1794</v>
      </c>
      <c r="T1674">
        <v>1946</v>
      </c>
      <c r="U1674">
        <f>+SUM(Table1[[#This Row],[Latinos]:[Cemex]])</f>
        <v>1</v>
      </c>
      <c r="V1674" t="str">
        <f>+Table1[[#This Row],[id_destino]]&amp;" - "&amp;Table1[[#This Row],[id_origen]]</f>
        <v>151 - 47</v>
      </c>
    </row>
    <row r="1675" spans="1:22" hidden="1">
      <c r="A1675">
        <v>2925</v>
      </c>
      <c r="B1675">
        <v>385</v>
      </c>
      <c r="C1675">
        <v>6694</v>
      </c>
      <c r="D1675">
        <v>6800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 t="s">
        <v>20</v>
      </c>
      <c r="L1675" s="1">
        <v>44618</v>
      </c>
      <c r="M1675">
        <v>153</v>
      </c>
      <c r="N1675">
        <v>47</v>
      </c>
      <c r="O1675">
        <v>409</v>
      </c>
      <c r="P1675">
        <v>334</v>
      </c>
      <c r="Q1675">
        <v>409</v>
      </c>
      <c r="S1675">
        <v>809</v>
      </c>
      <c r="T1675">
        <v>923</v>
      </c>
      <c r="U1675">
        <f>+SUM(Table1[[#This Row],[Latinos]:[Cemex]])</f>
        <v>1</v>
      </c>
      <c r="V1675" t="str">
        <f>+Table1[[#This Row],[id_destino]]&amp;" - "&amp;Table1[[#This Row],[id_origen]]</f>
        <v>153 - 47</v>
      </c>
    </row>
    <row r="1676" spans="1:22" hidden="1">
      <c r="A1676">
        <v>2751</v>
      </c>
      <c r="B1676">
        <v>3544</v>
      </c>
      <c r="C1676">
        <v>6283</v>
      </c>
      <c r="D1676">
        <v>2111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 t="s">
        <v>86</v>
      </c>
      <c r="L1676" s="1">
        <v>45168</v>
      </c>
      <c r="M1676">
        <v>155</v>
      </c>
      <c r="N1676">
        <v>47</v>
      </c>
      <c r="O1676">
        <v>1024</v>
      </c>
      <c r="P1676">
        <v>1013</v>
      </c>
      <c r="Q1676">
        <v>1024</v>
      </c>
      <c r="S1676">
        <v>4548</v>
      </c>
      <c r="T1676">
        <v>4662.01</v>
      </c>
      <c r="U1676">
        <f>+SUM(Table1[[#This Row],[Latinos]:[Cemex]])</f>
        <v>1</v>
      </c>
      <c r="V1676" t="str">
        <f>+Table1[[#This Row],[id_destino]]&amp;" - "&amp;Table1[[#This Row],[id_origen]]</f>
        <v>155 - 47</v>
      </c>
    </row>
    <row r="1677" spans="1:22" hidden="1">
      <c r="A1677">
        <v>1858</v>
      </c>
      <c r="B1677">
        <v>2976</v>
      </c>
      <c r="C1677">
        <v>230</v>
      </c>
      <c r="D1677">
        <v>5990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  <c r="K1677" t="s">
        <v>20</v>
      </c>
      <c r="L1677" s="1">
        <v>43670</v>
      </c>
      <c r="M1677">
        <v>159</v>
      </c>
      <c r="N1677">
        <v>47</v>
      </c>
      <c r="O1677">
        <v>1503</v>
      </c>
      <c r="P1677">
        <v>1498</v>
      </c>
      <c r="Q1677">
        <v>1503</v>
      </c>
      <c r="S1677">
        <v>3529</v>
      </c>
      <c r="T1677">
        <v>3675</v>
      </c>
      <c r="U1677">
        <f>+SUM(Table1[[#This Row],[Latinos]:[Cemex]])</f>
        <v>1</v>
      </c>
      <c r="V1677" t="str">
        <f>+Table1[[#This Row],[id_destino]]&amp;" - "&amp;Table1[[#This Row],[id_origen]]</f>
        <v>159 - 47</v>
      </c>
    </row>
    <row r="1678" spans="1:22" hidden="1">
      <c r="A1678">
        <v>3814</v>
      </c>
      <c r="B1678">
        <v>4235</v>
      </c>
      <c r="C1678">
        <v>7000</v>
      </c>
      <c r="D1678">
        <v>7401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0</v>
      </c>
      <c r="K1678" t="s">
        <v>20</v>
      </c>
      <c r="L1678" s="1">
        <v>45107</v>
      </c>
      <c r="M1678">
        <v>167</v>
      </c>
      <c r="N1678">
        <v>47</v>
      </c>
      <c r="O1678">
        <v>673</v>
      </c>
      <c r="P1678">
        <v>632</v>
      </c>
      <c r="Q1678">
        <v>673</v>
      </c>
      <c r="S1678">
        <v>2039</v>
      </c>
      <c r="T1678">
        <v>2039</v>
      </c>
      <c r="U1678">
        <f>+SUM(Table1[[#This Row],[Latinos]:[Cemex]])</f>
        <v>1</v>
      </c>
      <c r="V1678" t="str">
        <f>+Table1[[#This Row],[id_destino]]&amp;" - "&amp;Table1[[#This Row],[id_origen]]</f>
        <v>167 - 47</v>
      </c>
    </row>
    <row r="1679" spans="1:22" hidden="1">
      <c r="A1679">
        <v>4485</v>
      </c>
      <c r="B1679">
        <v>4695</v>
      </c>
      <c r="C1679">
        <v>7000</v>
      </c>
      <c r="D1679">
        <v>7908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 t="s">
        <v>20</v>
      </c>
      <c r="L1679" s="1">
        <v>45580</v>
      </c>
      <c r="M1679">
        <v>173</v>
      </c>
      <c r="N1679">
        <v>47</v>
      </c>
      <c r="O1679">
        <v>517</v>
      </c>
      <c r="P1679">
        <v>466</v>
      </c>
      <c r="Q1679">
        <v>517</v>
      </c>
      <c r="S1679">
        <v>1945</v>
      </c>
      <c r="T1679">
        <v>2059</v>
      </c>
      <c r="U1679">
        <f>+SUM(Table1[[#This Row],[Latinos]:[Cemex]])</f>
        <v>1</v>
      </c>
      <c r="V1679" t="str">
        <f>+Table1[[#This Row],[id_destino]]&amp;" - "&amp;Table1[[#This Row],[id_origen]]</f>
        <v>173 - 47</v>
      </c>
    </row>
    <row r="1680" spans="1:22" hidden="1">
      <c r="A1680">
        <v>4117</v>
      </c>
      <c r="B1680">
        <v>1597</v>
      </c>
      <c r="C1680">
        <v>6283</v>
      </c>
      <c r="D1680">
        <v>7627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0</v>
      </c>
      <c r="K1680" t="s">
        <v>20</v>
      </c>
      <c r="L1680" s="1">
        <v>45301</v>
      </c>
      <c r="M1680">
        <v>179</v>
      </c>
      <c r="N1680">
        <v>47</v>
      </c>
      <c r="O1680">
        <v>1815</v>
      </c>
      <c r="P1680">
        <v>1819</v>
      </c>
      <c r="Q1680">
        <v>1815</v>
      </c>
      <c r="S1680">
        <v>6272</v>
      </c>
      <c r="T1680">
        <v>6498</v>
      </c>
      <c r="U1680">
        <f>+SUM(Table1[[#This Row],[Latinos]:[Cemex]])</f>
        <v>1</v>
      </c>
      <c r="V1680" t="str">
        <f>+Table1[[#This Row],[id_destino]]&amp;" - "&amp;Table1[[#This Row],[id_origen]]</f>
        <v>179 - 47</v>
      </c>
    </row>
    <row r="1681" spans="1:22" hidden="1">
      <c r="A1681">
        <v>912</v>
      </c>
      <c r="B1681">
        <v>2507</v>
      </c>
      <c r="C1681">
        <v>230</v>
      </c>
      <c r="D1681">
        <v>5539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 t="s">
        <v>20</v>
      </c>
      <c r="L1681" s="1">
        <v>43211</v>
      </c>
      <c r="M1681">
        <v>180</v>
      </c>
      <c r="N1681">
        <v>47</v>
      </c>
      <c r="O1681">
        <v>1095</v>
      </c>
      <c r="P1681">
        <v>1104</v>
      </c>
      <c r="Q1681">
        <v>1095</v>
      </c>
      <c r="S1681">
        <v>1855</v>
      </c>
      <c r="T1681">
        <v>1969</v>
      </c>
      <c r="U1681">
        <f>+SUM(Table1[[#This Row],[Latinos]:[Cemex]])</f>
        <v>1</v>
      </c>
      <c r="V1681" t="str">
        <f>+Table1[[#This Row],[id_destino]]&amp;" - "&amp;Table1[[#This Row],[id_origen]]</f>
        <v>180 - 47</v>
      </c>
    </row>
    <row r="1682" spans="1:22" hidden="1">
      <c r="A1682">
        <v>3452</v>
      </c>
      <c r="B1682">
        <v>4001</v>
      </c>
      <c r="C1682">
        <v>7000</v>
      </c>
      <c r="D1682">
        <v>5539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 t="s">
        <v>20</v>
      </c>
      <c r="L1682" s="1">
        <v>44900</v>
      </c>
      <c r="M1682">
        <v>180</v>
      </c>
      <c r="N1682">
        <v>47</v>
      </c>
      <c r="O1682">
        <v>1095</v>
      </c>
      <c r="P1682">
        <v>1095</v>
      </c>
      <c r="Q1682">
        <v>1095</v>
      </c>
      <c r="S1682">
        <v>906</v>
      </c>
      <c r="T1682">
        <v>966</v>
      </c>
      <c r="U1682">
        <f>+SUM(Table1[[#This Row],[Latinos]:[Cemex]])</f>
        <v>1</v>
      </c>
      <c r="V1682" t="str">
        <f>+Table1[[#This Row],[id_destino]]&amp;" - "&amp;Table1[[#This Row],[id_origen]]</f>
        <v>180 - 47</v>
      </c>
    </row>
    <row r="1683" spans="1:22" hidden="1">
      <c r="A1683">
        <v>4676</v>
      </c>
      <c r="B1683">
        <v>4837</v>
      </c>
      <c r="C1683">
        <v>7000</v>
      </c>
      <c r="D1683">
        <v>8151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 t="s">
        <v>20</v>
      </c>
      <c r="L1683" s="1">
        <v>45720</v>
      </c>
      <c r="M1683">
        <v>181</v>
      </c>
      <c r="N1683">
        <v>47</v>
      </c>
      <c r="O1683">
        <v>86</v>
      </c>
      <c r="P1683">
        <v>150</v>
      </c>
      <c r="Q1683">
        <v>86</v>
      </c>
      <c r="S1683">
        <v>572</v>
      </c>
      <c r="T1683">
        <v>572</v>
      </c>
      <c r="U1683">
        <f>+SUM(Table1[[#This Row],[Latinos]:[Cemex]])</f>
        <v>1</v>
      </c>
      <c r="V1683" t="str">
        <f>+Table1[[#This Row],[id_destino]]&amp;" - "&amp;Table1[[#This Row],[id_origen]]</f>
        <v>181 - 47</v>
      </c>
    </row>
    <row r="1684" spans="1:22" hidden="1">
      <c r="A1684">
        <v>1614</v>
      </c>
      <c r="B1684">
        <v>2840</v>
      </c>
      <c r="C1684">
        <v>230</v>
      </c>
      <c r="D1684">
        <v>5841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  <c r="K1684" t="s">
        <v>20</v>
      </c>
      <c r="L1684" s="1">
        <v>43531</v>
      </c>
      <c r="M1684">
        <v>184</v>
      </c>
      <c r="N1684">
        <v>47</v>
      </c>
      <c r="O1684">
        <v>69</v>
      </c>
      <c r="P1684">
        <v>150</v>
      </c>
      <c r="Q1684">
        <v>69</v>
      </c>
      <c r="S1684">
        <v>42</v>
      </c>
      <c r="T1684">
        <v>91</v>
      </c>
      <c r="U1684">
        <f>+SUM(Table1[[#This Row],[Latinos]:[Cemex]])</f>
        <v>1</v>
      </c>
      <c r="V1684" t="str">
        <f>+Table1[[#This Row],[id_destino]]&amp;" - "&amp;Table1[[#This Row],[id_origen]]</f>
        <v>184 - 47</v>
      </c>
    </row>
    <row r="1685" spans="1:22" hidden="1">
      <c r="A1685">
        <v>4648</v>
      </c>
      <c r="B1685">
        <v>2840</v>
      </c>
      <c r="C1685">
        <v>8116</v>
      </c>
      <c r="D1685">
        <v>8117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  <c r="K1685" t="s">
        <v>20</v>
      </c>
      <c r="L1685" s="1">
        <v>45700</v>
      </c>
      <c r="M1685">
        <v>184</v>
      </c>
      <c r="N1685">
        <v>47</v>
      </c>
      <c r="O1685">
        <v>72</v>
      </c>
      <c r="P1685">
        <v>72</v>
      </c>
      <c r="Q1685">
        <v>72</v>
      </c>
      <c r="S1685">
        <v>501</v>
      </c>
      <c r="T1685">
        <v>501</v>
      </c>
      <c r="U1685">
        <f>+SUM(Table1[[#This Row],[Latinos]:[Cemex]])</f>
        <v>1</v>
      </c>
      <c r="V1685" t="str">
        <f>+Table1[[#This Row],[id_destino]]&amp;" - "&amp;Table1[[#This Row],[id_origen]]</f>
        <v>184 - 47</v>
      </c>
    </row>
    <row r="1686" spans="1:22" hidden="1">
      <c r="A1686">
        <v>2304</v>
      </c>
      <c r="B1686">
        <v>3259</v>
      </c>
      <c r="C1686">
        <v>2413</v>
      </c>
      <c r="D1686">
        <v>5067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 t="s">
        <v>20</v>
      </c>
      <c r="L1686" s="1">
        <v>43917</v>
      </c>
      <c r="M1686">
        <v>188</v>
      </c>
      <c r="N1686">
        <v>47</v>
      </c>
      <c r="O1686">
        <v>50</v>
      </c>
      <c r="P1686">
        <v>150</v>
      </c>
      <c r="Q1686">
        <v>50</v>
      </c>
      <c r="S1686">
        <v>0</v>
      </c>
      <c r="T1686">
        <v>0</v>
      </c>
      <c r="U1686">
        <f>+SUM(Table1[[#This Row],[Latinos]:[Cemex]])</f>
        <v>1</v>
      </c>
      <c r="V1686" t="str">
        <f>+Table1[[#This Row],[id_destino]]&amp;" - "&amp;Table1[[#This Row],[id_origen]]</f>
        <v>188 - 47</v>
      </c>
    </row>
    <row r="1687" spans="1:22" hidden="1">
      <c r="A1687">
        <v>2851</v>
      </c>
      <c r="B1687">
        <v>3608</v>
      </c>
      <c r="C1687">
        <v>6283</v>
      </c>
      <c r="D1687">
        <v>3032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0</v>
      </c>
      <c r="K1687" t="s">
        <v>20</v>
      </c>
      <c r="L1687" s="1">
        <v>44536</v>
      </c>
      <c r="M1687">
        <v>189</v>
      </c>
      <c r="N1687">
        <v>47</v>
      </c>
      <c r="O1687">
        <v>1208</v>
      </c>
      <c r="P1687">
        <v>1134</v>
      </c>
      <c r="Q1687">
        <v>1208</v>
      </c>
      <c r="S1687">
        <v>4924</v>
      </c>
      <c r="T1687">
        <v>5038</v>
      </c>
      <c r="U1687">
        <f>+SUM(Table1[[#This Row],[Latinos]:[Cemex]])</f>
        <v>1</v>
      </c>
      <c r="V1687" t="str">
        <f>+Table1[[#This Row],[id_destino]]&amp;" - "&amp;Table1[[#This Row],[id_origen]]</f>
        <v>189 - 47</v>
      </c>
    </row>
    <row r="1688" spans="1:22" hidden="1">
      <c r="A1688">
        <v>3288</v>
      </c>
      <c r="B1688">
        <v>3608</v>
      </c>
      <c r="C1688">
        <v>6283</v>
      </c>
      <c r="D1688">
        <v>1302</v>
      </c>
      <c r="E1688">
        <v>0</v>
      </c>
      <c r="F1688">
        <v>1</v>
      </c>
      <c r="G1688">
        <v>0</v>
      </c>
      <c r="H1688">
        <v>0</v>
      </c>
      <c r="I1688">
        <v>1</v>
      </c>
      <c r="J1688">
        <v>0</v>
      </c>
      <c r="K1688" t="s">
        <v>94</v>
      </c>
      <c r="L1688" s="1">
        <v>44806</v>
      </c>
      <c r="M1688">
        <v>189</v>
      </c>
      <c r="N1688">
        <v>47</v>
      </c>
      <c r="O1688">
        <v>1529</v>
      </c>
      <c r="P1688">
        <v>1522</v>
      </c>
      <c r="Q1688">
        <v>1529</v>
      </c>
      <c r="S1688">
        <v>3633</v>
      </c>
      <c r="T1688">
        <v>3767</v>
      </c>
      <c r="U1688">
        <f>+SUM(Table1[[#This Row],[Latinos]:[Cemex]])</f>
        <v>2</v>
      </c>
      <c r="V1688" t="str">
        <f>+Table1[[#This Row],[id_destino]]&amp;" - "&amp;Table1[[#This Row],[id_origen]]</f>
        <v>189 - 47</v>
      </c>
    </row>
    <row r="1689" spans="1:22" hidden="1">
      <c r="A1689">
        <v>4457</v>
      </c>
      <c r="B1689">
        <v>4672</v>
      </c>
      <c r="C1689">
        <v>7000</v>
      </c>
      <c r="D1689">
        <v>2763</v>
      </c>
      <c r="E1689">
        <v>0</v>
      </c>
      <c r="F1689">
        <v>1</v>
      </c>
      <c r="G1689">
        <v>0</v>
      </c>
      <c r="H1689">
        <v>0</v>
      </c>
      <c r="I1689">
        <v>0</v>
      </c>
      <c r="J1689">
        <v>0</v>
      </c>
      <c r="K1689" t="s">
        <v>20</v>
      </c>
      <c r="L1689" s="1">
        <v>45555</v>
      </c>
      <c r="M1689">
        <v>191</v>
      </c>
      <c r="N1689">
        <v>47</v>
      </c>
      <c r="O1689">
        <v>2660</v>
      </c>
      <c r="P1689">
        <v>2650</v>
      </c>
      <c r="Q1689">
        <v>2660</v>
      </c>
      <c r="S1689">
        <v>7476</v>
      </c>
      <c r="T1689">
        <v>7714</v>
      </c>
      <c r="U1689">
        <f>+SUM(Table1[[#This Row],[Latinos]:[Cemex]])</f>
        <v>1</v>
      </c>
      <c r="V1689" t="str">
        <f>+Table1[[#This Row],[id_destino]]&amp;" - "&amp;Table1[[#This Row],[id_origen]]</f>
        <v>191 - 47</v>
      </c>
    </row>
    <row r="1690" spans="1:22" hidden="1">
      <c r="A1690">
        <v>3936</v>
      </c>
      <c r="B1690">
        <v>4314</v>
      </c>
      <c r="C1690">
        <v>230</v>
      </c>
      <c r="D1690">
        <v>7485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0</v>
      </c>
      <c r="K1690" t="s">
        <v>20</v>
      </c>
      <c r="L1690" s="1">
        <v>45196</v>
      </c>
      <c r="M1690">
        <v>206</v>
      </c>
      <c r="N1690">
        <v>47</v>
      </c>
      <c r="O1690">
        <v>601</v>
      </c>
      <c r="P1690">
        <v>510</v>
      </c>
      <c r="Q1690">
        <v>601</v>
      </c>
      <c r="S1690">
        <v>1391</v>
      </c>
      <c r="T1690">
        <v>1391</v>
      </c>
      <c r="U1690">
        <f>+SUM(Table1[[#This Row],[Latinos]:[Cemex]])</f>
        <v>1</v>
      </c>
      <c r="V1690" t="str">
        <f>+Table1[[#This Row],[id_destino]]&amp;" - "&amp;Table1[[#This Row],[id_origen]]</f>
        <v>206 - 47</v>
      </c>
    </row>
    <row r="1691" spans="1:22" hidden="1">
      <c r="A1691">
        <v>811</v>
      </c>
      <c r="B1691">
        <v>1157</v>
      </c>
      <c r="C1691">
        <v>2413</v>
      </c>
      <c r="D1691">
        <v>1347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  <c r="K1691" t="s">
        <v>20</v>
      </c>
      <c r="L1691" s="1">
        <v>43172</v>
      </c>
      <c r="M1691">
        <v>216</v>
      </c>
      <c r="N1691">
        <v>47</v>
      </c>
      <c r="O1691">
        <v>291</v>
      </c>
      <c r="P1691">
        <v>277</v>
      </c>
      <c r="Q1691">
        <v>291</v>
      </c>
      <c r="S1691">
        <v>711</v>
      </c>
      <c r="T1691">
        <v>825</v>
      </c>
      <c r="U1691">
        <f>+SUM(Table1[[#This Row],[Latinos]:[Cemex]])</f>
        <v>1</v>
      </c>
      <c r="V1691" t="str">
        <f>+Table1[[#This Row],[id_destino]]&amp;" - "&amp;Table1[[#This Row],[id_origen]]</f>
        <v>216 - 47</v>
      </c>
    </row>
    <row r="1692" spans="1:22" hidden="1">
      <c r="A1692">
        <v>2555</v>
      </c>
      <c r="B1692">
        <v>3414</v>
      </c>
      <c r="C1692">
        <v>230</v>
      </c>
      <c r="D1692">
        <v>6478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 t="s">
        <v>20</v>
      </c>
      <c r="L1692" s="1">
        <v>44176</v>
      </c>
      <c r="M1692">
        <v>222</v>
      </c>
      <c r="N1692">
        <v>47</v>
      </c>
      <c r="O1692">
        <v>146</v>
      </c>
      <c r="P1692">
        <v>138</v>
      </c>
      <c r="Q1692">
        <v>146</v>
      </c>
      <c r="S1692">
        <v>257</v>
      </c>
      <c r="T1692">
        <v>317</v>
      </c>
      <c r="U1692">
        <f>+SUM(Table1[[#This Row],[Latinos]:[Cemex]])</f>
        <v>1</v>
      </c>
      <c r="V1692" t="str">
        <f>+Table1[[#This Row],[id_destino]]&amp;" - "&amp;Table1[[#This Row],[id_origen]]</f>
        <v>222 - 47</v>
      </c>
    </row>
    <row r="1693" spans="1:22" hidden="1">
      <c r="A1693">
        <v>2323</v>
      </c>
      <c r="B1693">
        <v>1640</v>
      </c>
      <c r="C1693">
        <v>230</v>
      </c>
      <c r="D1693">
        <v>135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  <c r="K1693" t="s">
        <v>20</v>
      </c>
      <c r="L1693" s="1">
        <v>43950</v>
      </c>
      <c r="M1693">
        <v>227</v>
      </c>
      <c r="N1693">
        <v>47</v>
      </c>
      <c r="O1693">
        <v>110</v>
      </c>
      <c r="P1693">
        <v>150</v>
      </c>
      <c r="Q1693">
        <v>110</v>
      </c>
      <c r="S1693">
        <v>134</v>
      </c>
      <c r="T1693">
        <v>183</v>
      </c>
      <c r="U1693">
        <f>+SUM(Table1[[#This Row],[Latinos]:[Cemex]])</f>
        <v>1</v>
      </c>
      <c r="V1693" t="str">
        <f>+Table1[[#This Row],[id_destino]]&amp;" - "&amp;Table1[[#This Row],[id_origen]]</f>
        <v>227 - 47</v>
      </c>
    </row>
    <row r="1694" spans="1:22" hidden="1">
      <c r="A1694">
        <v>2999</v>
      </c>
      <c r="B1694">
        <v>3713</v>
      </c>
      <c r="C1694">
        <v>6563</v>
      </c>
      <c r="D1694">
        <v>6864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0</v>
      </c>
      <c r="K1694" t="s">
        <v>20</v>
      </c>
      <c r="L1694" s="1">
        <v>45611</v>
      </c>
      <c r="M1694">
        <v>228</v>
      </c>
      <c r="N1694">
        <v>47</v>
      </c>
      <c r="O1694">
        <v>92</v>
      </c>
      <c r="P1694">
        <v>150</v>
      </c>
      <c r="Q1694">
        <v>92</v>
      </c>
      <c r="S1694">
        <v>573.01</v>
      </c>
      <c r="T1694">
        <v>573.01</v>
      </c>
      <c r="U1694">
        <f>+SUM(Table1[[#This Row],[Latinos]:[Cemex]])</f>
        <v>1</v>
      </c>
      <c r="V1694" t="str">
        <f>+Table1[[#This Row],[id_destino]]&amp;" - "&amp;Table1[[#This Row],[id_origen]]</f>
        <v>228 - 47</v>
      </c>
    </row>
    <row r="1695" spans="1:22" hidden="1">
      <c r="A1695">
        <v>1560</v>
      </c>
      <c r="B1695">
        <v>2810</v>
      </c>
      <c r="C1695">
        <v>3475</v>
      </c>
      <c r="D1695">
        <v>5820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0</v>
      </c>
      <c r="K1695" t="s">
        <v>20</v>
      </c>
      <c r="L1695" s="1">
        <v>43507</v>
      </c>
      <c r="M1695">
        <v>239</v>
      </c>
      <c r="N1695">
        <v>47</v>
      </c>
      <c r="O1695">
        <v>393</v>
      </c>
      <c r="P1695">
        <v>390</v>
      </c>
      <c r="Q1695">
        <v>393</v>
      </c>
      <c r="S1695">
        <v>388</v>
      </c>
      <c r="T1695">
        <v>440</v>
      </c>
      <c r="U1695">
        <f>+SUM(Table1[[#This Row],[Latinos]:[Cemex]])</f>
        <v>1</v>
      </c>
      <c r="V1695" t="str">
        <f>+Table1[[#This Row],[id_destino]]&amp;" - "&amp;Table1[[#This Row],[id_origen]]</f>
        <v>239 - 47</v>
      </c>
    </row>
    <row r="1696" spans="1:22" hidden="1">
      <c r="A1696">
        <v>2084</v>
      </c>
      <c r="B1696">
        <v>2119</v>
      </c>
      <c r="C1696">
        <v>230</v>
      </c>
      <c r="D1696">
        <v>6177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 t="s">
        <v>20</v>
      </c>
      <c r="L1696" s="1">
        <v>43804</v>
      </c>
      <c r="M1696">
        <v>254</v>
      </c>
      <c r="N1696">
        <v>47</v>
      </c>
      <c r="O1696">
        <v>80</v>
      </c>
      <c r="P1696">
        <v>100</v>
      </c>
      <c r="Q1696">
        <v>80</v>
      </c>
      <c r="S1696">
        <v>163</v>
      </c>
      <c r="T1696">
        <v>163</v>
      </c>
      <c r="U1696">
        <f>+SUM(Table1[[#This Row],[Latinos]:[Cemex]])</f>
        <v>1</v>
      </c>
      <c r="V1696" t="str">
        <f>+Table1[[#This Row],[id_destino]]&amp;" - "&amp;Table1[[#This Row],[id_origen]]</f>
        <v>254 - 47</v>
      </c>
    </row>
    <row r="1697" spans="1:22" hidden="1">
      <c r="A1697">
        <v>4699</v>
      </c>
      <c r="B1697">
        <v>4853</v>
      </c>
      <c r="C1697">
        <v>7053</v>
      </c>
      <c r="D1697">
        <v>8173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 t="s">
        <v>20</v>
      </c>
      <c r="L1697" s="1">
        <v>45737</v>
      </c>
      <c r="M1697">
        <v>255</v>
      </c>
      <c r="N1697">
        <v>47</v>
      </c>
      <c r="O1697">
        <v>68</v>
      </c>
      <c r="P1697">
        <v>150</v>
      </c>
      <c r="Q1697">
        <v>68</v>
      </c>
      <c r="S1697">
        <v>543</v>
      </c>
      <c r="T1697">
        <v>543</v>
      </c>
      <c r="U1697">
        <f>+SUM(Table1[[#This Row],[Latinos]:[Cemex]])</f>
        <v>1</v>
      </c>
      <c r="V1697" t="str">
        <f>+Table1[[#This Row],[id_destino]]&amp;" - "&amp;Table1[[#This Row],[id_origen]]</f>
        <v>255 - 47</v>
      </c>
    </row>
    <row r="1698" spans="1:22" hidden="1">
      <c r="A1698">
        <v>2500</v>
      </c>
      <c r="B1698">
        <v>3382</v>
      </c>
      <c r="C1698">
        <v>6283</v>
      </c>
      <c r="D1698">
        <v>6444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 t="s">
        <v>20</v>
      </c>
      <c r="L1698" s="1">
        <v>44133</v>
      </c>
      <c r="M1698">
        <v>259</v>
      </c>
      <c r="N1698">
        <v>47</v>
      </c>
      <c r="O1698">
        <v>26</v>
      </c>
      <c r="P1698">
        <v>150</v>
      </c>
      <c r="Q1698">
        <v>26</v>
      </c>
      <c r="S1698">
        <v>0</v>
      </c>
      <c r="T1698">
        <v>0</v>
      </c>
      <c r="U1698">
        <f>+SUM(Table1[[#This Row],[Latinos]:[Cemex]])</f>
        <v>1</v>
      </c>
      <c r="V1698" t="str">
        <f>+Table1[[#This Row],[id_destino]]&amp;" - "&amp;Table1[[#This Row],[id_origen]]</f>
        <v>259 - 47</v>
      </c>
    </row>
    <row r="1699" spans="1:22" hidden="1">
      <c r="A1699">
        <v>2684</v>
      </c>
      <c r="B1699">
        <v>518</v>
      </c>
      <c r="C1699">
        <v>230</v>
      </c>
      <c r="D1699">
        <v>6588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 t="s">
        <v>20</v>
      </c>
      <c r="L1699" s="1">
        <v>44862</v>
      </c>
      <c r="M1699">
        <v>260</v>
      </c>
      <c r="N1699">
        <v>47</v>
      </c>
      <c r="O1699">
        <v>1358</v>
      </c>
      <c r="P1699">
        <v>1346</v>
      </c>
      <c r="Q1699">
        <v>1358</v>
      </c>
      <c r="S1699">
        <v>5453</v>
      </c>
      <c r="T1699">
        <v>5665</v>
      </c>
      <c r="U1699">
        <f>+SUM(Table1[[#This Row],[Latinos]:[Cemex]])</f>
        <v>1</v>
      </c>
      <c r="V1699" t="str">
        <f>+Table1[[#This Row],[id_destino]]&amp;" - "&amp;Table1[[#This Row],[id_origen]]</f>
        <v>260 - 47</v>
      </c>
    </row>
    <row r="1700" spans="1:22" hidden="1">
      <c r="A1700">
        <v>1183</v>
      </c>
      <c r="B1700">
        <v>2618</v>
      </c>
      <c r="C1700">
        <v>230</v>
      </c>
      <c r="D1700">
        <v>5660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0</v>
      </c>
      <c r="K1700" t="s">
        <v>20</v>
      </c>
      <c r="L1700" s="1">
        <v>43333</v>
      </c>
      <c r="M1700">
        <v>263</v>
      </c>
      <c r="N1700">
        <v>47</v>
      </c>
      <c r="O1700">
        <v>2398</v>
      </c>
      <c r="P1700">
        <v>2398</v>
      </c>
      <c r="Q1700">
        <v>2398</v>
      </c>
      <c r="S1700">
        <v>2063</v>
      </c>
      <c r="T1700">
        <v>2539</v>
      </c>
      <c r="U1700">
        <f>+SUM(Table1[[#This Row],[Latinos]:[Cemex]])</f>
        <v>1</v>
      </c>
      <c r="V1700" t="str">
        <f>+Table1[[#This Row],[id_destino]]&amp;" - "&amp;Table1[[#This Row],[id_origen]]</f>
        <v>263 - 47</v>
      </c>
    </row>
    <row r="1701" spans="1:22" hidden="1">
      <c r="A1701">
        <v>2176</v>
      </c>
      <c r="B1701">
        <v>3186</v>
      </c>
      <c r="C1701">
        <v>230</v>
      </c>
      <c r="D1701">
        <v>6236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 t="s">
        <v>20</v>
      </c>
      <c r="L1701" s="1">
        <v>43840</v>
      </c>
      <c r="M1701">
        <v>273</v>
      </c>
      <c r="N1701">
        <v>47</v>
      </c>
      <c r="O1701">
        <v>102</v>
      </c>
      <c r="P1701">
        <v>150</v>
      </c>
      <c r="Q1701">
        <v>102</v>
      </c>
      <c r="S1701">
        <v>366</v>
      </c>
      <c r="T1701">
        <v>366</v>
      </c>
      <c r="U1701">
        <f>+SUM(Table1[[#This Row],[Latinos]:[Cemex]])</f>
        <v>1</v>
      </c>
      <c r="V1701" t="str">
        <f>+Table1[[#This Row],[id_destino]]&amp;" - "&amp;Table1[[#This Row],[id_origen]]</f>
        <v>273 - 47</v>
      </c>
    </row>
    <row r="1702" spans="1:22" hidden="1">
      <c r="A1702">
        <v>4279</v>
      </c>
      <c r="B1702">
        <v>4541</v>
      </c>
      <c r="C1702">
        <v>6283</v>
      </c>
      <c r="D1702">
        <v>6372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 t="s">
        <v>20</v>
      </c>
      <c r="L1702" s="1">
        <v>45423</v>
      </c>
      <c r="M1702">
        <v>280</v>
      </c>
      <c r="N1702">
        <v>47</v>
      </c>
      <c r="O1702">
        <v>115</v>
      </c>
      <c r="P1702">
        <v>150</v>
      </c>
      <c r="Q1702">
        <v>115</v>
      </c>
      <c r="S1702">
        <v>454</v>
      </c>
      <c r="T1702">
        <v>568</v>
      </c>
      <c r="U1702">
        <f>+SUM(Table1[[#This Row],[Latinos]:[Cemex]])</f>
        <v>1</v>
      </c>
      <c r="V1702" t="str">
        <f>+Table1[[#This Row],[id_destino]]&amp;" - "&amp;Table1[[#This Row],[id_origen]]</f>
        <v>280 - 47</v>
      </c>
    </row>
    <row r="1703" spans="1:22" hidden="1">
      <c r="A1703">
        <v>1399</v>
      </c>
      <c r="B1703">
        <v>2722</v>
      </c>
      <c r="C1703">
        <v>230</v>
      </c>
      <c r="D1703">
        <v>5749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 t="s">
        <v>20</v>
      </c>
      <c r="L1703" s="1">
        <v>43418</v>
      </c>
      <c r="M1703">
        <v>298</v>
      </c>
      <c r="N1703">
        <v>47</v>
      </c>
      <c r="O1703">
        <v>806</v>
      </c>
      <c r="P1703">
        <v>806</v>
      </c>
      <c r="Q1703">
        <v>806</v>
      </c>
      <c r="S1703">
        <v>1794</v>
      </c>
      <c r="T1703">
        <v>1794</v>
      </c>
      <c r="U1703">
        <f>+SUM(Table1[[#This Row],[Latinos]:[Cemex]])</f>
        <v>1</v>
      </c>
      <c r="V1703" t="str">
        <f>+Table1[[#This Row],[id_destino]]&amp;" - "&amp;Table1[[#This Row],[id_origen]]</f>
        <v>298 - 47</v>
      </c>
    </row>
    <row r="1704" spans="1:22" hidden="1">
      <c r="A1704">
        <v>1502</v>
      </c>
      <c r="B1704">
        <v>2722</v>
      </c>
      <c r="C1704">
        <v>230</v>
      </c>
      <c r="D1704">
        <v>5749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0</v>
      </c>
      <c r="K1704" t="s">
        <v>20</v>
      </c>
      <c r="L1704" s="1">
        <v>43474</v>
      </c>
      <c r="M1704">
        <v>298</v>
      </c>
      <c r="N1704">
        <v>47</v>
      </c>
      <c r="O1704">
        <v>806</v>
      </c>
      <c r="P1704">
        <v>806</v>
      </c>
      <c r="Q1704">
        <v>806</v>
      </c>
      <c r="S1704">
        <v>1784</v>
      </c>
      <c r="T1704">
        <v>1784</v>
      </c>
      <c r="U1704">
        <f>+SUM(Table1[[#This Row],[Latinos]:[Cemex]])</f>
        <v>1</v>
      </c>
      <c r="V1704" t="str">
        <f>+Table1[[#This Row],[id_destino]]&amp;" - "&amp;Table1[[#This Row],[id_origen]]</f>
        <v>298 - 47</v>
      </c>
    </row>
    <row r="1705" spans="1:22" hidden="1">
      <c r="A1705">
        <v>4515</v>
      </c>
      <c r="B1705">
        <v>4719</v>
      </c>
      <c r="C1705">
        <v>230</v>
      </c>
      <c r="D1705">
        <v>7989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 t="s">
        <v>20</v>
      </c>
      <c r="L1705" s="1">
        <v>45597</v>
      </c>
      <c r="M1705">
        <v>333</v>
      </c>
      <c r="N1705">
        <v>47</v>
      </c>
      <c r="O1705">
        <v>529</v>
      </c>
      <c r="P1705">
        <v>500</v>
      </c>
      <c r="Q1705">
        <v>529</v>
      </c>
      <c r="S1705">
        <v>2301</v>
      </c>
      <c r="T1705">
        <v>2394</v>
      </c>
      <c r="U1705">
        <f>+SUM(Table1[[#This Row],[Latinos]:[Cemex]])</f>
        <v>1</v>
      </c>
      <c r="V1705" t="str">
        <f>+Table1[[#This Row],[id_destino]]&amp;" - "&amp;Table1[[#This Row],[id_origen]]</f>
        <v>333 - 47</v>
      </c>
    </row>
    <row r="1706" spans="1:22" hidden="1">
      <c r="A1706">
        <v>1170</v>
      </c>
      <c r="B1706">
        <v>2546</v>
      </c>
      <c r="C1706">
        <v>230</v>
      </c>
      <c r="D1706">
        <v>2467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 t="s">
        <v>20</v>
      </c>
      <c r="L1706" s="1">
        <v>43953</v>
      </c>
      <c r="M1706">
        <v>345</v>
      </c>
      <c r="N1706">
        <v>47</v>
      </c>
      <c r="O1706">
        <v>85</v>
      </c>
      <c r="P1706">
        <v>150</v>
      </c>
      <c r="Q1706">
        <v>85</v>
      </c>
      <c r="S1706">
        <v>176</v>
      </c>
      <c r="T1706">
        <v>176</v>
      </c>
      <c r="U1706">
        <f>+SUM(Table1[[#This Row],[Latinos]:[Cemex]])</f>
        <v>1</v>
      </c>
      <c r="V1706" t="str">
        <f>+Table1[[#This Row],[id_destino]]&amp;" - "&amp;Table1[[#This Row],[id_origen]]</f>
        <v>345 - 47</v>
      </c>
    </row>
    <row r="1707" spans="1:22" hidden="1">
      <c r="A1707">
        <v>1171</v>
      </c>
      <c r="B1707">
        <v>2546</v>
      </c>
      <c r="C1707">
        <v>230</v>
      </c>
      <c r="D1707">
        <v>2467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0</v>
      </c>
      <c r="K1707" t="s">
        <v>61</v>
      </c>
      <c r="L1707" s="1">
        <v>43329</v>
      </c>
      <c r="M1707">
        <v>345</v>
      </c>
      <c r="N1707">
        <v>47</v>
      </c>
      <c r="O1707">
        <v>139</v>
      </c>
      <c r="P1707">
        <v>150</v>
      </c>
      <c r="Q1707">
        <v>139</v>
      </c>
      <c r="S1707">
        <v>543</v>
      </c>
      <c r="T1707">
        <v>543</v>
      </c>
      <c r="U1707">
        <f>+SUM(Table1[[#This Row],[Latinos]:[Cemex]])</f>
        <v>2</v>
      </c>
      <c r="V1707" t="str">
        <f>+Table1[[#This Row],[id_destino]]&amp;" - "&amp;Table1[[#This Row],[id_origen]]</f>
        <v>345 - 47</v>
      </c>
    </row>
    <row r="1708" spans="1:22" hidden="1">
      <c r="A1708">
        <v>4574</v>
      </c>
      <c r="B1708">
        <v>4768</v>
      </c>
      <c r="C1708">
        <v>8043</v>
      </c>
      <c r="D1708">
        <v>4145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  <c r="K1708" t="s">
        <v>20</v>
      </c>
      <c r="L1708" s="1">
        <v>45709</v>
      </c>
      <c r="M1708">
        <v>353</v>
      </c>
      <c r="N1708">
        <v>47</v>
      </c>
      <c r="O1708">
        <v>140</v>
      </c>
      <c r="P1708">
        <v>140</v>
      </c>
      <c r="Q1708">
        <v>140</v>
      </c>
      <c r="S1708">
        <v>132</v>
      </c>
      <c r="T1708">
        <v>192</v>
      </c>
      <c r="U1708">
        <f>+SUM(Table1[[#This Row],[Latinos]:[Cemex]])</f>
        <v>1</v>
      </c>
      <c r="V1708" t="str">
        <f>+Table1[[#This Row],[id_destino]]&amp;" - "&amp;Table1[[#This Row],[id_origen]]</f>
        <v>353 - 47</v>
      </c>
    </row>
    <row r="1709" spans="1:22" hidden="1">
      <c r="A1709">
        <v>2876</v>
      </c>
      <c r="B1709">
        <v>3628</v>
      </c>
      <c r="C1709">
        <v>6283</v>
      </c>
      <c r="D1709">
        <v>6765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0</v>
      </c>
      <c r="K1709" t="s">
        <v>20</v>
      </c>
      <c r="L1709" s="1">
        <v>44579</v>
      </c>
      <c r="M1709">
        <v>362</v>
      </c>
      <c r="N1709">
        <v>47</v>
      </c>
      <c r="O1709">
        <v>192</v>
      </c>
      <c r="P1709">
        <v>235</v>
      </c>
      <c r="Q1709">
        <v>192</v>
      </c>
      <c r="S1709">
        <v>454</v>
      </c>
      <c r="T1709">
        <v>568</v>
      </c>
      <c r="U1709">
        <f>+SUM(Table1[[#This Row],[Latinos]:[Cemex]])</f>
        <v>1</v>
      </c>
      <c r="V1709" t="str">
        <f>+Table1[[#This Row],[id_destino]]&amp;" - "&amp;Table1[[#This Row],[id_origen]]</f>
        <v>362 - 47</v>
      </c>
    </row>
    <row r="1710" spans="1:22" hidden="1">
      <c r="A1710">
        <v>2641</v>
      </c>
      <c r="B1710">
        <v>3471</v>
      </c>
      <c r="C1710">
        <v>230</v>
      </c>
      <c r="D1710">
        <v>6549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 t="s">
        <v>20</v>
      </c>
      <c r="L1710" s="1">
        <v>44277</v>
      </c>
      <c r="M1710">
        <v>370</v>
      </c>
      <c r="N1710">
        <v>47</v>
      </c>
      <c r="O1710">
        <v>792</v>
      </c>
      <c r="P1710">
        <v>796</v>
      </c>
      <c r="Q1710">
        <v>792</v>
      </c>
      <c r="S1710">
        <v>1892</v>
      </c>
      <c r="T1710">
        <v>1952</v>
      </c>
      <c r="U1710">
        <f>+SUM(Table1[[#This Row],[Latinos]:[Cemex]])</f>
        <v>1</v>
      </c>
      <c r="V1710" t="str">
        <f>+Table1[[#This Row],[id_destino]]&amp;" - "&amp;Table1[[#This Row],[id_origen]]</f>
        <v>370 - 47</v>
      </c>
    </row>
    <row r="1711" spans="1:22" hidden="1">
      <c r="A1711">
        <v>3561</v>
      </c>
      <c r="B1711">
        <v>4072</v>
      </c>
      <c r="C1711">
        <v>7000</v>
      </c>
      <c r="D1711">
        <v>1841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 t="s">
        <v>20</v>
      </c>
      <c r="L1711" s="1">
        <v>44958</v>
      </c>
      <c r="M1711">
        <v>380</v>
      </c>
      <c r="N1711">
        <v>47</v>
      </c>
      <c r="O1711">
        <v>2115</v>
      </c>
      <c r="P1711">
        <v>2092</v>
      </c>
      <c r="Q1711">
        <v>2115</v>
      </c>
      <c r="S1711">
        <v>4620</v>
      </c>
      <c r="T1711">
        <v>4766</v>
      </c>
      <c r="U1711">
        <f>+SUM(Table1[[#This Row],[Latinos]:[Cemex]])</f>
        <v>1</v>
      </c>
      <c r="V1711" t="str">
        <f>+Table1[[#This Row],[id_destino]]&amp;" - "&amp;Table1[[#This Row],[id_origen]]</f>
        <v>380 - 47</v>
      </c>
    </row>
    <row r="1712" spans="1:22" hidden="1">
      <c r="A1712">
        <v>1034</v>
      </c>
      <c r="B1712">
        <v>705</v>
      </c>
      <c r="C1712">
        <v>230</v>
      </c>
      <c r="D1712">
        <v>4240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 t="s">
        <v>20</v>
      </c>
      <c r="L1712" s="1">
        <v>43257</v>
      </c>
      <c r="M1712">
        <v>393</v>
      </c>
      <c r="N1712">
        <v>47</v>
      </c>
      <c r="O1712">
        <v>824</v>
      </c>
      <c r="P1712">
        <v>824</v>
      </c>
      <c r="Q1712">
        <v>824</v>
      </c>
      <c r="S1712">
        <v>500</v>
      </c>
      <c r="T1712">
        <v>560</v>
      </c>
      <c r="U1712">
        <f>+SUM(Table1[[#This Row],[Latinos]:[Cemex]])</f>
        <v>1</v>
      </c>
      <c r="V1712" t="str">
        <f>+Table1[[#This Row],[id_destino]]&amp;" - "&amp;Table1[[#This Row],[id_origen]]</f>
        <v>393 - 47</v>
      </c>
    </row>
    <row r="1713" spans="1:22" hidden="1">
      <c r="A1713">
        <v>2578</v>
      </c>
      <c r="B1713">
        <v>3431</v>
      </c>
      <c r="C1713">
        <v>230</v>
      </c>
      <c r="D1713">
        <v>6495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 t="s">
        <v>20</v>
      </c>
      <c r="L1713" s="1">
        <v>44195</v>
      </c>
      <c r="M1713">
        <v>395</v>
      </c>
      <c r="N1713">
        <v>47</v>
      </c>
      <c r="O1713">
        <v>94</v>
      </c>
      <c r="P1713">
        <v>150</v>
      </c>
      <c r="Q1713">
        <v>94</v>
      </c>
      <c r="S1713">
        <v>122</v>
      </c>
      <c r="T1713">
        <v>182</v>
      </c>
      <c r="U1713">
        <f>+SUM(Table1[[#This Row],[Latinos]:[Cemex]])</f>
        <v>1</v>
      </c>
      <c r="V1713" t="str">
        <f>+Table1[[#This Row],[id_destino]]&amp;" - "&amp;Table1[[#This Row],[id_origen]]</f>
        <v>395 - 47</v>
      </c>
    </row>
    <row r="1714" spans="1:22" hidden="1">
      <c r="A1714">
        <v>2608</v>
      </c>
      <c r="B1714">
        <v>3449</v>
      </c>
      <c r="C1714">
        <v>230</v>
      </c>
      <c r="D1714">
        <v>6521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 t="s">
        <v>20</v>
      </c>
      <c r="L1714" s="1">
        <v>44240</v>
      </c>
      <c r="M1714">
        <v>417</v>
      </c>
      <c r="N1714">
        <v>47</v>
      </c>
      <c r="O1714">
        <v>155</v>
      </c>
      <c r="P1714">
        <v>150</v>
      </c>
      <c r="Q1714">
        <v>155</v>
      </c>
      <c r="S1714">
        <v>456</v>
      </c>
      <c r="T1714">
        <v>582</v>
      </c>
      <c r="U1714">
        <f>+SUM(Table1[[#This Row],[Latinos]:[Cemex]])</f>
        <v>1</v>
      </c>
      <c r="V1714" t="str">
        <f>+Table1[[#This Row],[id_destino]]&amp;" - "&amp;Table1[[#This Row],[id_origen]]</f>
        <v>417 - 47</v>
      </c>
    </row>
    <row r="1715" spans="1:22" hidden="1">
      <c r="A1715">
        <v>3514</v>
      </c>
      <c r="B1715">
        <v>4040</v>
      </c>
      <c r="C1715">
        <v>7000</v>
      </c>
      <c r="D1715">
        <v>7182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 t="s">
        <v>20</v>
      </c>
      <c r="L1715" s="1">
        <v>44942</v>
      </c>
      <c r="M1715">
        <v>418</v>
      </c>
      <c r="N1715">
        <v>47</v>
      </c>
      <c r="O1715">
        <v>675</v>
      </c>
      <c r="P1715">
        <v>668</v>
      </c>
      <c r="Q1715">
        <v>675</v>
      </c>
      <c r="S1715">
        <v>1843</v>
      </c>
      <c r="T1715">
        <v>1903</v>
      </c>
      <c r="U1715">
        <f>+SUM(Table1[[#This Row],[Latinos]:[Cemex]])</f>
        <v>1</v>
      </c>
      <c r="V1715" t="str">
        <f>+Table1[[#This Row],[id_destino]]&amp;" - "&amp;Table1[[#This Row],[id_origen]]</f>
        <v>418 - 47</v>
      </c>
    </row>
    <row r="1716" spans="1:22" hidden="1">
      <c r="A1716">
        <v>3524</v>
      </c>
      <c r="B1716">
        <v>4048</v>
      </c>
      <c r="C1716">
        <v>7000</v>
      </c>
      <c r="D1716">
        <v>6760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 t="s">
        <v>20</v>
      </c>
      <c r="L1716" s="1">
        <v>44946</v>
      </c>
      <c r="M1716">
        <v>424</v>
      </c>
      <c r="N1716">
        <v>47</v>
      </c>
      <c r="O1716">
        <v>311</v>
      </c>
      <c r="P1716">
        <v>223</v>
      </c>
      <c r="Q1716">
        <v>311</v>
      </c>
      <c r="S1716">
        <v>608</v>
      </c>
      <c r="T1716">
        <v>608</v>
      </c>
      <c r="U1716">
        <f>+SUM(Table1[[#This Row],[Latinos]:[Cemex]])</f>
        <v>1</v>
      </c>
      <c r="V1716" t="str">
        <f>+Table1[[#This Row],[id_destino]]&amp;" - "&amp;Table1[[#This Row],[id_origen]]</f>
        <v>424 - 47</v>
      </c>
    </row>
    <row r="1717" spans="1:22" hidden="1">
      <c r="A1717">
        <v>1243</v>
      </c>
      <c r="B1717">
        <v>2652</v>
      </c>
      <c r="C1717">
        <v>230</v>
      </c>
      <c r="D1717">
        <v>5687</v>
      </c>
      <c r="E1717">
        <v>0</v>
      </c>
      <c r="F1717">
        <v>1</v>
      </c>
      <c r="G1717">
        <v>0</v>
      </c>
      <c r="H1717">
        <v>0</v>
      </c>
      <c r="I1717">
        <v>0</v>
      </c>
      <c r="J1717">
        <v>0</v>
      </c>
      <c r="K1717" t="s">
        <v>20</v>
      </c>
      <c r="L1717" s="1">
        <v>43353</v>
      </c>
      <c r="M1717">
        <v>425</v>
      </c>
      <c r="N1717">
        <v>47</v>
      </c>
      <c r="O1717">
        <v>70</v>
      </c>
      <c r="P1717">
        <v>150</v>
      </c>
      <c r="Q1717">
        <v>70</v>
      </c>
      <c r="S1717">
        <v>163</v>
      </c>
      <c r="T1717">
        <v>163</v>
      </c>
      <c r="U1717">
        <f>+SUM(Table1[[#This Row],[Latinos]:[Cemex]])</f>
        <v>1</v>
      </c>
      <c r="V1717" t="str">
        <f>+Table1[[#This Row],[id_destino]]&amp;" - "&amp;Table1[[#This Row],[id_origen]]</f>
        <v>425 - 47</v>
      </c>
    </row>
    <row r="1718" spans="1:22" hidden="1">
      <c r="A1718">
        <v>1623</v>
      </c>
      <c r="B1718">
        <v>2064</v>
      </c>
      <c r="C1718">
        <v>230</v>
      </c>
      <c r="D1718">
        <v>5849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 t="s">
        <v>20</v>
      </c>
      <c r="L1718" s="1">
        <v>43536</v>
      </c>
      <c r="M1718">
        <v>428</v>
      </c>
      <c r="N1718">
        <v>47</v>
      </c>
      <c r="O1718">
        <v>975</v>
      </c>
      <c r="P1718">
        <v>975</v>
      </c>
      <c r="Q1718">
        <v>975</v>
      </c>
      <c r="S1718">
        <v>2106</v>
      </c>
      <c r="T1718">
        <v>2106</v>
      </c>
      <c r="U1718">
        <f>+SUM(Table1[[#This Row],[Latinos]:[Cemex]])</f>
        <v>1</v>
      </c>
      <c r="V1718" t="str">
        <f>+Table1[[#This Row],[id_destino]]&amp;" - "&amp;Table1[[#This Row],[id_origen]]</f>
        <v>428 - 47</v>
      </c>
    </row>
    <row r="1719" spans="1:22" hidden="1">
      <c r="A1719">
        <v>2801</v>
      </c>
      <c r="B1719">
        <v>3575</v>
      </c>
      <c r="C1719">
        <v>6283</v>
      </c>
      <c r="D1719">
        <v>6683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0</v>
      </c>
      <c r="K1719" t="s">
        <v>86</v>
      </c>
      <c r="L1719" s="1">
        <v>45398</v>
      </c>
      <c r="M1719">
        <v>451</v>
      </c>
      <c r="N1719">
        <v>47</v>
      </c>
      <c r="O1719">
        <v>1824</v>
      </c>
      <c r="P1719">
        <v>1719</v>
      </c>
      <c r="Q1719">
        <v>1824</v>
      </c>
      <c r="S1719">
        <v>4401</v>
      </c>
      <c r="T1719">
        <v>4509</v>
      </c>
      <c r="U1719">
        <f>+SUM(Table1[[#This Row],[Latinos]:[Cemex]])</f>
        <v>1</v>
      </c>
      <c r="V1719" t="str">
        <f>+Table1[[#This Row],[id_destino]]&amp;" - "&amp;Table1[[#This Row],[id_origen]]</f>
        <v>451 - 47</v>
      </c>
    </row>
    <row r="1720" spans="1:22" hidden="1">
      <c r="A1720">
        <v>4505</v>
      </c>
      <c r="B1720">
        <v>4710</v>
      </c>
      <c r="C1720">
        <v>7053</v>
      </c>
      <c r="D1720">
        <v>7976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  <c r="K1720" t="s">
        <v>20</v>
      </c>
      <c r="L1720" s="1">
        <v>45593</v>
      </c>
      <c r="M1720">
        <v>485</v>
      </c>
      <c r="N1720">
        <v>47</v>
      </c>
      <c r="O1720">
        <v>73</v>
      </c>
      <c r="P1720">
        <v>150</v>
      </c>
      <c r="Q1720">
        <v>73</v>
      </c>
      <c r="S1720">
        <v>543</v>
      </c>
      <c r="T1720">
        <v>543</v>
      </c>
      <c r="U1720">
        <f>+SUM(Table1[[#This Row],[Latinos]:[Cemex]])</f>
        <v>1</v>
      </c>
      <c r="V1720" t="str">
        <f>+Table1[[#This Row],[id_destino]]&amp;" - "&amp;Table1[[#This Row],[id_origen]]</f>
        <v>485 - 47</v>
      </c>
    </row>
    <row r="1721" spans="1:22" hidden="1">
      <c r="A1721">
        <v>3421</v>
      </c>
      <c r="B1721">
        <v>3978</v>
      </c>
      <c r="C1721">
        <v>7113</v>
      </c>
      <c r="D1721">
        <v>4134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  <c r="K1721" t="s">
        <v>20</v>
      </c>
      <c r="L1721" s="1">
        <v>44882</v>
      </c>
      <c r="M1721">
        <v>491</v>
      </c>
      <c r="N1721">
        <v>47</v>
      </c>
      <c r="O1721">
        <v>103</v>
      </c>
      <c r="P1721">
        <v>135</v>
      </c>
      <c r="Q1721">
        <v>103</v>
      </c>
      <c r="S1721">
        <v>262</v>
      </c>
      <c r="T1721">
        <v>322</v>
      </c>
      <c r="U1721">
        <f>+SUM(Table1[[#This Row],[Latinos]:[Cemex]])</f>
        <v>1</v>
      </c>
      <c r="V1721" t="str">
        <f>+Table1[[#This Row],[id_destino]]&amp;" - "&amp;Table1[[#This Row],[id_origen]]</f>
        <v>491 - 47</v>
      </c>
    </row>
    <row r="1722" spans="1:22" hidden="1">
      <c r="A1722">
        <v>1910</v>
      </c>
      <c r="B1722">
        <v>3011</v>
      </c>
      <c r="C1722">
        <v>230</v>
      </c>
      <c r="D1722">
        <v>6039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 t="s">
        <v>20</v>
      </c>
      <c r="L1722" s="1">
        <v>43714</v>
      </c>
      <c r="M1722">
        <v>492</v>
      </c>
      <c r="N1722">
        <v>47</v>
      </c>
      <c r="O1722">
        <v>395</v>
      </c>
      <c r="P1722">
        <v>400</v>
      </c>
      <c r="Q1722">
        <v>395</v>
      </c>
      <c r="S1722">
        <v>611</v>
      </c>
      <c r="T1722">
        <v>748</v>
      </c>
      <c r="U1722">
        <f>+SUM(Table1[[#This Row],[Latinos]:[Cemex]])</f>
        <v>1</v>
      </c>
      <c r="V1722" t="str">
        <f>+Table1[[#This Row],[id_destino]]&amp;" - "&amp;Table1[[#This Row],[id_origen]]</f>
        <v>492 - 47</v>
      </c>
    </row>
    <row r="1723" spans="1:22" hidden="1">
      <c r="A1723">
        <v>1717</v>
      </c>
      <c r="B1723">
        <v>2902</v>
      </c>
      <c r="C1723">
        <v>230</v>
      </c>
      <c r="D1723">
        <v>5897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 t="s">
        <v>20</v>
      </c>
      <c r="L1723" s="1">
        <v>43579</v>
      </c>
      <c r="M1723">
        <v>503</v>
      </c>
      <c r="N1723">
        <v>47</v>
      </c>
      <c r="O1723">
        <v>280</v>
      </c>
      <c r="P1723">
        <v>274</v>
      </c>
      <c r="Q1723">
        <v>280</v>
      </c>
      <c r="S1723">
        <v>198</v>
      </c>
      <c r="T1723">
        <v>258</v>
      </c>
      <c r="U1723">
        <f>+SUM(Table1[[#This Row],[Latinos]:[Cemex]])</f>
        <v>1</v>
      </c>
      <c r="V1723" t="str">
        <f>+Table1[[#This Row],[id_destino]]&amp;" - "&amp;Table1[[#This Row],[id_origen]]</f>
        <v>503 - 47</v>
      </c>
    </row>
    <row r="1724" spans="1:22" hidden="1">
      <c r="A1724">
        <v>2868</v>
      </c>
      <c r="B1724">
        <v>3621</v>
      </c>
      <c r="C1724">
        <v>230</v>
      </c>
      <c r="D1724">
        <v>6757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 t="s">
        <v>20</v>
      </c>
      <c r="L1724" s="1">
        <v>44567</v>
      </c>
      <c r="M1724">
        <v>516</v>
      </c>
      <c r="N1724">
        <v>47</v>
      </c>
      <c r="O1724">
        <v>87</v>
      </c>
      <c r="P1724">
        <v>150</v>
      </c>
      <c r="Q1724">
        <v>87</v>
      </c>
      <c r="S1724">
        <v>595</v>
      </c>
      <c r="T1724">
        <v>595</v>
      </c>
      <c r="U1724">
        <f>+SUM(Table1[[#This Row],[Latinos]:[Cemex]])</f>
        <v>1</v>
      </c>
      <c r="V1724" t="str">
        <f>+Table1[[#This Row],[id_destino]]&amp;" - "&amp;Table1[[#This Row],[id_origen]]</f>
        <v>516 - 47</v>
      </c>
    </row>
    <row r="1725" spans="1:22" hidden="1">
      <c r="A1725">
        <v>2334</v>
      </c>
      <c r="B1725">
        <v>3281</v>
      </c>
      <c r="C1725">
        <v>230</v>
      </c>
      <c r="D1725">
        <v>6337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 t="s">
        <v>20</v>
      </c>
      <c r="L1725" s="1">
        <v>43953</v>
      </c>
      <c r="M1725">
        <v>517</v>
      </c>
      <c r="N1725">
        <v>47</v>
      </c>
      <c r="O1725">
        <v>90</v>
      </c>
      <c r="P1725">
        <v>150</v>
      </c>
      <c r="Q1725">
        <v>90</v>
      </c>
      <c r="S1725">
        <v>176</v>
      </c>
      <c r="T1725">
        <v>176</v>
      </c>
      <c r="U1725">
        <f>+SUM(Table1[[#This Row],[Latinos]:[Cemex]])</f>
        <v>1</v>
      </c>
      <c r="V1725" t="str">
        <f>+Table1[[#This Row],[id_destino]]&amp;" - "&amp;Table1[[#This Row],[id_origen]]</f>
        <v>517 - 47</v>
      </c>
    </row>
    <row r="1726" spans="1:22" hidden="1">
      <c r="A1726">
        <v>4405</v>
      </c>
      <c r="B1726">
        <v>3281</v>
      </c>
      <c r="C1726">
        <v>7053</v>
      </c>
      <c r="D1726">
        <v>7880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 t="s">
        <v>20</v>
      </c>
      <c r="L1726" s="1">
        <v>45525</v>
      </c>
      <c r="M1726">
        <v>517</v>
      </c>
      <c r="N1726">
        <v>47</v>
      </c>
      <c r="O1726">
        <v>70</v>
      </c>
      <c r="P1726">
        <v>150</v>
      </c>
      <c r="Q1726">
        <v>70</v>
      </c>
      <c r="S1726">
        <v>543</v>
      </c>
      <c r="T1726">
        <v>543</v>
      </c>
      <c r="U1726">
        <f>+SUM(Table1[[#This Row],[Latinos]:[Cemex]])</f>
        <v>1</v>
      </c>
      <c r="V1726" t="str">
        <f>+Table1[[#This Row],[id_destino]]&amp;" - "&amp;Table1[[#This Row],[id_origen]]</f>
        <v>517 - 47</v>
      </c>
    </row>
    <row r="1727" spans="1:22" hidden="1">
      <c r="A1727">
        <v>3395</v>
      </c>
      <c r="B1727">
        <v>3956</v>
      </c>
      <c r="C1727">
        <v>7000</v>
      </c>
      <c r="D1727">
        <v>7101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 t="s">
        <v>20</v>
      </c>
      <c r="L1727" s="1">
        <v>44869</v>
      </c>
      <c r="M1727">
        <v>525</v>
      </c>
      <c r="N1727">
        <v>47</v>
      </c>
      <c r="O1727">
        <v>114</v>
      </c>
      <c r="P1727">
        <v>150</v>
      </c>
      <c r="Q1727">
        <v>114</v>
      </c>
      <c r="S1727">
        <v>543</v>
      </c>
      <c r="T1727">
        <v>543</v>
      </c>
      <c r="U1727">
        <f>+SUM(Table1[[#This Row],[Latinos]:[Cemex]])</f>
        <v>1</v>
      </c>
      <c r="V1727" t="str">
        <f>+Table1[[#This Row],[id_destino]]&amp;" - "&amp;Table1[[#This Row],[id_origen]]</f>
        <v>525 - 47</v>
      </c>
    </row>
    <row r="1728" spans="1:22" hidden="1">
      <c r="A1728">
        <v>846</v>
      </c>
      <c r="B1728">
        <v>2477</v>
      </c>
      <c r="C1728">
        <v>3475</v>
      </c>
      <c r="D1728">
        <v>3905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 t="s">
        <v>20</v>
      </c>
      <c r="L1728" s="1">
        <v>43186</v>
      </c>
      <c r="M1728">
        <v>546</v>
      </c>
      <c r="N1728">
        <v>47</v>
      </c>
      <c r="O1728">
        <v>337</v>
      </c>
      <c r="P1728">
        <v>337</v>
      </c>
      <c r="Q1728">
        <v>337</v>
      </c>
      <c r="S1728">
        <v>194</v>
      </c>
      <c r="T1728">
        <v>254</v>
      </c>
      <c r="U1728">
        <f>+SUM(Table1[[#This Row],[Latinos]:[Cemex]])</f>
        <v>1</v>
      </c>
      <c r="V1728" t="str">
        <f>+Table1[[#This Row],[id_destino]]&amp;" - "&amp;Table1[[#This Row],[id_origen]]</f>
        <v>546 - 47</v>
      </c>
    </row>
    <row r="1729" spans="1:22" hidden="1">
      <c r="A1729">
        <v>3804</v>
      </c>
      <c r="B1729">
        <v>409</v>
      </c>
      <c r="C1729">
        <v>230</v>
      </c>
      <c r="D1729">
        <v>7395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 t="s">
        <v>20</v>
      </c>
      <c r="L1729" s="1">
        <v>45100</v>
      </c>
      <c r="M1729">
        <v>554</v>
      </c>
      <c r="N1729">
        <v>47</v>
      </c>
      <c r="O1729">
        <v>296</v>
      </c>
      <c r="P1729">
        <v>290</v>
      </c>
      <c r="Q1729">
        <v>296</v>
      </c>
      <c r="S1729">
        <v>300</v>
      </c>
      <c r="T1729">
        <v>414</v>
      </c>
      <c r="U1729">
        <f>+SUM(Table1[[#This Row],[Latinos]:[Cemex]])</f>
        <v>1</v>
      </c>
      <c r="V1729" t="str">
        <f>+Table1[[#This Row],[id_destino]]&amp;" - "&amp;Table1[[#This Row],[id_origen]]</f>
        <v>554 - 47</v>
      </c>
    </row>
    <row r="1730" spans="1:22" hidden="1">
      <c r="A1730">
        <v>2162</v>
      </c>
      <c r="B1730">
        <v>3177</v>
      </c>
      <c r="C1730">
        <v>230</v>
      </c>
      <c r="D1730">
        <v>6225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 t="s">
        <v>20</v>
      </c>
      <c r="L1730" s="1">
        <v>43888</v>
      </c>
      <c r="M1730">
        <v>556</v>
      </c>
      <c r="N1730">
        <v>47</v>
      </c>
      <c r="O1730">
        <v>562</v>
      </c>
      <c r="P1730">
        <v>536</v>
      </c>
      <c r="Q1730">
        <v>562</v>
      </c>
      <c r="S1730">
        <v>1143</v>
      </c>
      <c r="T1730">
        <v>1143</v>
      </c>
      <c r="U1730">
        <f>+SUM(Table1[[#This Row],[Latinos]:[Cemex]])</f>
        <v>1</v>
      </c>
      <c r="V1730" t="str">
        <f>+Table1[[#This Row],[id_destino]]&amp;" - "&amp;Table1[[#This Row],[id_origen]]</f>
        <v>556 - 47</v>
      </c>
    </row>
    <row r="1731" spans="1:22" hidden="1">
      <c r="A1731">
        <v>2316</v>
      </c>
      <c r="B1731">
        <v>3268</v>
      </c>
      <c r="C1731">
        <v>230</v>
      </c>
      <c r="D1731">
        <v>6331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 t="s">
        <v>20</v>
      </c>
      <c r="L1731" s="1">
        <v>43924</v>
      </c>
      <c r="M1731">
        <v>579</v>
      </c>
      <c r="N1731">
        <v>47</v>
      </c>
      <c r="O1731">
        <v>976</v>
      </c>
      <c r="P1731">
        <v>953</v>
      </c>
      <c r="Q1731">
        <v>976</v>
      </c>
      <c r="S1731">
        <v>2150</v>
      </c>
      <c r="T1731">
        <v>2150</v>
      </c>
      <c r="U1731">
        <f>+SUM(Table1[[#This Row],[Latinos]:[Cemex]])</f>
        <v>1</v>
      </c>
      <c r="V1731" t="str">
        <f>+Table1[[#This Row],[id_destino]]&amp;" - "&amp;Table1[[#This Row],[id_origen]]</f>
        <v>579 - 47</v>
      </c>
    </row>
    <row r="1732" spans="1:22" hidden="1">
      <c r="A1732">
        <v>2497</v>
      </c>
      <c r="B1732">
        <v>3380</v>
      </c>
      <c r="C1732">
        <v>2413</v>
      </c>
      <c r="D1732">
        <v>4300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 t="s">
        <v>20</v>
      </c>
      <c r="L1732" s="1">
        <v>44131</v>
      </c>
      <c r="M1732">
        <v>580</v>
      </c>
      <c r="N1732">
        <v>47</v>
      </c>
      <c r="O1732">
        <v>166</v>
      </c>
      <c r="P1732">
        <v>160</v>
      </c>
      <c r="Q1732">
        <v>166</v>
      </c>
      <c r="S1732">
        <v>122</v>
      </c>
      <c r="T1732">
        <v>182</v>
      </c>
      <c r="U1732">
        <f>+SUM(Table1[[#This Row],[Latinos]:[Cemex]])</f>
        <v>1</v>
      </c>
      <c r="V1732" t="str">
        <f>+Table1[[#This Row],[id_destino]]&amp;" - "&amp;Table1[[#This Row],[id_origen]]</f>
        <v>580 - 47</v>
      </c>
    </row>
    <row r="1733" spans="1:22" hidden="1">
      <c r="A1733">
        <v>3562</v>
      </c>
      <c r="B1733">
        <v>4073</v>
      </c>
      <c r="C1733">
        <v>230</v>
      </c>
      <c r="D1733">
        <v>7214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 t="s">
        <v>20</v>
      </c>
      <c r="L1733" s="1">
        <v>44958</v>
      </c>
      <c r="M1733">
        <v>581</v>
      </c>
      <c r="N1733">
        <v>47</v>
      </c>
      <c r="O1733">
        <v>1711</v>
      </c>
      <c r="P1733">
        <v>1519</v>
      </c>
      <c r="Q1733">
        <v>1711</v>
      </c>
      <c r="S1733">
        <v>3408</v>
      </c>
      <c r="T1733">
        <v>3677</v>
      </c>
      <c r="U1733">
        <f>+SUM(Table1[[#This Row],[Latinos]:[Cemex]])</f>
        <v>1</v>
      </c>
      <c r="V1733" t="str">
        <f>+Table1[[#This Row],[id_destino]]&amp;" - "&amp;Table1[[#This Row],[id_origen]]</f>
        <v>581 - 47</v>
      </c>
    </row>
    <row r="1734" spans="1:22" hidden="1">
      <c r="A1734">
        <v>2609</v>
      </c>
      <c r="B1734">
        <v>3450</v>
      </c>
      <c r="C1734">
        <v>230</v>
      </c>
      <c r="D1734">
        <v>6523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 t="s">
        <v>20</v>
      </c>
      <c r="L1734" s="1">
        <v>44242</v>
      </c>
      <c r="M1734">
        <v>587</v>
      </c>
      <c r="N1734">
        <v>47</v>
      </c>
      <c r="O1734">
        <v>258</v>
      </c>
      <c r="P1734">
        <v>244</v>
      </c>
      <c r="Q1734">
        <v>258</v>
      </c>
      <c r="S1734">
        <v>298</v>
      </c>
      <c r="T1734">
        <v>358</v>
      </c>
      <c r="U1734">
        <f>+SUM(Table1[[#This Row],[Latinos]:[Cemex]])</f>
        <v>1</v>
      </c>
      <c r="V1734" t="str">
        <f>+Table1[[#This Row],[id_destino]]&amp;" - "&amp;Table1[[#This Row],[id_origen]]</f>
        <v>587 - 47</v>
      </c>
    </row>
    <row r="1735" spans="1:22" hidden="1">
      <c r="A1735">
        <v>2771</v>
      </c>
      <c r="B1735">
        <v>1495</v>
      </c>
      <c r="C1735">
        <v>230</v>
      </c>
      <c r="D1735">
        <v>6655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 t="s">
        <v>20</v>
      </c>
      <c r="L1735" s="1">
        <v>44432</v>
      </c>
      <c r="M1735">
        <v>590</v>
      </c>
      <c r="N1735">
        <v>47</v>
      </c>
      <c r="O1735">
        <v>988</v>
      </c>
      <c r="P1735">
        <v>987</v>
      </c>
      <c r="Q1735">
        <v>988</v>
      </c>
      <c r="S1735">
        <v>2139</v>
      </c>
      <c r="T1735">
        <v>2139</v>
      </c>
      <c r="U1735">
        <f>+SUM(Table1[[#This Row],[Latinos]:[Cemex]])</f>
        <v>1</v>
      </c>
      <c r="V1735" t="str">
        <f>+Table1[[#This Row],[id_destino]]&amp;" - "&amp;Table1[[#This Row],[id_origen]]</f>
        <v>590 - 47</v>
      </c>
    </row>
    <row r="1736" spans="1:22" hidden="1">
      <c r="A1736">
        <v>2051</v>
      </c>
      <c r="B1736">
        <v>3103</v>
      </c>
      <c r="C1736">
        <v>230</v>
      </c>
      <c r="D1736">
        <v>6152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 t="s">
        <v>20</v>
      </c>
      <c r="L1736" s="1">
        <v>43784</v>
      </c>
      <c r="M1736">
        <v>591</v>
      </c>
      <c r="N1736">
        <v>47</v>
      </c>
      <c r="O1736">
        <v>103</v>
      </c>
      <c r="P1736">
        <v>150</v>
      </c>
      <c r="Q1736">
        <v>103</v>
      </c>
      <c r="S1736">
        <v>298</v>
      </c>
      <c r="T1736">
        <v>350</v>
      </c>
      <c r="U1736">
        <f>+SUM(Table1[[#This Row],[Latinos]:[Cemex]])</f>
        <v>1</v>
      </c>
      <c r="V1736" t="str">
        <f>+Table1[[#This Row],[id_destino]]&amp;" - "&amp;Table1[[#This Row],[id_origen]]</f>
        <v>591 - 47</v>
      </c>
    </row>
    <row r="1737" spans="1:22" hidden="1">
      <c r="A1737">
        <v>3675</v>
      </c>
      <c r="B1737">
        <v>4155</v>
      </c>
      <c r="C1737">
        <v>7000</v>
      </c>
      <c r="D1737">
        <v>7301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 t="s">
        <v>20</v>
      </c>
      <c r="L1737" s="1">
        <v>45026</v>
      </c>
      <c r="M1737">
        <v>594</v>
      </c>
      <c r="N1737">
        <v>47</v>
      </c>
      <c r="O1737">
        <v>2136</v>
      </c>
      <c r="P1737">
        <v>2120</v>
      </c>
      <c r="Q1737">
        <v>2136</v>
      </c>
      <c r="S1737">
        <v>6808</v>
      </c>
      <c r="T1737">
        <v>7034</v>
      </c>
      <c r="U1737">
        <f>+SUM(Table1[[#This Row],[Latinos]:[Cemex]])</f>
        <v>1</v>
      </c>
      <c r="V1737" t="str">
        <f>+Table1[[#This Row],[id_destino]]&amp;" - "&amp;Table1[[#This Row],[id_origen]]</f>
        <v>594 - 47</v>
      </c>
    </row>
    <row r="1738" spans="1:22" hidden="1">
      <c r="A1738">
        <v>2673</v>
      </c>
      <c r="B1738">
        <v>1283</v>
      </c>
      <c r="C1738">
        <v>6283</v>
      </c>
      <c r="D1738">
        <v>64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 t="s">
        <v>20</v>
      </c>
      <c r="L1738" s="1">
        <v>44331</v>
      </c>
      <c r="M1738">
        <v>602</v>
      </c>
      <c r="N1738">
        <v>47</v>
      </c>
      <c r="O1738">
        <v>154</v>
      </c>
      <c r="P1738">
        <v>150</v>
      </c>
      <c r="Q1738">
        <v>154</v>
      </c>
      <c r="S1738">
        <v>454</v>
      </c>
      <c r="T1738">
        <v>568</v>
      </c>
      <c r="U1738">
        <f>+SUM(Table1[[#This Row],[Latinos]:[Cemex]])</f>
        <v>1</v>
      </c>
      <c r="V1738" t="str">
        <f>+Table1[[#This Row],[id_destino]]&amp;" - "&amp;Table1[[#This Row],[id_origen]]</f>
        <v>602 - 47</v>
      </c>
    </row>
    <row r="1739" spans="1:22" hidden="1">
      <c r="A1739">
        <v>3286</v>
      </c>
      <c r="B1739">
        <v>928</v>
      </c>
      <c r="C1739">
        <v>230</v>
      </c>
      <c r="D1739">
        <v>7030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0</v>
      </c>
      <c r="K1739" t="s">
        <v>20</v>
      </c>
      <c r="L1739" s="1">
        <v>44805</v>
      </c>
      <c r="M1739">
        <v>610</v>
      </c>
      <c r="N1739">
        <v>47</v>
      </c>
      <c r="O1739">
        <v>1561</v>
      </c>
      <c r="P1739">
        <v>1501</v>
      </c>
      <c r="Q1739">
        <v>1561</v>
      </c>
      <c r="S1739">
        <v>5608</v>
      </c>
      <c r="T1739">
        <v>5834</v>
      </c>
      <c r="U1739">
        <f>+SUM(Table1[[#This Row],[Latinos]:[Cemex]])</f>
        <v>1</v>
      </c>
      <c r="V1739" t="str">
        <f>+Table1[[#This Row],[id_destino]]&amp;" - "&amp;Table1[[#This Row],[id_origen]]</f>
        <v>610 - 47</v>
      </c>
    </row>
    <row r="1740" spans="1:22" hidden="1">
      <c r="A1740">
        <v>3672</v>
      </c>
      <c r="B1740">
        <v>4153</v>
      </c>
      <c r="C1740">
        <v>7000</v>
      </c>
      <c r="D1740">
        <v>7300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 t="s">
        <v>20</v>
      </c>
      <c r="L1740" s="1">
        <v>45021</v>
      </c>
      <c r="M1740">
        <v>612</v>
      </c>
      <c r="N1740">
        <v>47</v>
      </c>
      <c r="O1740">
        <v>891</v>
      </c>
      <c r="P1740">
        <v>885</v>
      </c>
      <c r="Q1740">
        <v>891</v>
      </c>
      <c r="S1740">
        <v>527</v>
      </c>
      <c r="T1740">
        <v>641</v>
      </c>
      <c r="U1740">
        <f>+SUM(Table1[[#This Row],[Latinos]:[Cemex]])</f>
        <v>1</v>
      </c>
      <c r="V1740" t="str">
        <f>+Table1[[#This Row],[id_destino]]&amp;" - "&amp;Table1[[#This Row],[id_origen]]</f>
        <v>612 - 47</v>
      </c>
    </row>
    <row r="1741" spans="1:22" hidden="1">
      <c r="A1741">
        <v>2163</v>
      </c>
      <c r="B1741">
        <v>1012</v>
      </c>
      <c r="C1741">
        <v>230</v>
      </c>
      <c r="D1741">
        <v>6227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 t="s">
        <v>20</v>
      </c>
      <c r="L1741" s="1">
        <v>43837</v>
      </c>
      <c r="M1741">
        <v>617</v>
      </c>
      <c r="N1741">
        <v>47</v>
      </c>
      <c r="O1741">
        <v>546</v>
      </c>
      <c r="P1741">
        <v>536</v>
      </c>
      <c r="Q1741">
        <v>546</v>
      </c>
      <c r="S1741">
        <v>1143</v>
      </c>
      <c r="T1741">
        <v>1143</v>
      </c>
      <c r="U1741">
        <f>+SUM(Table1[[#This Row],[Latinos]:[Cemex]])</f>
        <v>1</v>
      </c>
      <c r="V1741" t="str">
        <f>+Table1[[#This Row],[id_destino]]&amp;" - "&amp;Table1[[#This Row],[id_origen]]</f>
        <v>617 - 47</v>
      </c>
    </row>
    <row r="1742" spans="1:22" hidden="1">
      <c r="A1742">
        <v>3446</v>
      </c>
      <c r="B1742">
        <v>3995</v>
      </c>
      <c r="C1742">
        <v>7000</v>
      </c>
      <c r="D1742">
        <v>7129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 t="s">
        <v>20</v>
      </c>
      <c r="L1742" s="1">
        <v>44897</v>
      </c>
      <c r="M1742">
        <v>623</v>
      </c>
      <c r="N1742">
        <v>47</v>
      </c>
      <c r="O1742">
        <v>459</v>
      </c>
      <c r="P1742">
        <v>481</v>
      </c>
      <c r="Q1742">
        <v>459</v>
      </c>
      <c r="S1742">
        <v>1554</v>
      </c>
      <c r="T1742">
        <v>1668</v>
      </c>
      <c r="U1742">
        <f>+SUM(Table1[[#This Row],[Latinos]:[Cemex]])</f>
        <v>1</v>
      </c>
      <c r="V1742" t="str">
        <f>+Table1[[#This Row],[id_destino]]&amp;" - "&amp;Table1[[#This Row],[id_origen]]</f>
        <v>623 - 47</v>
      </c>
    </row>
    <row r="1743" spans="1:22" hidden="1">
      <c r="A1743">
        <v>4422</v>
      </c>
      <c r="B1743">
        <v>4647</v>
      </c>
      <c r="C1743">
        <v>7000</v>
      </c>
      <c r="D1743">
        <v>5786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 t="s">
        <v>20</v>
      </c>
      <c r="L1743" s="1">
        <v>45532</v>
      </c>
      <c r="M1743">
        <v>625</v>
      </c>
      <c r="N1743">
        <v>47</v>
      </c>
      <c r="O1743">
        <v>510</v>
      </c>
      <c r="P1743">
        <v>492</v>
      </c>
      <c r="Q1743">
        <v>510</v>
      </c>
      <c r="S1743">
        <v>1554</v>
      </c>
      <c r="T1743">
        <v>1668</v>
      </c>
      <c r="U1743">
        <f>+SUM(Table1[[#This Row],[Latinos]:[Cemex]])</f>
        <v>1</v>
      </c>
      <c r="V1743" t="str">
        <f>+Table1[[#This Row],[id_destino]]&amp;" - "&amp;Table1[[#This Row],[id_origen]]</f>
        <v>625 - 47</v>
      </c>
    </row>
    <row r="1744" spans="1:22" hidden="1">
      <c r="A1744">
        <v>2752</v>
      </c>
      <c r="B1744">
        <v>1589</v>
      </c>
      <c r="C1744">
        <v>230</v>
      </c>
      <c r="D1744">
        <v>6632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 t="s">
        <v>20</v>
      </c>
      <c r="L1744" s="1">
        <v>44413</v>
      </c>
      <c r="M1744">
        <v>652</v>
      </c>
      <c r="N1744">
        <v>47</v>
      </c>
      <c r="O1744">
        <v>1333</v>
      </c>
      <c r="P1744">
        <v>1333</v>
      </c>
      <c r="Q1744">
        <v>1333</v>
      </c>
      <c r="S1744">
        <v>3633</v>
      </c>
      <c r="T1744">
        <v>3767</v>
      </c>
      <c r="U1744">
        <f>+SUM(Table1[[#This Row],[Latinos]:[Cemex]])</f>
        <v>1</v>
      </c>
      <c r="V1744" t="str">
        <f>+Table1[[#This Row],[id_destino]]&amp;" - "&amp;Table1[[#This Row],[id_origen]]</f>
        <v>652 - 47</v>
      </c>
    </row>
    <row r="1745" spans="1:22" hidden="1">
      <c r="A1745">
        <v>2175</v>
      </c>
      <c r="B1745">
        <v>3185</v>
      </c>
      <c r="C1745">
        <v>2413</v>
      </c>
      <c r="D1745">
        <v>72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 t="s">
        <v>20</v>
      </c>
      <c r="L1745" s="1">
        <v>43840</v>
      </c>
      <c r="M1745">
        <v>669</v>
      </c>
      <c r="N1745">
        <v>47</v>
      </c>
      <c r="O1745">
        <v>382</v>
      </c>
      <c r="P1745">
        <v>382</v>
      </c>
      <c r="Q1745">
        <v>382</v>
      </c>
      <c r="S1745">
        <v>198</v>
      </c>
      <c r="T1745">
        <v>258</v>
      </c>
      <c r="U1745">
        <f>+SUM(Table1[[#This Row],[Latinos]:[Cemex]])</f>
        <v>1</v>
      </c>
      <c r="V1745" t="str">
        <f>+Table1[[#This Row],[id_destino]]&amp;" - "&amp;Table1[[#This Row],[id_origen]]</f>
        <v>669 - 47</v>
      </c>
    </row>
    <row r="1746" spans="1:22" hidden="1">
      <c r="A1746">
        <v>4723</v>
      </c>
      <c r="B1746">
        <v>3185</v>
      </c>
      <c r="C1746">
        <v>6283</v>
      </c>
      <c r="D1746">
        <v>72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0</v>
      </c>
      <c r="K1746" t="s">
        <v>20</v>
      </c>
      <c r="L1746" s="1">
        <v>45759</v>
      </c>
      <c r="M1746">
        <v>669</v>
      </c>
      <c r="N1746">
        <v>47</v>
      </c>
      <c r="O1746">
        <v>387</v>
      </c>
      <c r="P1746">
        <v>380</v>
      </c>
      <c r="Q1746">
        <v>387</v>
      </c>
      <c r="S1746">
        <v>309</v>
      </c>
      <c r="T1746">
        <v>423</v>
      </c>
      <c r="U1746">
        <f>+SUM(Table1[[#This Row],[Latinos]:[Cemex]])</f>
        <v>1</v>
      </c>
      <c r="V1746" t="str">
        <f>+Table1[[#This Row],[id_destino]]&amp;" - "&amp;Table1[[#This Row],[id_origen]]</f>
        <v>669 - 47</v>
      </c>
    </row>
    <row r="1747" spans="1:22" hidden="1">
      <c r="A1747">
        <v>4701</v>
      </c>
      <c r="B1747">
        <v>3532</v>
      </c>
      <c r="C1747">
        <v>2413</v>
      </c>
      <c r="D1747">
        <v>7043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  <c r="K1747" t="s">
        <v>20</v>
      </c>
      <c r="L1747" s="1">
        <v>45755</v>
      </c>
      <c r="M1747">
        <v>684</v>
      </c>
      <c r="N1747">
        <v>47</v>
      </c>
      <c r="O1747">
        <v>320</v>
      </c>
      <c r="P1747">
        <v>320</v>
      </c>
      <c r="Q1747">
        <v>320</v>
      </c>
      <c r="S1747">
        <v>1254</v>
      </c>
      <c r="T1747">
        <v>1267</v>
      </c>
      <c r="U1747">
        <f>+SUM(Table1[[#This Row],[Latinos]:[Cemex]])</f>
        <v>1</v>
      </c>
      <c r="V1747" t="str">
        <f>+Table1[[#This Row],[id_destino]]&amp;" - "&amp;Table1[[#This Row],[id_origen]]</f>
        <v>684 - 47</v>
      </c>
    </row>
    <row r="1748" spans="1:22" hidden="1">
      <c r="A1748">
        <v>1042</v>
      </c>
      <c r="B1748">
        <v>1982</v>
      </c>
      <c r="C1748">
        <v>230</v>
      </c>
      <c r="D1748">
        <v>5595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 t="s">
        <v>20</v>
      </c>
      <c r="L1748" s="1">
        <v>43259</v>
      </c>
      <c r="M1748">
        <v>687</v>
      </c>
      <c r="N1748">
        <v>47</v>
      </c>
      <c r="O1748">
        <v>1037</v>
      </c>
      <c r="P1748">
        <v>1030</v>
      </c>
      <c r="Q1748">
        <v>1037</v>
      </c>
      <c r="S1748">
        <v>2550</v>
      </c>
      <c r="T1748">
        <v>2610</v>
      </c>
      <c r="U1748">
        <f>+SUM(Table1[[#This Row],[Latinos]:[Cemex]])</f>
        <v>1</v>
      </c>
      <c r="V1748" t="str">
        <f>+Table1[[#This Row],[id_destino]]&amp;" - "&amp;Table1[[#This Row],[id_origen]]</f>
        <v>687 - 47</v>
      </c>
    </row>
    <row r="1749" spans="1:22" hidden="1">
      <c r="A1749">
        <v>3160</v>
      </c>
      <c r="B1749">
        <v>3810</v>
      </c>
      <c r="C1749">
        <v>6923</v>
      </c>
      <c r="D1749">
        <v>6966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 t="s">
        <v>20</v>
      </c>
      <c r="L1749" s="1">
        <v>44748</v>
      </c>
      <c r="M1749">
        <v>698</v>
      </c>
      <c r="N1749">
        <v>47</v>
      </c>
      <c r="O1749">
        <v>874</v>
      </c>
      <c r="P1749">
        <v>851</v>
      </c>
      <c r="Q1749">
        <v>874</v>
      </c>
      <c r="S1749">
        <v>2683</v>
      </c>
      <c r="T1749">
        <v>2743</v>
      </c>
      <c r="U1749">
        <f>+SUM(Table1[[#This Row],[Latinos]:[Cemex]])</f>
        <v>1</v>
      </c>
      <c r="V1749" t="str">
        <f>+Table1[[#This Row],[id_destino]]&amp;" - "&amp;Table1[[#This Row],[id_origen]]</f>
        <v>698 - 47</v>
      </c>
    </row>
    <row r="1750" spans="1:22" hidden="1">
      <c r="A1750">
        <v>4721</v>
      </c>
      <c r="B1750">
        <v>2109</v>
      </c>
      <c r="C1750">
        <v>230</v>
      </c>
      <c r="D1750">
        <v>8200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 t="s">
        <v>20</v>
      </c>
      <c r="L1750" s="1">
        <v>45757</v>
      </c>
      <c r="M1750">
        <v>704</v>
      </c>
      <c r="N1750">
        <v>47</v>
      </c>
      <c r="O1750">
        <v>51</v>
      </c>
      <c r="P1750">
        <v>150</v>
      </c>
      <c r="Q1750">
        <v>51</v>
      </c>
      <c r="S1750">
        <v>0</v>
      </c>
      <c r="T1750">
        <v>0</v>
      </c>
      <c r="U1750">
        <f>+SUM(Table1[[#This Row],[Latinos]:[Cemex]])</f>
        <v>1</v>
      </c>
      <c r="V1750" t="str">
        <f>+Table1[[#This Row],[id_destino]]&amp;" - "&amp;Table1[[#This Row],[id_origen]]</f>
        <v>704 - 47</v>
      </c>
    </row>
    <row r="1751" spans="1:22" hidden="1">
      <c r="A1751">
        <v>100</v>
      </c>
      <c r="B1751">
        <v>2229</v>
      </c>
      <c r="C1751">
        <v>230</v>
      </c>
      <c r="D1751">
        <v>5286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 t="s">
        <v>20</v>
      </c>
      <c r="L1751" s="1">
        <v>42991</v>
      </c>
      <c r="M1751">
        <v>718</v>
      </c>
      <c r="N1751">
        <v>47</v>
      </c>
      <c r="O1751">
        <v>191</v>
      </c>
      <c r="P1751">
        <v>197</v>
      </c>
      <c r="Q1751">
        <v>191</v>
      </c>
      <c r="S1751">
        <v>495</v>
      </c>
      <c r="T1751">
        <v>518</v>
      </c>
      <c r="U1751">
        <f>+SUM(Table1[[#This Row],[Latinos]:[Cemex]])</f>
        <v>1</v>
      </c>
      <c r="V1751" t="str">
        <f>+Table1[[#This Row],[id_destino]]&amp;" - "&amp;Table1[[#This Row],[id_origen]]</f>
        <v>718 - 47</v>
      </c>
    </row>
    <row r="1752" spans="1:22" hidden="1">
      <c r="A1752">
        <v>165</v>
      </c>
      <c r="B1752">
        <v>2236</v>
      </c>
      <c r="C1752">
        <v>230</v>
      </c>
      <c r="D1752">
        <v>5295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 t="s">
        <v>20</v>
      </c>
      <c r="L1752" s="1">
        <v>43004</v>
      </c>
      <c r="M1752">
        <v>720</v>
      </c>
      <c r="N1752">
        <v>47</v>
      </c>
      <c r="O1752">
        <v>178</v>
      </c>
      <c r="P1752">
        <v>191</v>
      </c>
      <c r="Q1752">
        <v>178</v>
      </c>
      <c r="S1752">
        <v>128</v>
      </c>
      <c r="T1752">
        <v>151</v>
      </c>
      <c r="U1752">
        <f>+SUM(Table1[[#This Row],[Latinos]:[Cemex]])</f>
        <v>1</v>
      </c>
      <c r="V1752" t="str">
        <f>+Table1[[#This Row],[id_destino]]&amp;" - "&amp;Table1[[#This Row],[id_origen]]</f>
        <v>720 - 47</v>
      </c>
    </row>
    <row r="1753" spans="1:22" hidden="1">
      <c r="A1753">
        <v>997</v>
      </c>
      <c r="B1753">
        <v>2536</v>
      </c>
      <c r="C1753">
        <v>230</v>
      </c>
      <c r="D1753">
        <v>5574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 t="s">
        <v>20</v>
      </c>
      <c r="L1753" s="1">
        <v>43242</v>
      </c>
      <c r="M1753">
        <v>748</v>
      </c>
      <c r="N1753">
        <v>47</v>
      </c>
      <c r="O1753">
        <v>198</v>
      </c>
      <c r="P1753">
        <v>198</v>
      </c>
      <c r="Q1753">
        <v>198</v>
      </c>
      <c r="S1753">
        <v>534</v>
      </c>
      <c r="T1753">
        <v>655</v>
      </c>
      <c r="U1753">
        <f>+SUM(Table1[[#This Row],[Latinos]:[Cemex]])</f>
        <v>1</v>
      </c>
      <c r="V1753" t="str">
        <f>+Table1[[#This Row],[id_destino]]&amp;" - "&amp;Table1[[#This Row],[id_origen]]</f>
        <v>748 - 47</v>
      </c>
    </row>
    <row r="1754" spans="1:22" hidden="1">
      <c r="A1754">
        <v>1384</v>
      </c>
      <c r="B1754">
        <v>2712</v>
      </c>
      <c r="C1754">
        <v>230</v>
      </c>
      <c r="D1754">
        <v>5744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 t="s">
        <v>20</v>
      </c>
      <c r="L1754" s="1">
        <v>43413</v>
      </c>
      <c r="M1754">
        <v>760</v>
      </c>
      <c r="N1754">
        <v>47</v>
      </c>
      <c r="O1754">
        <v>923</v>
      </c>
      <c r="P1754">
        <v>923</v>
      </c>
      <c r="Q1754">
        <v>923</v>
      </c>
      <c r="S1754">
        <v>2011</v>
      </c>
      <c r="T1754">
        <v>2011</v>
      </c>
      <c r="U1754">
        <f>+SUM(Table1[[#This Row],[Latinos]:[Cemex]])</f>
        <v>1</v>
      </c>
      <c r="V1754" t="str">
        <f>+Table1[[#This Row],[id_destino]]&amp;" - "&amp;Table1[[#This Row],[id_origen]]</f>
        <v>760 - 47</v>
      </c>
    </row>
    <row r="1755" spans="1:22" hidden="1">
      <c r="A1755">
        <v>1624</v>
      </c>
      <c r="B1755">
        <v>2846</v>
      </c>
      <c r="C1755">
        <v>230</v>
      </c>
      <c r="D1755">
        <v>5850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  <c r="K1755" t="s">
        <v>20</v>
      </c>
      <c r="L1755" s="1">
        <v>43536</v>
      </c>
      <c r="M1755">
        <v>768</v>
      </c>
      <c r="N1755">
        <v>47</v>
      </c>
      <c r="O1755">
        <v>182</v>
      </c>
      <c r="P1755">
        <v>192</v>
      </c>
      <c r="Q1755">
        <v>182</v>
      </c>
      <c r="S1755">
        <v>486</v>
      </c>
      <c r="T1755">
        <v>486</v>
      </c>
      <c r="U1755">
        <f>+SUM(Table1[[#This Row],[Latinos]:[Cemex]])</f>
        <v>1</v>
      </c>
      <c r="V1755" t="str">
        <f>+Table1[[#This Row],[id_destino]]&amp;" - "&amp;Table1[[#This Row],[id_origen]]</f>
        <v>768 - 47</v>
      </c>
    </row>
    <row r="1756" spans="1:22" hidden="1">
      <c r="A1756">
        <v>1902</v>
      </c>
      <c r="B1756">
        <v>3008</v>
      </c>
      <c r="C1756">
        <v>230</v>
      </c>
      <c r="D1756">
        <v>6029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 t="s">
        <v>20</v>
      </c>
      <c r="L1756" s="1">
        <v>43703</v>
      </c>
      <c r="M1756">
        <v>781</v>
      </c>
      <c r="N1756">
        <v>47</v>
      </c>
      <c r="O1756">
        <v>545</v>
      </c>
      <c r="P1756">
        <v>550</v>
      </c>
      <c r="Q1756">
        <v>545</v>
      </c>
      <c r="S1756">
        <v>1382</v>
      </c>
      <c r="T1756">
        <v>1442</v>
      </c>
      <c r="U1756">
        <f>+SUM(Table1[[#This Row],[Latinos]:[Cemex]])</f>
        <v>1</v>
      </c>
      <c r="V1756" t="str">
        <f>+Table1[[#This Row],[id_destino]]&amp;" - "&amp;Table1[[#This Row],[id_origen]]</f>
        <v>781 - 47</v>
      </c>
    </row>
    <row r="1757" spans="1:22" hidden="1">
      <c r="A1757">
        <v>1903</v>
      </c>
      <c r="B1757">
        <v>3009</v>
      </c>
      <c r="C1757">
        <v>230</v>
      </c>
      <c r="D1757">
        <v>6030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 t="s">
        <v>20</v>
      </c>
      <c r="L1757" s="1">
        <v>43703</v>
      </c>
      <c r="M1757">
        <v>782</v>
      </c>
      <c r="N1757">
        <v>47</v>
      </c>
      <c r="O1757">
        <v>796</v>
      </c>
      <c r="P1757">
        <v>822</v>
      </c>
      <c r="Q1757">
        <v>796</v>
      </c>
      <c r="S1757">
        <v>1685</v>
      </c>
      <c r="T1757">
        <v>1745</v>
      </c>
      <c r="U1757">
        <f>+SUM(Table1[[#This Row],[Latinos]:[Cemex]])</f>
        <v>1</v>
      </c>
      <c r="V1757" t="str">
        <f>+Table1[[#This Row],[id_destino]]&amp;" - "&amp;Table1[[#This Row],[id_origen]]</f>
        <v>782 - 47</v>
      </c>
    </row>
    <row r="1758" spans="1:22" hidden="1">
      <c r="A1758">
        <v>1930</v>
      </c>
      <c r="B1758">
        <v>3024</v>
      </c>
      <c r="C1758">
        <v>230</v>
      </c>
      <c r="D1758">
        <v>6057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 t="s">
        <v>20</v>
      </c>
      <c r="L1758" s="1">
        <v>43720</v>
      </c>
      <c r="M1758">
        <v>787</v>
      </c>
      <c r="N1758">
        <v>47</v>
      </c>
      <c r="O1758">
        <v>291</v>
      </c>
      <c r="P1758">
        <v>291</v>
      </c>
      <c r="Q1758">
        <v>291</v>
      </c>
      <c r="S1758">
        <v>1049</v>
      </c>
      <c r="T1758">
        <v>1109</v>
      </c>
      <c r="U1758">
        <f>+SUM(Table1[[#This Row],[Latinos]:[Cemex]])</f>
        <v>1</v>
      </c>
      <c r="V1758" t="str">
        <f>+Table1[[#This Row],[id_destino]]&amp;" - "&amp;Table1[[#This Row],[id_origen]]</f>
        <v>787 - 47</v>
      </c>
    </row>
    <row r="1759" spans="1:22" hidden="1">
      <c r="A1759">
        <v>1984</v>
      </c>
      <c r="B1759">
        <v>3060</v>
      </c>
      <c r="C1759">
        <v>230</v>
      </c>
      <c r="D1759">
        <v>6090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 t="s">
        <v>20</v>
      </c>
      <c r="L1759" s="1">
        <v>43748</v>
      </c>
      <c r="M1759">
        <v>789</v>
      </c>
      <c r="N1759">
        <v>47</v>
      </c>
      <c r="O1759">
        <v>310</v>
      </c>
      <c r="P1759">
        <v>323</v>
      </c>
      <c r="Q1759">
        <v>310</v>
      </c>
      <c r="S1759">
        <v>603</v>
      </c>
      <c r="T1759">
        <v>728</v>
      </c>
      <c r="U1759">
        <f>+SUM(Table1[[#This Row],[Latinos]:[Cemex]])</f>
        <v>1</v>
      </c>
      <c r="V1759" t="str">
        <f>+Table1[[#This Row],[id_destino]]&amp;" - "&amp;Table1[[#This Row],[id_origen]]</f>
        <v>789 - 47</v>
      </c>
    </row>
    <row r="1760" spans="1:22" hidden="1">
      <c r="A1760">
        <v>2008</v>
      </c>
      <c r="B1760">
        <v>3073</v>
      </c>
      <c r="C1760">
        <v>230</v>
      </c>
      <c r="D1760">
        <v>6115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 t="s">
        <v>20</v>
      </c>
      <c r="L1760" s="1">
        <v>43767</v>
      </c>
      <c r="M1760">
        <v>791</v>
      </c>
      <c r="N1760">
        <v>47</v>
      </c>
      <c r="O1760">
        <v>90</v>
      </c>
      <c r="P1760">
        <v>150</v>
      </c>
      <c r="Q1760">
        <v>90</v>
      </c>
      <c r="S1760">
        <v>0</v>
      </c>
      <c r="T1760">
        <v>0</v>
      </c>
      <c r="U1760">
        <f>+SUM(Table1[[#This Row],[Latinos]:[Cemex]])</f>
        <v>1</v>
      </c>
      <c r="V1760" t="str">
        <f>+Table1[[#This Row],[id_destino]]&amp;" - "&amp;Table1[[#This Row],[id_origen]]</f>
        <v>791 - 47</v>
      </c>
    </row>
    <row r="1761" spans="1:22" hidden="1">
      <c r="A1761">
        <v>2097</v>
      </c>
      <c r="B1761">
        <v>3129</v>
      </c>
      <c r="C1761">
        <v>230</v>
      </c>
      <c r="D1761">
        <v>6180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  <c r="K1761" t="s">
        <v>20</v>
      </c>
      <c r="L1761" s="1">
        <v>43808</v>
      </c>
      <c r="M1761">
        <v>796</v>
      </c>
      <c r="N1761">
        <v>47</v>
      </c>
      <c r="O1761">
        <v>152</v>
      </c>
      <c r="P1761">
        <v>152</v>
      </c>
      <c r="Q1761">
        <v>152</v>
      </c>
      <c r="S1761">
        <v>0</v>
      </c>
      <c r="T1761">
        <v>0</v>
      </c>
      <c r="U1761">
        <f>+SUM(Table1[[#This Row],[Latinos]:[Cemex]])</f>
        <v>1</v>
      </c>
      <c r="V1761" t="str">
        <f>+Table1[[#This Row],[id_destino]]&amp;" - "&amp;Table1[[#This Row],[id_origen]]</f>
        <v>796 - 47</v>
      </c>
    </row>
    <row r="1762" spans="1:22" hidden="1">
      <c r="A1762">
        <v>3728</v>
      </c>
      <c r="B1762">
        <v>4187</v>
      </c>
      <c r="C1762">
        <v>230</v>
      </c>
      <c r="D1762">
        <v>7337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 t="s">
        <v>20</v>
      </c>
      <c r="L1762" s="1">
        <v>45057</v>
      </c>
      <c r="M1762">
        <v>797</v>
      </c>
      <c r="N1762">
        <v>47</v>
      </c>
      <c r="O1762">
        <v>1066</v>
      </c>
      <c r="P1762">
        <v>988</v>
      </c>
      <c r="Q1762">
        <v>1066</v>
      </c>
      <c r="S1762">
        <v>2386</v>
      </c>
      <c r="T1762">
        <v>2386</v>
      </c>
      <c r="U1762">
        <f>+SUM(Table1[[#This Row],[Latinos]:[Cemex]])</f>
        <v>1</v>
      </c>
      <c r="V1762" t="str">
        <f>+Table1[[#This Row],[id_destino]]&amp;" - "&amp;Table1[[#This Row],[id_origen]]</f>
        <v>797 - 47</v>
      </c>
    </row>
    <row r="1763" spans="1:22" hidden="1">
      <c r="A1763">
        <v>2126</v>
      </c>
      <c r="B1763">
        <v>3149</v>
      </c>
      <c r="C1763">
        <v>230</v>
      </c>
      <c r="D1763">
        <v>6200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 t="s">
        <v>20</v>
      </c>
      <c r="L1763" s="1">
        <v>43820</v>
      </c>
      <c r="M1763">
        <v>799</v>
      </c>
      <c r="N1763">
        <v>47</v>
      </c>
      <c r="O1763">
        <v>107</v>
      </c>
      <c r="P1763">
        <v>150</v>
      </c>
      <c r="Q1763">
        <v>107</v>
      </c>
      <c r="S1763">
        <v>48</v>
      </c>
      <c r="T1763">
        <v>70</v>
      </c>
      <c r="U1763">
        <f>+SUM(Table1[[#This Row],[Latinos]:[Cemex]])</f>
        <v>1</v>
      </c>
      <c r="V1763" t="str">
        <f>+Table1[[#This Row],[id_destino]]&amp;" - "&amp;Table1[[#This Row],[id_origen]]</f>
        <v>799 - 47</v>
      </c>
    </row>
    <row r="1764" spans="1:22" hidden="1">
      <c r="A1764">
        <v>2161</v>
      </c>
      <c r="B1764">
        <v>3176</v>
      </c>
      <c r="C1764">
        <v>230</v>
      </c>
      <c r="D1764">
        <v>6226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 t="s">
        <v>20</v>
      </c>
      <c r="L1764" s="1">
        <v>43837</v>
      </c>
      <c r="M1764">
        <v>805</v>
      </c>
      <c r="N1764">
        <v>47</v>
      </c>
      <c r="O1764">
        <v>210</v>
      </c>
      <c r="P1764">
        <v>192</v>
      </c>
      <c r="Q1764">
        <v>210</v>
      </c>
      <c r="S1764">
        <v>547</v>
      </c>
      <c r="T1764">
        <v>573</v>
      </c>
      <c r="U1764">
        <f>+SUM(Table1[[#This Row],[Latinos]:[Cemex]])</f>
        <v>1</v>
      </c>
      <c r="V1764" t="str">
        <f>+Table1[[#This Row],[id_destino]]&amp;" - "&amp;Table1[[#This Row],[id_origen]]</f>
        <v>805 - 47</v>
      </c>
    </row>
    <row r="1765" spans="1:22" hidden="1">
      <c r="A1765">
        <v>2222</v>
      </c>
      <c r="B1765">
        <v>3210</v>
      </c>
      <c r="C1765">
        <v>230</v>
      </c>
      <c r="D1765">
        <v>6265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 t="s">
        <v>20</v>
      </c>
      <c r="L1765" s="1">
        <v>43861</v>
      </c>
      <c r="M1765">
        <v>809</v>
      </c>
      <c r="N1765">
        <v>47</v>
      </c>
      <c r="O1765">
        <v>597</v>
      </c>
      <c r="P1765">
        <v>605</v>
      </c>
      <c r="Q1765">
        <v>597</v>
      </c>
      <c r="S1765">
        <v>1679</v>
      </c>
      <c r="T1765">
        <v>1739</v>
      </c>
      <c r="U1765">
        <f>+SUM(Table1[[#This Row],[Latinos]:[Cemex]])</f>
        <v>1</v>
      </c>
      <c r="V1765" t="str">
        <f>+Table1[[#This Row],[id_destino]]&amp;" - "&amp;Table1[[#This Row],[id_origen]]</f>
        <v>809 - 47</v>
      </c>
    </row>
    <row r="1766" spans="1:22" hidden="1">
      <c r="A1766">
        <v>2347</v>
      </c>
      <c r="B1766">
        <v>3290</v>
      </c>
      <c r="C1766">
        <v>230</v>
      </c>
      <c r="D1766">
        <v>6345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 t="s">
        <v>20</v>
      </c>
      <c r="L1766" s="1">
        <v>43962</v>
      </c>
      <c r="M1766">
        <v>812</v>
      </c>
      <c r="N1766">
        <v>47</v>
      </c>
      <c r="O1766">
        <v>832</v>
      </c>
      <c r="P1766">
        <v>830</v>
      </c>
      <c r="Q1766">
        <v>832</v>
      </c>
      <c r="S1766">
        <v>2454</v>
      </c>
      <c r="T1766">
        <v>2323</v>
      </c>
      <c r="U1766">
        <f>+SUM(Table1[[#This Row],[Latinos]:[Cemex]])</f>
        <v>1</v>
      </c>
      <c r="V1766" t="str">
        <f>+Table1[[#This Row],[id_destino]]&amp;" - "&amp;Table1[[#This Row],[id_origen]]</f>
        <v>812 - 47</v>
      </c>
    </row>
    <row r="1767" spans="1:22" hidden="1">
      <c r="A1767">
        <v>2568</v>
      </c>
      <c r="B1767">
        <v>3423</v>
      </c>
      <c r="C1767">
        <v>230</v>
      </c>
      <c r="D1767">
        <v>6492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 t="s">
        <v>20</v>
      </c>
      <c r="L1767" s="1">
        <v>44183</v>
      </c>
      <c r="M1767">
        <v>822</v>
      </c>
      <c r="N1767">
        <v>47</v>
      </c>
      <c r="O1767">
        <v>683</v>
      </c>
      <c r="P1767">
        <v>671</v>
      </c>
      <c r="Q1767">
        <v>683</v>
      </c>
      <c r="S1767">
        <v>1834</v>
      </c>
      <c r="T1767">
        <v>1948</v>
      </c>
      <c r="U1767">
        <f>+SUM(Table1[[#This Row],[Latinos]:[Cemex]])</f>
        <v>1</v>
      </c>
      <c r="V1767" t="str">
        <f>+Table1[[#This Row],[id_destino]]&amp;" - "&amp;Table1[[#This Row],[id_origen]]</f>
        <v>822 - 47</v>
      </c>
    </row>
    <row r="1768" spans="1:22" hidden="1">
      <c r="A1768">
        <v>4707</v>
      </c>
      <c r="B1768">
        <v>4858</v>
      </c>
      <c r="C1768">
        <v>8183</v>
      </c>
      <c r="D1768">
        <v>8184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 t="s">
        <v>20</v>
      </c>
      <c r="L1768" s="1">
        <v>45745</v>
      </c>
      <c r="M1768">
        <v>842</v>
      </c>
      <c r="N1768">
        <v>47</v>
      </c>
      <c r="O1768">
        <v>131</v>
      </c>
      <c r="P1768">
        <v>150</v>
      </c>
      <c r="Q1768">
        <v>131</v>
      </c>
      <c r="S1768">
        <v>576</v>
      </c>
      <c r="T1768">
        <v>674</v>
      </c>
      <c r="U1768">
        <f>+SUM(Table1[[#This Row],[Latinos]:[Cemex]])</f>
        <v>1</v>
      </c>
      <c r="V1768" t="str">
        <f>+Table1[[#This Row],[id_destino]]&amp;" - "&amp;Table1[[#This Row],[id_origen]]</f>
        <v>842 - 47</v>
      </c>
    </row>
    <row r="1769" spans="1:22" hidden="1">
      <c r="A1769">
        <v>2949</v>
      </c>
      <c r="B1769">
        <v>3675</v>
      </c>
      <c r="C1769">
        <v>230</v>
      </c>
      <c r="D1769">
        <v>6829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 t="s">
        <v>20</v>
      </c>
      <c r="L1769" s="1">
        <v>44636</v>
      </c>
      <c r="M1769">
        <v>845</v>
      </c>
      <c r="N1769">
        <v>47</v>
      </c>
      <c r="O1769">
        <v>355</v>
      </c>
      <c r="P1769">
        <v>315</v>
      </c>
      <c r="Q1769">
        <v>355</v>
      </c>
      <c r="S1769">
        <v>498</v>
      </c>
      <c r="T1769">
        <v>537</v>
      </c>
      <c r="U1769">
        <f>+SUM(Table1[[#This Row],[Latinos]:[Cemex]])</f>
        <v>1</v>
      </c>
      <c r="V1769" t="str">
        <f>+Table1[[#This Row],[id_destino]]&amp;" - "&amp;Table1[[#This Row],[id_origen]]</f>
        <v>845 - 47</v>
      </c>
    </row>
    <row r="1770" spans="1:22" hidden="1">
      <c r="A1770">
        <v>3193</v>
      </c>
      <c r="B1770">
        <v>3831</v>
      </c>
      <c r="C1770">
        <v>2413</v>
      </c>
      <c r="D1770">
        <v>6985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 t="s">
        <v>20</v>
      </c>
      <c r="L1770" s="1">
        <v>44765</v>
      </c>
      <c r="M1770">
        <v>854</v>
      </c>
      <c r="N1770">
        <v>47</v>
      </c>
      <c r="O1770">
        <v>147</v>
      </c>
      <c r="P1770">
        <v>154</v>
      </c>
      <c r="Q1770">
        <v>147</v>
      </c>
      <c r="S1770">
        <v>413</v>
      </c>
      <c r="T1770">
        <v>413</v>
      </c>
      <c r="U1770">
        <f>+SUM(Table1[[#This Row],[Latinos]:[Cemex]])</f>
        <v>1</v>
      </c>
      <c r="V1770" t="str">
        <f>+Table1[[#This Row],[id_destino]]&amp;" - "&amp;Table1[[#This Row],[id_origen]]</f>
        <v>854 - 47</v>
      </c>
    </row>
    <row r="1771" spans="1:22" hidden="1">
      <c r="A1771">
        <v>4353</v>
      </c>
      <c r="B1771">
        <v>4592</v>
      </c>
      <c r="C1771">
        <v>230</v>
      </c>
      <c r="D1771">
        <v>7844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0</v>
      </c>
      <c r="K1771" t="s">
        <v>20</v>
      </c>
      <c r="L1771" s="1">
        <v>45489</v>
      </c>
      <c r="M1771">
        <v>855</v>
      </c>
      <c r="N1771">
        <v>47</v>
      </c>
      <c r="O1771">
        <v>542</v>
      </c>
      <c r="P1771">
        <v>523</v>
      </c>
      <c r="Q1771">
        <v>542</v>
      </c>
      <c r="S1771">
        <v>1272</v>
      </c>
      <c r="T1771">
        <v>1272</v>
      </c>
      <c r="U1771">
        <f>+SUM(Table1[[#This Row],[Latinos]:[Cemex]])</f>
        <v>1</v>
      </c>
      <c r="V1771" t="str">
        <f>+Table1[[#This Row],[id_destino]]&amp;" - "&amp;Table1[[#This Row],[id_origen]]</f>
        <v>855 - 47</v>
      </c>
    </row>
    <row r="1772" spans="1:22" hidden="1">
      <c r="A1772">
        <v>3267</v>
      </c>
      <c r="B1772">
        <v>3877</v>
      </c>
      <c r="C1772">
        <v>230</v>
      </c>
      <c r="D1772">
        <v>7022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 t="s">
        <v>20</v>
      </c>
      <c r="L1772" s="1">
        <v>44798</v>
      </c>
      <c r="M1772">
        <v>859</v>
      </c>
      <c r="N1772">
        <v>47</v>
      </c>
      <c r="O1772">
        <v>699</v>
      </c>
      <c r="P1772">
        <v>683</v>
      </c>
      <c r="Q1772">
        <v>699</v>
      </c>
      <c r="S1772">
        <v>1750</v>
      </c>
      <c r="T1772">
        <v>1810</v>
      </c>
      <c r="U1772">
        <f>+SUM(Table1[[#This Row],[Latinos]:[Cemex]])</f>
        <v>1</v>
      </c>
      <c r="V1772" t="str">
        <f>+Table1[[#This Row],[id_destino]]&amp;" - "&amp;Table1[[#This Row],[id_origen]]</f>
        <v>859 - 47</v>
      </c>
    </row>
    <row r="1773" spans="1:22" hidden="1">
      <c r="A1773">
        <v>3355</v>
      </c>
      <c r="B1773">
        <v>3931</v>
      </c>
      <c r="C1773">
        <v>230</v>
      </c>
      <c r="D1773">
        <v>7076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 t="s">
        <v>20</v>
      </c>
      <c r="L1773" s="1">
        <v>44847</v>
      </c>
      <c r="M1773">
        <v>860</v>
      </c>
      <c r="N1773">
        <v>47</v>
      </c>
      <c r="O1773">
        <v>1054</v>
      </c>
      <c r="P1773">
        <v>1036</v>
      </c>
      <c r="Q1773">
        <v>1054</v>
      </c>
      <c r="S1773">
        <v>2948</v>
      </c>
      <c r="T1773">
        <v>3008</v>
      </c>
      <c r="U1773">
        <f>+SUM(Table1[[#This Row],[Latinos]:[Cemex]])</f>
        <v>1</v>
      </c>
      <c r="V1773" t="str">
        <f>+Table1[[#This Row],[id_destino]]&amp;" - "&amp;Table1[[#This Row],[id_origen]]</f>
        <v>860 - 47</v>
      </c>
    </row>
    <row r="1774" spans="1:22" hidden="1">
      <c r="A1774">
        <v>3447</v>
      </c>
      <c r="B1774">
        <v>3996</v>
      </c>
      <c r="C1774">
        <v>7000</v>
      </c>
      <c r="D1774">
        <v>7130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0</v>
      </c>
      <c r="K1774" t="s">
        <v>20</v>
      </c>
      <c r="L1774" s="1">
        <v>44897</v>
      </c>
      <c r="M1774">
        <v>863</v>
      </c>
      <c r="N1774">
        <v>47</v>
      </c>
      <c r="O1774">
        <v>412</v>
      </c>
      <c r="P1774">
        <v>389</v>
      </c>
      <c r="Q1774">
        <v>412</v>
      </c>
      <c r="S1774">
        <v>946</v>
      </c>
      <c r="T1774">
        <v>948</v>
      </c>
      <c r="U1774">
        <f>+SUM(Table1[[#This Row],[Latinos]:[Cemex]])</f>
        <v>1</v>
      </c>
      <c r="V1774" t="str">
        <f>+Table1[[#This Row],[id_destino]]&amp;" - "&amp;Table1[[#This Row],[id_origen]]</f>
        <v>863 - 47</v>
      </c>
    </row>
    <row r="1775" spans="1:22" hidden="1">
      <c r="A1775">
        <v>3480</v>
      </c>
      <c r="B1775">
        <v>4018</v>
      </c>
      <c r="C1775">
        <v>7000</v>
      </c>
      <c r="D1775">
        <v>7154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 t="s">
        <v>20</v>
      </c>
      <c r="L1775" s="1">
        <v>44916</v>
      </c>
      <c r="M1775">
        <v>867</v>
      </c>
      <c r="N1775">
        <v>47</v>
      </c>
      <c r="O1775">
        <v>631</v>
      </c>
      <c r="P1775">
        <v>621</v>
      </c>
      <c r="Q1775">
        <v>631</v>
      </c>
      <c r="S1775">
        <v>1554</v>
      </c>
      <c r="T1775">
        <v>1668</v>
      </c>
      <c r="U1775">
        <f>+SUM(Table1[[#This Row],[Latinos]:[Cemex]])</f>
        <v>1</v>
      </c>
      <c r="V1775" t="str">
        <f>+Table1[[#This Row],[id_destino]]&amp;" - "&amp;Table1[[#This Row],[id_origen]]</f>
        <v>867 - 47</v>
      </c>
    </row>
    <row r="1776" spans="1:22" hidden="1">
      <c r="A1776">
        <v>3564</v>
      </c>
      <c r="B1776">
        <v>4074</v>
      </c>
      <c r="C1776">
        <v>6283</v>
      </c>
      <c r="D1776">
        <v>7216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 t="s">
        <v>20</v>
      </c>
      <c r="L1776" s="1">
        <v>44959</v>
      </c>
      <c r="M1776">
        <v>870</v>
      </c>
      <c r="N1776">
        <v>47</v>
      </c>
      <c r="O1776">
        <v>561</v>
      </c>
      <c r="P1776">
        <v>530</v>
      </c>
      <c r="Q1776">
        <v>561</v>
      </c>
      <c r="S1776">
        <v>1554</v>
      </c>
      <c r="T1776">
        <v>1668</v>
      </c>
      <c r="U1776">
        <f>+SUM(Table1[[#This Row],[Latinos]:[Cemex]])</f>
        <v>1</v>
      </c>
      <c r="V1776" t="str">
        <f>+Table1[[#This Row],[id_destino]]&amp;" - "&amp;Table1[[#This Row],[id_origen]]</f>
        <v>870 - 47</v>
      </c>
    </row>
    <row r="1777" spans="1:22" hidden="1">
      <c r="A1777">
        <v>3917</v>
      </c>
      <c r="B1777">
        <v>4301</v>
      </c>
      <c r="C1777">
        <v>230</v>
      </c>
      <c r="D1777">
        <v>7468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 t="s">
        <v>20</v>
      </c>
      <c r="L1777" s="1">
        <v>45180</v>
      </c>
      <c r="M1777">
        <v>880</v>
      </c>
      <c r="N1777">
        <v>47</v>
      </c>
      <c r="O1777">
        <v>662</v>
      </c>
      <c r="P1777">
        <v>658</v>
      </c>
      <c r="Q1777">
        <v>662</v>
      </c>
      <c r="S1777">
        <v>2102</v>
      </c>
      <c r="T1777">
        <v>2102</v>
      </c>
      <c r="U1777">
        <f>+SUM(Table1[[#This Row],[Latinos]:[Cemex]])</f>
        <v>1</v>
      </c>
      <c r="V1777" t="str">
        <f>+Table1[[#This Row],[id_destino]]&amp;" - "&amp;Table1[[#This Row],[id_origen]]</f>
        <v>880 - 47</v>
      </c>
    </row>
    <row r="1778" spans="1:22" hidden="1">
      <c r="A1778">
        <v>4280</v>
      </c>
      <c r="B1778">
        <v>4301</v>
      </c>
      <c r="C1778">
        <v>7053</v>
      </c>
      <c r="D1778">
        <v>7761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  <c r="K1778" t="s">
        <v>20</v>
      </c>
      <c r="L1778" s="1">
        <v>45423</v>
      </c>
      <c r="M1778">
        <v>880</v>
      </c>
      <c r="N1778">
        <v>47</v>
      </c>
      <c r="O1778">
        <v>669</v>
      </c>
      <c r="P1778">
        <v>668</v>
      </c>
      <c r="Q1778">
        <v>669</v>
      </c>
      <c r="S1778">
        <v>1982</v>
      </c>
      <c r="T1778">
        <v>1982</v>
      </c>
      <c r="U1778">
        <f>+SUM(Table1[[#This Row],[Latinos]:[Cemex]])</f>
        <v>1</v>
      </c>
      <c r="V1778" t="str">
        <f>+Table1[[#This Row],[id_destino]]&amp;" - "&amp;Table1[[#This Row],[id_origen]]</f>
        <v>880 - 47</v>
      </c>
    </row>
    <row r="1779" spans="1:22" hidden="1">
      <c r="A1779">
        <v>4043</v>
      </c>
      <c r="B1779">
        <v>4380</v>
      </c>
      <c r="C1779">
        <v>7000</v>
      </c>
      <c r="D1779">
        <v>7560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 t="s">
        <v>20</v>
      </c>
      <c r="L1779" s="1">
        <v>45246</v>
      </c>
      <c r="M1779">
        <v>888</v>
      </c>
      <c r="N1779">
        <v>47</v>
      </c>
      <c r="O1779">
        <v>180</v>
      </c>
      <c r="P1779">
        <v>165</v>
      </c>
      <c r="Q1779">
        <v>180</v>
      </c>
      <c r="S1779">
        <v>358</v>
      </c>
      <c r="T1779">
        <v>358</v>
      </c>
      <c r="U1779">
        <f>+SUM(Table1[[#This Row],[Latinos]:[Cemex]])</f>
        <v>1</v>
      </c>
      <c r="V1779" t="str">
        <f>+Table1[[#This Row],[id_destino]]&amp;" - "&amp;Table1[[#This Row],[id_origen]]</f>
        <v>888 - 47</v>
      </c>
    </row>
    <row r="1780" spans="1:22" hidden="1">
      <c r="A1780">
        <v>4081</v>
      </c>
      <c r="B1780">
        <v>4408</v>
      </c>
      <c r="C1780">
        <v>230</v>
      </c>
      <c r="D1780">
        <v>7594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 t="s">
        <v>20</v>
      </c>
      <c r="L1780" s="1">
        <v>45272</v>
      </c>
      <c r="M1780">
        <v>892</v>
      </c>
      <c r="N1780">
        <v>47</v>
      </c>
      <c r="O1780">
        <v>884</v>
      </c>
      <c r="P1780">
        <v>868</v>
      </c>
      <c r="Q1780">
        <v>884</v>
      </c>
      <c r="S1780">
        <v>2231</v>
      </c>
      <c r="T1780">
        <v>2231</v>
      </c>
      <c r="U1780">
        <f>+SUM(Table1[[#This Row],[Latinos]:[Cemex]])</f>
        <v>1</v>
      </c>
      <c r="V1780" t="str">
        <f>+Table1[[#This Row],[id_destino]]&amp;" - "&amp;Table1[[#This Row],[id_origen]]</f>
        <v>892 - 47</v>
      </c>
    </row>
    <row r="1781" spans="1:22" hidden="1">
      <c r="A1781">
        <v>4083</v>
      </c>
      <c r="B1781">
        <v>4409</v>
      </c>
      <c r="C1781">
        <v>230</v>
      </c>
      <c r="D1781">
        <v>7596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 t="s">
        <v>20</v>
      </c>
      <c r="L1781" s="1">
        <v>45273</v>
      </c>
      <c r="M1781">
        <v>893</v>
      </c>
      <c r="N1781">
        <v>47</v>
      </c>
      <c r="O1781">
        <v>95</v>
      </c>
      <c r="P1781">
        <v>150</v>
      </c>
      <c r="Q1781">
        <v>95</v>
      </c>
      <c r="S1781">
        <v>543</v>
      </c>
      <c r="T1781">
        <v>543</v>
      </c>
      <c r="U1781">
        <f>+SUM(Table1[[#This Row],[Latinos]:[Cemex]])</f>
        <v>1</v>
      </c>
      <c r="V1781" t="str">
        <f>+Table1[[#This Row],[id_destino]]&amp;" - "&amp;Table1[[#This Row],[id_origen]]</f>
        <v>893 - 47</v>
      </c>
    </row>
    <row r="1782" spans="1:22" hidden="1">
      <c r="A1782">
        <v>4104</v>
      </c>
      <c r="B1782">
        <v>4422</v>
      </c>
      <c r="C1782">
        <v>7053</v>
      </c>
      <c r="D1782">
        <v>7609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 t="s">
        <v>20</v>
      </c>
      <c r="L1782" s="1">
        <v>45294</v>
      </c>
      <c r="M1782">
        <v>895</v>
      </c>
      <c r="N1782">
        <v>47</v>
      </c>
      <c r="O1782">
        <v>1020</v>
      </c>
      <c r="P1782">
        <v>950</v>
      </c>
      <c r="Q1782">
        <v>1020</v>
      </c>
      <c r="S1782">
        <v>2175</v>
      </c>
      <c r="T1782">
        <v>2175</v>
      </c>
      <c r="U1782">
        <f>+SUM(Table1[[#This Row],[Latinos]:[Cemex]])</f>
        <v>1</v>
      </c>
      <c r="V1782" t="str">
        <f>+Table1[[#This Row],[id_destino]]&amp;" - "&amp;Table1[[#This Row],[id_origen]]</f>
        <v>895 - 47</v>
      </c>
    </row>
    <row r="1783" spans="1:22" hidden="1">
      <c r="A1783">
        <v>4221</v>
      </c>
      <c r="B1783">
        <v>4502</v>
      </c>
      <c r="C1783">
        <v>7053</v>
      </c>
      <c r="D1783">
        <v>7692</v>
      </c>
      <c r="E1783">
        <v>0</v>
      </c>
      <c r="F1783">
        <v>1</v>
      </c>
      <c r="G1783">
        <v>0</v>
      </c>
      <c r="H1783">
        <v>0</v>
      </c>
      <c r="I1783">
        <v>0</v>
      </c>
      <c r="J1783">
        <v>0</v>
      </c>
      <c r="K1783" t="s">
        <v>20</v>
      </c>
      <c r="L1783" s="1">
        <v>45378</v>
      </c>
      <c r="M1783">
        <v>900</v>
      </c>
      <c r="N1783">
        <v>47</v>
      </c>
      <c r="O1783">
        <v>309</v>
      </c>
      <c r="P1783">
        <v>301</v>
      </c>
      <c r="Q1783">
        <v>309</v>
      </c>
      <c r="S1783">
        <v>1019</v>
      </c>
      <c r="T1783">
        <v>1133</v>
      </c>
      <c r="U1783">
        <f>+SUM(Table1[[#This Row],[Latinos]:[Cemex]])</f>
        <v>1</v>
      </c>
      <c r="V1783" t="str">
        <f>+Table1[[#This Row],[id_destino]]&amp;" - "&amp;Table1[[#This Row],[id_origen]]</f>
        <v>900 - 47</v>
      </c>
    </row>
    <row r="1784" spans="1:22" hidden="1">
      <c r="A1784">
        <v>4358</v>
      </c>
      <c r="B1784">
        <v>4596</v>
      </c>
      <c r="C1784">
        <v>230</v>
      </c>
      <c r="D1784">
        <v>7846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 t="s">
        <v>20</v>
      </c>
      <c r="L1784" s="1">
        <v>45491</v>
      </c>
      <c r="M1784">
        <v>907</v>
      </c>
      <c r="N1784">
        <v>47</v>
      </c>
      <c r="O1784">
        <v>589</v>
      </c>
      <c r="P1784">
        <v>609</v>
      </c>
      <c r="Q1784">
        <v>589</v>
      </c>
      <c r="S1784">
        <v>1469</v>
      </c>
      <c r="T1784">
        <v>1469</v>
      </c>
      <c r="U1784">
        <f>+SUM(Table1[[#This Row],[Latinos]:[Cemex]])</f>
        <v>1</v>
      </c>
      <c r="V1784" t="str">
        <f>+Table1[[#This Row],[id_destino]]&amp;" - "&amp;Table1[[#This Row],[id_origen]]</f>
        <v>907 - 47</v>
      </c>
    </row>
    <row r="1785" spans="1:22" hidden="1">
      <c r="A1785">
        <v>4384</v>
      </c>
      <c r="B1785">
        <v>4617</v>
      </c>
      <c r="C1785">
        <v>7053</v>
      </c>
      <c r="D1785">
        <v>7794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 t="s">
        <v>20</v>
      </c>
      <c r="L1785" s="1">
        <v>45509</v>
      </c>
      <c r="M1785">
        <v>908</v>
      </c>
      <c r="N1785">
        <v>47</v>
      </c>
      <c r="O1785">
        <v>243</v>
      </c>
      <c r="P1785">
        <v>233</v>
      </c>
      <c r="Q1785">
        <v>243</v>
      </c>
      <c r="S1785">
        <v>941</v>
      </c>
      <c r="T1785">
        <v>1055</v>
      </c>
      <c r="U1785">
        <f>+SUM(Table1[[#This Row],[Latinos]:[Cemex]])</f>
        <v>1</v>
      </c>
      <c r="V1785" t="str">
        <f>+Table1[[#This Row],[id_destino]]&amp;" - "&amp;Table1[[#This Row],[id_origen]]</f>
        <v>908 - 47</v>
      </c>
    </row>
    <row r="1786" spans="1:22" hidden="1">
      <c r="A1786">
        <v>4328</v>
      </c>
      <c r="B1786">
        <v>4616</v>
      </c>
      <c r="C1786">
        <v>6283</v>
      </c>
      <c r="D1786">
        <v>7809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 t="s">
        <v>20</v>
      </c>
      <c r="L1786" s="1">
        <v>45509</v>
      </c>
      <c r="M1786">
        <v>910</v>
      </c>
      <c r="N1786">
        <v>47</v>
      </c>
      <c r="O1786">
        <v>705</v>
      </c>
      <c r="P1786">
        <v>650</v>
      </c>
      <c r="Q1786">
        <v>705</v>
      </c>
      <c r="S1786">
        <v>2079</v>
      </c>
      <c r="T1786">
        <v>2079</v>
      </c>
      <c r="U1786">
        <f>+SUM(Table1[[#This Row],[Latinos]:[Cemex]])</f>
        <v>1</v>
      </c>
      <c r="V1786" t="str">
        <f>+Table1[[#This Row],[id_destino]]&amp;" - "&amp;Table1[[#This Row],[id_origen]]</f>
        <v>910 - 47</v>
      </c>
    </row>
    <row r="1787" spans="1:22" hidden="1">
      <c r="A1787">
        <v>4715</v>
      </c>
      <c r="B1787">
        <v>4866</v>
      </c>
      <c r="C1787">
        <v>7000</v>
      </c>
      <c r="D1787">
        <v>8193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 t="s">
        <v>20</v>
      </c>
      <c r="L1787" s="1">
        <v>45751</v>
      </c>
      <c r="M1787">
        <v>917</v>
      </c>
      <c r="N1787">
        <v>47</v>
      </c>
      <c r="O1787">
        <v>180</v>
      </c>
      <c r="P1787">
        <v>153</v>
      </c>
      <c r="Q1787">
        <v>180</v>
      </c>
      <c r="S1787">
        <v>424</v>
      </c>
      <c r="T1787">
        <v>478</v>
      </c>
      <c r="U1787">
        <f>+SUM(Table1[[#This Row],[Latinos]:[Cemex]])</f>
        <v>1</v>
      </c>
      <c r="V1787" t="str">
        <f>+Table1[[#This Row],[id_destino]]&amp;" - "&amp;Table1[[#This Row],[id_origen]]</f>
        <v>917 - 47</v>
      </c>
    </row>
    <row r="1788" spans="1:22" hidden="1">
      <c r="A1788">
        <v>4596</v>
      </c>
      <c r="B1788">
        <v>4784</v>
      </c>
      <c r="C1788">
        <v>7000</v>
      </c>
      <c r="D1788">
        <v>8074</v>
      </c>
      <c r="E1788">
        <v>0</v>
      </c>
      <c r="F1788">
        <v>1</v>
      </c>
      <c r="G1788">
        <v>0</v>
      </c>
      <c r="H1788">
        <v>0</v>
      </c>
      <c r="I1788">
        <v>1</v>
      </c>
      <c r="J1788">
        <v>0</v>
      </c>
      <c r="K1788" t="s">
        <v>20</v>
      </c>
      <c r="L1788" s="1">
        <v>45665</v>
      </c>
      <c r="M1788">
        <v>925</v>
      </c>
      <c r="N1788">
        <v>47</v>
      </c>
      <c r="O1788">
        <v>3287</v>
      </c>
      <c r="P1788">
        <v>2699</v>
      </c>
      <c r="Q1788">
        <v>3287</v>
      </c>
      <c r="S1788">
        <v>7426</v>
      </c>
      <c r="T1788">
        <v>7653</v>
      </c>
      <c r="U1788">
        <f>+SUM(Table1[[#This Row],[Latinos]:[Cemex]])</f>
        <v>2</v>
      </c>
      <c r="V1788" t="str">
        <f>+Table1[[#This Row],[id_destino]]&amp;" - "&amp;Table1[[#This Row],[id_origen]]</f>
        <v>925 - 47</v>
      </c>
    </row>
    <row r="1789" spans="1:22" hidden="1">
      <c r="A1789">
        <v>4614</v>
      </c>
      <c r="B1789">
        <v>4796</v>
      </c>
      <c r="C1789">
        <v>7000</v>
      </c>
      <c r="D1789">
        <v>8086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 t="s">
        <v>20</v>
      </c>
      <c r="L1789" s="1">
        <v>45671</v>
      </c>
      <c r="M1789">
        <v>926</v>
      </c>
      <c r="N1789">
        <v>47</v>
      </c>
      <c r="O1789">
        <v>521</v>
      </c>
      <c r="P1789">
        <v>518</v>
      </c>
      <c r="Q1789">
        <v>521</v>
      </c>
      <c r="S1789">
        <v>1554</v>
      </c>
      <c r="T1789">
        <v>1668</v>
      </c>
      <c r="U1789">
        <f>+SUM(Table1[[#This Row],[Latinos]:[Cemex]])</f>
        <v>1</v>
      </c>
      <c r="V1789" t="str">
        <f>+Table1[[#This Row],[id_destino]]&amp;" - "&amp;Table1[[#This Row],[id_origen]]</f>
        <v>926 - 47</v>
      </c>
    </row>
    <row r="1790" spans="1:22" hidden="1">
      <c r="A1790">
        <v>4377</v>
      </c>
      <c r="B1790">
        <v>4609</v>
      </c>
      <c r="C1790">
        <v>6311</v>
      </c>
      <c r="D1790">
        <v>5095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0</v>
      </c>
      <c r="K1790" t="s">
        <v>20</v>
      </c>
      <c r="L1790" s="1">
        <v>45502</v>
      </c>
      <c r="M1790">
        <v>35</v>
      </c>
      <c r="N1790">
        <v>49</v>
      </c>
      <c r="O1790">
        <v>460</v>
      </c>
      <c r="P1790">
        <v>450</v>
      </c>
      <c r="Q1790">
        <v>460</v>
      </c>
      <c r="S1790">
        <v>2283</v>
      </c>
      <c r="T1790">
        <v>2283</v>
      </c>
      <c r="U1790">
        <f>+SUM(Table1[[#This Row],[Latinos]:[Cemex]])</f>
        <v>1</v>
      </c>
      <c r="V1790" t="str">
        <f>+Table1[[#This Row],[id_destino]]&amp;" - "&amp;Table1[[#This Row],[id_origen]]</f>
        <v>35 - 49</v>
      </c>
    </row>
    <row r="1791" spans="1:22" hidden="1">
      <c r="A1791">
        <v>1381</v>
      </c>
      <c r="B1791">
        <v>2711</v>
      </c>
      <c r="C1791">
        <v>5061</v>
      </c>
      <c r="D1791">
        <v>3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</v>
      </c>
      <c r="K1791" t="s">
        <v>20</v>
      </c>
      <c r="L1791" s="1">
        <v>43412</v>
      </c>
      <c r="M1791">
        <v>5</v>
      </c>
      <c r="N1791">
        <v>51</v>
      </c>
      <c r="O1791">
        <v>2519</v>
      </c>
      <c r="P1791">
        <v>2519</v>
      </c>
      <c r="Q1791">
        <v>2519</v>
      </c>
      <c r="S1791">
        <v>2701</v>
      </c>
      <c r="T1791">
        <v>2701</v>
      </c>
      <c r="U1791">
        <f>+SUM(Table1[[#This Row],[Latinos]:[Cemex]])</f>
        <v>1</v>
      </c>
      <c r="V1791" t="str">
        <f>+Table1[[#This Row],[id_destino]]&amp;" - "&amp;Table1[[#This Row],[id_origen]]</f>
        <v>5 - 51</v>
      </c>
    </row>
    <row r="1792" spans="1:22" hidden="1">
      <c r="A1792">
        <v>1581</v>
      </c>
      <c r="B1792">
        <v>2824</v>
      </c>
      <c r="C1792">
        <v>4530</v>
      </c>
      <c r="D1792">
        <v>5829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 t="s">
        <v>20</v>
      </c>
      <c r="L1792" s="1">
        <v>43515</v>
      </c>
      <c r="M1792">
        <v>7</v>
      </c>
      <c r="N1792">
        <v>51</v>
      </c>
      <c r="O1792">
        <v>2632</v>
      </c>
      <c r="P1792">
        <v>2632</v>
      </c>
      <c r="Q1792">
        <v>2632</v>
      </c>
      <c r="S1792">
        <v>0</v>
      </c>
      <c r="T1792">
        <v>0</v>
      </c>
      <c r="U1792">
        <f>+SUM(Table1[[#This Row],[Latinos]:[Cemex]])</f>
        <v>1</v>
      </c>
      <c r="V1792" t="str">
        <f>+Table1[[#This Row],[id_destino]]&amp;" - "&amp;Table1[[#This Row],[id_origen]]</f>
        <v>7 - 51</v>
      </c>
    </row>
    <row r="1793" spans="1:22" hidden="1">
      <c r="A1793">
        <v>1282</v>
      </c>
      <c r="B1793">
        <v>2669</v>
      </c>
      <c r="C1793">
        <v>4530</v>
      </c>
      <c r="D1793">
        <v>5699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  <c r="K1793" t="s">
        <v>20</v>
      </c>
      <c r="L1793" s="1">
        <v>43364</v>
      </c>
      <c r="M1793">
        <v>9</v>
      </c>
      <c r="N1793">
        <v>51</v>
      </c>
      <c r="O1793">
        <v>2174</v>
      </c>
      <c r="P1793">
        <v>2174</v>
      </c>
      <c r="Q1793">
        <v>2174</v>
      </c>
      <c r="S1793">
        <v>0</v>
      </c>
      <c r="T1793">
        <v>0</v>
      </c>
      <c r="U1793">
        <f>+SUM(Table1[[#This Row],[Latinos]:[Cemex]])</f>
        <v>1</v>
      </c>
      <c r="V1793" t="str">
        <f>+Table1[[#This Row],[id_destino]]&amp;" - "&amp;Table1[[#This Row],[id_origen]]</f>
        <v>9 - 51</v>
      </c>
    </row>
    <row r="1794" spans="1:22" hidden="1">
      <c r="A1794">
        <v>2908</v>
      </c>
      <c r="B1794">
        <v>3647</v>
      </c>
      <c r="C1794">
        <v>5460</v>
      </c>
      <c r="D1794">
        <v>4518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 t="s">
        <v>20</v>
      </c>
      <c r="L1794" s="1">
        <v>44606</v>
      </c>
      <c r="M1794">
        <v>11</v>
      </c>
      <c r="N1794">
        <v>51</v>
      </c>
      <c r="O1794">
        <v>713</v>
      </c>
      <c r="P1794">
        <v>713</v>
      </c>
      <c r="Q1794">
        <v>713</v>
      </c>
      <c r="S1794">
        <v>654</v>
      </c>
      <c r="T1794">
        <v>654</v>
      </c>
      <c r="U1794">
        <f>+SUM(Table1[[#This Row],[Latinos]:[Cemex]])</f>
        <v>1</v>
      </c>
      <c r="V1794" t="str">
        <f>+Table1[[#This Row],[id_destino]]&amp;" - "&amp;Table1[[#This Row],[id_origen]]</f>
        <v>11 - 51</v>
      </c>
    </row>
    <row r="1795" spans="1:22" hidden="1">
      <c r="A1795">
        <v>840</v>
      </c>
      <c r="B1795">
        <v>2381</v>
      </c>
      <c r="C1795">
        <v>5460</v>
      </c>
      <c r="D1795">
        <v>5497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 t="s">
        <v>20</v>
      </c>
      <c r="L1795" s="1">
        <v>43183</v>
      </c>
      <c r="M1795">
        <v>34</v>
      </c>
      <c r="N1795">
        <v>51</v>
      </c>
      <c r="O1795">
        <v>343</v>
      </c>
      <c r="P1795">
        <v>388</v>
      </c>
      <c r="Q1795">
        <v>343</v>
      </c>
      <c r="S1795">
        <v>364</v>
      </c>
      <c r="T1795">
        <v>389</v>
      </c>
      <c r="U1795">
        <f>+SUM(Table1[[#This Row],[Latinos]:[Cemex]])</f>
        <v>1</v>
      </c>
      <c r="V1795" t="str">
        <f>+Table1[[#This Row],[id_destino]]&amp;" - "&amp;Table1[[#This Row],[id_origen]]</f>
        <v>34 - 51</v>
      </c>
    </row>
    <row r="1796" spans="1:22" hidden="1">
      <c r="A1796">
        <v>2002</v>
      </c>
      <c r="B1796">
        <v>3068</v>
      </c>
      <c r="C1796">
        <v>140</v>
      </c>
      <c r="D1796">
        <v>4530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 t="s">
        <v>20</v>
      </c>
      <c r="L1796" s="1">
        <v>43760</v>
      </c>
      <c r="M1796">
        <v>51</v>
      </c>
      <c r="N1796">
        <v>51</v>
      </c>
      <c r="O1796">
        <v>50</v>
      </c>
      <c r="P1796">
        <v>150</v>
      </c>
      <c r="Q1796">
        <v>50</v>
      </c>
      <c r="S1796">
        <v>0</v>
      </c>
      <c r="T1796">
        <v>0</v>
      </c>
      <c r="U1796">
        <f>+SUM(Table1[[#This Row],[Latinos]:[Cemex]])</f>
        <v>1</v>
      </c>
      <c r="V1796" t="str">
        <f>+Table1[[#This Row],[id_destino]]&amp;" - "&amp;Table1[[#This Row],[id_origen]]</f>
        <v>51 - 51</v>
      </c>
    </row>
    <row r="1797" spans="1:22" hidden="1">
      <c r="A1797">
        <v>2417</v>
      </c>
      <c r="B1797">
        <v>3068</v>
      </c>
      <c r="C1797">
        <v>3827</v>
      </c>
      <c r="D1797">
        <v>5460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 t="s">
        <v>20</v>
      </c>
      <c r="L1797" s="1">
        <v>44057</v>
      </c>
      <c r="M1797">
        <v>51</v>
      </c>
      <c r="N1797">
        <v>51</v>
      </c>
      <c r="O1797">
        <v>10</v>
      </c>
      <c r="P1797">
        <v>150</v>
      </c>
      <c r="Q1797">
        <v>10</v>
      </c>
      <c r="S1797">
        <v>0</v>
      </c>
      <c r="T1797">
        <v>0</v>
      </c>
      <c r="U1797">
        <f>+SUM(Table1[[#This Row],[Latinos]:[Cemex]])</f>
        <v>1</v>
      </c>
      <c r="V1797" t="str">
        <f>+Table1[[#This Row],[id_destino]]&amp;" - "&amp;Table1[[#This Row],[id_origen]]</f>
        <v>51 - 51</v>
      </c>
    </row>
    <row r="1798" spans="1:22" hidden="1">
      <c r="A1798">
        <v>1289</v>
      </c>
      <c r="B1798">
        <v>2003</v>
      </c>
      <c r="C1798">
        <v>5708</v>
      </c>
      <c r="D1798">
        <v>3431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 t="s">
        <v>20</v>
      </c>
      <c r="L1798" s="1">
        <v>43369</v>
      </c>
      <c r="M1798">
        <v>52</v>
      </c>
      <c r="N1798">
        <v>51</v>
      </c>
      <c r="O1798">
        <v>50</v>
      </c>
      <c r="P1798">
        <v>150</v>
      </c>
      <c r="Q1798">
        <v>50</v>
      </c>
      <c r="S1798">
        <v>0</v>
      </c>
      <c r="T1798">
        <v>0</v>
      </c>
      <c r="U1798">
        <f>+SUM(Table1[[#This Row],[Latinos]:[Cemex]])</f>
        <v>1</v>
      </c>
      <c r="V1798" t="str">
        <f>+Table1[[#This Row],[id_destino]]&amp;" - "&amp;Table1[[#This Row],[id_origen]]</f>
        <v>52 - 51</v>
      </c>
    </row>
    <row r="1799" spans="1:22" hidden="1">
      <c r="A1799">
        <v>3707</v>
      </c>
      <c r="B1799">
        <v>4176</v>
      </c>
      <c r="C1799">
        <v>7247</v>
      </c>
      <c r="D1799">
        <v>7325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  <c r="K1799" t="s">
        <v>20</v>
      </c>
      <c r="L1799" s="1">
        <v>45041</v>
      </c>
      <c r="M1799">
        <v>62</v>
      </c>
      <c r="N1799">
        <v>51</v>
      </c>
      <c r="O1799">
        <v>545</v>
      </c>
      <c r="P1799">
        <v>514</v>
      </c>
      <c r="Q1799">
        <v>545</v>
      </c>
      <c r="S1799">
        <v>441</v>
      </c>
      <c r="T1799">
        <v>441</v>
      </c>
      <c r="U1799">
        <f>+SUM(Table1[[#This Row],[Latinos]:[Cemex]])</f>
        <v>1</v>
      </c>
      <c r="V1799" t="str">
        <f>+Table1[[#This Row],[id_destino]]&amp;" - "&amp;Table1[[#This Row],[id_origen]]</f>
        <v>62 - 51</v>
      </c>
    </row>
    <row r="1800" spans="1:22" hidden="1">
      <c r="A1800">
        <v>1652</v>
      </c>
      <c r="B1800">
        <v>2864</v>
      </c>
      <c r="C1800">
        <v>5800</v>
      </c>
      <c r="D1800">
        <v>4197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 t="s">
        <v>20</v>
      </c>
      <c r="L1800" s="1">
        <v>43551</v>
      </c>
      <c r="M1800">
        <v>71</v>
      </c>
      <c r="N1800">
        <v>51</v>
      </c>
      <c r="O1800">
        <v>852</v>
      </c>
      <c r="P1800">
        <v>803</v>
      </c>
      <c r="Q1800">
        <v>852</v>
      </c>
      <c r="S1800">
        <v>1625</v>
      </c>
      <c r="T1800">
        <v>1663</v>
      </c>
      <c r="U1800">
        <f>+SUM(Table1[[#This Row],[Latinos]:[Cemex]])</f>
        <v>1</v>
      </c>
      <c r="V1800" t="str">
        <f>+Table1[[#This Row],[id_destino]]&amp;" - "&amp;Table1[[#This Row],[id_origen]]</f>
        <v>71 - 51</v>
      </c>
    </row>
    <row r="1801" spans="1:22" hidden="1">
      <c r="A1801">
        <v>839</v>
      </c>
      <c r="B1801">
        <v>2472</v>
      </c>
      <c r="C1801">
        <v>5460</v>
      </c>
      <c r="D1801">
        <v>5285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 t="s">
        <v>20</v>
      </c>
      <c r="L1801" s="1">
        <v>43182</v>
      </c>
      <c r="M1801">
        <v>83</v>
      </c>
      <c r="N1801">
        <v>51</v>
      </c>
      <c r="O1801">
        <v>50</v>
      </c>
      <c r="P1801">
        <v>150</v>
      </c>
      <c r="Q1801">
        <v>50</v>
      </c>
      <c r="S1801">
        <v>0</v>
      </c>
      <c r="T1801">
        <v>0</v>
      </c>
      <c r="U1801">
        <f>+SUM(Table1[[#This Row],[Latinos]:[Cemex]])</f>
        <v>1</v>
      </c>
      <c r="V1801" t="str">
        <f>+Table1[[#This Row],[id_destino]]&amp;" - "&amp;Table1[[#This Row],[id_origen]]</f>
        <v>83 - 51</v>
      </c>
    </row>
    <row r="1802" spans="1:22" hidden="1">
      <c r="A1802">
        <v>1954</v>
      </c>
      <c r="B1802">
        <v>2472</v>
      </c>
      <c r="C1802">
        <v>140</v>
      </c>
      <c r="D1802">
        <v>4293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 t="s">
        <v>20</v>
      </c>
      <c r="L1802" s="1">
        <v>43739</v>
      </c>
      <c r="M1802">
        <v>83</v>
      </c>
      <c r="N1802">
        <v>51</v>
      </c>
      <c r="O1802">
        <v>50</v>
      </c>
      <c r="P1802">
        <v>150</v>
      </c>
      <c r="Q1802">
        <v>50</v>
      </c>
      <c r="S1802">
        <v>0</v>
      </c>
      <c r="T1802">
        <v>0</v>
      </c>
      <c r="U1802">
        <f>+SUM(Table1[[#This Row],[Latinos]:[Cemex]])</f>
        <v>1</v>
      </c>
      <c r="V1802" t="str">
        <f>+Table1[[#This Row],[id_destino]]&amp;" - "&amp;Table1[[#This Row],[id_origen]]</f>
        <v>83 - 51</v>
      </c>
    </row>
    <row r="1803" spans="1:22" hidden="1">
      <c r="A1803">
        <v>2070</v>
      </c>
      <c r="B1803">
        <v>3117</v>
      </c>
      <c r="C1803">
        <v>4530</v>
      </c>
      <c r="D1803">
        <v>6168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 t="s">
        <v>20</v>
      </c>
      <c r="L1803" s="1">
        <v>43796</v>
      </c>
      <c r="M1803">
        <v>110</v>
      </c>
      <c r="N1803">
        <v>51</v>
      </c>
      <c r="O1803">
        <v>495</v>
      </c>
      <c r="P1803">
        <v>495</v>
      </c>
      <c r="Q1803">
        <v>495</v>
      </c>
      <c r="S1803">
        <v>0</v>
      </c>
      <c r="T1803">
        <v>0</v>
      </c>
      <c r="U1803">
        <f>+SUM(Table1[[#This Row],[Latinos]:[Cemex]])</f>
        <v>1</v>
      </c>
      <c r="V1803" t="str">
        <f>+Table1[[#This Row],[id_destino]]&amp;" - "&amp;Table1[[#This Row],[id_origen]]</f>
        <v>110 - 51</v>
      </c>
    </row>
    <row r="1804" spans="1:22" hidden="1">
      <c r="A1804">
        <v>2195</v>
      </c>
      <c r="B1804">
        <v>3194</v>
      </c>
      <c r="C1804">
        <v>5258</v>
      </c>
      <c r="D1804">
        <v>3176</v>
      </c>
      <c r="E1804">
        <v>0</v>
      </c>
      <c r="F1804">
        <v>1</v>
      </c>
      <c r="G1804">
        <v>0</v>
      </c>
      <c r="H1804">
        <v>0</v>
      </c>
      <c r="I1804">
        <v>0</v>
      </c>
      <c r="J1804">
        <v>0</v>
      </c>
      <c r="K1804" t="s">
        <v>20</v>
      </c>
      <c r="L1804" s="1">
        <v>43852</v>
      </c>
      <c r="M1804">
        <v>136</v>
      </c>
      <c r="N1804">
        <v>51</v>
      </c>
      <c r="O1804">
        <v>1024</v>
      </c>
      <c r="P1804">
        <v>1024</v>
      </c>
      <c r="Q1804">
        <v>1024</v>
      </c>
      <c r="S1804">
        <v>1394</v>
      </c>
      <c r="T1804">
        <v>1394</v>
      </c>
      <c r="U1804">
        <f>+SUM(Table1[[#This Row],[Latinos]:[Cemex]])</f>
        <v>1</v>
      </c>
      <c r="V1804" t="str">
        <f>+Table1[[#This Row],[id_destino]]&amp;" - "&amp;Table1[[#This Row],[id_origen]]</f>
        <v>136 - 51</v>
      </c>
    </row>
    <row r="1805" spans="1:22" hidden="1">
      <c r="A1805">
        <v>2014</v>
      </c>
      <c r="B1805">
        <v>3076</v>
      </c>
      <c r="C1805">
        <v>140</v>
      </c>
      <c r="D1805">
        <v>2043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 t="s">
        <v>20</v>
      </c>
      <c r="L1805" s="1">
        <v>43769</v>
      </c>
      <c r="M1805">
        <v>138</v>
      </c>
      <c r="N1805">
        <v>51</v>
      </c>
      <c r="O1805">
        <v>1606</v>
      </c>
      <c r="P1805">
        <v>1597</v>
      </c>
      <c r="Q1805">
        <v>1606</v>
      </c>
      <c r="S1805">
        <v>2888</v>
      </c>
      <c r="T1805">
        <v>2888</v>
      </c>
      <c r="U1805">
        <f>+SUM(Table1[[#This Row],[Latinos]:[Cemex]])</f>
        <v>1</v>
      </c>
      <c r="V1805" t="str">
        <f>+Table1[[#This Row],[id_destino]]&amp;" - "&amp;Table1[[#This Row],[id_origen]]</f>
        <v>138 - 51</v>
      </c>
    </row>
    <row r="1806" spans="1:22" hidden="1">
      <c r="A1806">
        <v>1974</v>
      </c>
      <c r="B1806">
        <v>2427</v>
      </c>
      <c r="C1806">
        <v>140</v>
      </c>
      <c r="D1806">
        <v>3430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 t="s">
        <v>20</v>
      </c>
      <c r="L1806" s="1">
        <v>43746</v>
      </c>
      <c r="M1806">
        <v>180</v>
      </c>
      <c r="N1806">
        <v>51</v>
      </c>
      <c r="O1806">
        <v>219</v>
      </c>
      <c r="P1806">
        <v>210</v>
      </c>
      <c r="Q1806">
        <v>219</v>
      </c>
      <c r="S1806">
        <v>361</v>
      </c>
      <c r="T1806">
        <v>361</v>
      </c>
      <c r="U1806">
        <f>+SUM(Table1[[#This Row],[Latinos]:[Cemex]])</f>
        <v>1</v>
      </c>
      <c r="V1806" t="str">
        <f>+Table1[[#This Row],[id_destino]]&amp;" - "&amp;Table1[[#This Row],[id_origen]]</f>
        <v>180 - 51</v>
      </c>
    </row>
    <row r="1807" spans="1:22" hidden="1">
      <c r="A1807">
        <v>532</v>
      </c>
      <c r="B1807">
        <v>2334</v>
      </c>
      <c r="C1807">
        <v>5396</v>
      </c>
      <c r="D1807">
        <v>3336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 t="s">
        <v>20</v>
      </c>
      <c r="L1807" s="1">
        <v>43090</v>
      </c>
      <c r="M1807">
        <v>337</v>
      </c>
      <c r="N1807">
        <v>51</v>
      </c>
      <c r="O1807">
        <v>50</v>
      </c>
      <c r="P1807">
        <v>150</v>
      </c>
      <c r="Q1807">
        <v>50</v>
      </c>
      <c r="S1807">
        <v>0</v>
      </c>
      <c r="T1807">
        <v>0</v>
      </c>
      <c r="U1807">
        <f>+SUM(Table1[[#This Row],[Latinos]:[Cemex]])</f>
        <v>1</v>
      </c>
      <c r="V1807" t="str">
        <f>+Table1[[#This Row],[id_destino]]&amp;" - "&amp;Table1[[#This Row],[id_origen]]</f>
        <v>337 - 51</v>
      </c>
    </row>
    <row r="1808" spans="1:22" hidden="1">
      <c r="A1808">
        <v>2071</v>
      </c>
      <c r="B1808">
        <v>820</v>
      </c>
      <c r="C1808">
        <v>140</v>
      </c>
      <c r="D1808">
        <v>5378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  <c r="K1808" t="s">
        <v>20</v>
      </c>
      <c r="L1808" s="1">
        <v>43945</v>
      </c>
      <c r="M1808">
        <v>345</v>
      </c>
      <c r="N1808">
        <v>51</v>
      </c>
      <c r="O1808">
        <v>929</v>
      </c>
      <c r="P1808">
        <v>897</v>
      </c>
      <c r="Q1808">
        <v>929</v>
      </c>
      <c r="S1808">
        <v>982</v>
      </c>
      <c r="T1808">
        <v>982</v>
      </c>
      <c r="U1808">
        <f>+SUM(Table1[[#This Row],[Latinos]:[Cemex]])</f>
        <v>1</v>
      </c>
      <c r="V1808" t="str">
        <f>+Table1[[#This Row],[id_destino]]&amp;" - "&amp;Table1[[#This Row],[id_origen]]</f>
        <v>345 - 51</v>
      </c>
    </row>
    <row r="1809" spans="1:22" hidden="1">
      <c r="A1809">
        <v>2806</v>
      </c>
      <c r="B1809">
        <v>3580</v>
      </c>
      <c r="C1809">
        <v>6665</v>
      </c>
      <c r="D1809">
        <v>6689</v>
      </c>
      <c r="E1809">
        <v>0</v>
      </c>
      <c r="F1809">
        <v>1</v>
      </c>
      <c r="G1809">
        <v>0</v>
      </c>
      <c r="H1809">
        <v>0</v>
      </c>
      <c r="I1809">
        <v>0</v>
      </c>
      <c r="J1809">
        <v>0</v>
      </c>
      <c r="K1809" t="s">
        <v>20</v>
      </c>
      <c r="L1809" s="1">
        <v>44474</v>
      </c>
      <c r="M1809">
        <v>506</v>
      </c>
      <c r="N1809">
        <v>51</v>
      </c>
      <c r="O1809">
        <v>940</v>
      </c>
      <c r="P1809">
        <v>907</v>
      </c>
      <c r="Q1809">
        <v>940</v>
      </c>
      <c r="S1809">
        <v>839</v>
      </c>
      <c r="T1809">
        <v>899</v>
      </c>
      <c r="U1809">
        <f>+SUM(Table1[[#This Row],[Latinos]:[Cemex]])</f>
        <v>1</v>
      </c>
      <c r="V1809" t="str">
        <f>+Table1[[#This Row],[id_destino]]&amp;" - "&amp;Table1[[#This Row],[id_origen]]</f>
        <v>506 - 51</v>
      </c>
    </row>
    <row r="1810" spans="1:22" hidden="1">
      <c r="A1810">
        <v>1987</v>
      </c>
      <c r="B1810">
        <v>3061</v>
      </c>
      <c r="C1810">
        <v>140</v>
      </c>
      <c r="D1810">
        <v>5933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 t="s">
        <v>20</v>
      </c>
      <c r="L1810" s="1">
        <v>43752</v>
      </c>
      <c r="M1810">
        <v>535</v>
      </c>
      <c r="N1810">
        <v>51</v>
      </c>
      <c r="O1810">
        <v>72</v>
      </c>
      <c r="P1810">
        <v>72</v>
      </c>
      <c r="Q1810">
        <v>72</v>
      </c>
      <c r="S1810">
        <v>0</v>
      </c>
      <c r="T1810">
        <v>0</v>
      </c>
      <c r="U1810">
        <f>+SUM(Table1[[#This Row],[Latinos]:[Cemex]])</f>
        <v>1</v>
      </c>
      <c r="V1810" t="str">
        <f>+Table1[[#This Row],[id_destino]]&amp;" - "&amp;Table1[[#This Row],[id_origen]]</f>
        <v>535 - 51</v>
      </c>
    </row>
    <row r="1811" spans="1:22" hidden="1">
      <c r="A1811">
        <v>774</v>
      </c>
      <c r="B1811">
        <v>2446</v>
      </c>
      <c r="C1811">
        <v>5460</v>
      </c>
      <c r="D1811">
        <v>5482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 t="s">
        <v>20</v>
      </c>
      <c r="L1811" s="1">
        <v>43161</v>
      </c>
      <c r="M1811">
        <v>667</v>
      </c>
      <c r="N1811">
        <v>51</v>
      </c>
      <c r="O1811">
        <v>50</v>
      </c>
      <c r="P1811">
        <v>150</v>
      </c>
      <c r="Q1811">
        <v>50</v>
      </c>
      <c r="S1811">
        <v>0</v>
      </c>
      <c r="T1811">
        <v>0</v>
      </c>
      <c r="U1811">
        <f>+SUM(Table1[[#This Row],[Latinos]:[Cemex]])</f>
        <v>1</v>
      </c>
      <c r="V1811" t="str">
        <f>+Table1[[#This Row],[id_destino]]&amp;" - "&amp;Table1[[#This Row],[id_origen]]</f>
        <v>667 - 51</v>
      </c>
    </row>
    <row r="1812" spans="1:22" hidden="1">
      <c r="A1812">
        <v>462</v>
      </c>
      <c r="B1812">
        <v>1004</v>
      </c>
      <c r="C1812">
        <v>1923</v>
      </c>
      <c r="D1812">
        <v>394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 t="s">
        <v>20</v>
      </c>
      <c r="L1812" s="1">
        <v>43080</v>
      </c>
      <c r="M1812">
        <v>1</v>
      </c>
      <c r="N1812">
        <v>52</v>
      </c>
      <c r="O1812">
        <v>50</v>
      </c>
      <c r="P1812">
        <v>150</v>
      </c>
      <c r="Q1812">
        <v>50</v>
      </c>
      <c r="S1812">
        <v>0</v>
      </c>
      <c r="T1812">
        <v>0</v>
      </c>
      <c r="U1812">
        <f>+SUM(Table1[[#This Row],[Latinos]:[Cemex]])</f>
        <v>1</v>
      </c>
      <c r="V1812" t="str">
        <f>+Table1[[#This Row],[id_destino]]&amp;" - "&amp;Table1[[#This Row],[id_origen]]</f>
        <v>1 - 52</v>
      </c>
    </row>
    <row r="1813" spans="1:22" hidden="1">
      <c r="A1813">
        <v>3628</v>
      </c>
      <c r="B1813">
        <v>4120</v>
      </c>
      <c r="C1813">
        <v>1522</v>
      </c>
      <c r="D1813">
        <v>6817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 t="s">
        <v>20</v>
      </c>
      <c r="L1813" s="1">
        <v>45002</v>
      </c>
      <c r="M1813">
        <v>3</v>
      </c>
      <c r="N1813">
        <v>52</v>
      </c>
      <c r="O1813">
        <v>1633</v>
      </c>
      <c r="P1813">
        <v>1663</v>
      </c>
      <c r="Q1813">
        <v>1633</v>
      </c>
      <c r="S1813">
        <v>3254</v>
      </c>
      <c r="T1813">
        <v>3254</v>
      </c>
      <c r="U1813">
        <f>+SUM(Table1[[#This Row],[Latinos]:[Cemex]])</f>
        <v>1</v>
      </c>
      <c r="V1813" t="str">
        <f>+Table1[[#This Row],[id_destino]]&amp;" - "&amp;Table1[[#This Row],[id_origen]]</f>
        <v>3 - 52</v>
      </c>
    </row>
    <row r="1814" spans="1:22" hidden="1">
      <c r="A1814">
        <v>3629</v>
      </c>
      <c r="B1814">
        <v>4120</v>
      </c>
      <c r="C1814">
        <v>1522</v>
      </c>
      <c r="D1814">
        <v>6817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  <c r="K1814" t="s">
        <v>20</v>
      </c>
      <c r="L1814" s="1">
        <v>45307</v>
      </c>
      <c r="M1814">
        <v>3</v>
      </c>
      <c r="N1814">
        <v>52</v>
      </c>
      <c r="O1814">
        <v>1633</v>
      </c>
      <c r="P1814">
        <v>1633</v>
      </c>
      <c r="Q1814">
        <v>1633</v>
      </c>
      <c r="S1814">
        <v>3274</v>
      </c>
      <c r="T1814">
        <v>3274</v>
      </c>
      <c r="U1814">
        <f>+SUM(Table1[[#This Row],[Latinos]:[Cemex]])</f>
        <v>1</v>
      </c>
      <c r="V1814" t="str">
        <f>+Table1[[#This Row],[id_destino]]&amp;" - "&amp;Table1[[#This Row],[id_origen]]</f>
        <v>3 - 52</v>
      </c>
    </row>
    <row r="1815" spans="1:22" hidden="1">
      <c r="A1815">
        <v>3012</v>
      </c>
      <c r="B1815">
        <v>2039</v>
      </c>
      <c r="C1815">
        <v>1522</v>
      </c>
      <c r="D1815">
        <v>6875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 t="s">
        <v>20</v>
      </c>
      <c r="L1815" s="1">
        <v>44687</v>
      </c>
      <c r="M1815">
        <v>4</v>
      </c>
      <c r="N1815">
        <v>52</v>
      </c>
      <c r="O1815">
        <v>1723</v>
      </c>
      <c r="P1815">
        <v>1737</v>
      </c>
      <c r="Q1815">
        <v>1723</v>
      </c>
      <c r="S1815">
        <v>3888</v>
      </c>
      <c r="T1815">
        <v>3528</v>
      </c>
      <c r="U1815">
        <f>+SUM(Table1[[#This Row],[Latinos]:[Cemex]])</f>
        <v>1</v>
      </c>
      <c r="V1815" t="str">
        <f>+Table1[[#This Row],[id_destino]]&amp;" - "&amp;Table1[[#This Row],[id_origen]]</f>
        <v>4 - 52</v>
      </c>
    </row>
    <row r="1816" spans="1:22" hidden="1">
      <c r="A1816">
        <v>3315</v>
      </c>
      <c r="B1816">
        <v>2039</v>
      </c>
      <c r="C1816">
        <v>1522</v>
      </c>
      <c r="D1816">
        <v>6875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  <c r="K1816" t="s">
        <v>20</v>
      </c>
      <c r="L1816" s="1">
        <v>44827</v>
      </c>
      <c r="M1816">
        <v>4</v>
      </c>
      <c r="N1816">
        <v>52</v>
      </c>
      <c r="O1816">
        <v>0</v>
      </c>
      <c r="P1816">
        <v>150</v>
      </c>
      <c r="Q1816">
        <v>0</v>
      </c>
      <c r="S1816">
        <v>0</v>
      </c>
      <c r="T1816">
        <v>0</v>
      </c>
      <c r="U1816">
        <f>+SUM(Table1[[#This Row],[Latinos]:[Cemex]])</f>
        <v>1</v>
      </c>
      <c r="V1816" t="str">
        <f>+Table1[[#This Row],[id_destino]]&amp;" - "&amp;Table1[[#This Row],[id_origen]]</f>
        <v>4 - 52</v>
      </c>
    </row>
    <row r="1817" spans="1:22" hidden="1">
      <c r="A1817">
        <v>1988</v>
      </c>
      <c r="B1817">
        <v>3062</v>
      </c>
      <c r="C1817">
        <v>115</v>
      </c>
      <c r="D1817">
        <v>4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 t="s">
        <v>20</v>
      </c>
      <c r="L1817" s="1">
        <v>43752</v>
      </c>
      <c r="M1817">
        <v>6</v>
      </c>
      <c r="N1817">
        <v>52</v>
      </c>
      <c r="O1817">
        <v>2029</v>
      </c>
      <c r="P1817">
        <v>2042</v>
      </c>
      <c r="Q1817">
        <v>2029</v>
      </c>
      <c r="S1817">
        <v>4345</v>
      </c>
      <c r="T1817">
        <v>4059</v>
      </c>
      <c r="U1817">
        <f>+SUM(Table1[[#This Row],[Latinos]:[Cemex]])</f>
        <v>1</v>
      </c>
      <c r="V1817" t="str">
        <f>+Table1[[#This Row],[id_destino]]&amp;" - "&amp;Table1[[#This Row],[id_origen]]</f>
        <v>6 - 52</v>
      </c>
    </row>
    <row r="1818" spans="1:22" hidden="1">
      <c r="A1818">
        <v>3316</v>
      </c>
      <c r="B1818">
        <v>3062</v>
      </c>
      <c r="C1818">
        <v>1522</v>
      </c>
      <c r="D1818">
        <v>6975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 t="s">
        <v>20</v>
      </c>
      <c r="L1818" s="1">
        <v>44827</v>
      </c>
      <c r="M1818">
        <v>6</v>
      </c>
      <c r="N1818">
        <v>52</v>
      </c>
      <c r="O1818">
        <v>0</v>
      </c>
      <c r="P1818">
        <v>150</v>
      </c>
      <c r="Q1818">
        <v>0</v>
      </c>
      <c r="S1818">
        <v>0</v>
      </c>
      <c r="T1818">
        <v>0</v>
      </c>
      <c r="U1818">
        <f>+SUM(Table1[[#This Row],[Latinos]:[Cemex]])</f>
        <v>1</v>
      </c>
      <c r="V1818" t="str">
        <f>+Table1[[#This Row],[id_destino]]&amp;" - "&amp;Table1[[#This Row],[id_origen]]</f>
        <v>6 - 52</v>
      </c>
    </row>
    <row r="1819" spans="1:22" hidden="1">
      <c r="A1819">
        <v>285</v>
      </c>
      <c r="B1819">
        <v>1945</v>
      </c>
      <c r="C1819">
        <v>4312</v>
      </c>
      <c r="D1819">
        <v>4014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 t="s">
        <v>20</v>
      </c>
      <c r="L1819" s="1">
        <v>43029</v>
      </c>
      <c r="M1819">
        <v>7</v>
      </c>
      <c r="N1819">
        <v>52</v>
      </c>
      <c r="O1819">
        <v>2566</v>
      </c>
      <c r="P1819">
        <v>2579</v>
      </c>
      <c r="Q1819">
        <v>2566</v>
      </c>
      <c r="S1819">
        <v>3578</v>
      </c>
      <c r="T1819">
        <v>3214</v>
      </c>
      <c r="U1819">
        <f>+SUM(Table1[[#This Row],[Latinos]:[Cemex]])</f>
        <v>1</v>
      </c>
      <c r="V1819" t="str">
        <f>+Table1[[#This Row],[id_destino]]&amp;" - "&amp;Table1[[#This Row],[id_origen]]</f>
        <v>7 - 52</v>
      </c>
    </row>
    <row r="1820" spans="1:22" hidden="1">
      <c r="A1820">
        <v>126</v>
      </c>
      <c r="B1820">
        <v>1482</v>
      </c>
      <c r="C1820">
        <v>115</v>
      </c>
      <c r="D1820">
        <v>4531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 t="s">
        <v>20</v>
      </c>
      <c r="L1820" s="1">
        <v>44672</v>
      </c>
      <c r="M1820">
        <v>9</v>
      </c>
      <c r="N1820">
        <v>52</v>
      </c>
      <c r="O1820">
        <v>2174</v>
      </c>
      <c r="P1820">
        <v>2213</v>
      </c>
      <c r="Q1820">
        <v>2174</v>
      </c>
      <c r="S1820">
        <v>4345</v>
      </c>
      <c r="T1820">
        <v>4074</v>
      </c>
      <c r="U1820">
        <f>+SUM(Table1[[#This Row],[Latinos]:[Cemex]])</f>
        <v>1</v>
      </c>
      <c r="V1820" t="str">
        <f>+Table1[[#This Row],[id_destino]]&amp;" - "&amp;Table1[[#This Row],[id_origen]]</f>
        <v>9 - 52</v>
      </c>
    </row>
    <row r="1821" spans="1:22" hidden="1">
      <c r="A1821">
        <v>3627</v>
      </c>
      <c r="B1821">
        <v>1482</v>
      </c>
      <c r="C1821">
        <v>1522</v>
      </c>
      <c r="D1821">
        <v>6979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 t="s">
        <v>20</v>
      </c>
      <c r="L1821" s="1">
        <v>45198</v>
      </c>
      <c r="M1821">
        <v>9</v>
      </c>
      <c r="N1821">
        <v>52</v>
      </c>
      <c r="O1821">
        <v>2303</v>
      </c>
      <c r="P1821">
        <v>2302</v>
      </c>
      <c r="Q1821">
        <v>2303</v>
      </c>
      <c r="S1821">
        <v>0</v>
      </c>
      <c r="T1821">
        <v>0</v>
      </c>
      <c r="U1821">
        <f>+SUM(Table1[[#This Row],[Latinos]:[Cemex]])</f>
        <v>1</v>
      </c>
      <c r="V1821" t="str">
        <f>+Table1[[#This Row],[id_destino]]&amp;" - "&amp;Table1[[#This Row],[id_origen]]</f>
        <v>9 - 52</v>
      </c>
    </row>
    <row r="1822" spans="1:22" hidden="1">
      <c r="A1822">
        <v>1175</v>
      </c>
      <c r="B1822">
        <v>2614</v>
      </c>
      <c r="C1822">
        <v>239</v>
      </c>
      <c r="D1822">
        <v>5656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 t="s">
        <v>20</v>
      </c>
      <c r="L1822" s="1">
        <v>44672</v>
      </c>
      <c r="M1822">
        <v>9</v>
      </c>
      <c r="N1822">
        <v>52</v>
      </c>
      <c r="O1822">
        <v>2174</v>
      </c>
      <c r="P1822">
        <v>2213</v>
      </c>
      <c r="Q1822">
        <v>2174</v>
      </c>
      <c r="S1822">
        <v>4345</v>
      </c>
      <c r="T1822">
        <v>4059</v>
      </c>
      <c r="U1822">
        <f>+SUM(Table1[[#This Row],[Latinos]:[Cemex]])</f>
        <v>1</v>
      </c>
      <c r="V1822" t="str">
        <f>+Table1[[#This Row],[id_destino]]&amp;" - "&amp;Table1[[#This Row],[id_origen]]</f>
        <v>9 - 52</v>
      </c>
    </row>
    <row r="1823" spans="1:22" hidden="1">
      <c r="A1823">
        <v>329</v>
      </c>
      <c r="B1823">
        <v>2264</v>
      </c>
      <c r="C1823">
        <v>3431</v>
      </c>
      <c r="D1823">
        <v>10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 t="s">
        <v>20</v>
      </c>
      <c r="L1823" s="1">
        <v>43039</v>
      </c>
      <c r="M1823">
        <v>12</v>
      </c>
      <c r="N1823">
        <v>52</v>
      </c>
      <c r="O1823">
        <v>694</v>
      </c>
      <c r="P1823">
        <v>576</v>
      </c>
      <c r="Q1823">
        <v>694</v>
      </c>
      <c r="S1823">
        <v>716</v>
      </c>
      <c r="T1823">
        <v>754</v>
      </c>
      <c r="U1823">
        <f>+SUM(Table1[[#This Row],[Latinos]:[Cemex]])</f>
        <v>1</v>
      </c>
      <c r="V1823" t="str">
        <f>+Table1[[#This Row],[id_destino]]&amp;" - "&amp;Table1[[#This Row],[id_origen]]</f>
        <v>12 - 52</v>
      </c>
    </row>
    <row r="1824" spans="1:22" hidden="1">
      <c r="A1824">
        <v>3134</v>
      </c>
      <c r="B1824">
        <v>2264</v>
      </c>
      <c r="C1824">
        <v>1522</v>
      </c>
      <c r="D1824">
        <v>6937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  <c r="K1824" t="s">
        <v>20</v>
      </c>
      <c r="L1824" s="1">
        <v>44736</v>
      </c>
      <c r="M1824">
        <v>12</v>
      </c>
      <c r="N1824">
        <v>52</v>
      </c>
      <c r="O1824">
        <v>0</v>
      </c>
      <c r="P1824">
        <v>150</v>
      </c>
      <c r="Q1824">
        <v>0</v>
      </c>
      <c r="S1824">
        <v>0</v>
      </c>
      <c r="T1824">
        <v>0</v>
      </c>
      <c r="U1824">
        <f>+SUM(Table1[[#This Row],[Latinos]:[Cemex]])</f>
        <v>1</v>
      </c>
      <c r="V1824" t="str">
        <f>+Table1[[#This Row],[id_destino]]&amp;" - "&amp;Table1[[#This Row],[id_origen]]</f>
        <v>12 - 52</v>
      </c>
    </row>
    <row r="1825" spans="1:22" hidden="1">
      <c r="A1825">
        <v>3108</v>
      </c>
      <c r="B1825">
        <v>3781</v>
      </c>
      <c r="C1825">
        <v>1522</v>
      </c>
      <c r="D1825">
        <v>6889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 t="s">
        <v>20</v>
      </c>
      <c r="L1825" s="1">
        <v>44918</v>
      </c>
      <c r="M1825">
        <v>13</v>
      </c>
      <c r="N1825">
        <v>52</v>
      </c>
      <c r="O1825">
        <v>737</v>
      </c>
      <c r="P1825">
        <v>740</v>
      </c>
      <c r="Q1825">
        <v>737</v>
      </c>
      <c r="S1825">
        <v>847</v>
      </c>
      <c r="T1825">
        <v>847</v>
      </c>
      <c r="U1825">
        <f>+SUM(Table1[[#This Row],[Latinos]:[Cemex]])</f>
        <v>1</v>
      </c>
      <c r="V1825" t="str">
        <f>+Table1[[#This Row],[id_destino]]&amp;" - "&amp;Table1[[#This Row],[id_origen]]</f>
        <v>13 - 52</v>
      </c>
    </row>
    <row r="1826" spans="1:22" hidden="1">
      <c r="A1826">
        <v>3943</v>
      </c>
      <c r="B1826">
        <v>3781</v>
      </c>
      <c r="C1826">
        <v>1522</v>
      </c>
      <c r="D1826">
        <v>6889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 t="s">
        <v>20</v>
      </c>
      <c r="L1826" s="1">
        <v>45201</v>
      </c>
      <c r="M1826">
        <v>13</v>
      </c>
      <c r="N1826">
        <v>52</v>
      </c>
      <c r="O1826">
        <v>0</v>
      </c>
      <c r="P1826">
        <v>150</v>
      </c>
      <c r="Q1826">
        <v>0</v>
      </c>
      <c r="S1826">
        <v>0</v>
      </c>
      <c r="T1826">
        <v>0</v>
      </c>
      <c r="U1826">
        <f>+SUM(Table1[[#This Row],[Latinos]:[Cemex]])</f>
        <v>1</v>
      </c>
      <c r="V1826" t="str">
        <f>+Table1[[#This Row],[id_destino]]&amp;" - "&amp;Table1[[#This Row],[id_origen]]</f>
        <v>13 - 52</v>
      </c>
    </row>
    <row r="1827" spans="1:22" hidden="1">
      <c r="A1827">
        <v>3552</v>
      </c>
      <c r="B1827">
        <v>1571</v>
      </c>
      <c r="C1827">
        <v>1522</v>
      </c>
      <c r="D1827">
        <v>6894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 t="s">
        <v>20</v>
      </c>
      <c r="L1827" s="1">
        <v>44954</v>
      </c>
      <c r="M1827">
        <v>15</v>
      </c>
      <c r="N1827">
        <v>52</v>
      </c>
      <c r="O1827">
        <v>0</v>
      </c>
      <c r="P1827">
        <v>150</v>
      </c>
      <c r="Q1827">
        <v>0</v>
      </c>
      <c r="S1827">
        <v>0</v>
      </c>
      <c r="T1827">
        <v>0</v>
      </c>
      <c r="U1827">
        <f>+SUM(Table1[[#This Row],[Latinos]:[Cemex]])</f>
        <v>1</v>
      </c>
      <c r="V1827" t="str">
        <f>+Table1[[#This Row],[id_destino]]&amp;" - "&amp;Table1[[#This Row],[id_origen]]</f>
        <v>15 - 52</v>
      </c>
    </row>
    <row r="1828" spans="1:22" hidden="1">
      <c r="A1828">
        <v>3298</v>
      </c>
      <c r="B1828">
        <v>1486</v>
      </c>
      <c r="C1828">
        <v>1522</v>
      </c>
      <c r="D1828">
        <v>6918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 t="s">
        <v>20</v>
      </c>
      <c r="L1828" s="1">
        <v>44817</v>
      </c>
      <c r="M1828">
        <v>16</v>
      </c>
      <c r="N1828">
        <v>52</v>
      </c>
      <c r="O1828">
        <v>819</v>
      </c>
      <c r="P1828">
        <v>811</v>
      </c>
      <c r="Q1828">
        <v>819</v>
      </c>
      <c r="S1828">
        <v>1978</v>
      </c>
      <c r="T1828">
        <v>2394</v>
      </c>
      <c r="U1828">
        <f>+SUM(Table1[[#This Row],[Latinos]:[Cemex]])</f>
        <v>1</v>
      </c>
      <c r="V1828" t="str">
        <f>+Table1[[#This Row],[id_destino]]&amp;" - "&amp;Table1[[#This Row],[id_origen]]</f>
        <v>16 - 52</v>
      </c>
    </row>
    <row r="1829" spans="1:22" hidden="1">
      <c r="A1829">
        <v>3544</v>
      </c>
      <c r="B1829">
        <v>1486</v>
      </c>
      <c r="C1829">
        <v>1522</v>
      </c>
      <c r="D1829">
        <v>6918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 t="s">
        <v>20</v>
      </c>
      <c r="L1829" s="1">
        <v>44953</v>
      </c>
      <c r="M1829">
        <v>16</v>
      </c>
      <c r="N1829">
        <v>52</v>
      </c>
      <c r="O1829">
        <v>0</v>
      </c>
      <c r="P1829">
        <v>150</v>
      </c>
      <c r="Q1829">
        <v>0</v>
      </c>
      <c r="S1829">
        <v>0</v>
      </c>
      <c r="T1829">
        <v>0</v>
      </c>
      <c r="U1829">
        <f>+SUM(Table1[[#This Row],[Latinos]:[Cemex]])</f>
        <v>1</v>
      </c>
      <c r="V1829" t="str">
        <f>+Table1[[#This Row],[id_destino]]&amp;" - "&amp;Table1[[#This Row],[id_origen]]</f>
        <v>16 - 52</v>
      </c>
    </row>
    <row r="1830" spans="1:22" hidden="1">
      <c r="A1830">
        <v>2452</v>
      </c>
      <c r="B1830">
        <v>1896</v>
      </c>
      <c r="C1830">
        <v>6391</v>
      </c>
      <c r="D1830">
        <v>18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 t="s">
        <v>20</v>
      </c>
      <c r="L1830" s="1">
        <v>44784</v>
      </c>
      <c r="M1830">
        <v>17</v>
      </c>
      <c r="N1830">
        <v>52</v>
      </c>
      <c r="O1830">
        <v>602</v>
      </c>
      <c r="P1830">
        <v>590</v>
      </c>
      <c r="Q1830">
        <v>602</v>
      </c>
      <c r="S1830">
        <v>2209</v>
      </c>
      <c r="T1830">
        <v>2639</v>
      </c>
      <c r="U1830">
        <f>+SUM(Table1[[#This Row],[Latinos]:[Cemex]])</f>
        <v>1</v>
      </c>
      <c r="V1830" t="str">
        <f>+Table1[[#This Row],[id_destino]]&amp;" - "&amp;Table1[[#This Row],[id_origen]]</f>
        <v>17 - 52</v>
      </c>
    </row>
    <row r="1831" spans="1:22" hidden="1">
      <c r="A1831">
        <v>3604</v>
      </c>
      <c r="B1831">
        <v>1896</v>
      </c>
      <c r="C1831">
        <v>1522</v>
      </c>
      <c r="D1831">
        <v>7007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 t="s">
        <v>20</v>
      </c>
      <c r="L1831" s="1">
        <v>44982</v>
      </c>
      <c r="M1831">
        <v>17</v>
      </c>
      <c r="N1831">
        <v>52</v>
      </c>
      <c r="O1831">
        <v>0</v>
      </c>
      <c r="P1831">
        <v>150</v>
      </c>
      <c r="Q1831">
        <v>0</v>
      </c>
      <c r="S1831">
        <v>0</v>
      </c>
      <c r="T1831">
        <v>0</v>
      </c>
      <c r="U1831">
        <f>+SUM(Table1[[#This Row],[Latinos]:[Cemex]])</f>
        <v>1</v>
      </c>
      <c r="V1831" t="str">
        <f>+Table1[[#This Row],[id_destino]]&amp;" - "&amp;Table1[[#This Row],[id_origen]]</f>
        <v>17 - 52</v>
      </c>
    </row>
    <row r="1832" spans="1:22" hidden="1">
      <c r="A1832">
        <v>85</v>
      </c>
      <c r="B1832">
        <v>1122</v>
      </c>
      <c r="C1832">
        <v>3431</v>
      </c>
      <c r="D1832">
        <v>4177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0</v>
      </c>
      <c r="K1832" t="s">
        <v>20</v>
      </c>
      <c r="L1832" s="1">
        <v>44539</v>
      </c>
      <c r="M1832">
        <v>18</v>
      </c>
      <c r="N1832">
        <v>52</v>
      </c>
      <c r="O1832">
        <v>909</v>
      </c>
      <c r="P1832">
        <v>859</v>
      </c>
      <c r="Q1832">
        <v>909</v>
      </c>
      <c r="S1832">
        <v>1203</v>
      </c>
      <c r="T1832">
        <v>1203</v>
      </c>
      <c r="U1832">
        <f>+SUM(Table1[[#This Row],[Latinos]:[Cemex]])</f>
        <v>1</v>
      </c>
      <c r="V1832" t="str">
        <f>+Table1[[#This Row],[id_destino]]&amp;" - "&amp;Table1[[#This Row],[id_origen]]</f>
        <v>18 - 52</v>
      </c>
    </row>
    <row r="1833" spans="1:22" hidden="1">
      <c r="A1833">
        <v>385</v>
      </c>
      <c r="B1833">
        <v>1122</v>
      </c>
      <c r="C1833">
        <v>3431</v>
      </c>
      <c r="D1833">
        <v>4035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 t="s">
        <v>20</v>
      </c>
      <c r="L1833" s="1">
        <v>43052</v>
      </c>
      <c r="M1833">
        <v>18</v>
      </c>
      <c r="N1833">
        <v>52</v>
      </c>
      <c r="O1833">
        <v>880</v>
      </c>
      <c r="P1833">
        <v>880</v>
      </c>
      <c r="Q1833">
        <v>880</v>
      </c>
      <c r="S1833">
        <v>682</v>
      </c>
      <c r="T1833">
        <v>682</v>
      </c>
      <c r="U1833">
        <f>+SUM(Table1[[#This Row],[Latinos]:[Cemex]])</f>
        <v>1</v>
      </c>
      <c r="V1833" t="str">
        <f>+Table1[[#This Row],[id_destino]]&amp;" - "&amp;Table1[[#This Row],[id_origen]]</f>
        <v>18 - 52</v>
      </c>
    </row>
    <row r="1834" spans="1:22" hidden="1">
      <c r="A1834">
        <v>2996</v>
      </c>
      <c r="B1834">
        <v>2174</v>
      </c>
      <c r="C1834">
        <v>1522</v>
      </c>
      <c r="D1834">
        <v>6812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 t="s">
        <v>20</v>
      </c>
      <c r="L1834" s="1">
        <v>44677</v>
      </c>
      <c r="M1834">
        <v>20</v>
      </c>
      <c r="N1834">
        <v>52</v>
      </c>
      <c r="O1834">
        <v>893</v>
      </c>
      <c r="P1834">
        <v>888</v>
      </c>
      <c r="Q1834">
        <v>893</v>
      </c>
      <c r="S1834">
        <v>1203</v>
      </c>
      <c r="T1834">
        <v>1203</v>
      </c>
      <c r="U1834">
        <f>+SUM(Table1[[#This Row],[Latinos]:[Cemex]])</f>
        <v>1</v>
      </c>
      <c r="V1834" t="str">
        <f>+Table1[[#This Row],[id_destino]]&amp;" - "&amp;Table1[[#This Row],[id_origen]]</f>
        <v>20 - 52</v>
      </c>
    </row>
    <row r="1835" spans="1:22" hidden="1">
      <c r="A1835">
        <v>3892</v>
      </c>
      <c r="B1835">
        <v>4283</v>
      </c>
      <c r="C1835">
        <v>1522</v>
      </c>
      <c r="D1835">
        <v>7078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0</v>
      </c>
      <c r="K1835" t="s">
        <v>20</v>
      </c>
      <c r="L1835" s="1">
        <v>45169</v>
      </c>
      <c r="M1835">
        <v>21</v>
      </c>
      <c r="N1835">
        <v>52</v>
      </c>
      <c r="O1835">
        <v>1496</v>
      </c>
      <c r="P1835">
        <v>1557</v>
      </c>
      <c r="Q1835">
        <v>1496</v>
      </c>
      <c r="S1835">
        <v>2679</v>
      </c>
      <c r="T1835">
        <v>3128</v>
      </c>
      <c r="U1835">
        <f>+SUM(Table1[[#This Row],[Latinos]:[Cemex]])</f>
        <v>1</v>
      </c>
      <c r="V1835" t="str">
        <f>+Table1[[#This Row],[id_destino]]&amp;" - "&amp;Table1[[#This Row],[id_origen]]</f>
        <v>21 - 52</v>
      </c>
    </row>
    <row r="1836" spans="1:22" hidden="1">
      <c r="A1836">
        <v>3893</v>
      </c>
      <c r="B1836">
        <v>4283</v>
      </c>
      <c r="C1836">
        <v>1522</v>
      </c>
      <c r="D1836">
        <v>7078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 t="s">
        <v>20</v>
      </c>
      <c r="L1836" s="1">
        <v>45169</v>
      </c>
      <c r="M1836">
        <v>21</v>
      </c>
      <c r="N1836">
        <v>52</v>
      </c>
      <c r="O1836">
        <v>0</v>
      </c>
      <c r="P1836">
        <v>150</v>
      </c>
      <c r="Q1836">
        <v>0</v>
      </c>
      <c r="S1836">
        <v>0</v>
      </c>
      <c r="T1836">
        <v>0</v>
      </c>
      <c r="U1836">
        <f>+SUM(Table1[[#This Row],[Latinos]:[Cemex]])</f>
        <v>1</v>
      </c>
      <c r="V1836" t="str">
        <f>+Table1[[#This Row],[id_destino]]&amp;" - "&amp;Table1[[#This Row],[id_origen]]</f>
        <v>21 - 52</v>
      </c>
    </row>
    <row r="1837" spans="1:22" hidden="1">
      <c r="A1837">
        <v>1033</v>
      </c>
      <c r="B1837">
        <v>389</v>
      </c>
      <c r="C1837">
        <v>5116</v>
      </c>
      <c r="D1837">
        <v>5590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 t="s">
        <v>20</v>
      </c>
      <c r="L1837" s="1">
        <v>43257</v>
      </c>
      <c r="M1837">
        <v>23</v>
      </c>
      <c r="N1837">
        <v>52</v>
      </c>
      <c r="O1837">
        <v>861</v>
      </c>
      <c r="P1837">
        <v>789</v>
      </c>
      <c r="Q1837">
        <v>861</v>
      </c>
      <c r="S1837">
        <v>1649</v>
      </c>
      <c r="T1837">
        <v>1687</v>
      </c>
      <c r="U1837">
        <f>+SUM(Table1[[#This Row],[Latinos]:[Cemex]])</f>
        <v>1</v>
      </c>
      <c r="V1837" t="str">
        <f>+Table1[[#This Row],[id_destino]]&amp;" - "&amp;Table1[[#This Row],[id_origen]]</f>
        <v>23 - 52</v>
      </c>
    </row>
    <row r="1838" spans="1:22" hidden="1">
      <c r="A1838">
        <v>1926</v>
      </c>
      <c r="B1838">
        <v>389</v>
      </c>
      <c r="C1838">
        <v>5116</v>
      </c>
      <c r="D1838">
        <v>6055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K1838" t="s">
        <v>20</v>
      </c>
      <c r="L1838" s="1">
        <v>45062</v>
      </c>
      <c r="M1838">
        <v>23</v>
      </c>
      <c r="N1838">
        <v>52</v>
      </c>
      <c r="O1838">
        <v>0</v>
      </c>
      <c r="P1838">
        <v>150</v>
      </c>
      <c r="Q1838">
        <v>0</v>
      </c>
      <c r="S1838">
        <v>0</v>
      </c>
      <c r="T1838">
        <v>0</v>
      </c>
      <c r="U1838">
        <f>+SUM(Table1[[#This Row],[Latinos]:[Cemex]])</f>
        <v>1</v>
      </c>
      <c r="V1838" t="str">
        <f>+Table1[[#This Row],[id_destino]]&amp;" - "&amp;Table1[[#This Row],[id_origen]]</f>
        <v>23 - 52</v>
      </c>
    </row>
    <row r="1839" spans="1:22" hidden="1">
      <c r="A1839">
        <v>969</v>
      </c>
      <c r="B1839">
        <v>837</v>
      </c>
      <c r="C1839">
        <v>4312</v>
      </c>
      <c r="D1839">
        <v>3738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 t="s">
        <v>20</v>
      </c>
      <c r="L1839" s="1">
        <v>43888</v>
      </c>
      <c r="M1839">
        <v>24</v>
      </c>
      <c r="N1839">
        <v>52</v>
      </c>
      <c r="O1839">
        <v>1167</v>
      </c>
      <c r="P1839">
        <v>1167</v>
      </c>
      <c r="Q1839">
        <v>1167</v>
      </c>
      <c r="S1839">
        <v>1645.68</v>
      </c>
      <c r="T1839">
        <v>1702.58</v>
      </c>
      <c r="U1839">
        <f>+SUM(Table1[[#This Row],[Latinos]:[Cemex]])</f>
        <v>1</v>
      </c>
      <c r="V1839" t="str">
        <f>+Table1[[#This Row],[id_destino]]&amp;" - "&amp;Table1[[#This Row],[id_origen]]</f>
        <v>24 - 52</v>
      </c>
    </row>
    <row r="1840" spans="1:22" hidden="1">
      <c r="A1840">
        <v>3138</v>
      </c>
      <c r="B1840">
        <v>837</v>
      </c>
      <c r="C1840">
        <v>1522</v>
      </c>
      <c r="D1840">
        <v>6945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 t="s">
        <v>20</v>
      </c>
      <c r="L1840" s="1">
        <v>44736</v>
      </c>
      <c r="M1840">
        <v>24</v>
      </c>
      <c r="N1840">
        <v>52</v>
      </c>
      <c r="O1840">
        <v>1128</v>
      </c>
      <c r="P1840">
        <v>1078</v>
      </c>
      <c r="Q1840">
        <v>1128</v>
      </c>
      <c r="S1840">
        <v>2832</v>
      </c>
      <c r="T1840">
        <v>2957</v>
      </c>
      <c r="U1840">
        <f>+SUM(Table1[[#This Row],[Latinos]:[Cemex]])</f>
        <v>1</v>
      </c>
      <c r="V1840" t="str">
        <f>+Table1[[#This Row],[id_destino]]&amp;" - "&amp;Table1[[#This Row],[id_origen]]</f>
        <v>24 - 52</v>
      </c>
    </row>
    <row r="1841" spans="1:22" hidden="1">
      <c r="A1841">
        <v>3788</v>
      </c>
      <c r="B1841">
        <v>837</v>
      </c>
      <c r="C1841">
        <v>1522</v>
      </c>
      <c r="D1841">
        <v>6945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  <c r="K1841" t="s">
        <v>20</v>
      </c>
      <c r="L1841" s="1">
        <v>45091</v>
      </c>
      <c r="M1841">
        <v>24</v>
      </c>
      <c r="N1841">
        <v>52</v>
      </c>
      <c r="O1841">
        <v>0</v>
      </c>
      <c r="P1841">
        <v>150</v>
      </c>
      <c r="Q1841">
        <v>0</v>
      </c>
      <c r="S1841">
        <v>0</v>
      </c>
      <c r="T1841">
        <v>0</v>
      </c>
      <c r="U1841">
        <f>+SUM(Table1[[#This Row],[Latinos]:[Cemex]])</f>
        <v>1</v>
      </c>
      <c r="V1841" t="str">
        <f>+Table1[[#This Row],[id_destino]]&amp;" - "&amp;Table1[[#This Row],[id_origen]]</f>
        <v>24 - 52</v>
      </c>
    </row>
    <row r="1842" spans="1:22" hidden="1">
      <c r="A1842">
        <v>3131</v>
      </c>
      <c r="B1842">
        <v>3794</v>
      </c>
      <c r="C1842">
        <v>1522</v>
      </c>
      <c r="D1842">
        <v>6950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 t="s">
        <v>20</v>
      </c>
      <c r="L1842" s="1">
        <v>44736</v>
      </c>
      <c r="M1842">
        <v>25</v>
      </c>
      <c r="N1842">
        <v>52</v>
      </c>
      <c r="O1842">
        <v>1038</v>
      </c>
      <c r="P1842">
        <v>989</v>
      </c>
      <c r="Q1842">
        <v>1038</v>
      </c>
      <c r="S1842">
        <v>2459</v>
      </c>
      <c r="T1842">
        <v>2497</v>
      </c>
      <c r="U1842">
        <f>+SUM(Table1[[#This Row],[Latinos]:[Cemex]])</f>
        <v>1</v>
      </c>
      <c r="V1842" t="str">
        <f>+Table1[[#This Row],[id_destino]]&amp;" - "&amp;Table1[[#This Row],[id_origen]]</f>
        <v>25 - 52</v>
      </c>
    </row>
    <row r="1843" spans="1:22" hidden="1">
      <c r="A1843">
        <v>3132</v>
      </c>
      <c r="B1843">
        <v>3794</v>
      </c>
      <c r="C1843">
        <v>1522</v>
      </c>
      <c r="D1843">
        <v>6950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 t="s">
        <v>20</v>
      </c>
      <c r="L1843" s="1">
        <v>44736</v>
      </c>
      <c r="M1843">
        <v>25</v>
      </c>
      <c r="N1843">
        <v>52</v>
      </c>
      <c r="O1843">
        <v>0</v>
      </c>
      <c r="P1843">
        <v>150</v>
      </c>
      <c r="Q1843">
        <v>0</v>
      </c>
      <c r="S1843">
        <v>0</v>
      </c>
      <c r="T1843">
        <v>0</v>
      </c>
      <c r="U1843">
        <f>+SUM(Table1[[#This Row],[Latinos]:[Cemex]])</f>
        <v>1</v>
      </c>
      <c r="V1843" t="str">
        <f>+Table1[[#This Row],[id_destino]]&amp;" - "&amp;Table1[[#This Row],[id_origen]]</f>
        <v>25 - 52</v>
      </c>
    </row>
    <row r="1844" spans="1:22" hidden="1">
      <c r="A1844">
        <v>3133</v>
      </c>
      <c r="B1844">
        <v>3648</v>
      </c>
      <c r="C1844">
        <v>1522</v>
      </c>
      <c r="D1844">
        <v>6855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 t="s">
        <v>20</v>
      </c>
      <c r="L1844" s="1">
        <v>44736</v>
      </c>
      <c r="M1844">
        <v>26</v>
      </c>
      <c r="N1844">
        <v>52</v>
      </c>
      <c r="O1844">
        <v>0</v>
      </c>
      <c r="P1844">
        <v>150</v>
      </c>
      <c r="Q1844">
        <v>0</v>
      </c>
      <c r="S1844">
        <v>0</v>
      </c>
      <c r="T1844">
        <v>0</v>
      </c>
      <c r="U1844">
        <f>+SUM(Table1[[#This Row],[Latinos]:[Cemex]])</f>
        <v>1</v>
      </c>
      <c r="V1844" t="str">
        <f>+Table1[[#This Row],[id_destino]]&amp;" - "&amp;Table1[[#This Row],[id_origen]]</f>
        <v>26 - 52</v>
      </c>
    </row>
    <row r="1845" spans="1:22" hidden="1">
      <c r="A1845">
        <v>1310</v>
      </c>
      <c r="B1845">
        <v>1514</v>
      </c>
      <c r="C1845">
        <v>5568</v>
      </c>
      <c r="D1845">
        <v>5721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 t="s">
        <v>20</v>
      </c>
      <c r="L1845" s="1">
        <v>43378</v>
      </c>
      <c r="M1845">
        <v>27</v>
      </c>
      <c r="N1845">
        <v>52</v>
      </c>
      <c r="O1845">
        <v>1227</v>
      </c>
      <c r="P1845">
        <v>1239</v>
      </c>
      <c r="Q1845">
        <v>1227</v>
      </c>
      <c r="S1845">
        <v>1430</v>
      </c>
      <c r="T1845">
        <v>1430</v>
      </c>
      <c r="U1845">
        <f>+SUM(Table1[[#This Row],[Latinos]:[Cemex]])</f>
        <v>1</v>
      </c>
      <c r="V1845" t="str">
        <f>+Table1[[#This Row],[id_destino]]&amp;" - "&amp;Table1[[#This Row],[id_origen]]</f>
        <v>27 - 52</v>
      </c>
    </row>
    <row r="1846" spans="1:22" hidden="1">
      <c r="A1846">
        <v>2293</v>
      </c>
      <c r="B1846">
        <v>846</v>
      </c>
      <c r="C1846">
        <v>3431</v>
      </c>
      <c r="D1846">
        <v>5978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 t="s">
        <v>20</v>
      </c>
      <c r="L1846" s="1">
        <v>45191</v>
      </c>
      <c r="M1846">
        <v>30</v>
      </c>
      <c r="N1846">
        <v>52</v>
      </c>
      <c r="O1846">
        <v>863</v>
      </c>
      <c r="P1846">
        <v>863</v>
      </c>
      <c r="Q1846">
        <v>863</v>
      </c>
      <c r="S1846">
        <v>3758</v>
      </c>
      <c r="T1846">
        <v>4188</v>
      </c>
      <c r="U1846">
        <f>+SUM(Table1[[#This Row],[Latinos]:[Cemex]])</f>
        <v>1</v>
      </c>
      <c r="V1846" t="str">
        <f>+Table1[[#This Row],[id_destino]]&amp;" - "&amp;Table1[[#This Row],[id_origen]]</f>
        <v>30 - 52</v>
      </c>
    </row>
    <row r="1847" spans="1:22" hidden="1">
      <c r="A1847">
        <v>3934</v>
      </c>
      <c r="B1847">
        <v>846</v>
      </c>
      <c r="C1847">
        <v>1522</v>
      </c>
      <c r="D1847">
        <v>6939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  <c r="K1847" t="s">
        <v>20</v>
      </c>
      <c r="L1847" s="1">
        <v>45195</v>
      </c>
      <c r="M1847">
        <v>30</v>
      </c>
      <c r="N1847">
        <v>52</v>
      </c>
      <c r="O1847">
        <v>0</v>
      </c>
      <c r="P1847">
        <v>150</v>
      </c>
      <c r="Q1847">
        <v>0</v>
      </c>
      <c r="S1847">
        <v>0</v>
      </c>
      <c r="T1847">
        <v>0</v>
      </c>
      <c r="U1847">
        <f>+SUM(Table1[[#This Row],[Latinos]:[Cemex]])</f>
        <v>1</v>
      </c>
      <c r="V1847" t="str">
        <f>+Table1[[#This Row],[id_destino]]&amp;" - "&amp;Table1[[#This Row],[id_origen]]</f>
        <v>30 - 52</v>
      </c>
    </row>
    <row r="1848" spans="1:22" hidden="1">
      <c r="A1848">
        <v>786</v>
      </c>
      <c r="B1848">
        <v>1029</v>
      </c>
      <c r="C1848">
        <v>4312</v>
      </c>
      <c r="D1848">
        <v>35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0</v>
      </c>
      <c r="K1848" t="s">
        <v>20</v>
      </c>
      <c r="L1848" s="1">
        <v>44605</v>
      </c>
      <c r="M1848">
        <v>31</v>
      </c>
      <c r="N1848">
        <v>52</v>
      </c>
      <c r="O1848">
        <v>1049</v>
      </c>
      <c r="P1848">
        <v>1045</v>
      </c>
      <c r="Q1848">
        <v>1049</v>
      </c>
      <c r="S1848">
        <v>4704</v>
      </c>
      <c r="T1848">
        <v>5155</v>
      </c>
      <c r="U1848">
        <f>+SUM(Table1[[#This Row],[Latinos]:[Cemex]])</f>
        <v>1</v>
      </c>
      <c r="V1848" t="str">
        <f>+Table1[[#This Row],[id_destino]]&amp;" - "&amp;Table1[[#This Row],[id_origen]]</f>
        <v>31 - 52</v>
      </c>
    </row>
    <row r="1849" spans="1:22" hidden="1">
      <c r="A1849">
        <v>2870</v>
      </c>
      <c r="B1849">
        <v>1029</v>
      </c>
      <c r="C1849">
        <v>641</v>
      </c>
      <c r="D1849">
        <v>35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  <c r="K1849" t="s">
        <v>20</v>
      </c>
      <c r="L1849" s="1">
        <v>44571</v>
      </c>
      <c r="M1849">
        <v>31</v>
      </c>
      <c r="N1849">
        <v>52</v>
      </c>
      <c r="O1849">
        <v>0</v>
      </c>
      <c r="P1849">
        <v>150</v>
      </c>
      <c r="Q1849">
        <v>0</v>
      </c>
      <c r="S1849">
        <v>0</v>
      </c>
      <c r="T1849">
        <v>0</v>
      </c>
      <c r="U1849">
        <f>+SUM(Table1[[#This Row],[Latinos]:[Cemex]])</f>
        <v>1</v>
      </c>
      <c r="V1849" t="str">
        <f>+Table1[[#This Row],[id_destino]]&amp;" - "&amp;Table1[[#This Row],[id_origen]]</f>
        <v>31 - 52</v>
      </c>
    </row>
    <row r="1850" spans="1:22" hidden="1">
      <c r="A1850">
        <v>2468</v>
      </c>
      <c r="B1850">
        <v>1487</v>
      </c>
      <c r="C1850">
        <v>3431</v>
      </c>
      <c r="D1850">
        <v>637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 t="s">
        <v>20</v>
      </c>
      <c r="L1850" s="1">
        <v>44100</v>
      </c>
      <c r="M1850">
        <v>33</v>
      </c>
      <c r="N1850">
        <v>52</v>
      </c>
      <c r="O1850">
        <v>386</v>
      </c>
      <c r="P1850">
        <v>397</v>
      </c>
      <c r="Q1850">
        <v>386</v>
      </c>
      <c r="S1850">
        <v>490</v>
      </c>
      <c r="T1850">
        <v>542</v>
      </c>
      <c r="U1850">
        <f>+SUM(Table1[[#This Row],[Latinos]:[Cemex]])</f>
        <v>1</v>
      </c>
      <c r="V1850" t="str">
        <f>+Table1[[#This Row],[id_destino]]&amp;" - "&amp;Table1[[#This Row],[id_origen]]</f>
        <v>33 - 52</v>
      </c>
    </row>
    <row r="1851" spans="1:22" hidden="1">
      <c r="A1851">
        <v>3603</v>
      </c>
      <c r="B1851">
        <v>1487</v>
      </c>
      <c r="C1851">
        <v>1522</v>
      </c>
      <c r="D1851">
        <v>5876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K1851" t="s">
        <v>20</v>
      </c>
      <c r="L1851" s="1">
        <v>45087</v>
      </c>
      <c r="M1851">
        <v>33</v>
      </c>
      <c r="N1851">
        <v>52</v>
      </c>
      <c r="O1851">
        <v>386</v>
      </c>
      <c r="P1851">
        <v>397</v>
      </c>
      <c r="Q1851">
        <v>386</v>
      </c>
      <c r="S1851">
        <v>0</v>
      </c>
      <c r="T1851">
        <v>0</v>
      </c>
      <c r="U1851">
        <f>+SUM(Table1[[#This Row],[Latinos]:[Cemex]])</f>
        <v>1</v>
      </c>
      <c r="V1851" t="str">
        <f>+Table1[[#This Row],[id_destino]]&amp;" - "&amp;Table1[[#This Row],[id_origen]]</f>
        <v>33 - 52</v>
      </c>
    </row>
    <row r="1852" spans="1:22" hidden="1">
      <c r="A1852">
        <v>160</v>
      </c>
      <c r="B1852">
        <v>1358</v>
      </c>
      <c r="C1852">
        <v>3431</v>
      </c>
      <c r="D1852">
        <v>40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0</v>
      </c>
      <c r="K1852" t="s">
        <v>20</v>
      </c>
      <c r="L1852" s="1">
        <v>43004</v>
      </c>
      <c r="M1852">
        <v>34</v>
      </c>
      <c r="N1852">
        <v>52</v>
      </c>
      <c r="O1852">
        <v>339</v>
      </c>
      <c r="P1852">
        <v>364</v>
      </c>
      <c r="Q1852">
        <v>339</v>
      </c>
      <c r="S1852">
        <v>428</v>
      </c>
      <c r="T1852">
        <v>453</v>
      </c>
      <c r="U1852">
        <f>+SUM(Table1[[#This Row],[Latinos]:[Cemex]])</f>
        <v>1</v>
      </c>
      <c r="V1852" t="str">
        <f>+Table1[[#This Row],[id_destino]]&amp;" - "&amp;Table1[[#This Row],[id_origen]]</f>
        <v>34 - 52</v>
      </c>
    </row>
    <row r="1853" spans="1:22" hidden="1">
      <c r="A1853">
        <v>1168</v>
      </c>
      <c r="B1853">
        <v>1033</v>
      </c>
      <c r="C1853">
        <v>4312</v>
      </c>
      <c r="D1853">
        <v>3618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 t="s">
        <v>20</v>
      </c>
      <c r="L1853" s="1">
        <v>43946</v>
      </c>
      <c r="M1853">
        <v>35</v>
      </c>
      <c r="N1853">
        <v>52</v>
      </c>
      <c r="O1853">
        <v>1330</v>
      </c>
      <c r="P1853">
        <v>1330</v>
      </c>
      <c r="Q1853">
        <v>1330</v>
      </c>
      <c r="S1853">
        <v>1712.07</v>
      </c>
      <c r="T1853">
        <v>1712.07</v>
      </c>
      <c r="U1853">
        <f>+SUM(Table1[[#This Row],[Latinos]:[Cemex]])</f>
        <v>1</v>
      </c>
      <c r="V1853" t="str">
        <f>+Table1[[#This Row],[id_destino]]&amp;" - "&amp;Table1[[#This Row],[id_origen]]</f>
        <v>35 - 52</v>
      </c>
    </row>
    <row r="1854" spans="1:22" hidden="1">
      <c r="A1854">
        <v>2657</v>
      </c>
      <c r="B1854">
        <v>1033</v>
      </c>
      <c r="C1854">
        <v>5116</v>
      </c>
      <c r="D1854">
        <v>5016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  <c r="K1854" t="s">
        <v>20</v>
      </c>
      <c r="L1854" s="1">
        <v>44718</v>
      </c>
      <c r="M1854">
        <v>35</v>
      </c>
      <c r="N1854">
        <v>52</v>
      </c>
      <c r="O1854">
        <v>0</v>
      </c>
      <c r="P1854">
        <v>150</v>
      </c>
      <c r="Q1854">
        <v>0</v>
      </c>
      <c r="S1854">
        <v>0</v>
      </c>
      <c r="T1854">
        <v>0</v>
      </c>
      <c r="U1854">
        <f>+SUM(Table1[[#This Row],[Latinos]:[Cemex]])</f>
        <v>1</v>
      </c>
      <c r="V1854" t="str">
        <f>+Table1[[#This Row],[id_destino]]&amp;" - "&amp;Table1[[#This Row],[id_origen]]</f>
        <v>35 - 52</v>
      </c>
    </row>
    <row r="1855" spans="1:22" hidden="1">
      <c r="A1855">
        <v>2987</v>
      </c>
      <c r="B1855">
        <v>1033</v>
      </c>
      <c r="C1855">
        <v>1522</v>
      </c>
      <c r="D1855">
        <v>6858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 t="s">
        <v>20</v>
      </c>
      <c r="L1855" s="1">
        <v>45546</v>
      </c>
      <c r="M1855">
        <v>35</v>
      </c>
      <c r="N1855">
        <v>52</v>
      </c>
      <c r="O1855">
        <v>1471</v>
      </c>
      <c r="P1855">
        <v>1429</v>
      </c>
      <c r="Q1855">
        <v>1471</v>
      </c>
      <c r="S1855">
        <v>2760</v>
      </c>
      <c r="T1855">
        <v>2760</v>
      </c>
      <c r="U1855">
        <f>+SUM(Table1[[#This Row],[Latinos]:[Cemex]])</f>
        <v>1</v>
      </c>
      <c r="V1855" t="str">
        <f>+Table1[[#This Row],[id_destino]]&amp;" - "&amp;Table1[[#This Row],[id_origen]]</f>
        <v>35 - 52</v>
      </c>
    </row>
    <row r="1856" spans="1:22" hidden="1">
      <c r="A1856">
        <v>824</v>
      </c>
      <c r="B1856">
        <v>2468</v>
      </c>
      <c r="C1856">
        <v>1522</v>
      </c>
      <c r="D1856">
        <v>4894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 t="s">
        <v>20</v>
      </c>
      <c r="L1856" s="1">
        <v>43179</v>
      </c>
      <c r="M1856">
        <v>37</v>
      </c>
      <c r="N1856">
        <v>52</v>
      </c>
      <c r="O1856">
        <v>1190</v>
      </c>
      <c r="P1856">
        <v>1190</v>
      </c>
      <c r="Q1856">
        <v>1190</v>
      </c>
      <c r="S1856">
        <v>1462.93</v>
      </c>
      <c r="T1856">
        <v>1462.93</v>
      </c>
      <c r="U1856">
        <f>+SUM(Table1[[#This Row],[Latinos]:[Cemex]])</f>
        <v>1</v>
      </c>
      <c r="V1856" t="str">
        <f>+Table1[[#This Row],[id_destino]]&amp;" - "&amp;Table1[[#This Row],[id_origen]]</f>
        <v>37 - 52</v>
      </c>
    </row>
    <row r="1857" spans="1:22" hidden="1">
      <c r="A1857">
        <v>3476</v>
      </c>
      <c r="B1857">
        <v>2468</v>
      </c>
      <c r="C1857">
        <v>1522</v>
      </c>
      <c r="D1857">
        <v>6963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 t="s">
        <v>93</v>
      </c>
      <c r="L1857" s="1">
        <v>44912</v>
      </c>
      <c r="M1857">
        <v>37</v>
      </c>
      <c r="N1857">
        <v>52</v>
      </c>
      <c r="O1857">
        <v>1153</v>
      </c>
      <c r="P1857">
        <v>1136</v>
      </c>
      <c r="Q1857">
        <v>1153</v>
      </c>
      <c r="S1857">
        <v>3228</v>
      </c>
      <c r="T1857">
        <v>3228</v>
      </c>
      <c r="U1857">
        <f>+SUM(Table1[[#This Row],[Latinos]:[Cemex]])</f>
        <v>1</v>
      </c>
      <c r="V1857" t="str">
        <f>+Table1[[#This Row],[id_destino]]&amp;" - "&amp;Table1[[#This Row],[id_origen]]</f>
        <v>37 - 52</v>
      </c>
    </row>
    <row r="1858" spans="1:22" hidden="1">
      <c r="A1858">
        <v>3477</v>
      </c>
      <c r="B1858">
        <v>2468</v>
      </c>
      <c r="C1858">
        <v>1522</v>
      </c>
      <c r="D1858">
        <v>6963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  <c r="K1858" t="s">
        <v>93</v>
      </c>
      <c r="L1858" s="1">
        <v>44912</v>
      </c>
      <c r="M1858">
        <v>37</v>
      </c>
      <c r="N1858">
        <v>52</v>
      </c>
      <c r="O1858">
        <v>0</v>
      </c>
      <c r="P1858">
        <v>150</v>
      </c>
      <c r="Q1858">
        <v>0</v>
      </c>
      <c r="S1858">
        <v>0</v>
      </c>
      <c r="T1858">
        <v>0</v>
      </c>
      <c r="U1858">
        <f>+SUM(Table1[[#This Row],[Latinos]:[Cemex]])</f>
        <v>1</v>
      </c>
      <c r="V1858" t="str">
        <f>+Table1[[#This Row],[id_destino]]&amp;" - "&amp;Table1[[#This Row],[id_origen]]</f>
        <v>37 - 52</v>
      </c>
    </row>
    <row r="1859" spans="1:22" hidden="1">
      <c r="A1859">
        <v>3145</v>
      </c>
      <c r="B1859">
        <v>2043</v>
      </c>
      <c r="C1859">
        <v>1522</v>
      </c>
      <c r="D1859">
        <v>6956</v>
      </c>
      <c r="E1859">
        <v>0</v>
      </c>
      <c r="F1859">
        <v>1</v>
      </c>
      <c r="G1859">
        <v>0</v>
      </c>
      <c r="H1859">
        <v>0</v>
      </c>
      <c r="I1859">
        <v>0</v>
      </c>
      <c r="J1859">
        <v>0</v>
      </c>
      <c r="K1859" t="s">
        <v>20</v>
      </c>
      <c r="L1859" s="1">
        <v>44739</v>
      </c>
      <c r="M1859">
        <v>39</v>
      </c>
      <c r="N1859">
        <v>52</v>
      </c>
      <c r="O1859">
        <v>925</v>
      </c>
      <c r="P1859">
        <v>933</v>
      </c>
      <c r="Q1859">
        <v>925</v>
      </c>
      <c r="S1859">
        <v>2282</v>
      </c>
      <c r="T1859">
        <v>2282</v>
      </c>
      <c r="U1859">
        <f>+SUM(Table1[[#This Row],[Latinos]:[Cemex]])</f>
        <v>1</v>
      </c>
      <c r="V1859" t="str">
        <f>+Table1[[#This Row],[id_destino]]&amp;" - "&amp;Table1[[#This Row],[id_origen]]</f>
        <v>39 - 52</v>
      </c>
    </row>
    <row r="1860" spans="1:22" hidden="1">
      <c r="A1860">
        <v>3387</v>
      </c>
      <c r="B1860">
        <v>2043</v>
      </c>
      <c r="C1860">
        <v>1522</v>
      </c>
      <c r="D1860">
        <v>6956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  <c r="K1860" t="s">
        <v>20</v>
      </c>
      <c r="L1860" s="1">
        <v>44866</v>
      </c>
      <c r="M1860">
        <v>39</v>
      </c>
      <c r="N1860">
        <v>52</v>
      </c>
      <c r="O1860">
        <v>0</v>
      </c>
      <c r="P1860">
        <v>150</v>
      </c>
      <c r="Q1860">
        <v>0</v>
      </c>
      <c r="S1860">
        <v>0</v>
      </c>
      <c r="T1860">
        <v>0</v>
      </c>
      <c r="U1860">
        <f>+SUM(Table1[[#This Row],[Latinos]:[Cemex]])</f>
        <v>1</v>
      </c>
      <c r="V1860" t="str">
        <f>+Table1[[#This Row],[id_destino]]&amp;" - "&amp;Table1[[#This Row],[id_origen]]</f>
        <v>39 - 52</v>
      </c>
    </row>
    <row r="1861" spans="1:22" hidden="1">
      <c r="A1861">
        <v>3287</v>
      </c>
      <c r="B1861">
        <v>2845</v>
      </c>
      <c r="C1861">
        <v>1522</v>
      </c>
      <c r="D1861">
        <v>6974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0</v>
      </c>
      <c r="K1861" t="s">
        <v>20</v>
      </c>
      <c r="L1861" s="1">
        <v>44928</v>
      </c>
      <c r="M1861">
        <v>40</v>
      </c>
      <c r="N1861">
        <v>52</v>
      </c>
      <c r="O1861">
        <v>875</v>
      </c>
      <c r="P1861">
        <v>875</v>
      </c>
      <c r="Q1861">
        <v>875</v>
      </c>
      <c r="S1861">
        <v>542</v>
      </c>
      <c r="T1861">
        <v>542</v>
      </c>
      <c r="U1861">
        <f>+SUM(Table1[[#This Row],[Latinos]:[Cemex]])</f>
        <v>1</v>
      </c>
      <c r="V1861" t="str">
        <f>+Table1[[#This Row],[id_destino]]&amp;" - "&amp;Table1[[#This Row],[id_origen]]</f>
        <v>40 - 52</v>
      </c>
    </row>
    <row r="1862" spans="1:22" hidden="1">
      <c r="A1862">
        <v>3494</v>
      </c>
      <c r="B1862">
        <v>2845</v>
      </c>
      <c r="C1862">
        <v>1522</v>
      </c>
      <c r="D1862">
        <v>6974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 t="s">
        <v>20</v>
      </c>
      <c r="L1862" s="1">
        <v>44928</v>
      </c>
      <c r="M1862">
        <v>40</v>
      </c>
      <c r="N1862">
        <v>52</v>
      </c>
      <c r="O1862">
        <v>0</v>
      </c>
      <c r="P1862">
        <v>150</v>
      </c>
      <c r="Q1862">
        <v>0</v>
      </c>
      <c r="S1862">
        <v>0</v>
      </c>
      <c r="T1862">
        <v>0</v>
      </c>
      <c r="U1862">
        <f>+SUM(Table1[[#This Row],[Latinos]:[Cemex]])</f>
        <v>1</v>
      </c>
      <c r="V1862" t="str">
        <f>+Table1[[#This Row],[id_destino]]&amp;" - "&amp;Table1[[#This Row],[id_origen]]</f>
        <v>40 - 52</v>
      </c>
    </row>
    <row r="1863" spans="1:22" hidden="1">
      <c r="A1863">
        <v>794</v>
      </c>
      <c r="B1863">
        <v>1273</v>
      </c>
      <c r="C1863">
        <v>3431</v>
      </c>
      <c r="D1863">
        <v>48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 t="s">
        <v>20</v>
      </c>
      <c r="L1863" s="1">
        <v>43166</v>
      </c>
      <c r="M1863">
        <v>42</v>
      </c>
      <c r="N1863">
        <v>52</v>
      </c>
      <c r="O1863">
        <v>1212</v>
      </c>
      <c r="P1863">
        <v>1175</v>
      </c>
      <c r="Q1863">
        <v>1212</v>
      </c>
      <c r="S1863">
        <v>1640</v>
      </c>
      <c r="T1863">
        <v>1640</v>
      </c>
      <c r="U1863">
        <f>+SUM(Table1[[#This Row],[Latinos]:[Cemex]])</f>
        <v>1</v>
      </c>
      <c r="V1863" t="str">
        <f>+Table1[[#This Row],[id_destino]]&amp;" - "&amp;Table1[[#This Row],[id_origen]]</f>
        <v>42 - 52</v>
      </c>
    </row>
    <row r="1864" spans="1:22" hidden="1">
      <c r="A1864">
        <v>2400</v>
      </c>
      <c r="B1864">
        <v>3318</v>
      </c>
      <c r="C1864">
        <v>3431</v>
      </c>
      <c r="D1864">
        <v>49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 t="s">
        <v>20</v>
      </c>
      <c r="L1864" s="1">
        <v>45358</v>
      </c>
      <c r="M1864">
        <v>43</v>
      </c>
      <c r="N1864">
        <v>52</v>
      </c>
      <c r="O1864">
        <v>1496</v>
      </c>
      <c r="P1864">
        <v>1496</v>
      </c>
      <c r="Q1864">
        <v>1496</v>
      </c>
      <c r="S1864">
        <v>2658</v>
      </c>
      <c r="T1864">
        <v>2658</v>
      </c>
      <c r="U1864">
        <f>+SUM(Table1[[#This Row],[Latinos]:[Cemex]])</f>
        <v>1</v>
      </c>
      <c r="V1864" t="str">
        <f>+Table1[[#This Row],[id_destino]]&amp;" - "&amp;Table1[[#This Row],[id_origen]]</f>
        <v>43 - 52</v>
      </c>
    </row>
    <row r="1865" spans="1:22" hidden="1">
      <c r="A1865">
        <v>3374</v>
      </c>
      <c r="B1865">
        <v>3318</v>
      </c>
      <c r="C1865">
        <v>1522</v>
      </c>
      <c r="D1865">
        <v>6890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 t="s">
        <v>20</v>
      </c>
      <c r="L1865" s="1">
        <v>44858</v>
      </c>
      <c r="M1865">
        <v>43</v>
      </c>
      <c r="N1865">
        <v>52</v>
      </c>
      <c r="O1865">
        <v>1497</v>
      </c>
      <c r="P1865">
        <v>1543</v>
      </c>
      <c r="Q1865">
        <v>1497</v>
      </c>
      <c r="S1865">
        <v>3247</v>
      </c>
      <c r="T1865">
        <v>3247</v>
      </c>
      <c r="U1865">
        <f>+SUM(Table1[[#This Row],[Latinos]:[Cemex]])</f>
        <v>1</v>
      </c>
      <c r="V1865" t="str">
        <f>+Table1[[#This Row],[id_destino]]&amp;" - "&amp;Table1[[#This Row],[id_origen]]</f>
        <v>43 - 52</v>
      </c>
    </row>
    <row r="1866" spans="1:22" hidden="1">
      <c r="A1866">
        <v>3204</v>
      </c>
      <c r="B1866">
        <v>1270</v>
      </c>
      <c r="C1866">
        <v>1522</v>
      </c>
      <c r="D1866">
        <v>6897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 t="s">
        <v>20</v>
      </c>
      <c r="L1866" s="1">
        <v>44768</v>
      </c>
      <c r="M1866">
        <v>46</v>
      </c>
      <c r="N1866">
        <v>52</v>
      </c>
      <c r="O1866">
        <v>1100</v>
      </c>
      <c r="P1866">
        <v>1118</v>
      </c>
      <c r="Q1866">
        <v>1100</v>
      </c>
      <c r="S1866">
        <v>2130</v>
      </c>
      <c r="T1866">
        <v>2145</v>
      </c>
      <c r="U1866">
        <f>+SUM(Table1[[#This Row],[Latinos]:[Cemex]])</f>
        <v>1</v>
      </c>
      <c r="V1866" t="str">
        <f>+Table1[[#This Row],[id_destino]]&amp;" - "&amp;Table1[[#This Row],[id_origen]]</f>
        <v>46 - 52</v>
      </c>
    </row>
    <row r="1867" spans="1:22" hidden="1">
      <c r="A1867">
        <v>3724</v>
      </c>
      <c r="B1867">
        <v>1270</v>
      </c>
      <c r="C1867">
        <v>1522</v>
      </c>
      <c r="D1867">
        <v>6897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 t="s">
        <v>20</v>
      </c>
      <c r="L1867" s="1">
        <v>45051</v>
      </c>
      <c r="M1867">
        <v>46</v>
      </c>
      <c r="N1867">
        <v>52</v>
      </c>
      <c r="O1867">
        <v>0</v>
      </c>
      <c r="P1867">
        <v>150</v>
      </c>
      <c r="Q1867">
        <v>0</v>
      </c>
      <c r="S1867">
        <v>0</v>
      </c>
      <c r="T1867">
        <v>0</v>
      </c>
      <c r="U1867">
        <f>+SUM(Table1[[#This Row],[Latinos]:[Cemex]])</f>
        <v>1</v>
      </c>
      <c r="V1867" t="str">
        <f>+Table1[[#This Row],[id_destino]]&amp;" - "&amp;Table1[[#This Row],[id_origen]]</f>
        <v>46 - 52</v>
      </c>
    </row>
    <row r="1868" spans="1:22" hidden="1">
      <c r="A1868">
        <v>3351</v>
      </c>
      <c r="B1868">
        <v>266</v>
      </c>
      <c r="C1868">
        <v>1522</v>
      </c>
      <c r="D1868">
        <v>6815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 t="s">
        <v>20</v>
      </c>
      <c r="L1868" s="1">
        <v>44846</v>
      </c>
      <c r="M1868">
        <v>47</v>
      </c>
      <c r="N1868">
        <v>52</v>
      </c>
      <c r="O1868">
        <v>903</v>
      </c>
      <c r="P1868">
        <v>886</v>
      </c>
      <c r="Q1868">
        <v>903</v>
      </c>
      <c r="S1868">
        <v>978</v>
      </c>
      <c r="T1868">
        <v>1092</v>
      </c>
      <c r="U1868">
        <f>+SUM(Table1[[#This Row],[Latinos]:[Cemex]])</f>
        <v>1</v>
      </c>
      <c r="V1868" t="str">
        <f>+Table1[[#This Row],[id_destino]]&amp;" - "&amp;Table1[[#This Row],[id_origen]]</f>
        <v>47 - 52</v>
      </c>
    </row>
    <row r="1869" spans="1:22" hidden="1">
      <c r="A1869">
        <v>3352</v>
      </c>
      <c r="B1869">
        <v>266</v>
      </c>
      <c r="C1869">
        <v>1522</v>
      </c>
      <c r="D1869">
        <v>6815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 t="s">
        <v>20</v>
      </c>
      <c r="L1869" s="1">
        <v>44846</v>
      </c>
      <c r="M1869">
        <v>47</v>
      </c>
      <c r="N1869">
        <v>52</v>
      </c>
      <c r="O1869">
        <v>0</v>
      </c>
      <c r="P1869">
        <v>150</v>
      </c>
      <c r="Q1869">
        <v>0</v>
      </c>
      <c r="S1869">
        <v>0</v>
      </c>
      <c r="T1869">
        <v>0</v>
      </c>
      <c r="U1869">
        <f>+SUM(Table1[[#This Row],[Latinos]:[Cemex]])</f>
        <v>1</v>
      </c>
      <c r="V1869" t="str">
        <f>+Table1[[#This Row],[id_destino]]&amp;" - "&amp;Table1[[#This Row],[id_origen]]</f>
        <v>47 - 52</v>
      </c>
    </row>
    <row r="1870" spans="1:22" hidden="1">
      <c r="A1870">
        <v>3198</v>
      </c>
      <c r="B1870">
        <v>1418</v>
      </c>
      <c r="C1870">
        <v>1522</v>
      </c>
      <c r="D1870">
        <v>6884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 t="s">
        <v>20</v>
      </c>
      <c r="L1870" s="1">
        <v>44767</v>
      </c>
      <c r="M1870">
        <v>49</v>
      </c>
      <c r="N1870">
        <v>52</v>
      </c>
      <c r="O1870">
        <v>582</v>
      </c>
      <c r="P1870">
        <v>582</v>
      </c>
      <c r="Q1870">
        <v>582</v>
      </c>
      <c r="S1870">
        <v>30</v>
      </c>
      <c r="T1870">
        <v>30</v>
      </c>
      <c r="U1870">
        <f>+SUM(Table1[[#This Row],[Latinos]:[Cemex]])</f>
        <v>1</v>
      </c>
      <c r="V1870" t="str">
        <f>+Table1[[#This Row],[id_destino]]&amp;" - "&amp;Table1[[#This Row],[id_origen]]</f>
        <v>49 - 52</v>
      </c>
    </row>
    <row r="1871" spans="1:22" hidden="1">
      <c r="A1871">
        <v>3199</v>
      </c>
      <c r="B1871">
        <v>1418</v>
      </c>
      <c r="C1871">
        <v>1522</v>
      </c>
      <c r="D1871">
        <v>6884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  <c r="K1871" t="s">
        <v>20</v>
      </c>
      <c r="L1871" s="1">
        <v>44767</v>
      </c>
      <c r="M1871">
        <v>49</v>
      </c>
      <c r="N1871">
        <v>52</v>
      </c>
      <c r="O1871">
        <v>0</v>
      </c>
      <c r="P1871">
        <v>150</v>
      </c>
      <c r="Q1871">
        <v>0</v>
      </c>
      <c r="S1871">
        <v>0</v>
      </c>
      <c r="T1871">
        <v>0</v>
      </c>
      <c r="U1871">
        <f>+SUM(Table1[[#This Row],[Latinos]:[Cemex]])</f>
        <v>1</v>
      </c>
      <c r="V1871" t="str">
        <f>+Table1[[#This Row],[id_destino]]&amp;" - "&amp;Table1[[#This Row],[id_origen]]</f>
        <v>49 - 52</v>
      </c>
    </row>
    <row r="1872" spans="1:22" hidden="1">
      <c r="A1872">
        <v>829</v>
      </c>
      <c r="B1872">
        <v>2003</v>
      </c>
      <c r="C1872">
        <v>1923</v>
      </c>
      <c r="D1872">
        <v>5460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  <c r="K1872" t="s">
        <v>20</v>
      </c>
      <c r="L1872" s="1">
        <v>43179</v>
      </c>
      <c r="M1872">
        <v>51</v>
      </c>
      <c r="N1872">
        <v>52</v>
      </c>
      <c r="O1872">
        <v>50</v>
      </c>
      <c r="P1872">
        <v>150</v>
      </c>
      <c r="Q1872">
        <v>50</v>
      </c>
      <c r="S1872">
        <v>0</v>
      </c>
      <c r="T1872">
        <v>0</v>
      </c>
      <c r="U1872">
        <f>+SUM(Table1[[#This Row],[Latinos]:[Cemex]])</f>
        <v>1</v>
      </c>
      <c r="V1872" t="str">
        <f>+Table1[[#This Row],[id_destino]]&amp;" - "&amp;Table1[[#This Row],[id_origen]]</f>
        <v>51 - 52</v>
      </c>
    </row>
    <row r="1873" spans="1:22" hidden="1">
      <c r="A1873">
        <v>922</v>
      </c>
      <c r="B1873">
        <v>1492</v>
      </c>
      <c r="C1873">
        <v>239</v>
      </c>
      <c r="D1873">
        <v>3431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 t="s">
        <v>20</v>
      </c>
      <c r="L1873" s="1">
        <v>43214</v>
      </c>
      <c r="M1873">
        <v>52</v>
      </c>
      <c r="N1873">
        <v>52</v>
      </c>
      <c r="O1873">
        <v>50</v>
      </c>
      <c r="P1873">
        <v>150</v>
      </c>
      <c r="Q1873">
        <v>50</v>
      </c>
      <c r="S1873">
        <v>0</v>
      </c>
      <c r="T1873">
        <v>0</v>
      </c>
      <c r="U1873">
        <f>+SUM(Table1[[#This Row],[Latinos]:[Cemex]])</f>
        <v>1</v>
      </c>
      <c r="V1873" t="str">
        <f>+Table1[[#This Row],[id_destino]]&amp;" - "&amp;Table1[[#This Row],[id_origen]]</f>
        <v>52 - 52</v>
      </c>
    </row>
    <row r="1874" spans="1:22" hidden="1">
      <c r="A1874">
        <v>1315</v>
      </c>
      <c r="B1874">
        <v>1492</v>
      </c>
      <c r="C1874">
        <v>3401</v>
      </c>
      <c r="D1874">
        <v>5373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 t="s">
        <v>20</v>
      </c>
      <c r="L1874" s="1">
        <v>43379</v>
      </c>
      <c r="M1874">
        <v>52</v>
      </c>
      <c r="N1874">
        <v>52</v>
      </c>
      <c r="O1874">
        <v>50</v>
      </c>
      <c r="P1874">
        <v>150</v>
      </c>
      <c r="Q1874">
        <v>50</v>
      </c>
      <c r="S1874">
        <v>0</v>
      </c>
      <c r="T1874">
        <v>0</v>
      </c>
      <c r="U1874">
        <f>+SUM(Table1[[#This Row],[Latinos]:[Cemex]])</f>
        <v>1</v>
      </c>
      <c r="V1874" t="str">
        <f>+Table1[[#This Row],[id_destino]]&amp;" - "&amp;Table1[[#This Row],[id_origen]]</f>
        <v>52 - 52</v>
      </c>
    </row>
    <row r="1875" spans="1:22" hidden="1">
      <c r="A1875">
        <v>201</v>
      </c>
      <c r="B1875">
        <v>1932</v>
      </c>
      <c r="C1875">
        <v>3282</v>
      </c>
      <c r="D1875">
        <v>5302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 t="s">
        <v>20</v>
      </c>
      <c r="L1875" s="1">
        <v>44102</v>
      </c>
      <c r="M1875">
        <v>53</v>
      </c>
      <c r="N1875">
        <v>52</v>
      </c>
      <c r="O1875">
        <v>223</v>
      </c>
      <c r="P1875">
        <v>223</v>
      </c>
      <c r="Q1875">
        <v>223</v>
      </c>
      <c r="S1875">
        <v>587</v>
      </c>
      <c r="T1875">
        <v>587</v>
      </c>
      <c r="U1875">
        <f>+SUM(Table1[[#This Row],[Latinos]:[Cemex]])</f>
        <v>1</v>
      </c>
      <c r="V1875" t="str">
        <f>+Table1[[#This Row],[id_destino]]&amp;" - "&amp;Table1[[#This Row],[id_origen]]</f>
        <v>53 - 52</v>
      </c>
    </row>
    <row r="1876" spans="1:22" hidden="1">
      <c r="A1876">
        <v>3000</v>
      </c>
      <c r="B1876">
        <v>1932</v>
      </c>
      <c r="C1876">
        <v>1522</v>
      </c>
      <c r="D1876">
        <v>6865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 t="s">
        <v>20</v>
      </c>
      <c r="L1876" s="1">
        <v>45371</v>
      </c>
      <c r="M1876">
        <v>53</v>
      </c>
      <c r="N1876">
        <v>52</v>
      </c>
      <c r="O1876">
        <v>223</v>
      </c>
      <c r="P1876">
        <v>223</v>
      </c>
      <c r="Q1876">
        <v>223</v>
      </c>
      <c r="S1876">
        <v>0</v>
      </c>
      <c r="T1876">
        <v>0</v>
      </c>
      <c r="U1876">
        <f>+SUM(Table1[[#This Row],[Latinos]:[Cemex]])</f>
        <v>1</v>
      </c>
      <c r="V1876" t="str">
        <f>+Table1[[#This Row],[id_destino]]&amp;" - "&amp;Table1[[#This Row],[id_origen]]</f>
        <v>53 - 52</v>
      </c>
    </row>
    <row r="1877" spans="1:22" hidden="1">
      <c r="A1877">
        <v>1215</v>
      </c>
      <c r="B1877">
        <v>926</v>
      </c>
      <c r="C1877">
        <v>239</v>
      </c>
      <c r="D1877">
        <v>3460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 t="s">
        <v>20</v>
      </c>
      <c r="L1877" s="1">
        <v>43343</v>
      </c>
      <c r="M1877">
        <v>54</v>
      </c>
      <c r="N1877">
        <v>52</v>
      </c>
      <c r="O1877">
        <v>113</v>
      </c>
      <c r="P1877">
        <v>150</v>
      </c>
      <c r="Q1877">
        <v>113</v>
      </c>
      <c r="S1877">
        <v>281</v>
      </c>
      <c r="T1877">
        <v>281</v>
      </c>
      <c r="U1877">
        <f>+SUM(Table1[[#This Row],[Latinos]:[Cemex]])</f>
        <v>1</v>
      </c>
      <c r="V1877" t="str">
        <f>+Table1[[#This Row],[id_destino]]&amp;" - "&amp;Table1[[#This Row],[id_origen]]</f>
        <v>54 - 52</v>
      </c>
    </row>
    <row r="1878" spans="1:22" hidden="1">
      <c r="A1878">
        <v>3249</v>
      </c>
      <c r="B1878">
        <v>3820</v>
      </c>
      <c r="C1878">
        <v>1522</v>
      </c>
      <c r="D1878">
        <v>6888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 t="s">
        <v>20</v>
      </c>
      <c r="L1878" s="1">
        <v>44870</v>
      </c>
      <c r="M1878">
        <v>55</v>
      </c>
      <c r="N1878">
        <v>52</v>
      </c>
      <c r="O1878">
        <v>928</v>
      </c>
      <c r="P1878">
        <v>906</v>
      </c>
      <c r="Q1878">
        <v>928</v>
      </c>
      <c r="S1878">
        <v>922</v>
      </c>
      <c r="T1878">
        <v>922</v>
      </c>
      <c r="U1878">
        <f>+SUM(Table1[[#This Row],[Latinos]:[Cemex]])</f>
        <v>1</v>
      </c>
      <c r="V1878" t="str">
        <f>+Table1[[#This Row],[id_destino]]&amp;" - "&amp;Table1[[#This Row],[id_origen]]</f>
        <v>55 - 52</v>
      </c>
    </row>
    <row r="1879" spans="1:22" hidden="1">
      <c r="A1879">
        <v>3045</v>
      </c>
      <c r="B1879">
        <v>3741</v>
      </c>
      <c r="C1879">
        <v>1522</v>
      </c>
      <c r="D1879">
        <v>6905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 t="s">
        <v>20</v>
      </c>
      <c r="L1879" s="1">
        <v>44706</v>
      </c>
      <c r="M1879">
        <v>58</v>
      </c>
      <c r="N1879">
        <v>52</v>
      </c>
      <c r="O1879">
        <v>993</v>
      </c>
      <c r="P1879">
        <v>997</v>
      </c>
      <c r="Q1879">
        <v>993</v>
      </c>
      <c r="S1879">
        <v>1203</v>
      </c>
      <c r="T1879">
        <v>1203</v>
      </c>
      <c r="U1879">
        <f>+SUM(Table1[[#This Row],[Latinos]:[Cemex]])</f>
        <v>1</v>
      </c>
      <c r="V1879" t="str">
        <f>+Table1[[#This Row],[id_destino]]&amp;" - "&amp;Table1[[#This Row],[id_origen]]</f>
        <v>58 - 52</v>
      </c>
    </row>
    <row r="1880" spans="1:22" hidden="1">
      <c r="A1880">
        <v>3221</v>
      </c>
      <c r="B1880">
        <v>3741</v>
      </c>
      <c r="C1880">
        <v>1522</v>
      </c>
      <c r="D1880">
        <v>6905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  <c r="K1880" t="s">
        <v>20</v>
      </c>
      <c r="L1880" s="1">
        <v>44777</v>
      </c>
      <c r="M1880">
        <v>58</v>
      </c>
      <c r="N1880">
        <v>52</v>
      </c>
      <c r="O1880">
        <v>0</v>
      </c>
      <c r="P1880">
        <v>150</v>
      </c>
      <c r="Q1880">
        <v>0</v>
      </c>
      <c r="S1880">
        <v>0</v>
      </c>
      <c r="T1880">
        <v>0</v>
      </c>
      <c r="U1880">
        <f>+SUM(Table1[[#This Row],[Latinos]:[Cemex]])</f>
        <v>1</v>
      </c>
      <c r="V1880" t="str">
        <f>+Table1[[#This Row],[id_destino]]&amp;" - "&amp;Table1[[#This Row],[id_origen]]</f>
        <v>58 - 52</v>
      </c>
    </row>
    <row r="1881" spans="1:22" hidden="1">
      <c r="A1881">
        <v>3148</v>
      </c>
      <c r="B1881">
        <v>1414</v>
      </c>
      <c r="C1881">
        <v>1522</v>
      </c>
      <c r="D1881">
        <v>6959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 t="s">
        <v>20</v>
      </c>
      <c r="L1881" s="1">
        <v>44740</v>
      </c>
      <c r="M1881">
        <v>59</v>
      </c>
      <c r="N1881">
        <v>52</v>
      </c>
      <c r="O1881">
        <v>1274</v>
      </c>
      <c r="P1881">
        <v>1286</v>
      </c>
      <c r="Q1881">
        <v>1274</v>
      </c>
      <c r="S1881">
        <v>2181</v>
      </c>
      <c r="T1881">
        <v>2181</v>
      </c>
      <c r="U1881">
        <f>+SUM(Table1[[#This Row],[Latinos]:[Cemex]])</f>
        <v>1</v>
      </c>
      <c r="V1881" t="str">
        <f>+Table1[[#This Row],[id_destino]]&amp;" - "&amp;Table1[[#This Row],[id_origen]]</f>
        <v>59 - 52</v>
      </c>
    </row>
    <row r="1882" spans="1:22" hidden="1">
      <c r="A1882">
        <v>671</v>
      </c>
      <c r="B1882">
        <v>1780</v>
      </c>
      <c r="C1882">
        <v>3282</v>
      </c>
      <c r="D1882">
        <v>5444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0</v>
      </c>
      <c r="K1882" t="s">
        <v>20</v>
      </c>
      <c r="L1882" s="1">
        <v>43126</v>
      </c>
      <c r="M1882">
        <v>60</v>
      </c>
      <c r="N1882">
        <v>52</v>
      </c>
      <c r="O1882">
        <v>2235</v>
      </c>
      <c r="P1882">
        <v>2231</v>
      </c>
      <c r="Q1882">
        <v>2235</v>
      </c>
      <c r="S1882">
        <v>3654</v>
      </c>
      <c r="T1882">
        <v>4170</v>
      </c>
      <c r="U1882">
        <f>+SUM(Table1[[#This Row],[Latinos]:[Cemex]])</f>
        <v>1</v>
      </c>
      <c r="V1882" t="str">
        <f>+Table1[[#This Row],[id_destino]]&amp;" - "&amp;Table1[[#This Row],[id_origen]]</f>
        <v>60 - 52</v>
      </c>
    </row>
    <row r="1883" spans="1:22" hidden="1">
      <c r="A1883">
        <v>448</v>
      </c>
      <c r="B1883">
        <v>1483</v>
      </c>
      <c r="C1883">
        <v>3431</v>
      </c>
      <c r="D1883">
        <v>71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 t="s">
        <v>20</v>
      </c>
      <c r="L1883" s="1">
        <v>43068</v>
      </c>
      <c r="M1883">
        <v>61</v>
      </c>
      <c r="N1883">
        <v>52</v>
      </c>
      <c r="O1883">
        <v>2061</v>
      </c>
      <c r="P1883">
        <v>2065</v>
      </c>
      <c r="Q1883">
        <v>2061</v>
      </c>
      <c r="S1883">
        <v>3012</v>
      </c>
      <c r="T1883">
        <v>3461</v>
      </c>
      <c r="U1883">
        <f>+SUM(Table1[[#This Row],[Latinos]:[Cemex]])</f>
        <v>1</v>
      </c>
      <c r="V1883" t="str">
        <f>+Table1[[#This Row],[id_destino]]&amp;" - "&amp;Table1[[#This Row],[id_origen]]</f>
        <v>61 - 52</v>
      </c>
    </row>
    <row r="1884" spans="1:22" hidden="1">
      <c r="A1884">
        <v>3223</v>
      </c>
      <c r="B1884">
        <v>1483</v>
      </c>
      <c r="C1884">
        <v>1522</v>
      </c>
      <c r="D1884">
        <v>6852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 t="s">
        <v>20</v>
      </c>
      <c r="L1884" s="1">
        <v>44777</v>
      </c>
      <c r="M1884">
        <v>61</v>
      </c>
      <c r="N1884">
        <v>52</v>
      </c>
      <c r="O1884">
        <v>0</v>
      </c>
      <c r="P1884">
        <v>150</v>
      </c>
      <c r="Q1884">
        <v>0</v>
      </c>
      <c r="S1884">
        <v>0</v>
      </c>
      <c r="T1884">
        <v>0</v>
      </c>
      <c r="U1884">
        <f>+SUM(Table1[[#This Row],[Latinos]:[Cemex]])</f>
        <v>1</v>
      </c>
      <c r="V1884" t="str">
        <f>+Table1[[#This Row],[id_destino]]&amp;" - "&amp;Table1[[#This Row],[id_origen]]</f>
        <v>61 - 52</v>
      </c>
    </row>
    <row r="1885" spans="1:22" hidden="1">
      <c r="A1885">
        <v>2320</v>
      </c>
      <c r="B1885">
        <v>2001</v>
      </c>
      <c r="C1885">
        <v>3431</v>
      </c>
      <c r="D1885">
        <v>5515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 t="s">
        <v>20</v>
      </c>
      <c r="L1885" s="1">
        <v>43938</v>
      </c>
      <c r="M1885">
        <v>62</v>
      </c>
      <c r="N1885">
        <v>52</v>
      </c>
      <c r="O1885">
        <v>530</v>
      </c>
      <c r="P1885">
        <v>502</v>
      </c>
      <c r="Q1885">
        <v>530</v>
      </c>
      <c r="S1885">
        <v>509</v>
      </c>
      <c r="T1885">
        <v>509</v>
      </c>
      <c r="U1885">
        <f>+SUM(Table1[[#This Row],[Latinos]:[Cemex]])</f>
        <v>1</v>
      </c>
      <c r="V1885" t="str">
        <f>+Table1[[#This Row],[id_destino]]&amp;" - "&amp;Table1[[#This Row],[id_origen]]</f>
        <v>62 - 52</v>
      </c>
    </row>
    <row r="1886" spans="1:22" hidden="1">
      <c r="A1886">
        <v>3111</v>
      </c>
      <c r="B1886">
        <v>2001</v>
      </c>
      <c r="C1886">
        <v>1522</v>
      </c>
      <c r="D1886">
        <v>6940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 t="s">
        <v>20</v>
      </c>
      <c r="L1886" s="1">
        <v>44730</v>
      </c>
      <c r="M1886">
        <v>62</v>
      </c>
      <c r="N1886">
        <v>52</v>
      </c>
      <c r="O1886">
        <v>0</v>
      </c>
      <c r="P1886">
        <v>150</v>
      </c>
      <c r="Q1886">
        <v>0</v>
      </c>
      <c r="S1886">
        <v>0</v>
      </c>
      <c r="T1886">
        <v>0</v>
      </c>
      <c r="U1886">
        <f>+SUM(Table1[[#This Row],[Latinos]:[Cemex]])</f>
        <v>1</v>
      </c>
      <c r="V1886" t="str">
        <f>+Table1[[#This Row],[id_destino]]&amp;" - "&amp;Table1[[#This Row],[id_origen]]</f>
        <v>62 - 52</v>
      </c>
    </row>
    <row r="1887" spans="1:22" hidden="1">
      <c r="A1887">
        <v>860</v>
      </c>
      <c r="B1887">
        <v>2483</v>
      </c>
      <c r="C1887">
        <v>3282</v>
      </c>
      <c r="D1887">
        <v>1262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 t="s">
        <v>48</v>
      </c>
      <c r="L1887" s="1">
        <v>45763</v>
      </c>
      <c r="M1887">
        <v>63</v>
      </c>
      <c r="N1887">
        <v>52</v>
      </c>
      <c r="O1887">
        <v>690</v>
      </c>
      <c r="P1887">
        <v>672</v>
      </c>
      <c r="Q1887">
        <v>690</v>
      </c>
      <c r="S1887">
        <v>1334</v>
      </c>
      <c r="T1887">
        <v>1334</v>
      </c>
      <c r="U1887">
        <f>+SUM(Table1[[#This Row],[Latinos]:[Cemex]])</f>
        <v>1</v>
      </c>
      <c r="V1887" t="str">
        <f>+Table1[[#This Row],[id_destino]]&amp;" - "&amp;Table1[[#This Row],[id_origen]]</f>
        <v>63 - 52</v>
      </c>
    </row>
    <row r="1888" spans="1:22" hidden="1">
      <c r="A1888">
        <v>3551</v>
      </c>
      <c r="B1888">
        <v>2483</v>
      </c>
      <c r="C1888">
        <v>1522</v>
      </c>
      <c r="D1888">
        <v>7020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  <c r="K1888" t="s">
        <v>20</v>
      </c>
      <c r="L1888" s="1">
        <v>44954</v>
      </c>
      <c r="M1888">
        <v>63</v>
      </c>
      <c r="N1888">
        <v>52</v>
      </c>
      <c r="O1888">
        <v>0</v>
      </c>
      <c r="P1888">
        <v>150</v>
      </c>
      <c r="Q1888">
        <v>0</v>
      </c>
      <c r="S1888">
        <v>0</v>
      </c>
      <c r="T1888">
        <v>0</v>
      </c>
      <c r="U1888">
        <f>+SUM(Table1[[#This Row],[Latinos]:[Cemex]])</f>
        <v>1</v>
      </c>
      <c r="V1888" t="str">
        <f>+Table1[[#This Row],[id_destino]]&amp;" - "&amp;Table1[[#This Row],[id_origen]]</f>
        <v>63 - 52</v>
      </c>
    </row>
    <row r="1889" spans="1:22" hidden="1">
      <c r="A1889">
        <v>1960</v>
      </c>
      <c r="B1889">
        <v>3047</v>
      </c>
      <c r="C1889">
        <v>5116</v>
      </c>
      <c r="D1889">
        <v>6080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 t="s">
        <v>20</v>
      </c>
      <c r="L1889" s="1">
        <v>45050</v>
      </c>
      <c r="M1889">
        <v>65</v>
      </c>
      <c r="N1889">
        <v>52</v>
      </c>
      <c r="O1889">
        <v>0</v>
      </c>
      <c r="P1889">
        <v>150</v>
      </c>
      <c r="Q1889">
        <v>0</v>
      </c>
      <c r="S1889">
        <v>0</v>
      </c>
      <c r="T1889">
        <v>0</v>
      </c>
      <c r="U1889">
        <f>+SUM(Table1[[#This Row],[Latinos]:[Cemex]])</f>
        <v>1</v>
      </c>
      <c r="V1889" t="str">
        <f>+Table1[[#This Row],[id_destino]]&amp;" - "&amp;Table1[[#This Row],[id_origen]]</f>
        <v>65 - 52</v>
      </c>
    </row>
    <row r="1890" spans="1:22" hidden="1">
      <c r="A1890">
        <v>2041</v>
      </c>
      <c r="B1890">
        <v>3047</v>
      </c>
      <c r="C1890">
        <v>4312</v>
      </c>
      <c r="D1890">
        <v>4071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 t="s">
        <v>20</v>
      </c>
      <c r="L1890" s="1">
        <v>43777</v>
      </c>
      <c r="M1890">
        <v>65</v>
      </c>
      <c r="N1890">
        <v>52</v>
      </c>
      <c r="O1890">
        <v>1038</v>
      </c>
      <c r="P1890">
        <v>937</v>
      </c>
      <c r="Q1890">
        <v>1038</v>
      </c>
      <c r="S1890">
        <v>2202</v>
      </c>
      <c r="T1890">
        <v>2375</v>
      </c>
      <c r="U1890">
        <f>+SUM(Table1[[#This Row],[Latinos]:[Cemex]])</f>
        <v>1</v>
      </c>
      <c r="V1890" t="str">
        <f>+Table1[[#This Row],[id_destino]]&amp;" - "&amp;Table1[[#This Row],[id_origen]]</f>
        <v>65 - 52</v>
      </c>
    </row>
    <row r="1891" spans="1:22" hidden="1">
      <c r="A1891">
        <v>4649</v>
      </c>
      <c r="B1891">
        <v>4819</v>
      </c>
      <c r="C1891">
        <v>3431</v>
      </c>
      <c r="D1891">
        <v>1370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 t="s">
        <v>20</v>
      </c>
      <c r="L1891" s="1">
        <v>45701</v>
      </c>
      <c r="M1891">
        <v>69</v>
      </c>
      <c r="N1891">
        <v>52</v>
      </c>
      <c r="O1891">
        <v>908</v>
      </c>
      <c r="P1891">
        <v>889</v>
      </c>
      <c r="Q1891">
        <v>900</v>
      </c>
      <c r="S1891">
        <v>1667</v>
      </c>
      <c r="T1891">
        <v>1667</v>
      </c>
      <c r="U1891">
        <f>+SUM(Table1[[#This Row],[Latinos]:[Cemex]])</f>
        <v>1</v>
      </c>
      <c r="V1891" t="str">
        <f>+Table1[[#This Row],[id_destino]]&amp;" - "&amp;Table1[[#This Row],[id_origen]]</f>
        <v>69 - 52</v>
      </c>
    </row>
    <row r="1892" spans="1:22" hidden="1">
      <c r="A1892">
        <v>867</v>
      </c>
      <c r="B1892">
        <v>1342</v>
      </c>
      <c r="C1892">
        <v>5518</v>
      </c>
      <c r="D1892">
        <v>5519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 t="s">
        <v>49</v>
      </c>
      <c r="L1892" s="1">
        <v>43197</v>
      </c>
      <c r="M1892">
        <v>71</v>
      </c>
      <c r="N1892">
        <v>52</v>
      </c>
      <c r="O1892">
        <v>862</v>
      </c>
      <c r="P1892">
        <v>862</v>
      </c>
      <c r="Q1892">
        <v>0</v>
      </c>
      <c r="S1892">
        <v>0</v>
      </c>
      <c r="T1892">
        <v>0</v>
      </c>
      <c r="U1892">
        <f>+SUM(Table1[[#This Row],[Latinos]:[Cemex]])</f>
        <v>1</v>
      </c>
      <c r="V1892" t="str">
        <f>+Table1[[#This Row],[id_destino]]&amp;" - "&amp;Table1[[#This Row],[id_origen]]</f>
        <v>71 - 52</v>
      </c>
    </row>
    <row r="1893" spans="1:22" hidden="1">
      <c r="A1893">
        <v>868</v>
      </c>
      <c r="B1893">
        <v>1342</v>
      </c>
      <c r="C1893">
        <v>5518</v>
      </c>
      <c r="D1893">
        <v>5519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  <c r="K1893" t="s">
        <v>20</v>
      </c>
      <c r="L1893" s="1">
        <v>43197</v>
      </c>
      <c r="M1893">
        <v>71</v>
      </c>
      <c r="N1893">
        <v>52</v>
      </c>
      <c r="O1893">
        <v>850</v>
      </c>
      <c r="P1893">
        <v>862</v>
      </c>
      <c r="Q1893">
        <v>850</v>
      </c>
      <c r="S1893">
        <v>1244</v>
      </c>
      <c r="T1893">
        <v>1244</v>
      </c>
      <c r="U1893">
        <f>+SUM(Table1[[#This Row],[Latinos]:[Cemex]])</f>
        <v>1</v>
      </c>
      <c r="V1893" t="str">
        <f>+Table1[[#This Row],[id_destino]]&amp;" - "&amp;Table1[[#This Row],[id_origen]]</f>
        <v>71 - 52</v>
      </c>
    </row>
    <row r="1894" spans="1:22" hidden="1">
      <c r="A1894">
        <v>423</v>
      </c>
      <c r="B1894">
        <v>742</v>
      </c>
      <c r="C1894">
        <v>3431</v>
      </c>
      <c r="D1894">
        <v>468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 t="s">
        <v>20</v>
      </c>
      <c r="L1894" s="1">
        <v>43635</v>
      </c>
      <c r="M1894">
        <v>73</v>
      </c>
      <c r="N1894">
        <v>52</v>
      </c>
      <c r="O1894">
        <v>50</v>
      </c>
      <c r="P1894">
        <v>150</v>
      </c>
      <c r="Q1894">
        <v>50</v>
      </c>
      <c r="S1894">
        <v>0</v>
      </c>
      <c r="T1894">
        <v>0</v>
      </c>
      <c r="U1894">
        <f>+SUM(Table1[[#This Row],[Latinos]:[Cemex]])</f>
        <v>1</v>
      </c>
      <c r="V1894" t="str">
        <f>+Table1[[#This Row],[id_destino]]&amp;" - "&amp;Table1[[#This Row],[id_origen]]</f>
        <v>73 - 52</v>
      </c>
    </row>
    <row r="1895" spans="1:22" hidden="1">
      <c r="A1895">
        <v>33</v>
      </c>
      <c r="B1895">
        <v>634</v>
      </c>
      <c r="C1895">
        <v>3431</v>
      </c>
      <c r="D1895">
        <v>105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 t="s">
        <v>20</v>
      </c>
      <c r="L1895" s="1">
        <v>42983</v>
      </c>
      <c r="M1895">
        <v>75</v>
      </c>
      <c r="N1895">
        <v>52</v>
      </c>
      <c r="O1895">
        <v>891</v>
      </c>
      <c r="P1895">
        <v>871</v>
      </c>
      <c r="Q1895">
        <v>891</v>
      </c>
      <c r="S1895">
        <v>908</v>
      </c>
      <c r="T1895">
        <v>908</v>
      </c>
      <c r="U1895">
        <f>+SUM(Table1[[#This Row],[Latinos]:[Cemex]])</f>
        <v>1</v>
      </c>
      <c r="V1895" t="str">
        <f>+Table1[[#This Row],[id_destino]]&amp;" - "&amp;Table1[[#This Row],[id_origen]]</f>
        <v>75 - 52</v>
      </c>
    </row>
    <row r="1896" spans="1:22" hidden="1">
      <c r="A1896">
        <v>219</v>
      </c>
      <c r="B1896">
        <v>565</v>
      </c>
      <c r="C1896">
        <v>3431</v>
      </c>
      <c r="D1896">
        <v>210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 t="s">
        <v>20</v>
      </c>
      <c r="L1896" s="1">
        <v>43165</v>
      </c>
      <c r="M1896">
        <v>81</v>
      </c>
      <c r="N1896">
        <v>52</v>
      </c>
      <c r="O1896">
        <v>1073</v>
      </c>
      <c r="P1896">
        <v>1010</v>
      </c>
      <c r="Q1896">
        <v>1073</v>
      </c>
      <c r="S1896">
        <v>1238</v>
      </c>
      <c r="T1896">
        <v>1238</v>
      </c>
      <c r="U1896">
        <f>+SUM(Table1[[#This Row],[Latinos]:[Cemex]])</f>
        <v>1</v>
      </c>
      <c r="V1896" t="str">
        <f>+Table1[[#This Row],[id_destino]]&amp;" - "&amp;Table1[[#This Row],[id_origen]]</f>
        <v>81 - 52</v>
      </c>
    </row>
    <row r="1897" spans="1:22" hidden="1">
      <c r="A1897">
        <v>988</v>
      </c>
      <c r="B1897">
        <v>565</v>
      </c>
      <c r="C1897">
        <v>4312</v>
      </c>
      <c r="D1897">
        <v>210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  <c r="K1897" t="s">
        <v>20</v>
      </c>
      <c r="L1897" s="1">
        <v>43238</v>
      </c>
      <c r="M1897">
        <v>81</v>
      </c>
      <c r="N1897">
        <v>52</v>
      </c>
      <c r="O1897">
        <v>1073</v>
      </c>
      <c r="P1897">
        <v>1010</v>
      </c>
      <c r="Q1897">
        <v>1073</v>
      </c>
      <c r="S1897">
        <v>0</v>
      </c>
      <c r="T1897">
        <v>0</v>
      </c>
      <c r="U1897">
        <f>+SUM(Table1[[#This Row],[Latinos]:[Cemex]])</f>
        <v>1</v>
      </c>
      <c r="V1897" t="str">
        <f>+Table1[[#This Row],[id_destino]]&amp;" - "&amp;Table1[[#This Row],[id_origen]]</f>
        <v>81 - 52</v>
      </c>
    </row>
    <row r="1898" spans="1:22" hidden="1">
      <c r="A1898">
        <v>3463</v>
      </c>
      <c r="B1898">
        <v>565</v>
      </c>
      <c r="C1898">
        <v>3431</v>
      </c>
      <c r="D1898">
        <v>210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 t="s">
        <v>20</v>
      </c>
      <c r="L1898" s="1">
        <v>44907</v>
      </c>
      <c r="M1898">
        <v>81</v>
      </c>
      <c r="N1898">
        <v>52</v>
      </c>
      <c r="O1898">
        <v>1010</v>
      </c>
      <c r="P1898">
        <v>1010</v>
      </c>
      <c r="Q1898">
        <v>1010</v>
      </c>
      <c r="S1898">
        <v>1491</v>
      </c>
      <c r="T1898">
        <v>1491</v>
      </c>
      <c r="U1898">
        <f>+SUM(Table1[[#This Row],[Latinos]:[Cemex]])</f>
        <v>1</v>
      </c>
      <c r="V1898" t="str">
        <f>+Table1[[#This Row],[id_destino]]&amp;" - "&amp;Table1[[#This Row],[id_origen]]</f>
        <v>81 - 52</v>
      </c>
    </row>
    <row r="1899" spans="1:22" hidden="1">
      <c r="A1899">
        <v>491</v>
      </c>
      <c r="B1899">
        <v>1474</v>
      </c>
      <c r="C1899">
        <v>5381</v>
      </c>
      <c r="D1899">
        <v>5285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  <c r="K1899" t="s">
        <v>20</v>
      </c>
      <c r="L1899" s="1">
        <v>43080</v>
      </c>
      <c r="M1899">
        <v>83</v>
      </c>
      <c r="N1899">
        <v>52</v>
      </c>
      <c r="O1899">
        <v>50</v>
      </c>
      <c r="P1899">
        <v>150</v>
      </c>
      <c r="Q1899">
        <v>50</v>
      </c>
      <c r="S1899">
        <v>0</v>
      </c>
      <c r="T1899">
        <v>0</v>
      </c>
      <c r="U1899">
        <f>+SUM(Table1[[#This Row],[Latinos]:[Cemex]])</f>
        <v>1</v>
      </c>
      <c r="V1899" t="str">
        <f>+Table1[[#This Row],[id_destino]]&amp;" - "&amp;Table1[[#This Row],[id_origen]]</f>
        <v>83 - 52</v>
      </c>
    </row>
    <row r="1900" spans="1:22" hidden="1">
      <c r="A1900">
        <v>2882</v>
      </c>
      <c r="B1900">
        <v>1474</v>
      </c>
      <c r="C1900">
        <v>1522</v>
      </c>
      <c r="D1900">
        <v>6768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  <c r="K1900" t="s">
        <v>20</v>
      </c>
      <c r="L1900" s="1">
        <v>44669</v>
      </c>
      <c r="M1900">
        <v>83</v>
      </c>
      <c r="N1900">
        <v>52</v>
      </c>
      <c r="O1900">
        <v>35</v>
      </c>
      <c r="P1900">
        <v>150</v>
      </c>
      <c r="Q1900">
        <v>51</v>
      </c>
      <c r="S1900">
        <v>171</v>
      </c>
      <c r="T1900">
        <v>171</v>
      </c>
      <c r="U1900">
        <f>+SUM(Table1[[#This Row],[Latinos]:[Cemex]])</f>
        <v>1</v>
      </c>
      <c r="V1900" t="str">
        <f>+Table1[[#This Row],[id_destino]]&amp;" - "&amp;Table1[[#This Row],[id_origen]]</f>
        <v>83 - 52</v>
      </c>
    </row>
    <row r="1901" spans="1:22" hidden="1">
      <c r="A1901">
        <v>3889</v>
      </c>
      <c r="B1901">
        <v>1474</v>
      </c>
      <c r="C1901">
        <v>3431</v>
      </c>
      <c r="D1901">
        <v>6840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 t="s">
        <v>20</v>
      </c>
      <c r="L1901" s="1">
        <v>45168</v>
      </c>
      <c r="M1901">
        <v>83</v>
      </c>
      <c r="N1901">
        <v>52</v>
      </c>
      <c r="O1901">
        <v>20</v>
      </c>
      <c r="P1901">
        <v>150</v>
      </c>
      <c r="Q1901">
        <v>20</v>
      </c>
      <c r="S1901">
        <v>0</v>
      </c>
      <c r="T1901">
        <v>0</v>
      </c>
      <c r="U1901">
        <f>+SUM(Table1[[#This Row],[Latinos]:[Cemex]])</f>
        <v>1</v>
      </c>
      <c r="V1901" t="str">
        <f>+Table1[[#This Row],[id_destino]]&amp;" - "&amp;Table1[[#This Row],[id_origen]]</f>
        <v>83 - 52</v>
      </c>
    </row>
    <row r="1902" spans="1:22" hidden="1">
      <c r="A1902">
        <v>3097</v>
      </c>
      <c r="B1902">
        <v>3773</v>
      </c>
      <c r="C1902">
        <v>3431</v>
      </c>
      <c r="D1902">
        <v>6469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 t="s">
        <v>20</v>
      </c>
      <c r="L1902" s="1">
        <v>44725</v>
      </c>
      <c r="M1902">
        <v>84</v>
      </c>
      <c r="N1902">
        <v>52</v>
      </c>
      <c r="O1902">
        <v>50</v>
      </c>
      <c r="P1902">
        <v>150</v>
      </c>
      <c r="Q1902">
        <v>50</v>
      </c>
      <c r="S1902">
        <v>0</v>
      </c>
      <c r="T1902">
        <v>0</v>
      </c>
      <c r="U1902">
        <f>+SUM(Table1[[#This Row],[Latinos]:[Cemex]])</f>
        <v>1</v>
      </c>
      <c r="V1902" t="str">
        <f>+Table1[[#This Row],[id_destino]]&amp;" - "&amp;Table1[[#This Row],[id_origen]]</f>
        <v>84 - 52</v>
      </c>
    </row>
    <row r="1903" spans="1:22" hidden="1">
      <c r="A1903">
        <v>3175</v>
      </c>
      <c r="B1903">
        <v>3773</v>
      </c>
      <c r="C1903">
        <v>3431</v>
      </c>
      <c r="D1903">
        <v>6469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 t="s">
        <v>20</v>
      </c>
      <c r="L1903" s="1">
        <v>44757</v>
      </c>
      <c r="M1903">
        <v>84</v>
      </c>
      <c r="N1903">
        <v>52</v>
      </c>
      <c r="O1903">
        <v>50</v>
      </c>
      <c r="P1903">
        <v>150</v>
      </c>
      <c r="Q1903">
        <v>50</v>
      </c>
      <c r="S1903">
        <v>0</v>
      </c>
      <c r="T1903">
        <v>0</v>
      </c>
      <c r="U1903">
        <f>+SUM(Table1[[#This Row],[Latinos]:[Cemex]])</f>
        <v>1</v>
      </c>
      <c r="V1903" t="str">
        <f>+Table1[[#This Row],[id_destino]]&amp;" - "&amp;Table1[[#This Row],[id_origen]]</f>
        <v>84 - 52</v>
      </c>
    </row>
    <row r="1904" spans="1:22" hidden="1">
      <c r="A1904">
        <v>3748</v>
      </c>
      <c r="B1904">
        <v>2407</v>
      </c>
      <c r="C1904">
        <v>1522</v>
      </c>
      <c r="D1904">
        <v>7066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 t="s">
        <v>20</v>
      </c>
      <c r="L1904" s="1">
        <v>45066</v>
      </c>
      <c r="M1904">
        <v>89</v>
      </c>
      <c r="N1904">
        <v>52</v>
      </c>
      <c r="O1904">
        <v>0</v>
      </c>
      <c r="P1904">
        <v>150</v>
      </c>
      <c r="Q1904">
        <v>0</v>
      </c>
      <c r="S1904">
        <v>0</v>
      </c>
      <c r="T1904">
        <v>0</v>
      </c>
      <c r="U1904">
        <f>+SUM(Table1[[#This Row],[Latinos]:[Cemex]])</f>
        <v>1</v>
      </c>
      <c r="V1904" t="str">
        <f>+Table1[[#This Row],[id_destino]]&amp;" - "&amp;Table1[[#This Row],[id_origen]]</f>
        <v>89 - 52</v>
      </c>
    </row>
    <row r="1905" spans="1:22" hidden="1">
      <c r="A1905">
        <v>2637</v>
      </c>
      <c r="B1905">
        <v>3338</v>
      </c>
      <c r="C1905">
        <v>3431</v>
      </c>
      <c r="D1905">
        <v>6425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 t="s">
        <v>20</v>
      </c>
      <c r="L1905" s="1">
        <v>44268</v>
      </c>
      <c r="M1905">
        <v>92</v>
      </c>
      <c r="N1905">
        <v>52</v>
      </c>
      <c r="O1905">
        <v>70</v>
      </c>
      <c r="P1905">
        <v>150</v>
      </c>
      <c r="Q1905">
        <v>70</v>
      </c>
      <c r="S1905">
        <v>0</v>
      </c>
      <c r="T1905">
        <v>0</v>
      </c>
      <c r="U1905">
        <f>+SUM(Table1[[#This Row],[Latinos]:[Cemex]])</f>
        <v>1</v>
      </c>
      <c r="V1905" t="str">
        <f>+Table1[[#This Row],[id_destino]]&amp;" - "&amp;Table1[[#This Row],[id_origen]]</f>
        <v>92 - 52</v>
      </c>
    </row>
    <row r="1906" spans="1:22" hidden="1">
      <c r="A1906">
        <v>3370</v>
      </c>
      <c r="B1906">
        <v>3942</v>
      </c>
      <c r="C1906">
        <v>1522</v>
      </c>
      <c r="D1906">
        <v>7086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 t="s">
        <v>20</v>
      </c>
      <c r="L1906" s="1">
        <v>44852</v>
      </c>
      <c r="M1906">
        <v>101</v>
      </c>
      <c r="N1906">
        <v>52</v>
      </c>
      <c r="O1906">
        <v>342</v>
      </c>
      <c r="P1906">
        <v>308</v>
      </c>
      <c r="Q1906">
        <v>342</v>
      </c>
      <c r="S1906">
        <v>0</v>
      </c>
      <c r="T1906">
        <v>0</v>
      </c>
      <c r="U1906">
        <f>+SUM(Table1[[#This Row],[Latinos]:[Cemex]])</f>
        <v>1</v>
      </c>
      <c r="V1906" t="str">
        <f>+Table1[[#This Row],[id_destino]]&amp;" - "&amp;Table1[[#This Row],[id_origen]]</f>
        <v>101 - 52</v>
      </c>
    </row>
    <row r="1907" spans="1:22" hidden="1">
      <c r="A1907">
        <v>3747</v>
      </c>
      <c r="B1907">
        <v>3942</v>
      </c>
      <c r="C1907">
        <v>1522</v>
      </c>
      <c r="D1907">
        <v>7086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  <c r="K1907" t="s">
        <v>20</v>
      </c>
      <c r="L1907" s="1">
        <v>45066</v>
      </c>
      <c r="M1907">
        <v>101</v>
      </c>
      <c r="N1907">
        <v>52</v>
      </c>
      <c r="O1907">
        <v>0</v>
      </c>
      <c r="P1907">
        <v>150</v>
      </c>
      <c r="Q1907">
        <v>0</v>
      </c>
      <c r="S1907">
        <v>0</v>
      </c>
      <c r="T1907">
        <v>0</v>
      </c>
      <c r="U1907">
        <f>+SUM(Table1[[#This Row],[Latinos]:[Cemex]])</f>
        <v>1</v>
      </c>
      <c r="V1907" t="str">
        <f>+Table1[[#This Row],[id_destino]]&amp;" - "&amp;Table1[[#This Row],[id_origen]]</f>
        <v>101 - 52</v>
      </c>
    </row>
    <row r="1908" spans="1:22" hidden="1">
      <c r="A1908">
        <v>426</v>
      </c>
      <c r="B1908">
        <v>302</v>
      </c>
      <c r="C1908">
        <v>3282</v>
      </c>
      <c r="D1908">
        <v>5355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 t="s">
        <v>20</v>
      </c>
      <c r="L1908" s="1">
        <v>43066</v>
      </c>
      <c r="M1908">
        <v>105</v>
      </c>
      <c r="N1908">
        <v>52</v>
      </c>
      <c r="O1908">
        <v>888</v>
      </c>
      <c r="P1908">
        <v>860</v>
      </c>
      <c r="Q1908">
        <v>888</v>
      </c>
      <c r="S1908">
        <v>870</v>
      </c>
      <c r="T1908">
        <v>870</v>
      </c>
      <c r="U1908">
        <f>+SUM(Table1[[#This Row],[Latinos]:[Cemex]])</f>
        <v>1</v>
      </c>
      <c r="V1908" t="str">
        <f>+Table1[[#This Row],[id_destino]]&amp;" - "&amp;Table1[[#This Row],[id_origen]]</f>
        <v>105 - 52</v>
      </c>
    </row>
    <row r="1909" spans="1:22" hidden="1">
      <c r="A1909">
        <v>1065</v>
      </c>
      <c r="B1909">
        <v>1415</v>
      </c>
      <c r="C1909">
        <v>4312</v>
      </c>
      <c r="D1909">
        <v>1555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 t="s">
        <v>20</v>
      </c>
      <c r="L1909" s="1">
        <v>44061</v>
      </c>
      <c r="M1909">
        <v>107</v>
      </c>
      <c r="N1909">
        <v>52</v>
      </c>
      <c r="O1909">
        <v>504</v>
      </c>
      <c r="P1909">
        <v>596</v>
      </c>
      <c r="Q1909">
        <v>504</v>
      </c>
      <c r="S1909">
        <v>19</v>
      </c>
      <c r="T1909">
        <v>19</v>
      </c>
      <c r="U1909">
        <f>+SUM(Table1[[#This Row],[Latinos]:[Cemex]])</f>
        <v>1</v>
      </c>
      <c r="V1909" t="str">
        <f>+Table1[[#This Row],[id_destino]]&amp;" - "&amp;Table1[[#This Row],[id_origen]]</f>
        <v>107 - 52</v>
      </c>
    </row>
    <row r="1910" spans="1:22" hidden="1">
      <c r="A1910">
        <v>2000</v>
      </c>
      <c r="B1910">
        <v>1415</v>
      </c>
      <c r="C1910">
        <v>3431</v>
      </c>
      <c r="D1910">
        <v>1523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0</v>
      </c>
      <c r="K1910" t="s">
        <v>20</v>
      </c>
      <c r="L1910" s="1">
        <v>43759</v>
      </c>
      <c r="M1910">
        <v>107</v>
      </c>
      <c r="N1910">
        <v>52</v>
      </c>
      <c r="O1910">
        <v>556</v>
      </c>
      <c r="P1910">
        <v>487</v>
      </c>
      <c r="Q1910">
        <v>556</v>
      </c>
      <c r="S1910">
        <v>346</v>
      </c>
      <c r="T1910">
        <v>346</v>
      </c>
      <c r="U1910">
        <f>+SUM(Table1[[#This Row],[Latinos]:[Cemex]])</f>
        <v>1</v>
      </c>
      <c r="V1910" t="str">
        <f>+Table1[[#This Row],[id_destino]]&amp;" - "&amp;Table1[[#This Row],[id_origen]]</f>
        <v>107 - 52</v>
      </c>
    </row>
    <row r="1911" spans="1:22" hidden="1">
      <c r="A1911">
        <v>4729</v>
      </c>
      <c r="B1911">
        <v>1415</v>
      </c>
      <c r="C1911">
        <v>3431</v>
      </c>
      <c r="D1911">
        <v>5794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 t="s">
        <v>20</v>
      </c>
      <c r="L1911" s="1">
        <v>45769</v>
      </c>
      <c r="M1911">
        <v>107</v>
      </c>
      <c r="N1911">
        <v>52</v>
      </c>
      <c r="O1911">
        <v>502</v>
      </c>
      <c r="P1911">
        <v>502</v>
      </c>
      <c r="Q1911">
        <v>502</v>
      </c>
      <c r="S1911">
        <v>346</v>
      </c>
      <c r="T1911">
        <v>346</v>
      </c>
      <c r="U1911">
        <f>+SUM(Table1[[#This Row],[Latinos]:[Cemex]])</f>
        <v>1</v>
      </c>
      <c r="V1911" t="str">
        <f>+Table1[[#This Row],[id_destino]]&amp;" - "&amp;Table1[[#This Row],[id_origen]]</f>
        <v>107 - 52</v>
      </c>
    </row>
    <row r="1912" spans="1:22" hidden="1">
      <c r="A1912">
        <v>3956</v>
      </c>
      <c r="B1912">
        <v>2040</v>
      </c>
      <c r="C1912">
        <v>1522</v>
      </c>
      <c r="D1912">
        <v>7018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 t="s">
        <v>20</v>
      </c>
      <c r="L1912" s="1">
        <v>45208</v>
      </c>
      <c r="M1912">
        <v>111</v>
      </c>
      <c r="N1912">
        <v>52</v>
      </c>
      <c r="O1912">
        <v>1472</v>
      </c>
      <c r="P1912">
        <v>1455</v>
      </c>
      <c r="Q1912">
        <v>1472</v>
      </c>
      <c r="S1912">
        <v>5350</v>
      </c>
      <c r="T1912">
        <v>5892</v>
      </c>
      <c r="U1912">
        <f>+SUM(Table1[[#This Row],[Latinos]:[Cemex]])</f>
        <v>1</v>
      </c>
      <c r="V1912" t="str">
        <f>+Table1[[#This Row],[id_destino]]&amp;" - "&amp;Table1[[#This Row],[id_origen]]</f>
        <v>111 - 52</v>
      </c>
    </row>
    <row r="1913" spans="1:22" hidden="1">
      <c r="A1913">
        <v>3957</v>
      </c>
      <c r="B1913">
        <v>2040</v>
      </c>
      <c r="C1913">
        <v>1522</v>
      </c>
      <c r="D1913">
        <v>7018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  <c r="K1913" t="s">
        <v>20</v>
      </c>
      <c r="L1913" s="1">
        <v>45206</v>
      </c>
      <c r="M1913">
        <v>111</v>
      </c>
      <c r="N1913">
        <v>52</v>
      </c>
      <c r="O1913">
        <v>0</v>
      </c>
      <c r="P1913">
        <v>150</v>
      </c>
      <c r="Q1913">
        <v>0</v>
      </c>
      <c r="S1913">
        <v>0</v>
      </c>
      <c r="T1913">
        <v>0</v>
      </c>
      <c r="U1913">
        <f>+SUM(Table1[[#This Row],[Latinos]:[Cemex]])</f>
        <v>1</v>
      </c>
      <c r="V1913" t="str">
        <f>+Table1[[#This Row],[id_destino]]&amp;" - "&amp;Table1[[#This Row],[id_origen]]</f>
        <v>111 - 52</v>
      </c>
    </row>
    <row r="1914" spans="1:22" hidden="1">
      <c r="A1914">
        <v>3383</v>
      </c>
      <c r="B1914">
        <v>3950</v>
      </c>
      <c r="C1914">
        <v>1522</v>
      </c>
      <c r="D1914">
        <v>6952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 t="s">
        <v>20</v>
      </c>
      <c r="L1914" s="1">
        <v>44866</v>
      </c>
      <c r="M1914">
        <v>116</v>
      </c>
      <c r="N1914">
        <v>52</v>
      </c>
      <c r="O1914">
        <v>1023</v>
      </c>
      <c r="P1914">
        <v>986</v>
      </c>
      <c r="Q1914">
        <v>1023</v>
      </c>
      <c r="S1914">
        <v>1200</v>
      </c>
      <c r="T1914">
        <v>1200</v>
      </c>
      <c r="U1914">
        <f>+SUM(Table1[[#This Row],[Latinos]:[Cemex]])</f>
        <v>1</v>
      </c>
      <c r="V1914" t="str">
        <f>+Table1[[#This Row],[id_destino]]&amp;" - "&amp;Table1[[#This Row],[id_origen]]</f>
        <v>116 - 52</v>
      </c>
    </row>
    <row r="1915" spans="1:22" hidden="1">
      <c r="A1915">
        <v>3384</v>
      </c>
      <c r="B1915">
        <v>3950</v>
      </c>
      <c r="C1915">
        <v>1522</v>
      </c>
      <c r="D1915">
        <v>6952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 t="s">
        <v>20</v>
      </c>
      <c r="L1915" s="1">
        <v>44866</v>
      </c>
      <c r="M1915">
        <v>116</v>
      </c>
      <c r="N1915">
        <v>52</v>
      </c>
      <c r="O1915">
        <v>0</v>
      </c>
      <c r="P1915">
        <v>150</v>
      </c>
      <c r="Q1915">
        <v>0</v>
      </c>
      <c r="S1915">
        <v>0</v>
      </c>
      <c r="T1915">
        <v>0</v>
      </c>
      <c r="U1915">
        <f>+SUM(Table1[[#This Row],[Latinos]:[Cemex]])</f>
        <v>1</v>
      </c>
      <c r="V1915" t="str">
        <f>+Table1[[#This Row],[id_destino]]&amp;" - "&amp;Table1[[#This Row],[id_origen]]</f>
        <v>116 - 52</v>
      </c>
    </row>
    <row r="1916" spans="1:22" hidden="1">
      <c r="A1916">
        <v>468</v>
      </c>
      <c r="B1916">
        <v>2304</v>
      </c>
      <c r="C1916">
        <v>5374</v>
      </c>
      <c r="D1916">
        <v>1584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 t="s">
        <v>20</v>
      </c>
      <c r="L1916" s="1">
        <v>44847</v>
      </c>
      <c r="M1916">
        <v>118</v>
      </c>
      <c r="N1916">
        <v>52</v>
      </c>
      <c r="O1916">
        <v>2390</v>
      </c>
      <c r="P1916">
        <v>2296</v>
      </c>
      <c r="Q1916">
        <v>2390</v>
      </c>
      <c r="S1916">
        <v>3457</v>
      </c>
      <c r="T1916">
        <v>3918</v>
      </c>
      <c r="U1916">
        <f>+SUM(Table1[[#This Row],[Latinos]:[Cemex]])</f>
        <v>1</v>
      </c>
      <c r="V1916" t="str">
        <f>+Table1[[#This Row],[id_destino]]&amp;" - "&amp;Table1[[#This Row],[id_origen]]</f>
        <v>118 - 52</v>
      </c>
    </row>
    <row r="1917" spans="1:22" hidden="1">
      <c r="A1917">
        <v>3220</v>
      </c>
      <c r="B1917">
        <v>2304</v>
      </c>
      <c r="C1917">
        <v>1522</v>
      </c>
      <c r="D1917">
        <v>6997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 t="s">
        <v>20</v>
      </c>
      <c r="L1917" s="1">
        <v>44777</v>
      </c>
      <c r="M1917">
        <v>118</v>
      </c>
      <c r="N1917">
        <v>52</v>
      </c>
      <c r="O1917">
        <v>0</v>
      </c>
      <c r="P1917">
        <v>150</v>
      </c>
      <c r="Q1917">
        <v>0</v>
      </c>
      <c r="S1917">
        <v>0</v>
      </c>
      <c r="T1917">
        <v>0</v>
      </c>
      <c r="U1917">
        <f>+SUM(Table1[[#This Row],[Latinos]:[Cemex]])</f>
        <v>1</v>
      </c>
      <c r="V1917" t="str">
        <f>+Table1[[#This Row],[id_destino]]&amp;" - "&amp;Table1[[#This Row],[id_origen]]</f>
        <v>118 - 52</v>
      </c>
    </row>
    <row r="1918" spans="1:22" hidden="1">
      <c r="A1918">
        <v>1833</v>
      </c>
      <c r="B1918">
        <v>2961</v>
      </c>
      <c r="C1918">
        <v>239</v>
      </c>
      <c r="D1918">
        <v>5973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 t="s">
        <v>20</v>
      </c>
      <c r="L1918" s="1">
        <v>44798</v>
      </c>
      <c r="M1918">
        <v>119</v>
      </c>
      <c r="N1918">
        <v>52</v>
      </c>
      <c r="O1918">
        <v>1599</v>
      </c>
      <c r="P1918">
        <v>1581</v>
      </c>
      <c r="Q1918">
        <v>1599</v>
      </c>
      <c r="S1918">
        <v>5592</v>
      </c>
      <c r="T1918">
        <v>6134</v>
      </c>
      <c r="U1918">
        <f>+SUM(Table1[[#This Row],[Latinos]:[Cemex]])</f>
        <v>1</v>
      </c>
      <c r="V1918" t="str">
        <f>+Table1[[#This Row],[id_destino]]&amp;" - "&amp;Table1[[#This Row],[id_origen]]</f>
        <v>119 - 52</v>
      </c>
    </row>
    <row r="1919" spans="1:22" hidden="1">
      <c r="A1919">
        <v>3655</v>
      </c>
      <c r="B1919">
        <v>2961</v>
      </c>
      <c r="C1919">
        <v>1522</v>
      </c>
      <c r="D1919">
        <v>7019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 t="s">
        <v>20</v>
      </c>
      <c r="L1919" s="1">
        <v>45014</v>
      </c>
      <c r="M1919">
        <v>119</v>
      </c>
      <c r="N1919">
        <v>52</v>
      </c>
      <c r="O1919">
        <v>0</v>
      </c>
      <c r="P1919">
        <v>150</v>
      </c>
      <c r="Q1919">
        <v>0</v>
      </c>
      <c r="S1919">
        <v>0</v>
      </c>
      <c r="T1919">
        <v>0</v>
      </c>
      <c r="U1919">
        <f>+SUM(Table1[[#This Row],[Latinos]:[Cemex]])</f>
        <v>1</v>
      </c>
      <c r="V1919" t="str">
        <f>+Table1[[#This Row],[id_destino]]&amp;" - "&amp;Table1[[#This Row],[id_origen]]</f>
        <v>119 - 52</v>
      </c>
    </row>
    <row r="1920" spans="1:22" hidden="1">
      <c r="A1920">
        <v>3262</v>
      </c>
      <c r="B1920">
        <v>3873</v>
      </c>
      <c r="C1920">
        <v>1522</v>
      </c>
      <c r="D1920">
        <v>6951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 t="s">
        <v>20</v>
      </c>
      <c r="L1920" s="1">
        <v>44798</v>
      </c>
      <c r="M1920">
        <v>121</v>
      </c>
      <c r="N1920">
        <v>52</v>
      </c>
      <c r="O1920">
        <v>685</v>
      </c>
      <c r="P1920">
        <v>703</v>
      </c>
      <c r="Q1920">
        <v>685</v>
      </c>
      <c r="S1920">
        <v>848</v>
      </c>
      <c r="T1920">
        <v>848</v>
      </c>
      <c r="U1920">
        <f>+SUM(Table1[[#This Row],[Latinos]:[Cemex]])</f>
        <v>1</v>
      </c>
      <c r="V1920" t="str">
        <f>+Table1[[#This Row],[id_destino]]&amp;" - "&amp;Table1[[#This Row],[id_origen]]</f>
        <v>121 - 52</v>
      </c>
    </row>
    <row r="1921" spans="1:22" hidden="1">
      <c r="A1921">
        <v>3486</v>
      </c>
      <c r="B1921">
        <v>3873</v>
      </c>
      <c r="C1921">
        <v>1522</v>
      </c>
      <c r="D1921">
        <v>6951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 t="s">
        <v>20</v>
      </c>
      <c r="L1921" s="1">
        <v>44921</v>
      </c>
      <c r="M1921">
        <v>121</v>
      </c>
      <c r="N1921">
        <v>52</v>
      </c>
      <c r="O1921">
        <v>0</v>
      </c>
      <c r="P1921">
        <v>150</v>
      </c>
      <c r="Q1921">
        <v>0</v>
      </c>
      <c r="S1921">
        <v>0</v>
      </c>
      <c r="T1921">
        <v>0</v>
      </c>
      <c r="U1921">
        <f>+SUM(Table1[[#This Row],[Latinos]:[Cemex]])</f>
        <v>1</v>
      </c>
      <c r="V1921" t="str">
        <f>+Table1[[#This Row],[id_destino]]&amp;" - "&amp;Table1[[#This Row],[id_origen]]</f>
        <v>121 - 52</v>
      </c>
    </row>
    <row r="1922" spans="1:22" hidden="1">
      <c r="A1922">
        <v>1194</v>
      </c>
      <c r="B1922">
        <v>1280</v>
      </c>
      <c r="C1922">
        <v>5116</v>
      </c>
      <c r="D1922">
        <v>5669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 t="s">
        <v>32</v>
      </c>
      <c r="L1922" s="1">
        <v>45208</v>
      </c>
      <c r="M1922">
        <v>123</v>
      </c>
      <c r="N1922">
        <v>52</v>
      </c>
      <c r="O1922">
        <v>858</v>
      </c>
      <c r="P1922">
        <v>889</v>
      </c>
      <c r="Q1922">
        <v>858</v>
      </c>
      <c r="S1922">
        <v>4865</v>
      </c>
      <c r="T1922">
        <v>4188</v>
      </c>
      <c r="U1922">
        <f>+SUM(Table1[[#This Row],[Latinos]:[Cemex]])</f>
        <v>1</v>
      </c>
      <c r="V1922" t="str">
        <f>+Table1[[#This Row],[id_destino]]&amp;" - "&amp;Table1[[#This Row],[id_origen]]</f>
        <v>123 - 52</v>
      </c>
    </row>
    <row r="1923" spans="1:22" hidden="1">
      <c r="A1923">
        <v>3174</v>
      </c>
      <c r="B1923">
        <v>1280</v>
      </c>
      <c r="C1923">
        <v>1522</v>
      </c>
      <c r="D1923">
        <v>6972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 t="s">
        <v>20</v>
      </c>
      <c r="L1923" s="1">
        <v>44756</v>
      </c>
      <c r="M1923">
        <v>123</v>
      </c>
      <c r="N1923">
        <v>52</v>
      </c>
      <c r="O1923">
        <v>0</v>
      </c>
      <c r="P1923">
        <v>150</v>
      </c>
      <c r="Q1923">
        <v>0</v>
      </c>
      <c r="S1923">
        <v>0</v>
      </c>
      <c r="T1923">
        <v>0</v>
      </c>
      <c r="U1923">
        <f>+SUM(Table1[[#This Row],[Latinos]:[Cemex]])</f>
        <v>1</v>
      </c>
      <c r="V1923" t="str">
        <f>+Table1[[#This Row],[id_destino]]&amp;" - "&amp;Table1[[#This Row],[id_origen]]</f>
        <v>123 - 52</v>
      </c>
    </row>
    <row r="1924" spans="1:22" hidden="1">
      <c r="A1924">
        <v>3959</v>
      </c>
      <c r="B1924">
        <v>1280</v>
      </c>
      <c r="C1924">
        <v>1522</v>
      </c>
      <c r="D1924">
        <v>6972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 t="s">
        <v>20</v>
      </c>
      <c r="L1924" s="1">
        <v>45208</v>
      </c>
      <c r="M1924">
        <v>123</v>
      </c>
      <c r="N1924">
        <v>52</v>
      </c>
      <c r="O1924">
        <v>858</v>
      </c>
      <c r="P1924">
        <v>890</v>
      </c>
      <c r="Q1924">
        <v>858</v>
      </c>
      <c r="S1924">
        <v>0</v>
      </c>
      <c r="T1924">
        <v>0</v>
      </c>
      <c r="U1924">
        <f>+SUM(Table1[[#This Row],[Latinos]:[Cemex]])</f>
        <v>1</v>
      </c>
      <c r="V1924" t="str">
        <f>+Table1[[#This Row],[id_destino]]&amp;" - "&amp;Table1[[#This Row],[id_origen]]</f>
        <v>123 - 52</v>
      </c>
    </row>
    <row r="1925" spans="1:22" hidden="1">
      <c r="A1925">
        <v>3195</v>
      </c>
      <c r="B1925">
        <v>3832</v>
      </c>
      <c r="C1925">
        <v>1522</v>
      </c>
      <c r="D1925">
        <v>6986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 t="s">
        <v>20</v>
      </c>
      <c r="L1925" s="1">
        <v>44767</v>
      </c>
      <c r="M1925">
        <v>126</v>
      </c>
      <c r="N1925">
        <v>52</v>
      </c>
      <c r="O1925">
        <v>1684</v>
      </c>
      <c r="P1925">
        <v>1639</v>
      </c>
      <c r="Q1925">
        <v>1684</v>
      </c>
      <c r="S1925">
        <v>3494</v>
      </c>
      <c r="T1925">
        <v>2249</v>
      </c>
      <c r="U1925">
        <f>+SUM(Table1[[#This Row],[Latinos]:[Cemex]])</f>
        <v>1</v>
      </c>
      <c r="V1925" t="str">
        <f>+Table1[[#This Row],[id_destino]]&amp;" - "&amp;Table1[[#This Row],[id_origen]]</f>
        <v>126 - 52</v>
      </c>
    </row>
    <row r="1926" spans="1:22" hidden="1">
      <c r="A1926">
        <v>3202</v>
      </c>
      <c r="B1926">
        <v>3832</v>
      </c>
      <c r="C1926">
        <v>1522</v>
      </c>
      <c r="D1926">
        <v>6986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  <c r="K1926" t="s">
        <v>20</v>
      </c>
      <c r="L1926" s="1">
        <v>44767</v>
      </c>
      <c r="M1926">
        <v>126</v>
      </c>
      <c r="N1926">
        <v>52</v>
      </c>
      <c r="O1926">
        <v>0</v>
      </c>
      <c r="P1926">
        <v>150</v>
      </c>
      <c r="Q1926">
        <v>0</v>
      </c>
      <c r="S1926">
        <v>0</v>
      </c>
      <c r="T1926">
        <v>0</v>
      </c>
      <c r="U1926">
        <f>+SUM(Table1[[#This Row],[Latinos]:[Cemex]])</f>
        <v>1</v>
      </c>
      <c r="V1926" t="str">
        <f>+Table1[[#This Row],[id_destino]]&amp;" - "&amp;Table1[[#This Row],[id_origen]]</f>
        <v>126 - 52</v>
      </c>
    </row>
    <row r="1927" spans="1:22" hidden="1">
      <c r="A1927">
        <v>3103</v>
      </c>
      <c r="B1927">
        <v>3777</v>
      </c>
      <c r="C1927">
        <v>1522</v>
      </c>
      <c r="D1927">
        <v>6934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 t="s">
        <v>20</v>
      </c>
      <c r="L1927" s="1">
        <v>44728</v>
      </c>
      <c r="M1927">
        <v>134</v>
      </c>
      <c r="N1927">
        <v>52</v>
      </c>
      <c r="O1927">
        <v>2028</v>
      </c>
      <c r="P1927">
        <v>2063</v>
      </c>
      <c r="Q1927">
        <v>2028</v>
      </c>
      <c r="S1927">
        <v>4291</v>
      </c>
      <c r="T1927">
        <v>3910</v>
      </c>
      <c r="U1927">
        <f>+SUM(Table1[[#This Row],[Latinos]:[Cemex]])</f>
        <v>1</v>
      </c>
      <c r="V1927" t="str">
        <f>+Table1[[#This Row],[id_destino]]&amp;" - "&amp;Table1[[#This Row],[id_origen]]</f>
        <v>134 - 52</v>
      </c>
    </row>
    <row r="1928" spans="1:22" hidden="1">
      <c r="A1928">
        <v>3386</v>
      </c>
      <c r="B1928">
        <v>3777</v>
      </c>
      <c r="C1928">
        <v>1522</v>
      </c>
      <c r="D1928">
        <v>6934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 t="s">
        <v>20</v>
      </c>
      <c r="L1928" s="1">
        <v>44866</v>
      </c>
      <c r="M1928">
        <v>134</v>
      </c>
      <c r="N1928">
        <v>52</v>
      </c>
      <c r="O1928">
        <v>0</v>
      </c>
      <c r="P1928">
        <v>150</v>
      </c>
      <c r="Q1928">
        <v>0</v>
      </c>
      <c r="S1928">
        <v>0</v>
      </c>
      <c r="T1928">
        <v>0</v>
      </c>
      <c r="U1928">
        <f>+SUM(Table1[[#This Row],[Latinos]:[Cemex]])</f>
        <v>1</v>
      </c>
      <c r="V1928" t="str">
        <f>+Table1[[#This Row],[id_destino]]&amp;" - "&amp;Table1[[#This Row],[id_origen]]</f>
        <v>134 - 52</v>
      </c>
    </row>
    <row r="1929" spans="1:22" hidden="1">
      <c r="A1929">
        <v>1951</v>
      </c>
      <c r="B1929">
        <v>1734</v>
      </c>
      <c r="C1929">
        <v>5116</v>
      </c>
      <c r="D1929">
        <v>3176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 t="s">
        <v>20</v>
      </c>
      <c r="L1929" s="1">
        <v>43738</v>
      </c>
      <c r="M1929">
        <v>136</v>
      </c>
      <c r="N1929">
        <v>52</v>
      </c>
      <c r="O1929">
        <v>1029</v>
      </c>
      <c r="P1929">
        <v>1029</v>
      </c>
      <c r="Q1929">
        <v>1029</v>
      </c>
      <c r="S1929">
        <v>1390</v>
      </c>
      <c r="T1929">
        <v>1390</v>
      </c>
      <c r="U1929">
        <f>+SUM(Table1[[#This Row],[Latinos]:[Cemex]])</f>
        <v>1</v>
      </c>
      <c r="V1929" t="str">
        <f>+Table1[[#This Row],[id_destino]]&amp;" - "&amp;Table1[[#This Row],[id_origen]]</f>
        <v>136 - 52</v>
      </c>
    </row>
    <row r="1930" spans="1:22" hidden="1">
      <c r="A1930">
        <v>3128</v>
      </c>
      <c r="B1930">
        <v>3792</v>
      </c>
      <c r="C1930">
        <v>1522</v>
      </c>
      <c r="D1930">
        <v>6946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 t="s">
        <v>20</v>
      </c>
      <c r="L1930" s="1">
        <v>44735</v>
      </c>
      <c r="M1930">
        <v>145</v>
      </c>
      <c r="N1930">
        <v>52</v>
      </c>
      <c r="O1930">
        <v>1030</v>
      </c>
      <c r="P1930">
        <v>1048</v>
      </c>
      <c r="Q1930">
        <v>1030</v>
      </c>
      <c r="S1930">
        <v>5206</v>
      </c>
      <c r="T1930">
        <v>5636</v>
      </c>
      <c r="U1930">
        <f>+SUM(Table1[[#This Row],[Latinos]:[Cemex]])</f>
        <v>1</v>
      </c>
      <c r="V1930" t="str">
        <f>+Table1[[#This Row],[id_destino]]&amp;" - "&amp;Table1[[#This Row],[id_origen]]</f>
        <v>145 - 52</v>
      </c>
    </row>
    <row r="1931" spans="1:22" hidden="1">
      <c r="A1931">
        <v>3643</v>
      </c>
      <c r="B1931">
        <v>3792</v>
      </c>
      <c r="C1931">
        <v>1522</v>
      </c>
      <c r="D1931">
        <v>6946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  <c r="K1931" t="s">
        <v>20</v>
      </c>
      <c r="L1931" s="1">
        <v>45012</v>
      </c>
      <c r="M1931">
        <v>145</v>
      </c>
      <c r="N1931">
        <v>52</v>
      </c>
      <c r="O1931">
        <v>0</v>
      </c>
      <c r="P1931">
        <v>150</v>
      </c>
      <c r="Q1931">
        <v>0</v>
      </c>
      <c r="S1931">
        <v>0</v>
      </c>
      <c r="T1931">
        <v>0</v>
      </c>
      <c r="U1931">
        <f>+SUM(Table1[[#This Row],[Latinos]:[Cemex]])</f>
        <v>1</v>
      </c>
      <c r="V1931" t="str">
        <f>+Table1[[#This Row],[id_destino]]&amp;" - "&amp;Table1[[#This Row],[id_origen]]</f>
        <v>145 - 52</v>
      </c>
    </row>
    <row r="1932" spans="1:22" hidden="1">
      <c r="A1932">
        <v>1834</v>
      </c>
      <c r="B1932">
        <v>2962</v>
      </c>
      <c r="C1932">
        <v>3431</v>
      </c>
      <c r="D1932">
        <v>5938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 t="s">
        <v>20</v>
      </c>
      <c r="L1932" s="1">
        <v>45190</v>
      </c>
      <c r="M1932">
        <v>148</v>
      </c>
      <c r="N1932">
        <v>52</v>
      </c>
      <c r="O1932">
        <v>698</v>
      </c>
      <c r="P1932">
        <v>698</v>
      </c>
      <c r="Q1932">
        <v>698</v>
      </c>
      <c r="S1932">
        <v>537</v>
      </c>
      <c r="T1932">
        <v>537</v>
      </c>
      <c r="U1932">
        <f>+SUM(Table1[[#This Row],[Latinos]:[Cemex]])</f>
        <v>1</v>
      </c>
      <c r="V1932" t="str">
        <f>+Table1[[#This Row],[id_destino]]&amp;" - "&amp;Table1[[#This Row],[id_origen]]</f>
        <v>148 - 52</v>
      </c>
    </row>
    <row r="1933" spans="1:22" hidden="1">
      <c r="A1933">
        <v>3491</v>
      </c>
      <c r="B1933">
        <v>4023</v>
      </c>
      <c r="C1933">
        <v>3431</v>
      </c>
      <c r="D1933">
        <v>7062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 t="s">
        <v>20</v>
      </c>
      <c r="L1933" s="1">
        <v>44966</v>
      </c>
      <c r="M1933">
        <v>152</v>
      </c>
      <c r="N1933">
        <v>52</v>
      </c>
      <c r="O1933">
        <v>1152</v>
      </c>
      <c r="P1933">
        <v>1152</v>
      </c>
      <c r="Q1933">
        <v>1552</v>
      </c>
      <c r="S1933">
        <v>3899</v>
      </c>
      <c r="T1933">
        <v>3899</v>
      </c>
      <c r="U1933">
        <f>+SUM(Table1[[#This Row],[Latinos]:[Cemex]])</f>
        <v>1</v>
      </c>
      <c r="V1933" t="str">
        <f>+Table1[[#This Row],[id_destino]]&amp;" - "&amp;Table1[[#This Row],[id_origen]]</f>
        <v>152 - 52</v>
      </c>
    </row>
    <row r="1934" spans="1:22" hidden="1">
      <c r="A1934">
        <v>3357</v>
      </c>
      <c r="B1934">
        <v>3933</v>
      </c>
      <c r="C1934">
        <v>1522</v>
      </c>
      <c r="D1934">
        <v>7077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 t="s">
        <v>20</v>
      </c>
      <c r="L1934" s="1">
        <v>44847</v>
      </c>
      <c r="M1934">
        <v>159</v>
      </c>
      <c r="N1934">
        <v>52</v>
      </c>
      <c r="O1934">
        <v>1376</v>
      </c>
      <c r="P1934">
        <v>1382</v>
      </c>
      <c r="Q1934">
        <v>1376</v>
      </c>
      <c r="S1934">
        <v>5185</v>
      </c>
      <c r="T1934">
        <v>5727</v>
      </c>
      <c r="U1934">
        <f>+SUM(Table1[[#This Row],[Latinos]:[Cemex]])</f>
        <v>1</v>
      </c>
      <c r="V1934" t="str">
        <f>+Table1[[#This Row],[id_destino]]&amp;" - "&amp;Table1[[#This Row],[id_origen]]</f>
        <v>159 - 52</v>
      </c>
    </row>
    <row r="1935" spans="1:22" hidden="1">
      <c r="A1935">
        <v>3129</v>
      </c>
      <c r="B1935">
        <v>3793</v>
      </c>
      <c r="C1935">
        <v>1522</v>
      </c>
      <c r="D1935">
        <v>6949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 t="s">
        <v>20</v>
      </c>
      <c r="L1935" s="1">
        <v>44736</v>
      </c>
      <c r="M1935">
        <v>167</v>
      </c>
      <c r="N1935">
        <v>52</v>
      </c>
      <c r="O1935">
        <v>1462</v>
      </c>
      <c r="P1935">
        <v>1467</v>
      </c>
      <c r="Q1935">
        <v>1462</v>
      </c>
      <c r="S1935">
        <v>3232</v>
      </c>
      <c r="T1935">
        <v>3232</v>
      </c>
      <c r="U1935">
        <f>+SUM(Table1[[#This Row],[Latinos]:[Cemex]])</f>
        <v>1</v>
      </c>
      <c r="V1935" t="str">
        <f>+Table1[[#This Row],[id_destino]]&amp;" - "&amp;Table1[[#This Row],[id_origen]]</f>
        <v>167 - 52</v>
      </c>
    </row>
    <row r="1936" spans="1:22" hidden="1">
      <c r="A1936">
        <v>3130</v>
      </c>
      <c r="B1936">
        <v>3793</v>
      </c>
      <c r="C1936">
        <v>1522</v>
      </c>
      <c r="D1936">
        <v>6949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  <c r="K1936" t="s">
        <v>20</v>
      </c>
      <c r="L1936" s="1">
        <v>44736</v>
      </c>
      <c r="M1936">
        <v>167</v>
      </c>
      <c r="N1936">
        <v>52</v>
      </c>
      <c r="O1936">
        <v>0</v>
      </c>
      <c r="P1936">
        <v>150</v>
      </c>
      <c r="Q1936">
        <v>0</v>
      </c>
      <c r="S1936">
        <v>0</v>
      </c>
      <c r="T1936">
        <v>0</v>
      </c>
      <c r="U1936">
        <f>+SUM(Table1[[#This Row],[Latinos]:[Cemex]])</f>
        <v>1</v>
      </c>
      <c r="V1936" t="str">
        <f>+Table1[[#This Row],[id_destino]]&amp;" - "&amp;Table1[[#This Row],[id_origen]]</f>
        <v>167 - 52</v>
      </c>
    </row>
    <row r="1937" spans="1:22" hidden="1">
      <c r="A1937">
        <v>1307</v>
      </c>
      <c r="B1937">
        <v>1853</v>
      </c>
      <c r="C1937">
        <v>5652</v>
      </c>
      <c r="D1937">
        <v>12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 t="s">
        <v>20</v>
      </c>
      <c r="L1937" s="1">
        <v>43515</v>
      </c>
      <c r="M1937">
        <v>169</v>
      </c>
      <c r="N1937">
        <v>52</v>
      </c>
      <c r="O1937">
        <v>701</v>
      </c>
      <c r="P1937">
        <v>696</v>
      </c>
      <c r="Q1937">
        <v>701</v>
      </c>
      <c r="S1937">
        <v>1055</v>
      </c>
      <c r="T1937">
        <v>1055</v>
      </c>
      <c r="U1937">
        <f>+SUM(Table1[[#This Row],[Latinos]:[Cemex]])</f>
        <v>1</v>
      </c>
      <c r="V1937" t="str">
        <f>+Table1[[#This Row],[id_destino]]&amp;" - "&amp;Table1[[#This Row],[id_origen]]</f>
        <v>169 - 52</v>
      </c>
    </row>
    <row r="1938" spans="1:22" hidden="1">
      <c r="A1938">
        <v>2408</v>
      </c>
      <c r="B1938">
        <v>1853</v>
      </c>
      <c r="C1938">
        <v>6378</v>
      </c>
      <c r="D1938">
        <v>6379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 t="s">
        <v>20</v>
      </c>
      <c r="L1938" s="1">
        <v>44048</v>
      </c>
      <c r="M1938">
        <v>169</v>
      </c>
      <c r="N1938">
        <v>52</v>
      </c>
      <c r="O1938">
        <v>705</v>
      </c>
      <c r="P1938">
        <v>705</v>
      </c>
      <c r="Q1938">
        <v>705</v>
      </c>
      <c r="S1938">
        <v>0</v>
      </c>
      <c r="T1938">
        <v>0</v>
      </c>
      <c r="U1938">
        <f>+SUM(Table1[[#This Row],[Latinos]:[Cemex]])</f>
        <v>1</v>
      </c>
      <c r="V1938" t="str">
        <f>+Table1[[#This Row],[id_destino]]&amp;" - "&amp;Table1[[#This Row],[id_origen]]</f>
        <v>169 - 52</v>
      </c>
    </row>
    <row r="1939" spans="1:22" hidden="1">
      <c r="A1939">
        <v>968</v>
      </c>
      <c r="B1939">
        <v>1160</v>
      </c>
      <c r="C1939">
        <v>5556</v>
      </c>
      <c r="D1939">
        <v>24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 t="s">
        <v>20</v>
      </c>
      <c r="L1939" s="1">
        <v>45013</v>
      </c>
      <c r="M1939">
        <v>179</v>
      </c>
      <c r="N1939">
        <v>52</v>
      </c>
      <c r="O1939">
        <v>1713</v>
      </c>
      <c r="P1939">
        <v>1491</v>
      </c>
      <c r="Q1939">
        <v>1713</v>
      </c>
      <c r="S1939">
        <v>2196</v>
      </c>
      <c r="T1939">
        <v>2564</v>
      </c>
      <c r="U1939">
        <f>+SUM(Table1[[#This Row],[Latinos]:[Cemex]])</f>
        <v>1</v>
      </c>
      <c r="V1939" t="str">
        <f>+Table1[[#This Row],[id_destino]]&amp;" - "&amp;Table1[[#This Row],[id_origen]]</f>
        <v>179 - 52</v>
      </c>
    </row>
    <row r="1940" spans="1:22" hidden="1">
      <c r="A1940">
        <v>1700</v>
      </c>
      <c r="B1940">
        <v>1160</v>
      </c>
      <c r="C1940">
        <v>5881</v>
      </c>
      <c r="D1940">
        <v>24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 t="s">
        <v>20</v>
      </c>
      <c r="L1940" s="1">
        <v>45464</v>
      </c>
      <c r="M1940">
        <v>179</v>
      </c>
      <c r="N1940">
        <v>52</v>
      </c>
      <c r="O1940">
        <v>1713</v>
      </c>
      <c r="P1940">
        <v>1713</v>
      </c>
      <c r="Q1940">
        <v>1713</v>
      </c>
      <c r="S1940">
        <v>0</v>
      </c>
      <c r="T1940">
        <v>0</v>
      </c>
      <c r="U1940">
        <f>+SUM(Table1[[#This Row],[Latinos]:[Cemex]])</f>
        <v>1</v>
      </c>
      <c r="V1940" t="str">
        <f>+Table1[[#This Row],[id_destino]]&amp;" - "&amp;Table1[[#This Row],[id_origen]]</f>
        <v>179 - 52</v>
      </c>
    </row>
    <row r="1941" spans="1:22" hidden="1">
      <c r="A1941">
        <v>923</v>
      </c>
      <c r="B1941">
        <v>1942</v>
      </c>
      <c r="C1941">
        <v>4312</v>
      </c>
      <c r="D1941">
        <v>3430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 t="s">
        <v>20</v>
      </c>
      <c r="L1941" s="1">
        <v>43214</v>
      </c>
      <c r="M1941">
        <v>180</v>
      </c>
      <c r="N1941">
        <v>52</v>
      </c>
      <c r="O1941">
        <v>213</v>
      </c>
      <c r="P1941">
        <v>215</v>
      </c>
      <c r="Q1941">
        <v>213</v>
      </c>
      <c r="S1941">
        <v>709</v>
      </c>
      <c r="T1941">
        <v>709</v>
      </c>
      <c r="U1941">
        <f>+SUM(Table1[[#This Row],[Latinos]:[Cemex]])</f>
        <v>1</v>
      </c>
      <c r="V1941" t="str">
        <f>+Table1[[#This Row],[id_destino]]&amp;" - "&amp;Table1[[#This Row],[id_origen]]</f>
        <v>180 - 52</v>
      </c>
    </row>
    <row r="1942" spans="1:22" hidden="1">
      <c r="A1942">
        <v>3110</v>
      </c>
      <c r="B1942">
        <v>1942</v>
      </c>
      <c r="C1942">
        <v>1522</v>
      </c>
      <c r="D1942">
        <v>6896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  <c r="K1942" t="s">
        <v>20</v>
      </c>
      <c r="L1942" s="1">
        <v>45768</v>
      </c>
      <c r="M1942">
        <v>180</v>
      </c>
      <c r="N1942">
        <v>52</v>
      </c>
      <c r="O1942">
        <v>213</v>
      </c>
      <c r="P1942">
        <v>215</v>
      </c>
      <c r="Q1942">
        <v>213</v>
      </c>
      <c r="S1942">
        <v>709</v>
      </c>
      <c r="T1942">
        <v>709</v>
      </c>
      <c r="U1942">
        <f>+SUM(Table1[[#This Row],[Latinos]:[Cemex]])</f>
        <v>1</v>
      </c>
      <c r="V1942" t="str">
        <f>+Table1[[#This Row],[id_destino]]&amp;" - "&amp;Table1[[#This Row],[id_origen]]</f>
        <v>180 - 52</v>
      </c>
    </row>
    <row r="1943" spans="1:22" hidden="1">
      <c r="A1943">
        <v>1368</v>
      </c>
      <c r="B1943">
        <v>291</v>
      </c>
      <c r="C1943">
        <v>3431</v>
      </c>
      <c r="D1943">
        <v>3000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 t="s">
        <v>20</v>
      </c>
      <c r="L1943" s="1">
        <v>43409</v>
      </c>
      <c r="M1943">
        <v>183</v>
      </c>
      <c r="N1943">
        <v>52</v>
      </c>
      <c r="O1943">
        <v>828</v>
      </c>
      <c r="P1943">
        <v>828</v>
      </c>
      <c r="Q1943">
        <v>828</v>
      </c>
      <c r="S1943">
        <v>899</v>
      </c>
      <c r="T1943">
        <v>899</v>
      </c>
      <c r="U1943">
        <f>+SUM(Table1[[#This Row],[Latinos]:[Cemex]])</f>
        <v>1</v>
      </c>
      <c r="V1943" t="str">
        <f>+Table1[[#This Row],[id_destino]]&amp;" - "&amp;Table1[[#This Row],[id_origen]]</f>
        <v>183 - 52</v>
      </c>
    </row>
    <row r="1944" spans="1:22" hidden="1">
      <c r="A1944">
        <v>3243</v>
      </c>
      <c r="B1944">
        <v>291</v>
      </c>
      <c r="C1944">
        <v>3431</v>
      </c>
      <c r="D1944">
        <v>116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 t="s">
        <v>20</v>
      </c>
      <c r="L1944" s="1">
        <v>44795</v>
      </c>
      <c r="M1944">
        <v>183</v>
      </c>
      <c r="N1944">
        <v>52</v>
      </c>
      <c r="O1944">
        <v>836</v>
      </c>
      <c r="P1944">
        <v>836</v>
      </c>
      <c r="Q1944">
        <v>836</v>
      </c>
      <c r="S1944">
        <v>1047</v>
      </c>
      <c r="T1944">
        <v>1047</v>
      </c>
      <c r="U1944">
        <f>+SUM(Table1[[#This Row],[Latinos]:[Cemex]])</f>
        <v>1</v>
      </c>
      <c r="V1944" t="str">
        <f>+Table1[[#This Row],[id_destino]]&amp;" - "&amp;Table1[[#This Row],[id_origen]]</f>
        <v>183 - 52</v>
      </c>
    </row>
    <row r="1945" spans="1:22" hidden="1">
      <c r="A1945">
        <v>576</v>
      </c>
      <c r="B1945">
        <v>2035</v>
      </c>
      <c r="C1945">
        <v>4312</v>
      </c>
      <c r="D1945">
        <v>3032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 t="s">
        <v>20</v>
      </c>
      <c r="L1945" s="1">
        <v>43299</v>
      </c>
      <c r="M1945">
        <v>189</v>
      </c>
      <c r="N1945">
        <v>52</v>
      </c>
      <c r="O1945">
        <v>1452</v>
      </c>
      <c r="P1945">
        <v>1029</v>
      </c>
      <c r="Q1945">
        <v>1452</v>
      </c>
      <c r="S1945">
        <v>4061</v>
      </c>
      <c r="T1945">
        <v>4491</v>
      </c>
      <c r="U1945">
        <f>+SUM(Table1[[#This Row],[Latinos]:[Cemex]])</f>
        <v>1</v>
      </c>
      <c r="V1945" t="str">
        <f>+Table1[[#This Row],[id_destino]]&amp;" - "&amp;Table1[[#This Row],[id_origen]]</f>
        <v>189 - 52</v>
      </c>
    </row>
    <row r="1946" spans="1:22" hidden="1">
      <c r="A1946">
        <v>1122</v>
      </c>
      <c r="B1946">
        <v>2035</v>
      </c>
      <c r="C1946">
        <v>5116</v>
      </c>
      <c r="D1946">
        <v>5631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 t="s">
        <v>59</v>
      </c>
      <c r="L1946" s="1">
        <v>43299</v>
      </c>
      <c r="M1946">
        <v>189</v>
      </c>
      <c r="N1946">
        <v>52</v>
      </c>
      <c r="O1946">
        <v>1452</v>
      </c>
      <c r="P1946">
        <v>1452</v>
      </c>
      <c r="Q1946">
        <v>1452</v>
      </c>
      <c r="S1946">
        <v>3265</v>
      </c>
      <c r="T1946">
        <v>3671</v>
      </c>
      <c r="U1946">
        <f>+SUM(Table1[[#This Row],[Latinos]:[Cemex]])</f>
        <v>1</v>
      </c>
      <c r="V1946" t="str">
        <f>+Table1[[#This Row],[id_destino]]&amp;" - "&amp;Table1[[#This Row],[id_origen]]</f>
        <v>189 - 52</v>
      </c>
    </row>
    <row r="1947" spans="1:22" hidden="1">
      <c r="A1947">
        <v>2215</v>
      </c>
      <c r="B1947">
        <v>3204</v>
      </c>
      <c r="C1947">
        <v>239</v>
      </c>
      <c r="D1947">
        <v>6261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 t="s">
        <v>20</v>
      </c>
      <c r="L1947" s="1">
        <v>43860</v>
      </c>
      <c r="M1947">
        <v>190</v>
      </c>
      <c r="N1947">
        <v>52</v>
      </c>
      <c r="O1947">
        <v>324</v>
      </c>
      <c r="P1947">
        <v>283</v>
      </c>
      <c r="Q1947">
        <v>324</v>
      </c>
      <c r="S1947">
        <v>0</v>
      </c>
      <c r="T1947">
        <v>0</v>
      </c>
      <c r="U1947">
        <f>+SUM(Table1[[#This Row],[Latinos]:[Cemex]])</f>
        <v>1</v>
      </c>
      <c r="V1947" t="str">
        <f>+Table1[[#This Row],[id_destino]]&amp;" - "&amp;Table1[[#This Row],[id_origen]]</f>
        <v>190 - 52</v>
      </c>
    </row>
    <row r="1948" spans="1:22" hidden="1">
      <c r="A1948">
        <v>3318</v>
      </c>
      <c r="B1948">
        <v>3204</v>
      </c>
      <c r="C1948">
        <v>1522</v>
      </c>
      <c r="D1948">
        <v>7052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 t="s">
        <v>20</v>
      </c>
      <c r="L1948" s="1">
        <v>44827</v>
      </c>
      <c r="M1948">
        <v>190</v>
      </c>
      <c r="N1948">
        <v>52</v>
      </c>
      <c r="O1948">
        <v>0</v>
      </c>
      <c r="P1948">
        <v>150</v>
      </c>
      <c r="Q1948">
        <v>0</v>
      </c>
      <c r="S1948">
        <v>0</v>
      </c>
      <c r="T1948">
        <v>0</v>
      </c>
      <c r="U1948">
        <f>+SUM(Table1[[#This Row],[Latinos]:[Cemex]])</f>
        <v>1</v>
      </c>
      <c r="V1948" t="str">
        <f>+Table1[[#This Row],[id_destino]]&amp;" - "&amp;Table1[[#This Row],[id_origen]]</f>
        <v>190 - 52</v>
      </c>
    </row>
    <row r="1949" spans="1:22" hidden="1">
      <c r="A1949">
        <v>3641</v>
      </c>
      <c r="B1949">
        <v>4129</v>
      </c>
      <c r="C1949">
        <v>1522</v>
      </c>
      <c r="D1949">
        <v>6917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 t="s">
        <v>20</v>
      </c>
      <c r="L1949" s="1">
        <v>45012</v>
      </c>
      <c r="M1949">
        <v>212</v>
      </c>
      <c r="N1949">
        <v>52</v>
      </c>
      <c r="O1949">
        <v>1152</v>
      </c>
      <c r="P1949">
        <v>1110</v>
      </c>
      <c r="Q1949">
        <v>1152</v>
      </c>
      <c r="S1949">
        <v>1966</v>
      </c>
      <c r="T1949">
        <v>1461</v>
      </c>
      <c r="U1949">
        <f>+SUM(Table1[[#This Row],[Latinos]:[Cemex]])</f>
        <v>1</v>
      </c>
      <c r="V1949" t="str">
        <f>+Table1[[#This Row],[id_destino]]&amp;" - "&amp;Table1[[#This Row],[id_origen]]</f>
        <v>212 - 52</v>
      </c>
    </row>
    <row r="1950" spans="1:22" hidden="1">
      <c r="A1950">
        <v>3686</v>
      </c>
      <c r="B1950">
        <v>4129</v>
      </c>
      <c r="C1950">
        <v>1522</v>
      </c>
      <c r="D1950">
        <v>6917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 t="s">
        <v>20</v>
      </c>
      <c r="L1950" s="1">
        <v>45030</v>
      </c>
      <c r="M1950">
        <v>212</v>
      </c>
      <c r="N1950">
        <v>52</v>
      </c>
      <c r="O1950">
        <v>0</v>
      </c>
      <c r="P1950">
        <v>150</v>
      </c>
      <c r="Q1950">
        <v>0</v>
      </c>
      <c r="S1950">
        <v>0</v>
      </c>
      <c r="T1950">
        <v>0</v>
      </c>
      <c r="U1950">
        <f>+SUM(Table1[[#This Row],[Latinos]:[Cemex]])</f>
        <v>1</v>
      </c>
      <c r="V1950" t="str">
        <f>+Table1[[#This Row],[id_destino]]&amp;" - "&amp;Table1[[#This Row],[id_origen]]</f>
        <v>212 - 52</v>
      </c>
    </row>
    <row r="1951" spans="1:22" hidden="1">
      <c r="A1951">
        <v>3344</v>
      </c>
      <c r="B1951">
        <v>3923</v>
      </c>
      <c r="C1951">
        <v>1522</v>
      </c>
      <c r="D1951">
        <v>7065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0</v>
      </c>
      <c r="K1951" t="s">
        <v>20</v>
      </c>
      <c r="L1951" s="1">
        <v>44842</v>
      </c>
      <c r="M1951">
        <v>230</v>
      </c>
      <c r="N1951">
        <v>52</v>
      </c>
      <c r="O1951">
        <v>461</v>
      </c>
      <c r="P1951">
        <v>461</v>
      </c>
      <c r="Q1951">
        <v>461</v>
      </c>
      <c r="S1951">
        <v>0</v>
      </c>
      <c r="T1951">
        <v>0</v>
      </c>
      <c r="U1951">
        <f>+SUM(Table1[[#This Row],[Latinos]:[Cemex]])</f>
        <v>1</v>
      </c>
      <c r="V1951" t="str">
        <f>+Table1[[#This Row],[id_destino]]&amp;" - "&amp;Table1[[#This Row],[id_origen]]</f>
        <v>230 - 52</v>
      </c>
    </row>
    <row r="1952" spans="1:22" hidden="1">
      <c r="A1952">
        <v>3454</v>
      </c>
      <c r="B1952">
        <v>3923</v>
      </c>
      <c r="C1952">
        <v>1522</v>
      </c>
      <c r="D1952">
        <v>7065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 t="s">
        <v>20</v>
      </c>
      <c r="L1952" s="1">
        <v>44902</v>
      </c>
      <c r="M1952">
        <v>230</v>
      </c>
      <c r="N1952">
        <v>52</v>
      </c>
      <c r="O1952">
        <v>0</v>
      </c>
      <c r="P1952">
        <v>150</v>
      </c>
      <c r="Q1952">
        <v>0</v>
      </c>
      <c r="S1952">
        <v>0</v>
      </c>
      <c r="T1952">
        <v>0</v>
      </c>
      <c r="U1952">
        <f>+SUM(Table1[[#This Row],[Latinos]:[Cemex]])</f>
        <v>1</v>
      </c>
      <c r="V1952" t="str">
        <f>+Table1[[#This Row],[id_destino]]&amp;" - "&amp;Table1[[#This Row],[id_origen]]</f>
        <v>230 - 52</v>
      </c>
    </row>
    <row r="1953" spans="1:22" hidden="1">
      <c r="A1953">
        <v>1596</v>
      </c>
      <c r="B1953">
        <v>2830</v>
      </c>
      <c r="C1953">
        <v>1522</v>
      </c>
      <c r="D1953">
        <v>5834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 t="s">
        <v>20</v>
      </c>
      <c r="L1953" s="1">
        <v>43529</v>
      </c>
      <c r="M1953">
        <v>254</v>
      </c>
      <c r="N1953">
        <v>52</v>
      </c>
      <c r="O1953">
        <v>912</v>
      </c>
      <c r="P1953">
        <v>912</v>
      </c>
      <c r="Q1953">
        <v>912</v>
      </c>
      <c r="S1953">
        <v>1109</v>
      </c>
      <c r="T1953">
        <v>1109</v>
      </c>
      <c r="U1953">
        <f>+SUM(Table1[[#This Row],[Latinos]:[Cemex]])</f>
        <v>1</v>
      </c>
      <c r="V1953" t="str">
        <f>+Table1[[#This Row],[id_destino]]&amp;" - "&amp;Table1[[#This Row],[id_origen]]</f>
        <v>254 - 52</v>
      </c>
    </row>
    <row r="1954" spans="1:22" hidden="1">
      <c r="A1954">
        <v>1612</v>
      </c>
      <c r="B1954">
        <v>2830</v>
      </c>
      <c r="C1954">
        <v>1522</v>
      </c>
      <c r="D1954">
        <v>5834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  <c r="K1954" t="s">
        <v>20</v>
      </c>
      <c r="L1954" s="1">
        <v>43530</v>
      </c>
      <c r="M1954">
        <v>254</v>
      </c>
      <c r="N1954">
        <v>52</v>
      </c>
      <c r="O1954">
        <v>912</v>
      </c>
      <c r="P1954">
        <v>912</v>
      </c>
      <c r="Q1954">
        <v>0</v>
      </c>
      <c r="S1954">
        <v>0</v>
      </c>
      <c r="T1954">
        <v>0</v>
      </c>
      <c r="U1954">
        <f>+SUM(Table1[[#This Row],[Latinos]:[Cemex]])</f>
        <v>1</v>
      </c>
      <c r="V1954" t="str">
        <f>+Table1[[#This Row],[id_destino]]&amp;" - "&amp;Table1[[#This Row],[id_origen]]</f>
        <v>254 - 52</v>
      </c>
    </row>
    <row r="1955" spans="1:22" hidden="1">
      <c r="A1955">
        <v>986</v>
      </c>
      <c r="B1955">
        <v>2532</v>
      </c>
      <c r="C1955">
        <v>5116</v>
      </c>
      <c r="D1955">
        <v>5570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 t="s">
        <v>20</v>
      </c>
      <c r="L1955" s="1">
        <v>43945</v>
      </c>
      <c r="M1955">
        <v>260</v>
      </c>
      <c r="N1955">
        <v>52</v>
      </c>
      <c r="O1955">
        <v>1258</v>
      </c>
      <c r="P1955">
        <v>1234</v>
      </c>
      <c r="Q1955">
        <v>1258</v>
      </c>
      <c r="S1955">
        <v>4865</v>
      </c>
      <c r="T1955">
        <v>5393</v>
      </c>
      <c r="U1955">
        <f>+SUM(Table1[[#This Row],[Latinos]:[Cemex]])</f>
        <v>1</v>
      </c>
      <c r="V1955" t="str">
        <f>+Table1[[#This Row],[id_destino]]&amp;" - "&amp;Table1[[#This Row],[id_origen]]</f>
        <v>260 - 52</v>
      </c>
    </row>
    <row r="1956" spans="1:22" hidden="1">
      <c r="A1956">
        <v>4394</v>
      </c>
      <c r="B1956">
        <v>4626</v>
      </c>
      <c r="C1956">
        <v>5116</v>
      </c>
      <c r="D1956">
        <v>7026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 t="s">
        <v>20</v>
      </c>
      <c r="L1956" s="1">
        <v>45518</v>
      </c>
      <c r="M1956">
        <v>269</v>
      </c>
      <c r="N1956">
        <v>52</v>
      </c>
      <c r="O1956">
        <v>1019</v>
      </c>
      <c r="P1956">
        <v>987</v>
      </c>
      <c r="Q1956">
        <v>1019</v>
      </c>
      <c r="S1956">
        <v>1523</v>
      </c>
      <c r="T1956">
        <v>1523</v>
      </c>
      <c r="U1956">
        <f>+SUM(Table1[[#This Row],[Latinos]:[Cemex]])</f>
        <v>1</v>
      </c>
      <c r="V1956" t="str">
        <f>+Table1[[#This Row],[id_destino]]&amp;" - "&amp;Table1[[#This Row],[id_origen]]</f>
        <v>269 - 52</v>
      </c>
    </row>
    <row r="1957" spans="1:22" hidden="1">
      <c r="A1957">
        <v>1433</v>
      </c>
      <c r="B1957">
        <v>2746</v>
      </c>
      <c r="C1957">
        <v>5116</v>
      </c>
      <c r="D1957">
        <v>5763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 t="s">
        <v>20</v>
      </c>
      <c r="L1957" s="1">
        <v>43432</v>
      </c>
      <c r="M1957">
        <v>276</v>
      </c>
      <c r="N1957">
        <v>52</v>
      </c>
      <c r="O1957">
        <v>928</v>
      </c>
      <c r="P1957">
        <v>928</v>
      </c>
      <c r="Q1957">
        <v>928</v>
      </c>
      <c r="S1957">
        <v>988</v>
      </c>
      <c r="T1957">
        <v>988</v>
      </c>
      <c r="U1957">
        <f>+SUM(Table1[[#This Row],[Latinos]:[Cemex]])</f>
        <v>1</v>
      </c>
      <c r="V1957" t="str">
        <f>+Table1[[#This Row],[id_destino]]&amp;" - "&amp;Table1[[#This Row],[id_origen]]</f>
        <v>276 - 52</v>
      </c>
    </row>
    <row r="1958" spans="1:22" hidden="1">
      <c r="A1958">
        <v>953</v>
      </c>
      <c r="B1958">
        <v>2522</v>
      </c>
      <c r="C1958">
        <v>3671</v>
      </c>
      <c r="D1958">
        <v>5559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 t="s">
        <v>20</v>
      </c>
      <c r="L1958" s="1">
        <v>43227</v>
      </c>
      <c r="M1958">
        <v>280</v>
      </c>
      <c r="N1958">
        <v>52</v>
      </c>
      <c r="O1958">
        <v>874</v>
      </c>
      <c r="P1958">
        <v>854</v>
      </c>
      <c r="Q1958">
        <v>874</v>
      </c>
      <c r="S1958">
        <v>885</v>
      </c>
      <c r="T1958">
        <v>885</v>
      </c>
      <c r="U1958">
        <f>+SUM(Table1[[#This Row],[Latinos]:[Cemex]])</f>
        <v>1</v>
      </c>
      <c r="V1958" t="str">
        <f>+Table1[[#This Row],[id_destino]]&amp;" - "&amp;Table1[[#This Row],[id_origen]]</f>
        <v>280 - 52</v>
      </c>
    </row>
    <row r="1959" spans="1:22" hidden="1">
      <c r="A1959">
        <v>954</v>
      </c>
      <c r="B1959">
        <v>2522</v>
      </c>
      <c r="C1959">
        <v>3671</v>
      </c>
      <c r="D1959">
        <v>5559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 t="s">
        <v>20</v>
      </c>
      <c r="L1959" s="1">
        <v>43227</v>
      </c>
      <c r="M1959">
        <v>280</v>
      </c>
      <c r="N1959">
        <v>52</v>
      </c>
      <c r="O1959">
        <v>874</v>
      </c>
      <c r="P1959">
        <v>854</v>
      </c>
      <c r="Q1959">
        <v>0</v>
      </c>
      <c r="S1959">
        <v>0</v>
      </c>
      <c r="T1959">
        <v>0</v>
      </c>
      <c r="U1959">
        <f>+SUM(Table1[[#This Row],[Latinos]:[Cemex]])</f>
        <v>1</v>
      </c>
      <c r="V1959" t="str">
        <f>+Table1[[#This Row],[id_destino]]&amp;" - "&amp;Table1[[#This Row],[id_origen]]</f>
        <v>280 - 52</v>
      </c>
    </row>
    <row r="1960" spans="1:22" hidden="1">
      <c r="A1960">
        <v>3399</v>
      </c>
      <c r="B1960">
        <v>3959</v>
      </c>
      <c r="C1960">
        <v>1522</v>
      </c>
      <c r="D1960">
        <v>6953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 t="s">
        <v>20</v>
      </c>
      <c r="L1960" s="1">
        <v>44870</v>
      </c>
      <c r="M1960">
        <v>286</v>
      </c>
      <c r="N1960">
        <v>52</v>
      </c>
      <c r="O1960">
        <v>1086</v>
      </c>
      <c r="P1960">
        <v>1065</v>
      </c>
      <c r="Q1960">
        <v>1086</v>
      </c>
      <c r="S1960">
        <v>1116</v>
      </c>
      <c r="T1960">
        <v>1299</v>
      </c>
      <c r="U1960">
        <f>+SUM(Table1[[#This Row],[Latinos]:[Cemex]])</f>
        <v>1</v>
      </c>
      <c r="V1960" t="str">
        <f>+Table1[[#This Row],[id_destino]]&amp;" - "&amp;Table1[[#This Row],[id_origen]]</f>
        <v>286 - 52</v>
      </c>
    </row>
    <row r="1961" spans="1:22" hidden="1">
      <c r="A1961">
        <v>2984</v>
      </c>
      <c r="B1961">
        <v>3702</v>
      </c>
      <c r="C1961">
        <v>1522</v>
      </c>
      <c r="D1961">
        <v>6856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 t="s">
        <v>20</v>
      </c>
      <c r="L1961" s="1">
        <v>44670</v>
      </c>
      <c r="M1961">
        <v>316</v>
      </c>
      <c r="N1961">
        <v>52</v>
      </c>
      <c r="O1961">
        <v>822</v>
      </c>
      <c r="P1961">
        <v>780</v>
      </c>
      <c r="Q1961">
        <v>822</v>
      </c>
      <c r="S1961">
        <v>1690</v>
      </c>
      <c r="T1961">
        <v>1709</v>
      </c>
      <c r="U1961">
        <f>+SUM(Table1[[#This Row],[Latinos]:[Cemex]])</f>
        <v>1</v>
      </c>
      <c r="V1961" t="str">
        <f>+Table1[[#This Row],[id_destino]]&amp;" - "&amp;Table1[[#This Row],[id_origen]]</f>
        <v>316 - 52</v>
      </c>
    </row>
    <row r="1962" spans="1:22" hidden="1">
      <c r="A1962">
        <v>3600</v>
      </c>
      <c r="B1962">
        <v>3702</v>
      </c>
      <c r="C1962">
        <v>1522</v>
      </c>
      <c r="D1962">
        <v>6856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 t="s">
        <v>20</v>
      </c>
      <c r="L1962" s="1">
        <v>44978</v>
      </c>
      <c r="M1962">
        <v>316</v>
      </c>
      <c r="N1962">
        <v>52</v>
      </c>
      <c r="O1962">
        <v>0</v>
      </c>
      <c r="P1962">
        <v>150</v>
      </c>
      <c r="Q1962">
        <v>0</v>
      </c>
      <c r="S1962">
        <v>0</v>
      </c>
      <c r="T1962">
        <v>0</v>
      </c>
      <c r="U1962">
        <f>+SUM(Table1[[#This Row],[Latinos]:[Cemex]])</f>
        <v>1</v>
      </c>
      <c r="V1962" t="str">
        <f>+Table1[[#This Row],[id_destino]]&amp;" - "&amp;Table1[[#This Row],[id_origen]]</f>
        <v>316 - 52</v>
      </c>
    </row>
    <row r="1963" spans="1:22" hidden="1">
      <c r="A1963">
        <v>887</v>
      </c>
      <c r="B1963">
        <v>2494</v>
      </c>
      <c r="C1963">
        <v>3431</v>
      </c>
      <c r="D1963">
        <v>5204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 t="s">
        <v>20</v>
      </c>
      <c r="L1963" s="1">
        <v>43204</v>
      </c>
      <c r="M1963">
        <v>318</v>
      </c>
      <c r="N1963">
        <v>52</v>
      </c>
      <c r="O1963">
        <v>878</v>
      </c>
      <c r="P1963">
        <v>867</v>
      </c>
      <c r="Q1963">
        <v>878</v>
      </c>
      <c r="S1963">
        <v>941</v>
      </c>
      <c r="T1963">
        <v>941</v>
      </c>
      <c r="U1963">
        <f>+SUM(Table1[[#This Row],[Latinos]:[Cemex]])</f>
        <v>1</v>
      </c>
      <c r="V1963" t="str">
        <f>+Table1[[#This Row],[id_destino]]&amp;" - "&amp;Table1[[#This Row],[id_origen]]</f>
        <v>318 - 52</v>
      </c>
    </row>
    <row r="1964" spans="1:22" hidden="1">
      <c r="A1964">
        <v>3635</v>
      </c>
      <c r="B1964">
        <v>4125</v>
      </c>
      <c r="C1964">
        <v>1522</v>
      </c>
      <c r="D1964">
        <v>7079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 t="s">
        <v>20</v>
      </c>
      <c r="L1964" s="1">
        <v>45008</v>
      </c>
      <c r="M1964">
        <v>329</v>
      </c>
      <c r="N1964">
        <v>52</v>
      </c>
      <c r="O1964">
        <v>1527</v>
      </c>
      <c r="P1964">
        <v>1508</v>
      </c>
      <c r="Q1964">
        <v>1527</v>
      </c>
      <c r="S1964">
        <v>1838</v>
      </c>
      <c r="T1964">
        <v>2205</v>
      </c>
      <c r="U1964">
        <f>+SUM(Table1[[#This Row],[Latinos]:[Cemex]])</f>
        <v>1</v>
      </c>
      <c r="V1964" t="str">
        <f>+Table1[[#This Row],[id_destino]]&amp;" - "&amp;Table1[[#This Row],[id_origen]]</f>
        <v>329 - 52</v>
      </c>
    </row>
    <row r="1965" spans="1:22" hidden="1">
      <c r="A1965">
        <v>3636</v>
      </c>
      <c r="B1965">
        <v>4125</v>
      </c>
      <c r="C1965">
        <v>1522</v>
      </c>
      <c r="D1965">
        <v>7079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  <c r="K1965" t="s">
        <v>20</v>
      </c>
      <c r="L1965" s="1">
        <v>45008</v>
      </c>
      <c r="M1965">
        <v>329</v>
      </c>
      <c r="N1965">
        <v>52</v>
      </c>
      <c r="O1965">
        <v>0</v>
      </c>
      <c r="P1965">
        <v>150</v>
      </c>
      <c r="Q1965">
        <v>0</v>
      </c>
      <c r="S1965">
        <v>0</v>
      </c>
      <c r="T1965">
        <v>0</v>
      </c>
      <c r="U1965">
        <f>+SUM(Table1[[#This Row],[Latinos]:[Cemex]])</f>
        <v>1</v>
      </c>
      <c r="V1965" t="str">
        <f>+Table1[[#This Row],[id_destino]]&amp;" - "&amp;Table1[[#This Row],[id_origen]]</f>
        <v>329 - 52</v>
      </c>
    </row>
    <row r="1966" spans="1:22" hidden="1">
      <c r="A1966">
        <v>1392</v>
      </c>
      <c r="B1966">
        <v>2719</v>
      </c>
      <c r="C1966">
        <v>5116</v>
      </c>
      <c r="D1966">
        <v>5746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 t="s">
        <v>20</v>
      </c>
      <c r="L1966" s="1">
        <v>43416</v>
      </c>
      <c r="M1966">
        <v>343</v>
      </c>
      <c r="N1966">
        <v>52</v>
      </c>
      <c r="O1966">
        <v>30</v>
      </c>
      <c r="P1966">
        <v>150</v>
      </c>
      <c r="Q1966">
        <v>30</v>
      </c>
      <c r="S1966">
        <v>0</v>
      </c>
      <c r="T1966">
        <v>0</v>
      </c>
      <c r="U1966">
        <f>+SUM(Table1[[#This Row],[Latinos]:[Cemex]])</f>
        <v>1</v>
      </c>
      <c r="V1966" t="str">
        <f>+Table1[[#This Row],[id_destino]]&amp;" - "&amp;Table1[[#This Row],[id_origen]]</f>
        <v>343 - 52</v>
      </c>
    </row>
    <row r="1967" spans="1:22" hidden="1">
      <c r="A1967">
        <v>1089</v>
      </c>
      <c r="B1967">
        <v>2580</v>
      </c>
      <c r="C1967">
        <v>4312</v>
      </c>
      <c r="D1967">
        <v>5378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 t="s">
        <v>20</v>
      </c>
      <c r="L1967" s="1">
        <v>43945</v>
      </c>
      <c r="M1967">
        <v>345</v>
      </c>
      <c r="N1967">
        <v>52</v>
      </c>
      <c r="O1967">
        <v>927</v>
      </c>
      <c r="P1967">
        <v>920</v>
      </c>
      <c r="Q1967">
        <v>927</v>
      </c>
      <c r="S1967">
        <v>880</v>
      </c>
      <c r="T1967">
        <v>880</v>
      </c>
      <c r="U1967">
        <f>+SUM(Table1[[#This Row],[Latinos]:[Cemex]])</f>
        <v>1</v>
      </c>
      <c r="V1967" t="str">
        <f>+Table1[[#This Row],[id_destino]]&amp;" - "&amp;Table1[[#This Row],[id_origen]]</f>
        <v>345 - 52</v>
      </c>
    </row>
    <row r="1968" spans="1:22" hidden="1">
      <c r="A1968">
        <v>1917</v>
      </c>
      <c r="B1968">
        <v>2580</v>
      </c>
      <c r="C1968">
        <v>3431</v>
      </c>
      <c r="D1968">
        <v>5378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 t="s">
        <v>20</v>
      </c>
      <c r="L1968" s="1">
        <v>43945</v>
      </c>
      <c r="M1968">
        <v>345</v>
      </c>
      <c r="N1968">
        <v>52</v>
      </c>
      <c r="O1968">
        <v>961</v>
      </c>
      <c r="P1968">
        <v>896</v>
      </c>
      <c r="Q1968">
        <v>961</v>
      </c>
      <c r="S1968">
        <v>982</v>
      </c>
      <c r="T1968">
        <v>982</v>
      </c>
      <c r="U1968">
        <f>+SUM(Table1[[#This Row],[Latinos]:[Cemex]])</f>
        <v>1</v>
      </c>
      <c r="V1968" t="str">
        <f>+Table1[[#This Row],[id_destino]]&amp;" - "&amp;Table1[[#This Row],[id_origen]]</f>
        <v>345 - 52</v>
      </c>
    </row>
    <row r="1969" spans="1:22" hidden="1">
      <c r="A1969">
        <v>4482</v>
      </c>
      <c r="B1969">
        <v>4692</v>
      </c>
      <c r="C1969">
        <v>239</v>
      </c>
      <c r="D1969">
        <v>7954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 t="s">
        <v>20</v>
      </c>
      <c r="L1969" s="1">
        <v>45579</v>
      </c>
      <c r="M1969">
        <v>377</v>
      </c>
      <c r="N1969">
        <v>52</v>
      </c>
      <c r="O1969">
        <v>1065</v>
      </c>
      <c r="P1969">
        <v>917</v>
      </c>
      <c r="Q1969">
        <v>1065</v>
      </c>
      <c r="S1969">
        <v>2048</v>
      </c>
      <c r="T1969">
        <v>2048</v>
      </c>
      <c r="U1969">
        <f>+SUM(Table1[[#This Row],[Latinos]:[Cemex]])</f>
        <v>1</v>
      </c>
      <c r="V1969" t="str">
        <f>+Table1[[#This Row],[id_destino]]&amp;" - "&amp;Table1[[#This Row],[id_origen]]</f>
        <v>377 - 52</v>
      </c>
    </row>
    <row r="1970" spans="1:22" hidden="1">
      <c r="A1970">
        <v>3014</v>
      </c>
      <c r="B1970">
        <v>3322</v>
      </c>
      <c r="C1970">
        <v>1522</v>
      </c>
      <c r="D1970">
        <v>6839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 t="s">
        <v>20</v>
      </c>
      <c r="L1970" s="1">
        <v>44688</v>
      </c>
      <c r="M1970">
        <v>379</v>
      </c>
      <c r="N1970">
        <v>52</v>
      </c>
      <c r="O1970">
        <v>65</v>
      </c>
      <c r="P1970">
        <v>150</v>
      </c>
      <c r="Q1970">
        <v>65</v>
      </c>
      <c r="S1970">
        <v>0</v>
      </c>
      <c r="T1970">
        <v>0</v>
      </c>
      <c r="U1970">
        <f>+SUM(Table1[[#This Row],[Latinos]:[Cemex]])</f>
        <v>1</v>
      </c>
      <c r="V1970" t="str">
        <f>+Table1[[#This Row],[id_destino]]&amp;" - "&amp;Table1[[#This Row],[id_origen]]</f>
        <v>379 - 52</v>
      </c>
    </row>
    <row r="1971" spans="1:22" hidden="1">
      <c r="A1971">
        <v>3057</v>
      </c>
      <c r="B1971">
        <v>1489</v>
      </c>
      <c r="C1971">
        <v>1522</v>
      </c>
      <c r="D1971">
        <v>6887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 t="s">
        <v>20</v>
      </c>
      <c r="L1971" s="1">
        <v>44708</v>
      </c>
      <c r="M1971">
        <v>384</v>
      </c>
      <c r="N1971">
        <v>52</v>
      </c>
      <c r="O1971">
        <v>716</v>
      </c>
      <c r="P1971">
        <v>705</v>
      </c>
      <c r="Q1971">
        <v>716</v>
      </c>
      <c r="S1971">
        <v>678</v>
      </c>
      <c r="T1971">
        <v>678</v>
      </c>
      <c r="U1971">
        <f>+SUM(Table1[[#This Row],[Latinos]:[Cemex]])</f>
        <v>1</v>
      </c>
      <c r="V1971" t="str">
        <f>+Table1[[#This Row],[id_destino]]&amp;" - "&amp;Table1[[#This Row],[id_origen]]</f>
        <v>384 - 52</v>
      </c>
    </row>
    <row r="1972" spans="1:22" hidden="1">
      <c r="A1972">
        <v>3222</v>
      </c>
      <c r="B1972">
        <v>1489</v>
      </c>
      <c r="C1972">
        <v>1522</v>
      </c>
      <c r="D1972">
        <v>6887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 t="s">
        <v>20</v>
      </c>
      <c r="L1972" s="1">
        <v>44777</v>
      </c>
      <c r="M1972">
        <v>384</v>
      </c>
      <c r="N1972">
        <v>52</v>
      </c>
      <c r="O1972">
        <v>0</v>
      </c>
      <c r="P1972">
        <v>150</v>
      </c>
      <c r="Q1972">
        <v>0</v>
      </c>
      <c r="S1972">
        <v>0</v>
      </c>
      <c r="T1972">
        <v>0</v>
      </c>
      <c r="U1972">
        <f>+SUM(Table1[[#This Row],[Latinos]:[Cemex]])</f>
        <v>1</v>
      </c>
      <c r="V1972" t="str">
        <f>+Table1[[#This Row],[id_destino]]&amp;" - "&amp;Table1[[#This Row],[id_origen]]</f>
        <v>384 - 52</v>
      </c>
    </row>
    <row r="1973" spans="1:22" hidden="1">
      <c r="A1973">
        <v>2413</v>
      </c>
      <c r="B1973">
        <v>3328</v>
      </c>
      <c r="C1973">
        <v>6378</v>
      </c>
      <c r="D1973">
        <v>1943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 t="s">
        <v>20</v>
      </c>
      <c r="L1973" s="1">
        <v>44054</v>
      </c>
      <c r="M1973">
        <v>393</v>
      </c>
      <c r="N1973">
        <v>52</v>
      </c>
      <c r="O1973">
        <v>100</v>
      </c>
      <c r="P1973">
        <v>100</v>
      </c>
      <c r="Q1973">
        <v>100</v>
      </c>
      <c r="S1973">
        <v>0</v>
      </c>
      <c r="T1973">
        <v>0</v>
      </c>
      <c r="U1973">
        <f>+SUM(Table1[[#This Row],[Latinos]:[Cemex]])</f>
        <v>1</v>
      </c>
      <c r="V1973" t="str">
        <f>+Table1[[#This Row],[id_destino]]&amp;" - "&amp;Table1[[#This Row],[id_origen]]</f>
        <v>393 - 52</v>
      </c>
    </row>
    <row r="1974" spans="1:22" hidden="1">
      <c r="A1974">
        <v>2888</v>
      </c>
      <c r="B1974">
        <v>3635</v>
      </c>
      <c r="C1974">
        <v>1522</v>
      </c>
      <c r="D1974">
        <v>6743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 t="s">
        <v>20</v>
      </c>
      <c r="L1974" s="1">
        <v>44605</v>
      </c>
      <c r="M1974">
        <v>425</v>
      </c>
      <c r="N1974">
        <v>52</v>
      </c>
      <c r="O1974">
        <v>913</v>
      </c>
      <c r="P1974">
        <v>911</v>
      </c>
      <c r="Q1974">
        <v>913</v>
      </c>
      <c r="S1974">
        <v>1724</v>
      </c>
      <c r="T1974">
        <v>1724</v>
      </c>
      <c r="U1974">
        <f>+SUM(Table1[[#This Row],[Latinos]:[Cemex]])</f>
        <v>1</v>
      </c>
      <c r="V1974" t="str">
        <f>+Table1[[#This Row],[id_destino]]&amp;" - "&amp;Table1[[#This Row],[id_origen]]</f>
        <v>425 - 52</v>
      </c>
    </row>
    <row r="1975" spans="1:22" hidden="1">
      <c r="A1975">
        <v>3250</v>
      </c>
      <c r="B1975">
        <v>3635</v>
      </c>
      <c r="C1975">
        <v>1522</v>
      </c>
      <c r="D1975">
        <v>6743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 t="s">
        <v>20</v>
      </c>
      <c r="L1975" s="1">
        <v>44796</v>
      </c>
      <c r="M1975">
        <v>425</v>
      </c>
      <c r="N1975">
        <v>52</v>
      </c>
      <c r="O1975">
        <v>0</v>
      </c>
      <c r="P1975">
        <v>150</v>
      </c>
      <c r="Q1975">
        <v>0</v>
      </c>
      <c r="S1975">
        <v>0</v>
      </c>
      <c r="T1975">
        <v>0</v>
      </c>
      <c r="U1975">
        <f>+SUM(Table1[[#This Row],[Latinos]:[Cemex]])</f>
        <v>1</v>
      </c>
      <c r="V1975" t="str">
        <f>+Table1[[#This Row],[id_destino]]&amp;" - "&amp;Table1[[#This Row],[id_origen]]</f>
        <v>425 - 52</v>
      </c>
    </row>
    <row r="1976" spans="1:22" hidden="1">
      <c r="A1976">
        <v>4828</v>
      </c>
      <c r="B1976">
        <v>4936</v>
      </c>
      <c r="C1976">
        <v>5381</v>
      </c>
      <c r="D1976">
        <v>8280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 t="s">
        <v>20</v>
      </c>
      <c r="L1976" s="1">
        <v>45869</v>
      </c>
      <c r="M1976">
        <v>466</v>
      </c>
      <c r="N1976">
        <v>52</v>
      </c>
      <c r="O1976">
        <v>1174</v>
      </c>
      <c r="P1976">
        <v>1170</v>
      </c>
      <c r="Q1976">
        <v>1174</v>
      </c>
      <c r="S1976">
        <v>3467</v>
      </c>
      <c r="T1976">
        <v>3467</v>
      </c>
      <c r="U1976">
        <f>+SUM(Table1[[#This Row],[Latinos]:[Cemex]])</f>
        <v>1</v>
      </c>
      <c r="V1976" t="str">
        <f>+Table1[[#This Row],[id_destino]]&amp;" - "&amp;Table1[[#This Row],[id_origen]]</f>
        <v>466 - 52</v>
      </c>
    </row>
    <row r="1977" spans="1:22" hidden="1">
      <c r="A1977">
        <v>3630</v>
      </c>
      <c r="B1977">
        <v>4121</v>
      </c>
      <c r="C1977">
        <v>1522</v>
      </c>
      <c r="D1977">
        <v>6906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 t="s">
        <v>20</v>
      </c>
      <c r="L1977" s="1">
        <v>45006</v>
      </c>
      <c r="M1977">
        <v>492</v>
      </c>
      <c r="N1977">
        <v>52</v>
      </c>
      <c r="O1977">
        <v>1203</v>
      </c>
      <c r="P1977">
        <v>1175</v>
      </c>
      <c r="Q1977">
        <v>1203</v>
      </c>
      <c r="S1977">
        <v>2113</v>
      </c>
      <c r="T1977">
        <v>2137</v>
      </c>
      <c r="U1977">
        <f>+SUM(Table1[[#This Row],[Latinos]:[Cemex]])</f>
        <v>1</v>
      </c>
      <c r="V1977" t="str">
        <f>+Table1[[#This Row],[id_destino]]&amp;" - "&amp;Table1[[#This Row],[id_origen]]</f>
        <v>492 - 52</v>
      </c>
    </row>
    <row r="1978" spans="1:22" hidden="1">
      <c r="A1978">
        <v>3631</v>
      </c>
      <c r="B1978">
        <v>4121</v>
      </c>
      <c r="C1978">
        <v>1522</v>
      </c>
      <c r="D1978">
        <v>6906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 t="s">
        <v>20</v>
      </c>
      <c r="L1978" s="1">
        <v>45006</v>
      </c>
      <c r="M1978">
        <v>492</v>
      </c>
      <c r="N1978">
        <v>52</v>
      </c>
      <c r="O1978">
        <v>0</v>
      </c>
      <c r="P1978">
        <v>150</v>
      </c>
      <c r="Q1978">
        <v>0</v>
      </c>
      <c r="S1978">
        <v>0</v>
      </c>
      <c r="T1978">
        <v>0</v>
      </c>
      <c r="U1978">
        <f>+SUM(Table1[[#This Row],[Latinos]:[Cemex]])</f>
        <v>1</v>
      </c>
      <c r="V1978" t="str">
        <f>+Table1[[#This Row],[id_destino]]&amp;" - "&amp;Table1[[#This Row],[id_origen]]</f>
        <v>492 - 52</v>
      </c>
    </row>
    <row r="1979" spans="1:22" hidden="1">
      <c r="A1979">
        <v>3157</v>
      </c>
      <c r="B1979">
        <v>3807</v>
      </c>
      <c r="C1979">
        <v>1522</v>
      </c>
      <c r="D1979">
        <v>6954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0</v>
      </c>
      <c r="K1979" t="s">
        <v>20</v>
      </c>
      <c r="L1979" s="1">
        <v>44747</v>
      </c>
      <c r="M1979">
        <v>497</v>
      </c>
      <c r="N1979">
        <v>52</v>
      </c>
      <c r="O1979">
        <v>808</v>
      </c>
      <c r="P1979">
        <v>804</v>
      </c>
      <c r="Q1979">
        <v>808</v>
      </c>
      <c r="S1979">
        <v>929</v>
      </c>
      <c r="T1979">
        <v>929</v>
      </c>
      <c r="U1979">
        <f>+SUM(Table1[[#This Row],[Latinos]:[Cemex]])</f>
        <v>1</v>
      </c>
      <c r="V1979" t="str">
        <f>+Table1[[#This Row],[id_destino]]&amp;" - "&amp;Table1[[#This Row],[id_origen]]</f>
        <v>497 - 52</v>
      </c>
    </row>
    <row r="1980" spans="1:22" hidden="1">
      <c r="A1980">
        <v>3247</v>
      </c>
      <c r="B1980">
        <v>3807</v>
      </c>
      <c r="C1980">
        <v>1522</v>
      </c>
      <c r="D1980">
        <v>6954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 t="s">
        <v>20</v>
      </c>
      <c r="L1980" s="1">
        <v>44796</v>
      </c>
      <c r="M1980">
        <v>497</v>
      </c>
      <c r="N1980">
        <v>52</v>
      </c>
      <c r="O1980">
        <v>0</v>
      </c>
      <c r="P1980">
        <v>150</v>
      </c>
      <c r="Q1980">
        <v>0</v>
      </c>
      <c r="S1980">
        <v>0</v>
      </c>
      <c r="T1980">
        <v>0</v>
      </c>
      <c r="U1980">
        <f>+SUM(Table1[[#This Row],[Latinos]:[Cemex]])</f>
        <v>1</v>
      </c>
      <c r="V1980" t="str">
        <f>+Table1[[#This Row],[id_destino]]&amp;" - "&amp;Table1[[#This Row],[id_origen]]</f>
        <v>497 - 52</v>
      </c>
    </row>
    <row r="1981" spans="1:22" hidden="1">
      <c r="A1981">
        <v>3125</v>
      </c>
      <c r="B1981">
        <v>3789</v>
      </c>
      <c r="C1981">
        <v>1522</v>
      </c>
      <c r="D1981">
        <v>6947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 t="s">
        <v>20</v>
      </c>
      <c r="L1981" s="1">
        <v>44773</v>
      </c>
      <c r="M1981">
        <v>513</v>
      </c>
      <c r="N1981">
        <v>52</v>
      </c>
      <c r="O1981">
        <v>1266</v>
      </c>
      <c r="P1981">
        <v>1266</v>
      </c>
      <c r="Q1981">
        <v>1266</v>
      </c>
      <c r="S1981">
        <v>2159</v>
      </c>
      <c r="T1981">
        <v>2159</v>
      </c>
      <c r="U1981">
        <f>+SUM(Table1[[#This Row],[Latinos]:[Cemex]])</f>
        <v>1</v>
      </c>
      <c r="V1981" t="str">
        <f>+Table1[[#This Row],[id_destino]]&amp;" - "&amp;Table1[[#This Row],[id_origen]]</f>
        <v>513 - 52</v>
      </c>
    </row>
    <row r="1982" spans="1:22" hidden="1">
      <c r="A1982">
        <v>2997</v>
      </c>
      <c r="B1982">
        <v>3711</v>
      </c>
      <c r="C1982">
        <v>1522</v>
      </c>
      <c r="D1982">
        <v>6744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 t="s">
        <v>20</v>
      </c>
      <c r="L1982" s="1">
        <v>44677</v>
      </c>
      <c r="M1982">
        <v>517</v>
      </c>
      <c r="N1982">
        <v>52</v>
      </c>
      <c r="O1982">
        <v>919</v>
      </c>
      <c r="P1982">
        <v>911</v>
      </c>
      <c r="Q1982">
        <v>919</v>
      </c>
      <c r="S1982">
        <v>1724</v>
      </c>
      <c r="T1982">
        <v>1724</v>
      </c>
      <c r="U1982">
        <f>+SUM(Table1[[#This Row],[Latinos]:[Cemex]])</f>
        <v>1</v>
      </c>
      <c r="V1982" t="str">
        <f>+Table1[[#This Row],[id_destino]]&amp;" - "&amp;Table1[[#This Row],[id_origen]]</f>
        <v>517 - 52</v>
      </c>
    </row>
    <row r="1983" spans="1:22" hidden="1">
      <c r="A1983">
        <v>3248</v>
      </c>
      <c r="B1983">
        <v>3711</v>
      </c>
      <c r="C1983">
        <v>1522</v>
      </c>
      <c r="D1983">
        <v>6744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  <c r="K1983" t="s">
        <v>20</v>
      </c>
      <c r="L1983" s="1">
        <v>44796</v>
      </c>
      <c r="M1983">
        <v>517</v>
      </c>
      <c r="N1983">
        <v>52</v>
      </c>
      <c r="O1983">
        <v>0</v>
      </c>
      <c r="P1983">
        <v>150</v>
      </c>
      <c r="Q1983">
        <v>0</v>
      </c>
      <c r="S1983">
        <v>0</v>
      </c>
      <c r="T1983">
        <v>0</v>
      </c>
      <c r="U1983">
        <f>+SUM(Table1[[#This Row],[Latinos]:[Cemex]])</f>
        <v>1</v>
      </c>
      <c r="V1983" t="str">
        <f>+Table1[[#This Row],[id_destino]]&amp;" - "&amp;Table1[[#This Row],[id_origen]]</f>
        <v>517 - 52</v>
      </c>
    </row>
    <row r="1984" spans="1:22" hidden="1">
      <c r="A1984">
        <v>2992</v>
      </c>
      <c r="B1984">
        <v>3707</v>
      </c>
      <c r="C1984">
        <v>1522</v>
      </c>
      <c r="D1984">
        <v>6745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 t="s">
        <v>20</v>
      </c>
      <c r="L1984" s="1">
        <v>44752</v>
      </c>
      <c r="M1984">
        <v>525</v>
      </c>
      <c r="N1984">
        <v>52</v>
      </c>
      <c r="O1984">
        <v>854</v>
      </c>
      <c r="P1984">
        <v>911</v>
      </c>
      <c r="Q1984">
        <v>854</v>
      </c>
      <c r="S1984">
        <v>1724</v>
      </c>
      <c r="T1984">
        <v>1724</v>
      </c>
      <c r="U1984">
        <f>+SUM(Table1[[#This Row],[Latinos]:[Cemex]])</f>
        <v>1</v>
      </c>
      <c r="V1984" t="str">
        <f>+Table1[[#This Row],[id_destino]]&amp;" - "&amp;Table1[[#This Row],[id_origen]]</f>
        <v>525 - 52</v>
      </c>
    </row>
    <row r="1985" spans="1:22" hidden="1">
      <c r="A1985">
        <v>3839</v>
      </c>
      <c r="B1985">
        <v>3707</v>
      </c>
      <c r="C1985">
        <v>1522</v>
      </c>
      <c r="D1985">
        <v>6745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 t="s">
        <v>20</v>
      </c>
      <c r="L1985" s="1">
        <v>45135</v>
      </c>
      <c r="M1985">
        <v>525</v>
      </c>
      <c r="N1985">
        <v>52</v>
      </c>
      <c r="O1985">
        <v>0</v>
      </c>
      <c r="P1985">
        <v>150</v>
      </c>
      <c r="Q1985">
        <v>0</v>
      </c>
      <c r="S1985">
        <v>0</v>
      </c>
      <c r="T1985">
        <v>0</v>
      </c>
      <c r="U1985">
        <f>+SUM(Table1[[#This Row],[Latinos]:[Cemex]])</f>
        <v>1</v>
      </c>
      <c r="V1985" t="str">
        <f>+Table1[[#This Row],[id_destino]]&amp;" - "&amp;Table1[[#This Row],[id_origen]]</f>
        <v>525 - 52</v>
      </c>
    </row>
    <row r="1986" spans="1:22" hidden="1">
      <c r="A1986">
        <v>4579</v>
      </c>
      <c r="B1986">
        <v>4772</v>
      </c>
      <c r="C1986">
        <v>3431</v>
      </c>
      <c r="D1986">
        <v>7592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 t="s">
        <v>20</v>
      </c>
      <c r="L1986" s="1">
        <v>45630</v>
      </c>
      <c r="M1986">
        <v>535</v>
      </c>
      <c r="N1986">
        <v>52</v>
      </c>
      <c r="O1986">
        <v>129</v>
      </c>
      <c r="P1986">
        <v>150</v>
      </c>
      <c r="Q1986">
        <v>129</v>
      </c>
      <c r="S1986">
        <v>0</v>
      </c>
      <c r="T1986">
        <v>0</v>
      </c>
      <c r="U1986">
        <f>+SUM(Table1[[#This Row],[Latinos]:[Cemex]])</f>
        <v>1</v>
      </c>
      <c r="V1986" t="str">
        <f>+Table1[[#This Row],[id_destino]]&amp;" - "&amp;Table1[[#This Row],[id_origen]]</f>
        <v>535 - 52</v>
      </c>
    </row>
    <row r="1987" spans="1:22" hidden="1">
      <c r="A1987">
        <v>3208</v>
      </c>
      <c r="B1987">
        <v>3837</v>
      </c>
      <c r="C1987">
        <v>1522</v>
      </c>
      <c r="D1987">
        <v>6884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 t="s">
        <v>20</v>
      </c>
      <c r="L1987" s="1">
        <v>44769</v>
      </c>
      <c r="M1987">
        <v>550</v>
      </c>
      <c r="N1987">
        <v>52</v>
      </c>
      <c r="O1987">
        <v>582</v>
      </c>
      <c r="P1987">
        <v>508</v>
      </c>
      <c r="Q1987">
        <v>582</v>
      </c>
      <c r="S1987">
        <v>346</v>
      </c>
      <c r="T1987">
        <v>346</v>
      </c>
      <c r="U1987">
        <f>+SUM(Table1[[#This Row],[Latinos]:[Cemex]])</f>
        <v>1</v>
      </c>
      <c r="V1987" t="str">
        <f>+Table1[[#This Row],[id_destino]]&amp;" - "&amp;Table1[[#This Row],[id_origen]]</f>
        <v>550 - 52</v>
      </c>
    </row>
    <row r="1988" spans="1:22" hidden="1">
      <c r="A1988">
        <v>3280</v>
      </c>
      <c r="B1988">
        <v>3837</v>
      </c>
      <c r="C1988">
        <v>1522</v>
      </c>
      <c r="D1988">
        <v>6884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 t="s">
        <v>20</v>
      </c>
      <c r="L1988" s="1">
        <v>44802</v>
      </c>
      <c r="M1988">
        <v>550</v>
      </c>
      <c r="N1988">
        <v>52</v>
      </c>
      <c r="O1988">
        <v>0</v>
      </c>
      <c r="P1988">
        <v>150</v>
      </c>
      <c r="Q1988">
        <v>0</v>
      </c>
      <c r="S1988">
        <v>0</v>
      </c>
      <c r="T1988">
        <v>0</v>
      </c>
      <c r="U1988">
        <f>+SUM(Table1[[#This Row],[Latinos]:[Cemex]])</f>
        <v>1</v>
      </c>
      <c r="V1988" t="str">
        <f>+Table1[[#This Row],[id_destino]]&amp;" - "&amp;Table1[[#This Row],[id_origen]]</f>
        <v>550 - 52</v>
      </c>
    </row>
    <row r="1989" spans="1:22" hidden="1">
      <c r="A1989">
        <v>3135</v>
      </c>
      <c r="B1989">
        <v>3795</v>
      </c>
      <c r="C1989">
        <v>1522</v>
      </c>
      <c r="D1989">
        <v>6921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 t="s">
        <v>20</v>
      </c>
      <c r="L1989" s="1">
        <v>45190</v>
      </c>
      <c r="M1989">
        <v>566</v>
      </c>
      <c r="N1989">
        <v>52</v>
      </c>
      <c r="O1989">
        <v>698</v>
      </c>
      <c r="P1989">
        <v>466</v>
      </c>
      <c r="Q1989">
        <v>698</v>
      </c>
      <c r="S1989">
        <v>537</v>
      </c>
      <c r="T1989">
        <v>537</v>
      </c>
      <c r="U1989">
        <f>+SUM(Table1[[#This Row],[Latinos]:[Cemex]])</f>
        <v>1</v>
      </c>
      <c r="V1989" t="str">
        <f>+Table1[[#This Row],[id_destino]]&amp;" - "&amp;Table1[[#This Row],[id_origen]]</f>
        <v>566 - 52</v>
      </c>
    </row>
    <row r="1990" spans="1:22" hidden="1">
      <c r="A1990">
        <v>3607</v>
      </c>
      <c r="B1990">
        <v>3795</v>
      </c>
      <c r="C1990">
        <v>1522</v>
      </c>
      <c r="D1990">
        <v>6921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 t="s">
        <v>20</v>
      </c>
      <c r="L1990" s="1">
        <v>44984</v>
      </c>
      <c r="M1990">
        <v>566</v>
      </c>
      <c r="N1990">
        <v>52</v>
      </c>
      <c r="O1990">
        <v>0</v>
      </c>
      <c r="P1990">
        <v>150</v>
      </c>
      <c r="Q1990">
        <v>0</v>
      </c>
      <c r="S1990">
        <v>0</v>
      </c>
      <c r="T1990">
        <v>0</v>
      </c>
      <c r="U1990">
        <f>+SUM(Table1[[#This Row],[Latinos]:[Cemex]])</f>
        <v>1</v>
      </c>
      <c r="V1990" t="str">
        <f>+Table1[[#This Row],[id_destino]]&amp;" - "&amp;Table1[[#This Row],[id_origen]]</f>
        <v>566 - 52</v>
      </c>
    </row>
    <row r="1991" spans="1:22" hidden="1">
      <c r="A1991">
        <v>2650</v>
      </c>
      <c r="B1991">
        <v>3477</v>
      </c>
      <c r="C1991">
        <v>4806</v>
      </c>
      <c r="D1991">
        <v>6558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 t="s">
        <v>20</v>
      </c>
      <c r="L1991" s="1">
        <v>44291</v>
      </c>
      <c r="M1991">
        <v>568</v>
      </c>
      <c r="N1991">
        <v>52</v>
      </c>
      <c r="O1991">
        <v>579</v>
      </c>
      <c r="P1991">
        <v>579</v>
      </c>
      <c r="Q1991">
        <v>579</v>
      </c>
      <c r="S1991">
        <v>19</v>
      </c>
      <c r="T1991">
        <v>19</v>
      </c>
      <c r="U1991">
        <f>+SUM(Table1[[#This Row],[Latinos]:[Cemex]])</f>
        <v>1</v>
      </c>
      <c r="V1991" t="str">
        <f>+Table1[[#This Row],[id_destino]]&amp;" - "&amp;Table1[[#This Row],[id_origen]]</f>
        <v>568 - 52</v>
      </c>
    </row>
    <row r="1992" spans="1:22" hidden="1">
      <c r="A1992">
        <v>4415</v>
      </c>
      <c r="B1992">
        <v>4640</v>
      </c>
      <c r="C1992">
        <v>3431</v>
      </c>
      <c r="D1992">
        <v>7011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 t="s">
        <v>20</v>
      </c>
      <c r="L1992" s="1">
        <v>45531</v>
      </c>
      <c r="M1992">
        <v>591</v>
      </c>
      <c r="N1992">
        <v>52</v>
      </c>
      <c r="O1992">
        <v>876</v>
      </c>
      <c r="P1992">
        <v>910</v>
      </c>
      <c r="Q1992">
        <v>876</v>
      </c>
      <c r="S1992">
        <v>1643</v>
      </c>
      <c r="T1992">
        <v>1643</v>
      </c>
      <c r="U1992">
        <f>+SUM(Table1[[#This Row],[Latinos]:[Cemex]])</f>
        <v>1</v>
      </c>
      <c r="V1992" t="str">
        <f>+Table1[[#This Row],[id_destino]]&amp;" - "&amp;Table1[[#This Row],[id_origen]]</f>
        <v>591 - 52</v>
      </c>
    </row>
    <row r="1993" spans="1:22" hidden="1">
      <c r="A1993">
        <v>3388</v>
      </c>
      <c r="B1993">
        <v>1601</v>
      </c>
      <c r="C1993">
        <v>1522</v>
      </c>
      <c r="D1993">
        <v>6816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 t="s">
        <v>20</v>
      </c>
      <c r="L1993" s="1">
        <v>44866</v>
      </c>
      <c r="M1993">
        <v>602</v>
      </c>
      <c r="N1993">
        <v>52</v>
      </c>
      <c r="O1993">
        <v>0</v>
      </c>
      <c r="P1993">
        <v>150</v>
      </c>
      <c r="Q1993">
        <v>0</v>
      </c>
      <c r="S1993">
        <v>0</v>
      </c>
      <c r="T1993">
        <v>0</v>
      </c>
      <c r="U1993">
        <f>+SUM(Table1[[#This Row],[Latinos]:[Cemex]])</f>
        <v>1</v>
      </c>
      <c r="V1993" t="str">
        <f>+Table1[[#This Row],[id_destino]]&amp;" - "&amp;Table1[[#This Row],[id_origen]]</f>
        <v>602 - 52</v>
      </c>
    </row>
    <row r="1994" spans="1:22" hidden="1">
      <c r="A1994">
        <v>4391</v>
      </c>
      <c r="B1994">
        <v>4623</v>
      </c>
      <c r="C1994">
        <v>3431</v>
      </c>
      <c r="D1994">
        <v>7870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 t="s">
        <v>20</v>
      </c>
      <c r="L1994" s="1">
        <v>45517</v>
      </c>
      <c r="M1994">
        <v>645</v>
      </c>
      <c r="N1994">
        <v>52</v>
      </c>
      <c r="O1994">
        <v>50</v>
      </c>
      <c r="P1994">
        <v>150</v>
      </c>
      <c r="Q1994">
        <v>50</v>
      </c>
      <c r="S1994">
        <v>0</v>
      </c>
      <c r="T1994">
        <v>0</v>
      </c>
      <c r="U1994">
        <f>+SUM(Table1[[#This Row],[Latinos]:[Cemex]])</f>
        <v>1</v>
      </c>
      <c r="V1994" t="str">
        <f>+Table1[[#This Row],[id_destino]]&amp;" - "&amp;Table1[[#This Row],[id_origen]]</f>
        <v>645 - 52</v>
      </c>
    </row>
    <row r="1995" spans="1:22" hidden="1">
      <c r="A1995">
        <v>2979</v>
      </c>
      <c r="B1995">
        <v>3697</v>
      </c>
      <c r="C1995">
        <v>1522</v>
      </c>
      <c r="D1995">
        <v>6850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 t="s">
        <v>20</v>
      </c>
      <c r="L1995" s="1">
        <v>44664</v>
      </c>
      <c r="M1995">
        <v>662</v>
      </c>
      <c r="N1995">
        <v>52</v>
      </c>
      <c r="O1995">
        <v>2227</v>
      </c>
      <c r="P1995">
        <v>2240</v>
      </c>
      <c r="Q1995">
        <v>2227</v>
      </c>
      <c r="S1995">
        <v>3654</v>
      </c>
      <c r="T1995">
        <v>4170</v>
      </c>
      <c r="U1995">
        <f>+SUM(Table1[[#This Row],[Latinos]:[Cemex]])</f>
        <v>1</v>
      </c>
      <c r="V1995" t="str">
        <f>+Table1[[#This Row],[id_destino]]&amp;" - "&amp;Table1[[#This Row],[id_origen]]</f>
        <v>662 - 52</v>
      </c>
    </row>
    <row r="1996" spans="1:22" hidden="1">
      <c r="A1996">
        <v>3173</v>
      </c>
      <c r="B1996">
        <v>3697</v>
      </c>
      <c r="C1996">
        <v>1522</v>
      </c>
      <c r="D1996">
        <v>6850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  <c r="K1996" t="s">
        <v>20</v>
      </c>
      <c r="L1996" s="1">
        <v>44756</v>
      </c>
      <c r="M1996">
        <v>662</v>
      </c>
      <c r="N1996">
        <v>52</v>
      </c>
      <c r="O1996">
        <v>0</v>
      </c>
      <c r="P1996">
        <v>150</v>
      </c>
      <c r="Q1996">
        <v>0</v>
      </c>
      <c r="S1996">
        <v>0</v>
      </c>
      <c r="T1996">
        <v>0</v>
      </c>
      <c r="U1996">
        <f>+SUM(Table1[[#This Row],[Latinos]:[Cemex]])</f>
        <v>1</v>
      </c>
      <c r="V1996" t="str">
        <f>+Table1[[#This Row],[id_destino]]&amp;" - "&amp;Table1[[#This Row],[id_origen]]</f>
        <v>662 - 52</v>
      </c>
    </row>
    <row r="1997" spans="1:22" hidden="1">
      <c r="A1997">
        <v>1219</v>
      </c>
      <c r="B1997">
        <v>2642</v>
      </c>
      <c r="C1997">
        <v>5374</v>
      </c>
      <c r="D1997">
        <v>4901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 t="s">
        <v>20</v>
      </c>
      <c r="L1997" s="1">
        <v>43346</v>
      </c>
      <c r="M1997">
        <v>672</v>
      </c>
      <c r="N1997">
        <v>52</v>
      </c>
      <c r="O1997">
        <v>739</v>
      </c>
      <c r="P1997">
        <v>721</v>
      </c>
      <c r="Q1997">
        <v>739</v>
      </c>
      <c r="S1997">
        <v>370</v>
      </c>
      <c r="T1997">
        <v>370</v>
      </c>
      <c r="U1997">
        <f>+SUM(Table1[[#This Row],[Latinos]:[Cemex]])</f>
        <v>1</v>
      </c>
      <c r="V1997" t="str">
        <f>+Table1[[#This Row],[id_destino]]&amp;" - "&amp;Table1[[#This Row],[id_origen]]</f>
        <v>672 - 52</v>
      </c>
    </row>
    <row r="1998" spans="1:22" hidden="1">
      <c r="A1998">
        <v>4207</v>
      </c>
      <c r="B1998">
        <v>4490</v>
      </c>
      <c r="C1998">
        <v>3431</v>
      </c>
      <c r="D1998">
        <v>7043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 t="s">
        <v>20</v>
      </c>
      <c r="L1998" s="1">
        <v>45364</v>
      </c>
      <c r="M1998">
        <v>684</v>
      </c>
      <c r="N1998">
        <v>52</v>
      </c>
      <c r="O1998">
        <v>1010</v>
      </c>
      <c r="P1998">
        <v>1101</v>
      </c>
      <c r="Q1998">
        <v>1010</v>
      </c>
      <c r="S1998">
        <v>2061</v>
      </c>
      <c r="T1998">
        <v>1719</v>
      </c>
      <c r="U1998">
        <f>+SUM(Table1[[#This Row],[Latinos]:[Cemex]])</f>
        <v>1</v>
      </c>
      <c r="V1998" t="str">
        <f>+Table1[[#This Row],[id_destino]]&amp;" - "&amp;Table1[[#This Row],[id_origen]]</f>
        <v>684 - 52</v>
      </c>
    </row>
    <row r="1999" spans="1:22" hidden="1">
      <c r="A1999">
        <v>858</v>
      </c>
      <c r="B1999">
        <v>2480</v>
      </c>
      <c r="C1999">
        <v>4312</v>
      </c>
      <c r="D1999">
        <v>255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 t="s">
        <v>20</v>
      </c>
      <c r="L1999" s="1">
        <v>43195</v>
      </c>
      <c r="M1999">
        <v>714</v>
      </c>
      <c r="N1999">
        <v>52</v>
      </c>
      <c r="O1999">
        <v>909</v>
      </c>
      <c r="P1999">
        <v>903</v>
      </c>
      <c r="Q1999">
        <v>909</v>
      </c>
      <c r="S1999">
        <v>1724</v>
      </c>
      <c r="T1999">
        <v>1724</v>
      </c>
      <c r="U1999">
        <f>+SUM(Table1[[#This Row],[Latinos]:[Cemex]])</f>
        <v>1</v>
      </c>
      <c r="V1999" t="str">
        <f>+Table1[[#This Row],[id_destino]]&amp;" - "&amp;Table1[[#This Row],[id_origen]]</f>
        <v>714 - 52</v>
      </c>
    </row>
    <row r="2000" spans="1:22" hidden="1">
      <c r="A2000">
        <v>2612</v>
      </c>
      <c r="B2000">
        <v>3452</v>
      </c>
      <c r="C2000">
        <v>239</v>
      </c>
      <c r="D2000">
        <v>5725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 t="s">
        <v>20</v>
      </c>
      <c r="L2000" s="1">
        <v>44243</v>
      </c>
      <c r="M2000">
        <v>726</v>
      </c>
      <c r="N2000">
        <v>52</v>
      </c>
      <c r="O2000">
        <v>522</v>
      </c>
      <c r="P2000">
        <v>484</v>
      </c>
      <c r="Q2000">
        <v>522</v>
      </c>
      <c r="S2000">
        <v>587</v>
      </c>
      <c r="T2000">
        <v>587</v>
      </c>
      <c r="U2000">
        <f>+SUM(Table1[[#This Row],[Latinos]:[Cemex]])</f>
        <v>1</v>
      </c>
      <c r="V2000" t="str">
        <f>+Table1[[#This Row],[id_destino]]&amp;" - "&amp;Table1[[#This Row],[id_origen]]</f>
        <v>726 - 52</v>
      </c>
    </row>
    <row r="2001" spans="1:22" hidden="1">
      <c r="A2001">
        <v>3626</v>
      </c>
      <c r="B2001">
        <v>2614</v>
      </c>
      <c r="C2001">
        <v>1522</v>
      </c>
      <c r="D2001">
        <v>6979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 t="s">
        <v>20</v>
      </c>
      <c r="L2001" s="1">
        <v>45002</v>
      </c>
      <c r="M2001">
        <v>753</v>
      </c>
      <c r="N2001">
        <v>52</v>
      </c>
      <c r="O2001">
        <v>2174</v>
      </c>
      <c r="P2001">
        <v>2213</v>
      </c>
      <c r="Q2001">
        <v>2174</v>
      </c>
      <c r="S2001">
        <v>4345</v>
      </c>
      <c r="T2001">
        <v>4059</v>
      </c>
      <c r="U2001">
        <f>+SUM(Table1[[#This Row],[Latinos]:[Cemex]])</f>
        <v>1</v>
      </c>
      <c r="V2001" t="str">
        <f>+Table1[[#This Row],[id_destino]]&amp;" - "&amp;Table1[[#This Row],[id_origen]]</f>
        <v>753 - 52</v>
      </c>
    </row>
    <row r="2002" spans="1:22" hidden="1">
      <c r="A2002">
        <v>3545</v>
      </c>
      <c r="B2002">
        <v>4061</v>
      </c>
      <c r="C2002">
        <v>1522</v>
      </c>
      <c r="D2002">
        <v>7084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0</v>
      </c>
      <c r="K2002" t="s">
        <v>20</v>
      </c>
      <c r="L2002" s="1">
        <v>44953</v>
      </c>
      <c r="M2002">
        <v>767</v>
      </c>
      <c r="N2002">
        <v>52</v>
      </c>
      <c r="O2002">
        <v>663</v>
      </c>
      <c r="P2002">
        <v>658</v>
      </c>
      <c r="Q2002">
        <v>663</v>
      </c>
      <c r="S2002">
        <v>1547</v>
      </c>
      <c r="T2002">
        <v>1653</v>
      </c>
      <c r="U2002">
        <f>+SUM(Table1[[#This Row],[Latinos]:[Cemex]])</f>
        <v>1</v>
      </c>
      <c r="V2002" t="str">
        <f>+Table1[[#This Row],[id_destino]]&amp;" - "&amp;Table1[[#This Row],[id_origen]]</f>
        <v>767 - 52</v>
      </c>
    </row>
    <row r="2003" spans="1:22" hidden="1">
      <c r="A2003">
        <v>3546</v>
      </c>
      <c r="B2003">
        <v>4061</v>
      </c>
      <c r="C2003">
        <v>1522</v>
      </c>
      <c r="D2003">
        <v>7084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 t="s">
        <v>20</v>
      </c>
      <c r="L2003" s="1">
        <v>44953</v>
      </c>
      <c r="M2003">
        <v>767</v>
      </c>
      <c r="N2003">
        <v>52</v>
      </c>
      <c r="O2003">
        <v>0</v>
      </c>
      <c r="P2003">
        <v>150</v>
      </c>
      <c r="Q2003">
        <v>0</v>
      </c>
      <c r="S2003">
        <v>0</v>
      </c>
      <c r="T2003">
        <v>0</v>
      </c>
      <c r="U2003">
        <f>+SUM(Table1[[#This Row],[Latinos]:[Cemex]])</f>
        <v>1</v>
      </c>
      <c r="V2003" t="str">
        <f>+Table1[[#This Row],[id_destino]]&amp;" - "&amp;Table1[[#This Row],[id_origen]]</f>
        <v>767 - 52</v>
      </c>
    </row>
    <row r="2004" spans="1:22" hidden="1">
      <c r="A2004">
        <v>3070</v>
      </c>
      <c r="B2004">
        <v>3755</v>
      </c>
      <c r="C2004">
        <v>1522</v>
      </c>
      <c r="D2004">
        <v>6916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 t="s">
        <v>20</v>
      </c>
      <c r="L2004" s="1">
        <v>44714</v>
      </c>
      <c r="M2004">
        <v>849</v>
      </c>
      <c r="N2004">
        <v>52</v>
      </c>
      <c r="O2004">
        <v>1154</v>
      </c>
      <c r="P2004">
        <v>1180</v>
      </c>
      <c r="Q2004">
        <v>1154</v>
      </c>
      <c r="S2004">
        <v>2954</v>
      </c>
      <c r="T2004">
        <v>2218</v>
      </c>
      <c r="U2004">
        <f>+SUM(Table1[[#This Row],[Latinos]:[Cemex]])</f>
        <v>1</v>
      </c>
      <c r="V2004" t="str">
        <f>+Table1[[#This Row],[id_destino]]&amp;" - "&amp;Table1[[#This Row],[id_origen]]</f>
        <v>849 - 52</v>
      </c>
    </row>
    <row r="2005" spans="1:22" hidden="1">
      <c r="A2005">
        <v>3676</v>
      </c>
      <c r="B2005">
        <v>3755</v>
      </c>
      <c r="C2005">
        <v>1522</v>
      </c>
      <c r="D2005">
        <v>6916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  <c r="K2005" t="s">
        <v>20</v>
      </c>
      <c r="L2005" s="1">
        <v>45021</v>
      </c>
      <c r="M2005">
        <v>849</v>
      </c>
      <c r="N2005">
        <v>52</v>
      </c>
      <c r="O2005">
        <v>0</v>
      </c>
      <c r="P2005">
        <v>150</v>
      </c>
      <c r="Q2005">
        <v>0</v>
      </c>
      <c r="S2005">
        <v>0</v>
      </c>
      <c r="T2005">
        <v>0</v>
      </c>
      <c r="U2005">
        <f>+SUM(Table1[[#This Row],[Latinos]:[Cemex]])</f>
        <v>1</v>
      </c>
      <c r="V2005" t="str">
        <f>+Table1[[#This Row],[id_destino]]&amp;" - "&amp;Table1[[#This Row],[id_origen]]</f>
        <v>849 - 52</v>
      </c>
    </row>
    <row r="2006" spans="1:22" hidden="1">
      <c r="A2006">
        <v>3196</v>
      </c>
      <c r="B2006">
        <v>3833</v>
      </c>
      <c r="C2006">
        <v>1522</v>
      </c>
      <c r="D2006">
        <v>6987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 t="s">
        <v>20</v>
      </c>
      <c r="L2006" s="1">
        <v>44767</v>
      </c>
      <c r="M2006">
        <v>855</v>
      </c>
      <c r="N2006">
        <v>52</v>
      </c>
      <c r="O2006">
        <v>1380</v>
      </c>
      <c r="P2006">
        <v>1279</v>
      </c>
      <c r="Q2006">
        <v>1380</v>
      </c>
      <c r="S2006">
        <v>2729</v>
      </c>
      <c r="T2006">
        <v>2902</v>
      </c>
      <c r="U2006">
        <f>+SUM(Table1[[#This Row],[Latinos]:[Cemex]])</f>
        <v>1</v>
      </c>
      <c r="V2006" t="str">
        <f>+Table1[[#This Row],[id_destino]]&amp;" - "&amp;Table1[[#This Row],[id_origen]]</f>
        <v>855 - 52</v>
      </c>
    </row>
    <row r="2007" spans="1:22" hidden="1">
      <c r="A2007">
        <v>3201</v>
      </c>
      <c r="B2007">
        <v>3833</v>
      </c>
      <c r="C2007">
        <v>1522</v>
      </c>
      <c r="D2007">
        <v>6987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 t="s">
        <v>20</v>
      </c>
      <c r="L2007" s="1">
        <v>44767</v>
      </c>
      <c r="M2007">
        <v>855</v>
      </c>
      <c r="N2007">
        <v>52</v>
      </c>
      <c r="O2007">
        <v>0</v>
      </c>
      <c r="P2007">
        <v>150</v>
      </c>
      <c r="Q2007">
        <v>0</v>
      </c>
      <c r="S2007">
        <v>0</v>
      </c>
      <c r="T2007">
        <v>0</v>
      </c>
      <c r="U2007">
        <f>+SUM(Table1[[#This Row],[Latinos]:[Cemex]])</f>
        <v>1</v>
      </c>
      <c r="V2007" t="str">
        <f>+Table1[[#This Row],[id_destino]]&amp;" - "&amp;Table1[[#This Row],[id_origen]]</f>
        <v>855 - 52</v>
      </c>
    </row>
    <row r="2008" spans="1:22" hidden="1">
      <c r="A2008">
        <v>3197</v>
      </c>
      <c r="B2008">
        <v>3834</v>
      </c>
      <c r="C2008">
        <v>1522</v>
      </c>
      <c r="D2008">
        <v>6988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 t="s">
        <v>20</v>
      </c>
      <c r="L2008" s="1">
        <v>44767</v>
      </c>
      <c r="M2008">
        <v>856</v>
      </c>
      <c r="N2008">
        <v>52</v>
      </c>
      <c r="O2008">
        <v>1158</v>
      </c>
      <c r="P2008">
        <v>1067</v>
      </c>
      <c r="Q2008">
        <v>1158</v>
      </c>
      <c r="S2008">
        <v>2482</v>
      </c>
      <c r="T2008">
        <v>2655</v>
      </c>
      <c r="U2008">
        <f>+SUM(Table1[[#This Row],[Latinos]:[Cemex]])</f>
        <v>1</v>
      </c>
      <c r="V2008" t="str">
        <f>+Table1[[#This Row],[id_destino]]&amp;" - "&amp;Table1[[#This Row],[id_origen]]</f>
        <v>856 - 52</v>
      </c>
    </row>
    <row r="2009" spans="1:22" hidden="1">
      <c r="A2009">
        <v>3200</v>
      </c>
      <c r="B2009">
        <v>3834</v>
      </c>
      <c r="C2009">
        <v>1522</v>
      </c>
      <c r="D2009">
        <v>6988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 t="s">
        <v>20</v>
      </c>
      <c r="L2009" s="1">
        <v>44767</v>
      </c>
      <c r="M2009">
        <v>856</v>
      </c>
      <c r="N2009">
        <v>52</v>
      </c>
      <c r="O2009">
        <v>0</v>
      </c>
      <c r="P2009">
        <v>150</v>
      </c>
      <c r="Q2009">
        <v>0</v>
      </c>
      <c r="S2009">
        <v>0</v>
      </c>
      <c r="T2009">
        <v>0</v>
      </c>
      <c r="U2009">
        <f>+SUM(Table1[[#This Row],[Latinos]:[Cemex]])</f>
        <v>1</v>
      </c>
      <c r="V2009" t="str">
        <f>+Table1[[#This Row],[id_destino]]&amp;" - "&amp;Table1[[#This Row],[id_origen]]</f>
        <v>856 - 52</v>
      </c>
    </row>
    <row r="2010" spans="1:22" hidden="1">
      <c r="A2010">
        <v>1720</v>
      </c>
      <c r="B2010">
        <v>38</v>
      </c>
      <c r="C2010">
        <v>5900</v>
      </c>
      <c r="D2010">
        <v>5901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  <c r="K2010" t="s">
        <v>20</v>
      </c>
      <c r="L2010" s="1">
        <v>44102</v>
      </c>
      <c r="M2010">
        <v>1</v>
      </c>
      <c r="N2010">
        <v>53</v>
      </c>
      <c r="O2010">
        <v>223</v>
      </c>
      <c r="P2010">
        <v>223</v>
      </c>
      <c r="Q2010">
        <v>223</v>
      </c>
      <c r="S2010">
        <v>0</v>
      </c>
      <c r="T2010">
        <v>0</v>
      </c>
      <c r="U2010">
        <f>+SUM(Table1[[#This Row],[Latinos]:[Cemex]])</f>
        <v>1</v>
      </c>
      <c r="V2010" t="str">
        <f>+Table1[[#This Row],[id_destino]]&amp;" - "&amp;Table1[[#This Row],[id_origen]]</f>
        <v>1 - 53</v>
      </c>
    </row>
    <row r="2011" spans="1:22" hidden="1">
      <c r="A2011">
        <v>1484</v>
      </c>
      <c r="B2011">
        <v>1238</v>
      </c>
      <c r="C2011">
        <v>3458</v>
      </c>
      <c r="D2011">
        <v>469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 t="s">
        <v>20</v>
      </c>
      <c r="L2011" s="1">
        <v>43461</v>
      </c>
      <c r="M2011">
        <v>2</v>
      </c>
      <c r="N2011">
        <v>53</v>
      </c>
      <c r="O2011">
        <v>1145</v>
      </c>
      <c r="P2011">
        <v>1132</v>
      </c>
      <c r="Q2011">
        <v>1145</v>
      </c>
      <c r="S2011">
        <v>1483</v>
      </c>
      <c r="T2011">
        <v>1483</v>
      </c>
      <c r="U2011">
        <f>+SUM(Table1[[#This Row],[Latinos]:[Cemex]])</f>
        <v>1</v>
      </c>
      <c r="V2011" t="str">
        <f>+Table1[[#This Row],[id_destino]]&amp;" - "&amp;Table1[[#This Row],[id_origen]]</f>
        <v>2 - 53</v>
      </c>
    </row>
    <row r="2012" spans="1:22" hidden="1">
      <c r="A2012">
        <v>3691</v>
      </c>
      <c r="B2012">
        <v>888</v>
      </c>
      <c r="C2012">
        <v>3458</v>
      </c>
      <c r="D2012">
        <v>4177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 t="s">
        <v>20</v>
      </c>
      <c r="L2012" s="1">
        <v>45031</v>
      </c>
      <c r="M2012">
        <v>18</v>
      </c>
      <c r="N2012">
        <v>53</v>
      </c>
      <c r="O2012">
        <v>1084</v>
      </c>
      <c r="P2012">
        <v>1066</v>
      </c>
      <c r="Q2012">
        <v>1084</v>
      </c>
      <c r="S2012">
        <v>0</v>
      </c>
      <c r="T2012">
        <v>0</v>
      </c>
      <c r="U2012">
        <f>+SUM(Table1[[#This Row],[Latinos]:[Cemex]])</f>
        <v>1</v>
      </c>
      <c r="V2012" t="str">
        <f>+Table1[[#This Row],[id_destino]]&amp;" - "&amp;Table1[[#This Row],[id_origen]]</f>
        <v>18 - 53</v>
      </c>
    </row>
    <row r="2013" spans="1:22" hidden="1">
      <c r="A2013">
        <v>1291</v>
      </c>
      <c r="B2013">
        <v>2675</v>
      </c>
      <c r="C2013">
        <v>5667</v>
      </c>
      <c r="D2013">
        <v>5709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 t="s">
        <v>20</v>
      </c>
      <c r="L2013" s="1">
        <v>43369</v>
      </c>
      <c r="M2013">
        <v>21</v>
      </c>
      <c r="N2013">
        <v>53</v>
      </c>
      <c r="O2013">
        <v>1763</v>
      </c>
      <c r="P2013">
        <v>1763</v>
      </c>
      <c r="Q2013">
        <v>1763</v>
      </c>
      <c r="S2013">
        <v>2064</v>
      </c>
      <c r="T2013">
        <v>2375</v>
      </c>
      <c r="U2013">
        <f>+SUM(Table1[[#This Row],[Latinos]:[Cemex]])</f>
        <v>1</v>
      </c>
      <c r="V2013" t="str">
        <f>+Table1[[#This Row],[id_destino]]&amp;" - "&amp;Table1[[#This Row],[id_origen]]</f>
        <v>21 - 53</v>
      </c>
    </row>
    <row r="2014" spans="1:22" hidden="1">
      <c r="A2014">
        <v>2402</v>
      </c>
      <c r="B2014">
        <v>3320</v>
      </c>
      <c r="C2014">
        <v>3458</v>
      </c>
      <c r="D2014">
        <v>49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  <c r="K2014" t="s">
        <v>20</v>
      </c>
      <c r="L2014" s="1">
        <v>44041</v>
      </c>
      <c r="M2014">
        <v>43</v>
      </c>
      <c r="N2014">
        <v>53</v>
      </c>
      <c r="O2014">
        <v>1698</v>
      </c>
      <c r="P2014">
        <v>1696</v>
      </c>
      <c r="Q2014">
        <v>1698</v>
      </c>
      <c r="S2014">
        <v>3175</v>
      </c>
      <c r="T2014">
        <v>3175</v>
      </c>
      <c r="U2014">
        <f>+SUM(Table1[[#This Row],[Latinos]:[Cemex]])</f>
        <v>1</v>
      </c>
      <c r="V2014" t="str">
        <f>+Table1[[#This Row],[id_destino]]&amp;" - "&amp;Table1[[#This Row],[id_origen]]</f>
        <v>43 - 53</v>
      </c>
    </row>
    <row r="2015" spans="1:22" hidden="1">
      <c r="A2015">
        <v>3455</v>
      </c>
      <c r="B2015">
        <v>4003</v>
      </c>
      <c r="C2015">
        <v>1687</v>
      </c>
      <c r="D2015">
        <v>478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 t="s">
        <v>20</v>
      </c>
      <c r="L2015" s="1">
        <v>44903</v>
      </c>
      <c r="M2015">
        <v>46</v>
      </c>
      <c r="N2015">
        <v>53</v>
      </c>
      <c r="O2015">
        <v>1214</v>
      </c>
      <c r="P2015">
        <v>1211</v>
      </c>
      <c r="Q2015">
        <v>1214</v>
      </c>
      <c r="S2015">
        <v>1391</v>
      </c>
      <c r="T2015">
        <v>1445</v>
      </c>
      <c r="U2015">
        <f>+SUM(Table1[[#This Row],[Latinos]:[Cemex]])</f>
        <v>1</v>
      </c>
      <c r="V2015" t="str">
        <f>+Table1[[#This Row],[id_destino]]&amp;" - "&amp;Table1[[#This Row],[id_origen]]</f>
        <v>46 - 53</v>
      </c>
    </row>
    <row r="2016" spans="1:22" hidden="1">
      <c r="A2016">
        <v>147</v>
      </c>
      <c r="B2016">
        <v>1932</v>
      </c>
      <c r="C2016">
        <v>3458</v>
      </c>
      <c r="D2016">
        <v>3431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 t="s">
        <v>20</v>
      </c>
      <c r="L2016" s="1">
        <v>43000</v>
      </c>
      <c r="M2016">
        <v>52</v>
      </c>
      <c r="N2016">
        <v>53</v>
      </c>
      <c r="O2016">
        <v>214</v>
      </c>
      <c r="P2016">
        <v>217</v>
      </c>
      <c r="Q2016">
        <v>214</v>
      </c>
      <c r="S2016">
        <v>301</v>
      </c>
      <c r="T2016">
        <v>301</v>
      </c>
      <c r="U2016">
        <f>+SUM(Table1[[#This Row],[Latinos]:[Cemex]])</f>
        <v>1</v>
      </c>
      <c r="V2016" t="str">
        <f>+Table1[[#This Row],[id_destino]]&amp;" - "&amp;Table1[[#This Row],[id_origen]]</f>
        <v>52 - 53</v>
      </c>
    </row>
    <row r="2017" spans="1:22" hidden="1">
      <c r="A2017">
        <v>2378</v>
      </c>
      <c r="B2017">
        <v>2651</v>
      </c>
      <c r="C2017">
        <v>3894</v>
      </c>
      <c r="D2017">
        <v>6365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  <c r="K2017" t="s">
        <v>20</v>
      </c>
      <c r="L2017" s="1">
        <v>44009</v>
      </c>
      <c r="M2017">
        <v>62</v>
      </c>
      <c r="N2017">
        <v>53</v>
      </c>
      <c r="O2017">
        <v>724</v>
      </c>
      <c r="P2017">
        <v>724</v>
      </c>
      <c r="Q2017">
        <v>724</v>
      </c>
      <c r="S2017">
        <v>0</v>
      </c>
      <c r="T2017">
        <v>0</v>
      </c>
      <c r="U2017">
        <f>+SUM(Table1[[#This Row],[Latinos]:[Cemex]])</f>
        <v>1</v>
      </c>
      <c r="V2017" t="str">
        <f>+Table1[[#This Row],[id_destino]]&amp;" - "&amp;Table1[[#This Row],[id_origen]]</f>
        <v>62 - 53</v>
      </c>
    </row>
    <row r="2018" spans="1:22" hidden="1">
      <c r="A2018">
        <v>3878</v>
      </c>
      <c r="B2018">
        <v>4275</v>
      </c>
      <c r="C2018">
        <v>3458</v>
      </c>
      <c r="D2018">
        <v>7446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  <c r="K2018" t="s">
        <v>20</v>
      </c>
      <c r="L2018" s="1">
        <v>45159</v>
      </c>
      <c r="M2018">
        <v>65</v>
      </c>
      <c r="N2018">
        <v>53</v>
      </c>
      <c r="O2018">
        <v>1305</v>
      </c>
      <c r="P2018">
        <v>1329</v>
      </c>
      <c r="Q2018">
        <v>1305</v>
      </c>
      <c r="S2018">
        <v>2579</v>
      </c>
      <c r="T2018">
        <v>2579</v>
      </c>
      <c r="U2018">
        <f>+SUM(Table1[[#This Row],[Latinos]:[Cemex]])</f>
        <v>1</v>
      </c>
      <c r="V2018" t="str">
        <f>+Table1[[#This Row],[id_destino]]&amp;" - "&amp;Table1[[#This Row],[id_origen]]</f>
        <v>65 - 53</v>
      </c>
    </row>
    <row r="2019" spans="1:22" hidden="1">
      <c r="A2019">
        <v>866</v>
      </c>
      <c r="B2019">
        <v>36</v>
      </c>
      <c r="C2019">
        <v>1687</v>
      </c>
      <c r="D2019">
        <v>7021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  <c r="K2019" t="s">
        <v>20</v>
      </c>
      <c r="L2019" s="1">
        <v>44931</v>
      </c>
      <c r="M2019">
        <v>73</v>
      </c>
      <c r="N2019">
        <v>53</v>
      </c>
      <c r="O2019">
        <v>198</v>
      </c>
      <c r="P2019">
        <v>234</v>
      </c>
      <c r="Q2019">
        <v>198</v>
      </c>
      <c r="S2019">
        <v>374</v>
      </c>
      <c r="T2019">
        <v>374</v>
      </c>
      <c r="U2019">
        <f>+SUM(Table1[[#This Row],[Latinos]:[Cemex]])</f>
        <v>1</v>
      </c>
      <c r="V2019" t="str">
        <f>+Table1[[#This Row],[id_destino]]&amp;" - "&amp;Table1[[#This Row],[id_origen]]</f>
        <v>73 - 53</v>
      </c>
    </row>
    <row r="2020" spans="1:22" hidden="1">
      <c r="A2020">
        <v>2016</v>
      </c>
      <c r="B2020">
        <v>3078</v>
      </c>
      <c r="C2020">
        <v>1687</v>
      </c>
      <c r="D2020">
        <v>5285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 t="s">
        <v>20</v>
      </c>
      <c r="L2020" s="1">
        <v>43770</v>
      </c>
      <c r="M2020">
        <v>83</v>
      </c>
      <c r="N2020">
        <v>53</v>
      </c>
      <c r="O2020">
        <v>217</v>
      </c>
      <c r="P2020">
        <v>217</v>
      </c>
      <c r="Q2020">
        <v>217</v>
      </c>
      <c r="S2020">
        <v>0</v>
      </c>
      <c r="T2020">
        <v>0</v>
      </c>
      <c r="U2020">
        <f>+SUM(Table1[[#This Row],[Latinos]:[Cemex]])</f>
        <v>1</v>
      </c>
      <c r="V2020" t="str">
        <f>+Table1[[#This Row],[id_destino]]&amp;" - "&amp;Table1[[#This Row],[id_origen]]</f>
        <v>83 - 53</v>
      </c>
    </row>
    <row r="2021" spans="1:22" hidden="1">
      <c r="A2021">
        <v>272</v>
      </c>
      <c r="B2021">
        <v>452</v>
      </c>
      <c r="C2021">
        <v>2788</v>
      </c>
      <c r="D2021">
        <v>2966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 t="s">
        <v>20</v>
      </c>
      <c r="L2021" s="1">
        <v>43217</v>
      </c>
      <c r="M2021">
        <v>96</v>
      </c>
      <c r="N2021">
        <v>53</v>
      </c>
      <c r="O2021">
        <v>91</v>
      </c>
      <c r="P2021">
        <v>150</v>
      </c>
      <c r="Q2021">
        <v>91</v>
      </c>
      <c r="R2021">
        <v>100</v>
      </c>
      <c r="S2021">
        <v>423</v>
      </c>
      <c r="T2021">
        <v>1617</v>
      </c>
      <c r="U2021">
        <f>+SUM(Table1[[#This Row],[Latinos]:[Cemex]])</f>
        <v>1</v>
      </c>
      <c r="V2021" t="str">
        <f>+Table1[[#This Row],[id_destino]]&amp;" - "&amp;Table1[[#This Row],[id_origen]]</f>
        <v>96 - 53</v>
      </c>
    </row>
    <row r="2022" spans="1:22" hidden="1">
      <c r="A2022">
        <v>3506</v>
      </c>
      <c r="B2022">
        <v>4035</v>
      </c>
      <c r="C2022">
        <v>5667</v>
      </c>
      <c r="D2022">
        <v>7174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 t="s">
        <v>20</v>
      </c>
      <c r="L2022" s="1">
        <v>44937</v>
      </c>
      <c r="M2022">
        <v>144</v>
      </c>
      <c r="N2022">
        <v>53</v>
      </c>
      <c r="O2022">
        <v>959</v>
      </c>
      <c r="P2022">
        <v>947</v>
      </c>
      <c r="Q2022">
        <v>959</v>
      </c>
      <c r="S2022">
        <v>1013</v>
      </c>
      <c r="T2022">
        <v>1013</v>
      </c>
      <c r="U2022">
        <f>+SUM(Table1[[#This Row],[Latinos]:[Cemex]])</f>
        <v>1</v>
      </c>
      <c r="V2022" t="str">
        <f>+Table1[[#This Row],[id_destino]]&amp;" - "&amp;Table1[[#This Row],[id_origen]]</f>
        <v>144 - 53</v>
      </c>
    </row>
    <row r="2023" spans="1:22" hidden="1">
      <c r="A2023">
        <v>2768</v>
      </c>
      <c r="B2023">
        <v>3554</v>
      </c>
      <c r="C2023">
        <v>1687</v>
      </c>
      <c r="D2023">
        <v>405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 t="s">
        <v>20</v>
      </c>
      <c r="L2023" s="1">
        <v>44428</v>
      </c>
      <c r="M2023">
        <v>180</v>
      </c>
      <c r="N2023">
        <v>53</v>
      </c>
      <c r="O2023">
        <v>433</v>
      </c>
      <c r="P2023">
        <v>433</v>
      </c>
      <c r="Q2023">
        <v>433</v>
      </c>
      <c r="S2023">
        <v>0</v>
      </c>
      <c r="T2023">
        <v>0</v>
      </c>
      <c r="U2023">
        <f>+SUM(Table1[[#This Row],[Latinos]:[Cemex]])</f>
        <v>1</v>
      </c>
      <c r="V2023" t="str">
        <f>+Table1[[#This Row],[id_destino]]&amp;" - "&amp;Table1[[#This Row],[id_origen]]</f>
        <v>180 - 53</v>
      </c>
    </row>
    <row r="2024" spans="1:22" hidden="1">
      <c r="A2024">
        <v>4619</v>
      </c>
      <c r="B2024">
        <v>4801</v>
      </c>
      <c r="C2024">
        <v>3458</v>
      </c>
      <c r="D2024">
        <v>8089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  <c r="K2024" t="s">
        <v>20</v>
      </c>
      <c r="L2024" s="1">
        <v>45674</v>
      </c>
      <c r="M2024">
        <v>337</v>
      </c>
      <c r="N2024">
        <v>53</v>
      </c>
      <c r="O2024">
        <v>199</v>
      </c>
      <c r="P2024">
        <v>212</v>
      </c>
      <c r="Q2024">
        <v>199</v>
      </c>
      <c r="S2024">
        <v>586.99</v>
      </c>
      <c r="T2024">
        <v>586.99</v>
      </c>
      <c r="U2024">
        <f>+SUM(Table1[[#This Row],[Latinos]:[Cemex]])</f>
        <v>1</v>
      </c>
      <c r="V2024" t="str">
        <f>+Table1[[#This Row],[id_destino]]&amp;" - "&amp;Table1[[#This Row],[id_origen]]</f>
        <v>337 - 53</v>
      </c>
    </row>
    <row r="2025" spans="1:22" hidden="1">
      <c r="A2025">
        <v>2377</v>
      </c>
      <c r="B2025">
        <v>3308</v>
      </c>
      <c r="C2025">
        <v>3894</v>
      </c>
      <c r="D2025">
        <v>4145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  <c r="K2025" t="s">
        <v>20</v>
      </c>
      <c r="L2025" s="1">
        <v>44008</v>
      </c>
      <c r="M2025">
        <v>353</v>
      </c>
      <c r="N2025">
        <v>53</v>
      </c>
      <c r="O2025">
        <v>984</v>
      </c>
      <c r="P2025">
        <v>984</v>
      </c>
      <c r="Q2025">
        <v>984</v>
      </c>
      <c r="S2025">
        <v>0</v>
      </c>
      <c r="T2025">
        <v>0</v>
      </c>
      <c r="U2025">
        <f>+SUM(Table1[[#This Row],[Latinos]:[Cemex]])</f>
        <v>1</v>
      </c>
      <c r="V2025" t="str">
        <f>+Table1[[#This Row],[id_destino]]&amp;" - "&amp;Table1[[#This Row],[id_origen]]</f>
        <v>353 - 53</v>
      </c>
    </row>
    <row r="2026" spans="1:22" hidden="1">
      <c r="A2026">
        <v>4497</v>
      </c>
      <c r="B2026">
        <v>4705</v>
      </c>
      <c r="C2026">
        <v>3458</v>
      </c>
      <c r="D2026">
        <v>7592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 t="s">
        <v>20</v>
      </c>
      <c r="L2026" s="1">
        <v>45587</v>
      </c>
      <c r="M2026">
        <v>535</v>
      </c>
      <c r="N2026">
        <v>53</v>
      </c>
      <c r="O2026">
        <v>271</v>
      </c>
      <c r="P2026">
        <v>271</v>
      </c>
      <c r="Q2026">
        <v>271</v>
      </c>
      <c r="S2026">
        <v>987</v>
      </c>
      <c r="T2026">
        <v>987</v>
      </c>
      <c r="U2026">
        <f>+SUM(Table1[[#This Row],[Latinos]:[Cemex]])</f>
        <v>1</v>
      </c>
      <c r="V2026" t="str">
        <f>+Table1[[#This Row],[id_destino]]&amp;" - "&amp;Table1[[#This Row],[id_origen]]</f>
        <v>535 - 53</v>
      </c>
    </row>
    <row r="2027" spans="1:22" hidden="1">
      <c r="A2027">
        <v>254</v>
      </c>
      <c r="B2027">
        <v>2247</v>
      </c>
      <c r="C2027">
        <v>5310</v>
      </c>
      <c r="D2027">
        <v>4107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  <c r="K2027" t="s">
        <v>20</v>
      </c>
      <c r="L2027" s="1">
        <v>43025</v>
      </c>
      <c r="M2027">
        <v>602</v>
      </c>
      <c r="N2027">
        <v>53</v>
      </c>
      <c r="O2027">
        <v>1036</v>
      </c>
      <c r="P2027">
        <v>1036</v>
      </c>
      <c r="Q2027">
        <v>1036</v>
      </c>
      <c r="S2027">
        <v>1096</v>
      </c>
      <c r="T2027">
        <v>1096</v>
      </c>
      <c r="U2027">
        <f>+SUM(Table1[[#This Row],[Latinos]:[Cemex]])</f>
        <v>1</v>
      </c>
      <c r="V2027" t="str">
        <f>+Table1[[#This Row],[id_destino]]&amp;" - "&amp;Table1[[#This Row],[id_origen]]</f>
        <v>602 - 53</v>
      </c>
    </row>
    <row r="2028" spans="1:22" hidden="1">
      <c r="A2028">
        <v>636</v>
      </c>
      <c r="B2028">
        <v>2379</v>
      </c>
      <c r="C2028">
        <v>2927</v>
      </c>
      <c r="D2028">
        <v>394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 t="s">
        <v>20</v>
      </c>
      <c r="L2028" s="1">
        <v>43889</v>
      </c>
      <c r="M2028">
        <v>1</v>
      </c>
      <c r="N2028">
        <v>54</v>
      </c>
      <c r="O2028">
        <v>85</v>
      </c>
      <c r="P2028">
        <v>150</v>
      </c>
      <c r="Q2028">
        <v>85</v>
      </c>
      <c r="S2028">
        <v>0</v>
      </c>
      <c r="T2028">
        <v>0</v>
      </c>
      <c r="U2028">
        <f>+SUM(Table1[[#This Row],[Latinos]:[Cemex]])</f>
        <v>1</v>
      </c>
      <c r="V2028" t="str">
        <f>+Table1[[#This Row],[id_destino]]&amp;" - "&amp;Table1[[#This Row],[id_origen]]</f>
        <v>1 - 54</v>
      </c>
    </row>
    <row r="2029" spans="1:22" hidden="1">
      <c r="A2029">
        <v>3954</v>
      </c>
      <c r="B2029">
        <v>1528</v>
      </c>
      <c r="C2029">
        <v>3460</v>
      </c>
      <c r="D2029">
        <v>469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  <c r="K2029" t="s">
        <v>20</v>
      </c>
      <c r="L2029" s="1">
        <v>45205</v>
      </c>
      <c r="M2029">
        <v>2</v>
      </c>
      <c r="N2029">
        <v>54</v>
      </c>
      <c r="O2029">
        <v>866</v>
      </c>
      <c r="P2029">
        <v>866</v>
      </c>
      <c r="Q2029">
        <v>866</v>
      </c>
      <c r="S2029">
        <v>1175</v>
      </c>
      <c r="T2029">
        <v>1175</v>
      </c>
      <c r="U2029">
        <f>+SUM(Table1[[#This Row],[Latinos]:[Cemex]])</f>
        <v>1</v>
      </c>
      <c r="V2029" t="str">
        <f>+Table1[[#This Row],[id_destino]]&amp;" - "&amp;Table1[[#This Row],[id_origen]]</f>
        <v>2 - 54</v>
      </c>
    </row>
    <row r="2030" spans="1:22" hidden="1">
      <c r="A2030">
        <v>1870</v>
      </c>
      <c r="B2030">
        <v>2985</v>
      </c>
      <c r="C2030">
        <v>3460</v>
      </c>
      <c r="D2030">
        <v>5606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 t="s">
        <v>20</v>
      </c>
      <c r="L2030" s="1">
        <v>43677</v>
      </c>
      <c r="M2030">
        <v>6</v>
      </c>
      <c r="N2030">
        <v>54</v>
      </c>
      <c r="O2030">
        <v>2025</v>
      </c>
      <c r="P2030">
        <v>2031</v>
      </c>
      <c r="Q2030">
        <v>2025</v>
      </c>
      <c r="S2030">
        <v>2863</v>
      </c>
      <c r="T2030">
        <v>2863</v>
      </c>
      <c r="U2030">
        <f>+SUM(Table1[[#This Row],[Latinos]:[Cemex]])</f>
        <v>1</v>
      </c>
      <c r="V2030" t="str">
        <f>+Table1[[#This Row],[id_destino]]&amp;" - "&amp;Table1[[#This Row],[id_origen]]</f>
        <v>6 - 54</v>
      </c>
    </row>
    <row r="2031" spans="1:22" hidden="1">
      <c r="A2031">
        <v>3501</v>
      </c>
      <c r="B2031">
        <v>4030</v>
      </c>
      <c r="C2031">
        <v>7166</v>
      </c>
      <c r="D2031">
        <v>7171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 t="s">
        <v>20</v>
      </c>
      <c r="L2031" s="1">
        <v>44935</v>
      </c>
      <c r="M2031">
        <v>16</v>
      </c>
      <c r="N2031">
        <v>54</v>
      </c>
      <c r="O2031">
        <v>738</v>
      </c>
      <c r="P2031">
        <v>745</v>
      </c>
      <c r="Q2031">
        <v>738</v>
      </c>
      <c r="S2031">
        <v>1332</v>
      </c>
      <c r="T2031">
        <v>1587</v>
      </c>
      <c r="U2031">
        <f>+SUM(Table1[[#This Row],[Latinos]:[Cemex]])</f>
        <v>1</v>
      </c>
      <c r="V2031" t="str">
        <f>+Table1[[#This Row],[id_destino]]&amp;" - "&amp;Table1[[#This Row],[id_origen]]</f>
        <v>16 - 54</v>
      </c>
    </row>
    <row r="2032" spans="1:22" hidden="1">
      <c r="A2032">
        <v>2639</v>
      </c>
      <c r="B2032">
        <v>3469</v>
      </c>
      <c r="C2032">
        <v>2927</v>
      </c>
      <c r="D2032">
        <v>368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 t="s">
        <v>20</v>
      </c>
      <c r="L2032" s="1">
        <v>44274</v>
      </c>
      <c r="M2032">
        <v>17</v>
      </c>
      <c r="N2032">
        <v>54</v>
      </c>
      <c r="O2032">
        <v>529</v>
      </c>
      <c r="P2032">
        <v>529</v>
      </c>
      <c r="Q2032">
        <v>529</v>
      </c>
      <c r="S2032">
        <v>0</v>
      </c>
      <c r="T2032">
        <v>0</v>
      </c>
      <c r="U2032">
        <f>+SUM(Table1[[#This Row],[Latinos]:[Cemex]])</f>
        <v>1</v>
      </c>
      <c r="V2032" t="str">
        <f>+Table1[[#This Row],[id_destino]]&amp;" - "&amp;Table1[[#This Row],[id_origen]]</f>
        <v>17 - 54</v>
      </c>
    </row>
    <row r="2033" spans="1:22" hidden="1">
      <c r="A2033">
        <v>2186</v>
      </c>
      <c r="B2033">
        <v>2095</v>
      </c>
      <c r="C2033">
        <v>6244</v>
      </c>
      <c r="D2033">
        <v>19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  <c r="K2033" t="s">
        <v>20</v>
      </c>
      <c r="L2033" s="1">
        <v>43847</v>
      </c>
      <c r="M2033">
        <v>18</v>
      </c>
      <c r="N2033">
        <v>54</v>
      </c>
      <c r="O2033">
        <v>802</v>
      </c>
      <c r="P2033">
        <v>800</v>
      </c>
      <c r="Q2033">
        <v>802</v>
      </c>
      <c r="S2033">
        <v>766</v>
      </c>
      <c r="T2033">
        <v>766</v>
      </c>
      <c r="U2033">
        <f>+SUM(Table1[[#This Row],[Latinos]:[Cemex]])</f>
        <v>1</v>
      </c>
      <c r="V2033" t="str">
        <f>+Table1[[#This Row],[id_destino]]&amp;" - "&amp;Table1[[#This Row],[id_origen]]</f>
        <v>18 - 54</v>
      </c>
    </row>
    <row r="2034" spans="1:22" hidden="1">
      <c r="A2034">
        <v>2705</v>
      </c>
      <c r="B2034">
        <v>3512</v>
      </c>
      <c r="C2034">
        <v>2927</v>
      </c>
      <c r="D2034">
        <v>387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  <c r="K2034" t="s">
        <v>20</v>
      </c>
      <c r="L2034" s="1">
        <v>44364</v>
      </c>
      <c r="M2034">
        <v>30</v>
      </c>
      <c r="N2034">
        <v>54</v>
      </c>
      <c r="O2034">
        <v>766</v>
      </c>
      <c r="P2034">
        <v>766</v>
      </c>
      <c r="Q2034">
        <v>766</v>
      </c>
      <c r="S2034">
        <v>0</v>
      </c>
      <c r="T2034">
        <v>0</v>
      </c>
      <c r="U2034">
        <f>+SUM(Table1[[#This Row],[Latinos]:[Cemex]])</f>
        <v>1</v>
      </c>
      <c r="V2034" t="str">
        <f>+Table1[[#This Row],[id_destino]]&amp;" - "&amp;Table1[[#This Row],[id_origen]]</f>
        <v>30 - 54</v>
      </c>
    </row>
    <row r="2035" spans="1:22" hidden="1">
      <c r="A2035">
        <v>4622</v>
      </c>
      <c r="B2035">
        <v>3512</v>
      </c>
      <c r="C2035">
        <v>3460</v>
      </c>
      <c r="D2035">
        <v>5978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 t="s">
        <v>20</v>
      </c>
      <c r="L2035" s="1">
        <v>45682</v>
      </c>
      <c r="M2035">
        <v>30</v>
      </c>
      <c r="N2035">
        <v>54</v>
      </c>
      <c r="O2035">
        <v>863</v>
      </c>
      <c r="P2035">
        <v>863</v>
      </c>
      <c r="Q2035">
        <v>863</v>
      </c>
      <c r="S2035">
        <v>3735</v>
      </c>
      <c r="T2035">
        <v>4165</v>
      </c>
      <c r="U2035">
        <f>+SUM(Table1[[#This Row],[Latinos]:[Cemex]])</f>
        <v>1</v>
      </c>
      <c r="V2035" t="str">
        <f>+Table1[[#This Row],[id_destino]]&amp;" - "&amp;Table1[[#This Row],[id_origen]]</f>
        <v>30 - 54</v>
      </c>
    </row>
    <row r="2036" spans="1:22" hidden="1">
      <c r="A2036">
        <v>3596</v>
      </c>
      <c r="B2036">
        <v>4100</v>
      </c>
      <c r="C2036">
        <v>7166</v>
      </c>
      <c r="D2036">
        <v>7245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  <c r="K2036" t="s">
        <v>20</v>
      </c>
      <c r="L2036" s="1">
        <v>44975</v>
      </c>
      <c r="M2036">
        <v>31</v>
      </c>
      <c r="N2036">
        <v>54</v>
      </c>
      <c r="O2036">
        <v>973</v>
      </c>
      <c r="P2036">
        <v>979</v>
      </c>
      <c r="Q2036">
        <v>979</v>
      </c>
      <c r="S2036">
        <v>3817</v>
      </c>
      <c r="T2036">
        <v>4247</v>
      </c>
      <c r="U2036">
        <f>+SUM(Table1[[#This Row],[Latinos]:[Cemex]])</f>
        <v>1</v>
      </c>
      <c r="V2036" t="str">
        <f>+Table1[[#This Row],[id_destino]]&amp;" - "&amp;Table1[[#This Row],[id_origen]]</f>
        <v>31 - 54</v>
      </c>
    </row>
    <row r="2037" spans="1:22" hidden="1">
      <c r="A2037">
        <v>3166</v>
      </c>
      <c r="B2037">
        <v>3814</v>
      </c>
      <c r="C2037">
        <v>2927</v>
      </c>
      <c r="D2037">
        <v>4713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 t="s">
        <v>20</v>
      </c>
      <c r="L2037" s="1">
        <v>44823</v>
      </c>
      <c r="M2037">
        <v>34</v>
      </c>
      <c r="N2037">
        <v>54</v>
      </c>
      <c r="O2037">
        <v>0</v>
      </c>
      <c r="P2037">
        <v>150</v>
      </c>
      <c r="Q2037">
        <v>0</v>
      </c>
      <c r="S2037">
        <v>0</v>
      </c>
      <c r="T2037">
        <v>0</v>
      </c>
      <c r="U2037">
        <f>+SUM(Table1[[#This Row],[Latinos]:[Cemex]])</f>
        <v>1</v>
      </c>
      <c r="V2037" t="str">
        <f>+Table1[[#This Row],[id_destino]]&amp;" - "&amp;Table1[[#This Row],[id_origen]]</f>
        <v>34 - 54</v>
      </c>
    </row>
    <row r="2038" spans="1:22" hidden="1">
      <c r="A2038">
        <v>1562</v>
      </c>
      <c r="B2038">
        <v>2812</v>
      </c>
      <c r="C2038">
        <v>3460</v>
      </c>
      <c r="D2038">
        <v>5804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 t="s">
        <v>20</v>
      </c>
      <c r="L2038" s="1">
        <v>43508</v>
      </c>
      <c r="M2038">
        <v>37</v>
      </c>
      <c r="N2038">
        <v>54</v>
      </c>
      <c r="O2038">
        <v>1069</v>
      </c>
      <c r="P2038">
        <v>1113</v>
      </c>
      <c r="Q2038">
        <v>1069</v>
      </c>
      <c r="S2038">
        <v>1632</v>
      </c>
      <c r="T2038">
        <v>1632</v>
      </c>
      <c r="U2038">
        <f>+SUM(Table1[[#This Row],[Latinos]:[Cemex]])</f>
        <v>1</v>
      </c>
      <c r="V2038" t="str">
        <f>+Table1[[#This Row],[id_destino]]&amp;" - "&amp;Table1[[#This Row],[id_origen]]</f>
        <v>37 - 54</v>
      </c>
    </row>
    <row r="2039" spans="1:22" hidden="1">
      <c r="A2039">
        <v>3493</v>
      </c>
      <c r="B2039">
        <v>4025</v>
      </c>
      <c r="C2039">
        <v>3460</v>
      </c>
      <c r="D2039">
        <v>44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 t="s">
        <v>20</v>
      </c>
      <c r="L2039" s="1">
        <v>44925</v>
      </c>
      <c r="M2039">
        <v>38</v>
      </c>
      <c r="N2039">
        <v>54</v>
      </c>
      <c r="O2039">
        <v>762</v>
      </c>
      <c r="P2039">
        <v>1066</v>
      </c>
      <c r="Q2039">
        <v>762</v>
      </c>
      <c r="S2039">
        <v>2947</v>
      </c>
      <c r="T2039">
        <v>2947</v>
      </c>
      <c r="U2039">
        <f>+SUM(Table1[[#This Row],[Latinos]:[Cemex]])</f>
        <v>1</v>
      </c>
      <c r="V2039" t="str">
        <f>+Table1[[#This Row],[id_destino]]&amp;" - "&amp;Table1[[#This Row],[id_origen]]</f>
        <v>38 - 54</v>
      </c>
    </row>
    <row r="2040" spans="1:22" hidden="1">
      <c r="A2040">
        <v>3528</v>
      </c>
      <c r="B2040">
        <v>4025</v>
      </c>
      <c r="C2040">
        <v>7166</v>
      </c>
      <c r="D2040">
        <v>7189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  <c r="K2040" t="s">
        <v>20</v>
      </c>
      <c r="L2040" s="1">
        <v>44949</v>
      </c>
      <c r="M2040">
        <v>38</v>
      </c>
      <c r="N2040">
        <v>54</v>
      </c>
      <c r="O2040">
        <v>756</v>
      </c>
      <c r="P2040">
        <v>769</v>
      </c>
      <c r="Q2040">
        <v>756</v>
      </c>
      <c r="S2040">
        <v>865</v>
      </c>
      <c r="T2040">
        <v>865</v>
      </c>
      <c r="U2040">
        <f>+SUM(Table1[[#This Row],[Latinos]:[Cemex]])</f>
        <v>1</v>
      </c>
      <c r="V2040" t="str">
        <f>+Table1[[#This Row],[id_destino]]&amp;" - "&amp;Table1[[#This Row],[id_origen]]</f>
        <v>38 - 54</v>
      </c>
    </row>
    <row r="2041" spans="1:22" hidden="1">
      <c r="A2041">
        <v>1341</v>
      </c>
      <c r="B2041">
        <v>2699</v>
      </c>
      <c r="C2041">
        <v>2927</v>
      </c>
      <c r="D2041">
        <v>361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 t="s">
        <v>20</v>
      </c>
      <c r="L2041" s="1">
        <v>43391</v>
      </c>
      <c r="M2041">
        <v>43</v>
      </c>
      <c r="N2041">
        <v>54</v>
      </c>
      <c r="O2041">
        <v>1431</v>
      </c>
      <c r="P2041">
        <v>1431</v>
      </c>
      <c r="Q2041">
        <v>1431</v>
      </c>
      <c r="S2041">
        <v>2399</v>
      </c>
      <c r="T2041">
        <v>2399</v>
      </c>
      <c r="U2041">
        <f>+SUM(Table1[[#This Row],[Latinos]:[Cemex]])</f>
        <v>1</v>
      </c>
      <c r="V2041" t="str">
        <f>+Table1[[#This Row],[id_destino]]&amp;" - "&amp;Table1[[#This Row],[id_origen]]</f>
        <v>43 - 54</v>
      </c>
    </row>
    <row r="2042" spans="1:22" hidden="1">
      <c r="A2042">
        <v>2493</v>
      </c>
      <c r="B2042">
        <v>926</v>
      </c>
      <c r="C2042">
        <v>6440</v>
      </c>
      <c r="D2042">
        <v>5116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  <c r="K2042" t="s">
        <v>20</v>
      </c>
      <c r="L2042" s="1">
        <v>44933</v>
      </c>
      <c r="M2042">
        <v>52</v>
      </c>
      <c r="N2042">
        <v>54</v>
      </c>
      <c r="O2042">
        <v>120</v>
      </c>
      <c r="P2042">
        <v>150</v>
      </c>
      <c r="Q2042">
        <v>120</v>
      </c>
      <c r="S2042">
        <v>0</v>
      </c>
      <c r="T2042">
        <v>0</v>
      </c>
      <c r="U2042">
        <f>+SUM(Table1[[#This Row],[Latinos]:[Cemex]])</f>
        <v>1</v>
      </c>
      <c r="V2042" t="str">
        <f>+Table1[[#This Row],[id_destino]]&amp;" - "&amp;Table1[[#This Row],[id_origen]]</f>
        <v>52 - 54</v>
      </c>
    </row>
    <row r="2043" spans="1:22" hidden="1">
      <c r="A2043">
        <v>3582</v>
      </c>
      <c r="B2043">
        <v>4089</v>
      </c>
      <c r="C2043">
        <v>2927</v>
      </c>
      <c r="D2043">
        <v>1687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  <c r="K2043" t="s">
        <v>20</v>
      </c>
      <c r="L2043" s="1">
        <v>44967</v>
      </c>
      <c r="M2043">
        <v>53</v>
      </c>
      <c r="N2043">
        <v>54</v>
      </c>
      <c r="O2043">
        <v>284</v>
      </c>
      <c r="P2043">
        <v>291</v>
      </c>
      <c r="Q2043">
        <v>284</v>
      </c>
      <c r="S2043">
        <v>374</v>
      </c>
      <c r="T2043">
        <v>374</v>
      </c>
      <c r="U2043">
        <f>+SUM(Table1[[#This Row],[Latinos]:[Cemex]])</f>
        <v>1</v>
      </c>
      <c r="V2043" t="str">
        <f>+Table1[[#This Row],[id_destino]]&amp;" - "&amp;Table1[[#This Row],[id_origen]]</f>
        <v>53 - 54</v>
      </c>
    </row>
    <row r="2044" spans="1:22" hidden="1">
      <c r="A2044">
        <v>3500</v>
      </c>
      <c r="B2044">
        <v>4029</v>
      </c>
      <c r="C2044">
        <v>7166</v>
      </c>
      <c r="D2044">
        <v>7167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0</v>
      </c>
      <c r="K2044" t="s">
        <v>20</v>
      </c>
      <c r="L2044" s="1">
        <v>44933</v>
      </c>
      <c r="M2044">
        <v>54</v>
      </c>
      <c r="N2044">
        <v>54</v>
      </c>
      <c r="O2044">
        <v>29</v>
      </c>
      <c r="P2044">
        <v>150</v>
      </c>
      <c r="Q2044">
        <v>29</v>
      </c>
      <c r="S2044">
        <v>0</v>
      </c>
      <c r="T2044">
        <v>0</v>
      </c>
      <c r="U2044">
        <f>+SUM(Table1[[#This Row],[Latinos]:[Cemex]])</f>
        <v>1</v>
      </c>
      <c r="V2044" t="str">
        <f>+Table1[[#This Row],[id_destino]]&amp;" - "&amp;Table1[[#This Row],[id_origen]]</f>
        <v>54 - 54</v>
      </c>
    </row>
    <row r="2045" spans="1:22" hidden="1">
      <c r="A2045">
        <v>3560</v>
      </c>
      <c r="B2045">
        <v>4071</v>
      </c>
      <c r="C2045">
        <v>7166</v>
      </c>
      <c r="D2045">
        <v>7213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 t="s">
        <v>20</v>
      </c>
      <c r="L2045" s="1">
        <v>44957</v>
      </c>
      <c r="M2045">
        <v>71</v>
      </c>
      <c r="N2045">
        <v>54</v>
      </c>
      <c r="O2045">
        <v>795</v>
      </c>
      <c r="P2045">
        <v>795</v>
      </c>
      <c r="Q2045">
        <v>795</v>
      </c>
      <c r="S2045">
        <v>1293</v>
      </c>
      <c r="T2045">
        <v>1293</v>
      </c>
      <c r="U2045">
        <f>+SUM(Table1[[#This Row],[Latinos]:[Cemex]])</f>
        <v>1</v>
      </c>
      <c r="V2045" t="str">
        <f>+Table1[[#This Row],[id_destino]]&amp;" - "&amp;Table1[[#This Row],[id_origen]]</f>
        <v>71 - 54</v>
      </c>
    </row>
    <row r="2046" spans="1:22" hidden="1">
      <c r="A2046">
        <v>2379</v>
      </c>
      <c r="B2046">
        <v>861</v>
      </c>
      <c r="C2046">
        <v>2927</v>
      </c>
      <c r="D2046">
        <v>1780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 t="s">
        <v>20</v>
      </c>
      <c r="L2046" s="1">
        <v>44011</v>
      </c>
      <c r="M2046">
        <v>73</v>
      </c>
      <c r="N2046">
        <v>54</v>
      </c>
      <c r="O2046">
        <v>87</v>
      </c>
      <c r="P2046">
        <v>150</v>
      </c>
      <c r="Q2046">
        <v>87</v>
      </c>
      <c r="S2046">
        <v>0</v>
      </c>
      <c r="T2046">
        <v>0</v>
      </c>
      <c r="U2046">
        <f>+SUM(Table1[[#This Row],[Latinos]:[Cemex]])</f>
        <v>1</v>
      </c>
      <c r="V2046" t="str">
        <f>+Table1[[#This Row],[id_destino]]&amp;" - "&amp;Table1[[#This Row],[id_origen]]</f>
        <v>73 - 54</v>
      </c>
    </row>
    <row r="2047" spans="1:22" hidden="1">
      <c r="A2047">
        <v>1859</v>
      </c>
      <c r="B2047">
        <v>2977</v>
      </c>
      <c r="C2047">
        <v>3460</v>
      </c>
      <c r="D2047">
        <v>105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 t="s">
        <v>20</v>
      </c>
      <c r="L2047" s="1">
        <v>43670</v>
      </c>
      <c r="M2047">
        <v>75</v>
      </c>
      <c r="N2047">
        <v>54</v>
      </c>
      <c r="O2047">
        <v>817</v>
      </c>
      <c r="P2047">
        <v>818</v>
      </c>
      <c r="Q2047">
        <v>817</v>
      </c>
      <c r="S2047">
        <v>918</v>
      </c>
      <c r="T2047">
        <v>918</v>
      </c>
      <c r="U2047">
        <f>+SUM(Table1[[#This Row],[Latinos]:[Cemex]])</f>
        <v>1</v>
      </c>
      <c r="V2047" t="str">
        <f>+Table1[[#This Row],[id_destino]]&amp;" - "&amp;Table1[[#This Row],[id_origen]]</f>
        <v>75 - 54</v>
      </c>
    </row>
    <row r="2048" spans="1:22" hidden="1">
      <c r="A2048">
        <v>1536</v>
      </c>
      <c r="B2048">
        <v>2798</v>
      </c>
      <c r="C2048">
        <v>3460</v>
      </c>
      <c r="D2048">
        <v>210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0</v>
      </c>
      <c r="K2048" t="s">
        <v>20</v>
      </c>
      <c r="L2048" s="1">
        <v>43497</v>
      </c>
      <c r="M2048">
        <v>81</v>
      </c>
      <c r="N2048">
        <v>54</v>
      </c>
      <c r="O2048">
        <v>955</v>
      </c>
      <c r="P2048">
        <v>957</v>
      </c>
      <c r="Q2048">
        <v>955</v>
      </c>
      <c r="S2048">
        <v>1299</v>
      </c>
      <c r="T2048">
        <v>1299</v>
      </c>
      <c r="U2048">
        <f>+SUM(Table1[[#This Row],[Latinos]:[Cemex]])</f>
        <v>1</v>
      </c>
      <c r="V2048" t="str">
        <f>+Table1[[#This Row],[id_destino]]&amp;" - "&amp;Table1[[#This Row],[id_origen]]</f>
        <v>81 - 54</v>
      </c>
    </row>
    <row r="2049" spans="1:22" hidden="1">
      <c r="A2049">
        <v>625</v>
      </c>
      <c r="B2049">
        <v>2371</v>
      </c>
      <c r="C2049">
        <v>2927</v>
      </c>
      <c r="D2049">
        <v>5285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 t="s">
        <v>20</v>
      </c>
      <c r="L2049" s="1">
        <v>43118</v>
      </c>
      <c r="M2049">
        <v>83</v>
      </c>
      <c r="N2049">
        <v>54</v>
      </c>
      <c r="O2049">
        <v>92</v>
      </c>
      <c r="P2049">
        <v>150</v>
      </c>
      <c r="Q2049">
        <v>92</v>
      </c>
      <c r="S2049">
        <v>0</v>
      </c>
      <c r="T2049">
        <v>0</v>
      </c>
      <c r="U2049">
        <f>+SUM(Table1[[#This Row],[Latinos]:[Cemex]])</f>
        <v>1</v>
      </c>
      <c r="V2049" t="str">
        <f>+Table1[[#This Row],[id_destino]]&amp;" - "&amp;Table1[[#This Row],[id_origen]]</f>
        <v>83 - 54</v>
      </c>
    </row>
    <row r="2050" spans="1:22" hidden="1">
      <c r="A2050">
        <v>982</v>
      </c>
      <c r="B2050">
        <v>2531</v>
      </c>
      <c r="C2050">
        <v>2927</v>
      </c>
      <c r="D2050">
        <v>5472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 t="s">
        <v>20</v>
      </c>
      <c r="L2050" s="1">
        <v>43237</v>
      </c>
      <c r="M2050">
        <v>102</v>
      </c>
      <c r="N2050">
        <v>54</v>
      </c>
      <c r="O2050">
        <v>389</v>
      </c>
      <c r="P2050">
        <v>389</v>
      </c>
      <c r="Q2050">
        <v>389</v>
      </c>
      <c r="S2050">
        <v>0</v>
      </c>
      <c r="T2050">
        <v>0</v>
      </c>
      <c r="U2050">
        <f>+SUM(Table1[[#This Row],[Latinos]:[Cemex]])</f>
        <v>1</v>
      </c>
      <c r="V2050" t="str">
        <f>+Table1[[#This Row],[id_destino]]&amp;" - "&amp;Table1[[#This Row],[id_origen]]</f>
        <v>102 - 54</v>
      </c>
    </row>
    <row r="2051" spans="1:22" hidden="1">
      <c r="A2051">
        <v>155</v>
      </c>
      <c r="B2051">
        <v>2234</v>
      </c>
      <c r="C2051">
        <v>3460</v>
      </c>
      <c r="D2051">
        <v>1555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 t="s">
        <v>20</v>
      </c>
      <c r="L2051" s="1">
        <v>43003</v>
      </c>
      <c r="M2051">
        <v>107</v>
      </c>
      <c r="N2051">
        <v>54</v>
      </c>
      <c r="O2051">
        <v>568</v>
      </c>
      <c r="P2051">
        <v>620</v>
      </c>
      <c r="Q2051">
        <v>568</v>
      </c>
      <c r="S2051">
        <v>0</v>
      </c>
      <c r="T2051">
        <v>0</v>
      </c>
      <c r="U2051">
        <f>+SUM(Table1[[#This Row],[Latinos]:[Cemex]])</f>
        <v>1</v>
      </c>
      <c r="V2051" t="str">
        <f>+Table1[[#This Row],[id_destino]]&amp;" - "&amp;Table1[[#This Row],[id_origen]]</f>
        <v>107 - 54</v>
      </c>
    </row>
    <row r="2052" spans="1:22" hidden="1">
      <c r="A2052">
        <v>1267</v>
      </c>
      <c r="B2052">
        <v>2661</v>
      </c>
      <c r="C2052">
        <v>3460</v>
      </c>
      <c r="D2052">
        <v>5442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 t="s">
        <v>20</v>
      </c>
      <c r="L2052" s="1">
        <v>43357</v>
      </c>
      <c r="M2052">
        <v>120</v>
      </c>
      <c r="N2052">
        <v>54</v>
      </c>
      <c r="O2052">
        <v>1762</v>
      </c>
      <c r="P2052">
        <v>1762</v>
      </c>
      <c r="Q2052">
        <v>1762</v>
      </c>
      <c r="S2052">
        <v>2499</v>
      </c>
      <c r="T2052">
        <v>2499</v>
      </c>
      <c r="U2052">
        <f>+SUM(Table1[[#This Row],[Latinos]:[Cemex]])</f>
        <v>1</v>
      </c>
      <c r="V2052" t="str">
        <f>+Table1[[#This Row],[id_destino]]&amp;" - "&amp;Table1[[#This Row],[id_origen]]</f>
        <v>120 - 54</v>
      </c>
    </row>
    <row r="2053" spans="1:22" hidden="1">
      <c r="A2053">
        <v>3165</v>
      </c>
      <c r="B2053">
        <v>3813</v>
      </c>
      <c r="C2053">
        <v>2927</v>
      </c>
      <c r="D2053">
        <v>2867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  <c r="K2053" t="s">
        <v>20</v>
      </c>
      <c r="L2053" s="1">
        <v>44750</v>
      </c>
      <c r="M2053">
        <v>130</v>
      </c>
      <c r="N2053">
        <v>54</v>
      </c>
      <c r="O2053">
        <v>434</v>
      </c>
      <c r="P2053">
        <v>434</v>
      </c>
      <c r="Q2053">
        <v>434</v>
      </c>
      <c r="S2053">
        <v>0</v>
      </c>
      <c r="T2053">
        <v>0</v>
      </c>
      <c r="U2053">
        <f>+SUM(Table1[[#This Row],[Latinos]:[Cemex]])</f>
        <v>1</v>
      </c>
      <c r="V2053" t="str">
        <f>+Table1[[#This Row],[id_destino]]&amp;" - "&amp;Table1[[#This Row],[id_origen]]</f>
        <v>130 - 54</v>
      </c>
    </row>
    <row r="2054" spans="1:22" hidden="1">
      <c r="A2054">
        <v>3597</v>
      </c>
      <c r="B2054">
        <v>4101</v>
      </c>
      <c r="C2054">
        <v>7166</v>
      </c>
      <c r="D2054">
        <v>7244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K2054" t="s">
        <v>20</v>
      </c>
      <c r="L2054" s="1">
        <v>44975</v>
      </c>
      <c r="M2054">
        <v>179</v>
      </c>
      <c r="N2054">
        <v>54</v>
      </c>
      <c r="O2054">
        <v>1642</v>
      </c>
      <c r="P2054">
        <v>1644</v>
      </c>
      <c r="Q2054">
        <v>1644</v>
      </c>
      <c r="S2054">
        <v>4726</v>
      </c>
      <c r="T2054">
        <v>5244</v>
      </c>
      <c r="U2054">
        <f>+SUM(Table1[[#This Row],[Latinos]:[Cemex]])</f>
        <v>1</v>
      </c>
      <c r="V2054" t="str">
        <f>+Table1[[#This Row],[id_destino]]&amp;" - "&amp;Table1[[#This Row],[id_origen]]</f>
        <v>179 - 54</v>
      </c>
    </row>
    <row r="2055" spans="1:22" hidden="1">
      <c r="A2055">
        <v>980</v>
      </c>
      <c r="B2055">
        <v>2529</v>
      </c>
      <c r="C2055">
        <v>2927</v>
      </c>
      <c r="D2055">
        <v>405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K2055" t="s">
        <v>20</v>
      </c>
      <c r="L2055" s="1">
        <v>43237</v>
      </c>
      <c r="M2055">
        <v>180</v>
      </c>
      <c r="N2055">
        <v>54</v>
      </c>
      <c r="O2055">
        <v>297</v>
      </c>
      <c r="P2055">
        <v>297</v>
      </c>
      <c r="Q2055">
        <v>297</v>
      </c>
      <c r="S2055">
        <v>0</v>
      </c>
      <c r="T2055">
        <v>0</v>
      </c>
      <c r="U2055">
        <f>+SUM(Table1[[#This Row],[Latinos]:[Cemex]])</f>
        <v>1</v>
      </c>
      <c r="V2055" t="str">
        <f>+Table1[[#This Row],[id_destino]]&amp;" - "&amp;Table1[[#This Row],[id_origen]]</f>
        <v>180 - 54</v>
      </c>
    </row>
    <row r="2056" spans="1:22" hidden="1">
      <c r="A2056">
        <v>1999</v>
      </c>
      <c r="B2056">
        <v>381</v>
      </c>
      <c r="C2056">
        <v>3460</v>
      </c>
      <c r="D2056">
        <v>3000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 t="s">
        <v>20</v>
      </c>
      <c r="L2056" s="1">
        <v>43757</v>
      </c>
      <c r="M2056">
        <v>183</v>
      </c>
      <c r="N2056">
        <v>54</v>
      </c>
      <c r="O2056">
        <v>752</v>
      </c>
      <c r="P2056">
        <v>759</v>
      </c>
      <c r="Q2056">
        <v>752</v>
      </c>
      <c r="S2056">
        <v>988</v>
      </c>
      <c r="T2056">
        <v>988</v>
      </c>
      <c r="U2056">
        <f>+SUM(Table1[[#This Row],[Latinos]:[Cemex]])</f>
        <v>1</v>
      </c>
      <c r="V2056" t="str">
        <f>+Table1[[#This Row],[id_destino]]&amp;" - "&amp;Table1[[#This Row],[id_origen]]</f>
        <v>183 - 54</v>
      </c>
    </row>
    <row r="2057" spans="1:22" hidden="1">
      <c r="A2057">
        <v>2306</v>
      </c>
      <c r="B2057">
        <v>3261</v>
      </c>
      <c r="C2057">
        <v>3460</v>
      </c>
      <c r="D2057">
        <v>5067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  <c r="K2057" t="s">
        <v>20</v>
      </c>
      <c r="L2057" s="1">
        <v>43920</v>
      </c>
      <c r="M2057">
        <v>188</v>
      </c>
      <c r="N2057">
        <v>54</v>
      </c>
      <c r="O2057">
        <v>829</v>
      </c>
      <c r="P2057">
        <v>818</v>
      </c>
      <c r="Q2057">
        <v>829</v>
      </c>
      <c r="S2057">
        <v>536</v>
      </c>
      <c r="T2057">
        <v>596</v>
      </c>
      <c r="U2057">
        <f>+SUM(Table1[[#This Row],[Latinos]:[Cemex]])</f>
        <v>1</v>
      </c>
      <c r="V2057" t="str">
        <f>+Table1[[#This Row],[id_destino]]&amp;" - "&amp;Table1[[#This Row],[id_origen]]</f>
        <v>188 - 54</v>
      </c>
    </row>
    <row r="2058" spans="1:22" hidden="1">
      <c r="A2058">
        <v>1163</v>
      </c>
      <c r="B2058">
        <v>2609</v>
      </c>
      <c r="C2058">
        <v>3460</v>
      </c>
      <c r="D2058">
        <v>5649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  <c r="K2058" t="s">
        <v>20</v>
      </c>
      <c r="L2058" s="1">
        <v>43325</v>
      </c>
      <c r="M2058">
        <v>238</v>
      </c>
      <c r="N2058">
        <v>54</v>
      </c>
      <c r="O2058">
        <v>441</v>
      </c>
      <c r="P2058">
        <v>441</v>
      </c>
      <c r="Q2058">
        <v>441</v>
      </c>
      <c r="S2058">
        <v>0</v>
      </c>
      <c r="T2058">
        <v>0</v>
      </c>
      <c r="U2058">
        <f>+SUM(Table1[[#This Row],[Latinos]:[Cemex]])</f>
        <v>1</v>
      </c>
      <c r="V2058" t="str">
        <f>+Table1[[#This Row],[id_destino]]&amp;" - "&amp;Table1[[#This Row],[id_origen]]</f>
        <v>238 - 54</v>
      </c>
    </row>
    <row r="2059" spans="1:22" hidden="1">
      <c r="A2059">
        <v>4736</v>
      </c>
      <c r="B2059">
        <v>4875</v>
      </c>
      <c r="C2059">
        <v>3460</v>
      </c>
      <c r="D2059">
        <v>2871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 t="s">
        <v>20</v>
      </c>
      <c r="L2059" s="1">
        <v>45775</v>
      </c>
      <c r="M2059">
        <v>318</v>
      </c>
      <c r="N2059">
        <v>54</v>
      </c>
      <c r="O2059">
        <v>802</v>
      </c>
      <c r="P2059">
        <v>802</v>
      </c>
      <c r="Q2059">
        <v>802</v>
      </c>
      <c r="S2059">
        <v>1270</v>
      </c>
      <c r="T2059">
        <v>1270</v>
      </c>
      <c r="U2059">
        <f>+SUM(Table1[[#This Row],[Latinos]:[Cemex]])</f>
        <v>1</v>
      </c>
      <c r="V2059" t="str">
        <f>+Table1[[#This Row],[id_destino]]&amp;" - "&amp;Table1[[#This Row],[id_origen]]</f>
        <v>318 - 54</v>
      </c>
    </row>
    <row r="2060" spans="1:22" hidden="1">
      <c r="A2060">
        <v>881</v>
      </c>
      <c r="B2060">
        <v>2493</v>
      </c>
      <c r="C2060">
        <v>63</v>
      </c>
      <c r="D2060">
        <v>4270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 t="s">
        <v>20</v>
      </c>
      <c r="L2060" s="1">
        <v>43202</v>
      </c>
      <c r="M2060">
        <v>1</v>
      </c>
      <c r="N2060">
        <v>55</v>
      </c>
      <c r="O2060">
        <v>905</v>
      </c>
      <c r="P2060">
        <v>905</v>
      </c>
      <c r="Q2060">
        <v>905</v>
      </c>
      <c r="S2060">
        <v>807</v>
      </c>
      <c r="T2060">
        <v>807</v>
      </c>
      <c r="U2060">
        <f>+SUM(Table1[[#This Row],[Latinos]:[Cemex]])</f>
        <v>1</v>
      </c>
      <c r="V2060" t="str">
        <f>+Table1[[#This Row],[id_destino]]&amp;" - "&amp;Table1[[#This Row],[id_origen]]</f>
        <v>1 - 55</v>
      </c>
    </row>
    <row r="2061" spans="1:22" hidden="1">
      <c r="A2061">
        <v>113</v>
      </c>
      <c r="B2061">
        <v>732</v>
      </c>
      <c r="C2061">
        <v>63</v>
      </c>
      <c r="D2061">
        <v>469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 t="s">
        <v>20</v>
      </c>
      <c r="L2061" s="1">
        <v>44606</v>
      </c>
      <c r="M2061">
        <v>2</v>
      </c>
      <c r="N2061">
        <v>55</v>
      </c>
      <c r="O2061">
        <v>44</v>
      </c>
      <c r="P2061">
        <v>150</v>
      </c>
      <c r="Q2061">
        <v>44</v>
      </c>
      <c r="S2061">
        <v>0</v>
      </c>
      <c r="T2061">
        <v>0</v>
      </c>
      <c r="U2061">
        <f>+SUM(Table1[[#This Row],[Latinos]:[Cemex]])</f>
        <v>1</v>
      </c>
      <c r="V2061" t="str">
        <f>+Table1[[#This Row],[id_destino]]&amp;" - "&amp;Table1[[#This Row],[id_origen]]</f>
        <v>2 - 55</v>
      </c>
    </row>
    <row r="2062" spans="1:22" hidden="1">
      <c r="A2062">
        <v>611</v>
      </c>
      <c r="B2062">
        <v>732</v>
      </c>
      <c r="C2062">
        <v>63</v>
      </c>
      <c r="D2062">
        <v>469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 t="s">
        <v>20</v>
      </c>
      <c r="L2062" s="1">
        <v>43115</v>
      </c>
      <c r="M2062">
        <v>2</v>
      </c>
      <c r="N2062">
        <v>55</v>
      </c>
      <c r="O2062">
        <v>49</v>
      </c>
      <c r="P2062">
        <v>150</v>
      </c>
      <c r="Q2062">
        <v>49</v>
      </c>
      <c r="S2062">
        <v>0</v>
      </c>
      <c r="T2062">
        <v>0</v>
      </c>
      <c r="U2062">
        <f>+SUM(Table1[[#This Row],[Latinos]:[Cemex]])</f>
        <v>1</v>
      </c>
      <c r="V2062" t="str">
        <f>+Table1[[#This Row],[id_destino]]&amp;" - "&amp;Table1[[#This Row],[id_origen]]</f>
        <v>2 - 55</v>
      </c>
    </row>
    <row r="2063" spans="1:22" hidden="1">
      <c r="A2063">
        <v>694</v>
      </c>
      <c r="B2063">
        <v>732</v>
      </c>
      <c r="C2063">
        <v>63</v>
      </c>
      <c r="D2063">
        <v>469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 t="s">
        <v>20</v>
      </c>
      <c r="L2063" s="1">
        <v>43132</v>
      </c>
      <c r="M2063">
        <v>2</v>
      </c>
      <c r="N2063">
        <v>55</v>
      </c>
      <c r="O2063">
        <v>49</v>
      </c>
      <c r="P2063">
        <v>150</v>
      </c>
      <c r="Q2063">
        <v>49</v>
      </c>
      <c r="S2063">
        <v>0</v>
      </c>
      <c r="T2063">
        <v>0</v>
      </c>
      <c r="U2063">
        <f>+SUM(Table1[[#This Row],[Latinos]:[Cemex]])</f>
        <v>1</v>
      </c>
      <c r="V2063" t="str">
        <f>+Table1[[#This Row],[id_destino]]&amp;" - "&amp;Table1[[#This Row],[id_origen]]</f>
        <v>2 - 55</v>
      </c>
    </row>
    <row r="2064" spans="1:22" hidden="1">
      <c r="A2064">
        <v>2614</v>
      </c>
      <c r="B2064">
        <v>3454</v>
      </c>
      <c r="C2064">
        <v>63</v>
      </c>
      <c r="D2064">
        <v>1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 t="s">
        <v>20</v>
      </c>
      <c r="L2064" s="1">
        <v>44245</v>
      </c>
      <c r="M2064">
        <v>3</v>
      </c>
      <c r="N2064">
        <v>55</v>
      </c>
      <c r="O2064">
        <v>765</v>
      </c>
      <c r="P2064">
        <v>763</v>
      </c>
      <c r="Q2064">
        <v>765</v>
      </c>
      <c r="S2064">
        <v>1824</v>
      </c>
      <c r="T2064">
        <v>1824</v>
      </c>
      <c r="U2064">
        <f>+SUM(Table1[[#This Row],[Latinos]:[Cemex]])</f>
        <v>1</v>
      </c>
      <c r="V2064" t="str">
        <f>+Table1[[#This Row],[id_destino]]&amp;" - "&amp;Table1[[#This Row],[id_origen]]</f>
        <v>3 - 55</v>
      </c>
    </row>
    <row r="2065" spans="1:22" hidden="1">
      <c r="A2065">
        <v>889</v>
      </c>
      <c r="B2065">
        <v>462</v>
      </c>
      <c r="C2065">
        <v>63</v>
      </c>
      <c r="D2065">
        <v>4632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 t="s">
        <v>20</v>
      </c>
      <c r="L2065" s="1">
        <v>43204</v>
      </c>
      <c r="M2065">
        <v>4</v>
      </c>
      <c r="N2065">
        <v>55</v>
      </c>
      <c r="O2065">
        <v>852</v>
      </c>
      <c r="P2065">
        <v>852</v>
      </c>
      <c r="Q2065">
        <v>852</v>
      </c>
      <c r="S2065">
        <v>1880</v>
      </c>
      <c r="T2065">
        <v>1880</v>
      </c>
      <c r="U2065">
        <f>+SUM(Table1[[#This Row],[Latinos]:[Cemex]])</f>
        <v>1</v>
      </c>
      <c r="V2065" t="str">
        <f>+Table1[[#This Row],[id_destino]]&amp;" - "&amp;Table1[[#This Row],[id_origen]]</f>
        <v>4 - 55</v>
      </c>
    </row>
    <row r="2066" spans="1:22" hidden="1">
      <c r="A2066">
        <v>3687</v>
      </c>
      <c r="B2066">
        <v>4164</v>
      </c>
      <c r="C2066">
        <v>1296</v>
      </c>
      <c r="D2066">
        <v>353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  <c r="K2066" t="s">
        <v>20</v>
      </c>
      <c r="L2066" s="1">
        <v>45030</v>
      </c>
      <c r="M2066">
        <v>7</v>
      </c>
      <c r="N2066">
        <v>55</v>
      </c>
      <c r="O2066">
        <v>1678</v>
      </c>
      <c r="P2066">
        <v>1678</v>
      </c>
      <c r="Q2066">
        <v>1678</v>
      </c>
      <c r="S2066">
        <v>2082</v>
      </c>
      <c r="T2066">
        <v>2082</v>
      </c>
      <c r="U2066">
        <f>+SUM(Table1[[#This Row],[Latinos]:[Cemex]])</f>
        <v>1</v>
      </c>
      <c r="V2066" t="str">
        <f>+Table1[[#This Row],[id_destino]]&amp;" - "&amp;Table1[[#This Row],[id_origen]]</f>
        <v>7 - 55</v>
      </c>
    </row>
    <row r="2067" spans="1:22" hidden="1">
      <c r="A2067">
        <v>4098</v>
      </c>
      <c r="B2067">
        <v>1655</v>
      </c>
      <c r="C2067">
        <v>63</v>
      </c>
      <c r="D2067">
        <v>6562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 t="s">
        <v>20</v>
      </c>
      <c r="L2067" s="1">
        <v>45286</v>
      </c>
      <c r="M2067">
        <v>12</v>
      </c>
      <c r="N2067">
        <v>55</v>
      </c>
      <c r="O2067">
        <v>500</v>
      </c>
      <c r="P2067">
        <v>501</v>
      </c>
      <c r="Q2067">
        <v>500</v>
      </c>
      <c r="S2067">
        <v>1922</v>
      </c>
      <c r="T2067">
        <v>1922</v>
      </c>
      <c r="U2067">
        <f>+SUM(Table1[[#This Row],[Latinos]:[Cemex]])</f>
        <v>1</v>
      </c>
      <c r="V2067" t="str">
        <f>+Table1[[#This Row],[id_destino]]&amp;" - "&amp;Table1[[#This Row],[id_origen]]</f>
        <v>12 - 55</v>
      </c>
    </row>
    <row r="2068" spans="1:22" hidden="1">
      <c r="A2068">
        <v>1850</v>
      </c>
      <c r="B2068">
        <v>2970</v>
      </c>
      <c r="C2068">
        <v>63</v>
      </c>
      <c r="D2068">
        <v>2885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 t="s">
        <v>20</v>
      </c>
      <c r="L2068" s="1">
        <v>43668</v>
      </c>
      <c r="M2068">
        <v>17</v>
      </c>
      <c r="N2068">
        <v>55</v>
      </c>
      <c r="O2068">
        <v>914</v>
      </c>
      <c r="P2068">
        <v>914</v>
      </c>
      <c r="Q2068">
        <v>914</v>
      </c>
      <c r="S2068">
        <v>671</v>
      </c>
      <c r="T2068">
        <v>671</v>
      </c>
      <c r="U2068">
        <f>+SUM(Table1[[#This Row],[Latinos]:[Cemex]])</f>
        <v>1</v>
      </c>
      <c r="V2068" t="str">
        <f>+Table1[[#This Row],[id_destino]]&amp;" - "&amp;Table1[[#This Row],[id_origen]]</f>
        <v>17 - 55</v>
      </c>
    </row>
    <row r="2069" spans="1:22" hidden="1">
      <c r="A2069">
        <v>820</v>
      </c>
      <c r="B2069">
        <v>1407</v>
      </c>
      <c r="C2069">
        <v>63</v>
      </c>
      <c r="D2069">
        <v>829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 t="s">
        <v>20</v>
      </c>
      <c r="L2069" s="1">
        <v>43176</v>
      </c>
      <c r="M2069">
        <v>19</v>
      </c>
      <c r="N2069">
        <v>55</v>
      </c>
      <c r="O2069">
        <v>97</v>
      </c>
      <c r="P2069">
        <v>150</v>
      </c>
      <c r="Q2069">
        <v>97</v>
      </c>
      <c r="S2069">
        <v>148</v>
      </c>
      <c r="T2069">
        <v>148</v>
      </c>
      <c r="U2069">
        <f>+SUM(Table1[[#This Row],[Latinos]:[Cemex]])</f>
        <v>1</v>
      </c>
      <c r="V2069" t="str">
        <f>+Table1[[#This Row],[id_destino]]&amp;" - "&amp;Table1[[#This Row],[id_origen]]</f>
        <v>19 - 55</v>
      </c>
    </row>
    <row r="2070" spans="1:22" hidden="1">
      <c r="A2070">
        <v>4093</v>
      </c>
      <c r="B2070">
        <v>4416</v>
      </c>
      <c r="C2070">
        <v>63</v>
      </c>
      <c r="D2070">
        <v>5644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  <c r="K2070" t="s">
        <v>20</v>
      </c>
      <c r="L2070" s="1">
        <v>45280</v>
      </c>
      <c r="M2070">
        <v>20</v>
      </c>
      <c r="N2070">
        <v>55</v>
      </c>
      <c r="O2070">
        <v>91</v>
      </c>
      <c r="P2070">
        <v>100</v>
      </c>
      <c r="Q2070">
        <v>91</v>
      </c>
      <c r="S2070">
        <v>129</v>
      </c>
      <c r="T2070">
        <v>129</v>
      </c>
      <c r="U2070">
        <f>+SUM(Table1[[#This Row],[Latinos]:[Cemex]])</f>
        <v>1</v>
      </c>
      <c r="V2070" t="str">
        <f>+Table1[[#This Row],[id_destino]]&amp;" - "&amp;Table1[[#This Row],[id_origen]]</f>
        <v>20 - 55</v>
      </c>
    </row>
    <row r="2071" spans="1:22" hidden="1">
      <c r="A2071">
        <v>967</v>
      </c>
      <c r="B2071">
        <v>97</v>
      </c>
      <c r="C2071">
        <v>63</v>
      </c>
      <c r="D2071">
        <v>4455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 t="s">
        <v>20</v>
      </c>
      <c r="L2071" s="1">
        <v>44259</v>
      </c>
      <c r="M2071">
        <v>23</v>
      </c>
      <c r="N2071">
        <v>55</v>
      </c>
      <c r="O2071">
        <v>554</v>
      </c>
      <c r="P2071">
        <v>554</v>
      </c>
      <c r="Q2071">
        <v>554</v>
      </c>
      <c r="S2071">
        <v>2255</v>
      </c>
      <c r="T2071">
        <v>2255</v>
      </c>
      <c r="U2071">
        <f>+SUM(Table1[[#This Row],[Latinos]:[Cemex]])</f>
        <v>1</v>
      </c>
      <c r="V2071" t="str">
        <f>+Table1[[#This Row],[id_destino]]&amp;" - "&amp;Table1[[#This Row],[id_origen]]</f>
        <v>23 - 55</v>
      </c>
    </row>
    <row r="2072" spans="1:22" hidden="1">
      <c r="A2072">
        <v>62</v>
      </c>
      <c r="B2072">
        <v>2000</v>
      </c>
      <c r="C2072">
        <v>63</v>
      </c>
      <c r="D2072">
        <v>4768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 t="s">
        <v>20</v>
      </c>
      <c r="L2072" s="1">
        <v>42986</v>
      </c>
      <c r="M2072">
        <v>24</v>
      </c>
      <c r="N2072">
        <v>55</v>
      </c>
      <c r="O2072">
        <v>848</v>
      </c>
      <c r="P2072">
        <v>848</v>
      </c>
      <c r="Q2072">
        <v>848</v>
      </c>
      <c r="S2072">
        <v>2255</v>
      </c>
      <c r="T2072">
        <v>2318</v>
      </c>
      <c r="U2072">
        <f>+SUM(Table1[[#This Row],[Latinos]:[Cemex]])</f>
        <v>1</v>
      </c>
      <c r="V2072" t="str">
        <f>+Table1[[#This Row],[id_destino]]&amp;" - "&amp;Table1[[#This Row],[id_origen]]</f>
        <v>24 - 55</v>
      </c>
    </row>
    <row r="2073" spans="1:22" hidden="1">
      <c r="A2073">
        <v>3153</v>
      </c>
      <c r="B2073">
        <v>2000</v>
      </c>
      <c r="C2073">
        <v>63</v>
      </c>
      <c r="D2073">
        <v>6851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 t="s">
        <v>20</v>
      </c>
      <c r="L2073" s="1">
        <v>44742</v>
      </c>
      <c r="M2073">
        <v>24</v>
      </c>
      <c r="N2073">
        <v>55</v>
      </c>
      <c r="O2073">
        <v>848</v>
      </c>
      <c r="P2073">
        <v>848</v>
      </c>
      <c r="Q2073">
        <v>848</v>
      </c>
      <c r="S2073">
        <v>2663</v>
      </c>
      <c r="T2073">
        <v>2729</v>
      </c>
      <c r="U2073">
        <f>+SUM(Table1[[#This Row],[Latinos]:[Cemex]])</f>
        <v>1</v>
      </c>
      <c r="V2073" t="str">
        <f>+Table1[[#This Row],[id_destino]]&amp;" - "&amp;Table1[[#This Row],[id_origen]]</f>
        <v>24 - 55</v>
      </c>
    </row>
    <row r="2074" spans="1:22" hidden="1">
      <c r="A2074">
        <v>4743</v>
      </c>
      <c r="B2074">
        <v>2000</v>
      </c>
      <c r="C2074">
        <v>63</v>
      </c>
      <c r="D2074">
        <v>6851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0</v>
      </c>
      <c r="K2074" t="s">
        <v>20</v>
      </c>
      <c r="L2074" s="1">
        <v>45777</v>
      </c>
      <c r="M2074">
        <v>24</v>
      </c>
      <c r="N2074">
        <v>55</v>
      </c>
      <c r="O2074">
        <v>843</v>
      </c>
      <c r="P2074">
        <v>843</v>
      </c>
      <c r="Q2074">
        <v>843</v>
      </c>
      <c r="S2074">
        <v>3640</v>
      </c>
      <c r="T2074">
        <v>3731</v>
      </c>
      <c r="U2074">
        <f>+SUM(Table1[[#This Row],[Latinos]:[Cemex]])</f>
        <v>1</v>
      </c>
      <c r="V2074" t="str">
        <f>+Table1[[#This Row],[id_destino]]&amp;" - "&amp;Table1[[#This Row],[id_origen]]</f>
        <v>24 - 55</v>
      </c>
    </row>
    <row r="2075" spans="1:22" hidden="1">
      <c r="A2075">
        <v>1072</v>
      </c>
      <c r="B2075">
        <v>1824</v>
      </c>
      <c r="C2075">
        <v>63</v>
      </c>
      <c r="D2075">
        <v>5612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 t="s">
        <v>20</v>
      </c>
      <c r="L2075" s="1">
        <v>43311</v>
      </c>
      <c r="M2075">
        <v>26</v>
      </c>
      <c r="N2075">
        <v>55</v>
      </c>
      <c r="O2075">
        <v>554</v>
      </c>
      <c r="P2075">
        <v>567</v>
      </c>
      <c r="Q2075">
        <v>554</v>
      </c>
      <c r="S2075">
        <v>2389</v>
      </c>
      <c r="T2075">
        <v>2389</v>
      </c>
      <c r="U2075">
        <f>+SUM(Table1[[#This Row],[Latinos]:[Cemex]])</f>
        <v>1</v>
      </c>
      <c r="V2075" t="str">
        <f>+Table1[[#This Row],[id_destino]]&amp;" - "&amp;Table1[[#This Row],[id_origen]]</f>
        <v>26 - 55</v>
      </c>
    </row>
    <row r="2076" spans="1:22" hidden="1">
      <c r="A2076">
        <v>1248</v>
      </c>
      <c r="B2076">
        <v>2654</v>
      </c>
      <c r="C2076">
        <v>63</v>
      </c>
      <c r="D2076">
        <v>5279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 t="s">
        <v>20</v>
      </c>
      <c r="L2076" s="1">
        <v>43353</v>
      </c>
      <c r="M2076">
        <v>27</v>
      </c>
      <c r="N2076">
        <v>55</v>
      </c>
      <c r="O2076">
        <v>883</v>
      </c>
      <c r="P2076">
        <v>883</v>
      </c>
      <c r="Q2076">
        <v>883</v>
      </c>
      <c r="S2076">
        <v>2019</v>
      </c>
      <c r="T2076">
        <v>2019</v>
      </c>
      <c r="U2076">
        <f>+SUM(Table1[[#This Row],[Latinos]:[Cemex]])</f>
        <v>1</v>
      </c>
      <c r="V2076" t="str">
        <f>+Table1[[#This Row],[id_destino]]&amp;" - "&amp;Table1[[#This Row],[id_origen]]</f>
        <v>27 - 55</v>
      </c>
    </row>
    <row r="2077" spans="1:22" hidden="1">
      <c r="A2077">
        <v>2565</v>
      </c>
      <c r="B2077">
        <v>2654</v>
      </c>
      <c r="C2077">
        <v>63</v>
      </c>
      <c r="D2077">
        <v>6486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 t="s">
        <v>20</v>
      </c>
      <c r="L2077" s="1">
        <v>44181</v>
      </c>
      <c r="M2077">
        <v>27</v>
      </c>
      <c r="N2077">
        <v>55</v>
      </c>
      <c r="O2077">
        <v>883</v>
      </c>
      <c r="P2077">
        <v>883</v>
      </c>
      <c r="Q2077">
        <v>883</v>
      </c>
      <c r="S2077">
        <v>2241</v>
      </c>
      <c r="T2077">
        <v>2241</v>
      </c>
      <c r="U2077">
        <f>+SUM(Table1[[#This Row],[Latinos]:[Cemex]])</f>
        <v>1</v>
      </c>
      <c r="V2077" t="str">
        <f>+Table1[[#This Row],[id_destino]]&amp;" - "&amp;Table1[[#This Row],[id_origen]]</f>
        <v>27 - 55</v>
      </c>
    </row>
    <row r="2078" spans="1:22" hidden="1">
      <c r="A2078">
        <v>1268</v>
      </c>
      <c r="B2078">
        <v>1081</v>
      </c>
      <c r="C2078">
        <v>63</v>
      </c>
      <c r="D2078">
        <v>3618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 t="s">
        <v>20</v>
      </c>
      <c r="L2078" s="1">
        <v>43357</v>
      </c>
      <c r="M2078">
        <v>35</v>
      </c>
      <c r="N2078">
        <v>55</v>
      </c>
      <c r="O2078">
        <v>419</v>
      </c>
      <c r="P2078">
        <v>419</v>
      </c>
      <c r="Q2078">
        <v>419</v>
      </c>
      <c r="S2078">
        <v>1125</v>
      </c>
      <c r="T2078">
        <v>1125</v>
      </c>
      <c r="U2078">
        <f>+SUM(Table1[[#This Row],[Latinos]:[Cemex]])</f>
        <v>1</v>
      </c>
      <c r="V2078" t="str">
        <f>+Table1[[#This Row],[id_destino]]&amp;" - "&amp;Table1[[#This Row],[id_origen]]</f>
        <v>35 - 55</v>
      </c>
    </row>
    <row r="2079" spans="1:22" hidden="1">
      <c r="A2079">
        <v>3510</v>
      </c>
      <c r="B2079">
        <v>1081</v>
      </c>
      <c r="C2079">
        <v>63</v>
      </c>
      <c r="D2079">
        <v>53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 t="s">
        <v>20</v>
      </c>
      <c r="L2079" s="1">
        <v>44939</v>
      </c>
      <c r="M2079">
        <v>35</v>
      </c>
      <c r="N2079">
        <v>55</v>
      </c>
      <c r="O2079">
        <v>386</v>
      </c>
      <c r="P2079">
        <v>395</v>
      </c>
      <c r="Q2079">
        <v>386</v>
      </c>
      <c r="S2079">
        <v>1138</v>
      </c>
      <c r="T2079">
        <v>1143</v>
      </c>
      <c r="U2079">
        <f>+SUM(Table1[[#This Row],[Latinos]:[Cemex]])</f>
        <v>1</v>
      </c>
      <c r="V2079" t="str">
        <f>+Table1[[#This Row],[id_destino]]&amp;" - "&amp;Table1[[#This Row],[id_origen]]</f>
        <v>35 - 55</v>
      </c>
    </row>
    <row r="2080" spans="1:22" hidden="1">
      <c r="A2080">
        <v>3746</v>
      </c>
      <c r="B2080">
        <v>4197</v>
      </c>
      <c r="C2080">
        <v>63</v>
      </c>
      <c r="D2080">
        <v>556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 t="s">
        <v>20</v>
      </c>
      <c r="L2080" s="1">
        <v>45065</v>
      </c>
      <c r="M2080">
        <v>36</v>
      </c>
      <c r="N2080">
        <v>55</v>
      </c>
      <c r="O2080">
        <v>281</v>
      </c>
      <c r="P2080">
        <v>280</v>
      </c>
      <c r="Q2080">
        <v>281</v>
      </c>
      <c r="S2080">
        <v>844</v>
      </c>
      <c r="T2080">
        <v>850</v>
      </c>
      <c r="U2080">
        <f>+SUM(Table1[[#This Row],[Latinos]:[Cemex]])</f>
        <v>1</v>
      </c>
      <c r="V2080" t="str">
        <f>+Table1[[#This Row],[id_destino]]&amp;" - "&amp;Table1[[#This Row],[id_origen]]</f>
        <v>36 - 55</v>
      </c>
    </row>
    <row r="2081" spans="1:22" hidden="1">
      <c r="A2081">
        <v>2354</v>
      </c>
      <c r="B2081">
        <v>3293</v>
      </c>
      <c r="C2081">
        <v>63</v>
      </c>
      <c r="D2081">
        <v>45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 t="s">
        <v>20</v>
      </c>
      <c r="L2081" s="1">
        <v>43976</v>
      </c>
      <c r="M2081">
        <v>39</v>
      </c>
      <c r="N2081">
        <v>55</v>
      </c>
      <c r="O2081">
        <v>426</v>
      </c>
      <c r="P2081">
        <v>426</v>
      </c>
      <c r="Q2081">
        <v>426</v>
      </c>
      <c r="S2081">
        <v>1151</v>
      </c>
      <c r="T2081">
        <v>1151</v>
      </c>
      <c r="U2081">
        <f>+SUM(Table1[[#This Row],[Latinos]:[Cemex]])</f>
        <v>1</v>
      </c>
      <c r="V2081" t="str">
        <f>+Table1[[#This Row],[id_destino]]&amp;" - "&amp;Table1[[#This Row],[id_origen]]</f>
        <v>39 - 55</v>
      </c>
    </row>
    <row r="2082" spans="1:22" hidden="1">
      <c r="A2082">
        <v>4143</v>
      </c>
      <c r="B2082">
        <v>1549</v>
      </c>
      <c r="C2082">
        <v>63</v>
      </c>
      <c r="D2082">
        <v>49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 t="s">
        <v>20</v>
      </c>
      <c r="L2082" s="1">
        <v>45316</v>
      </c>
      <c r="M2082">
        <v>43</v>
      </c>
      <c r="N2082">
        <v>55</v>
      </c>
      <c r="O2082">
        <v>620</v>
      </c>
      <c r="P2082">
        <v>609</v>
      </c>
      <c r="Q2082">
        <v>620</v>
      </c>
      <c r="S2082">
        <v>1810</v>
      </c>
      <c r="T2082">
        <v>1810</v>
      </c>
      <c r="U2082">
        <f>+SUM(Table1[[#This Row],[Latinos]:[Cemex]])</f>
        <v>1</v>
      </c>
      <c r="V2082" t="str">
        <f>+Table1[[#This Row],[id_destino]]&amp;" - "&amp;Table1[[#This Row],[id_origen]]</f>
        <v>43 - 55</v>
      </c>
    </row>
    <row r="2083" spans="1:22" hidden="1">
      <c r="A2083">
        <v>1022</v>
      </c>
      <c r="B2083">
        <v>961</v>
      </c>
      <c r="C2083">
        <v>63</v>
      </c>
      <c r="D2083">
        <v>230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 t="s">
        <v>20</v>
      </c>
      <c r="L2083" s="1">
        <v>43252</v>
      </c>
      <c r="M2083">
        <v>47</v>
      </c>
      <c r="N2083">
        <v>55</v>
      </c>
      <c r="O2083">
        <v>176</v>
      </c>
      <c r="P2083">
        <v>153</v>
      </c>
      <c r="Q2083">
        <v>176</v>
      </c>
      <c r="S2083">
        <v>503</v>
      </c>
      <c r="T2083">
        <v>503</v>
      </c>
      <c r="U2083">
        <f>+SUM(Table1[[#This Row],[Latinos]:[Cemex]])</f>
        <v>1</v>
      </c>
      <c r="V2083" t="str">
        <f>+Table1[[#This Row],[id_destino]]&amp;" - "&amp;Table1[[#This Row],[id_origen]]</f>
        <v>47 - 55</v>
      </c>
    </row>
    <row r="2084" spans="1:22" hidden="1">
      <c r="A2084">
        <v>3171</v>
      </c>
      <c r="B2084">
        <v>3820</v>
      </c>
      <c r="C2084">
        <v>63</v>
      </c>
      <c r="D2084">
        <v>6657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 t="s">
        <v>20</v>
      </c>
      <c r="L2084" s="1">
        <v>44755</v>
      </c>
      <c r="M2084">
        <v>52</v>
      </c>
      <c r="N2084">
        <v>55</v>
      </c>
      <c r="O2084">
        <v>904</v>
      </c>
      <c r="P2084">
        <v>914</v>
      </c>
      <c r="Q2084">
        <v>904</v>
      </c>
      <c r="S2084">
        <v>1346</v>
      </c>
      <c r="T2084">
        <v>1346</v>
      </c>
      <c r="U2084">
        <f>+SUM(Table1[[#This Row],[Latinos]:[Cemex]])</f>
        <v>1</v>
      </c>
      <c r="V2084" t="str">
        <f>+Table1[[#This Row],[id_destino]]&amp;" - "&amp;Table1[[#This Row],[id_origen]]</f>
        <v>52 - 55</v>
      </c>
    </row>
    <row r="2085" spans="1:22" hidden="1">
      <c r="A2085">
        <v>1759</v>
      </c>
      <c r="B2085">
        <v>2921</v>
      </c>
      <c r="C2085">
        <v>5922</v>
      </c>
      <c r="D2085">
        <v>5922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 t="s">
        <v>20</v>
      </c>
      <c r="L2085" s="1">
        <v>43606</v>
      </c>
      <c r="M2085">
        <v>55</v>
      </c>
      <c r="N2085">
        <v>55</v>
      </c>
      <c r="O2085">
        <v>50</v>
      </c>
      <c r="P2085">
        <v>150</v>
      </c>
      <c r="Q2085">
        <v>50</v>
      </c>
      <c r="S2085">
        <v>0</v>
      </c>
      <c r="T2085">
        <v>0</v>
      </c>
      <c r="U2085">
        <f>+SUM(Table1[[#This Row],[Latinos]:[Cemex]])</f>
        <v>1</v>
      </c>
      <c r="V2085" t="str">
        <f>+Table1[[#This Row],[id_destino]]&amp;" - "&amp;Table1[[#This Row],[id_origen]]</f>
        <v>55 - 55</v>
      </c>
    </row>
    <row r="2086" spans="1:22" hidden="1">
      <c r="A2086">
        <v>1997</v>
      </c>
      <c r="B2086">
        <v>2921</v>
      </c>
      <c r="C2086">
        <v>63</v>
      </c>
      <c r="D2086">
        <v>5927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  <c r="K2086" t="s">
        <v>20</v>
      </c>
      <c r="L2086" s="1">
        <v>43757</v>
      </c>
      <c r="M2086">
        <v>55</v>
      </c>
      <c r="N2086">
        <v>55</v>
      </c>
      <c r="O2086">
        <v>15</v>
      </c>
      <c r="P2086">
        <v>150</v>
      </c>
      <c r="Q2086">
        <v>15</v>
      </c>
      <c r="S2086">
        <v>0</v>
      </c>
      <c r="T2086">
        <v>0</v>
      </c>
      <c r="U2086">
        <f>+SUM(Table1[[#This Row],[Latinos]:[Cemex]])</f>
        <v>1</v>
      </c>
      <c r="V2086" t="str">
        <f>+Table1[[#This Row],[id_destino]]&amp;" - "&amp;Table1[[#This Row],[id_origen]]</f>
        <v>55 - 55</v>
      </c>
    </row>
    <row r="2087" spans="1:22" hidden="1">
      <c r="A2087">
        <v>3792</v>
      </c>
      <c r="B2087">
        <v>1239</v>
      </c>
      <c r="C2087">
        <v>1296</v>
      </c>
      <c r="D2087">
        <v>7384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  <c r="K2087" t="s">
        <v>20</v>
      </c>
      <c r="L2087" s="1">
        <v>45094</v>
      </c>
      <c r="M2087">
        <v>59</v>
      </c>
      <c r="N2087">
        <v>55</v>
      </c>
      <c r="O2087">
        <v>471</v>
      </c>
      <c r="P2087">
        <v>488</v>
      </c>
      <c r="Q2087">
        <v>471</v>
      </c>
      <c r="S2087">
        <v>1681</v>
      </c>
      <c r="T2087">
        <v>1681</v>
      </c>
      <c r="U2087">
        <f>+SUM(Table1[[#This Row],[Latinos]:[Cemex]])</f>
        <v>1</v>
      </c>
      <c r="V2087" t="str">
        <f>+Table1[[#This Row],[id_destino]]&amp;" - "&amp;Table1[[#This Row],[id_origen]]</f>
        <v>59 - 55</v>
      </c>
    </row>
    <row r="2088" spans="1:22" hidden="1">
      <c r="A2088">
        <v>1206</v>
      </c>
      <c r="B2088">
        <v>2633</v>
      </c>
      <c r="C2088">
        <v>63</v>
      </c>
      <c r="D2088">
        <v>5673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 t="s">
        <v>20</v>
      </c>
      <c r="L2088" s="1">
        <v>43341</v>
      </c>
      <c r="M2088">
        <v>65</v>
      </c>
      <c r="N2088">
        <v>55</v>
      </c>
      <c r="O2088">
        <v>156</v>
      </c>
      <c r="P2088">
        <v>156</v>
      </c>
      <c r="Q2088">
        <v>156</v>
      </c>
      <c r="S2088">
        <v>368</v>
      </c>
      <c r="T2088">
        <v>368</v>
      </c>
      <c r="U2088">
        <f>+SUM(Table1[[#This Row],[Latinos]:[Cemex]])</f>
        <v>1</v>
      </c>
      <c r="V2088" t="str">
        <f>+Table1[[#This Row],[id_destino]]&amp;" - "&amp;Table1[[#This Row],[id_origen]]</f>
        <v>65 - 55</v>
      </c>
    </row>
    <row r="2089" spans="1:22" hidden="1">
      <c r="A2089">
        <v>3064</v>
      </c>
      <c r="B2089">
        <v>1156</v>
      </c>
      <c r="C2089">
        <v>63</v>
      </c>
      <c r="D2089">
        <v>6912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 t="s">
        <v>20</v>
      </c>
      <c r="L2089" s="1">
        <v>44712</v>
      </c>
      <c r="M2089">
        <v>71</v>
      </c>
      <c r="N2089">
        <v>55</v>
      </c>
      <c r="O2089">
        <v>557</v>
      </c>
      <c r="P2089">
        <v>561</v>
      </c>
      <c r="Q2089">
        <v>557</v>
      </c>
      <c r="S2089">
        <v>2255</v>
      </c>
      <c r="T2089">
        <v>2255</v>
      </c>
      <c r="U2089">
        <f>+SUM(Table1[[#This Row],[Latinos]:[Cemex]])</f>
        <v>1</v>
      </c>
      <c r="V2089" t="str">
        <f>+Table1[[#This Row],[id_destino]]&amp;" - "&amp;Table1[[#This Row],[id_origen]]</f>
        <v>71 - 55</v>
      </c>
    </row>
    <row r="2090" spans="1:22" hidden="1">
      <c r="A2090">
        <v>882</v>
      </c>
      <c r="B2090">
        <v>2103</v>
      </c>
      <c r="C2090">
        <v>63</v>
      </c>
      <c r="D2090">
        <v>846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 t="s">
        <v>20</v>
      </c>
      <c r="L2090" s="1">
        <v>43202</v>
      </c>
      <c r="M2090">
        <v>72</v>
      </c>
      <c r="N2090">
        <v>55</v>
      </c>
      <c r="O2090">
        <v>81</v>
      </c>
      <c r="P2090">
        <v>150</v>
      </c>
      <c r="Q2090">
        <v>81</v>
      </c>
      <c r="S2090">
        <v>246</v>
      </c>
      <c r="T2090">
        <v>315</v>
      </c>
      <c r="U2090">
        <f>+SUM(Table1[[#This Row],[Latinos]:[Cemex]])</f>
        <v>1</v>
      </c>
      <c r="V2090" t="str">
        <f>+Table1[[#This Row],[id_destino]]&amp;" - "&amp;Table1[[#This Row],[id_origen]]</f>
        <v>72 - 55</v>
      </c>
    </row>
    <row r="2091" spans="1:22" hidden="1">
      <c r="A2091">
        <v>3149</v>
      </c>
      <c r="B2091">
        <v>2103</v>
      </c>
      <c r="C2091">
        <v>63</v>
      </c>
      <c r="D2091">
        <v>846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 t="s">
        <v>20</v>
      </c>
      <c r="L2091" s="1">
        <v>44740</v>
      </c>
      <c r="M2091">
        <v>72</v>
      </c>
      <c r="N2091">
        <v>55</v>
      </c>
      <c r="O2091">
        <v>84</v>
      </c>
      <c r="P2091">
        <v>150</v>
      </c>
      <c r="Q2091">
        <v>84</v>
      </c>
      <c r="S2091">
        <v>149</v>
      </c>
      <c r="T2091">
        <v>188</v>
      </c>
      <c r="U2091">
        <f>+SUM(Table1[[#This Row],[Latinos]:[Cemex]])</f>
        <v>1</v>
      </c>
      <c r="V2091" t="str">
        <f>+Table1[[#This Row],[id_destino]]&amp;" - "&amp;Table1[[#This Row],[id_origen]]</f>
        <v>72 - 55</v>
      </c>
    </row>
    <row r="2092" spans="1:22" hidden="1">
      <c r="A2092">
        <v>3397</v>
      </c>
      <c r="B2092">
        <v>750</v>
      </c>
      <c r="C2092">
        <v>63</v>
      </c>
      <c r="D2092">
        <v>2476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 t="s">
        <v>20</v>
      </c>
      <c r="L2092" s="1">
        <v>44869</v>
      </c>
      <c r="M2092">
        <v>73</v>
      </c>
      <c r="N2092">
        <v>55</v>
      </c>
      <c r="O2092">
        <v>920</v>
      </c>
      <c r="P2092">
        <v>905</v>
      </c>
      <c r="Q2092">
        <v>920</v>
      </c>
      <c r="S2092">
        <v>922</v>
      </c>
      <c r="T2092">
        <v>922</v>
      </c>
      <c r="U2092">
        <f>+SUM(Table1[[#This Row],[Latinos]:[Cemex]])</f>
        <v>1</v>
      </c>
      <c r="V2092" t="str">
        <f>+Table1[[#This Row],[id_destino]]&amp;" - "&amp;Table1[[#This Row],[id_origen]]</f>
        <v>73 - 55</v>
      </c>
    </row>
    <row r="2093" spans="1:22" hidden="1">
      <c r="A2093">
        <v>105</v>
      </c>
      <c r="B2093">
        <v>956</v>
      </c>
      <c r="C2093">
        <v>63</v>
      </c>
      <c r="D2093">
        <v>2891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0</v>
      </c>
      <c r="K2093" t="s">
        <v>20</v>
      </c>
      <c r="L2093" s="1">
        <v>45820</v>
      </c>
      <c r="M2093">
        <v>79</v>
      </c>
      <c r="N2093">
        <v>55</v>
      </c>
      <c r="O2093">
        <v>218</v>
      </c>
      <c r="P2093">
        <v>205</v>
      </c>
      <c r="Q2093">
        <v>218</v>
      </c>
      <c r="S2093">
        <v>450</v>
      </c>
      <c r="T2093">
        <v>455</v>
      </c>
      <c r="U2093">
        <f>+SUM(Table1[[#This Row],[Latinos]:[Cemex]])</f>
        <v>1</v>
      </c>
      <c r="V2093" t="str">
        <f>+Table1[[#This Row],[id_destino]]&amp;" - "&amp;Table1[[#This Row],[id_origen]]</f>
        <v>79 - 55</v>
      </c>
    </row>
    <row r="2094" spans="1:22" hidden="1">
      <c r="A2094">
        <v>526</v>
      </c>
      <c r="B2094">
        <v>956</v>
      </c>
      <c r="C2094">
        <v>63</v>
      </c>
      <c r="D2094">
        <v>4328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 t="s">
        <v>20</v>
      </c>
      <c r="L2094" s="1">
        <v>43088</v>
      </c>
      <c r="M2094">
        <v>79</v>
      </c>
      <c r="N2094">
        <v>55</v>
      </c>
      <c r="O2094">
        <v>223</v>
      </c>
      <c r="P2094">
        <v>223</v>
      </c>
      <c r="Q2094">
        <v>223</v>
      </c>
      <c r="S2094">
        <v>335</v>
      </c>
      <c r="T2094">
        <v>335</v>
      </c>
      <c r="U2094">
        <f>+SUM(Table1[[#This Row],[Latinos]:[Cemex]])</f>
        <v>1</v>
      </c>
      <c r="V2094" t="str">
        <f>+Table1[[#This Row],[id_destino]]&amp;" - "&amp;Table1[[#This Row],[id_origen]]</f>
        <v>79 - 55</v>
      </c>
    </row>
    <row r="2095" spans="1:22" hidden="1">
      <c r="A2095">
        <v>3093</v>
      </c>
      <c r="B2095">
        <v>3747</v>
      </c>
      <c r="C2095">
        <v>63</v>
      </c>
      <c r="D2095">
        <v>6913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 t="s">
        <v>20</v>
      </c>
      <c r="L2095" s="1">
        <v>44722</v>
      </c>
      <c r="M2095">
        <v>84</v>
      </c>
      <c r="N2095">
        <v>55</v>
      </c>
      <c r="O2095">
        <v>966</v>
      </c>
      <c r="P2095">
        <v>954</v>
      </c>
      <c r="Q2095">
        <v>966</v>
      </c>
      <c r="S2095">
        <v>941</v>
      </c>
      <c r="T2095">
        <v>941</v>
      </c>
      <c r="U2095">
        <f>+SUM(Table1[[#This Row],[Latinos]:[Cemex]])</f>
        <v>1</v>
      </c>
      <c r="V2095" t="str">
        <f>+Table1[[#This Row],[id_destino]]&amp;" - "&amp;Table1[[#This Row],[id_origen]]</f>
        <v>84 - 55</v>
      </c>
    </row>
    <row r="2096" spans="1:22" hidden="1">
      <c r="A2096">
        <v>3815</v>
      </c>
      <c r="B2096">
        <v>2132</v>
      </c>
      <c r="C2096">
        <v>63</v>
      </c>
      <c r="D2096">
        <v>7402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 t="s">
        <v>20</v>
      </c>
      <c r="L2096" s="1">
        <v>45107</v>
      </c>
      <c r="M2096">
        <v>87</v>
      </c>
      <c r="N2096">
        <v>55</v>
      </c>
      <c r="O2096">
        <v>682</v>
      </c>
      <c r="P2096">
        <v>688</v>
      </c>
      <c r="Q2096">
        <v>682</v>
      </c>
      <c r="S2096">
        <v>2780</v>
      </c>
      <c r="T2096">
        <v>2780</v>
      </c>
      <c r="U2096">
        <f>+SUM(Table1[[#This Row],[Latinos]:[Cemex]])</f>
        <v>1</v>
      </c>
      <c r="V2096" t="str">
        <f>+Table1[[#This Row],[id_destino]]&amp;" - "&amp;Table1[[#This Row],[id_origen]]</f>
        <v>87 - 55</v>
      </c>
    </row>
    <row r="2097" spans="1:22" hidden="1">
      <c r="A2097">
        <v>2663</v>
      </c>
      <c r="B2097">
        <v>3486</v>
      </c>
      <c r="C2097">
        <v>63</v>
      </c>
      <c r="D2097">
        <v>6569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 t="s">
        <v>20</v>
      </c>
      <c r="L2097" s="1">
        <v>44314</v>
      </c>
      <c r="M2097">
        <v>88</v>
      </c>
      <c r="N2097">
        <v>55</v>
      </c>
      <c r="O2097">
        <v>238</v>
      </c>
      <c r="P2097">
        <v>225</v>
      </c>
      <c r="Q2097">
        <v>238</v>
      </c>
      <c r="S2097">
        <v>501</v>
      </c>
      <c r="T2097">
        <v>501</v>
      </c>
      <c r="U2097">
        <f>+SUM(Table1[[#This Row],[Latinos]:[Cemex]])</f>
        <v>1</v>
      </c>
      <c r="V2097" t="str">
        <f>+Table1[[#This Row],[id_destino]]&amp;" - "&amp;Table1[[#This Row],[id_origen]]</f>
        <v>88 - 55</v>
      </c>
    </row>
    <row r="2098" spans="1:22" hidden="1">
      <c r="A2098">
        <v>3021</v>
      </c>
      <c r="B2098">
        <v>1643</v>
      </c>
      <c r="C2098">
        <v>63</v>
      </c>
      <c r="D2098">
        <v>3987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 t="s">
        <v>20</v>
      </c>
      <c r="L2098" s="1">
        <v>44692</v>
      </c>
      <c r="M2098">
        <v>107</v>
      </c>
      <c r="N2098">
        <v>55</v>
      </c>
      <c r="O2098">
        <v>408</v>
      </c>
      <c r="P2098">
        <v>388</v>
      </c>
      <c r="Q2098">
        <v>408</v>
      </c>
      <c r="S2098">
        <v>1755</v>
      </c>
      <c r="T2098">
        <v>1755</v>
      </c>
      <c r="U2098">
        <f>+SUM(Table1[[#This Row],[Latinos]:[Cemex]])</f>
        <v>1</v>
      </c>
      <c r="V2098" t="str">
        <f>+Table1[[#This Row],[id_destino]]&amp;" - "&amp;Table1[[#This Row],[id_origen]]</f>
        <v>107 - 55</v>
      </c>
    </row>
    <row r="2099" spans="1:22" hidden="1">
      <c r="A2099">
        <v>1</v>
      </c>
      <c r="B2099">
        <v>2220</v>
      </c>
      <c r="C2099">
        <v>63</v>
      </c>
      <c r="D2099">
        <v>4173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 t="s">
        <v>20</v>
      </c>
      <c r="L2099" s="1">
        <v>42982</v>
      </c>
      <c r="M2099">
        <v>116</v>
      </c>
      <c r="N2099">
        <v>55</v>
      </c>
      <c r="O2099">
        <v>190</v>
      </c>
      <c r="P2099">
        <v>190</v>
      </c>
      <c r="Q2099">
        <v>189</v>
      </c>
      <c r="S2099">
        <v>256</v>
      </c>
      <c r="T2099">
        <v>256</v>
      </c>
      <c r="U2099">
        <f>+SUM(Table1[[#This Row],[Latinos]:[Cemex]])</f>
        <v>1</v>
      </c>
      <c r="V2099" t="str">
        <f>+Table1[[#This Row],[id_destino]]&amp;" - "&amp;Table1[[#This Row],[id_origen]]</f>
        <v>116 - 55</v>
      </c>
    </row>
    <row r="2100" spans="1:22" hidden="1">
      <c r="A2100">
        <v>3304</v>
      </c>
      <c r="B2100">
        <v>3896</v>
      </c>
      <c r="C2100">
        <v>63</v>
      </c>
      <c r="D2100">
        <v>7041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 t="s">
        <v>20</v>
      </c>
      <c r="L2100" s="1">
        <v>44824</v>
      </c>
      <c r="M2100">
        <v>118</v>
      </c>
      <c r="N2100">
        <v>55</v>
      </c>
      <c r="O2100">
        <v>2954</v>
      </c>
      <c r="P2100">
        <v>2862</v>
      </c>
      <c r="Q2100">
        <v>2862</v>
      </c>
      <c r="S2100">
        <v>5750</v>
      </c>
      <c r="T2100">
        <v>5892</v>
      </c>
      <c r="U2100">
        <f>+SUM(Table1[[#This Row],[Latinos]:[Cemex]])</f>
        <v>1</v>
      </c>
      <c r="V2100" t="str">
        <f>+Table1[[#This Row],[id_destino]]&amp;" - "&amp;Table1[[#This Row],[id_origen]]</f>
        <v>118 - 55</v>
      </c>
    </row>
    <row r="2101" spans="1:22" hidden="1">
      <c r="A2101">
        <v>2268</v>
      </c>
      <c r="B2101">
        <v>1550</v>
      </c>
      <c r="C2101">
        <v>63</v>
      </c>
      <c r="D2101">
        <v>47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 t="s">
        <v>20</v>
      </c>
      <c r="L2101" s="1">
        <v>43889</v>
      </c>
      <c r="M2101">
        <v>129</v>
      </c>
      <c r="N2101">
        <v>55</v>
      </c>
      <c r="O2101">
        <v>495</v>
      </c>
      <c r="P2101">
        <v>478</v>
      </c>
      <c r="Q2101">
        <v>495</v>
      </c>
      <c r="S2101">
        <v>1008</v>
      </c>
      <c r="T2101">
        <v>1008</v>
      </c>
      <c r="U2101">
        <f>+SUM(Table1[[#This Row],[Latinos]:[Cemex]])</f>
        <v>1</v>
      </c>
      <c r="V2101" t="str">
        <f>+Table1[[#This Row],[id_destino]]&amp;" - "&amp;Table1[[#This Row],[id_origen]]</f>
        <v>129 - 55</v>
      </c>
    </row>
    <row r="2102" spans="1:22" hidden="1">
      <c r="A2102">
        <v>2295</v>
      </c>
      <c r="B2102">
        <v>872</v>
      </c>
      <c r="C2102">
        <v>63</v>
      </c>
      <c r="D2102">
        <v>5979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 t="s">
        <v>20</v>
      </c>
      <c r="L2102" s="1">
        <v>43914</v>
      </c>
      <c r="M2102">
        <v>136</v>
      </c>
      <c r="N2102">
        <v>55</v>
      </c>
      <c r="O2102">
        <v>137</v>
      </c>
      <c r="P2102">
        <v>140</v>
      </c>
      <c r="Q2102">
        <v>137</v>
      </c>
      <c r="S2102">
        <v>407</v>
      </c>
      <c r="T2102">
        <v>407</v>
      </c>
      <c r="U2102">
        <f>+SUM(Table1[[#This Row],[Latinos]:[Cemex]])</f>
        <v>1</v>
      </c>
      <c r="V2102" t="str">
        <f>+Table1[[#This Row],[id_destino]]&amp;" - "&amp;Table1[[#This Row],[id_origen]]</f>
        <v>136 - 55</v>
      </c>
    </row>
    <row r="2103" spans="1:22" hidden="1">
      <c r="A2103">
        <v>2791</v>
      </c>
      <c r="B2103">
        <v>3566</v>
      </c>
      <c r="C2103">
        <v>63</v>
      </c>
      <c r="D2103">
        <v>6661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 t="s">
        <v>20</v>
      </c>
      <c r="L2103" s="1">
        <v>44445</v>
      </c>
      <c r="M2103">
        <v>140</v>
      </c>
      <c r="N2103">
        <v>55</v>
      </c>
      <c r="O2103">
        <v>993</v>
      </c>
      <c r="P2103">
        <v>991</v>
      </c>
      <c r="Q2103">
        <v>991</v>
      </c>
      <c r="S2103">
        <v>2078</v>
      </c>
      <c r="T2103">
        <v>2078</v>
      </c>
      <c r="U2103">
        <f>+SUM(Table1[[#This Row],[Latinos]:[Cemex]])</f>
        <v>1</v>
      </c>
      <c r="V2103" t="str">
        <f>+Table1[[#This Row],[id_destino]]&amp;" - "&amp;Table1[[#This Row],[id_origen]]</f>
        <v>140 - 55</v>
      </c>
    </row>
    <row r="2104" spans="1:22" hidden="1">
      <c r="A2104">
        <v>3911</v>
      </c>
      <c r="B2104">
        <v>4296</v>
      </c>
      <c r="C2104">
        <v>63</v>
      </c>
      <c r="D2104">
        <v>5672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 t="s">
        <v>20</v>
      </c>
      <c r="L2104" s="1">
        <v>45176</v>
      </c>
      <c r="M2104">
        <v>145</v>
      </c>
      <c r="N2104">
        <v>55</v>
      </c>
      <c r="O2104">
        <v>754</v>
      </c>
      <c r="P2104">
        <v>760</v>
      </c>
      <c r="Q2104">
        <v>754</v>
      </c>
      <c r="S2104">
        <v>3043</v>
      </c>
      <c r="T2104">
        <v>3043</v>
      </c>
      <c r="U2104">
        <f>+SUM(Table1[[#This Row],[Latinos]:[Cemex]])</f>
        <v>1</v>
      </c>
      <c r="V2104" t="str">
        <f>+Table1[[#This Row],[id_destino]]&amp;" - "&amp;Table1[[#This Row],[id_origen]]</f>
        <v>145 - 55</v>
      </c>
    </row>
    <row r="2105" spans="1:22" hidden="1">
      <c r="A2105">
        <v>3522</v>
      </c>
      <c r="B2105">
        <v>1598</v>
      </c>
      <c r="C2105">
        <v>7082</v>
      </c>
      <c r="D2105">
        <v>2506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 t="s">
        <v>20</v>
      </c>
      <c r="L2105" s="1">
        <v>44945</v>
      </c>
      <c r="M2105">
        <v>225</v>
      </c>
      <c r="N2105">
        <v>55</v>
      </c>
      <c r="O2105">
        <v>1569</v>
      </c>
      <c r="P2105">
        <v>1586</v>
      </c>
      <c r="Q2105">
        <v>1569</v>
      </c>
      <c r="S2105">
        <v>1912</v>
      </c>
      <c r="T2105">
        <v>1912</v>
      </c>
      <c r="U2105">
        <f>+SUM(Table1[[#This Row],[Latinos]:[Cemex]])</f>
        <v>1</v>
      </c>
      <c r="V2105" t="str">
        <f>+Table1[[#This Row],[id_destino]]&amp;" - "&amp;Table1[[#This Row],[id_origen]]</f>
        <v>225 - 55</v>
      </c>
    </row>
    <row r="2106" spans="1:22" hidden="1">
      <c r="A2106">
        <v>2248</v>
      </c>
      <c r="B2106">
        <v>942</v>
      </c>
      <c r="C2106">
        <v>1296</v>
      </c>
      <c r="D2106">
        <v>6170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 t="s">
        <v>20</v>
      </c>
      <c r="L2106" s="1">
        <v>45357</v>
      </c>
      <c r="M2106">
        <v>239</v>
      </c>
      <c r="N2106">
        <v>55</v>
      </c>
      <c r="O2106">
        <v>223</v>
      </c>
      <c r="P2106">
        <v>206</v>
      </c>
      <c r="Q2106">
        <v>223</v>
      </c>
      <c r="S2106">
        <v>0</v>
      </c>
      <c r="T2106">
        <v>0</v>
      </c>
      <c r="U2106">
        <f>+SUM(Table1[[#This Row],[Latinos]:[Cemex]])</f>
        <v>1</v>
      </c>
      <c r="V2106" t="str">
        <f>+Table1[[#This Row],[id_destino]]&amp;" - "&amp;Table1[[#This Row],[id_origen]]</f>
        <v>239 - 55</v>
      </c>
    </row>
    <row r="2107" spans="1:22" hidden="1">
      <c r="A2107">
        <v>2660</v>
      </c>
      <c r="B2107">
        <v>3483</v>
      </c>
      <c r="C2107">
        <v>63</v>
      </c>
      <c r="D2107">
        <v>6565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0</v>
      </c>
      <c r="K2107" t="s">
        <v>20</v>
      </c>
      <c r="L2107" s="1">
        <v>44306</v>
      </c>
      <c r="M2107">
        <v>255</v>
      </c>
      <c r="N2107">
        <v>55</v>
      </c>
      <c r="O2107">
        <v>119</v>
      </c>
      <c r="P2107">
        <v>150</v>
      </c>
      <c r="Q2107">
        <v>119</v>
      </c>
      <c r="S2107">
        <v>113</v>
      </c>
      <c r="T2107">
        <v>113</v>
      </c>
      <c r="U2107">
        <f>+SUM(Table1[[#This Row],[Latinos]:[Cemex]])</f>
        <v>1</v>
      </c>
      <c r="V2107" t="str">
        <f>+Table1[[#This Row],[id_destino]]&amp;" - "&amp;Table1[[#This Row],[id_origen]]</f>
        <v>255 - 55</v>
      </c>
    </row>
    <row r="2108" spans="1:22" hidden="1">
      <c r="A2108">
        <v>2797</v>
      </c>
      <c r="B2108">
        <v>3571</v>
      </c>
      <c r="C2108">
        <v>63</v>
      </c>
      <c r="D2108">
        <v>6673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 t="s">
        <v>20</v>
      </c>
      <c r="L2108" s="1">
        <v>44449</v>
      </c>
      <c r="M2108">
        <v>260</v>
      </c>
      <c r="N2108">
        <v>55</v>
      </c>
      <c r="O2108">
        <v>1436</v>
      </c>
      <c r="P2108">
        <v>1431</v>
      </c>
      <c r="Q2108">
        <v>1436</v>
      </c>
      <c r="S2108">
        <v>4046</v>
      </c>
      <c r="T2108">
        <v>4120</v>
      </c>
      <c r="U2108">
        <f>+SUM(Table1[[#This Row],[Latinos]:[Cemex]])</f>
        <v>1</v>
      </c>
      <c r="V2108" t="str">
        <f>+Table1[[#This Row],[id_destino]]&amp;" - "&amp;Table1[[#This Row],[id_origen]]</f>
        <v>260 - 55</v>
      </c>
    </row>
    <row r="2109" spans="1:22" hidden="1">
      <c r="A2109">
        <v>2760</v>
      </c>
      <c r="B2109">
        <v>1841</v>
      </c>
      <c r="C2109">
        <v>63</v>
      </c>
      <c r="D2109">
        <v>6644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 t="s">
        <v>20</v>
      </c>
      <c r="L2109" s="1">
        <v>44424</v>
      </c>
      <c r="M2109">
        <v>276</v>
      </c>
      <c r="N2109">
        <v>55</v>
      </c>
      <c r="O2109">
        <v>94</v>
      </c>
      <c r="P2109">
        <v>150</v>
      </c>
      <c r="Q2109">
        <v>94</v>
      </c>
      <c r="S2109">
        <v>271</v>
      </c>
      <c r="T2109">
        <v>345</v>
      </c>
      <c r="U2109">
        <f>+SUM(Table1[[#This Row],[Latinos]:[Cemex]])</f>
        <v>1</v>
      </c>
      <c r="V2109" t="str">
        <f>+Table1[[#This Row],[id_destino]]&amp;" - "&amp;Table1[[#This Row],[id_origen]]</f>
        <v>276 - 55</v>
      </c>
    </row>
    <row r="2110" spans="1:22" hidden="1">
      <c r="A2110">
        <v>4508</v>
      </c>
      <c r="B2110">
        <v>4713</v>
      </c>
      <c r="C2110">
        <v>63</v>
      </c>
      <c r="D2110">
        <v>6806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</v>
      </c>
      <c r="K2110" t="s">
        <v>20</v>
      </c>
      <c r="L2110" s="1">
        <v>45593</v>
      </c>
      <c r="M2110">
        <v>290</v>
      </c>
      <c r="N2110">
        <v>55</v>
      </c>
      <c r="O2110">
        <v>62</v>
      </c>
      <c r="P2110">
        <v>150</v>
      </c>
      <c r="Q2110">
        <v>62</v>
      </c>
      <c r="S2110">
        <v>76</v>
      </c>
      <c r="T2110">
        <v>76</v>
      </c>
      <c r="U2110">
        <f>+SUM(Table1[[#This Row],[Latinos]:[Cemex]])</f>
        <v>1</v>
      </c>
      <c r="V2110" t="str">
        <f>+Table1[[#This Row],[id_destino]]&amp;" - "&amp;Table1[[#This Row],[id_origen]]</f>
        <v>290 - 55</v>
      </c>
    </row>
    <row r="2111" spans="1:22" hidden="1">
      <c r="A2111">
        <v>3106</v>
      </c>
      <c r="B2111">
        <v>3779</v>
      </c>
      <c r="C2111">
        <v>6888</v>
      </c>
      <c r="D2111">
        <v>6936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 t="s">
        <v>20</v>
      </c>
      <c r="L2111" s="1">
        <v>44729</v>
      </c>
      <c r="M2111">
        <v>333</v>
      </c>
      <c r="N2111">
        <v>55</v>
      </c>
      <c r="O2111">
        <v>441</v>
      </c>
      <c r="P2111">
        <v>429</v>
      </c>
      <c r="Q2111">
        <v>441</v>
      </c>
      <c r="S2111">
        <v>774</v>
      </c>
      <c r="T2111">
        <v>774</v>
      </c>
      <c r="U2111">
        <f>+SUM(Table1[[#This Row],[Latinos]:[Cemex]])</f>
        <v>1</v>
      </c>
      <c r="V2111" t="str">
        <f>+Table1[[#This Row],[id_destino]]&amp;" - "&amp;Table1[[#This Row],[id_origen]]</f>
        <v>333 - 55</v>
      </c>
    </row>
    <row r="2112" spans="1:22" hidden="1">
      <c r="A2112">
        <v>1256</v>
      </c>
      <c r="B2112">
        <v>55</v>
      </c>
      <c r="C2112">
        <v>63</v>
      </c>
      <c r="D2112">
        <v>5378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 t="s">
        <v>20</v>
      </c>
      <c r="L2112" s="1">
        <v>43354</v>
      </c>
      <c r="M2112">
        <v>345</v>
      </c>
      <c r="N2112">
        <v>55</v>
      </c>
      <c r="O2112">
        <v>106</v>
      </c>
      <c r="P2112">
        <v>150</v>
      </c>
      <c r="Q2112">
        <v>106</v>
      </c>
      <c r="S2112">
        <v>113</v>
      </c>
      <c r="T2112">
        <v>113</v>
      </c>
      <c r="U2112">
        <f>+SUM(Table1[[#This Row],[Latinos]:[Cemex]])</f>
        <v>1</v>
      </c>
      <c r="V2112" t="str">
        <f>+Table1[[#This Row],[id_destino]]&amp;" - "&amp;Table1[[#This Row],[id_origen]]</f>
        <v>345 - 55</v>
      </c>
    </row>
    <row r="2113" spans="1:22" hidden="1">
      <c r="A2113">
        <v>3540</v>
      </c>
      <c r="B2113">
        <v>1566</v>
      </c>
      <c r="C2113">
        <v>63</v>
      </c>
      <c r="D2113">
        <v>7157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0</v>
      </c>
      <c r="K2113" t="s">
        <v>20</v>
      </c>
      <c r="L2113" s="1">
        <v>44951</v>
      </c>
      <c r="M2113">
        <v>384</v>
      </c>
      <c r="N2113">
        <v>55</v>
      </c>
      <c r="O2113">
        <v>224</v>
      </c>
      <c r="P2113">
        <v>226</v>
      </c>
      <c r="Q2113">
        <v>224</v>
      </c>
      <c r="S2113">
        <v>572</v>
      </c>
      <c r="T2113">
        <v>572</v>
      </c>
      <c r="U2113">
        <f>+SUM(Table1[[#This Row],[Latinos]:[Cemex]])</f>
        <v>1</v>
      </c>
      <c r="V2113" t="str">
        <f>+Table1[[#This Row],[id_destino]]&amp;" - "&amp;Table1[[#This Row],[id_origen]]</f>
        <v>384 - 55</v>
      </c>
    </row>
    <row r="2114" spans="1:22" hidden="1">
      <c r="A2114">
        <v>3887</v>
      </c>
      <c r="B2114">
        <v>1566</v>
      </c>
      <c r="C2114">
        <v>1296</v>
      </c>
      <c r="D2114">
        <v>7451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  <c r="K2114" t="s">
        <v>20</v>
      </c>
      <c r="L2114" s="1">
        <v>45163</v>
      </c>
      <c r="M2114">
        <v>384</v>
      </c>
      <c r="N2114">
        <v>55</v>
      </c>
      <c r="O2114">
        <v>217</v>
      </c>
      <c r="P2114">
        <v>225</v>
      </c>
      <c r="Q2114">
        <v>217</v>
      </c>
      <c r="S2114">
        <v>566</v>
      </c>
      <c r="T2114">
        <v>566</v>
      </c>
      <c r="U2114">
        <f>+SUM(Table1[[#This Row],[Latinos]:[Cemex]])</f>
        <v>1</v>
      </c>
      <c r="V2114" t="str">
        <f>+Table1[[#This Row],[id_destino]]&amp;" - "&amp;Table1[[#This Row],[id_origen]]</f>
        <v>384 - 55</v>
      </c>
    </row>
    <row r="2115" spans="1:22" hidden="1">
      <c r="A2115">
        <v>4838</v>
      </c>
      <c r="B2115">
        <v>4944</v>
      </c>
      <c r="C2115">
        <v>63</v>
      </c>
      <c r="D2115">
        <v>7324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  <c r="K2115" t="s">
        <v>20</v>
      </c>
      <c r="L2115" s="1">
        <v>45880</v>
      </c>
      <c r="M2115">
        <v>385</v>
      </c>
      <c r="N2115">
        <v>55</v>
      </c>
      <c r="O2115">
        <v>47</v>
      </c>
      <c r="P2115">
        <v>100</v>
      </c>
      <c r="Q2115">
        <v>100</v>
      </c>
      <c r="S2115">
        <v>0</v>
      </c>
      <c r="T2115">
        <v>0</v>
      </c>
      <c r="U2115">
        <f>+SUM(Table1[[#This Row],[Latinos]:[Cemex]])</f>
        <v>1</v>
      </c>
      <c r="V2115" t="str">
        <f>+Table1[[#This Row],[id_destino]]&amp;" - "&amp;Table1[[#This Row],[id_origen]]</f>
        <v>385 - 55</v>
      </c>
    </row>
    <row r="2116" spans="1:22" hidden="1">
      <c r="A2116">
        <v>53</v>
      </c>
      <c r="B2116">
        <v>2224</v>
      </c>
      <c r="C2116">
        <v>63</v>
      </c>
      <c r="D2116">
        <v>3581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 t="s">
        <v>20</v>
      </c>
      <c r="L2116" s="1">
        <v>42985</v>
      </c>
      <c r="M2116">
        <v>416</v>
      </c>
      <c r="N2116">
        <v>55</v>
      </c>
      <c r="O2116">
        <v>267</v>
      </c>
      <c r="P2116">
        <v>230</v>
      </c>
      <c r="Q2116">
        <v>267</v>
      </c>
      <c r="S2116">
        <v>586</v>
      </c>
      <c r="T2116">
        <v>592</v>
      </c>
      <c r="U2116">
        <f>+SUM(Table1[[#This Row],[Latinos]:[Cemex]])</f>
        <v>1</v>
      </c>
      <c r="V2116" t="str">
        <f>+Table1[[#This Row],[id_destino]]&amp;" - "&amp;Table1[[#This Row],[id_origen]]</f>
        <v>416 - 55</v>
      </c>
    </row>
    <row r="2117" spans="1:22" hidden="1">
      <c r="A2117">
        <v>4618</v>
      </c>
      <c r="B2117">
        <v>4800</v>
      </c>
      <c r="C2117">
        <v>63</v>
      </c>
      <c r="D2117">
        <v>6999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 t="s">
        <v>20</v>
      </c>
      <c r="L2117" s="1">
        <v>45673</v>
      </c>
      <c r="M2117">
        <v>424</v>
      </c>
      <c r="N2117">
        <v>55</v>
      </c>
      <c r="O2117">
        <v>178</v>
      </c>
      <c r="P2117">
        <v>179</v>
      </c>
      <c r="Q2117">
        <v>178</v>
      </c>
      <c r="S2117">
        <v>643</v>
      </c>
      <c r="T2117">
        <v>643</v>
      </c>
      <c r="U2117">
        <f>+SUM(Table1[[#This Row],[Latinos]:[Cemex]])</f>
        <v>1</v>
      </c>
      <c r="V2117" t="str">
        <f>+Table1[[#This Row],[id_destino]]&amp;" - "&amp;Table1[[#This Row],[id_origen]]</f>
        <v>424 - 55</v>
      </c>
    </row>
    <row r="2118" spans="1:22" hidden="1">
      <c r="A2118">
        <v>1449</v>
      </c>
      <c r="B2118">
        <v>2753</v>
      </c>
      <c r="C2118">
        <v>63</v>
      </c>
      <c r="D2118">
        <v>5774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 t="s">
        <v>20</v>
      </c>
      <c r="L2118" s="1">
        <v>43460</v>
      </c>
      <c r="M2118">
        <v>464</v>
      </c>
      <c r="N2118">
        <v>55</v>
      </c>
      <c r="O2118">
        <v>75</v>
      </c>
      <c r="P2118">
        <v>150</v>
      </c>
      <c r="Q2118">
        <v>75</v>
      </c>
      <c r="S2118">
        <v>0</v>
      </c>
      <c r="T2118">
        <v>0</v>
      </c>
      <c r="U2118">
        <f>+SUM(Table1[[#This Row],[Latinos]:[Cemex]])</f>
        <v>1</v>
      </c>
      <c r="V2118" t="str">
        <f>+Table1[[#This Row],[id_destino]]&amp;" - "&amp;Table1[[#This Row],[id_origen]]</f>
        <v>464 - 55</v>
      </c>
    </row>
    <row r="2119" spans="1:22" hidden="1">
      <c r="A2119">
        <v>2628</v>
      </c>
      <c r="B2119">
        <v>3462</v>
      </c>
      <c r="C2119">
        <v>3220</v>
      </c>
      <c r="D2119">
        <v>6535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 t="s">
        <v>20</v>
      </c>
      <c r="L2119" s="1">
        <v>44257</v>
      </c>
      <c r="M2119">
        <v>473</v>
      </c>
      <c r="N2119">
        <v>55</v>
      </c>
      <c r="O2119">
        <v>110</v>
      </c>
      <c r="P2119">
        <v>150</v>
      </c>
      <c r="Q2119">
        <v>110</v>
      </c>
      <c r="S2119">
        <v>0</v>
      </c>
      <c r="T2119">
        <v>0</v>
      </c>
      <c r="U2119">
        <f>+SUM(Table1[[#This Row],[Latinos]:[Cemex]])</f>
        <v>1</v>
      </c>
      <c r="V2119" t="str">
        <f>+Table1[[#This Row],[id_destino]]&amp;" - "&amp;Table1[[#This Row],[id_origen]]</f>
        <v>473 - 55</v>
      </c>
    </row>
    <row r="2120" spans="1:22" hidden="1">
      <c r="A2120">
        <v>3354</v>
      </c>
      <c r="B2120">
        <v>3462</v>
      </c>
      <c r="C2120">
        <v>7074</v>
      </c>
      <c r="D2120">
        <v>7075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 t="s">
        <v>20</v>
      </c>
      <c r="L2120" s="1">
        <v>44846</v>
      </c>
      <c r="M2120">
        <v>473</v>
      </c>
      <c r="N2120">
        <v>55</v>
      </c>
      <c r="O2120">
        <v>117</v>
      </c>
      <c r="P2120">
        <v>150</v>
      </c>
      <c r="Q2120">
        <v>117</v>
      </c>
      <c r="S2120">
        <v>113</v>
      </c>
      <c r="T2120">
        <v>113</v>
      </c>
      <c r="U2120">
        <f>+SUM(Table1[[#This Row],[Latinos]:[Cemex]])</f>
        <v>1</v>
      </c>
      <c r="V2120" t="str">
        <f>+Table1[[#This Row],[id_destino]]&amp;" - "&amp;Table1[[#This Row],[id_origen]]</f>
        <v>473 - 55</v>
      </c>
    </row>
    <row r="2121" spans="1:22" hidden="1">
      <c r="A2121">
        <v>2350</v>
      </c>
      <c r="B2121">
        <v>3291</v>
      </c>
      <c r="C2121">
        <v>63</v>
      </c>
      <c r="D2121">
        <v>6347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 t="s">
        <v>20</v>
      </c>
      <c r="L2121" s="1">
        <v>44046</v>
      </c>
      <c r="M2121">
        <v>492</v>
      </c>
      <c r="N2121">
        <v>55</v>
      </c>
      <c r="O2121">
        <v>313</v>
      </c>
      <c r="P2121">
        <v>313</v>
      </c>
      <c r="Q2121">
        <v>313</v>
      </c>
      <c r="S2121">
        <v>1052</v>
      </c>
      <c r="T2121">
        <v>1062</v>
      </c>
      <c r="U2121">
        <f>+SUM(Table1[[#This Row],[Latinos]:[Cemex]])</f>
        <v>1</v>
      </c>
      <c r="V2121" t="str">
        <f>+Table1[[#This Row],[id_destino]]&amp;" - "&amp;Table1[[#This Row],[id_origen]]</f>
        <v>492 - 55</v>
      </c>
    </row>
    <row r="2122" spans="1:22" hidden="1">
      <c r="A2122">
        <v>3432</v>
      </c>
      <c r="B2122">
        <v>3985</v>
      </c>
      <c r="C2122">
        <v>1296</v>
      </c>
      <c r="D2122">
        <v>6566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 t="s">
        <v>20</v>
      </c>
      <c r="L2122" s="1">
        <v>45146</v>
      </c>
      <c r="M2122">
        <v>525</v>
      </c>
      <c r="N2122">
        <v>55</v>
      </c>
      <c r="O2122">
        <v>95</v>
      </c>
      <c r="P2122">
        <v>97</v>
      </c>
      <c r="Q2122">
        <v>95</v>
      </c>
      <c r="S2122">
        <v>125</v>
      </c>
      <c r="T2122">
        <v>125</v>
      </c>
      <c r="U2122">
        <f>+SUM(Table1[[#This Row],[Latinos]:[Cemex]])</f>
        <v>1</v>
      </c>
      <c r="V2122" t="str">
        <f>+Table1[[#This Row],[id_destino]]&amp;" - "&amp;Table1[[#This Row],[id_origen]]</f>
        <v>525 - 55</v>
      </c>
    </row>
    <row r="2123" spans="1:22" hidden="1">
      <c r="A2123">
        <v>4182</v>
      </c>
      <c r="B2123">
        <v>3985</v>
      </c>
      <c r="C2123">
        <v>63</v>
      </c>
      <c r="D2123">
        <v>7670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 t="s">
        <v>20</v>
      </c>
      <c r="L2123" s="1">
        <v>45344</v>
      </c>
      <c r="M2123">
        <v>525</v>
      </c>
      <c r="N2123">
        <v>55</v>
      </c>
      <c r="O2123">
        <v>130</v>
      </c>
      <c r="P2123">
        <v>150</v>
      </c>
      <c r="Q2123">
        <v>130</v>
      </c>
      <c r="S2123">
        <v>129</v>
      </c>
      <c r="T2123">
        <v>129</v>
      </c>
      <c r="U2123">
        <f>+SUM(Table1[[#This Row],[Latinos]:[Cemex]])</f>
        <v>1</v>
      </c>
      <c r="V2123" t="str">
        <f>+Table1[[#This Row],[id_destino]]&amp;" - "&amp;Table1[[#This Row],[id_origen]]</f>
        <v>525 - 55</v>
      </c>
    </row>
    <row r="2124" spans="1:22" hidden="1">
      <c r="A2124">
        <v>1481</v>
      </c>
      <c r="B2124">
        <v>2770</v>
      </c>
      <c r="C2124">
        <v>63</v>
      </c>
      <c r="D2124">
        <v>4094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 t="s">
        <v>20</v>
      </c>
      <c r="L2124" s="1">
        <v>45336</v>
      </c>
      <c r="M2124">
        <v>529</v>
      </c>
      <c r="N2124">
        <v>55</v>
      </c>
      <c r="O2124">
        <v>88</v>
      </c>
      <c r="P2124">
        <v>150</v>
      </c>
      <c r="Q2124">
        <v>88</v>
      </c>
      <c r="S2124">
        <v>129</v>
      </c>
      <c r="T2124">
        <v>129</v>
      </c>
      <c r="U2124">
        <f>+SUM(Table1[[#This Row],[Latinos]:[Cemex]])</f>
        <v>1</v>
      </c>
      <c r="V2124" t="str">
        <f>+Table1[[#This Row],[id_destino]]&amp;" - "&amp;Table1[[#This Row],[id_origen]]</f>
        <v>529 - 55</v>
      </c>
    </row>
    <row r="2125" spans="1:22" hidden="1">
      <c r="A2125">
        <v>376</v>
      </c>
      <c r="B2125">
        <v>1300</v>
      </c>
      <c r="C2125">
        <v>63</v>
      </c>
      <c r="D2125">
        <v>64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  <c r="K2125" t="s">
        <v>20</v>
      </c>
      <c r="L2125" s="1">
        <v>43049</v>
      </c>
      <c r="M2125">
        <v>602</v>
      </c>
      <c r="N2125">
        <v>55</v>
      </c>
      <c r="O2125">
        <v>88</v>
      </c>
      <c r="P2125">
        <v>150</v>
      </c>
      <c r="Q2125">
        <v>88</v>
      </c>
      <c r="S2125">
        <v>190</v>
      </c>
      <c r="T2125">
        <v>190</v>
      </c>
      <c r="U2125">
        <f>+SUM(Table1[[#This Row],[Latinos]:[Cemex]])</f>
        <v>1</v>
      </c>
      <c r="V2125" t="str">
        <f>+Table1[[#This Row],[id_destino]]&amp;" - "&amp;Table1[[#This Row],[id_origen]]</f>
        <v>602 - 55</v>
      </c>
    </row>
    <row r="2126" spans="1:22" hidden="1">
      <c r="A2126">
        <v>2301</v>
      </c>
      <c r="B2126">
        <v>3257</v>
      </c>
      <c r="C2126">
        <v>63</v>
      </c>
      <c r="D2126">
        <v>6323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 t="s">
        <v>20</v>
      </c>
      <c r="L2126" s="1">
        <v>43916</v>
      </c>
      <c r="M2126">
        <v>649</v>
      </c>
      <c r="N2126">
        <v>55</v>
      </c>
      <c r="O2126">
        <v>139</v>
      </c>
      <c r="P2126">
        <v>143</v>
      </c>
      <c r="Q2126">
        <v>139</v>
      </c>
      <c r="S2126">
        <v>407</v>
      </c>
      <c r="T2126">
        <v>407</v>
      </c>
      <c r="U2126">
        <f>+SUM(Table1[[#This Row],[Latinos]:[Cemex]])</f>
        <v>1</v>
      </c>
      <c r="V2126" t="str">
        <f>+Table1[[#This Row],[id_destino]]&amp;" - "&amp;Table1[[#This Row],[id_origen]]</f>
        <v>649 - 55</v>
      </c>
    </row>
    <row r="2127" spans="1:22" hidden="1">
      <c r="A2127">
        <v>2219</v>
      </c>
      <c r="B2127">
        <v>3208</v>
      </c>
      <c r="C2127">
        <v>63</v>
      </c>
      <c r="D2127">
        <v>6264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  <c r="K2127" t="s">
        <v>20</v>
      </c>
      <c r="L2127" s="1">
        <v>43861</v>
      </c>
      <c r="M2127">
        <v>678</v>
      </c>
      <c r="N2127">
        <v>55</v>
      </c>
      <c r="O2127">
        <v>30</v>
      </c>
      <c r="P2127">
        <v>150</v>
      </c>
      <c r="Q2127">
        <v>30</v>
      </c>
      <c r="S2127">
        <v>0</v>
      </c>
      <c r="T2127">
        <v>0</v>
      </c>
      <c r="U2127">
        <f>+SUM(Table1[[#This Row],[Latinos]:[Cemex]])</f>
        <v>1</v>
      </c>
      <c r="V2127" t="str">
        <f>+Table1[[#This Row],[id_destino]]&amp;" - "&amp;Table1[[#This Row],[id_origen]]</f>
        <v>678 - 55</v>
      </c>
    </row>
    <row r="2128" spans="1:22" hidden="1">
      <c r="A2128">
        <v>1950</v>
      </c>
      <c r="B2128">
        <v>3040</v>
      </c>
      <c r="C2128">
        <v>63</v>
      </c>
      <c r="D2128">
        <v>255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 t="s">
        <v>20</v>
      </c>
      <c r="L2128" s="1">
        <v>43736</v>
      </c>
      <c r="M2128">
        <v>714</v>
      </c>
      <c r="N2128">
        <v>55</v>
      </c>
      <c r="O2128">
        <v>121</v>
      </c>
      <c r="P2128">
        <v>150</v>
      </c>
      <c r="Q2128">
        <v>121</v>
      </c>
      <c r="S2128">
        <v>98</v>
      </c>
      <c r="T2128">
        <v>98</v>
      </c>
      <c r="U2128">
        <f>+SUM(Table1[[#This Row],[Latinos]:[Cemex]])</f>
        <v>1</v>
      </c>
      <c r="V2128" t="str">
        <f>+Table1[[#This Row],[id_destino]]&amp;" - "&amp;Table1[[#This Row],[id_origen]]</f>
        <v>714 - 55</v>
      </c>
    </row>
    <row r="2129" spans="1:22" hidden="1">
      <c r="A2129">
        <v>1991</v>
      </c>
      <c r="B2129">
        <v>3064</v>
      </c>
      <c r="C2129">
        <v>63</v>
      </c>
      <c r="D2129">
        <v>6095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  <c r="K2129" t="s">
        <v>20</v>
      </c>
      <c r="L2129" s="1">
        <v>43754</v>
      </c>
      <c r="M2129">
        <v>733</v>
      </c>
      <c r="N2129">
        <v>55</v>
      </c>
      <c r="O2129">
        <v>52</v>
      </c>
      <c r="P2129">
        <v>150</v>
      </c>
      <c r="Q2129">
        <v>52</v>
      </c>
      <c r="S2129">
        <v>0</v>
      </c>
      <c r="T2129">
        <v>0</v>
      </c>
      <c r="U2129">
        <f>+SUM(Table1[[#This Row],[Latinos]:[Cemex]])</f>
        <v>1</v>
      </c>
      <c r="V2129" t="str">
        <f>+Table1[[#This Row],[id_destino]]&amp;" - "&amp;Table1[[#This Row],[id_origen]]</f>
        <v>733 - 55</v>
      </c>
    </row>
    <row r="2130" spans="1:22" hidden="1">
      <c r="A2130">
        <v>2286</v>
      </c>
      <c r="B2130">
        <v>3249</v>
      </c>
      <c r="C2130">
        <v>63</v>
      </c>
      <c r="D2130">
        <v>5466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  <c r="K2130" t="s">
        <v>20</v>
      </c>
      <c r="L2130" s="1">
        <v>43904</v>
      </c>
      <c r="M2130">
        <v>738</v>
      </c>
      <c r="N2130">
        <v>55</v>
      </c>
      <c r="O2130">
        <v>95</v>
      </c>
      <c r="P2130">
        <v>100</v>
      </c>
      <c r="Q2130">
        <v>95</v>
      </c>
      <c r="S2130">
        <v>0</v>
      </c>
      <c r="T2130">
        <v>0</v>
      </c>
      <c r="U2130">
        <f>+SUM(Table1[[#This Row],[Latinos]:[Cemex]])</f>
        <v>1</v>
      </c>
      <c r="V2130" t="str">
        <f>+Table1[[#This Row],[id_destino]]&amp;" - "&amp;Table1[[#This Row],[id_origen]]</f>
        <v>738 - 55</v>
      </c>
    </row>
    <row r="2131" spans="1:22" hidden="1">
      <c r="A2131">
        <v>3363</v>
      </c>
      <c r="B2131">
        <v>3937</v>
      </c>
      <c r="C2131">
        <v>6910</v>
      </c>
      <c r="D2131">
        <v>7445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 t="s">
        <v>20</v>
      </c>
      <c r="L2131" s="1">
        <v>45159</v>
      </c>
      <c r="M2131">
        <v>843</v>
      </c>
      <c r="N2131">
        <v>55</v>
      </c>
      <c r="O2131">
        <v>1065</v>
      </c>
      <c r="P2131">
        <v>1099</v>
      </c>
      <c r="Q2131">
        <v>1065</v>
      </c>
      <c r="S2131">
        <v>1446</v>
      </c>
      <c r="T2131">
        <v>1446</v>
      </c>
      <c r="U2131">
        <f>+SUM(Table1[[#This Row],[Latinos]:[Cemex]])</f>
        <v>1</v>
      </c>
      <c r="V2131" t="str">
        <f>+Table1[[#This Row],[id_destino]]&amp;" - "&amp;Table1[[#This Row],[id_origen]]</f>
        <v>843 - 55</v>
      </c>
    </row>
    <row r="2132" spans="1:22" hidden="1">
      <c r="A2132">
        <v>4559</v>
      </c>
      <c r="B2132">
        <v>4751</v>
      </c>
      <c r="C2132">
        <v>63</v>
      </c>
      <c r="D2132">
        <v>8026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0</v>
      </c>
      <c r="K2132" t="s">
        <v>20</v>
      </c>
      <c r="L2132" s="1">
        <v>45617</v>
      </c>
      <c r="M2132">
        <v>920</v>
      </c>
      <c r="N2132">
        <v>55</v>
      </c>
      <c r="O2132">
        <v>489</v>
      </c>
      <c r="P2132">
        <v>490</v>
      </c>
      <c r="Q2132">
        <v>489</v>
      </c>
      <c r="S2132">
        <v>1008</v>
      </c>
      <c r="T2132">
        <v>1008</v>
      </c>
      <c r="U2132">
        <f>+SUM(Table1[[#This Row],[Latinos]:[Cemex]])</f>
        <v>1</v>
      </c>
      <c r="V2132" t="str">
        <f>+Table1[[#This Row],[id_destino]]&amp;" - "&amp;Table1[[#This Row],[id_origen]]</f>
        <v>920 - 55</v>
      </c>
    </row>
    <row r="2133" spans="1:22" hidden="1">
      <c r="A2133">
        <v>4573</v>
      </c>
      <c r="B2133">
        <v>352</v>
      </c>
      <c r="C2133">
        <v>7635</v>
      </c>
      <c r="D2133">
        <v>8019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 t="s">
        <v>20</v>
      </c>
      <c r="L2133" s="1">
        <v>45624</v>
      </c>
      <c r="M2133">
        <v>11</v>
      </c>
      <c r="N2133">
        <v>56</v>
      </c>
      <c r="O2133">
        <v>168</v>
      </c>
      <c r="P2133">
        <v>168</v>
      </c>
      <c r="Q2133">
        <v>168</v>
      </c>
      <c r="S2133">
        <v>297</v>
      </c>
      <c r="T2133">
        <v>297</v>
      </c>
      <c r="U2133">
        <f>+SUM(Table1[[#This Row],[Latinos]:[Cemex]])</f>
        <v>1</v>
      </c>
      <c r="V2133" t="str">
        <f>+Table1[[#This Row],[id_destino]]&amp;" - "&amp;Table1[[#This Row],[id_origen]]</f>
        <v>11 - 56</v>
      </c>
    </row>
    <row r="2134" spans="1:22" hidden="1">
      <c r="A2134">
        <v>1646</v>
      </c>
      <c r="B2134">
        <v>2859</v>
      </c>
      <c r="C2134">
        <v>874</v>
      </c>
      <c r="D2134">
        <v>4177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 t="s">
        <v>20</v>
      </c>
      <c r="L2134" s="1">
        <v>43549</v>
      </c>
      <c r="M2134">
        <v>18</v>
      </c>
      <c r="N2134">
        <v>56</v>
      </c>
      <c r="O2134">
        <v>61</v>
      </c>
      <c r="P2134">
        <v>150</v>
      </c>
      <c r="Q2134">
        <v>61</v>
      </c>
      <c r="S2134">
        <v>179</v>
      </c>
      <c r="T2134">
        <v>179</v>
      </c>
      <c r="U2134">
        <f>+SUM(Table1[[#This Row],[Latinos]:[Cemex]])</f>
        <v>1</v>
      </c>
      <c r="V2134" t="str">
        <f>+Table1[[#This Row],[id_destino]]&amp;" - "&amp;Table1[[#This Row],[id_origen]]</f>
        <v>18 - 56</v>
      </c>
    </row>
    <row r="2135" spans="1:22" hidden="1">
      <c r="A2135">
        <v>4128</v>
      </c>
      <c r="B2135">
        <v>4436</v>
      </c>
      <c r="C2135">
        <v>7635</v>
      </c>
      <c r="D2135">
        <v>4905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 t="s">
        <v>20</v>
      </c>
      <c r="L2135" s="1">
        <v>45307</v>
      </c>
      <c r="M2135">
        <v>384</v>
      </c>
      <c r="N2135">
        <v>56</v>
      </c>
      <c r="O2135">
        <v>157</v>
      </c>
      <c r="P2135">
        <v>140</v>
      </c>
      <c r="Q2135">
        <v>157</v>
      </c>
      <c r="S2135">
        <v>297</v>
      </c>
      <c r="T2135">
        <v>297</v>
      </c>
      <c r="U2135">
        <f>+SUM(Table1[[#This Row],[Latinos]:[Cemex]])</f>
        <v>1</v>
      </c>
      <c r="V2135" t="str">
        <f>+Table1[[#This Row],[id_destino]]&amp;" - "&amp;Table1[[#This Row],[id_origen]]</f>
        <v>384 - 56</v>
      </c>
    </row>
    <row r="2136" spans="1:22" hidden="1">
      <c r="A2136">
        <v>4178</v>
      </c>
      <c r="B2136">
        <v>4470</v>
      </c>
      <c r="C2136">
        <v>7654</v>
      </c>
      <c r="D2136">
        <v>7668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 t="s">
        <v>20</v>
      </c>
      <c r="L2136" s="1">
        <v>45341</v>
      </c>
      <c r="M2136">
        <v>385</v>
      </c>
      <c r="N2136">
        <v>56</v>
      </c>
      <c r="O2136">
        <v>113</v>
      </c>
      <c r="P2136">
        <v>1001</v>
      </c>
      <c r="Q2136">
        <v>113</v>
      </c>
      <c r="S2136">
        <v>435</v>
      </c>
      <c r="T2136">
        <v>435</v>
      </c>
      <c r="U2136">
        <f>+SUM(Table1[[#This Row],[Latinos]:[Cemex]])</f>
        <v>1</v>
      </c>
      <c r="V2136" t="str">
        <f>+Table1[[#This Row],[id_destino]]&amp;" - "&amp;Table1[[#This Row],[id_origen]]</f>
        <v>385 - 56</v>
      </c>
    </row>
    <row r="2137" spans="1:22" hidden="1">
      <c r="A2137">
        <v>1708</v>
      </c>
      <c r="B2137">
        <v>2896</v>
      </c>
      <c r="C2137">
        <v>5886</v>
      </c>
      <c r="D2137">
        <v>5883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 t="s">
        <v>20</v>
      </c>
      <c r="L2137" s="1">
        <v>43570</v>
      </c>
      <c r="M2137">
        <v>19</v>
      </c>
      <c r="N2137">
        <v>57</v>
      </c>
      <c r="O2137">
        <v>144</v>
      </c>
      <c r="P2137">
        <v>150</v>
      </c>
      <c r="Q2137">
        <v>144</v>
      </c>
      <c r="S2137">
        <v>156</v>
      </c>
      <c r="T2137">
        <v>229</v>
      </c>
      <c r="U2137">
        <f>+SUM(Table1[[#This Row],[Latinos]:[Cemex]])</f>
        <v>1</v>
      </c>
      <c r="V2137" t="str">
        <f>+Table1[[#This Row],[id_destino]]&amp;" - "&amp;Table1[[#This Row],[id_origen]]</f>
        <v>19 - 57</v>
      </c>
    </row>
    <row r="2138" spans="1:22" hidden="1">
      <c r="A2138">
        <v>4681</v>
      </c>
      <c r="B2138">
        <v>4842</v>
      </c>
      <c r="C2138">
        <v>65</v>
      </c>
      <c r="D2138">
        <v>6851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 t="s">
        <v>20</v>
      </c>
      <c r="L2138" s="1">
        <v>45724</v>
      </c>
      <c r="M2138">
        <v>24</v>
      </c>
      <c r="N2138">
        <v>57</v>
      </c>
      <c r="O2138">
        <v>883</v>
      </c>
      <c r="P2138">
        <v>883</v>
      </c>
      <c r="Q2138">
        <v>883</v>
      </c>
      <c r="S2138">
        <v>3847</v>
      </c>
      <c r="T2138">
        <v>3847</v>
      </c>
      <c r="U2138">
        <f>+SUM(Table1[[#This Row],[Latinos]:[Cemex]])</f>
        <v>1</v>
      </c>
      <c r="V2138" t="str">
        <f>+Table1[[#This Row],[id_destino]]&amp;" - "&amp;Table1[[#This Row],[id_origen]]</f>
        <v>24 - 57</v>
      </c>
    </row>
    <row r="2139" spans="1:22" hidden="1">
      <c r="A2139">
        <v>728</v>
      </c>
      <c r="B2139">
        <v>2428</v>
      </c>
      <c r="C2139">
        <v>65</v>
      </c>
      <c r="D2139">
        <v>2413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 t="s">
        <v>20</v>
      </c>
      <c r="L2139" s="1">
        <v>43144</v>
      </c>
      <c r="M2139">
        <v>47</v>
      </c>
      <c r="N2139">
        <v>57</v>
      </c>
      <c r="O2139">
        <v>211</v>
      </c>
      <c r="P2139">
        <v>185</v>
      </c>
      <c r="Q2139">
        <v>211</v>
      </c>
      <c r="S2139">
        <v>914</v>
      </c>
      <c r="T2139">
        <v>1098</v>
      </c>
      <c r="U2139">
        <f>+SUM(Table1[[#This Row],[Latinos]:[Cemex]])</f>
        <v>1</v>
      </c>
      <c r="V2139" t="str">
        <f>+Table1[[#This Row],[id_destino]]&amp;" - "&amp;Table1[[#This Row],[id_origen]]</f>
        <v>47 - 57</v>
      </c>
    </row>
    <row r="2140" spans="1:22" hidden="1">
      <c r="A2140">
        <v>207</v>
      </c>
      <c r="B2140">
        <v>1869</v>
      </c>
      <c r="C2140">
        <v>2166</v>
      </c>
      <c r="D2140">
        <v>63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 t="s">
        <v>20</v>
      </c>
      <c r="L2140" s="1">
        <v>43013</v>
      </c>
      <c r="M2140">
        <v>55</v>
      </c>
      <c r="N2140">
        <v>57</v>
      </c>
      <c r="O2140">
        <v>32</v>
      </c>
      <c r="P2140">
        <v>150</v>
      </c>
      <c r="Q2140">
        <v>32</v>
      </c>
      <c r="S2140">
        <v>0</v>
      </c>
      <c r="T2140">
        <v>0</v>
      </c>
      <c r="U2140">
        <f>+SUM(Table1[[#This Row],[Latinos]:[Cemex]])</f>
        <v>1</v>
      </c>
      <c r="V2140" t="str">
        <f>+Table1[[#This Row],[id_destino]]&amp;" - "&amp;Table1[[#This Row],[id_origen]]</f>
        <v>55 - 57</v>
      </c>
    </row>
    <row r="2141" spans="1:22" hidden="1">
      <c r="A2141">
        <v>771</v>
      </c>
      <c r="B2141">
        <v>1869</v>
      </c>
      <c r="C2141">
        <v>65</v>
      </c>
      <c r="D2141">
        <v>63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 t="s">
        <v>20</v>
      </c>
      <c r="L2141" s="1">
        <v>43160</v>
      </c>
      <c r="M2141">
        <v>55</v>
      </c>
      <c r="N2141">
        <v>57</v>
      </c>
      <c r="O2141">
        <v>50</v>
      </c>
      <c r="P2141">
        <v>150</v>
      </c>
      <c r="Q2141">
        <v>50</v>
      </c>
      <c r="S2141">
        <v>0</v>
      </c>
      <c r="T2141">
        <v>0</v>
      </c>
      <c r="U2141">
        <f>+SUM(Table1[[#This Row],[Latinos]:[Cemex]])</f>
        <v>1</v>
      </c>
      <c r="V2141" t="str">
        <f>+Table1[[#This Row],[id_destino]]&amp;" - "&amp;Table1[[#This Row],[id_origen]]</f>
        <v>55 - 57</v>
      </c>
    </row>
    <row r="2142" spans="1:22" hidden="1">
      <c r="A2142">
        <v>1207</v>
      </c>
      <c r="B2142">
        <v>2634</v>
      </c>
      <c r="C2142">
        <v>65</v>
      </c>
      <c r="D2142">
        <v>5673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  <c r="K2142" t="s">
        <v>20</v>
      </c>
      <c r="L2142" s="1">
        <v>43341</v>
      </c>
      <c r="M2142">
        <v>65</v>
      </c>
      <c r="N2142">
        <v>57</v>
      </c>
      <c r="O2142">
        <v>156</v>
      </c>
      <c r="P2142">
        <v>156</v>
      </c>
      <c r="Q2142">
        <v>156</v>
      </c>
      <c r="S2142">
        <v>368</v>
      </c>
      <c r="T2142">
        <v>368</v>
      </c>
      <c r="U2142">
        <f>+SUM(Table1[[#This Row],[Latinos]:[Cemex]])</f>
        <v>1</v>
      </c>
      <c r="V2142" t="str">
        <f>+Table1[[#This Row],[id_destino]]&amp;" - "&amp;Table1[[#This Row],[id_origen]]</f>
        <v>65 - 57</v>
      </c>
    </row>
    <row r="2143" spans="1:22" hidden="1">
      <c r="A2143">
        <v>4770</v>
      </c>
      <c r="B2143">
        <v>2634</v>
      </c>
      <c r="C2143">
        <v>65</v>
      </c>
      <c r="D2143">
        <v>7161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 t="s">
        <v>20</v>
      </c>
      <c r="L2143" s="1">
        <v>45798</v>
      </c>
      <c r="M2143">
        <v>65</v>
      </c>
      <c r="N2143">
        <v>57</v>
      </c>
      <c r="O2143">
        <v>154</v>
      </c>
      <c r="P2143">
        <v>154</v>
      </c>
      <c r="Q2143">
        <v>154</v>
      </c>
      <c r="S2143">
        <v>500</v>
      </c>
      <c r="T2143">
        <v>500</v>
      </c>
      <c r="U2143">
        <f>+SUM(Table1[[#This Row],[Latinos]:[Cemex]])</f>
        <v>1</v>
      </c>
      <c r="V2143" t="str">
        <f>+Table1[[#This Row],[id_destino]]&amp;" - "&amp;Table1[[#This Row],[id_origen]]</f>
        <v>65 - 57</v>
      </c>
    </row>
    <row r="2144" spans="1:22" hidden="1">
      <c r="A2144">
        <v>459</v>
      </c>
      <c r="B2144">
        <v>1158</v>
      </c>
      <c r="C2144">
        <v>3459</v>
      </c>
      <c r="D2144">
        <v>5369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 t="s">
        <v>20</v>
      </c>
      <c r="L2144" s="1">
        <v>43070</v>
      </c>
      <c r="M2144">
        <v>77</v>
      </c>
      <c r="N2144">
        <v>57</v>
      </c>
      <c r="O2144">
        <v>107</v>
      </c>
      <c r="P2144">
        <v>150</v>
      </c>
      <c r="Q2144">
        <v>107</v>
      </c>
      <c r="S2144">
        <v>0</v>
      </c>
      <c r="T2144">
        <v>0</v>
      </c>
      <c r="U2144">
        <f>+SUM(Table1[[#This Row],[Latinos]:[Cemex]])</f>
        <v>1</v>
      </c>
      <c r="V2144" t="str">
        <f>+Table1[[#This Row],[id_destino]]&amp;" - "&amp;Table1[[#This Row],[id_origen]]</f>
        <v>77 - 57</v>
      </c>
    </row>
    <row r="2145" spans="1:22" hidden="1">
      <c r="A2145">
        <v>1081</v>
      </c>
      <c r="B2145">
        <v>1569</v>
      </c>
      <c r="C2145">
        <v>65</v>
      </c>
      <c r="D2145">
        <v>4328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  <c r="K2145" t="s">
        <v>20</v>
      </c>
      <c r="L2145" s="1">
        <v>43277</v>
      </c>
      <c r="M2145">
        <v>79</v>
      </c>
      <c r="N2145">
        <v>57</v>
      </c>
      <c r="O2145">
        <v>280</v>
      </c>
      <c r="P2145">
        <v>280</v>
      </c>
      <c r="Q2145">
        <v>280</v>
      </c>
      <c r="S2145">
        <v>751</v>
      </c>
      <c r="T2145">
        <v>758</v>
      </c>
      <c r="U2145">
        <f>+SUM(Table1[[#This Row],[Latinos]:[Cemex]])</f>
        <v>1</v>
      </c>
      <c r="V2145" t="str">
        <f>+Table1[[#This Row],[id_destino]]&amp;" - "&amp;Table1[[#This Row],[id_origen]]</f>
        <v>79 - 57</v>
      </c>
    </row>
    <row r="2146" spans="1:22" hidden="1">
      <c r="A2146">
        <v>560</v>
      </c>
      <c r="B2146">
        <v>2127</v>
      </c>
      <c r="C2146">
        <v>65</v>
      </c>
      <c r="D2146">
        <v>173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K2146" t="s">
        <v>20</v>
      </c>
      <c r="L2146" s="1">
        <v>43103</v>
      </c>
      <c r="M2146">
        <v>105</v>
      </c>
      <c r="N2146">
        <v>57</v>
      </c>
      <c r="O2146">
        <v>136</v>
      </c>
      <c r="P2146">
        <v>150</v>
      </c>
      <c r="Q2146">
        <v>136</v>
      </c>
      <c r="S2146">
        <v>144</v>
      </c>
      <c r="T2146">
        <v>210</v>
      </c>
      <c r="U2146">
        <f>+SUM(Table1[[#This Row],[Latinos]:[Cemex]])</f>
        <v>1</v>
      </c>
      <c r="V2146" t="str">
        <f>+Table1[[#This Row],[id_destino]]&amp;" - "&amp;Table1[[#This Row],[id_origen]]</f>
        <v>105 - 57</v>
      </c>
    </row>
    <row r="2147" spans="1:22" hidden="1">
      <c r="A2147">
        <v>460</v>
      </c>
      <c r="B2147">
        <v>2301</v>
      </c>
      <c r="C2147">
        <v>3459</v>
      </c>
      <c r="D2147">
        <v>5370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 t="s">
        <v>20</v>
      </c>
      <c r="L2147" s="1">
        <v>43070</v>
      </c>
      <c r="M2147">
        <v>254</v>
      </c>
      <c r="N2147">
        <v>57</v>
      </c>
      <c r="O2147">
        <v>124</v>
      </c>
      <c r="P2147">
        <v>124</v>
      </c>
      <c r="Q2147">
        <v>124</v>
      </c>
      <c r="S2147">
        <v>144</v>
      </c>
      <c r="T2147">
        <v>211</v>
      </c>
      <c r="U2147">
        <f>+SUM(Table1[[#This Row],[Latinos]:[Cemex]])</f>
        <v>1</v>
      </c>
      <c r="V2147" t="str">
        <f>+Table1[[#This Row],[id_destino]]&amp;" - "&amp;Table1[[#This Row],[id_origen]]</f>
        <v>254 - 57</v>
      </c>
    </row>
    <row r="2148" spans="1:22" hidden="1">
      <c r="A2148">
        <v>886</v>
      </c>
      <c r="B2148">
        <v>1210</v>
      </c>
      <c r="C2148">
        <v>65</v>
      </c>
      <c r="D2148">
        <v>5532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K2148" t="s">
        <v>20</v>
      </c>
      <c r="L2148" s="1">
        <v>43203</v>
      </c>
      <c r="M2148">
        <v>267</v>
      </c>
      <c r="N2148">
        <v>57</v>
      </c>
      <c r="O2148">
        <v>41</v>
      </c>
      <c r="P2148">
        <v>150</v>
      </c>
      <c r="Q2148">
        <v>41</v>
      </c>
      <c r="S2148">
        <v>0</v>
      </c>
      <c r="T2148">
        <v>0</v>
      </c>
      <c r="U2148">
        <f>+SUM(Table1[[#This Row],[Latinos]:[Cemex]])</f>
        <v>1</v>
      </c>
      <c r="V2148" t="str">
        <f>+Table1[[#This Row],[id_destino]]&amp;" - "&amp;Table1[[#This Row],[id_origen]]</f>
        <v>267 - 57</v>
      </c>
    </row>
    <row r="2149" spans="1:22" hidden="1">
      <c r="A2149">
        <v>1162</v>
      </c>
      <c r="B2149">
        <v>2154</v>
      </c>
      <c r="C2149">
        <v>65</v>
      </c>
      <c r="D2149">
        <v>1532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K2149" t="s">
        <v>20</v>
      </c>
      <c r="L2149" s="1">
        <v>43323</v>
      </c>
      <c r="M2149">
        <v>276</v>
      </c>
      <c r="N2149">
        <v>57</v>
      </c>
      <c r="O2149">
        <v>85</v>
      </c>
      <c r="P2149">
        <v>100</v>
      </c>
      <c r="Q2149">
        <v>85</v>
      </c>
      <c r="S2149">
        <v>81</v>
      </c>
      <c r="T2149">
        <v>81</v>
      </c>
      <c r="U2149">
        <f>+SUM(Table1[[#This Row],[Latinos]:[Cemex]])</f>
        <v>1</v>
      </c>
      <c r="V2149" t="str">
        <f>+Table1[[#This Row],[id_destino]]&amp;" - "&amp;Table1[[#This Row],[id_origen]]</f>
        <v>276 - 57</v>
      </c>
    </row>
    <row r="2150" spans="1:22" hidden="1">
      <c r="A2150">
        <v>4552</v>
      </c>
      <c r="B2150">
        <v>4747</v>
      </c>
      <c r="C2150">
        <v>65</v>
      </c>
      <c r="D2150">
        <v>6806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 t="s">
        <v>20</v>
      </c>
      <c r="L2150" s="1">
        <v>45612</v>
      </c>
      <c r="M2150">
        <v>290</v>
      </c>
      <c r="N2150">
        <v>57</v>
      </c>
      <c r="O2150">
        <v>106</v>
      </c>
      <c r="P2150">
        <v>150</v>
      </c>
      <c r="Q2150">
        <v>106</v>
      </c>
      <c r="S2150">
        <v>38</v>
      </c>
      <c r="T2150">
        <v>58</v>
      </c>
      <c r="U2150">
        <f>+SUM(Table1[[#This Row],[Latinos]:[Cemex]])</f>
        <v>1</v>
      </c>
      <c r="V2150" t="str">
        <f>+Table1[[#This Row],[id_destino]]&amp;" - "&amp;Table1[[#This Row],[id_origen]]</f>
        <v>290 - 57</v>
      </c>
    </row>
    <row r="2151" spans="1:22" hidden="1">
      <c r="A2151">
        <v>1648</v>
      </c>
      <c r="B2151">
        <v>2860</v>
      </c>
      <c r="C2151">
        <v>65</v>
      </c>
      <c r="D2151">
        <v>5859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  <c r="K2151" t="s">
        <v>20</v>
      </c>
      <c r="L2151" s="1">
        <v>43549</v>
      </c>
      <c r="M2151">
        <v>332</v>
      </c>
      <c r="N2151">
        <v>57</v>
      </c>
      <c r="O2151">
        <v>158</v>
      </c>
      <c r="P2151">
        <v>156</v>
      </c>
      <c r="Q2151">
        <v>158</v>
      </c>
      <c r="S2151">
        <v>385</v>
      </c>
      <c r="T2151">
        <v>385</v>
      </c>
      <c r="U2151">
        <f>+SUM(Table1[[#This Row],[Latinos]:[Cemex]])</f>
        <v>1</v>
      </c>
      <c r="V2151" t="str">
        <f>+Table1[[#This Row],[id_destino]]&amp;" - "&amp;Table1[[#This Row],[id_origen]]</f>
        <v>332 - 57</v>
      </c>
    </row>
    <row r="2152" spans="1:22" hidden="1">
      <c r="A2152">
        <v>4617</v>
      </c>
      <c r="B2152">
        <v>4799</v>
      </c>
      <c r="C2152">
        <v>65</v>
      </c>
      <c r="D2152">
        <v>6999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 t="s">
        <v>20</v>
      </c>
      <c r="L2152" s="1">
        <v>45673</v>
      </c>
      <c r="M2152">
        <v>424</v>
      </c>
      <c r="N2152">
        <v>57</v>
      </c>
      <c r="O2152">
        <v>191</v>
      </c>
      <c r="P2152">
        <v>190</v>
      </c>
      <c r="Q2152">
        <v>191</v>
      </c>
      <c r="S2152">
        <v>643</v>
      </c>
      <c r="T2152">
        <v>643</v>
      </c>
      <c r="U2152">
        <f>+SUM(Table1[[#This Row],[Latinos]:[Cemex]])</f>
        <v>1</v>
      </c>
      <c r="V2152" t="str">
        <f>+Table1[[#This Row],[id_destino]]&amp;" - "&amp;Table1[[#This Row],[id_origen]]</f>
        <v>424 - 57</v>
      </c>
    </row>
    <row r="2153" spans="1:22" hidden="1">
      <c r="A2153">
        <v>465</v>
      </c>
      <c r="B2153">
        <v>1361</v>
      </c>
      <c r="C2153">
        <v>65</v>
      </c>
      <c r="D2153">
        <v>64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 t="s">
        <v>20</v>
      </c>
      <c r="L2153" s="1">
        <v>43070</v>
      </c>
      <c r="M2153">
        <v>602</v>
      </c>
      <c r="N2153">
        <v>57</v>
      </c>
      <c r="O2153">
        <v>129</v>
      </c>
      <c r="P2153">
        <v>150</v>
      </c>
      <c r="Q2153">
        <v>129</v>
      </c>
      <c r="S2153">
        <v>260</v>
      </c>
      <c r="T2153">
        <v>260</v>
      </c>
      <c r="U2153">
        <f>+SUM(Table1[[#This Row],[Latinos]:[Cemex]])</f>
        <v>1</v>
      </c>
      <c r="V2153" t="str">
        <f>+Table1[[#This Row],[id_destino]]&amp;" - "&amp;Table1[[#This Row],[id_origen]]</f>
        <v>602 - 57</v>
      </c>
    </row>
    <row r="2154" spans="1:22" hidden="1">
      <c r="A2154">
        <v>4705</v>
      </c>
      <c r="B2154">
        <v>4856</v>
      </c>
      <c r="C2154">
        <v>65</v>
      </c>
      <c r="D2154">
        <v>8181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 t="s">
        <v>20</v>
      </c>
      <c r="L2154" s="1">
        <v>45743</v>
      </c>
      <c r="M2154">
        <v>908</v>
      </c>
      <c r="N2154">
        <v>57</v>
      </c>
      <c r="O2154">
        <v>368</v>
      </c>
      <c r="P2154">
        <v>368</v>
      </c>
      <c r="Q2154">
        <v>368</v>
      </c>
      <c r="S2154">
        <v>1557</v>
      </c>
      <c r="T2154">
        <v>1557</v>
      </c>
      <c r="U2154">
        <f>+SUM(Table1[[#This Row],[Latinos]:[Cemex]])</f>
        <v>1</v>
      </c>
      <c r="V2154" t="str">
        <f>+Table1[[#This Row],[id_destino]]&amp;" - "&amp;Table1[[#This Row],[id_origen]]</f>
        <v>908 - 57</v>
      </c>
    </row>
    <row r="2155" spans="1:22" hidden="1">
      <c r="A2155">
        <v>1990</v>
      </c>
      <c r="B2155">
        <v>1880</v>
      </c>
      <c r="C2155">
        <v>4935</v>
      </c>
      <c r="D2155">
        <v>7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 t="s">
        <v>20</v>
      </c>
      <c r="L2155" s="1">
        <v>43753</v>
      </c>
      <c r="M2155">
        <v>9</v>
      </c>
      <c r="N2155">
        <v>58</v>
      </c>
      <c r="O2155">
        <v>1412</v>
      </c>
      <c r="P2155">
        <v>1340</v>
      </c>
      <c r="Q2155">
        <v>1412</v>
      </c>
      <c r="S2155">
        <v>2904</v>
      </c>
      <c r="T2155">
        <v>3196</v>
      </c>
      <c r="U2155">
        <f>+SUM(Table1[[#This Row],[Latinos]:[Cemex]])</f>
        <v>1</v>
      </c>
      <c r="V2155" t="str">
        <f>+Table1[[#This Row],[id_destino]]&amp;" - "&amp;Table1[[#This Row],[id_origen]]</f>
        <v>9 - 58</v>
      </c>
    </row>
    <row r="2156" spans="1:22" hidden="1">
      <c r="A2156">
        <v>2123</v>
      </c>
      <c r="B2156">
        <v>3147</v>
      </c>
      <c r="C2156">
        <v>4935</v>
      </c>
      <c r="D2156">
        <v>4531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  <c r="K2156" t="s">
        <v>20</v>
      </c>
      <c r="L2156" s="1">
        <v>43819</v>
      </c>
      <c r="M2156">
        <v>9</v>
      </c>
      <c r="N2156">
        <v>58</v>
      </c>
      <c r="O2156">
        <v>1377</v>
      </c>
      <c r="P2156">
        <v>1377</v>
      </c>
      <c r="Q2156">
        <v>1377</v>
      </c>
      <c r="S2156">
        <v>1854</v>
      </c>
      <c r="T2156">
        <v>1971</v>
      </c>
      <c r="U2156">
        <f>+SUM(Table1[[#This Row],[Latinos]:[Cemex]])</f>
        <v>1</v>
      </c>
      <c r="V2156" t="str">
        <f>+Table1[[#This Row],[id_destino]]&amp;" - "&amp;Table1[[#This Row],[id_origen]]</f>
        <v>9 - 58</v>
      </c>
    </row>
    <row r="2157" spans="1:22" hidden="1">
      <c r="A2157">
        <v>3715</v>
      </c>
      <c r="B2157">
        <v>1719</v>
      </c>
      <c r="C2157">
        <v>6905</v>
      </c>
      <c r="D2157">
        <v>4211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  <c r="K2157" t="s">
        <v>20</v>
      </c>
      <c r="L2157" s="1">
        <v>45048</v>
      </c>
      <c r="M2157">
        <v>18</v>
      </c>
      <c r="N2157">
        <v>58</v>
      </c>
      <c r="O2157">
        <v>143</v>
      </c>
      <c r="P2157">
        <v>150</v>
      </c>
      <c r="Q2157">
        <v>143</v>
      </c>
      <c r="S2157">
        <v>250</v>
      </c>
      <c r="T2157">
        <v>250</v>
      </c>
      <c r="U2157">
        <f>+SUM(Table1[[#This Row],[Latinos]:[Cemex]])</f>
        <v>1</v>
      </c>
      <c r="V2157" t="str">
        <f>+Table1[[#This Row],[id_destino]]&amp;" - "&amp;Table1[[#This Row],[id_origen]]</f>
        <v>18 - 58</v>
      </c>
    </row>
    <row r="2158" spans="1:22" hidden="1">
      <c r="A2158">
        <v>1227</v>
      </c>
      <c r="B2158">
        <v>339</v>
      </c>
      <c r="C2158">
        <v>365</v>
      </c>
      <c r="D2158">
        <v>348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 t="s">
        <v>20</v>
      </c>
      <c r="L2158" s="1">
        <v>43347</v>
      </c>
      <c r="M2158">
        <v>59</v>
      </c>
      <c r="N2158">
        <v>58</v>
      </c>
      <c r="O2158">
        <v>290</v>
      </c>
      <c r="P2158">
        <v>290</v>
      </c>
      <c r="Q2158">
        <v>290</v>
      </c>
      <c r="S2158">
        <v>1000</v>
      </c>
      <c r="T2158">
        <v>1000</v>
      </c>
      <c r="U2158">
        <f>+SUM(Table1[[#This Row],[Latinos]:[Cemex]])</f>
        <v>1</v>
      </c>
      <c r="V2158" t="str">
        <f>+Table1[[#This Row],[id_destino]]&amp;" - "&amp;Table1[[#This Row],[id_origen]]</f>
        <v>59 - 58</v>
      </c>
    </row>
    <row r="2159" spans="1:22" hidden="1">
      <c r="A2159">
        <v>2103</v>
      </c>
      <c r="B2159">
        <v>2774</v>
      </c>
      <c r="C2159">
        <v>4935</v>
      </c>
      <c r="D2159">
        <v>3237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K2159" t="s">
        <v>20</v>
      </c>
      <c r="L2159" s="1">
        <v>43812</v>
      </c>
      <c r="M2159">
        <v>65</v>
      </c>
      <c r="N2159">
        <v>58</v>
      </c>
      <c r="O2159">
        <v>1412</v>
      </c>
      <c r="P2159">
        <v>1378</v>
      </c>
      <c r="Q2159">
        <v>1412</v>
      </c>
      <c r="S2159">
        <v>1854</v>
      </c>
      <c r="T2159">
        <v>1971</v>
      </c>
      <c r="U2159">
        <f>+SUM(Table1[[#This Row],[Latinos]:[Cemex]])</f>
        <v>1</v>
      </c>
      <c r="V2159" t="str">
        <f>+Table1[[#This Row],[id_destino]]&amp;" - "&amp;Table1[[#This Row],[id_origen]]</f>
        <v>65 - 58</v>
      </c>
    </row>
    <row r="2160" spans="1:22" hidden="1">
      <c r="A2160">
        <v>2042</v>
      </c>
      <c r="B2160">
        <v>3097</v>
      </c>
      <c r="C2160">
        <v>4935</v>
      </c>
      <c r="D2160">
        <v>6145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 t="s">
        <v>20</v>
      </c>
      <c r="L2160" s="1">
        <v>43780</v>
      </c>
      <c r="M2160">
        <v>753</v>
      </c>
      <c r="N2160">
        <v>58</v>
      </c>
      <c r="O2160">
        <v>1412</v>
      </c>
      <c r="P2160">
        <v>1378</v>
      </c>
      <c r="Q2160">
        <v>1412</v>
      </c>
      <c r="S2160">
        <v>1854</v>
      </c>
      <c r="T2160">
        <v>1971</v>
      </c>
      <c r="U2160">
        <f>+SUM(Table1[[#This Row],[Latinos]:[Cemex]])</f>
        <v>1</v>
      </c>
      <c r="V2160" t="str">
        <f>+Table1[[#This Row],[id_destino]]&amp;" - "&amp;Table1[[#This Row],[id_origen]]</f>
        <v>753 - 58</v>
      </c>
    </row>
    <row r="2161" spans="1:22" hidden="1">
      <c r="A2161">
        <v>726</v>
      </c>
      <c r="B2161">
        <v>167</v>
      </c>
      <c r="C2161">
        <v>3984</v>
      </c>
      <c r="D2161">
        <v>469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 t="s">
        <v>20</v>
      </c>
      <c r="L2161" s="1">
        <v>43144</v>
      </c>
      <c r="M2161">
        <v>2</v>
      </c>
      <c r="N2161">
        <v>59</v>
      </c>
      <c r="O2161">
        <v>487</v>
      </c>
      <c r="P2161">
        <v>468</v>
      </c>
      <c r="Q2161">
        <v>487</v>
      </c>
      <c r="S2161">
        <v>2109</v>
      </c>
      <c r="T2161">
        <v>2328</v>
      </c>
      <c r="U2161">
        <f>+SUM(Table1[[#This Row],[Latinos]:[Cemex]])</f>
        <v>1</v>
      </c>
      <c r="V2161" t="str">
        <f>+Table1[[#This Row],[id_destino]]&amp;" - "&amp;Table1[[#This Row],[id_origen]]</f>
        <v>2 - 59</v>
      </c>
    </row>
    <row r="2162" spans="1:22" hidden="1">
      <c r="A2162">
        <v>3666</v>
      </c>
      <c r="B2162">
        <v>4149</v>
      </c>
      <c r="C2162">
        <v>6962</v>
      </c>
      <c r="D2162">
        <v>353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 t="s">
        <v>20</v>
      </c>
      <c r="L2162" s="1">
        <v>45016</v>
      </c>
      <c r="M2162">
        <v>7</v>
      </c>
      <c r="N2162">
        <v>59</v>
      </c>
      <c r="O2162">
        <v>1951</v>
      </c>
      <c r="P2162">
        <v>1970</v>
      </c>
      <c r="Q2162">
        <v>1951</v>
      </c>
      <c r="S2162">
        <v>3158</v>
      </c>
      <c r="T2162">
        <v>3275</v>
      </c>
      <c r="U2162">
        <f>+SUM(Table1[[#This Row],[Latinos]:[Cemex]])</f>
        <v>1</v>
      </c>
      <c r="V2162" t="str">
        <f>+Table1[[#This Row],[id_destino]]&amp;" - "&amp;Table1[[#This Row],[id_origen]]</f>
        <v>7 - 59</v>
      </c>
    </row>
    <row r="2163" spans="1:22" hidden="1">
      <c r="A2163">
        <v>3802</v>
      </c>
      <c r="B2163">
        <v>4229</v>
      </c>
      <c r="C2163">
        <v>6962</v>
      </c>
      <c r="D2163">
        <v>7027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 t="s">
        <v>20</v>
      </c>
      <c r="L2163" s="1">
        <v>45099</v>
      </c>
      <c r="M2163">
        <v>13</v>
      </c>
      <c r="N2163">
        <v>59</v>
      </c>
      <c r="O2163">
        <v>655</v>
      </c>
      <c r="P2163">
        <v>646</v>
      </c>
      <c r="Q2163">
        <v>655</v>
      </c>
      <c r="S2163">
        <v>2093</v>
      </c>
      <c r="T2163">
        <v>2093</v>
      </c>
      <c r="U2163">
        <f>+SUM(Table1[[#This Row],[Latinos]:[Cemex]])</f>
        <v>1</v>
      </c>
      <c r="V2163" t="str">
        <f>+Table1[[#This Row],[id_destino]]&amp;" - "&amp;Table1[[#This Row],[id_origen]]</f>
        <v>13 - 59</v>
      </c>
    </row>
    <row r="2164" spans="1:22" hidden="1">
      <c r="A2164">
        <v>650</v>
      </c>
      <c r="B2164">
        <v>2388</v>
      </c>
      <c r="C2164">
        <v>348</v>
      </c>
      <c r="D2164">
        <v>759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  <c r="K2164" t="s">
        <v>20</v>
      </c>
      <c r="L2164" s="1">
        <v>43122</v>
      </c>
      <c r="M2164">
        <v>18</v>
      </c>
      <c r="N2164">
        <v>59</v>
      </c>
      <c r="O2164">
        <v>436</v>
      </c>
      <c r="P2164">
        <v>436</v>
      </c>
      <c r="Q2164">
        <v>436</v>
      </c>
      <c r="S2164">
        <v>1139</v>
      </c>
      <c r="T2164">
        <v>1139</v>
      </c>
      <c r="U2164">
        <f>+SUM(Table1[[#This Row],[Latinos]:[Cemex]])</f>
        <v>1</v>
      </c>
      <c r="V2164" t="str">
        <f>+Table1[[#This Row],[id_destino]]&amp;" - "&amp;Table1[[#This Row],[id_origen]]</f>
        <v>18 - 59</v>
      </c>
    </row>
    <row r="2165" spans="1:22" hidden="1">
      <c r="A2165">
        <v>3152</v>
      </c>
      <c r="B2165">
        <v>3804</v>
      </c>
      <c r="C2165">
        <v>6962</v>
      </c>
      <c r="D2165">
        <v>403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 t="s">
        <v>20</v>
      </c>
      <c r="L2165" s="1">
        <v>44741</v>
      </c>
      <c r="M2165">
        <v>27</v>
      </c>
      <c r="N2165">
        <v>59</v>
      </c>
      <c r="O2165">
        <v>1232</v>
      </c>
      <c r="P2165">
        <v>1230</v>
      </c>
      <c r="Q2165">
        <v>1232</v>
      </c>
      <c r="S2165">
        <v>3616</v>
      </c>
      <c r="T2165">
        <v>3829</v>
      </c>
      <c r="U2165">
        <f>+SUM(Table1[[#This Row],[Latinos]:[Cemex]])</f>
        <v>1</v>
      </c>
      <c r="V2165" t="str">
        <f>+Table1[[#This Row],[id_destino]]&amp;" - "&amp;Table1[[#This Row],[id_origen]]</f>
        <v>27 - 59</v>
      </c>
    </row>
    <row r="2166" spans="1:22" hidden="1">
      <c r="A2166">
        <v>2211</v>
      </c>
      <c r="B2166">
        <v>3203</v>
      </c>
      <c r="C2166">
        <v>3984</v>
      </c>
      <c r="D2166">
        <v>556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 t="s">
        <v>20</v>
      </c>
      <c r="L2166" s="1">
        <v>43888</v>
      </c>
      <c r="M2166">
        <v>36</v>
      </c>
      <c r="N2166">
        <v>59</v>
      </c>
      <c r="O2166">
        <v>632</v>
      </c>
      <c r="P2166">
        <v>627</v>
      </c>
      <c r="Q2166">
        <v>632</v>
      </c>
      <c r="S2166">
        <v>1748</v>
      </c>
      <c r="T2166">
        <v>1867</v>
      </c>
      <c r="U2166">
        <f>+SUM(Table1[[#This Row],[Latinos]:[Cemex]])</f>
        <v>1</v>
      </c>
      <c r="V2166" t="str">
        <f>+Table1[[#This Row],[id_destino]]&amp;" - "&amp;Table1[[#This Row],[id_origen]]</f>
        <v>36 - 59</v>
      </c>
    </row>
    <row r="2167" spans="1:22" hidden="1">
      <c r="A2167">
        <v>3835</v>
      </c>
      <c r="B2167">
        <v>2387</v>
      </c>
      <c r="C2167">
        <v>6220</v>
      </c>
      <c r="D2167">
        <v>43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 t="s">
        <v>20</v>
      </c>
      <c r="L2167" s="1">
        <v>45133</v>
      </c>
      <c r="M2167">
        <v>37</v>
      </c>
      <c r="N2167">
        <v>59</v>
      </c>
      <c r="O2167">
        <v>331</v>
      </c>
      <c r="P2167">
        <v>328</v>
      </c>
      <c r="Q2167">
        <v>331</v>
      </c>
      <c r="S2167">
        <v>221</v>
      </c>
      <c r="T2167">
        <v>221</v>
      </c>
      <c r="U2167">
        <f>+SUM(Table1[[#This Row],[Latinos]:[Cemex]])</f>
        <v>1</v>
      </c>
      <c r="V2167" t="str">
        <f>+Table1[[#This Row],[id_destino]]&amp;" - "&amp;Table1[[#This Row],[id_origen]]</f>
        <v>37 - 59</v>
      </c>
    </row>
    <row r="2168" spans="1:22" hidden="1">
      <c r="A2168">
        <v>1158</v>
      </c>
      <c r="B2168">
        <v>1212</v>
      </c>
      <c r="C2168">
        <v>3984</v>
      </c>
      <c r="D2168">
        <v>45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 t="s">
        <v>20</v>
      </c>
      <c r="L2168" s="1">
        <v>43321</v>
      </c>
      <c r="M2168">
        <v>39</v>
      </c>
      <c r="N2168">
        <v>59</v>
      </c>
      <c r="O2168">
        <v>536</v>
      </c>
      <c r="P2168">
        <v>536</v>
      </c>
      <c r="Q2168">
        <v>536</v>
      </c>
      <c r="S2168">
        <v>797</v>
      </c>
      <c r="T2168">
        <v>797</v>
      </c>
      <c r="U2168">
        <f>+SUM(Table1[[#This Row],[Latinos]:[Cemex]])</f>
        <v>1</v>
      </c>
      <c r="V2168" t="str">
        <f>+Table1[[#This Row],[id_destino]]&amp;" - "&amp;Table1[[#This Row],[id_origen]]</f>
        <v>39 - 59</v>
      </c>
    </row>
    <row r="2169" spans="1:22" hidden="1">
      <c r="A2169">
        <v>1776</v>
      </c>
      <c r="B2169">
        <v>533</v>
      </c>
      <c r="C2169">
        <v>3984</v>
      </c>
      <c r="D2169">
        <v>46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 t="s">
        <v>20</v>
      </c>
      <c r="L2169" s="1">
        <v>43621</v>
      </c>
      <c r="M2169">
        <v>40</v>
      </c>
      <c r="N2169">
        <v>59</v>
      </c>
      <c r="O2169">
        <v>627</v>
      </c>
      <c r="P2169">
        <v>627</v>
      </c>
      <c r="Q2169">
        <v>627</v>
      </c>
      <c r="S2169">
        <v>760</v>
      </c>
      <c r="T2169">
        <v>760</v>
      </c>
      <c r="U2169">
        <f>+SUM(Table1[[#This Row],[Latinos]:[Cemex]])</f>
        <v>1</v>
      </c>
      <c r="V2169" t="str">
        <f>+Table1[[#This Row],[id_destino]]&amp;" - "&amp;Table1[[#This Row],[id_origen]]</f>
        <v>40 - 59</v>
      </c>
    </row>
    <row r="2170" spans="1:22" hidden="1">
      <c r="A2170">
        <v>3601</v>
      </c>
      <c r="B2170">
        <v>1239</v>
      </c>
      <c r="C2170">
        <v>6220</v>
      </c>
      <c r="D2170">
        <v>63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 t="s">
        <v>20</v>
      </c>
      <c r="L2170" s="1">
        <v>44979</v>
      </c>
      <c r="M2170">
        <v>55</v>
      </c>
      <c r="N2170">
        <v>59</v>
      </c>
      <c r="O2170">
        <v>478</v>
      </c>
      <c r="P2170">
        <v>488</v>
      </c>
      <c r="Q2170">
        <v>478</v>
      </c>
      <c r="S2170">
        <v>1582</v>
      </c>
      <c r="T2170">
        <v>1582</v>
      </c>
      <c r="U2170">
        <f>+SUM(Table1[[#This Row],[Latinos]:[Cemex]])</f>
        <v>1</v>
      </c>
      <c r="V2170" t="str">
        <f>+Table1[[#This Row],[id_destino]]&amp;" - "&amp;Table1[[#This Row],[id_origen]]</f>
        <v>55 - 59</v>
      </c>
    </row>
    <row r="2171" spans="1:22" hidden="1">
      <c r="A2171">
        <v>718</v>
      </c>
      <c r="B2171">
        <v>2422</v>
      </c>
      <c r="C2171">
        <v>348</v>
      </c>
      <c r="D2171">
        <v>3012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 t="s">
        <v>20</v>
      </c>
      <c r="L2171" s="1">
        <v>43140</v>
      </c>
      <c r="M2171">
        <v>59</v>
      </c>
      <c r="N2171">
        <v>59</v>
      </c>
      <c r="O2171">
        <v>50</v>
      </c>
      <c r="P2171">
        <v>150</v>
      </c>
      <c r="Q2171">
        <v>50</v>
      </c>
      <c r="S2171">
        <v>0</v>
      </c>
      <c r="T2171">
        <v>0</v>
      </c>
      <c r="U2171">
        <f>+SUM(Table1[[#This Row],[Latinos]:[Cemex]])</f>
        <v>1</v>
      </c>
      <c r="V2171" t="str">
        <f>+Table1[[#This Row],[id_destino]]&amp;" - "&amp;Table1[[#This Row],[id_origen]]</f>
        <v>59 - 59</v>
      </c>
    </row>
    <row r="2172" spans="1:22" hidden="1">
      <c r="A2172">
        <v>4227</v>
      </c>
      <c r="B2172">
        <v>397</v>
      </c>
      <c r="C2172">
        <v>6962</v>
      </c>
      <c r="D2172">
        <v>7714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  <c r="K2172" t="s">
        <v>20</v>
      </c>
      <c r="L2172" s="1">
        <v>45387</v>
      </c>
      <c r="M2172">
        <v>81</v>
      </c>
      <c r="N2172">
        <v>59</v>
      </c>
      <c r="O2172">
        <v>414</v>
      </c>
      <c r="P2172">
        <v>428</v>
      </c>
      <c r="Q2172">
        <v>414</v>
      </c>
      <c r="S2172">
        <v>1511</v>
      </c>
      <c r="T2172">
        <v>1628</v>
      </c>
      <c r="U2172">
        <f>+SUM(Table1[[#This Row],[Latinos]:[Cemex]])</f>
        <v>1</v>
      </c>
      <c r="V2172" t="str">
        <f>+Table1[[#This Row],[id_destino]]&amp;" - "&amp;Table1[[#This Row],[id_origen]]</f>
        <v>81 - 59</v>
      </c>
    </row>
    <row r="2173" spans="1:22" hidden="1">
      <c r="A2173">
        <v>3726</v>
      </c>
      <c r="B2173">
        <v>4167</v>
      </c>
      <c r="C2173">
        <v>7334</v>
      </c>
      <c r="D2173">
        <v>7335</v>
      </c>
      <c r="E2173">
        <v>0</v>
      </c>
      <c r="F2173">
        <v>0</v>
      </c>
      <c r="G2173">
        <v>0</v>
      </c>
      <c r="H2173">
        <v>1</v>
      </c>
      <c r="I2173">
        <v>0</v>
      </c>
      <c r="J2173">
        <v>0</v>
      </c>
      <c r="K2173" t="s">
        <v>20</v>
      </c>
      <c r="L2173" s="1">
        <v>45054</v>
      </c>
      <c r="M2173">
        <v>82</v>
      </c>
      <c r="N2173">
        <v>59</v>
      </c>
      <c r="O2173">
        <v>217</v>
      </c>
      <c r="P2173">
        <v>222</v>
      </c>
      <c r="Q2173">
        <v>217</v>
      </c>
      <c r="S2173">
        <v>725</v>
      </c>
      <c r="T2173">
        <v>725</v>
      </c>
      <c r="U2173">
        <f>+SUM(Table1[[#This Row],[Latinos]:[Cemex]])</f>
        <v>1</v>
      </c>
      <c r="V2173" t="str">
        <f>+Table1[[#This Row],[id_destino]]&amp;" - "&amp;Table1[[#This Row],[id_origen]]</f>
        <v>82 - 59</v>
      </c>
    </row>
    <row r="2174" spans="1:22" hidden="1">
      <c r="A2174">
        <v>1626</v>
      </c>
      <c r="B2174">
        <v>2018</v>
      </c>
      <c r="C2174">
        <v>3984</v>
      </c>
      <c r="D2174">
        <v>3601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 t="s">
        <v>20</v>
      </c>
      <c r="L2174" s="1">
        <v>43537</v>
      </c>
      <c r="M2174">
        <v>84</v>
      </c>
      <c r="N2174">
        <v>59</v>
      </c>
      <c r="O2174">
        <v>1325</v>
      </c>
      <c r="P2174">
        <v>1330</v>
      </c>
      <c r="Q2174">
        <v>1325</v>
      </c>
      <c r="S2174">
        <v>2517</v>
      </c>
      <c r="T2174">
        <v>2517</v>
      </c>
      <c r="U2174">
        <f>+SUM(Table1[[#This Row],[Latinos]:[Cemex]])</f>
        <v>1</v>
      </c>
      <c r="V2174" t="str">
        <f>+Table1[[#This Row],[id_destino]]&amp;" - "&amp;Table1[[#This Row],[id_origen]]</f>
        <v>84 - 59</v>
      </c>
    </row>
    <row r="2175" spans="1:22" hidden="1">
      <c r="A2175">
        <v>3194</v>
      </c>
      <c r="B2175">
        <v>2420</v>
      </c>
      <c r="C2175">
        <v>6220</v>
      </c>
      <c r="D2175">
        <v>4607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 t="s">
        <v>20</v>
      </c>
      <c r="L2175" s="1">
        <v>44765</v>
      </c>
      <c r="M2175">
        <v>117</v>
      </c>
      <c r="N2175">
        <v>59</v>
      </c>
      <c r="O2175">
        <v>310</v>
      </c>
      <c r="P2175">
        <v>290</v>
      </c>
      <c r="Q2175">
        <v>310</v>
      </c>
      <c r="S2175">
        <v>978</v>
      </c>
      <c r="T2175">
        <v>978</v>
      </c>
      <c r="U2175">
        <f>+SUM(Table1[[#This Row],[Latinos]:[Cemex]])</f>
        <v>1</v>
      </c>
      <c r="V2175" t="str">
        <f>+Table1[[#This Row],[id_destino]]&amp;" - "&amp;Table1[[#This Row],[id_origen]]</f>
        <v>117 - 59</v>
      </c>
    </row>
    <row r="2176" spans="1:22" hidden="1">
      <c r="A2176">
        <v>4135</v>
      </c>
      <c r="B2176">
        <v>4442</v>
      </c>
      <c r="C2176">
        <v>3984</v>
      </c>
      <c r="D2176">
        <v>6927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 t="s">
        <v>20</v>
      </c>
      <c r="L2176" s="1">
        <v>45309</v>
      </c>
      <c r="M2176">
        <v>169</v>
      </c>
      <c r="N2176">
        <v>59</v>
      </c>
      <c r="O2176">
        <v>770</v>
      </c>
      <c r="P2176">
        <v>755</v>
      </c>
      <c r="Q2176">
        <v>770</v>
      </c>
      <c r="S2176">
        <v>2262</v>
      </c>
      <c r="T2176">
        <v>2262</v>
      </c>
      <c r="U2176">
        <f>+SUM(Table1[[#This Row],[Latinos]:[Cemex]])</f>
        <v>1</v>
      </c>
      <c r="V2176" t="str">
        <f>+Table1[[#This Row],[id_destino]]&amp;" - "&amp;Table1[[#This Row],[id_origen]]</f>
        <v>169 - 59</v>
      </c>
    </row>
    <row r="2177" spans="1:22" hidden="1">
      <c r="A2177">
        <v>3740</v>
      </c>
      <c r="B2177">
        <v>4194</v>
      </c>
      <c r="C2177">
        <v>348</v>
      </c>
      <c r="D2177">
        <v>2506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 t="s">
        <v>20</v>
      </c>
      <c r="L2177" s="1">
        <v>45063</v>
      </c>
      <c r="M2177">
        <v>225</v>
      </c>
      <c r="N2177">
        <v>59</v>
      </c>
      <c r="O2177">
        <v>1842</v>
      </c>
      <c r="P2177">
        <v>1901</v>
      </c>
      <c r="Q2177">
        <v>1842</v>
      </c>
      <c r="S2177">
        <v>3158</v>
      </c>
      <c r="T2177">
        <v>3275</v>
      </c>
      <c r="U2177">
        <f>+SUM(Table1[[#This Row],[Latinos]:[Cemex]])</f>
        <v>1</v>
      </c>
      <c r="V2177" t="str">
        <f>+Table1[[#This Row],[id_destino]]&amp;" - "&amp;Table1[[#This Row],[id_origen]]</f>
        <v>225 - 59</v>
      </c>
    </row>
    <row r="2178" spans="1:22" hidden="1">
      <c r="A2178">
        <v>4411</v>
      </c>
      <c r="B2178">
        <v>4636</v>
      </c>
      <c r="C2178">
        <v>3984</v>
      </c>
      <c r="D2178">
        <v>1291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 t="s">
        <v>20</v>
      </c>
      <c r="L2178" s="1">
        <v>45528</v>
      </c>
      <c r="M2178">
        <v>330</v>
      </c>
      <c r="N2178">
        <v>59</v>
      </c>
      <c r="O2178">
        <v>888</v>
      </c>
      <c r="P2178">
        <v>846</v>
      </c>
      <c r="Q2178">
        <v>888</v>
      </c>
      <c r="S2178">
        <v>3227</v>
      </c>
      <c r="T2178">
        <v>3395</v>
      </c>
      <c r="U2178">
        <f>+SUM(Table1[[#This Row],[Latinos]:[Cemex]])</f>
        <v>1</v>
      </c>
      <c r="V2178" t="str">
        <f>+Table1[[#This Row],[id_destino]]&amp;" - "&amp;Table1[[#This Row],[id_origen]]</f>
        <v>330 - 59</v>
      </c>
    </row>
    <row r="2179" spans="1:22" hidden="1">
      <c r="A2179">
        <v>2622</v>
      </c>
      <c r="B2179">
        <v>3458</v>
      </c>
      <c r="C2179">
        <v>6220</v>
      </c>
      <c r="D2179">
        <v>3233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 t="s">
        <v>20</v>
      </c>
      <c r="L2179" s="1">
        <v>44251</v>
      </c>
      <c r="M2179">
        <v>505</v>
      </c>
      <c r="N2179">
        <v>59</v>
      </c>
      <c r="O2179">
        <v>582</v>
      </c>
      <c r="P2179">
        <v>601</v>
      </c>
      <c r="Q2179">
        <v>582</v>
      </c>
      <c r="S2179">
        <v>844</v>
      </c>
      <c r="T2179">
        <v>844</v>
      </c>
      <c r="U2179">
        <f>+SUM(Table1[[#This Row],[Latinos]:[Cemex]])</f>
        <v>1</v>
      </c>
      <c r="V2179" t="str">
        <f>+Table1[[#This Row],[id_destino]]&amp;" - "&amp;Table1[[#This Row],[id_origen]]</f>
        <v>505 - 59</v>
      </c>
    </row>
    <row r="2180" spans="1:22" hidden="1">
      <c r="A2180">
        <v>3800</v>
      </c>
      <c r="B2180">
        <v>4227</v>
      </c>
      <c r="C2180">
        <v>6962</v>
      </c>
      <c r="D2180">
        <v>7393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 t="s">
        <v>20</v>
      </c>
      <c r="L2180" s="1">
        <v>45099</v>
      </c>
      <c r="M2180">
        <v>531</v>
      </c>
      <c r="N2180">
        <v>59</v>
      </c>
      <c r="O2180">
        <v>1100</v>
      </c>
      <c r="P2180">
        <v>1107</v>
      </c>
      <c r="Q2180">
        <v>1100</v>
      </c>
      <c r="S2180">
        <v>3114</v>
      </c>
      <c r="T2180">
        <v>3231</v>
      </c>
      <c r="U2180">
        <f>+SUM(Table1[[#This Row],[Latinos]:[Cemex]])</f>
        <v>1</v>
      </c>
      <c r="V2180" t="str">
        <f>+Table1[[#This Row],[id_destino]]&amp;" - "&amp;Table1[[#This Row],[id_origen]]</f>
        <v>531 - 59</v>
      </c>
    </row>
    <row r="2181" spans="1:22" hidden="1">
      <c r="A2181">
        <v>4711</v>
      </c>
      <c r="B2181">
        <v>4862</v>
      </c>
      <c r="C2181">
        <v>3984</v>
      </c>
      <c r="D2181">
        <v>7917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 t="s">
        <v>20</v>
      </c>
      <c r="L2181" s="1">
        <v>45749</v>
      </c>
      <c r="M2181">
        <v>684</v>
      </c>
      <c r="N2181">
        <v>59</v>
      </c>
      <c r="O2181">
        <v>485</v>
      </c>
      <c r="P2181">
        <v>500</v>
      </c>
      <c r="Q2181">
        <v>485</v>
      </c>
      <c r="S2181">
        <v>2113</v>
      </c>
      <c r="T2181">
        <v>2340</v>
      </c>
      <c r="U2181">
        <f>+SUM(Table1[[#This Row],[Latinos]:[Cemex]])</f>
        <v>1</v>
      </c>
      <c r="V2181" t="str">
        <f>+Table1[[#This Row],[id_destino]]&amp;" - "&amp;Table1[[#This Row],[id_origen]]</f>
        <v>684 - 59</v>
      </c>
    </row>
    <row r="2182" spans="1:22" hidden="1">
      <c r="A2182">
        <v>3681</v>
      </c>
      <c r="B2182">
        <v>4160</v>
      </c>
      <c r="C2182">
        <v>7304</v>
      </c>
      <c r="D2182">
        <v>7305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 t="s">
        <v>20</v>
      </c>
      <c r="L2182" s="1">
        <v>45028</v>
      </c>
      <c r="M2182">
        <v>728</v>
      </c>
      <c r="N2182">
        <v>59</v>
      </c>
      <c r="O2182">
        <v>710</v>
      </c>
      <c r="P2182">
        <v>681</v>
      </c>
      <c r="Q2182">
        <v>710</v>
      </c>
      <c r="S2182">
        <v>2007</v>
      </c>
      <c r="T2182">
        <v>2007</v>
      </c>
      <c r="U2182">
        <f>+SUM(Table1[[#This Row],[Latinos]:[Cemex]])</f>
        <v>1</v>
      </c>
      <c r="V2182" t="str">
        <f>+Table1[[#This Row],[id_destino]]&amp;" - "&amp;Table1[[#This Row],[id_origen]]</f>
        <v>728 - 59</v>
      </c>
    </row>
    <row r="2183" spans="1:22" hidden="1">
      <c r="A2183">
        <v>1535</v>
      </c>
      <c r="B2183">
        <v>400</v>
      </c>
      <c r="C2183">
        <v>419</v>
      </c>
      <c r="D2183">
        <v>5530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  <c r="K2183" t="s">
        <v>20</v>
      </c>
      <c r="L2183" s="1">
        <v>44893</v>
      </c>
      <c r="M2183">
        <v>23</v>
      </c>
      <c r="N2183">
        <v>60</v>
      </c>
      <c r="O2183">
        <v>2212</v>
      </c>
      <c r="P2183">
        <v>2227</v>
      </c>
      <c r="Q2183">
        <v>2212</v>
      </c>
      <c r="S2183">
        <v>3752</v>
      </c>
      <c r="T2183">
        <v>3894</v>
      </c>
      <c r="U2183">
        <f>+SUM(Table1[[#This Row],[Latinos]:[Cemex]])</f>
        <v>1</v>
      </c>
      <c r="V2183" t="str">
        <f>+Table1[[#This Row],[id_destino]]&amp;" - "&amp;Table1[[#This Row],[id_origen]]</f>
        <v>23 - 60</v>
      </c>
    </row>
    <row r="2184" spans="1:22" hidden="1">
      <c r="A2184">
        <v>1577</v>
      </c>
      <c r="B2184">
        <v>2821</v>
      </c>
      <c r="C2184">
        <v>419</v>
      </c>
      <c r="D2184">
        <v>403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  <c r="K2184" t="s">
        <v>20</v>
      </c>
      <c r="L2184" s="1">
        <v>43514</v>
      </c>
      <c r="M2184">
        <v>27</v>
      </c>
      <c r="N2184">
        <v>60</v>
      </c>
      <c r="O2184">
        <v>2180</v>
      </c>
      <c r="P2184">
        <v>2180</v>
      </c>
      <c r="Q2184">
        <v>2180</v>
      </c>
      <c r="S2184">
        <v>3046</v>
      </c>
      <c r="T2184">
        <v>3186</v>
      </c>
      <c r="U2184">
        <f>+SUM(Table1[[#This Row],[Latinos]:[Cemex]])</f>
        <v>1</v>
      </c>
      <c r="V2184" t="str">
        <f>+Table1[[#This Row],[id_destino]]&amp;" - "&amp;Table1[[#This Row],[id_origen]]</f>
        <v>27 - 60</v>
      </c>
    </row>
    <row r="2185" spans="1:22" hidden="1">
      <c r="A2185">
        <v>2772</v>
      </c>
      <c r="B2185">
        <v>3555</v>
      </c>
      <c r="C2185">
        <v>419</v>
      </c>
      <c r="D2185">
        <v>387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  <c r="K2185" t="s">
        <v>20</v>
      </c>
      <c r="L2185" s="1">
        <v>44432</v>
      </c>
      <c r="M2185">
        <v>30</v>
      </c>
      <c r="N2185">
        <v>60</v>
      </c>
      <c r="O2185">
        <v>1761</v>
      </c>
      <c r="P2185">
        <v>1752</v>
      </c>
      <c r="Q2185">
        <v>1761</v>
      </c>
      <c r="S2185">
        <v>0</v>
      </c>
      <c r="T2185">
        <v>0</v>
      </c>
      <c r="U2185">
        <f>+SUM(Table1[[#This Row],[Latinos]:[Cemex]])</f>
        <v>1</v>
      </c>
      <c r="V2185" t="str">
        <f>+Table1[[#This Row],[id_destino]]&amp;" - "&amp;Table1[[#This Row],[id_origen]]</f>
        <v>30 - 60</v>
      </c>
    </row>
    <row r="2186" spans="1:22" hidden="1">
      <c r="A2186">
        <v>1563</v>
      </c>
      <c r="B2186">
        <v>2813</v>
      </c>
      <c r="C2186">
        <v>419</v>
      </c>
      <c r="D2186">
        <v>366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  <c r="K2186" t="s">
        <v>20</v>
      </c>
      <c r="L2186" s="1">
        <v>43508</v>
      </c>
      <c r="M2186">
        <v>31</v>
      </c>
      <c r="N2186">
        <v>60</v>
      </c>
      <c r="O2186">
        <v>1563</v>
      </c>
      <c r="P2186">
        <v>1563</v>
      </c>
      <c r="Q2186">
        <v>1563</v>
      </c>
      <c r="S2186">
        <v>1634</v>
      </c>
      <c r="T2186">
        <v>1774</v>
      </c>
      <c r="U2186">
        <f>+SUM(Table1[[#This Row],[Latinos]:[Cemex]])</f>
        <v>1</v>
      </c>
      <c r="V2186" t="str">
        <f>+Table1[[#This Row],[id_destino]]&amp;" - "&amp;Table1[[#This Row],[id_origen]]</f>
        <v>31 - 60</v>
      </c>
    </row>
    <row r="2187" spans="1:22" hidden="1">
      <c r="A2187">
        <v>4119</v>
      </c>
      <c r="B2187">
        <v>4429</v>
      </c>
      <c r="C2187">
        <v>5771</v>
      </c>
      <c r="D2187">
        <v>7600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 t="s">
        <v>20</v>
      </c>
      <c r="L2187" s="1">
        <v>45302</v>
      </c>
      <c r="M2187">
        <v>60</v>
      </c>
      <c r="N2187">
        <v>60</v>
      </c>
      <c r="O2187">
        <v>150</v>
      </c>
      <c r="P2187">
        <v>150</v>
      </c>
      <c r="Q2187">
        <v>150</v>
      </c>
      <c r="S2187">
        <v>0</v>
      </c>
      <c r="T2187">
        <v>0</v>
      </c>
      <c r="U2187">
        <f>+SUM(Table1[[#This Row],[Latinos]:[Cemex]])</f>
        <v>1</v>
      </c>
      <c r="V2187" t="str">
        <f>+Table1[[#This Row],[id_destino]]&amp;" - "&amp;Table1[[#This Row],[id_origen]]</f>
        <v>60 - 60</v>
      </c>
    </row>
    <row r="2188" spans="1:22" hidden="1">
      <c r="A2188">
        <v>1617</v>
      </c>
      <c r="B2188">
        <v>1723</v>
      </c>
      <c r="C2188">
        <v>70</v>
      </c>
      <c r="D2188">
        <v>977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 t="s">
        <v>20</v>
      </c>
      <c r="L2188" s="1">
        <v>43533</v>
      </c>
      <c r="M2188">
        <v>84</v>
      </c>
      <c r="N2188">
        <v>60</v>
      </c>
      <c r="O2188">
        <v>2265</v>
      </c>
      <c r="P2188">
        <v>2265</v>
      </c>
      <c r="Q2188">
        <v>2265</v>
      </c>
      <c r="S2188">
        <v>0</v>
      </c>
      <c r="T2188">
        <v>0</v>
      </c>
      <c r="U2188">
        <f>+SUM(Table1[[#This Row],[Latinos]:[Cemex]])</f>
        <v>1</v>
      </c>
      <c r="V2188" t="str">
        <f>+Table1[[#This Row],[id_destino]]&amp;" - "&amp;Table1[[#This Row],[id_origen]]</f>
        <v>84 - 60</v>
      </c>
    </row>
    <row r="2189" spans="1:22" hidden="1">
      <c r="A2189">
        <v>4612</v>
      </c>
      <c r="B2189">
        <v>4794</v>
      </c>
      <c r="C2189">
        <v>8067</v>
      </c>
      <c r="D2189">
        <v>2111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 t="s">
        <v>121</v>
      </c>
      <c r="L2189" s="1">
        <v>45671</v>
      </c>
      <c r="M2189">
        <v>155</v>
      </c>
      <c r="N2189">
        <v>60</v>
      </c>
      <c r="O2189">
        <v>1477</v>
      </c>
      <c r="P2189">
        <v>1517</v>
      </c>
      <c r="Q2189">
        <v>1477</v>
      </c>
      <c r="S2189">
        <v>695</v>
      </c>
      <c r="T2189">
        <v>762</v>
      </c>
      <c r="U2189">
        <f>+SUM(Table1[[#This Row],[Latinos]:[Cemex]])</f>
        <v>1</v>
      </c>
      <c r="V2189" t="str">
        <f>+Table1[[#This Row],[id_destino]]&amp;" - "&amp;Table1[[#This Row],[id_origen]]</f>
        <v>155 - 60</v>
      </c>
    </row>
    <row r="2190" spans="1:22" hidden="1">
      <c r="A2190">
        <v>256</v>
      </c>
      <c r="B2190">
        <v>1302</v>
      </c>
      <c r="C2190">
        <v>5305</v>
      </c>
      <c r="D2190">
        <v>5311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 t="s">
        <v>20</v>
      </c>
      <c r="L2190" s="1">
        <v>43025</v>
      </c>
      <c r="M2190">
        <v>179</v>
      </c>
      <c r="N2190">
        <v>60</v>
      </c>
      <c r="O2190">
        <v>868</v>
      </c>
      <c r="P2190">
        <v>868</v>
      </c>
      <c r="Q2190">
        <v>868</v>
      </c>
      <c r="S2190">
        <v>842</v>
      </c>
      <c r="T2190">
        <v>891</v>
      </c>
      <c r="U2190">
        <f>+SUM(Table1[[#This Row],[Latinos]:[Cemex]])</f>
        <v>1</v>
      </c>
      <c r="V2190" t="str">
        <f>+Table1[[#This Row],[id_destino]]&amp;" - "&amp;Table1[[#This Row],[id_origen]]</f>
        <v>179 - 60</v>
      </c>
    </row>
    <row r="2191" spans="1:22" hidden="1">
      <c r="A2191">
        <v>2781</v>
      </c>
      <c r="B2191">
        <v>3562</v>
      </c>
      <c r="C2191">
        <v>419</v>
      </c>
      <c r="D2191">
        <v>3169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 t="s">
        <v>20</v>
      </c>
      <c r="L2191" s="1">
        <v>44439</v>
      </c>
      <c r="M2191">
        <v>189</v>
      </c>
      <c r="N2191">
        <v>60</v>
      </c>
      <c r="O2191">
        <v>1631</v>
      </c>
      <c r="P2191">
        <v>1631</v>
      </c>
      <c r="Q2191">
        <v>1631</v>
      </c>
      <c r="S2191">
        <v>0</v>
      </c>
      <c r="T2191">
        <v>0</v>
      </c>
      <c r="U2191">
        <f>+SUM(Table1[[#This Row],[Latinos]:[Cemex]])</f>
        <v>1</v>
      </c>
      <c r="V2191" t="str">
        <f>+Table1[[#This Row],[id_destino]]&amp;" - "&amp;Table1[[#This Row],[id_origen]]</f>
        <v>189 - 60</v>
      </c>
    </row>
    <row r="2192" spans="1:22" hidden="1">
      <c r="A2192">
        <v>917</v>
      </c>
      <c r="B2192">
        <v>2374</v>
      </c>
      <c r="C2192">
        <v>70</v>
      </c>
      <c r="D2192">
        <v>135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 t="s">
        <v>20</v>
      </c>
      <c r="L2192" s="1">
        <v>43610</v>
      </c>
      <c r="M2192">
        <v>227</v>
      </c>
      <c r="N2192">
        <v>60</v>
      </c>
      <c r="O2192">
        <v>2683</v>
      </c>
      <c r="P2192">
        <v>2713</v>
      </c>
      <c r="Q2192">
        <v>2683</v>
      </c>
      <c r="S2192">
        <v>0</v>
      </c>
      <c r="T2192">
        <v>0</v>
      </c>
      <c r="U2192">
        <f>+SUM(Table1[[#This Row],[Latinos]:[Cemex]])</f>
        <v>1</v>
      </c>
      <c r="V2192" t="str">
        <f>+Table1[[#This Row],[id_destino]]&amp;" - "&amp;Table1[[#This Row],[id_origen]]</f>
        <v>227 - 60</v>
      </c>
    </row>
    <row r="2193" spans="1:22" hidden="1">
      <c r="A2193">
        <v>2695</v>
      </c>
      <c r="B2193">
        <v>1620</v>
      </c>
      <c r="C2193">
        <v>6594</v>
      </c>
      <c r="D2193">
        <v>33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 t="s">
        <v>20</v>
      </c>
      <c r="L2193" s="1">
        <v>44352</v>
      </c>
      <c r="M2193">
        <v>260</v>
      </c>
      <c r="N2193">
        <v>60</v>
      </c>
      <c r="O2193">
        <v>1360</v>
      </c>
      <c r="P2193">
        <v>1350</v>
      </c>
      <c r="Q2193">
        <v>1360</v>
      </c>
      <c r="S2193">
        <v>1620</v>
      </c>
      <c r="T2193">
        <v>1688</v>
      </c>
      <c r="U2193">
        <f>+SUM(Table1[[#This Row],[Latinos]:[Cemex]])</f>
        <v>1</v>
      </c>
      <c r="V2193" t="str">
        <f>+Table1[[#This Row],[id_destino]]&amp;" - "&amp;Table1[[#This Row],[id_origen]]</f>
        <v>260 - 60</v>
      </c>
    </row>
    <row r="2194" spans="1:22" hidden="1">
      <c r="A2194">
        <v>2699</v>
      </c>
      <c r="B2194">
        <v>1620</v>
      </c>
      <c r="C2194">
        <v>6594</v>
      </c>
      <c r="D2194">
        <v>33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 t="s">
        <v>20</v>
      </c>
      <c r="L2194" s="1">
        <v>44355</v>
      </c>
      <c r="M2194">
        <v>260</v>
      </c>
      <c r="N2194">
        <v>60</v>
      </c>
      <c r="O2194">
        <v>0</v>
      </c>
      <c r="P2194">
        <v>150</v>
      </c>
      <c r="Q2194">
        <v>0</v>
      </c>
      <c r="S2194">
        <v>0</v>
      </c>
      <c r="T2194">
        <v>0</v>
      </c>
      <c r="U2194">
        <f>+SUM(Table1[[#This Row],[Latinos]:[Cemex]])</f>
        <v>1</v>
      </c>
      <c r="V2194" t="str">
        <f>+Table1[[#This Row],[id_destino]]&amp;" - "&amp;Table1[[#This Row],[id_origen]]</f>
        <v>260 - 60</v>
      </c>
    </row>
    <row r="2195" spans="1:22" hidden="1">
      <c r="A2195">
        <v>3967</v>
      </c>
      <c r="B2195">
        <v>4326</v>
      </c>
      <c r="C2195">
        <v>70</v>
      </c>
      <c r="D2195">
        <v>6850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 t="s">
        <v>20</v>
      </c>
      <c r="L2195" s="1">
        <v>45210</v>
      </c>
      <c r="M2195">
        <v>662</v>
      </c>
      <c r="N2195">
        <v>60</v>
      </c>
      <c r="O2195">
        <v>50</v>
      </c>
      <c r="P2195">
        <v>150</v>
      </c>
      <c r="Q2195">
        <v>50</v>
      </c>
      <c r="S2195">
        <v>91</v>
      </c>
      <c r="T2195">
        <v>91</v>
      </c>
      <c r="U2195">
        <f>+SUM(Table1[[#This Row],[Latinos]:[Cemex]])</f>
        <v>1</v>
      </c>
      <c r="V2195" t="str">
        <f>+Table1[[#This Row],[id_destino]]&amp;" - "&amp;Table1[[#This Row],[id_origen]]</f>
        <v>662 - 60</v>
      </c>
    </row>
    <row r="2196" spans="1:22" hidden="1">
      <c r="A2196">
        <v>1564</v>
      </c>
      <c r="B2196">
        <v>190</v>
      </c>
      <c r="C2196">
        <v>389</v>
      </c>
      <c r="D2196">
        <v>366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  <c r="K2196" t="s">
        <v>20</v>
      </c>
      <c r="L2196" s="1">
        <v>43521</v>
      </c>
      <c r="M2196">
        <v>31</v>
      </c>
      <c r="N2196">
        <v>61</v>
      </c>
      <c r="O2196">
        <v>1389</v>
      </c>
      <c r="P2196">
        <v>1389</v>
      </c>
      <c r="Q2196">
        <v>1389</v>
      </c>
      <c r="S2196">
        <v>1062</v>
      </c>
      <c r="T2196">
        <v>1148</v>
      </c>
      <c r="U2196">
        <f>+SUM(Table1[[#This Row],[Latinos]:[Cemex]])</f>
        <v>1</v>
      </c>
      <c r="V2196" t="str">
        <f>+Table1[[#This Row],[id_destino]]&amp;" - "&amp;Table1[[#This Row],[id_origen]]</f>
        <v>31 - 61</v>
      </c>
    </row>
    <row r="2197" spans="1:22" hidden="1">
      <c r="A2197">
        <v>2515</v>
      </c>
      <c r="B2197">
        <v>3391</v>
      </c>
      <c r="C2197">
        <v>71</v>
      </c>
      <c r="D2197">
        <v>6370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 t="s">
        <v>20</v>
      </c>
      <c r="L2197" s="1">
        <v>44146</v>
      </c>
      <c r="M2197">
        <v>33</v>
      </c>
      <c r="N2197">
        <v>61</v>
      </c>
      <c r="O2197">
        <v>1726</v>
      </c>
      <c r="P2197">
        <v>1717</v>
      </c>
      <c r="Q2197">
        <v>1726</v>
      </c>
      <c r="S2197">
        <v>2076</v>
      </c>
      <c r="T2197">
        <v>2464</v>
      </c>
      <c r="U2197">
        <f>+SUM(Table1[[#This Row],[Latinos]:[Cemex]])</f>
        <v>1</v>
      </c>
      <c r="V2197" t="str">
        <f>+Table1[[#This Row],[id_destino]]&amp;" - "&amp;Table1[[#This Row],[id_origen]]</f>
        <v>33 - 61</v>
      </c>
    </row>
    <row r="2198" spans="1:22" hidden="1">
      <c r="A2198">
        <v>1027</v>
      </c>
      <c r="B2198">
        <v>152</v>
      </c>
      <c r="C2198">
        <v>71</v>
      </c>
      <c r="D2198">
        <v>2413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  <c r="K2198" t="s">
        <v>20</v>
      </c>
      <c r="L2198" s="1">
        <v>44261</v>
      </c>
      <c r="M2198">
        <v>47</v>
      </c>
      <c r="N2198">
        <v>61</v>
      </c>
      <c r="O2198">
        <v>2679</v>
      </c>
      <c r="P2198">
        <v>2640</v>
      </c>
      <c r="Q2198">
        <v>2679</v>
      </c>
      <c r="S2198">
        <v>2082</v>
      </c>
      <c r="T2198">
        <v>2558</v>
      </c>
      <c r="U2198">
        <f>+SUM(Table1[[#This Row],[Latinos]:[Cemex]])</f>
        <v>1</v>
      </c>
      <c r="V2198" t="str">
        <f>+Table1[[#This Row],[id_destino]]&amp;" - "&amp;Table1[[#This Row],[id_origen]]</f>
        <v>47 - 61</v>
      </c>
    </row>
    <row r="2199" spans="1:22" hidden="1">
      <c r="A2199">
        <v>1579</v>
      </c>
      <c r="B2199">
        <v>2823</v>
      </c>
      <c r="C2199">
        <v>389</v>
      </c>
      <c r="D2199">
        <v>419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 t="s">
        <v>20</v>
      </c>
      <c r="L2199" s="1">
        <v>43514</v>
      </c>
      <c r="M2199">
        <v>60</v>
      </c>
      <c r="N2199">
        <v>61</v>
      </c>
      <c r="O2199">
        <v>172</v>
      </c>
      <c r="P2199">
        <v>172</v>
      </c>
      <c r="Q2199">
        <v>172</v>
      </c>
      <c r="S2199">
        <v>343</v>
      </c>
      <c r="T2199">
        <v>488</v>
      </c>
      <c r="U2199">
        <f>+SUM(Table1[[#This Row],[Latinos]:[Cemex]])</f>
        <v>1</v>
      </c>
      <c r="V2199" t="str">
        <f>+Table1[[#This Row],[id_destino]]&amp;" - "&amp;Table1[[#This Row],[id_origen]]</f>
        <v>60 - 61</v>
      </c>
    </row>
    <row r="2200" spans="1:22" hidden="1">
      <c r="A2200">
        <v>2380</v>
      </c>
      <c r="B2200">
        <v>3309</v>
      </c>
      <c r="C2200">
        <v>71</v>
      </c>
      <c r="D2200">
        <v>1264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 t="s">
        <v>20</v>
      </c>
      <c r="L2200" s="1">
        <v>44011</v>
      </c>
      <c r="M2200">
        <v>61</v>
      </c>
      <c r="N2200">
        <v>61</v>
      </c>
      <c r="O2200">
        <v>15</v>
      </c>
      <c r="P2200">
        <v>150</v>
      </c>
      <c r="Q2200">
        <v>15</v>
      </c>
      <c r="S2200">
        <v>0</v>
      </c>
      <c r="T2200">
        <v>0</v>
      </c>
      <c r="U2200">
        <f>+SUM(Table1[[#This Row],[Latinos]:[Cemex]])</f>
        <v>1</v>
      </c>
      <c r="V2200" t="str">
        <f>+Table1[[#This Row],[id_destino]]&amp;" - "&amp;Table1[[#This Row],[id_origen]]</f>
        <v>61 - 61</v>
      </c>
    </row>
    <row r="2201" spans="1:22" hidden="1">
      <c r="A2201">
        <v>4620</v>
      </c>
      <c r="B2201">
        <v>3309</v>
      </c>
      <c r="C2201">
        <v>4317</v>
      </c>
      <c r="D2201">
        <v>5234</v>
      </c>
      <c r="E2201">
        <v>0</v>
      </c>
      <c r="F2201">
        <v>0</v>
      </c>
      <c r="G2201">
        <v>0</v>
      </c>
      <c r="H2201">
        <v>1</v>
      </c>
      <c r="I2201">
        <v>0</v>
      </c>
      <c r="J2201">
        <v>0</v>
      </c>
      <c r="K2201" t="s">
        <v>20</v>
      </c>
      <c r="L2201" s="1">
        <v>45674</v>
      </c>
      <c r="M2201">
        <v>61</v>
      </c>
      <c r="N2201">
        <v>61</v>
      </c>
      <c r="O2201">
        <v>10</v>
      </c>
      <c r="P2201">
        <v>100</v>
      </c>
      <c r="Q2201">
        <v>10</v>
      </c>
      <c r="S2201">
        <v>0</v>
      </c>
      <c r="T2201">
        <v>0</v>
      </c>
      <c r="U2201">
        <f>+SUM(Table1[[#This Row],[Latinos]:[Cemex]])</f>
        <v>1</v>
      </c>
      <c r="V2201" t="str">
        <f>+Table1[[#This Row],[id_destino]]&amp;" - "&amp;Table1[[#This Row],[id_origen]]</f>
        <v>61 - 61</v>
      </c>
    </row>
    <row r="2202" spans="1:22" hidden="1">
      <c r="A2202">
        <v>1749</v>
      </c>
      <c r="B2202">
        <v>2915</v>
      </c>
      <c r="C2202">
        <v>3024</v>
      </c>
      <c r="D2202">
        <v>3943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  <c r="K2202" t="s">
        <v>20</v>
      </c>
      <c r="L2202" s="1">
        <v>43599</v>
      </c>
      <c r="M2202">
        <v>260</v>
      </c>
      <c r="N2202">
        <v>61</v>
      </c>
      <c r="O2202">
        <v>1187</v>
      </c>
      <c r="P2202">
        <v>1175</v>
      </c>
      <c r="Q2202">
        <v>1187</v>
      </c>
      <c r="S2202">
        <v>0</v>
      </c>
      <c r="T2202">
        <v>0</v>
      </c>
      <c r="U2202">
        <f>+SUM(Table1[[#This Row],[Latinos]:[Cemex]])</f>
        <v>1</v>
      </c>
      <c r="V2202" t="str">
        <f>+Table1[[#This Row],[id_destino]]&amp;" - "&amp;Table1[[#This Row],[id_origen]]</f>
        <v>260 - 61</v>
      </c>
    </row>
    <row r="2203" spans="1:22" hidden="1">
      <c r="A2203">
        <v>3976</v>
      </c>
      <c r="B2203">
        <v>4333</v>
      </c>
      <c r="C2203">
        <v>71</v>
      </c>
      <c r="D2203">
        <v>6850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 t="s">
        <v>20</v>
      </c>
      <c r="L2203" s="1">
        <v>45213</v>
      </c>
      <c r="M2203">
        <v>662</v>
      </c>
      <c r="N2203">
        <v>61</v>
      </c>
      <c r="O2203">
        <v>204</v>
      </c>
      <c r="P2203">
        <v>193</v>
      </c>
      <c r="Q2203">
        <v>204</v>
      </c>
      <c r="S2203">
        <v>508</v>
      </c>
      <c r="T2203">
        <v>575</v>
      </c>
      <c r="U2203">
        <f>+SUM(Table1[[#This Row],[Latinos]:[Cemex]])</f>
        <v>1</v>
      </c>
      <c r="V2203" t="str">
        <f>+Table1[[#This Row],[id_destino]]&amp;" - "&amp;Table1[[#This Row],[id_origen]]</f>
        <v>662 - 61</v>
      </c>
    </row>
    <row r="2204" spans="1:22" hidden="1">
      <c r="A2204">
        <v>3977</v>
      </c>
      <c r="B2204">
        <v>4333</v>
      </c>
      <c r="C2204">
        <v>71</v>
      </c>
      <c r="D2204">
        <v>6850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  <c r="K2204" t="s">
        <v>20</v>
      </c>
      <c r="L2204" s="1">
        <v>45213</v>
      </c>
      <c r="M2204">
        <v>662</v>
      </c>
      <c r="N2204">
        <v>61</v>
      </c>
      <c r="O2204">
        <v>0</v>
      </c>
      <c r="P2204">
        <v>150</v>
      </c>
      <c r="Q2204">
        <v>0</v>
      </c>
      <c r="S2204">
        <v>0</v>
      </c>
      <c r="T2204">
        <v>0</v>
      </c>
      <c r="U2204">
        <f>+SUM(Table1[[#This Row],[Latinos]:[Cemex]])</f>
        <v>1</v>
      </c>
      <c r="V2204" t="str">
        <f>+Table1[[#This Row],[id_destino]]&amp;" - "&amp;Table1[[#This Row],[id_origen]]</f>
        <v>662 - 61</v>
      </c>
    </row>
    <row r="2205" spans="1:22" hidden="1">
      <c r="A2205">
        <v>4299</v>
      </c>
      <c r="B2205">
        <v>1196</v>
      </c>
      <c r="C2205">
        <v>409</v>
      </c>
      <c r="D2205">
        <v>394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 t="s">
        <v>20</v>
      </c>
      <c r="L2205" s="1">
        <v>45444</v>
      </c>
      <c r="M2205">
        <v>1</v>
      </c>
      <c r="N2205">
        <v>62</v>
      </c>
      <c r="O2205">
        <v>516</v>
      </c>
      <c r="P2205">
        <v>498</v>
      </c>
      <c r="Q2205">
        <v>516</v>
      </c>
      <c r="S2205">
        <v>228</v>
      </c>
      <c r="T2205">
        <v>228</v>
      </c>
      <c r="U2205">
        <f>+SUM(Table1[[#This Row],[Latinos]:[Cemex]])</f>
        <v>1</v>
      </c>
      <c r="V2205" t="str">
        <f>+Table1[[#This Row],[id_destino]]&amp;" - "&amp;Table1[[#This Row],[id_origen]]</f>
        <v>1 - 62</v>
      </c>
    </row>
    <row r="2206" spans="1:22" hidden="1">
      <c r="A2206">
        <v>276</v>
      </c>
      <c r="B2206">
        <v>1194</v>
      </c>
      <c r="C2206">
        <v>72</v>
      </c>
      <c r="D2206">
        <v>469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  <c r="K2206" t="s">
        <v>27</v>
      </c>
      <c r="L2206" s="1">
        <v>43028</v>
      </c>
      <c r="M2206">
        <v>2</v>
      </c>
      <c r="N2206">
        <v>62</v>
      </c>
      <c r="O2206">
        <v>465</v>
      </c>
      <c r="P2206">
        <v>465</v>
      </c>
      <c r="Q2206">
        <v>465</v>
      </c>
      <c r="S2206">
        <v>581</v>
      </c>
      <c r="T2206">
        <v>581</v>
      </c>
      <c r="U2206">
        <f>+SUM(Table1[[#This Row],[Latinos]:[Cemex]])</f>
        <v>1</v>
      </c>
      <c r="V2206" t="str">
        <f>+Table1[[#This Row],[id_destino]]&amp;" - "&amp;Table1[[#This Row],[id_origen]]</f>
        <v>2 - 62</v>
      </c>
    </row>
    <row r="2207" spans="1:22" hidden="1">
      <c r="A2207">
        <v>1731</v>
      </c>
      <c r="B2207">
        <v>1194</v>
      </c>
      <c r="C2207">
        <v>291</v>
      </c>
      <c r="D2207">
        <v>469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 t="s">
        <v>20</v>
      </c>
      <c r="L2207" s="1">
        <v>43593</v>
      </c>
      <c r="M2207">
        <v>2</v>
      </c>
      <c r="N2207">
        <v>62</v>
      </c>
      <c r="O2207">
        <v>442</v>
      </c>
      <c r="P2207">
        <v>463</v>
      </c>
      <c r="Q2207">
        <v>442</v>
      </c>
      <c r="S2207">
        <v>828</v>
      </c>
      <c r="T2207">
        <v>828</v>
      </c>
      <c r="U2207">
        <f>+SUM(Table1[[#This Row],[Latinos]:[Cemex]])</f>
        <v>1</v>
      </c>
      <c r="V2207" t="str">
        <f>+Table1[[#This Row],[id_destino]]&amp;" - "&amp;Table1[[#This Row],[id_origen]]</f>
        <v>2 - 62</v>
      </c>
    </row>
    <row r="2208" spans="1:22" hidden="1">
      <c r="A2208">
        <v>1367</v>
      </c>
      <c r="B2208">
        <v>2298</v>
      </c>
      <c r="C2208">
        <v>409</v>
      </c>
      <c r="D2208">
        <v>404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 t="s">
        <v>20</v>
      </c>
      <c r="L2208" s="1">
        <v>43405</v>
      </c>
      <c r="M2208">
        <v>11</v>
      </c>
      <c r="N2208">
        <v>62</v>
      </c>
      <c r="O2208">
        <v>204</v>
      </c>
      <c r="P2208">
        <v>204</v>
      </c>
      <c r="Q2208">
        <v>204</v>
      </c>
      <c r="S2208">
        <v>0</v>
      </c>
      <c r="T2208">
        <v>0</v>
      </c>
      <c r="U2208">
        <f>+SUM(Table1[[#This Row],[Latinos]:[Cemex]])</f>
        <v>1</v>
      </c>
      <c r="V2208" t="str">
        <f>+Table1[[#This Row],[id_destino]]&amp;" - "&amp;Table1[[#This Row],[id_origen]]</f>
        <v>11 - 62</v>
      </c>
    </row>
    <row r="2209" spans="1:22" hidden="1">
      <c r="A2209">
        <v>464</v>
      </c>
      <c r="B2209">
        <v>2170</v>
      </c>
      <c r="C2209">
        <v>409</v>
      </c>
      <c r="D2209">
        <v>349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 t="s">
        <v>20</v>
      </c>
      <c r="L2209" s="1">
        <v>43070</v>
      </c>
      <c r="M2209">
        <v>12</v>
      </c>
      <c r="N2209">
        <v>62</v>
      </c>
      <c r="O2209">
        <v>205</v>
      </c>
      <c r="P2209">
        <v>205</v>
      </c>
      <c r="Q2209">
        <v>205</v>
      </c>
      <c r="S2209">
        <v>155</v>
      </c>
      <c r="T2209">
        <v>155</v>
      </c>
      <c r="U2209">
        <f>+SUM(Table1[[#This Row],[Latinos]:[Cemex]])</f>
        <v>1</v>
      </c>
      <c r="V2209" t="str">
        <f>+Table1[[#This Row],[id_destino]]&amp;" - "&amp;Table1[[#This Row],[id_origen]]</f>
        <v>12 - 62</v>
      </c>
    </row>
    <row r="2210" spans="1:22" hidden="1">
      <c r="A2210">
        <v>4291</v>
      </c>
      <c r="B2210">
        <v>939</v>
      </c>
      <c r="C2210">
        <v>6799</v>
      </c>
      <c r="D2210">
        <v>7770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 t="s">
        <v>20</v>
      </c>
      <c r="L2210" s="1">
        <v>45429</v>
      </c>
      <c r="M2210">
        <v>18</v>
      </c>
      <c r="N2210">
        <v>62</v>
      </c>
      <c r="O2210">
        <v>365</v>
      </c>
      <c r="P2210">
        <v>365</v>
      </c>
      <c r="Q2210">
        <v>365</v>
      </c>
      <c r="S2210">
        <v>525</v>
      </c>
      <c r="T2210">
        <v>525</v>
      </c>
      <c r="U2210">
        <f>+SUM(Table1[[#This Row],[Latinos]:[Cemex]])</f>
        <v>1</v>
      </c>
      <c r="V2210" t="str">
        <f>+Table1[[#This Row],[id_destino]]&amp;" - "&amp;Table1[[#This Row],[id_origen]]</f>
        <v>18 - 62</v>
      </c>
    </row>
    <row r="2211" spans="1:22" hidden="1">
      <c r="A2211">
        <v>1119</v>
      </c>
      <c r="B2211">
        <v>1318</v>
      </c>
      <c r="C2211">
        <v>409</v>
      </c>
      <c r="D2211">
        <v>5420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  <c r="K2211" t="s">
        <v>20</v>
      </c>
      <c r="L2211" s="1">
        <v>43298</v>
      </c>
      <c r="M2211">
        <v>26</v>
      </c>
      <c r="N2211">
        <v>62</v>
      </c>
      <c r="O2211">
        <v>368</v>
      </c>
      <c r="P2211">
        <v>368</v>
      </c>
      <c r="Q2211">
        <v>368</v>
      </c>
      <c r="S2211">
        <v>747</v>
      </c>
      <c r="T2211">
        <v>747</v>
      </c>
      <c r="U2211">
        <f>+SUM(Table1[[#This Row],[Latinos]:[Cemex]])</f>
        <v>1</v>
      </c>
      <c r="V2211" t="str">
        <f>+Table1[[#This Row],[id_destino]]&amp;" - "&amp;Table1[[#This Row],[id_origen]]</f>
        <v>26 - 62</v>
      </c>
    </row>
    <row r="2212" spans="1:22" hidden="1">
      <c r="A2212">
        <v>3811</v>
      </c>
      <c r="B2212">
        <v>934</v>
      </c>
      <c r="C2212">
        <v>7325</v>
      </c>
      <c r="D2212">
        <v>4008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0</v>
      </c>
      <c r="K2212" t="s">
        <v>20</v>
      </c>
      <c r="L2212" s="1">
        <v>45107</v>
      </c>
      <c r="M2212">
        <v>31</v>
      </c>
      <c r="N2212">
        <v>62</v>
      </c>
      <c r="O2212">
        <v>966</v>
      </c>
      <c r="P2212">
        <v>955</v>
      </c>
      <c r="Q2212">
        <v>966</v>
      </c>
      <c r="S2212">
        <v>2352</v>
      </c>
      <c r="T2212">
        <v>2352</v>
      </c>
      <c r="U2212">
        <f>+SUM(Table1[[#This Row],[Latinos]:[Cemex]])</f>
        <v>1</v>
      </c>
      <c r="V2212" t="str">
        <f>+Table1[[#This Row],[id_destino]]&amp;" - "&amp;Table1[[#This Row],[id_origen]]</f>
        <v>31 - 62</v>
      </c>
    </row>
    <row r="2213" spans="1:22" hidden="1">
      <c r="A2213">
        <v>262</v>
      </c>
      <c r="B2213">
        <v>2250</v>
      </c>
      <c r="C2213">
        <v>291</v>
      </c>
      <c r="D2213">
        <v>40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 t="s">
        <v>20</v>
      </c>
      <c r="L2213" s="1">
        <v>43027</v>
      </c>
      <c r="M2213">
        <v>34</v>
      </c>
      <c r="N2213">
        <v>62</v>
      </c>
      <c r="O2213">
        <v>589</v>
      </c>
      <c r="P2213">
        <v>567</v>
      </c>
      <c r="Q2213">
        <v>589</v>
      </c>
      <c r="S2213">
        <v>664</v>
      </c>
      <c r="T2213">
        <v>820</v>
      </c>
      <c r="U2213">
        <f>+SUM(Table1[[#This Row],[Latinos]:[Cemex]])</f>
        <v>1</v>
      </c>
      <c r="V2213" t="str">
        <f>+Table1[[#This Row],[id_destino]]&amp;" - "&amp;Table1[[#This Row],[id_origen]]</f>
        <v>34 - 62</v>
      </c>
    </row>
    <row r="2214" spans="1:22" hidden="1">
      <c r="A2214">
        <v>523</v>
      </c>
      <c r="B2214">
        <v>2250</v>
      </c>
      <c r="C2214">
        <v>291</v>
      </c>
      <c r="D2214">
        <v>40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 t="s">
        <v>20</v>
      </c>
      <c r="L2214" s="1">
        <v>43088</v>
      </c>
      <c r="M2214">
        <v>34</v>
      </c>
      <c r="N2214">
        <v>62</v>
      </c>
      <c r="O2214">
        <v>589</v>
      </c>
      <c r="P2214">
        <v>589</v>
      </c>
      <c r="Q2214">
        <v>589</v>
      </c>
      <c r="S2214">
        <v>489</v>
      </c>
      <c r="T2214">
        <v>595</v>
      </c>
      <c r="U2214">
        <f>+SUM(Table1[[#This Row],[Latinos]:[Cemex]])</f>
        <v>1</v>
      </c>
      <c r="V2214" t="str">
        <f>+Table1[[#This Row],[id_destino]]&amp;" - "&amp;Table1[[#This Row],[id_origen]]</f>
        <v>34 - 62</v>
      </c>
    </row>
    <row r="2215" spans="1:22" hidden="1">
      <c r="A2215">
        <v>719</v>
      </c>
      <c r="B2215">
        <v>2423</v>
      </c>
      <c r="C2215">
        <v>291</v>
      </c>
      <c r="D2215">
        <v>46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 t="s">
        <v>20</v>
      </c>
      <c r="L2215" s="1">
        <v>43140</v>
      </c>
      <c r="M2215">
        <v>40</v>
      </c>
      <c r="N2215">
        <v>62</v>
      </c>
      <c r="O2215">
        <v>344</v>
      </c>
      <c r="P2215">
        <v>344</v>
      </c>
      <c r="Q2215">
        <v>344</v>
      </c>
      <c r="S2215">
        <v>100</v>
      </c>
      <c r="T2215">
        <v>100</v>
      </c>
      <c r="U2215">
        <f>+SUM(Table1[[#This Row],[Latinos]:[Cemex]])</f>
        <v>1</v>
      </c>
      <c r="V2215" t="str">
        <f>+Table1[[#This Row],[id_destino]]&amp;" - "&amp;Table1[[#This Row],[id_origen]]</f>
        <v>40 - 62</v>
      </c>
    </row>
    <row r="2216" spans="1:22" hidden="1">
      <c r="A2216">
        <v>2361</v>
      </c>
      <c r="B2216">
        <v>3297</v>
      </c>
      <c r="C2216">
        <v>409</v>
      </c>
      <c r="D2216">
        <v>478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K2216" t="s">
        <v>20</v>
      </c>
      <c r="L2216" s="1">
        <v>44901</v>
      </c>
      <c r="M2216">
        <v>46</v>
      </c>
      <c r="N2216">
        <v>62</v>
      </c>
      <c r="O2216">
        <v>616</v>
      </c>
      <c r="P2216">
        <v>600</v>
      </c>
      <c r="Q2216">
        <v>616</v>
      </c>
      <c r="S2216">
        <v>785</v>
      </c>
      <c r="T2216">
        <v>785</v>
      </c>
      <c r="U2216">
        <f>+SUM(Table1[[#This Row],[Latinos]:[Cemex]])</f>
        <v>1</v>
      </c>
      <c r="V2216" t="str">
        <f>+Table1[[#This Row],[id_destino]]&amp;" - "&amp;Table1[[#This Row],[id_origen]]</f>
        <v>46 - 62</v>
      </c>
    </row>
    <row r="2217" spans="1:22" hidden="1">
      <c r="A2217">
        <v>1242</v>
      </c>
      <c r="B2217">
        <v>2651</v>
      </c>
      <c r="C2217">
        <v>291</v>
      </c>
      <c r="D2217">
        <v>3244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 t="s">
        <v>20</v>
      </c>
      <c r="L2217" s="1">
        <v>43351</v>
      </c>
      <c r="M2217">
        <v>53</v>
      </c>
      <c r="N2217">
        <v>62</v>
      </c>
      <c r="O2217">
        <v>719</v>
      </c>
      <c r="P2217">
        <v>719</v>
      </c>
      <c r="Q2217">
        <v>719</v>
      </c>
      <c r="S2217">
        <v>503</v>
      </c>
      <c r="T2217">
        <v>503</v>
      </c>
      <c r="U2217">
        <f>+SUM(Table1[[#This Row],[Latinos]:[Cemex]])</f>
        <v>1</v>
      </c>
      <c r="V2217" t="str">
        <f>+Table1[[#This Row],[id_destino]]&amp;" - "&amp;Table1[[#This Row],[id_origen]]</f>
        <v>53 - 62</v>
      </c>
    </row>
    <row r="2218" spans="1:22" hidden="1">
      <c r="A2218">
        <v>1943</v>
      </c>
      <c r="B2218">
        <v>3035</v>
      </c>
      <c r="C2218">
        <v>409</v>
      </c>
      <c r="D2218">
        <v>2927</v>
      </c>
      <c r="E2218">
        <v>0</v>
      </c>
      <c r="F2218">
        <v>0</v>
      </c>
      <c r="G2218">
        <v>0</v>
      </c>
      <c r="H2218">
        <v>1</v>
      </c>
      <c r="I2218">
        <v>0</v>
      </c>
      <c r="J2218">
        <v>0</v>
      </c>
      <c r="K2218" t="s">
        <v>20</v>
      </c>
      <c r="L2218" s="1">
        <v>43732</v>
      </c>
      <c r="M2218">
        <v>54</v>
      </c>
      <c r="N2218">
        <v>62</v>
      </c>
      <c r="O2218">
        <v>448</v>
      </c>
      <c r="P2218">
        <v>448</v>
      </c>
      <c r="Q2218">
        <v>448</v>
      </c>
      <c r="S2218">
        <v>190</v>
      </c>
      <c r="T2218">
        <v>190</v>
      </c>
      <c r="U2218">
        <f>+SUM(Table1[[#This Row],[Latinos]:[Cemex]])</f>
        <v>1</v>
      </c>
      <c r="V2218" t="str">
        <f>+Table1[[#This Row],[id_destino]]&amp;" - "&amp;Table1[[#This Row],[id_origen]]</f>
        <v>54 - 62</v>
      </c>
    </row>
    <row r="2219" spans="1:22" hidden="1">
      <c r="A2219">
        <v>4669</v>
      </c>
      <c r="B2219">
        <v>2173</v>
      </c>
      <c r="C2219">
        <v>8145</v>
      </c>
      <c r="D2219">
        <v>8146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 t="s">
        <v>20</v>
      </c>
      <c r="L2219" s="1">
        <v>45715</v>
      </c>
      <c r="M2219">
        <v>55</v>
      </c>
      <c r="N2219">
        <v>62</v>
      </c>
      <c r="O2219">
        <v>419</v>
      </c>
      <c r="P2219">
        <v>419</v>
      </c>
      <c r="Q2219">
        <v>419</v>
      </c>
      <c r="S2219">
        <v>708</v>
      </c>
      <c r="T2219">
        <v>708</v>
      </c>
      <c r="U2219">
        <f>+SUM(Table1[[#This Row],[Latinos]:[Cemex]])</f>
        <v>1</v>
      </c>
      <c r="V2219" t="str">
        <f>+Table1[[#This Row],[id_destino]]&amp;" - "&amp;Table1[[#This Row],[id_origen]]</f>
        <v>55 - 62</v>
      </c>
    </row>
    <row r="2220" spans="1:22" hidden="1">
      <c r="A2220">
        <v>959</v>
      </c>
      <c r="B2220">
        <v>2524</v>
      </c>
      <c r="C2220">
        <v>2213</v>
      </c>
      <c r="D2220">
        <v>70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 t="s">
        <v>20</v>
      </c>
      <c r="L2220" s="1">
        <v>43228</v>
      </c>
      <c r="M2220">
        <v>60</v>
      </c>
      <c r="N2220">
        <v>62</v>
      </c>
      <c r="O2220">
        <v>2429</v>
      </c>
      <c r="P2220">
        <v>2429</v>
      </c>
      <c r="Q2220">
        <v>2429</v>
      </c>
      <c r="S2220">
        <v>2356</v>
      </c>
      <c r="T2220">
        <v>2783</v>
      </c>
      <c r="U2220">
        <f>+SUM(Table1[[#This Row],[Latinos]:[Cemex]])</f>
        <v>1</v>
      </c>
      <c r="V2220" t="str">
        <f>+Table1[[#This Row],[id_destino]]&amp;" - "&amp;Table1[[#This Row],[id_origen]]</f>
        <v>60 - 62</v>
      </c>
    </row>
    <row r="2221" spans="1:22" hidden="1">
      <c r="A2221">
        <v>16</v>
      </c>
      <c r="B2221">
        <v>1311</v>
      </c>
      <c r="C2221">
        <v>291</v>
      </c>
      <c r="D2221">
        <v>5277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  <c r="K2221" t="s">
        <v>20</v>
      </c>
      <c r="L2221" s="1">
        <v>42998</v>
      </c>
      <c r="M2221">
        <v>62</v>
      </c>
      <c r="N2221">
        <v>62</v>
      </c>
      <c r="O2221">
        <v>14</v>
      </c>
      <c r="P2221">
        <v>100</v>
      </c>
      <c r="Q2221">
        <v>14</v>
      </c>
      <c r="S2221">
        <v>0</v>
      </c>
      <c r="T2221">
        <v>0</v>
      </c>
      <c r="U2221">
        <f>+SUM(Table1[[#This Row],[Latinos]:[Cemex]])</f>
        <v>1</v>
      </c>
      <c r="V2221" t="str">
        <f>+Table1[[#This Row],[id_destino]]&amp;" - "&amp;Table1[[#This Row],[id_origen]]</f>
        <v>62 - 62</v>
      </c>
    </row>
    <row r="2222" spans="1:22" hidden="1">
      <c r="A2222">
        <v>3940</v>
      </c>
      <c r="B2222">
        <v>1311</v>
      </c>
      <c r="C2222">
        <v>291</v>
      </c>
      <c r="D2222">
        <v>5159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 t="s">
        <v>20</v>
      </c>
      <c r="L2222" s="1">
        <v>45198</v>
      </c>
      <c r="M2222">
        <v>62</v>
      </c>
      <c r="N2222">
        <v>62</v>
      </c>
      <c r="O2222">
        <v>100</v>
      </c>
      <c r="P2222">
        <v>100</v>
      </c>
      <c r="Q2222">
        <v>50</v>
      </c>
      <c r="S2222">
        <v>0</v>
      </c>
      <c r="T2222">
        <v>0</v>
      </c>
      <c r="U2222">
        <f>+SUM(Table1[[#This Row],[Latinos]:[Cemex]])</f>
        <v>1</v>
      </c>
      <c r="V2222" t="str">
        <f>+Table1[[#This Row],[id_destino]]&amp;" - "&amp;Table1[[#This Row],[id_origen]]</f>
        <v>62 - 62</v>
      </c>
    </row>
    <row r="2223" spans="1:22" hidden="1">
      <c r="A2223">
        <v>3941</v>
      </c>
      <c r="B2223">
        <v>1311</v>
      </c>
      <c r="C2223">
        <v>291</v>
      </c>
      <c r="D2223">
        <v>5159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 t="s">
        <v>20</v>
      </c>
      <c r="L2223" s="1">
        <v>45198</v>
      </c>
      <c r="M2223">
        <v>62</v>
      </c>
      <c r="N2223">
        <v>62</v>
      </c>
      <c r="O2223">
        <v>150</v>
      </c>
      <c r="P2223">
        <v>150</v>
      </c>
      <c r="Q2223">
        <v>50</v>
      </c>
      <c r="S2223">
        <v>0</v>
      </c>
      <c r="T2223">
        <v>0</v>
      </c>
      <c r="U2223">
        <f>+SUM(Table1[[#This Row],[Latinos]:[Cemex]])</f>
        <v>1</v>
      </c>
      <c r="V2223" t="str">
        <f>+Table1[[#This Row],[id_destino]]&amp;" - "&amp;Table1[[#This Row],[id_origen]]</f>
        <v>62 - 62</v>
      </c>
    </row>
    <row r="2224" spans="1:22" hidden="1">
      <c r="A2224">
        <v>792</v>
      </c>
      <c r="B2224">
        <v>1468</v>
      </c>
      <c r="C2224">
        <v>409</v>
      </c>
      <c r="D2224">
        <v>582</v>
      </c>
      <c r="E2224">
        <v>0</v>
      </c>
      <c r="F2224">
        <v>0</v>
      </c>
      <c r="G2224">
        <v>0</v>
      </c>
      <c r="H2224">
        <v>1</v>
      </c>
      <c r="I2224">
        <v>0</v>
      </c>
      <c r="J2224">
        <v>0</v>
      </c>
      <c r="K2224" t="s">
        <v>20</v>
      </c>
      <c r="L2224" s="1">
        <v>43732</v>
      </c>
      <c r="M2224">
        <v>63</v>
      </c>
      <c r="N2224">
        <v>62</v>
      </c>
      <c r="O2224">
        <v>291</v>
      </c>
      <c r="P2224">
        <v>291</v>
      </c>
      <c r="Q2224">
        <v>291</v>
      </c>
      <c r="S2224">
        <v>479</v>
      </c>
      <c r="T2224">
        <v>533</v>
      </c>
      <c r="U2224">
        <f>+SUM(Table1[[#This Row],[Latinos]:[Cemex]])</f>
        <v>1</v>
      </c>
      <c r="V2224" t="str">
        <f>+Table1[[#This Row],[id_destino]]&amp;" - "&amp;Table1[[#This Row],[id_origen]]</f>
        <v>63 - 62</v>
      </c>
    </row>
    <row r="2225" spans="1:22" hidden="1">
      <c r="A2225">
        <v>99</v>
      </c>
      <c r="B2225">
        <v>1762</v>
      </c>
      <c r="C2225">
        <v>291</v>
      </c>
      <c r="D2225">
        <v>5285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  <c r="K2225" t="s">
        <v>20</v>
      </c>
      <c r="L2225" s="1">
        <v>42991</v>
      </c>
      <c r="M2225">
        <v>83</v>
      </c>
      <c r="N2225">
        <v>62</v>
      </c>
      <c r="O2225">
        <v>513</v>
      </c>
      <c r="P2225">
        <v>520</v>
      </c>
      <c r="Q2225">
        <v>513</v>
      </c>
      <c r="S2225">
        <v>170</v>
      </c>
      <c r="T2225">
        <v>170</v>
      </c>
      <c r="U2225">
        <f>+SUM(Table1[[#This Row],[Latinos]:[Cemex]])</f>
        <v>1</v>
      </c>
      <c r="V2225" t="str">
        <f>+Table1[[#This Row],[id_destino]]&amp;" - "&amp;Table1[[#This Row],[id_origen]]</f>
        <v>83 - 62</v>
      </c>
    </row>
    <row r="2226" spans="1:22" hidden="1">
      <c r="A2226">
        <v>2607</v>
      </c>
      <c r="B2226">
        <v>3448</v>
      </c>
      <c r="C2226">
        <v>2213</v>
      </c>
      <c r="D2226">
        <v>3470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 t="s">
        <v>20</v>
      </c>
      <c r="L2226" s="1">
        <v>44239</v>
      </c>
      <c r="M2226">
        <v>94</v>
      </c>
      <c r="N2226">
        <v>62</v>
      </c>
      <c r="O2226">
        <v>372</v>
      </c>
      <c r="P2226">
        <v>364</v>
      </c>
      <c r="Q2226">
        <v>372</v>
      </c>
      <c r="S2226">
        <v>471</v>
      </c>
      <c r="T2226">
        <v>471</v>
      </c>
      <c r="U2226">
        <f>+SUM(Table1[[#This Row],[Latinos]:[Cemex]])</f>
        <v>1</v>
      </c>
      <c r="V2226" t="str">
        <f>+Table1[[#This Row],[id_destino]]&amp;" - "&amp;Table1[[#This Row],[id_origen]]</f>
        <v>94 - 62</v>
      </c>
    </row>
    <row r="2227" spans="1:22" hidden="1">
      <c r="A2227">
        <v>2396</v>
      </c>
      <c r="B2227">
        <v>3317</v>
      </c>
      <c r="C2227">
        <v>409</v>
      </c>
      <c r="D2227">
        <v>1637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 t="s">
        <v>20</v>
      </c>
      <c r="L2227" s="1">
        <v>44028</v>
      </c>
      <c r="M2227">
        <v>107</v>
      </c>
      <c r="N2227">
        <v>62</v>
      </c>
      <c r="O2227">
        <v>452</v>
      </c>
      <c r="P2227">
        <v>434</v>
      </c>
      <c r="Q2227">
        <v>452</v>
      </c>
      <c r="S2227">
        <v>552</v>
      </c>
      <c r="T2227">
        <v>606</v>
      </c>
      <c r="U2227">
        <f>+SUM(Table1[[#This Row],[Latinos]:[Cemex]])</f>
        <v>1</v>
      </c>
      <c r="V2227" t="str">
        <f>+Table1[[#This Row],[id_destino]]&amp;" - "&amp;Table1[[#This Row],[id_origen]]</f>
        <v>107 - 62</v>
      </c>
    </row>
    <row r="2228" spans="1:22" hidden="1">
      <c r="A2228">
        <v>3366</v>
      </c>
      <c r="B2228">
        <v>3317</v>
      </c>
      <c r="C2228">
        <v>291</v>
      </c>
      <c r="D2228">
        <v>1555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 t="s">
        <v>20</v>
      </c>
      <c r="L2228" s="1">
        <v>44852</v>
      </c>
      <c r="M2228">
        <v>107</v>
      </c>
      <c r="N2228">
        <v>62</v>
      </c>
      <c r="O2228">
        <v>471</v>
      </c>
      <c r="P2228">
        <v>433</v>
      </c>
      <c r="Q2228">
        <v>471</v>
      </c>
      <c r="S2228">
        <v>554</v>
      </c>
      <c r="T2228">
        <v>608</v>
      </c>
      <c r="U2228">
        <f>+SUM(Table1[[#This Row],[Latinos]:[Cemex]])</f>
        <v>1</v>
      </c>
      <c r="V2228" t="str">
        <f>+Table1[[#This Row],[id_destino]]&amp;" - "&amp;Table1[[#This Row],[id_origen]]</f>
        <v>107 - 62</v>
      </c>
    </row>
    <row r="2229" spans="1:22" hidden="1">
      <c r="A2229">
        <v>799</v>
      </c>
      <c r="B2229">
        <v>2458</v>
      </c>
      <c r="C2229">
        <v>409</v>
      </c>
      <c r="D2229">
        <v>428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 t="s">
        <v>20</v>
      </c>
      <c r="L2229" s="1">
        <v>43168</v>
      </c>
      <c r="M2229">
        <v>148</v>
      </c>
      <c r="N2229">
        <v>62</v>
      </c>
      <c r="O2229">
        <v>193</v>
      </c>
      <c r="P2229">
        <v>193</v>
      </c>
      <c r="Q2229">
        <v>193</v>
      </c>
      <c r="S2229">
        <v>0</v>
      </c>
      <c r="T2229">
        <v>0</v>
      </c>
      <c r="U2229">
        <f>+SUM(Table1[[#This Row],[Latinos]:[Cemex]])</f>
        <v>1</v>
      </c>
      <c r="V2229" t="str">
        <f>+Table1[[#This Row],[id_destino]]&amp;" - "&amp;Table1[[#This Row],[id_origen]]</f>
        <v>148 - 62</v>
      </c>
    </row>
    <row r="2230" spans="1:22" hidden="1">
      <c r="A2230">
        <v>1390</v>
      </c>
      <c r="B2230">
        <v>2718</v>
      </c>
      <c r="C2230">
        <v>409</v>
      </c>
      <c r="D2230">
        <v>422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 t="s">
        <v>20</v>
      </c>
      <c r="L2230" s="1">
        <v>43413</v>
      </c>
      <c r="M2230">
        <v>280</v>
      </c>
      <c r="N2230">
        <v>62</v>
      </c>
      <c r="O2230">
        <v>363</v>
      </c>
      <c r="P2230">
        <v>363</v>
      </c>
      <c r="Q2230">
        <v>363</v>
      </c>
      <c r="S2230">
        <v>365</v>
      </c>
      <c r="T2230">
        <v>365</v>
      </c>
      <c r="U2230">
        <f>+SUM(Table1[[#This Row],[Latinos]:[Cemex]])</f>
        <v>1</v>
      </c>
      <c r="V2230" t="str">
        <f>+Table1[[#This Row],[id_destino]]&amp;" - "&amp;Table1[[#This Row],[id_origen]]</f>
        <v>280 - 62</v>
      </c>
    </row>
    <row r="2231" spans="1:22" hidden="1">
      <c r="A2231">
        <v>4777</v>
      </c>
      <c r="B2231">
        <v>4901</v>
      </c>
      <c r="C2231">
        <v>8239</v>
      </c>
      <c r="D2231">
        <v>8240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 t="s">
        <v>20</v>
      </c>
      <c r="L2231" s="1">
        <v>45811</v>
      </c>
      <c r="M2231">
        <v>345</v>
      </c>
      <c r="N2231">
        <v>62</v>
      </c>
      <c r="O2231">
        <v>411</v>
      </c>
      <c r="P2231">
        <v>411</v>
      </c>
      <c r="Q2231">
        <v>411</v>
      </c>
      <c r="S2231">
        <v>956</v>
      </c>
      <c r="T2231">
        <v>956</v>
      </c>
      <c r="U2231">
        <f>+SUM(Table1[[#This Row],[Latinos]:[Cemex]])</f>
        <v>1</v>
      </c>
      <c r="V2231" t="str">
        <f>+Table1[[#This Row],[id_destino]]&amp;" - "&amp;Table1[[#This Row],[id_origen]]</f>
        <v>345 - 62</v>
      </c>
    </row>
    <row r="2232" spans="1:22" hidden="1">
      <c r="A2232">
        <v>4814</v>
      </c>
      <c r="B2232">
        <v>4925</v>
      </c>
      <c r="C2232">
        <v>8271</v>
      </c>
      <c r="D2232">
        <v>8269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  <c r="K2232" t="s">
        <v>20</v>
      </c>
      <c r="L2232" s="1">
        <v>45860</v>
      </c>
      <c r="M2232">
        <v>418</v>
      </c>
      <c r="N2232">
        <v>62</v>
      </c>
      <c r="O2232">
        <v>532</v>
      </c>
      <c r="P2232">
        <v>532</v>
      </c>
      <c r="Q2232">
        <v>532</v>
      </c>
      <c r="S2232">
        <v>1901</v>
      </c>
      <c r="T2232">
        <v>1901</v>
      </c>
      <c r="U2232">
        <f>+SUM(Table1[[#This Row],[Latinos]:[Cemex]])</f>
        <v>1</v>
      </c>
      <c r="V2232" t="str">
        <f>+Table1[[#This Row],[id_destino]]&amp;" - "&amp;Table1[[#This Row],[id_origen]]</f>
        <v>418 - 62</v>
      </c>
    </row>
    <row r="2233" spans="1:22" hidden="1">
      <c r="A2233">
        <v>4644</v>
      </c>
      <c r="B2233">
        <v>4817</v>
      </c>
      <c r="C2233">
        <v>7899</v>
      </c>
      <c r="D2233">
        <v>4745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  <c r="K2233" t="s">
        <v>20</v>
      </c>
      <c r="L2233" s="1">
        <v>45698</v>
      </c>
      <c r="M2233">
        <v>525</v>
      </c>
      <c r="N2233">
        <v>62</v>
      </c>
      <c r="O2233">
        <v>411</v>
      </c>
      <c r="P2233">
        <v>411</v>
      </c>
      <c r="Q2233">
        <v>411</v>
      </c>
      <c r="S2233">
        <v>956</v>
      </c>
      <c r="T2233">
        <v>956</v>
      </c>
      <c r="U2233">
        <f>+SUM(Table1[[#This Row],[Latinos]:[Cemex]])</f>
        <v>1</v>
      </c>
      <c r="V2233" t="str">
        <f>+Table1[[#This Row],[id_destino]]&amp;" - "&amp;Table1[[#This Row],[id_origen]]</f>
        <v>525 - 62</v>
      </c>
    </row>
    <row r="2234" spans="1:22" hidden="1">
      <c r="A2234">
        <v>859</v>
      </c>
      <c r="B2234">
        <v>2481</v>
      </c>
      <c r="C2234">
        <v>2213</v>
      </c>
      <c r="D2234">
        <v>5509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 t="s">
        <v>20</v>
      </c>
      <c r="L2234" s="1">
        <v>43195</v>
      </c>
      <c r="M2234">
        <v>559</v>
      </c>
      <c r="N2234">
        <v>62</v>
      </c>
      <c r="O2234">
        <v>407</v>
      </c>
      <c r="P2234">
        <v>407</v>
      </c>
      <c r="Q2234">
        <v>407</v>
      </c>
      <c r="S2234">
        <v>574</v>
      </c>
      <c r="T2234">
        <v>574</v>
      </c>
      <c r="U2234">
        <f>+SUM(Table1[[#This Row],[Latinos]:[Cemex]])</f>
        <v>1</v>
      </c>
      <c r="V2234" t="str">
        <f>+Table1[[#This Row],[id_destino]]&amp;" - "&amp;Table1[[#This Row],[id_origen]]</f>
        <v>559 - 62</v>
      </c>
    </row>
    <row r="2235" spans="1:22" hidden="1">
      <c r="A2235">
        <v>2588</v>
      </c>
      <c r="B2235">
        <v>3438</v>
      </c>
      <c r="C2235">
        <v>2213</v>
      </c>
      <c r="D2235">
        <v>6503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 t="s">
        <v>20</v>
      </c>
      <c r="L2235" s="1">
        <v>44212</v>
      </c>
      <c r="M2235">
        <v>591</v>
      </c>
      <c r="N2235">
        <v>62</v>
      </c>
      <c r="O2235">
        <v>372</v>
      </c>
      <c r="P2235">
        <v>365</v>
      </c>
      <c r="Q2235">
        <v>372</v>
      </c>
      <c r="S2235">
        <v>457</v>
      </c>
      <c r="T2235">
        <v>457</v>
      </c>
      <c r="U2235">
        <f>+SUM(Table1[[#This Row],[Latinos]:[Cemex]])</f>
        <v>1</v>
      </c>
      <c r="V2235" t="str">
        <f>+Table1[[#This Row],[id_destino]]&amp;" - "&amp;Table1[[#This Row],[id_origen]]</f>
        <v>591 - 62</v>
      </c>
    </row>
    <row r="2236" spans="1:22" hidden="1">
      <c r="A2236">
        <v>746</v>
      </c>
      <c r="B2236">
        <v>2433</v>
      </c>
      <c r="C2236">
        <v>291</v>
      </c>
      <c r="D2236">
        <v>72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 t="s">
        <v>46</v>
      </c>
      <c r="L2236" s="1">
        <v>43151</v>
      </c>
      <c r="M2236">
        <v>669</v>
      </c>
      <c r="N2236">
        <v>62</v>
      </c>
      <c r="O2236">
        <v>50</v>
      </c>
      <c r="P2236">
        <v>150</v>
      </c>
      <c r="Q2236">
        <v>50</v>
      </c>
      <c r="S2236">
        <v>0</v>
      </c>
      <c r="T2236">
        <v>0</v>
      </c>
      <c r="U2236">
        <f>+SUM(Table1[[#This Row],[Latinos]:[Cemex]])</f>
        <v>1</v>
      </c>
      <c r="V2236" t="str">
        <f>+Table1[[#This Row],[id_destino]]&amp;" - "&amp;Table1[[#This Row],[id_origen]]</f>
        <v>669 - 62</v>
      </c>
    </row>
    <row r="2237" spans="1:22" hidden="1">
      <c r="A2237">
        <v>1040</v>
      </c>
      <c r="B2237">
        <v>2556</v>
      </c>
      <c r="C2237">
        <v>5593</v>
      </c>
      <c r="D2237">
        <v>5594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 t="s">
        <v>20</v>
      </c>
      <c r="L2237" s="1">
        <v>43258</v>
      </c>
      <c r="M2237">
        <v>751</v>
      </c>
      <c r="N2237">
        <v>62</v>
      </c>
      <c r="O2237">
        <v>492</v>
      </c>
      <c r="P2237">
        <v>451</v>
      </c>
      <c r="Q2237">
        <v>492</v>
      </c>
      <c r="S2237">
        <v>108</v>
      </c>
      <c r="T2237">
        <v>108</v>
      </c>
      <c r="U2237">
        <f>+SUM(Table1[[#This Row],[Latinos]:[Cemex]])</f>
        <v>1</v>
      </c>
      <c r="V2237" t="str">
        <f>+Table1[[#This Row],[id_destino]]&amp;" - "&amp;Table1[[#This Row],[id_origen]]</f>
        <v>751 - 62</v>
      </c>
    </row>
    <row r="2238" spans="1:22" hidden="1">
      <c r="A2238">
        <v>2442</v>
      </c>
      <c r="B2238">
        <v>3346</v>
      </c>
      <c r="C2238">
        <v>6394</v>
      </c>
      <c r="D2238">
        <v>6395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 t="s">
        <v>20</v>
      </c>
      <c r="L2238" s="1">
        <v>44076</v>
      </c>
      <c r="M2238">
        <v>816</v>
      </c>
      <c r="N2238">
        <v>62</v>
      </c>
      <c r="O2238">
        <v>466</v>
      </c>
      <c r="P2238">
        <v>481</v>
      </c>
      <c r="Q2238">
        <v>466</v>
      </c>
      <c r="S2238">
        <v>1161</v>
      </c>
      <c r="T2238">
        <v>1161</v>
      </c>
      <c r="U2238">
        <f>+SUM(Table1[[#This Row],[Latinos]:[Cemex]])</f>
        <v>1</v>
      </c>
      <c r="V2238" t="str">
        <f>+Table1[[#This Row],[id_destino]]&amp;" - "&amp;Table1[[#This Row],[id_origen]]</f>
        <v>816 - 62</v>
      </c>
    </row>
    <row r="2239" spans="1:22" hidden="1">
      <c r="A2239">
        <v>4042</v>
      </c>
      <c r="B2239">
        <v>4379</v>
      </c>
      <c r="C2239">
        <v>2213</v>
      </c>
      <c r="D2239">
        <v>7559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 t="s">
        <v>20</v>
      </c>
      <c r="L2239" s="1">
        <v>45245</v>
      </c>
      <c r="M2239">
        <v>887</v>
      </c>
      <c r="N2239">
        <v>62</v>
      </c>
      <c r="O2239">
        <v>309</v>
      </c>
      <c r="P2239">
        <v>375</v>
      </c>
      <c r="Q2239">
        <v>309</v>
      </c>
      <c r="S2239">
        <v>1422</v>
      </c>
      <c r="T2239">
        <v>1422</v>
      </c>
      <c r="U2239">
        <f>+SUM(Table1[[#This Row],[Latinos]:[Cemex]])</f>
        <v>1</v>
      </c>
      <c r="V2239" t="str">
        <f>+Table1[[#This Row],[id_destino]]&amp;" - "&amp;Table1[[#This Row],[id_origen]]</f>
        <v>887 - 62</v>
      </c>
    </row>
    <row r="2240" spans="1:22" hidden="1">
      <c r="A2240">
        <v>3781</v>
      </c>
      <c r="B2240">
        <v>4217</v>
      </c>
      <c r="C2240">
        <v>6754</v>
      </c>
      <c r="D2240">
        <v>478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 t="s">
        <v>20</v>
      </c>
      <c r="L2240" s="1">
        <v>45085</v>
      </c>
      <c r="M2240">
        <v>46</v>
      </c>
      <c r="N2240">
        <v>63</v>
      </c>
      <c r="O2240">
        <v>306</v>
      </c>
      <c r="P2240">
        <v>312</v>
      </c>
      <c r="Q2240">
        <v>306</v>
      </c>
      <c r="S2240">
        <v>115</v>
      </c>
      <c r="T2240">
        <v>115</v>
      </c>
      <c r="U2240">
        <f>+SUM(Table1[[#This Row],[Latinos]:[Cemex]])</f>
        <v>1</v>
      </c>
      <c r="V2240" t="str">
        <f>+Table1[[#This Row],[id_destino]]&amp;" - "&amp;Table1[[#This Row],[id_origen]]</f>
        <v>46 - 63</v>
      </c>
    </row>
    <row r="2241" spans="1:22" hidden="1">
      <c r="A2241">
        <v>2867</v>
      </c>
      <c r="B2241">
        <v>1754</v>
      </c>
      <c r="C2241">
        <v>6754</v>
      </c>
      <c r="D2241">
        <v>1637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 t="s">
        <v>20</v>
      </c>
      <c r="L2241" s="1">
        <v>44565</v>
      </c>
      <c r="M2241">
        <v>107</v>
      </c>
      <c r="N2241">
        <v>63</v>
      </c>
      <c r="O2241">
        <v>179</v>
      </c>
      <c r="P2241">
        <v>154</v>
      </c>
      <c r="Q2241">
        <v>179</v>
      </c>
      <c r="S2241">
        <v>55</v>
      </c>
      <c r="T2241">
        <v>55</v>
      </c>
      <c r="U2241">
        <f>+SUM(Table1[[#This Row],[Latinos]:[Cemex]])</f>
        <v>1</v>
      </c>
      <c r="V2241" t="str">
        <f>+Table1[[#This Row],[id_destino]]&amp;" - "&amp;Table1[[#This Row],[id_origen]]</f>
        <v>107 - 63</v>
      </c>
    </row>
    <row r="2242" spans="1:22" hidden="1">
      <c r="A2242">
        <v>3632</v>
      </c>
      <c r="B2242">
        <v>4122</v>
      </c>
      <c r="C2242">
        <v>6754</v>
      </c>
      <c r="D2242">
        <v>7271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 t="s">
        <v>20</v>
      </c>
      <c r="L2242" s="1">
        <v>45006</v>
      </c>
      <c r="M2242">
        <v>127</v>
      </c>
      <c r="N2242">
        <v>63</v>
      </c>
      <c r="O2242">
        <v>765</v>
      </c>
      <c r="P2242">
        <v>813</v>
      </c>
      <c r="Q2242">
        <v>765</v>
      </c>
      <c r="S2242">
        <v>642</v>
      </c>
      <c r="T2242">
        <v>696</v>
      </c>
      <c r="U2242">
        <f>+SUM(Table1[[#This Row],[Latinos]:[Cemex]])</f>
        <v>1</v>
      </c>
      <c r="V2242" t="str">
        <f>+Table1[[#This Row],[id_destino]]&amp;" - "&amp;Table1[[#This Row],[id_origen]]</f>
        <v>127 - 63</v>
      </c>
    </row>
    <row r="2243" spans="1:22" hidden="1">
      <c r="A2243">
        <v>3710</v>
      </c>
      <c r="B2243">
        <v>4177</v>
      </c>
      <c r="C2243">
        <v>6754</v>
      </c>
      <c r="D2243">
        <v>405</v>
      </c>
      <c r="E2243">
        <v>0</v>
      </c>
      <c r="F2243">
        <v>0</v>
      </c>
      <c r="G2243">
        <v>0</v>
      </c>
      <c r="H2243">
        <v>1</v>
      </c>
      <c r="I2243">
        <v>0</v>
      </c>
      <c r="J2243">
        <v>0</v>
      </c>
      <c r="K2243" t="s">
        <v>20</v>
      </c>
      <c r="L2243" s="1">
        <v>45043</v>
      </c>
      <c r="M2243">
        <v>180</v>
      </c>
      <c r="N2243">
        <v>63</v>
      </c>
      <c r="O2243">
        <v>634</v>
      </c>
      <c r="P2243">
        <v>677</v>
      </c>
      <c r="Q2243">
        <v>634</v>
      </c>
      <c r="S2243">
        <v>180</v>
      </c>
      <c r="T2243">
        <v>180</v>
      </c>
      <c r="U2243">
        <f>+SUM(Table1[[#This Row],[Latinos]:[Cemex]])</f>
        <v>1</v>
      </c>
      <c r="V2243" t="str">
        <f>+Table1[[#This Row],[id_destino]]&amp;" - "&amp;Table1[[#This Row],[id_origen]]</f>
        <v>180 - 63</v>
      </c>
    </row>
    <row r="2244" spans="1:22" hidden="1">
      <c r="A2244">
        <v>2242</v>
      </c>
      <c r="B2244">
        <v>810</v>
      </c>
      <c r="C2244">
        <v>74</v>
      </c>
      <c r="D2244">
        <v>469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 t="s">
        <v>20</v>
      </c>
      <c r="L2244" s="1">
        <v>45817</v>
      </c>
      <c r="M2244">
        <v>2</v>
      </c>
      <c r="N2244">
        <v>64</v>
      </c>
      <c r="O2244">
        <v>607</v>
      </c>
      <c r="P2244">
        <v>607</v>
      </c>
      <c r="Q2244">
        <v>607</v>
      </c>
      <c r="S2244">
        <v>1256</v>
      </c>
      <c r="T2244">
        <v>1256</v>
      </c>
      <c r="U2244">
        <f>+SUM(Table1[[#This Row],[Latinos]:[Cemex]])</f>
        <v>1</v>
      </c>
      <c r="V2244" t="str">
        <f>+Table1[[#This Row],[id_destino]]&amp;" - "&amp;Table1[[#This Row],[id_origen]]</f>
        <v>2 - 64</v>
      </c>
    </row>
    <row r="2245" spans="1:22" hidden="1">
      <c r="A2245">
        <v>2102</v>
      </c>
      <c r="B2245">
        <v>3132</v>
      </c>
      <c r="C2245">
        <v>74</v>
      </c>
      <c r="D2245">
        <v>5282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 t="s">
        <v>20</v>
      </c>
      <c r="L2245" s="1">
        <v>43811</v>
      </c>
      <c r="M2245">
        <v>11</v>
      </c>
      <c r="N2245">
        <v>64</v>
      </c>
      <c r="O2245">
        <v>386</v>
      </c>
      <c r="P2245">
        <v>400</v>
      </c>
      <c r="Q2245">
        <v>386</v>
      </c>
      <c r="S2245">
        <v>178</v>
      </c>
      <c r="T2245">
        <v>178</v>
      </c>
      <c r="U2245">
        <f>+SUM(Table1[[#This Row],[Latinos]:[Cemex]])</f>
        <v>1</v>
      </c>
      <c r="V2245" t="str">
        <f>+Table1[[#This Row],[id_destino]]&amp;" - "&amp;Table1[[#This Row],[id_origen]]</f>
        <v>11 - 64</v>
      </c>
    </row>
    <row r="2246" spans="1:22" hidden="1">
      <c r="A2246">
        <v>2496</v>
      </c>
      <c r="B2246">
        <v>3379</v>
      </c>
      <c r="C2246">
        <v>74</v>
      </c>
      <c r="D2246">
        <v>2413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 t="s">
        <v>20</v>
      </c>
      <c r="L2246" s="1">
        <v>44130</v>
      </c>
      <c r="M2246">
        <v>47</v>
      </c>
      <c r="N2246">
        <v>64</v>
      </c>
      <c r="O2246">
        <v>562</v>
      </c>
      <c r="P2246">
        <v>578</v>
      </c>
      <c r="Q2246">
        <v>562</v>
      </c>
      <c r="S2246">
        <v>388</v>
      </c>
      <c r="T2246">
        <v>448</v>
      </c>
      <c r="U2246">
        <f>+SUM(Table1[[#This Row],[Latinos]:[Cemex]])</f>
        <v>1</v>
      </c>
      <c r="V2246" t="str">
        <f>+Table1[[#This Row],[id_destino]]&amp;" - "&amp;Table1[[#This Row],[id_origen]]</f>
        <v>47 - 64</v>
      </c>
    </row>
    <row r="2247" spans="1:22" hidden="1">
      <c r="A2247">
        <v>1703</v>
      </c>
      <c r="B2247">
        <v>2893</v>
      </c>
      <c r="C2247">
        <v>74</v>
      </c>
      <c r="D2247">
        <v>3431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 t="s">
        <v>20</v>
      </c>
      <c r="L2247" s="1">
        <v>43570</v>
      </c>
      <c r="M2247">
        <v>52</v>
      </c>
      <c r="N2247">
        <v>64</v>
      </c>
      <c r="O2247">
        <v>326</v>
      </c>
      <c r="P2247">
        <v>324</v>
      </c>
      <c r="Q2247">
        <v>326</v>
      </c>
      <c r="S2247">
        <v>509</v>
      </c>
      <c r="T2247">
        <v>509</v>
      </c>
      <c r="U2247">
        <f>+SUM(Table1[[#This Row],[Latinos]:[Cemex]])</f>
        <v>1</v>
      </c>
      <c r="V2247" t="str">
        <f>+Table1[[#This Row],[id_destino]]&amp;" - "&amp;Table1[[#This Row],[id_origen]]</f>
        <v>52 - 64</v>
      </c>
    </row>
    <row r="2248" spans="1:22" hidden="1">
      <c r="A2248">
        <v>2981</v>
      </c>
      <c r="B2248">
        <v>3699</v>
      </c>
      <c r="C2248">
        <v>74</v>
      </c>
      <c r="D2248">
        <v>65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 t="s">
        <v>20</v>
      </c>
      <c r="L2248" s="1">
        <v>44669</v>
      </c>
      <c r="M2248">
        <v>57</v>
      </c>
      <c r="N2248">
        <v>64</v>
      </c>
      <c r="O2248">
        <v>612</v>
      </c>
      <c r="P2248">
        <v>656</v>
      </c>
      <c r="Q2248">
        <v>608</v>
      </c>
      <c r="S2248">
        <v>859</v>
      </c>
      <c r="T2248">
        <v>859</v>
      </c>
      <c r="U2248">
        <f>+SUM(Table1[[#This Row],[Latinos]:[Cemex]])</f>
        <v>1</v>
      </c>
      <c r="V2248" t="str">
        <f>+Table1[[#This Row],[id_destino]]&amp;" - "&amp;Table1[[#This Row],[id_origen]]</f>
        <v>57 - 64</v>
      </c>
    </row>
    <row r="2249" spans="1:22" hidden="1">
      <c r="A2249">
        <v>4385</v>
      </c>
      <c r="B2249">
        <v>4618</v>
      </c>
      <c r="C2249">
        <v>74</v>
      </c>
      <c r="D2249">
        <v>1370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 t="s">
        <v>20</v>
      </c>
      <c r="L2249" s="1">
        <v>45509</v>
      </c>
      <c r="M2249">
        <v>69</v>
      </c>
      <c r="N2249">
        <v>64</v>
      </c>
      <c r="O2249">
        <v>577</v>
      </c>
      <c r="P2249">
        <v>567</v>
      </c>
      <c r="Q2249">
        <v>577</v>
      </c>
      <c r="S2249">
        <v>1158</v>
      </c>
      <c r="T2249">
        <v>1158</v>
      </c>
      <c r="U2249">
        <f>+SUM(Table1[[#This Row],[Latinos]:[Cemex]])</f>
        <v>1</v>
      </c>
      <c r="V2249" t="str">
        <f>+Table1[[#This Row],[id_destino]]&amp;" - "&amp;Table1[[#This Row],[id_origen]]</f>
        <v>69 - 64</v>
      </c>
    </row>
    <row r="2250" spans="1:22" hidden="1">
      <c r="A2250">
        <v>2101</v>
      </c>
      <c r="B2250">
        <v>3131</v>
      </c>
      <c r="C2250">
        <v>74</v>
      </c>
      <c r="D2250">
        <v>105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 t="s">
        <v>20</v>
      </c>
      <c r="L2250" s="1">
        <v>43809</v>
      </c>
      <c r="M2250">
        <v>75</v>
      </c>
      <c r="N2250">
        <v>64</v>
      </c>
      <c r="O2250">
        <v>564</v>
      </c>
      <c r="P2250">
        <v>603</v>
      </c>
      <c r="Q2250">
        <v>564</v>
      </c>
      <c r="S2250">
        <v>774</v>
      </c>
      <c r="T2250">
        <v>774</v>
      </c>
      <c r="U2250">
        <f>+SUM(Table1[[#This Row],[Latinos]:[Cemex]])</f>
        <v>1</v>
      </c>
      <c r="V2250" t="str">
        <f>+Table1[[#This Row],[id_destino]]&amp;" - "&amp;Table1[[#This Row],[id_origen]]</f>
        <v>75 - 64</v>
      </c>
    </row>
    <row r="2251" spans="1:22" hidden="1">
      <c r="A2251">
        <v>3646</v>
      </c>
      <c r="B2251">
        <v>4132</v>
      </c>
      <c r="C2251">
        <v>74</v>
      </c>
      <c r="D2251">
        <v>6840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 t="s">
        <v>20</v>
      </c>
      <c r="L2251" s="1">
        <v>45012</v>
      </c>
      <c r="M2251">
        <v>83</v>
      </c>
      <c r="N2251">
        <v>64</v>
      </c>
      <c r="O2251">
        <v>343</v>
      </c>
      <c r="P2251">
        <v>326</v>
      </c>
      <c r="Q2251">
        <v>343</v>
      </c>
      <c r="S2251">
        <v>427</v>
      </c>
      <c r="T2251">
        <v>427</v>
      </c>
      <c r="U2251">
        <f>+SUM(Table1[[#This Row],[Latinos]:[Cemex]])</f>
        <v>1</v>
      </c>
      <c r="V2251" t="str">
        <f>+Table1[[#This Row],[id_destino]]&amp;" - "&amp;Table1[[#This Row],[id_origen]]</f>
        <v>83 - 64</v>
      </c>
    </row>
    <row r="2252" spans="1:22" hidden="1">
      <c r="A2252">
        <v>1195</v>
      </c>
      <c r="B2252">
        <v>2625</v>
      </c>
      <c r="C2252">
        <v>74</v>
      </c>
      <c r="D2252">
        <v>268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  <c r="K2252" t="s">
        <v>20</v>
      </c>
      <c r="L2252" s="1">
        <v>43339</v>
      </c>
      <c r="M2252">
        <v>99</v>
      </c>
      <c r="N2252">
        <v>64</v>
      </c>
      <c r="O2252">
        <v>1762</v>
      </c>
      <c r="P2252">
        <v>1772</v>
      </c>
      <c r="Q2252">
        <v>1762</v>
      </c>
      <c r="S2252">
        <v>0</v>
      </c>
      <c r="T2252">
        <v>0</v>
      </c>
      <c r="U2252">
        <f>+SUM(Table1[[#This Row],[Latinos]:[Cemex]])</f>
        <v>1</v>
      </c>
      <c r="V2252" t="str">
        <f>+Table1[[#This Row],[id_destino]]&amp;" - "&amp;Table1[[#This Row],[id_origen]]</f>
        <v>99 - 64</v>
      </c>
    </row>
    <row r="2253" spans="1:22" hidden="1">
      <c r="A2253">
        <v>3567</v>
      </c>
      <c r="B2253">
        <v>4077</v>
      </c>
      <c r="C2253">
        <v>74</v>
      </c>
      <c r="D2253">
        <v>1347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 t="s">
        <v>20</v>
      </c>
      <c r="L2253" s="1">
        <v>44961</v>
      </c>
      <c r="M2253">
        <v>216</v>
      </c>
      <c r="N2253">
        <v>64</v>
      </c>
      <c r="O2253">
        <v>409</v>
      </c>
      <c r="P2253">
        <v>398</v>
      </c>
      <c r="Q2253">
        <v>409</v>
      </c>
      <c r="S2253">
        <v>339</v>
      </c>
      <c r="T2253">
        <v>339</v>
      </c>
      <c r="U2253">
        <f>+SUM(Table1[[#This Row],[Latinos]:[Cemex]])</f>
        <v>1</v>
      </c>
      <c r="V2253" t="str">
        <f>+Table1[[#This Row],[id_destino]]&amp;" - "&amp;Table1[[#This Row],[id_origen]]</f>
        <v>216 - 64</v>
      </c>
    </row>
    <row r="2254" spans="1:22" hidden="1">
      <c r="A2254">
        <v>1322</v>
      </c>
      <c r="B2254">
        <v>2690</v>
      </c>
      <c r="C2254">
        <v>402</v>
      </c>
      <c r="D2254">
        <v>427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 t="s">
        <v>20</v>
      </c>
      <c r="L2254" s="1">
        <v>43384</v>
      </c>
      <c r="M2254">
        <v>3</v>
      </c>
      <c r="N2254">
        <v>65</v>
      </c>
      <c r="O2254">
        <v>626</v>
      </c>
      <c r="P2254">
        <v>626</v>
      </c>
      <c r="Q2254">
        <v>626</v>
      </c>
      <c r="S2254">
        <v>1298</v>
      </c>
      <c r="T2254">
        <v>1298</v>
      </c>
      <c r="U2254">
        <f>+SUM(Table1[[#This Row],[Latinos]:[Cemex]])</f>
        <v>1</v>
      </c>
      <c r="V2254" t="str">
        <f>+Table1[[#This Row],[id_destino]]&amp;" - "&amp;Table1[[#This Row],[id_origen]]</f>
        <v>3 - 65</v>
      </c>
    </row>
    <row r="2255" spans="1:22" hidden="1">
      <c r="A2255">
        <v>2006</v>
      </c>
      <c r="B2255">
        <v>2690</v>
      </c>
      <c r="C2255">
        <v>3237</v>
      </c>
      <c r="D2255">
        <v>1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 t="s">
        <v>20</v>
      </c>
      <c r="L2255" s="1">
        <v>43762</v>
      </c>
      <c r="M2255">
        <v>3</v>
      </c>
      <c r="N2255">
        <v>65</v>
      </c>
      <c r="O2255">
        <v>636</v>
      </c>
      <c r="P2255">
        <v>680</v>
      </c>
      <c r="Q2255">
        <v>636</v>
      </c>
      <c r="S2255">
        <v>1486</v>
      </c>
      <c r="T2255">
        <v>1486</v>
      </c>
      <c r="U2255">
        <f>+SUM(Table1[[#This Row],[Latinos]:[Cemex]])</f>
        <v>1</v>
      </c>
      <c r="V2255" t="str">
        <f>+Table1[[#This Row],[id_destino]]&amp;" - "&amp;Table1[[#This Row],[id_origen]]</f>
        <v>3 - 65</v>
      </c>
    </row>
    <row r="2256" spans="1:22" hidden="1">
      <c r="A2256">
        <v>1149</v>
      </c>
      <c r="B2256">
        <v>2602</v>
      </c>
      <c r="C2256">
        <v>4071</v>
      </c>
      <c r="D2256">
        <v>4632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 t="s">
        <v>20</v>
      </c>
      <c r="L2256" s="1">
        <v>43314</v>
      </c>
      <c r="M2256">
        <v>4</v>
      </c>
      <c r="N2256">
        <v>65</v>
      </c>
      <c r="O2256">
        <v>716</v>
      </c>
      <c r="P2256">
        <v>716</v>
      </c>
      <c r="Q2256">
        <v>716</v>
      </c>
      <c r="S2256">
        <v>1521</v>
      </c>
      <c r="T2256">
        <v>1521</v>
      </c>
      <c r="U2256">
        <f>+SUM(Table1[[#This Row],[Latinos]:[Cemex]])</f>
        <v>1</v>
      </c>
      <c r="V2256" t="str">
        <f>+Table1[[#This Row],[id_destino]]&amp;" - "&amp;Table1[[#This Row],[id_origen]]</f>
        <v>4 - 65</v>
      </c>
    </row>
    <row r="2257" spans="1:22" hidden="1">
      <c r="A2257">
        <v>1257</v>
      </c>
      <c r="B2257">
        <v>2602</v>
      </c>
      <c r="C2257">
        <v>5438</v>
      </c>
      <c r="D2257">
        <v>424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 t="s">
        <v>20</v>
      </c>
      <c r="L2257" s="1">
        <v>43355</v>
      </c>
      <c r="M2257">
        <v>4</v>
      </c>
      <c r="N2257">
        <v>65</v>
      </c>
      <c r="O2257">
        <v>716</v>
      </c>
      <c r="P2257">
        <v>716</v>
      </c>
      <c r="Q2257">
        <v>716</v>
      </c>
      <c r="S2257">
        <v>1525</v>
      </c>
      <c r="T2257">
        <v>1525</v>
      </c>
      <c r="U2257">
        <f>+SUM(Table1[[#This Row],[Latinos]:[Cemex]])</f>
        <v>1</v>
      </c>
      <c r="V2257" t="str">
        <f>+Table1[[#This Row],[id_destino]]&amp;" - "&amp;Table1[[#This Row],[id_origen]]</f>
        <v>4 - 65</v>
      </c>
    </row>
    <row r="2258" spans="1:22" hidden="1">
      <c r="A2258">
        <v>1106</v>
      </c>
      <c r="B2258">
        <v>639</v>
      </c>
      <c r="C2258">
        <v>402</v>
      </c>
      <c r="D2258">
        <v>353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 t="s">
        <v>20</v>
      </c>
      <c r="L2258" s="1">
        <v>43292</v>
      </c>
      <c r="M2258">
        <v>7</v>
      </c>
      <c r="N2258">
        <v>65</v>
      </c>
      <c r="O2258">
        <v>1580</v>
      </c>
      <c r="P2258">
        <v>1580</v>
      </c>
      <c r="Q2258">
        <v>1580</v>
      </c>
      <c r="S2258">
        <v>1365</v>
      </c>
      <c r="T2258">
        <v>1365</v>
      </c>
      <c r="U2258">
        <f>+SUM(Table1[[#This Row],[Latinos]:[Cemex]])</f>
        <v>1</v>
      </c>
      <c r="V2258" t="str">
        <f>+Table1[[#This Row],[id_destino]]&amp;" - "&amp;Table1[[#This Row],[id_origen]]</f>
        <v>7 - 65</v>
      </c>
    </row>
    <row r="2259" spans="1:22" hidden="1">
      <c r="A2259">
        <v>2543</v>
      </c>
      <c r="B2259">
        <v>639</v>
      </c>
      <c r="C2259">
        <v>4071</v>
      </c>
      <c r="D2259">
        <v>6471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 t="s">
        <v>20</v>
      </c>
      <c r="L2259" s="1">
        <v>44166</v>
      </c>
      <c r="M2259">
        <v>7</v>
      </c>
      <c r="N2259">
        <v>65</v>
      </c>
      <c r="O2259">
        <v>1580</v>
      </c>
      <c r="P2259">
        <v>1580</v>
      </c>
      <c r="Q2259">
        <v>1580</v>
      </c>
      <c r="S2259">
        <v>1465</v>
      </c>
      <c r="T2259">
        <v>1465</v>
      </c>
      <c r="U2259">
        <f>+SUM(Table1[[#This Row],[Latinos]:[Cemex]])</f>
        <v>1</v>
      </c>
      <c r="V2259" t="str">
        <f>+Table1[[#This Row],[id_destino]]&amp;" - "&amp;Table1[[#This Row],[id_origen]]</f>
        <v>7 - 65</v>
      </c>
    </row>
    <row r="2260" spans="1:22" hidden="1">
      <c r="A2260">
        <v>1383</v>
      </c>
      <c r="B2260">
        <v>1007</v>
      </c>
      <c r="C2260">
        <v>3828</v>
      </c>
      <c r="D2260">
        <v>388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 t="s">
        <v>20</v>
      </c>
      <c r="L2260" s="1">
        <v>43412</v>
      </c>
      <c r="M2260">
        <v>9</v>
      </c>
      <c r="N2260">
        <v>65</v>
      </c>
      <c r="O2260">
        <v>1584</v>
      </c>
      <c r="P2260">
        <v>1584</v>
      </c>
      <c r="Q2260">
        <v>1584</v>
      </c>
      <c r="S2260">
        <v>1378</v>
      </c>
      <c r="T2260">
        <v>1378</v>
      </c>
      <c r="U2260">
        <f>+SUM(Table1[[#This Row],[Latinos]:[Cemex]])</f>
        <v>1</v>
      </c>
      <c r="V2260" t="str">
        <f>+Table1[[#This Row],[id_destino]]&amp;" - "&amp;Table1[[#This Row],[id_origen]]</f>
        <v>9 - 65</v>
      </c>
    </row>
    <row r="2261" spans="1:22" hidden="1">
      <c r="A2261">
        <v>2697</v>
      </c>
      <c r="B2261">
        <v>1007</v>
      </c>
      <c r="C2261">
        <v>6543</v>
      </c>
      <c r="D2261">
        <v>7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 t="s">
        <v>20</v>
      </c>
      <c r="L2261" s="1">
        <v>44355</v>
      </c>
      <c r="M2261">
        <v>9</v>
      </c>
      <c r="N2261">
        <v>65</v>
      </c>
      <c r="O2261">
        <v>1261</v>
      </c>
      <c r="P2261">
        <v>1181</v>
      </c>
      <c r="Q2261">
        <v>1261</v>
      </c>
      <c r="S2261">
        <v>2223</v>
      </c>
      <c r="T2261">
        <v>2306</v>
      </c>
      <c r="U2261">
        <f>+SUM(Table1[[#This Row],[Latinos]:[Cemex]])</f>
        <v>1</v>
      </c>
      <c r="V2261" t="str">
        <f>+Table1[[#This Row],[id_destino]]&amp;" - "&amp;Table1[[#This Row],[id_origen]]</f>
        <v>9 - 65</v>
      </c>
    </row>
    <row r="2262" spans="1:22" hidden="1">
      <c r="A2262">
        <v>4784</v>
      </c>
      <c r="B2262">
        <v>169</v>
      </c>
      <c r="C2262">
        <v>8248</v>
      </c>
      <c r="D2262">
        <v>1172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 t="s">
        <v>20</v>
      </c>
      <c r="L2262" s="1">
        <v>45821</v>
      </c>
      <c r="M2262">
        <v>11</v>
      </c>
      <c r="N2262">
        <v>65</v>
      </c>
      <c r="O2262">
        <v>330</v>
      </c>
      <c r="P2262">
        <v>330</v>
      </c>
      <c r="Q2262">
        <v>330</v>
      </c>
      <c r="S2262">
        <v>1231</v>
      </c>
      <c r="T2262">
        <v>1231</v>
      </c>
      <c r="U2262">
        <f>+SUM(Table1[[#This Row],[Latinos]:[Cemex]])</f>
        <v>1</v>
      </c>
      <c r="V2262" t="str">
        <f>+Table1[[#This Row],[id_destino]]&amp;" - "&amp;Table1[[#This Row],[id_origen]]</f>
        <v>11 - 65</v>
      </c>
    </row>
    <row r="2263" spans="1:22" hidden="1">
      <c r="A2263">
        <v>3952</v>
      </c>
      <c r="B2263">
        <v>4322</v>
      </c>
      <c r="C2263">
        <v>4477</v>
      </c>
      <c r="D2263">
        <v>3513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 t="s">
        <v>20</v>
      </c>
      <c r="L2263" s="1">
        <v>45205</v>
      </c>
      <c r="M2263">
        <v>12</v>
      </c>
      <c r="N2263">
        <v>65</v>
      </c>
      <c r="O2263">
        <v>617</v>
      </c>
      <c r="P2263">
        <v>618</v>
      </c>
      <c r="Q2263">
        <v>617</v>
      </c>
      <c r="S2263">
        <v>2513</v>
      </c>
      <c r="T2263">
        <v>2513</v>
      </c>
      <c r="U2263">
        <f>+SUM(Table1[[#This Row],[Latinos]:[Cemex]])</f>
        <v>1</v>
      </c>
      <c r="V2263" t="str">
        <f>+Table1[[#This Row],[id_destino]]&amp;" - "&amp;Table1[[#This Row],[id_origen]]</f>
        <v>12 - 65</v>
      </c>
    </row>
    <row r="2264" spans="1:22" hidden="1">
      <c r="A2264">
        <v>1483</v>
      </c>
      <c r="B2264">
        <v>2772</v>
      </c>
      <c r="C2264">
        <v>2983</v>
      </c>
      <c r="D2264">
        <v>5788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 t="s">
        <v>20</v>
      </c>
      <c r="L2264" s="1">
        <v>43460</v>
      </c>
      <c r="M2264">
        <v>13</v>
      </c>
      <c r="N2264">
        <v>65</v>
      </c>
      <c r="O2264">
        <v>379</v>
      </c>
      <c r="P2264">
        <v>380</v>
      </c>
      <c r="Q2264">
        <v>379</v>
      </c>
      <c r="S2264">
        <v>1021</v>
      </c>
      <c r="T2264">
        <v>1021</v>
      </c>
      <c r="U2264">
        <f>+SUM(Table1[[#This Row],[Latinos]:[Cemex]])</f>
        <v>1</v>
      </c>
      <c r="V2264" t="str">
        <f>+Table1[[#This Row],[id_destino]]&amp;" - "&amp;Table1[[#This Row],[id_origen]]</f>
        <v>13 - 65</v>
      </c>
    </row>
    <row r="2265" spans="1:22" hidden="1">
      <c r="A2265">
        <v>3495</v>
      </c>
      <c r="B2265">
        <v>4026</v>
      </c>
      <c r="C2265">
        <v>7161</v>
      </c>
      <c r="D2265">
        <v>18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 t="s">
        <v>20</v>
      </c>
      <c r="L2265" s="1">
        <v>44929</v>
      </c>
      <c r="M2265">
        <v>17</v>
      </c>
      <c r="N2265">
        <v>65</v>
      </c>
      <c r="O2265">
        <v>1023</v>
      </c>
      <c r="P2265">
        <v>1011</v>
      </c>
      <c r="Q2265">
        <v>1023</v>
      </c>
      <c r="S2265">
        <v>2798</v>
      </c>
      <c r="T2265">
        <v>2836</v>
      </c>
      <c r="U2265">
        <f>+SUM(Table1[[#This Row],[Latinos]:[Cemex]])</f>
        <v>1</v>
      </c>
      <c r="V2265" t="str">
        <f>+Table1[[#This Row],[id_destino]]&amp;" - "&amp;Table1[[#This Row],[id_origen]]</f>
        <v>17 - 65</v>
      </c>
    </row>
    <row r="2266" spans="1:22" hidden="1">
      <c r="A2266">
        <v>2483</v>
      </c>
      <c r="B2266">
        <v>547</v>
      </c>
      <c r="C2266">
        <v>3237</v>
      </c>
      <c r="D2266">
        <v>6429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 t="s">
        <v>20</v>
      </c>
      <c r="L2266" s="1">
        <v>44116</v>
      </c>
      <c r="M2266">
        <v>18</v>
      </c>
      <c r="N2266">
        <v>65</v>
      </c>
      <c r="O2266">
        <v>190</v>
      </c>
      <c r="P2266">
        <v>200</v>
      </c>
      <c r="Q2266">
        <v>190</v>
      </c>
      <c r="S2266">
        <v>573</v>
      </c>
      <c r="T2266">
        <v>647</v>
      </c>
      <c r="U2266">
        <f>+SUM(Table1[[#This Row],[Latinos]:[Cemex]])</f>
        <v>1</v>
      </c>
      <c r="V2266" t="str">
        <f>+Table1[[#This Row],[id_destino]]&amp;" - "&amp;Table1[[#This Row],[id_origen]]</f>
        <v>18 - 65</v>
      </c>
    </row>
    <row r="2267" spans="1:22" hidden="1">
      <c r="A2267">
        <v>3624</v>
      </c>
      <c r="B2267">
        <v>405</v>
      </c>
      <c r="C2267">
        <v>6080</v>
      </c>
      <c r="D2267">
        <v>7269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 t="s">
        <v>20</v>
      </c>
      <c r="L2267" s="1">
        <v>45001</v>
      </c>
      <c r="M2267">
        <v>23</v>
      </c>
      <c r="N2267">
        <v>65</v>
      </c>
      <c r="O2267">
        <v>663</v>
      </c>
      <c r="P2267">
        <v>644</v>
      </c>
      <c r="Q2267">
        <v>663</v>
      </c>
      <c r="S2267">
        <v>2829</v>
      </c>
      <c r="T2267">
        <v>2829</v>
      </c>
      <c r="U2267">
        <f>+SUM(Table1[[#This Row],[Latinos]:[Cemex]])</f>
        <v>1</v>
      </c>
      <c r="V2267" t="str">
        <f>+Table1[[#This Row],[id_destino]]&amp;" - "&amp;Table1[[#This Row],[id_origen]]</f>
        <v>23 - 65</v>
      </c>
    </row>
    <row r="2268" spans="1:22" hidden="1">
      <c r="A2268">
        <v>3488</v>
      </c>
      <c r="B2268">
        <v>4020</v>
      </c>
      <c r="C2268">
        <v>4071</v>
      </c>
      <c r="D2268">
        <v>7160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 t="s">
        <v>20</v>
      </c>
      <c r="L2268" s="1">
        <v>44922</v>
      </c>
      <c r="M2268">
        <v>24</v>
      </c>
      <c r="N2268">
        <v>65</v>
      </c>
      <c r="O2268">
        <v>951</v>
      </c>
      <c r="P2268">
        <v>951</v>
      </c>
      <c r="Q2268">
        <v>951</v>
      </c>
      <c r="S2268">
        <v>4029</v>
      </c>
      <c r="T2268">
        <v>4116</v>
      </c>
      <c r="U2268">
        <f>+SUM(Table1[[#This Row],[Latinos]:[Cemex]])</f>
        <v>1</v>
      </c>
      <c r="V2268" t="str">
        <f>+Table1[[#This Row],[id_destino]]&amp;" - "&amp;Table1[[#This Row],[id_origen]]</f>
        <v>24 - 65</v>
      </c>
    </row>
    <row r="2269" spans="1:22" hidden="1">
      <c r="A2269">
        <v>4123</v>
      </c>
      <c r="B2269">
        <v>4430</v>
      </c>
      <c r="C2269">
        <v>4071</v>
      </c>
      <c r="D2269">
        <v>7630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 t="s">
        <v>20</v>
      </c>
      <c r="L2269" s="1">
        <v>45303</v>
      </c>
      <c r="M2269">
        <v>27</v>
      </c>
      <c r="N2269">
        <v>65</v>
      </c>
      <c r="O2269">
        <v>987</v>
      </c>
      <c r="P2269">
        <v>998</v>
      </c>
      <c r="Q2269">
        <v>987</v>
      </c>
      <c r="S2269">
        <v>4446</v>
      </c>
      <c r="T2269">
        <v>4446</v>
      </c>
      <c r="U2269">
        <f>+SUM(Table1[[#This Row],[Latinos]:[Cemex]])</f>
        <v>1</v>
      </c>
      <c r="V2269" t="str">
        <f>+Table1[[#This Row],[id_destino]]&amp;" - "&amp;Table1[[#This Row],[id_origen]]</f>
        <v>27 - 65</v>
      </c>
    </row>
    <row r="2270" spans="1:22" hidden="1">
      <c r="A2270">
        <v>2632</v>
      </c>
      <c r="B2270">
        <v>3465</v>
      </c>
      <c r="C2270">
        <v>4477</v>
      </c>
      <c r="D2270">
        <v>6538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 t="s">
        <v>20</v>
      </c>
      <c r="L2270" s="1">
        <v>44263</v>
      </c>
      <c r="M2270">
        <v>41</v>
      </c>
      <c r="N2270">
        <v>65</v>
      </c>
      <c r="O2270">
        <v>339</v>
      </c>
      <c r="P2270">
        <v>344</v>
      </c>
      <c r="Q2270">
        <v>339</v>
      </c>
      <c r="S2270">
        <v>685</v>
      </c>
      <c r="T2270">
        <v>685</v>
      </c>
      <c r="U2270">
        <f>+SUM(Table1[[#This Row],[Latinos]:[Cemex]])</f>
        <v>1</v>
      </c>
      <c r="V2270" t="str">
        <f>+Table1[[#This Row],[id_destino]]&amp;" - "&amp;Table1[[#This Row],[id_origen]]</f>
        <v>41 - 65</v>
      </c>
    </row>
    <row r="2271" spans="1:22" hidden="1">
      <c r="A2271">
        <v>1262</v>
      </c>
      <c r="B2271">
        <v>2659</v>
      </c>
      <c r="C2271">
        <v>5438</v>
      </c>
      <c r="D2271">
        <v>361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K2271" t="s">
        <v>20</v>
      </c>
      <c r="L2271" s="1">
        <v>43356</v>
      </c>
      <c r="M2271">
        <v>43</v>
      </c>
      <c r="N2271">
        <v>65</v>
      </c>
      <c r="O2271">
        <v>477</v>
      </c>
      <c r="P2271">
        <v>477</v>
      </c>
      <c r="Q2271">
        <v>477</v>
      </c>
      <c r="S2271">
        <v>1140</v>
      </c>
      <c r="T2271">
        <v>1140</v>
      </c>
      <c r="U2271">
        <f>+SUM(Table1[[#This Row],[Latinos]:[Cemex]])</f>
        <v>1</v>
      </c>
      <c r="V2271" t="str">
        <f>+Table1[[#This Row],[id_destino]]&amp;" - "&amp;Table1[[#This Row],[id_origen]]</f>
        <v>43 - 65</v>
      </c>
    </row>
    <row r="2272" spans="1:22" hidden="1">
      <c r="A2272">
        <v>1784</v>
      </c>
      <c r="B2272">
        <v>2659</v>
      </c>
      <c r="C2272">
        <v>4617</v>
      </c>
      <c r="D2272">
        <v>49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 t="s">
        <v>20</v>
      </c>
      <c r="L2272" s="1">
        <v>43626</v>
      </c>
      <c r="M2272">
        <v>43</v>
      </c>
      <c r="N2272">
        <v>65</v>
      </c>
      <c r="O2272">
        <v>471</v>
      </c>
      <c r="P2272">
        <v>477</v>
      </c>
      <c r="Q2272">
        <v>471</v>
      </c>
      <c r="S2272">
        <v>1179</v>
      </c>
      <c r="T2272">
        <v>1179</v>
      </c>
      <c r="U2272">
        <f>+SUM(Table1[[#This Row],[Latinos]:[Cemex]])</f>
        <v>1</v>
      </c>
      <c r="V2272" t="str">
        <f>+Table1[[#This Row],[id_destino]]&amp;" - "&amp;Table1[[#This Row],[id_origen]]</f>
        <v>43 - 65</v>
      </c>
    </row>
    <row r="2273" spans="1:22" hidden="1">
      <c r="A2273">
        <v>222</v>
      </c>
      <c r="B2273">
        <v>1795</v>
      </c>
      <c r="C2273">
        <v>3172</v>
      </c>
      <c r="D2273">
        <v>230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 t="s">
        <v>20</v>
      </c>
      <c r="L2273" s="1">
        <v>43745</v>
      </c>
      <c r="M2273">
        <v>47</v>
      </c>
      <c r="N2273">
        <v>65</v>
      </c>
      <c r="O2273">
        <v>279</v>
      </c>
      <c r="P2273">
        <v>285</v>
      </c>
      <c r="Q2273">
        <v>279</v>
      </c>
      <c r="S2273">
        <v>832</v>
      </c>
      <c r="T2273">
        <v>957</v>
      </c>
      <c r="U2273">
        <f>+SUM(Table1[[#This Row],[Latinos]:[Cemex]])</f>
        <v>1</v>
      </c>
      <c r="V2273" t="str">
        <f>+Table1[[#This Row],[id_destino]]&amp;" - "&amp;Table1[[#This Row],[id_origen]]</f>
        <v>47 - 65</v>
      </c>
    </row>
    <row r="2274" spans="1:22" hidden="1">
      <c r="A2274">
        <v>516</v>
      </c>
      <c r="B2274">
        <v>1795</v>
      </c>
      <c r="C2274">
        <v>3172</v>
      </c>
      <c r="D2274">
        <v>7053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 t="s">
        <v>20</v>
      </c>
      <c r="L2274" s="1">
        <v>45822</v>
      </c>
      <c r="M2274">
        <v>47</v>
      </c>
      <c r="N2274">
        <v>65</v>
      </c>
      <c r="O2274">
        <v>255</v>
      </c>
      <c r="P2274">
        <v>255</v>
      </c>
      <c r="Q2274">
        <v>255</v>
      </c>
      <c r="S2274">
        <v>789</v>
      </c>
      <c r="T2274">
        <v>789</v>
      </c>
      <c r="U2274">
        <f>+SUM(Table1[[#This Row],[Latinos]:[Cemex]])</f>
        <v>1</v>
      </c>
      <c r="V2274" t="str">
        <f>+Table1[[#This Row],[id_destino]]&amp;" - "&amp;Table1[[#This Row],[id_origen]]</f>
        <v>47 - 65</v>
      </c>
    </row>
    <row r="2275" spans="1:22" hidden="1">
      <c r="A2275">
        <v>2475</v>
      </c>
      <c r="B2275">
        <v>3368</v>
      </c>
      <c r="C2275">
        <v>3237</v>
      </c>
      <c r="D2275">
        <v>3689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 t="s">
        <v>20</v>
      </c>
      <c r="L2275" s="1">
        <v>44110</v>
      </c>
      <c r="M2275">
        <v>49</v>
      </c>
      <c r="N2275">
        <v>65</v>
      </c>
      <c r="O2275">
        <v>515</v>
      </c>
      <c r="P2275">
        <v>527</v>
      </c>
      <c r="Q2275">
        <v>515</v>
      </c>
      <c r="S2275">
        <v>1136</v>
      </c>
      <c r="T2275">
        <v>1136</v>
      </c>
      <c r="U2275">
        <f>+SUM(Table1[[#This Row],[Latinos]:[Cemex]])</f>
        <v>1</v>
      </c>
      <c r="V2275" t="str">
        <f>+Table1[[#This Row],[id_destino]]&amp;" - "&amp;Table1[[#This Row],[id_origen]]</f>
        <v>49 - 65</v>
      </c>
    </row>
    <row r="2276" spans="1:22" hidden="1">
      <c r="A2276">
        <v>2682</v>
      </c>
      <c r="B2276">
        <v>2633</v>
      </c>
      <c r="C2276">
        <v>4477</v>
      </c>
      <c r="D2276">
        <v>63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 t="s">
        <v>20</v>
      </c>
      <c r="L2276" s="1">
        <v>44338</v>
      </c>
      <c r="M2276">
        <v>55</v>
      </c>
      <c r="N2276">
        <v>65</v>
      </c>
      <c r="O2276">
        <v>145</v>
      </c>
      <c r="P2276">
        <v>150</v>
      </c>
      <c r="Q2276">
        <v>145</v>
      </c>
      <c r="S2276">
        <v>415</v>
      </c>
      <c r="T2276">
        <v>415</v>
      </c>
      <c r="U2276">
        <f>+SUM(Table1[[#This Row],[Latinos]:[Cemex]])</f>
        <v>1</v>
      </c>
      <c r="V2276" t="str">
        <f>+Table1[[#This Row],[id_destino]]&amp;" - "&amp;Table1[[#This Row],[id_origen]]</f>
        <v>55 - 65</v>
      </c>
    </row>
    <row r="2277" spans="1:22" hidden="1">
      <c r="A2277">
        <v>1486</v>
      </c>
      <c r="B2277">
        <v>2774</v>
      </c>
      <c r="C2277">
        <v>2983</v>
      </c>
      <c r="D2277">
        <v>5791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 t="s">
        <v>20</v>
      </c>
      <c r="L2277" s="1">
        <v>43461</v>
      </c>
      <c r="M2277">
        <v>58</v>
      </c>
      <c r="N2277">
        <v>65</v>
      </c>
      <c r="O2277">
        <v>161</v>
      </c>
      <c r="P2277">
        <v>150</v>
      </c>
      <c r="Q2277">
        <v>161</v>
      </c>
      <c r="S2277">
        <v>233</v>
      </c>
      <c r="T2277">
        <v>350</v>
      </c>
      <c r="U2277">
        <f>+SUM(Table1[[#This Row],[Latinos]:[Cemex]])</f>
        <v>1</v>
      </c>
      <c r="V2277" t="str">
        <f>+Table1[[#This Row],[id_destino]]&amp;" - "&amp;Table1[[#This Row],[id_origen]]</f>
        <v>58 - 65</v>
      </c>
    </row>
    <row r="2278" spans="1:22" hidden="1">
      <c r="A2278">
        <v>2212</v>
      </c>
      <c r="B2278">
        <v>1741</v>
      </c>
      <c r="C2278">
        <v>6260</v>
      </c>
      <c r="D2278">
        <v>3984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 t="s">
        <v>20</v>
      </c>
      <c r="L2278" s="1">
        <v>43859</v>
      </c>
      <c r="M2278">
        <v>59</v>
      </c>
      <c r="N2278">
        <v>65</v>
      </c>
      <c r="O2278">
        <v>429</v>
      </c>
      <c r="P2278">
        <v>429</v>
      </c>
      <c r="Q2278">
        <v>429</v>
      </c>
      <c r="S2278">
        <v>1362</v>
      </c>
      <c r="T2278">
        <v>1479</v>
      </c>
      <c r="U2278">
        <f>+SUM(Table1[[#This Row],[Latinos]:[Cemex]])</f>
        <v>1</v>
      </c>
      <c r="V2278" t="str">
        <f>+Table1[[#This Row],[id_destino]]&amp;" - "&amp;Table1[[#This Row],[id_origen]]</f>
        <v>59 - 65</v>
      </c>
    </row>
    <row r="2279" spans="1:22" hidden="1">
      <c r="A2279">
        <v>1983</v>
      </c>
      <c r="B2279">
        <v>3055</v>
      </c>
      <c r="C2279">
        <v>6080</v>
      </c>
      <c r="D2279">
        <v>6084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 t="s">
        <v>20</v>
      </c>
      <c r="L2279" s="1">
        <v>43748</v>
      </c>
      <c r="M2279">
        <v>65</v>
      </c>
      <c r="N2279">
        <v>65</v>
      </c>
      <c r="O2279">
        <v>15</v>
      </c>
      <c r="P2279">
        <v>150</v>
      </c>
      <c r="Q2279">
        <v>15</v>
      </c>
      <c r="S2279">
        <v>0</v>
      </c>
      <c r="T2279">
        <v>0</v>
      </c>
      <c r="U2279">
        <f>+SUM(Table1[[#This Row],[Latinos]:[Cemex]])</f>
        <v>1</v>
      </c>
      <c r="V2279" t="str">
        <f>+Table1[[#This Row],[id_destino]]&amp;" - "&amp;Table1[[#This Row],[id_origen]]</f>
        <v>65 - 65</v>
      </c>
    </row>
    <row r="2280" spans="1:22" hidden="1">
      <c r="A2280">
        <v>2207</v>
      </c>
      <c r="B2280">
        <v>3055</v>
      </c>
      <c r="C2280">
        <v>3237</v>
      </c>
      <c r="D2280">
        <v>2983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 t="s">
        <v>20</v>
      </c>
      <c r="L2280" s="1">
        <v>43857</v>
      </c>
      <c r="M2280">
        <v>65</v>
      </c>
      <c r="N2280">
        <v>65</v>
      </c>
      <c r="O2280">
        <v>52</v>
      </c>
      <c r="P2280">
        <v>150</v>
      </c>
      <c r="Q2280">
        <v>52</v>
      </c>
      <c r="S2280">
        <v>0</v>
      </c>
      <c r="T2280">
        <v>0</v>
      </c>
      <c r="U2280">
        <f>+SUM(Table1[[#This Row],[Latinos]:[Cemex]])</f>
        <v>1</v>
      </c>
      <c r="V2280" t="str">
        <f>+Table1[[#This Row],[id_destino]]&amp;" - "&amp;Table1[[#This Row],[id_origen]]</f>
        <v>65 - 65</v>
      </c>
    </row>
    <row r="2281" spans="1:22" hidden="1">
      <c r="A2281">
        <v>239</v>
      </c>
      <c r="B2281">
        <v>1226</v>
      </c>
      <c r="C2281">
        <v>3172</v>
      </c>
      <c r="D2281">
        <v>468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 t="s">
        <v>20</v>
      </c>
      <c r="L2281" s="1">
        <v>44162</v>
      </c>
      <c r="M2281">
        <v>73</v>
      </c>
      <c r="N2281">
        <v>65</v>
      </c>
      <c r="O2281">
        <v>1034</v>
      </c>
      <c r="P2281">
        <v>1034</v>
      </c>
      <c r="Q2281">
        <v>1034</v>
      </c>
      <c r="S2281">
        <v>1174</v>
      </c>
      <c r="T2281">
        <v>1174</v>
      </c>
      <c r="U2281">
        <f>+SUM(Table1[[#This Row],[Latinos]:[Cemex]])</f>
        <v>1</v>
      </c>
      <c r="V2281" t="str">
        <f>+Table1[[#This Row],[id_destino]]&amp;" - "&amp;Table1[[#This Row],[id_origen]]</f>
        <v>73 - 65</v>
      </c>
    </row>
    <row r="2282" spans="1:22" hidden="1">
      <c r="A2282">
        <v>2865</v>
      </c>
      <c r="B2282">
        <v>3619</v>
      </c>
      <c r="C2282">
        <v>4477</v>
      </c>
      <c r="D2282">
        <v>6753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 t="s">
        <v>20</v>
      </c>
      <c r="L2282" s="1">
        <v>44560</v>
      </c>
      <c r="M2282">
        <v>76</v>
      </c>
      <c r="N2282">
        <v>65</v>
      </c>
      <c r="O2282">
        <v>192</v>
      </c>
      <c r="P2282">
        <v>150</v>
      </c>
      <c r="Q2282">
        <v>192</v>
      </c>
      <c r="S2282">
        <v>399</v>
      </c>
      <c r="T2282">
        <v>818</v>
      </c>
      <c r="U2282">
        <f>+SUM(Table1[[#This Row],[Latinos]:[Cemex]])</f>
        <v>1</v>
      </c>
      <c r="V2282" t="str">
        <f>+Table1[[#This Row],[id_destino]]&amp;" - "&amp;Table1[[#This Row],[id_origen]]</f>
        <v>76 - 65</v>
      </c>
    </row>
    <row r="2283" spans="1:22" hidden="1">
      <c r="A2283">
        <v>442</v>
      </c>
      <c r="B2283">
        <v>1316</v>
      </c>
      <c r="C2283">
        <v>402</v>
      </c>
      <c r="D2283">
        <v>5358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 t="s">
        <v>20</v>
      </c>
      <c r="L2283" s="1">
        <v>43067</v>
      </c>
      <c r="M2283">
        <v>81</v>
      </c>
      <c r="N2283">
        <v>65</v>
      </c>
      <c r="O2283">
        <v>30</v>
      </c>
      <c r="P2283">
        <v>150</v>
      </c>
      <c r="Q2283">
        <v>30</v>
      </c>
      <c r="S2283">
        <v>0</v>
      </c>
      <c r="T2283">
        <v>0</v>
      </c>
      <c r="U2283">
        <f>+SUM(Table1[[#This Row],[Latinos]:[Cemex]])</f>
        <v>1</v>
      </c>
      <c r="V2283" t="str">
        <f>+Table1[[#This Row],[id_destino]]&amp;" - "&amp;Table1[[#This Row],[id_origen]]</f>
        <v>81 - 65</v>
      </c>
    </row>
    <row r="2284" spans="1:22" hidden="1">
      <c r="A2284">
        <v>4089</v>
      </c>
      <c r="B2284">
        <v>1717</v>
      </c>
      <c r="C2284">
        <v>6805</v>
      </c>
      <c r="D2284">
        <v>1366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 t="s">
        <v>20</v>
      </c>
      <c r="L2284" s="1">
        <v>45276</v>
      </c>
      <c r="M2284">
        <v>107</v>
      </c>
      <c r="N2284">
        <v>65</v>
      </c>
      <c r="O2284">
        <v>533</v>
      </c>
      <c r="P2284">
        <v>467</v>
      </c>
      <c r="Q2284">
        <v>533</v>
      </c>
      <c r="S2284">
        <v>1959</v>
      </c>
      <c r="T2284">
        <v>2156</v>
      </c>
      <c r="U2284">
        <f>+SUM(Table1[[#This Row],[Latinos]:[Cemex]])</f>
        <v>1</v>
      </c>
      <c r="V2284" t="str">
        <f>+Table1[[#This Row],[id_destino]]&amp;" - "&amp;Table1[[#This Row],[id_origen]]</f>
        <v>107 - 65</v>
      </c>
    </row>
    <row r="2285" spans="1:22" hidden="1">
      <c r="A2285">
        <v>2619</v>
      </c>
      <c r="B2285">
        <v>1654</v>
      </c>
      <c r="C2285">
        <v>4477</v>
      </c>
      <c r="D2285">
        <v>979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 t="s">
        <v>20</v>
      </c>
      <c r="L2285" s="1">
        <v>44247</v>
      </c>
      <c r="M2285">
        <v>116</v>
      </c>
      <c r="N2285">
        <v>65</v>
      </c>
      <c r="O2285">
        <v>105</v>
      </c>
      <c r="P2285">
        <v>150</v>
      </c>
      <c r="Q2285">
        <v>105</v>
      </c>
      <c r="S2285">
        <v>306</v>
      </c>
      <c r="T2285">
        <v>423</v>
      </c>
      <c r="U2285">
        <f>+SUM(Table1[[#This Row],[Latinos]:[Cemex]])</f>
        <v>1</v>
      </c>
      <c r="V2285" t="str">
        <f>+Table1[[#This Row],[id_destino]]&amp;" - "&amp;Table1[[#This Row],[id_origen]]</f>
        <v>116 - 65</v>
      </c>
    </row>
    <row r="2286" spans="1:22" hidden="1">
      <c r="A2286">
        <v>665</v>
      </c>
      <c r="B2286">
        <v>224</v>
      </c>
      <c r="C2286">
        <v>5438</v>
      </c>
      <c r="D2286">
        <v>5384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 t="s">
        <v>20</v>
      </c>
      <c r="L2286" s="1">
        <v>43124</v>
      </c>
      <c r="M2286">
        <v>117</v>
      </c>
      <c r="N2286">
        <v>65</v>
      </c>
      <c r="O2286">
        <v>143</v>
      </c>
      <c r="P2286">
        <v>150</v>
      </c>
      <c r="Q2286">
        <v>143</v>
      </c>
      <c r="S2286">
        <v>306</v>
      </c>
      <c r="T2286">
        <v>403</v>
      </c>
      <c r="U2286">
        <f>+SUM(Table1[[#This Row],[Latinos]:[Cemex]])</f>
        <v>1</v>
      </c>
      <c r="V2286" t="str">
        <f>+Table1[[#This Row],[id_destino]]&amp;" - "&amp;Table1[[#This Row],[id_origen]]</f>
        <v>117 - 65</v>
      </c>
    </row>
    <row r="2287" spans="1:22" hidden="1">
      <c r="A2287">
        <v>690</v>
      </c>
      <c r="B2287">
        <v>224</v>
      </c>
      <c r="C2287">
        <v>4271</v>
      </c>
      <c r="D2287">
        <v>4607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 t="s">
        <v>20</v>
      </c>
      <c r="L2287" s="1">
        <v>43132</v>
      </c>
      <c r="M2287">
        <v>117</v>
      </c>
      <c r="N2287">
        <v>65</v>
      </c>
      <c r="O2287">
        <v>142</v>
      </c>
      <c r="P2287">
        <v>150</v>
      </c>
      <c r="Q2287">
        <v>142</v>
      </c>
      <c r="S2287">
        <v>548</v>
      </c>
      <c r="T2287">
        <v>757</v>
      </c>
      <c r="U2287">
        <f>+SUM(Table1[[#This Row],[Latinos]:[Cemex]])</f>
        <v>1</v>
      </c>
      <c r="V2287" t="str">
        <f>+Table1[[#This Row],[id_destino]]&amp;" - "&amp;Table1[[#This Row],[id_origen]]</f>
        <v>117 - 65</v>
      </c>
    </row>
    <row r="2288" spans="1:22" hidden="1">
      <c r="A2288">
        <v>4760</v>
      </c>
      <c r="B2288">
        <v>325</v>
      </c>
      <c r="C2288">
        <v>7064</v>
      </c>
      <c r="D2288">
        <v>378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 t="s">
        <v>123</v>
      </c>
      <c r="L2288" s="1">
        <v>45790</v>
      </c>
      <c r="M2288">
        <v>123</v>
      </c>
      <c r="N2288">
        <v>65</v>
      </c>
      <c r="O2288">
        <v>1144</v>
      </c>
      <c r="P2288">
        <v>1144</v>
      </c>
      <c r="Q2288">
        <v>1344</v>
      </c>
      <c r="S2288">
        <v>5737</v>
      </c>
      <c r="T2288">
        <v>5737</v>
      </c>
      <c r="U2288">
        <f>+SUM(Table1[[#This Row],[Latinos]:[Cemex]])</f>
        <v>1</v>
      </c>
      <c r="V2288" t="str">
        <f>+Table1[[#This Row],[id_destino]]&amp;" - "&amp;Table1[[#This Row],[id_origen]]</f>
        <v>123 - 65</v>
      </c>
    </row>
    <row r="2289" spans="1:22" hidden="1">
      <c r="A2289">
        <v>3341</v>
      </c>
      <c r="B2289">
        <v>3920</v>
      </c>
      <c r="C2289">
        <v>7064</v>
      </c>
      <c r="D2289">
        <v>383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 t="s">
        <v>20</v>
      </c>
      <c r="L2289" s="1">
        <v>44840</v>
      </c>
      <c r="M2289">
        <v>126</v>
      </c>
      <c r="N2289">
        <v>65</v>
      </c>
      <c r="O2289">
        <v>635</v>
      </c>
      <c r="P2289">
        <v>644</v>
      </c>
      <c r="Q2289">
        <v>635</v>
      </c>
      <c r="S2289">
        <v>1572</v>
      </c>
      <c r="T2289">
        <v>1572</v>
      </c>
      <c r="U2289">
        <f>+SUM(Table1[[#This Row],[Latinos]:[Cemex]])</f>
        <v>1</v>
      </c>
      <c r="V2289" t="str">
        <f>+Table1[[#This Row],[id_destino]]&amp;" - "&amp;Table1[[#This Row],[id_origen]]</f>
        <v>126 - 65</v>
      </c>
    </row>
    <row r="2290" spans="1:22" hidden="1">
      <c r="A2290">
        <v>4159</v>
      </c>
      <c r="B2290">
        <v>4458</v>
      </c>
      <c r="C2290">
        <v>4071</v>
      </c>
      <c r="D2290">
        <v>7656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 t="s">
        <v>20</v>
      </c>
      <c r="L2290" s="1">
        <v>45328</v>
      </c>
      <c r="M2290">
        <v>130</v>
      </c>
      <c r="N2290">
        <v>65</v>
      </c>
      <c r="O2290">
        <v>1380</v>
      </c>
      <c r="P2290">
        <v>1416</v>
      </c>
      <c r="Q2290">
        <v>1380</v>
      </c>
      <c r="S2290">
        <v>2469</v>
      </c>
      <c r="T2290">
        <v>2469</v>
      </c>
      <c r="U2290">
        <f>+SUM(Table1[[#This Row],[Latinos]:[Cemex]])</f>
        <v>1</v>
      </c>
      <c r="V2290" t="str">
        <f>+Table1[[#This Row],[id_destino]]&amp;" - "&amp;Table1[[#This Row],[id_origen]]</f>
        <v>130 - 65</v>
      </c>
    </row>
    <row r="2291" spans="1:22" hidden="1">
      <c r="A2291">
        <v>1964</v>
      </c>
      <c r="B2291">
        <v>1030</v>
      </c>
      <c r="C2291">
        <v>4617</v>
      </c>
      <c r="D2291">
        <v>3176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 t="s">
        <v>20</v>
      </c>
      <c r="L2291" s="1">
        <v>43741</v>
      </c>
      <c r="M2291">
        <v>136</v>
      </c>
      <c r="N2291">
        <v>65</v>
      </c>
      <c r="O2291">
        <v>30</v>
      </c>
      <c r="P2291">
        <v>150</v>
      </c>
      <c r="Q2291">
        <v>30</v>
      </c>
      <c r="S2291">
        <v>0</v>
      </c>
      <c r="T2291">
        <v>0</v>
      </c>
      <c r="U2291">
        <f>+SUM(Table1[[#This Row],[Latinos]:[Cemex]])</f>
        <v>1</v>
      </c>
      <c r="V2291" t="str">
        <f>+Table1[[#This Row],[id_destino]]&amp;" - "&amp;Table1[[#This Row],[id_origen]]</f>
        <v>136 - 65</v>
      </c>
    </row>
    <row r="2292" spans="1:22" hidden="1">
      <c r="A2292">
        <v>1916</v>
      </c>
      <c r="B2292">
        <v>3015</v>
      </c>
      <c r="C2292">
        <v>2983</v>
      </c>
      <c r="D2292">
        <v>6045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 t="s">
        <v>20</v>
      </c>
      <c r="L2292" s="1">
        <v>43713</v>
      </c>
      <c r="M2292">
        <v>148</v>
      </c>
      <c r="N2292">
        <v>65</v>
      </c>
      <c r="O2292">
        <v>750</v>
      </c>
      <c r="P2292">
        <v>818</v>
      </c>
      <c r="Q2292">
        <v>750</v>
      </c>
      <c r="S2292">
        <v>2717</v>
      </c>
      <c r="T2292">
        <v>2717</v>
      </c>
      <c r="U2292">
        <f>+SUM(Table1[[#This Row],[Latinos]:[Cemex]])</f>
        <v>1</v>
      </c>
      <c r="V2292" t="str">
        <f>+Table1[[#This Row],[id_destino]]&amp;" - "&amp;Table1[[#This Row],[id_origen]]</f>
        <v>148 - 65</v>
      </c>
    </row>
    <row r="2293" spans="1:22" hidden="1">
      <c r="A2293">
        <v>1482</v>
      </c>
      <c r="B2293">
        <v>2771</v>
      </c>
      <c r="C2293">
        <v>2983</v>
      </c>
      <c r="D2293">
        <v>5787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 t="s">
        <v>20</v>
      </c>
      <c r="L2293" s="1">
        <v>44153</v>
      </c>
      <c r="M2293">
        <v>169</v>
      </c>
      <c r="N2293">
        <v>65</v>
      </c>
      <c r="O2293">
        <v>499</v>
      </c>
      <c r="P2293">
        <v>500</v>
      </c>
      <c r="Q2293">
        <v>499</v>
      </c>
      <c r="S2293">
        <v>1188</v>
      </c>
      <c r="T2293">
        <v>1188</v>
      </c>
      <c r="U2293">
        <f>+SUM(Table1[[#This Row],[Latinos]:[Cemex]])</f>
        <v>1</v>
      </c>
      <c r="V2293" t="str">
        <f>+Table1[[#This Row],[id_destino]]&amp;" - "&amp;Table1[[#This Row],[id_origen]]</f>
        <v>169 - 65</v>
      </c>
    </row>
    <row r="2294" spans="1:22" hidden="1">
      <c r="A2294">
        <v>2919</v>
      </c>
      <c r="B2294">
        <v>3654</v>
      </c>
      <c r="C2294">
        <v>4617</v>
      </c>
      <c r="D2294">
        <v>24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 t="s">
        <v>20</v>
      </c>
      <c r="L2294" s="1">
        <v>44609</v>
      </c>
      <c r="M2294">
        <v>179</v>
      </c>
      <c r="N2294">
        <v>65</v>
      </c>
      <c r="O2294">
        <v>2014</v>
      </c>
      <c r="P2294">
        <v>2011</v>
      </c>
      <c r="Q2294">
        <v>2014</v>
      </c>
      <c r="S2294">
        <v>7284</v>
      </c>
      <c r="T2294">
        <v>11198</v>
      </c>
      <c r="U2294">
        <f>+SUM(Table1[[#This Row],[Latinos]:[Cemex]])</f>
        <v>1</v>
      </c>
      <c r="V2294" t="str">
        <f>+Table1[[#This Row],[id_destino]]&amp;" - "&amp;Table1[[#This Row],[id_origen]]</f>
        <v>179 - 65</v>
      </c>
    </row>
    <row r="2295" spans="1:22" hidden="1">
      <c r="A2295">
        <v>4434</v>
      </c>
      <c r="B2295">
        <v>4656</v>
      </c>
      <c r="C2295">
        <v>2983</v>
      </c>
      <c r="D2295">
        <v>6759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 t="s">
        <v>20</v>
      </c>
      <c r="L2295" s="1">
        <v>45538</v>
      </c>
      <c r="M2295">
        <v>189</v>
      </c>
      <c r="N2295">
        <v>65</v>
      </c>
      <c r="O2295">
        <v>1405</v>
      </c>
      <c r="P2295">
        <v>1299</v>
      </c>
      <c r="Q2295">
        <v>1605</v>
      </c>
      <c r="S2295">
        <v>5433</v>
      </c>
      <c r="T2295">
        <v>5433</v>
      </c>
      <c r="U2295">
        <f>+SUM(Table1[[#This Row],[Latinos]:[Cemex]])</f>
        <v>1</v>
      </c>
      <c r="V2295" t="str">
        <f>+Table1[[#This Row],[id_destino]]&amp;" - "&amp;Table1[[#This Row],[id_origen]]</f>
        <v>189 - 65</v>
      </c>
    </row>
    <row r="2296" spans="1:22" hidden="1">
      <c r="A2296">
        <v>4761</v>
      </c>
      <c r="B2296">
        <v>4656</v>
      </c>
      <c r="C2296">
        <v>7064</v>
      </c>
      <c r="D2296">
        <v>3169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 t="s">
        <v>123</v>
      </c>
      <c r="L2296" s="1">
        <v>45790</v>
      </c>
      <c r="M2296">
        <v>189</v>
      </c>
      <c r="N2296">
        <v>65</v>
      </c>
      <c r="O2296">
        <v>1319</v>
      </c>
      <c r="P2296">
        <v>1319</v>
      </c>
      <c r="Q2296">
        <v>1519</v>
      </c>
      <c r="S2296">
        <v>5737</v>
      </c>
      <c r="T2296">
        <v>5737</v>
      </c>
      <c r="U2296">
        <f>+SUM(Table1[[#This Row],[Latinos]:[Cemex]])</f>
        <v>1</v>
      </c>
      <c r="V2296" t="str">
        <f>+Table1[[#This Row],[id_destino]]&amp;" - "&amp;Table1[[#This Row],[id_origen]]</f>
        <v>189 - 65</v>
      </c>
    </row>
    <row r="2297" spans="1:22" hidden="1">
      <c r="A2297">
        <v>1501</v>
      </c>
      <c r="B2297">
        <v>2782</v>
      </c>
      <c r="C2297">
        <v>4071</v>
      </c>
      <c r="D2297">
        <v>5796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 t="s">
        <v>20</v>
      </c>
      <c r="L2297" s="1">
        <v>43473</v>
      </c>
      <c r="M2297">
        <v>200</v>
      </c>
      <c r="N2297">
        <v>65</v>
      </c>
      <c r="O2297">
        <v>655</v>
      </c>
      <c r="P2297">
        <v>655</v>
      </c>
      <c r="Q2297">
        <v>655</v>
      </c>
      <c r="S2297">
        <v>1870</v>
      </c>
      <c r="T2297">
        <v>1870</v>
      </c>
      <c r="U2297">
        <f>+SUM(Table1[[#This Row],[Latinos]:[Cemex]])</f>
        <v>1</v>
      </c>
      <c r="V2297" t="str">
        <f>+Table1[[#This Row],[id_destino]]&amp;" - "&amp;Table1[[#This Row],[id_origen]]</f>
        <v>200 - 65</v>
      </c>
    </row>
    <row r="2298" spans="1:22" hidden="1">
      <c r="A2298">
        <v>4747</v>
      </c>
      <c r="B2298">
        <v>4884</v>
      </c>
      <c r="C2298">
        <v>7028</v>
      </c>
      <c r="D2298">
        <v>8218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 t="s">
        <v>20</v>
      </c>
      <c r="L2298" s="1">
        <v>45782</v>
      </c>
      <c r="M2298">
        <v>209</v>
      </c>
      <c r="N2298">
        <v>65</v>
      </c>
      <c r="O2298">
        <v>785</v>
      </c>
      <c r="P2298">
        <v>772</v>
      </c>
      <c r="Q2298">
        <v>785</v>
      </c>
      <c r="S2298">
        <v>1617</v>
      </c>
      <c r="T2298">
        <v>1617</v>
      </c>
      <c r="U2298">
        <f>+SUM(Table1[[#This Row],[Latinos]:[Cemex]])</f>
        <v>1</v>
      </c>
      <c r="V2298" t="str">
        <f>+Table1[[#This Row],[id_destino]]&amp;" - "&amp;Table1[[#This Row],[id_origen]]</f>
        <v>209 - 65</v>
      </c>
    </row>
    <row r="2299" spans="1:22" hidden="1">
      <c r="A2299">
        <v>2854</v>
      </c>
      <c r="B2299">
        <v>3610</v>
      </c>
      <c r="C2299">
        <v>4071</v>
      </c>
      <c r="D2299">
        <v>1347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 t="s">
        <v>20</v>
      </c>
      <c r="L2299" s="1">
        <v>44544</v>
      </c>
      <c r="M2299">
        <v>216</v>
      </c>
      <c r="N2299">
        <v>65</v>
      </c>
      <c r="O2299">
        <v>413</v>
      </c>
      <c r="P2299">
        <v>413</v>
      </c>
      <c r="Q2299">
        <v>413</v>
      </c>
      <c r="S2299">
        <v>1324</v>
      </c>
      <c r="T2299">
        <v>1324</v>
      </c>
      <c r="U2299">
        <f>+SUM(Table1[[#This Row],[Latinos]:[Cemex]])</f>
        <v>1</v>
      </c>
      <c r="V2299" t="str">
        <f>+Table1[[#This Row],[id_destino]]&amp;" - "&amp;Table1[[#This Row],[id_origen]]</f>
        <v>216 - 65</v>
      </c>
    </row>
    <row r="2300" spans="1:22" hidden="1">
      <c r="A2300">
        <v>612</v>
      </c>
      <c r="B2300">
        <v>2362</v>
      </c>
      <c r="C2300">
        <v>4071</v>
      </c>
      <c r="D2300">
        <v>5419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 t="s">
        <v>20</v>
      </c>
      <c r="L2300" s="1">
        <v>43115</v>
      </c>
      <c r="M2300">
        <v>224</v>
      </c>
      <c r="N2300">
        <v>65</v>
      </c>
      <c r="O2300">
        <v>311</v>
      </c>
      <c r="P2300">
        <v>311</v>
      </c>
      <c r="Q2300">
        <v>311</v>
      </c>
      <c r="S2300">
        <v>316</v>
      </c>
      <c r="T2300">
        <v>316</v>
      </c>
      <c r="U2300">
        <f>+SUM(Table1[[#This Row],[Latinos]:[Cemex]])</f>
        <v>1</v>
      </c>
      <c r="V2300" t="str">
        <f>+Table1[[#This Row],[id_destino]]&amp;" - "&amp;Table1[[#This Row],[id_origen]]</f>
        <v>224 - 65</v>
      </c>
    </row>
    <row r="2301" spans="1:22" hidden="1">
      <c r="A2301">
        <v>1068</v>
      </c>
      <c r="B2301">
        <v>2568</v>
      </c>
      <c r="C2301">
        <v>4071</v>
      </c>
      <c r="D2301">
        <v>4729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 t="s">
        <v>20</v>
      </c>
      <c r="L2301" s="1">
        <v>43272</v>
      </c>
      <c r="M2301">
        <v>241</v>
      </c>
      <c r="N2301">
        <v>65</v>
      </c>
      <c r="O2301">
        <v>622</v>
      </c>
      <c r="P2301">
        <v>622</v>
      </c>
      <c r="Q2301">
        <v>622</v>
      </c>
      <c r="S2301">
        <v>944</v>
      </c>
      <c r="T2301">
        <v>944</v>
      </c>
      <c r="U2301">
        <f>+SUM(Table1[[#This Row],[Latinos]:[Cemex]])</f>
        <v>1</v>
      </c>
      <c r="V2301" t="str">
        <f>+Table1[[#This Row],[id_destino]]&amp;" - "&amp;Table1[[#This Row],[id_origen]]</f>
        <v>241 - 65</v>
      </c>
    </row>
    <row r="2302" spans="1:22" hidden="1">
      <c r="A2302">
        <v>3819</v>
      </c>
      <c r="B2302">
        <v>4239</v>
      </c>
      <c r="C2302">
        <v>7028</v>
      </c>
      <c r="D2302">
        <v>7405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 t="s">
        <v>20</v>
      </c>
      <c r="L2302" s="1">
        <v>45612</v>
      </c>
      <c r="M2302">
        <v>260</v>
      </c>
      <c r="N2302">
        <v>65</v>
      </c>
      <c r="O2302">
        <v>1538</v>
      </c>
      <c r="P2302">
        <v>1538</v>
      </c>
      <c r="Q2302">
        <v>1538</v>
      </c>
      <c r="S2302">
        <v>6465</v>
      </c>
      <c r="T2302">
        <v>6563</v>
      </c>
      <c r="U2302">
        <f>+SUM(Table1[[#This Row],[Latinos]:[Cemex]])</f>
        <v>1</v>
      </c>
      <c r="V2302" t="str">
        <f>+Table1[[#This Row],[id_destino]]&amp;" - "&amp;Table1[[#This Row],[id_origen]]</f>
        <v>260 - 65</v>
      </c>
    </row>
    <row r="2303" spans="1:22" hidden="1">
      <c r="A2303">
        <v>3857</v>
      </c>
      <c r="B2303">
        <v>665</v>
      </c>
      <c r="C2303">
        <v>4477</v>
      </c>
      <c r="D2303">
        <v>7421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 t="s">
        <v>20</v>
      </c>
      <c r="L2303" s="1">
        <v>45145</v>
      </c>
      <c r="M2303">
        <v>276</v>
      </c>
      <c r="N2303">
        <v>65</v>
      </c>
      <c r="O2303">
        <v>152</v>
      </c>
      <c r="P2303">
        <v>150</v>
      </c>
      <c r="Q2303">
        <v>152</v>
      </c>
      <c r="S2303">
        <v>281</v>
      </c>
      <c r="T2303">
        <v>281</v>
      </c>
      <c r="U2303">
        <f>+SUM(Table1[[#This Row],[Latinos]:[Cemex]])</f>
        <v>1</v>
      </c>
      <c r="V2303" t="str">
        <f>+Table1[[#This Row],[id_destino]]&amp;" - "&amp;Table1[[#This Row],[id_origen]]</f>
        <v>276 - 65</v>
      </c>
    </row>
    <row r="2304" spans="1:22" hidden="1">
      <c r="A2304">
        <v>3440</v>
      </c>
      <c r="B2304">
        <v>3990</v>
      </c>
      <c r="C2304">
        <v>4477</v>
      </c>
      <c r="D2304">
        <v>6813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 t="s">
        <v>20</v>
      </c>
      <c r="L2304" s="1">
        <v>44893</v>
      </c>
      <c r="M2304">
        <v>316</v>
      </c>
      <c r="N2304">
        <v>65</v>
      </c>
      <c r="O2304">
        <v>657</v>
      </c>
      <c r="P2304">
        <v>652</v>
      </c>
      <c r="Q2304">
        <v>657</v>
      </c>
      <c r="S2304">
        <v>2337</v>
      </c>
      <c r="T2304">
        <v>2337</v>
      </c>
      <c r="U2304">
        <f>+SUM(Table1[[#This Row],[Latinos]:[Cemex]])</f>
        <v>1</v>
      </c>
      <c r="V2304" t="str">
        <f>+Table1[[#This Row],[id_destino]]&amp;" - "&amp;Table1[[#This Row],[id_origen]]</f>
        <v>316 - 65</v>
      </c>
    </row>
    <row r="2305" spans="1:22" hidden="1">
      <c r="A2305">
        <v>4138</v>
      </c>
      <c r="B2305">
        <v>4443</v>
      </c>
      <c r="C2305">
        <v>6080</v>
      </c>
      <c r="D2305">
        <v>6289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 t="s">
        <v>20</v>
      </c>
      <c r="L2305" s="1">
        <v>45314</v>
      </c>
      <c r="M2305">
        <v>379</v>
      </c>
      <c r="N2305">
        <v>65</v>
      </c>
      <c r="O2305">
        <v>1065</v>
      </c>
      <c r="P2305">
        <v>1062</v>
      </c>
      <c r="Q2305">
        <v>1065</v>
      </c>
      <c r="S2305">
        <v>1609</v>
      </c>
      <c r="T2305">
        <v>1609</v>
      </c>
      <c r="U2305">
        <f>+SUM(Table1[[#This Row],[Latinos]:[Cemex]])</f>
        <v>1</v>
      </c>
      <c r="V2305" t="str">
        <f>+Table1[[#This Row],[id_destino]]&amp;" - "&amp;Table1[[#This Row],[id_origen]]</f>
        <v>379 - 65</v>
      </c>
    </row>
    <row r="2306" spans="1:22" hidden="1">
      <c r="A2306">
        <v>4583</v>
      </c>
      <c r="B2306">
        <v>4775</v>
      </c>
      <c r="C2306">
        <v>7161</v>
      </c>
      <c r="D2306">
        <v>7403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 t="s">
        <v>20</v>
      </c>
      <c r="L2306" s="1">
        <v>45633</v>
      </c>
      <c r="M2306">
        <v>466</v>
      </c>
      <c r="N2306">
        <v>65</v>
      </c>
      <c r="O2306">
        <v>606</v>
      </c>
      <c r="P2306">
        <v>767</v>
      </c>
      <c r="Q2306">
        <v>606</v>
      </c>
      <c r="S2306">
        <v>1986</v>
      </c>
      <c r="T2306">
        <v>3208</v>
      </c>
      <c r="U2306">
        <f>+SUM(Table1[[#This Row],[Latinos]:[Cemex]])</f>
        <v>1</v>
      </c>
      <c r="V2306" t="str">
        <f>+Table1[[#This Row],[id_destino]]&amp;" - "&amp;Table1[[#This Row],[id_origen]]</f>
        <v>466 - 65</v>
      </c>
    </row>
    <row r="2307" spans="1:22" hidden="1">
      <c r="A2307">
        <v>2488</v>
      </c>
      <c r="B2307">
        <v>3375</v>
      </c>
      <c r="C2307">
        <v>3237</v>
      </c>
      <c r="D2307">
        <v>6438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 t="s">
        <v>20</v>
      </c>
      <c r="L2307" s="1">
        <v>44123</v>
      </c>
      <c r="M2307">
        <v>492</v>
      </c>
      <c r="N2307">
        <v>65</v>
      </c>
      <c r="O2307">
        <v>182</v>
      </c>
      <c r="P2307">
        <v>190</v>
      </c>
      <c r="Q2307">
        <v>182</v>
      </c>
      <c r="S2307">
        <v>1535</v>
      </c>
      <c r="T2307">
        <v>1535</v>
      </c>
      <c r="U2307">
        <f>+SUM(Table1[[#This Row],[Latinos]:[Cemex]])</f>
        <v>1</v>
      </c>
      <c r="V2307" t="str">
        <f>+Table1[[#This Row],[id_destino]]&amp;" - "&amp;Table1[[#This Row],[id_origen]]</f>
        <v>492 - 65</v>
      </c>
    </row>
    <row r="2308" spans="1:22" hidden="1">
      <c r="A2308">
        <v>2491</v>
      </c>
      <c r="B2308">
        <v>3375</v>
      </c>
      <c r="C2308">
        <v>3237</v>
      </c>
      <c r="D2308">
        <v>6438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 t="s">
        <v>20</v>
      </c>
      <c r="L2308" s="1">
        <v>44124</v>
      </c>
      <c r="M2308">
        <v>492</v>
      </c>
      <c r="N2308">
        <v>65</v>
      </c>
      <c r="O2308">
        <v>182</v>
      </c>
      <c r="P2308">
        <v>197</v>
      </c>
      <c r="Q2308">
        <v>182</v>
      </c>
      <c r="S2308">
        <v>922</v>
      </c>
      <c r="T2308">
        <v>922</v>
      </c>
      <c r="U2308">
        <f>+SUM(Table1[[#This Row],[Latinos]:[Cemex]])</f>
        <v>1</v>
      </c>
      <c r="V2308" t="str">
        <f>+Table1[[#This Row],[id_destino]]&amp;" - "&amp;Table1[[#This Row],[id_origen]]</f>
        <v>492 - 65</v>
      </c>
    </row>
    <row r="2309" spans="1:22" hidden="1">
      <c r="A2309">
        <v>3613</v>
      </c>
      <c r="B2309">
        <v>4113</v>
      </c>
      <c r="C2309">
        <v>4477</v>
      </c>
      <c r="D2309">
        <v>7254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 t="s">
        <v>20</v>
      </c>
      <c r="L2309" s="1">
        <v>44985</v>
      </c>
      <c r="M2309">
        <v>519</v>
      </c>
      <c r="N2309">
        <v>65</v>
      </c>
      <c r="O2309">
        <v>542</v>
      </c>
      <c r="P2309">
        <v>479</v>
      </c>
      <c r="Q2309">
        <v>542</v>
      </c>
      <c r="S2309">
        <v>1217</v>
      </c>
      <c r="T2309">
        <v>1217</v>
      </c>
      <c r="U2309">
        <f>+SUM(Table1[[#This Row],[Latinos]:[Cemex]])</f>
        <v>1</v>
      </c>
      <c r="V2309" t="str">
        <f>+Table1[[#This Row],[id_destino]]&amp;" - "&amp;Table1[[#This Row],[id_origen]]</f>
        <v>519 - 65</v>
      </c>
    </row>
    <row r="2310" spans="1:22" hidden="1">
      <c r="A2310">
        <v>2393</v>
      </c>
      <c r="B2310">
        <v>3315</v>
      </c>
      <c r="C2310">
        <v>3237</v>
      </c>
      <c r="D2310">
        <v>5346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 t="s">
        <v>20</v>
      </c>
      <c r="L2310" s="1">
        <v>44027</v>
      </c>
      <c r="M2310">
        <v>525</v>
      </c>
      <c r="N2310">
        <v>65</v>
      </c>
      <c r="O2310">
        <v>133</v>
      </c>
      <c r="P2310">
        <v>125</v>
      </c>
      <c r="Q2310">
        <v>133</v>
      </c>
      <c r="S2310">
        <v>348</v>
      </c>
      <c r="T2310">
        <v>348</v>
      </c>
      <c r="U2310">
        <f>+SUM(Table1[[#This Row],[Latinos]:[Cemex]])</f>
        <v>1</v>
      </c>
      <c r="V2310" t="str">
        <f>+Table1[[#This Row],[id_destino]]&amp;" - "&amp;Table1[[#This Row],[id_origen]]</f>
        <v>525 - 65</v>
      </c>
    </row>
    <row r="2311" spans="1:22" hidden="1">
      <c r="A2311">
        <v>3006</v>
      </c>
      <c r="B2311">
        <v>3315</v>
      </c>
      <c r="C2311">
        <v>6080</v>
      </c>
      <c r="D2311">
        <v>6868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 t="s">
        <v>20</v>
      </c>
      <c r="L2311" s="1">
        <v>44684</v>
      </c>
      <c r="M2311">
        <v>525</v>
      </c>
      <c r="N2311">
        <v>65</v>
      </c>
      <c r="O2311">
        <v>225</v>
      </c>
      <c r="P2311">
        <v>190</v>
      </c>
      <c r="Q2311">
        <v>225</v>
      </c>
      <c r="S2311">
        <v>651</v>
      </c>
      <c r="T2311">
        <v>725</v>
      </c>
      <c r="U2311">
        <f>+SUM(Table1[[#This Row],[Latinos]:[Cemex]])</f>
        <v>1</v>
      </c>
      <c r="V2311" t="str">
        <f>+Table1[[#This Row],[id_destino]]&amp;" - "&amp;Table1[[#This Row],[id_origen]]</f>
        <v>525 - 65</v>
      </c>
    </row>
    <row r="2312" spans="1:22" hidden="1">
      <c r="A2312">
        <v>3558</v>
      </c>
      <c r="B2312">
        <v>4069</v>
      </c>
      <c r="C2312">
        <v>4477</v>
      </c>
      <c r="D2312">
        <v>7210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 t="s">
        <v>20</v>
      </c>
      <c r="L2312" s="1">
        <v>44956</v>
      </c>
      <c r="M2312">
        <v>674</v>
      </c>
      <c r="N2312">
        <v>65</v>
      </c>
      <c r="O2312">
        <v>141</v>
      </c>
      <c r="P2312">
        <v>150</v>
      </c>
      <c r="Q2312">
        <v>141</v>
      </c>
      <c r="S2312">
        <v>104</v>
      </c>
      <c r="T2312">
        <v>191</v>
      </c>
      <c r="U2312">
        <f>+SUM(Table1[[#This Row],[Latinos]:[Cemex]])</f>
        <v>1</v>
      </c>
      <c r="V2312" t="str">
        <f>+Table1[[#This Row],[id_destino]]&amp;" - "&amp;Table1[[#This Row],[id_origen]]</f>
        <v>674 - 65</v>
      </c>
    </row>
    <row r="2313" spans="1:22" hidden="1">
      <c r="A2313">
        <v>4794</v>
      </c>
      <c r="B2313">
        <v>4069</v>
      </c>
      <c r="C2313">
        <v>7161</v>
      </c>
      <c r="D2313">
        <v>8255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 t="s">
        <v>20</v>
      </c>
      <c r="L2313" s="1">
        <v>45833</v>
      </c>
      <c r="M2313">
        <v>674</v>
      </c>
      <c r="N2313">
        <v>65</v>
      </c>
      <c r="O2313">
        <v>120</v>
      </c>
      <c r="P2313">
        <v>120</v>
      </c>
      <c r="Q2313">
        <v>120</v>
      </c>
      <c r="S2313">
        <v>342</v>
      </c>
      <c r="T2313">
        <v>342</v>
      </c>
      <c r="U2313">
        <f>+SUM(Table1[[#This Row],[Latinos]:[Cemex]])</f>
        <v>1</v>
      </c>
      <c r="V2313" t="str">
        <f>+Table1[[#This Row],[id_destino]]&amp;" - "&amp;Table1[[#This Row],[id_origen]]</f>
        <v>674 - 65</v>
      </c>
    </row>
    <row r="2314" spans="1:22" hidden="1">
      <c r="A2314">
        <v>575</v>
      </c>
      <c r="B2314">
        <v>1743</v>
      </c>
      <c r="C2314">
        <v>3237</v>
      </c>
      <c r="D2314">
        <v>1548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 t="s">
        <v>20</v>
      </c>
      <c r="L2314" s="1">
        <v>44614</v>
      </c>
      <c r="M2314">
        <v>684</v>
      </c>
      <c r="N2314">
        <v>65</v>
      </c>
      <c r="O2314">
        <v>134</v>
      </c>
      <c r="P2314">
        <v>153</v>
      </c>
      <c r="Q2314">
        <v>134</v>
      </c>
      <c r="S2314">
        <v>0</v>
      </c>
      <c r="T2314">
        <v>0</v>
      </c>
      <c r="U2314">
        <f>+SUM(Table1[[#This Row],[Latinos]:[Cemex]])</f>
        <v>1</v>
      </c>
      <c r="V2314" t="str">
        <f>+Table1[[#This Row],[id_destino]]&amp;" - "&amp;Table1[[#This Row],[id_origen]]</f>
        <v>684 - 65</v>
      </c>
    </row>
    <row r="2315" spans="1:22" hidden="1">
      <c r="A2315">
        <v>3737</v>
      </c>
      <c r="B2315">
        <v>4193</v>
      </c>
      <c r="C2315">
        <v>5438</v>
      </c>
      <c r="D2315">
        <v>7136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 t="s">
        <v>20</v>
      </c>
      <c r="L2315" s="1">
        <v>45061</v>
      </c>
      <c r="M2315">
        <v>690</v>
      </c>
      <c r="N2315">
        <v>65</v>
      </c>
      <c r="O2315">
        <v>1495</v>
      </c>
      <c r="P2315">
        <v>1473</v>
      </c>
      <c r="Q2315">
        <v>1495</v>
      </c>
      <c r="S2315">
        <v>1604</v>
      </c>
      <c r="T2315">
        <v>1604</v>
      </c>
      <c r="U2315">
        <f>+SUM(Table1[[#This Row],[Latinos]:[Cemex]])</f>
        <v>1</v>
      </c>
      <c r="V2315" t="str">
        <f>+Table1[[#This Row],[id_destino]]&amp;" - "&amp;Table1[[#This Row],[id_origen]]</f>
        <v>690 - 65</v>
      </c>
    </row>
    <row r="2316" spans="1:22" hidden="1">
      <c r="A2316">
        <v>1412</v>
      </c>
      <c r="B2316">
        <v>2731</v>
      </c>
      <c r="C2316">
        <v>5754</v>
      </c>
      <c r="D2316">
        <v>5272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 t="s">
        <v>68</v>
      </c>
      <c r="L2316" s="1">
        <v>43424</v>
      </c>
      <c r="M2316">
        <v>713</v>
      </c>
      <c r="N2316">
        <v>65</v>
      </c>
      <c r="O2316">
        <v>180</v>
      </c>
      <c r="P2316">
        <v>150</v>
      </c>
      <c r="Q2316">
        <v>180</v>
      </c>
      <c r="S2316">
        <v>323</v>
      </c>
      <c r="T2316">
        <v>323</v>
      </c>
      <c r="U2316">
        <f>+SUM(Table1[[#This Row],[Latinos]:[Cemex]])</f>
        <v>1</v>
      </c>
      <c r="V2316" t="str">
        <f>+Table1[[#This Row],[id_destino]]&amp;" - "&amp;Table1[[#This Row],[id_origen]]</f>
        <v>713 - 65</v>
      </c>
    </row>
    <row r="2317" spans="1:22" hidden="1">
      <c r="A2317">
        <v>1485</v>
      </c>
      <c r="B2317">
        <v>2773</v>
      </c>
      <c r="C2317">
        <v>2983</v>
      </c>
      <c r="D2317">
        <v>5790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 t="s">
        <v>20</v>
      </c>
      <c r="L2317" s="1">
        <v>43461</v>
      </c>
      <c r="M2317">
        <v>714</v>
      </c>
      <c r="N2317">
        <v>65</v>
      </c>
      <c r="O2317">
        <v>148</v>
      </c>
      <c r="P2317">
        <v>150</v>
      </c>
      <c r="Q2317">
        <v>148</v>
      </c>
      <c r="S2317">
        <v>323</v>
      </c>
      <c r="T2317">
        <v>323</v>
      </c>
      <c r="U2317">
        <f>+SUM(Table1[[#This Row],[Latinos]:[Cemex]])</f>
        <v>1</v>
      </c>
      <c r="V2317" t="str">
        <f>+Table1[[#This Row],[id_destino]]&amp;" - "&amp;Table1[[#This Row],[id_origen]]</f>
        <v>714 - 65</v>
      </c>
    </row>
    <row r="2318" spans="1:22" hidden="1">
      <c r="A2318">
        <v>614</v>
      </c>
      <c r="B2318">
        <v>2363</v>
      </c>
      <c r="C2318">
        <v>4071</v>
      </c>
      <c r="D2318">
        <v>5422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 t="s">
        <v>20</v>
      </c>
      <c r="L2318" s="1">
        <v>43116</v>
      </c>
      <c r="M2318">
        <v>731</v>
      </c>
      <c r="N2318">
        <v>65</v>
      </c>
      <c r="O2318">
        <v>366</v>
      </c>
      <c r="P2318">
        <v>366</v>
      </c>
      <c r="Q2318">
        <v>366</v>
      </c>
      <c r="S2318">
        <v>316</v>
      </c>
      <c r="T2318">
        <v>316</v>
      </c>
      <c r="U2318">
        <f>+SUM(Table1[[#This Row],[Latinos]:[Cemex]])</f>
        <v>1</v>
      </c>
      <c r="V2318" t="str">
        <f>+Table1[[#This Row],[id_destino]]&amp;" - "&amp;Table1[[#This Row],[id_origen]]</f>
        <v>731 - 65</v>
      </c>
    </row>
    <row r="2319" spans="1:22" hidden="1">
      <c r="A2319">
        <v>857</v>
      </c>
      <c r="B2319">
        <v>2479</v>
      </c>
      <c r="C2319">
        <v>3172</v>
      </c>
      <c r="D2319">
        <v>5507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 t="s">
        <v>20</v>
      </c>
      <c r="L2319" s="1">
        <v>43194</v>
      </c>
      <c r="M2319">
        <v>743</v>
      </c>
      <c r="N2319">
        <v>65</v>
      </c>
      <c r="O2319">
        <v>127</v>
      </c>
      <c r="P2319">
        <v>150</v>
      </c>
      <c r="Q2319">
        <v>127</v>
      </c>
      <c r="S2319">
        <v>219</v>
      </c>
      <c r="T2319">
        <v>219</v>
      </c>
      <c r="U2319">
        <f>+SUM(Table1[[#This Row],[Latinos]:[Cemex]])</f>
        <v>1</v>
      </c>
      <c r="V2319" t="str">
        <f>+Table1[[#This Row],[id_destino]]&amp;" - "&amp;Table1[[#This Row],[id_origen]]</f>
        <v>743 - 65</v>
      </c>
    </row>
    <row r="2320" spans="1:22" hidden="1">
      <c r="A2320">
        <v>2585</v>
      </c>
      <c r="B2320">
        <v>3435</v>
      </c>
      <c r="C2320">
        <v>3237</v>
      </c>
      <c r="D2320">
        <v>6145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 t="s">
        <v>20</v>
      </c>
      <c r="L2320" s="1">
        <v>44202</v>
      </c>
      <c r="M2320">
        <v>753</v>
      </c>
      <c r="N2320">
        <v>65</v>
      </c>
      <c r="O2320">
        <v>1253</v>
      </c>
      <c r="P2320">
        <v>1257</v>
      </c>
      <c r="Q2320">
        <v>1253</v>
      </c>
      <c r="S2320">
        <v>1585</v>
      </c>
      <c r="T2320">
        <v>1585</v>
      </c>
      <c r="U2320">
        <f>+SUM(Table1[[#This Row],[Latinos]:[Cemex]])</f>
        <v>1</v>
      </c>
      <c r="V2320" t="str">
        <f>+Table1[[#This Row],[id_destino]]&amp;" - "&amp;Table1[[#This Row],[id_origen]]</f>
        <v>753 - 65</v>
      </c>
    </row>
    <row r="2321" spans="1:22" hidden="1">
      <c r="A2321">
        <v>1112</v>
      </c>
      <c r="B2321">
        <v>2588</v>
      </c>
      <c r="C2321">
        <v>4071</v>
      </c>
      <c r="D2321">
        <v>5628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 t="s">
        <v>20</v>
      </c>
      <c r="L2321" s="1">
        <v>43294</v>
      </c>
      <c r="M2321">
        <v>754</v>
      </c>
      <c r="N2321">
        <v>65</v>
      </c>
      <c r="O2321">
        <v>424</v>
      </c>
      <c r="P2321">
        <v>424</v>
      </c>
      <c r="Q2321">
        <v>424</v>
      </c>
      <c r="S2321">
        <v>1438</v>
      </c>
      <c r="T2321">
        <v>1438</v>
      </c>
      <c r="U2321">
        <f>+SUM(Table1[[#This Row],[Latinos]:[Cemex]])</f>
        <v>1</v>
      </c>
      <c r="V2321" t="str">
        <f>+Table1[[#This Row],[id_destino]]&amp;" - "&amp;Table1[[#This Row],[id_origen]]</f>
        <v>754 - 65</v>
      </c>
    </row>
    <row r="2322" spans="1:22" hidden="1">
      <c r="A2322">
        <v>1500</v>
      </c>
      <c r="B2322">
        <v>2781</v>
      </c>
      <c r="C2322">
        <v>5754</v>
      </c>
      <c r="D2322">
        <v>5795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 t="s">
        <v>20</v>
      </c>
      <c r="L2322" s="1">
        <v>43473</v>
      </c>
      <c r="M2322">
        <v>766</v>
      </c>
      <c r="N2322">
        <v>65</v>
      </c>
      <c r="O2322">
        <v>37</v>
      </c>
      <c r="P2322">
        <v>150</v>
      </c>
      <c r="Q2322">
        <v>37</v>
      </c>
      <c r="S2322">
        <v>0</v>
      </c>
      <c r="T2322">
        <v>0</v>
      </c>
      <c r="U2322">
        <f>+SUM(Table1[[#This Row],[Latinos]:[Cemex]])</f>
        <v>1</v>
      </c>
      <c r="V2322" t="str">
        <f>+Table1[[#This Row],[id_destino]]&amp;" - "&amp;Table1[[#This Row],[id_origen]]</f>
        <v>766 - 65</v>
      </c>
    </row>
    <row r="2323" spans="1:22" hidden="1">
      <c r="A2323">
        <v>1923</v>
      </c>
      <c r="B2323">
        <v>3019</v>
      </c>
      <c r="C2323">
        <v>4477</v>
      </c>
      <c r="D2323">
        <v>6053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 t="s">
        <v>20</v>
      </c>
      <c r="L2323" s="1">
        <v>43718</v>
      </c>
      <c r="M2323">
        <v>784</v>
      </c>
      <c r="N2323">
        <v>65</v>
      </c>
      <c r="O2323">
        <v>70</v>
      </c>
      <c r="P2323">
        <v>150</v>
      </c>
      <c r="Q2323">
        <v>70</v>
      </c>
      <c r="S2323">
        <v>0</v>
      </c>
      <c r="T2323">
        <v>0</v>
      </c>
      <c r="U2323">
        <f>+SUM(Table1[[#This Row],[Latinos]:[Cemex]])</f>
        <v>1</v>
      </c>
      <c r="V2323" t="str">
        <f>+Table1[[#This Row],[id_destino]]&amp;" - "&amp;Table1[[#This Row],[id_origen]]</f>
        <v>784 - 65</v>
      </c>
    </row>
    <row r="2324" spans="1:22" hidden="1">
      <c r="A2324">
        <v>2063</v>
      </c>
      <c r="B2324">
        <v>3111</v>
      </c>
      <c r="C2324">
        <v>6080</v>
      </c>
      <c r="D2324">
        <v>6163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 t="s">
        <v>20</v>
      </c>
      <c r="L2324" s="1">
        <v>43798</v>
      </c>
      <c r="M2324">
        <v>793</v>
      </c>
      <c r="N2324">
        <v>65</v>
      </c>
      <c r="O2324">
        <v>127</v>
      </c>
      <c r="P2324">
        <v>150</v>
      </c>
      <c r="Q2324">
        <v>127</v>
      </c>
      <c r="S2324">
        <v>224</v>
      </c>
      <c r="T2324">
        <v>229</v>
      </c>
      <c r="U2324">
        <f>+SUM(Table1[[#This Row],[Latinos]:[Cemex]])</f>
        <v>1</v>
      </c>
      <c r="V2324" t="str">
        <f>+Table1[[#This Row],[id_destino]]&amp;" - "&amp;Table1[[#This Row],[id_origen]]</f>
        <v>793 - 65</v>
      </c>
    </row>
    <row r="2325" spans="1:22" hidden="1">
      <c r="A2325">
        <v>3179</v>
      </c>
      <c r="B2325">
        <v>3111</v>
      </c>
      <c r="C2325">
        <v>4477</v>
      </c>
      <c r="D2325">
        <v>6977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 t="s">
        <v>20</v>
      </c>
      <c r="L2325" s="1">
        <v>44760</v>
      </c>
      <c r="M2325">
        <v>793</v>
      </c>
      <c r="N2325">
        <v>65</v>
      </c>
      <c r="O2325">
        <v>164</v>
      </c>
      <c r="P2325">
        <v>150</v>
      </c>
      <c r="Q2325">
        <v>16</v>
      </c>
      <c r="S2325">
        <v>262</v>
      </c>
      <c r="T2325">
        <v>269</v>
      </c>
      <c r="U2325">
        <f>+SUM(Table1[[#This Row],[Latinos]:[Cemex]])</f>
        <v>1</v>
      </c>
      <c r="V2325" t="str">
        <f>+Table1[[#This Row],[id_destino]]&amp;" - "&amp;Table1[[#This Row],[id_origen]]</f>
        <v>793 - 65</v>
      </c>
    </row>
    <row r="2326" spans="1:22" hidden="1">
      <c r="A2326">
        <v>2662</v>
      </c>
      <c r="B2326">
        <v>3485</v>
      </c>
      <c r="C2326">
        <v>4477</v>
      </c>
      <c r="D2326">
        <v>6567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 t="s">
        <v>20</v>
      </c>
      <c r="L2326" s="1">
        <v>44312</v>
      </c>
      <c r="M2326">
        <v>828</v>
      </c>
      <c r="N2326">
        <v>65</v>
      </c>
      <c r="O2326">
        <v>112</v>
      </c>
      <c r="P2326">
        <v>150</v>
      </c>
      <c r="Q2326">
        <v>112</v>
      </c>
      <c r="S2326">
        <v>0</v>
      </c>
      <c r="T2326">
        <v>0</v>
      </c>
      <c r="U2326">
        <f>+SUM(Table1[[#This Row],[Latinos]:[Cemex]])</f>
        <v>1</v>
      </c>
      <c r="V2326" t="str">
        <f>+Table1[[#This Row],[id_destino]]&amp;" - "&amp;Table1[[#This Row],[id_origen]]</f>
        <v>828 - 65</v>
      </c>
    </row>
    <row r="2327" spans="1:22" hidden="1">
      <c r="A2327">
        <v>2749</v>
      </c>
      <c r="B2327">
        <v>3542</v>
      </c>
      <c r="C2327">
        <v>6543</v>
      </c>
      <c r="D2327">
        <v>6630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 t="s">
        <v>20</v>
      </c>
      <c r="L2327" s="1">
        <v>44517</v>
      </c>
      <c r="M2327">
        <v>830</v>
      </c>
      <c r="N2327">
        <v>65</v>
      </c>
      <c r="O2327">
        <v>686</v>
      </c>
      <c r="P2327">
        <v>673</v>
      </c>
      <c r="Q2327">
        <v>686</v>
      </c>
      <c r="S2327">
        <v>1275</v>
      </c>
      <c r="T2327">
        <v>1392</v>
      </c>
      <c r="U2327">
        <f>+SUM(Table1[[#This Row],[Latinos]:[Cemex]])</f>
        <v>1</v>
      </c>
      <c r="V2327" t="str">
        <f>+Table1[[#This Row],[id_destino]]&amp;" - "&amp;Table1[[#This Row],[id_origen]]</f>
        <v>830 - 65</v>
      </c>
    </row>
    <row r="2328" spans="1:22" hidden="1">
      <c r="A2328">
        <v>2808</v>
      </c>
      <c r="B2328">
        <v>3582</v>
      </c>
      <c r="C2328">
        <v>4071</v>
      </c>
      <c r="D2328">
        <v>6670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 t="s">
        <v>20</v>
      </c>
      <c r="L2328" s="1">
        <v>44478</v>
      </c>
      <c r="M2328">
        <v>832</v>
      </c>
      <c r="N2328">
        <v>65</v>
      </c>
      <c r="O2328">
        <v>150</v>
      </c>
      <c r="P2328">
        <v>150</v>
      </c>
      <c r="Q2328">
        <v>150</v>
      </c>
      <c r="S2328">
        <v>359</v>
      </c>
      <c r="T2328">
        <v>359</v>
      </c>
      <c r="U2328">
        <f>+SUM(Table1[[#This Row],[Latinos]:[Cemex]])</f>
        <v>1</v>
      </c>
      <c r="V2328" t="str">
        <f>+Table1[[#This Row],[id_destino]]&amp;" - "&amp;Table1[[#This Row],[id_origen]]</f>
        <v>832 - 65</v>
      </c>
    </row>
    <row r="2329" spans="1:22" hidden="1">
      <c r="A2329">
        <v>2880</v>
      </c>
      <c r="B2329">
        <v>3631</v>
      </c>
      <c r="C2329">
        <v>6543</v>
      </c>
      <c r="D2329">
        <v>6769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 t="s">
        <v>20</v>
      </c>
      <c r="L2329" s="1">
        <v>44585</v>
      </c>
      <c r="M2329">
        <v>838</v>
      </c>
      <c r="N2329">
        <v>65</v>
      </c>
      <c r="O2329">
        <v>31</v>
      </c>
      <c r="P2329">
        <v>150</v>
      </c>
      <c r="Q2329">
        <v>31</v>
      </c>
      <c r="S2329">
        <v>0</v>
      </c>
      <c r="T2329">
        <v>0</v>
      </c>
      <c r="U2329">
        <f>+SUM(Table1[[#This Row],[Latinos]:[Cemex]])</f>
        <v>1</v>
      </c>
      <c r="V2329" t="str">
        <f>+Table1[[#This Row],[id_destino]]&amp;" - "&amp;Table1[[#This Row],[id_origen]]</f>
        <v>838 - 65</v>
      </c>
    </row>
    <row r="2330" spans="1:22" hidden="1">
      <c r="A2330">
        <v>2881</v>
      </c>
      <c r="B2330">
        <v>3632</v>
      </c>
      <c r="C2330">
        <v>6543</v>
      </c>
      <c r="D2330">
        <v>6770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 t="s">
        <v>20</v>
      </c>
      <c r="L2330" s="1">
        <v>44586</v>
      </c>
      <c r="M2330">
        <v>839</v>
      </c>
      <c r="N2330">
        <v>65</v>
      </c>
      <c r="O2330">
        <v>69</v>
      </c>
      <c r="P2330">
        <v>150</v>
      </c>
      <c r="Q2330">
        <v>69</v>
      </c>
      <c r="S2330">
        <v>0</v>
      </c>
      <c r="T2330">
        <v>0</v>
      </c>
      <c r="U2330">
        <f>+SUM(Table1[[#This Row],[Latinos]:[Cemex]])</f>
        <v>1</v>
      </c>
      <c r="V2330" t="str">
        <f>+Table1[[#This Row],[id_destino]]&amp;" - "&amp;Table1[[#This Row],[id_origen]]</f>
        <v>839 - 65</v>
      </c>
    </row>
    <row r="2331" spans="1:22" hidden="1">
      <c r="A2331">
        <v>3798</v>
      </c>
      <c r="B2331">
        <v>4226</v>
      </c>
      <c r="C2331">
        <v>4071</v>
      </c>
      <c r="D2331">
        <v>7391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 t="s">
        <v>20</v>
      </c>
      <c r="L2331" s="1">
        <v>45098</v>
      </c>
      <c r="M2331">
        <v>877</v>
      </c>
      <c r="N2331">
        <v>65</v>
      </c>
      <c r="O2331">
        <v>53</v>
      </c>
      <c r="P2331">
        <v>150</v>
      </c>
      <c r="Q2331">
        <v>53</v>
      </c>
      <c r="S2331">
        <v>0</v>
      </c>
      <c r="T2331">
        <v>0</v>
      </c>
      <c r="U2331">
        <f>+SUM(Table1[[#This Row],[Latinos]:[Cemex]])</f>
        <v>1</v>
      </c>
      <c r="V2331" t="str">
        <f>+Table1[[#This Row],[id_destino]]&amp;" - "&amp;Table1[[#This Row],[id_origen]]</f>
        <v>877 - 65</v>
      </c>
    </row>
    <row r="2332" spans="1:22" hidden="1">
      <c r="A2332">
        <v>4379</v>
      </c>
      <c r="B2332">
        <v>4611</v>
      </c>
      <c r="C2332">
        <v>2983</v>
      </c>
      <c r="D2332">
        <v>7858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 t="s">
        <v>20</v>
      </c>
      <c r="L2332" s="1">
        <v>45503</v>
      </c>
      <c r="M2332">
        <v>909</v>
      </c>
      <c r="N2332">
        <v>65</v>
      </c>
      <c r="O2332">
        <v>1278</v>
      </c>
      <c r="P2332">
        <v>1189</v>
      </c>
      <c r="Q2332">
        <v>1278</v>
      </c>
      <c r="S2332">
        <v>2223</v>
      </c>
      <c r="T2332">
        <v>2306</v>
      </c>
      <c r="U2332">
        <f>+SUM(Table1[[#This Row],[Latinos]:[Cemex]])</f>
        <v>1</v>
      </c>
      <c r="V2332" t="str">
        <f>+Table1[[#This Row],[id_destino]]&amp;" - "&amp;Table1[[#This Row],[id_origen]]</f>
        <v>909 - 65</v>
      </c>
    </row>
    <row r="2333" spans="1:22" hidden="1">
      <c r="A2333">
        <v>562</v>
      </c>
      <c r="B2333">
        <v>2347</v>
      </c>
      <c r="C2333">
        <v>5409</v>
      </c>
      <c r="D2333">
        <v>4632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 t="s">
        <v>20</v>
      </c>
      <c r="L2333" s="1">
        <v>43104</v>
      </c>
      <c r="M2333">
        <v>4</v>
      </c>
      <c r="N2333">
        <v>67</v>
      </c>
      <c r="O2333">
        <v>636</v>
      </c>
      <c r="P2333">
        <v>636</v>
      </c>
      <c r="Q2333">
        <v>636</v>
      </c>
      <c r="S2333">
        <v>1052</v>
      </c>
      <c r="T2333">
        <v>1052</v>
      </c>
      <c r="U2333">
        <f>+SUM(Table1[[#This Row],[Latinos]:[Cemex]])</f>
        <v>1</v>
      </c>
      <c r="V2333" t="str">
        <f>+Table1[[#This Row],[id_destino]]&amp;" - "&amp;Table1[[#This Row],[id_origen]]</f>
        <v>4 - 67</v>
      </c>
    </row>
    <row r="2334" spans="1:22" hidden="1">
      <c r="A2334">
        <v>563</v>
      </c>
      <c r="B2334">
        <v>2347</v>
      </c>
      <c r="C2334">
        <v>5409</v>
      </c>
      <c r="D2334">
        <v>4632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  <c r="K2334" t="s">
        <v>20</v>
      </c>
      <c r="L2334" s="1">
        <v>43104</v>
      </c>
      <c r="M2334">
        <v>4</v>
      </c>
      <c r="N2334">
        <v>67</v>
      </c>
      <c r="O2334">
        <v>636</v>
      </c>
      <c r="P2334">
        <v>636</v>
      </c>
      <c r="Q2334">
        <v>636</v>
      </c>
      <c r="S2334">
        <v>1052</v>
      </c>
      <c r="T2334">
        <v>1050</v>
      </c>
      <c r="U2334">
        <f>+SUM(Table1[[#This Row],[Latinos]:[Cemex]])</f>
        <v>1</v>
      </c>
      <c r="V2334" t="str">
        <f>+Table1[[#This Row],[id_destino]]&amp;" - "&amp;Table1[[#This Row],[id_origen]]</f>
        <v>4 - 67</v>
      </c>
    </row>
    <row r="2335" spans="1:22" hidden="1">
      <c r="A2335">
        <v>2260</v>
      </c>
      <c r="B2335">
        <v>3237</v>
      </c>
      <c r="C2335">
        <v>5270</v>
      </c>
      <c r="D2335">
        <v>3237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 t="s">
        <v>20</v>
      </c>
      <c r="L2335" s="1">
        <v>44748</v>
      </c>
      <c r="M2335">
        <v>65</v>
      </c>
      <c r="N2335">
        <v>67</v>
      </c>
      <c r="O2335">
        <v>142</v>
      </c>
      <c r="P2335">
        <v>150</v>
      </c>
      <c r="Q2335">
        <v>142</v>
      </c>
      <c r="S2335">
        <v>252</v>
      </c>
      <c r="T2335">
        <v>252</v>
      </c>
      <c r="U2335">
        <f>+SUM(Table1[[#This Row],[Latinos]:[Cemex]])</f>
        <v>1</v>
      </c>
      <c r="V2335" t="str">
        <f>+Table1[[#This Row],[id_destino]]&amp;" - "&amp;Table1[[#This Row],[id_origen]]</f>
        <v>65 - 67</v>
      </c>
    </row>
    <row r="2336" spans="1:22" hidden="1">
      <c r="A2336">
        <v>2259</v>
      </c>
      <c r="B2336">
        <v>3236</v>
      </c>
      <c r="C2336">
        <v>5270</v>
      </c>
      <c r="D2336">
        <v>6294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 t="s">
        <v>20</v>
      </c>
      <c r="L2336" s="1">
        <v>43885</v>
      </c>
      <c r="M2336">
        <v>66</v>
      </c>
      <c r="N2336">
        <v>67</v>
      </c>
      <c r="O2336">
        <v>175</v>
      </c>
      <c r="P2336">
        <v>181</v>
      </c>
      <c r="Q2336">
        <v>175</v>
      </c>
      <c r="S2336">
        <v>102</v>
      </c>
      <c r="T2336">
        <v>102</v>
      </c>
      <c r="U2336">
        <f>+SUM(Table1[[#This Row],[Latinos]:[Cemex]])</f>
        <v>1</v>
      </c>
      <c r="V2336" t="str">
        <f>+Table1[[#This Row],[id_destino]]&amp;" - "&amp;Table1[[#This Row],[id_origen]]</f>
        <v>66 - 67</v>
      </c>
    </row>
    <row r="2337" spans="1:22" hidden="1">
      <c r="A2337">
        <v>75</v>
      </c>
      <c r="B2337">
        <v>2226</v>
      </c>
      <c r="C2337">
        <v>5270</v>
      </c>
      <c r="D2337">
        <v>3176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 t="s">
        <v>20</v>
      </c>
      <c r="L2337" s="1">
        <v>42996</v>
      </c>
      <c r="M2337">
        <v>136</v>
      </c>
      <c r="N2337">
        <v>67</v>
      </c>
      <c r="O2337">
        <v>146</v>
      </c>
      <c r="P2337">
        <v>150</v>
      </c>
      <c r="Q2337">
        <v>147</v>
      </c>
      <c r="S2337">
        <v>205</v>
      </c>
      <c r="T2337">
        <v>205</v>
      </c>
      <c r="U2337">
        <f>+SUM(Table1[[#This Row],[Latinos]:[Cemex]])</f>
        <v>1</v>
      </c>
      <c r="V2337" t="str">
        <f>+Table1[[#This Row],[id_destino]]&amp;" - "&amp;Table1[[#This Row],[id_origen]]</f>
        <v>136 - 67</v>
      </c>
    </row>
    <row r="2338" spans="1:22" hidden="1">
      <c r="A2338">
        <v>2896</v>
      </c>
      <c r="B2338">
        <v>3638</v>
      </c>
      <c r="C2338">
        <v>3488</v>
      </c>
      <c r="D2338">
        <v>6776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 t="s">
        <v>20</v>
      </c>
      <c r="L2338" s="1">
        <v>44594</v>
      </c>
      <c r="M2338">
        <v>53</v>
      </c>
      <c r="N2338">
        <v>68</v>
      </c>
      <c r="O2338">
        <v>1088</v>
      </c>
      <c r="P2338">
        <v>1089</v>
      </c>
      <c r="Q2338">
        <v>1088</v>
      </c>
      <c r="S2338">
        <v>1329</v>
      </c>
      <c r="T2338">
        <v>1329</v>
      </c>
      <c r="U2338">
        <f>+SUM(Table1[[#This Row],[Latinos]:[Cemex]])</f>
        <v>1</v>
      </c>
      <c r="V2338" t="str">
        <f>+Table1[[#This Row],[id_destino]]&amp;" - "&amp;Table1[[#This Row],[id_origen]]</f>
        <v>53 - 68</v>
      </c>
    </row>
    <row r="2339" spans="1:22" hidden="1">
      <c r="A2339">
        <v>2563</v>
      </c>
      <c r="B2339">
        <v>3420</v>
      </c>
      <c r="C2339">
        <v>6485</v>
      </c>
      <c r="D2339">
        <v>2635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 t="s">
        <v>20</v>
      </c>
      <c r="L2339" s="1">
        <v>44181</v>
      </c>
      <c r="M2339">
        <v>105</v>
      </c>
      <c r="N2339">
        <v>68</v>
      </c>
      <c r="O2339">
        <v>20</v>
      </c>
      <c r="P2339">
        <v>150</v>
      </c>
      <c r="Q2339">
        <v>20</v>
      </c>
      <c r="S2339">
        <v>0</v>
      </c>
      <c r="T2339">
        <v>0</v>
      </c>
      <c r="U2339">
        <f>+SUM(Table1[[#This Row],[Latinos]:[Cemex]])</f>
        <v>1</v>
      </c>
      <c r="V2339" t="str">
        <f>+Table1[[#This Row],[id_destino]]&amp;" - "&amp;Table1[[#This Row],[id_origen]]</f>
        <v>105 - 68</v>
      </c>
    </row>
    <row r="2340" spans="1:22" hidden="1">
      <c r="A2340">
        <v>4286</v>
      </c>
      <c r="B2340">
        <v>4545</v>
      </c>
      <c r="C2340">
        <v>3488</v>
      </c>
      <c r="D2340">
        <v>7765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 t="s">
        <v>20</v>
      </c>
      <c r="L2340" s="1">
        <v>45427</v>
      </c>
      <c r="M2340">
        <v>153</v>
      </c>
      <c r="N2340">
        <v>68</v>
      </c>
      <c r="O2340">
        <v>334</v>
      </c>
      <c r="P2340">
        <v>345</v>
      </c>
      <c r="Q2340">
        <v>334</v>
      </c>
      <c r="S2340">
        <v>985</v>
      </c>
      <c r="T2340">
        <v>985</v>
      </c>
      <c r="U2340">
        <f>+SUM(Table1[[#This Row],[Latinos]:[Cemex]])</f>
        <v>1</v>
      </c>
      <c r="V2340" t="str">
        <f>+Table1[[#This Row],[id_destino]]&amp;" - "&amp;Table1[[#This Row],[id_origen]]</f>
        <v>153 - 68</v>
      </c>
    </row>
    <row r="2341" spans="1:22" hidden="1">
      <c r="A2341">
        <v>2291</v>
      </c>
      <c r="B2341">
        <v>3253</v>
      </c>
      <c r="C2341">
        <v>1406</v>
      </c>
      <c r="D2341">
        <v>6317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 t="s">
        <v>20</v>
      </c>
      <c r="L2341" s="1">
        <v>43909</v>
      </c>
      <c r="M2341">
        <v>536</v>
      </c>
      <c r="N2341">
        <v>68</v>
      </c>
      <c r="O2341">
        <v>1765</v>
      </c>
      <c r="P2341">
        <v>1765</v>
      </c>
      <c r="Q2341">
        <v>1765</v>
      </c>
      <c r="S2341">
        <v>2163</v>
      </c>
      <c r="T2341">
        <v>2315</v>
      </c>
      <c r="U2341">
        <f>+SUM(Table1[[#This Row],[Latinos]:[Cemex]])</f>
        <v>1</v>
      </c>
      <c r="V2341" t="str">
        <f>+Table1[[#This Row],[id_destino]]&amp;" - "&amp;Table1[[#This Row],[id_origen]]</f>
        <v>536 - 68</v>
      </c>
    </row>
    <row r="2342" spans="1:22" hidden="1">
      <c r="A2342">
        <v>4205</v>
      </c>
      <c r="B2342">
        <v>4488</v>
      </c>
      <c r="C2342">
        <v>1370</v>
      </c>
      <c r="D2342">
        <v>7694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 t="s">
        <v>20</v>
      </c>
      <c r="L2342" s="1">
        <v>45360</v>
      </c>
      <c r="M2342">
        <v>1</v>
      </c>
      <c r="N2342">
        <v>69</v>
      </c>
      <c r="O2342">
        <v>868</v>
      </c>
      <c r="P2342">
        <v>881</v>
      </c>
      <c r="Q2342">
        <v>868</v>
      </c>
      <c r="S2342">
        <v>1812</v>
      </c>
      <c r="T2342">
        <v>1812</v>
      </c>
      <c r="U2342">
        <f>+SUM(Table1[[#This Row],[Latinos]:[Cemex]])</f>
        <v>1</v>
      </c>
      <c r="V2342" t="str">
        <f>+Table1[[#This Row],[id_destino]]&amp;" - "&amp;Table1[[#This Row],[id_origen]]</f>
        <v>1 - 69</v>
      </c>
    </row>
    <row r="2343" spans="1:22" hidden="1">
      <c r="A2343">
        <v>179</v>
      </c>
      <c r="B2343">
        <v>722</v>
      </c>
      <c r="C2343">
        <v>1370</v>
      </c>
      <c r="D2343">
        <v>469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 t="s">
        <v>20</v>
      </c>
      <c r="L2343" s="1">
        <v>43006</v>
      </c>
      <c r="M2343">
        <v>2</v>
      </c>
      <c r="N2343">
        <v>69</v>
      </c>
      <c r="O2343">
        <v>76</v>
      </c>
      <c r="P2343">
        <v>150</v>
      </c>
      <c r="Q2343">
        <v>76</v>
      </c>
      <c r="S2343">
        <v>294</v>
      </c>
      <c r="T2343">
        <v>387</v>
      </c>
      <c r="U2343">
        <f>+SUM(Table1[[#This Row],[Latinos]:[Cemex]])</f>
        <v>1</v>
      </c>
      <c r="V2343" t="str">
        <f>+Table1[[#This Row],[id_destino]]&amp;" - "&amp;Table1[[#This Row],[id_origen]]</f>
        <v>2 - 69</v>
      </c>
    </row>
    <row r="2344" spans="1:22" hidden="1">
      <c r="A2344">
        <v>1718</v>
      </c>
      <c r="B2344">
        <v>904</v>
      </c>
      <c r="C2344">
        <v>2105</v>
      </c>
      <c r="D2344">
        <v>4631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 t="s">
        <v>20</v>
      </c>
      <c r="L2344" s="1">
        <v>43582</v>
      </c>
      <c r="M2344">
        <v>3</v>
      </c>
      <c r="N2344">
        <v>69</v>
      </c>
      <c r="O2344">
        <v>781</v>
      </c>
      <c r="P2344">
        <v>775</v>
      </c>
      <c r="Q2344">
        <v>781</v>
      </c>
      <c r="S2344">
        <v>2581</v>
      </c>
      <c r="T2344">
        <v>2581</v>
      </c>
      <c r="U2344">
        <f>+SUM(Table1[[#This Row],[Latinos]:[Cemex]])</f>
        <v>1</v>
      </c>
      <c r="V2344" t="str">
        <f>+Table1[[#This Row],[id_destino]]&amp;" - "&amp;Table1[[#This Row],[id_origen]]</f>
        <v>3 - 69</v>
      </c>
    </row>
    <row r="2345" spans="1:22" hidden="1">
      <c r="A2345">
        <v>3864</v>
      </c>
      <c r="B2345">
        <v>4269</v>
      </c>
      <c r="C2345">
        <v>2105</v>
      </c>
      <c r="D2345">
        <v>7439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 t="s">
        <v>20</v>
      </c>
      <c r="L2345" s="1">
        <v>45149</v>
      </c>
      <c r="M2345">
        <v>4</v>
      </c>
      <c r="N2345">
        <v>69</v>
      </c>
      <c r="O2345">
        <v>872</v>
      </c>
      <c r="P2345">
        <v>849</v>
      </c>
      <c r="Q2345">
        <v>872</v>
      </c>
      <c r="S2345">
        <v>2861</v>
      </c>
      <c r="T2345">
        <v>2861</v>
      </c>
      <c r="U2345">
        <f>+SUM(Table1[[#This Row],[Latinos]:[Cemex]])</f>
        <v>1</v>
      </c>
      <c r="V2345" t="str">
        <f>+Table1[[#This Row],[id_destino]]&amp;" - "&amp;Table1[[#This Row],[id_origen]]</f>
        <v>4 - 69</v>
      </c>
    </row>
    <row r="2346" spans="1:22" hidden="1">
      <c r="A2346">
        <v>4737</v>
      </c>
      <c r="B2346">
        <v>4877</v>
      </c>
      <c r="C2346">
        <v>206</v>
      </c>
      <c r="D2346">
        <v>5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 t="s">
        <v>20</v>
      </c>
      <c r="L2346" s="1">
        <v>45776</v>
      </c>
      <c r="M2346">
        <v>7</v>
      </c>
      <c r="N2346">
        <v>69</v>
      </c>
      <c r="O2346">
        <v>1744</v>
      </c>
      <c r="P2346">
        <v>1628</v>
      </c>
      <c r="Q2346">
        <v>1744</v>
      </c>
      <c r="S2346">
        <v>4459</v>
      </c>
      <c r="T2346">
        <v>4459</v>
      </c>
      <c r="U2346">
        <f>+SUM(Table1[[#This Row],[Latinos]:[Cemex]])</f>
        <v>1</v>
      </c>
      <c r="V2346" t="str">
        <f>+Table1[[#This Row],[id_destino]]&amp;" - "&amp;Table1[[#This Row],[id_origen]]</f>
        <v>7 - 69</v>
      </c>
    </row>
    <row r="2347" spans="1:22" hidden="1">
      <c r="A2347">
        <v>1141</v>
      </c>
      <c r="B2347">
        <v>632</v>
      </c>
      <c r="C2347">
        <v>206</v>
      </c>
      <c r="D2347">
        <v>4531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 t="s">
        <v>20</v>
      </c>
      <c r="L2347" s="1">
        <v>45163</v>
      </c>
      <c r="M2347">
        <v>9</v>
      </c>
      <c r="N2347">
        <v>69</v>
      </c>
      <c r="O2347">
        <v>1406</v>
      </c>
      <c r="P2347">
        <v>1325</v>
      </c>
      <c r="Q2347">
        <v>1406</v>
      </c>
      <c r="S2347">
        <v>3318</v>
      </c>
      <c r="T2347">
        <v>3401</v>
      </c>
      <c r="U2347">
        <f>+SUM(Table1[[#This Row],[Latinos]:[Cemex]])</f>
        <v>1</v>
      </c>
      <c r="V2347" t="str">
        <f>+Table1[[#This Row],[id_destino]]&amp;" - "&amp;Table1[[#This Row],[id_origen]]</f>
        <v>9 - 69</v>
      </c>
    </row>
    <row r="2348" spans="1:22" hidden="1">
      <c r="A2348">
        <v>2843</v>
      </c>
      <c r="B2348">
        <v>3602</v>
      </c>
      <c r="C2348">
        <v>6627</v>
      </c>
      <c r="D2348">
        <v>5282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 t="s">
        <v>20</v>
      </c>
      <c r="L2348" s="1">
        <v>44529</v>
      </c>
      <c r="M2348">
        <v>11</v>
      </c>
      <c r="N2348">
        <v>69</v>
      </c>
      <c r="O2348">
        <v>197</v>
      </c>
      <c r="P2348">
        <v>187</v>
      </c>
      <c r="Q2348">
        <v>197</v>
      </c>
      <c r="S2348">
        <v>534</v>
      </c>
      <c r="T2348">
        <v>534</v>
      </c>
      <c r="U2348">
        <f>+SUM(Table1[[#This Row],[Latinos]:[Cemex]])</f>
        <v>1</v>
      </c>
      <c r="V2348" t="str">
        <f>+Table1[[#This Row],[id_destino]]&amp;" - "&amp;Table1[[#This Row],[id_origen]]</f>
        <v>11 - 69</v>
      </c>
    </row>
    <row r="2349" spans="1:22" hidden="1">
      <c r="A2349">
        <v>1591</v>
      </c>
      <c r="B2349">
        <v>2828</v>
      </c>
      <c r="C2349">
        <v>768</v>
      </c>
      <c r="D2349">
        <v>14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 t="s">
        <v>20</v>
      </c>
      <c r="L2349" s="1">
        <v>43524</v>
      </c>
      <c r="M2349">
        <v>15</v>
      </c>
      <c r="N2349">
        <v>69</v>
      </c>
      <c r="O2349">
        <v>1771</v>
      </c>
      <c r="P2349">
        <v>1188</v>
      </c>
      <c r="Q2349">
        <v>1771</v>
      </c>
      <c r="S2349">
        <v>1516</v>
      </c>
      <c r="T2349">
        <v>1660</v>
      </c>
      <c r="U2349">
        <f>+SUM(Table1[[#This Row],[Latinos]:[Cemex]])</f>
        <v>1</v>
      </c>
      <c r="V2349" t="str">
        <f>+Table1[[#This Row],[id_destino]]&amp;" - "&amp;Table1[[#This Row],[id_origen]]</f>
        <v>15 - 69</v>
      </c>
    </row>
    <row r="2350" spans="1:22" hidden="1">
      <c r="A2350">
        <v>2842</v>
      </c>
      <c r="B2350">
        <v>3601</v>
      </c>
      <c r="C2350">
        <v>6627</v>
      </c>
      <c r="D2350">
        <v>6731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 t="s">
        <v>20</v>
      </c>
      <c r="L2350" s="1">
        <v>44526</v>
      </c>
      <c r="M2350">
        <v>16</v>
      </c>
      <c r="N2350">
        <v>69</v>
      </c>
      <c r="O2350">
        <v>1442</v>
      </c>
      <c r="P2350">
        <v>1409</v>
      </c>
      <c r="Q2350">
        <v>1442</v>
      </c>
      <c r="S2350">
        <v>1969</v>
      </c>
      <c r="T2350">
        <v>2276</v>
      </c>
      <c r="U2350">
        <f>+SUM(Table1[[#This Row],[Latinos]:[Cemex]])</f>
        <v>1</v>
      </c>
      <c r="V2350" t="str">
        <f>+Table1[[#This Row],[id_destino]]&amp;" - "&amp;Table1[[#This Row],[id_origen]]</f>
        <v>16 - 69</v>
      </c>
    </row>
    <row r="2351" spans="1:22" hidden="1">
      <c r="A2351">
        <v>358</v>
      </c>
      <c r="B2351">
        <v>2269</v>
      </c>
      <c r="C2351">
        <v>1370</v>
      </c>
      <c r="D2351">
        <v>4061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 t="s">
        <v>20</v>
      </c>
      <c r="L2351" s="1">
        <v>43045</v>
      </c>
      <c r="M2351">
        <v>17</v>
      </c>
      <c r="N2351">
        <v>69</v>
      </c>
      <c r="O2351">
        <v>880</v>
      </c>
      <c r="P2351">
        <v>876</v>
      </c>
      <c r="Q2351">
        <v>880</v>
      </c>
      <c r="S2351">
        <v>0</v>
      </c>
      <c r="T2351">
        <v>0</v>
      </c>
      <c r="U2351">
        <f>+SUM(Table1[[#This Row],[Latinos]:[Cemex]])</f>
        <v>1</v>
      </c>
      <c r="V2351" t="str">
        <f>+Table1[[#This Row],[id_destino]]&amp;" - "&amp;Table1[[#This Row],[id_origen]]</f>
        <v>17 - 69</v>
      </c>
    </row>
    <row r="2352" spans="1:22" hidden="1">
      <c r="A2352">
        <v>110</v>
      </c>
      <c r="B2352">
        <v>775</v>
      </c>
      <c r="C2352">
        <v>1370</v>
      </c>
      <c r="D2352">
        <v>1869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 t="s">
        <v>20</v>
      </c>
      <c r="L2352" s="1">
        <v>42992</v>
      </c>
      <c r="M2352">
        <v>19</v>
      </c>
      <c r="N2352">
        <v>69</v>
      </c>
      <c r="O2352">
        <v>38</v>
      </c>
      <c r="P2352">
        <v>38</v>
      </c>
      <c r="Q2352">
        <v>38</v>
      </c>
      <c r="S2352">
        <v>144</v>
      </c>
      <c r="T2352">
        <v>211</v>
      </c>
      <c r="U2352">
        <f>+SUM(Table1[[#This Row],[Latinos]:[Cemex]])</f>
        <v>1</v>
      </c>
      <c r="V2352" t="str">
        <f>+Table1[[#This Row],[id_destino]]&amp;" - "&amp;Table1[[#This Row],[id_origen]]</f>
        <v>19 - 69</v>
      </c>
    </row>
    <row r="2353" spans="1:22" hidden="1">
      <c r="A2353">
        <v>3951</v>
      </c>
      <c r="B2353">
        <v>1789</v>
      </c>
      <c r="C2353">
        <v>7480</v>
      </c>
      <c r="D2353">
        <v>7495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 t="s">
        <v>20</v>
      </c>
      <c r="L2353" s="1">
        <v>45204</v>
      </c>
      <c r="M2353">
        <v>20</v>
      </c>
      <c r="N2353">
        <v>69</v>
      </c>
      <c r="O2353">
        <v>25</v>
      </c>
      <c r="P2353">
        <v>150</v>
      </c>
      <c r="Q2353">
        <v>25</v>
      </c>
      <c r="S2353">
        <v>108</v>
      </c>
      <c r="T2353">
        <v>108</v>
      </c>
      <c r="U2353">
        <f>+SUM(Table1[[#This Row],[Latinos]:[Cemex]])</f>
        <v>1</v>
      </c>
      <c r="V2353" t="str">
        <f>+Table1[[#This Row],[id_destino]]&amp;" - "&amp;Table1[[#This Row],[id_origen]]</f>
        <v>20 - 69</v>
      </c>
    </row>
    <row r="2354" spans="1:22" hidden="1">
      <c r="A2354">
        <v>204</v>
      </c>
      <c r="B2354">
        <v>315</v>
      </c>
      <c r="C2354">
        <v>1370</v>
      </c>
      <c r="D2354">
        <v>3726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 t="s">
        <v>20</v>
      </c>
      <c r="L2354" s="1">
        <v>43012</v>
      </c>
      <c r="M2354">
        <v>23</v>
      </c>
      <c r="N2354">
        <v>69</v>
      </c>
      <c r="O2354">
        <v>502</v>
      </c>
      <c r="P2354">
        <v>510</v>
      </c>
      <c r="Q2354">
        <v>502</v>
      </c>
      <c r="S2354">
        <v>2328</v>
      </c>
      <c r="T2354">
        <v>2328</v>
      </c>
      <c r="U2354">
        <f>+SUM(Table1[[#This Row],[Latinos]:[Cemex]])</f>
        <v>1</v>
      </c>
      <c r="V2354" t="str">
        <f>+Table1[[#This Row],[id_destino]]&amp;" - "&amp;Table1[[#This Row],[id_origen]]</f>
        <v>23 - 69</v>
      </c>
    </row>
    <row r="2355" spans="1:22" hidden="1">
      <c r="A2355">
        <v>1955</v>
      </c>
      <c r="B2355">
        <v>3043</v>
      </c>
      <c r="C2355">
        <v>5435</v>
      </c>
      <c r="D2355">
        <v>5213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 t="s">
        <v>20</v>
      </c>
      <c r="L2355" s="1">
        <v>43739</v>
      </c>
      <c r="M2355">
        <v>26</v>
      </c>
      <c r="N2355">
        <v>69</v>
      </c>
      <c r="O2355">
        <v>551</v>
      </c>
      <c r="P2355">
        <v>551</v>
      </c>
      <c r="Q2355">
        <v>551</v>
      </c>
      <c r="S2355">
        <v>1731</v>
      </c>
      <c r="T2355">
        <v>1731</v>
      </c>
      <c r="U2355">
        <f>+SUM(Table1[[#This Row],[Latinos]:[Cemex]])</f>
        <v>1</v>
      </c>
      <c r="V2355" t="str">
        <f>+Table1[[#This Row],[id_destino]]&amp;" - "&amp;Table1[[#This Row],[id_origen]]</f>
        <v>26 - 69</v>
      </c>
    </row>
    <row r="2356" spans="1:22" hidden="1">
      <c r="A2356">
        <v>4199</v>
      </c>
      <c r="B2356">
        <v>3043</v>
      </c>
      <c r="C2356">
        <v>1370</v>
      </c>
      <c r="D2356">
        <v>7681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 t="s">
        <v>20</v>
      </c>
      <c r="L2356" s="1">
        <v>45353</v>
      </c>
      <c r="M2356">
        <v>26</v>
      </c>
      <c r="N2356">
        <v>69</v>
      </c>
      <c r="O2356">
        <v>571</v>
      </c>
      <c r="P2356">
        <v>537</v>
      </c>
      <c r="Q2356">
        <v>571</v>
      </c>
      <c r="S2356">
        <v>2576</v>
      </c>
      <c r="T2356">
        <v>2576</v>
      </c>
      <c r="U2356">
        <f>+SUM(Table1[[#This Row],[Latinos]:[Cemex]])</f>
        <v>1</v>
      </c>
      <c r="V2356" t="str">
        <f>+Table1[[#This Row],[id_destino]]&amp;" - "&amp;Table1[[#This Row],[id_origen]]</f>
        <v>26 - 69</v>
      </c>
    </row>
    <row r="2357" spans="1:22" hidden="1">
      <c r="A2357">
        <v>1670</v>
      </c>
      <c r="B2357">
        <v>1102</v>
      </c>
      <c r="C2357">
        <v>768</v>
      </c>
      <c r="D2357">
        <v>35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 t="s">
        <v>20</v>
      </c>
      <c r="L2357" s="1">
        <v>43558</v>
      </c>
      <c r="M2357">
        <v>31</v>
      </c>
      <c r="N2357">
        <v>69</v>
      </c>
      <c r="O2357">
        <v>1211</v>
      </c>
      <c r="P2357">
        <v>1213</v>
      </c>
      <c r="Q2357">
        <v>1211</v>
      </c>
      <c r="S2357">
        <v>5796</v>
      </c>
      <c r="T2357">
        <v>5796</v>
      </c>
      <c r="U2357">
        <f>+SUM(Table1[[#This Row],[Latinos]:[Cemex]])</f>
        <v>1</v>
      </c>
      <c r="V2357" t="str">
        <f>+Table1[[#This Row],[id_destino]]&amp;" - "&amp;Table1[[#This Row],[id_origen]]</f>
        <v>31 - 69</v>
      </c>
    </row>
    <row r="2358" spans="1:22" hidden="1">
      <c r="A2358">
        <v>363</v>
      </c>
      <c r="B2358">
        <v>1052</v>
      </c>
      <c r="C2358">
        <v>1370</v>
      </c>
      <c r="D2358">
        <v>1777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 t="s">
        <v>20</v>
      </c>
      <c r="L2358" s="1">
        <v>43046</v>
      </c>
      <c r="M2358">
        <v>33</v>
      </c>
      <c r="N2358">
        <v>69</v>
      </c>
      <c r="O2358">
        <v>980</v>
      </c>
      <c r="P2358">
        <v>961</v>
      </c>
      <c r="Q2358">
        <v>980</v>
      </c>
      <c r="S2358">
        <v>2971</v>
      </c>
      <c r="T2358">
        <v>3127</v>
      </c>
      <c r="U2358">
        <f>+SUM(Table1[[#This Row],[Latinos]:[Cemex]])</f>
        <v>1</v>
      </c>
      <c r="V2358" t="str">
        <f>+Table1[[#This Row],[id_destino]]&amp;" - "&amp;Table1[[#This Row],[id_origen]]</f>
        <v>33 - 69</v>
      </c>
    </row>
    <row r="2359" spans="1:22" hidden="1">
      <c r="A2359">
        <v>1143</v>
      </c>
      <c r="B2359">
        <v>1399</v>
      </c>
      <c r="C2359">
        <v>1370</v>
      </c>
      <c r="D2359">
        <v>3618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 t="s">
        <v>20</v>
      </c>
      <c r="L2359" s="1">
        <v>43311</v>
      </c>
      <c r="M2359">
        <v>35</v>
      </c>
      <c r="N2359">
        <v>69</v>
      </c>
      <c r="O2359">
        <v>439</v>
      </c>
      <c r="P2359">
        <v>439</v>
      </c>
      <c r="Q2359">
        <v>439</v>
      </c>
      <c r="S2359">
        <v>1252</v>
      </c>
      <c r="T2359">
        <v>1321</v>
      </c>
      <c r="U2359">
        <f>+SUM(Table1[[#This Row],[Latinos]:[Cemex]])</f>
        <v>1</v>
      </c>
      <c r="V2359" t="str">
        <f>+Table1[[#This Row],[id_destino]]&amp;" - "&amp;Table1[[#This Row],[id_origen]]</f>
        <v>35 - 69</v>
      </c>
    </row>
    <row r="2360" spans="1:22" hidden="1">
      <c r="A2360">
        <v>1365</v>
      </c>
      <c r="B2360">
        <v>1399</v>
      </c>
      <c r="C2360">
        <v>1370</v>
      </c>
      <c r="D2360">
        <v>3618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 t="s">
        <v>20</v>
      </c>
      <c r="L2360" s="1">
        <v>45673</v>
      </c>
      <c r="M2360">
        <v>35</v>
      </c>
      <c r="N2360">
        <v>69</v>
      </c>
      <c r="O2360">
        <v>438</v>
      </c>
      <c r="P2360">
        <v>449</v>
      </c>
      <c r="Q2360">
        <v>438</v>
      </c>
      <c r="S2360">
        <v>1957</v>
      </c>
      <c r="T2360">
        <v>1957</v>
      </c>
      <c r="U2360">
        <f>+SUM(Table1[[#This Row],[Latinos]:[Cemex]])</f>
        <v>1</v>
      </c>
      <c r="V2360" t="str">
        <f>+Table1[[#This Row],[id_destino]]&amp;" - "&amp;Table1[[#This Row],[id_origen]]</f>
        <v>35 - 69</v>
      </c>
    </row>
    <row r="2361" spans="1:22" hidden="1">
      <c r="A2361">
        <v>3883</v>
      </c>
      <c r="B2361">
        <v>478</v>
      </c>
      <c r="C2361">
        <v>2105</v>
      </c>
      <c r="D2361">
        <v>3664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 t="s">
        <v>20</v>
      </c>
      <c r="L2361" s="1">
        <v>45162</v>
      </c>
      <c r="M2361">
        <v>36</v>
      </c>
      <c r="N2361">
        <v>69</v>
      </c>
      <c r="O2361">
        <v>286</v>
      </c>
      <c r="P2361">
        <v>322</v>
      </c>
      <c r="Q2361">
        <v>286</v>
      </c>
      <c r="S2361">
        <v>2023</v>
      </c>
      <c r="T2361">
        <v>2037</v>
      </c>
      <c r="U2361">
        <f>+SUM(Table1[[#This Row],[Latinos]:[Cemex]])</f>
        <v>1</v>
      </c>
      <c r="V2361" t="str">
        <f>+Table1[[#This Row],[id_destino]]&amp;" - "&amp;Table1[[#This Row],[id_origen]]</f>
        <v>36 - 69</v>
      </c>
    </row>
    <row r="2362" spans="1:22" hidden="1">
      <c r="A2362">
        <v>172</v>
      </c>
      <c r="B2362">
        <v>326</v>
      </c>
      <c r="C2362">
        <v>1370</v>
      </c>
      <c r="D2362">
        <v>5299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 t="s">
        <v>20</v>
      </c>
      <c r="L2362" s="1">
        <v>43005</v>
      </c>
      <c r="M2362">
        <v>38</v>
      </c>
      <c r="N2362">
        <v>69</v>
      </c>
      <c r="O2362">
        <v>279</v>
      </c>
      <c r="P2362">
        <v>284</v>
      </c>
      <c r="Q2362">
        <v>279</v>
      </c>
      <c r="S2362">
        <v>1640</v>
      </c>
      <c r="T2362">
        <v>1640</v>
      </c>
      <c r="U2362">
        <f>+SUM(Table1[[#This Row],[Latinos]:[Cemex]])</f>
        <v>1</v>
      </c>
      <c r="V2362" t="str">
        <f>+Table1[[#This Row],[id_destino]]&amp;" - "&amp;Table1[[#This Row],[id_origen]]</f>
        <v>38 - 69</v>
      </c>
    </row>
    <row r="2363" spans="1:22" hidden="1">
      <c r="A2363">
        <v>1844</v>
      </c>
      <c r="B2363">
        <v>248</v>
      </c>
      <c r="C2363">
        <v>2105</v>
      </c>
      <c r="D2363">
        <v>3689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 t="s">
        <v>20</v>
      </c>
      <c r="L2363" s="1">
        <v>45162</v>
      </c>
      <c r="M2363">
        <v>49</v>
      </c>
      <c r="N2363">
        <v>69</v>
      </c>
      <c r="O2363">
        <v>423</v>
      </c>
      <c r="P2363">
        <v>420</v>
      </c>
      <c r="Q2363">
        <v>423</v>
      </c>
      <c r="S2363">
        <v>2065</v>
      </c>
      <c r="T2363">
        <v>2065</v>
      </c>
      <c r="U2363">
        <f>+SUM(Table1[[#This Row],[Latinos]:[Cemex]])</f>
        <v>1</v>
      </c>
      <c r="V2363" t="str">
        <f>+Table1[[#This Row],[id_destino]]&amp;" - "&amp;Table1[[#This Row],[id_origen]]</f>
        <v>49 - 69</v>
      </c>
    </row>
    <row r="2364" spans="1:22" hidden="1">
      <c r="A2364">
        <v>2787</v>
      </c>
      <c r="B2364">
        <v>1010</v>
      </c>
      <c r="C2364">
        <v>206</v>
      </c>
      <c r="D2364">
        <v>63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 t="s">
        <v>20</v>
      </c>
      <c r="L2364" s="1">
        <v>44441</v>
      </c>
      <c r="M2364">
        <v>55</v>
      </c>
      <c r="N2364">
        <v>69</v>
      </c>
      <c r="O2364">
        <v>81</v>
      </c>
      <c r="P2364">
        <v>150</v>
      </c>
      <c r="Q2364">
        <v>81</v>
      </c>
      <c r="S2364">
        <v>113</v>
      </c>
      <c r="T2364">
        <v>113</v>
      </c>
      <c r="U2364">
        <f>+SUM(Table1[[#This Row],[Latinos]:[Cemex]])</f>
        <v>1</v>
      </c>
      <c r="V2364" t="str">
        <f>+Table1[[#This Row],[id_destino]]&amp;" - "&amp;Table1[[#This Row],[id_origen]]</f>
        <v>55 - 69</v>
      </c>
    </row>
    <row r="2365" spans="1:22" hidden="1">
      <c r="A2365">
        <v>3334</v>
      </c>
      <c r="B2365">
        <v>1010</v>
      </c>
      <c r="C2365">
        <v>7044</v>
      </c>
      <c r="D2365">
        <v>63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 t="s">
        <v>20</v>
      </c>
      <c r="L2365" s="1">
        <v>44837</v>
      </c>
      <c r="M2365">
        <v>55</v>
      </c>
      <c r="N2365">
        <v>69</v>
      </c>
      <c r="O2365">
        <v>70</v>
      </c>
      <c r="P2365">
        <v>100</v>
      </c>
      <c r="Q2365">
        <v>70</v>
      </c>
      <c r="S2365">
        <v>113</v>
      </c>
      <c r="T2365">
        <v>113</v>
      </c>
      <c r="U2365">
        <f>+SUM(Table1[[#This Row],[Latinos]:[Cemex]])</f>
        <v>1</v>
      </c>
      <c r="V2365" t="str">
        <f>+Table1[[#This Row],[id_destino]]&amp;" - "&amp;Table1[[#This Row],[id_origen]]</f>
        <v>55 - 69</v>
      </c>
    </row>
    <row r="2366" spans="1:22" hidden="1">
      <c r="A2366">
        <v>1852</v>
      </c>
      <c r="B2366">
        <v>2972</v>
      </c>
      <c r="C2366">
        <v>206</v>
      </c>
      <c r="D2366">
        <v>4935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 t="s">
        <v>20</v>
      </c>
      <c r="L2366" s="1">
        <v>43668</v>
      </c>
      <c r="M2366">
        <v>58</v>
      </c>
      <c r="N2366">
        <v>69</v>
      </c>
      <c r="O2366">
        <v>120</v>
      </c>
      <c r="P2366">
        <v>150</v>
      </c>
      <c r="Q2366">
        <v>120</v>
      </c>
      <c r="S2366">
        <v>44</v>
      </c>
      <c r="T2366">
        <v>44</v>
      </c>
      <c r="U2366">
        <f>+SUM(Table1[[#This Row],[Latinos]:[Cemex]])</f>
        <v>1</v>
      </c>
      <c r="V2366" t="str">
        <f>+Table1[[#This Row],[id_destino]]&amp;" - "&amp;Table1[[#This Row],[id_origen]]</f>
        <v>58 - 69</v>
      </c>
    </row>
    <row r="2367" spans="1:22" hidden="1">
      <c r="A2367">
        <v>3837</v>
      </c>
      <c r="B2367">
        <v>299</v>
      </c>
      <c r="C2367">
        <v>2105</v>
      </c>
      <c r="D2367">
        <v>4317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 t="s">
        <v>20</v>
      </c>
      <c r="L2367" s="1">
        <v>45138</v>
      </c>
      <c r="M2367">
        <v>61</v>
      </c>
      <c r="N2367">
        <v>69</v>
      </c>
      <c r="O2367">
        <v>2657</v>
      </c>
      <c r="P2367">
        <v>2585</v>
      </c>
      <c r="Q2367">
        <v>2657</v>
      </c>
      <c r="S2367">
        <v>7773</v>
      </c>
      <c r="T2367">
        <v>7885</v>
      </c>
      <c r="U2367">
        <f>+SUM(Table1[[#This Row],[Latinos]:[Cemex]])</f>
        <v>1</v>
      </c>
      <c r="V2367" t="str">
        <f>+Table1[[#This Row],[id_destino]]&amp;" - "&amp;Table1[[#This Row],[id_origen]]</f>
        <v>61 - 69</v>
      </c>
    </row>
    <row r="2368" spans="1:22" hidden="1">
      <c r="A2368">
        <v>2744</v>
      </c>
      <c r="B2368">
        <v>3538</v>
      </c>
      <c r="C2368">
        <v>6627</v>
      </c>
      <c r="D2368">
        <v>6628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 t="s">
        <v>20</v>
      </c>
      <c r="L2368" s="1">
        <v>44406</v>
      </c>
      <c r="M2368">
        <v>62</v>
      </c>
      <c r="N2368">
        <v>69</v>
      </c>
      <c r="O2368">
        <v>407</v>
      </c>
      <c r="P2368">
        <v>388</v>
      </c>
      <c r="Q2368">
        <v>407</v>
      </c>
      <c r="S2368">
        <v>989</v>
      </c>
      <c r="T2368">
        <v>989</v>
      </c>
      <c r="U2368">
        <f>+SUM(Table1[[#This Row],[Latinos]:[Cemex]])</f>
        <v>1</v>
      </c>
      <c r="V2368" t="str">
        <f>+Table1[[#This Row],[id_destino]]&amp;" - "&amp;Table1[[#This Row],[id_origen]]</f>
        <v>62 - 69</v>
      </c>
    </row>
    <row r="2369" spans="1:22" hidden="1">
      <c r="A2369">
        <v>2482</v>
      </c>
      <c r="B2369">
        <v>176</v>
      </c>
      <c r="C2369">
        <v>2105</v>
      </c>
      <c r="D2369">
        <v>7455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 t="s">
        <v>20</v>
      </c>
      <c r="L2369" s="1">
        <v>45167</v>
      </c>
      <c r="M2369">
        <v>65</v>
      </c>
      <c r="N2369">
        <v>69</v>
      </c>
      <c r="O2369">
        <v>151</v>
      </c>
      <c r="P2369">
        <v>153</v>
      </c>
      <c r="Q2369">
        <v>151</v>
      </c>
      <c r="S2369">
        <v>1122</v>
      </c>
      <c r="T2369">
        <v>1122</v>
      </c>
      <c r="U2369">
        <f>+SUM(Table1[[#This Row],[Latinos]:[Cemex]])</f>
        <v>1</v>
      </c>
      <c r="V2369" t="str">
        <f>+Table1[[#This Row],[id_destino]]&amp;" - "&amp;Table1[[#This Row],[id_origen]]</f>
        <v>65 - 69</v>
      </c>
    </row>
    <row r="2370" spans="1:22" hidden="1">
      <c r="A2370">
        <v>3697</v>
      </c>
      <c r="B2370">
        <v>4169</v>
      </c>
      <c r="C2370">
        <v>206</v>
      </c>
      <c r="D2370">
        <v>6096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 t="s">
        <v>20</v>
      </c>
      <c r="L2370" s="1">
        <v>45035</v>
      </c>
      <c r="M2370">
        <v>69</v>
      </c>
      <c r="N2370">
        <v>69</v>
      </c>
      <c r="O2370">
        <v>33</v>
      </c>
      <c r="P2370">
        <v>150</v>
      </c>
      <c r="Q2370">
        <v>33</v>
      </c>
      <c r="S2370">
        <v>0</v>
      </c>
      <c r="T2370">
        <v>0</v>
      </c>
      <c r="U2370">
        <f>+SUM(Table1[[#This Row],[Latinos]:[Cemex]])</f>
        <v>1</v>
      </c>
      <c r="V2370" t="str">
        <f>+Table1[[#This Row],[id_destino]]&amp;" - "&amp;Table1[[#This Row],[id_origen]]</f>
        <v>69 - 69</v>
      </c>
    </row>
    <row r="2371" spans="1:22" hidden="1">
      <c r="A2371">
        <v>2460</v>
      </c>
      <c r="B2371">
        <v>3359</v>
      </c>
      <c r="C2371">
        <v>2105</v>
      </c>
      <c r="D2371">
        <v>6409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 t="s">
        <v>20</v>
      </c>
      <c r="L2371" s="1">
        <v>44089</v>
      </c>
      <c r="M2371">
        <v>76</v>
      </c>
      <c r="N2371">
        <v>69</v>
      </c>
      <c r="O2371">
        <v>60</v>
      </c>
      <c r="P2371">
        <v>150</v>
      </c>
      <c r="Q2371">
        <v>60</v>
      </c>
      <c r="S2371">
        <v>102</v>
      </c>
      <c r="T2371">
        <v>102</v>
      </c>
      <c r="U2371">
        <f>+SUM(Table1[[#This Row],[Latinos]:[Cemex]])</f>
        <v>1</v>
      </c>
      <c r="V2371" t="str">
        <f>+Table1[[#This Row],[id_destino]]&amp;" - "&amp;Table1[[#This Row],[id_origen]]</f>
        <v>76 - 69</v>
      </c>
    </row>
    <row r="2372" spans="1:22" hidden="1">
      <c r="A2372">
        <v>3464</v>
      </c>
      <c r="B2372">
        <v>592</v>
      </c>
      <c r="C2372">
        <v>206</v>
      </c>
      <c r="D2372">
        <v>2891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 t="s">
        <v>20</v>
      </c>
      <c r="L2372" s="1">
        <v>44907</v>
      </c>
      <c r="M2372">
        <v>79</v>
      </c>
      <c r="N2372">
        <v>69</v>
      </c>
      <c r="O2372">
        <v>234</v>
      </c>
      <c r="P2372">
        <v>234</v>
      </c>
      <c r="Q2372">
        <v>234</v>
      </c>
      <c r="S2372">
        <v>0</v>
      </c>
      <c r="T2372">
        <v>0</v>
      </c>
      <c r="U2372">
        <f>+SUM(Table1[[#This Row],[Latinos]:[Cemex]])</f>
        <v>1</v>
      </c>
      <c r="V2372" t="str">
        <f>+Table1[[#This Row],[id_destino]]&amp;" - "&amp;Table1[[#This Row],[id_origen]]</f>
        <v>79 - 69</v>
      </c>
    </row>
    <row r="2373" spans="1:22" hidden="1">
      <c r="A2373">
        <v>642</v>
      </c>
      <c r="B2373">
        <v>2382</v>
      </c>
      <c r="C2373">
        <v>5435</v>
      </c>
      <c r="D2373">
        <v>146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 t="s">
        <v>20</v>
      </c>
      <c r="L2373" s="1">
        <v>43122</v>
      </c>
      <c r="M2373">
        <v>80</v>
      </c>
      <c r="N2373">
        <v>69</v>
      </c>
      <c r="O2373">
        <v>23</v>
      </c>
      <c r="P2373">
        <v>150</v>
      </c>
      <c r="Q2373">
        <v>23</v>
      </c>
      <c r="S2373">
        <v>144</v>
      </c>
      <c r="T2373">
        <v>211</v>
      </c>
      <c r="U2373">
        <f>+SUM(Table1[[#This Row],[Latinos]:[Cemex]])</f>
        <v>1</v>
      </c>
      <c r="V2373" t="str">
        <f>+Table1[[#This Row],[id_destino]]&amp;" - "&amp;Table1[[#This Row],[id_origen]]</f>
        <v>80 - 69</v>
      </c>
    </row>
    <row r="2374" spans="1:22" hidden="1">
      <c r="A2374">
        <v>288</v>
      </c>
      <c r="B2374">
        <v>2187</v>
      </c>
      <c r="C2374">
        <v>1370</v>
      </c>
      <c r="D2374">
        <v>210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 t="s">
        <v>20</v>
      </c>
      <c r="L2374" s="1">
        <v>43029</v>
      </c>
      <c r="M2374">
        <v>81</v>
      </c>
      <c r="N2374">
        <v>69</v>
      </c>
      <c r="O2374">
        <v>130</v>
      </c>
      <c r="P2374">
        <v>130</v>
      </c>
      <c r="Q2374">
        <v>130</v>
      </c>
      <c r="S2374">
        <v>0</v>
      </c>
      <c r="T2374">
        <v>0</v>
      </c>
      <c r="U2374">
        <f>+SUM(Table1[[#This Row],[Latinos]:[Cemex]])</f>
        <v>1</v>
      </c>
      <c r="V2374" t="str">
        <f>+Table1[[#This Row],[id_destino]]&amp;" - "&amp;Table1[[#This Row],[id_origen]]</f>
        <v>81 - 69</v>
      </c>
    </row>
    <row r="2375" spans="1:22" hidden="1">
      <c r="A2375">
        <v>136</v>
      </c>
      <c r="B2375">
        <v>2186</v>
      </c>
      <c r="C2375">
        <v>1370</v>
      </c>
      <c r="D2375">
        <v>4024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 t="s">
        <v>20</v>
      </c>
      <c r="L2375" s="1">
        <v>43663</v>
      </c>
      <c r="M2375">
        <v>95</v>
      </c>
      <c r="N2375">
        <v>69</v>
      </c>
      <c r="O2375">
        <v>895</v>
      </c>
      <c r="P2375">
        <v>895</v>
      </c>
      <c r="Q2375">
        <v>895</v>
      </c>
      <c r="S2375">
        <v>954</v>
      </c>
      <c r="T2375">
        <v>954</v>
      </c>
      <c r="U2375">
        <f>+SUM(Table1[[#This Row],[Latinos]:[Cemex]])</f>
        <v>1</v>
      </c>
      <c r="V2375" t="str">
        <f>+Table1[[#This Row],[id_destino]]&amp;" - "&amp;Table1[[#This Row],[id_origen]]</f>
        <v>95 - 69</v>
      </c>
    </row>
    <row r="2376" spans="1:22" hidden="1">
      <c r="A2376">
        <v>261</v>
      </c>
      <c r="B2376">
        <v>550</v>
      </c>
      <c r="C2376">
        <v>3988</v>
      </c>
      <c r="D2376">
        <v>268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 t="s">
        <v>20</v>
      </c>
      <c r="L2376" s="1">
        <v>45530</v>
      </c>
      <c r="M2376">
        <v>99</v>
      </c>
      <c r="N2376">
        <v>69</v>
      </c>
      <c r="O2376">
        <v>1219</v>
      </c>
      <c r="P2376">
        <v>1215</v>
      </c>
      <c r="Q2376">
        <v>1219</v>
      </c>
      <c r="S2376">
        <v>3223</v>
      </c>
      <c r="T2376">
        <v>3223</v>
      </c>
      <c r="U2376">
        <f>+SUM(Table1[[#This Row],[Latinos]:[Cemex]])</f>
        <v>1</v>
      </c>
      <c r="V2376" t="str">
        <f>+Table1[[#This Row],[id_destino]]&amp;" - "&amp;Table1[[#This Row],[id_origen]]</f>
        <v>99 - 69</v>
      </c>
    </row>
    <row r="2377" spans="1:22" hidden="1">
      <c r="A2377">
        <v>1572</v>
      </c>
      <c r="B2377">
        <v>635</v>
      </c>
      <c r="C2377">
        <v>1370</v>
      </c>
      <c r="D2377">
        <v>1555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 t="s">
        <v>20</v>
      </c>
      <c r="L2377" s="1">
        <v>43510</v>
      </c>
      <c r="M2377">
        <v>107</v>
      </c>
      <c r="N2377">
        <v>69</v>
      </c>
      <c r="O2377">
        <v>499</v>
      </c>
      <c r="P2377">
        <v>499</v>
      </c>
      <c r="Q2377">
        <v>499</v>
      </c>
      <c r="S2377">
        <v>748.27</v>
      </c>
      <c r="T2377">
        <v>804.31</v>
      </c>
      <c r="U2377">
        <f>+SUM(Table1[[#This Row],[Latinos]:[Cemex]])</f>
        <v>1</v>
      </c>
      <c r="V2377" t="str">
        <f>+Table1[[#This Row],[id_destino]]&amp;" - "&amp;Table1[[#This Row],[id_origen]]</f>
        <v>107 - 69</v>
      </c>
    </row>
    <row r="2378" spans="1:22" hidden="1">
      <c r="A2378">
        <v>4069</v>
      </c>
      <c r="B2378">
        <v>4399</v>
      </c>
      <c r="C2378">
        <v>206</v>
      </c>
      <c r="D2378">
        <v>4607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 t="s">
        <v>20</v>
      </c>
      <c r="L2378" s="1">
        <v>45265</v>
      </c>
      <c r="M2378">
        <v>117</v>
      </c>
      <c r="N2378">
        <v>69</v>
      </c>
      <c r="O2378">
        <v>125</v>
      </c>
      <c r="P2378">
        <v>150</v>
      </c>
      <c r="Q2378">
        <v>125</v>
      </c>
      <c r="S2378">
        <v>57</v>
      </c>
      <c r="T2378">
        <v>57</v>
      </c>
      <c r="U2378">
        <f>+SUM(Table1[[#This Row],[Latinos]:[Cemex]])</f>
        <v>1</v>
      </c>
      <c r="V2378" t="str">
        <f>+Table1[[#This Row],[id_destino]]&amp;" - "&amp;Table1[[#This Row],[id_origen]]</f>
        <v>117 - 69</v>
      </c>
    </row>
    <row r="2379" spans="1:22" hidden="1">
      <c r="A2379">
        <v>458</v>
      </c>
      <c r="B2379">
        <v>311</v>
      </c>
      <c r="C2379">
        <v>1370</v>
      </c>
      <c r="D2379">
        <v>5368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 t="s">
        <v>20</v>
      </c>
      <c r="L2379" s="1">
        <v>43070</v>
      </c>
      <c r="M2379">
        <v>121</v>
      </c>
      <c r="N2379">
        <v>69</v>
      </c>
      <c r="O2379">
        <v>291</v>
      </c>
      <c r="P2379">
        <v>293</v>
      </c>
      <c r="Q2379">
        <v>291</v>
      </c>
      <c r="S2379">
        <v>1404</v>
      </c>
      <c r="T2379">
        <v>1404</v>
      </c>
      <c r="U2379">
        <f>+SUM(Table1[[#This Row],[Latinos]:[Cemex]])</f>
        <v>1</v>
      </c>
      <c r="V2379" t="str">
        <f>+Table1[[#This Row],[id_destino]]&amp;" - "&amp;Table1[[#This Row],[id_origen]]</f>
        <v>121 - 69</v>
      </c>
    </row>
    <row r="2380" spans="1:22" hidden="1">
      <c r="A2380">
        <v>2775</v>
      </c>
      <c r="B2380">
        <v>3557</v>
      </c>
      <c r="C2380">
        <v>206</v>
      </c>
      <c r="D2380">
        <v>6661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 t="s">
        <v>20</v>
      </c>
      <c r="L2380" s="1">
        <v>44436</v>
      </c>
      <c r="M2380">
        <v>140</v>
      </c>
      <c r="N2380">
        <v>69</v>
      </c>
      <c r="O2380">
        <v>1011</v>
      </c>
      <c r="P2380">
        <v>1012</v>
      </c>
      <c r="Q2380">
        <v>1011</v>
      </c>
      <c r="S2380">
        <v>2236</v>
      </c>
      <c r="T2380">
        <v>2310</v>
      </c>
      <c r="U2380">
        <f>+SUM(Table1[[#This Row],[Latinos]:[Cemex]])</f>
        <v>1</v>
      </c>
      <c r="V2380" t="str">
        <f>+Table1[[#This Row],[id_destino]]&amp;" - "&amp;Table1[[#This Row],[id_origen]]</f>
        <v>140 - 69</v>
      </c>
    </row>
    <row r="2381" spans="1:22" hidden="1">
      <c r="A2381">
        <v>3858</v>
      </c>
      <c r="B2381">
        <v>250</v>
      </c>
      <c r="C2381">
        <v>2105</v>
      </c>
      <c r="D2381">
        <v>2009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 t="s">
        <v>20</v>
      </c>
      <c r="L2381" s="1">
        <v>45833</v>
      </c>
      <c r="M2381">
        <v>179</v>
      </c>
      <c r="N2381">
        <v>69</v>
      </c>
      <c r="O2381">
        <v>1887</v>
      </c>
      <c r="P2381">
        <v>1877</v>
      </c>
      <c r="Q2381">
        <v>1887</v>
      </c>
      <c r="S2381">
        <v>7272.01</v>
      </c>
      <c r="T2381">
        <v>7385</v>
      </c>
      <c r="U2381">
        <f>+SUM(Table1[[#This Row],[Latinos]:[Cemex]])</f>
        <v>1</v>
      </c>
      <c r="V2381" t="str">
        <f>+Table1[[#This Row],[id_destino]]&amp;" - "&amp;Table1[[#This Row],[id_origen]]</f>
        <v>179 - 69</v>
      </c>
    </row>
    <row r="2382" spans="1:22" hidden="1">
      <c r="A2382">
        <v>4418</v>
      </c>
      <c r="B2382">
        <v>4643</v>
      </c>
      <c r="C2382">
        <v>206</v>
      </c>
      <c r="D2382">
        <v>5146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 t="s">
        <v>20</v>
      </c>
      <c r="L2382" s="1">
        <v>45531</v>
      </c>
      <c r="M2382">
        <v>184</v>
      </c>
      <c r="N2382">
        <v>69</v>
      </c>
      <c r="O2382">
        <v>28</v>
      </c>
      <c r="P2382">
        <v>31</v>
      </c>
      <c r="Q2382">
        <v>28</v>
      </c>
      <c r="S2382">
        <v>44</v>
      </c>
      <c r="T2382">
        <v>44</v>
      </c>
      <c r="U2382">
        <f>+SUM(Table1[[#This Row],[Latinos]:[Cemex]])</f>
        <v>1</v>
      </c>
      <c r="V2382" t="str">
        <f>+Table1[[#This Row],[id_destino]]&amp;" - "&amp;Table1[[#This Row],[id_origen]]</f>
        <v>184 - 69</v>
      </c>
    </row>
    <row r="2383" spans="1:22" hidden="1">
      <c r="A2383">
        <v>2745</v>
      </c>
      <c r="B2383">
        <v>3539</v>
      </c>
      <c r="C2383">
        <v>6608</v>
      </c>
      <c r="D2383">
        <v>6629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 t="s">
        <v>20</v>
      </c>
      <c r="L2383" s="1">
        <v>44406</v>
      </c>
      <c r="M2383">
        <v>244</v>
      </c>
      <c r="N2383">
        <v>69</v>
      </c>
      <c r="O2383">
        <v>92</v>
      </c>
      <c r="P2383">
        <v>150</v>
      </c>
      <c r="Q2383">
        <v>92</v>
      </c>
      <c r="S2383">
        <v>0</v>
      </c>
      <c r="T2383">
        <v>0</v>
      </c>
      <c r="U2383">
        <f>+SUM(Table1[[#This Row],[Latinos]:[Cemex]])</f>
        <v>1</v>
      </c>
      <c r="V2383" t="str">
        <f>+Table1[[#This Row],[id_destino]]&amp;" - "&amp;Table1[[#This Row],[id_origen]]</f>
        <v>244 - 69</v>
      </c>
    </row>
    <row r="2384" spans="1:22" hidden="1">
      <c r="A2384">
        <v>1115</v>
      </c>
      <c r="B2384">
        <v>2590</v>
      </c>
      <c r="C2384">
        <v>206</v>
      </c>
      <c r="D2384">
        <v>5630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 t="s">
        <v>20</v>
      </c>
      <c r="L2384" s="1">
        <v>43297</v>
      </c>
      <c r="M2384">
        <v>264</v>
      </c>
      <c r="N2384">
        <v>69</v>
      </c>
      <c r="O2384">
        <v>173</v>
      </c>
      <c r="P2384">
        <v>185</v>
      </c>
      <c r="Q2384">
        <v>173</v>
      </c>
      <c r="S2384">
        <v>516</v>
      </c>
      <c r="T2384">
        <v>585</v>
      </c>
      <c r="U2384">
        <f>+SUM(Table1[[#This Row],[Latinos]:[Cemex]])</f>
        <v>1</v>
      </c>
      <c r="V2384" t="str">
        <f>+Table1[[#This Row],[id_destino]]&amp;" - "&amp;Table1[[#This Row],[id_origen]]</f>
        <v>264 - 69</v>
      </c>
    </row>
    <row r="2385" spans="1:22" hidden="1">
      <c r="A2385">
        <v>265</v>
      </c>
      <c r="B2385">
        <v>1605</v>
      </c>
      <c r="C2385">
        <v>206</v>
      </c>
      <c r="D2385">
        <v>3883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 t="s">
        <v>20</v>
      </c>
      <c r="L2385" s="1">
        <v>43027</v>
      </c>
      <c r="M2385">
        <v>276</v>
      </c>
      <c r="N2385">
        <v>69</v>
      </c>
      <c r="O2385">
        <v>30</v>
      </c>
      <c r="P2385">
        <v>150</v>
      </c>
      <c r="Q2385">
        <v>30</v>
      </c>
      <c r="S2385">
        <v>0</v>
      </c>
      <c r="T2385">
        <v>0</v>
      </c>
      <c r="U2385">
        <f>+SUM(Table1[[#This Row],[Latinos]:[Cemex]])</f>
        <v>1</v>
      </c>
      <c r="V2385" t="str">
        <f>+Table1[[#This Row],[id_destino]]&amp;" - "&amp;Table1[[#This Row],[id_origen]]</f>
        <v>276 - 69</v>
      </c>
    </row>
    <row r="2386" spans="1:22" hidden="1">
      <c r="A2386">
        <v>356</v>
      </c>
      <c r="B2386">
        <v>1605</v>
      </c>
      <c r="C2386">
        <v>206</v>
      </c>
      <c r="D2386">
        <v>3883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 t="s">
        <v>20</v>
      </c>
      <c r="L2386" s="1">
        <v>43043</v>
      </c>
      <c r="M2386">
        <v>276</v>
      </c>
      <c r="N2386">
        <v>69</v>
      </c>
      <c r="O2386">
        <v>21</v>
      </c>
      <c r="P2386">
        <v>150</v>
      </c>
      <c r="Q2386">
        <v>21</v>
      </c>
      <c r="S2386">
        <v>0</v>
      </c>
      <c r="T2386">
        <v>0</v>
      </c>
      <c r="U2386">
        <f>+SUM(Table1[[#This Row],[Latinos]:[Cemex]])</f>
        <v>1</v>
      </c>
      <c r="V2386" t="str">
        <f>+Table1[[#This Row],[id_destino]]&amp;" - "&amp;Table1[[#This Row],[id_origen]]</f>
        <v>276 - 69</v>
      </c>
    </row>
    <row r="2387" spans="1:22" hidden="1">
      <c r="A2387">
        <v>3908</v>
      </c>
      <c r="B2387">
        <v>4293</v>
      </c>
      <c r="C2387">
        <v>2105</v>
      </c>
      <c r="D2387">
        <v>6363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 t="s">
        <v>20</v>
      </c>
      <c r="L2387" s="1">
        <v>45175</v>
      </c>
      <c r="M2387">
        <v>308</v>
      </c>
      <c r="N2387">
        <v>69</v>
      </c>
      <c r="O2387">
        <v>148</v>
      </c>
      <c r="P2387">
        <v>163</v>
      </c>
      <c r="Q2387">
        <v>148</v>
      </c>
      <c r="S2387">
        <v>149</v>
      </c>
      <c r="T2387">
        <v>149</v>
      </c>
      <c r="U2387">
        <f>+SUM(Table1[[#This Row],[Latinos]:[Cemex]])</f>
        <v>1</v>
      </c>
      <c r="V2387" t="str">
        <f>+Table1[[#This Row],[id_destino]]&amp;" - "&amp;Table1[[#This Row],[id_origen]]</f>
        <v>308 - 69</v>
      </c>
    </row>
    <row r="2388" spans="1:22" hidden="1">
      <c r="A2388">
        <v>1823</v>
      </c>
      <c r="B2388">
        <v>1830</v>
      </c>
      <c r="C2388">
        <v>206</v>
      </c>
      <c r="D2388">
        <v>5963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 t="s">
        <v>20</v>
      </c>
      <c r="L2388" s="1">
        <v>43647</v>
      </c>
      <c r="M2388">
        <v>318</v>
      </c>
      <c r="N2388">
        <v>69</v>
      </c>
      <c r="O2388">
        <v>30</v>
      </c>
      <c r="P2388">
        <v>150</v>
      </c>
      <c r="Q2388">
        <v>30</v>
      </c>
      <c r="S2388">
        <v>0</v>
      </c>
      <c r="T2388">
        <v>0</v>
      </c>
      <c r="U2388">
        <f>+SUM(Table1[[#This Row],[Latinos]:[Cemex]])</f>
        <v>1</v>
      </c>
      <c r="V2388" t="str">
        <f>+Table1[[#This Row],[id_destino]]&amp;" - "&amp;Table1[[#This Row],[id_origen]]</f>
        <v>318 - 69</v>
      </c>
    </row>
    <row r="2389" spans="1:22" hidden="1">
      <c r="A2389">
        <v>591</v>
      </c>
      <c r="B2389">
        <v>1041</v>
      </c>
      <c r="C2389">
        <v>2105</v>
      </c>
      <c r="D2389">
        <v>3636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 t="s">
        <v>20</v>
      </c>
      <c r="L2389" s="1">
        <v>45191</v>
      </c>
      <c r="M2389">
        <v>345</v>
      </c>
      <c r="N2389">
        <v>69</v>
      </c>
      <c r="O2389">
        <v>54</v>
      </c>
      <c r="P2389">
        <v>150</v>
      </c>
      <c r="Q2389">
        <v>54</v>
      </c>
      <c r="S2389">
        <v>174</v>
      </c>
      <c r="T2389">
        <v>174</v>
      </c>
      <c r="U2389">
        <f>+SUM(Table1[[#This Row],[Latinos]:[Cemex]])</f>
        <v>1</v>
      </c>
      <c r="V2389" t="str">
        <f>+Table1[[#This Row],[id_destino]]&amp;" - "&amp;Table1[[#This Row],[id_origen]]</f>
        <v>345 - 69</v>
      </c>
    </row>
    <row r="2390" spans="1:22" hidden="1">
      <c r="A2390">
        <v>701</v>
      </c>
      <c r="B2390">
        <v>2413</v>
      </c>
      <c r="C2390">
        <v>1370</v>
      </c>
      <c r="D2390">
        <v>5455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 t="s">
        <v>20</v>
      </c>
      <c r="L2390" s="1">
        <v>43134</v>
      </c>
      <c r="M2390">
        <v>365</v>
      </c>
      <c r="N2390">
        <v>69</v>
      </c>
      <c r="O2390">
        <v>1194</v>
      </c>
      <c r="P2390">
        <v>1194</v>
      </c>
      <c r="Q2390">
        <v>1194</v>
      </c>
      <c r="S2390">
        <v>877</v>
      </c>
      <c r="T2390">
        <v>877</v>
      </c>
      <c r="U2390">
        <f>+SUM(Table1[[#This Row],[Latinos]:[Cemex]])</f>
        <v>1</v>
      </c>
      <c r="V2390" t="str">
        <f>+Table1[[#This Row],[id_destino]]&amp;" - "&amp;Table1[[#This Row],[id_origen]]</f>
        <v>365 - 69</v>
      </c>
    </row>
    <row r="2391" spans="1:22" hidden="1">
      <c r="A2391">
        <v>1866</v>
      </c>
      <c r="B2391">
        <v>2983</v>
      </c>
      <c r="C2391">
        <v>206</v>
      </c>
      <c r="D2391">
        <v>5996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 t="s">
        <v>20</v>
      </c>
      <c r="L2391" s="1">
        <v>43675</v>
      </c>
      <c r="M2391">
        <v>491</v>
      </c>
      <c r="N2391">
        <v>69</v>
      </c>
      <c r="O2391">
        <v>57</v>
      </c>
      <c r="P2391">
        <v>150</v>
      </c>
      <c r="Q2391">
        <v>57</v>
      </c>
      <c r="S2391">
        <v>341</v>
      </c>
      <c r="T2391">
        <v>341</v>
      </c>
      <c r="U2391">
        <f>+SUM(Table1[[#This Row],[Latinos]:[Cemex]])</f>
        <v>1</v>
      </c>
      <c r="V2391" t="str">
        <f>+Table1[[#This Row],[id_destino]]&amp;" - "&amp;Table1[[#This Row],[id_origen]]</f>
        <v>491 - 69</v>
      </c>
    </row>
    <row r="2392" spans="1:22" hidden="1">
      <c r="A2392">
        <v>1066</v>
      </c>
      <c r="B2392">
        <v>2567</v>
      </c>
      <c r="C2392">
        <v>1539</v>
      </c>
      <c r="D2392">
        <v>5608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 t="s">
        <v>20</v>
      </c>
      <c r="L2392" s="1">
        <v>43271</v>
      </c>
      <c r="M2392">
        <v>492</v>
      </c>
      <c r="N2392">
        <v>69</v>
      </c>
      <c r="O2392">
        <v>296</v>
      </c>
      <c r="P2392">
        <v>296</v>
      </c>
      <c r="Q2392">
        <v>296</v>
      </c>
      <c r="S2392">
        <v>875</v>
      </c>
      <c r="T2392">
        <v>945</v>
      </c>
      <c r="U2392">
        <f>+SUM(Table1[[#This Row],[Latinos]:[Cemex]])</f>
        <v>1</v>
      </c>
      <c r="V2392" t="str">
        <f>+Table1[[#This Row],[id_destino]]&amp;" - "&amp;Table1[[#This Row],[id_origen]]</f>
        <v>492 - 69</v>
      </c>
    </row>
    <row r="2393" spans="1:22" hidden="1">
      <c r="A2393">
        <v>4274</v>
      </c>
      <c r="B2393">
        <v>2567</v>
      </c>
      <c r="C2393">
        <v>2105</v>
      </c>
      <c r="D2393">
        <v>6438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 t="s">
        <v>20</v>
      </c>
      <c r="L2393" s="1">
        <v>45419</v>
      </c>
      <c r="M2393">
        <v>492</v>
      </c>
      <c r="N2393">
        <v>69</v>
      </c>
      <c r="O2393">
        <v>295</v>
      </c>
      <c r="P2393">
        <v>264</v>
      </c>
      <c r="Q2393">
        <v>295</v>
      </c>
      <c r="S2393">
        <v>1324</v>
      </c>
      <c r="T2393">
        <v>1338</v>
      </c>
      <c r="U2393">
        <f>+SUM(Table1[[#This Row],[Latinos]:[Cemex]])</f>
        <v>1</v>
      </c>
      <c r="V2393" t="str">
        <f>+Table1[[#This Row],[id_destino]]&amp;" - "&amp;Table1[[#This Row],[id_origen]]</f>
        <v>492 - 69</v>
      </c>
    </row>
    <row r="2394" spans="1:22" hidden="1">
      <c r="A2394">
        <v>391</v>
      </c>
      <c r="B2394">
        <v>2276</v>
      </c>
      <c r="C2394">
        <v>1370</v>
      </c>
      <c r="D2394">
        <v>5346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 t="s">
        <v>20</v>
      </c>
      <c r="L2394" s="1">
        <v>43054</v>
      </c>
      <c r="M2394">
        <v>525</v>
      </c>
      <c r="N2394">
        <v>69</v>
      </c>
      <c r="O2394">
        <v>40</v>
      </c>
      <c r="P2394">
        <v>150</v>
      </c>
      <c r="Q2394">
        <v>40</v>
      </c>
      <c r="S2394">
        <v>185</v>
      </c>
      <c r="T2394">
        <v>185</v>
      </c>
      <c r="U2394">
        <f>+SUM(Table1[[#This Row],[Latinos]:[Cemex]])</f>
        <v>1</v>
      </c>
      <c r="V2394" t="str">
        <f>+Table1[[#This Row],[id_destino]]&amp;" - "&amp;Table1[[#This Row],[id_origen]]</f>
        <v>525 - 69</v>
      </c>
    </row>
    <row r="2395" spans="1:22" hidden="1">
      <c r="A2395">
        <v>3017</v>
      </c>
      <c r="B2395">
        <v>3724</v>
      </c>
      <c r="C2395">
        <v>1370</v>
      </c>
      <c r="D2395">
        <v>6879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 t="s">
        <v>20</v>
      </c>
      <c r="L2395" s="1">
        <v>44690</v>
      </c>
      <c r="M2395">
        <v>540</v>
      </c>
      <c r="N2395">
        <v>69</v>
      </c>
      <c r="O2395">
        <v>301</v>
      </c>
      <c r="P2395">
        <v>302</v>
      </c>
      <c r="Q2395">
        <v>301</v>
      </c>
      <c r="S2395">
        <v>1589</v>
      </c>
      <c r="T2395">
        <v>1589</v>
      </c>
      <c r="U2395">
        <f>+SUM(Table1[[#This Row],[Latinos]:[Cemex]])</f>
        <v>1</v>
      </c>
      <c r="V2395" t="str">
        <f>+Table1[[#This Row],[id_destino]]&amp;" - "&amp;Table1[[#This Row],[id_origen]]</f>
        <v>540 - 69</v>
      </c>
    </row>
    <row r="2396" spans="1:22" hidden="1">
      <c r="A2396">
        <v>351</v>
      </c>
      <c r="B2396">
        <v>1526</v>
      </c>
      <c r="C2396">
        <v>1370</v>
      </c>
      <c r="D2396">
        <v>64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 t="s">
        <v>20</v>
      </c>
      <c r="L2396" s="1">
        <v>43043</v>
      </c>
      <c r="M2396">
        <v>602</v>
      </c>
      <c r="N2396">
        <v>69</v>
      </c>
      <c r="O2396">
        <v>68</v>
      </c>
      <c r="P2396">
        <v>150</v>
      </c>
      <c r="Q2396">
        <v>68</v>
      </c>
      <c r="S2396">
        <v>327</v>
      </c>
      <c r="T2396">
        <v>327</v>
      </c>
      <c r="U2396">
        <f>+SUM(Table1[[#This Row],[Latinos]:[Cemex]])</f>
        <v>1</v>
      </c>
      <c r="V2396" t="str">
        <f>+Table1[[#This Row],[id_destino]]&amp;" - "&amp;Table1[[#This Row],[id_origen]]</f>
        <v>602 - 69</v>
      </c>
    </row>
    <row r="2397" spans="1:22" hidden="1">
      <c r="A2397">
        <v>3578</v>
      </c>
      <c r="B2397">
        <v>4087</v>
      </c>
      <c r="C2397">
        <v>6096</v>
      </c>
      <c r="D2397">
        <v>7227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 t="s">
        <v>20</v>
      </c>
      <c r="L2397" s="1">
        <v>44964</v>
      </c>
      <c r="M2397">
        <v>616</v>
      </c>
      <c r="N2397">
        <v>69</v>
      </c>
      <c r="O2397">
        <v>91</v>
      </c>
      <c r="P2397">
        <v>150</v>
      </c>
      <c r="Q2397">
        <v>91</v>
      </c>
      <c r="S2397">
        <v>348</v>
      </c>
      <c r="T2397">
        <v>348</v>
      </c>
      <c r="U2397">
        <f>+SUM(Table1[[#This Row],[Latinos]:[Cemex]])</f>
        <v>1</v>
      </c>
      <c r="V2397" t="str">
        <f>+Table1[[#This Row],[id_destino]]&amp;" - "&amp;Table1[[#This Row],[id_origen]]</f>
        <v>616 - 69</v>
      </c>
    </row>
    <row r="2398" spans="1:22" hidden="1">
      <c r="A2398">
        <v>4507</v>
      </c>
      <c r="B2398">
        <v>4712</v>
      </c>
      <c r="C2398">
        <v>2105</v>
      </c>
      <c r="D2398">
        <v>72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 t="s">
        <v>20</v>
      </c>
      <c r="L2398" s="1">
        <v>45593</v>
      </c>
      <c r="M2398">
        <v>669</v>
      </c>
      <c r="N2398">
        <v>69</v>
      </c>
      <c r="O2398">
        <v>395</v>
      </c>
      <c r="P2398">
        <v>388</v>
      </c>
      <c r="Q2398">
        <v>395</v>
      </c>
      <c r="S2398">
        <v>989</v>
      </c>
      <c r="T2398">
        <v>989</v>
      </c>
      <c r="U2398">
        <f>+SUM(Table1[[#This Row],[Latinos]:[Cemex]])</f>
        <v>1</v>
      </c>
      <c r="V2398" t="str">
        <f>+Table1[[#This Row],[id_destino]]&amp;" - "&amp;Table1[[#This Row],[id_origen]]</f>
        <v>669 - 69</v>
      </c>
    </row>
    <row r="2399" spans="1:22" hidden="1">
      <c r="A2399">
        <v>3884</v>
      </c>
      <c r="B2399">
        <v>2599</v>
      </c>
      <c r="C2399">
        <v>2105</v>
      </c>
      <c r="D2399">
        <v>7450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 t="s">
        <v>20</v>
      </c>
      <c r="L2399" s="1">
        <v>45162</v>
      </c>
      <c r="M2399">
        <v>753</v>
      </c>
      <c r="N2399">
        <v>69</v>
      </c>
      <c r="O2399">
        <v>1388</v>
      </c>
      <c r="P2399">
        <v>1325</v>
      </c>
      <c r="Q2399">
        <v>1388</v>
      </c>
      <c r="S2399">
        <v>3318</v>
      </c>
      <c r="T2399">
        <v>3401</v>
      </c>
      <c r="U2399">
        <f>+SUM(Table1[[#This Row],[Latinos]:[Cemex]])</f>
        <v>1</v>
      </c>
      <c r="V2399" t="str">
        <f>+Table1[[#This Row],[id_destino]]&amp;" - "&amp;Table1[[#This Row],[id_origen]]</f>
        <v>753 - 69</v>
      </c>
    </row>
    <row r="2400" spans="1:22" hidden="1">
      <c r="A2400">
        <v>4543</v>
      </c>
      <c r="B2400">
        <v>4739</v>
      </c>
      <c r="C2400">
        <v>2105</v>
      </c>
      <c r="D2400">
        <v>8010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 t="s">
        <v>20</v>
      </c>
      <c r="L2400" s="1">
        <v>45609</v>
      </c>
      <c r="M2400">
        <v>917</v>
      </c>
      <c r="N2400">
        <v>69</v>
      </c>
      <c r="O2400">
        <v>160</v>
      </c>
      <c r="P2400">
        <v>163</v>
      </c>
      <c r="Q2400">
        <v>160</v>
      </c>
      <c r="S2400">
        <v>149</v>
      </c>
      <c r="T2400">
        <v>149</v>
      </c>
      <c r="U2400">
        <f>+SUM(Table1[[#This Row],[Latinos]:[Cemex]])</f>
        <v>1</v>
      </c>
      <c r="V2400" t="str">
        <f>+Table1[[#This Row],[id_destino]]&amp;" - "&amp;Table1[[#This Row],[id_origen]]</f>
        <v>917 - 69</v>
      </c>
    </row>
    <row r="2401" spans="1:22" hidden="1">
      <c r="A2401">
        <v>142</v>
      </c>
      <c r="B2401">
        <v>633</v>
      </c>
      <c r="C2401">
        <v>5288</v>
      </c>
      <c r="D2401">
        <v>469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 t="s">
        <v>20</v>
      </c>
      <c r="L2401" s="1">
        <v>42999</v>
      </c>
      <c r="M2401">
        <v>2</v>
      </c>
      <c r="N2401">
        <v>71</v>
      </c>
      <c r="O2401">
        <v>579</v>
      </c>
      <c r="P2401">
        <v>573</v>
      </c>
      <c r="Q2401">
        <v>579</v>
      </c>
      <c r="S2401">
        <v>2558</v>
      </c>
      <c r="T2401">
        <v>2558</v>
      </c>
      <c r="U2401">
        <f>+SUM(Table1[[#This Row],[Latinos]:[Cemex]])</f>
        <v>1</v>
      </c>
      <c r="V2401" t="str">
        <f>+Table1[[#This Row],[id_destino]]&amp;" - "&amp;Table1[[#This Row],[id_origen]]</f>
        <v>2 - 71</v>
      </c>
    </row>
    <row r="2402" spans="1:22" hidden="1">
      <c r="A2402">
        <v>2796</v>
      </c>
      <c r="B2402">
        <v>3570</v>
      </c>
      <c r="C2402">
        <v>4197</v>
      </c>
      <c r="D2402">
        <v>4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 t="s">
        <v>20</v>
      </c>
      <c r="L2402" s="1">
        <v>44448</v>
      </c>
      <c r="M2402">
        <v>6</v>
      </c>
      <c r="N2402">
        <v>71</v>
      </c>
      <c r="O2402">
        <v>1666</v>
      </c>
      <c r="P2402">
        <v>1661</v>
      </c>
      <c r="Q2402">
        <v>1666</v>
      </c>
      <c r="S2402">
        <v>4338</v>
      </c>
      <c r="T2402">
        <v>4415</v>
      </c>
      <c r="U2402">
        <f>+SUM(Table1[[#This Row],[Latinos]:[Cemex]])</f>
        <v>1</v>
      </c>
      <c r="V2402" t="str">
        <f>+Table1[[#This Row],[id_destino]]&amp;" - "&amp;Table1[[#This Row],[id_origen]]</f>
        <v>6 - 71</v>
      </c>
    </row>
    <row r="2403" spans="1:22" hidden="1">
      <c r="A2403">
        <v>4483</v>
      </c>
      <c r="B2403">
        <v>4693</v>
      </c>
      <c r="C2403">
        <v>7955</v>
      </c>
      <c r="D2403">
        <v>7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 t="s">
        <v>20</v>
      </c>
      <c r="L2403" s="1">
        <v>45579</v>
      </c>
      <c r="M2403">
        <v>9</v>
      </c>
      <c r="N2403">
        <v>71</v>
      </c>
      <c r="O2403">
        <v>1914</v>
      </c>
      <c r="P2403">
        <v>1838</v>
      </c>
      <c r="Q2403">
        <v>1914</v>
      </c>
      <c r="S2403">
        <v>5069</v>
      </c>
      <c r="T2403">
        <v>5152</v>
      </c>
      <c r="U2403">
        <f>+SUM(Table1[[#This Row],[Latinos]:[Cemex]])</f>
        <v>1</v>
      </c>
      <c r="V2403" t="str">
        <f>+Table1[[#This Row],[id_destino]]&amp;" - "&amp;Table1[[#This Row],[id_origen]]</f>
        <v>9 - 71</v>
      </c>
    </row>
    <row r="2404" spans="1:22" hidden="1">
      <c r="A2404">
        <v>402</v>
      </c>
      <c r="B2404">
        <v>526</v>
      </c>
      <c r="C2404">
        <v>3499</v>
      </c>
      <c r="D2404">
        <v>4035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 t="s">
        <v>20</v>
      </c>
      <c r="L2404" s="1">
        <v>43056</v>
      </c>
      <c r="M2404">
        <v>18</v>
      </c>
      <c r="N2404">
        <v>71</v>
      </c>
      <c r="O2404">
        <v>484</v>
      </c>
      <c r="P2404">
        <v>484</v>
      </c>
      <c r="Q2404">
        <v>484</v>
      </c>
      <c r="S2404">
        <v>1481</v>
      </c>
      <c r="T2404">
        <v>14841</v>
      </c>
      <c r="U2404">
        <f>+SUM(Table1[[#This Row],[Latinos]:[Cemex]])</f>
        <v>1</v>
      </c>
      <c r="V2404" t="str">
        <f>+Table1[[#This Row],[id_destino]]&amp;" - "&amp;Table1[[#This Row],[id_origen]]</f>
        <v>18 - 71</v>
      </c>
    </row>
    <row r="2405" spans="1:22" hidden="1">
      <c r="A2405">
        <v>398</v>
      </c>
      <c r="B2405">
        <v>1568</v>
      </c>
      <c r="C2405">
        <v>1977</v>
      </c>
      <c r="D2405">
        <v>5348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 t="s">
        <v>20</v>
      </c>
      <c r="L2405" s="1">
        <v>43055</v>
      </c>
      <c r="M2405">
        <v>23</v>
      </c>
      <c r="N2405">
        <v>71</v>
      </c>
      <c r="O2405">
        <v>20</v>
      </c>
      <c r="P2405">
        <v>150</v>
      </c>
      <c r="Q2405">
        <v>20</v>
      </c>
      <c r="S2405">
        <v>0</v>
      </c>
      <c r="T2405">
        <v>0</v>
      </c>
      <c r="U2405">
        <f>+SUM(Table1[[#This Row],[Latinos]:[Cemex]])</f>
        <v>1</v>
      </c>
      <c r="V2405" t="str">
        <f>+Table1[[#This Row],[id_destino]]&amp;" - "&amp;Table1[[#This Row],[id_origen]]</f>
        <v>23 - 71</v>
      </c>
    </row>
    <row r="2406" spans="1:22" hidden="1">
      <c r="A2406">
        <v>914</v>
      </c>
      <c r="B2406">
        <v>2509</v>
      </c>
      <c r="C2406">
        <v>420</v>
      </c>
      <c r="D2406">
        <v>362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 t="s">
        <v>20</v>
      </c>
      <c r="L2406" s="1">
        <v>43220</v>
      </c>
      <c r="M2406">
        <v>25</v>
      </c>
      <c r="N2406">
        <v>71</v>
      </c>
      <c r="O2406">
        <v>194</v>
      </c>
      <c r="P2406">
        <v>194</v>
      </c>
      <c r="Q2406">
        <v>194</v>
      </c>
      <c r="S2406">
        <v>433</v>
      </c>
      <c r="T2406">
        <v>433</v>
      </c>
      <c r="U2406">
        <f>+SUM(Table1[[#This Row],[Latinos]:[Cemex]])</f>
        <v>1</v>
      </c>
      <c r="V2406" t="str">
        <f>+Table1[[#This Row],[id_destino]]&amp;" - "&amp;Table1[[#This Row],[id_origen]]</f>
        <v>25 - 71</v>
      </c>
    </row>
    <row r="2407" spans="1:22" hidden="1">
      <c r="A2407">
        <v>396</v>
      </c>
      <c r="B2407">
        <v>857</v>
      </c>
      <c r="C2407">
        <v>1977</v>
      </c>
      <c r="D2407">
        <v>4690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 t="s">
        <v>20</v>
      </c>
      <c r="L2407" s="1">
        <v>43055</v>
      </c>
      <c r="M2407">
        <v>26</v>
      </c>
      <c r="N2407">
        <v>71</v>
      </c>
      <c r="O2407">
        <v>20</v>
      </c>
      <c r="P2407">
        <v>150</v>
      </c>
      <c r="Q2407">
        <v>20</v>
      </c>
      <c r="S2407">
        <v>0</v>
      </c>
      <c r="T2407">
        <v>0</v>
      </c>
      <c r="U2407">
        <f>+SUM(Table1[[#This Row],[Latinos]:[Cemex]])</f>
        <v>1</v>
      </c>
      <c r="V2407" t="str">
        <f>+Table1[[#This Row],[id_destino]]&amp;" - "&amp;Table1[[#This Row],[id_origen]]</f>
        <v>26 - 71</v>
      </c>
    </row>
    <row r="2408" spans="1:22" hidden="1">
      <c r="A2408">
        <v>1630</v>
      </c>
      <c r="B2408">
        <v>663</v>
      </c>
      <c r="C2408">
        <v>420</v>
      </c>
      <c r="D2408">
        <v>403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 t="s">
        <v>20</v>
      </c>
      <c r="L2408" s="1">
        <v>43537</v>
      </c>
      <c r="M2408">
        <v>27</v>
      </c>
      <c r="N2408">
        <v>71</v>
      </c>
      <c r="O2408">
        <v>335</v>
      </c>
      <c r="P2408">
        <v>335</v>
      </c>
      <c r="Q2408">
        <v>335</v>
      </c>
      <c r="S2408">
        <v>377</v>
      </c>
      <c r="T2408">
        <v>377</v>
      </c>
      <c r="U2408">
        <f>+SUM(Table1[[#This Row],[Latinos]:[Cemex]])</f>
        <v>1</v>
      </c>
      <c r="V2408" t="str">
        <f>+Table1[[#This Row],[id_destino]]&amp;" - "&amp;Table1[[#This Row],[id_origen]]</f>
        <v>27 - 71</v>
      </c>
    </row>
    <row r="2409" spans="1:22" hidden="1">
      <c r="A2409">
        <v>1939</v>
      </c>
      <c r="B2409">
        <v>3033</v>
      </c>
      <c r="C2409">
        <v>5690</v>
      </c>
      <c r="D2409">
        <v>40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 t="s">
        <v>20</v>
      </c>
      <c r="L2409" s="1">
        <v>43729</v>
      </c>
      <c r="M2409">
        <v>34</v>
      </c>
      <c r="N2409">
        <v>71</v>
      </c>
      <c r="O2409">
        <v>732</v>
      </c>
      <c r="P2409">
        <v>732</v>
      </c>
      <c r="Q2409">
        <v>732</v>
      </c>
      <c r="S2409">
        <v>1120</v>
      </c>
      <c r="T2409">
        <v>1239</v>
      </c>
      <c r="U2409">
        <f>+SUM(Table1[[#This Row],[Latinos]:[Cemex]])</f>
        <v>1</v>
      </c>
      <c r="V2409" t="str">
        <f>+Table1[[#This Row],[id_destino]]&amp;" - "&amp;Table1[[#This Row],[id_origen]]</f>
        <v>34 - 71</v>
      </c>
    </row>
    <row r="2410" spans="1:22" hidden="1">
      <c r="A2410">
        <v>4375</v>
      </c>
      <c r="B2410">
        <v>4607</v>
      </c>
      <c r="C2410">
        <v>5690</v>
      </c>
      <c r="D2410">
        <v>6311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 t="s">
        <v>20</v>
      </c>
      <c r="L2410" s="1">
        <v>45500</v>
      </c>
      <c r="M2410">
        <v>49</v>
      </c>
      <c r="N2410">
        <v>71</v>
      </c>
      <c r="O2410">
        <v>775</v>
      </c>
      <c r="P2410">
        <v>772</v>
      </c>
      <c r="Q2410">
        <v>775</v>
      </c>
      <c r="S2410">
        <v>2301</v>
      </c>
      <c r="T2410">
        <v>2301</v>
      </c>
      <c r="U2410">
        <f>+SUM(Table1[[#This Row],[Latinos]:[Cemex]])</f>
        <v>1</v>
      </c>
      <c r="V2410" t="str">
        <f>+Table1[[#This Row],[id_destino]]&amp;" - "&amp;Table1[[#This Row],[id_origen]]</f>
        <v>49 - 71</v>
      </c>
    </row>
    <row r="2411" spans="1:22" hidden="1">
      <c r="A2411">
        <v>1321</v>
      </c>
      <c r="B2411">
        <v>1342</v>
      </c>
      <c r="C2411">
        <v>3499</v>
      </c>
      <c r="D2411">
        <v>4312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 t="s">
        <v>20</v>
      </c>
      <c r="L2411" s="1">
        <v>43383</v>
      </c>
      <c r="M2411">
        <v>52</v>
      </c>
      <c r="N2411">
        <v>71</v>
      </c>
      <c r="O2411">
        <v>848</v>
      </c>
      <c r="P2411">
        <v>858</v>
      </c>
      <c r="Q2411">
        <v>848</v>
      </c>
      <c r="S2411">
        <v>881.9</v>
      </c>
      <c r="T2411">
        <v>881.9</v>
      </c>
      <c r="U2411">
        <f>+SUM(Table1[[#This Row],[Latinos]:[Cemex]])</f>
        <v>1</v>
      </c>
      <c r="V2411" t="str">
        <f>+Table1[[#This Row],[id_destino]]&amp;" - "&amp;Table1[[#This Row],[id_origen]]</f>
        <v>52 - 71</v>
      </c>
    </row>
    <row r="2412" spans="1:22" hidden="1">
      <c r="A2412">
        <v>1250</v>
      </c>
      <c r="B2412">
        <v>2422</v>
      </c>
      <c r="C2412">
        <v>5690</v>
      </c>
      <c r="D2412">
        <v>3984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 t="s">
        <v>20</v>
      </c>
      <c r="L2412" s="1">
        <v>43353</v>
      </c>
      <c r="M2412">
        <v>59</v>
      </c>
      <c r="N2412">
        <v>71</v>
      </c>
      <c r="O2412">
        <v>909</v>
      </c>
      <c r="P2412">
        <v>909</v>
      </c>
      <c r="Q2412">
        <v>909</v>
      </c>
      <c r="S2412">
        <v>2407</v>
      </c>
      <c r="T2412">
        <v>2590</v>
      </c>
      <c r="U2412">
        <f>+SUM(Table1[[#This Row],[Latinos]:[Cemex]])</f>
        <v>1</v>
      </c>
      <c r="V2412" t="str">
        <f>+Table1[[#This Row],[id_destino]]&amp;" - "&amp;Table1[[#This Row],[id_origen]]</f>
        <v>59 - 71</v>
      </c>
    </row>
    <row r="2413" spans="1:22" hidden="1">
      <c r="A2413">
        <v>1253</v>
      </c>
      <c r="B2413">
        <v>2656</v>
      </c>
      <c r="C2413">
        <v>5690</v>
      </c>
      <c r="D2413">
        <v>3984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 t="s">
        <v>20</v>
      </c>
      <c r="L2413" s="1">
        <v>43353</v>
      </c>
      <c r="M2413">
        <v>59</v>
      </c>
      <c r="N2413">
        <v>71</v>
      </c>
      <c r="O2413">
        <v>909</v>
      </c>
      <c r="P2413">
        <v>909</v>
      </c>
      <c r="Q2413">
        <v>909</v>
      </c>
      <c r="S2413">
        <v>2407</v>
      </c>
      <c r="T2413">
        <v>2590</v>
      </c>
      <c r="U2413">
        <f>+SUM(Table1[[#This Row],[Latinos]:[Cemex]])</f>
        <v>1</v>
      </c>
      <c r="V2413" t="str">
        <f>+Table1[[#This Row],[id_destino]]&amp;" - "&amp;Table1[[#This Row],[id_origen]]</f>
        <v>59 - 71</v>
      </c>
    </row>
    <row r="2414" spans="1:22" hidden="1">
      <c r="A2414">
        <v>4764</v>
      </c>
      <c r="B2414">
        <v>1682</v>
      </c>
      <c r="C2414">
        <v>8226</v>
      </c>
      <c r="D2414">
        <v>8228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 t="s">
        <v>20</v>
      </c>
      <c r="L2414" s="1">
        <v>45792</v>
      </c>
      <c r="M2414">
        <v>65</v>
      </c>
      <c r="N2414">
        <v>71</v>
      </c>
      <c r="O2414">
        <v>665</v>
      </c>
      <c r="P2414">
        <v>665</v>
      </c>
      <c r="Q2414">
        <v>665</v>
      </c>
      <c r="S2414">
        <v>3014</v>
      </c>
      <c r="T2414">
        <v>3014</v>
      </c>
      <c r="U2414">
        <f>+SUM(Table1[[#This Row],[Latinos]:[Cemex]])</f>
        <v>1</v>
      </c>
      <c r="V2414" t="str">
        <f>+Table1[[#This Row],[id_destino]]&amp;" - "&amp;Table1[[#This Row],[id_origen]]</f>
        <v>65 - 71</v>
      </c>
    </row>
    <row r="2415" spans="1:22" hidden="1">
      <c r="A2415">
        <v>389</v>
      </c>
      <c r="B2415">
        <v>979</v>
      </c>
      <c r="C2415">
        <v>5345</v>
      </c>
      <c r="D2415">
        <v>1977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 t="s">
        <v>20</v>
      </c>
      <c r="L2415" s="1">
        <v>43054</v>
      </c>
      <c r="M2415">
        <v>71</v>
      </c>
      <c r="N2415">
        <v>71</v>
      </c>
      <c r="O2415">
        <v>20</v>
      </c>
      <c r="P2415">
        <v>150</v>
      </c>
      <c r="Q2415">
        <v>20</v>
      </c>
      <c r="S2415">
        <v>0</v>
      </c>
      <c r="T2415">
        <v>0</v>
      </c>
      <c r="U2415">
        <f>+SUM(Table1[[#This Row],[Latinos]:[Cemex]])</f>
        <v>1</v>
      </c>
      <c r="V2415" t="str">
        <f>+Table1[[#This Row],[id_destino]]&amp;" - "&amp;Table1[[#This Row],[id_origen]]</f>
        <v>71 - 71</v>
      </c>
    </row>
    <row r="2416" spans="1:22" hidden="1">
      <c r="A2416">
        <v>915</v>
      </c>
      <c r="B2416">
        <v>2510</v>
      </c>
      <c r="C2416">
        <v>420</v>
      </c>
      <c r="D2416">
        <v>5470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 t="s">
        <v>20</v>
      </c>
      <c r="L2416" s="1">
        <v>43211</v>
      </c>
      <c r="M2416">
        <v>87</v>
      </c>
      <c r="N2416">
        <v>71</v>
      </c>
      <c r="O2416">
        <v>126</v>
      </c>
      <c r="P2416">
        <v>150</v>
      </c>
      <c r="Q2416">
        <v>126</v>
      </c>
      <c r="S2416">
        <v>217</v>
      </c>
      <c r="T2416">
        <v>217</v>
      </c>
      <c r="U2416">
        <f>+SUM(Table1[[#This Row],[Latinos]:[Cemex]])</f>
        <v>1</v>
      </c>
      <c r="V2416" t="str">
        <f>+Table1[[#This Row],[id_destino]]&amp;" - "&amp;Table1[[#This Row],[id_origen]]</f>
        <v>87 - 71</v>
      </c>
    </row>
    <row r="2417" spans="1:22" hidden="1">
      <c r="A2417">
        <v>4795</v>
      </c>
      <c r="B2417">
        <v>2510</v>
      </c>
      <c r="C2417">
        <v>4197</v>
      </c>
      <c r="D2417">
        <v>3476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 t="s">
        <v>20</v>
      </c>
      <c r="L2417" s="1">
        <v>45833</v>
      </c>
      <c r="M2417">
        <v>87</v>
      </c>
      <c r="N2417">
        <v>71</v>
      </c>
      <c r="O2417">
        <v>134</v>
      </c>
      <c r="P2417">
        <v>150</v>
      </c>
      <c r="Q2417">
        <v>134</v>
      </c>
      <c r="S2417">
        <v>303</v>
      </c>
      <c r="T2417">
        <v>303</v>
      </c>
      <c r="U2417">
        <f>+SUM(Table1[[#This Row],[Latinos]:[Cemex]])</f>
        <v>1</v>
      </c>
      <c r="V2417" t="str">
        <f>+Table1[[#This Row],[id_destino]]&amp;" - "&amp;Table1[[#This Row],[id_origen]]</f>
        <v>87 - 71</v>
      </c>
    </row>
    <row r="2418" spans="1:22" hidden="1">
      <c r="A2418">
        <v>1107</v>
      </c>
      <c r="B2418">
        <v>1707</v>
      </c>
      <c r="C2418">
        <v>3499</v>
      </c>
      <c r="D2418">
        <v>1555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 t="s">
        <v>20</v>
      </c>
      <c r="L2418" s="1">
        <v>43292</v>
      </c>
      <c r="M2418">
        <v>107</v>
      </c>
      <c r="N2418">
        <v>71</v>
      </c>
      <c r="O2418">
        <v>781</v>
      </c>
      <c r="P2418">
        <v>767</v>
      </c>
      <c r="Q2418">
        <v>781</v>
      </c>
      <c r="S2418">
        <v>1163.79</v>
      </c>
      <c r="T2418">
        <v>1212.06</v>
      </c>
      <c r="U2418">
        <f>+SUM(Table1[[#This Row],[Latinos]:[Cemex]])</f>
        <v>1</v>
      </c>
      <c r="V2418" t="str">
        <f>+Table1[[#This Row],[id_destino]]&amp;" - "&amp;Table1[[#This Row],[id_origen]]</f>
        <v>107 - 71</v>
      </c>
    </row>
    <row r="2419" spans="1:22" hidden="1">
      <c r="A2419">
        <v>801</v>
      </c>
      <c r="B2419">
        <v>2459</v>
      </c>
      <c r="C2419">
        <v>420</v>
      </c>
      <c r="D2419">
        <v>378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 t="s">
        <v>20</v>
      </c>
      <c r="L2419" s="1">
        <v>43169</v>
      </c>
      <c r="M2419">
        <v>123</v>
      </c>
      <c r="N2419">
        <v>71</v>
      </c>
      <c r="O2419">
        <v>476</v>
      </c>
      <c r="P2419">
        <v>476</v>
      </c>
      <c r="Q2419">
        <v>476</v>
      </c>
      <c r="S2419">
        <v>1289</v>
      </c>
      <c r="T2419">
        <v>1289</v>
      </c>
      <c r="U2419">
        <f>+SUM(Table1[[#This Row],[Latinos]:[Cemex]])</f>
        <v>1</v>
      </c>
      <c r="V2419" t="str">
        <f>+Table1[[#This Row],[id_destino]]&amp;" - "&amp;Table1[[#This Row],[id_origen]]</f>
        <v>123 - 71</v>
      </c>
    </row>
    <row r="2420" spans="1:22" hidden="1">
      <c r="A2420">
        <v>3430</v>
      </c>
      <c r="B2420">
        <v>2100</v>
      </c>
      <c r="C2420">
        <v>5690</v>
      </c>
      <c r="D2420">
        <v>3176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 t="s">
        <v>20</v>
      </c>
      <c r="L2420" s="1">
        <v>44887</v>
      </c>
      <c r="M2420">
        <v>136</v>
      </c>
      <c r="N2420">
        <v>71</v>
      </c>
      <c r="O2420">
        <v>667</v>
      </c>
      <c r="P2420">
        <v>649</v>
      </c>
      <c r="Q2420">
        <v>667</v>
      </c>
      <c r="S2420">
        <v>3131</v>
      </c>
      <c r="T2420">
        <v>3131</v>
      </c>
      <c r="U2420">
        <f>+SUM(Table1[[#This Row],[Latinos]:[Cemex]])</f>
        <v>1</v>
      </c>
      <c r="V2420" t="str">
        <f>+Table1[[#This Row],[id_destino]]&amp;" - "&amp;Table1[[#This Row],[id_origen]]</f>
        <v>136 - 71</v>
      </c>
    </row>
    <row r="2421" spans="1:22" hidden="1">
      <c r="A2421">
        <v>1716</v>
      </c>
      <c r="B2421">
        <v>2901</v>
      </c>
      <c r="C2421">
        <v>420</v>
      </c>
      <c r="D2421">
        <v>418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 t="s">
        <v>20</v>
      </c>
      <c r="L2421" s="1">
        <v>43577</v>
      </c>
      <c r="M2421">
        <v>145</v>
      </c>
      <c r="N2421">
        <v>71</v>
      </c>
      <c r="O2421">
        <v>207</v>
      </c>
      <c r="P2421">
        <v>207</v>
      </c>
      <c r="Q2421">
        <v>207</v>
      </c>
      <c r="S2421">
        <v>342</v>
      </c>
      <c r="T2421">
        <v>342</v>
      </c>
      <c r="U2421">
        <f>+SUM(Table1[[#This Row],[Latinos]:[Cemex]])</f>
        <v>1</v>
      </c>
      <c r="V2421" t="str">
        <f>+Table1[[#This Row],[id_destino]]&amp;" - "&amp;Table1[[#This Row],[id_origen]]</f>
        <v>145 - 71</v>
      </c>
    </row>
    <row r="2422" spans="1:22" hidden="1">
      <c r="A2422">
        <v>3906</v>
      </c>
      <c r="B2422">
        <v>2901</v>
      </c>
      <c r="C2422">
        <v>4197</v>
      </c>
      <c r="D2422">
        <v>5672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 t="s">
        <v>20</v>
      </c>
      <c r="L2422" s="1">
        <v>45175</v>
      </c>
      <c r="M2422">
        <v>145</v>
      </c>
      <c r="N2422">
        <v>71</v>
      </c>
      <c r="O2422">
        <v>197</v>
      </c>
      <c r="P2422">
        <v>207</v>
      </c>
      <c r="Q2422">
        <v>197</v>
      </c>
      <c r="S2422">
        <v>788</v>
      </c>
      <c r="T2422">
        <v>788</v>
      </c>
      <c r="U2422">
        <f>+SUM(Table1[[#This Row],[Latinos]:[Cemex]])</f>
        <v>1</v>
      </c>
      <c r="V2422" t="str">
        <f>+Table1[[#This Row],[id_destino]]&amp;" - "&amp;Table1[[#This Row],[id_origen]]</f>
        <v>145 - 71</v>
      </c>
    </row>
    <row r="2423" spans="1:22" hidden="1">
      <c r="A2423">
        <v>987</v>
      </c>
      <c r="B2423">
        <v>2533</v>
      </c>
      <c r="C2423">
        <v>420</v>
      </c>
      <c r="D2423">
        <v>382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 t="s">
        <v>20</v>
      </c>
      <c r="L2423" s="1">
        <v>43238</v>
      </c>
      <c r="M2423">
        <v>169</v>
      </c>
      <c r="N2423">
        <v>71</v>
      </c>
      <c r="O2423">
        <v>217</v>
      </c>
      <c r="P2423">
        <v>217</v>
      </c>
      <c r="Q2423">
        <v>217</v>
      </c>
      <c r="S2423">
        <v>651</v>
      </c>
      <c r="T2423">
        <v>651</v>
      </c>
      <c r="U2423">
        <f>+SUM(Table1[[#This Row],[Latinos]:[Cemex]])</f>
        <v>1</v>
      </c>
      <c r="V2423" t="str">
        <f>+Table1[[#This Row],[id_destino]]&amp;" - "&amp;Table1[[#This Row],[id_origen]]</f>
        <v>169 - 71</v>
      </c>
    </row>
    <row r="2424" spans="1:22" hidden="1">
      <c r="A2424">
        <v>2341</v>
      </c>
      <c r="B2424">
        <v>2533</v>
      </c>
      <c r="C2424">
        <v>1385</v>
      </c>
      <c r="D2424">
        <v>12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 t="s">
        <v>20</v>
      </c>
      <c r="L2424" s="1">
        <v>43958</v>
      </c>
      <c r="M2424">
        <v>169</v>
      </c>
      <c r="N2424">
        <v>71</v>
      </c>
      <c r="O2424">
        <v>217</v>
      </c>
      <c r="P2424">
        <v>217</v>
      </c>
      <c r="Q2424">
        <v>217</v>
      </c>
      <c r="S2424">
        <v>778</v>
      </c>
      <c r="T2424">
        <v>778</v>
      </c>
      <c r="U2424">
        <f>+SUM(Table1[[#This Row],[Latinos]:[Cemex]])</f>
        <v>1</v>
      </c>
      <c r="V2424" t="str">
        <f>+Table1[[#This Row],[id_destino]]&amp;" - "&amp;Table1[[#This Row],[id_origen]]</f>
        <v>169 - 71</v>
      </c>
    </row>
    <row r="2425" spans="1:22" hidden="1">
      <c r="A2425">
        <v>4577</v>
      </c>
      <c r="B2425">
        <v>4770</v>
      </c>
      <c r="C2425">
        <v>5765</v>
      </c>
      <c r="D2425">
        <v>8045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 t="s">
        <v>20</v>
      </c>
      <c r="L2425" s="1">
        <v>45628</v>
      </c>
      <c r="M2425">
        <v>179</v>
      </c>
      <c r="N2425">
        <v>71</v>
      </c>
      <c r="O2425">
        <v>1351</v>
      </c>
      <c r="P2425">
        <v>1351</v>
      </c>
      <c r="Q2425">
        <v>1351</v>
      </c>
      <c r="S2425">
        <v>4438</v>
      </c>
      <c r="T2425">
        <v>4438</v>
      </c>
      <c r="U2425">
        <f>+SUM(Table1[[#This Row],[Latinos]:[Cemex]])</f>
        <v>1</v>
      </c>
      <c r="V2425" t="str">
        <f>+Table1[[#This Row],[id_destino]]&amp;" - "&amp;Table1[[#This Row],[id_origen]]</f>
        <v>179 - 71</v>
      </c>
    </row>
    <row r="2426" spans="1:22" hidden="1">
      <c r="A2426">
        <v>4665</v>
      </c>
      <c r="B2426">
        <v>4832</v>
      </c>
      <c r="C2426">
        <v>7695</v>
      </c>
      <c r="D2426">
        <v>5339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 t="s">
        <v>20</v>
      </c>
      <c r="L2426" s="1">
        <v>45713</v>
      </c>
      <c r="M2426">
        <v>254</v>
      </c>
      <c r="N2426">
        <v>71</v>
      </c>
      <c r="O2426">
        <v>547</v>
      </c>
      <c r="P2426">
        <v>537</v>
      </c>
      <c r="Q2426">
        <v>547</v>
      </c>
      <c r="S2426">
        <v>2377</v>
      </c>
      <c r="T2426">
        <v>2491</v>
      </c>
      <c r="U2426">
        <f>+SUM(Table1[[#This Row],[Latinos]:[Cemex]])</f>
        <v>1</v>
      </c>
      <c r="V2426" t="str">
        <f>+Table1[[#This Row],[id_destino]]&amp;" - "&amp;Table1[[#This Row],[id_origen]]</f>
        <v>254 - 71</v>
      </c>
    </row>
    <row r="2427" spans="1:22" hidden="1">
      <c r="A2427">
        <v>2646</v>
      </c>
      <c r="B2427">
        <v>3475</v>
      </c>
      <c r="C2427">
        <v>5690</v>
      </c>
      <c r="D2427">
        <v>33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 t="s">
        <v>20</v>
      </c>
      <c r="L2427" s="1">
        <v>44284</v>
      </c>
      <c r="M2427">
        <v>260</v>
      </c>
      <c r="N2427">
        <v>71</v>
      </c>
      <c r="O2427">
        <v>938</v>
      </c>
      <c r="P2427">
        <v>923</v>
      </c>
      <c r="Q2427">
        <v>938</v>
      </c>
      <c r="S2427">
        <v>2132</v>
      </c>
      <c r="T2427">
        <v>2206</v>
      </c>
      <c r="U2427">
        <f>+SUM(Table1[[#This Row],[Latinos]:[Cemex]])</f>
        <v>1</v>
      </c>
      <c r="V2427" t="str">
        <f>+Table1[[#This Row],[id_destino]]&amp;" - "&amp;Table1[[#This Row],[id_origen]]</f>
        <v>260 - 71</v>
      </c>
    </row>
    <row r="2428" spans="1:22" hidden="1">
      <c r="A2428">
        <v>626</v>
      </c>
      <c r="B2428">
        <v>2372</v>
      </c>
      <c r="C2428">
        <v>420</v>
      </c>
      <c r="D2428">
        <v>5427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 t="s">
        <v>20</v>
      </c>
      <c r="L2428" s="1">
        <v>43118</v>
      </c>
      <c r="M2428">
        <v>734</v>
      </c>
      <c r="N2428">
        <v>71</v>
      </c>
      <c r="O2428">
        <v>206</v>
      </c>
      <c r="P2428">
        <v>206</v>
      </c>
      <c r="Q2428">
        <v>206</v>
      </c>
      <c r="S2428">
        <v>477</v>
      </c>
      <c r="T2428">
        <v>477</v>
      </c>
      <c r="U2428">
        <f>+SUM(Table1[[#This Row],[Latinos]:[Cemex]])</f>
        <v>1</v>
      </c>
      <c r="V2428" t="str">
        <f>+Table1[[#This Row],[id_destino]]&amp;" - "&amp;Table1[[#This Row],[id_origen]]</f>
        <v>734 - 71</v>
      </c>
    </row>
    <row r="2429" spans="1:22" hidden="1">
      <c r="A2429">
        <v>1559</v>
      </c>
      <c r="B2429">
        <v>2809</v>
      </c>
      <c r="C2429">
        <v>3700</v>
      </c>
      <c r="D2429">
        <v>1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 t="s">
        <v>20</v>
      </c>
      <c r="L2429" s="1">
        <v>43507</v>
      </c>
      <c r="M2429">
        <v>3</v>
      </c>
      <c r="N2429">
        <v>72</v>
      </c>
      <c r="O2429">
        <v>764</v>
      </c>
      <c r="P2429">
        <v>773</v>
      </c>
      <c r="Q2429">
        <v>764</v>
      </c>
      <c r="S2429">
        <v>1683</v>
      </c>
      <c r="T2429">
        <v>1683</v>
      </c>
      <c r="U2429">
        <f>+SUM(Table1[[#This Row],[Latinos]:[Cemex]])</f>
        <v>1</v>
      </c>
      <c r="V2429" t="str">
        <f>+Table1[[#This Row],[id_destino]]&amp;" - "&amp;Table1[[#This Row],[id_origen]]</f>
        <v>3 - 72</v>
      </c>
    </row>
    <row r="2430" spans="1:22" hidden="1">
      <c r="A2430">
        <v>4822</v>
      </c>
      <c r="B2430">
        <v>4932</v>
      </c>
      <c r="C2430">
        <v>3700</v>
      </c>
      <c r="D2430">
        <v>7720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 t="s">
        <v>20</v>
      </c>
      <c r="L2430" s="1">
        <v>45866</v>
      </c>
      <c r="M2430">
        <v>7</v>
      </c>
      <c r="N2430">
        <v>72</v>
      </c>
      <c r="O2430">
        <v>1687</v>
      </c>
      <c r="P2430">
        <v>1619</v>
      </c>
      <c r="Q2430">
        <v>1687</v>
      </c>
      <c r="S2430">
        <v>3846</v>
      </c>
      <c r="T2430">
        <v>3846</v>
      </c>
      <c r="U2430">
        <f>+SUM(Table1[[#This Row],[Latinos]:[Cemex]])</f>
        <v>1</v>
      </c>
      <c r="V2430" t="str">
        <f>+Table1[[#This Row],[id_destino]]&amp;" - "&amp;Table1[[#This Row],[id_origen]]</f>
        <v>7 - 72</v>
      </c>
    </row>
    <row r="2431" spans="1:22" hidden="1">
      <c r="A2431">
        <v>2131</v>
      </c>
      <c r="B2431">
        <v>284</v>
      </c>
      <c r="C2431">
        <v>846</v>
      </c>
      <c r="D2431">
        <v>1498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 t="s">
        <v>20</v>
      </c>
      <c r="L2431" s="1">
        <v>43825</v>
      </c>
      <c r="M2431">
        <v>11</v>
      </c>
      <c r="N2431">
        <v>72</v>
      </c>
      <c r="O2431">
        <v>196</v>
      </c>
      <c r="P2431">
        <v>196</v>
      </c>
      <c r="Q2431">
        <v>196</v>
      </c>
      <c r="S2431">
        <v>674</v>
      </c>
      <c r="T2431">
        <v>748</v>
      </c>
      <c r="U2431">
        <f>+SUM(Table1[[#This Row],[Latinos]:[Cemex]])</f>
        <v>1</v>
      </c>
      <c r="V2431" t="str">
        <f>+Table1[[#This Row],[id_destino]]&amp;" - "&amp;Table1[[#This Row],[id_origen]]</f>
        <v>11 - 72</v>
      </c>
    </row>
    <row r="2432" spans="1:22" hidden="1">
      <c r="A2432">
        <v>2703</v>
      </c>
      <c r="B2432">
        <v>3510</v>
      </c>
      <c r="C2432">
        <v>3743</v>
      </c>
      <c r="D2432">
        <v>18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 t="s">
        <v>71</v>
      </c>
      <c r="L2432" s="1">
        <v>44361</v>
      </c>
      <c r="M2432">
        <v>17</v>
      </c>
      <c r="N2432">
        <v>72</v>
      </c>
      <c r="O2432">
        <v>874</v>
      </c>
      <c r="P2432">
        <v>911</v>
      </c>
      <c r="Q2432">
        <v>874</v>
      </c>
      <c r="S2432">
        <v>913</v>
      </c>
      <c r="T2432">
        <v>987</v>
      </c>
      <c r="U2432">
        <f>+SUM(Table1[[#This Row],[Latinos]:[Cemex]])</f>
        <v>1</v>
      </c>
      <c r="V2432" t="str">
        <f>+Table1[[#This Row],[id_destino]]&amp;" - "&amp;Table1[[#This Row],[id_origen]]</f>
        <v>17 - 72</v>
      </c>
    </row>
    <row r="2433" spans="1:22" hidden="1">
      <c r="A2433">
        <v>853</v>
      </c>
      <c r="B2433">
        <v>970</v>
      </c>
      <c r="C2433">
        <v>3700</v>
      </c>
      <c r="D2433">
        <v>4177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 t="s">
        <v>20</v>
      </c>
      <c r="L2433" s="1">
        <v>43194</v>
      </c>
      <c r="M2433">
        <v>18</v>
      </c>
      <c r="N2433">
        <v>72</v>
      </c>
      <c r="O2433">
        <v>48</v>
      </c>
      <c r="P2433">
        <v>150</v>
      </c>
      <c r="Q2433">
        <v>48</v>
      </c>
      <c r="S2433">
        <v>458</v>
      </c>
      <c r="T2433">
        <v>556</v>
      </c>
      <c r="U2433">
        <f>+SUM(Table1[[#This Row],[Latinos]:[Cemex]])</f>
        <v>1</v>
      </c>
      <c r="V2433" t="str">
        <f>+Table1[[#This Row],[id_destino]]&amp;" - "&amp;Table1[[#This Row],[id_origen]]</f>
        <v>18 - 72</v>
      </c>
    </row>
    <row r="2434" spans="1:22" hidden="1">
      <c r="A2434">
        <v>885</v>
      </c>
      <c r="B2434">
        <v>970</v>
      </c>
      <c r="C2434">
        <v>846</v>
      </c>
      <c r="D2434">
        <v>5776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 t="s">
        <v>20</v>
      </c>
      <c r="L2434" s="1">
        <v>45173</v>
      </c>
      <c r="M2434">
        <v>18</v>
      </c>
      <c r="N2434">
        <v>72</v>
      </c>
      <c r="O2434">
        <v>40</v>
      </c>
      <c r="P2434">
        <v>150</v>
      </c>
      <c r="Q2434">
        <v>40</v>
      </c>
      <c r="S2434">
        <v>539</v>
      </c>
      <c r="T2434">
        <v>632</v>
      </c>
      <c r="U2434">
        <f>+SUM(Table1[[#This Row],[Latinos]:[Cemex]])</f>
        <v>1</v>
      </c>
      <c r="V2434" t="str">
        <f>+Table1[[#This Row],[id_destino]]&amp;" - "&amp;Table1[[#This Row],[id_origen]]</f>
        <v>18 - 72</v>
      </c>
    </row>
    <row r="2435" spans="1:22" hidden="1">
      <c r="A2435">
        <v>1918</v>
      </c>
      <c r="B2435">
        <v>970</v>
      </c>
      <c r="C2435">
        <v>846</v>
      </c>
      <c r="D2435">
        <v>3612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 t="s">
        <v>20</v>
      </c>
      <c r="L2435" s="1">
        <v>43715</v>
      </c>
      <c r="M2435">
        <v>18</v>
      </c>
      <c r="N2435">
        <v>72</v>
      </c>
      <c r="O2435">
        <v>50</v>
      </c>
      <c r="P2435">
        <v>150</v>
      </c>
      <c r="Q2435">
        <v>50</v>
      </c>
      <c r="S2435">
        <v>156</v>
      </c>
      <c r="T2435">
        <v>229</v>
      </c>
      <c r="U2435">
        <f>+SUM(Table1[[#This Row],[Latinos]:[Cemex]])</f>
        <v>1</v>
      </c>
      <c r="V2435" t="str">
        <f>+Table1[[#This Row],[id_destino]]&amp;" - "&amp;Table1[[#This Row],[id_origen]]</f>
        <v>18 - 72</v>
      </c>
    </row>
    <row r="2436" spans="1:22" hidden="1">
      <c r="A2436">
        <v>1806</v>
      </c>
      <c r="B2436">
        <v>1127</v>
      </c>
      <c r="C2436">
        <v>846</v>
      </c>
      <c r="D2436">
        <v>4401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 t="s">
        <v>20</v>
      </c>
      <c r="L2436" s="1">
        <v>43641</v>
      </c>
      <c r="M2436">
        <v>20</v>
      </c>
      <c r="N2436">
        <v>72</v>
      </c>
      <c r="O2436">
        <v>40</v>
      </c>
      <c r="P2436">
        <v>150</v>
      </c>
      <c r="Q2436">
        <v>40</v>
      </c>
      <c r="S2436">
        <v>156</v>
      </c>
      <c r="T2436">
        <v>229</v>
      </c>
      <c r="U2436">
        <f>+SUM(Table1[[#This Row],[Latinos]:[Cemex]])</f>
        <v>1</v>
      </c>
      <c r="V2436" t="str">
        <f>+Table1[[#This Row],[id_destino]]&amp;" - "&amp;Table1[[#This Row],[id_origen]]</f>
        <v>20 - 72</v>
      </c>
    </row>
    <row r="2437" spans="1:22" hidden="1">
      <c r="A2437">
        <v>3744</v>
      </c>
      <c r="B2437">
        <v>481</v>
      </c>
      <c r="C2437">
        <v>846</v>
      </c>
      <c r="D2437">
        <v>4455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 t="s">
        <v>20</v>
      </c>
      <c r="L2437" s="1">
        <v>45064</v>
      </c>
      <c r="M2437">
        <v>23</v>
      </c>
      <c r="N2437">
        <v>72</v>
      </c>
      <c r="O2437">
        <v>546</v>
      </c>
      <c r="P2437">
        <v>536</v>
      </c>
      <c r="Q2437">
        <v>546</v>
      </c>
      <c r="S2437">
        <v>2776</v>
      </c>
      <c r="T2437">
        <v>2869</v>
      </c>
      <c r="U2437">
        <f>+SUM(Table1[[#This Row],[Latinos]:[Cemex]])</f>
        <v>1</v>
      </c>
      <c r="V2437" t="str">
        <f>+Table1[[#This Row],[id_destino]]&amp;" - "&amp;Table1[[#This Row],[id_origen]]</f>
        <v>23 - 72</v>
      </c>
    </row>
    <row r="2438" spans="1:22" hidden="1">
      <c r="A2438">
        <v>2406</v>
      </c>
      <c r="B2438">
        <v>3324</v>
      </c>
      <c r="C2438">
        <v>846</v>
      </c>
      <c r="D2438">
        <v>6151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 t="s">
        <v>20</v>
      </c>
      <c r="L2438" s="1">
        <v>44046</v>
      </c>
      <c r="M2438">
        <v>47</v>
      </c>
      <c r="N2438">
        <v>72</v>
      </c>
      <c r="O2438">
        <v>123</v>
      </c>
      <c r="P2438">
        <v>150</v>
      </c>
      <c r="Q2438">
        <v>123</v>
      </c>
      <c r="S2438">
        <v>546</v>
      </c>
      <c r="T2438">
        <v>639</v>
      </c>
      <c r="U2438">
        <f>+SUM(Table1[[#This Row],[Latinos]:[Cemex]])</f>
        <v>1</v>
      </c>
      <c r="V2438" t="str">
        <f>+Table1[[#This Row],[id_destino]]&amp;" - "&amp;Table1[[#This Row],[id_origen]]</f>
        <v>47 - 72</v>
      </c>
    </row>
    <row r="2439" spans="1:22" hidden="1">
      <c r="A2439">
        <v>3742</v>
      </c>
      <c r="B2439">
        <v>4195</v>
      </c>
      <c r="C2439">
        <v>846</v>
      </c>
      <c r="D2439">
        <v>3431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 t="s">
        <v>20</v>
      </c>
      <c r="L2439" s="1">
        <v>45063</v>
      </c>
      <c r="M2439">
        <v>52</v>
      </c>
      <c r="N2439">
        <v>72</v>
      </c>
      <c r="O2439">
        <v>924</v>
      </c>
      <c r="P2439">
        <v>894</v>
      </c>
      <c r="Q2439">
        <v>924</v>
      </c>
      <c r="S2439">
        <v>1867</v>
      </c>
      <c r="T2439">
        <v>1960</v>
      </c>
      <c r="U2439">
        <f>+SUM(Table1[[#This Row],[Latinos]:[Cemex]])</f>
        <v>1</v>
      </c>
      <c r="V2439" t="str">
        <f>+Table1[[#This Row],[id_destino]]&amp;" - "&amp;Table1[[#This Row],[id_origen]]</f>
        <v>52 - 72</v>
      </c>
    </row>
    <row r="2440" spans="1:22" hidden="1">
      <c r="A2440">
        <v>2062</v>
      </c>
      <c r="B2440">
        <v>3110</v>
      </c>
      <c r="C2440">
        <v>3700</v>
      </c>
      <c r="D2440">
        <v>6162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 t="s">
        <v>20</v>
      </c>
      <c r="L2440" s="1">
        <v>43794</v>
      </c>
      <c r="M2440">
        <v>77</v>
      </c>
      <c r="N2440">
        <v>72</v>
      </c>
      <c r="O2440">
        <v>53</v>
      </c>
      <c r="P2440">
        <v>150</v>
      </c>
      <c r="Q2440">
        <v>53</v>
      </c>
      <c r="S2440">
        <v>0</v>
      </c>
      <c r="T2440">
        <v>0</v>
      </c>
      <c r="U2440">
        <f>+SUM(Table1[[#This Row],[Latinos]:[Cemex]])</f>
        <v>1</v>
      </c>
      <c r="V2440" t="str">
        <f>+Table1[[#This Row],[id_destino]]&amp;" - "&amp;Table1[[#This Row],[id_origen]]</f>
        <v>77 - 72</v>
      </c>
    </row>
    <row r="2441" spans="1:22" hidden="1">
      <c r="A2441">
        <v>2066</v>
      </c>
      <c r="B2441">
        <v>3110</v>
      </c>
      <c r="C2441">
        <v>3700</v>
      </c>
      <c r="D2441">
        <v>6162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 t="s">
        <v>20</v>
      </c>
      <c r="L2441" s="1">
        <v>43795</v>
      </c>
      <c r="M2441">
        <v>77</v>
      </c>
      <c r="N2441">
        <v>72</v>
      </c>
      <c r="O2441">
        <v>53</v>
      </c>
      <c r="P2441">
        <v>150</v>
      </c>
      <c r="Q2441">
        <v>53</v>
      </c>
      <c r="S2441">
        <v>0</v>
      </c>
      <c r="T2441">
        <v>0</v>
      </c>
      <c r="U2441">
        <f>+SUM(Table1[[#This Row],[Latinos]:[Cemex]])</f>
        <v>1</v>
      </c>
      <c r="V2441" t="str">
        <f>+Table1[[#This Row],[id_destino]]&amp;" - "&amp;Table1[[#This Row],[id_origen]]</f>
        <v>77 - 72</v>
      </c>
    </row>
    <row r="2442" spans="1:22" hidden="1">
      <c r="A2442">
        <v>1290</v>
      </c>
      <c r="B2442">
        <v>2674</v>
      </c>
      <c r="C2442">
        <v>846</v>
      </c>
      <c r="D2442">
        <v>2635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 t="s">
        <v>20</v>
      </c>
      <c r="L2442" s="1">
        <v>43369</v>
      </c>
      <c r="M2442">
        <v>105</v>
      </c>
      <c r="N2442">
        <v>72</v>
      </c>
      <c r="O2442">
        <v>48</v>
      </c>
      <c r="P2442">
        <v>150</v>
      </c>
      <c r="Q2442">
        <v>48</v>
      </c>
      <c r="S2442">
        <v>448</v>
      </c>
      <c r="T2442">
        <v>541</v>
      </c>
      <c r="U2442">
        <f>+SUM(Table1[[#This Row],[Latinos]:[Cemex]])</f>
        <v>1</v>
      </c>
      <c r="V2442" t="str">
        <f>+Table1[[#This Row],[id_destino]]&amp;" - "&amp;Table1[[#This Row],[id_origen]]</f>
        <v>105 - 72</v>
      </c>
    </row>
    <row r="2443" spans="1:22" hidden="1">
      <c r="A2443">
        <v>2130</v>
      </c>
      <c r="B2443">
        <v>3153</v>
      </c>
      <c r="C2443">
        <v>846</v>
      </c>
      <c r="D2443">
        <v>1068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 t="s">
        <v>20</v>
      </c>
      <c r="L2443" s="1">
        <v>43825</v>
      </c>
      <c r="M2443">
        <v>114</v>
      </c>
      <c r="N2443">
        <v>72</v>
      </c>
      <c r="O2443">
        <v>314</v>
      </c>
      <c r="P2443">
        <v>314</v>
      </c>
      <c r="Q2443">
        <v>314</v>
      </c>
      <c r="S2443">
        <v>816</v>
      </c>
      <c r="T2443">
        <v>890</v>
      </c>
      <c r="U2443">
        <f>+SUM(Table1[[#This Row],[Latinos]:[Cemex]])</f>
        <v>1</v>
      </c>
      <c r="V2443" t="str">
        <f>+Table1[[#This Row],[id_destino]]&amp;" - "&amp;Table1[[#This Row],[id_origen]]</f>
        <v>114 - 72</v>
      </c>
    </row>
    <row r="2444" spans="1:22" hidden="1">
      <c r="A2444">
        <v>3796</v>
      </c>
      <c r="B2444">
        <v>4224</v>
      </c>
      <c r="C2444">
        <v>7389</v>
      </c>
      <c r="D2444">
        <v>3176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 t="s">
        <v>20</v>
      </c>
      <c r="L2444" s="1">
        <v>45097</v>
      </c>
      <c r="M2444">
        <v>136</v>
      </c>
      <c r="N2444">
        <v>72</v>
      </c>
      <c r="O2444">
        <v>150</v>
      </c>
      <c r="P2444">
        <v>150</v>
      </c>
      <c r="Q2444">
        <v>150</v>
      </c>
      <c r="S2444">
        <v>512</v>
      </c>
      <c r="T2444">
        <v>548</v>
      </c>
      <c r="U2444">
        <f>+SUM(Table1[[#This Row],[Latinos]:[Cemex]])</f>
        <v>1</v>
      </c>
      <c r="V2444" t="str">
        <f>+Table1[[#This Row],[id_destino]]&amp;" - "&amp;Table1[[#This Row],[id_origen]]</f>
        <v>136 - 72</v>
      </c>
    </row>
    <row r="2445" spans="1:22" hidden="1">
      <c r="A2445">
        <v>3602</v>
      </c>
      <c r="B2445">
        <v>4105</v>
      </c>
      <c r="C2445">
        <v>846</v>
      </c>
      <c r="D2445">
        <v>12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 t="s">
        <v>20</v>
      </c>
      <c r="L2445" s="1">
        <v>44979</v>
      </c>
      <c r="M2445">
        <v>169</v>
      </c>
      <c r="N2445">
        <v>72</v>
      </c>
      <c r="O2445">
        <v>373</v>
      </c>
      <c r="P2445">
        <v>367</v>
      </c>
      <c r="Q2445">
        <v>373</v>
      </c>
      <c r="S2445">
        <v>1073</v>
      </c>
      <c r="T2445">
        <v>1163</v>
      </c>
      <c r="U2445">
        <f>+SUM(Table1[[#This Row],[Latinos]:[Cemex]])</f>
        <v>1</v>
      </c>
      <c r="V2445" t="str">
        <f>+Table1[[#This Row],[id_destino]]&amp;" - "&amp;Table1[[#This Row],[id_origen]]</f>
        <v>169 - 72</v>
      </c>
    </row>
    <row r="2446" spans="1:22" hidden="1">
      <c r="A2446">
        <v>4824</v>
      </c>
      <c r="B2446">
        <v>4933</v>
      </c>
      <c r="C2446">
        <v>3700</v>
      </c>
      <c r="D2446">
        <v>1302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 t="s">
        <v>20</v>
      </c>
      <c r="L2446" s="1">
        <v>45866</v>
      </c>
      <c r="M2446">
        <v>189</v>
      </c>
      <c r="N2446">
        <v>72</v>
      </c>
      <c r="O2446">
        <v>1023</v>
      </c>
      <c r="P2446">
        <v>1869</v>
      </c>
      <c r="Q2446">
        <v>1023</v>
      </c>
      <c r="S2446">
        <v>6941</v>
      </c>
      <c r="T2446">
        <v>6941</v>
      </c>
      <c r="U2446">
        <f>+SUM(Table1[[#This Row],[Latinos]:[Cemex]])</f>
        <v>1</v>
      </c>
      <c r="V2446" t="str">
        <f>+Table1[[#This Row],[id_destino]]&amp;" - "&amp;Table1[[#This Row],[id_origen]]</f>
        <v>189 - 72</v>
      </c>
    </row>
    <row r="2447" spans="1:22" hidden="1">
      <c r="A2447">
        <v>2114</v>
      </c>
      <c r="B2447">
        <v>3139</v>
      </c>
      <c r="C2447">
        <v>3700</v>
      </c>
      <c r="D2447">
        <v>6195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 t="s">
        <v>20</v>
      </c>
      <c r="L2447" s="1">
        <v>43817</v>
      </c>
      <c r="M2447">
        <v>244</v>
      </c>
      <c r="N2447">
        <v>72</v>
      </c>
      <c r="O2447">
        <v>81</v>
      </c>
      <c r="P2447">
        <v>150</v>
      </c>
      <c r="Q2447">
        <v>81</v>
      </c>
      <c r="S2447">
        <v>92</v>
      </c>
      <c r="T2447">
        <v>92</v>
      </c>
      <c r="U2447">
        <f>+SUM(Table1[[#This Row],[Latinos]:[Cemex]])</f>
        <v>1</v>
      </c>
      <c r="V2447" t="str">
        <f>+Table1[[#This Row],[id_destino]]&amp;" - "&amp;Table1[[#This Row],[id_origen]]</f>
        <v>244 - 72</v>
      </c>
    </row>
    <row r="2448" spans="1:22" hidden="1">
      <c r="A2448">
        <v>894</v>
      </c>
      <c r="B2448">
        <v>2498</v>
      </c>
      <c r="C2448">
        <v>3700</v>
      </c>
      <c r="D2448">
        <v>5378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 t="s">
        <v>20</v>
      </c>
      <c r="L2448" s="1">
        <v>43206</v>
      </c>
      <c r="M2448">
        <v>345</v>
      </c>
      <c r="N2448">
        <v>72</v>
      </c>
      <c r="O2448">
        <v>45</v>
      </c>
      <c r="P2448">
        <v>150</v>
      </c>
      <c r="Q2448">
        <v>45</v>
      </c>
      <c r="S2448">
        <v>84</v>
      </c>
      <c r="T2448">
        <v>126</v>
      </c>
      <c r="U2448">
        <f>+SUM(Table1[[#This Row],[Latinos]:[Cemex]])</f>
        <v>1</v>
      </c>
      <c r="V2448" t="str">
        <f>+Table1[[#This Row],[id_destino]]&amp;" - "&amp;Table1[[#This Row],[id_origen]]</f>
        <v>345 - 72</v>
      </c>
    </row>
    <row r="2449" spans="1:22" hidden="1">
      <c r="A2449">
        <v>2153</v>
      </c>
      <c r="B2449">
        <v>2498</v>
      </c>
      <c r="C2449">
        <v>3700</v>
      </c>
      <c r="D2449">
        <v>5378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 t="s">
        <v>20</v>
      </c>
      <c r="L2449" s="1">
        <v>43833</v>
      </c>
      <c r="M2449">
        <v>345</v>
      </c>
      <c r="N2449">
        <v>72</v>
      </c>
      <c r="O2449">
        <v>52</v>
      </c>
      <c r="P2449">
        <v>150</v>
      </c>
      <c r="Q2449">
        <v>52</v>
      </c>
      <c r="S2449">
        <v>158</v>
      </c>
      <c r="T2449">
        <v>158</v>
      </c>
      <c r="U2449">
        <f>+SUM(Table1[[#This Row],[Latinos]:[Cemex]])</f>
        <v>1</v>
      </c>
      <c r="V2449" t="str">
        <f>+Table1[[#This Row],[id_destino]]&amp;" - "&amp;Table1[[#This Row],[id_origen]]</f>
        <v>345 - 72</v>
      </c>
    </row>
    <row r="2450" spans="1:22" hidden="1">
      <c r="A2450">
        <v>1615</v>
      </c>
      <c r="B2450">
        <v>2841</v>
      </c>
      <c r="C2450">
        <v>846</v>
      </c>
      <c r="D2450">
        <v>5843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 t="s">
        <v>20</v>
      </c>
      <c r="L2450" s="1">
        <v>43532</v>
      </c>
      <c r="M2450">
        <v>473</v>
      </c>
      <c r="N2450">
        <v>72</v>
      </c>
      <c r="O2450">
        <v>46</v>
      </c>
      <c r="P2450">
        <v>150</v>
      </c>
      <c r="Q2450">
        <v>46</v>
      </c>
      <c r="S2450">
        <v>151</v>
      </c>
      <c r="T2450">
        <v>221</v>
      </c>
      <c r="U2450">
        <f>+SUM(Table1[[#This Row],[Latinos]:[Cemex]])</f>
        <v>1</v>
      </c>
      <c r="V2450" t="str">
        <f>+Table1[[#This Row],[id_destino]]&amp;" - "&amp;Table1[[#This Row],[id_origen]]</f>
        <v>473 - 72</v>
      </c>
    </row>
    <row r="2451" spans="1:22" hidden="1">
      <c r="A2451">
        <v>3235</v>
      </c>
      <c r="B2451">
        <v>3855</v>
      </c>
      <c r="C2451">
        <v>846</v>
      </c>
      <c r="D2451">
        <v>7011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 t="s">
        <v>20</v>
      </c>
      <c r="L2451" s="1">
        <v>44791</v>
      </c>
      <c r="M2451">
        <v>591</v>
      </c>
      <c r="N2451">
        <v>72</v>
      </c>
      <c r="O2451">
        <v>71</v>
      </c>
      <c r="P2451">
        <v>150</v>
      </c>
      <c r="Q2451">
        <v>71</v>
      </c>
      <c r="S2451">
        <v>539</v>
      </c>
      <c r="T2451">
        <v>632</v>
      </c>
      <c r="U2451">
        <f>+SUM(Table1[[#This Row],[Latinos]:[Cemex]])</f>
        <v>1</v>
      </c>
      <c r="V2451" t="str">
        <f>+Table1[[#This Row],[id_destino]]&amp;" - "&amp;Table1[[#This Row],[id_origen]]</f>
        <v>591 - 72</v>
      </c>
    </row>
    <row r="2452" spans="1:22" hidden="1">
      <c r="A2452">
        <v>2140</v>
      </c>
      <c r="B2452">
        <v>3160</v>
      </c>
      <c r="C2452">
        <v>3700</v>
      </c>
      <c r="D2452">
        <v>6212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 t="s">
        <v>20</v>
      </c>
      <c r="L2452" s="1">
        <v>43832</v>
      </c>
      <c r="M2452">
        <v>685</v>
      </c>
      <c r="N2452">
        <v>72</v>
      </c>
      <c r="O2452">
        <v>180</v>
      </c>
      <c r="P2452">
        <v>162</v>
      </c>
      <c r="Q2452">
        <v>180</v>
      </c>
      <c r="S2452">
        <v>458</v>
      </c>
      <c r="T2452">
        <v>458</v>
      </c>
      <c r="U2452">
        <f>+SUM(Table1[[#This Row],[Latinos]:[Cemex]])</f>
        <v>1</v>
      </c>
      <c r="V2452" t="str">
        <f>+Table1[[#This Row],[id_destino]]&amp;" - "&amp;Table1[[#This Row],[id_origen]]</f>
        <v>685 - 72</v>
      </c>
    </row>
    <row r="2453" spans="1:22" hidden="1">
      <c r="A2453">
        <v>2134</v>
      </c>
      <c r="B2453">
        <v>3156</v>
      </c>
      <c r="C2453">
        <v>3700</v>
      </c>
      <c r="D2453">
        <v>6206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 t="s">
        <v>20</v>
      </c>
      <c r="L2453" s="1">
        <v>43829</v>
      </c>
      <c r="M2453">
        <v>800</v>
      </c>
      <c r="N2453">
        <v>72</v>
      </c>
      <c r="O2453">
        <v>153</v>
      </c>
      <c r="P2453">
        <v>157</v>
      </c>
      <c r="Q2453">
        <v>153</v>
      </c>
      <c r="S2453">
        <v>444</v>
      </c>
      <c r="T2453">
        <v>518</v>
      </c>
      <c r="U2453">
        <f>+SUM(Table1[[#This Row],[Latinos]:[Cemex]])</f>
        <v>1</v>
      </c>
      <c r="V2453" t="str">
        <f>+Table1[[#This Row],[id_destino]]&amp;" - "&amp;Table1[[#This Row],[id_origen]]</f>
        <v>800 - 72</v>
      </c>
    </row>
    <row r="2454" spans="1:22" hidden="1">
      <c r="A2454">
        <v>2141</v>
      </c>
      <c r="B2454">
        <v>3161</v>
      </c>
      <c r="C2454">
        <v>3700</v>
      </c>
      <c r="D2454">
        <v>6213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 t="s">
        <v>20</v>
      </c>
      <c r="L2454" s="1">
        <v>43832</v>
      </c>
      <c r="M2454">
        <v>801</v>
      </c>
      <c r="N2454">
        <v>72</v>
      </c>
      <c r="O2454">
        <v>983</v>
      </c>
      <c r="P2454">
        <v>886</v>
      </c>
      <c r="Q2454">
        <v>983</v>
      </c>
      <c r="S2454">
        <v>890</v>
      </c>
      <c r="T2454">
        <v>964</v>
      </c>
      <c r="U2454">
        <f>+SUM(Table1[[#This Row],[Latinos]:[Cemex]])</f>
        <v>1</v>
      </c>
      <c r="V2454" t="str">
        <f>+Table1[[#This Row],[id_destino]]&amp;" - "&amp;Table1[[#This Row],[id_origen]]</f>
        <v>801 - 72</v>
      </c>
    </row>
    <row r="2455" spans="1:22" hidden="1">
      <c r="A2455">
        <v>4172</v>
      </c>
      <c r="B2455">
        <v>4468</v>
      </c>
      <c r="C2455">
        <v>3426</v>
      </c>
      <c r="D2455">
        <v>7667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 t="s">
        <v>20</v>
      </c>
      <c r="L2455" s="1">
        <v>45336</v>
      </c>
      <c r="M2455">
        <v>0</v>
      </c>
      <c r="N2455">
        <v>73</v>
      </c>
      <c r="O2455">
        <v>1656</v>
      </c>
      <c r="P2455">
        <v>1635</v>
      </c>
      <c r="Q2455">
        <v>1656</v>
      </c>
      <c r="S2455">
        <v>3357</v>
      </c>
      <c r="T2455">
        <v>3357</v>
      </c>
      <c r="U2455">
        <f>+SUM(Table1[[#This Row],[Latinos]:[Cemex]])</f>
        <v>1</v>
      </c>
      <c r="V2455" t="str">
        <f>+Table1[[#This Row],[id_destino]]&amp;" - "&amp;Table1[[#This Row],[id_origen]]</f>
        <v>0 - 73</v>
      </c>
    </row>
    <row r="2456" spans="1:22" hidden="1">
      <c r="A2456">
        <v>292</v>
      </c>
      <c r="B2456">
        <v>827</v>
      </c>
      <c r="C2456">
        <v>468</v>
      </c>
      <c r="D2456">
        <v>2829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 t="s">
        <v>20</v>
      </c>
      <c r="L2456" s="1">
        <v>43032</v>
      </c>
      <c r="M2456">
        <v>1</v>
      </c>
      <c r="N2456">
        <v>73</v>
      </c>
      <c r="O2456">
        <v>50</v>
      </c>
      <c r="P2456">
        <v>150</v>
      </c>
      <c r="Q2456">
        <v>50</v>
      </c>
      <c r="S2456">
        <v>0</v>
      </c>
      <c r="T2456">
        <v>0</v>
      </c>
      <c r="U2456">
        <f>+SUM(Table1[[#This Row],[Latinos]:[Cemex]])</f>
        <v>1</v>
      </c>
      <c r="V2456" t="str">
        <f>+Table1[[#This Row],[id_destino]]&amp;" - "&amp;Table1[[#This Row],[id_origen]]</f>
        <v>1 - 73</v>
      </c>
    </row>
    <row r="2457" spans="1:22" hidden="1">
      <c r="A2457">
        <v>461</v>
      </c>
      <c r="B2457">
        <v>827</v>
      </c>
      <c r="C2457">
        <v>5371</v>
      </c>
      <c r="D2457">
        <v>394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 t="s">
        <v>20</v>
      </c>
      <c r="L2457" s="1">
        <v>43080</v>
      </c>
      <c r="M2457">
        <v>1</v>
      </c>
      <c r="N2457">
        <v>73</v>
      </c>
      <c r="O2457">
        <v>50</v>
      </c>
      <c r="P2457">
        <v>150</v>
      </c>
      <c r="Q2457">
        <v>50</v>
      </c>
      <c r="S2457">
        <v>0</v>
      </c>
      <c r="T2457">
        <v>0</v>
      </c>
      <c r="U2457">
        <f>+SUM(Table1[[#This Row],[Latinos]:[Cemex]])</f>
        <v>1</v>
      </c>
      <c r="V2457" t="str">
        <f>+Table1[[#This Row],[id_destino]]&amp;" - "&amp;Table1[[#This Row],[id_origen]]</f>
        <v>1 - 73</v>
      </c>
    </row>
    <row r="2458" spans="1:22" hidden="1">
      <c r="A2458">
        <v>8</v>
      </c>
      <c r="B2458">
        <v>54</v>
      </c>
      <c r="C2458">
        <v>468</v>
      </c>
      <c r="D2458">
        <v>469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 t="s">
        <v>20</v>
      </c>
      <c r="L2458" s="1">
        <v>44621</v>
      </c>
      <c r="M2458">
        <v>2</v>
      </c>
      <c r="N2458">
        <v>73</v>
      </c>
      <c r="O2458">
        <v>961</v>
      </c>
      <c r="P2458">
        <v>964</v>
      </c>
      <c r="Q2458">
        <v>1059</v>
      </c>
      <c r="S2458">
        <v>0</v>
      </c>
      <c r="T2458">
        <v>0</v>
      </c>
      <c r="U2458">
        <f>+SUM(Table1[[#This Row],[Latinos]:[Cemex]])</f>
        <v>1</v>
      </c>
      <c r="V2458" t="str">
        <f>+Table1[[#This Row],[id_destino]]&amp;" - "&amp;Table1[[#This Row],[id_origen]]</f>
        <v>2 - 73</v>
      </c>
    </row>
    <row r="2459" spans="1:22" hidden="1">
      <c r="A2459">
        <v>9</v>
      </c>
      <c r="B2459">
        <v>54</v>
      </c>
      <c r="C2459">
        <v>468</v>
      </c>
      <c r="D2459">
        <v>469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 t="s">
        <v>20</v>
      </c>
      <c r="L2459" s="1">
        <v>45204</v>
      </c>
      <c r="M2459">
        <v>2</v>
      </c>
      <c r="N2459">
        <v>73</v>
      </c>
      <c r="O2459">
        <v>938</v>
      </c>
      <c r="P2459">
        <v>932</v>
      </c>
      <c r="Q2459">
        <v>938</v>
      </c>
      <c r="S2459">
        <v>1757</v>
      </c>
      <c r="T2459">
        <v>1757</v>
      </c>
      <c r="U2459">
        <f>+SUM(Table1[[#This Row],[Latinos]:[Cemex]])</f>
        <v>1</v>
      </c>
      <c r="V2459" t="str">
        <f>+Table1[[#This Row],[id_destino]]&amp;" - "&amp;Table1[[#This Row],[id_origen]]</f>
        <v>2 - 73</v>
      </c>
    </row>
    <row r="2460" spans="1:22" hidden="1">
      <c r="A2460">
        <v>619</v>
      </c>
      <c r="B2460">
        <v>54</v>
      </c>
      <c r="C2460">
        <v>468</v>
      </c>
      <c r="D2460">
        <v>3097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 t="s">
        <v>20</v>
      </c>
      <c r="L2460" s="1">
        <v>45211</v>
      </c>
      <c r="M2460">
        <v>2</v>
      </c>
      <c r="N2460">
        <v>73</v>
      </c>
      <c r="O2460">
        <v>961</v>
      </c>
      <c r="P2460">
        <v>944</v>
      </c>
      <c r="Q2460">
        <v>1059</v>
      </c>
      <c r="S2460">
        <v>1399</v>
      </c>
      <c r="T2460">
        <v>1399</v>
      </c>
      <c r="U2460">
        <f>+SUM(Table1[[#This Row],[Latinos]:[Cemex]])</f>
        <v>1</v>
      </c>
      <c r="V2460" t="str">
        <f>+Table1[[#This Row],[id_destino]]&amp;" - "&amp;Table1[[#This Row],[id_origen]]</f>
        <v>2 - 73</v>
      </c>
    </row>
    <row r="2461" spans="1:22" hidden="1">
      <c r="A2461">
        <v>312</v>
      </c>
      <c r="B2461">
        <v>150</v>
      </c>
      <c r="C2461">
        <v>468</v>
      </c>
      <c r="D2461">
        <v>1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 t="s">
        <v>20</v>
      </c>
      <c r="L2461" s="1">
        <v>45204</v>
      </c>
      <c r="M2461">
        <v>3</v>
      </c>
      <c r="N2461">
        <v>73</v>
      </c>
      <c r="O2461">
        <v>1689</v>
      </c>
      <c r="P2461">
        <v>1660</v>
      </c>
      <c r="Q2461">
        <v>1689</v>
      </c>
      <c r="S2461">
        <v>3605.99</v>
      </c>
      <c r="T2461">
        <v>3605.99</v>
      </c>
      <c r="U2461">
        <f>+SUM(Table1[[#This Row],[Latinos]:[Cemex]])</f>
        <v>1</v>
      </c>
      <c r="V2461" t="str">
        <f>+Table1[[#This Row],[id_destino]]&amp;" - "&amp;Table1[[#This Row],[id_origen]]</f>
        <v>3 - 73</v>
      </c>
    </row>
    <row r="2462" spans="1:22" hidden="1">
      <c r="A2462">
        <v>317</v>
      </c>
      <c r="B2462">
        <v>188</v>
      </c>
      <c r="C2462">
        <v>468</v>
      </c>
      <c r="D2462">
        <v>2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 t="s">
        <v>20</v>
      </c>
      <c r="L2462" s="1">
        <v>45774</v>
      </c>
      <c r="M2462">
        <v>4</v>
      </c>
      <c r="N2462">
        <v>73</v>
      </c>
      <c r="O2462">
        <v>1714</v>
      </c>
      <c r="P2462">
        <v>1734</v>
      </c>
      <c r="Q2462">
        <v>1714</v>
      </c>
      <c r="S2462">
        <v>3904</v>
      </c>
      <c r="T2462">
        <v>3904</v>
      </c>
      <c r="U2462">
        <f>+SUM(Table1[[#This Row],[Latinos]:[Cemex]])</f>
        <v>1</v>
      </c>
      <c r="V2462" t="str">
        <f>+Table1[[#This Row],[id_destino]]&amp;" - "&amp;Table1[[#This Row],[id_origen]]</f>
        <v>4 - 73</v>
      </c>
    </row>
    <row r="2463" spans="1:22" hidden="1">
      <c r="A2463">
        <v>2517</v>
      </c>
      <c r="B2463">
        <v>188</v>
      </c>
      <c r="C2463">
        <v>468</v>
      </c>
      <c r="D2463">
        <v>2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 t="s">
        <v>20</v>
      </c>
      <c r="L2463" s="1">
        <v>44146</v>
      </c>
      <c r="M2463">
        <v>4</v>
      </c>
      <c r="N2463">
        <v>73</v>
      </c>
      <c r="O2463">
        <v>1771</v>
      </c>
      <c r="P2463">
        <v>1771</v>
      </c>
      <c r="Q2463">
        <v>1771</v>
      </c>
      <c r="S2463">
        <v>0</v>
      </c>
      <c r="T2463">
        <v>0</v>
      </c>
      <c r="U2463">
        <f>+SUM(Table1[[#This Row],[Latinos]:[Cemex]])</f>
        <v>1</v>
      </c>
      <c r="V2463" t="str">
        <f>+Table1[[#This Row],[id_destino]]&amp;" - "&amp;Table1[[#This Row],[id_origen]]</f>
        <v>4 - 73</v>
      </c>
    </row>
    <row r="2464" spans="1:22" hidden="1">
      <c r="A2464">
        <v>3585</v>
      </c>
      <c r="B2464">
        <v>188</v>
      </c>
      <c r="C2464">
        <v>468</v>
      </c>
      <c r="D2464">
        <v>2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 t="s">
        <v>20</v>
      </c>
      <c r="L2464" s="1">
        <v>44968</v>
      </c>
      <c r="M2464">
        <v>4</v>
      </c>
      <c r="N2464">
        <v>73</v>
      </c>
      <c r="O2464">
        <v>1771</v>
      </c>
      <c r="P2464">
        <v>1747</v>
      </c>
      <c r="Q2464">
        <v>1771</v>
      </c>
      <c r="S2464">
        <v>3090</v>
      </c>
      <c r="T2464">
        <v>3090</v>
      </c>
      <c r="U2464">
        <f>+SUM(Table1[[#This Row],[Latinos]:[Cemex]])</f>
        <v>1</v>
      </c>
      <c r="V2464" t="str">
        <f>+Table1[[#This Row],[id_destino]]&amp;" - "&amp;Table1[[#This Row],[id_origen]]</f>
        <v>4 - 73</v>
      </c>
    </row>
    <row r="2465" spans="1:22" hidden="1">
      <c r="A2465">
        <v>1447</v>
      </c>
      <c r="B2465">
        <v>1297</v>
      </c>
      <c r="C2465">
        <v>468</v>
      </c>
      <c r="D2465">
        <v>3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 t="s">
        <v>20</v>
      </c>
      <c r="L2465" s="1">
        <v>43770</v>
      </c>
      <c r="M2465">
        <v>5</v>
      </c>
      <c r="N2465">
        <v>73</v>
      </c>
      <c r="O2465">
        <v>2519</v>
      </c>
      <c r="P2465">
        <v>2498</v>
      </c>
      <c r="Q2465">
        <v>2519</v>
      </c>
      <c r="S2465">
        <v>5498</v>
      </c>
      <c r="T2465">
        <v>5558</v>
      </c>
      <c r="U2465">
        <f>+SUM(Table1[[#This Row],[Latinos]:[Cemex]])</f>
        <v>1</v>
      </c>
      <c r="V2465" t="str">
        <f>+Table1[[#This Row],[id_destino]]&amp;" - "&amp;Table1[[#This Row],[id_origen]]</f>
        <v>5 - 73</v>
      </c>
    </row>
    <row r="2466" spans="1:22" hidden="1">
      <c r="A2466">
        <v>123</v>
      </c>
      <c r="B2466">
        <v>686</v>
      </c>
      <c r="C2466">
        <v>468</v>
      </c>
      <c r="D2466">
        <v>4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 t="s">
        <v>20</v>
      </c>
      <c r="L2466" s="1">
        <v>45217</v>
      </c>
      <c r="M2466">
        <v>6</v>
      </c>
      <c r="N2466">
        <v>73</v>
      </c>
      <c r="O2466">
        <v>2098</v>
      </c>
      <c r="P2466">
        <v>2039</v>
      </c>
      <c r="Q2466">
        <v>2098</v>
      </c>
      <c r="S2466">
        <v>4373</v>
      </c>
      <c r="T2466">
        <v>4456</v>
      </c>
      <c r="U2466">
        <f>+SUM(Table1[[#This Row],[Latinos]:[Cemex]])</f>
        <v>1</v>
      </c>
      <c r="V2466" t="str">
        <f>+Table1[[#This Row],[id_destino]]&amp;" - "&amp;Table1[[#This Row],[id_origen]]</f>
        <v>6 - 73</v>
      </c>
    </row>
    <row r="2467" spans="1:22" hidden="1">
      <c r="A2467">
        <v>112</v>
      </c>
      <c r="B2467">
        <v>685</v>
      </c>
      <c r="C2467">
        <v>189</v>
      </c>
      <c r="D2467">
        <v>5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 t="s">
        <v>20</v>
      </c>
      <c r="L2467" s="1">
        <v>44729</v>
      </c>
      <c r="M2467">
        <v>7</v>
      </c>
      <c r="N2467">
        <v>73</v>
      </c>
      <c r="O2467">
        <v>2578</v>
      </c>
      <c r="P2467">
        <v>2513</v>
      </c>
      <c r="Q2467">
        <v>2578</v>
      </c>
      <c r="S2467">
        <v>5373</v>
      </c>
      <c r="T2467">
        <v>5898.99</v>
      </c>
      <c r="U2467">
        <f>+SUM(Table1[[#This Row],[Latinos]:[Cemex]])</f>
        <v>1</v>
      </c>
      <c r="V2467" t="str">
        <f>+Table1[[#This Row],[id_destino]]&amp;" - "&amp;Table1[[#This Row],[id_origen]]</f>
        <v>7 - 73</v>
      </c>
    </row>
    <row r="2468" spans="1:22" hidden="1">
      <c r="A2468">
        <v>4166</v>
      </c>
      <c r="B2468">
        <v>685</v>
      </c>
      <c r="C2468">
        <v>189</v>
      </c>
      <c r="D2468">
        <v>7664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 t="s">
        <v>20</v>
      </c>
      <c r="L2468" s="1">
        <v>45334</v>
      </c>
      <c r="M2468">
        <v>7</v>
      </c>
      <c r="N2468">
        <v>73</v>
      </c>
      <c r="O2468">
        <v>2578</v>
      </c>
      <c r="P2468">
        <v>2578</v>
      </c>
      <c r="Q2468">
        <v>2578</v>
      </c>
      <c r="S2468">
        <v>2823</v>
      </c>
      <c r="T2468">
        <v>2823</v>
      </c>
      <c r="U2468">
        <f>+SUM(Table1[[#This Row],[Latinos]:[Cemex]])</f>
        <v>1</v>
      </c>
      <c r="V2468" t="str">
        <f>+Table1[[#This Row],[id_destino]]&amp;" - "&amp;Table1[[#This Row],[id_origen]]</f>
        <v>7 - 73</v>
      </c>
    </row>
    <row r="2469" spans="1:22" hidden="1">
      <c r="A2469">
        <v>4409</v>
      </c>
      <c r="B2469">
        <v>685</v>
      </c>
      <c r="C2469">
        <v>468</v>
      </c>
      <c r="D2469">
        <v>4014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0</v>
      </c>
      <c r="K2469" t="s">
        <v>20</v>
      </c>
      <c r="L2469" s="1">
        <v>45526</v>
      </c>
      <c r="M2469">
        <v>7</v>
      </c>
      <c r="N2469">
        <v>73</v>
      </c>
      <c r="O2469">
        <v>2578</v>
      </c>
      <c r="P2469">
        <v>2514</v>
      </c>
      <c r="Q2469">
        <v>2578</v>
      </c>
      <c r="S2469">
        <v>3932</v>
      </c>
      <c r="T2469">
        <v>3932</v>
      </c>
      <c r="U2469">
        <f>+SUM(Table1[[#This Row],[Latinos]:[Cemex]])</f>
        <v>1</v>
      </c>
      <c r="V2469" t="str">
        <f>+Table1[[#This Row],[id_destino]]&amp;" - "&amp;Table1[[#This Row],[id_origen]]</f>
        <v>7 - 73</v>
      </c>
    </row>
    <row r="2470" spans="1:22" hidden="1">
      <c r="A2470">
        <v>4306</v>
      </c>
      <c r="B2470">
        <v>4558</v>
      </c>
      <c r="C2470">
        <v>125</v>
      </c>
      <c r="D2470">
        <v>6664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 t="s">
        <v>20</v>
      </c>
      <c r="L2470" s="1">
        <v>45449</v>
      </c>
      <c r="M2470">
        <v>8</v>
      </c>
      <c r="N2470">
        <v>73</v>
      </c>
      <c r="O2470">
        <v>2232</v>
      </c>
      <c r="P2470">
        <v>2231</v>
      </c>
      <c r="Q2470">
        <v>2232</v>
      </c>
      <c r="S2470">
        <v>3324</v>
      </c>
      <c r="T2470">
        <v>3324</v>
      </c>
      <c r="U2470">
        <f>+SUM(Table1[[#This Row],[Latinos]:[Cemex]])</f>
        <v>1</v>
      </c>
      <c r="V2470" t="str">
        <f>+Table1[[#This Row],[id_destino]]&amp;" - "&amp;Table1[[#This Row],[id_origen]]</f>
        <v>8 - 73</v>
      </c>
    </row>
    <row r="2471" spans="1:22" hidden="1">
      <c r="A2471">
        <v>111</v>
      </c>
      <c r="B2471">
        <v>149</v>
      </c>
      <c r="C2471">
        <v>468</v>
      </c>
      <c r="D2471">
        <v>7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 t="s">
        <v>20</v>
      </c>
      <c r="L2471" s="1">
        <v>45198</v>
      </c>
      <c r="M2471">
        <v>9</v>
      </c>
      <c r="N2471">
        <v>73</v>
      </c>
      <c r="O2471">
        <v>2279</v>
      </c>
      <c r="P2471">
        <v>2210</v>
      </c>
      <c r="Q2471">
        <v>2279</v>
      </c>
      <c r="S2471">
        <v>4373</v>
      </c>
      <c r="T2471">
        <v>4456</v>
      </c>
      <c r="U2471">
        <f>+SUM(Table1[[#This Row],[Latinos]:[Cemex]])</f>
        <v>1</v>
      </c>
      <c r="V2471" t="str">
        <f>+Table1[[#This Row],[id_destino]]&amp;" - "&amp;Table1[[#This Row],[id_origen]]</f>
        <v>9 - 73</v>
      </c>
    </row>
    <row r="2472" spans="1:22" hidden="1">
      <c r="A2472">
        <v>4017</v>
      </c>
      <c r="B2472">
        <v>149</v>
      </c>
      <c r="C2472">
        <v>189</v>
      </c>
      <c r="D2472">
        <v>6145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 t="s">
        <v>20</v>
      </c>
      <c r="L2472" s="1">
        <v>45237</v>
      </c>
      <c r="M2472">
        <v>9</v>
      </c>
      <c r="N2472">
        <v>73</v>
      </c>
      <c r="O2472">
        <v>0</v>
      </c>
      <c r="P2472">
        <v>150</v>
      </c>
      <c r="Q2472">
        <v>0</v>
      </c>
      <c r="S2472">
        <v>0</v>
      </c>
      <c r="T2472">
        <v>0</v>
      </c>
      <c r="U2472">
        <f>+SUM(Table1[[#This Row],[Latinos]:[Cemex]])</f>
        <v>1</v>
      </c>
      <c r="V2472" t="str">
        <f>+Table1[[#This Row],[id_destino]]&amp;" - "&amp;Table1[[#This Row],[id_origen]]</f>
        <v>9 - 73</v>
      </c>
    </row>
    <row r="2473" spans="1:22" hidden="1">
      <c r="A2473">
        <v>1007</v>
      </c>
      <c r="B2473">
        <v>2544</v>
      </c>
      <c r="C2473">
        <v>468</v>
      </c>
      <c r="D2473">
        <v>5575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 t="s">
        <v>20</v>
      </c>
      <c r="L2473" s="1">
        <v>45192</v>
      </c>
      <c r="M2473">
        <v>10</v>
      </c>
      <c r="N2473">
        <v>73</v>
      </c>
      <c r="O2473">
        <v>1830</v>
      </c>
      <c r="P2473">
        <v>1835</v>
      </c>
      <c r="Q2473">
        <v>1830</v>
      </c>
      <c r="S2473">
        <v>4093</v>
      </c>
      <c r="T2473">
        <v>3608</v>
      </c>
      <c r="U2473">
        <f>+SUM(Table1[[#This Row],[Latinos]:[Cemex]])</f>
        <v>1</v>
      </c>
      <c r="V2473" t="str">
        <f>+Table1[[#This Row],[id_destino]]&amp;" - "&amp;Table1[[#This Row],[id_origen]]</f>
        <v>10 - 73</v>
      </c>
    </row>
    <row r="2474" spans="1:22" hidden="1">
      <c r="A2474">
        <v>69</v>
      </c>
      <c r="B2474">
        <v>59</v>
      </c>
      <c r="C2474">
        <v>468</v>
      </c>
      <c r="D2474">
        <v>5282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 t="s">
        <v>20</v>
      </c>
      <c r="L2474" s="1">
        <v>45194</v>
      </c>
      <c r="M2474">
        <v>11</v>
      </c>
      <c r="N2474">
        <v>73</v>
      </c>
      <c r="O2474">
        <v>695</v>
      </c>
      <c r="P2474">
        <v>703</v>
      </c>
      <c r="Q2474">
        <v>695</v>
      </c>
      <c r="S2474">
        <v>880</v>
      </c>
      <c r="T2474">
        <v>880</v>
      </c>
      <c r="U2474">
        <f>+SUM(Table1[[#This Row],[Latinos]:[Cemex]])</f>
        <v>1</v>
      </c>
      <c r="V2474" t="str">
        <f>+Table1[[#This Row],[id_destino]]&amp;" - "&amp;Table1[[#This Row],[id_origen]]</f>
        <v>11 - 73</v>
      </c>
    </row>
    <row r="2475" spans="1:22" hidden="1">
      <c r="A2475">
        <v>83</v>
      </c>
      <c r="B2475">
        <v>89</v>
      </c>
      <c r="C2475">
        <v>468</v>
      </c>
      <c r="D2475">
        <v>175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 t="s">
        <v>20</v>
      </c>
      <c r="L2475" s="1">
        <v>45239</v>
      </c>
      <c r="M2475">
        <v>12</v>
      </c>
      <c r="N2475">
        <v>73</v>
      </c>
      <c r="O2475">
        <v>689</v>
      </c>
      <c r="P2475">
        <v>566</v>
      </c>
      <c r="Q2475">
        <v>689</v>
      </c>
      <c r="S2475">
        <v>795</v>
      </c>
      <c r="T2475">
        <v>816</v>
      </c>
      <c r="U2475">
        <f>+SUM(Table1[[#This Row],[Latinos]:[Cemex]])</f>
        <v>1</v>
      </c>
      <c r="V2475" t="str">
        <f>+Table1[[#This Row],[id_destino]]&amp;" - "&amp;Table1[[#This Row],[id_origen]]</f>
        <v>12 - 73</v>
      </c>
    </row>
    <row r="2476" spans="1:22" hidden="1">
      <c r="A2476">
        <v>208</v>
      </c>
      <c r="B2476">
        <v>89</v>
      </c>
      <c r="C2476">
        <v>468</v>
      </c>
      <c r="D2476">
        <v>10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 t="s">
        <v>20</v>
      </c>
      <c r="L2476" s="1">
        <v>44635</v>
      </c>
      <c r="M2476">
        <v>12</v>
      </c>
      <c r="N2476">
        <v>73</v>
      </c>
      <c r="O2476">
        <v>1378</v>
      </c>
      <c r="P2476">
        <v>689</v>
      </c>
      <c r="Q2476">
        <v>689</v>
      </c>
      <c r="S2476">
        <v>490</v>
      </c>
      <c r="T2476">
        <v>490</v>
      </c>
      <c r="U2476">
        <f>+SUM(Table1[[#This Row],[Latinos]:[Cemex]])</f>
        <v>1</v>
      </c>
      <c r="V2476" t="str">
        <f>+Table1[[#This Row],[id_destino]]&amp;" - "&amp;Table1[[#This Row],[id_origen]]</f>
        <v>12 - 73</v>
      </c>
    </row>
    <row r="2477" spans="1:22" hidden="1">
      <c r="A2477">
        <v>802</v>
      </c>
      <c r="B2477">
        <v>89</v>
      </c>
      <c r="C2477">
        <v>468</v>
      </c>
      <c r="D2477">
        <v>175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 t="s">
        <v>20</v>
      </c>
      <c r="L2477" s="1">
        <v>45484</v>
      </c>
      <c r="M2477">
        <v>12</v>
      </c>
      <c r="N2477">
        <v>73</v>
      </c>
      <c r="O2477">
        <v>689</v>
      </c>
      <c r="P2477">
        <v>718</v>
      </c>
      <c r="Q2477">
        <v>689</v>
      </c>
      <c r="S2477">
        <v>665</v>
      </c>
      <c r="T2477">
        <v>703</v>
      </c>
      <c r="U2477">
        <f>+SUM(Table1[[#This Row],[Latinos]:[Cemex]])</f>
        <v>1</v>
      </c>
      <c r="V2477" t="str">
        <f>+Table1[[#This Row],[id_destino]]&amp;" - "&amp;Table1[[#This Row],[id_origen]]</f>
        <v>12 - 73</v>
      </c>
    </row>
    <row r="2478" spans="1:22" hidden="1">
      <c r="A2478">
        <v>77</v>
      </c>
      <c r="B2478">
        <v>84</v>
      </c>
      <c r="C2478">
        <v>468</v>
      </c>
      <c r="D2478">
        <v>5256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 t="s">
        <v>20</v>
      </c>
      <c r="L2478" s="1">
        <v>45231</v>
      </c>
      <c r="M2478">
        <v>13</v>
      </c>
      <c r="N2478">
        <v>73</v>
      </c>
      <c r="O2478">
        <v>755</v>
      </c>
      <c r="P2478">
        <v>745</v>
      </c>
      <c r="Q2478">
        <v>755</v>
      </c>
      <c r="S2478">
        <v>1058</v>
      </c>
      <c r="T2478">
        <v>1058</v>
      </c>
      <c r="U2478">
        <f>+SUM(Table1[[#This Row],[Latinos]:[Cemex]])</f>
        <v>1</v>
      </c>
      <c r="V2478" t="str">
        <f>+Table1[[#This Row],[id_destino]]&amp;" - "&amp;Table1[[#This Row],[id_origen]]</f>
        <v>13 - 73</v>
      </c>
    </row>
    <row r="2479" spans="1:22" hidden="1">
      <c r="A2479">
        <v>4374</v>
      </c>
      <c r="B2479">
        <v>84</v>
      </c>
      <c r="C2479">
        <v>3426</v>
      </c>
      <c r="D2479">
        <v>5256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 t="s">
        <v>20</v>
      </c>
      <c r="L2479" s="1">
        <v>45498</v>
      </c>
      <c r="M2479">
        <v>13</v>
      </c>
      <c r="N2479">
        <v>73</v>
      </c>
      <c r="O2479">
        <v>755</v>
      </c>
      <c r="P2479">
        <v>764</v>
      </c>
      <c r="Q2479">
        <v>755</v>
      </c>
      <c r="S2479">
        <v>823</v>
      </c>
      <c r="T2479">
        <v>823</v>
      </c>
      <c r="U2479">
        <f>+SUM(Table1[[#This Row],[Latinos]:[Cemex]])</f>
        <v>1</v>
      </c>
      <c r="V2479" t="str">
        <f>+Table1[[#This Row],[id_destino]]&amp;" - "&amp;Table1[[#This Row],[id_origen]]</f>
        <v>13 - 73</v>
      </c>
    </row>
    <row r="2480" spans="1:22" hidden="1">
      <c r="A2480">
        <v>67</v>
      </c>
      <c r="B2480">
        <v>88</v>
      </c>
      <c r="C2480">
        <v>468</v>
      </c>
      <c r="D2480">
        <v>14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 t="s">
        <v>20</v>
      </c>
      <c r="L2480" s="1">
        <v>44345</v>
      </c>
      <c r="M2480">
        <v>15</v>
      </c>
      <c r="N2480">
        <v>73</v>
      </c>
      <c r="O2480">
        <v>1159</v>
      </c>
      <c r="P2480">
        <v>1162</v>
      </c>
      <c r="Q2480">
        <v>1159</v>
      </c>
      <c r="S2480">
        <v>2702.99</v>
      </c>
      <c r="T2480">
        <v>3233.99</v>
      </c>
      <c r="U2480">
        <f>+SUM(Table1[[#This Row],[Latinos]:[Cemex]])</f>
        <v>1</v>
      </c>
      <c r="V2480" t="str">
        <f>+Table1[[#This Row],[id_destino]]&amp;" - "&amp;Table1[[#This Row],[id_origen]]</f>
        <v>15 - 73</v>
      </c>
    </row>
    <row r="2481" spans="1:22" hidden="1">
      <c r="A2481">
        <v>43</v>
      </c>
      <c r="B2481">
        <v>83</v>
      </c>
      <c r="C2481">
        <v>468</v>
      </c>
      <c r="D2481">
        <v>3348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 t="s">
        <v>20</v>
      </c>
      <c r="L2481" s="1">
        <v>45267</v>
      </c>
      <c r="M2481">
        <v>16</v>
      </c>
      <c r="N2481">
        <v>73</v>
      </c>
      <c r="O2481">
        <v>812</v>
      </c>
      <c r="P2481">
        <v>804</v>
      </c>
      <c r="Q2481">
        <v>812</v>
      </c>
      <c r="S2481">
        <v>2044.99</v>
      </c>
      <c r="T2481">
        <v>2358</v>
      </c>
      <c r="U2481">
        <f>+SUM(Table1[[#This Row],[Latinos]:[Cemex]])</f>
        <v>1</v>
      </c>
      <c r="V2481" t="str">
        <f>+Table1[[#This Row],[id_destino]]&amp;" - "&amp;Table1[[#This Row],[id_origen]]</f>
        <v>16 - 73</v>
      </c>
    </row>
    <row r="2482" spans="1:22" hidden="1">
      <c r="A2482">
        <v>4176</v>
      </c>
      <c r="B2482">
        <v>83</v>
      </c>
      <c r="C2482">
        <v>468</v>
      </c>
      <c r="D2482">
        <v>15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 t="s">
        <v>20</v>
      </c>
      <c r="L2482" s="1">
        <v>45338</v>
      </c>
      <c r="M2482">
        <v>16</v>
      </c>
      <c r="N2482">
        <v>73</v>
      </c>
      <c r="O2482">
        <v>812</v>
      </c>
      <c r="P2482">
        <v>806</v>
      </c>
      <c r="Q2482">
        <v>812</v>
      </c>
      <c r="S2482">
        <v>0</v>
      </c>
      <c r="T2482">
        <v>0</v>
      </c>
      <c r="U2482">
        <f>+SUM(Table1[[#This Row],[Latinos]:[Cemex]])</f>
        <v>1</v>
      </c>
      <c r="V2482" t="str">
        <f>+Table1[[#This Row],[id_destino]]&amp;" - "&amp;Table1[[#This Row],[id_origen]]</f>
        <v>16 - 73</v>
      </c>
    </row>
    <row r="2483" spans="1:22" hidden="1">
      <c r="A2483">
        <v>30</v>
      </c>
      <c r="B2483">
        <v>65</v>
      </c>
      <c r="C2483">
        <v>468</v>
      </c>
      <c r="D2483">
        <v>18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 t="s">
        <v>20</v>
      </c>
      <c r="L2483" s="1">
        <v>45280</v>
      </c>
      <c r="M2483">
        <v>17</v>
      </c>
      <c r="N2483">
        <v>73</v>
      </c>
      <c r="O2483">
        <v>583</v>
      </c>
      <c r="P2483">
        <v>589</v>
      </c>
      <c r="Q2483">
        <v>583</v>
      </c>
      <c r="S2483">
        <v>2279</v>
      </c>
      <c r="T2483">
        <v>2730</v>
      </c>
      <c r="U2483">
        <f>+SUM(Table1[[#This Row],[Latinos]:[Cemex]])</f>
        <v>1</v>
      </c>
      <c r="V2483" t="str">
        <f>+Table1[[#This Row],[id_destino]]&amp;" - "&amp;Table1[[#This Row],[id_origen]]</f>
        <v>17 - 73</v>
      </c>
    </row>
    <row r="2484" spans="1:22" hidden="1">
      <c r="A2484">
        <v>56</v>
      </c>
      <c r="B2484">
        <v>41</v>
      </c>
      <c r="C2484">
        <v>468</v>
      </c>
      <c r="D2484">
        <v>3940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 t="s">
        <v>20</v>
      </c>
      <c r="L2484" s="1">
        <v>45201</v>
      </c>
      <c r="M2484">
        <v>18</v>
      </c>
      <c r="N2484">
        <v>73</v>
      </c>
      <c r="O2484">
        <v>883</v>
      </c>
      <c r="P2484">
        <v>870</v>
      </c>
      <c r="Q2484">
        <v>883</v>
      </c>
      <c r="S2484">
        <v>1435</v>
      </c>
      <c r="T2484">
        <v>1435</v>
      </c>
      <c r="U2484">
        <f>+SUM(Table1[[#This Row],[Latinos]:[Cemex]])</f>
        <v>1</v>
      </c>
      <c r="V2484" t="str">
        <f>+Table1[[#This Row],[id_destino]]&amp;" - "&amp;Table1[[#This Row],[id_origen]]</f>
        <v>18 - 73</v>
      </c>
    </row>
    <row r="2485" spans="1:22" hidden="1">
      <c r="A2485">
        <v>1627</v>
      </c>
      <c r="B2485">
        <v>41</v>
      </c>
      <c r="C2485">
        <v>468</v>
      </c>
      <c r="D2485">
        <v>4035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 t="s">
        <v>20</v>
      </c>
      <c r="L2485" s="1">
        <v>45206</v>
      </c>
      <c r="M2485">
        <v>18</v>
      </c>
      <c r="N2485">
        <v>73</v>
      </c>
      <c r="O2485">
        <v>883</v>
      </c>
      <c r="P2485">
        <v>873</v>
      </c>
      <c r="Q2485">
        <v>883</v>
      </c>
      <c r="S2485">
        <v>1139</v>
      </c>
      <c r="T2485">
        <v>1139</v>
      </c>
      <c r="U2485">
        <f>+SUM(Table1[[#This Row],[Latinos]:[Cemex]])</f>
        <v>1</v>
      </c>
      <c r="V2485" t="str">
        <f>+Table1[[#This Row],[id_destino]]&amp;" - "&amp;Table1[[#This Row],[id_origen]]</f>
        <v>18 - 73</v>
      </c>
    </row>
    <row r="2486" spans="1:22" hidden="1">
      <c r="A2486">
        <v>319</v>
      </c>
      <c r="B2486">
        <v>62</v>
      </c>
      <c r="C2486">
        <v>468</v>
      </c>
      <c r="D2486">
        <v>1869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 t="s">
        <v>20</v>
      </c>
      <c r="L2486" s="1">
        <v>43036</v>
      </c>
      <c r="M2486">
        <v>19</v>
      </c>
      <c r="N2486">
        <v>73</v>
      </c>
      <c r="O2486">
        <v>930</v>
      </c>
      <c r="P2486">
        <v>910</v>
      </c>
      <c r="Q2486">
        <v>930</v>
      </c>
      <c r="S2486">
        <v>1700</v>
      </c>
      <c r="T2486">
        <v>1700</v>
      </c>
      <c r="U2486">
        <f>+SUM(Table1[[#This Row],[Latinos]:[Cemex]])</f>
        <v>1</v>
      </c>
      <c r="V2486" t="str">
        <f>+Table1[[#This Row],[id_destino]]&amp;" - "&amp;Table1[[#This Row],[id_origen]]</f>
        <v>19 - 73</v>
      </c>
    </row>
    <row r="2487" spans="1:22" hidden="1">
      <c r="A2487">
        <v>554</v>
      </c>
      <c r="B2487">
        <v>63</v>
      </c>
      <c r="C2487">
        <v>125</v>
      </c>
      <c r="D2487">
        <v>5404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 t="s">
        <v>20</v>
      </c>
      <c r="L2487" s="1">
        <v>45239</v>
      </c>
      <c r="M2487">
        <v>20</v>
      </c>
      <c r="N2487">
        <v>73</v>
      </c>
      <c r="O2487">
        <v>890</v>
      </c>
      <c r="P2487">
        <v>885</v>
      </c>
      <c r="Q2487">
        <v>890</v>
      </c>
      <c r="S2487">
        <v>1435</v>
      </c>
      <c r="T2487">
        <v>1435</v>
      </c>
      <c r="U2487">
        <f>+SUM(Table1[[#This Row],[Latinos]:[Cemex]])</f>
        <v>1</v>
      </c>
      <c r="V2487" t="str">
        <f>+Table1[[#This Row],[id_destino]]&amp;" - "&amp;Table1[[#This Row],[id_origen]]</f>
        <v>20 - 73</v>
      </c>
    </row>
    <row r="2488" spans="1:22" hidden="1">
      <c r="A2488">
        <v>565</v>
      </c>
      <c r="B2488">
        <v>1066</v>
      </c>
      <c r="C2488">
        <v>468</v>
      </c>
      <c r="D2488">
        <v>23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 t="s">
        <v>20</v>
      </c>
      <c r="L2488" s="1">
        <v>45216</v>
      </c>
      <c r="M2488">
        <v>21</v>
      </c>
      <c r="N2488">
        <v>73</v>
      </c>
      <c r="O2488">
        <v>1529</v>
      </c>
      <c r="P2488">
        <v>1555</v>
      </c>
      <c r="Q2488">
        <v>1529</v>
      </c>
      <c r="S2488">
        <v>2655</v>
      </c>
      <c r="T2488">
        <v>3104</v>
      </c>
      <c r="U2488">
        <f>+SUM(Table1[[#This Row],[Latinos]:[Cemex]])</f>
        <v>1</v>
      </c>
      <c r="V2488" t="str">
        <f>+Table1[[#This Row],[id_destino]]&amp;" - "&amp;Table1[[#This Row],[id_origen]]</f>
        <v>21 - 73</v>
      </c>
    </row>
    <row r="2489" spans="1:22" hidden="1">
      <c r="A2489">
        <v>568</v>
      </c>
      <c r="B2489">
        <v>1066</v>
      </c>
      <c r="C2489">
        <v>468</v>
      </c>
      <c r="D2489">
        <v>23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 t="s">
        <v>20</v>
      </c>
      <c r="L2489" s="1">
        <v>43104</v>
      </c>
      <c r="M2489">
        <v>21</v>
      </c>
      <c r="N2489">
        <v>73</v>
      </c>
      <c r="O2489">
        <v>1510</v>
      </c>
      <c r="P2489">
        <v>1510</v>
      </c>
      <c r="Q2489">
        <v>1510</v>
      </c>
      <c r="S2489">
        <v>0</v>
      </c>
      <c r="T2489">
        <v>0</v>
      </c>
      <c r="U2489">
        <f>+SUM(Table1[[#This Row],[Latinos]:[Cemex]])</f>
        <v>1</v>
      </c>
      <c r="V2489" t="str">
        <f>+Table1[[#This Row],[id_destino]]&amp;" - "&amp;Table1[[#This Row],[id_origen]]</f>
        <v>21 - 73</v>
      </c>
    </row>
    <row r="2490" spans="1:22" hidden="1">
      <c r="A2490">
        <v>49</v>
      </c>
      <c r="B2490">
        <v>296</v>
      </c>
      <c r="C2490">
        <v>468</v>
      </c>
      <c r="D2490">
        <v>4906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 t="s">
        <v>20</v>
      </c>
      <c r="L2490" s="1">
        <v>45225</v>
      </c>
      <c r="M2490">
        <v>23</v>
      </c>
      <c r="N2490">
        <v>73</v>
      </c>
      <c r="O2490">
        <v>850</v>
      </c>
      <c r="P2490">
        <v>839</v>
      </c>
      <c r="Q2490">
        <v>850</v>
      </c>
      <c r="S2490">
        <v>1769</v>
      </c>
      <c r="T2490">
        <v>1769</v>
      </c>
      <c r="U2490">
        <f>+SUM(Table1[[#This Row],[Latinos]:[Cemex]])</f>
        <v>1</v>
      </c>
      <c r="V2490" t="str">
        <f>+Table1[[#This Row],[id_destino]]&amp;" - "&amp;Table1[[#This Row],[id_origen]]</f>
        <v>23 - 73</v>
      </c>
    </row>
    <row r="2491" spans="1:22" hidden="1">
      <c r="A2491">
        <v>784</v>
      </c>
      <c r="B2491">
        <v>296</v>
      </c>
      <c r="C2491">
        <v>468</v>
      </c>
      <c r="D2491">
        <v>3053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 t="s">
        <v>20</v>
      </c>
      <c r="L2491" s="1">
        <v>43162</v>
      </c>
      <c r="M2491">
        <v>23</v>
      </c>
      <c r="N2491">
        <v>73</v>
      </c>
      <c r="O2491">
        <v>850</v>
      </c>
      <c r="P2491">
        <v>858</v>
      </c>
      <c r="Q2491">
        <v>850</v>
      </c>
      <c r="S2491">
        <v>0</v>
      </c>
      <c r="T2491">
        <v>0</v>
      </c>
      <c r="U2491">
        <f>+SUM(Table1[[#This Row],[Latinos]:[Cemex]])</f>
        <v>1</v>
      </c>
      <c r="V2491" t="str">
        <f>+Table1[[#This Row],[id_destino]]&amp;" - "&amp;Table1[[#This Row],[id_origen]]</f>
        <v>23 - 73</v>
      </c>
    </row>
    <row r="2492" spans="1:22" hidden="1">
      <c r="A2492">
        <v>23</v>
      </c>
      <c r="B2492">
        <v>78</v>
      </c>
      <c r="C2492">
        <v>468</v>
      </c>
      <c r="D2492">
        <v>4768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 t="s">
        <v>20</v>
      </c>
      <c r="L2492" s="1">
        <v>45204</v>
      </c>
      <c r="M2492">
        <v>24</v>
      </c>
      <c r="N2492">
        <v>73</v>
      </c>
      <c r="O2492">
        <v>1149</v>
      </c>
      <c r="P2492">
        <v>1167</v>
      </c>
      <c r="Q2492">
        <v>1149</v>
      </c>
      <c r="S2492">
        <v>2734</v>
      </c>
      <c r="T2492">
        <v>2857</v>
      </c>
      <c r="U2492">
        <f>+SUM(Table1[[#This Row],[Latinos]:[Cemex]])</f>
        <v>1</v>
      </c>
      <c r="V2492" t="str">
        <f>+Table1[[#This Row],[id_destino]]&amp;" - "&amp;Table1[[#This Row],[id_origen]]</f>
        <v>24 - 73</v>
      </c>
    </row>
    <row r="2493" spans="1:22" hidden="1">
      <c r="A2493">
        <v>27</v>
      </c>
      <c r="B2493">
        <v>78</v>
      </c>
      <c r="C2493">
        <v>468</v>
      </c>
      <c r="D2493">
        <v>5253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 t="s">
        <v>20</v>
      </c>
      <c r="L2493" s="1">
        <v>45246</v>
      </c>
      <c r="M2493">
        <v>24</v>
      </c>
      <c r="N2493">
        <v>73</v>
      </c>
      <c r="O2493">
        <v>1150</v>
      </c>
      <c r="P2493">
        <v>1079</v>
      </c>
      <c r="Q2493">
        <v>1150</v>
      </c>
      <c r="S2493">
        <v>2808</v>
      </c>
      <c r="T2493">
        <v>3082</v>
      </c>
      <c r="U2493">
        <f>+SUM(Table1[[#This Row],[Latinos]:[Cemex]])</f>
        <v>1</v>
      </c>
      <c r="V2493" t="str">
        <f>+Table1[[#This Row],[id_destino]]&amp;" - "&amp;Table1[[#This Row],[id_origen]]</f>
        <v>24 - 73</v>
      </c>
    </row>
    <row r="2494" spans="1:22" hidden="1">
      <c r="A2494">
        <v>4298</v>
      </c>
      <c r="B2494">
        <v>66</v>
      </c>
      <c r="C2494">
        <v>468</v>
      </c>
      <c r="D2494">
        <v>4984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 t="s">
        <v>20</v>
      </c>
      <c r="L2494" s="1">
        <v>45443</v>
      </c>
      <c r="M2494">
        <v>26</v>
      </c>
      <c r="N2494">
        <v>73</v>
      </c>
      <c r="O2494">
        <v>853</v>
      </c>
      <c r="P2494">
        <v>852</v>
      </c>
      <c r="Q2494">
        <v>853</v>
      </c>
      <c r="S2494">
        <v>1976</v>
      </c>
      <c r="T2494">
        <v>1976</v>
      </c>
      <c r="U2494">
        <f>+SUM(Table1[[#This Row],[Latinos]:[Cemex]])</f>
        <v>1</v>
      </c>
      <c r="V2494" t="str">
        <f>+Table1[[#This Row],[id_destino]]&amp;" - "&amp;Table1[[#This Row],[id_origen]]</f>
        <v>26 - 73</v>
      </c>
    </row>
    <row r="2495" spans="1:22" hidden="1">
      <c r="A2495">
        <v>1247</v>
      </c>
      <c r="B2495">
        <v>1207</v>
      </c>
      <c r="C2495">
        <v>468</v>
      </c>
      <c r="D2495">
        <v>5279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 t="s">
        <v>20</v>
      </c>
      <c r="L2495" s="1">
        <v>45450</v>
      </c>
      <c r="M2495">
        <v>27</v>
      </c>
      <c r="N2495">
        <v>73</v>
      </c>
      <c r="O2495">
        <v>1177</v>
      </c>
      <c r="P2495">
        <v>1189</v>
      </c>
      <c r="Q2495">
        <v>1177</v>
      </c>
      <c r="S2495">
        <v>1430</v>
      </c>
      <c r="T2495">
        <v>1430</v>
      </c>
      <c r="U2495">
        <f>+SUM(Table1[[#This Row],[Latinos]:[Cemex]])</f>
        <v>1</v>
      </c>
      <c r="V2495" t="str">
        <f>+Table1[[#This Row],[id_destino]]&amp;" - "&amp;Table1[[#This Row],[id_origen]]</f>
        <v>27 - 73</v>
      </c>
    </row>
    <row r="2496" spans="1:22" hidden="1">
      <c r="A2496">
        <v>676</v>
      </c>
      <c r="B2496">
        <v>100</v>
      </c>
      <c r="C2496">
        <v>468</v>
      </c>
      <c r="D2496">
        <v>34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 t="s">
        <v>20</v>
      </c>
      <c r="L2496" s="1">
        <v>43949</v>
      </c>
      <c r="M2496">
        <v>30</v>
      </c>
      <c r="N2496">
        <v>73</v>
      </c>
      <c r="O2496">
        <v>847</v>
      </c>
      <c r="P2496">
        <v>837</v>
      </c>
      <c r="Q2496">
        <v>847</v>
      </c>
      <c r="S2496">
        <v>3998</v>
      </c>
      <c r="T2496">
        <v>4449</v>
      </c>
      <c r="U2496">
        <f>+SUM(Table1[[#This Row],[Latinos]:[Cemex]])</f>
        <v>1</v>
      </c>
      <c r="V2496" t="str">
        <f>+Table1[[#This Row],[id_destino]]&amp;" - "&amp;Table1[[#This Row],[id_origen]]</f>
        <v>30 - 73</v>
      </c>
    </row>
    <row r="2497" spans="1:22" hidden="1">
      <c r="A2497">
        <v>1842</v>
      </c>
      <c r="B2497">
        <v>100</v>
      </c>
      <c r="C2497">
        <v>468</v>
      </c>
      <c r="D2497">
        <v>5978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 t="s">
        <v>20</v>
      </c>
      <c r="L2497" s="1">
        <v>45204</v>
      </c>
      <c r="M2497">
        <v>30</v>
      </c>
      <c r="N2497">
        <v>73</v>
      </c>
      <c r="O2497">
        <v>863</v>
      </c>
      <c r="P2497">
        <v>863</v>
      </c>
      <c r="Q2497">
        <v>863</v>
      </c>
      <c r="S2497">
        <v>3735</v>
      </c>
      <c r="T2497">
        <v>4165</v>
      </c>
      <c r="U2497">
        <f>+SUM(Table1[[#This Row],[Latinos]:[Cemex]])</f>
        <v>1</v>
      </c>
      <c r="V2497" t="str">
        <f>+Table1[[#This Row],[id_destino]]&amp;" - "&amp;Table1[[#This Row],[id_origen]]</f>
        <v>30 - 73</v>
      </c>
    </row>
    <row r="2498" spans="1:22" hidden="1">
      <c r="A2498">
        <v>1843</v>
      </c>
      <c r="B2498">
        <v>104</v>
      </c>
      <c r="C2498">
        <v>468</v>
      </c>
      <c r="D2498">
        <v>5978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 t="s">
        <v>20</v>
      </c>
      <c r="L2498" s="1">
        <v>44873</v>
      </c>
      <c r="M2498">
        <v>30</v>
      </c>
      <c r="N2498">
        <v>73</v>
      </c>
      <c r="O2498">
        <v>842</v>
      </c>
      <c r="P2498">
        <v>863</v>
      </c>
      <c r="Q2498">
        <v>842</v>
      </c>
      <c r="S2498">
        <v>2692</v>
      </c>
      <c r="T2498">
        <v>3040</v>
      </c>
      <c r="U2498">
        <f>+SUM(Table1[[#This Row],[Latinos]:[Cemex]])</f>
        <v>1</v>
      </c>
      <c r="V2498" t="str">
        <f>+Table1[[#This Row],[id_destino]]&amp;" - "&amp;Table1[[#This Row],[id_origen]]</f>
        <v>30 - 73</v>
      </c>
    </row>
    <row r="2499" spans="1:22" hidden="1">
      <c r="A2499">
        <v>64</v>
      </c>
      <c r="B2499">
        <v>98</v>
      </c>
      <c r="C2499">
        <v>468</v>
      </c>
      <c r="D2499">
        <v>35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 t="s">
        <v>20</v>
      </c>
      <c r="L2499" s="1">
        <v>45194</v>
      </c>
      <c r="M2499">
        <v>31</v>
      </c>
      <c r="N2499">
        <v>73</v>
      </c>
      <c r="O2499">
        <v>1033</v>
      </c>
      <c r="P2499">
        <v>1039</v>
      </c>
      <c r="Q2499">
        <v>1033</v>
      </c>
      <c r="S2499">
        <v>4668</v>
      </c>
      <c r="T2499">
        <v>5119</v>
      </c>
      <c r="U2499">
        <f>+SUM(Table1[[#This Row],[Latinos]:[Cemex]])</f>
        <v>1</v>
      </c>
      <c r="V2499" t="str">
        <f>+Table1[[#This Row],[id_destino]]&amp;" - "&amp;Table1[[#This Row],[id_origen]]</f>
        <v>31 - 73</v>
      </c>
    </row>
    <row r="2500" spans="1:22" hidden="1">
      <c r="A2500">
        <v>336</v>
      </c>
      <c r="B2500">
        <v>98</v>
      </c>
      <c r="C2500">
        <v>468</v>
      </c>
      <c r="D2500">
        <v>4008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 t="s">
        <v>20</v>
      </c>
      <c r="L2500" s="1">
        <v>43039</v>
      </c>
      <c r="M2500">
        <v>31</v>
      </c>
      <c r="N2500">
        <v>73</v>
      </c>
      <c r="O2500">
        <v>1052</v>
      </c>
      <c r="P2500">
        <v>1076</v>
      </c>
      <c r="Q2500">
        <v>0</v>
      </c>
      <c r="S2500">
        <v>0</v>
      </c>
      <c r="T2500">
        <v>0</v>
      </c>
      <c r="U2500">
        <f>+SUM(Table1[[#This Row],[Latinos]:[Cemex]])</f>
        <v>1</v>
      </c>
      <c r="V2500" t="str">
        <f>+Table1[[#This Row],[id_destino]]&amp;" - "&amp;Table1[[#This Row],[id_origen]]</f>
        <v>31 - 73</v>
      </c>
    </row>
    <row r="2501" spans="1:22" hidden="1">
      <c r="A2501">
        <v>3695</v>
      </c>
      <c r="B2501">
        <v>98</v>
      </c>
      <c r="C2501">
        <v>468</v>
      </c>
      <c r="D2501">
        <v>35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 t="s">
        <v>20</v>
      </c>
      <c r="L2501" s="1">
        <v>45035</v>
      </c>
      <c r="M2501">
        <v>31</v>
      </c>
      <c r="N2501">
        <v>73</v>
      </c>
      <c r="O2501">
        <v>1052</v>
      </c>
      <c r="P2501">
        <v>1076</v>
      </c>
      <c r="Q2501">
        <v>1052</v>
      </c>
      <c r="S2501">
        <v>3946</v>
      </c>
      <c r="T2501">
        <v>4376</v>
      </c>
      <c r="U2501">
        <f>+SUM(Table1[[#This Row],[Latinos]:[Cemex]])</f>
        <v>1</v>
      </c>
      <c r="V2501" t="str">
        <f>+Table1[[#This Row],[id_destino]]&amp;" - "&amp;Table1[[#This Row],[id_origen]]</f>
        <v>31 - 73</v>
      </c>
    </row>
    <row r="2502" spans="1:22" hidden="1">
      <c r="A2502">
        <v>45</v>
      </c>
      <c r="B2502">
        <v>81</v>
      </c>
      <c r="C2502">
        <v>468</v>
      </c>
      <c r="D2502">
        <v>157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 t="s">
        <v>20</v>
      </c>
      <c r="L2502" s="1">
        <v>45216</v>
      </c>
      <c r="M2502">
        <v>33</v>
      </c>
      <c r="N2502">
        <v>73</v>
      </c>
      <c r="O2502">
        <v>342</v>
      </c>
      <c r="P2502">
        <v>362</v>
      </c>
      <c r="Q2502">
        <v>342</v>
      </c>
      <c r="S2502">
        <v>1030.99</v>
      </c>
      <c r="T2502">
        <v>1096</v>
      </c>
      <c r="U2502">
        <f>+SUM(Table1[[#This Row],[Latinos]:[Cemex]])</f>
        <v>1</v>
      </c>
      <c r="V2502" t="str">
        <f>+Table1[[#This Row],[id_destino]]&amp;" - "&amp;Table1[[#This Row],[id_origen]]</f>
        <v>33 - 73</v>
      </c>
    </row>
    <row r="2503" spans="1:22" hidden="1">
      <c r="A2503">
        <v>80</v>
      </c>
      <c r="B2503">
        <v>81</v>
      </c>
      <c r="C2503">
        <v>468</v>
      </c>
      <c r="D2503">
        <v>637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 t="s">
        <v>20</v>
      </c>
      <c r="L2503" s="1">
        <v>45204</v>
      </c>
      <c r="M2503">
        <v>33</v>
      </c>
      <c r="N2503">
        <v>73</v>
      </c>
      <c r="O2503">
        <v>368</v>
      </c>
      <c r="P2503">
        <v>397</v>
      </c>
      <c r="Q2503">
        <v>368</v>
      </c>
      <c r="S2503">
        <v>959</v>
      </c>
      <c r="T2503">
        <v>1020</v>
      </c>
      <c r="U2503">
        <f>+SUM(Table1[[#This Row],[Latinos]:[Cemex]])</f>
        <v>1</v>
      </c>
      <c r="V2503" t="str">
        <f>+Table1[[#This Row],[id_destino]]&amp;" - "&amp;Table1[[#This Row],[id_origen]]</f>
        <v>33 - 73</v>
      </c>
    </row>
    <row r="2504" spans="1:22" hidden="1">
      <c r="A2504">
        <v>227</v>
      </c>
      <c r="B2504">
        <v>81</v>
      </c>
      <c r="C2504">
        <v>468</v>
      </c>
      <c r="D2504">
        <v>637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 t="s">
        <v>20</v>
      </c>
      <c r="L2504" s="1">
        <v>44250</v>
      </c>
      <c r="M2504">
        <v>33</v>
      </c>
      <c r="N2504">
        <v>73</v>
      </c>
      <c r="O2504">
        <v>736</v>
      </c>
      <c r="P2504">
        <v>397</v>
      </c>
      <c r="Q2504">
        <v>368</v>
      </c>
      <c r="S2504">
        <v>0</v>
      </c>
      <c r="T2504">
        <v>0</v>
      </c>
      <c r="U2504">
        <f>+SUM(Table1[[#This Row],[Latinos]:[Cemex]])</f>
        <v>1</v>
      </c>
      <c r="V2504" t="str">
        <f>+Table1[[#This Row],[id_destino]]&amp;" - "&amp;Table1[[#This Row],[id_origen]]</f>
        <v>33 - 73</v>
      </c>
    </row>
    <row r="2505" spans="1:22" hidden="1">
      <c r="A2505">
        <v>106</v>
      </c>
      <c r="B2505">
        <v>71</v>
      </c>
      <c r="C2505">
        <v>468</v>
      </c>
      <c r="D2505">
        <v>40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 t="s">
        <v>20</v>
      </c>
      <c r="L2505" s="1">
        <v>45192</v>
      </c>
      <c r="M2505">
        <v>34</v>
      </c>
      <c r="N2505">
        <v>73</v>
      </c>
      <c r="O2505">
        <v>336</v>
      </c>
      <c r="P2505">
        <v>340</v>
      </c>
      <c r="Q2505">
        <v>336</v>
      </c>
      <c r="S2505">
        <v>812.99</v>
      </c>
      <c r="T2505">
        <v>812.99</v>
      </c>
      <c r="U2505">
        <f>+SUM(Table1[[#This Row],[Latinos]:[Cemex]])</f>
        <v>1</v>
      </c>
      <c r="V2505" t="str">
        <f>+Table1[[#This Row],[id_destino]]&amp;" - "&amp;Table1[[#This Row],[id_origen]]</f>
        <v>34 - 73</v>
      </c>
    </row>
    <row r="2506" spans="1:22" hidden="1">
      <c r="A2506">
        <v>2112</v>
      </c>
      <c r="B2506">
        <v>71</v>
      </c>
      <c r="C2506">
        <v>468</v>
      </c>
      <c r="D2506">
        <v>40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 t="s">
        <v>20</v>
      </c>
      <c r="L2506" s="1">
        <v>44315</v>
      </c>
      <c r="M2506">
        <v>34</v>
      </c>
      <c r="N2506">
        <v>73</v>
      </c>
      <c r="O2506">
        <v>343</v>
      </c>
      <c r="P2506">
        <v>388</v>
      </c>
      <c r="Q2506">
        <v>343</v>
      </c>
      <c r="S2506">
        <v>0</v>
      </c>
      <c r="T2506">
        <v>0</v>
      </c>
      <c r="U2506">
        <f>+SUM(Table1[[#This Row],[Latinos]:[Cemex]])</f>
        <v>1</v>
      </c>
      <c r="V2506" t="str">
        <f>+Table1[[#This Row],[id_destino]]&amp;" - "&amp;Table1[[#This Row],[id_origen]]</f>
        <v>34 - 73</v>
      </c>
    </row>
    <row r="2507" spans="1:22" hidden="1">
      <c r="A2507">
        <v>3895</v>
      </c>
      <c r="B2507">
        <v>71</v>
      </c>
      <c r="C2507">
        <v>468</v>
      </c>
      <c r="D2507">
        <v>40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 t="s">
        <v>20</v>
      </c>
      <c r="L2507" s="1">
        <v>45821</v>
      </c>
      <c r="M2507">
        <v>34</v>
      </c>
      <c r="N2507">
        <v>73</v>
      </c>
      <c r="O2507">
        <v>343</v>
      </c>
      <c r="P2507">
        <v>397</v>
      </c>
      <c r="Q2507">
        <v>343</v>
      </c>
      <c r="S2507">
        <v>753</v>
      </c>
      <c r="T2507">
        <v>753</v>
      </c>
      <c r="U2507">
        <f>+SUM(Table1[[#This Row],[Latinos]:[Cemex]])</f>
        <v>1</v>
      </c>
      <c r="V2507" t="str">
        <f>+Table1[[#This Row],[id_destino]]&amp;" - "&amp;Table1[[#This Row],[id_origen]]</f>
        <v>34 - 73</v>
      </c>
    </row>
    <row r="2508" spans="1:22" hidden="1">
      <c r="A2508">
        <v>7</v>
      </c>
      <c r="B2508">
        <v>74</v>
      </c>
      <c r="C2508">
        <v>468</v>
      </c>
      <c r="D2508">
        <v>4919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 t="s">
        <v>20</v>
      </c>
      <c r="L2508" s="1">
        <v>44596</v>
      </c>
      <c r="M2508">
        <v>35</v>
      </c>
      <c r="N2508">
        <v>73</v>
      </c>
      <c r="O2508">
        <v>1289</v>
      </c>
      <c r="P2508">
        <v>1308</v>
      </c>
      <c r="Q2508">
        <v>1289</v>
      </c>
      <c r="S2508">
        <v>2267</v>
      </c>
      <c r="T2508">
        <v>2267</v>
      </c>
      <c r="U2508">
        <f>+SUM(Table1[[#This Row],[Latinos]:[Cemex]])</f>
        <v>1</v>
      </c>
      <c r="V2508" t="str">
        <f>+Table1[[#This Row],[id_destino]]&amp;" - "&amp;Table1[[#This Row],[id_origen]]</f>
        <v>35 - 73</v>
      </c>
    </row>
    <row r="2509" spans="1:22" hidden="1">
      <c r="A2509">
        <v>384</v>
      </c>
      <c r="B2509">
        <v>74</v>
      </c>
      <c r="C2509">
        <v>468</v>
      </c>
      <c r="D2509">
        <v>5342</v>
      </c>
      <c r="E2509">
        <v>0</v>
      </c>
      <c r="F2509">
        <v>1</v>
      </c>
      <c r="G2509">
        <v>0</v>
      </c>
      <c r="H2509">
        <v>0</v>
      </c>
      <c r="I2509">
        <v>1</v>
      </c>
      <c r="J2509">
        <v>0</v>
      </c>
      <c r="K2509" t="s">
        <v>20</v>
      </c>
      <c r="L2509" s="1">
        <v>43195</v>
      </c>
      <c r="M2509">
        <v>35</v>
      </c>
      <c r="N2509">
        <v>73</v>
      </c>
      <c r="O2509">
        <v>1272</v>
      </c>
      <c r="P2509">
        <v>1263</v>
      </c>
      <c r="Q2509">
        <v>1272</v>
      </c>
      <c r="S2509">
        <v>2758</v>
      </c>
      <c r="T2509">
        <v>2856</v>
      </c>
      <c r="U2509">
        <f>+SUM(Table1[[#This Row],[Latinos]:[Cemex]])</f>
        <v>2</v>
      </c>
      <c r="V2509" t="str">
        <f>+Table1[[#This Row],[id_destino]]&amp;" - "&amp;Table1[[#This Row],[id_origen]]</f>
        <v>35 - 73</v>
      </c>
    </row>
    <row r="2510" spans="1:22" hidden="1">
      <c r="A2510">
        <v>585</v>
      </c>
      <c r="B2510">
        <v>74</v>
      </c>
      <c r="C2510">
        <v>468</v>
      </c>
      <c r="D2510">
        <v>4919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 t="s">
        <v>38</v>
      </c>
      <c r="L2510" s="1">
        <v>43171</v>
      </c>
      <c r="M2510">
        <v>35</v>
      </c>
      <c r="N2510">
        <v>73</v>
      </c>
      <c r="O2510">
        <v>1311</v>
      </c>
      <c r="P2510">
        <v>1311</v>
      </c>
      <c r="Q2510">
        <v>1311</v>
      </c>
      <c r="S2510">
        <v>0</v>
      </c>
      <c r="T2510">
        <v>0</v>
      </c>
      <c r="U2510">
        <f>+SUM(Table1[[#This Row],[Latinos]:[Cemex]])</f>
        <v>1</v>
      </c>
      <c r="V2510" t="str">
        <f>+Table1[[#This Row],[id_destino]]&amp;" - "&amp;Table1[[#This Row],[id_origen]]</f>
        <v>35 - 73</v>
      </c>
    </row>
    <row r="2511" spans="1:22" hidden="1">
      <c r="A2511">
        <v>862</v>
      </c>
      <c r="B2511">
        <v>74</v>
      </c>
      <c r="C2511">
        <v>468</v>
      </c>
      <c r="D2511">
        <v>53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 t="s">
        <v>20</v>
      </c>
      <c r="L2511" s="1">
        <v>45206</v>
      </c>
      <c r="M2511">
        <v>35</v>
      </c>
      <c r="N2511">
        <v>73</v>
      </c>
      <c r="O2511">
        <v>1291</v>
      </c>
      <c r="P2511">
        <v>1262</v>
      </c>
      <c r="Q2511">
        <v>1291</v>
      </c>
      <c r="S2511">
        <v>3196.99</v>
      </c>
      <c r="T2511">
        <v>3196.99</v>
      </c>
      <c r="U2511">
        <f>+SUM(Table1[[#This Row],[Latinos]:[Cemex]])</f>
        <v>1</v>
      </c>
      <c r="V2511" t="str">
        <f>+Table1[[#This Row],[id_destino]]&amp;" - "&amp;Table1[[#This Row],[id_origen]]</f>
        <v>35 - 73</v>
      </c>
    </row>
    <row r="2512" spans="1:22" hidden="1">
      <c r="A2512">
        <v>919</v>
      </c>
      <c r="B2512">
        <v>74</v>
      </c>
      <c r="C2512">
        <v>468</v>
      </c>
      <c r="D2512">
        <v>1099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 t="s">
        <v>20</v>
      </c>
      <c r="L2512" s="1">
        <v>44755</v>
      </c>
      <c r="M2512">
        <v>35</v>
      </c>
      <c r="N2512">
        <v>73</v>
      </c>
      <c r="O2512">
        <v>1289</v>
      </c>
      <c r="P2512">
        <v>1289</v>
      </c>
      <c r="Q2512">
        <v>1289</v>
      </c>
      <c r="S2512">
        <v>0</v>
      </c>
      <c r="T2512">
        <v>0</v>
      </c>
      <c r="U2512">
        <f>+SUM(Table1[[#This Row],[Latinos]:[Cemex]])</f>
        <v>1</v>
      </c>
      <c r="V2512" t="str">
        <f>+Table1[[#This Row],[id_destino]]&amp;" - "&amp;Table1[[#This Row],[id_origen]]</f>
        <v>35 - 73</v>
      </c>
    </row>
    <row r="2513" spans="1:22" hidden="1">
      <c r="A2513">
        <v>178</v>
      </c>
      <c r="B2513">
        <v>128</v>
      </c>
      <c r="C2513">
        <v>468</v>
      </c>
      <c r="D2513">
        <v>556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 t="s">
        <v>20</v>
      </c>
      <c r="L2513" s="1">
        <v>45230</v>
      </c>
      <c r="M2513">
        <v>36</v>
      </c>
      <c r="N2513">
        <v>73</v>
      </c>
      <c r="O2513">
        <v>1153</v>
      </c>
      <c r="P2513">
        <v>1173</v>
      </c>
      <c r="Q2513">
        <v>1153</v>
      </c>
      <c r="S2513">
        <v>2210</v>
      </c>
      <c r="T2513">
        <v>2113</v>
      </c>
      <c r="U2513">
        <f>+SUM(Table1[[#This Row],[Latinos]:[Cemex]])</f>
        <v>1</v>
      </c>
      <c r="V2513" t="str">
        <f>+Table1[[#This Row],[id_destino]]&amp;" - "&amp;Table1[[#This Row],[id_origen]]</f>
        <v>36 - 73</v>
      </c>
    </row>
    <row r="2514" spans="1:22" hidden="1">
      <c r="A2514">
        <v>25</v>
      </c>
      <c r="B2514">
        <v>218</v>
      </c>
      <c r="C2514">
        <v>468</v>
      </c>
      <c r="D2514">
        <v>43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 t="s">
        <v>20</v>
      </c>
      <c r="L2514" s="1">
        <v>45190</v>
      </c>
      <c r="M2514">
        <v>37</v>
      </c>
      <c r="N2514">
        <v>73</v>
      </c>
      <c r="O2514">
        <v>1141</v>
      </c>
      <c r="P2514">
        <v>1134</v>
      </c>
      <c r="Q2514">
        <v>1141</v>
      </c>
      <c r="S2514">
        <v>3573</v>
      </c>
      <c r="T2514">
        <v>3573</v>
      </c>
      <c r="U2514">
        <f>+SUM(Table1[[#This Row],[Latinos]:[Cemex]])</f>
        <v>1</v>
      </c>
      <c r="V2514" t="str">
        <f>+Table1[[#This Row],[id_destino]]&amp;" - "&amp;Table1[[#This Row],[id_origen]]</f>
        <v>37 - 73</v>
      </c>
    </row>
    <row r="2515" spans="1:22" hidden="1">
      <c r="A2515">
        <v>282</v>
      </c>
      <c r="B2515">
        <v>218</v>
      </c>
      <c r="C2515">
        <v>468</v>
      </c>
      <c r="D2515">
        <v>4894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 t="s">
        <v>20</v>
      </c>
      <c r="L2515" s="1">
        <v>45191</v>
      </c>
      <c r="M2515">
        <v>37</v>
      </c>
      <c r="N2515">
        <v>73</v>
      </c>
      <c r="O2515">
        <v>1146</v>
      </c>
      <c r="P2515">
        <v>1190</v>
      </c>
      <c r="Q2515">
        <v>1146</v>
      </c>
      <c r="S2515">
        <v>2946</v>
      </c>
      <c r="T2515">
        <v>2946</v>
      </c>
      <c r="U2515">
        <f>+SUM(Table1[[#This Row],[Latinos]:[Cemex]])</f>
        <v>1</v>
      </c>
      <c r="V2515" t="str">
        <f>+Table1[[#This Row],[id_destino]]&amp;" - "&amp;Table1[[#This Row],[id_origen]]</f>
        <v>37 - 73</v>
      </c>
    </row>
    <row r="2516" spans="1:22" hidden="1">
      <c r="A2516">
        <v>731</v>
      </c>
      <c r="B2516">
        <v>218</v>
      </c>
      <c r="C2516">
        <v>468</v>
      </c>
      <c r="D2516">
        <v>4894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 t="s">
        <v>20</v>
      </c>
      <c r="L2516" s="1">
        <v>44798</v>
      </c>
      <c r="M2516">
        <v>37</v>
      </c>
      <c r="N2516">
        <v>73</v>
      </c>
      <c r="O2516">
        <v>1190</v>
      </c>
      <c r="P2516">
        <v>1190</v>
      </c>
      <c r="Q2516">
        <v>1190</v>
      </c>
      <c r="S2516">
        <v>0</v>
      </c>
      <c r="T2516">
        <v>0</v>
      </c>
      <c r="U2516">
        <f>+SUM(Table1[[#This Row],[Latinos]:[Cemex]])</f>
        <v>1</v>
      </c>
      <c r="V2516" t="str">
        <f>+Table1[[#This Row],[id_destino]]&amp;" - "&amp;Table1[[#This Row],[id_origen]]</f>
        <v>37 - 73</v>
      </c>
    </row>
    <row r="2517" spans="1:22" hidden="1">
      <c r="A2517">
        <v>124</v>
      </c>
      <c r="B2517">
        <v>58</v>
      </c>
      <c r="C2517">
        <v>468</v>
      </c>
      <c r="D2517">
        <v>44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 t="s">
        <v>20</v>
      </c>
      <c r="L2517" s="1">
        <v>45233</v>
      </c>
      <c r="M2517">
        <v>38</v>
      </c>
      <c r="N2517">
        <v>73</v>
      </c>
      <c r="O2517">
        <v>832</v>
      </c>
      <c r="P2517">
        <v>828</v>
      </c>
      <c r="Q2517">
        <v>832</v>
      </c>
      <c r="S2517">
        <v>1592</v>
      </c>
      <c r="T2517">
        <v>1592</v>
      </c>
      <c r="U2517">
        <f>+SUM(Table1[[#This Row],[Latinos]:[Cemex]])</f>
        <v>1</v>
      </c>
      <c r="V2517" t="str">
        <f>+Table1[[#This Row],[id_destino]]&amp;" - "&amp;Table1[[#This Row],[id_origen]]</f>
        <v>38 - 73</v>
      </c>
    </row>
    <row r="2518" spans="1:22" hidden="1">
      <c r="A2518">
        <v>66</v>
      </c>
      <c r="B2518">
        <v>132</v>
      </c>
      <c r="C2518">
        <v>468</v>
      </c>
      <c r="D2518">
        <v>45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 t="s">
        <v>20</v>
      </c>
      <c r="L2518" s="1">
        <v>45194</v>
      </c>
      <c r="M2518">
        <v>39</v>
      </c>
      <c r="N2518">
        <v>73</v>
      </c>
      <c r="O2518">
        <v>933</v>
      </c>
      <c r="P2518">
        <v>931</v>
      </c>
      <c r="Q2518">
        <v>933</v>
      </c>
      <c r="S2518">
        <v>2258</v>
      </c>
      <c r="T2518">
        <v>2258</v>
      </c>
      <c r="U2518">
        <f>+SUM(Table1[[#This Row],[Latinos]:[Cemex]])</f>
        <v>1</v>
      </c>
      <c r="V2518" t="str">
        <f>+Table1[[#This Row],[id_destino]]&amp;" - "&amp;Table1[[#This Row],[id_origen]]</f>
        <v>39 - 73</v>
      </c>
    </row>
    <row r="2519" spans="1:22" hidden="1">
      <c r="A2519">
        <v>150</v>
      </c>
      <c r="B2519">
        <v>126</v>
      </c>
      <c r="C2519">
        <v>468</v>
      </c>
      <c r="D2519">
        <v>3915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 t="s">
        <v>20</v>
      </c>
      <c r="L2519" s="1">
        <v>45230</v>
      </c>
      <c r="M2519">
        <v>40</v>
      </c>
      <c r="N2519">
        <v>73</v>
      </c>
      <c r="O2519">
        <v>866</v>
      </c>
      <c r="P2519">
        <v>893</v>
      </c>
      <c r="Q2519">
        <v>866</v>
      </c>
      <c r="S2519">
        <v>2310.9899999999998</v>
      </c>
      <c r="T2519">
        <v>2352</v>
      </c>
      <c r="U2519">
        <f>+SUM(Table1[[#This Row],[Latinos]:[Cemex]])</f>
        <v>1</v>
      </c>
      <c r="V2519" t="str">
        <f>+Table1[[#This Row],[id_destino]]&amp;" - "&amp;Table1[[#This Row],[id_origen]]</f>
        <v>40 - 73</v>
      </c>
    </row>
    <row r="2520" spans="1:22" hidden="1">
      <c r="A2520">
        <v>1541</v>
      </c>
      <c r="B2520">
        <v>214</v>
      </c>
      <c r="C2520">
        <v>468</v>
      </c>
      <c r="D2520">
        <v>3189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 t="s">
        <v>20</v>
      </c>
      <c r="L2520" s="1">
        <v>45573</v>
      </c>
      <c r="M2520">
        <v>41</v>
      </c>
      <c r="N2520">
        <v>73</v>
      </c>
      <c r="O2520">
        <v>1638</v>
      </c>
      <c r="P2520">
        <v>1638</v>
      </c>
      <c r="Q2520">
        <v>1638</v>
      </c>
      <c r="S2520">
        <v>2271</v>
      </c>
      <c r="T2520">
        <v>2271</v>
      </c>
      <c r="U2520">
        <f>+SUM(Table1[[#This Row],[Latinos]:[Cemex]])</f>
        <v>1</v>
      </c>
      <c r="V2520" t="str">
        <f>+Table1[[#This Row],[id_destino]]&amp;" - "&amp;Table1[[#This Row],[id_origen]]</f>
        <v>41 - 73</v>
      </c>
    </row>
    <row r="2521" spans="1:22" hidden="1">
      <c r="A2521">
        <v>57</v>
      </c>
      <c r="B2521">
        <v>108</v>
      </c>
      <c r="C2521">
        <v>468</v>
      </c>
      <c r="D2521">
        <v>48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 t="s">
        <v>20</v>
      </c>
      <c r="L2521" s="1">
        <v>45212</v>
      </c>
      <c r="M2521">
        <v>42</v>
      </c>
      <c r="N2521">
        <v>73</v>
      </c>
      <c r="O2521">
        <v>1165</v>
      </c>
      <c r="P2521">
        <v>1171</v>
      </c>
      <c r="Q2521">
        <v>1165</v>
      </c>
      <c r="S2521">
        <v>2558.9899999999998</v>
      </c>
      <c r="T2521">
        <v>2558.9899999999998</v>
      </c>
      <c r="U2521">
        <f>+SUM(Table1[[#This Row],[Latinos]:[Cemex]])</f>
        <v>1</v>
      </c>
      <c r="V2521" t="str">
        <f>+Table1[[#This Row],[id_destino]]&amp;" - "&amp;Table1[[#This Row],[id_origen]]</f>
        <v>42 - 73</v>
      </c>
    </row>
    <row r="2522" spans="1:22" hidden="1">
      <c r="A2522">
        <v>318</v>
      </c>
      <c r="B2522">
        <v>108</v>
      </c>
      <c r="C2522">
        <v>468</v>
      </c>
      <c r="D2522">
        <v>48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 t="s">
        <v>30</v>
      </c>
      <c r="L2522" s="1">
        <v>43035</v>
      </c>
      <c r="M2522">
        <v>42</v>
      </c>
      <c r="N2522">
        <v>73</v>
      </c>
      <c r="O2522">
        <v>1467</v>
      </c>
      <c r="P2522">
        <v>1214</v>
      </c>
      <c r="Q2522">
        <v>1214</v>
      </c>
      <c r="S2522">
        <v>0</v>
      </c>
      <c r="T2522">
        <v>0</v>
      </c>
      <c r="U2522">
        <f>+SUM(Table1[[#This Row],[Latinos]:[Cemex]])</f>
        <v>1</v>
      </c>
      <c r="V2522" t="str">
        <f>+Table1[[#This Row],[id_destino]]&amp;" - "&amp;Table1[[#This Row],[id_origen]]</f>
        <v>42 - 73</v>
      </c>
    </row>
    <row r="2523" spans="1:22" hidden="1">
      <c r="A2523">
        <v>128</v>
      </c>
      <c r="B2523">
        <v>173</v>
      </c>
      <c r="C2523">
        <v>468</v>
      </c>
      <c r="D2523">
        <v>49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 t="s">
        <v>20</v>
      </c>
      <c r="L2523" s="1">
        <v>43181</v>
      </c>
      <c r="M2523">
        <v>43</v>
      </c>
      <c r="N2523">
        <v>73</v>
      </c>
      <c r="O2523">
        <v>1533</v>
      </c>
      <c r="P2523">
        <v>1503</v>
      </c>
      <c r="Q2523">
        <v>1533</v>
      </c>
      <c r="S2523">
        <v>3513</v>
      </c>
      <c r="T2523">
        <v>3038.01</v>
      </c>
      <c r="U2523">
        <f>+SUM(Table1[[#This Row],[Latinos]:[Cemex]])</f>
        <v>1</v>
      </c>
      <c r="V2523" t="str">
        <f>+Table1[[#This Row],[id_destino]]&amp;" - "&amp;Table1[[#This Row],[id_origen]]</f>
        <v>43 - 73</v>
      </c>
    </row>
    <row r="2524" spans="1:22" hidden="1">
      <c r="A2524">
        <v>4076</v>
      </c>
      <c r="B2524">
        <v>173</v>
      </c>
      <c r="C2524">
        <v>468</v>
      </c>
      <c r="D2524">
        <v>49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 t="s">
        <v>20</v>
      </c>
      <c r="L2524" s="1">
        <v>45268</v>
      </c>
      <c r="M2524">
        <v>43</v>
      </c>
      <c r="N2524">
        <v>73</v>
      </c>
      <c r="O2524">
        <v>1533</v>
      </c>
      <c r="P2524">
        <v>1508</v>
      </c>
      <c r="Q2524">
        <v>1533</v>
      </c>
      <c r="S2524">
        <v>2043</v>
      </c>
      <c r="T2524">
        <v>2043</v>
      </c>
      <c r="U2524">
        <f>+SUM(Table1[[#This Row],[Latinos]:[Cemex]])</f>
        <v>1</v>
      </c>
      <c r="V2524" t="str">
        <f>+Table1[[#This Row],[id_destino]]&amp;" - "&amp;Table1[[#This Row],[id_origen]]</f>
        <v>43 - 73</v>
      </c>
    </row>
    <row r="2525" spans="1:22" hidden="1">
      <c r="A2525">
        <v>4492</v>
      </c>
      <c r="B2525">
        <v>4700</v>
      </c>
      <c r="C2525">
        <v>189</v>
      </c>
      <c r="D2525">
        <v>5338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 t="s">
        <v>20</v>
      </c>
      <c r="L2525" s="1">
        <v>45583</v>
      </c>
      <c r="M2525">
        <v>44</v>
      </c>
      <c r="N2525">
        <v>73</v>
      </c>
      <c r="O2525">
        <v>1169</v>
      </c>
      <c r="P2525">
        <v>1166</v>
      </c>
      <c r="Q2525">
        <v>1169</v>
      </c>
      <c r="S2525">
        <v>2107</v>
      </c>
      <c r="T2525">
        <v>2113</v>
      </c>
      <c r="U2525">
        <f>+SUM(Table1[[#This Row],[Latinos]:[Cemex]])</f>
        <v>1</v>
      </c>
      <c r="V2525" t="str">
        <f>+Table1[[#This Row],[id_destino]]&amp;" - "&amp;Table1[[#This Row],[id_origen]]</f>
        <v>44 - 73</v>
      </c>
    </row>
    <row r="2526" spans="1:22" hidden="1">
      <c r="A2526">
        <v>1790</v>
      </c>
      <c r="B2526">
        <v>2939</v>
      </c>
      <c r="C2526">
        <v>468</v>
      </c>
      <c r="D2526">
        <v>5940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  <c r="K2526" t="s">
        <v>20</v>
      </c>
      <c r="L2526" s="1">
        <v>45072</v>
      </c>
      <c r="M2526">
        <v>45</v>
      </c>
      <c r="N2526">
        <v>73</v>
      </c>
      <c r="O2526">
        <v>1201</v>
      </c>
      <c r="P2526">
        <v>1201</v>
      </c>
      <c r="Q2526">
        <v>1183</v>
      </c>
      <c r="S2526">
        <v>1943</v>
      </c>
      <c r="T2526">
        <v>1943</v>
      </c>
      <c r="U2526">
        <f>+SUM(Table1[[#This Row],[Latinos]:[Cemex]])</f>
        <v>1</v>
      </c>
      <c r="V2526" t="str">
        <f>+Table1[[#This Row],[id_destino]]&amp;" - "&amp;Table1[[#This Row],[id_origen]]</f>
        <v>45 - 73</v>
      </c>
    </row>
    <row r="2527" spans="1:22" hidden="1">
      <c r="A2527">
        <v>3752</v>
      </c>
      <c r="B2527">
        <v>2939</v>
      </c>
      <c r="C2527">
        <v>3426</v>
      </c>
      <c r="D2527">
        <v>7357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 t="s">
        <v>20</v>
      </c>
      <c r="L2527" s="1">
        <v>45072</v>
      </c>
      <c r="M2527">
        <v>45</v>
      </c>
      <c r="N2527">
        <v>73</v>
      </c>
      <c r="O2527">
        <v>1198</v>
      </c>
      <c r="P2527">
        <v>1199</v>
      </c>
      <c r="Q2527">
        <v>1198</v>
      </c>
      <c r="S2527">
        <v>2272</v>
      </c>
      <c r="T2527">
        <v>2272</v>
      </c>
      <c r="U2527">
        <f>+SUM(Table1[[#This Row],[Latinos]:[Cemex]])</f>
        <v>1</v>
      </c>
      <c r="V2527" t="str">
        <f>+Table1[[#This Row],[id_destino]]&amp;" - "&amp;Table1[[#This Row],[id_origen]]</f>
        <v>45 - 73</v>
      </c>
    </row>
    <row r="2528" spans="1:22" hidden="1">
      <c r="A2528">
        <v>828</v>
      </c>
      <c r="B2528">
        <v>79</v>
      </c>
      <c r="C2528">
        <v>468</v>
      </c>
      <c r="D2528">
        <v>52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 t="s">
        <v>20</v>
      </c>
      <c r="L2528" s="1">
        <v>45196</v>
      </c>
      <c r="M2528">
        <v>46</v>
      </c>
      <c r="N2528">
        <v>73</v>
      </c>
      <c r="O2528">
        <v>1102</v>
      </c>
      <c r="P2528">
        <v>1109</v>
      </c>
      <c r="Q2528">
        <v>1102</v>
      </c>
      <c r="S2528">
        <v>1485</v>
      </c>
      <c r="T2528">
        <v>2145</v>
      </c>
      <c r="U2528">
        <f>+SUM(Table1[[#This Row],[Latinos]:[Cemex]])</f>
        <v>1</v>
      </c>
      <c r="V2528" t="str">
        <f>+Table1[[#This Row],[id_destino]]&amp;" - "&amp;Table1[[#This Row],[id_origen]]</f>
        <v>46 - 73</v>
      </c>
    </row>
    <row r="2529" spans="1:22" hidden="1">
      <c r="A2529">
        <v>73</v>
      </c>
      <c r="B2529">
        <v>61</v>
      </c>
      <c r="C2529">
        <v>468</v>
      </c>
      <c r="D2529">
        <v>230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 t="s">
        <v>20</v>
      </c>
      <c r="L2529" s="1">
        <v>45212</v>
      </c>
      <c r="M2529">
        <v>47</v>
      </c>
      <c r="N2529">
        <v>73</v>
      </c>
      <c r="O2529">
        <v>904</v>
      </c>
      <c r="P2529">
        <v>886</v>
      </c>
      <c r="Q2529">
        <v>904</v>
      </c>
      <c r="S2529">
        <v>1189</v>
      </c>
      <c r="T2529">
        <v>1303</v>
      </c>
      <c r="U2529">
        <f>+SUM(Table1[[#This Row],[Latinos]:[Cemex]])</f>
        <v>1</v>
      </c>
      <c r="V2529" t="str">
        <f>+Table1[[#This Row],[id_destino]]&amp;" - "&amp;Table1[[#This Row],[id_origen]]</f>
        <v>47 - 73</v>
      </c>
    </row>
    <row r="2530" spans="1:22" hidden="1">
      <c r="A2530">
        <v>822</v>
      </c>
      <c r="B2530">
        <v>61</v>
      </c>
      <c r="C2530">
        <v>468</v>
      </c>
      <c r="D2530">
        <v>230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 t="s">
        <v>20</v>
      </c>
      <c r="L2530" s="1">
        <v>43176</v>
      </c>
      <c r="M2530">
        <v>47</v>
      </c>
      <c r="N2530">
        <v>73</v>
      </c>
      <c r="O2530">
        <v>902</v>
      </c>
      <c r="P2530">
        <v>895</v>
      </c>
      <c r="Q2530">
        <v>902</v>
      </c>
      <c r="S2530">
        <v>480</v>
      </c>
      <c r="T2530">
        <v>540</v>
      </c>
      <c r="U2530">
        <f>+SUM(Table1[[#This Row],[Latinos]:[Cemex]])</f>
        <v>1</v>
      </c>
      <c r="V2530" t="str">
        <f>+Table1[[#This Row],[id_destino]]&amp;" - "&amp;Table1[[#This Row],[id_origen]]</f>
        <v>47 - 73</v>
      </c>
    </row>
    <row r="2531" spans="1:22" hidden="1">
      <c r="A2531">
        <v>3005</v>
      </c>
      <c r="B2531">
        <v>61</v>
      </c>
      <c r="C2531">
        <v>468</v>
      </c>
      <c r="D2531">
        <v>2413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 t="s">
        <v>20</v>
      </c>
      <c r="L2531" s="1">
        <v>44684</v>
      </c>
      <c r="M2531">
        <v>47</v>
      </c>
      <c r="N2531">
        <v>73</v>
      </c>
      <c r="O2531">
        <v>902</v>
      </c>
      <c r="P2531">
        <v>895</v>
      </c>
      <c r="Q2531">
        <v>902</v>
      </c>
      <c r="S2531">
        <v>543</v>
      </c>
      <c r="T2531">
        <v>603</v>
      </c>
      <c r="U2531">
        <f>+SUM(Table1[[#This Row],[Latinos]:[Cemex]])</f>
        <v>1</v>
      </c>
      <c r="V2531" t="str">
        <f>+Table1[[#This Row],[id_destino]]&amp;" - "&amp;Table1[[#This Row],[id_origen]]</f>
        <v>47 - 73</v>
      </c>
    </row>
    <row r="2532" spans="1:22" hidden="1">
      <c r="A2532">
        <v>864</v>
      </c>
      <c r="B2532">
        <v>1131</v>
      </c>
      <c r="C2532">
        <v>189</v>
      </c>
      <c r="D2532">
        <v>5514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 t="s">
        <v>20</v>
      </c>
      <c r="L2532" s="1">
        <v>43196</v>
      </c>
      <c r="M2532">
        <v>49</v>
      </c>
      <c r="N2532">
        <v>73</v>
      </c>
      <c r="O2532">
        <v>531</v>
      </c>
      <c r="P2532">
        <v>505</v>
      </c>
      <c r="Q2532">
        <v>531</v>
      </c>
      <c r="S2532">
        <v>443</v>
      </c>
      <c r="T2532">
        <v>443</v>
      </c>
      <c r="U2532">
        <f>+SUM(Table1[[#This Row],[Latinos]:[Cemex]])</f>
        <v>1</v>
      </c>
      <c r="V2532" t="str">
        <f>+Table1[[#This Row],[id_destino]]&amp;" - "&amp;Table1[[#This Row],[id_origen]]</f>
        <v>49 - 73</v>
      </c>
    </row>
    <row r="2533" spans="1:22" hidden="1">
      <c r="A2533">
        <v>819</v>
      </c>
      <c r="B2533">
        <v>710</v>
      </c>
      <c r="C2533">
        <v>468</v>
      </c>
      <c r="D2533">
        <v>2980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 t="s">
        <v>20</v>
      </c>
      <c r="L2533" s="1">
        <v>43175</v>
      </c>
      <c r="M2533">
        <v>51</v>
      </c>
      <c r="N2533">
        <v>73</v>
      </c>
      <c r="O2533">
        <v>50</v>
      </c>
      <c r="P2533">
        <v>150</v>
      </c>
      <c r="Q2533">
        <v>50</v>
      </c>
      <c r="S2533">
        <v>0</v>
      </c>
      <c r="T2533">
        <v>0</v>
      </c>
      <c r="U2533">
        <f>+SUM(Table1[[#This Row],[Latinos]:[Cemex]])</f>
        <v>1</v>
      </c>
      <c r="V2533" t="str">
        <f>+Table1[[#This Row],[id_destino]]&amp;" - "&amp;Table1[[#This Row],[id_origen]]</f>
        <v>51 - 73</v>
      </c>
    </row>
    <row r="2534" spans="1:22" hidden="1">
      <c r="A2534">
        <v>2058</v>
      </c>
      <c r="B2534">
        <v>710</v>
      </c>
      <c r="C2534">
        <v>5496</v>
      </c>
      <c r="D2534">
        <v>6106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 t="s">
        <v>20</v>
      </c>
      <c r="L2534" s="1">
        <v>43789</v>
      </c>
      <c r="M2534">
        <v>51</v>
      </c>
      <c r="N2534">
        <v>73</v>
      </c>
      <c r="O2534">
        <v>50</v>
      </c>
      <c r="P2534">
        <v>150</v>
      </c>
      <c r="Q2534">
        <v>50</v>
      </c>
      <c r="S2534">
        <v>0</v>
      </c>
      <c r="T2534">
        <v>0</v>
      </c>
      <c r="U2534">
        <f>+SUM(Table1[[#This Row],[Latinos]:[Cemex]])</f>
        <v>1</v>
      </c>
      <c r="V2534" t="str">
        <f>+Table1[[#This Row],[id_destino]]&amp;" - "&amp;Table1[[#This Row],[id_origen]]</f>
        <v>51 - 73</v>
      </c>
    </row>
    <row r="2535" spans="1:22" hidden="1">
      <c r="A2535">
        <v>41</v>
      </c>
      <c r="B2535">
        <v>742</v>
      </c>
      <c r="C2535">
        <v>468</v>
      </c>
      <c r="D2535">
        <v>3431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 t="s">
        <v>20</v>
      </c>
      <c r="L2535" s="1">
        <v>42984</v>
      </c>
      <c r="M2535">
        <v>52</v>
      </c>
      <c r="N2535">
        <v>73</v>
      </c>
      <c r="O2535">
        <v>50</v>
      </c>
      <c r="P2535">
        <v>150</v>
      </c>
      <c r="Q2535">
        <v>50</v>
      </c>
      <c r="S2535">
        <v>0</v>
      </c>
      <c r="T2535">
        <v>0</v>
      </c>
      <c r="U2535">
        <f>+SUM(Table1[[#This Row],[Latinos]:[Cemex]])</f>
        <v>1</v>
      </c>
      <c r="V2535" t="str">
        <f>+Table1[[#This Row],[id_destino]]&amp;" - "&amp;Table1[[#This Row],[id_origen]]</f>
        <v>52 - 73</v>
      </c>
    </row>
    <row r="2536" spans="1:22" hidden="1">
      <c r="A2536">
        <v>308</v>
      </c>
      <c r="B2536">
        <v>742</v>
      </c>
      <c r="C2536">
        <v>468</v>
      </c>
      <c r="D2536">
        <v>3431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 t="s">
        <v>20</v>
      </c>
      <c r="L2536" s="1">
        <v>43034</v>
      </c>
      <c r="M2536">
        <v>52</v>
      </c>
      <c r="N2536">
        <v>73</v>
      </c>
      <c r="O2536">
        <v>50</v>
      </c>
      <c r="P2536">
        <v>150</v>
      </c>
      <c r="Q2536">
        <v>50</v>
      </c>
      <c r="S2536">
        <v>0</v>
      </c>
      <c r="T2536">
        <v>0</v>
      </c>
      <c r="U2536">
        <f>+SUM(Table1[[#This Row],[Latinos]:[Cemex]])</f>
        <v>1</v>
      </c>
      <c r="V2536" t="str">
        <f>+Table1[[#This Row],[id_destino]]&amp;" - "&amp;Table1[[#This Row],[id_origen]]</f>
        <v>52 - 73</v>
      </c>
    </row>
    <row r="2537" spans="1:22" hidden="1">
      <c r="A2537">
        <v>1533</v>
      </c>
      <c r="B2537">
        <v>742</v>
      </c>
      <c r="C2537">
        <v>468</v>
      </c>
      <c r="D2537">
        <v>3431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 t="s">
        <v>20</v>
      </c>
      <c r="L2537" s="1">
        <v>43496</v>
      </c>
      <c r="M2537">
        <v>52</v>
      </c>
      <c r="N2537">
        <v>73</v>
      </c>
      <c r="O2537">
        <v>50</v>
      </c>
      <c r="P2537">
        <v>150</v>
      </c>
      <c r="Q2537">
        <v>50</v>
      </c>
      <c r="S2537">
        <v>0</v>
      </c>
      <c r="T2537">
        <v>0</v>
      </c>
      <c r="U2537">
        <f>+SUM(Table1[[#This Row],[Latinos]:[Cemex]])</f>
        <v>1</v>
      </c>
      <c r="V2537" t="str">
        <f>+Table1[[#This Row],[id_destino]]&amp;" - "&amp;Table1[[#This Row],[id_origen]]</f>
        <v>52 - 73</v>
      </c>
    </row>
    <row r="2538" spans="1:22" hidden="1">
      <c r="A2538">
        <v>293</v>
      </c>
      <c r="B2538">
        <v>36</v>
      </c>
      <c r="C2538">
        <v>468</v>
      </c>
      <c r="D2538">
        <v>5321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 t="s">
        <v>20</v>
      </c>
      <c r="L2538" s="1">
        <v>44076</v>
      </c>
      <c r="M2538">
        <v>53</v>
      </c>
      <c r="N2538">
        <v>73</v>
      </c>
      <c r="O2538">
        <v>211</v>
      </c>
      <c r="P2538">
        <v>209</v>
      </c>
      <c r="Q2538">
        <v>211</v>
      </c>
      <c r="S2538">
        <v>620.99</v>
      </c>
      <c r="T2538">
        <v>620.99</v>
      </c>
      <c r="U2538">
        <f>+SUM(Table1[[#This Row],[Latinos]:[Cemex]])</f>
        <v>1</v>
      </c>
      <c r="V2538" t="str">
        <f>+Table1[[#This Row],[id_destino]]&amp;" - "&amp;Table1[[#This Row],[id_origen]]</f>
        <v>53 - 73</v>
      </c>
    </row>
    <row r="2539" spans="1:22" hidden="1">
      <c r="A2539">
        <v>1109</v>
      </c>
      <c r="B2539">
        <v>36</v>
      </c>
      <c r="C2539">
        <v>468</v>
      </c>
      <c r="D2539">
        <v>5517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 t="s">
        <v>20</v>
      </c>
      <c r="L2539" s="1">
        <v>44076</v>
      </c>
      <c r="M2539">
        <v>53</v>
      </c>
      <c r="N2539">
        <v>73</v>
      </c>
      <c r="O2539">
        <v>209</v>
      </c>
      <c r="P2539">
        <v>234</v>
      </c>
      <c r="Q2539">
        <v>209</v>
      </c>
      <c r="S2539">
        <v>270</v>
      </c>
      <c r="T2539">
        <v>0</v>
      </c>
      <c r="U2539">
        <f>+SUM(Table1[[#This Row],[Latinos]:[Cemex]])</f>
        <v>1</v>
      </c>
      <c r="V2539" t="str">
        <f>+Table1[[#This Row],[id_destino]]&amp;" - "&amp;Table1[[#This Row],[id_origen]]</f>
        <v>53 - 73</v>
      </c>
    </row>
    <row r="2540" spans="1:22" hidden="1">
      <c r="A2540">
        <v>334</v>
      </c>
      <c r="B2540">
        <v>861</v>
      </c>
      <c r="C2540">
        <v>468</v>
      </c>
      <c r="D2540">
        <v>3460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 t="s">
        <v>20</v>
      </c>
      <c r="L2540" s="1">
        <v>43039</v>
      </c>
      <c r="M2540">
        <v>54</v>
      </c>
      <c r="N2540">
        <v>73</v>
      </c>
      <c r="O2540">
        <v>96</v>
      </c>
      <c r="P2540">
        <v>150</v>
      </c>
      <c r="Q2540">
        <v>96</v>
      </c>
      <c r="S2540">
        <v>257.99</v>
      </c>
      <c r="T2540">
        <v>257.99</v>
      </c>
      <c r="U2540">
        <f>+SUM(Table1[[#This Row],[Latinos]:[Cemex]])</f>
        <v>1</v>
      </c>
      <c r="V2540" t="str">
        <f>+Table1[[#This Row],[id_destino]]&amp;" - "&amp;Table1[[#This Row],[id_origen]]</f>
        <v>54 - 73</v>
      </c>
    </row>
    <row r="2541" spans="1:22" hidden="1">
      <c r="A2541">
        <v>4606</v>
      </c>
      <c r="B2541">
        <v>861</v>
      </c>
      <c r="C2541">
        <v>468</v>
      </c>
      <c r="D2541">
        <v>3460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 t="s">
        <v>20</v>
      </c>
      <c r="L2541" s="1">
        <v>45680</v>
      </c>
      <c r="M2541">
        <v>54</v>
      </c>
      <c r="N2541">
        <v>73</v>
      </c>
      <c r="O2541">
        <v>96</v>
      </c>
      <c r="P2541">
        <v>150</v>
      </c>
      <c r="Q2541">
        <v>96</v>
      </c>
      <c r="S2541">
        <v>959</v>
      </c>
      <c r="T2541">
        <v>959</v>
      </c>
      <c r="U2541">
        <f>+SUM(Table1[[#This Row],[Latinos]:[Cemex]])</f>
        <v>1</v>
      </c>
      <c r="V2541" t="str">
        <f>+Table1[[#This Row],[id_destino]]&amp;" - "&amp;Table1[[#This Row],[id_origen]]</f>
        <v>54 - 73</v>
      </c>
    </row>
    <row r="2542" spans="1:22" hidden="1">
      <c r="A2542">
        <v>553</v>
      </c>
      <c r="B2542">
        <v>750</v>
      </c>
      <c r="C2542">
        <v>125</v>
      </c>
      <c r="D2542">
        <v>5408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 t="s">
        <v>20</v>
      </c>
      <c r="L2542" s="1">
        <v>45197</v>
      </c>
      <c r="M2542">
        <v>55</v>
      </c>
      <c r="N2542">
        <v>73</v>
      </c>
      <c r="O2542">
        <v>920</v>
      </c>
      <c r="P2542">
        <v>917</v>
      </c>
      <c r="Q2542">
        <v>920</v>
      </c>
      <c r="S2542">
        <v>1588</v>
      </c>
      <c r="T2542">
        <v>1588</v>
      </c>
      <c r="U2542">
        <f>+SUM(Table1[[#This Row],[Latinos]:[Cemex]])</f>
        <v>1</v>
      </c>
      <c r="V2542" t="str">
        <f>+Table1[[#This Row],[id_destino]]&amp;" - "&amp;Table1[[#This Row],[id_origen]]</f>
        <v>55 - 73</v>
      </c>
    </row>
    <row r="2543" spans="1:22" hidden="1">
      <c r="A2543">
        <v>63</v>
      </c>
      <c r="B2543">
        <v>136</v>
      </c>
      <c r="C2543">
        <v>468</v>
      </c>
      <c r="D2543">
        <v>65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 t="s">
        <v>20</v>
      </c>
      <c r="L2543" s="1">
        <v>42986</v>
      </c>
      <c r="M2543">
        <v>57</v>
      </c>
      <c r="N2543">
        <v>73</v>
      </c>
      <c r="O2543">
        <v>967</v>
      </c>
      <c r="P2543">
        <v>976</v>
      </c>
      <c r="Q2543">
        <v>967</v>
      </c>
      <c r="S2543">
        <v>1527</v>
      </c>
      <c r="T2543">
        <v>1527</v>
      </c>
      <c r="U2543">
        <f>+SUM(Table1[[#This Row],[Latinos]:[Cemex]])</f>
        <v>1</v>
      </c>
      <c r="V2543" t="str">
        <f>+Table1[[#This Row],[id_destino]]&amp;" - "&amp;Table1[[#This Row],[id_origen]]</f>
        <v>57 - 73</v>
      </c>
    </row>
    <row r="2544" spans="1:22" hidden="1">
      <c r="A2544">
        <v>2308</v>
      </c>
      <c r="B2544">
        <v>136</v>
      </c>
      <c r="C2544">
        <v>468</v>
      </c>
      <c r="D2544">
        <v>6325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 t="s">
        <v>20</v>
      </c>
      <c r="L2544" s="1">
        <v>43921</v>
      </c>
      <c r="M2544">
        <v>57</v>
      </c>
      <c r="N2544">
        <v>73</v>
      </c>
      <c r="O2544">
        <v>967</v>
      </c>
      <c r="P2544">
        <v>973</v>
      </c>
      <c r="Q2544">
        <v>973</v>
      </c>
      <c r="S2544">
        <v>979</v>
      </c>
      <c r="T2544">
        <v>979</v>
      </c>
      <c r="U2544">
        <f>+SUM(Table1[[#This Row],[Latinos]:[Cemex]])</f>
        <v>1</v>
      </c>
      <c r="V2544" t="str">
        <f>+Table1[[#This Row],[id_destino]]&amp;" - "&amp;Table1[[#This Row],[id_origen]]</f>
        <v>57 - 73</v>
      </c>
    </row>
    <row r="2545" spans="1:22" hidden="1">
      <c r="A2545">
        <v>1822</v>
      </c>
      <c r="B2545">
        <v>2956</v>
      </c>
      <c r="C2545">
        <v>468</v>
      </c>
      <c r="D2545">
        <v>4935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 t="s">
        <v>20</v>
      </c>
      <c r="L2545" s="1">
        <v>45210</v>
      </c>
      <c r="M2545">
        <v>58</v>
      </c>
      <c r="N2545">
        <v>73</v>
      </c>
      <c r="O2545">
        <v>976</v>
      </c>
      <c r="P2545">
        <v>978</v>
      </c>
      <c r="Q2545">
        <v>976</v>
      </c>
      <c r="S2545">
        <v>1435</v>
      </c>
      <c r="T2545">
        <v>1435</v>
      </c>
      <c r="U2545">
        <f>+SUM(Table1[[#This Row],[Latinos]:[Cemex]])</f>
        <v>1</v>
      </c>
      <c r="V2545" t="str">
        <f>+Table1[[#This Row],[id_destino]]&amp;" - "&amp;Table1[[#This Row],[id_origen]]</f>
        <v>58 - 73</v>
      </c>
    </row>
    <row r="2546" spans="1:22" hidden="1">
      <c r="A2546">
        <v>42</v>
      </c>
      <c r="B2546">
        <v>168</v>
      </c>
      <c r="C2546">
        <v>468</v>
      </c>
      <c r="D2546">
        <v>3984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 t="s">
        <v>20</v>
      </c>
      <c r="L2546" s="1">
        <v>45196</v>
      </c>
      <c r="M2546">
        <v>59</v>
      </c>
      <c r="N2546">
        <v>73</v>
      </c>
      <c r="O2546">
        <v>1296</v>
      </c>
      <c r="P2546">
        <v>1284</v>
      </c>
      <c r="Q2546">
        <v>1296</v>
      </c>
      <c r="S2546">
        <v>2469.9899999999998</v>
      </c>
      <c r="T2546">
        <v>2469.9899999999998</v>
      </c>
      <c r="U2546">
        <f>+SUM(Table1[[#This Row],[Latinos]:[Cemex]])</f>
        <v>1</v>
      </c>
      <c r="V2546" t="str">
        <f>+Table1[[#This Row],[id_destino]]&amp;" - "&amp;Table1[[#This Row],[id_origen]]</f>
        <v>59 - 73</v>
      </c>
    </row>
    <row r="2547" spans="1:22" hidden="1">
      <c r="A2547">
        <v>46</v>
      </c>
      <c r="B2547">
        <v>130</v>
      </c>
      <c r="C2547">
        <v>468</v>
      </c>
      <c r="D2547">
        <v>70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 t="s">
        <v>20</v>
      </c>
      <c r="L2547" s="1">
        <v>45229</v>
      </c>
      <c r="M2547">
        <v>60</v>
      </c>
      <c r="N2547">
        <v>73</v>
      </c>
      <c r="O2547">
        <v>2233</v>
      </c>
      <c r="P2547">
        <v>2230</v>
      </c>
      <c r="Q2547">
        <v>2233</v>
      </c>
      <c r="S2547">
        <v>3630</v>
      </c>
      <c r="T2547">
        <v>4146</v>
      </c>
      <c r="U2547">
        <f>+SUM(Table1[[#This Row],[Latinos]:[Cemex]])</f>
        <v>1</v>
      </c>
      <c r="V2547" t="str">
        <f>+Table1[[#This Row],[id_destino]]&amp;" - "&amp;Table1[[#This Row],[id_origen]]</f>
        <v>60 - 73</v>
      </c>
    </row>
    <row r="2548" spans="1:22" hidden="1">
      <c r="A2548">
        <v>3154</v>
      </c>
      <c r="B2548">
        <v>130</v>
      </c>
      <c r="C2548">
        <v>468</v>
      </c>
      <c r="D2548">
        <v>6932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 t="s">
        <v>20</v>
      </c>
      <c r="L2548" s="1">
        <v>44743</v>
      </c>
      <c r="M2548">
        <v>60</v>
      </c>
      <c r="N2548">
        <v>73</v>
      </c>
      <c r="O2548">
        <v>2236</v>
      </c>
      <c r="P2548">
        <v>2245</v>
      </c>
      <c r="Q2548">
        <v>2236</v>
      </c>
      <c r="S2548">
        <v>0</v>
      </c>
      <c r="T2548">
        <v>0</v>
      </c>
      <c r="U2548">
        <f>+SUM(Table1[[#This Row],[Latinos]:[Cemex]])</f>
        <v>1</v>
      </c>
      <c r="V2548" t="str">
        <f>+Table1[[#This Row],[id_destino]]&amp;" - "&amp;Table1[[#This Row],[id_origen]]</f>
        <v>60 - 73</v>
      </c>
    </row>
    <row r="2549" spans="1:22" hidden="1">
      <c r="A2549">
        <v>21</v>
      </c>
      <c r="B2549">
        <v>91</v>
      </c>
      <c r="C2549">
        <v>468</v>
      </c>
      <c r="D2549">
        <v>71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 t="s">
        <v>20</v>
      </c>
      <c r="L2549" s="1">
        <v>45206</v>
      </c>
      <c r="M2549">
        <v>61</v>
      </c>
      <c r="N2549">
        <v>73</v>
      </c>
      <c r="O2549">
        <v>2061</v>
      </c>
      <c r="P2549">
        <v>2064</v>
      </c>
      <c r="Q2549">
        <v>2061</v>
      </c>
      <c r="S2549">
        <v>3127</v>
      </c>
      <c r="T2549">
        <v>3596.99</v>
      </c>
      <c r="U2549">
        <f>+SUM(Table1[[#This Row],[Latinos]:[Cemex]])</f>
        <v>1</v>
      </c>
      <c r="V2549" t="str">
        <f>+Table1[[#This Row],[id_destino]]&amp;" - "&amp;Table1[[#This Row],[id_origen]]</f>
        <v>61 - 73</v>
      </c>
    </row>
    <row r="2550" spans="1:22" hidden="1">
      <c r="A2550">
        <v>209</v>
      </c>
      <c r="B2550">
        <v>91</v>
      </c>
      <c r="C2550">
        <v>189</v>
      </c>
      <c r="D2550">
        <v>5304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 t="s">
        <v>20</v>
      </c>
      <c r="L2550" s="1">
        <v>43649</v>
      </c>
      <c r="M2550">
        <v>61</v>
      </c>
      <c r="N2550">
        <v>73</v>
      </c>
      <c r="O2550">
        <v>2061</v>
      </c>
      <c r="P2550">
        <v>2074</v>
      </c>
      <c r="Q2550">
        <v>2061</v>
      </c>
      <c r="S2550">
        <v>0</v>
      </c>
      <c r="T2550">
        <v>0</v>
      </c>
      <c r="U2550">
        <f>+SUM(Table1[[#This Row],[Latinos]:[Cemex]])</f>
        <v>1</v>
      </c>
      <c r="V2550" t="str">
        <f>+Table1[[#This Row],[id_destino]]&amp;" - "&amp;Table1[[#This Row],[id_origen]]</f>
        <v>61 - 73</v>
      </c>
    </row>
    <row r="2551" spans="1:22" hidden="1">
      <c r="A2551">
        <v>237</v>
      </c>
      <c r="B2551">
        <v>140</v>
      </c>
      <c r="C2551">
        <v>468</v>
      </c>
      <c r="D2551">
        <v>72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 t="s">
        <v>20</v>
      </c>
      <c r="L2551" s="1">
        <v>43020</v>
      </c>
      <c r="M2551">
        <v>62</v>
      </c>
      <c r="N2551">
        <v>73</v>
      </c>
      <c r="O2551">
        <v>523</v>
      </c>
      <c r="P2551">
        <v>515</v>
      </c>
      <c r="Q2551">
        <v>523</v>
      </c>
      <c r="S2551">
        <v>485</v>
      </c>
      <c r="T2551">
        <v>485</v>
      </c>
      <c r="U2551">
        <f>+SUM(Table1[[#This Row],[Latinos]:[Cemex]])</f>
        <v>1</v>
      </c>
      <c r="V2551" t="str">
        <f>+Table1[[#This Row],[id_destino]]&amp;" - "&amp;Table1[[#This Row],[id_origen]]</f>
        <v>62 - 73</v>
      </c>
    </row>
    <row r="2552" spans="1:22" hidden="1">
      <c r="A2552">
        <v>406</v>
      </c>
      <c r="B2552">
        <v>140</v>
      </c>
      <c r="C2552">
        <v>468</v>
      </c>
      <c r="D2552">
        <v>72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  <c r="K2552" t="s">
        <v>20</v>
      </c>
      <c r="L2552" s="1">
        <v>43057</v>
      </c>
      <c r="M2552">
        <v>62</v>
      </c>
      <c r="N2552">
        <v>73</v>
      </c>
      <c r="O2552">
        <v>1046</v>
      </c>
      <c r="P2552">
        <v>525</v>
      </c>
      <c r="Q2552">
        <v>523</v>
      </c>
      <c r="S2552">
        <v>0</v>
      </c>
      <c r="T2552">
        <v>0</v>
      </c>
      <c r="U2552">
        <f>+SUM(Table1[[#This Row],[Latinos]:[Cemex]])</f>
        <v>1</v>
      </c>
      <c r="V2552" t="str">
        <f>+Table1[[#This Row],[id_destino]]&amp;" - "&amp;Table1[[#This Row],[id_origen]]</f>
        <v>62 - 73</v>
      </c>
    </row>
    <row r="2553" spans="1:22" hidden="1">
      <c r="A2553">
        <v>2852</v>
      </c>
      <c r="B2553">
        <v>140</v>
      </c>
      <c r="C2553">
        <v>468</v>
      </c>
      <c r="D2553">
        <v>816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 t="s">
        <v>20</v>
      </c>
      <c r="L2553" s="1">
        <v>45072</v>
      </c>
      <c r="M2553">
        <v>62</v>
      </c>
      <c r="N2553">
        <v>73</v>
      </c>
      <c r="O2553">
        <v>525</v>
      </c>
      <c r="P2553">
        <v>525</v>
      </c>
      <c r="Q2553">
        <v>525</v>
      </c>
      <c r="S2553">
        <v>200</v>
      </c>
      <c r="T2553">
        <v>200</v>
      </c>
      <c r="U2553">
        <f>+SUM(Table1[[#This Row],[Latinos]:[Cemex]])</f>
        <v>1</v>
      </c>
      <c r="V2553" t="str">
        <f>+Table1[[#This Row],[id_destino]]&amp;" - "&amp;Table1[[#This Row],[id_origen]]</f>
        <v>62 - 73</v>
      </c>
    </row>
    <row r="2554" spans="1:22" hidden="1">
      <c r="A2554">
        <v>405</v>
      </c>
      <c r="B2554">
        <v>992</v>
      </c>
      <c r="C2554">
        <v>468</v>
      </c>
      <c r="D2554">
        <v>73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 t="s">
        <v>20</v>
      </c>
      <c r="L2554" s="1">
        <v>43057</v>
      </c>
      <c r="M2554">
        <v>63</v>
      </c>
      <c r="N2554">
        <v>73</v>
      </c>
      <c r="O2554">
        <v>678</v>
      </c>
      <c r="P2554">
        <v>769</v>
      </c>
      <c r="Q2554">
        <v>678</v>
      </c>
      <c r="S2554">
        <v>864</v>
      </c>
      <c r="T2554">
        <v>880</v>
      </c>
      <c r="U2554">
        <f>+SUM(Table1[[#This Row],[Latinos]:[Cemex]])</f>
        <v>1</v>
      </c>
      <c r="V2554" t="str">
        <f>+Table1[[#This Row],[id_destino]]&amp;" - "&amp;Table1[[#This Row],[id_origen]]</f>
        <v>63 - 73</v>
      </c>
    </row>
    <row r="2555" spans="1:22" hidden="1">
      <c r="A2555">
        <v>238</v>
      </c>
      <c r="B2555">
        <v>712</v>
      </c>
      <c r="C2555">
        <v>468</v>
      </c>
      <c r="D2555">
        <v>74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 t="s">
        <v>20</v>
      </c>
      <c r="L2555" s="1">
        <v>45280</v>
      </c>
      <c r="M2555">
        <v>64</v>
      </c>
      <c r="N2555">
        <v>73</v>
      </c>
      <c r="O2555">
        <v>323</v>
      </c>
      <c r="P2555">
        <v>324</v>
      </c>
      <c r="Q2555">
        <v>323</v>
      </c>
      <c r="S2555">
        <v>436.99</v>
      </c>
      <c r="T2555">
        <v>436.99</v>
      </c>
      <c r="U2555">
        <f>+SUM(Table1[[#This Row],[Latinos]:[Cemex]])</f>
        <v>1</v>
      </c>
      <c r="V2555" t="str">
        <f>+Table1[[#This Row],[id_destino]]&amp;" - "&amp;Table1[[#This Row],[id_origen]]</f>
        <v>64 - 73</v>
      </c>
    </row>
    <row r="2556" spans="1:22" hidden="1">
      <c r="A2556">
        <v>4270</v>
      </c>
      <c r="B2556">
        <v>712</v>
      </c>
      <c r="C2556">
        <v>468</v>
      </c>
      <c r="D2556">
        <v>3924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 t="s">
        <v>20</v>
      </c>
      <c r="L2556" s="1">
        <v>45412</v>
      </c>
      <c r="M2556">
        <v>64</v>
      </c>
      <c r="N2556">
        <v>73</v>
      </c>
      <c r="O2556">
        <v>323</v>
      </c>
      <c r="P2556">
        <v>326</v>
      </c>
      <c r="Q2556">
        <v>323</v>
      </c>
      <c r="S2556">
        <v>170</v>
      </c>
      <c r="T2556">
        <v>170</v>
      </c>
      <c r="U2556">
        <f>+SUM(Table1[[#This Row],[Latinos]:[Cemex]])</f>
        <v>1</v>
      </c>
      <c r="V2556" t="str">
        <f>+Table1[[#This Row],[id_destino]]&amp;" - "&amp;Table1[[#This Row],[id_origen]]</f>
        <v>64 - 73</v>
      </c>
    </row>
    <row r="2557" spans="1:22" hidden="1">
      <c r="A2557">
        <v>4318</v>
      </c>
      <c r="B2557">
        <v>712</v>
      </c>
      <c r="C2557">
        <v>468</v>
      </c>
      <c r="D2557">
        <v>74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 t="s">
        <v>20</v>
      </c>
      <c r="L2557" s="1">
        <v>45455</v>
      </c>
      <c r="M2557">
        <v>64</v>
      </c>
      <c r="N2557">
        <v>73</v>
      </c>
      <c r="O2557">
        <v>323</v>
      </c>
      <c r="P2557">
        <v>326</v>
      </c>
      <c r="Q2557">
        <v>323</v>
      </c>
      <c r="S2557">
        <v>427</v>
      </c>
      <c r="T2557">
        <v>427</v>
      </c>
      <c r="U2557">
        <f>+SUM(Table1[[#This Row],[Latinos]:[Cemex]])</f>
        <v>1</v>
      </c>
      <c r="V2557" t="str">
        <f>+Table1[[#This Row],[id_destino]]&amp;" - "&amp;Table1[[#This Row],[id_origen]]</f>
        <v>64 - 73</v>
      </c>
    </row>
    <row r="2558" spans="1:22" hidden="1">
      <c r="A2558">
        <v>233</v>
      </c>
      <c r="B2558">
        <v>1226</v>
      </c>
      <c r="C2558">
        <v>468</v>
      </c>
      <c r="D2558">
        <v>4271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 t="s">
        <v>20</v>
      </c>
      <c r="L2558" s="1">
        <v>45204</v>
      </c>
      <c r="M2558">
        <v>65</v>
      </c>
      <c r="N2558">
        <v>73</v>
      </c>
      <c r="O2558">
        <v>1023</v>
      </c>
      <c r="P2558">
        <v>1111</v>
      </c>
      <c r="Q2558">
        <v>1023</v>
      </c>
      <c r="S2558">
        <v>1739</v>
      </c>
      <c r="T2558">
        <v>1739</v>
      </c>
      <c r="U2558">
        <f>+SUM(Table1[[#This Row],[Latinos]:[Cemex]])</f>
        <v>1</v>
      </c>
      <c r="V2558" t="str">
        <f>+Table1[[#This Row],[id_destino]]&amp;" - "&amp;Table1[[#This Row],[id_origen]]</f>
        <v>65 - 73</v>
      </c>
    </row>
    <row r="2559" spans="1:22" hidden="1">
      <c r="A2559">
        <v>92</v>
      </c>
      <c r="B2559">
        <v>1103</v>
      </c>
      <c r="C2559">
        <v>468</v>
      </c>
      <c r="D2559">
        <v>3265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 t="s">
        <v>20</v>
      </c>
      <c r="L2559" s="1">
        <v>42990</v>
      </c>
      <c r="M2559">
        <v>66</v>
      </c>
      <c r="N2559">
        <v>73</v>
      </c>
      <c r="O2559">
        <v>1012</v>
      </c>
      <c r="P2559">
        <v>1014</v>
      </c>
      <c r="Q2559">
        <v>1012</v>
      </c>
      <c r="S2559">
        <v>1182</v>
      </c>
      <c r="T2559">
        <v>1182</v>
      </c>
      <c r="U2559">
        <f>+SUM(Table1[[#This Row],[Latinos]:[Cemex]])</f>
        <v>1</v>
      </c>
      <c r="V2559" t="str">
        <f>+Table1[[#This Row],[id_destino]]&amp;" - "&amp;Table1[[#This Row],[id_origen]]</f>
        <v>66 - 73</v>
      </c>
    </row>
    <row r="2560" spans="1:22" hidden="1">
      <c r="A2560">
        <v>559</v>
      </c>
      <c r="B2560">
        <v>1227</v>
      </c>
      <c r="C2560">
        <v>468</v>
      </c>
      <c r="D2560">
        <v>5409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 t="s">
        <v>20</v>
      </c>
      <c r="L2560" s="1">
        <v>43103</v>
      </c>
      <c r="M2560">
        <v>67</v>
      </c>
      <c r="N2560">
        <v>73</v>
      </c>
      <c r="O2560">
        <v>1195</v>
      </c>
      <c r="P2560">
        <v>1147</v>
      </c>
      <c r="Q2560">
        <v>1195</v>
      </c>
      <c r="S2560">
        <v>2193</v>
      </c>
      <c r="T2560">
        <v>2193</v>
      </c>
      <c r="U2560">
        <f>+SUM(Table1[[#This Row],[Latinos]:[Cemex]])</f>
        <v>1</v>
      </c>
      <c r="V2560" t="str">
        <f>+Table1[[#This Row],[id_destino]]&amp;" - "&amp;Table1[[#This Row],[id_origen]]</f>
        <v>67 - 73</v>
      </c>
    </row>
    <row r="2561" spans="1:22" hidden="1">
      <c r="A2561">
        <v>6</v>
      </c>
      <c r="B2561">
        <v>123</v>
      </c>
      <c r="C2561">
        <v>468</v>
      </c>
      <c r="D2561">
        <v>1370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 t="s">
        <v>20</v>
      </c>
      <c r="L2561" s="1">
        <v>44564</v>
      </c>
      <c r="M2561">
        <v>69</v>
      </c>
      <c r="N2561">
        <v>73</v>
      </c>
      <c r="O2561">
        <v>901</v>
      </c>
      <c r="P2561">
        <v>878</v>
      </c>
      <c r="Q2561">
        <v>901</v>
      </c>
      <c r="S2561">
        <v>1528</v>
      </c>
      <c r="T2561">
        <v>1528</v>
      </c>
      <c r="U2561">
        <f>+SUM(Table1[[#This Row],[Latinos]:[Cemex]])</f>
        <v>1</v>
      </c>
      <c r="V2561" t="str">
        <f>+Table1[[#This Row],[id_destino]]&amp;" - "&amp;Table1[[#This Row],[id_origen]]</f>
        <v>69 - 73</v>
      </c>
    </row>
    <row r="2562" spans="1:22" hidden="1">
      <c r="A2562">
        <v>996</v>
      </c>
      <c r="B2562">
        <v>123</v>
      </c>
      <c r="C2562">
        <v>468</v>
      </c>
      <c r="D2562">
        <v>1848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 t="s">
        <v>20</v>
      </c>
      <c r="L2562" s="1">
        <v>45309</v>
      </c>
      <c r="M2562">
        <v>69</v>
      </c>
      <c r="N2562">
        <v>73</v>
      </c>
      <c r="O2562">
        <v>901</v>
      </c>
      <c r="P2562">
        <v>895</v>
      </c>
      <c r="Q2562">
        <v>901</v>
      </c>
      <c r="S2562">
        <v>1583</v>
      </c>
      <c r="T2562">
        <v>1583</v>
      </c>
      <c r="U2562">
        <f>+SUM(Table1[[#This Row],[Latinos]:[Cemex]])</f>
        <v>1</v>
      </c>
      <c r="V2562" t="str">
        <f>+Table1[[#This Row],[id_destino]]&amp;" - "&amp;Table1[[#This Row],[id_origen]]</f>
        <v>69 - 73</v>
      </c>
    </row>
    <row r="2563" spans="1:22" hidden="1">
      <c r="A2563">
        <v>3828</v>
      </c>
      <c r="B2563">
        <v>123</v>
      </c>
      <c r="C2563">
        <v>468</v>
      </c>
      <c r="D2563">
        <v>2105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 t="s">
        <v>20</v>
      </c>
      <c r="L2563" s="1">
        <v>45128</v>
      </c>
      <c r="M2563">
        <v>69</v>
      </c>
      <c r="N2563">
        <v>73</v>
      </c>
      <c r="O2563">
        <v>901</v>
      </c>
      <c r="P2563">
        <v>877</v>
      </c>
      <c r="Q2563">
        <v>901</v>
      </c>
      <c r="S2563">
        <v>1142</v>
      </c>
      <c r="T2563">
        <v>1142</v>
      </c>
      <c r="U2563">
        <f>+SUM(Table1[[#This Row],[Latinos]:[Cemex]])</f>
        <v>1</v>
      </c>
      <c r="V2563" t="str">
        <f>+Table1[[#This Row],[id_destino]]&amp;" - "&amp;Table1[[#This Row],[id_origen]]</f>
        <v>69 - 73</v>
      </c>
    </row>
    <row r="2564" spans="1:22" hidden="1">
      <c r="A2564">
        <v>1846</v>
      </c>
      <c r="B2564">
        <v>2968</v>
      </c>
      <c r="C2564">
        <v>468</v>
      </c>
      <c r="D2564">
        <v>5980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 t="s">
        <v>20</v>
      </c>
      <c r="L2564" s="1">
        <v>43664</v>
      </c>
      <c r="M2564">
        <v>70</v>
      </c>
      <c r="N2564">
        <v>73</v>
      </c>
      <c r="O2564">
        <v>954</v>
      </c>
      <c r="P2564">
        <v>964</v>
      </c>
      <c r="Q2564">
        <v>954</v>
      </c>
      <c r="S2564">
        <v>1068</v>
      </c>
      <c r="T2564">
        <v>1068</v>
      </c>
      <c r="U2564">
        <f>+SUM(Table1[[#This Row],[Latinos]:[Cemex]])</f>
        <v>1</v>
      </c>
      <c r="V2564" t="str">
        <f>+Table1[[#This Row],[id_destino]]&amp;" - "&amp;Table1[[#This Row],[id_origen]]</f>
        <v>70 - 73</v>
      </c>
    </row>
    <row r="2565" spans="1:22" hidden="1">
      <c r="A2565">
        <v>1120</v>
      </c>
      <c r="B2565">
        <v>296</v>
      </c>
      <c r="C2565">
        <v>468</v>
      </c>
      <c r="D2565">
        <v>3499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 t="s">
        <v>20</v>
      </c>
      <c r="L2565" s="1">
        <v>43298</v>
      </c>
      <c r="M2565">
        <v>71</v>
      </c>
      <c r="N2565">
        <v>73</v>
      </c>
      <c r="O2565">
        <v>895</v>
      </c>
      <c r="P2565">
        <v>895</v>
      </c>
      <c r="Q2565">
        <v>895</v>
      </c>
      <c r="S2565">
        <v>760.25</v>
      </c>
      <c r="T2565">
        <v>760.25</v>
      </c>
      <c r="U2565">
        <f>+SUM(Table1[[#This Row],[Latinos]:[Cemex]])</f>
        <v>1</v>
      </c>
      <c r="V2565" t="str">
        <f>+Table1[[#This Row],[id_destino]]&amp;" - "&amp;Table1[[#This Row],[id_origen]]</f>
        <v>71 - 73</v>
      </c>
    </row>
    <row r="2566" spans="1:22" hidden="1">
      <c r="A2566">
        <v>117</v>
      </c>
      <c r="B2566">
        <v>743</v>
      </c>
      <c r="C2566">
        <v>468</v>
      </c>
      <c r="D2566">
        <v>4197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 t="s">
        <v>20</v>
      </c>
      <c r="L2566" s="1">
        <v>42993</v>
      </c>
      <c r="M2566">
        <v>71</v>
      </c>
      <c r="N2566">
        <v>73</v>
      </c>
      <c r="O2566">
        <v>853</v>
      </c>
      <c r="P2566">
        <v>794</v>
      </c>
      <c r="Q2566">
        <v>853</v>
      </c>
      <c r="S2566">
        <v>1740</v>
      </c>
      <c r="T2566">
        <v>1740</v>
      </c>
      <c r="U2566">
        <f>+SUM(Table1[[#This Row],[Latinos]:[Cemex]])</f>
        <v>1</v>
      </c>
      <c r="V2566" t="str">
        <f>+Table1[[#This Row],[id_destino]]&amp;" - "&amp;Table1[[#This Row],[id_origen]]</f>
        <v>71 - 73</v>
      </c>
    </row>
    <row r="2567" spans="1:22" hidden="1">
      <c r="A2567">
        <v>314</v>
      </c>
      <c r="B2567">
        <v>743</v>
      </c>
      <c r="C2567">
        <v>468</v>
      </c>
      <c r="D2567">
        <v>5175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 t="s">
        <v>20</v>
      </c>
      <c r="L2567" s="1">
        <v>43034</v>
      </c>
      <c r="M2567">
        <v>71</v>
      </c>
      <c r="N2567">
        <v>73</v>
      </c>
      <c r="O2567">
        <v>1706</v>
      </c>
      <c r="P2567">
        <v>872</v>
      </c>
      <c r="Q2567">
        <v>853</v>
      </c>
      <c r="S2567">
        <v>0</v>
      </c>
      <c r="T2567">
        <v>0</v>
      </c>
      <c r="U2567">
        <f>+SUM(Table1[[#This Row],[Latinos]:[Cemex]])</f>
        <v>1</v>
      </c>
      <c r="V2567" t="str">
        <f>+Table1[[#This Row],[id_destino]]&amp;" - "&amp;Table1[[#This Row],[id_origen]]</f>
        <v>71 - 73</v>
      </c>
    </row>
    <row r="2568" spans="1:22" hidden="1">
      <c r="A2568">
        <v>61</v>
      </c>
      <c r="B2568">
        <v>754</v>
      </c>
      <c r="C2568">
        <v>468</v>
      </c>
      <c r="D2568">
        <v>846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 t="s">
        <v>20</v>
      </c>
      <c r="L2568" s="1">
        <v>45201</v>
      </c>
      <c r="M2568">
        <v>72</v>
      </c>
      <c r="N2568">
        <v>73</v>
      </c>
      <c r="O2568">
        <v>900</v>
      </c>
      <c r="P2568">
        <v>901</v>
      </c>
      <c r="Q2568">
        <v>900</v>
      </c>
      <c r="S2568">
        <v>2017</v>
      </c>
      <c r="T2568">
        <v>2115</v>
      </c>
      <c r="U2568">
        <f>+SUM(Table1[[#This Row],[Latinos]:[Cemex]])</f>
        <v>1</v>
      </c>
      <c r="V2568" t="str">
        <f>+Table1[[#This Row],[id_destino]]&amp;" - "&amp;Table1[[#This Row],[id_origen]]</f>
        <v>72 - 73</v>
      </c>
    </row>
    <row r="2569" spans="1:22" hidden="1">
      <c r="A2569">
        <v>194</v>
      </c>
      <c r="B2569">
        <v>676</v>
      </c>
      <c r="C2569">
        <v>468</v>
      </c>
      <c r="D2569">
        <v>3426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 t="s">
        <v>20</v>
      </c>
      <c r="L2569" s="1">
        <v>43011</v>
      </c>
      <c r="M2569">
        <v>73</v>
      </c>
      <c r="N2569">
        <v>73</v>
      </c>
      <c r="O2569">
        <v>50</v>
      </c>
      <c r="P2569">
        <v>150</v>
      </c>
      <c r="Q2569">
        <v>50</v>
      </c>
      <c r="S2569">
        <v>0</v>
      </c>
      <c r="T2569">
        <v>0</v>
      </c>
      <c r="U2569">
        <f>+SUM(Table1[[#This Row],[Latinos]:[Cemex]])</f>
        <v>1</v>
      </c>
      <c r="V2569" t="str">
        <f>+Table1[[#This Row],[id_destino]]&amp;" - "&amp;Table1[[#This Row],[id_origen]]</f>
        <v>73 - 73</v>
      </c>
    </row>
    <row r="2570" spans="1:22" hidden="1">
      <c r="A2570">
        <v>229</v>
      </c>
      <c r="B2570">
        <v>676</v>
      </c>
      <c r="C2570">
        <v>468</v>
      </c>
      <c r="D2570">
        <v>3414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 t="s">
        <v>20</v>
      </c>
      <c r="L2570" s="1">
        <v>43019</v>
      </c>
      <c r="M2570">
        <v>73</v>
      </c>
      <c r="N2570">
        <v>73</v>
      </c>
      <c r="O2570">
        <v>50</v>
      </c>
      <c r="P2570">
        <v>150</v>
      </c>
      <c r="Q2570">
        <v>50</v>
      </c>
      <c r="S2570">
        <v>0</v>
      </c>
      <c r="T2570">
        <v>0</v>
      </c>
      <c r="U2570">
        <f>+SUM(Table1[[#This Row],[Latinos]:[Cemex]])</f>
        <v>1</v>
      </c>
      <c r="V2570" t="str">
        <f>+Table1[[#This Row],[id_destino]]&amp;" - "&amp;Table1[[#This Row],[id_origen]]</f>
        <v>73 - 73</v>
      </c>
    </row>
    <row r="2571" spans="1:22" hidden="1">
      <c r="A2571">
        <v>359</v>
      </c>
      <c r="B2571">
        <v>676</v>
      </c>
      <c r="C2571">
        <v>468</v>
      </c>
      <c r="D2571">
        <v>189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 t="s">
        <v>20</v>
      </c>
      <c r="L2571" s="1">
        <v>43045</v>
      </c>
      <c r="M2571">
        <v>73</v>
      </c>
      <c r="N2571">
        <v>73</v>
      </c>
      <c r="O2571">
        <v>50</v>
      </c>
      <c r="P2571">
        <v>150</v>
      </c>
      <c r="Q2571">
        <v>50</v>
      </c>
      <c r="S2571">
        <v>0</v>
      </c>
      <c r="T2571">
        <v>0</v>
      </c>
      <c r="U2571">
        <f>+SUM(Table1[[#This Row],[Latinos]:[Cemex]])</f>
        <v>1</v>
      </c>
      <c r="V2571" t="str">
        <f>+Table1[[#This Row],[id_destino]]&amp;" - "&amp;Table1[[#This Row],[id_origen]]</f>
        <v>73 - 73</v>
      </c>
    </row>
    <row r="2572" spans="1:22" hidden="1">
      <c r="A2572">
        <v>1021</v>
      </c>
      <c r="B2572">
        <v>676</v>
      </c>
      <c r="C2572">
        <v>566</v>
      </c>
      <c r="D2572">
        <v>5588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0</v>
      </c>
      <c r="K2572" t="s">
        <v>20</v>
      </c>
      <c r="L2572" s="1">
        <v>43252</v>
      </c>
      <c r="M2572">
        <v>73</v>
      </c>
      <c r="N2572">
        <v>73</v>
      </c>
      <c r="O2572">
        <v>6</v>
      </c>
      <c r="P2572">
        <v>150</v>
      </c>
      <c r="Q2572">
        <v>50</v>
      </c>
      <c r="S2572">
        <v>0</v>
      </c>
      <c r="T2572">
        <v>0</v>
      </c>
      <c r="U2572">
        <f>+SUM(Table1[[#This Row],[Latinos]:[Cemex]])</f>
        <v>1</v>
      </c>
      <c r="V2572" t="str">
        <f>+Table1[[#This Row],[id_destino]]&amp;" - "&amp;Table1[[#This Row],[id_origen]]</f>
        <v>73 - 73</v>
      </c>
    </row>
    <row r="2573" spans="1:22" hidden="1">
      <c r="A2573">
        <v>1982</v>
      </c>
      <c r="B2573">
        <v>676</v>
      </c>
      <c r="C2573">
        <v>6089</v>
      </c>
      <c r="D2573">
        <v>468</v>
      </c>
      <c r="E2573">
        <v>0</v>
      </c>
      <c r="F2573">
        <v>1</v>
      </c>
      <c r="G2573">
        <v>0</v>
      </c>
      <c r="H2573">
        <v>0</v>
      </c>
      <c r="I2573">
        <v>1</v>
      </c>
      <c r="J2573">
        <v>0</v>
      </c>
      <c r="K2573" t="s">
        <v>20</v>
      </c>
      <c r="L2573" s="1">
        <v>43749</v>
      </c>
      <c r="M2573">
        <v>73</v>
      </c>
      <c r="N2573">
        <v>73</v>
      </c>
      <c r="O2573">
        <v>7</v>
      </c>
      <c r="P2573">
        <v>150</v>
      </c>
      <c r="Q2573">
        <v>7</v>
      </c>
      <c r="S2573">
        <v>0</v>
      </c>
      <c r="T2573">
        <v>0</v>
      </c>
      <c r="U2573">
        <f>+SUM(Table1[[#This Row],[Latinos]:[Cemex]])</f>
        <v>2</v>
      </c>
      <c r="V2573" t="str">
        <f>+Table1[[#This Row],[id_destino]]&amp;" - "&amp;Table1[[#This Row],[id_origen]]</f>
        <v>73 - 73</v>
      </c>
    </row>
    <row r="2574" spans="1:22" hidden="1">
      <c r="A2574">
        <v>972</v>
      </c>
      <c r="B2574">
        <v>1915</v>
      </c>
      <c r="C2574">
        <v>468</v>
      </c>
      <c r="D2574">
        <v>5565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 t="s">
        <v>20</v>
      </c>
      <c r="L2574" s="1">
        <v>43235</v>
      </c>
      <c r="M2574">
        <v>74</v>
      </c>
      <c r="N2574">
        <v>73</v>
      </c>
      <c r="O2574">
        <v>942</v>
      </c>
      <c r="P2574">
        <v>943</v>
      </c>
      <c r="Q2574">
        <v>942</v>
      </c>
      <c r="S2574">
        <v>1024</v>
      </c>
      <c r="T2574">
        <v>1024</v>
      </c>
      <c r="U2574">
        <f>+SUM(Table1[[#This Row],[Latinos]:[Cemex]])</f>
        <v>1</v>
      </c>
      <c r="V2574" t="str">
        <f>+Table1[[#This Row],[id_destino]]&amp;" - "&amp;Table1[[#This Row],[id_origen]]</f>
        <v>74 - 73</v>
      </c>
    </row>
    <row r="2575" spans="1:22" hidden="1">
      <c r="A2575">
        <v>121</v>
      </c>
      <c r="B2575">
        <v>135</v>
      </c>
      <c r="C2575">
        <v>468</v>
      </c>
      <c r="D2575">
        <v>105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 t="s">
        <v>20</v>
      </c>
      <c r="L2575" s="1">
        <v>43311</v>
      </c>
      <c r="M2575">
        <v>75</v>
      </c>
      <c r="N2575">
        <v>73</v>
      </c>
      <c r="O2575">
        <v>894</v>
      </c>
      <c r="P2575">
        <v>874</v>
      </c>
      <c r="Q2575">
        <v>923</v>
      </c>
      <c r="S2575">
        <v>1395</v>
      </c>
      <c r="T2575">
        <v>1395</v>
      </c>
      <c r="U2575">
        <f>+SUM(Table1[[#This Row],[Latinos]:[Cemex]])</f>
        <v>1</v>
      </c>
      <c r="V2575" t="str">
        <f>+Table1[[#This Row],[id_destino]]&amp;" - "&amp;Table1[[#This Row],[id_origen]]</f>
        <v>75 - 73</v>
      </c>
    </row>
    <row r="2576" spans="1:22" hidden="1">
      <c r="A2576">
        <v>263</v>
      </c>
      <c r="B2576">
        <v>135</v>
      </c>
      <c r="C2576">
        <v>468</v>
      </c>
      <c r="D2576">
        <v>105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 t="s">
        <v>20</v>
      </c>
      <c r="L2576" s="1">
        <v>43614</v>
      </c>
      <c r="M2576">
        <v>75</v>
      </c>
      <c r="N2576">
        <v>73</v>
      </c>
      <c r="O2576">
        <v>894</v>
      </c>
      <c r="P2576">
        <v>895</v>
      </c>
      <c r="Q2576">
        <v>923</v>
      </c>
      <c r="S2576">
        <v>768.1</v>
      </c>
      <c r="T2576">
        <v>768.1</v>
      </c>
      <c r="U2576">
        <f>+SUM(Table1[[#This Row],[Latinos]:[Cemex]])</f>
        <v>1</v>
      </c>
      <c r="V2576" t="str">
        <f>+Table1[[#This Row],[id_destino]]&amp;" - "&amp;Table1[[#This Row],[id_origen]]</f>
        <v>75 - 73</v>
      </c>
    </row>
    <row r="2577" spans="1:22" hidden="1">
      <c r="A2577">
        <v>255</v>
      </c>
      <c r="B2577">
        <v>175</v>
      </c>
      <c r="C2577">
        <v>468</v>
      </c>
      <c r="D2577">
        <v>4411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 t="s">
        <v>20</v>
      </c>
      <c r="L2577" s="1">
        <v>43025</v>
      </c>
      <c r="M2577">
        <v>76</v>
      </c>
      <c r="N2577">
        <v>73</v>
      </c>
      <c r="O2577">
        <v>906</v>
      </c>
      <c r="P2577">
        <v>893</v>
      </c>
      <c r="Q2577">
        <v>906</v>
      </c>
      <c r="S2577">
        <v>1179</v>
      </c>
      <c r="T2577">
        <v>1179</v>
      </c>
      <c r="U2577">
        <f>+SUM(Table1[[#This Row],[Latinos]:[Cemex]])</f>
        <v>1</v>
      </c>
      <c r="V2577" t="str">
        <f>+Table1[[#This Row],[id_destino]]&amp;" - "&amp;Table1[[#This Row],[id_origen]]</f>
        <v>76 - 73</v>
      </c>
    </row>
    <row r="2578" spans="1:22" hidden="1">
      <c r="A2578">
        <v>162</v>
      </c>
      <c r="B2578">
        <v>1093</v>
      </c>
      <c r="C2578">
        <v>468</v>
      </c>
      <c r="D2578">
        <v>5294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 t="s">
        <v>20</v>
      </c>
      <c r="L2578" s="1">
        <v>43004</v>
      </c>
      <c r="M2578">
        <v>77</v>
      </c>
      <c r="N2578">
        <v>73</v>
      </c>
      <c r="O2578">
        <v>928</v>
      </c>
      <c r="P2578">
        <v>919</v>
      </c>
      <c r="Q2578">
        <v>928</v>
      </c>
      <c r="S2578">
        <v>1911</v>
      </c>
      <c r="T2578">
        <v>1911</v>
      </c>
      <c r="U2578">
        <f>+SUM(Table1[[#This Row],[Latinos]:[Cemex]])</f>
        <v>1</v>
      </c>
      <c r="V2578" t="str">
        <f>+Table1[[#This Row],[id_destino]]&amp;" - "&amp;Table1[[#This Row],[id_origen]]</f>
        <v>77 - 73</v>
      </c>
    </row>
    <row r="2579" spans="1:22" hidden="1">
      <c r="A2579">
        <v>1167</v>
      </c>
      <c r="B2579">
        <v>122</v>
      </c>
      <c r="C2579">
        <v>468</v>
      </c>
      <c r="D2579">
        <v>5653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 t="s">
        <v>20</v>
      </c>
      <c r="L2579" s="1">
        <v>45217</v>
      </c>
      <c r="M2579">
        <v>79</v>
      </c>
      <c r="N2579">
        <v>73</v>
      </c>
      <c r="O2579">
        <v>1102</v>
      </c>
      <c r="P2579">
        <v>1098</v>
      </c>
      <c r="Q2579">
        <v>1102</v>
      </c>
      <c r="S2579">
        <v>1977</v>
      </c>
      <c r="T2579">
        <v>1982</v>
      </c>
      <c r="U2579">
        <f>+SUM(Table1[[#This Row],[Latinos]:[Cemex]])</f>
        <v>1</v>
      </c>
      <c r="V2579" t="str">
        <f>+Table1[[#This Row],[id_destino]]&amp;" - "&amp;Table1[[#This Row],[id_origen]]</f>
        <v>79 - 73</v>
      </c>
    </row>
    <row r="2580" spans="1:22" hidden="1">
      <c r="A2580">
        <v>381</v>
      </c>
      <c r="B2580">
        <v>112</v>
      </c>
      <c r="C2580">
        <v>468</v>
      </c>
      <c r="D2580">
        <v>146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 t="s">
        <v>20</v>
      </c>
      <c r="L2580" s="1">
        <v>43049</v>
      </c>
      <c r="M2580">
        <v>80</v>
      </c>
      <c r="N2580">
        <v>73</v>
      </c>
      <c r="O2580">
        <v>921</v>
      </c>
      <c r="P2580">
        <v>913</v>
      </c>
      <c r="Q2580">
        <v>921</v>
      </c>
      <c r="S2580">
        <v>1885</v>
      </c>
      <c r="T2580">
        <v>1978</v>
      </c>
      <c r="U2580">
        <f>+SUM(Table1[[#This Row],[Latinos]:[Cemex]])</f>
        <v>1</v>
      </c>
      <c r="V2580" t="str">
        <f>+Table1[[#This Row],[id_destino]]&amp;" - "&amp;Table1[[#This Row],[id_origen]]</f>
        <v>80 - 73</v>
      </c>
    </row>
    <row r="2581" spans="1:22" hidden="1">
      <c r="A2581">
        <v>76</v>
      </c>
      <c r="B2581">
        <v>113</v>
      </c>
      <c r="C2581">
        <v>468</v>
      </c>
      <c r="D2581">
        <v>210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 t="s">
        <v>20</v>
      </c>
      <c r="L2581" s="1">
        <v>45225</v>
      </c>
      <c r="M2581">
        <v>81</v>
      </c>
      <c r="N2581">
        <v>73</v>
      </c>
      <c r="O2581">
        <v>1029</v>
      </c>
      <c r="P2581">
        <v>1034</v>
      </c>
      <c r="Q2581">
        <v>1029</v>
      </c>
      <c r="S2581">
        <v>1867</v>
      </c>
      <c r="T2581">
        <v>1867</v>
      </c>
      <c r="U2581">
        <f>+SUM(Table1[[#This Row],[Latinos]:[Cemex]])</f>
        <v>1</v>
      </c>
      <c r="V2581" t="str">
        <f>+Table1[[#This Row],[id_destino]]&amp;" - "&amp;Table1[[#This Row],[id_origen]]</f>
        <v>81 - 73</v>
      </c>
    </row>
    <row r="2582" spans="1:22" hidden="1">
      <c r="A2582">
        <v>234</v>
      </c>
      <c r="B2582">
        <v>113</v>
      </c>
      <c r="C2582">
        <v>468</v>
      </c>
      <c r="D2582">
        <v>210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 t="s">
        <v>20</v>
      </c>
      <c r="L2582" s="1">
        <v>43019</v>
      </c>
      <c r="M2582">
        <v>81</v>
      </c>
      <c r="N2582">
        <v>73</v>
      </c>
      <c r="O2582">
        <v>1200</v>
      </c>
      <c r="P2582">
        <v>1200</v>
      </c>
      <c r="Q2582">
        <v>1200</v>
      </c>
      <c r="S2582">
        <v>0</v>
      </c>
      <c r="T2582">
        <v>0</v>
      </c>
      <c r="U2582">
        <f>+SUM(Table1[[#This Row],[Latinos]:[Cemex]])</f>
        <v>1</v>
      </c>
      <c r="V2582" t="str">
        <f>+Table1[[#This Row],[id_destino]]&amp;" - "&amp;Table1[[#This Row],[id_origen]]</f>
        <v>81 - 73</v>
      </c>
    </row>
    <row r="2583" spans="1:22" hidden="1">
      <c r="A2583">
        <v>333</v>
      </c>
      <c r="B2583">
        <v>113</v>
      </c>
      <c r="C2583">
        <v>468</v>
      </c>
      <c r="D2583">
        <v>3295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 t="s">
        <v>20</v>
      </c>
      <c r="L2583" s="1">
        <v>45212</v>
      </c>
      <c r="M2583">
        <v>81</v>
      </c>
      <c r="N2583">
        <v>73</v>
      </c>
      <c r="O2583">
        <v>1022</v>
      </c>
      <c r="P2583">
        <v>1020</v>
      </c>
      <c r="Q2583">
        <v>1022</v>
      </c>
      <c r="S2583">
        <v>2204</v>
      </c>
      <c r="T2583">
        <v>2204</v>
      </c>
      <c r="U2583">
        <f>+SUM(Table1[[#This Row],[Latinos]:[Cemex]])</f>
        <v>1</v>
      </c>
      <c r="V2583" t="str">
        <f>+Table1[[#This Row],[id_destino]]&amp;" - "&amp;Table1[[#This Row],[id_origen]]</f>
        <v>81 - 73</v>
      </c>
    </row>
    <row r="2584" spans="1:22" hidden="1">
      <c r="A2584">
        <v>772</v>
      </c>
      <c r="B2584">
        <v>239</v>
      </c>
      <c r="C2584">
        <v>5371</v>
      </c>
      <c r="D2584">
        <v>5285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 t="s">
        <v>20</v>
      </c>
      <c r="L2584" s="1">
        <v>43161</v>
      </c>
      <c r="M2584">
        <v>83</v>
      </c>
      <c r="N2584">
        <v>73</v>
      </c>
      <c r="O2584">
        <v>50</v>
      </c>
      <c r="P2584">
        <v>150</v>
      </c>
      <c r="Q2584">
        <v>50</v>
      </c>
      <c r="S2584">
        <v>0</v>
      </c>
      <c r="T2584">
        <v>0</v>
      </c>
      <c r="U2584">
        <f>+SUM(Table1[[#This Row],[Latinos]:[Cemex]])</f>
        <v>1</v>
      </c>
      <c r="V2584" t="str">
        <f>+Table1[[#This Row],[id_destino]]&amp;" - "&amp;Table1[[#This Row],[id_origen]]</f>
        <v>83 - 73</v>
      </c>
    </row>
    <row r="2585" spans="1:22" hidden="1">
      <c r="A2585">
        <v>1052</v>
      </c>
      <c r="B2585">
        <v>239</v>
      </c>
      <c r="C2585">
        <v>468</v>
      </c>
      <c r="D2585">
        <v>4293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 t="s">
        <v>20</v>
      </c>
      <c r="L2585" s="1">
        <v>43265</v>
      </c>
      <c r="M2585">
        <v>83</v>
      </c>
      <c r="N2585">
        <v>73</v>
      </c>
      <c r="O2585">
        <v>50</v>
      </c>
      <c r="P2585">
        <v>150</v>
      </c>
      <c r="Q2585">
        <v>50</v>
      </c>
      <c r="S2585">
        <v>129</v>
      </c>
      <c r="T2585">
        <v>129</v>
      </c>
      <c r="U2585">
        <f>+SUM(Table1[[#This Row],[Latinos]:[Cemex]])</f>
        <v>1</v>
      </c>
      <c r="V2585" t="str">
        <f>+Table1[[#This Row],[id_destino]]&amp;" - "&amp;Table1[[#This Row],[id_origen]]</f>
        <v>83 - 73</v>
      </c>
    </row>
    <row r="2586" spans="1:22" hidden="1">
      <c r="A2586">
        <v>1971</v>
      </c>
      <c r="B2586">
        <v>239</v>
      </c>
      <c r="C2586">
        <v>5588</v>
      </c>
      <c r="D2586">
        <v>5285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 t="s">
        <v>20</v>
      </c>
      <c r="L2586" s="1">
        <v>43745</v>
      </c>
      <c r="M2586">
        <v>83</v>
      </c>
      <c r="N2586">
        <v>73</v>
      </c>
      <c r="O2586">
        <v>50</v>
      </c>
      <c r="P2586">
        <v>150</v>
      </c>
      <c r="Q2586">
        <v>50</v>
      </c>
      <c r="S2586">
        <v>0</v>
      </c>
      <c r="T2586">
        <v>0</v>
      </c>
      <c r="U2586">
        <f>+SUM(Table1[[#This Row],[Latinos]:[Cemex]])</f>
        <v>1</v>
      </c>
      <c r="V2586" t="str">
        <f>+Table1[[#This Row],[id_destino]]&amp;" - "&amp;Table1[[#This Row],[id_origen]]</f>
        <v>83 - 73</v>
      </c>
    </row>
    <row r="2587" spans="1:22" hidden="1">
      <c r="A2587">
        <v>175</v>
      </c>
      <c r="B2587">
        <v>1543</v>
      </c>
      <c r="C2587">
        <v>468</v>
      </c>
      <c r="D2587">
        <v>3601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 t="s">
        <v>20</v>
      </c>
      <c r="L2587" s="1">
        <v>45264</v>
      </c>
      <c r="M2587">
        <v>84</v>
      </c>
      <c r="N2587">
        <v>73</v>
      </c>
      <c r="O2587">
        <v>50</v>
      </c>
      <c r="P2587">
        <v>150</v>
      </c>
      <c r="Q2587">
        <v>50</v>
      </c>
      <c r="S2587">
        <v>403</v>
      </c>
      <c r="T2587">
        <v>403</v>
      </c>
      <c r="U2587">
        <f>+SUM(Table1[[#This Row],[Latinos]:[Cemex]])</f>
        <v>1</v>
      </c>
      <c r="V2587" t="str">
        <f>+Table1[[#This Row],[id_destino]]&amp;" - "&amp;Table1[[#This Row],[id_origen]]</f>
        <v>84 - 73</v>
      </c>
    </row>
    <row r="2588" spans="1:22" hidden="1">
      <c r="A2588">
        <v>370</v>
      </c>
      <c r="B2588">
        <v>1543</v>
      </c>
      <c r="C2588">
        <v>468</v>
      </c>
      <c r="D2588">
        <v>4790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 t="s">
        <v>20</v>
      </c>
      <c r="L2588" s="1">
        <v>43048</v>
      </c>
      <c r="M2588">
        <v>84</v>
      </c>
      <c r="N2588">
        <v>73</v>
      </c>
      <c r="O2588">
        <v>50</v>
      </c>
      <c r="P2588">
        <v>150</v>
      </c>
      <c r="Q2588">
        <v>50</v>
      </c>
      <c r="S2588">
        <v>0</v>
      </c>
      <c r="T2588">
        <v>0</v>
      </c>
      <c r="U2588">
        <f>+SUM(Table1[[#This Row],[Latinos]:[Cemex]])</f>
        <v>1</v>
      </c>
      <c r="V2588" t="str">
        <f>+Table1[[#This Row],[id_destino]]&amp;" - "&amp;Table1[[#This Row],[id_origen]]</f>
        <v>84 - 73</v>
      </c>
    </row>
    <row r="2589" spans="1:22" hidden="1">
      <c r="A2589">
        <v>1889</v>
      </c>
      <c r="B2589">
        <v>1312</v>
      </c>
      <c r="C2589">
        <v>468</v>
      </c>
      <c r="D2589">
        <v>2251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 t="s">
        <v>20</v>
      </c>
      <c r="L2589" s="1">
        <v>43696</v>
      </c>
      <c r="M2589">
        <v>85</v>
      </c>
      <c r="N2589">
        <v>73</v>
      </c>
      <c r="O2589">
        <v>134</v>
      </c>
      <c r="P2589">
        <v>178</v>
      </c>
      <c r="Q2589">
        <v>134</v>
      </c>
      <c r="S2589">
        <v>0</v>
      </c>
      <c r="T2589">
        <v>0</v>
      </c>
      <c r="U2589">
        <f>+SUM(Table1[[#This Row],[Latinos]:[Cemex]])</f>
        <v>1</v>
      </c>
      <c r="V2589" t="str">
        <f>+Table1[[#This Row],[id_destino]]&amp;" - "&amp;Table1[[#This Row],[id_origen]]</f>
        <v>85 - 73</v>
      </c>
    </row>
    <row r="2590" spans="1:22" hidden="1">
      <c r="A2590">
        <v>3020</v>
      </c>
      <c r="B2590">
        <v>1021</v>
      </c>
      <c r="C2590">
        <v>468</v>
      </c>
      <c r="D2590">
        <v>6881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 t="s">
        <v>20</v>
      </c>
      <c r="L2590" s="1">
        <v>44692</v>
      </c>
      <c r="M2590">
        <v>86</v>
      </c>
      <c r="N2590">
        <v>73</v>
      </c>
      <c r="O2590">
        <v>912</v>
      </c>
      <c r="P2590">
        <v>904</v>
      </c>
      <c r="Q2590">
        <v>912</v>
      </c>
      <c r="S2590">
        <v>837</v>
      </c>
      <c r="T2590">
        <v>837</v>
      </c>
      <c r="U2590">
        <f>+SUM(Table1[[#This Row],[Latinos]:[Cemex]])</f>
        <v>1</v>
      </c>
      <c r="V2590" t="str">
        <f>+Table1[[#This Row],[id_destino]]&amp;" - "&amp;Table1[[#This Row],[id_origen]]</f>
        <v>86 - 73</v>
      </c>
    </row>
    <row r="2591" spans="1:22" hidden="1">
      <c r="A2591">
        <v>3307</v>
      </c>
      <c r="B2591">
        <v>1021</v>
      </c>
      <c r="C2591">
        <v>468</v>
      </c>
      <c r="D2591">
        <v>7046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 t="s">
        <v>20</v>
      </c>
      <c r="L2591" s="1">
        <v>44825</v>
      </c>
      <c r="M2591">
        <v>86</v>
      </c>
      <c r="N2591">
        <v>73</v>
      </c>
      <c r="O2591">
        <v>909</v>
      </c>
      <c r="P2591">
        <v>897</v>
      </c>
      <c r="Q2591">
        <v>904</v>
      </c>
      <c r="S2591">
        <v>1322</v>
      </c>
      <c r="T2591">
        <v>1322</v>
      </c>
      <c r="U2591">
        <f>+SUM(Table1[[#This Row],[Latinos]:[Cemex]])</f>
        <v>1</v>
      </c>
      <c r="V2591" t="str">
        <f>+Table1[[#This Row],[id_destino]]&amp;" - "&amp;Table1[[#This Row],[id_origen]]</f>
        <v>86 - 73</v>
      </c>
    </row>
    <row r="2592" spans="1:22" hidden="1">
      <c r="A2592">
        <v>50</v>
      </c>
      <c r="B2592">
        <v>106</v>
      </c>
      <c r="C2592">
        <v>468</v>
      </c>
      <c r="D2592">
        <v>3476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 t="s">
        <v>20</v>
      </c>
      <c r="L2592" s="1">
        <v>45231</v>
      </c>
      <c r="M2592">
        <v>87</v>
      </c>
      <c r="N2592">
        <v>73</v>
      </c>
      <c r="O2592">
        <v>973</v>
      </c>
      <c r="P2592">
        <v>920</v>
      </c>
      <c r="Q2592">
        <v>973</v>
      </c>
      <c r="S2592">
        <v>2256</v>
      </c>
      <c r="T2592">
        <v>2296.9899999999998</v>
      </c>
      <c r="U2592">
        <f>+SUM(Table1[[#This Row],[Latinos]:[Cemex]])</f>
        <v>1</v>
      </c>
      <c r="V2592" t="str">
        <f>+Table1[[#This Row],[id_destino]]&amp;" - "&amp;Table1[[#This Row],[id_origen]]</f>
        <v>87 - 73</v>
      </c>
    </row>
    <row r="2593" spans="1:22" hidden="1">
      <c r="A2593">
        <v>148</v>
      </c>
      <c r="B2593">
        <v>768</v>
      </c>
      <c r="C2593">
        <v>468</v>
      </c>
      <c r="D2593">
        <v>5290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 t="s">
        <v>20</v>
      </c>
      <c r="L2593" s="1">
        <v>43001</v>
      </c>
      <c r="M2593">
        <v>88</v>
      </c>
      <c r="N2593">
        <v>73</v>
      </c>
      <c r="O2593">
        <v>717</v>
      </c>
      <c r="P2593">
        <v>722</v>
      </c>
      <c r="Q2593">
        <v>717</v>
      </c>
      <c r="S2593">
        <v>750</v>
      </c>
      <c r="T2593">
        <v>750</v>
      </c>
      <c r="U2593">
        <f>+SUM(Table1[[#This Row],[Latinos]:[Cemex]])</f>
        <v>1</v>
      </c>
      <c r="V2593" t="str">
        <f>+Table1[[#This Row],[id_destino]]&amp;" - "&amp;Table1[[#This Row],[id_origen]]</f>
        <v>88 - 73</v>
      </c>
    </row>
    <row r="2594" spans="1:22" hidden="1">
      <c r="A2594">
        <v>1313</v>
      </c>
      <c r="B2594">
        <v>768</v>
      </c>
      <c r="C2594">
        <v>468</v>
      </c>
      <c r="D2594">
        <v>5290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  <c r="K2594" t="s">
        <v>20</v>
      </c>
      <c r="L2594" s="1">
        <v>43379</v>
      </c>
      <c r="M2594">
        <v>88</v>
      </c>
      <c r="N2594">
        <v>73</v>
      </c>
      <c r="O2594">
        <v>717</v>
      </c>
      <c r="P2594">
        <v>717</v>
      </c>
      <c r="Q2594">
        <v>717</v>
      </c>
      <c r="S2594">
        <v>0</v>
      </c>
      <c r="T2594">
        <v>0</v>
      </c>
      <c r="U2594">
        <f>+SUM(Table1[[#This Row],[Latinos]:[Cemex]])</f>
        <v>1</v>
      </c>
      <c r="V2594" t="str">
        <f>+Table1[[#This Row],[id_destino]]&amp;" - "&amp;Table1[[#This Row],[id_origen]]</f>
        <v>88 - 73</v>
      </c>
    </row>
    <row r="2595" spans="1:22" hidden="1">
      <c r="A2595">
        <v>515</v>
      </c>
      <c r="B2595">
        <v>758</v>
      </c>
      <c r="C2595">
        <v>468</v>
      </c>
      <c r="D2595">
        <v>1431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 t="s">
        <v>20</v>
      </c>
      <c r="L2595" s="1">
        <v>45212</v>
      </c>
      <c r="M2595">
        <v>89</v>
      </c>
      <c r="N2595">
        <v>73</v>
      </c>
      <c r="O2595">
        <v>175</v>
      </c>
      <c r="P2595">
        <v>179</v>
      </c>
      <c r="Q2595">
        <v>175</v>
      </c>
      <c r="S2595">
        <v>0</v>
      </c>
      <c r="T2595">
        <v>0</v>
      </c>
      <c r="U2595">
        <f>+SUM(Table1[[#This Row],[Latinos]:[Cemex]])</f>
        <v>1</v>
      </c>
      <c r="V2595" t="str">
        <f>+Table1[[#This Row],[id_destino]]&amp;" - "&amp;Table1[[#This Row],[id_origen]]</f>
        <v>89 - 73</v>
      </c>
    </row>
    <row r="2596" spans="1:22" hidden="1">
      <c r="A2596">
        <v>1394</v>
      </c>
      <c r="B2596">
        <v>758</v>
      </c>
      <c r="C2596">
        <v>125</v>
      </c>
      <c r="D2596">
        <v>2496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 t="s">
        <v>20</v>
      </c>
      <c r="L2596" s="1">
        <v>43417</v>
      </c>
      <c r="M2596">
        <v>89</v>
      </c>
      <c r="N2596">
        <v>73</v>
      </c>
      <c r="O2596">
        <v>0</v>
      </c>
      <c r="P2596">
        <v>150</v>
      </c>
      <c r="Q2596">
        <v>0</v>
      </c>
      <c r="S2596">
        <v>0</v>
      </c>
      <c r="T2596">
        <v>0</v>
      </c>
      <c r="U2596">
        <f>+SUM(Table1[[#This Row],[Latinos]:[Cemex]])</f>
        <v>1</v>
      </c>
      <c r="V2596" t="str">
        <f>+Table1[[#This Row],[id_destino]]&amp;" - "&amp;Table1[[#This Row],[id_origen]]</f>
        <v>89 - 73</v>
      </c>
    </row>
    <row r="2597" spans="1:22" hidden="1">
      <c r="A2597">
        <v>93</v>
      </c>
      <c r="B2597">
        <v>1261</v>
      </c>
      <c r="C2597">
        <v>468</v>
      </c>
      <c r="D2597">
        <v>1260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 t="s">
        <v>20</v>
      </c>
      <c r="L2597" s="1">
        <v>42990</v>
      </c>
      <c r="M2597">
        <v>90</v>
      </c>
      <c r="N2597">
        <v>73</v>
      </c>
      <c r="O2597">
        <v>766</v>
      </c>
      <c r="P2597">
        <v>779</v>
      </c>
      <c r="Q2597">
        <v>766</v>
      </c>
      <c r="S2597">
        <v>363</v>
      </c>
      <c r="T2597">
        <v>363</v>
      </c>
      <c r="U2597">
        <f>+SUM(Table1[[#This Row],[Latinos]:[Cemex]])</f>
        <v>1</v>
      </c>
      <c r="V2597" t="str">
        <f>+Table1[[#This Row],[id_destino]]&amp;" - "&amp;Table1[[#This Row],[id_origen]]</f>
        <v>90 - 73</v>
      </c>
    </row>
    <row r="2598" spans="1:22" hidden="1">
      <c r="A2598">
        <v>196</v>
      </c>
      <c r="B2598">
        <v>677</v>
      </c>
      <c r="C2598">
        <v>468</v>
      </c>
      <c r="D2598">
        <v>4946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 t="s">
        <v>20</v>
      </c>
      <c r="L2598" s="1">
        <v>45217</v>
      </c>
      <c r="M2598">
        <v>92</v>
      </c>
      <c r="N2598">
        <v>73</v>
      </c>
      <c r="O2598">
        <v>50</v>
      </c>
      <c r="P2598">
        <v>150</v>
      </c>
      <c r="Q2598">
        <v>50</v>
      </c>
      <c r="S2598">
        <v>0</v>
      </c>
      <c r="T2598">
        <v>0</v>
      </c>
      <c r="U2598">
        <f>+SUM(Table1[[#This Row],[Latinos]:[Cemex]])</f>
        <v>1</v>
      </c>
      <c r="V2598" t="str">
        <f>+Table1[[#This Row],[id_destino]]&amp;" - "&amp;Table1[[#This Row],[id_origen]]</f>
        <v>92 - 73</v>
      </c>
    </row>
    <row r="2599" spans="1:22" hidden="1">
      <c r="A2599">
        <v>952</v>
      </c>
      <c r="B2599">
        <v>677</v>
      </c>
      <c r="C2599">
        <v>468</v>
      </c>
      <c r="D2599">
        <v>4946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 t="s">
        <v>20</v>
      </c>
      <c r="L2599" s="1">
        <v>43227</v>
      </c>
      <c r="M2599">
        <v>92</v>
      </c>
      <c r="N2599">
        <v>73</v>
      </c>
      <c r="O2599">
        <v>50</v>
      </c>
      <c r="P2599">
        <v>150</v>
      </c>
      <c r="Q2599">
        <v>50</v>
      </c>
      <c r="S2599">
        <v>0</v>
      </c>
      <c r="T2599">
        <v>0</v>
      </c>
      <c r="U2599">
        <f>+SUM(Table1[[#This Row],[Latinos]:[Cemex]])</f>
        <v>1</v>
      </c>
      <c r="V2599" t="str">
        <f>+Table1[[#This Row],[id_destino]]&amp;" - "&amp;Table1[[#This Row],[id_origen]]</f>
        <v>92 - 73</v>
      </c>
    </row>
    <row r="2600" spans="1:22" hidden="1">
      <c r="A2600">
        <v>2620</v>
      </c>
      <c r="B2600">
        <v>677</v>
      </c>
      <c r="C2600">
        <v>468</v>
      </c>
      <c r="D2600">
        <v>3161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 t="s">
        <v>20</v>
      </c>
      <c r="L2600" s="1">
        <v>44250</v>
      </c>
      <c r="M2600">
        <v>92</v>
      </c>
      <c r="N2600">
        <v>73</v>
      </c>
      <c r="O2600">
        <v>50</v>
      </c>
      <c r="P2600">
        <v>150</v>
      </c>
      <c r="Q2600">
        <v>50</v>
      </c>
      <c r="S2600">
        <v>0</v>
      </c>
      <c r="T2600">
        <v>0</v>
      </c>
      <c r="U2600">
        <f>+SUM(Table1[[#This Row],[Latinos]:[Cemex]])</f>
        <v>1</v>
      </c>
      <c r="V2600" t="str">
        <f>+Table1[[#This Row],[id_destino]]&amp;" - "&amp;Table1[[#This Row],[id_origen]]</f>
        <v>92 - 73</v>
      </c>
    </row>
    <row r="2601" spans="1:22" hidden="1">
      <c r="A2601">
        <v>71</v>
      </c>
      <c r="B2601">
        <v>60</v>
      </c>
      <c r="C2601">
        <v>468</v>
      </c>
      <c r="D2601">
        <v>109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 t="s">
        <v>20</v>
      </c>
      <c r="L2601" s="1">
        <v>45181</v>
      </c>
      <c r="M2601">
        <v>93</v>
      </c>
      <c r="N2601">
        <v>73</v>
      </c>
      <c r="O2601">
        <v>861</v>
      </c>
      <c r="P2601">
        <v>854</v>
      </c>
      <c r="Q2601">
        <v>1000</v>
      </c>
      <c r="S2601">
        <v>1329</v>
      </c>
      <c r="T2601">
        <v>1329</v>
      </c>
      <c r="U2601">
        <f>+SUM(Table1[[#This Row],[Latinos]:[Cemex]])</f>
        <v>1</v>
      </c>
      <c r="V2601" t="str">
        <f>+Table1[[#This Row],[id_destino]]&amp;" - "&amp;Table1[[#This Row],[id_origen]]</f>
        <v>93 - 73</v>
      </c>
    </row>
    <row r="2602" spans="1:22" hidden="1">
      <c r="A2602">
        <v>1087</v>
      </c>
      <c r="B2602">
        <v>60</v>
      </c>
      <c r="C2602">
        <v>468</v>
      </c>
      <c r="D2602">
        <v>254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 t="s">
        <v>20</v>
      </c>
      <c r="L2602" s="1">
        <v>43285</v>
      </c>
      <c r="M2602">
        <v>93</v>
      </c>
      <c r="N2602">
        <v>73</v>
      </c>
      <c r="O2602">
        <v>866</v>
      </c>
      <c r="P2602">
        <v>866</v>
      </c>
      <c r="Q2602">
        <v>895</v>
      </c>
      <c r="S2602">
        <v>550</v>
      </c>
      <c r="T2602">
        <v>550</v>
      </c>
      <c r="U2602">
        <f>+SUM(Table1[[#This Row],[Latinos]:[Cemex]])</f>
        <v>1</v>
      </c>
      <c r="V2602" t="str">
        <f>+Table1[[#This Row],[id_destino]]&amp;" - "&amp;Table1[[#This Row],[id_origen]]</f>
        <v>93 - 73</v>
      </c>
    </row>
    <row r="2603" spans="1:22" hidden="1">
      <c r="A2603">
        <v>963</v>
      </c>
      <c r="B2603">
        <v>1032</v>
      </c>
      <c r="C2603">
        <v>566</v>
      </c>
      <c r="D2603">
        <v>5562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 t="s">
        <v>20</v>
      </c>
      <c r="L2603" s="1">
        <v>43230</v>
      </c>
      <c r="M2603">
        <v>95</v>
      </c>
      <c r="N2603">
        <v>73</v>
      </c>
      <c r="O2603">
        <v>50</v>
      </c>
      <c r="P2603">
        <v>150</v>
      </c>
      <c r="Q2603">
        <v>50</v>
      </c>
      <c r="S2603">
        <v>0</v>
      </c>
      <c r="T2603">
        <v>0</v>
      </c>
      <c r="U2603">
        <f>+SUM(Table1[[#This Row],[Latinos]:[Cemex]])</f>
        <v>1</v>
      </c>
      <c r="V2603" t="str">
        <f>+Table1[[#This Row],[id_destino]]&amp;" - "&amp;Table1[[#This Row],[id_origen]]</f>
        <v>95 - 73</v>
      </c>
    </row>
    <row r="2604" spans="1:22" hidden="1">
      <c r="A2604">
        <v>966</v>
      </c>
      <c r="B2604">
        <v>1032</v>
      </c>
      <c r="C2604">
        <v>566</v>
      </c>
      <c r="D2604">
        <v>5562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 t="s">
        <v>20</v>
      </c>
      <c r="L2604" s="1">
        <v>43231</v>
      </c>
      <c r="M2604">
        <v>95</v>
      </c>
      <c r="N2604">
        <v>73</v>
      </c>
      <c r="O2604">
        <v>50</v>
      </c>
      <c r="P2604">
        <v>150</v>
      </c>
      <c r="Q2604">
        <v>50</v>
      </c>
      <c r="S2604">
        <v>0</v>
      </c>
      <c r="T2604">
        <v>0</v>
      </c>
      <c r="U2604">
        <f>+SUM(Table1[[#This Row],[Latinos]:[Cemex]])</f>
        <v>1</v>
      </c>
      <c r="V2604" t="str">
        <f>+Table1[[#This Row],[id_destino]]&amp;" - "&amp;Table1[[#This Row],[id_origen]]</f>
        <v>95 - 73</v>
      </c>
    </row>
    <row r="2605" spans="1:22" hidden="1">
      <c r="A2605">
        <v>1608</v>
      </c>
      <c r="B2605">
        <v>1032</v>
      </c>
      <c r="C2605">
        <v>468</v>
      </c>
      <c r="D2605">
        <v>3448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 t="s">
        <v>20</v>
      </c>
      <c r="L2605" s="1">
        <v>43529</v>
      </c>
      <c r="M2605">
        <v>95</v>
      </c>
      <c r="N2605">
        <v>73</v>
      </c>
      <c r="O2605">
        <v>50</v>
      </c>
      <c r="P2605">
        <v>150</v>
      </c>
      <c r="Q2605">
        <v>50</v>
      </c>
      <c r="S2605">
        <v>0</v>
      </c>
      <c r="T2605">
        <v>0</v>
      </c>
      <c r="U2605">
        <f>+SUM(Table1[[#This Row],[Latinos]:[Cemex]])</f>
        <v>1</v>
      </c>
      <c r="V2605" t="str">
        <f>+Table1[[#This Row],[id_destino]]&amp;" - "&amp;Table1[[#This Row],[id_origen]]</f>
        <v>95 - 73</v>
      </c>
    </row>
    <row r="2606" spans="1:22" hidden="1">
      <c r="A2606">
        <v>10</v>
      </c>
      <c r="B2606">
        <v>69</v>
      </c>
      <c r="C2606">
        <v>468</v>
      </c>
      <c r="D2606">
        <v>2966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 t="s">
        <v>20</v>
      </c>
      <c r="L2606" s="1">
        <v>42982</v>
      </c>
      <c r="M2606">
        <v>96</v>
      </c>
      <c r="N2606">
        <v>73</v>
      </c>
      <c r="O2606">
        <v>284</v>
      </c>
      <c r="P2606">
        <v>284</v>
      </c>
      <c r="Q2606">
        <v>284</v>
      </c>
      <c r="S2606">
        <v>3</v>
      </c>
      <c r="T2606">
        <v>3</v>
      </c>
      <c r="U2606">
        <f>+SUM(Table1[[#This Row],[Latinos]:[Cemex]])</f>
        <v>1</v>
      </c>
      <c r="V2606" t="str">
        <f>+Table1[[#This Row],[id_destino]]&amp;" - "&amp;Table1[[#This Row],[id_origen]]</f>
        <v>96 - 73</v>
      </c>
    </row>
    <row r="2607" spans="1:22" hidden="1">
      <c r="A2607">
        <v>12</v>
      </c>
      <c r="B2607">
        <v>69</v>
      </c>
      <c r="C2607">
        <v>468</v>
      </c>
      <c r="D2607">
        <v>2966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 t="s">
        <v>20</v>
      </c>
      <c r="L2607" s="1">
        <v>43249</v>
      </c>
      <c r="M2607">
        <v>96</v>
      </c>
      <c r="N2607">
        <v>73</v>
      </c>
      <c r="O2607">
        <v>284</v>
      </c>
      <c r="P2607">
        <v>284</v>
      </c>
      <c r="Q2607">
        <v>284</v>
      </c>
      <c r="S2607">
        <v>8</v>
      </c>
      <c r="T2607">
        <v>8</v>
      </c>
      <c r="U2607">
        <f>+SUM(Table1[[#This Row],[Latinos]:[Cemex]])</f>
        <v>1</v>
      </c>
      <c r="V2607" t="str">
        <f>+Table1[[#This Row],[id_destino]]&amp;" - "&amp;Table1[[#This Row],[id_origen]]</f>
        <v>96 - 73</v>
      </c>
    </row>
    <row r="2608" spans="1:22" hidden="1">
      <c r="A2608">
        <v>1994</v>
      </c>
      <c r="B2608">
        <v>69</v>
      </c>
      <c r="C2608">
        <v>468</v>
      </c>
      <c r="D2608">
        <v>2966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 t="s">
        <v>20</v>
      </c>
      <c r="L2608" s="1">
        <v>43755</v>
      </c>
      <c r="M2608">
        <v>96</v>
      </c>
      <c r="N2608">
        <v>73</v>
      </c>
      <c r="O2608">
        <v>284</v>
      </c>
      <c r="P2608">
        <v>300</v>
      </c>
      <c r="Q2608">
        <v>284</v>
      </c>
      <c r="S2608">
        <v>0</v>
      </c>
      <c r="T2608">
        <v>0</v>
      </c>
      <c r="U2608">
        <f>+SUM(Table1[[#This Row],[Latinos]:[Cemex]])</f>
        <v>1</v>
      </c>
      <c r="V2608" t="str">
        <f>+Table1[[#This Row],[id_destino]]&amp;" - "&amp;Table1[[#This Row],[id_origen]]</f>
        <v>96 - 73</v>
      </c>
    </row>
    <row r="2609" spans="1:22" hidden="1">
      <c r="A2609">
        <v>78</v>
      </c>
      <c r="B2609">
        <v>67</v>
      </c>
      <c r="C2609">
        <v>468</v>
      </c>
      <c r="D2609">
        <v>268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 t="s">
        <v>20</v>
      </c>
      <c r="L2609" s="1">
        <v>45204</v>
      </c>
      <c r="M2609">
        <v>99</v>
      </c>
      <c r="N2609">
        <v>73</v>
      </c>
      <c r="O2609">
        <v>2083</v>
      </c>
      <c r="P2609">
        <v>2089</v>
      </c>
      <c r="Q2609">
        <v>2083</v>
      </c>
      <c r="S2609">
        <v>3865</v>
      </c>
      <c r="T2609">
        <v>3865</v>
      </c>
      <c r="U2609">
        <f>+SUM(Table1[[#This Row],[Latinos]:[Cemex]])</f>
        <v>1</v>
      </c>
      <c r="V2609" t="str">
        <f>+Table1[[#This Row],[id_destino]]&amp;" - "&amp;Table1[[#This Row],[id_origen]]</f>
        <v>99 - 73</v>
      </c>
    </row>
    <row r="2610" spans="1:22" hidden="1">
      <c r="A2610">
        <v>1395</v>
      </c>
      <c r="B2610">
        <v>1491</v>
      </c>
      <c r="C2610">
        <v>468</v>
      </c>
      <c r="D2610">
        <v>4853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 t="s">
        <v>20</v>
      </c>
      <c r="L2610" s="1">
        <v>43417</v>
      </c>
      <c r="M2610">
        <v>102</v>
      </c>
      <c r="N2610">
        <v>73</v>
      </c>
      <c r="O2610">
        <v>325</v>
      </c>
      <c r="P2610">
        <v>324</v>
      </c>
      <c r="Q2610">
        <v>325</v>
      </c>
      <c r="S2610">
        <v>1086</v>
      </c>
      <c r="T2610">
        <v>1086</v>
      </c>
      <c r="U2610">
        <f>+SUM(Table1[[#This Row],[Latinos]:[Cemex]])</f>
        <v>1</v>
      </c>
      <c r="V2610" t="str">
        <f>+Table1[[#This Row],[id_destino]]&amp;" - "&amp;Table1[[#This Row],[id_origen]]</f>
        <v>102 - 73</v>
      </c>
    </row>
    <row r="2611" spans="1:22" hidden="1">
      <c r="A2611">
        <v>108</v>
      </c>
      <c r="B2611">
        <v>121</v>
      </c>
      <c r="C2611">
        <v>468</v>
      </c>
      <c r="D2611">
        <v>3993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 t="s">
        <v>20</v>
      </c>
      <c r="L2611" s="1">
        <v>45772</v>
      </c>
      <c r="M2611">
        <v>105</v>
      </c>
      <c r="N2611">
        <v>73</v>
      </c>
      <c r="O2611">
        <v>880</v>
      </c>
      <c r="P2611">
        <v>872</v>
      </c>
      <c r="Q2611">
        <v>880</v>
      </c>
      <c r="S2611">
        <v>1</v>
      </c>
      <c r="T2611">
        <v>1435</v>
      </c>
      <c r="U2611">
        <f>+SUM(Table1[[#This Row],[Latinos]:[Cemex]])</f>
        <v>1</v>
      </c>
      <c r="V2611" t="str">
        <f>+Table1[[#This Row],[id_destino]]&amp;" - "&amp;Table1[[#This Row],[id_origen]]</f>
        <v>105 - 73</v>
      </c>
    </row>
    <row r="2612" spans="1:22" hidden="1">
      <c r="A2612">
        <v>115</v>
      </c>
      <c r="B2612">
        <v>675</v>
      </c>
      <c r="C2612">
        <v>468</v>
      </c>
      <c r="D2612">
        <v>1523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 t="s">
        <v>20</v>
      </c>
      <c r="L2612" s="1">
        <v>45212</v>
      </c>
      <c r="M2612">
        <v>107</v>
      </c>
      <c r="N2612">
        <v>73</v>
      </c>
      <c r="O2612">
        <v>518</v>
      </c>
      <c r="P2612">
        <v>505</v>
      </c>
      <c r="Q2612">
        <v>518</v>
      </c>
      <c r="S2612">
        <v>443</v>
      </c>
      <c r="T2612">
        <v>443</v>
      </c>
      <c r="U2612">
        <f>+SUM(Table1[[#This Row],[Latinos]:[Cemex]])</f>
        <v>1</v>
      </c>
      <c r="V2612" t="str">
        <f>+Table1[[#This Row],[id_destino]]&amp;" - "&amp;Table1[[#This Row],[id_origen]]</f>
        <v>107 - 73</v>
      </c>
    </row>
    <row r="2613" spans="1:22" hidden="1">
      <c r="A2613">
        <v>119</v>
      </c>
      <c r="B2613">
        <v>675</v>
      </c>
      <c r="C2613">
        <v>468</v>
      </c>
      <c r="D2613">
        <v>1523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 t="s">
        <v>20</v>
      </c>
      <c r="L2613" s="1">
        <v>44544</v>
      </c>
      <c r="M2613">
        <v>107</v>
      </c>
      <c r="N2613">
        <v>73</v>
      </c>
      <c r="O2613">
        <v>504</v>
      </c>
      <c r="P2613">
        <v>504</v>
      </c>
      <c r="Q2613">
        <v>504</v>
      </c>
      <c r="S2613">
        <v>0</v>
      </c>
      <c r="T2613">
        <v>0</v>
      </c>
      <c r="U2613">
        <f>+SUM(Table1[[#This Row],[Latinos]:[Cemex]])</f>
        <v>1</v>
      </c>
      <c r="V2613" t="str">
        <f>+Table1[[#This Row],[id_destino]]&amp;" - "&amp;Table1[[#This Row],[id_origen]]</f>
        <v>107 - 73</v>
      </c>
    </row>
    <row r="2614" spans="1:22" hidden="1">
      <c r="A2614">
        <v>130</v>
      </c>
      <c r="B2614">
        <v>675</v>
      </c>
      <c r="C2614">
        <v>468</v>
      </c>
      <c r="D2614">
        <v>1555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 t="s">
        <v>20</v>
      </c>
      <c r="L2614" s="1">
        <v>45239</v>
      </c>
      <c r="M2614">
        <v>107</v>
      </c>
      <c r="N2614">
        <v>73</v>
      </c>
      <c r="O2614">
        <v>504</v>
      </c>
      <c r="P2614">
        <v>596</v>
      </c>
      <c r="Q2614">
        <v>504</v>
      </c>
      <c r="S2614">
        <v>19</v>
      </c>
      <c r="T2614">
        <v>19</v>
      </c>
      <c r="U2614">
        <f>+SUM(Table1[[#This Row],[Latinos]:[Cemex]])</f>
        <v>1</v>
      </c>
      <c r="V2614" t="str">
        <f>+Table1[[#This Row],[id_destino]]&amp;" - "&amp;Table1[[#This Row],[id_origen]]</f>
        <v>107 - 73</v>
      </c>
    </row>
    <row r="2615" spans="1:22" hidden="1">
      <c r="A2615">
        <v>2672</v>
      </c>
      <c r="B2615">
        <v>1201</v>
      </c>
      <c r="C2615">
        <v>468</v>
      </c>
      <c r="D2615">
        <v>3685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 t="s">
        <v>90</v>
      </c>
      <c r="L2615" s="1">
        <v>45209</v>
      </c>
      <c r="M2615">
        <v>111</v>
      </c>
      <c r="N2615">
        <v>73</v>
      </c>
      <c r="O2615">
        <v>1456</v>
      </c>
      <c r="P2615">
        <v>1457</v>
      </c>
      <c r="Q2615">
        <v>1456</v>
      </c>
      <c r="S2615">
        <v>5326</v>
      </c>
      <c r="T2615">
        <v>5868</v>
      </c>
      <c r="U2615">
        <f>+SUM(Table1[[#This Row],[Latinos]:[Cemex]])</f>
        <v>1</v>
      </c>
      <c r="V2615" t="str">
        <f>+Table1[[#This Row],[id_destino]]&amp;" - "&amp;Table1[[#This Row],[id_origen]]</f>
        <v>111 - 73</v>
      </c>
    </row>
    <row r="2616" spans="1:22" hidden="1">
      <c r="A2616">
        <v>2311</v>
      </c>
      <c r="B2616">
        <v>215</v>
      </c>
      <c r="C2616">
        <v>189</v>
      </c>
      <c r="D2616">
        <v>2839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 t="s">
        <v>20</v>
      </c>
      <c r="L2616" s="1">
        <v>43922</v>
      </c>
      <c r="M2616">
        <v>114</v>
      </c>
      <c r="N2616">
        <v>73</v>
      </c>
      <c r="O2616">
        <v>1185</v>
      </c>
      <c r="P2616">
        <v>1190</v>
      </c>
      <c r="Q2616">
        <v>1185</v>
      </c>
      <c r="S2616">
        <v>1441</v>
      </c>
      <c r="T2616">
        <v>1441</v>
      </c>
      <c r="U2616">
        <f>+SUM(Table1[[#This Row],[Latinos]:[Cemex]])</f>
        <v>1</v>
      </c>
      <c r="V2616" t="str">
        <f>+Table1[[#This Row],[id_destino]]&amp;" - "&amp;Table1[[#This Row],[id_origen]]</f>
        <v>114 - 73</v>
      </c>
    </row>
    <row r="2617" spans="1:22" hidden="1">
      <c r="A2617">
        <v>373</v>
      </c>
      <c r="B2617">
        <v>2271</v>
      </c>
      <c r="C2617">
        <v>468</v>
      </c>
      <c r="D2617">
        <v>3746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 t="s">
        <v>20</v>
      </c>
      <c r="L2617" s="1">
        <v>43048</v>
      </c>
      <c r="M2617">
        <v>115</v>
      </c>
      <c r="N2617">
        <v>73</v>
      </c>
      <c r="O2617">
        <v>1032</v>
      </c>
      <c r="P2617">
        <v>1023</v>
      </c>
      <c r="Q2617">
        <v>1032</v>
      </c>
      <c r="S2617">
        <v>1136</v>
      </c>
      <c r="T2617">
        <v>1136</v>
      </c>
      <c r="U2617">
        <f>+SUM(Table1[[#This Row],[Latinos]:[Cemex]])</f>
        <v>1</v>
      </c>
      <c r="V2617" t="str">
        <f>+Table1[[#This Row],[id_destino]]&amp;" - "&amp;Table1[[#This Row],[id_origen]]</f>
        <v>115 - 73</v>
      </c>
    </row>
    <row r="2618" spans="1:22" hidden="1">
      <c r="A2618">
        <v>1155</v>
      </c>
      <c r="B2618">
        <v>320</v>
      </c>
      <c r="C2618">
        <v>468</v>
      </c>
      <c r="D2618">
        <v>4599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 t="s">
        <v>20</v>
      </c>
      <c r="L2618" s="1">
        <v>43318</v>
      </c>
      <c r="M2618">
        <v>116</v>
      </c>
      <c r="N2618">
        <v>73</v>
      </c>
      <c r="O2618">
        <v>1011</v>
      </c>
      <c r="P2618">
        <v>1010</v>
      </c>
      <c r="Q2618">
        <v>1011</v>
      </c>
      <c r="S2618">
        <v>2433</v>
      </c>
      <c r="T2618">
        <v>2433</v>
      </c>
      <c r="U2618">
        <f>+SUM(Table1[[#This Row],[Latinos]:[Cemex]])</f>
        <v>1</v>
      </c>
      <c r="V2618" t="str">
        <f>+Table1[[#This Row],[id_destino]]&amp;" - "&amp;Table1[[#This Row],[id_origen]]</f>
        <v>116 - 73</v>
      </c>
    </row>
    <row r="2619" spans="1:22" hidden="1">
      <c r="A2619">
        <v>2109</v>
      </c>
      <c r="B2619">
        <v>320</v>
      </c>
      <c r="C2619">
        <v>468</v>
      </c>
      <c r="D2619">
        <v>979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 t="s">
        <v>20</v>
      </c>
      <c r="L2619" s="1">
        <v>43815</v>
      </c>
      <c r="M2619">
        <v>116</v>
      </c>
      <c r="N2619">
        <v>73</v>
      </c>
      <c r="O2619">
        <v>1011</v>
      </c>
      <c r="P2619">
        <v>1100</v>
      </c>
      <c r="Q2619">
        <v>1011</v>
      </c>
      <c r="S2619">
        <v>0</v>
      </c>
      <c r="T2619">
        <v>0</v>
      </c>
      <c r="U2619">
        <f>+SUM(Table1[[#This Row],[Latinos]:[Cemex]])</f>
        <v>1</v>
      </c>
      <c r="V2619" t="str">
        <f>+Table1[[#This Row],[id_destino]]&amp;" - "&amp;Table1[[#This Row],[id_origen]]</f>
        <v>116 - 73</v>
      </c>
    </row>
    <row r="2620" spans="1:22" hidden="1">
      <c r="A2620">
        <v>371</v>
      </c>
      <c r="B2620">
        <v>792</v>
      </c>
      <c r="C2620">
        <v>468</v>
      </c>
      <c r="D2620">
        <v>4607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 t="s">
        <v>20</v>
      </c>
      <c r="L2620" s="1">
        <v>45211</v>
      </c>
      <c r="M2620">
        <v>117</v>
      </c>
      <c r="N2620">
        <v>73</v>
      </c>
      <c r="O2620">
        <v>1005</v>
      </c>
      <c r="P2620">
        <v>999</v>
      </c>
      <c r="Q2620">
        <v>1005</v>
      </c>
      <c r="S2620">
        <v>1179</v>
      </c>
      <c r="T2620">
        <v>1179</v>
      </c>
      <c r="U2620">
        <f>+SUM(Table1[[#This Row],[Latinos]:[Cemex]])</f>
        <v>1</v>
      </c>
      <c r="V2620" t="str">
        <f>+Table1[[#This Row],[id_destino]]&amp;" - "&amp;Table1[[#This Row],[id_origen]]</f>
        <v>117 - 73</v>
      </c>
    </row>
    <row r="2621" spans="1:22" hidden="1">
      <c r="A2621">
        <v>186</v>
      </c>
      <c r="B2621">
        <v>1051</v>
      </c>
      <c r="C2621">
        <v>468</v>
      </c>
      <c r="D2621">
        <v>2560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 t="s">
        <v>20</v>
      </c>
      <c r="L2621" s="1">
        <v>44293</v>
      </c>
      <c r="M2621">
        <v>118</v>
      </c>
      <c r="N2621">
        <v>73</v>
      </c>
      <c r="O2621">
        <v>2390</v>
      </c>
      <c r="P2621">
        <v>2295</v>
      </c>
      <c r="Q2621">
        <v>2390</v>
      </c>
      <c r="S2621">
        <v>3634.99</v>
      </c>
      <c r="T2621">
        <v>4104.99</v>
      </c>
      <c r="U2621">
        <f>+SUM(Table1[[#This Row],[Latinos]:[Cemex]])</f>
        <v>1</v>
      </c>
      <c r="V2621" t="str">
        <f>+Table1[[#This Row],[id_destino]]&amp;" - "&amp;Table1[[#This Row],[id_origen]]</f>
        <v>118 - 73</v>
      </c>
    </row>
    <row r="2622" spans="1:22" hidden="1">
      <c r="A2622">
        <v>2831</v>
      </c>
      <c r="B2622">
        <v>1051</v>
      </c>
      <c r="C2622">
        <v>468</v>
      </c>
      <c r="D2622">
        <v>6712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 t="s">
        <v>20</v>
      </c>
      <c r="L2622" s="1">
        <v>44501</v>
      </c>
      <c r="M2622">
        <v>118</v>
      </c>
      <c r="N2622">
        <v>73</v>
      </c>
      <c r="O2622">
        <v>2390</v>
      </c>
      <c r="P2622">
        <v>2340</v>
      </c>
      <c r="Q2622">
        <v>2390</v>
      </c>
      <c r="S2622">
        <v>2270</v>
      </c>
      <c r="T2622">
        <v>2618</v>
      </c>
      <c r="U2622">
        <f>+SUM(Table1[[#This Row],[Latinos]:[Cemex]])</f>
        <v>1</v>
      </c>
      <c r="V2622" t="str">
        <f>+Table1[[#This Row],[id_destino]]&amp;" - "&amp;Table1[[#This Row],[id_origen]]</f>
        <v>118 - 73</v>
      </c>
    </row>
    <row r="2623" spans="1:22" hidden="1">
      <c r="A2623">
        <v>313</v>
      </c>
      <c r="B2623">
        <v>145</v>
      </c>
      <c r="C2623">
        <v>468</v>
      </c>
      <c r="D2623">
        <v>623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 t="s">
        <v>20</v>
      </c>
      <c r="L2623" s="1">
        <v>45194</v>
      </c>
      <c r="M2623">
        <v>121</v>
      </c>
      <c r="N2623">
        <v>73</v>
      </c>
      <c r="O2623">
        <v>706</v>
      </c>
      <c r="P2623">
        <v>700</v>
      </c>
      <c r="Q2623">
        <v>706</v>
      </c>
      <c r="S2623">
        <v>824</v>
      </c>
      <c r="T2623">
        <v>824</v>
      </c>
      <c r="U2623">
        <f>+SUM(Table1[[#This Row],[Latinos]:[Cemex]])</f>
        <v>1</v>
      </c>
      <c r="V2623" t="str">
        <f>+Table1[[#This Row],[id_destino]]&amp;" - "&amp;Table1[[#This Row],[id_origen]]</f>
        <v>121 - 73</v>
      </c>
    </row>
    <row r="2624" spans="1:22" hidden="1">
      <c r="A2624">
        <v>1240</v>
      </c>
      <c r="B2624">
        <v>912</v>
      </c>
      <c r="C2624">
        <v>468</v>
      </c>
      <c r="D2624">
        <v>5685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 t="s">
        <v>63</v>
      </c>
      <c r="L2624" s="1">
        <v>43649</v>
      </c>
      <c r="M2624">
        <v>123</v>
      </c>
      <c r="N2624">
        <v>73</v>
      </c>
      <c r="O2624">
        <v>1320</v>
      </c>
      <c r="P2624">
        <v>1303</v>
      </c>
      <c r="Q2624">
        <v>1320</v>
      </c>
      <c r="S2624">
        <v>4841</v>
      </c>
      <c r="T2624">
        <v>5369</v>
      </c>
      <c r="U2624">
        <f>+SUM(Table1[[#This Row],[Latinos]:[Cemex]])</f>
        <v>1</v>
      </c>
      <c r="V2624" t="str">
        <f>+Table1[[#This Row],[id_destino]]&amp;" - "&amp;Table1[[#This Row],[id_origen]]</f>
        <v>123 - 73</v>
      </c>
    </row>
    <row r="2625" spans="1:22" hidden="1">
      <c r="A2625">
        <v>4025</v>
      </c>
      <c r="B2625">
        <v>912</v>
      </c>
      <c r="C2625">
        <v>468</v>
      </c>
      <c r="D2625">
        <v>7486</v>
      </c>
      <c r="E2625">
        <v>0</v>
      </c>
      <c r="F2625">
        <v>1</v>
      </c>
      <c r="G2625">
        <v>0</v>
      </c>
      <c r="H2625">
        <v>0</v>
      </c>
      <c r="I2625">
        <v>1</v>
      </c>
      <c r="J2625">
        <v>0</v>
      </c>
      <c r="K2625" t="s">
        <v>42</v>
      </c>
      <c r="L2625" s="1">
        <v>45240</v>
      </c>
      <c r="M2625">
        <v>123</v>
      </c>
      <c r="N2625">
        <v>73</v>
      </c>
      <c r="O2625">
        <v>874</v>
      </c>
      <c r="P2625">
        <v>890</v>
      </c>
      <c r="Q2625">
        <v>874</v>
      </c>
      <c r="S2625">
        <v>4841</v>
      </c>
      <c r="T2625">
        <v>4165</v>
      </c>
      <c r="U2625">
        <f>+SUM(Table1[[#This Row],[Latinos]:[Cemex]])</f>
        <v>2</v>
      </c>
      <c r="V2625" t="str">
        <f>+Table1[[#This Row],[id_destino]]&amp;" - "&amp;Table1[[#This Row],[id_origen]]</f>
        <v>123 - 73</v>
      </c>
    </row>
    <row r="2626" spans="1:22" hidden="1">
      <c r="A2626">
        <v>264</v>
      </c>
      <c r="B2626">
        <v>294</v>
      </c>
      <c r="C2626">
        <v>468</v>
      </c>
      <c r="D2626">
        <v>4838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 t="s">
        <v>20</v>
      </c>
      <c r="L2626" s="1">
        <v>43027</v>
      </c>
      <c r="M2626">
        <v>124</v>
      </c>
      <c r="N2626">
        <v>73</v>
      </c>
      <c r="O2626">
        <v>805</v>
      </c>
      <c r="P2626">
        <v>794</v>
      </c>
      <c r="Q2626">
        <v>805</v>
      </c>
      <c r="S2626">
        <v>997</v>
      </c>
      <c r="T2626">
        <v>997</v>
      </c>
      <c r="U2626">
        <f>+SUM(Table1[[#This Row],[Latinos]:[Cemex]])</f>
        <v>1</v>
      </c>
      <c r="V2626" t="str">
        <f>+Table1[[#This Row],[id_destino]]&amp;" - "&amp;Table1[[#This Row],[id_origen]]</f>
        <v>124 - 73</v>
      </c>
    </row>
    <row r="2627" spans="1:22" hidden="1">
      <c r="A2627">
        <v>854</v>
      </c>
      <c r="B2627">
        <v>1822</v>
      </c>
      <c r="C2627">
        <v>468</v>
      </c>
      <c r="D2627">
        <v>4169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 t="s">
        <v>20</v>
      </c>
      <c r="L2627" s="1">
        <v>43194</v>
      </c>
      <c r="M2627">
        <v>127</v>
      </c>
      <c r="N2627">
        <v>73</v>
      </c>
      <c r="O2627">
        <v>168</v>
      </c>
      <c r="P2627">
        <v>172</v>
      </c>
      <c r="Q2627">
        <v>168</v>
      </c>
      <c r="S2627">
        <v>0</v>
      </c>
      <c r="T2627">
        <v>0</v>
      </c>
      <c r="U2627">
        <f>+SUM(Table1[[#This Row],[Latinos]:[Cemex]])</f>
        <v>1</v>
      </c>
      <c r="V2627" t="str">
        <f>+Table1[[#This Row],[id_destino]]&amp;" - "&amp;Table1[[#This Row],[id_origen]]</f>
        <v>127 - 73</v>
      </c>
    </row>
    <row r="2628" spans="1:22" hidden="1">
      <c r="A2628">
        <v>129</v>
      </c>
      <c r="B2628">
        <v>68</v>
      </c>
      <c r="C2628">
        <v>468</v>
      </c>
      <c r="D2628">
        <v>47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 t="s">
        <v>20</v>
      </c>
      <c r="L2628" s="1">
        <v>44177</v>
      </c>
      <c r="M2628">
        <v>129</v>
      </c>
      <c r="N2628">
        <v>73</v>
      </c>
      <c r="O2628">
        <v>1367</v>
      </c>
      <c r="P2628">
        <v>1358</v>
      </c>
      <c r="Q2628">
        <v>1367</v>
      </c>
      <c r="S2628">
        <v>2440</v>
      </c>
      <c r="T2628">
        <v>2440</v>
      </c>
      <c r="U2628">
        <f>+SUM(Table1[[#This Row],[Latinos]:[Cemex]])</f>
        <v>1</v>
      </c>
      <c r="V2628" t="str">
        <f>+Table1[[#This Row],[id_destino]]&amp;" - "&amp;Table1[[#This Row],[id_origen]]</f>
        <v>129 - 73</v>
      </c>
    </row>
    <row r="2629" spans="1:22" hidden="1">
      <c r="A2629">
        <v>1853</v>
      </c>
      <c r="B2629">
        <v>891</v>
      </c>
      <c r="C2629">
        <v>468</v>
      </c>
      <c r="D2629">
        <v>5985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 t="s">
        <v>20</v>
      </c>
      <c r="L2629" s="1">
        <v>43668</v>
      </c>
      <c r="M2629">
        <v>130</v>
      </c>
      <c r="N2629">
        <v>73</v>
      </c>
      <c r="O2629">
        <v>420</v>
      </c>
      <c r="P2629">
        <v>388</v>
      </c>
      <c r="Q2629">
        <v>420</v>
      </c>
      <c r="S2629">
        <v>587</v>
      </c>
      <c r="T2629">
        <v>587</v>
      </c>
      <c r="U2629">
        <f>+SUM(Table1[[#This Row],[Latinos]:[Cemex]])</f>
        <v>1</v>
      </c>
      <c r="V2629" t="str">
        <f>+Table1[[#This Row],[id_destino]]&amp;" - "&amp;Table1[[#This Row],[id_origen]]</f>
        <v>130 - 73</v>
      </c>
    </row>
    <row r="2630" spans="1:22" hidden="1">
      <c r="A2630">
        <v>3237</v>
      </c>
      <c r="B2630">
        <v>3857</v>
      </c>
      <c r="C2630">
        <v>468</v>
      </c>
      <c r="D2630">
        <v>7012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 t="s">
        <v>20</v>
      </c>
      <c r="L2630" s="1">
        <v>45280</v>
      </c>
      <c r="M2630">
        <v>132</v>
      </c>
      <c r="N2630">
        <v>73</v>
      </c>
      <c r="O2630">
        <v>999</v>
      </c>
      <c r="P2630">
        <v>990</v>
      </c>
      <c r="Q2630">
        <v>999</v>
      </c>
      <c r="S2630">
        <v>2382</v>
      </c>
      <c r="T2630">
        <v>2382</v>
      </c>
      <c r="U2630">
        <f>+SUM(Table1[[#This Row],[Latinos]:[Cemex]])</f>
        <v>1</v>
      </c>
      <c r="V2630" t="str">
        <f>+Table1[[#This Row],[id_destino]]&amp;" - "&amp;Table1[[#This Row],[id_origen]]</f>
        <v>132 - 73</v>
      </c>
    </row>
    <row r="2631" spans="1:22" hidden="1">
      <c r="A2631">
        <v>1704</v>
      </c>
      <c r="B2631">
        <v>1687</v>
      </c>
      <c r="C2631">
        <v>468</v>
      </c>
      <c r="D2631">
        <v>4774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 t="s">
        <v>20</v>
      </c>
      <c r="L2631" s="1">
        <v>45225</v>
      </c>
      <c r="M2631">
        <v>133</v>
      </c>
      <c r="N2631">
        <v>73</v>
      </c>
      <c r="O2631">
        <v>673</v>
      </c>
      <c r="P2631">
        <v>665</v>
      </c>
      <c r="Q2631">
        <v>673</v>
      </c>
      <c r="S2631">
        <v>823.99</v>
      </c>
      <c r="T2631">
        <v>823.99</v>
      </c>
      <c r="U2631">
        <f>+SUM(Table1[[#This Row],[Latinos]:[Cemex]])</f>
        <v>1</v>
      </c>
      <c r="V2631" t="str">
        <f>+Table1[[#This Row],[id_destino]]&amp;" - "&amp;Table1[[#This Row],[id_origen]]</f>
        <v>133 - 73</v>
      </c>
    </row>
    <row r="2632" spans="1:22" hidden="1">
      <c r="A2632">
        <v>286</v>
      </c>
      <c r="B2632">
        <v>142</v>
      </c>
      <c r="C2632">
        <v>468</v>
      </c>
      <c r="D2632">
        <v>3176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 t="s">
        <v>20</v>
      </c>
      <c r="L2632" s="1">
        <v>45194</v>
      </c>
      <c r="M2632">
        <v>136</v>
      </c>
      <c r="N2632">
        <v>73</v>
      </c>
      <c r="O2632">
        <v>1023</v>
      </c>
      <c r="P2632">
        <v>1015</v>
      </c>
      <c r="Q2632">
        <v>1023</v>
      </c>
      <c r="S2632">
        <v>1913</v>
      </c>
      <c r="T2632">
        <v>1913</v>
      </c>
      <c r="U2632">
        <f>+SUM(Table1[[#This Row],[Latinos]:[Cemex]])</f>
        <v>1</v>
      </c>
      <c r="V2632" t="str">
        <f>+Table1[[#This Row],[id_destino]]&amp;" - "&amp;Table1[[#This Row],[id_origen]]</f>
        <v>136 - 73</v>
      </c>
    </row>
    <row r="2633" spans="1:22" hidden="1">
      <c r="A2633">
        <v>2372</v>
      </c>
      <c r="B2633">
        <v>142</v>
      </c>
      <c r="C2633">
        <v>468</v>
      </c>
      <c r="D2633">
        <v>3176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 t="s">
        <v>20</v>
      </c>
      <c r="L2633" s="1">
        <v>43998</v>
      </c>
      <c r="M2633">
        <v>136</v>
      </c>
      <c r="N2633">
        <v>73</v>
      </c>
      <c r="O2633">
        <v>1062</v>
      </c>
      <c r="P2633">
        <v>1033</v>
      </c>
      <c r="Q2633">
        <v>1062</v>
      </c>
      <c r="S2633">
        <v>0</v>
      </c>
      <c r="T2633">
        <v>0</v>
      </c>
      <c r="U2633">
        <f>+SUM(Table1[[#This Row],[Latinos]:[Cemex]])</f>
        <v>1</v>
      </c>
      <c r="V2633" t="str">
        <f>+Table1[[#This Row],[id_destino]]&amp;" - "&amp;Table1[[#This Row],[id_origen]]</f>
        <v>136 - 73</v>
      </c>
    </row>
    <row r="2634" spans="1:22" hidden="1">
      <c r="A2634">
        <v>1151</v>
      </c>
      <c r="B2634">
        <v>1117</v>
      </c>
      <c r="C2634">
        <v>468</v>
      </c>
      <c r="D2634">
        <v>5641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 t="s">
        <v>20</v>
      </c>
      <c r="L2634" s="1">
        <v>43316</v>
      </c>
      <c r="M2634">
        <v>137</v>
      </c>
      <c r="N2634">
        <v>73</v>
      </c>
      <c r="O2634">
        <v>1075</v>
      </c>
      <c r="P2634">
        <v>1067</v>
      </c>
      <c r="Q2634">
        <v>1075</v>
      </c>
      <c r="S2634">
        <v>2075</v>
      </c>
      <c r="T2634">
        <v>2075</v>
      </c>
      <c r="U2634">
        <f>+SUM(Table1[[#This Row],[Latinos]:[Cemex]])</f>
        <v>1</v>
      </c>
      <c r="V2634" t="str">
        <f>+Table1[[#This Row],[id_destino]]&amp;" - "&amp;Table1[[#This Row],[id_origen]]</f>
        <v>137 - 73</v>
      </c>
    </row>
    <row r="2635" spans="1:22" hidden="1">
      <c r="A2635">
        <v>1220</v>
      </c>
      <c r="B2635">
        <v>178</v>
      </c>
      <c r="C2635">
        <v>468</v>
      </c>
      <c r="D2635">
        <v>2043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 t="s">
        <v>20</v>
      </c>
      <c r="L2635" s="1">
        <v>43346</v>
      </c>
      <c r="M2635">
        <v>138</v>
      </c>
      <c r="N2635">
        <v>73</v>
      </c>
      <c r="O2635">
        <v>1606</v>
      </c>
      <c r="P2635">
        <v>1608</v>
      </c>
      <c r="Q2635">
        <v>1606</v>
      </c>
      <c r="S2635">
        <v>2535</v>
      </c>
      <c r="T2635">
        <v>2535</v>
      </c>
      <c r="U2635">
        <f>+SUM(Table1[[#This Row],[Latinos]:[Cemex]])</f>
        <v>1</v>
      </c>
      <c r="V2635" t="str">
        <f>+Table1[[#This Row],[id_destino]]&amp;" - "&amp;Table1[[#This Row],[id_origen]]</f>
        <v>138 - 73</v>
      </c>
    </row>
    <row r="2636" spans="1:22" hidden="1">
      <c r="A2636">
        <v>2384</v>
      </c>
      <c r="B2636">
        <v>3311</v>
      </c>
      <c r="C2636">
        <v>468</v>
      </c>
      <c r="D2636">
        <v>6369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 t="s">
        <v>20</v>
      </c>
      <c r="L2636" s="1">
        <v>44015</v>
      </c>
      <c r="M2636">
        <v>144</v>
      </c>
      <c r="N2636">
        <v>73</v>
      </c>
      <c r="O2636">
        <v>754</v>
      </c>
      <c r="P2636">
        <v>744</v>
      </c>
      <c r="Q2636">
        <v>754</v>
      </c>
      <c r="S2636">
        <v>750</v>
      </c>
      <c r="T2636">
        <v>750</v>
      </c>
      <c r="U2636">
        <f>+SUM(Table1[[#This Row],[Latinos]:[Cemex]])</f>
        <v>1</v>
      </c>
      <c r="V2636" t="str">
        <f>+Table1[[#This Row],[id_destino]]&amp;" - "&amp;Table1[[#This Row],[id_origen]]</f>
        <v>144 - 73</v>
      </c>
    </row>
    <row r="2637" spans="1:22" hidden="1">
      <c r="A2637">
        <v>1551</v>
      </c>
      <c r="B2637">
        <v>216</v>
      </c>
      <c r="C2637">
        <v>468</v>
      </c>
      <c r="D2637">
        <v>5818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 t="s">
        <v>20</v>
      </c>
      <c r="L2637" s="1">
        <v>43502</v>
      </c>
      <c r="M2637">
        <v>145</v>
      </c>
      <c r="N2637">
        <v>73</v>
      </c>
      <c r="O2637">
        <v>996</v>
      </c>
      <c r="P2637">
        <v>1074</v>
      </c>
      <c r="Q2637">
        <v>996</v>
      </c>
      <c r="S2637">
        <v>1576</v>
      </c>
      <c r="T2637">
        <v>1576</v>
      </c>
      <c r="U2637">
        <f>+SUM(Table1[[#This Row],[Latinos]:[Cemex]])</f>
        <v>1</v>
      </c>
      <c r="V2637" t="str">
        <f>+Table1[[#This Row],[id_destino]]&amp;" - "&amp;Table1[[#This Row],[id_origen]]</f>
        <v>145 - 73</v>
      </c>
    </row>
    <row r="2638" spans="1:22" hidden="1">
      <c r="A2638">
        <v>409</v>
      </c>
      <c r="B2638">
        <v>806</v>
      </c>
      <c r="C2638">
        <v>468</v>
      </c>
      <c r="D2638">
        <v>4966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 t="s">
        <v>20</v>
      </c>
      <c r="L2638" s="1">
        <v>43060</v>
      </c>
      <c r="M2638">
        <v>147</v>
      </c>
      <c r="N2638">
        <v>73</v>
      </c>
      <c r="O2638">
        <v>1068</v>
      </c>
      <c r="P2638">
        <v>1040</v>
      </c>
      <c r="Q2638">
        <v>1068</v>
      </c>
      <c r="S2638">
        <v>1950</v>
      </c>
      <c r="T2638">
        <v>1950</v>
      </c>
      <c r="U2638">
        <f>+SUM(Table1[[#This Row],[Latinos]:[Cemex]])</f>
        <v>1</v>
      </c>
      <c r="V2638" t="str">
        <f>+Table1[[#This Row],[id_destino]]&amp;" - "&amp;Table1[[#This Row],[id_origen]]</f>
        <v>147 - 73</v>
      </c>
    </row>
    <row r="2639" spans="1:22" hidden="1">
      <c r="A2639">
        <v>180</v>
      </c>
      <c r="B2639">
        <v>672</v>
      </c>
      <c r="C2639">
        <v>468</v>
      </c>
      <c r="D2639">
        <v>1645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 t="s">
        <v>20</v>
      </c>
      <c r="L2639" s="1">
        <v>45214</v>
      </c>
      <c r="M2639">
        <v>148</v>
      </c>
      <c r="N2639">
        <v>73</v>
      </c>
      <c r="O2639">
        <v>691</v>
      </c>
      <c r="P2639">
        <v>699</v>
      </c>
      <c r="Q2639">
        <v>691</v>
      </c>
      <c r="S2639">
        <v>512.99</v>
      </c>
      <c r="T2639">
        <v>640</v>
      </c>
      <c r="U2639">
        <f>+SUM(Table1[[#This Row],[Latinos]:[Cemex]])</f>
        <v>1</v>
      </c>
      <c r="V2639" t="str">
        <f>+Table1[[#This Row],[id_destino]]&amp;" - "&amp;Table1[[#This Row],[id_origen]]</f>
        <v>148 - 73</v>
      </c>
    </row>
    <row r="2640" spans="1:22" hidden="1">
      <c r="A2640">
        <v>601</v>
      </c>
      <c r="B2640">
        <v>672</v>
      </c>
      <c r="C2640">
        <v>468</v>
      </c>
      <c r="D2640">
        <v>1645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 t="s">
        <v>20</v>
      </c>
      <c r="L2640" s="1">
        <v>43112</v>
      </c>
      <c r="M2640">
        <v>148</v>
      </c>
      <c r="N2640">
        <v>73</v>
      </c>
      <c r="O2640">
        <v>471</v>
      </c>
      <c r="P2640">
        <v>471</v>
      </c>
      <c r="Q2640">
        <v>471</v>
      </c>
      <c r="S2640">
        <v>0</v>
      </c>
      <c r="T2640">
        <v>0</v>
      </c>
      <c r="U2640">
        <f>+SUM(Table1[[#This Row],[Latinos]:[Cemex]])</f>
        <v>1</v>
      </c>
      <c r="V2640" t="str">
        <f>+Table1[[#This Row],[id_destino]]&amp;" - "&amp;Table1[[#This Row],[id_origen]]</f>
        <v>148 - 73</v>
      </c>
    </row>
    <row r="2641" spans="1:22" hidden="1">
      <c r="A2641">
        <v>2892</v>
      </c>
      <c r="B2641">
        <v>1123</v>
      </c>
      <c r="C2641">
        <v>468</v>
      </c>
      <c r="D2641">
        <v>6774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 t="s">
        <v>20</v>
      </c>
      <c r="L2641" s="1">
        <v>45236</v>
      </c>
      <c r="M2641">
        <v>149</v>
      </c>
      <c r="N2641">
        <v>73</v>
      </c>
      <c r="O2641">
        <v>1011</v>
      </c>
      <c r="P2641">
        <v>1008</v>
      </c>
      <c r="Q2641">
        <v>1011</v>
      </c>
      <c r="S2641">
        <v>2528</v>
      </c>
      <c r="T2641">
        <v>2528</v>
      </c>
      <c r="U2641">
        <f>+SUM(Table1[[#This Row],[Latinos]:[Cemex]])</f>
        <v>1</v>
      </c>
      <c r="V2641" t="str">
        <f>+Table1[[#This Row],[id_destino]]&amp;" - "&amp;Table1[[#This Row],[id_origen]]</f>
        <v>149 - 73</v>
      </c>
    </row>
    <row r="2642" spans="1:22" hidden="1">
      <c r="A2642">
        <v>4398</v>
      </c>
      <c r="B2642">
        <v>4629</v>
      </c>
      <c r="C2642">
        <v>468</v>
      </c>
      <c r="D2642">
        <v>7872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 t="s">
        <v>20</v>
      </c>
      <c r="L2642" s="1">
        <v>45519</v>
      </c>
      <c r="M2642">
        <v>153</v>
      </c>
      <c r="N2642">
        <v>73</v>
      </c>
      <c r="O2642">
        <v>719</v>
      </c>
      <c r="P2642">
        <v>719</v>
      </c>
      <c r="Q2642">
        <v>719</v>
      </c>
      <c r="S2642">
        <v>824</v>
      </c>
      <c r="T2642">
        <v>824</v>
      </c>
      <c r="U2642">
        <f>+SUM(Table1[[#This Row],[Latinos]:[Cemex]])</f>
        <v>1</v>
      </c>
      <c r="V2642" t="str">
        <f>+Table1[[#This Row],[id_destino]]&amp;" - "&amp;Table1[[#This Row],[id_origen]]</f>
        <v>153 - 73</v>
      </c>
    </row>
    <row r="2643" spans="1:22" hidden="1">
      <c r="A2643">
        <v>677</v>
      </c>
      <c r="B2643">
        <v>1411</v>
      </c>
      <c r="C2643">
        <v>468</v>
      </c>
      <c r="D2643">
        <v>2111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 t="s">
        <v>42</v>
      </c>
      <c r="L2643" s="1">
        <v>45199</v>
      </c>
      <c r="M2643">
        <v>155</v>
      </c>
      <c r="N2643">
        <v>73</v>
      </c>
      <c r="O2643">
        <v>847</v>
      </c>
      <c r="P2643">
        <v>887</v>
      </c>
      <c r="Q2643">
        <v>847</v>
      </c>
      <c r="S2643">
        <v>3809</v>
      </c>
      <c r="T2643">
        <v>4239</v>
      </c>
      <c r="U2643">
        <f>+SUM(Table1[[#This Row],[Latinos]:[Cemex]])</f>
        <v>1</v>
      </c>
      <c r="V2643" t="str">
        <f>+Table1[[#This Row],[id_destino]]&amp;" - "&amp;Table1[[#This Row],[id_origen]]</f>
        <v>155 - 73</v>
      </c>
    </row>
    <row r="2644" spans="1:22" hidden="1">
      <c r="A2644">
        <v>244</v>
      </c>
      <c r="B2644">
        <v>271</v>
      </c>
      <c r="C2644">
        <v>468</v>
      </c>
      <c r="D2644">
        <v>3255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 t="s">
        <v>20</v>
      </c>
      <c r="L2644" s="1">
        <v>45217</v>
      </c>
      <c r="M2644">
        <v>159</v>
      </c>
      <c r="N2644">
        <v>73</v>
      </c>
      <c r="O2644">
        <v>1393</v>
      </c>
      <c r="P2644">
        <v>1386</v>
      </c>
      <c r="Q2644">
        <v>1393</v>
      </c>
      <c r="S2644">
        <v>5161</v>
      </c>
      <c r="T2644">
        <v>5703</v>
      </c>
      <c r="U2644">
        <f>+SUM(Table1[[#This Row],[Latinos]:[Cemex]])</f>
        <v>1</v>
      </c>
      <c r="V2644" t="str">
        <f>+Table1[[#This Row],[id_destino]]&amp;" - "&amp;Table1[[#This Row],[id_origen]]</f>
        <v>159 - 73</v>
      </c>
    </row>
    <row r="2645" spans="1:22" hidden="1">
      <c r="A2645">
        <v>1526</v>
      </c>
      <c r="B2645">
        <v>2795</v>
      </c>
      <c r="C2645">
        <v>125</v>
      </c>
      <c r="D2645">
        <v>5806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 t="s">
        <v>20</v>
      </c>
      <c r="L2645" s="1">
        <v>43489</v>
      </c>
      <c r="M2645">
        <v>162</v>
      </c>
      <c r="N2645">
        <v>73</v>
      </c>
      <c r="O2645">
        <v>1183</v>
      </c>
      <c r="P2645">
        <v>1183</v>
      </c>
      <c r="Q2645">
        <v>1183</v>
      </c>
      <c r="S2645">
        <v>1633</v>
      </c>
      <c r="T2645">
        <v>1698</v>
      </c>
      <c r="U2645">
        <f>+SUM(Table1[[#This Row],[Latinos]:[Cemex]])</f>
        <v>1</v>
      </c>
      <c r="V2645" t="str">
        <f>+Table1[[#This Row],[id_destino]]&amp;" - "&amp;Table1[[#This Row],[id_origen]]</f>
        <v>162 - 73</v>
      </c>
    </row>
    <row r="2646" spans="1:22" hidden="1">
      <c r="A2646">
        <v>2314</v>
      </c>
      <c r="B2646">
        <v>3266</v>
      </c>
      <c r="C2646">
        <v>189</v>
      </c>
      <c r="D2646">
        <v>5889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 t="s">
        <v>20</v>
      </c>
      <c r="L2646" s="1">
        <v>43923</v>
      </c>
      <c r="M2646">
        <v>167</v>
      </c>
      <c r="N2646">
        <v>73</v>
      </c>
      <c r="O2646">
        <v>1471</v>
      </c>
      <c r="P2646">
        <v>1486</v>
      </c>
      <c r="Q2646">
        <v>1471</v>
      </c>
      <c r="S2646">
        <v>2594</v>
      </c>
      <c r="T2646">
        <v>2594</v>
      </c>
      <c r="U2646">
        <f>+SUM(Table1[[#This Row],[Latinos]:[Cemex]])</f>
        <v>1</v>
      </c>
      <c r="V2646" t="str">
        <f>+Table1[[#This Row],[id_destino]]&amp;" - "&amp;Table1[[#This Row],[id_origen]]</f>
        <v>167 - 73</v>
      </c>
    </row>
    <row r="2647" spans="1:22" hidden="1">
      <c r="A2647">
        <v>240</v>
      </c>
      <c r="B2647">
        <v>146</v>
      </c>
      <c r="C2647">
        <v>468</v>
      </c>
      <c r="D2647">
        <v>12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 t="s">
        <v>20</v>
      </c>
      <c r="L2647" s="1">
        <v>45244</v>
      </c>
      <c r="M2647">
        <v>169</v>
      </c>
      <c r="N2647">
        <v>73</v>
      </c>
      <c r="O2647">
        <v>679</v>
      </c>
      <c r="P2647">
        <v>693</v>
      </c>
      <c r="Q2647">
        <v>679</v>
      </c>
      <c r="S2647">
        <v>1279</v>
      </c>
      <c r="T2647">
        <v>1279</v>
      </c>
      <c r="U2647">
        <f>+SUM(Table1[[#This Row],[Latinos]:[Cemex]])</f>
        <v>1</v>
      </c>
      <c r="V2647" t="str">
        <f>+Table1[[#This Row],[id_destino]]&amp;" - "&amp;Table1[[#This Row],[id_origen]]</f>
        <v>169 - 73</v>
      </c>
    </row>
    <row r="2648" spans="1:22" hidden="1">
      <c r="A2648">
        <v>722</v>
      </c>
      <c r="B2648">
        <v>146</v>
      </c>
      <c r="C2648">
        <v>468</v>
      </c>
      <c r="D2648">
        <v>12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 t="s">
        <v>20</v>
      </c>
      <c r="L2648" s="1">
        <v>43141</v>
      </c>
      <c r="M2648">
        <v>169</v>
      </c>
      <c r="N2648">
        <v>73</v>
      </c>
      <c r="O2648">
        <v>704</v>
      </c>
      <c r="P2648">
        <v>724</v>
      </c>
      <c r="Q2648">
        <v>704</v>
      </c>
      <c r="S2648">
        <v>0</v>
      </c>
      <c r="T2648">
        <v>0</v>
      </c>
      <c r="U2648">
        <f>+SUM(Table1[[#This Row],[Latinos]:[Cemex]])</f>
        <v>1</v>
      </c>
      <c r="V2648" t="str">
        <f>+Table1[[#This Row],[id_destino]]&amp;" - "&amp;Table1[[#This Row],[id_origen]]</f>
        <v>169 - 73</v>
      </c>
    </row>
    <row r="2649" spans="1:22" hidden="1">
      <c r="A2649">
        <v>394</v>
      </c>
      <c r="B2649">
        <v>1873</v>
      </c>
      <c r="C2649">
        <v>468</v>
      </c>
      <c r="D2649">
        <v>4930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 t="s">
        <v>20</v>
      </c>
      <c r="L2649" s="1">
        <v>43335</v>
      </c>
      <c r="M2649">
        <v>173</v>
      </c>
      <c r="N2649">
        <v>73</v>
      </c>
      <c r="O2649">
        <v>900</v>
      </c>
      <c r="P2649">
        <v>811</v>
      </c>
      <c r="Q2649">
        <v>900</v>
      </c>
      <c r="S2649">
        <v>1699</v>
      </c>
      <c r="T2649">
        <v>1740</v>
      </c>
      <c r="U2649">
        <f>+SUM(Table1[[#This Row],[Latinos]:[Cemex]])</f>
        <v>1</v>
      </c>
      <c r="V2649" t="str">
        <f>+Table1[[#This Row],[id_destino]]&amp;" - "&amp;Table1[[#This Row],[id_origen]]</f>
        <v>173 - 73</v>
      </c>
    </row>
    <row r="2650" spans="1:22" hidden="1">
      <c r="A2650">
        <v>127</v>
      </c>
      <c r="B2650">
        <v>94</v>
      </c>
      <c r="C2650">
        <v>468</v>
      </c>
      <c r="D2650">
        <v>24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 t="s">
        <v>22</v>
      </c>
      <c r="L2650" s="1">
        <v>45191</v>
      </c>
      <c r="M2650">
        <v>179</v>
      </c>
      <c r="N2650">
        <v>73</v>
      </c>
      <c r="O2650">
        <v>1709</v>
      </c>
      <c r="P2650">
        <v>1490</v>
      </c>
      <c r="Q2650">
        <v>1709</v>
      </c>
      <c r="S2650">
        <v>2172</v>
      </c>
      <c r="T2650">
        <v>2540</v>
      </c>
      <c r="U2650">
        <f>+SUM(Table1[[#This Row],[Latinos]:[Cemex]])</f>
        <v>1</v>
      </c>
      <c r="V2650" t="str">
        <f>+Table1[[#This Row],[id_destino]]&amp;" - "&amp;Table1[[#This Row],[id_origen]]</f>
        <v>179 - 73</v>
      </c>
    </row>
    <row r="2651" spans="1:22" hidden="1">
      <c r="A2651">
        <v>1788</v>
      </c>
      <c r="B2651">
        <v>94</v>
      </c>
      <c r="C2651">
        <v>468</v>
      </c>
      <c r="D2651">
        <v>5887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 t="s">
        <v>20</v>
      </c>
      <c r="L2651" s="1">
        <v>43649</v>
      </c>
      <c r="M2651">
        <v>179</v>
      </c>
      <c r="N2651">
        <v>73</v>
      </c>
      <c r="O2651">
        <v>1709</v>
      </c>
      <c r="P2651">
        <v>1742</v>
      </c>
      <c r="Q2651">
        <v>1709</v>
      </c>
      <c r="S2651">
        <v>3549</v>
      </c>
      <c r="T2651">
        <v>3946</v>
      </c>
      <c r="U2651">
        <f>+SUM(Table1[[#This Row],[Latinos]:[Cemex]])</f>
        <v>1</v>
      </c>
      <c r="V2651" t="str">
        <f>+Table1[[#This Row],[id_destino]]&amp;" - "&amp;Table1[[#This Row],[id_origen]]</f>
        <v>179 - 73</v>
      </c>
    </row>
    <row r="2652" spans="1:22" hidden="1">
      <c r="A2652">
        <v>379</v>
      </c>
      <c r="B2652">
        <v>95</v>
      </c>
      <c r="C2652">
        <v>468</v>
      </c>
      <c r="D2652">
        <v>3430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 t="s">
        <v>20</v>
      </c>
      <c r="L2652" s="1">
        <v>45230</v>
      </c>
      <c r="M2652">
        <v>180</v>
      </c>
      <c r="N2652">
        <v>73</v>
      </c>
      <c r="O2652">
        <v>242</v>
      </c>
      <c r="P2652">
        <v>236</v>
      </c>
      <c r="Q2652">
        <v>242</v>
      </c>
      <c r="S2652">
        <v>806</v>
      </c>
      <c r="T2652">
        <v>806</v>
      </c>
      <c r="U2652">
        <f>+SUM(Table1[[#This Row],[Latinos]:[Cemex]])</f>
        <v>1</v>
      </c>
      <c r="V2652" t="str">
        <f>+Table1[[#This Row],[id_destino]]&amp;" - "&amp;Table1[[#This Row],[id_origen]]</f>
        <v>180 - 73</v>
      </c>
    </row>
    <row r="2653" spans="1:22" hidden="1">
      <c r="A2653">
        <v>3861</v>
      </c>
      <c r="B2653">
        <v>95</v>
      </c>
      <c r="C2653">
        <v>468</v>
      </c>
      <c r="D2653">
        <v>7431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 t="s">
        <v>20</v>
      </c>
      <c r="L2653" s="1">
        <v>45146</v>
      </c>
      <c r="M2653">
        <v>180</v>
      </c>
      <c r="N2653">
        <v>73</v>
      </c>
      <c r="O2653">
        <v>240</v>
      </c>
      <c r="P2653">
        <v>232</v>
      </c>
      <c r="Q2653">
        <v>236</v>
      </c>
      <c r="S2653">
        <v>681</v>
      </c>
      <c r="T2653">
        <v>681</v>
      </c>
      <c r="U2653">
        <f>+SUM(Table1[[#This Row],[Latinos]:[Cemex]])</f>
        <v>1</v>
      </c>
      <c r="V2653" t="str">
        <f>+Table1[[#This Row],[id_destino]]&amp;" - "&amp;Table1[[#This Row],[id_origen]]</f>
        <v>180 - 73</v>
      </c>
    </row>
    <row r="2654" spans="1:22" hidden="1">
      <c r="A2654">
        <v>18</v>
      </c>
      <c r="B2654">
        <v>116</v>
      </c>
      <c r="C2654">
        <v>468</v>
      </c>
      <c r="D2654">
        <v>3000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 t="s">
        <v>20</v>
      </c>
      <c r="L2654" s="1">
        <v>45251</v>
      </c>
      <c r="M2654">
        <v>183</v>
      </c>
      <c r="N2654">
        <v>73</v>
      </c>
      <c r="O2654">
        <v>828</v>
      </c>
      <c r="P2654">
        <v>818</v>
      </c>
      <c r="Q2654">
        <v>828</v>
      </c>
      <c r="S2654">
        <v>1724</v>
      </c>
      <c r="T2654">
        <v>1788</v>
      </c>
      <c r="U2654">
        <f>+SUM(Table1[[#This Row],[Latinos]:[Cemex]])</f>
        <v>1</v>
      </c>
      <c r="V2654" t="str">
        <f>+Table1[[#This Row],[id_destino]]&amp;" - "&amp;Table1[[#This Row],[id_origen]]</f>
        <v>183 - 73</v>
      </c>
    </row>
    <row r="2655" spans="1:22" hidden="1">
      <c r="A2655">
        <v>1298</v>
      </c>
      <c r="B2655">
        <v>116</v>
      </c>
      <c r="C2655">
        <v>468</v>
      </c>
      <c r="D2655">
        <v>3000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 t="s">
        <v>20</v>
      </c>
      <c r="L2655" s="1">
        <v>43374</v>
      </c>
      <c r="M2655">
        <v>183</v>
      </c>
      <c r="N2655">
        <v>73</v>
      </c>
      <c r="O2655">
        <v>828</v>
      </c>
      <c r="P2655">
        <v>836</v>
      </c>
      <c r="Q2655">
        <v>828</v>
      </c>
      <c r="S2655">
        <v>0</v>
      </c>
      <c r="T2655">
        <v>0</v>
      </c>
      <c r="U2655">
        <f>+SUM(Table1[[#This Row],[Latinos]:[Cemex]])</f>
        <v>1</v>
      </c>
      <c r="V2655" t="str">
        <f>+Table1[[#This Row],[id_destino]]&amp;" - "&amp;Table1[[#This Row],[id_origen]]</f>
        <v>183 - 73</v>
      </c>
    </row>
    <row r="2656" spans="1:22" hidden="1">
      <c r="A2656">
        <v>716</v>
      </c>
      <c r="B2656">
        <v>2421</v>
      </c>
      <c r="C2656">
        <v>468</v>
      </c>
      <c r="D2656">
        <v>5171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 t="s">
        <v>20</v>
      </c>
      <c r="L2656" s="1">
        <v>43139</v>
      </c>
      <c r="M2656">
        <v>184</v>
      </c>
      <c r="N2656">
        <v>73</v>
      </c>
      <c r="O2656">
        <v>900</v>
      </c>
      <c r="P2656">
        <v>883</v>
      </c>
      <c r="Q2656">
        <v>900</v>
      </c>
      <c r="S2656">
        <v>1435</v>
      </c>
      <c r="T2656">
        <v>1435</v>
      </c>
      <c r="U2656">
        <f>+SUM(Table1[[#This Row],[Latinos]:[Cemex]])</f>
        <v>1</v>
      </c>
      <c r="V2656" t="str">
        <f>+Table1[[#This Row],[id_destino]]&amp;" - "&amp;Table1[[#This Row],[id_origen]]</f>
        <v>184 - 73</v>
      </c>
    </row>
    <row r="2657" spans="1:22" hidden="1">
      <c r="A2657">
        <v>84</v>
      </c>
      <c r="B2657">
        <v>2228</v>
      </c>
      <c r="C2657">
        <v>468</v>
      </c>
      <c r="D2657">
        <v>240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 t="s">
        <v>20</v>
      </c>
      <c r="L2657" s="1">
        <v>44685</v>
      </c>
      <c r="M2657">
        <v>187</v>
      </c>
      <c r="N2657">
        <v>73</v>
      </c>
      <c r="O2657">
        <v>981</v>
      </c>
      <c r="P2657">
        <v>920</v>
      </c>
      <c r="Q2657">
        <v>920</v>
      </c>
      <c r="S2657">
        <v>823.28</v>
      </c>
      <c r="T2657">
        <v>823.28</v>
      </c>
      <c r="U2657">
        <f>+SUM(Table1[[#This Row],[Latinos]:[Cemex]])</f>
        <v>1</v>
      </c>
      <c r="V2657" t="str">
        <f>+Table1[[#This Row],[id_destino]]&amp;" - "&amp;Table1[[#This Row],[id_origen]]</f>
        <v>187 - 73</v>
      </c>
    </row>
    <row r="2658" spans="1:22" hidden="1">
      <c r="A2658">
        <v>2279</v>
      </c>
      <c r="B2658">
        <v>157</v>
      </c>
      <c r="C2658">
        <v>189</v>
      </c>
      <c r="D2658">
        <v>5067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 t="s">
        <v>20</v>
      </c>
      <c r="L2658" s="1">
        <v>43901</v>
      </c>
      <c r="M2658">
        <v>188</v>
      </c>
      <c r="N2658">
        <v>73</v>
      </c>
      <c r="O2658">
        <v>900</v>
      </c>
      <c r="P2658">
        <v>896</v>
      </c>
      <c r="Q2658">
        <v>900</v>
      </c>
      <c r="S2658">
        <v>954</v>
      </c>
      <c r="T2658">
        <v>1068</v>
      </c>
      <c r="U2658">
        <f>+SUM(Table1[[#This Row],[Latinos]:[Cemex]])</f>
        <v>1</v>
      </c>
      <c r="V2658" t="str">
        <f>+Table1[[#This Row],[id_destino]]&amp;" - "&amp;Table1[[#This Row],[id_origen]]</f>
        <v>188 - 73</v>
      </c>
    </row>
    <row r="2659" spans="1:22" hidden="1">
      <c r="A2659">
        <v>1355</v>
      </c>
      <c r="B2659">
        <v>1413</v>
      </c>
      <c r="C2659">
        <v>468</v>
      </c>
      <c r="D2659">
        <v>3032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 t="s">
        <v>66</v>
      </c>
      <c r="L2659" s="1">
        <v>43400</v>
      </c>
      <c r="M2659">
        <v>189</v>
      </c>
      <c r="N2659">
        <v>73</v>
      </c>
      <c r="O2659">
        <v>1426</v>
      </c>
      <c r="P2659">
        <v>1023</v>
      </c>
      <c r="Q2659">
        <v>1426</v>
      </c>
      <c r="S2659">
        <v>3988</v>
      </c>
      <c r="T2659">
        <v>4418</v>
      </c>
      <c r="U2659">
        <f>+SUM(Table1[[#This Row],[Latinos]:[Cemex]])</f>
        <v>1</v>
      </c>
      <c r="V2659" t="str">
        <f>+Table1[[#This Row],[id_destino]]&amp;" - "&amp;Table1[[#This Row],[id_origen]]</f>
        <v>189 - 73</v>
      </c>
    </row>
    <row r="2660" spans="1:22" hidden="1">
      <c r="A2660">
        <v>3568</v>
      </c>
      <c r="B2660">
        <v>1413</v>
      </c>
      <c r="C2660">
        <v>468</v>
      </c>
      <c r="D2660">
        <v>1302</v>
      </c>
      <c r="E2660">
        <v>0</v>
      </c>
      <c r="F2660">
        <v>1</v>
      </c>
      <c r="G2660">
        <v>0</v>
      </c>
      <c r="H2660">
        <v>0</v>
      </c>
      <c r="I2660">
        <v>1</v>
      </c>
      <c r="J2660">
        <v>0</v>
      </c>
      <c r="K2660" t="s">
        <v>20</v>
      </c>
      <c r="L2660" s="1">
        <v>44961</v>
      </c>
      <c r="M2660">
        <v>189</v>
      </c>
      <c r="N2660">
        <v>73</v>
      </c>
      <c r="O2660">
        <v>1035</v>
      </c>
      <c r="P2660">
        <v>1094</v>
      </c>
      <c r="Q2660">
        <v>1094</v>
      </c>
      <c r="S2660">
        <v>2822</v>
      </c>
      <c r="T2660">
        <v>3180</v>
      </c>
      <c r="U2660">
        <f>+SUM(Table1[[#This Row],[Latinos]:[Cemex]])</f>
        <v>2</v>
      </c>
      <c r="V2660" t="str">
        <f>+Table1[[#This Row],[id_destino]]&amp;" - "&amp;Table1[[#This Row],[id_origen]]</f>
        <v>189 - 73</v>
      </c>
    </row>
    <row r="2661" spans="1:22" hidden="1">
      <c r="A2661">
        <v>1401</v>
      </c>
      <c r="B2661">
        <v>2724</v>
      </c>
      <c r="C2661">
        <v>125</v>
      </c>
      <c r="D2661">
        <v>5750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 t="s">
        <v>20</v>
      </c>
      <c r="L2661" s="1">
        <v>43419</v>
      </c>
      <c r="M2661">
        <v>190</v>
      </c>
      <c r="N2661">
        <v>73</v>
      </c>
      <c r="O2661">
        <v>324</v>
      </c>
      <c r="P2661">
        <v>324</v>
      </c>
      <c r="Q2661">
        <v>324</v>
      </c>
      <c r="S2661">
        <v>0</v>
      </c>
      <c r="T2661">
        <v>0</v>
      </c>
      <c r="U2661">
        <f>+SUM(Table1[[#This Row],[Latinos]:[Cemex]])</f>
        <v>1</v>
      </c>
      <c r="V2661" t="str">
        <f>+Table1[[#This Row],[id_destino]]&amp;" - "&amp;Table1[[#This Row],[id_origen]]</f>
        <v>190 - 73</v>
      </c>
    </row>
    <row r="2662" spans="1:22" hidden="1">
      <c r="A2662">
        <v>152</v>
      </c>
      <c r="B2662">
        <v>828</v>
      </c>
      <c r="C2662">
        <v>468</v>
      </c>
      <c r="D2662">
        <v>4262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 t="s">
        <v>20</v>
      </c>
      <c r="L2662" s="1">
        <v>43001</v>
      </c>
      <c r="M2662">
        <v>192</v>
      </c>
      <c r="N2662">
        <v>73</v>
      </c>
      <c r="O2662">
        <v>784</v>
      </c>
      <c r="P2662">
        <v>720</v>
      </c>
      <c r="Q2662">
        <v>784</v>
      </c>
      <c r="S2662">
        <v>1330.99</v>
      </c>
      <c r="T2662">
        <v>1372</v>
      </c>
      <c r="U2662">
        <f>+SUM(Table1[[#This Row],[Latinos]:[Cemex]])</f>
        <v>1</v>
      </c>
      <c r="V2662" t="str">
        <f>+Table1[[#This Row],[id_destino]]&amp;" - "&amp;Table1[[#This Row],[id_origen]]</f>
        <v>192 - 73</v>
      </c>
    </row>
    <row r="2663" spans="1:22" hidden="1">
      <c r="A2663">
        <v>2146</v>
      </c>
      <c r="B2663">
        <v>828</v>
      </c>
      <c r="C2663">
        <v>468</v>
      </c>
      <c r="D2663">
        <v>6215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 t="s">
        <v>20</v>
      </c>
      <c r="L2663" s="1">
        <v>43833</v>
      </c>
      <c r="M2663">
        <v>192</v>
      </c>
      <c r="N2663">
        <v>73</v>
      </c>
      <c r="O2663">
        <v>804</v>
      </c>
      <c r="P2663">
        <v>804</v>
      </c>
      <c r="Q2663">
        <v>804</v>
      </c>
      <c r="S2663">
        <v>989</v>
      </c>
      <c r="T2663">
        <v>989</v>
      </c>
      <c r="U2663">
        <f>+SUM(Table1[[#This Row],[Latinos]:[Cemex]])</f>
        <v>1</v>
      </c>
      <c r="V2663" t="str">
        <f>+Table1[[#This Row],[id_destino]]&amp;" - "&amp;Table1[[#This Row],[id_origen]]</f>
        <v>192 - 73</v>
      </c>
    </row>
    <row r="2664" spans="1:22" hidden="1">
      <c r="A2664">
        <v>2795</v>
      </c>
      <c r="B2664">
        <v>3569</v>
      </c>
      <c r="C2664">
        <v>468</v>
      </c>
      <c r="D2664">
        <v>6671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 t="s">
        <v>20</v>
      </c>
      <c r="L2664" s="1">
        <v>44447</v>
      </c>
      <c r="M2664">
        <v>212</v>
      </c>
      <c r="N2664">
        <v>73</v>
      </c>
      <c r="O2664">
        <v>1179</v>
      </c>
      <c r="P2664">
        <v>1179</v>
      </c>
      <c r="Q2664">
        <v>1179</v>
      </c>
      <c r="S2664">
        <v>1573</v>
      </c>
      <c r="T2664">
        <v>1573</v>
      </c>
      <c r="U2664">
        <f>+SUM(Table1[[#This Row],[Latinos]:[Cemex]])</f>
        <v>1</v>
      </c>
      <c r="V2664" t="str">
        <f>+Table1[[#This Row],[id_destino]]&amp;" - "&amp;Table1[[#This Row],[id_origen]]</f>
        <v>212 - 73</v>
      </c>
    </row>
    <row r="2665" spans="1:22" hidden="1">
      <c r="A2665">
        <v>401</v>
      </c>
      <c r="B2665">
        <v>1401</v>
      </c>
      <c r="C2665">
        <v>468</v>
      </c>
      <c r="D2665">
        <v>1347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 t="s">
        <v>20</v>
      </c>
      <c r="L2665" s="1">
        <v>43056</v>
      </c>
      <c r="M2665">
        <v>216</v>
      </c>
      <c r="N2665">
        <v>73</v>
      </c>
      <c r="O2665">
        <v>724</v>
      </c>
      <c r="P2665">
        <v>718</v>
      </c>
      <c r="Q2665">
        <v>724</v>
      </c>
      <c r="S2665">
        <v>1058</v>
      </c>
      <c r="T2665">
        <v>1058</v>
      </c>
      <c r="U2665">
        <f>+SUM(Table1[[#This Row],[Latinos]:[Cemex]])</f>
        <v>1</v>
      </c>
      <c r="V2665" t="str">
        <f>+Table1[[#This Row],[id_destino]]&amp;" - "&amp;Table1[[#This Row],[id_origen]]</f>
        <v>216 - 73</v>
      </c>
    </row>
    <row r="2666" spans="1:22" hidden="1">
      <c r="A2666">
        <v>1398</v>
      </c>
      <c r="B2666">
        <v>1401</v>
      </c>
      <c r="C2666">
        <v>468</v>
      </c>
      <c r="D2666">
        <v>1347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 t="s">
        <v>20</v>
      </c>
      <c r="L2666" s="1">
        <v>45827</v>
      </c>
      <c r="M2666">
        <v>216</v>
      </c>
      <c r="N2666">
        <v>73</v>
      </c>
      <c r="O2666">
        <v>724</v>
      </c>
      <c r="P2666">
        <v>727</v>
      </c>
      <c r="Q2666">
        <v>724</v>
      </c>
      <c r="S2666">
        <v>793</v>
      </c>
      <c r="T2666">
        <v>793</v>
      </c>
      <c r="U2666">
        <f>+SUM(Table1[[#This Row],[Latinos]:[Cemex]])</f>
        <v>1</v>
      </c>
      <c r="V2666" t="str">
        <f>+Table1[[#This Row],[id_destino]]&amp;" - "&amp;Table1[[#This Row],[id_origen]]</f>
        <v>216 - 73</v>
      </c>
    </row>
    <row r="2667" spans="1:22" hidden="1">
      <c r="A2667">
        <v>608</v>
      </c>
      <c r="B2667">
        <v>903</v>
      </c>
      <c r="C2667">
        <v>468</v>
      </c>
      <c r="D2667">
        <v>3837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 t="s">
        <v>20</v>
      </c>
      <c r="L2667" s="1">
        <v>45224</v>
      </c>
      <c r="M2667">
        <v>218</v>
      </c>
      <c r="N2667">
        <v>73</v>
      </c>
      <c r="O2667">
        <v>710</v>
      </c>
      <c r="P2667">
        <v>654</v>
      </c>
      <c r="Q2667">
        <v>710</v>
      </c>
      <c r="S2667">
        <v>967</v>
      </c>
      <c r="T2667">
        <v>1005</v>
      </c>
      <c r="U2667">
        <f>+SUM(Table1[[#This Row],[Latinos]:[Cemex]])</f>
        <v>1</v>
      </c>
      <c r="V2667" t="str">
        <f>+Table1[[#This Row],[id_destino]]&amp;" - "&amp;Table1[[#This Row],[id_origen]]</f>
        <v>218 - 73</v>
      </c>
    </row>
    <row r="2668" spans="1:22" hidden="1">
      <c r="A2668">
        <v>3786</v>
      </c>
      <c r="B2668">
        <v>4221</v>
      </c>
      <c r="C2668">
        <v>468</v>
      </c>
      <c r="D2668">
        <v>7373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 t="s">
        <v>20</v>
      </c>
      <c r="L2668" s="1">
        <v>45089</v>
      </c>
      <c r="M2668">
        <v>220</v>
      </c>
      <c r="N2668">
        <v>73</v>
      </c>
      <c r="O2668">
        <v>1085</v>
      </c>
      <c r="P2668">
        <v>1087</v>
      </c>
      <c r="Q2668">
        <v>1090</v>
      </c>
      <c r="S2668">
        <v>2075</v>
      </c>
      <c r="T2668">
        <v>2075</v>
      </c>
      <c r="U2668">
        <f>+SUM(Table1[[#This Row],[Latinos]:[Cemex]])</f>
        <v>1</v>
      </c>
      <c r="V2668" t="str">
        <f>+Table1[[#This Row],[id_destino]]&amp;" - "&amp;Table1[[#This Row],[id_origen]]</f>
        <v>220 - 73</v>
      </c>
    </row>
    <row r="2669" spans="1:22" hidden="1">
      <c r="A2669">
        <v>474</v>
      </c>
      <c r="B2669">
        <v>1019</v>
      </c>
      <c r="C2669">
        <v>468</v>
      </c>
      <c r="D2669">
        <v>135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 t="s">
        <v>20</v>
      </c>
      <c r="L2669" s="1">
        <v>45206</v>
      </c>
      <c r="M2669">
        <v>227</v>
      </c>
      <c r="N2669">
        <v>73</v>
      </c>
      <c r="O2669">
        <v>891</v>
      </c>
      <c r="P2669">
        <v>886</v>
      </c>
      <c r="Q2669">
        <v>891</v>
      </c>
      <c r="S2669">
        <v>1189</v>
      </c>
      <c r="T2669">
        <v>1303</v>
      </c>
      <c r="U2669">
        <f>+SUM(Table1[[#This Row],[Latinos]:[Cemex]])</f>
        <v>1</v>
      </c>
      <c r="V2669" t="str">
        <f>+Table1[[#This Row],[id_destino]]&amp;" - "&amp;Table1[[#This Row],[id_origen]]</f>
        <v>227 - 73</v>
      </c>
    </row>
    <row r="2670" spans="1:22" hidden="1">
      <c r="A2670">
        <v>454</v>
      </c>
      <c r="B2670">
        <v>2299</v>
      </c>
      <c r="C2670">
        <v>468</v>
      </c>
      <c r="D2670">
        <v>2378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 t="s">
        <v>20</v>
      </c>
      <c r="L2670" s="1">
        <v>43069</v>
      </c>
      <c r="M2670">
        <v>228</v>
      </c>
      <c r="N2670">
        <v>73</v>
      </c>
      <c r="O2670">
        <v>892</v>
      </c>
      <c r="P2670">
        <v>939</v>
      </c>
      <c r="Q2670">
        <v>892</v>
      </c>
      <c r="S2670">
        <v>460</v>
      </c>
      <c r="T2670">
        <v>460</v>
      </c>
      <c r="U2670">
        <f>+SUM(Table1[[#This Row],[Latinos]:[Cemex]])</f>
        <v>1</v>
      </c>
      <c r="V2670" t="str">
        <f>+Table1[[#This Row],[id_destino]]&amp;" - "&amp;Table1[[#This Row],[id_origen]]</f>
        <v>228 - 73</v>
      </c>
    </row>
    <row r="2671" spans="1:22" hidden="1">
      <c r="A2671">
        <v>1404</v>
      </c>
      <c r="B2671">
        <v>1912</v>
      </c>
      <c r="C2671">
        <v>468</v>
      </c>
      <c r="D2671">
        <v>194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 t="s">
        <v>20</v>
      </c>
      <c r="L2671" s="1">
        <v>43420</v>
      </c>
      <c r="M2671">
        <v>242</v>
      </c>
      <c r="N2671">
        <v>73</v>
      </c>
      <c r="O2671">
        <v>907</v>
      </c>
      <c r="P2671">
        <v>897</v>
      </c>
      <c r="Q2671">
        <v>907</v>
      </c>
      <c r="S2671">
        <v>1322</v>
      </c>
      <c r="T2671">
        <v>1322</v>
      </c>
      <c r="U2671">
        <f>+SUM(Table1[[#This Row],[Latinos]:[Cemex]])</f>
        <v>1</v>
      </c>
      <c r="V2671" t="str">
        <f>+Table1[[#This Row],[id_destino]]&amp;" - "&amp;Table1[[#This Row],[id_origen]]</f>
        <v>242 - 73</v>
      </c>
    </row>
    <row r="2672" spans="1:22" hidden="1">
      <c r="A2672">
        <v>1787</v>
      </c>
      <c r="B2672">
        <v>117</v>
      </c>
      <c r="C2672">
        <v>189</v>
      </c>
      <c r="D2672">
        <v>3590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0</v>
      </c>
      <c r="K2672" t="s">
        <v>20</v>
      </c>
      <c r="L2672" s="1">
        <v>43633</v>
      </c>
      <c r="M2672">
        <v>243</v>
      </c>
      <c r="N2672">
        <v>73</v>
      </c>
      <c r="O2672">
        <v>1622</v>
      </c>
      <c r="P2672">
        <v>1640</v>
      </c>
      <c r="Q2672">
        <v>1622</v>
      </c>
      <c r="S2672">
        <v>2413</v>
      </c>
      <c r="T2672">
        <v>2413</v>
      </c>
      <c r="U2672">
        <f>+SUM(Table1[[#This Row],[Latinos]:[Cemex]])</f>
        <v>1</v>
      </c>
      <c r="V2672" t="str">
        <f>+Table1[[#This Row],[id_destino]]&amp;" - "&amp;Table1[[#This Row],[id_origen]]</f>
        <v>243 - 73</v>
      </c>
    </row>
    <row r="2673" spans="1:22" hidden="1">
      <c r="A2673">
        <v>1036</v>
      </c>
      <c r="B2673">
        <v>2555</v>
      </c>
      <c r="C2673">
        <v>468</v>
      </c>
      <c r="D2673">
        <v>5591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 t="s">
        <v>20</v>
      </c>
      <c r="L2673" s="1">
        <v>43257</v>
      </c>
      <c r="M2673">
        <v>251</v>
      </c>
      <c r="N2673">
        <v>73</v>
      </c>
      <c r="O2673">
        <v>946</v>
      </c>
      <c r="P2673">
        <v>920</v>
      </c>
      <c r="Q2673">
        <v>946</v>
      </c>
      <c r="S2673">
        <v>880</v>
      </c>
      <c r="T2673">
        <v>880</v>
      </c>
      <c r="U2673">
        <f>+SUM(Table1[[#This Row],[Latinos]:[Cemex]])</f>
        <v>1</v>
      </c>
      <c r="V2673" t="str">
        <f>+Table1[[#This Row],[id_destino]]&amp;" - "&amp;Table1[[#This Row],[id_origen]]</f>
        <v>251 - 73</v>
      </c>
    </row>
    <row r="2674" spans="1:22" hidden="1">
      <c r="A2674">
        <v>2724</v>
      </c>
      <c r="B2674">
        <v>1877</v>
      </c>
      <c r="C2674">
        <v>468</v>
      </c>
      <c r="D2674">
        <v>6351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  <c r="K2674" t="s">
        <v>20</v>
      </c>
      <c r="L2674" s="1">
        <v>44384</v>
      </c>
      <c r="M2674">
        <v>254</v>
      </c>
      <c r="N2674">
        <v>73</v>
      </c>
      <c r="O2674">
        <v>897</v>
      </c>
      <c r="P2674">
        <v>910</v>
      </c>
      <c r="Q2674">
        <v>897</v>
      </c>
      <c r="S2674">
        <v>1700</v>
      </c>
      <c r="T2674">
        <v>1700</v>
      </c>
      <c r="U2674">
        <f>+SUM(Table1[[#This Row],[Latinos]:[Cemex]])</f>
        <v>1</v>
      </c>
      <c r="V2674" t="str">
        <f>+Table1[[#This Row],[id_destino]]&amp;" - "&amp;Table1[[#This Row],[id_origen]]</f>
        <v>254 - 73</v>
      </c>
    </row>
    <row r="2675" spans="1:22" hidden="1">
      <c r="A2675">
        <v>200</v>
      </c>
      <c r="B2675">
        <v>1047</v>
      </c>
      <c r="C2675">
        <v>468</v>
      </c>
      <c r="D2675">
        <v>539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 t="s">
        <v>20</v>
      </c>
      <c r="L2675" s="1">
        <v>43011</v>
      </c>
      <c r="M2675">
        <v>257</v>
      </c>
      <c r="N2675">
        <v>73</v>
      </c>
      <c r="O2675">
        <v>932</v>
      </c>
      <c r="P2675">
        <v>931</v>
      </c>
      <c r="Q2675">
        <v>932</v>
      </c>
      <c r="S2675">
        <v>988</v>
      </c>
      <c r="T2675">
        <v>1055</v>
      </c>
      <c r="U2675">
        <f>+SUM(Table1[[#This Row],[Latinos]:[Cemex]])</f>
        <v>1</v>
      </c>
      <c r="V2675" t="str">
        <f>+Table1[[#This Row],[id_destino]]&amp;" - "&amp;Table1[[#This Row],[id_origen]]</f>
        <v>257 - 73</v>
      </c>
    </row>
    <row r="2676" spans="1:22" hidden="1">
      <c r="A2676">
        <v>1914</v>
      </c>
      <c r="B2676">
        <v>141</v>
      </c>
      <c r="C2676">
        <v>468</v>
      </c>
      <c r="D2676">
        <v>5195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 t="s">
        <v>20</v>
      </c>
      <c r="L2676" s="1">
        <v>43713</v>
      </c>
      <c r="M2676">
        <v>259</v>
      </c>
      <c r="N2676">
        <v>73</v>
      </c>
      <c r="O2676">
        <v>912</v>
      </c>
      <c r="P2676">
        <v>908</v>
      </c>
      <c r="Q2676">
        <v>912</v>
      </c>
      <c r="S2676">
        <v>1151</v>
      </c>
      <c r="T2676">
        <v>1265</v>
      </c>
      <c r="U2676">
        <f>+SUM(Table1[[#This Row],[Latinos]:[Cemex]])</f>
        <v>1</v>
      </c>
      <c r="V2676" t="str">
        <f>+Table1[[#This Row],[id_destino]]&amp;" - "&amp;Table1[[#This Row],[id_origen]]</f>
        <v>259 - 73</v>
      </c>
    </row>
    <row r="2677" spans="1:22" hidden="1">
      <c r="A2677">
        <v>232</v>
      </c>
      <c r="B2677">
        <v>104</v>
      </c>
      <c r="C2677">
        <v>468</v>
      </c>
      <c r="D2677">
        <v>33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 t="s">
        <v>20</v>
      </c>
      <c r="L2677" s="1">
        <v>45233</v>
      </c>
      <c r="M2677">
        <v>260</v>
      </c>
      <c r="N2677">
        <v>73</v>
      </c>
      <c r="O2677">
        <v>1235</v>
      </c>
      <c r="P2677">
        <v>1232</v>
      </c>
      <c r="Q2677">
        <v>1235</v>
      </c>
      <c r="S2677">
        <v>4841</v>
      </c>
      <c r="T2677">
        <v>5369</v>
      </c>
      <c r="U2677">
        <f>+SUM(Table1[[#This Row],[Latinos]:[Cemex]])</f>
        <v>1</v>
      </c>
      <c r="V2677" t="str">
        <f>+Table1[[#This Row],[id_destino]]&amp;" - "&amp;Table1[[#This Row],[id_origen]]</f>
        <v>260 - 73</v>
      </c>
    </row>
    <row r="2678" spans="1:22" hidden="1">
      <c r="A2678">
        <v>1083</v>
      </c>
      <c r="B2678">
        <v>2166</v>
      </c>
      <c r="C2678">
        <v>468</v>
      </c>
      <c r="D2678">
        <v>5618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 t="s">
        <v>20</v>
      </c>
      <c r="L2678" s="1">
        <v>43278</v>
      </c>
      <c r="M2678">
        <v>266</v>
      </c>
      <c r="N2678">
        <v>73</v>
      </c>
      <c r="O2678">
        <v>97</v>
      </c>
      <c r="P2678">
        <v>150</v>
      </c>
      <c r="Q2678">
        <v>97</v>
      </c>
      <c r="S2678">
        <v>170</v>
      </c>
      <c r="T2678">
        <v>170</v>
      </c>
      <c r="U2678">
        <f>+SUM(Table1[[#This Row],[Latinos]:[Cemex]])</f>
        <v>1</v>
      </c>
      <c r="V2678" t="str">
        <f>+Table1[[#This Row],[id_destino]]&amp;" - "&amp;Table1[[#This Row],[id_origen]]</f>
        <v>266 - 73</v>
      </c>
    </row>
    <row r="2679" spans="1:22" hidden="1">
      <c r="A2679">
        <v>5</v>
      </c>
      <c r="B2679">
        <v>1618</v>
      </c>
      <c r="C2679">
        <v>468</v>
      </c>
      <c r="D2679">
        <v>4195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 t="s">
        <v>20</v>
      </c>
      <c r="L2679" s="1">
        <v>42982</v>
      </c>
      <c r="M2679">
        <v>276</v>
      </c>
      <c r="N2679">
        <v>73</v>
      </c>
      <c r="O2679">
        <v>913</v>
      </c>
      <c r="P2679">
        <v>904</v>
      </c>
      <c r="Q2679">
        <v>913</v>
      </c>
      <c r="S2679">
        <v>1885</v>
      </c>
      <c r="T2679">
        <v>1978</v>
      </c>
      <c r="U2679">
        <f>+SUM(Table1[[#This Row],[Latinos]:[Cemex]])</f>
        <v>1</v>
      </c>
      <c r="V2679" t="str">
        <f>+Table1[[#This Row],[id_destino]]&amp;" - "&amp;Table1[[#This Row],[id_origen]]</f>
        <v>276 - 73</v>
      </c>
    </row>
    <row r="2680" spans="1:22" hidden="1">
      <c r="A2680">
        <v>4526</v>
      </c>
      <c r="B2680">
        <v>4726</v>
      </c>
      <c r="C2680">
        <v>189</v>
      </c>
      <c r="D2680">
        <v>2356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 t="s">
        <v>20</v>
      </c>
      <c r="L2680" s="1">
        <v>45602</v>
      </c>
      <c r="M2680">
        <v>278</v>
      </c>
      <c r="N2680">
        <v>73</v>
      </c>
      <c r="O2680">
        <v>1312</v>
      </c>
      <c r="P2680">
        <v>1312</v>
      </c>
      <c r="Q2680">
        <v>1312</v>
      </c>
      <c r="S2680">
        <v>2563</v>
      </c>
      <c r="T2680">
        <v>2563</v>
      </c>
      <c r="U2680">
        <f>+SUM(Table1[[#This Row],[Latinos]:[Cemex]])</f>
        <v>1</v>
      </c>
      <c r="V2680" t="str">
        <f>+Table1[[#This Row],[id_destino]]&amp;" - "&amp;Table1[[#This Row],[id_origen]]</f>
        <v>278 - 73</v>
      </c>
    </row>
    <row r="2681" spans="1:22" hidden="1">
      <c r="A2681">
        <v>3667</v>
      </c>
      <c r="B2681">
        <v>4150</v>
      </c>
      <c r="C2681">
        <v>468</v>
      </c>
      <c r="D2681">
        <v>6372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 t="s">
        <v>20</v>
      </c>
      <c r="L2681" s="1">
        <v>45251</v>
      </c>
      <c r="M2681">
        <v>280</v>
      </c>
      <c r="N2681">
        <v>73</v>
      </c>
      <c r="O2681">
        <v>863</v>
      </c>
      <c r="P2681">
        <v>836</v>
      </c>
      <c r="Q2681">
        <v>863</v>
      </c>
      <c r="S2681">
        <v>1047</v>
      </c>
      <c r="T2681">
        <v>1047</v>
      </c>
      <c r="U2681">
        <f>+SUM(Table1[[#This Row],[Latinos]:[Cemex]])</f>
        <v>1</v>
      </c>
      <c r="V2681" t="str">
        <f>+Table1[[#This Row],[id_destino]]&amp;" - "&amp;Table1[[#This Row],[id_origen]]</f>
        <v>280 - 73</v>
      </c>
    </row>
    <row r="2682" spans="1:22" hidden="1">
      <c r="A2682">
        <v>4367</v>
      </c>
      <c r="B2682">
        <v>4604</v>
      </c>
      <c r="C2682">
        <v>6089</v>
      </c>
      <c r="D2682">
        <v>7855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 t="s">
        <v>20</v>
      </c>
      <c r="L2682" s="1">
        <v>45496</v>
      </c>
      <c r="M2682">
        <v>283</v>
      </c>
      <c r="N2682">
        <v>73</v>
      </c>
      <c r="O2682">
        <v>849</v>
      </c>
      <c r="P2682">
        <v>845</v>
      </c>
      <c r="Q2682">
        <v>849</v>
      </c>
      <c r="S2682">
        <v>750</v>
      </c>
      <c r="T2682">
        <v>750</v>
      </c>
      <c r="U2682">
        <f>+SUM(Table1[[#This Row],[Latinos]:[Cemex]])</f>
        <v>1</v>
      </c>
      <c r="V2682" t="str">
        <f>+Table1[[#This Row],[id_destino]]&amp;" - "&amp;Table1[[#This Row],[id_origen]]</f>
        <v>283 - 73</v>
      </c>
    </row>
    <row r="2683" spans="1:22" hidden="1">
      <c r="A2683">
        <v>3982</v>
      </c>
      <c r="B2683">
        <v>1955</v>
      </c>
      <c r="C2683">
        <v>468</v>
      </c>
      <c r="D2683">
        <v>7510</v>
      </c>
      <c r="E2683">
        <v>0</v>
      </c>
      <c r="F2683">
        <v>0</v>
      </c>
      <c r="G2683">
        <v>0</v>
      </c>
      <c r="H2683">
        <v>1</v>
      </c>
      <c r="I2683">
        <v>0</v>
      </c>
      <c r="J2683">
        <v>0</v>
      </c>
      <c r="K2683" t="s">
        <v>20</v>
      </c>
      <c r="L2683" s="1">
        <v>45214</v>
      </c>
      <c r="M2683">
        <v>296</v>
      </c>
      <c r="N2683">
        <v>73</v>
      </c>
      <c r="O2683">
        <v>913</v>
      </c>
      <c r="P2683">
        <v>913</v>
      </c>
      <c r="Q2683">
        <v>912</v>
      </c>
      <c r="S2683">
        <v>993</v>
      </c>
      <c r="T2683">
        <v>993</v>
      </c>
      <c r="U2683">
        <f>+SUM(Table1[[#This Row],[Latinos]:[Cemex]])</f>
        <v>1</v>
      </c>
      <c r="V2683" t="str">
        <f>+Table1[[#This Row],[id_destino]]&amp;" - "&amp;Table1[[#This Row],[id_origen]]</f>
        <v>296 - 73</v>
      </c>
    </row>
    <row r="2684" spans="1:22" hidden="1">
      <c r="A2684">
        <v>4349</v>
      </c>
      <c r="B2684">
        <v>4588</v>
      </c>
      <c r="C2684">
        <v>468</v>
      </c>
      <c r="D2684">
        <v>1034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 t="s">
        <v>20</v>
      </c>
      <c r="L2684" s="1">
        <v>45488</v>
      </c>
      <c r="M2684">
        <v>304</v>
      </c>
      <c r="N2684">
        <v>73</v>
      </c>
      <c r="O2684">
        <v>874</v>
      </c>
      <c r="P2684">
        <v>874</v>
      </c>
      <c r="Q2684">
        <v>874</v>
      </c>
      <c r="S2684">
        <v>1395</v>
      </c>
      <c r="T2684">
        <v>1395</v>
      </c>
      <c r="U2684">
        <f>+SUM(Table1[[#This Row],[Latinos]:[Cemex]])</f>
        <v>1</v>
      </c>
      <c r="V2684" t="str">
        <f>+Table1[[#This Row],[id_destino]]&amp;" - "&amp;Table1[[#This Row],[id_origen]]</f>
        <v>304 - 73</v>
      </c>
    </row>
    <row r="2685" spans="1:22" hidden="1">
      <c r="A2685">
        <v>310</v>
      </c>
      <c r="B2685">
        <v>687</v>
      </c>
      <c r="C2685">
        <v>468</v>
      </c>
      <c r="D2685">
        <v>5047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 t="s">
        <v>20</v>
      </c>
      <c r="L2685" s="1">
        <v>43034</v>
      </c>
      <c r="M2685">
        <v>306</v>
      </c>
      <c r="N2685">
        <v>73</v>
      </c>
      <c r="O2685">
        <v>954</v>
      </c>
      <c r="P2685">
        <v>941</v>
      </c>
      <c r="Q2685">
        <v>954</v>
      </c>
      <c r="S2685">
        <v>2339</v>
      </c>
      <c r="T2685">
        <v>2339</v>
      </c>
      <c r="U2685">
        <f>+SUM(Table1[[#This Row],[Latinos]:[Cemex]])</f>
        <v>1</v>
      </c>
      <c r="V2685" t="str">
        <f>+Table1[[#This Row],[id_destino]]&amp;" - "&amp;Table1[[#This Row],[id_origen]]</f>
        <v>306 - 73</v>
      </c>
    </row>
    <row r="2686" spans="1:22" hidden="1">
      <c r="A2686">
        <v>3840</v>
      </c>
      <c r="B2686">
        <v>4252</v>
      </c>
      <c r="C2686">
        <v>468</v>
      </c>
      <c r="D2686">
        <v>4586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 t="s">
        <v>20</v>
      </c>
      <c r="L2686" s="1">
        <v>45136</v>
      </c>
      <c r="M2686">
        <v>309</v>
      </c>
      <c r="N2686">
        <v>73</v>
      </c>
      <c r="O2686">
        <v>860</v>
      </c>
      <c r="P2686">
        <v>853</v>
      </c>
      <c r="Q2686">
        <v>860</v>
      </c>
      <c r="S2686">
        <v>877</v>
      </c>
      <c r="T2686">
        <v>934</v>
      </c>
      <c r="U2686">
        <f>+SUM(Table1[[#This Row],[Latinos]:[Cemex]])</f>
        <v>1</v>
      </c>
      <c r="V2686" t="str">
        <f>+Table1[[#This Row],[id_destino]]&amp;" - "&amp;Table1[[#This Row],[id_origen]]</f>
        <v>309 - 73</v>
      </c>
    </row>
    <row r="2687" spans="1:22" hidden="1">
      <c r="A2687">
        <v>413</v>
      </c>
      <c r="B2687">
        <v>1048</v>
      </c>
      <c r="C2687">
        <v>468</v>
      </c>
      <c r="D2687">
        <v>5352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 t="s">
        <v>20</v>
      </c>
      <c r="L2687" s="1">
        <v>43061</v>
      </c>
      <c r="M2687">
        <v>314</v>
      </c>
      <c r="N2687">
        <v>73</v>
      </c>
      <c r="O2687">
        <v>911</v>
      </c>
      <c r="P2687">
        <v>872</v>
      </c>
      <c r="Q2687">
        <v>911</v>
      </c>
      <c r="S2687">
        <v>1395</v>
      </c>
      <c r="T2687">
        <v>1395</v>
      </c>
      <c r="U2687">
        <f>+SUM(Table1[[#This Row],[Latinos]:[Cemex]])</f>
        <v>1</v>
      </c>
      <c r="V2687" t="str">
        <f>+Table1[[#This Row],[id_destino]]&amp;" - "&amp;Table1[[#This Row],[id_origen]]</f>
        <v>314 - 73</v>
      </c>
    </row>
    <row r="2688" spans="1:22" hidden="1">
      <c r="A2688">
        <v>1229</v>
      </c>
      <c r="B2688">
        <v>151</v>
      </c>
      <c r="C2688">
        <v>468</v>
      </c>
      <c r="D2688">
        <v>5680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 t="s">
        <v>20</v>
      </c>
      <c r="L2688" s="1">
        <v>43348</v>
      </c>
      <c r="M2688">
        <v>315</v>
      </c>
      <c r="N2688">
        <v>73</v>
      </c>
      <c r="O2688">
        <v>909</v>
      </c>
      <c r="P2688">
        <v>919</v>
      </c>
      <c r="Q2688">
        <v>909</v>
      </c>
      <c r="S2688">
        <v>1030</v>
      </c>
      <c r="T2688">
        <v>1030</v>
      </c>
      <c r="U2688">
        <f>+SUM(Table1[[#This Row],[Latinos]:[Cemex]])</f>
        <v>1</v>
      </c>
      <c r="V2688" t="str">
        <f>+Table1[[#This Row],[id_destino]]&amp;" - "&amp;Table1[[#This Row],[id_origen]]</f>
        <v>315 - 73</v>
      </c>
    </row>
    <row r="2689" spans="1:22" hidden="1">
      <c r="A2689">
        <v>349</v>
      </c>
      <c r="B2689">
        <v>1284</v>
      </c>
      <c r="C2689">
        <v>468</v>
      </c>
      <c r="D2689">
        <v>3079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 t="s">
        <v>20</v>
      </c>
      <c r="L2689" s="1">
        <v>45702</v>
      </c>
      <c r="M2689">
        <v>316</v>
      </c>
      <c r="N2689">
        <v>73</v>
      </c>
      <c r="O2689">
        <v>809</v>
      </c>
      <c r="P2689">
        <v>785</v>
      </c>
      <c r="Q2689">
        <v>809</v>
      </c>
      <c r="S2689">
        <v>1803.99</v>
      </c>
      <c r="T2689">
        <v>1845</v>
      </c>
      <c r="U2689">
        <f>+SUM(Table1[[#This Row],[Latinos]:[Cemex]])</f>
        <v>1</v>
      </c>
      <c r="V2689" t="str">
        <f>+Table1[[#This Row],[id_destino]]&amp;" - "&amp;Table1[[#This Row],[id_origen]]</f>
        <v>316 - 73</v>
      </c>
    </row>
    <row r="2690" spans="1:22" hidden="1">
      <c r="A2690">
        <v>932</v>
      </c>
      <c r="B2690">
        <v>111</v>
      </c>
      <c r="C2690">
        <v>468</v>
      </c>
      <c r="D2690">
        <v>5052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 t="s">
        <v>20</v>
      </c>
      <c r="L2690" s="1">
        <v>43218</v>
      </c>
      <c r="M2690">
        <v>318</v>
      </c>
      <c r="N2690">
        <v>73</v>
      </c>
      <c r="O2690">
        <v>890</v>
      </c>
      <c r="P2690">
        <v>872</v>
      </c>
      <c r="Q2690">
        <v>890</v>
      </c>
      <c r="S2690">
        <v>1395</v>
      </c>
      <c r="T2690">
        <v>1395</v>
      </c>
      <c r="U2690">
        <f>+SUM(Table1[[#This Row],[Latinos]:[Cemex]])</f>
        <v>1</v>
      </c>
      <c r="V2690" t="str">
        <f>+Table1[[#This Row],[id_destino]]&amp;" - "&amp;Table1[[#This Row],[id_origen]]</f>
        <v>318 - 73</v>
      </c>
    </row>
    <row r="2691" spans="1:22" hidden="1">
      <c r="A2691">
        <v>4224</v>
      </c>
      <c r="B2691">
        <v>1893</v>
      </c>
      <c r="C2691">
        <v>3426</v>
      </c>
      <c r="D2691">
        <v>7233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 t="s">
        <v>20</v>
      </c>
      <c r="L2691" s="1">
        <v>45386</v>
      </c>
      <c r="M2691">
        <v>324</v>
      </c>
      <c r="N2691">
        <v>73</v>
      </c>
      <c r="O2691">
        <v>1143</v>
      </c>
      <c r="P2691">
        <v>1117</v>
      </c>
      <c r="Q2691">
        <v>1143</v>
      </c>
      <c r="S2691">
        <v>1946</v>
      </c>
      <c r="T2691">
        <v>1976</v>
      </c>
      <c r="U2691">
        <f>+SUM(Table1[[#This Row],[Latinos]:[Cemex]])</f>
        <v>1</v>
      </c>
      <c r="V2691" t="str">
        <f>+Table1[[#This Row],[id_destino]]&amp;" - "&amp;Table1[[#This Row],[id_origen]]</f>
        <v>324 - 73</v>
      </c>
    </row>
    <row r="2692" spans="1:22" hidden="1">
      <c r="A2692">
        <v>1014</v>
      </c>
      <c r="B2692">
        <v>733</v>
      </c>
      <c r="C2692">
        <v>468</v>
      </c>
      <c r="D2692">
        <v>5583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 t="s">
        <v>20</v>
      </c>
      <c r="L2692" s="1">
        <v>43251</v>
      </c>
      <c r="M2692">
        <v>337</v>
      </c>
      <c r="N2692">
        <v>73</v>
      </c>
      <c r="O2692">
        <v>50</v>
      </c>
      <c r="P2692">
        <v>150</v>
      </c>
      <c r="Q2692">
        <v>50</v>
      </c>
      <c r="S2692">
        <v>82</v>
      </c>
      <c r="T2692">
        <v>82</v>
      </c>
      <c r="U2692">
        <f>+SUM(Table1[[#This Row],[Latinos]:[Cemex]])</f>
        <v>1</v>
      </c>
      <c r="V2692" t="str">
        <f>+Table1[[#This Row],[id_destino]]&amp;" - "&amp;Table1[[#This Row],[id_origen]]</f>
        <v>337 - 73</v>
      </c>
    </row>
    <row r="2693" spans="1:22" hidden="1">
      <c r="A2693">
        <v>2511</v>
      </c>
      <c r="B2693">
        <v>733</v>
      </c>
      <c r="C2693">
        <v>468</v>
      </c>
      <c r="D2693">
        <v>6100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 t="s">
        <v>20</v>
      </c>
      <c r="L2693" s="1">
        <v>44144</v>
      </c>
      <c r="M2693">
        <v>337</v>
      </c>
      <c r="N2693">
        <v>73</v>
      </c>
      <c r="O2693">
        <v>50</v>
      </c>
      <c r="P2693">
        <v>50</v>
      </c>
      <c r="Q2693">
        <v>50</v>
      </c>
      <c r="S2693">
        <v>0</v>
      </c>
      <c r="T2693">
        <v>0</v>
      </c>
      <c r="U2693">
        <f>+SUM(Table1[[#This Row],[Latinos]:[Cemex]])</f>
        <v>1</v>
      </c>
      <c r="V2693" t="str">
        <f>+Table1[[#This Row],[id_destino]]&amp;" - "&amp;Table1[[#This Row],[id_origen]]</f>
        <v>337 - 73</v>
      </c>
    </row>
    <row r="2694" spans="1:22" hidden="1">
      <c r="A2694">
        <v>2433</v>
      </c>
      <c r="B2694">
        <v>3341</v>
      </c>
      <c r="C2694">
        <v>468</v>
      </c>
      <c r="D2694">
        <v>6388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 t="s">
        <v>20</v>
      </c>
      <c r="L2694" s="1">
        <v>44069</v>
      </c>
      <c r="M2694">
        <v>338</v>
      </c>
      <c r="N2694">
        <v>73</v>
      </c>
      <c r="O2694">
        <v>908</v>
      </c>
      <c r="P2694">
        <v>918</v>
      </c>
      <c r="Q2694">
        <v>908</v>
      </c>
      <c r="S2694">
        <v>614</v>
      </c>
      <c r="T2694">
        <v>674</v>
      </c>
      <c r="U2694">
        <f>+SUM(Table1[[#This Row],[Latinos]:[Cemex]])</f>
        <v>1</v>
      </c>
      <c r="V2694" t="str">
        <f>+Table1[[#This Row],[id_destino]]&amp;" - "&amp;Table1[[#This Row],[id_origen]]</f>
        <v>338 - 73</v>
      </c>
    </row>
    <row r="2695" spans="1:22" hidden="1">
      <c r="A2695">
        <v>3910</v>
      </c>
      <c r="B2695">
        <v>4295</v>
      </c>
      <c r="C2695">
        <v>468</v>
      </c>
      <c r="D2695">
        <v>7462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 t="s">
        <v>20</v>
      </c>
      <c r="L2695" s="1">
        <v>45176</v>
      </c>
      <c r="M2695">
        <v>343</v>
      </c>
      <c r="N2695">
        <v>73</v>
      </c>
      <c r="O2695">
        <v>34</v>
      </c>
      <c r="P2695">
        <v>150</v>
      </c>
      <c r="Q2695">
        <v>34</v>
      </c>
      <c r="S2695">
        <v>129</v>
      </c>
      <c r="T2695">
        <v>129</v>
      </c>
      <c r="U2695">
        <f>+SUM(Table1[[#This Row],[Latinos]:[Cemex]])</f>
        <v>1</v>
      </c>
      <c r="V2695" t="str">
        <f>+Table1[[#This Row],[id_destino]]&amp;" - "&amp;Table1[[#This Row],[id_origen]]</f>
        <v>343 - 73</v>
      </c>
    </row>
    <row r="2696" spans="1:22" hidden="1">
      <c r="A2696">
        <v>65</v>
      </c>
      <c r="B2696">
        <v>809</v>
      </c>
      <c r="C2696">
        <v>468</v>
      </c>
      <c r="D2696">
        <v>2521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 t="s">
        <v>20</v>
      </c>
      <c r="L2696" s="1">
        <v>42986</v>
      </c>
      <c r="M2696">
        <v>345</v>
      </c>
      <c r="N2696">
        <v>73</v>
      </c>
      <c r="O2696">
        <v>927</v>
      </c>
      <c r="P2696">
        <v>910</v>
      </c>
      <c r="Q2696">
        <v>927</v>
      </c>
      <c r="S2696">
        <v>1700</v>
      </c>
      <c r="T2696">
        <v>1700</v>
      </c>
      <c r="U2696">
        <f>+SUM(Table1[[#This Row],[Latinos]:[Cemex]])</f>
        <v>1</v>
      </c>
      <c r="V2696" t="str">
        <f>+Table1[[#This Row],[id_destino]]&amp;" - "&amp;Table1[[#This Row],[id_origen]]</f>
        <v>345 - 73</v>
      </c>
    </row>
    <row r="2697" spans="1:22" hidden="1">
      <c r="A2697">
        <v>2418</v>
      </c>
      <c r="B2697">
        <v>747</v>
      </c>
      <c r="C2697">
        <v>468</v>
      </c>
      <c r="D2697">
        <v>5031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 t="s">
        <v>20</v>
      </c>
      <c r="L2697" s="1">
        <v>44058</v>
      </c>
      <c r="M2697">
        <v>360</v>
      </c>
      <c r="N2697">
        <v>73</v>
      </c>
      <c r="O2697">
        <v>836</v>
      </c>
      <c r="P2697">
        <v>779</v>
      </c>
      <c r="Q2697">
        <v>836</v>
      </c>
      <c r="S2697">
        <v>1699</v>
      </c>
      <c r="T2697">
        <v>1740</v>
      </c>
      <c r="U2697">
        <f>+SUM(Table1[[#This Row],[Latinos]:[Cemex]])</f>
        <v>1</v>
      </c>
      <c r="V2697" t="str">
        <f>+Table1[[#This Row],[id_destino]]&amp;" - "&amp;Table1[[#This Row],[id_origen]]</f>
        <v>360 - 73</v>
      </c>
    </row>
    <row r="2698" spans="1:22" hidden="1">
      <c r="A2698">
        <v>1249</v>
      </c>
      <c r="B2698">
        <v>2655</v>
      </c>
      <c r="C2698">
        <v>468</v>
      </c>
      <c r="D2698">
        <v>5689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 t="s">
        <v>20</v>
      </c>
      <c r="L2698" s="1">
        <v>43353</v>
      </c>
      <c r="M2698">
        <v>365</v>
      </c>
      <c r="N2698">
        <v>73</v>
      </c>
      <c r="O2698">
        <v>414</v>
      </c>
      <c r="P2698">
        <v>412</v>
      </c>
      <c r="Q2698">
        <v>414</v>
      </c>
      <c r="S2698">
        <v>587</v>
      </c>
      <c r="T2698">
        <v>587</v>
      </c>
      <c r="U2698">
        <f>+SUM(Table1[[#This Row],[Latinos]:[Cemex]])</f>
        <v>1</v>
      </c>
      <c r="V2698" t="str">
        <f>+Table1[[#This Row],[id_destino]]&amp;" - "&amp;Table1[[#This Row],[id_origen]]</f>
        <v>365 - 73</v>
      </c>
    </row>
    <row r="2699" spans="1:22" hidden="1">
      <c r="A2699">
        <v>1252</v>
      </c>
      <c r="B2699">
        <v>2655</v>
      </c>
      <c r="C2699">
        <v>468</v>
      </c>
      <c r="D2699">
        <v>5689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 t="s">
        <v>20</v>
      </c>
      <c r="L2699" s="1">
        <v>43353</v>
      </c>
      <c r="M2699">
        <v>365</v>
      </c>
      <c r="N2699">
        <v>73</v>
      </c>
      <c r="O2699">
        <v>414</v>
      </c>
      <c r="P2699">
        <v>414</v>
      </c>
      <c r="Q2699">
        <v>414</v>
      </c>
      <c r="S2699">
        <v>0</v>
      </c>
      <c r="T2699">
        <v>0</v>
      </c>
      <c r="U2699">
        <f>+SUM(Table1[[#This Row],[Latinos]:[Cemex]])</f>
        <v>1</v>
      </c>
      <c r="V2699" t="str">
        <f>+Table1[[#This Row],[id_destino]]&amp;" - "&amp;Table1[[#This Row],[id_origen]]</f>
        <v>365 - 73</v>
      </c>
    </row>
    <row r="2700" spans="1:22" hidden="1">
      <c r="A2700">
        <v>410</v>
      </c>
      <c r="B2700">
        <v>2283</v>
      </c>
      <c r="C2700">
        <v>468</v>
      </c>
      <c r="D2700">
        <v>1752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 t="s">
        <v>20</v>
      </c>
      <c r="L2700" s="1">
        <v>43060</v>
      </c>
      <c r="M2700">
        <v>369</v>
      </c>
      <c r="N2700">
        <v>73</v>
      </c>
      <c r="O2700">
        <v>1032</v>
      </c>
      <c r="P2700">
        <v>1094</v>
      </c>
      <c r="Q2700">
        <v>1032</v>
      </c>
      <c r="S2700">
        <v>2270</v>
      </c>
      <c r="T2700">
        <v>2618</v>
      </c>
      <c r="U2700">
        <f>+SUM(Table1[[#This Row],[Latinos]:[Cemex]])</f>
        <v>1</v>
      </c>
      <c r="V2700" t="str">
        <f>+Table1[[#This Row],[id_destino]]&amp;" - "&amp;Table1[[#This Row],[id_origen]]</f>
        <v>369 - 73</v>
      </c>
    </row>
    <row r="2701" spans="1:22" hidden="1">
      <c r="A2701">
        <v>2254</v>
      </c>
      <c r="B2701">
        <v>3232</v>
      </c>
      <c r="C2701">
        <v>468</v>
      </c>
      <c r="D2701">
        <v>2512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 t="s">
        <v>20</v>
      </c>
      <c r="L2701" s="1">
        <v>43879</v>
      </c>
      <c r="M2701">
        <v>373</v>
      </c>
      <c r="N2701">
        <v>73</v>
      </c>
      <c r="O2701">
        <v>1154</v>
      </c>
      <c r="P2701">
        <v>1158</v>
      </c>
      <c r="Q2701">
        <v>1154</v>
      </c>
      <c r="S2701">
        <v>1629</v>
      </c>
      <c r="T2701">
        <v>1629</v>
      </c>
      <c r="U2701">
        <f>+SUM(Table1[[#This Row],[Latinos]:[Cemex]])</f>
        <v>1</v>
      </c>
      <c r="V2701" t="str">
        <f>+Table1[[#This Row],[id_destino]]&amp;" - "&amp;Table1[[#This Row],[id_origen]]</f>
        <v>373 - 73</v>
      </c>
    </row>
    <row r="2702" spans="1:22" hidden="1">
      <c r="A2702">
        <v>510</v>
      </c>
      <c r="B2702">
        <v>902</v>
      </c>
      <c r="C2702">
        <v>468</v>
      </c>
      <c r="D2702">
        <v>2279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 t="s">
        <v>20</v>
      </c>
      <c r="L2702" s="1">
        <v>44636</v>
      </c>
      <c r="M2702">
        <v>379</v>
      </c>
      <c r="N2702">
        <v>73</v>
      </c>
      <c r="O2702">
        <v>50</v>
      </c>
      <c r="P2702">
        <v>150</v>
      </c>
      <c r="Q2702">
        <v>50</v>
      </c>
      <c r="S2702">
        <v>251</v>
      </c>
      <c r="T2702">
        <v>251</v>
      </c>
      <c r="U2702">
        <f>+SUM(Table1[[#This Row],[Latinos]:[Cemex]])</f>
        <v>1</v>
      </c>
      <c r="V2702" t="str">
        <f>+Table1[[#This Row],[id_destino]]&amp;" - "&amp;Table1[[#This Row],[id_origen]]</f>
        <v>379 - 73</v>
      </c>
    </row>
    <row r="2703" spans="1:22" hidden="1">
      <c r="A2703">
        <v>3080</v>
      </c>
      <c r="B2703">
        <v>902</v>
      </c>
      <c r="C2703">
        <v>468</v>
      </c>
      <c r="D2703">
        <v>6839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 t="s">
        <v>20</v>
      </c>
      <c r="L2703" s="1">
        <v>44715</v>
      </c>
      <c r="M2703">
        <v>379</v>
      </c>
      <c r="N2703">
        <v>73</v>
      </c>
      <c r="O2703">
        <v>50</v>
      </c>
      <c r="P2703">
        <v>150</v>
      </c>
      <c r="Q2703">
        <v>50</v>
      </c>
      <c r="S2703">
        <v>0</v>
      </c>
      <c r="T2703">
        <v>0</v>
      </c>
      <c r="U2703">
        <f>+SUM(Table1[[#This Row],[Latinos]:[Cemex]])</f>
        <v>1</v>
      </c>
      <c r="V2703" t="str">
        <f>+Table1[[#This Row],[id_destino]]&amp;" - "&amp;Table1[[#This Row],[id_origen]]</f>
        <v>379 - 73</v>
      </c>
    </row>
    <row r="2704" spans="1:22" hidden="1">
      <c r="A2704">
        <v>2904</v>
      </c>
      <c r="B2704">
        <v>1279</v>
      </c>
      <c r="C2704">
        <v>468</v>
      </c>
      <c r="D2704">
        <v>6781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 t="s">
        <v>20</v>
      </c>
      <c r="L2704" s="1">
        <v>45774</v>
      </c>
      <c r="M2704">
        <v>384</v>
      </c>
      <c r="N2704">
        <v>73</v>
      </c>
      <c r="O2704">
        <v>701</v>
      </c>
      <c r="P2704">
        <v>703</v>
      </c>
      <c r="Q2704">
        <v>717</v>
      </c>
      <c r="S2704">
        <v>879.99</v>
      </c>
      <c r="T2704">
        <v>879.99</v>
      </c>
      <c r="U2704">
        <f>+SUM(Table1[[#This Row],[Latinos]:[Cemex]])</f>
        <v>1</v>
      </c>
      <c r="V2704" t="str">
        <f>+Table1[[#This Row],[id_destino]]&amp;" - "&amp;Table1[[#This Row],[id_origen]]</f>
        <v>384 - 73</v>
      </c>
    </row>
    <row r="2705" spans="1:22" hidden="1">
      <c r="A2705">
        <v>4599</v>
      </c>
      <c r="B2705">
        <v>1279</v>
      </c>
      <c r="C2705">
        <v>468</v>
      </c>
      <c r="D2705">
        <v>7727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 t="s">
        <v>20</v>
      </c>
      <c r="L2705" s="1">
        <v>45774</v>
      </c>
      <c r="M2705">
        <v>384</v>
      </c>
      <c r="N2705">
        <v>73</v>
      </c>
      <c r="O2705">
        <v>701</v>
      </c>
      <c r="P2705">
        <v>703</v>
      </c>
      <c r="Q2705">
        <v>717</v>
      </c>
      <c r="S2705">
        <v>758.62</v>
      </c>
      <c r="T2705">
        <v>758.62</v>
      </c>
      <c r="U2705">
        <f>+SUM(Table1[[#This Row],[Latinos]:[Cemex]])</f>
        <v>1</v>
      </c>
      <c r="V2705" t="str">
        <f>+Table1[[#This Row],[id_destino]]&amp;" - "&amp;Table1[[#This Row],[id_origen]]</f>
        <v>384 - 73</v>
      </c>
    </row>
    <row r="2706" spans="1:22" hidden="1">
      <c r="A2706">
        <v>3821</v>
      </c>
      <c r="B2706">
        <v>4241</v>
      </c>
      <c r="C2706">
        <v>468</v>
      </c>
      <c r="D2706">
        <v>7324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 t="s">
        <v>20</v>
      </c>
      <c r="L2706" s="1">
        <v>45118</v>
      </c>
      <c r="M2706">
        <v>385</v>
      </c>
      <c r="N2706">
        <v>73</v>
      </c>
      <c r="O2706">
        <v>935</v>
      </c>
      <c r="P2706">
        <v>935</v>
      </c>
      <c r="Q2706">
        <v>935</v>
      </c>
      <c r="S2706">
        <v>1482</v>
      </c>
      <c r="T2706">
        <v>1482</v>
      </c>
      <c r="U2706">
        <f>+SUM(Table1[[#This Row],[Latinos]:[Cemex]])</f>
        <v>1</v>
      </c>
      <c r="V2706" t="str">
        <f>+Table1[[#This Row],[id_destino]]&amp;" - "&amp;Table1[[#This Row],[id_origen]]</f>
        <v>385 - 73</v>
      </c>
    </row>
    <row r="2707" spans="1:22" hidden="1">
      <c r="A2707">
        <v>247</v>
      </c>
      <c r="B2707">
        <v>1506</v>
      </c>
      <c r="C2707">
        <v>468</v>
      </c>
      <c r="D2707">
        <v>5307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 t="s">
        <v>20</v>
      </c>
      <c r="L2707" s="1">
        <v>43077</v>
      </c>
      <c r="M2707">
        <v>393</v>
      </c>
      <c r="N2707">
        <v>73</v>
      </c>
      <c r="O2707">
        <v>83</v>
      </c>
      <c r="P2707">
        <v>150</v>
      </c>
      <c r="Q2707">
        <v>83</v>
      </c>
      <c r="S2707">
        <v>257</v>
      </c>
      <c r="T2707">
        <v>257</v>
      </c>
      <c r="U2707">
        <f>+SUM(Table1[[#This Row],[Latinos]:[Cemex]])</f>
        <v>1</v>
      </c>
      <c r="V2707" t="str">
        <f>+Table1[[#This Row],[id_destino]]&amp;" - "&amp;Table1[[#This Row],[id_origen]]</f>
        <v>393 - 73</v>
      </c>
    </row>
    <row r="2708" spans="1:22" hidden="1">
      <c r="A2708">
        <v>250</v>
      </c>
      <c r="B2708">
        <v>1506</v>
      </c>
      <c r="C2708">
        <v>468</v>
      </c>
      <c r="D2708">
        <v>5307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 t="s">
        <v>20</v>
      </c>
      <c r="L2708" s="1">
        <v>43024</v>
      </c>
      <c r="M2708">
        <v>393</v>
      </c>
      <c r="N2708">
        <v>73</v>
      </c>
      <c r="O2708">
        <v>166</v>
      </c>
      <c r="P2708">
        <v>83</v>
      </c>
      <c r="Q2708">
        <v>83</v>
      </c>
      <c r="S2708">
        <v>0</v>
      </c>
      <c r="T2708">
        <v>0</v>
      </c>
      <c r="U2708">
        <f>+SUM(Table1[[#This Row],[Latinos]:[Cemex]])</f>
        <v>1</v>
      </c>
      <c r="V2708" t="str">
        <f>+Table1[[#This Row],[id_destino]]&amp;" - "&amp;Table1[[#This Row],[id_origen]]</f>
        <v>393 - 73</v>
      </c>
    </row>
    <row r="2709" spans="1:22" hidden="1">
      <c r="A2709">
        <v>2558</v>
      </c>
      <c r="B2709">
        <v>3416</v>
      </c>
      <c r="C2709">
        <v>468</v>
      </c>
      <c r="D2709">
        <v>6481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 t="s">
        <v>20</v>
      </c>
      <c r="L2709" s="1">
        <v>44179</v>
      </c>
      <c r="M2709">
        <v>402</v>
      </c>
      <c r="N2709">
        <v>73</v>
      </c>
      <c r="O2709">
        <v>1363</v>
      </c>
      <c r="P2709">
        <v>1369</v>
      </c>
      <c r="Q2709">
        <v>1363</v>
      </c>
      <c r="S2709">
        <v>2049</v>
      </c>
      <c r="T2709">
        <v>2049</v>
      </c>
      <c r="U2709">
        <f>+SUM(Table1[[#This Row],[Latinos]:[Cemex]])</f>
        <v>1</v>
      </c>
      <c r="V2709" t="str">
        <f>+Table1[[#This Row],[id_destino]]&amp;" - "&amp;Table1[[#This Row],[id_origen]]</f>
        <v>402 - 73</v>
      </c>
    </row>
    <row r="2710" spans="1:22" hidden="1">
      <c r="A2710">
        <v>1424</v>
      </c>
      <c r="B2710">
        <v>2738</v>
      </c>
      <c r="C2710">
        <v>468</v>
      </c>
      <c r="D2710">
        <v>5760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 t="s">
        <v>20</v>
      </c>
      <c r="L2710" s="1">
        <v>43430</v>
      </c>
      <c r="M2710">
        <v>405</v>
      </c>
      <c r="N2710">
        <v>73</v>
      </c>
      <c r="O2710">
        <v>916</v>
      </c>
      <c r="P2710">
        <v>934</v>
      </c>
      <c r="Q2710">
        <v>916</v>
      </c>
      <c r="S2710">
        <v>1311</v>
      </c>
      <c r="T2710">
        <v>1311</v>
      </c>
      <c r="U2710">
        <f>+SUM(Table1[[#This Row],[Latinos]:[Cemex]])</f>
        <v>1</v>
      </c>
      <c r="V2710" t="str">
        <f>+Table1[[#This Row],[id_destino]]&amp;" - "&amp;Table1[[#This Row],[id_origen]]</f>
        <v>405 - 73</v>
      </c>
    </row>
    <row r="2711" spans="1:22" hidden="1">
      <c r="A2711">
        <v>1878</v>
      </c>
      <c r="B2711">
        <v>2991</v>
      </c>
      <c r="C2711">
        <v>468</v>
      </c>
      <c r="D2711">
        <v>5044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 t="s">
        <v>20</v>
      </c>
      <c r="L2711" s="1">
        <v>43684</v>
      </c>
      <c r="M2711">
        <v>407</v>
      </c>
      <c r="N2711">
        <v>73</v>
      </c>
      <c r="O2711">
        <v>925</v>
      </c>
      <c r="P2711">
        <v>932</v>
      </c>
      <c r="Q2711">
        <v>925</v>
      </c>
      <c r="S2711">
        <v>857</v>
      </c>
      <c r="T2711">
        <v>857</v>
      </c>
      <c r="U2711">
        <f>+SUM(Table1[[#This Row],[Latinos]:[Cemex]])</f>
        <v>1</v>
      </c>
      <c r="V2711" t="str">
        <f>+Table1[[#This Row],[id_destino]]&amp;" - "&amp;Table1[[#This Row],[id_origen]]</f>
        <v>407 - 73</v>
      </c>
    </row>
    <row r="2712" spans="1:22" hidden="1">
      <c r="A2712">
        <v>709</v>
      </c>
      <c r="B2712">
        <v>2417</v>
      </c>
      <c r="C2712">
        <v>468</v>
      </c>
      <c r="D2712">
        <v>5462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 t="s">
        <v>20</v>
      </c>
      <c r="L2712" s="1">
        <v>43138</v>
      </c>
      <c r="M2712">
        <v>413</v>
      </c>
      <c r="N2712">
        <v>73</v>
      </c>
      <c r="O2712">
        <v>1079</v>
      </c>
      <c r="P2712">
        <v>1033</v>
      </c>
      <c r="Q2712">
        <v>1079</v>
      </c>
      <c r="S2712">
        <v>1247</v>
      </c>
      <c r="T2712">
        <v>1247</v>
      </c>
      <c r="U2712">
        <f>+SUM(Table1[[#This Row],[Latinos]:[Cemex]])</f>
        <v>1</v>
      </c>
      <c r="V2712" t="str">
        <f>+Table1[[#This Row],[id_destino]]&amp;" - "&amp;Table1[[#This Row],[id_origen]]</f>
        <v>413 - 73</v>
      </c>
    </row>
    <row r="2713" spans="1:22" hidden="1">
      <c r="A2713">
        <v>386</v>
      </c>
      <c r="B2713">
        <v>1867</v>
      </c>
      <c r="C2713">
        <v>468</v>
      </c>
      <c r="D2713">
        <v>5344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 t="s">
        <v>20</v>
      </c>
      <c r="L2713" s="1">
        <v>43052</v>
      </c>
      <c r="M2713">
        <v>414</v>
      </c>
      <c r="N2713">
        <v>73</v>
      </c>
      <c r="O2713">
        <v>1407</v>
      </c>
      <c r="P2713">
        <v>1423</v>
      </c>
      <c r="Q2713">
        <v>1407</v>
      </c>
      <c r="S2713">
        <v>1605</v>
      </c>
      <c r="T2713">
        <v>1605</v>
      </c>
      <c r="U2713">
        <f>+SUM(Table1[[#This Row],[Latinos]:[Cemex]])</f>
        <v>1</v>
      </c>
      <c r="V2713" t="str">
        <f>+Table1[[#This Row],[id_destino]]&amp;" - "&amp;Table1[[#This Row],[id_origen]]</f>
        <v>414 - 73</v>
      </c>
    </row>
    <row r="2714" spans="1:22" hidden="1">
      <c r="A2714">
        <v>830</v>
      </c>
      <c r="B2714">
        <v>889</v>
      </c>
      <c r="C2714">
        <v>468</v>
      </c>
      <c r="D2714">
        <v>5209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 t="s">
        <v>20</v>
      </c>
      <c r="L2714" s="1">
        <v>43179</v>
      </c>
      <c r="M2714">
        <v>415</v>
      </c>
      <c r="N2714">
        <v>73</v>
      </c>
      <c r="O2714">
        <v>261</v>
      </c>
      <c r="P2714">
        <v>233</v>
      </c>
      <c r="Q2714">
        <v>261</v>
      </c>
      <c r="S2714">
        <v>328</v>
      </c>
      <c r="T2714">
        <v>328</v>
      </c>
      <c r="U2714">
        <f>+SUM(Table1[[#This Row],[Latinos]:[Cemex]])</f>
        <v>1</v>
      </c>
      <c r="V2714" t="str">
        <f>+Table1[[#This Row],[id_destino]]&amp;" - "&amp;Table1[[#This Row],[id_origen]]</f>
        <v>415 - 73</v>
      </c>
    </row>
    <row r="2715" spans="1:22" hidden="1">
      <c r="A2715">
        <v>2317</v>
      </c>
      <c r="B2715">
        <v>165</v>
      </c>
      <c r="C2715">
        <v>189</v>
      </c>
      <c r="D2715">
        <v>2319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 t="s">
        <v>20</v>
      </c>
      <c r="L2715" s="1">
        <v>43924</v>
      </c>
      <c r="M2715">
        <v>418</v>
      </c>
      <c r="N2715">
        <v>73</v>
      </c>
      <c r="O2715">
        <v>1074</v>
      </c>
      <c r="P2715">
        <v>1074</v>
      </c>
      <c r="Q2715">
        <v>1074</v>
      </c>
      <c r="S2715">
        <v>1601</v>
      </c>
      <c r="T2715">
        <v>1601</v>
      </c>
      <c r="U2715">
        <f>+SUM(Table1[[#This Row],[Latinos]:[Cemex]])</f>
        <v>1</v>
      </c>
      <c r="V2715" t="str">
        <f>+Table1[[#This Row],[id_destino]]&amp;" - "&amp;Table1[[#This Row],[id_origen]]</f>
        <v>418 - 73</v>
      </c>
    </row>
    <row r="2716" spans="1:22" hidden="1">
      <c r="A2716">
        <v>3339</v>
      </c>
      <c r="B2716">
        <v>3918</v>
      </c>
      <c r="C2716">
        <v>3426</v>
      </c>
      <c r="D2716">
        <v>7060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 t="s">
        <v>20</v>
      </c>
      <c r="L2716" s="1">
        <v>44839</v>
      </c>
      <c r="M2716">
        <v>422</v>
      </c>
      <c r="N2716">
        <v>73</v>
      </c>
      <c r="O2716">
        <v>1156</v>
      </c>
      <c r="P2716">
        <v>1152</v>
      </c>
      <c r="Q2716">
        <v>1156</v>
      </c>
      <c r="S2716">
        <v>2407</v>
      </c>
      <c r="T2716">
        <v>2407</v>
      </c>
      <c r="U2716">
        <f>+SUM(Table1[[#This Row],[Latinos]:[Cemex]])</f>
        <v>1</v>
      </c>
      <c r="V2716" t="str">
        <f>+Table1[[#This Row],[id_destino]]&amp;" - "&amp;Table1[[#This Row],[id_origen]]</f>
        <v>422 - 73</v>
      </c>
    </row>
    <row r="2717" spans="1:22" hidden="1">
      <c r="A2717">
        <v>3224</v>
      </c>
      <c r="B2717">
        <v>3846</v>
      </c>
      <c r="C2717">
        <v>468</v>
      </c>
      <c r="D2717">
        <v>6999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 t="s">
        <v>93</v>
      </c>
      <c r="L2717" s="1">
        <v>45280</v>
      </c>
      <c r="M2717">
        <v>424</v>
      </c>
      <c r="N2717">
        <v>73</v>
      </c>
      <c r="O2717">
        <v>1058</v>
      </c>
      <c r="P2717">
        <v>1057</v>
      </c>
      <c r="Q2717">
        <v>1058</v>
      </c>
      <c r="S2717">
        <v>2075</v>
      </c>
      <c r="T2717">
        <v>2075</v>
      </c>
      <c r="U2717">
        <f>+SUM(Table1[[#This Row],[Latinos]:[Cemex]])</f>
        <v>1</v>
      </c>
      <c r="V2717" t="str">
        <f>+Table1[[#This Row],[id_destino]]&amp;" - "&amp;Table1[[#This Row],[id_origen]]</f>
        <v>424 - 73</v>
      </c>
    </row>
    <row r="2718" spans="1:22" hidden="1">
      <c r="A2718">
        <v>2405</v>
      </c>
      <c r="B2718">
        <v>3323</v>
      </c>
      <c r="C2718">
        <v>468</v>
      </c>
      <c r="D2718">
        <v>6377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0</v>
      </c>
      <c r="K2718" t="s">
        <v>20</v>
      </c>
      <c r="L2718" s="1">
        <v>44544</v>
      </c>
      <c r="M2718">
        <v>425</v>
      </c>
      <c r="N2718">
        <v>73</v>
      </c>
      <c r="O2718">
        <v>903</v>
      </c>
      <c r="P2718">
        <v>920</v>
      </c>
      <c r="Q2718">
        <v>903</v>
      </c>
      <c r="S2718">
        <v>938</v>
      </c>
      <c r="T2718">
        <v>938</v>
      </c>
      <c r="U2718">
        <f>+SUM(Table1[[#This Row],[Latinos]:[Cemex]])</f>
        <v>1</v>
      </c>
      <c r="V2718" t="str">
        <f>+Table1[[#This Row],[id_destino]]&amp;" - "&amp;Table1[[#This Row],[id_origen]]</f>
        <v>425 - 73</v>
      </c>
    </row>
    <row r="2719" spans="1:22" hidden="1">
      <c r="A2719">
        <v>2894</v>
      </c>
      <c r="B2719">
        <v>3323</v>
      </c>
      <c r="C2719">
        <v>468</v>
      </c>
      <c r="D2719">
        <v>6743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 t="s">
        <v>20</v>
      </c>
      <c r="L2719" s="1">
        <v>44594</v>
      </c>
      <c r="M2719">
        <v>425</v>
      </c>
      <c r="N2719">
        <v>73</v>
      </c>
      <c r="O2719">
        <v>899</v>
      </c>
      <c r="P2719">
        <v>899</v>
      </c>
      <c r="Q2719">
        <v>899</v>
      </c>
      <c r="S2719">
        <v>0</v>
      </c>
      <c r="T2719">
        <v>0</v>
      </c>
      <c r="U2719">
        <f>+SUM(Table1[[#This Row],[Latinos]:[Cemex]])</f>
        <v>1</v>
      </c>
      <c r="V2719" t="str">
        <f>+Table1[[#This Row],[id_destino]]&amp;" - "&amp;Table1[[#This Row],[id_origen]]</f>
        <v>425 - 73</v>
      </c>
    </row>
    <row r="2720" spans="1:22" hidden="1">
      <c r="A2720">
        <v>3704</v>
      </c>
      <c r="B2720">
        <v>4175</v>
      </c>
      <c r="C2720">
        <v>468</v>
      </c>
      <c r="D2720">
        <v>7323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 t="s">
        <v>20</v>
      </c>
      <c r="L2720" s="1">
        <v>45038</v>
      </c>
      <c r="M2720">
        <v>439</v>
      </c>
      <c r="N2720">
        <v>73</v>
      </c>
      <c r="O2720">
        <v>818</v>
      </c>
      <c r="P2720">
        <v>819</v>
      </c>
      <c r="Q2720">
        <v>803</v>
      </c>
      <c r="S2720">
        <v>867</v>
      </c>
      <c r="T2720">
        <v>867</v>
      </c>
      <c r="U2720">
        <f>+SUM(Table1[[#This Row],[Latinos]:[Cemex]])</f>
        <v>1</v>
      </c>
      <c r="V2720" t="str">
        <f>+Table1[[#This Row],[id_destino]]&amp;" - "&amp;Table1[[#This Row],[id_origen]]</f>
        <v>439 - 73</v>
      </c>
    </row>
    <row r="2721" spans="1:22" hidden="1">
      <c r="A2721">
        <v>3279</v>
      </c>
      <c r="B2721">
        <v>3885</v>
      </c>
      <c r="C2721">
        <v>468</v>
      </c>
      <c r="D2721">
        <v>7024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 t="s">
        <v>20</v>
      </c>
      <c r="L2721" s="1">
        <v>44800</v>
      </c>
      <c r="M2721">
        <v>449</v>
      </c>
      <c r="N2721">
        <v>73</v>
      </c>
      <c r="O2721">
        <v>651</v>
      </c>
      <c r="P2721">
        <v>651</v>
      </c>
      <c r="Q2721">
        <v>651</v>
      </c>
      <c r="S2721">
        <v>115</v>
      </c>
      <c r="T2721">
        <v>115</v>
      </c>
      <c r="U2721">
        <f>+SUM(Table1[[#This Row],[Latinos]:[Cemex]])</f>
        <v>1</v>
      </c>
      <c r="V2721" t="str">
        <f>+Table1[[#This Row],[id_destino]]&amp;" - "&amp;Table1[[#This Row],[id_origen]]</f>
        <v>449 - 73</v>
      </c>
    </row>
    <row r="2722" spans="1:22" hidden="1">
      <c r="A2722">
        <v>4268</v>
      </c>
      <c r="B2722">
        <v>4535</v>
      </c>
      <c r="C2722">
        <v>468</v>
      </c>
      <c r="D2722">
        <v>6683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 t="s">
        <v>93</v>
      </c>
      <c r="L2722" s="1">
        <v>45412</v>
      </c>
      <c r="M2722">
        <v>451</v>
      </c>
      <c r="N2722">
        <v>73</v>
      </c>
      <c r="O2722">
        <v>1607</v>
      </c>
      <c r="P2722">
        <v>1607</v>
      </c>
      <c r="Q2722">
        <v>1607</v>
      </c>
      <c r="S2722">
        <v>3735</v>
      </c>
      <c r="T2722">
        <v>4239</v>
      </c>
      <c r="U2722">
        <f>+SUM(Table1[[#This Row],[Latinos]:[Cemex]])</f>
        <v>1</v>
      </c>
      <c r="V2722" t="str">
        <f>+Table1[[#This Row],[id_destino]]&amp;" - "&amp;Table1[[#This Row],[id_origen]]</f>
        <v>451 - 73</v>
      </c>
    </row>
    <row r="2723" spans="1:22" hidden="1">
      <c r="A2723">
        <v>770</v>
      </c>
      <c r="B2723">
        <v>1660</v>
      </c>
      <c r="C2723">
        <v>468</v>
      </c>
      <c r="D2723">
        <v>5609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 t="s">
        <v>20</v>
      </c>
      <c r="L2723" s="1">
        <v>45268</v>
      </c>
      <c r="M2723">
        <v>473</v>
      </c>
      <c r="N2723">
        <v>73</v>
      </c>
      <c r="O2723">
        <v>907</v>
      </c>
      <c r="P2723">
        <v>910</v>
      </c>
      <c r="Q2723">
        <v>907</v>
      </c>
      <c r="S2723">
        <v>1700</v>
      </c>
      <c r="T2723">
        <v>1700</v>
      </c>
      <c r="U2723">
        <f>+SUM(Table1[[#This Row],[Latinos]:[Cemex]])</f>
        <v>1</v>
      </c>
      <c r="V2723" t="str">
        <f>+Table1[[#This Row],[id_destino]]&amp;" - "&amp;Table1[[#This Row],[id_origen]]</f>
        <v>473 - 73</v>
      </c>
    </row>
    <row r="2724" spans="1:22" hidden="1">
      <c r="A2724">
        <v>1632</v>
      </c>
      <c r="B2724">
        <v>1660</v>
      </c>
      <c r="C2724">
        <v>468</v>
      </c>
      <c r="D2724">
        <v>5853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 t="s">
        <v>20</v>
      </c>
      <c r="L2724" s="1">
        <v>43539</v>
      </c>
      <c r="M2724">
        <v>473</v>
      </c>
      <c r="N2724">
        <v>73</v>
      </c>
      <c r="O2724">
        <v>903</v>
      </c>
      <c r="P2724">
        <v>920</v>
      </c>
      <c r="Q2724">
        <v>903</v>
      </c>
      <c r="S2724">
        <v>877</v>
      </c>
      <c r="T2724">
        <v>877</v>
      </c>
      <c r="U2724">
        <f>+SUM(Table1[[#This Row],[Latinos]:[Cemex]])</f>
        <v>1</v>
      </c>
      <c r="V2724" t="str">
        <f>+Table1[[#This Row],[id_destino]]&amp;" - "&amp;Table1[[#This Row],[id_origen]]</f>
        <v>473 - 73</v>
      </c>
    </row>
    <row r="2725" spans="1:22" hidden="1">
      <c r="A2725">
        <v>303</v>
      </c>
      <c r="B2725">
        <v>1218</v>
      </c>
      <c r="C2725">
        <v>468</v>
      </c>
      <c r="D2725">
        <v>3995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 t="s">
        <v>20</v>
      </c>
      <c r="L2725" s="1">
        <v>43033</v>
      </c>
      <c r="M2725">
        <v>474</v>
      </c>
      <c r="N2725">
        <v>73</v>
      </c>
      <c r="O2725">
        <v>867</v>
      </c>
      <c r="P2725">
        <v>865</v>
      </c>
      <c r="Q2725">
        <v>867</v>
      </c>
      <c r="S2725">
        <v>637</v>
      </c>
      <c r="T2725">
        <v>637</v>
      </c>
      <c r="U2725">
        <f>+SUM(Table1[[#This Row],[Latinos]:[Cemex]])</f>
        <v>1</v>
      </c>
      <c r="V2725" t="str">
        <f>+Table1[[#This Row],[id_destino]]&amp;" - "&amp;Table1[[#This Row],[id_origen]]</f>
        <v>474 - 73</v>
      </c>
    </row>
    <row r="2726" spans="1:22" hidden="1">
      <c r="A2726">
        <v>118</v>
      </c>
      <c r="B2726">
        <v>1714</v>
      </c>
      <c r="C2726">
        <v>468</v>
      </c>
      <c r="D2726">
        <v>7386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 t="s">
        <v>20</v>
      </c>
      <c r="L2726" s="1">
        <v>45400</v>
      </c>
      <c r="M2726">
        <v>490</v>
      </c>
      <c r="N2726">
        <v>73</v>
      </c>
      <c r="O2726">
        <v>964</v>
      </c>
      <c r="P2726">
        <v>912</v>
      </c>
      <c r="Q2726">
        <v>914</v>
      </c>
      <c r="S2726">
        <v>2150.9899999999998</v>
      </c>
      <c r="T2726">
        <v>2192</v>
      </c>
      <c r="U2726">
        <f>+SUM(Table1[[#This Row],[Latinos]:[Cemex]])</f>
        <v>1</v>
      </c>
      <c r="V2726" t="str">
        <f>+Table1[[#This Row],[id_destino]]&amp;" - "&amp;Table1[[#This Row],[id_origen]]</f>
        <v>490 - 73</v>
      </c>
    </row>
    <row r="2727" spans="1:22" hidden="1">
      <c r="A2727">
        <v>3002</v>
      </c>
      <c r="B2727">
        <v>1714</v>
      </c>
      <c r="C2727">
        <v>468</v>
      </c>
      <c r="D2727">
        <v>6867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 t="s">
        <v>20</v>
      </c>
      <c r="L2727" s="1">
        <v>45197</v>
      </c>
      <c r="M2727">
        <v>490</v>
      </c>
      <c r="N2727">
        <v>73</v>
      </c>
      <c r="O2727">
        <v>829</v>
      </c>
      <c r="P2727">
        <v>914</v>
      </c>
      <c r="Q2727">
        <v>829</v>
      </c>
      <c r="S2727">
        <v>2063</v>
      </c>
      <c r="T2727">
        <v>2063</v>
      </c>
      <c r="U2727">
        <f>+SUM(Table1[[#This Row],[Latinos]:[Cemex]])</f>
        <v>1</v>
      </c>
      <c r="V2727" t="str">
        <f>+Table1[[#This Row],[id_destino]]&amp;" - "&amp;Table1[[#This Row],[id_origen]]</f>
        <v>490 - 73</v>
      </c>
    </row>
    <row r="2728" spans="1:22" hidden="1">
      <c r="A2728">
        <v>164</v>
      </c>
      <c r="B2728">
        <v>1213</v>
      </c>
      <c r="C2728">
        <v>468</v>
      </c>
      <c r="D2728">
        <v>3168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 t="s">
        <v>20</v>
      </c>
      <c r="L2728" s="1">
        <v>43004</v>
      </c>
      <c r="M2728">
        <v>502</v>
      </c>
      <c r="N2728">
        <v>73</v>
      </c>
      <c r="O2728">
        <v>806</v>
      </c>
      <c r="P2728">
        <v>776</v>
      </c>
      <c r="Q2728">
        <v>806</v>
      </c>
      <c r="S2728">
        <v>1278</v>
      </c>
      <c r="T2728">
        <v>1316</v>
      </c>
      <c r="U2728">
        <f>+SUM(Table1[[#This Row],[Latinos]:[Cemex]])</f>
        <v>1</v>
      </c>
      <c r="V2728" t="str">
        <f>+Table1[[#This Row],[id_destino]]&amp;" - "&amp;Table1[[#This Row],[id_origen]]</f>
        <v>502 - 73</v>
      </c>
    </row>
    <row r="2729" spans="1:22" hidden="1">
      <c r="A2729">
        <v>94</v>
      </c>
      <c r="B2729">
        <v>797</v>
      </c>
      <c r="C2729">
        <v>468</v>
      </c>
      <c r="D2729">
        <v>3279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 t="s">
        <v>20</v>
      </c>
      <c r="L2729" s="1">
        <v>45233</v>
      </c>
      <c r="M2729">
        <v>505</v>
      </c>
      <c r="N2729">
        <v>73</v>
      </c>
      <c r="O2729">
        <v>829</v>
      </c>
      <c r="P2729">
        <v>826</v>
      </c>
      <c r="Q2729">
        <v>829</v>
      </c>
      <c r="S2729">
        <v>1242</v>
      </c>
      <c r="T2729">
        <v>1242</v>
      </c>
      <c r="U2729">
        <f>+SUM(Table1[[#This Row],[Latinos]:[Cemex]])</f>
        <v>1</v>
      </c>
      <c r="V2729" t="str">
        <f>+Table1[[#This Row],[id_destino]]&amp;" - "&amp;Table1[[#This Row],[id_origen]]</f>
        <v>505 - 73</v>
      </c>
    </row>
    <row r="2730" spans="1:22" hidden="1">
      <c r="A2730">
        <v>137</v>
      </c>
      <c r="B2730">
        <v>1782</v>
      </c>
      <c r="C2730">
        <v>468</v>
      </c>
      <c r="D2730">
        <v>754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 t="s">
        <v>20</v>
      </c>
      <c r="L2730" s="1">
        <v>42998</v>
      </c>
      <c r="M2730">
        <v>506</v>
      </c>
      <c r="N2730">
        <v>73</v>
      </c>
      <c r="O2730">
        <v>914</v>
      </c>
      <c r="P2730">
        <v>908</v>
      </c>
      <c r="Q2730">
        <v>914</v>
      </c>
      <c r="S2730">
        <v>1151</v>
      </c>
      <c r="T2730">
        <v>1265</v>
      </c>
      <c r="U2730">
        <f>+SUM(Table1[[#This Row],[Latinos]:[Cemex]])</f>
        <v>1</v>
      </c>
      <c r="V2730" t="str">
        <f>+Table1[[#This Row],[id_destino]]&amp;" - "&amp;Table1[[#This Row],[id_origen]]</f>
        <v>506 - 73</v>
      </c>
    </row>
    <row r="2731" spans="1:22" hidden="1">
      <c r="A2731">
        <v>2425</v>
      </c>
      <c r="B2731">
        <v>3335</v>
      </c>
      <c r="C2731">
        <v>468</v>
      </c>
      <c r="D2731">
        <v>6353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 t="s">
        <v>20</v>
      </c>
      <c r="L2731" s="1">
        <v>44063</v>
      </c>
      <c r="M2731">
        <v>511</v>
      </c>
      <c r="N2731">
        <v>73</v>
      </c>
      <c r="O2731">
        <v>844</v>
      </c>
      <c r="P2731">
        <v>817</v>
      </c>
      <c r="Q2731">
        <v>844</v>
      </c>
      <c r="S2731">
        <v>1940</v>
      </c>
      <c r="T2731">
        <v>1978</v>
      </c>
      <c r="U2731">
        <f>+SUM(Table1[[#This Row],[Latinos]:[Cemex]])</f>
        <v>1</v>
      </c>
      <c r="V2731" t="str">
        <f>+Table1[[#This Row],[id_destino]]&amp;" - "&amp;Table1[[#This Row],[id_origen]]</f>
        <v>511 - 73</v>
      </c>
    </row>
    <row r="2732" spans="1:22" hidden="1">
      <c r="A2732">
        <v>2701</v>
      </c>
      <c r="B2732">
        <v>1919</v>
      </c>
      <c r="C2732">
        <v>468</v>
      </c>
      <c r="D2732">
        <v>3495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 t="s">
        <v>20</v>
      </c>
      <c r="L2732" s="1">
        <v>44358</v>
      </c>
      <c r="M2732">
        <v>517</v>
      </c>
      <c r="N2732">
        <v>73</v>
      </c>
      <c r="O2732">
        <v>915</v>
      </c>
      <c r="P2732">
        <v>920</v>
      </c>
      <c r="Q2732">
        <v>915</v>
      </c>
      <c r="S2732">
        <v>823.28</v>
      </c>
      <c r="T2732">
        <v>823.28</v>
      </c>
      <c r="U2732">
        <f>+SUM(Table1[[#This Row],[Latinos]:[Cemex]])</f>
        <v>1</v>
      </c>
      <c r="V2732" t="str">
        <f>+Table1[[#This Row],[id_destino]]&amp;" - "&amp;Table1[[#This Row],[id_origen]]</f>
        <v>517 - 73</v>
      </c>
    </row>
    <row r="2733" spans="1:22" hidden="1">
      <c r="A2733">
        <v>3827</v>
      </c>
      <c r="B2733">
        <v>4246</v>
      </c>
      <c r="C2733">
        <v>468</v>
      </c>
      <c r="D2733">
        <v>7415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 t="s">
        <v>20</v>
      </c>
      <c r="L2733" s="1">
        <v>45127</v>
      </c>
      <c r="M2733">
        <v>524</v>
      </c>
      <c r="N2733">
        <v>73</v>
      </c>
      <c r="O2733">
        <v>836</v>
      </c>
      <c r="P2733">
        <v>827</v>
      </c>
      <c r="Q2733">
        <v>836</v>
      </c>
      <c r="S2733">
        <v>800</v>
      </c>
      <c r="T2733">
        <v>800</v>
      </c>
      <c r="U2733">
        <f>+SUM(Table1[[#This Row],[Latinos]:[Cemex]])</f>
        <v>1</v>
      </c>
      <c r="V2733" t="str">
        <f>+Table1[[#This Row],[id_destino]]&amp;" - "&amp;Table1[[#This Row],[id_origen]]</f>
        <v>524 - 73</v>
      </c>
    </row>
    <row r="2734" spans="1:22" hidden="1">
      <c r="A2734">
        <v>2525</v>
      </c>
      <c r="B2734">
        <v>3396</v>
      </c>
      <c r="C2734">
        <v>468</v>
      </c>
      <c r="D2734">
        <v>5346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 t="s">
        <v>20</v>
      </c>
      <c r="L2734" s="1">
        <v>44152</v>
      </c>
      <c r="M2734">
        <v>525</v>
      </c>
      <c r="N2734">
        <v>73</v>
      </c>
      <c r="O2734">
        <v>911</v>
      </c>
      <c r="P2734">
        <v>920</v>
      </c>
      <c r="Q2734">
        <v>911</v>
      </c>
      <c r="S2734">
        <v>938</v>
      </c>
      <c r="T2734">
        <v>938</v>
      </c>
      <c r="U2734">
        <f>+SUM(Table1[[#This Row],[Latinos]:[Cemex]])</f>
        <v>1</v>
      </c>
      <c r="V2734" t="str">
        <f>+Table1[[#This Row],[id_destino]]&amp;" - "&amp;Table1[[#This Row],[id_origen]]</f>
        <v>525 - 73</v>
      </c>
    </row>
    <row r="2735" spans="1:22" hidden="1">
      <c r="A2735">
        <v>1165</v>
      </c>
      <c r="B2735">
        <v>2611</v>
      </c>
      <c r="C2735">
        <v>468</v>
      </c>
      <c r="D2735">
        <v>4031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 t="s">
        <v>20</v>
      </c>
      <c r="L2735" s="1">
        <v>43326</v>
      </c>
      <c r="M2735">
        <v>529</v>
      </c>
      <c r="N2735">
        <v>73</v>
      </c>
      <c r="O2735">
        <v>920</v>
      </c>
      <c r="P2735">
        <v>896</v>
      </c>
      <c r="Q2735">
        <v>920</v>
      </c>
      <c r="S2735">
        <v>944</v>
      </c>
      <c r="T2735">
        <v>944</v>
      </c>
      <c r="U2735">
        <f>+SUM(Table1[[#This Row],[Latinos]:[Cemex]])</f>
        <v>1</v>
      </c>
      <c r="V2735" t="str">
        <f>+Table1[[#This Row],[id_destino]]&amp;" - "&amp;Table1[[#This Row],[id_origen]]</f>
        <v>529 - 73</v>
      </c>
    </row>
    <row r="2736" spans="1:22" hidden="1">
      <c r="A2736">
        <v>1681</v>
      </c>
      <c r="B2736">
        <v>2884</v>
      </c>
      <c r="C2736">
        <v>189</v>
      </c>
      <c r="D2736">
        <v>5864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 t="s">
        <v>20</v>
      </c>
      <c r="L2736" s="1">
        <v>43563</v>
      </c>
      <c r="M2736">
        <v>532</v>
      </c>
      <c r="N2736">
        <v>73</v>
      </c>
      <c r="O2736">
        <v>1027</v>
      </c>
      <c r="P2736">
        <v>1027</v>
      </c>
      <c r="Q2736">
        <v>1027</v>
      </c>
      <c r="S2736">
        <v>918</v>
      </c>
      <c r="T2736">
        <v>918</v>
      </c>
      <c r="U2736">
        <f>+SUM(Table1[[#This Row],[Latinos]:[Cemex]])</f>
        <v>1</v>
      </c>
      <c r="V2736" t="str">
        <f>+Table1[[#This Row],[id_destino]]&amp;" - "&amp;Table1[[#This Row],[id_origen]]</f>
        <v>532 - 73</v>
      </c>
    </row>
    <row r="2737" spans="1:22" hidden="1">
      <c r="A2737">
        <v>1764</v>
      </c>
      <c r="B2737">
        <v>2926</v>
      </c>
      <c r="C2737">
        <v>468</v>
      </c>
      <c r="D2737">
        <v>58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 t="s">
        <v>20</v>
      </c>
      <c r="L2737" s="1">
        <v>43610</v>
      </c>
      <c r="M2737">
        <v>535</v>
      </c>
      <c r="N2737">
        <v>73</v>
      </c>
      <c r="O2737">
        <v>88</v>
      </c>
      <c r="P2737">
        <v>150</v>
      </c>
      <c r="Q2737">
        <v>88</v>
      </c>
      <c r="S2737">
        <v>443</v>
      </c>
      <c r="T2737">
        <v>443</v>
      </c>
      <c r="U2737">
        <f>+SUM(Table1[[#This Row],[Latinos]:[Cemex]])</f>
        <v>1</v>
      </c>
      <c r="V2737" t="str">
        <f>+Table1[[#This Row],[id_destino]]&amp;" - "&amp;Table1[[#This Row],[id_origen]]</f>
        <v>535 - 73</v>
      </c>
    </row>
    <row r="2738" spans="1:22" hidden="1">
      <c r="A2738">
        <v>1766</v>
      </c>
      <c r="B2738">
        <v>2926</v>
      </c>
      <c r="C2738">
        <v>468</v>
      </c>
      <c r="D2738">
        <v>58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 t="s">
        <v>20</v>
      </c>
      <c r="L2738" s="1">
        <v>45736</v>
      </c>
      <c r="M2738">
        <v>535</v>
      </c>
      <c r="N2738">
        <v>73</v>
      </c>
      <c r="O2738">
        <v>86</v>
      </c>
      <c r="P2738">
        <v>88</v>
      </c>
      <c r="Q2738">
        <v>150</v>
      </c>
      <c r="S2738">
        <v>0</v>
      </c>
      <c r="T2738">
        <v>0</v>
      </c>
      <c r="U2738">
        <f>+SUM(Table1[[#This Row],[Latinos]:[Cemex]])</f>
        <v>1</v>
      </c>
      <c r="V2738" t="str">
        <f>+Table1[[#This Row],[id_destino]]&amp;" - "&amp;Table1[[#This Row],[id_origen]]</f>
        <v>535 - 73</v>
      </c>
    </row>
    <row r="2739" spans="1:22" hidden="1">
      <c r="A2739">
        <v>1824</v>
      </c>
      <c r="B2739">
        <v>2957</v>
      </c>
      <c r="C2739">
        <v>189</v>
      </c>
      <c r="D2739">
        <v>5964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 t="s">
        <v>20</v>
      </c>
      <c r="L2739" s="1">
        <v>43648</v>
      </c>
      <c r="M2739">
        <v>536</v>
      </c>
      <c r="N2739">
        <v>73</v>
      </c>
      <c r="O2739">
        <v>2574</v>
      </c>
      <c r="P2739">
        <v>2618</v>
      </c>
      <c r="Q2739">
        <v>2574</v>
      </c>
      <c r="S2739">
        <v>2919</v>
      </c>
      <c r="T2739">
        <v>2995</v>
      </c>
      <c r="U2739">
        <f>+SUM(Table1[[#This Row],[Latinos]:[Cemex]])</f>
        <v>1</v>
      </c>
      <c r="V2739" t="str">
        <f>+Table1[[#This Row],[id_destino]]&amp;" - "&amp;Table1[[#This Row],[id_origen]]</f>
        <v>536 - 73</v>
      </c>
    </row>
    <row r="2740" spans="1:22" hidden="1">
      <c r="A2740">
        <v>1750</v>
      </c>
      <c r="B2740">
        <v>2916</v>
      </c>
      <c r="C2740">
        <v>468</v>
      </c>
      <c r="D2740">
        <v>5917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 t="s">
        <v>20</v>
      </c>
      <c r="L2740" s="1">
        <v>43939</v>
      </c>
      <c r="M2740">
        <v>547</v>
      </c>
      <c r="N2740">
        <v>73</v>
      </c>
      <c r="O2740">
        <v>720</v>
      </c>
      <c r="P2740">
        <v>765</v>
      </c>
      <c r="Q2740">
        <v>720</v>
      </c>
      <c r="S2740">
        <v>750</v>
      </c>
      <c r="T2740">
        <v>750</v>
      </c>
      <c r="U2740">
        <f>+SUM(Table1[[#This Row],[Latinos]:[Cemex]])</f>
        <v>1</v>
      </c>
      <c r="V2740" t="str">
        <f>+Table1[[#This Row],[id_destino]]&amp;" - "&amp;Table1[[#This Row],[id_origen]]</f>
        <v>547 - 73</v>
      </c>
    </row>
    <row r="2741" spans="1:22" hidden="1">
      <c r="A2741">
        <v>1666</v>
      </c>
      <c r="B2741">
        <v>2875</v>
      </c>
      <c r="C2741">
        <v>468</v>
      </c>
      <c r="D2741">
        <v>5866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 t="s">
        <v>20</v>
      </c>
      <c r="L2741" s="1">
        <v>43554</v>
      </c>
      <c r="M2741">
        <v>566</v>
      </c>
      <c r="N2741">
        <v>73</v>
      </c>
      <c r="O2741">
        <v>478</v>
      </c>
      <c r="P2741">
        <v>474</v>
      </c>
      <c r="Q2741">
        <v>478</v>
      </c>
      <c r="S2741">
        <v>0</v>
      </c>
      <c r="T2741">
        <v>0</v>
      </c>
      <c r="U2741">
        <f>+SUM(Table1[[#This Row],[Latinos]:[Cemex]])</f>
        <v>1</v>
      </c>
      <c r="V2741" t="str">
        <f>+Table1[[#This Row],[id_destino]]&amp;" - "&amp;Table1[[#This Row],[id_origen]]</f>
        <v>566 - 73</v>
      </c>
    </row>
    <row r="2742" spans="1:22" hidden="1">
      <c r="A2742">
        <v>3714</v>
      </c>
      <c r="B2742">
        <v>4179</v>
      </c>
      <c r="C2742">
        <v>468</v>
      </c>
      <c r="D2742">
        <v>7330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 t="s">
        <v>20</v>
      </c>
      <c r="L2742" s="1">
        <v>45048</v>
      </c>
      <c r="M2742">
        <v>570</v>
      </c>
      <c r="N2742">
        <v>73</v>
      </c>
      <c r="O2742">
        <v>1034</v>
      </c>
      <c r="P2742">
        <v>1021</v>
      </c>
      <c r="Q2742">
        <v>1034</v>
      </c>
      <c r="S2742">
        <v>1905</v>
      </c>
      <c r="T2742">
        <v>1905</v>
      </c>
      <c r="U2742">
        <f>+SUM(Table1[[#This Row],[Latinos]:[Cemex]])</f>
        <v>1</v>
      </c>
      <c r="V2742" t="str">
        <f>+Table1[[#This Row],[id_destino]]&amp;" - "&amp;Table1[[#This Row],[id_origen]]</f>
        <v>570 - 73</v>
      </c>
    </row>
    <row r="2743" spans="1:22" hidden="1">
      <c r="A2743">
        <v>2383</v>
      </c>
      <c r="B2743">
        <v>3310</v>
      </c>
      <c r="C2743">
        <v>468</v>
      </c>
      <c r="D2743">
        <v>6368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 t="s">
        <v>20</v>
      </c>
      <c r="L2743" s="1">
        <v>44015</v>
      </c>
      <c r="M2743">
        <v>577</v>
      </c>
      <c r="N2743">
        <v>73</v>
      </c>
      <c r="O2743">
        <v>1459</v>
      </c>
      <c r="P2743">
        <v>1454</v>
      </c>
      <c r="Q2743">
        <v>1459</v>
      </c>
      <c r="S2743">
        <v>5326</v>
      </c>
      <c r="T2743">
        <v>5868</v>
      </c>
      <c r="U2743">
        <f>+SUM(Table1[[#This Row],[Latinos]:[Cemex]])</f>
        <v>1</v>
      </c>
      <c r="V2743" t="str">
        <f>+Table1[[#This Row],[id_destino]]&amp;" - "&amp;Table1[[#This Row],[id_origen]]</f>
        <v>577 - 73</v>
      </c>
    </row>
    <row r="2744" spans="1:22" hidden="1">
      <c r="A2744">
        <v>1892</v>
      </c>
      <c r="B2744">
        <v>3002</v>
      </c>
      <c r="C2744">
        <v>468</v>
      </c>
      <c r="D2744">
        <v>4300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 t="s">
        <v>20</v>
      </c>
      <c r="L2744" s="1">
        <v>43697</v>
      </c>
      <c r="M2744">
        <v>580</v>
      </c>
      <c r="N2744">
        <v>73</v>
      </c>
      <c r="O2744">
        <v>734</v>
      </c>
      <c r="P2744">
        <v>736</v>
      </c>
      <c r="Q2744">
        <v>734</v>
      </c>
      <c r="S2744">
        <v>402</v>
      </c>
      <c r="T2744">
        <v>402</v>
      </c>
      <c r="U2744">
        <f>+SUM(Table1[[#This Row],[Latinos]:[Cemex]])</f>
        <v>1</v>
      </c>
      <c r="V2744" t="str">
        <f>+Table1[[#This Row],[id_destino]]&amp;" - "&amp;Table1[[#This Row],[id_origen]]</f>
        <v>580 - 73</v>
      </c>
    </row>
    <row r="2745" spans="1:22" hidden="1">
      <c r="A2745">
        <v>1540</v>
      </c>
      <c r="B2745">
        <v>784</v>
      </c>
      <c r="C2745">
        <v>468</v>
      </c>
      <c r="D2745">
        <v>5813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 t="s">
        <v>20</v>
      </c>
      <c r="L2745" s="1">
        <v>43498</v>
      </c>
      <c r="M2745">
        <v>590</v>
      </c>
      <c r="N2745">
        <v>73</v>
      </c>
      <c r="O2745">
        <v>1832</v>
      </c>
      <c r="P2745">
        <v>1835</v>
      </c>
      <c r="Q2745">
        <v>1832</v>
      </c>
      <c r="S2745">
        <v>4093</v>
      </c>
      <c r="T2745">
        <v>3608</v>
      </c>
      <c r="U2745">
        <f>+SUM(Table1[[#This Row],[Latinos]:[Cemex]])</f>
        <v>1</v>
      </c>
      <c r="V2745" t="str">
        <f>+Table1[[#This Row],[id_destino]]&amp;" - "&amp;Table1[[#This Row],[id_origen]]</f>
        <v>590 - 73</v>
      </c>
    </row>
    <row r="2746" spans="1:22" hidden="1">
      <c r="A2746">
        <v>2737</v>
      </c>
      <c r="B2746">
        <v>1471</v>
      </c>
      <c r="C2746">
        <v>468</v>
      </c>
      <c r="D2746">
        <v>6624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 t="s">
        <v>20</v>
      </c>
      <c r="L2746" s="1">
        <v>44732</v>
      </c>
      <c r="M2746">
        <v>591</v>
      </c>
      <c r="N2746">
        <v>73</v>
      </c>
      <c r="O2746">
        <v>853</v>
      </c>
      <c r="P2746">
        <v>864</v>
      </c>
      <c r="Q2746">
        <v>853</v>
      </c>
      <c r="S2746">
        <v>1435</v>
      </c>
      <c r="T2746">
        <v>1435</v>
      </c>
      <c r="U2746">
        <f>+SUM(Table1[[#This Row],[Latinos]:[Cemex]])</f>
        <v>1</v>
      </c>
      <c r="V2746" t="str">
        <f>+Table1[[#This Row],[id_destino]]&amp;" - "&amp;Table1[[#This Row],[id_origen]]</f>
        <v>591 - 73</v>
      </c>
    </row>
    <row r="2747" spans="1:22" hidden="1">
      <c r="A2747">
        <v>2499</v>
      </c>
      <c r="B2747">
        <v>3381</v>
      </c>
      <c r="C2747">
        <v>468</v>
      </c>
      <c r="D2747">
        <v>6443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 t="s">
        <v>20</v>
      </c>
      <c r="L2747" s="1">
        <v>44133</v>
      </c>
      <c r="M2747">
        <v>598</v>
      </c>
      <c r="N2747">
        <v>73</v>
      </c>
      <c r="O2747">
        <v>1056</v>
      </c>
      <c r="P2747">
        <v>1063</v>
      </c>
      <c r="Q2747">
        <v>1056</v>
      </c>
      <c r="S2747">
        <v>2299</v>
      </c>
      <c r="T2747">
        <v>1438</v>
      </c>
      <c r="U2747">
        <f>+SUM(Table1[[#This Row],[Latinos]:[Cemex]])</f>
        <v>1</v>
      </c>
      <c r="V2747" t="str">
        <f>+Table1[[#This Row],[id_destino]]&amp;" - "&amp;Table1[[#This Row],[id_origen]]</f>
        <v>598 - 73</v>
      </c>
    </row>
    <row r="2748" spans="1:22" hidden="1">
      <c r="A2748">
        <v>466</v>
      </c>
      <c r="B2748">
        <v>882</v>
      </c>
      <c r="C2748">
        <v>468</v>
      </c>
      <c r="D2748">
        <v>4608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 t="s">
        <v>20</v>
      </c>
      <c r="L2748" s="1">
        <v>44679</v>
      </c>
      <c r="M2748">
        <v>602</v>
      </c>
      <c r="N2748">
        <v>73</v>
      </c>
      <c r="O2748">
        <v>847</v>
      </c>
      <c r="P2748">
        <v>836</v>
      </c>
      <c r="Q2748">
        <v>847</v>
      </c>
      <c r="S2748">
        <v>1047</v>
      </c>
      <c r="T2748">
        <v>1047</v>
      </c>
      <c r="U2748">
        <f>+SUM(Table1[[#This Row],[Latinos]:[Cemex]])</f>
        <v>1</v>
      </c>
      <c r="V2748" t="str">
        <f>+Table1[[#This Row],[id_destino]]&amp;" - "&amp;Table1[[#This Row],[id_origen]]</f>
        <v>602 - 73</v>
      </c>
    </row>
    <row r="2749" spans="1:22" hidden="1">
      <c r="A2749">
        <v>1239</v>
      </c>
      <c r="B2749">
        <v>911</v>
      </c>
      <c r="C2749">
        <v>468</v>
      </c>
      <c r="D2749">
        <v>5684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 t="s">
        <v>20</v>
      </c>
      <c r="L2749" s="1">
        <v>44053</v>
      </c>
      <c r="M2749">
        <v>606</v>
      </c>
      <c r="N2749">
        <v>73</v>
      </c>
      <c r="O2749">
        <v>1957</v>
      </c>
      <c r="P2749">
        <v>1757</v>
      </c>
      <c r="Q2749">
        <v>1957</v>
      </c>
      <c r="S2749">
        <v>3201</v>
      </c>
      <c r="T2749">
        <v>3607</v>
      </c>
      <c r="U2749">
        <f>+SUM(Table1[[#This Row],[Latinos]:[Cemex]])</f>
        <v>1</v>
      </c>
      <c r="V2749" t="str">
        <f>+Table1[[#This Row],[id_destino]]&amp;" - "&amp;Table1[[#This Row],[id_origen]]</f>
        <v>606 - 73</v>
      </c>
    </row>
    <row r="2750" spans="1:22" hidden="1">
      <c r="A2750">
        <v>450</v>
      </c>
      <c r="B2750">
        <v>1652</v>
      </c>
      <c r="C2750">
        <v>468</v>
      </c>
      <c r="D2750">
        <v>4759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 t="s">
        <v>20</v>
      </c>
      <c r="L2750" s="1">
        <v>43068</v>
      </c>
      <c r="M2750">
        <v>612</v>
      </c>
      <c r="N2750">
        <v>73</v>
      </c>
      <c r="O2750">
        <v>55</v>
      </c>
      <c r="P2750">
        <v>150</v>
      </c>
      <c r="Q2750">
        <v>55</v>
      </c>
      <c r="S2750">
        <v>0</v>
      </c>
      <c r="T2750">
        <v>0</v>
      </c>
      <c r="U2750">
        <f>+SUM(Table1[[#This Row],[Latinos]:[Cemex]])</f>
        <v>1</v>
      </c>
      <c r="V2750" t="str">
        <f>+Table1[[#This Row],[id_destino]]&amp;" - "&amp;Table1[[#This Row],[id_origen]]</f>
        <v>612 - 73</v>
      </c>
    </row>
    <row r="2751" spans="1:22" hidden="1">
      <c r="A2751">
        <v>804</v>
      </c>
      <c r="B2751">
        <v>1652</v>
      </c>
      <c r="C2751">
        <v>468</v>
      </c>
      <c r="D2751">
        <v>4759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  <c r="K2751" t="s">
        <v>20</v>
      </c>
      <c r="L2751" s="1">
        <v>43171</v>
      </c>
      <c r="M2751">
        <v>612</v>
      </c>
      <c r="N2751">
        <v>73</v>
      </c>
      <c r="O2751">
        <v>55</v>
      </c>
      <c r="P2751">
        <v>66</v>
      </c>
      <c r="Q2751">
        <v>55</v>
      </c>
      <c r="S2751">
        <v>0</v>
      </c>
      <c r="T2751">
        <v>0</v>
      </c>
      <c r="U2751">
        <f>+SUM(Table1[[#This Row],[Latinos]:[Cemex]])</f>
        <v>1</v>
      </c>
      <c r="V2751" t="str">
        <f>+Table1[[#This Row],[id_destino]]&amp;" - "&amp;Table1[[#This Row],[id_origen]]</f>
        <v>612 - 73</v>
      </c>
    </row>
    <row r="2752" spans="1:22" hidden="1">
      <c r="A2752">
        <v>1223</v>
      </c>
      <c r="B2752">
        <v>1612</v>
      </c>
      <c r="C2752">
        <v>468</v>
      </c>
      <c r="D2752">
        <v>5001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 t="s">
        <v>20</v>
      </c>
      <c r="L2752" s="1">
        <v>43347</v>
      </c>
      <c r="M2752">
        <v>615</v>
      </c>
      <c r="N2752">
        <v>73</v>
      </c>
      <c r="O2752">
        <v>741</v>
      </c>
      <c r="P2752">
        <v>749</v>
      </c>
      <c r="Q2752">
        <v>741</v>
      </c>
      <c r="S2752">
        <v>452</v>
      </c>
      <c r="T2752">
        <v>452</v>
      </c>
      <c r="U2752">
        <f>+SUM(Table1[[#This Row],[Latinos]:[Cemex]])</f>
        <v>1</v>
      </c>
      <c r="V2752" t="str">
        <f>+Table1[[#This Row],[id_destino]]&amp;" - "&amp;Table1[[#This Row],[id_origen]]</f>
        <v>615 - 73</v>
      </c>
    </row>
    <row r="2753" spans="1:22" hidden="1">
      <c r="A2753">
        <v>58</v>
      </c>
      <c r="B2753">
        <v>1400</v>
      </c>
      <c r="C2753">
        <v>468</v>
      </c>
      <c r="D2753">
        <v>2361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 t="s">
        <v>20</v>
      </c>
      <c r="L2753" s="1">
        <v>45238</v>
      </c>
      <c r="M2753">
        <v>623</v>
      </c>
      <c r="N2753">
        <v>73</v>
      </c>
      <c r="O2753">
        <v>689</v>
      </c>
      <c r="P2753">
        <v>569</v>
      </c>
      <c r="Q2753">
        <v>689</v>
      </c>
      <c r="S2753">
        <v>692</v>
      </c>
      <c r="T2753">
        <v>730</v>
      </c>
      <c r="U2753">
        <f>+SUM(Table1[[#This Row],[Latinos]:[Cemex]])</f>
        <v>1</v>
      </c>
      <c r="V2753" t="str">
        <f>+Table1[[#This Row],[id_destino]]&amp;" - "&amp;Table1[[#This Row],[id_origen]]</f>
        <v>623 - 73</v>
      </c>
    </row>
    <row r="2754" spans="1:22" hidden="1">
      <c r="A2754">
        <v>1113</v>
      </c>
      <c r="B2754">
        <v>1400</v>
      </c>
      <c r="C2754">
        <v>468</v>
      </c>
      <c r="D2754">
        <v>2361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 t="s">
        <v>20</v>
      </c>
      <c r="L2754" s="1">
        <v>45484</v>
      </c>
      <c r="M2754">
        <v>623</v>
      </c>
      <c r="N2754">
        <v>73</v>
      </c>
      <c r="O2754">
        <v>700</v>
      </c>
      <c r="P2754">
        <v>729</v>
      </c>
      <c r="Q2754">
        <v>700</v>
      </c>
      <c r="S2754">
        <v>665</v>
      </c>
      <c r="T2754">
        <v>703</v>
      </c>
      <c r="U2754">
        <f>+SUM(Table1[[#This Row],[Latinos]:[Cemex]])</f>
        <v>1</v>
      </c>
      <c r="V2754" t="str">
        <f>+Table1[[#This Row],[id_destino]]&amp;" - "&amp;Table1[[#This Row],[id_origen]]</f>
        <v>623 - 73</v>
      </c>
    </row>
    <row r="2755" spans="1:22" hidden="1">
      <c r="A2755">
        <v>670</v>
      </c>
      <c r="B2755">
        <v>2400</v>
      </c>
      <c r="C2755">
        <v>468</v>
      </c>
      <c r="D2755">
        <v>5443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 t="s">
        <v>20</v>
      </c>
      <c r="L2755" s="1">
        <v>44601</v>
      </c>
      <c r="M2755">
        <v>625</v>
      </c>
      <c r="N2755">
        <v>73</v>
      </c>
      <c r="O2755">
        <v>698</v>
      </c>
      <c r="P2755">
        <v>554</v>
      </c>
      <c r="Q2755">
        <v>698</v>
      </c>
      <c r="S2755">
        <v>692</v>
      </c>
      <c r="T2755">
        <v>730</v>
      </c>
      <c r="U2755">
        <f>+SUM(Table1[[#This Row],[Latinos]:[Cemex]])</f>
        <v>1</v>
      </c>
      <c r="V2755" t="str">
        <f>+Table1[[#This Row],[id_destino]]&amp;" - "&amp;Table1[[#This Row],[id_origen]]</f>
        <v>625 - 73</v>
      </c>
    </row>
    <row r="2756" spans="1:22" hidden="1">
      <c r="A2756">
        <v>623</v>
      </c>
      <c r="B2756">
        <v>1232</v>
      </c>
      <c r="C2756">
        <v>468</v>
      </c>
      <c r="D2756">
        <v>3558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 t="s">
        <v>20</v>
      </c>
      <c r="L2756" s="1">
        <v>45821</v>
      </c>
      <c r="M2756">
        <v>629</v>
      </c>
      <c r="N2756">
        <v>73</v>
      </c>
      <c r="O2756">
        <v>324</v>
      </c>
      <c r="P2756">
        <v>350</v>
      </c>
      <c r="Q2756">
        <v>324</v>
      </c>
      <c r="S2756">
        <v>782</v>
      </c>
      <c r="T2756">
        <v>782</v>
      </c>
      <c r="U2756">
        <f>+SUM(Table1[[#This Row],[Latinos]:[Cemex]])</f>
        <v>1</v>
      </c>
      <c r="V2756" t="str">
        <f>+Table1[[#This Row],[id_destino]]&amp;" - "&amp;Table1[[#This Row],[id_origen]]</f>
        <v>629 - 73</v>
      </c>
    </row>
    <row r="2757" spans="1:22" hidden="1">
      <c r="A2757">
        <v>654</v>
      </c>
      <c r="B2757">
        <v>1232</v>
      </c>
      <c r="C2757">
        <v>468</v>
      </c>
      <c r="D2757">
        <v>3558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 t="s">
        <v>20</v>
      </c>
      <c r="L2757" s="1">
        <v>44613</v>
      </c>
      <c r="M2757">
        <v>629</v>
      </c>
      <c r="N2757">
        <v>73</v>
      </c>
      <c r="O2757">
        <v>332</v>
      </c>
      <c r="P2757">
        <v>340</v>
      </c>
      <c r="Q2757">
        <v>332</v>
      </c>
      <c r="S2757">
        <v>782</v>
      </c>
      <c r="T2757">
        <v>782</v>
      </c>
      <c r="U2757">
        <f>+SUM(Table1[[#This Row],[Latinos]:[Cemex]])</f>
        <v>1</v>
      </c>
      <c r="V2757" t="str">
        <f>+Table1[[#This Row],[id_destino]]&amp;" - "&amp;Table1[[#This Row],[id_origen]]</f>
        <v>629 - 73</v>
      </c>
    </row>
    <row r="2758" spans="1:22" hidden="1">
      <c r="A2758">
        <v>2884</v>
      </c>
      <c r="B2758">
        <v>1232</v>
      </c>
      <c r="C2758">
        <v>468</v>
      </c>
      <c r="D2758">
        <v>3558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  <c r="K2758" t="s">
        <v>20</v>
      </c>
      <c r="L2758" s="1">
        <v>44587</v>
      </c>
      <c r="M2758">
        <v>629</v>
      </c>
      <c r="N2758">
        <v>73</v>
      </c>
      <c r="O2758">
        <v>324</v>
      </c>
      <c r="P2758">
        <v>350</v>
      </c>
      <c r="Q2758">
        <v>324</v>
      </c>
      <c r="S2758">
        <v>330</v>
      </c>
      <c r="T2758">
        <v>330</v>
      </c>
      <c r="U2758">
        <f>+SUM(Table1[[#This Row],[Latinos]:[Cemex]])</f>
        <v>1</v>
      </c>
      <c r="V2758" t="str">
        <f>+Table1[[#This Row],[id_destino]]&amp;" - "&amp;Table1[[#This Row],[id_origen]]</f>
        <v>629 - 73</v>
      </c>
    </row>
    <row r="2759" spans="1:22" hidden="1">
      <c r="A2759">
        <v>2282</v>
      </c>
      <c r="B2759">
        <v>3248</v>
      </c>
      <c r="C2759">
        <v>468</v>
      </c>
      <c r="D2759">
        <v>6310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 t="s">
        <v>20</v>
      </c>
      <c r="L2759" s="1">
        <v>43903</v>
      </c>
      <c r="M2759">
        <v>631</v>
      </c>
      <c r="N2759">
        <v>73</v>
      </c>
      <c r="O2759">
        <v>763</v>
      </c>
      <c r="P2759">
        <v>768</v>
      </c>
      <c r="Q2759">
        <v>763</v>
      </c>
      <c r="S2759">
        <v>455</v>
      </c>
      <c r="T2759">
        <v>455</v>
      </c>
      <c r="U2759">
        <f>+SUM(Table1[[#This Row],[Latinos]:[Cemex]])</f>
        <v>1</v>
      </c>
      <c r="V2759" t="str">
        <f>+Table1[[#This Row],[id_destino]]&amp;" - "&amp;Table1[[#This Row],[id_origen]]</f>
        <v>631 - 73</v>
      </c>
    </row>
    <row r="2760" spans="1:22" hidden="1">
      <c r="A2760">
        <v>3677</v>
      </c>
      <c r="B2760">
        <v>4156</v>
      </c>
      <c r="C2760">
        <v>3426</v>
      </c>
      <c r="D2760">
        <v>7302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 t="s">
        <v>20</v>
      </c>
      <c r="L2760" s="1">
        <v>45021</v>
      </c>
      <c r="M2760">
        <v>634</v>
      </c>
      <c r="N2760">
        <v>73</v>
      </c>
      <c r="O2760">
        <v>1462</v>
      </c>
      <c r="P2760">
        <v>1461</v>
      </c>
      <c r="Q2760">
        <v>1462</v>
      </c>
      <c r="S2760">
        <v>2440</v>
      </c>
      <c r="T2760">
        <v>2440</v>
      </c>
      <c r="U2760">
        <f>+SUM(Table1[[#This Row],[Latinos]:[Cemex]])</f>
        <v>1</v>
      </c>
      <c r="V2760" t="str">
        <f>+Table1[[#This Row],[id_destino]]&amp;" - "&amp;Table1[[#This Row],[id_origen]]</f>
        <v>634 - 73</v>
      </c>
    </row>
    <row r="2761" spans="1:22" hidden="1">
      <c r="A2761">
        <v>1035</v>
      </c>
      <c r="B2761">
        <v>1356</v>
      </c>
      <c r="C2761">
        <v>468</v>
      </c>
      <c r="D2761">
        <v>4572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 t="s">
        <v>20</v>
      </c>
      <c r="L2761" s="1">
        <v>43257</v>
      </c>
      <c r="M2761">
        <v>640</v>
      </c>
      <c r="N2761">
        <v>73</v>
      </c>
      <c r="O2761">
        <v>539</v>
      </c>
      <c r="P2761">
        <v>578</v>
      </c>
      <c r="Q2761">
        <v>539</v>
      </c>
      <c r="S2761">
        <v>0</v>
      </c>
      <c r="T2761">
        <v>0</v>
      </c>
      <c r="U2761">
        <f>+SUM(Table1[[#This Row],[Latinos]:[Cemex]])</f>
        <v>1</v>
      </c>
      <c r="V2761" t="str">
        <f>+Table1[[#This Row],[id_destino]]&amp;" - "&amp;Table1[[#This Row],[id_origen]]</f>
        <v>640 - 73</v>
      </c>
    </row>
    <row r="2762" spans="1:22" hidden="1">
      <c r="A2762">
        <v>3102</v>
      </c>
      <c r="B2762">
        <v>1388</v>
      </c>
      <c r="C2762">
        <v>468</v>
      </c>
      <c r="D2762">
        <v>5430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 t="s">
        <v>20</v>
      </c>
      <c r="L2762" s="1">
        <v>44727</v>
      </c>
      <c r="M2762">
        <v>643</v>
      </c>
      <c r="N2762">
        <v>73</v>
      </c>
      <c r="O2762">
        <v>1117</v>
      </c>
      <c r="P2762">
        <v>1182</v>
      </c>
      <c r="Q2762">
        <v>1117</v>
      </c>
      <c r="S2762">
        <v>2193</v>
      </c>
      <c r="T2762">
        <v>2193</v>
      </c>
      <c r="U2762">
        <f>+SUM(Table1[[#This Row],[Latinos]:[Cemex]])</f>
        <v>1</v>
      </c>
      <c r="V2762" t="str">
        <f>+Table1[[#This Row],[id_destino]]&amp;" - "&amp;Table1[[#This Row],[id_origen]]</f>
        <v>643 - 73</v>
      </c>
    </row>
    <row r="2763" spans="1:22" hidden="1">
      <c r="A2763">
        <v>684</v>
      </c>
      <c r="B2763">
        <v>1497</v>
      </c>
      <c r="C2763">
        <v>468</v>
      </c>
      <c r="D2763">
        <v>5251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 t="s">
        <v>20</v>
      </c>
      <c r="L2763" s="1">
        <v>43130</v>
      </c>
      <c r="M2763">
        <v>645</v>
      </c>
      <c r="N2763">
        <v>73</v>
      </c>
      <c r="O2763">
        <v>50</v>
      </c>
      <c r="P2763">
        <v>150</v>
      </c>
      <c r="Q2763">
        <v>50</v>
      </c>
      <c r="S2763">
        <v>0</v>
      </c>
      <c r="T2763">
        <v>0</v>
      </c>
      <c r="U2763">
        <f>+SUM(Table1[[#This Row],[Latinos]:[Cemex]])</f>
        <v>1</v>
      </c>
      <c r="V2763" t="str">
        <f>+Table1[[#This Row],[id_destino]]&amp;" - "&amp;Table1[[#This Row],[id_origen]]</f>
        <v>645 - 73</v>
      </c>
    </row>
    <row r="2764" spans="1:22" hidden="1">
      <c r="A2764">
        <v>2822</v>
      </c>
      <c r="B2764">
        <v>1547</v>
      </c>
      <c r="C2764">
        <v>468</v>
      </c>
      <c r="D2764">
        <v>5102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 t="s">
        <v>20</v>
      </c>
      <c r="L2764" s="1">
        <v>44488</v>
      </c>
      <c r="M2764">
        <v>649</v>
      </c>
      <c r="N2764">
        <v>73</v>
      </c>
      <c r="O2764">
        <v>1024</v>
      </c>
      <c r="P2764">
        <v>1024</v>
      </c>
      <c r="Q2764">
        <v>1024</v>
      </c>
      <c r="S2764">
        <v>1327</v>
      </c>
      <c r="T2764">
        <v>1327</v>
      </c>
      <c r="U2764">
        <f>+SUM(Table1[[#This Row],[Latinos]:[Cemex]])</f>
        <v>1</v>
      </c>
      <c r="V2764" t="str">
        <f>+Table1[[#This Row],[id_destino]]&amp;" - "&amp;Table1[[#This Row],[id_origen]]</f>
        <v>649 - 73</v>
      </c>
    </row>
    <row r="2765" spans="1:22" hidden="1">
      <c r="A2765">
        <v>445</v>
      </c>
      <c r="B2765">
        <v>2294</v>
      </c>
      <c r="C2765">
        <v>468</v>
      </c>
      <c r="D2765">
        <v>72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 t="s">
        <v>20</v>
      </c>
      <c r="L2765" s="1">
        <v>43067</v>
      </c>
      <c r="M2765">
        <v>669</v>
      </c>
      <c r="N2765">
        <v>73</v>
      </c>
      <c r="O2765">
        <v>518</v>
      </c>
      <c r="P2765">
        <v>509</v>
      </c>
      <c r="Q2765">
        <v>518</v>
      </c>
      <c r="S2765">
        <v>702.99</v>
      </c>
      <c r="T2765">
        <v>702.99</v>
      </c>
      <c r="U2765">
        <f>+SUM(Table1[[#This Row],[Latinos]:[Cemex]])</f>
        <v>1</v>
      </c>
      <c r="V2765" t="str">
        <f>+Table1[[#This Row],[id_destino]]&amp;" - "&amp;Table1[[#This Row],[id_origen]]</f>
        <v>669 - 73</v>
      </c>
    </row>
    <row r="2766" spans="1:22" hidden="1">
      <c r="A2766">
        <v>2100</v>
      </c>
      <c r="B2766">
        <v>2294</v>
      </c>
      <c r="C2766">
        <v>468</v>
      </c>
      <c r="D2766">
        <v>6185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 t="s">
        <v>20</v>
      </c>
      <c r="L2766" s="1">
        <v>43809</v>
      </c>
      <c r="M2766">
        <v>669</v>
      </c>
      <c r="N2766">
        <v>73</v>
      </c>
      <c r="O2766">
        <v>518</v>
      </c>
      <c r="P2766">
        <v>525</v>
      </c>
      <c r="Q2766">
        <v>518</v>
      </c>
      <c r="S2766">
        <v>0</v>
      </c>
      <c r="T2766">
        <v>0</v>
      </c>
      <c r="U2766">
        <f>+SUM(Table1[[#This Row],[Latinos]:[Cemex]])</f>
        <v>1</v>
      </c>
      <c r="V2766" t="str">
        <f>+Table1[[#This Row],[id_destino]]&amp;" - "&amp;Table1[[#This Row],[id_origen]]</f>
        <v>669 - 73</v>
      </c>
    </row>
    <row r="2767" spans="1:22" hidden="1">
      <c r="A2767">
        <v>4137</v>
      </c>
      <c r="B2767">
        <v>2294</v>
      </c>
      <c r="C2767">
        <v>468</v>
      </c>
      <c r="D2767">
        <v>72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 t="s">
        <v>20</v>
      </c>
      <c r="L2767" s="1">
        <v>45313</v>
      </c>
      <c r="M2767">
        <v>669</v>
      </c>
      <c r="N2767">
        <v>73</v>
      </c>
      <c r="O2767">
        <v>525</v>
      </c>
      <c r="P2767">
        <v>525</v>
      </c>
      <c r="Q2767">
        <v>525</v>
      </c>
      <c r="S2767">
        <v>200</v>
      </c>
      <c r="T2767">
        <v>200</v>
      </c>
      <c r="U2767">
        <f>+SUM(Table1[[#This Row],[Latinos]:[Cemex]])</f>
        <v>1</v>
      </c>
      <c r="V2767" t="str">
        <f>+Table1[[#This Row],[id_destino]]&amp;" - "&amp;Table1[[#This Row],[id_origen]]</f>
        <v>669 - 73</v>
      </c>
    </row>
    <row r="2768" spans="1:22" hidden="1">
      <c r="A2768">
        <v>2553</v>
      </c>
      <c r="B2768">
        <v>3413</v>
      </c>
      <c r="C2768">
        <v>468</v>
      </c>
      <c r="D2768">
        <v>3908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 t="s">
        <v>20</v>
      </c>
      <c r="L2768" s="1">
        <v>44176</v>
      </c>
      <c r="M2768">
        <v>672</v>
      </c>
      <c r="N2768">
        <v>73</v>
      </c>
      <c r="O2768">
        <v>733</v>
      </c>
      <c r="P2768">
        <v>734</v>
      </c>
      <c r="Q2768">
        <v>733</v>
      </c>
      <c r="S2768">
        <v>654</v>
      </c>
      <c r="T2768">
        <v>654</v>
      </c>
      <c r="U2768">
        <f>+SUM(Table1[[#This Row],[Latinos]:[Cemex]])</f>
        <v>1</v>
      </c>
      <c r="V2768" t="str">
        <f>+Table1[[#This Row],[id_destino]]&amp;" - "&amp;Table1[[#This Row],[id_origen]]</f>
        <v>672 - 73</v>
      </c>
    </row>
    <row r="2769" spans="1:22" hidden="1">
      <c r="A2769">
        <v>763</v>
      </c>
      <c r="B2769">
        <v>2442</v>
      </c>
      <c r="C2769">
        <v>468</v>
      </c>
      <c r="D2769">
        <v>3681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 t="s">
        <v>20</v>
      </c>
      <c r="L2769" s="1">
        <v>43158</v>
      </c>
      <c r="M2769">
        <v>677</v>
      </c>
      <c r="N2769">
        <v>73</v>
      </c>
      <c r="O2769">
        <v>50</v>
      </c>
      <c r="P2769">
        <v>150</v>
      </c>
      <c r="Q2769">
        <v>50</v>
      </c>
      <c r="S2769">
        <v>0</v>
      </c>
      <c r="T2769">
        <v>0</v>
      </c>
      <c r="U2769">
        <f>+SUM(Table1[[#This Row],[Latinos]:[Cemex]])</f>
        <v>1</v>
      </c>
      <c r="V2769" t="str">
        <f>+Table1[[#This Row],[id_destino]]&amp;" - "&amp;Table1[[#This Row],[id_origen]]</f>
        <v>677 - 73</v>
      </c>
    </row>
    <row r="2770" spans="1:22" hidden="1">
      <c r="A2770">
        <v>91</v>
      </c>
      <c r="B2770">
        <v>2096</v>
      </c>
      <c r="C2770">
        <v>468</v>
      </c>
      <c r="D2770">
        <v>5222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 t="s">
        <v>20</v>
      </c>
      <c r="L2770" s="1">
        <v>45774</v>
      </c>
      <c r="M2770">
        <v>684</v>
      </c>
      <c r="N2770">
        <v>73</v>
      </c>
      <c r="O2770">
        <v>1102</v>
      </c>
      <c r="P2770">
        <v>1098</v>
      </c>
      <c r="Q2770">
        <v>1102</v>
      </c>
      <c r="S2770">
        <v>1977</v>
      </c>
      <c r="T2770">
        <v>1982</v>
      </c>
      <c r="U2770">
        <f>+SUM(Table1[[#This Row],[Latinos]:[Cemex]])</f>
        <v>1</v>
      </c>
      <c r="V2770" t="str">
        <f>+Table1[[#This Row],[id_destino]]&amp;" - "&amp;Table1[[#This Row],[id_origen]]</f>
        <v>684 - 73</v>
      </c>
    </row>
    <row r="2771" spans="1:22" hidden="1">
      <c r="A2771">
        <v>4439</v>
      </c>
      <c r="B2771">
        <v>2096</v>
      </c>
      <c r="C2771">
        <v>468</v>
      </c>
      <c r="D2771">
        <v>7907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  <c r="K2771" t="s">
        <v>20</v>
      </c>
      <c r="L2771" s="1">
        <v>45542</v>
      </c>
      <c r="M2771">
        <v>684</v>
      </c>
      <c r="N2771">
        <v>73</v>
      </c>
      <c r="O2771">
        <v>1102</v>
      </c>
      <c r="P2771">
        <v>1109</v>
      </c>
      <c r="Q2771">
        <v>1102</v>
      </c>
      <c r="S2771">
        <v>1691</v>
      </c>
      <c r="T2771">
        <v>2158</v>
      </c>
      <c r="U2771">
        <f>+SUM(Table1[[#This Row],[Latinos]:[Cemex]])</f>
        <v>1</v>
      </c>
      <c r="V2771" t="str">
        <f>+Table1[[#This Row],[id_destino]]&amp;" - "&amp;Table1[[#This Row],[id_origen]]</f>
        <v>684 - 73</v>
      </c>
    </row>
    <row r="2772" spans="1:22" hidden="1">
      <c r="A2772">
        <v>4214</v>
      </c>
      <c r="B2772">
        <v>2164</v>
      </c>
      <c r="C2772">
        <v>468</v>
      </c>
      <c r="D2772">
        <v>7702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 t="s">
        <v>20</v>
      </c>
      <c r="L2772" s="1">
        <v>45370</v>
      </c>
      <c r="M2772">
        <v>690</v>
      </c>
      <c r="N2772">
        <v>73</v>
      </c>
      <c r="O2772">
        <v>2498</v>
      </c>
      <c r="P2772">
        <v>2498</v>
      </c>
      <c r="Q2772">
        <v>2498</v>
      </c>
      <c r="S2772">
        <v>4751</v>
      </c>
      <c r="T2772">
        <v>5174</v>
      </c>
      <c r="U2772">
        <f>+SUM(Table1[[#This Row],[Latinos]:[Cemex]])</f>
        <v>1</v>
      </c>
      <c r="V2772" t="str">
        <f>+Table1[[#This Row],[id_destino]]&amp;" - "&amp;Table1[[#This Row],[id_origen]]</f>
        <v>690 - 73</v>
      </c>
    </row>
    <row r="2773" spans="1:22" hidden="1">
      <c r="A2773">
        <v>1327</v>
      </c>
      <c r="B2773">
        <v>2693</v>
      </c>
      <c r="C2773">
        <v>468</v>
      </c>
      <c r="D2773">
        <v>5646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 t="s">
        <v>20</v>
      </c>
      <c r="L2773" s="1">
        <v>43385</v>
      </c>
      <c r="M2773">
        <v>695</v>
      </c>
      <c r="N2773">
        <v>73</v>
      </c>
      <c r="O2773">
        <v>384</v>
      </c>
      <c r="P2773">
        <v>381</v>
      </c>
      <c r="Q2773">
        <v>384</v>
      </c>
      <c r="S2773">
        <v>0</v>
      </c>
      <c r="T2773">
        <v>0</v>
      </c>
      <c r="U2773">
        <f>+SUM(Table1[[#This Row],[Latinos]:[Cemex]])</f>
        <v>1</v>
      </c>
      <c r="V2773" t="str">
        <f>+Table1[[#This Row],[id_destino]]&amp;" - "&amp;Table1[[#This Row],[id_origen]]</f>
        <v>695 - 73</v>
      </c>
    </row>
    <row r="2774" spans="1:22" hidden="1">
      <c r="A2774">
        <v>3167</v>
      </c>
      <c r="B2774">
        <v>3815</v>
      </c>
      <c r="C2774">
        <v>468</v>
      </c>
      <c r="D2774">
        <v>6970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 t="s">
        <v>93</v>
      </c>
      <c r="L2774" s="1">
        <v>44751</v>
      </c>
      <c r="M2774">
        <v>707</v>
      </c>
      <c r="N2774">
        <v>73</v>
      </c>
      <c r="O2774">
        <v>846</v>
      </c>
      <c r="P2774">
        <v>788</v>
      </c>
      <c r="Q2774">
        <v>846</v>
      </c>
      <c r="S2774">
        <v>1724</v>
      </c>
      <c r="T2774">
        <v>1762</v>
      </c>
      <c r="U2774">
        <f>+SUM(Table1[[#This Row],[Latinos]:[Cemex]])</f>
        <v>1</v>
      </c>
      <c r="V2774" t="str">
        <f>+Table1[[#This Row],[id_destino]]&amp;" - "&amp;Table1[[#This Row],[id_origen]]</f>
        <v>707 - 73</v>
      </c>
    </row>
    <row r="2775" spans="1:22" hidden="1">
      <c r="A2775">
        <v>4453</v>
      </c>
      <c r="B2775">
        <v>4670</v>
      </c>
      <c r="C2775">
        <v>468</v>
      </c>
      <c r="D2775">
        <v>7916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 t="s">
        <v>20</v>
      </c>
      <c r="L2775" s="1">
        <v>45558</v>
      </c>
      <c r="M2775">
        <v>709</v>
      </c>
      <c r="N2775">
        <v>73</v>
      </c>
      <c r="O2775">
        <v>714</v>
      </c>
      <c r="P2775">
        <v>808</v>
      </c>
      <c r="Q2775">
        <v>714</v>
      </c>
      <c r="S2775">
        <v>1088.99</v>
      </c>
      <c r="T2775">
        <v>1088.99</v>
      </c>
      <c r="U2775">
        <f>+SUM(Table1[[#This Row],[Latinos]:[Cemex]])</f>
        <v>1</v>
      </c>
      <c r="V2775" t="str">
        <f>+Table1[[#This Row],[id_destino]]&amp;" - "&amp;Table1[[#This Row],[id_origen]]</f>
        <v>709 - 73</v>
      </c>
    </row>
    <row r="2776" spans="1:22" hidden="1">
      <c r="A2776">
        <v>125</v>
      </c>
      <c r="B2776">
        <v>2230</v>
      </c>
      <c r="C2776">
        <v>468</v>
      </c>
      <c r="D2776">
        <v>5272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 t="s">
        <v>20</v>
      </c>
      <c r="L2776" s="1">
        <v>42996</v>
      </c>
      <c r="M2776">
        <v>713</v>
      </c>
      <c r="N2776">
        <v>73</v>
      </c>
      <c r="O2776">
        <v>915</v>
      </c>
      <c r="P2776">
        <v>920</v>
      </c>
      <c r="Q2776">
        <v>915</v>
      </c>
      <c r="S2776">
        <v>844</v>
      </c>
      <c r="T2776">
        <v>844</v>
      </c>
      <c r="U2776">
        <f>+SUM(Table1[[#This Row],[Latinos]:[Cemex]])</f>
        <v>1</v>
      </c>
      <c r="V2776" t="str">
        <f>+Table1[[#This Row],[id_destino]]&amp;" - "&amp;Table1[[#This Row],[id_origen]]</f>
        <v>713 - 73</v>
      </c>
    </row>
    <row r="2777" spans="1:22" hidden="1">
      <c r="A2777">
        <v>20</v>
      </c>
      <c r="B2777">
        <v>62</v>
      </c>
      <c r="C2777">
        <v>468</v>
      </c>
      <c r="D2777">
        <v>255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 t="s">
        <v>20</v>
      </c>
      <c r="L2777" s="1">
        <v>42983</v>
      </c>
      <c r="M2777">
        <v>714</v>
      </c>
      <c r="N2777">
        <v>73</v>
      </c>
      <c r="O2777">
        <v>922</v>
      </c>
      <c r="P2777">
        <v>910</v>
      </c>
      <c r="Q2777">
        <v>922</v>
      </c>
      <c r="S2777">
        <v>1700</v>
      </c>
      <c r="T2777">
        <v>1700</v>
      </c>
      <c r="U2777">
        <f>+SUM(Table1[[#This Row],[Latinos]:[Cemex]])</f>
        <v>1</v>
      </c>
      <c r="V2777" t="str">
        <f>+Table1[[#This Row],[id_destino]]&amp;" - "&amp;Table1[[#This Row],[id_origen]]</f>
        <v>714 - 73</v>
      </c>
    </row>
    <row r="2778" spans="1:22" hidden="1">
      <c r="A2778">
        <v>29</v>
      </c>
      <c r="B2778">
        <v>62</v>
      </c>
      <c r="C2778">
        <v>468</v>
      </c>
      <c r="D2778">
        <v>255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 t="s">
        <v>20</v>
      </c>
      <c r="L2778" s="1">
        <v>44074</v>
      </c>
      <c r="M2778">
        <v>714</v>
      </c>
      <c r="N2778">
        <v>73</v>
      </c>
      <c r="O2778">
        <v>922</v>
      </c>
      <c r="P2778">
        <v>920</v>
      </c>
      <c r="Q2778">
        <v>922</v>
      </c>
      <c r="S2778">
        <v>937</v>
      </c>
      <c r="T2778">
        <v>937</v>
      </c>
      <c r="U2778">
        <f>+SUM(Table1[[#This Row],[Latinos]:[Cemex]])</f>
        <v>1</v>
      </c>
      <c r="V2778" t="str">
        <f>+Table1[[#This Row],[id_destino]]&amp;" - "&amp;Table1[[#This Row],[id_origen]]</f>
        <v>714 - 73</v>
      </c>
    </row>
    <row r="2779" spans="1:22" hidden="1">
      <c r="A2779">
        <v>1758</v>
      </c>
      <c r="B2779">
        <v>2920</v>
      </c>
      <c r="C2779">
        <v>468</v>
      </c>
      <c r="D2779">
        <v>5283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 t="s">
        <v>20</v>
      </c>
      <c r="L2779" s="1">
        <v>43605</v>
      </c>
      <c r="M2779">
        <v>716</v>
      </c>
      <c r="N2779">
        <v>73</v>
      </c>
      <c r="O2779">
        <v>903</v>
      </c>
      <c r="P2779">
        <v>895</v>
      </c>
      <c r="Q2779">
        <v>903</v>
      </c>
      <c r="S2779">
        <v>1179</v>
      </c>
      <c r="T2779">
        <v>1179</v>
      </c>
      <c r="U2779">
        <f>+SUM(Table1[[#This Row],[Latinos]:[Cemex]])</f>
        <v>1</v>
      </c>
      <c r="V2779" t="str">
        <f>+Table1[[#This Row],[id_destino]]&amp;" - "&amp;Table1[[#This Row],[id_origen]]</f>
        <v>716 - 73</v>
      </c>
    </row>
    <row r="2780" spans="1:22" hidden="1">
      <c r="A2780">
        <v>182</v>
      </c>
      <c r="B2780">
        <v>2237</v>
      </c>
      <c r="C2780">
        <v>468</v>
      </c>
      <c r="D2780">
        <v>5301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 t="s">
        <v>20</v>
      </c>
      <c r="L2780" s="1">
        <v>43006</v>
      </c>
      <c r="M2780">
        <v>721</v>
      </c>
      <c r="N2780">
        <v>73</v>
      </c>
      <c r="O2780">
        <v>1170</v>
      </c>
      <c r="P2780">
        <v>1189</v>
      </c>
      <c r="Q2780">
        <v>1170</v>
      </c>
      <c r="S2780">
        <v>15445</v>
      </c>
      <c r="T2780">
        <v>1545</v>
      </c>
      <c r="U2780">
        <f>+SUM(Table1[[#This Row],[Latinos]:[Cemex]])</f>
        <v>1</v>
      </c>
      <c r="V2780" t="str">
        <f>+Table1[[#This Row],[id_destino]]&amp;" - "&amp;Table1[[#This Row],[id_origen]]</f>
        <v>721 - 73</v>
      </c>
    </row>
    <row r="2781" spans="1:22" hidden="1">
      <c r="A2781">
        <v>2788</v>
      </c>
      <c r="B2781">
        <v>3565</v>
      </c>
      <c r="C2781">
        <v>566</v>
      </c>
      <c r="D2781">
        <v>6669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  <c r="K2781" t="s">
        <v>92</v>
      </c>
      <c r="L2781" s="1">
        <v>44442</v>
      </c>
      <c r="M2781">
        <v>724</v>
      </c>
      <c r="N2781">
        <v>73</v>
      </c>
      <c r="O2781">
        <v>30</v>
      </c>
      <c r="P2781">
        <v>30</v>
      </c>
      <c r="Q2781">
        <v>50</v>
      </c>
      <c r="S2781">
        <v>0</v>
      </c>
      <c r="T2781">
        <v>0</v>
      </c>
      <c r="U2781">
        <f>+SUM(Table1[[#This Row],[Latinos]:[Cemex]])</f>
        <v>1</v>
      </c>
      <c r="V2781" t="str">
        <f>+Table1[[#This Row],[id_destino]]&amp;" - "&amp;Table1[[#This Row],[id_origen]]</f>
        <v>724 - 73</v>
      </c>
    </row>
    <row r="2782" spans="1:22" hidden="1">
      <c r="A2782">
        <v>2936</v>
      </c>
      <c r="B2782">
        <v>3565</v>
      </c>
      <c r="C2782">
        <v>566</v>
      </c>
      <c r="D2782">
        <v>6669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  <c r="K2782" t="s">
        <v>20</v>
      </c>
      <c r="L2782" s="1">
        <v>44627</v>
      </c>
      <c r="M2782">
        <v>724</v>
      </c>
      <c r="N2782">
        <v>73</v>
      </c>
      <c r="O2782">
        <v>50</v>
      </c>
      <c r="P2782">
        <v>150</v>
      </c>
      <c r="Q2782">
        <v>50</v>
      </c>
      <c r="S2782">
        <v>0</v>
      </c>
      <c r="T2782">
        <v>0</v>
      </c>
      <c r="U2782">
        <f>+SUM(Table1[[#This Row],[Latinos]:[Cemex]])</f>
        <v>1</v>
      </c>
      <c r="V2782" t="str">
        <f>+Table1[[#This Row],[id_destino]]&amp;" - "&amp;Table1[[#This Row],[id_origen]]</f>
        <v>724 - 73</v>
      </c>
    </row>
    <row r="2783" spans="1:22" hidden="1">
      <c r="A2783">
        <v>4287</v>
      </c>
      <c r="B2783">
        <v>3565</v>
      </c>
      <c r="C2783">
        <v>6089</v>
      </c>
      <c r="D2783">
        <v>7766</v>
      </c>
      <c r="E2783">
        <v>0</v>
      </c>
      <c r="F2783">
        <v>0</v>
      </c>
      <c r="G2783">
        <v>1</v>
      </c>
      <c r="H2783">
        <v>0</v>
      </c>
      <c r="I2783">
        <v>1</v>
      </c>
      <c r="J2783">
        <v>0</v>
      </c>
      <c r="K2783" t="s">
        <v>111</v>
      </c>
      <c r="L2783" s="1">
        <v>45429</v>
      </c>
      <c r="M2783">
        <v>724</v>
      </c>
      <c r="N2783">
        <v>73</v>
      </c>
      <c r="O2783">
        <v>241</v>
      </c>
      <c r="P2783">
        <v>241.45</v>
      </c>
      <c r="Q2783">
        <v>300</v>
      </c>
      <c r="S2783">
        <v>0</v>
      </c>
      <c r="T2783">
        <v>0</v>
      </c>
      <c r="U2783">
        <f>+SUM(Table1[[#This Row],[Latinos]:[Cemex]])</f>
        <v>2</v>
      </c>
      <c r="V2783" t="str">
        <f>+Table1[[#This Row],[id_destino]]&amp;" - "&amp;Table1[[#This Row],[id_origen]]</f>
        <v>724 - 73</v>
      </c>
    </row>
    <row r="2784" spans="1:22" hidden="1">
      <c r="A2784">
        <v>1324</v>
      </c>
      <c r="B2784">
        <v>2691</v>
      </c>
      <c r="C2784">
        <v>468</v>
      </c>
      <c r="D2784">
        <v>5725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 t="s">
        <v>20</v>
      </c>
      <c r="L2784" s="1">
        <v>43384</v>
      </c>
      <c r="M2784">
        <v>726</v>
      </c>
      <c r="N2784">
        <v>73</v>
      </c>
      <c r="O2784">
        <v>483</v>
      </c>
      <c r="P2784">
        <v>481</v>
      </c>
      <c r="Q2784">
        <v>483</v>
      </c>
      <c r="S2784">
        <v>0</v>
      </c>
      <c r="T2784">
        <v>0</v>
      </c>
      <c r="U2784">
        <f>+SUM(Table1[[#This Row],[Latinos]:[Cemex]])</f>
        <v>1</v>
      </c>
      <c r="V2784" t="str">
        <f>+Table1[[#This Row],[id_destino]]&amp;" - "&amp;Table1[[#This Row],[id_origen]]</f>
        <v>726 - 73</v>
      </c>
    </row>
    <row r="2785" spans="1:22" hidden="1">
      <c r="A2785">
        <v>2858</v>
      </c>
      <c r="B2785">
        <v>3612</v>
      </c>
      <c r="C2785">
        <v>468</v>
      </c>
      <c r="D2785">
        <v>5412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 t="s">
        <v>20</v>
      </c>
      <c r="L2785" s="1">
        <v>44553</v>
      </c>
      <c r="M2785">
        <v>729</v>
      </c>
      <c r="N2785">
        <v>73</v>
      </c>
      <c r="O2785">
        <v>908</v>
      </c>
      <c r="P2785">
        <v>871</v>
      </c>
      <c r="Q2785">
        <v>908</v>
      </c>
      <c r="S2785">
        <v>1528</v>
      </c>
      <c r="T2785">
        <v>1528</v>
      </c>
      <c r="U2785">
        <f>+SUM(Table1[[#This Row],[Latinos]:[Cemex]])</f>
        <v>1</v>
      </c>
      <c r="V2785" t="str">
        <f>+Table1[[#This Row],[id_destino]]&amp;" - "&amp;Table1[[#This Row],[id_origen]]</f>
        <v>729 - 73</v>
      </c>
    </row>
    <row r="2786" spans="1:22" hidden="1">
      <c r="A2786">
        <v>1320</v>
      </c>
      <c r="B2786">
        <v>2689</v>
      </c>
      <c r="C2786">
        <v>468</v>
      </c>
      <c r="D2786">
        <v>5724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 t="s">
        <v>20</v>
      </c>
      <c r="L2786" s="1">
        <v>43383</v>
      </c>
      <c r="M2786">
        <v>735</v>
      </c>
      <c r="N2786">
        <v>73</v>
      </c>
      <c r="O2786">
        <v>50</v>
      </c>
      <c r="P2786">
        <v>150</v>
      </c>
      <c r="Q2786">
        <v>50</v>
      </c>
      <c r="S2786">
        <v>0</v>
      </c>
      <c r="T2786">
        <v>0</v>
      </c>
      <c r="U2786">
        <f>+SUM(Table1[[#This Row],[Latinos]:[Cemex]])</f>
        <v>1</v>
      </c>
      <c r="V2786" t="str">
        <f>+Table1[[#This Row],[id_destino]]&amp;" - "&amp;Table1[[#This Row],[id_origen]]</f>
        <v>735 - 73</v>
      </c>
    </row>
    <row r="2787" spans="1:22" hidden="1">
      <c r="A2787">
        <v>888</v>
      </c>
      <c r="B2787">
        <v>2495</v>
      </c>
      <c r="C2787">
        <v>468</v>
      </c>
      <c r="D2787">
        <v>5479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 t="s">
        <v>20</v>
      </c>
      <c r="L2787" s="1">
        <v>43204</v>
      </c>
      <c r="M2787">
        <v>740</v>
      </c>
      <c r="N2787">
        <v>73</v>
      </c>
      <c r="O2787">
        <v>96</v>
      </c>
      <c r="P2787">
        <v>104</v>
      </c>
      <c r="Q2787">
        <v>96</v>
      </c>
      <c r="S2787">
        <v>0</v>
      </c>
      <c r="T2787">
        <v>0</v>
      </c>
      <c r="U2787">
        <f>+SUM(Table1[[#This Row],[Latinos]:[Cemex]])</f>
        <v>1</v>
      </c>
      <c r="V2787" t="str">
        <f>+Table1[[#This Row],[id_destino]]&amp;" - "&amp;Table1[[#This Row],[id_origen]]</f>
        <v>740 - 73</v>
      </c>
    </row>
    <row r="2788" spans="1:22" hidden="1">
      <c r="A2788">
        <v>2597</v>
      </c>
      <c r="B2788">
        <v>2495</v>
      </c>
      <c r="C2788">
        <v>468</v>
      </c>
      <c r="D2788">
        <v>6514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  <c r="K2788" t="s">
        <v>20</v>
      </c>
      <c r="L2788" s="1">
        <v>44231</v>
      </c>
      <c r="M2788">
        <v>740</v>
      </c>
      <c r="N2788">
        <v>73</v>
      </c>
      <c r="O2788">
        <v>124</v>
      </c>
      <c r="P2788">
        <v>124</v>
      </c>
      <c r="Q2788">
        <v>124</v>
      </c>
      <c r="S2788">
        <v>0</v>
      </c>
      <c r="T2788">
        <v>0</v>
      </c>
      <c r="U2788">
        <f>+SUM(Table1[[#This Row],[Latinos]:[Cemex]])</f>
        <v>1</v>
      </c>
      <c r="V2788" t="str">
        <f>+Table1[[#This Row],[id_destino]]&amp;" - "&amp;Table1[[#This Row],[id_origen]]</f>
        <v>740 - 73</v>
      </c>
    </row>
    <row r="2789" spans="1:22" hidden="1">
      <c r="A2789">
        <v>1361</v>
      </c>
      <c r="B2789">
        <v>2705</v>
      </c>
      <c r="C2789">
        <v>468</v>
      </c>
      <c r="D2789">
        <v>5734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 t="s">
        <v>20</v>
      </c>
      <c r="L2789" s="1">
        <v>43402</v>
      </c>
      <c r="M2789">
        <v>746</v>
      </c>
      <c r="N2789">
        <v>73</v>
      </c>
      <c r="O2789">
        <v>50</v>
      </c>
      <c r="P2789">
        <v>150</v>
      </c>
      <c r="Q2789">
        <v>50</v>
      </c>
      <c r="S2789">
        <v>251</v>
      </c>
      <c r="T2789">
        <v>251</v>
      </c>
      <c r="U2789">
        <f>+SUM(Table1[[#This Row],[Latinos]:[Cemex]])</f>
        <v>1</v>
      </c>
      <c r="V2789" t="str">
        <f>+Table1[[#This Row],[id_destino]]&amp;" - "&amp;Table1[[#This Row],[id_origen]]</f>
        <v>746 - 73</v>
      </c>
    </row>
    <row r="2790" spans="1:22" hidden="1">
      <c r="A2790">
        <v>4512</v>
      </c>
      <c r="B2790">
        <v>4717</v>
      </c>
      <c r="C2790">
        <v>189</v>
      </c>
      <c r="D2790">
        <v>7962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 t="s">
        <v>20</v>
      </c>
      <c r="L2790" s="1">
        <v>45595</v>
      </c>
      <c r="M2790">
        <v>754</v>
      </c>
      <c r="N2790">
        <v>73</v>
      </c>
      <c r="O2790">
        <v>784</v>
      </c>
      <c r="P2790">
        <v>779</v>
      </c>
      <c r="Q2790">
        <v>784</v>
      </c>
      <c r="S2790">
        <v>1324</v>
      </c>
      <c r="T2790">
        <v>1324</v>
      </c>
      <c r="U2790">
        <f>+SUM(Table1[[#This Row],[Latinos]:[Cemex]])</f>
        <v>1</v>
      </c>
      <c r="V2790" t="str">
        <f>+Table1[[#This Row],[id_destino]]&amp;" - "&amp;Table1[[#This Row],[id_origen]]</f>
        <v>754 - 73</v>
      </c>
    </row>
    <row r="2791" spans="1:22" hidden="1">
      <c r="A2791">
        <v>4263</v>
      </c>
      <c r="B2791">
        <v>4532</v>
      </c>
      <c r="C2791">
        <v>468</v>
      </c>
      <c r="D2791">
        <v>5726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 t="s">
        <v>20</v>
      </c>
      <c r="L2791" s="1">
        <v>45414</v>
      </c>
      <c r="M2791">
        <v>759</v>
      </c>
      <c r="N2791">
        <v>73</v>
      </c>
      <c r="O2791">
        <v>1569</v>
      </c>
      <c r="P2791">
        <v>1584</v>
      </c>
      <c r="Q2791">
        <v>1569</v>
      </c>
      <c r="S2791">
        <v>2948</v>
      </c>
      <c r="T2791">
        <v>2948</v>
      </c>
      <c r="U2791">
        <f>+SUM(Table1[[#This Row],[Latinos]:[Cemex]])</f>
        <v>1</v>
      </c>
      <c r="V2791" t="str">
        <f>+Table1[[#This Row],[id_destino]]&amp;" - "&amp;Table1[[#This Row],[id_origen]]</f>
        <v>759 - 73</v>
      </c>
    </row>
    <row r="2792" spans="1:22" hidden="1">
      <c r="A2792">
        <v>1446</v>
      </c>
      <c r="B2792">
        <v>2752</v>
      </c>
      <c r="C2792">
        <v>468</v>
      </c>
      <c r="D2792">
        <v>5772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 t="s">
        <v>20</v>
      </c>
      <c r="L2792" s="1">
        <v>45204</v>
      </c>
      <c r="M2792">
        <v>762</v>
      </c>
      <c r="N2792">
        <v>73</v>
      </c>
      <c r="O2792">
        <v>1138</v>
      </c>
      <c r="P2792">
        <v>1130</v>
      </c>
      <c r="Q2792">
        <v>1138</v>
      </c>
      <c r="S2792">
        <v>3068</v>
      </c>
      <c r="T2792">
        <v>3068</v>
      </c>
      <c r="U2792">
        <f>+SUM(Table1[[#This Row],[Latinos]:[Cemex]])</f>
        <v>1</v>
      </c>
      <c r="V2792" t="str">
        <f>+Table1[[#This Row],[id_destino]]&amp;" - "&amp;Table1[[#This Row],[id_origen]]</f>
        <v>762 - 73</v>
      </c>
    </row>
    <row r="2793" spans="1:22" hidden="1">
      <c r="A2793">
        <v>1465</v>
      </c>
      <c r="B2793">
        <v>2761</v>
      </c>
      <c r="C2793">
        <v>468</v>
      </c>
      <c r="D2793">
        <v>5781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 t="s">
        <v>20</v>
      </c>
      <c r="L2793" s="1">
        <v>44237</v>
      </c>
      <c r="M2793">
        <v>765</v>
      </c>
      <c r="N2793">
        <v>73</v>
      </c>
      <c r="O2793">
        <v>1135</v>
      </c>
      <c r="P2793">
        <v>1135</v>
      </c>
      <c r="Q2793">
        <v>1135</v>
      </c>
      <c r="S2793">
        <v>2242</v>
      </c>
      <c r="T2793">
        <v>2242</v>
      </c>
      <c r="U2793">
        <f>+SUM(Table1[[#This Row],[Latinos]:[Cemex]])</f>
        <v>1</v>
      </c>
      <c r="V2793" t="str">
        <f>+Table1[[#This Row],[id_destino]]&amp;" - "&amp;Table1[[#This Row],[id_origen]]</f>
        <v>765 - 73</v>
      </c>
    </row>
    <row r="2794" spans="1:22" hidden="1">
      <c r="A2794">
        <v>2950</v>
      </c>
      <c r="B2794">
        <v>3676</v>
      </c>
      <c r="C2794">
        <v>468</v>
      </c>
      <c r="D2794">
        <v>6830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 t="s">
        <v>20</v>
      </c>
      <c r="L2794" s="1">
        <v>45278</v>
      </c>
      <c r="M2794">
        <v>767</v>
      </c>
      <c r="N2794">
        <v>73</v>
      </c>
      <c r="O2794">
        <v>701</v>
      </c>
      <c r="P2794">
        <v>677</v>
      </c>
      <c r="Q2794">
        <v>661</v>
      </c>
      <c r="S2794">
        <v>1523</v>
      </c>
      <c r="T2794">
        <v>1629</v>
      </c>
      <c r="U2794">
        <f>+SUM(Table1[[#This Row],[Latinos]:[Cemex]])</f>
        <v>1</v>
      </c>
      <c r="V2794" t="str">
        <f>+Table1[[#This Row],[id_destino]]&amp;" - "&amp;Table1[[#This Row],[id_origen]]</f>
        <v>767 - 73</v>
      </c>
    </row>
    <row r="2795" spans="1:22" hidden="1">
      <c r="A2795">
        <v>4278</v>
      </c>
      <c r="B2795">
        <v>4540</v>
      </c>
      <c r="C2795">
        <v>468</v>
      </c>
      <c r="D2795">
        <v>7760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 t="s">
        <v>20</v>
      </c>
      <c r="L2795" s="1">
        <v>45421</v>
      </c>
      <c r="M2795">
        <v>770</v>
      </c>
      <c r="N2795">
        <v>73</v>
      </c>
      <c r="O2795">
        <v>289</v>
      </c>
      <c r="P2795">
        <v>305</v>
      </c>
      <c r="Q2795">
        <v>289</v>
      </c>
      <c r="S2795">
        <v>443</v>
      </c>
      <c r="T2795">
        <v>443</v>
      </c>
      <c r="U2795">
        <f>+SUM(Table1[[#This Row],[Latinos]:[Cemex]])</f>
        <v>1</v>
      </c>
      <c r="V2795" t="str">
        <f>+Table1[[#This Row],[id_destino]]&amp;" - "&amp;Table1[[#This Row],[id_origen]]</f>
        <v>770 - 73</v>
      </c>
    </row>
    <row r="2796" spans="1:22" hidden="1">
      <c r="A2796">
        <v>2312</v>
      </c>
      <c r="B2796">
        <v>3265</v>
      </c>
      <c r="C2796">
        <v>468</v>
      </c>
      <c r="D2796">
        <v>5947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 t="s">
        <v>20</v>
      </c>
      <c r="L2796" s="1">
        <v>43923</v>
      </c>
      <c r="M2796">
        <v>774</v>
      </c>
      <c r="N2796">
        <v>73</v>
      </c>
      <c r="O2796">
        <v>923</v>
      </c>
      <c r="P2796">
        <v>901</v>
      </c>
      <c r="Q2796">
        <v>923</v>
      </c>
      <c r="S2796">
        <v>1885</v>
      </c>
      <c r="T2796">
        <v>1978</v>
      </c>
      <c r="U2796">
        <f>+SUM(Table1[[#This Row],[Latinos]:[Cemex]])</f>
        <v>1</v>
      </c>
      <c r="V2796" t="str">
        <f>+Table1[[#This Row],[id_destino]]&amp;" - "&amp;Table1[[#This Row],[id_origen]]</f>
        <v>774 - 73</v>
      </c>
    </row>
    <row r="2797" spans="1:22" hidden="1">
      <c r="A2797">
        <v>2754</v>
      </c>
      <c r="B2797">
        <v>3546</v>
      </c>
      <c r="C2797">
        <v>468</v>
      </c>
      <c r="D2797">
        <v>6635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 t="s">
        <v>20</v>
      </c>
      <c r="L2797" s="1">
        <v>44414</v>
      </c>
      <c r="M2797">
        <v>778</v>
      </c>
      <c r="N2797">
        <v>73</v>
      </c>
      <c r="O2797">
        <v>1037</v>
      </c>
      <c r="P2797">
        <v>1062</v>
      </c>
      <c r="Q2797">
        <v>1037</v>
      </c>
      <c r="S2797">
        <v>1136</v>
      </c>
      <c r="T2797">
        <v>1185</v>
      </c>
      <c r="U2797">
        <f>+SUM(Table1[[#This Row],[Latinos]:[Cemex]])</f>
        <v>1</v>
      </c>
      <c r="V2797" t="str">
        <f>+Table1[[#This Row],[id_destino]]&amp;" - "&amp;Table1[[#This Row],[id_origen]]</f>
        <v>778 - 73</v>
      </c>
    </row>
    <row r="2798" spans="1:22" hidden="1">
      <c r="A2798">
        <v>1876</v>
      </c>
      <c r="B2798">
        <v>67</v>
      </c>
      <c r="C2798">
        <v>468</v>
      </c>
      <c r="D2798">
        <v>6008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 t="s">
        <v>20</v>
      </c>
      <c r="L2798" s="1">
        <v>43679</v>
      </c>
      <c r="M2798">
        <v>779</v>
      </c>
      <c r="N2798">
        <v>73</v>
      </c>
      <c r="O2798">
        <v>849</v>
      </c>
      <c r="P2798">
        <v>843</v>
      </c>
      <c r="Q2798">
        <v>849</v>
      </c>
      <c r="S2798">
        <v>654</v>
      </c>
      <c r="T2798">
        <v>654</v>
      </c>
      <c r="U2798">
        <f>+SUM(Table1[[#This Row],[Latinos]:[Cemex]])</f>
        <v>1</v>
      </c>
      <c r="V2798" t="str">
        <f>+Table1[[#This Row],[id_destino]]&amp;" - "&amp;Table1[[#This Row],[id_origen]]</f>
        <v>779 - 73</v>
      </c>
    </row>
    <row r="2799" spans="1:22" hidden="1">
      <c r="A2799">
        <v>4850</v>
      </c>
      <c r="B2799">
        <v>4953</v>
      </c>
      <c r="C2799">
        <v>468</v>
      </c>
      <c r="D2799">
        <v>8298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 t="s">
        <v>20</v>
      </c>
      <c r="L2799" s="1">
        <v>45890</v>
      </c>
      <c r="M2799">
        <v>788</v>
      </c>
      <c r="N2799">
        <v>73</v>
      </c>
      <c r="O2799">
        <v>671</v>
      </c>
      <c r="P2799">
        <v>615</v>
      </c>
      <c r="Q2799">
        <v>671</v>
      </c>
      <c r="S2799">
        <v>710.99</v>
      </c>
      <c r="T2799">
        <v>752</v>
      </c>
      <c r="U2799">
        <f>+SUM(Table1[[#This Row],[Latinos]:[Cemex]])</f>
        <v>1</v>
      </c>
      <c r="V2799" t="str">
        <f>+Table1[[#This Row],[id_destino]]&amp;" - "&amp;Table1[[#This Row],[id_origen]]</f>
        <v>788 - 73</v>
      </c>
    </row>
    <row r="2800" spans="1:22" hidden="1">
      <c r="A2800">
        <v>3404</v>
      </c>
      <c r="B2800">
        <v>3962</v>
      </c>
      <c r="C2800">
        <v>468</v>
      </c>
      <c r="D2800">
        <v>6900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 t="s">
        <v>20</v>
      </c>
      <c r="L2800" s="1">
        <v>44872</v>
      </c>
      <c r="M2800">
        <v>814</v>
      </c>
      <c r="N2800">
        <v>73</v>
      </c>
      <c r="O2800">
        <v>1750</v>
      </c>
      <c r="P2800">
        <v>1467</v>
      </c>
      <c r="Q2800">
        <v>1751</v>
      </c>
      <c r="S2800">
        <v>5326</v>
      </c>
      <c r="T2800">
        <v>5868</v>
      </c>
      <c r="U2800">
        <f>+SUM(Table1[[#This Row],[Latinos]:[Cemex]])</f>
        <v>1</v>
      </c>
      <c r="V2800" t="str">
        <f>+Table1[[#This Row],[id_destino]]&amp;" - "&amp;Table1[[#This Row],[id_origen]]</f>
        <v>814 - 73</v>
      </c>
    </row>
    <row r="2801" spans="1:22" hidden="1">
      <c r="A2801">
        <v>3429</v>
      </c>
      <c r="B2801">
        <v>3983</v>
      </c>
      <c r="C2801">
        <v>468</v>
      </c>
      <c r="D2801">
        <v>7094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 t="s">
        <v>20</v>
      </c>
      <c r="L2801" s="1">
        <v>44884</v>
      </c>
      <c r="M2801">
        <v>816</v>
      </c>
      <c r="N2801">
        <v>73</v>
      </c>
      <c r="O2801">
        <v>994</v>
      </c>
      <c r="P2801">
        <v>933</v>
      </c>
      <c r="Q2801">
        <v>994</v>
      </c>
      <c r="S2801">
        <v>2150</v>
      </c>
      <c r="T2801">
        <v>2188</v>
      </c>
      <c r="U2801">
        <f>+SUM(Table1[[#This Row],[Latinos]:[Cemex]])</f>
        <v>1</v>
      </c>
      <c r="V2801" t="str">
        <f>+Table1[[#This Row],[id_destino]]&amp;" - "&amp;Table1[[#This Row],[id_origen]]</f>
        <v>816 - 73</v>
      </c>
    </row>
    <row r="2802" spans="1:22" hidden="1">
      <c r="A2802">
        <v>2948</v>
      </c>
      <c r="B2802">
        <v>3674</v>
      </c>
      <c r="C2802">
        <v>468</v>
      </c>
      <c r="D2802">
        <v>6826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 t="s">
        <v>20</v>
      </c>
      <c r="L2802" s="1">
        <v>44635</v>
      </c>
      <c r="M2802">
        <v>821</v>
      </c>
      <c r="N2802">
        <v>73</v>
      </c>
      <c r="O2802">
        <v>799</v>
      </c>
      <c r="P2802">
        <v>785</v>
      </c>
      <c r="Q2802">
        <v>891</v>
      </c>
      <c r="S2802">
        <v>1724</v>
      </c>
      <c r="T2802">
        <v>1762</v>
      </c>
      <c r="U2802">
        <f>+SUM(Table1[[#This Row],[Latinos]:[Cemex]])</f>
        <v>1</v>
      </c>
      <c r="V2802" t="str">
        <f>+Table1[[#This Row],[id_destino]]&amp;" - "&amp;Table1[[#This Row],[id_origen]]</f>
        <v>821 - 73</v>
      </c>
    </row>
    <row r="2803" spans="1:22" hidden="1">
      <c r="A2803">
        <v>2629</v>
      </c>
      <c r="B2803">
        <v>3463</v>
      </c>
      <c r="C2803">
        <v>468</v>
      </c>
      <c r="D2803">
        <v>3492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 t="s">
        <v>20</v>
      </c>
      <c r="L2803" s="1">
        <v>44257</v>
      </c>
      <c r="M2803">
        <v>827</v>
      </c>
      <c r="N2803">
        <v>73</v>
      </c>
      <c r="O2803">
        <v>1574</v>
      </c>
      <c r="P2803">
        <v>1692</v>
      </c>
      <c r="Q2803">
        <v>1692</v>
      </c>
      <c r="S2803">
        <v>2582</v>
      </c>
      <c r="T2803">
        <v>2582</v>
      </c>
      <c r="U2803">
        <f>+SUM(Table1[[#This Row],[Latinos]:[Cemex]])</f>
        <v>1</v>
      </c>
      <c r="V2803" t="str">
        <f>+Table1[[#This Row],[id_destino]]&amp;" - "&amp;Table1[[#This Row],[id_origen]]</f>
        <v>827 - 73</v>
      </c>
    </row>
    <row r="2804" spans="1:22" hidden="1">
      <c r="A2804">
        <v>2862</v>
      </c>
      <c r="B2804">
        <v>3616</v>
      </c>
      <c r="C2804">
        <v>468</v>
      </c>
      <c r="D2804">
        <v>6670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 t="s">
        <v>20</v>
      </c>
      <c r="L2804" s="1">
        <v>44558</v>
      </c>
      <c r="M2804">
        <v>832</v>
      </c>
      <c r="N2804">
        <v>73</v>
      </c>
      <c r="O2804">
        <v>911</v>
      </c>
      <c r="P2804">
        <v>917</v>
      </c>
      <c r="Q2804">
        <v>919</v>
      </c>
      <c r="S2804">
        <v>1911</v>
      </c>
      <c r="T2804">
        <v>1911</v>
      </c>
      <c r="U2804">
        <f>+SUM(Table1[[#This Row],[Latinos]:[Cemex]])</f>
        <v>1</v>
      </c>
      <c r="V2804" t="str">
        <f>+Table1[[#This Row],[id_destino]]&amp;" - "&amp;Table1[[#This Row],[id_origen]]</f>
        <v>832 - 73</v>
      </c>
    </row>
    <row r="2805" spans="1:22" hidden="1">
      <c r="A2805">
        <v>3719</v>
      </c>
      <c r="B2805">
        <v>4183</v>
      </c>
      <c r="C2805">
        <v>468</v>
      </c>
      <c r="D2805">
        <v>6810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 t="s">
        <v>20</v>
      </c>
      <c r="L2805" s="1">
        <v>45610</v>
      </c>
      <c r="M2805">
        <v>843</v>
      </c>
      <c r="N2805">
        <v>73</v>
      </c>
      <c r="O2805">
        <v>243</v>
      </c>
      <c r="P2805">
        <v>215</v>
      </c>
      <c r="Q2805">
        <v>243</v>
      </c>
      <c r="S2805">
        <v>440</v>
      </c>
      <c r="T2805">
        <v>440</v>
      </c>
      <c r="U2805">
        <f>+SUM(Table1[[#This Row],[Latinos]:[Cemex]])</f>
        <v>1</v>
      </c>
      <c r="V2805" t="str">
        <f>+Table1[[#This Row],[id_destino]]&amp;" - "&amp;Table1[[#This Row],[id_origen]]</f>
        <v>843 - 73</v>
      </c>
    </row>
    <row r="2806" spans="1:22" hidden="1">
      <c r="A2806">
        <v>3875</v>
      </c>
      <c r="B2806">
        <v>4183</v>
      </c>
      <c r="C2806">
        <v>468</v>
      </c>
      <c r="D2806">
        <v>6810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 t="s">
        <v>20</v>
      </c>
      <c r="L2806" s="1">
        <v>45156</v>
      </c>
      <c r="M2806">
        <v>843</v>
      </c>
      <c r="N2806">
        <v>73</v>
      </c>
      <c r="O2806">
        <v>243</v>
      </c>
      <c r="P2806">
        <v>269</v>
      </c>
      <c r="Q2806">
        <v>243</v>
      </c>
      <c r="S2806">
        <v>494</v>
      </c>
      <c r="T2806">
        <v>494</v>
      </c>
      <c r="U2806">
        <f>+SUM(Table1[[#This Row],[Latinos]:[Cemex]])</f>
        <v>1</v>
      </c>
      <c r="V2806" t="str">
        <f>+Table1[[#This Row],[id_destino]]&amp;" - "&amp;Table1[[#This Row],[id_origen]]</f>
        <v>843 - 73</v>
      </c>
    </row>
    <row r="2807" spans="1:22" hidden="1">
      <c r="A2807">
        <v>3140</v>
      </c>
      <c r="B2807">
        <v>3799</v>
      </c>
      <c r="C2807">
        <v>468</v>
      </c>
      <c r="D2807">
        <v>6955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 t="s">
        <v>20</v>
      </c>
      <c r="L2807" s="1">
        <v>44737</v>
      </c>
      <c r="M2807">
        <v>850</v>
      </c>
      <c r="N2807">
        <v>73</v>
      </c>
      <c r="O2807">
        <v>945</v>
      </c>
      <c r="P2807">
        <v>960</v>
      </c>
      <c r="Q2807">
        <v>945</v>
      </c>
      <c r="S2807">
        <v>1127</v>
      </c>
      <c r="T2807">
        <v>1127</v>
      </c>
      <c r="U2807">
        <f>+SUM(Table1[[#This Row],[Latinos]:[Cemex]])</f>
        <v>1</v>
      </c>
      <c r="V2807" t="str">
        <f>+Table1[[#This Row],[id_destino]]&amp;" - "&amp;Table1[[#This Row],[id_origen]]</f>
        <v>850 - 73</v>
      </c>
    </row>
    <row r="2808" spans="1:22" hidden="1">
      <c r="A2808">
        <v>4007</v>
      </c>
      <c r="B2808">
        <v>4352</v>
      </c>
      <c r="C2808">
        <v>3426</v>
      </c>
      <c r="D2808">
        <v>7531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 t="s">
        <v>20</v>
      </c>
      <c r="L2808" s="1">
        <v>45231</v>
      </c>
      <c r="M2808">
        <v>884</v>
      </c>
      <c r="N2808">
        <v>73</v>
      </c>
      <c r="O2808">
        <v>1298</v>
      </c>
      <c r="P2808">
        <v>1300</v>
      </c>
      <c r="Q2808">
        <v>1298</v>
      </c>
      <c r="S2808">
        <v>2586.9899999999998</v>
      </c>
      <c r="T2808">
        <v>2586.9899999999998</v>
      </c>
      <c r="U2808">
        <f>+SUM(Table1[[#This Row],[Latinos]:[Cemex]])</f>
        <v>1</v>
      </c>
      <c r="V2808" t="str">
        <f>+Table1[[#This Row],[id_destino]]&amp;" - "&amp;Table1[[#This Row],[id_origen]]</f>
        <v>884 - 73</v>
      </c>
    </row>
    <row r="2809" spans="1:22" hidden="1">
      <c r="A2809">
        <v>4045</v>
      </c>
      <c r="B2809">
        <v>4382</v>
      </c>
      <c r="C2809">
        <v>468</v>
      </c>
      <c r="D2809">
        <v>7562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  <c r="K2809" t="s">
        <v>20</v>
      </c>
      <c r="L2809" s="1">
        <v>45248</v>
      </c>
      <c r="M2809">
        <v>889</v>
      </c>
      <c r="N2809">
        <v>73</v>
      </c>
      <c r="O2809">
        <v>1834</v>
      </c>
      <c r="P2809">
        <v>1833</v>
      </c>
      <c r="Q2809">
        <v>1834</v>
      </c>
      <c r="S2809">
        <v>3985</v>
      </c>
      <c r="T2809">
        <v>3505</v>
      </c>
      <c r="U2809">
        <f>+SUM(Table1[[#This Row],[Latinos]:[Cemex]])</f>
        <v>1</v>
      </c>
      <c r="V2809" t="str">
        <f>+Table1[[#This Row],[id_destino]]&amp;" - "&amp;Table1[[#This Row],[id_origen]]</f>
        <v>889 - 73</v>
      </c>
    </row>
    <row r="2810" spans="1:22" hidden="1">
      <c r="A2810">
        <v>4331</v>
      </c>
      <c r="B2810">
        <v>4572</v>
      </c>
      <c r="C2810">
        <v>3426</v>
      </c>
      <c r="D2810">
        <v>7816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 t="s">
        <v>20</v>
      </c>
      <c r="L2810" s="1">
        <v>45498</v>
      </c>
      <c r="M2810">
        <v>905</v>
      </c>
      <c r="N2810">
        <v>73</v>
      </c>
      <c r="O2810">
        <v>535</v>
      </c>
      <c r="P2810">
        <v>550</v>
      </c>
      <c r="Q2810">
        <v>535</v>
      </c>
      <c r="S2810">
        <v>654</v>
      </c>
      <c r="T2810">
        <v>654</v>
      </c>
      <c r="U2810">
        <f>+SUM(Table1[[#This Row],[Latinos]:[Cemex]])</f>
        <v>1</v>
      </c>
      <c r="V2810" t="str">
        <f>+Table1[[#This Row],[id_destino]]&amp;" - "&amp;Table1[[#This Row],[id_origen]]</f>
        <v>905 - 73</v>
      </c>
    </row>
    <row r="2811" spans="1:22" hidden="1">
      <c r="A2811">
        <v>4364</v>
      </c>
      <c r="B2811">
        <v>4572</v>
      </c>
      <c r="C2811">
        <v>3426</v>
      </c>
      <c r="D2811">
        <v>7816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  <c r="K2811" t="s">
        <v>20</v>
      </c>
      <c r="L2811" s="1">
        <v>45495</v>
      </c>
      <c r="M2811">
        <v>905</v>
      </c>
      <c r="N2811">
        <v>73</v>
      </c>
      <c r="O2811">
        <v>481</v>
      </c>
      <c r="P2811">
        <v>481</v>
      </c>
      <c r="Q2811">
        <v>481</v>
      </c>
      <c r="S2811">
        <v>228</v>
      </c>
      <c r="T2811">
        <v>228</v>
      </c>
      <c r="U2811">
        <f>+SUM(Table1[[#This Row],[Latinos]:[Cemex]])</f>
        <v>1</v>
      </c>
      <c r="V2811" t="str">
        <f>+Table1[[#This Row],[id_destino]]&amp;" - "&amp;Table1[[#This Row],[id_origen]]</f>
        <v>905 - 73</v>
      </c>
    </row>
    <row r="2812" spans="1:22" hidden="1">
      <c r="A2812">
        <v>4542</v>
      </c>
      <c r="B2812">
        <v>4738</v>
      </c>
      <c r="C2812">
        <v>189</v>
      </c>
      <c r="D2812">
        <v>8009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 t="s">
        <v>20</v>
      </c>
      <c r="L2812" s="1">
        <v>45609</v>
      </c>
      <c r="M2812">
        <v>916</v>
      </c>
      <c r="N2812">
        <v>73</v>
      </c>
      <c r="O2812">
        <v>1283</v>
      </c>
      <c r="P2812">
        <v>1278</v>
      </c>
      <c r="Q2812">
        <v>1283</v>
      </c>
      <c r="S2812">
        <v>2440</v>
      </c>
      <c r="T2812">
        <v>2440</v>
      </c>
      <c r="U2812">
        <f>+SUM(Table1[[#This Row],[Latinos]:[Cemex]])</f>
        <v>1</v>
      </c>
      <c r="V2812" t="str">
        <f>+Table1[[#This Row],[id_destino]]&amp;" - "&amp;Table1[[#This Row],[id_origen]]</f>
        <v>916 - 73</v>
      </c>
    </row>
    <row r="2813" spans="1:22" hidden="1">
      <c r="A2813">
        <v>393</v>
      </c>
      <c r="B2813">
        <v>1333</v>
      </c>
      <c r="C2813">
        <v>5347</v>
      </c>
      <c r="D2813">
        <v>1869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 t="s">
        <v>20</v>
      </c>
      <c r="L2813" s="1">
        <v>43054</v>
      </c>
      <c r="M2813">
        <v>19</v>
      </c>
      <c r="N2813">
        <v>74</v>
      </c>
      <c r="O2813">
        <v>15</v>
      </c>
      <c r="P2813">
        <v>150</v>
      </c>
      <c r="Q2813">
        <v>15</v>
      </c>
      <c r="S2813">
        <v>0</v>
      </c>
      <c r="T2813">
        <v>0</v>
      </c>
      <c r="U2813">
        <f>+SUM(Table1[[#This Row],[Latinos]:[Cemex]])</f>
        <v>1</v>
      </c>
      <c r="V2813" t="str">
        <f>+Table1[[#This Row],[id_destino]]&amp;" - "&amp;Table1[[#This Row],[id_origen]]</f>
        <v>19 - 74</v>
      </c>
    </row>
    <row r="2814" spans="1:22" hidden="1">
      <c r="A2814">
        <v>1053</v>
      </c>
      <c r="B2814">
        <v>2563</v>
      </c>
      <c r="C2814">
        <v>5569</v>
      </c>
      <c r="D2814">
        <v>5603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 t="s">
        <v>20</v>
      </c>
      <c r="L2814" s="1">
        <v>43265</v>
      </c>
      <c r="M2814">
        <v>45</v>
      </c>
      <c r="N2814">
        <v>74</v>
      </c>
      <c r="O2814">
        <v>277</v>
      </c>
      <c r="P2814">
        <v>277</v>
      </c>
      <c r="Q2814">
        <v>277</v>
      </c>
      <c r="S2814">
        <v>773</v>
      </c>
      <c r="T2814">
        <v>773</v>
      </c>
      <c r="U2814">
        <f>+SUM(Table1[[#This Row],[Latinos]:[Cemex]])</f>
        <v>1</v>
      </c>
      <c r="V2814" t="str">
        <f>+Table1[[#This Row],[id_destino]]&amp;" - "&amp;Table1[[#This Row],[id_origen]]</f>
        <v>45 - 74</v>
      </c>
    </row>
    <row r="2815" spans="1:22" hidden="1">
      <c r="A2815">
        <v>848</v>
      </c>
      <c r="B2815">
        <v>2478</v>
      </c>
      <c r="C2815">
        <v>5502</v>
      </c>
      <c r="D2815">
        <v>146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 t="s">
        <v>20</v>
      </c>
      <c r="L2815" s="1">
        <v>43187</v>
      </c>
      <c r="M2815">
        <v>80</v>
      </c>
      <c r="N2815">
        <v>74</v>
      </c>
      <c r="O2815">
        <v>61</v>
      </c>
      <c r="P2815">
        <v>150</v>
      </c>
      <c r="Q2815">
        <v>61</v>
      </c>
      <c r="S2815">
        <v>148</v>
      </c>
      <c r="T2815">
        <v>217</v>
      </c>
      <c r="U2815">
        <f>+SUM(Table1[[#This Row],[Latinos]:[Cemex]])</f>
        <v>1</v>
      </c>
      <c r="V2815" t="str">
        <f>+Table1[[#This Row],[id_destino]]&amp;" - "&amp;Table1[[#This Row],[id_origen]]</f>
        <v>80 - 74</v>
      </c>
    </row>
    <row r="2816" spans="1:22" hidden="1">
      <c r="A2816">
        <v>4538</v>
      </c>
      <c r="B2816">
        <v>1791</v>
      </c>
      <c r="C2816">
        <v>4908</v>
      </c>
      <c r="D2816">
        <v>4190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 t="s">
        <v>20</v>
      </c>
      <c r="L2816" s="1">
        <v>45607</v>
      </c>
      <c r="M2816">
        <v>1</v>
      </c>
      <c r="N2816">
        <v>75</v>
      </c>
      <c r="O2816">
        <v>878</v>
      </c>
      <c r="P2816">
        <v>882</v>
      </c>
      <c r="Q2816">
        <v>878</v>
      </c>
      <c r="S2816">
        <v>1667</v>
      </c>
      <c r="T2816">
        <v>1667</v>
      </c>
      <c r="U2816">
        <f>+SUM(Table1[[#This Row],[Latinos]:[Cemex]])</f>
        <v>1</v>
      </c>
      <c r="V2816" t="str">
        <f>+Table1[[#This Row],[id_destino]]&amp;" - "&amp;Table1[[#This Row],[id_origen]]</f>
        <v>1 - 75</v>
      </c>
    </row>
    <row r="2817" spans="1:22" hidden="1">
      <c r="A2817">
        <v>1789</v>
      </c>
      <c r="B2817">
        <v>848</v>
      </c>
      <c r="C2817">
        <v>105</v>
      </c>
      <c r="D2817">
        <v>469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 t="s">
        <v>20</v>
      </c>
      <c r="L2817" s="1">
        <v>43633</v>
      </c>
      <c r="M2817">
        <v>2</v>
      </c>
      <c r="N2817">
        <v>75</v>
      </c>
      <c r="O2817">
        <v>87</v>
      </c>
      <c r="P2817">
        <v>150</v>
      </c>
      <c r="Q2817">
        <v>87</v>
      </c>
      <c r="S2817">
        <v>196</v>
      </c>
      <c r="T2817">
        <v>269</v>
      </c>
      <c r="U2817">
        <f>+SUM(Table1[[#This Row],[Latinos]:[Cemex]])</f>
        <v>1</v>
      </c>
      <c r="V2817" t="str">
        <f>+Table1[[#This Row],[id_destino]]&amp;" - "&amp;Table1[[#This Row],[id_origen]]</f>
        <v>2 - 75</v>
      </c>
    </row>
    <row r="2818" spans="1:22" hidden="1">
      <c r="A2818">
        <v>2346</v>
      </c>
      <c r="B2818">
        <v>3289</v>
      </c>
      <c r="C2818">
        <v>105</v>
      </c>
      <c r="D2818">
        <v>6344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 t="s">
        <v>20</v>
      </c>
      <c r="L2818" s="1">
        <v>43962</v>
      </c>
      <c r="M2818">
        <v>4</v>
      </c>
      <c r="N2818">
        <v>75</v>
      </c>
      <c r="O2818">
        <v>876</v>
      </c>
      <c r="P2818">
        <v>910</v>
      </c>
      <c r="Q2818">
        <v>876</v>
      </c>
      <c r="S2818">
        <v>2191</v>
      </c>
      <c r="T2818">
        <v>2265</v>
      </c>
      <c r="U2818">
        <f>+SUM(Table1[[#This Row],[Latinos]:[Cemex]])</f>
        <v>1</v>
      </c>
      <c r="V2818" t="str">
        <f>+Table1[[#This Row],[id_destino]]&amp;" - "&amp;Table1[[#This Row],[id_origen]]</f>
        <v>4 - 75</v>
      </c>
    </row>
    <row r="2819" spans="1:22" hidden="1">
      <c r="A2819">
        <v>1504</v>
      </c>
      <c r="B2819">
        <v>2073</v>
      </c>
      <c r="C2819">
        <v>105</v>
      </c>
      <c r="D2819">
        <v>3916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 t="s">
        <v>20</v>
      </c>
      <c r="L2819" s="1">
        <v>43475</v>
      </c>
      <c r="M2819">
        <v>7</v>
      </c>
      <c r="N2819">
        <v>75</v>
      </c>
      <c r="O2819">
        <v>1726</v>
      </c>
      <c r="P2819">
        <v>1674</v>
      </c>
      <c r="Q2819">
        <v>1726</v>
      </c>
      <c r="S2819">
        <v>3194</v>
      </c>
      <c r="T2819">
        <v>3844</v>
      </c>
      <c r="U2819">
        <f>+SUM(Table1[[#This Row],[Latinos]:[Cemex]])</f>
        <v>1</v>
      </c>
      <c r="V2819" t="str">
        <f>+Table1[[#This Row],[id_destino]]&amp;" - "&amp;Table1[[#This Row],[id_origen]]</f>
        <v>7 - 75</v>
      </c>
    </row>
    <row r="2820" spans="1:22" hidden="1">
      <c r="A2820">
        <v>2292</v>
      </c>
      <c r="B2820">
        <v>1720</v>
      </c>
      <c r="C2820">
        <v>105</v>
      </c>
      <c r="D2820">
        <v>15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 t="s">
        <v>20</v>
      </c>
      <c r="L2820" s="1">
        <v>44046</v>
      </c>
      <c r="M2820">
        <v>16</v>
      </c>
      <c r="N2820">
        <v>75</v>
      </c>
      <c r="O2820">
        <v>1401</v>
      </c>
      <c r="P2820">
        <v>1391</v>
      </c>
      <c r="Q2820">
        <v>1401</v>
      </c>
      <c r="S2820">
        <v>2487</v>
      </c>
      <c r="T2820">
        <v>2487</v>
      </c>
      <c r="U2820">
        <f>+SUM(Table1[[#This Row],[Latinos]:[Cemex]])</f>
        <v>1</v>
      </c>
      <c r="V2820" t="str">
        <f>+Table1[[#This Row],[id_destino]]&amp;" - "&amp;Table1[[#This Row],[id_origen]]</f>
        <v>16 - 75</v>
      </c>
    </row>
    <row r="2821" spans="1:22" hidden="1">
      <c r="A2821">
        <v>850</v>
      </c>
      <c r="B2821">
        <v>1045</v>
      </c>
      <c r="C2821">
        <v>105</v>
      </c>
      <c r="D2821">
        <v>18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 t="s">
        <v>20</v>
      </c>
      <c r="L2821" s="1">
        <v>43647</v>
      </c>
      <c r="M2821">
        <v>17</v>
      </c>
      <c r="N2821">
        <v>75</v>
      </c>
      <c r="O2821">
        <v>859</v>
      </c>
      <c r="P2821">
        <v>859</v>
      </c>
      <c r="Q2821">
        <v>859</v>
      </c>
      <c r="S2821">
        <v>539</v>
      </c>
      <c r="T2821">
        <v>539</v>
      </c>
      <c r="U2821">
        <f>+SUM(Table1[[#This Row],[Latinos]:[Cemex]])</f>
        <v>1</v>
      </c>
      <c r="V2821" t="str">
        <f>+Table1[[#This Row],[id_destino]]&amp;" - "&amp;Table1[[#This Row],[id_origen]]</f>
        <v>17 - 75</v>
      </c>
    </row>
    <row r="2822" spans="1:22" hidden="1">
      <c r="A2822">
        <v>1025</v>
      </c>
      <c r="B2822">
        <v>787</v>
      </c>
      <c r="C2822">
        <v>105</v>
      </c>
      <c r="D2822">
        <v>4050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  <c r="K2822" t="s">
        <v>20</v>
      </c>
      <c r="L2822" s="1">
        <v>43252</v>
      </c>
      <c r="M2822">
        <v>18</v>
      </c>
      <c r="N2822">
        <v>75</v>
      </c>
      <c r="O2822">
        <v>20</v>
      </c>
      <c r="P2822">
        <v>150</v>
      </c>
      <c r="Q2822">
        <v>50</v>
      </c>
      <c r="S2822">
        <v>0</v>
      </c>
      <c r="T2822">
        <v>0</v>
      </c>
      <c r="U2822">
        <f>+SUM(Table1[[#This Row],[Latinos]:[Cemex]])</f>
        <v>1</v>
      </c>
      <c r="V2822" t="str">
        <f>+Table1[[#This Row],[id_destino]]&amp;" - "&amp;Table1[[#This Row],[id_origen]]</f>
        <v>18 - 75</v>
      </c>
    </row>
    <row r="2823" spans="1:22" hidden="1">
      <c r="A2823">
        <v>1996</v>
      </c>
      <c r="B2823">
        <v>618</v>
      </c>
      <c r="C2823">
        <v>4748</v>
      </c>
      <c r="D2823">
        <v>6099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  <c r="K2823" t="s">
        <v>20</v>
      </c>
      <c r="L2823" s="1">
        <v>44837</v>
      </c>
      <c r="M2823">
        <v>19</v>
      </c>
      <c r="N2823">
        <v>75</v>
      </c>
      <c r="O2823">
        <v>50</v>
      </c>
      <c r="P2823">
        <v>100</v>
      </c>
      <c r="Q2823">
        <v>50</v>
      </c>
      <c r="S2823">
        <v>0</v>
      </c>
      <c r="T2823">
        <v>0</v>
      </c>
      <c r="U2823">
        <f>+SUM(Table1[[#This Row],[Latinos]:[Cemex]])</f>
        <v>1</v>
      </c>
      <c r="V2823" t="str">
        <f>+Table1[[#This Row],[id_destino]]&amp;" - "&amp;Table1[[#This Row],[id_origen]]</f>
        <v>19 - 75</v>
      </c>
    </row>
    <row r="2824" spans="1:22" hidden="1">
      <c r="A2824">
        <v>345</v>
      </c>
      <c r="B2824">
        <v>204</v>
      </c>
      <c r="C2824">
        <v>105</v>
      </c>
      <c r="D2824">
        <v>4455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 t="s">
        <v>20</v>
      </c>
      <c r="L2824" s="1">
        <v>43042</v>
      </c>
      <c r="M2824">
        <v>23</v>
      </c>
      <c r="N2824">
        <v>75</v>
      </c>
      <c r="O2824">
        <v>485</v>
      </c>
      <c r="P2824">
        <v>510</v>
      </c>
      <c r="Q2824">
        <v>485</v>
      </c>
      <c r="S2824">
        <v>2328</v>
      </c>
      <c r="T2824">
        <v>2328</v>
      </c>
      <c r="U2824">
        <f>+SUM(Table1[[#This Row],[Latinos]:[Cemex]])</f>
        <v>1</v>
      </c>
      <c r="V2824" t="str">
        <f>+Table1[[#This Row],[id_destino]]&amp;" - "&amp;Table1[[#This Row],[id_origen]]</f>
        <v>23 - 75</v>
      </c>
    </row>
    <row r="2825" spans="1:22" hidden="1">
      <c r="A2825">
        <v>2421</v>
      </c>
      <c r="B2825">
        <v>661</v>
      </c>
      <c r="C2825">
        <v>105</v>
      </c>
      <c r="D2825">
        <v>4543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 t="s">
        <v>20</v>
      </c>
      <c r="L2825" s="1">
        <v>44061</v>
      </c>
      <c r="M2825">
        <v>27</v>
      </c>
      <c r="N2825">
        <v>75</v>
      </c>
      <c r="O2825">
        <v>853</v>
      </c>
      <c r="P2825">
        <v>824</v>
      </c>
      <c r="Q2825">
        <v>853</v>
      </c>
      <c r="S2825">
        <v>2134</v>
      </c>
      <c r="T2825">
        <v>134</v>
      </c>
      <c r="U2825">
        <f>+SUM(Table1[[#This Row],[Latinos]:[Cemex]])</f>
        <v>1</v>
      </c>
      <c r="V2825" t="str">
        <f>+Table1[[#This Row],[id_destino]]&amp;" - "&amp;Table1[[#This Row],[id_origen]]</f>
        <v>27 - 75</v>
      </c>
    </row>
    <row r="2826" spans="1:22" hidden="1">
      <c r="A2826">
        <v>1712</v>
      </c>
      <c r="B2826">
        <v>2899</v>
      </c>
      <c r="C2826">
        <v>105</v>
      </c>
      <c r="D2826">
        <v>34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 t="s">
        <v>20</v>
      </c>
      <c r="L2826" s="1">
        <v>43571</v>
      </c>
      <c r="M2826">
        <v>30</v>
      </c>
      <c r="N2826">
        <v>75</v>
      </c>
      <c r="O2826">
        <v>1002</v>
      </c>
      <c r="P2826">
        <v>987</v>
      </c>
      <c r="Q2826">
        <v>1002</v>
      </c>
      <c r="S2826">
        <v>2916</v>
      </c>
      <c r="T2826">
        <v>2916</v>
      </c>
      <c r="U2826">
        <f>+SUM(Table1[[#This Row],[Latinos]:[Cemex]])</f>
        <v>1</v>
      </c>
      <c r="V2826" t="str">
        <f>+Table1[[#This Row],[id_destino]]&amp;" - "&amp;Table1[[#This Row],[id_origen]]</f>
        <v>30 - 75</v>
      </c>
    </row>
    <row r="2827" spans="1:22" hidden="1">
      <c r="A2827">
        <v>421</v>
      </c>
      <c r="B2827">
        <v>1698</v>
      </c>
      <c r="C2827">
        <v>105</v>
      </c>
      <c r="D2827">
        <v>35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 t="s">
        <v>20</v>
      </c>
      <c r="L2827" s="1">
        <v>43062</v>
      </c>
      <c r="M2827">
        <v>31</v>
      </c>
      <c r="N2827">
        <v>75</v>
      </c>
      <c r="O2827">
        <v>1182</v>
      </c>
      <c r="P2827">
        <v>1182</v>
      </c>
      <c r="Q2827">
        <v>1182</v>
      </c>
      <c r="S2827">
        <v>3147</v>
      </c>
      <c r="T2827">
        <v>3147</v>
      </c>
      <c r="U2827">
        <f>+SUM(Table1[[#This Row],[Latinos]:[Cemex]])</f>
        <v>1</v>
      </c>
      <c r="V2827" t="str">
        <f>+Table1[[#This Row],[id_destino]]&amp;" - "&amp;Table1[[#This Row],[id_origen]]</f>
        <v>31 - 75</v>
      </c>
    </row>
    <row r="2828" spans="1:22" hidden="1">
      <c r="A2828">
        <v>4468</v>
      </c>
      <c r="B2828">
        <v>4679</v>
      </c>
      <c r="C2828">
        <v>4908</v>
      </c>
      <c r="D2828">
        <v>5155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 t="s">
        <v>20</v>
      </c>
      <c r="L2828" s="1">
        <v>45735</v>
      </c>
      <c r="M2828">
        <v>33</v>
      </c>
      <c r="N2828">
        <v>75</v>
      </c>
      <c r="O2828">
        <v>955</v>
      </c>
      <c r="P2828">
        <v>961</v>
      </c>
      <c r="Q2828">
        <v>955</v>
      </c>
      <c r="S2828">
        <v>2971</v>
      </c>
      <c r="T2828">
        <v>3127</v>
      </c>
      <c r="U2828">
        <f>+SUM(Table1[[#This Row],[Latinos]:[Cemex]])</f>
        <v>1</v>
      </c>
      <c r="V2828" t="str">
        <f>+Table1[[#This Row],[id_destino]]&amp;" - "&amp;Table1[[#This Row],[id_origen]]</f>
        <v>33 - 75</v>
      </c>
    </row>
    <row r="2829" spans="1:22" hidden="1">
      <c r="A2829">
        <v>1426</v>
      </c>
      <c r="B2829">
        <v>2740</v>
      </c>
      <c r="C2829">
        <v>105</v>
      </c>
      <c r="D2829">
        <v>40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 t="s">
        <v>20</v>
      </c>
      <c r="L2829" s="1">
        <v>43430</v>
      </c>
      <c r="M2829">
        <v>34</v>
      </c>
      <c r="N2829">
        <v>75</v>
      </c>
      <c r="O2829">
        <v>953</v>
      </c>
      <c r="P2829">
        <v>953</v>
      </c>
      <c r="Q2829">
        <v>953</v>
      </c>
      <c r="S2829">
        <v>943</v>
      </c>
      <c r="T2829">
        <v>1057</v>
      </c>
      <c r="U2829">
        <f>+SUM(Table1[[#This Row],[Latinos]:[Cemex]])</f>
        <v>1</v>
      </c>
      <c r="V2829" t="str">
        <f>+Table1[[#This Row],[id_destino]]&amp;" - "&amp;Table1[[#This Row],[id_origen]]</f>
        <v>34 - 75</v>
      </c>
    </row>
    <row r="2830" spans="1:22" hidden="1">
      <c r="A2830">
        <v>975</v>
      </c>
      <c r="B2830">
        <v>172</v>
      </c>
      <c r="C2830">
        <v>105</v>
      </c>
      <c r="D2830">
        <v>53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 t="s">
        <v>20</v>
      </c>
      <c r="L2830" s="1">
        <v>43663</v>
      </c>
      <c r="M2830">
        <v>35</v>
      </c>
      <c r="N2830">
        <v>75</v>
      </c>
      <c r="O2830">
        <v>468</v>
      </c>
      <c r="P2830">
        <v>468</v>
      </c>
      <c r="Q2830">
        <v>468</v>
      </c>
      <c r="S2830">
        <v>1252</v>
      </c>
      <c r="T2830">
        <v>1321</v>
      </c>
      <c r="U2830">
        <f>+SUM(Table1[[#This Row],[Latinos]:[Cemex]])</f>
        <v>1</v>
      </c>
      <c r="V2830" t="str">
        <f>+Table1[[#This Row],[id_destino]]&amp;" - "&amp;Table1[[#This Row],[id_origen]]</f>
        <v>35 - 75</v>
      </c>
    </row>
    <row r="2831" spans="1:22" hidden="1">
      <c r="A2831">
        <v>983</v>
      </c>
      <c r="B2831">
        <v>1766</v>
      </c>
      <c r="C2831">
        <v>105</v>
      </c>
      <c r="D2831">
        <v>556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 t="s">
        <v>20</v>
      </c>
      <c r="L2831" s="1">
        <v>43237</v>
      </c>
      <c r="M2831">
        <v>36</v>
      </c>
      <c r="N2831">
        <v>75</v>
      </c>
      <c r="O2831">
        <v>392</v>
      </c>
      <c r="P2831">
        <v>392</v>
      </c>
      <c r="Q2831">
        <v>392</v>
      </c>
      <c r="S2831">
        <v>875</v>
      </c>
      <c r="T2831">
        <v>945</v>
      </c>
      <c r="U2831">
        <f>+SUM(Table1[[#This Row],[Latinos]:[Cemex]])</f>
        <v>1</v>
      </c>
      <c r="V2831" t="str">
        <f>+Table1[[#This Row],[id_destino]]&amp;" - "&amp;Table1[[#This Row],[id_origen]]</f>
        <v>36 - 75</v>
      </c>
    </row>
    <row r="2832" spans="1:22" hidden="1">
      <c r="A2832">
        <v>1554</v>
      </c>
      <c r="B2832">
        <v>749</v>
      </c>
      <c r="C2832">
        <v>105</v>
      </c>
      <c r="D2832">
        <v>44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 t="s">
        <v>20</v>
      </c>
      <c r="L2832" s="1">
        <v>43524</v>
      </c>
      <c r="M2832">
        <v>38</v>
      </c>
      <c r="N2832">
        <v>75</v>
      </c>
      <c r="O2832">
        <v>288</v>
      </c>
      <c r="P2832">
        <v>280</v>
      </c>
      <c r="Q2832">
        <v>288</v>
      </c>
      <c r="S2832">
        <v>838</v>
      </c>
      <c r="T2832">
        <v>838</v>
      </c>
      <c r="U2832">
        <f>+SUM(Table1[[#This Row],[Latinos]:[Cemex]])</f>
        <v>1</v>
      </c>
      <c r="V2832" t="str">
        <f>+Table1[[#This Row],[id_destino]]&amp;" - "&amp;Table1[[#This Row],[id_origen]]</f>
        <v>38 - 75</v>
      </c>
    </row>
    <row r="2833" spans="1:22" hidden="1">
      <c r="A2833">
        <v>1848</v>
      </c>
      <c r="B2833">
        <v>749</v>
      </c>
      <c r="C2833">
        <v>105</v>
      </c>
      <c r="D2833">
        <v>44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 t="s">
        <v>20</v>
      </c>
      <c r="L2833" s="1">
        <v>43665</v>
      </c>
      <c r="M2833">
        <v>38</v>
      </c>
      <c r="N2833">
        <v>75</v>
      </c>
      <c r="O2833">
        <v>279</v>
      </c>
      <c r="P2833">
        <v>279</v>
      </c>
      <c r="Q2833">
        <v>279</v>
      </c>
      <c r="S2833">
        <v>868</v>
      </c>
      <c r="T2833">
        <v>868</v>
      </c>
      <c r="U2833">
        <f>+SUM(Table1[[#This Row],[Latinos]:[Cemex]])</f>
        <v>1</v>
      </c>
      <c r="V2833" t="str">
        <f>+Table1[[#This Row],[id_destino]]&amp;" - "&amp;Table1[[#This Row],[id_origen]]</f>
        <v>38 - 75</v>
      </c>
    </row>
    <row r="2834" spans="1:22" hidden="1">
      <c r="A2834">
        <v>1995</v>
      </c>
      <c r="B2834">
        <v>1788</v>
      </c>
      <c r="C2834">
        <v>105</v>
      </c>
      <c r="D2834">
        <v>45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  <c r="K2834" t="s">
        <v>20</v>
      </c>
      <c r="L2834" s="1">
        <v>43755</v>
      </c>
      <c r="M2834">
        <v>39</v>
      </c>
      <c r="N2834">
        <v>75</v>
      </c>
      <c r="O2834">
        <v>371</v>
      </c>
      <c r="P2834">
        <v>371</v>
      </c>
      <c r="Q2834">
        <v>371</v>
      </c>
      <c r="S2834">
        <v>1005</v>
      </c>
      <c r="T2834">
        <v>1005</v>
      </c>
      <c r="U2834">
        <f>+SUM(Table1[[#This Row],[Latinos]:[Cemex]])</f>
        <v>1</v>
      </c>
      <c r="V2834" t="str">
        <f>+Table1[[#This Row],[id_destino]]&amp;" - "&amp;Table1[[#This Row],[id_origen]]</f>
        <v>39 - 75</v>
      </c>
    </row>
    <row r="2835" spans="1:22" hidden="1">
      <c r="A2835">
        <v>2196</v>
      </c>
      <c r="B2835">
        <v>870</v>
      </c>
      <c r="C2835">
        <v>105</v>
      </c>
      <c r="D2835">
        <v>46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  <c r="K2835" t="s">
        <v>20</v>
      </c>
      <c r="L2835" s="1">
        <v>43852</v>
      </c>
      <c r="M2835">
        <v>40</v>
      </c>
      <c r="N2835">
        <v>75</v>
      </c>
      <c r="O2835">
        <v>411</v>
      </c>
      <c r="P2835">
        <v>383</v>
      </c>
      <c r="Q2835">
        <v>411</v>
      </c>
      <c r="S2835">
        <v>1212</v>
      </c>
      <c r="T2835">
        <v>1212</v>
      </c>
      <c r="U2835">
        <f>+SUM(Table1[[#This Row],[Latinos]:[Cemex]])</f>
        <v>1</v>
      </c>
      <c r="V2835" t="str">
        <f>+Table1[[#This Row],[id_destino]]&amp;" - "&amp;Table1[[#This Row],[id_origen]]</f>
        <v>40 - 75</v>
      </c>
    </row>
    <row r="2836" spans="1:22" hidden="1">
      <c r="A2836">
        <v>977</v>
      </c>
      <c r="B2836">
        <v>1286</v>
      </c>
      <c r="C2836">
        <v>105</v>
      </c>
      <c r="D2836">
        <v>48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 t="s">
        <v>20</v>
      </c>
      <c r="L2836" s="1">
        <v>43237</v>
      </c>
      <c r="M2836">
        <v>42</v>
      </c>
      <c r="N2836">
        <v>75</v>
      </c>
      <c r="O2836">
        <v>338</v>
      </c>
      <c r="P2836">
        <v>338</v>
      </c>
      <c r="Q2836">
        <v>338</v>
      </c>
      <c r="S2836">
        <v>909</v>
      </c>
      <c r="T2836">
        <v>978</v>
      </c>
      <c r="U2836">
        <f>+SUM(Table1[[#This Row],[Latinos]:[Cemex]])</f>
        <v>1</v>
      </c>
      <c r="V2836" t="str">
        <f>+Table1[[#This Row],[id_destino]]&amp;" - "&amp;Table1[[#This Row],[id_origen]]</f>
        <v>42 - 75</v>
      </c>
    </row>
    <row r="2837" spans="1:22" hidden="1">
      <c r="A2837">
        <v>978</v>
      </c>
      <c r="B2837">
        <v>1805</v>
      </c>
      <c r="C2837">
        <v>105</v>
      </c>
      <c r="D2837">
        <v>49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 t="s">
        <v>20</v>
      </c>
      <c r="L2837" s="1">
        <v>43237</v>
      </c>
      <c r="M2837">
        <v>43</v>
      </c>
      <c r="N2837">
        <v>75</v>
      </c>
      <c r="O2837">
        <v>671</v>
      </c>
      <c r="P2837">
        <v>671</v>
      </c>
      <c r="Q2837">
        <v>671</v>
      </c>
      <c r="S2837">
        <v>1643</v>
      </c>
      <c r="T2837">
        <v>1712</v>
      </c>
      <c r="U2837">
        <f>+SUM(Table1[[#This Row],[Latinos]:[Cemex]])</f>
        <v>1</v>
      </c>
      <c r="V2837" t="str">
        <f>+Table1[[#This Row],[id_destino]]&amp;" - "&amp;Table1[[#This Row],[id_origen]]</f>
        <v>43 - 75</v>
      </c>
    </row>
    <row r="2838" spans="1:22" hidden="1">
      <c r="A2838">
        <v>990</v>
      </c>
      <c r="B2838">
        <v>223</v>
      </c>
      <c r="C2838">
        <v>105</v>
      </c>
      <c r="D2838">
        <v>52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 t="s">
        <v>20</v>
      </c>
      <c r="L2838" s="1">
        <v>43238</v>
      </c>
      <c r="M2838">
        <v>46</v>
      </c>
      <c r="N2838">
        <v>75</v>
      </c>
      <c r="O2838">
        <v>265</v>
      </c>
      <c r="P2838">
        <v>239</v>
      </c>
      <c r="Q2838">
        <v>265</v>
      </c>
      <c r="S2838">
        <v>251</v>
      </c>
      <c r="T2838">
        <v>320</v>
      </c>
      <c r="U2838">
        <f>+SUM(Table1[[#This Row],[Latinos]:[Cemex]])</f>
        <v>1</v>
      </c>
      <c r="V2838" t="str">
        <f>+Table1[[#This Row],[id_destino]]&amp;" - "&amp;Table1[[#This Row],[id_origen]]</f>
        <v>46 - 75</v>
      </c>
    </row>
    <row r="2839" spans="1:22" hidden="1">
      <c r="A2839">
        <v>230</v>
      </c>
      <c r="B2839">
        <v>1708</v>
      </c>
      <c r="C2839">
        <v>105</v>
      </c>
      <c r="D2839">
        <v>2413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 t="s">
        <v>20</v>
      </c>
      <c r="L2839" s="1">
        <v>43019</v>
      </c>
      <c r="M2839">
        <v>47</v>
      </c>
      <c r="N2839">
        <v>75</v>
      </c>
      <c r="O2839">
        <v>97</v>
      </c>
      <c r="P2839">
        <v>150</v>
      </c>
      <c r="Q2839">
        <v>97</v>
      </c>
      <c r="S2839">
        <v>270</v>
      </c>
      <c r="T2839">
        <v>322</v>
      </c>
      <c r="U2839">
        <f>+SUM(Table1[[#This Row],[Latinos]:[Cemex]])</f>
        <v>1</v>
      </c>
      <c r="V2839" t="str">
        <f>+Table1[[#This Row],[id_destino]]&amp;" - "&amp;Table1[[#This Row],[id_origen]]</f>
        <v>47 - 75</v>
      </c>
    </row>
    <row r="2840" spans="1:22" hidden="1">
      <c r="A2840">
        <v>1600</v>
      </c>
      <c r="B2840">
        <v>2833</v>
      </c>
      <c r="C2840">
        <v>105</v>
      </c>
      <c r="D2840">
        <v>63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 t="s">
        <v>20</v>
      </c>
      <c r="L2840" s="1">
        <v>43531</v>
      </c>
      <c r="M2840">
        <v>55</v>
      </c>
      <c r="N2840">
        <v>75</v>
      </c>
      <c r="O2840">
        <v>82</v>
      </c>
      <c r="P2840">
        <v>150</v>
      </c>
      <c r="Q2840">
        <v>82</v>
      </c>
      <c r="S2840">
        <v>330</v>
      </c>
      <c r="T2840">
        <v>330</v>
      </c>
      <c r="U2840">
        <f>+SUM(Table1[[#This Row],[Latinos]:[Cemex]])</f>
        <v>1</v>
      </c>
      <c r="V2840" t="str">
        <f>+Table1[[#This Row],[id_destino]]&amp;" - "&amp;Table1[[#This Row],[id_origen]]</f>
        <v>55 - 75</v>
      </c>
    </row>
    <row r="2841" spans="1:22" hidden="1">
      <c r="A2841">
        <v>2313</v>
      </c>
      <c r="B2841">
        <v>2833</v>
      </c>
      <c r="C2841">
        <v>105</v>
      </c>
      <c r="D2841">
        <v>63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  <c r="K2841" t="s">
        <v>20</v>
      </c>
      <c r="L2841" s="1">
        <v>43923</v>
      </c>
      <c r="M2841">
        <v>55</v>
      </c>
      <c r="N2841">
        <v>75</v>
      </c>
      <c r="O2841">
        <v>81</v>
      </c>
      <c r="P2841">
        <v>150</v>
      </c>
      <c r="Q2841">
        <v>81</v>
      </c>
      <c r="S2841">
        <v>254</v>
      </c>
      <c r="T2841">
        <v>254</v>
      </c>
      <c r="U2841">
        <f>+SUM(Table1[[#This Row],[Latinos]:[Cemex]])</f>
        <v>1</v>
      </c>
      <c r="V2841" t="str">
        <f>+Table1[[#This Row],[id_destino]]&amp;" - "&amp;Table1[[#This Row],[id_origen]]</f>
        <v>55 - 75</v>
      </c>
    </row>
    <row r="2842" spans="1:22" hidden="1">
      <c r="A2842">
        <v>1770</v>
      </c>
      <c r="B2842">
        <v>256</v>
      </c>
      <c r="C2842">
        <v>105</v>
      </c>
      <c r="D2842">
        <v>70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 t="s">
        <v>20</v>
      </c>
      <c r="L2842" s="1">
        <v>43615</v>
      </c>
      <c r="M2842">
        <v>60</v>
      </c>
      <c r="N2842">
        <v>75</v>
      </c>
      <c r="O2842">
        <v>2816</v>
      </c>
      <c r="P2842">
        <v>2811</v>
      </c>
      <c r="Q2842">
        <v>2816</v>
      </c>
      <c r="S2842">
        <v>3068</v>
      </c>
      <c r="T2842">
        <v>3511</v>
      </c>
      <c r="U2842">
        <f>+SUM(Table1[[#This Row],[Latinos]:[Cemex]])</f>
        <v>1</v>
      </c>
      <c r="V2842" t="str">
        <f>+Table1[[#This Row],[id_destino]]&amp;" - "&amp;Table1[[#This Row],[id_origen]]</f>
        <v>60 - 75</v>
      </c>
    </row>
    <row r="2843" spans="1:22" hidden="1">
      <c r="A2843">
        <v>1785</v>
      </c>
      <c r="B2843">
        <v>2937</v>
      </c>
      <c r="C2843">
        <v>105</v>
      </c>
      <c r="D2843">
        <v>71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 t="s">
        <v>20</v>
      </c>
      <c r="L2843" s="1">
        <v>43634</v>
      </c>
      <c r="M2843">
        <v>61</v>
      </c>
      <c r="N2843">
        <v>75</v>
      </c>
      <c r="O2843">
        <v>2650</v>
      </c>
      <c r="P2843">
        <v>2641</v>
      </c>
      <c r="Q2843">
        <v>2650</v>
      </c>
      <c r="S2843">
        <v>2557</v>
      </c>
      <c r="T2843">
        <v>2984</v>
      </c>
      <c r="U2843">
        <f>+SUM(Table1[[#This Row],[Latinos]:[Cemex]])</f>
        <v>1</v>
      </c>
      <c r="V2843" t="str">
        <f>+Table1[[#This Row],[id_destino]]&amp;" - "&amp;Table1[[#This Row],[id_origen]]</f>
        <v>61 - 75</v>
      </c>
    </row>
    <row r="2844" spans="1:22" hidden="1">
      <c r="A2844">
        <v>2547</v>
      </c>
      <c r="B2844">
        <v>2937</v>
      </c>
      <c r="C2844">
        <v>105</v>
      </c>
      <c r="D2844">
        <v>71</v>
      </c>
      <c r="E2844">
        <v>0</v>
      </c>
      <c r="F2844">
        <v>1</v>
      </c>
      <c r="G2844">
        <v>0</v>
      </c>
      <c r="H2844">
        <v>0</v>
      </c>
      <c r="I2844">
        <v>1</v>
      </c>
      <c r="J2844">
        <v>0</v>
      </c>
      <c r="K2844" t="s">
        <v>86</v>
      </c>
      <c r="L2844" s="1">
        <v>44195</v>
      </c>
      <c r="M2844">
        <v>61</v>
      </c>
      <c r="N2844">
        <v>75</v>
      </c>
      <c r="O2844">
        <v>2687</v>
      </c>
      <c r="P2844">
        <v>2678</v>
      </c>
      <c r="Q2844">
        <v>2687</v>
      </c>
      <c r="S2844">
        <v>2373</v>
      </c>
      <c r="T2844">
        <v>2769</v>
      </c>
      <c r="U2844">
        <f>+SUM(Table1[[#This Row],[Latinos]:[Cemex]])</f>
        <v>2</v>
      </c>
      <c r="V2844" t="str">
        <f>+Table1[[#This Row],[id_destino]]&amp;" - "&amp;Table1[[#This Row],[id_origen]]</f>
        <v>61 - 75</v>
      </c>
    </row>
    <row r="2845" spans="1:22" hidden="1">
      <c r="A2845">
        <v>1148</v>
      </c>
      <c r="B2845">
        <v>2601</v>
      </c>
      <c r="C2845">
        <v>105</v>
      </c>
      <c r="D2845">
        <v>5640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 t="s">
        <v>20</v>
      </c>
      <c r="L2845" s="1">
        <v>43314</v>
      </c>
      <c r="M2845">
        <v>63</v>
      </c>
      <c r="N2845">
        <v>75</v>
      </c>
      <c r="O2845">
        <v>643</v>
      </c>
      <c r="P2845">
        <v>643</v>
      </c>
      <c r="Q2845">
        <v>643</v>
      </c>
      <c r="S2845">
        <v>0</v>
      </c>
      <c r="T2845">
        <v>0</v>
      </c>
      <c r="U2845">
        <f>+SUM(Table1[[#This Row],[Latinos]:[Cemex]])</f>
        <v>1</v>
      </c>
      <c r="V2845" t="str">
        <f>+Table1[[#This Row],[id_destino]]&amp;" - "&amp;Table1[[#This Row],[id_origen]]</f>
        <v>63 - 75</v>
      </c>
    </row>
    <row r="2846" spans="1:22" hidden="1">
      <c r="A2846">
        <v>2429</v>
      </c>
      <c r="B2846">
        <v>3337</v>
      </c>
      <c r="C2846">
        <v>6387</v>
      </c>
      <c r="D2846">
        <v>6387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  <c r="K2846" t="s">
        <v>20</v>
      </c>
      <c r="L2846" s="1">
        <v>44068</v>
      </c>
      <c r="M2846">
        <v>75</v>
      </c>
      <c r="N2846">
        <v>75</v>
      </c>
      <c r="O2846">
        <v>10</v>
      </c>
      <c r="P2846">
        <v>150</v>
      </c>
      <c r="Q2846">
        <v>10</v>
      </c>
      <c r="S2846">
        <v>0</v>
      </c>
      <c r="T2846">
        <v>0</v>
      </c>
      <c r="U2846">
        <f>+SUM(Table1[[#This Row],[Latinos]:[Cemex]])</f>
        <v>1</v>
      </c>
      <c r="V2846" t="str">
        <f>+Table1[[#This Row],[id_destino]]&amp;" - "&amp;Table1[[#This Row],[id_origen]]</f>
        <v>75 - 75</v>
      </c>
    </row>
    <row r="2847" spans="1:22" hidden="1">
      <c r="A2847">
        <v>1794</v>
      </c>
      <c r="B2847">
        <v>2942</v>
      </c>
      <c r="C2847">
        <v>4908</v>
      </c>
      <c r="D2847">
        <v>3715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 t="s">
        <v>20</v>
      </c>
      <c r="L2847" s="1">
        <v>43636</v>
      </c>
      <c r="M2847">
        <v>86</v>
      </c>
      <c r="N2847">
        <v>75</v>
      </c>
      <c r="O2847">
        <v>49</v>
      </c>
      <c r="P2847">
        <v>150</v>
      </c>
      <c r="Q2847">
        <v>49</v>
      </c>
      <c r="S2847">
        <v>0</v>
      </c>
      <c r="T2847">
        <v>0</v>
      </c>
      <c r="U2847">
        <f>+SUM(Table1[[#This Row],[Latinos]:[Cemex]])</f>
        <v>1</v>
      </c>
      <c r="V2847" t="str">
        <f>+Table1[[#This Row],[id_destino]]&amp;" - "&amp;Table1[[#This Row],[id_origen]]</f>
        <v>86 - 75</v>
      </c>
    </row>
    <row r="2848" spans="1:22" hidden="1">
      <c r="A2848">
        <v>533</v>
      </c>
      <c r="B2848">
        <v>816</v>
      </c>
      <c r="C2848">
        <v>105</v>
      </c>
      <c r="D2848">
        <v>109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 t="s">
        <v>20</v>
      </c>
      <c r="L2848" s="1">
        <v>43341</v>
      </c>
      <c r="M2848">
        <v>93</v>
      </c>
      <c r="N2848">
        <v>75</v>
      </c>
      <c r="O2848">
        <v>30</v>
      </c>
      <c r="P2848">
        <v>150</v>
      </c>
      <c r="Q2848">
        <v>30</v>
      </c>
      <c r="S2848">
        <v>165</v>
      </c>
      <c r="T2848">
        <v>165</v>
      </c>
      <c r="U2848">
        <f>+SUM(Table1[[#This Row],[Latinos]:[Cemex]])</f>
        <v>1</v>
      </c>
      <c r="V2848" t="str">
        <f>+Table1[[#This Row],[id_destino]]&amp;" - "&amp;Table1[[#This Row],[id_origen]]</f>
        <v>93 - 75</v>
      </c>
    </row>
    <row r="2849" spans="1:22" hidden="1">
      <c r="A2849">
        <v>151</v>
      </c>
      <c r="B2849">
        <v>835</v>
      </c>
      <c r="C2849">
        <v>105</v>
      </c>
      <c r="D2849">
        <v>268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 t="s">
        <v>20</v>
      </c>
      <c r="L2849" s="1">
        <v>43705</v>
      </c>
      <c r="M2849">
        <v>99</v>
      </c>
      <c r="N2849">
        <v>75</v>
      </c>
      <c r="O2849">
        <v>1232</v>
      </c>
      <c r="P2849">
        <v>1232</v>
      </c>
      <c r="Q2849">
        <v>1232</v>
      </c>
      <c r="S2849">
        <v>2031.89</v>
      </c>
      <c r="T2849">
        <v>2094.8200000000002</v>
      </c>
      <c r="U2849">
        <f>+SUM(Table1[[#This Row],[Latinos]:[Cemex]])</f>
        <v>1</v>
      </c>
      <c r="V2849" t="str">
        <f>+Table1[[#This Row],[id_destino]]&amp;" - "&amp;Table1[[#This Row],[id_origen]]</f>
        <v>99 - 75</v>
      </c>
    </row>
    <row r="2850" spans="1:22" hidden="1">
      <c r="A2850">
        <v>2474</v>
      </c>
      <c r="B2850">
        <v>3367</v>
      </c>
      <c r="C2850">
        <v>105</v>
      </c>
      <c r="D2850">
        <v>4181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 t="s">
        <v>20</v>
      </c>
      <c r="L2850" s="1">
        <v>44109</v>
      </c>
      <c r="M2850">
        <v>105</v>
      </c>
      <c r="N2850">
        <v>75</v>
      </c>
      <c r="O2850">
        <v>20</v>
      </c>
      <c r="P2850">
        <v>150</v>
      </c>
      <c r="Q2850">
        <v>20</v>
      </c>
      <c r="S2850">
        <v>0</v>
      </c>
      <c r="T2850">
        <v>0</v>
      </c>
      <c r="U2850">
        <f>+SUM(Table1[[#This Row],[Latinos]:[Cemex]])</f>
        <v>1</v>
      </c>
      <c r="V2850" t="str">
        <f>+Table1[[#This Row],[id_destino]]&amp;" - "&amp;Table1[[#This Row],[id_origen]]</f>
        <v>105 - 75</v>
      </c>
    </row>
    <row r="2851" spans="1:22" hidden="1">
      <c r="A2851">
        <v>976</v>
      </c>
      <c r="B2851">
        <v>1751</v>
      </c>
      <c r="C2851">
        <v>105</v>
      </c>
      <c r="D2851">
        <v>47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 t="s">
        <v>20</v>
      </c>
      <c r="L2851" s="1">
        <v>43237</v>
      </c>
      <c r="M2851">
        <v>129</v>
      </c>
      <c r="N2851">
        <v>75</v>
      </c>
      <c r="O2851">
        <v>530</v>
      </c>
      <c r="P2851">
        <v>530</v>
      </c>
      <c r="Q2851">
        <v>530</v>
      </c>
      <c r="S2851">
        <v>1105</v>
      </c>
      <c r="T2851">
        <v>1174</v>
      </c>
      <c r="U2851">
        <f>+SUM(Table1[[#This Row],[Latinos]:[Cemex]])</f>
        <v>1</v>
      </c>
      <c r="V2851" t="str">
        <f>+Table1[[#This Row],[id_destino]]&amp;" - "&amp;Table1[[#This Row],[id_origen]]</f>
        <v>129 - 75</v>
      </c>
    </row>
    <row r="2852" spans="1:22" hidden="1">
      <c r="A2852">
        <v>1962</v>
      </c>
      <c r="B2852">
        <v>3049</v>
      </c>
      <c r="C2852">
        <v>105</v>
      </c>
      <c r="D2852">
        <v>3176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 t="s">
        <v>20</v>
      </c>
      <c r="L2852" s="1">
        <v>43740</v>
      </c>
      <c r="M2852">
        <v>136</v>
      </c>
      <c r="N2852">
        <v>75</v>
      </c>
      <c r="O2852">
        <v>164</v>
      </c>
      <c r="P2852">
        <v>164</v>
      </c>
      <c r="Q2852">
        <v>164</v>
      </c>
      <c r="S2852">
        <v>545</v>
      </c>
      <c r="T2852">
        <v>618</v>
      </c>
      <c r="U2852">
        <f>+SUM(Table1[[#This Row],[Latinos]:[Cemex]])</f>
        <v>1</v>
      </c>
      <c r="V2852" t="str">
        <f>+Table1[[#This Row],[id_destino]]&amp;" - "&amp;Table1[[#This Row],[id_origen]]</f>
        <v>136 - 75</v>
      </c>
    </row>
    <row r="2853" spans="1:22" hidden="1">
      <c r="A2853">
        <v>808</v>
      </c>
      <c r="B2853">
        <v>2463</v>
      </c>
      <c r="C2853">
        <v>105</v>
      </c>
      <c r="D2853">
        <v>1645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 t="s">
        <v>20</v>
      </c>
      <c r="L2853" s="1">
        <v>43171</v>
      </c>
      <c r="M2853">
        <v>148</v>
      </c>
      <c r="N2853">
        <v>75</v>
      </c>
      <c r="O2853">
        <v>589</v>
      </c>
      <c r="P2853">
        <v>589</v>
      </c>
      <c r="Q2853">
        <v>589</v>
      </c>
      <c r="S2853">
        <v>1098</v>
      </c>
      <c r="T2853">
        <v>1098</v>
      </c>
      <c r="U2853">
        <f>+SUM(Table1[[#This Row],[Latinos]:[Cemex]])</f>
        <v>1</v>
      </c>
      <c r="V2853" t="str">
        <f>+Table1[[#This Row],[id_destino]]&amp;" - "&amp;Table1[[#This Row],[id_origen]]</f>
        <v>148 - 75</v>
      </c>
    </row>
    <row r="2854" spans="1:22" hidden="1">
      <c r="A2854">
        <v>1655</v>
      </c>
      <c r="B2854">
        <v>2867</v>
      </c>
      <c r="C2854">
        <v>105</v>
      </c>
      <c r="D2854">
        <v>3430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 t="s">
        <v>20</v>
      </c>
      <c r="L2854" s="1">
        <v>43551</v>
      </c>
      <c r="M2854">
        <v>180</v>
      </c>
      <c r="N2854">
        <v>75</v>
      </c>
      <c r="O2854">
        <v>1100</v>
      </c>
      <c r="P2854">
        <v>925</v>
      </c>
      <c r="Q2854">
        <v>1100</v>
      </c>
      <c r="S2854">
        <v>1955</v>
      </c>
      <c r="T2854">
        <v>2048</v>
      </c>
      <c r="U2854">
        <f>+SUM(Table1[[#This Row],[Latinos]:[Cemex]])</f>
        <v>1</v>
      </c>
      <c r="V2854" t="str">
        <f>+Table1[[#This Row],[id_destino]]&amp;" - "&amp;Table1[[#This Row],[id_origen]]</f>
        <v>180 - 75</v>
      </c>
    </row>
    <row r="2855" spans="1:22" hidden="1">
      <c r="A2855">
        <v>662</v>
      </c>
      <c r="B2855">
        <v>2395</v>
      </c>
      <c r="C2855">
        <v>105</v>
      </c>
      <c r="D2855">
        <v>3000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 t="s">
        <v>20</v>
      </c>
      <c r="L2855" s="1">
        <v>43124</v>
      </c>
      <c r="M2855">
        <v>183</v>
      </c>
      <c r="N2855">
        <v>75</v>
      </c>
      <c r="O2855">
        <v>481</v>
      </c>
      <c r="P2855">
        <v>481</v>
      </c>
      <c r="Q2855">
        <v>481</v>
      </c>
      <c r="S2855">
        <v>1415</v>
      </c>
      <c r="T2855">
        <v>14515</v>
      </c>
      <c r="U2855">
        <f>+SUM(Table1[[#This Row],[Latinos]:[Cemex]])</f>
        <v>1</v>
      </c>
      <c r="V2855" t="str">
        <f>+Table1[[#This Row],[id_destino]]&amp;" - "&amp;Table1[[#This Row],[id_origen]]</f>
        <v>183 - 75</v>
      </c>
    </row>
    <row r="2856" spans="1:22" hidden="1">
      <c r="A2856">
        <v>424</v>
      </c>
      <c r="B2856">
        <v>2288</v>
      </c>
      <c r="C2856">
        <v>105</v>
      </c>
      <c r="D2856">
        <v>3032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 t="s">
        <v>32</v>
      </c>
      <c r="L2856" s="1">
        <v>43064</v>
      </c>
      <c r="M2856">
        <v>189</v>
      </c>
      <c r="N2856">
        <v>75</v>
      </c>
      <c r="O2856">
        <v>1128</v>
      </c>
      <c r="P2856">
        <v>1128</v>
      </c>
      <c r="Q2856">
        <v>1128</v>
      </c>
      <c r="S2856">
        <v>2720</v>
      </c>
      <c r="T2856">
        <v>2720</v>
      </c>
      <c r="U2856">
        <f>+SUM(Table1[[#This Row],[Latinos]:[Cemex]])</f>
        <v>1</v>
      </c>
      <c r="V2856" t="str">
        <f>+Table1[[#This Row],[id_destino]]&amp;" - "&amp;Table1[[#This Row],[id_origen]]</f>
        <v>189 - 75</v>
      </c>
    </row>
    <row r="2857" spans="1:22" hidden="1">
      <c r="A2857">
        <v>2105</v>
      </c>
      <c r="B2857">
        <v>2288</v>
      </c>
      <c r="C2857">
        <v>105</v>
      </c>
      <c r="D2857">
        <v>3032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0</v>
      </c>
      <c r="K2857" t="s">
        <v>78</v>
      </c>
      <c r="L2857" s="1">
        <v>43812</v>
      </c>
      <c r="M2857">
        <v>189</v>
      </c>
      <c r="N2857">
        <v>75</v>
      </c>
      <c r="O2857">
        <v>2057</v>
      </c>
      <c r="P2857">
        <v>2057</v>
      </c>
      <c r="Q2857">
        <v>2057</v>
      </c>
      <c r="S2857">
        <v>3568</v>
      </c>
      <c r="T2857">
        <v>3642</v>
      </c>
      <c r="U2857">
        <f>+SUM(Table1[[#This Row],[Latinos]:[Cemex]])</f>
        <v>2</v>
      </c>
      <c r="V2857" t="str">
        <f>+Table1[[#This Row],[id_destino]]&amp;" - "&amp;Table1[[#This Row],[id_origen]]</f>
        <v>189 - 75</v>
      </c>
    </row>
    <row r="2858" spans="1:22" hidden="1">
      <c r="A2858">
        <v>4121</v>
      </c>
      <c r="B2858">
        <v>1817</v>
      </c>
      <c r="C2858">
        <v>4908</v>
      </c>
      <c r="D2858">
        <v>255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 t="s">
        <v>20</v>
      </c>
      <c r="L2858" s="1">
        <v>45302</v>
      </c>
      <c r="M2858">
        <v>254</v>
      </c>
      <c r="N2858">
        <v>75</v>
      </c>
      <c r="O2858">
        <v>40</v>
      </c>
      <c r="P2858">
        <v>100</v>
      </c>
      <c r="Q2858">
        <v>40</v>
      </c>
      <c r="S2858">
        <v>0</v>
      </c>
      <c r="T2858">
        <v>0</v>
      </c>
      <c r="U2858">
        <f>+SUM(Table1[[#This Row],[Latinos]:[Cemex]])</f>
        <v>1</v>
      </c>
      <c r="V2858" t="str">
        <f>+Table1[[#This Row],[id_destino]]&amp;" - "&amp;Table1[[#This Row],[id_origen]]</f>
        <v>254 - 75</v>
      </c>
    </row>
    <row r="2859" spans="1:22" hidden="1">
      <c r="A2859">
        <v>1611</v>
      </c>
      <c r="B2859">
        <v>2839</v>
      </c>
      <c r="C2859">
        <v>105</v>
      </c>
      <c r="D2859">
        <v>33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 t="s">
        <v>20</v>
      </c>
      <c r="L2859" s="1">
        <v>43530</v>
      </c>
      <c r="M2859">
        <v>260</v>
      </c>
      <c r="N2859">
        <v>75</v>
      </c>
      <c r="O2859">
        <v>1390</v>
      </c>
      <c r="P2859">
        <v>1376</v>
      </c>
      <c r="Q2859">
        <v>1390</v>
      </c>
      <c r="S2859">
        <v>3601</v>
      </c>
      <c r="T2859">
        <v>3675</v>
      </c>
      <c r="U2859">
        <f>+SUM(Table1[[#This Row],[Latinos]:[Cemex]])</f>
        <v>1</v>
      </c>
      <c r="V2859" t="str">
        <f>+Table1[[#This Row],[id_destino]]&amp;" - "&amp;Table1[[#This Row],[id_origen]]</f>
        <v>260 - 75</v>
      </c>
    </row>
    <row r="2860" spans="1:22" hidden="1">
      <c r="A2860">
        <v>4587</v>
      </c>
      <c r="B2860">
        <v>4777</v>
      </c>
      <c r="C2860">
        <v>4908</v>
      </c>
      <c r="D2860">
        <v>1438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 t="s">
        <v>20</v>
      </c>
      <c r="L2860" s="1">
        <v>45636</v>
      </c>
      <c r="M2860">
        <v>278</v>
      </c>
      <c r="N2860">
        <v>75</v>
      </c>
      <c r="O2860">
        <v>435</v>
      </c>
      <c r="P2860">
        <v>439</v>
      </c>
      <c r="Q2860">
        <v>435</v>
      </c>
      <c r="S2860">
        <v>2042</v>
      </c>
      <c r="T2860">
        <v>2042</v>
      </c>
      <c r="U2860">
        <f>+SUM(Table1[[#This Row],[Latinos]:[Cemex]])</f>
        <v>1</v>
      </c>
      <c r="V2860" t="str">
        <f>+Table1[[#This Row],[id_destino]]&amp;" - "&amp;Table1[[#This Row],[id_origen]]</f>
        <v>278 - 75</v>
      </c>
    </row>
    <row r="2861" spans="1:22" hidden="1">
      <c r="A2861">
        <v>1076</v>
      </c>
      <c r="B2861">
        <v>2574</v>
      </c>
      <c r="C2861">
        <v>4747</v>
      </c>
      <c r="D2861">
        <v>2871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 t="s">
        <v>20</v>
      </c>
      <c r="L2861" s="1">
        <v>43274</v>
      </c>
      <c r="M2861">
        <v>318</v>
      </c>
      <c r="N2861">
        <v>75</v>
      </c>
      <c r="O2861">
        <v>30</v>
      </c>
      <c r="P2861">
        <v>150</v>
      </c>
      <c r="Q2861">
        <v>30</v>
      </c>
      <c r="S2861">
        <v>0</v>
      </c>
      <c r="T2861">
        <v>0</v>
      </c>
      <c r="U2861">
        <f>+SUM(Table1[[#This Row],[Latinos]:[Cemex]])</f>
        <v>1</v>
      </c>
      <c r="V2861" t="str">
        <f>+Table1[[#This Row],[id_destino]]&amp;" - "&amp;Table1[[#This Row],[id_origen]]</f>
        <v>318 - 75</v>
      </c>
    </row>
    <row r="2862" spans="1:22" hidden="1">
      <c r="A2862">
        <v>1505</v>
      </c>
      <c r="B2862">
        <v>2540</v>
      </c>
      <c r="C2862">
        <v>105</v>
      </c>
      <c r="D2862">
        <v>5378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  <c r="K2862" t="s">
        <v>20</v>
      </c>
      <c r="L2862" s="1">
        <v>43475</v>
      </c>
      <c r="M2862">
        <v>345</v>
      </c>
      <c r="N2862">
        <v>75</v>
      </c>
      <c r="O2862">
        <v>54</v>
      </c>
      <c r="P2862">
        <v>150</v>
      </c>
      <c r="Q2862">
        <v>54</v>
      </c>
      <c r="S2862">
        <v>150</v>
      </c>
      <c r="T2862">
        <v>150</v>
      </c>
      <c r="U2862">
        <f>+SUM(Table1[[#This Row],[Latinos]:[Cemex]])</f>
        <v>1</v>
      </c>
      <c r="V2862" t="str">
        <f>+Table1[[#This Row],[id_destino]]&amp;" - "&amp;Table1[[#This Row],[id_origen]]</f>
        <v>345 - 75</v>
      </c>
    </row>
    <row r="2863" spans="1:22" hidden="1">
      <c r="A2863">
        <v>1935</v>
      </c>
      <c r="B2863">
        <v>3029</v>
      </c>
      <c r="C2863">
        <v>105</v>
      </c>
      <c r="D2863">
        <v>6061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 t="s">
        <v>20</v>
      </c>
      <c r="L2863" s="1">
        <v>43727</v>
      </c>
      <c r="M2863">
        <v>519</v>
      </c>
      <c r="N2863">
        <v>75</v>
      </c>
      <c r="O2863">
        <v>374</v>
      </c>
      <c r="P2863">
        <v>319</v>
      </c>
      <c r="Q2863">
        <v>374</v>
      </c>
      <c r="S2863">
        <v>444</v>
      </c>
      <c r="T2863">
        <v>444</v>
      </c>
      <c r="U2863">
        <f>+SUM(Table1[[#This Row],[Latinos]:[Cemex]])</f>
        <v>1</v>
      </c>
      <c r="V2863" t="str">
        <f>+Table1[[#This Row],[id_destino]]&amp;" - "&amp;Table1[[#This Row],[id_origen]]</f>
        <v>519 - 75</v>
      </c>
    </row>
    <row r="2864" spans="1:22" hidden="1">
      <c r="A2864">
        <v>984</v>
      </c>
      <c r="B2864">
        <v>3969</v>
      </c>
      <c r="C2864">
        <v>7407</v>
      </c>
      <c r="D2864">
        <v>6566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  <c r="K2864" t="s">
        <v>20</v>
      </c>
      <c r="L2864" s="1">
        <v>45111</v>
      </c>
      <c r="M2864">
        <v>525</v>
      </c>
      <c r="N2864">
        <v>75</v>
      </c>
      <c r="O2864">
        <v>62</v>
      </c>
      <c r="P2864">
        <v>100</v>
      </c>
      <c r="Q2864">
        <v>62</v>
      </c>
      <c r="S2864">
        <v>0</v>
      </c>
      <c r="T2864">
        <v>0</v>
      </c>
      <c r="U2864">
        <f>+SUM(Table1[[#This Row],[Latinos]:[Cemex]])</f>
        <v>1</v>
      </c>
      <c r="V2864" t="str">
        <f>+Table1[[#This Row],[id_destino]]&amp;" - "&amp;Table1[[#This Row],[id_origen]]</f>
        <v>525 - 75</v>
      </c>
    </row>
    <row r="2865" spans="1:22" hidden="1">
      <c r="A2865">
        <v>776</v>
      </c>
      <c r="B2865">
        <v>1704</v>
      </c>
      <c r="C2865">
        <v>105</v>
      </c>
      <c r="D2865">
        <v>2819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 t="s">
        <v>20</v>
      </c>
      <c r="L2865" s="1">
        <v>43161</v>
      </c>
      <c r="M2865">
        <v>529</v>
      </c>
      <c r="N2865">
        <v>75</v>
      </c>
      <c r="O2865">
        <v>58</v>
      </c>
      <c r="P2865">
        <v>150</v>
      </c>
      <c r="Q2865">
        <v>58</v>
      </c>
      <c r="S2865">
        <v>0</v>
      </c>
      <c r="T2865">
        <v>0</v>
      </c>
      <c r="U2865">
        <f>+SUM(Table1[[#This Row],[Latinos]:[Cemex]])</f>
        <v>1</v>
      </c>
      <c r="V2865" t="str">
        <f>+Table1[[#This Row],[id_destino]]&amp;" - "&amp;Table1[[#This Row],[id_origen]]</f>
        <v>529 - 75</v>
      </c>
    </row>
    <row r="2866" spans="1:22" hidden="1">
      <c r="A2866">
        <v>1159</v>
      </c>
      <c r="B2866">
        <v>2044</v>
      </c>
      <c r="C2866">
        <v>105</v>
      </c>
      <c r="D2866">
        <v>5646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 t="s">
        <v>20</v>
      </c>
      <c r="L2866" s="1">
        <v>43323</v>
      </c>
      <c r="M2866">
        <v>695</v>
      </c>
      <c r="N2866">
        <v>75</v>
      </c>
      <c r="O2866">
        <v>1185</v>
      </c>
      <c r="P2866">
        <v>1180</v>
      </c>
      <c r="Q2866">
        <v>1185</v>
      </c>
      <c r="S2866">
        <v>679</v>
      </c>
      <c r="T2866">
        <v>679</v>
      </c>
      <c r="U2866">
        <f>+SUM(Table1[[#This Row],[Latinos]:[Cemex]])</f>
        <v>1</v>
      </c>
      <c r="V2866" t="str">
        <f>+Table1[[#This Row],[id_destino]]&amp;" - "&amp;Table1[[#This Row],[id_origen]]</f>
        <v>695 - 75</v>
      </c>
    </row>
    <row r="2867" spans="1:22" hidden="1">
      <c r="A2867">
        <v>1507</v>
      </c>
      <c r="B2867">
        <v>2225</v>
      </c>
      <c r="C2867">
        <v>105</v>
      </c>
      <c r="D2867">
        <v>255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 t="s">
        <v>20</v>
      </c>
      <c r="L2867" s="1">
        <v>43475</v>
      </c>
      <c r="M2867">
        <v>714</v>
      </c>
      <c r="N2867">
        <v>75</v>
      </c>
      <c r="O2867">
        <v>40</v>
      </c>
      <c r="P2867">
        <v>150</v>
      </c>
      <c r="Q2867">
        <v>40</v>
      </c>
      <c r="S2867">
        <v>0</v>
      </c>
      <c r="T2867">
        <v>0</v>
      </c>
      <c r="U2867">
        <f>+SUM(Table1[[#This Row],[Latinos]:[Cemex]])</f>
        <v>1</v>
      </c>
      <c r="V2867" t="str">
        <f>+Table1[[#This Row],[id_destino]]&amp;" - "&amp;Table1[[#This Row],[id_origen]]</f>
        <v>714 - 75</v>
      </c>
    </row>
    <row r="2868" spans="1:22" hidden="1">
      <c r="A2868">
        <v>2258</v>
      </c>
      <c r="B2868">
        <v>2225</v>
      </c>
      <c r="C2868">
        <v>105</v>
      </c>
      <c r="D2868">
        <v>255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 t="s">
        <v>20</v>
      </c>
      <c r="L2868" s="1">
        <v>43883</v>
      </c>
      <c r="M2868">
        <v>714</v>
      </c>
      <c r="N2868">
        <v>75</v>
      </c>
      <c r="O2868">
        <v>46</v>
      </c>
      <c r="P2868">
        <v>150</v>
      </c>
      <c r="Q2868">
        <v>46</v>
      </c>
      <c r="S2868">
        <v>92</v>
      </c>
      <c r="T2868">
        <v>92</v>
      </c>
      <c r="U2868">
        <f>+SUM(Table1[[#This Row],[Latinos]:[Cemex]])</f>
        <v>1</v>
      </c>
      <c r="V2868" t="str">
        <f>+Table1[[#This Row],[id_destino]]&amp;" - "&amp;Table1[[#This Row],[id_origen]]</f>
        <v>714 - 75</v>
      </c>
    </row>
    <row r="2869" spans="1:22" hidden="1">
      <c r="A2869">
        <v>3684</v>
      </c>
      <c r="B2869">
        <v>4162</v>
      </c>
      <c r="C2869">
        <v>7307</v>
      </c>
      <c r="D2869">
        <v>7305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  <c r="K2869" t="s">
        <v>20</v>
      </c>
      <c r="L2869" s="1">
        <v>45029</v>
      </c>
      <c r="M2869">
        <v>728</v>
      </c>
      <c r="N2869">
        <v>75</v>
      </c>
      <c r="O2869">
        <v>316</v>
      </c>
      <c r="P2869">
        <v>273</v>
      </c>
      <c r="Q2869">
        <v>316</v>
      </c>
      <c r="S2869">
        <v>651</v>
      </c>
      <c r="T2869">
        <v>651</v>
      </c>
      <c r="U2869">
        <f>+SUM(Table1[[#This Row],[Latinos]:[Cemex]])</f>
        <v>1</v>
      </c>
      <c r="V2869" t="str">
        <f>+Table1[[#This Row],[id_destino]]&amp;" - "&amp;Table1[[#This Row],[id_origen]]</f>
        <v>728 - 75</v>
      </c>
    </row>
    <row r="2870" spans="1:22" hidden="1">
      <c r="A2870">
        <v>2805</v>
      </c>
      <c r="B2870">
        <v>3579</v>
      </c>
      <c r="C2870">
        <v>3250</v>
      </c>
      <c r="D2870">
        <v>6687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 t="s">
        <v>20</v>
      </c>
      <c r="L2870" s="1">
        <v>44469</v>
      </c>
      <c r="M2870">
        <v>35</v>
      </c>
      <c r="N2870">
        <v>76</v>
      </c>
      <c r="O2870">
        <v>448</v>
      </c>
      <c r="P2870">
        <v>448</v>
      </c>
      <c r="Q2870">
        <v>448</v>
      </c>
      <c r="S2870">
        <v>1413</v>
      </c>
      <c r="T2870">
        <v>1487</v>
      </c>
      <c r="U2870">
        <f>+SUM(Table1[[#This Row],[Latinos]:[Cemex]])</f>
        <v>1</v>
      </c>
      <c r="V2870" t="str">
        <f>+Table1[[#This Row],[id_destino]]&amp;" - "&amp;Table1[[#This Row],[id_origen]]</f>
        <v>35 - 76</v>
      </c>
    </row>
    <row r="2871" spans="1:22" hidden="1">
      <c r="A2871">
        <v>4459</v>
      </c>
      <c r="B2871">
        <v>4674</v>
      </c>
      <c r="C2871">
        <v>6238</v>
      </c>
      <c r="D2871">
        <v>7145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 t="s">
        <v>20</v>
      </c>
      <c r="L2871" s="1">
        <v>45589</v>
      </c>
      <c r="M2871">
        <v>60</v>
      </c>
      <c r="N2871">
        <v>76</v>
      </c>
      <c r="O2871">
        <v>2949</v>
      </c>
      <c r="P2871">
        <v>2748</v>
      </c>
      <c r="Q2871">
        <v>2949</v>
      </c>
      <c r="S2871">
        <v>8331</v>
      </c>
      <c r="T2871">
        <v>8624</v>
      </c>
      <c r="U2871">
        <f>+SUM(Table1[[#This Row],[Latinos]:[Cemex]])</f>
        <v>1</v>
      </c>
      <c r="V2871" t="str">
        <f>+Table1[[#This Row],[id_destino]]&amp;" - "&amp;Table1[[#This Row],[id_origen]]</f>
        <v>60 - 76</v>
      </c>
    </row>
    <row r="2872" spans="1:22" hidden="1">
      <c r="A2872">
        <v>4293</v>
      </c>
      <c r="B2872">
        <v>4549</v>
      </c>
      <c r="C2872">
        <v>6238</v>
      </c>
      <c r="D2872">
        <v>7774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 t="s">
        <v>20</v>
      </c>
      <c r="L2872" s="1">
        <v>45435</v>
      </c>
      <c r="M2872">
        <v>61</v>
      </c>
      <c r="N2872">
        <v>76</v>
      </c>
      <c r="O2872">
        <v>2645</v>
      </c>
      <c r="P2872">
        <v>2581</v>
      </c>
      <c r="Q2872">
        <v>2645</v>
      </c>
      <c r="S2872">
        <v>7689</v>
      </c>
      <c r="T2872">
        <v>7915</v>
      </c>
      <c r="U2872">
        <f>+SUM(Table1[[#This Row],[Latinos]:[Cemex]])</f>
        <v>1</v>
      </c>
      <c r="V2872" t="str">
        <f>+Table1[[#This Row],[id_destino]]&amp;" - "&amp;Table1[[#This Row],[id_origen]]</f>
        <v>61 - 76</v>
      </c>
    </row>
    <row r="2873" spans="1:22" hidden="1">
      <c r="A2873">
        <v>679</v>
      </c>
      <c r="B2873">
        <v>2404</v>
      </c>
      <c r="C2873">
        <v>5448</v>
      </c>
      <c r="D2873">
        <v>146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  <c r="K2873" t="s">
        <v>20</v>
      </c>
      <c r="L2873" s="1">
        <v>43129</v>
      </c>
      <c r="M2873">
        <v>80</v>
      </c>
      <c r="N2873">
        <v>76</v>
      </c>
      <c r="O2873">
        <v>62</v>
      </c>
      <c r="P2873">
        <v>150</v>
      </c>
      <c r="Q2873">
        <v>62</v>
      </c>
      <c r="S2873">
        <v>144</v>
      </c>
      <c r="T2873">
        <v>211</v>
      </c>
      <c r="U2873">
        <f>+SUM(Table1[[#This Row],[Latinos]:[Cemex]])</f>
        <v>1</v>
      </c>
      <c r="V2873" t="str">
        <f>+Table1[[#This Row],[id_destino]]&amp;" - "&amp;Table1[[#This Row],[id_origen]]</f>
        <v>80 - 76</v>
      </c>
    </row>
    <row r="2874" spans="1:22" hidden="1">
      <c r="A2874">
        <v>2057</v>
      </c>
      <c r="B2874">
        <v>3106</v>
      </c>
      <c r="C2874">
        <v>6155</v>
      </c>
      <c r="D2874">
        <v>6156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 t="s">
        <v>20</v>
      </c>
      <c r="L2874" s="1">
        <v>43789</v>
      </c>
      <c r="M2874">
        <v>169</v>
      </c>
      <c r="N2874">
        <v>76</v>
      </c>
      <c r="O2874">
        <v>365</v>
      </c>
      <c r="P2874">
        <v>362</v>
      </c>
      <c r="Q2874">
        <v>365</v>
      </c>
      <c r="S2874">
        <v>1284</v>
      </c>
      <c r="T2874">
        <v>1284</v>
      </c>
      <c r="U2874">
        <f>+SUM(Table1[[#This Row],[Latinos]:[Cemex]])</f>
        <v>1</v>
      </c>
      <c r="V2874" t="str">
        <f>+Table1[[#This Row],[id_destino]]&amp;" - "&amp;Table1[[#This Row],[id_origen]]</f>
        <v>169 - 76</v>
      </c>
    </row>
    <row r="2875" spans="1:22" hidden="1">
      <c r="A2875">
        <v>1086</v>
      </c>
      <c r="B2875">
        <v>2579</v>
      </c>
      <c r="C2875">
        <v>3250</v>
      </c>
      <c r="D2875">
        <v>24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 t="s">
        <v>57</v>
      </c>
      <c r="L2875" s="1">
        <v>43299</v>
      </c>
      <c r="M2875">
        <v>179</v>
      </c>
      <c r="N2875">
        <v>76</v>
      </c>
      <c r="O2875">
        <v>1872</v>
      </c>
      <c r="P2875">
        <v>1873</v>
      </c>
      <c r="Q2875">
        <v>1872</v>
      </c>
      <c r="S2875">
        <v>6930</v>
      </c>
      <c r="T2875">
        <v>7156</v>
      </c>
      <c r="U2875">
        <f>+SUM(Table1[[#This Row],[Latinos]:[Cemex]])</f>
        <v>1</v>
      </c>
      <c r="V2875" t="str">
        <f>+Table1[[#This Row],[id_destino]]&amp;" - "&amp;Table1[[#This Row],[id_origen]]</f>
        <v>179 - 76</v>
      </c>
    </row>
    <row r="2876" spans="1:22" hidden="1">
      <c r="A2876">
        <v>4450</v>
      </c>
      <c r="B2876">
        <v>4668</v>
      </c>
      <c r="C2876">
        <v>6238</v>
      </c>
      <c r="D2876">
        <v>7912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 t="s">
        <v>20</v>
      </c>
      <c r="L2876" s="1">
        <v>45552</v>
      </c>
      <c r="M2876">
        <v>380</v>
      </c>
      <c r="N2876">
        <v>76</v>
      </c>
      <c r="O2876">
        <v>2153</v>
      </c>
      <c r="P2876">
        <v>1873</v>
      </c>
      <c r="Q2876">
        <v>2153</v>
      </c>
      <c r="S2876">
        <v>6930</v>
      </c>
      <c r="T2876">
        <v>7156</v>
      </c>
      <c r="U2876">
        <f>+SUM(Table1[[#This Row],[Latinos]:[Cemex]])</f>
        <v>1</v>
      </c>
      <c r="V2876" t="str">
        <f>+Table1[[#This Row],[id_destino]]&amp;" - "&amp;Table1[[#This Row],[id_origen]]</f>
        <v>380 - 76</v>
      </c>
    </row>
    <row r="2877" spans="1:22" hidden="1">
      <c r="A2877">
        <v>3571</v>
      </c>
      <c r="B2877">
        <v>4080</v>
      </c>
      <c r="C2877">
        <v>7218</v>
      </c>
      <c r="D2877">
        <v>7221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  <c r="K2877" t="s">
        <v>20</v>
      </c>
      <c r="L2877" s="1">
        <v>44961</v>
      </c>
      <c r="M2877">
        <v>8</v>
      </c>
      <c r="N2877">
        <v>77</v>
      </c>
      <c r="O2877">
        <v>1312</v>
      </c>
      <c r="P2877">
        <v>1352</v>
      </c>
      <c r="Q2877">
        <v>1312</v>
      </c>
      <c r="S2877">
        <v>1812</v>
      </c>
      <c r="T2877">
        <v>1812</v>
      </c>
      <c r="U2877">
        <f>+SUM(Table1[[#This Row],[Latinos]:[Cemex]])</f>
        <v>1</v>
      </c>
      <c r="V2877" t="str">
        <f>+Table1[[#This Row],[id_destino]]&amp;" - "&amp;Table1[[#This Row],[id_origen]]</f>
        <v>8 - 77</v>
      </c>
    </row>
    <row r="2878" spans="1:22" hidden="1">
      <c r="A2878">
        <v>1714</v>
      </c>
      <c r="B2878">
        <v>1968</v>
      </c>
      <c r="C2878">
        <v>5893</v>
      </c>
      <c r="D2878">
        <v>4177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 t="s">
        <v>20</v>
      </c>
      <c r="L2878" s="1">
        <v>43577</v>
      </c>
      <c r="M2878">
        <v>18</v>
      </c>
      <c r="N2878">
        <v>77</v>
      </c>
      <c r="O2878">
        <v>54</v>
      </c>
      <c r="P2878">
        <v>150</v>
      </c>
      <c r="Q2878">
        <v>54</v>
      </c>
      <c r="S2878">
        <v>150</v>
      </c>
      <c r="T2878">
        <v>150</v>
      </c>
      <c r="U2878">
        <f>+SUM(Table1[[#This Row],[Latinos]:[Cemex]])</f>
        <v>1</v>
      </c>
      <c r="V2878" t="str">
        <f>+Table1[[#This Row],[id_destino]]&amp;" - "&amp;Table1[[#This Row],[id_origen]]</f>
        <v>18 - 77</v>
      </c>
    </row>
    <row r="2879" spans="1:22" hidden="1">
      <c r="A2879">
        <v>1297</v>
      </c>
      <c r="B2879">
        <v>584</v>
      </c>
      <c r="C2879">
        <v>5702</v>
      </c>
      <c r="D2879">
        <v>3935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  <c r="K2879" t="s">
        <v>20</v>
      </c>
      <c r="L2879" s="1">
        <v>43372</v>
      </c>
      <c r="M2879">
        <v>19</v>
      </c>
      <c r="N2879">
        <v>77</v>
      </c>
      <c r="O2879">
        <v>50</v>
      </c>
      <c r="P2879">
        <v>150</v>
      </c>
      <c r="Q2879">
        <v>50</v>
      </c>
      <c r="S2879">
        <v>0</v>
      </c>
      <c r="T2879">
        <v>0</v>
      </c>
      <c r="U2879">
        <f>+SUM(Table1[[#This Row],[Latinos]:[Cemex]])</f>
        <v>1</v>
      </c>
      <c r="V2879" t="str">
        <f>+Table1[[#This Row],[id_destino]]&amp;" - "&amp;Table1[[#This Row],[id_origen]]</f>
        <v>19 - 77</v>
      </c>
    </row>
    <row r="2880" spans="1:22" hidden="1">
      <c r="A2880">
        <v>3575</v>
      </c>
      <c r="B2880">
        <v>4084</v>
      </c>
      <c r="C2880">
        <v>7218</v>
      </c>
      <c r="D2880">
        <v>7225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  <c r="K2880" t="s">
        <v>20</v>
      </c>
      <c r="L2880" s="1">
        <v>44961</v>
      </c>
      <c r="M2880">
        <v>38</v>
      </c>
      <c r="N2880">
        <v>77</v>
      </c>
      <c r="O2880">
        <v>314</v>
      </c>
      <c r="P2880">
        <v>305</v>
      </c>
      <c r="Q2880">
        <v>314</v>
      </c>
      <c r="S2880">
        <v>1072</v>
      </c>
      <c r="T2880">
        <v>1072</v>
      </c>
      <c r="U2880">
        <f>+SUM(Table1[[#This Row],[Latinos]:[Cemex]])</f>
        <v>1</v>
      </c>
      <c r="V2880" t="str">
        <f>+Table1[[#This Row],[id_destino]]&amp;" - "&amp;Table1[[#This Row],[id_origen]]</f>
        <v>38 - 77</v>
      </c>
    </row>
    <row r="2881" spans="1:22" hidden="1">
      <c r="A2881">
        <v>1585</v>
      </c>
      <c r="B2881">
        <v>843</v>
      </c>
      <c r="C2881">
        <v>5702</v>
      </c>
      <c r="D2881">
        <v>230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 t="s">
        <v>20</v>
      </c>
      <c r="L2881" s="1">
        <v>43516</v>
      </c>
      <c r="M2881">
        <v>47</v>
      </c>
      <c r="N2881">
        <v>77</v>
      </c>
      <c r="O2881">
        <v>96</v>
      </c>
      <c r="P2881">
        <v>97</v>
      </c>
      <c r="Q2881">
        <v>96</v>
      </c>
      <c r="S2881">
        <v>255</v>
      </c>
      <c r="T2881">
        <v>255</v>
      </c>
      <c r="U2881">
        <f>+SUM(Table1[[#This Row],[Latinos]:[Cemex]])</f>
        <v>1</v>
      </c>
      <c r="V2881" t="str">
        <f>+Table1[[#This Row],[id_destino]]&amp;" - "&amp;Table1[[#This Row],[id_origen]]</f>
        <v>47 - 77</v>
      </c>
    </row>
    <row r="2882" spans="1:22" hidden="1">
      <c r="A2882">
        <v>1284</v>
      </c>
      <c r="B2882">
        <v>2671</v>
      </c>
      <c r="C2882">
        <v>5702</v>
      </c>
      <c r="D2882">
        <v>348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  <c r="K2882" t="s">
        <v>20</v>
      </c>
      <c r="L2882" s="1">
        <v>43365</v>
      </c>
      <c r="M2882">
        <v>59</v>
      </c>
      <c r="N2882">
        <v>77</v>
      </c>
      <c r="O2882">
        <v>417</v>
      </c>
      <c r="P2882">
        <v>417</v>
      </c>
      <c r="Q2882">
        <v>417</v>
      </c>
      <c r="S2882">
        <v>0</v>
      </c>
      <c r="T2882">
        <v>0</v>
      </c>
      <c r="U2882">
        <f>+SUM(Table1[[#This Row],[Latinos]:[Cemex]])</f>
        <v>1</v>
      </c>
      <c r="V2882" t="str">
        <f>+Table1[[#This Row],[id_destino]]&amp;" - "&amp;Table1[[#This Row],[id_origen]]</f>
        <v>59 - 77</v>
      </c>
    </row>
    <row r="2883" spans="1:22" hidden="1">
      <c r="A2883">
        <v>1921</v>
      </c>
      <c r="B2883">
        <v>3018</v>
      </c>
      <c r="C2883">
        <v>4058</v>
      </c>
      <c r="D2883">
        <v>6050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 t="s">
        <v>20</v>
      </c>
      <c r="L2883" s="1">
        <v>43717</v>
      </c>
      <c r="M2883">
        <v>62</v>
      </c>
      <c r="N2883">
        <v>77</v>
      </c>
      <c r="O2883">
        <v>422</v>
      </c>
      <c r="P2883">
        <v>436</v>
      </c>
      <c r="Q2883">
        <v>422</v>
      </c>
      <c r="S2883">
        <v>747</v>
      </c>
      <c r="T2883">
        <v>747</v>
      </c>
      <c r="U2883">
        <f>+SUM(Table1[[#This Row],[Latinos]:[Cemex]])</f>
        <v>1</v>
      </c>
      <c r="V2883" t="str">
        <f>+Table1[[#This Row],[id_destino]]&amp;" - "&amp;Table1[[#This Row],[id_origen]]</f>
        <v>62 - 77</v>
      </c>
    </row>
    <row r="2884" spans="1:22" hidden="1">
      <c r="A2884">
        <v>1499</v>
      </c>
      <c r="B2884">
        <v>2780</v>
      </c>
      <c r="C2884">
        <v>4570</v>
      </c>
      <c r="D2884">
        <v>885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  <c r="K2884" t="s">
        <v>20</v>
      </c>
      <c r="L2884" s="1">
        <v>43479</v>
      </c>
      <c r="M2884">
        <v>86</v>
      </c>
      <c r="N2884">
        <v>77</v>
      </c>
      <c r="O2884">
        <v>52</v>
      </c>
      <c r="P2884">
        <v>150</v>
      </c>
      <c r="Q2884">
        <v>52</v>
      </c>
      <c r="S2884">
        <v>105</v>
      </c>
      <c r="T2884">
        <v>105</v>
      </c>
      <c r="U2884">
        <f>+SUM(Table1[[#This Row],[Latinos]:[Cemex]])</f>
        <v>1</v>
      </c>
      <c r="V2884" t="str">
        <f>+Table1[[#This Row],[id_destino]]&amp;" - "&amp;Table1[[#This Row],[id_origen]]</f>
        <v>86 - 77</v>
      </c>
    </row>
    <row r="2885" spans="1:22" hidden="1">
      <c r="A2885">
        <v>2381</v>
      </c>
      <c r="B2885">
        <v>1808</v>
      </c>
      <c r="C2885">
        <v>4058</v>
      </c>
      <c r="D2885">
        <v>4181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 t="s">
        <v>20</v>
      </c>
      <c r="L2885" s="1">
        <v>44012</v>
      </c>
      <c r="M2885">
        <v>105</v>
      </c>
      <c r="N2885">
        <v>77</v>
      </c>
      <c r="O2885">
        <v>30</v>
      </c>
      <c r="P2885">
        <v>150</v>
      </c>
      <c r="Q2885">
        <v>30</v>
      </c>
      <c r="S2885">
        <v>158</v>
      </c>
      <c r="T2885">
        <v>232</v>
      </c>
      <c r="U2885">
        <f>+SUM(Table1[[#This Row],[Latinos]:[Cemex]])</f>
        <v>1</v>
      </c>
      <c r="V2885" t="str">
        <f>+Table1[[#This Row],[id_destino]]&amp;" - "&amp;Table1[[#This Row],[id_origen]]</f>
        <v>105 - 77</v>
      </c>
    </row>
    <row r="2886" spans="1:22" hidden="1">
      <c r="A2886">
        <v>3570</v>
      </c>
      <c r="B2886">
        <v>4079</v>
      </c>
      <c r="C2886">
        <v>7218</v>
      </c>
      <c r="D2886">
        <v>7220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  <c r="K2886" t="s">
        <v>20</v>
      </c>
      <c r="L2886" s="1">
        <v>44961</v>
      </c>
      <c r="M2886">
        <v>134</v>
      </c>
      <c r="N2886">
        <v>77</v>
      </c>
      <c r="O2886">
        <v>1139</v>
      </c>
      <c r="P2886">
        <v>1152</v>
      </c>
      <c r="Q2886">
        <v>1139</v>
      </c>
      <c r="S2886">
        <v>2293</v>
      </c>
      <c r="T2886">
        <v>2293</v>
      </c>
      <c r="U2886">
        <f>+SUM(Table1[[#This Row],[Latinos]:[Cemex]])</f>
        <v>1</v>
      </c>
      <c r="V2886" t="str">
        <f>+Table1[[#This Row],[id_destino]]&amp;" - "&amp;Table1[[#This Row],[id_origen]]</f>
        <v>134 - 77</v>
      </c>
    </row>
    <row r="2887" spans="1:22" hidden="1">
      <c r="A2887">
        <v>3573</v>
      </c>
      <c r="B2887">
        <v>4082</v>
      </c>
      <c r="C2887">
        <v>7218</v>
      </c>
      <c r="D2887">
        <v>7223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 t="s">
        <v>20</v>
      </c>
      <c r="L2887" s="1">
        <v>44961</v>
      </c>
      <c r="M2887">
        <v>174</v>
      </c>
      <c r="N2887">
        <v>77</v>
      </c>
      <c r="O2887">
        <v>794</v>
      </c>
      <c r="P2887">
        <v>816</v>
      </c>
      <c r="Q2887">
        <v>794</v>
      </c>
      <c r="S2887">
        <v>1768</v>
      </c>
      <c r="T2887">
        <v>1768</v>
      </c>
      <c r="U2887">
        <f>+SUM(Table1[[#This Row],[Latinos]:[Cemex]])</f>
        <v>1</v>
      </c>
      <c r="V2887" t="str">
        <f>+Table1[[#This Row],[id_destino]]&amp;" - "&amp;Table1[[#This Row],[id_origen]]</f>
        <v>174 - 77</v>
      </c>
    </row>
    <row r="2888" spans="1:22" hidden="1">
      <c r="A2888">
        <v>3572</v>
      </c>
      <c r="B2888">
        <v>4081</v>
      </c>
      <c r="C2888">
        <v>7218</v>
      </c>
      <c r="D2888">
        <v>7222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  <c r="K2888" t="s">
        <v>20</v>
      </c>
      <c r="L2888" s="1">
        <v>44961</v>
      </c>
      <c r="M2888">
        <v>298</v>
      </c>
      <c r="N2888">
        <v>77</v>
      </c>
      <c r="O2888">
        <v>732</v>
      </c>
      <c r="P2888">
        <v>746</v>
      </c>
      <c r="Q2888">
        <v>732</v>
      </c>
      <c r="S2888">
        <v>1768</v>
      </c>
      <c r="T2888">
        <v>1768</v>
      </c>
      <c r="U2888">
        <f>+SUM(Table1[[#This Row],[Latinos]:[Cemex]])</f>
        <v>1</v>
      </c>
      <c r="V2888" t="str">
        <f>+Table1[[#This Row],[id_destino]]&amp;" - "&amp;Table1[[#This Row],[id_origen]]</f>
        <v>298 - 77</v>
      </c>
    </row>
    <row r="2889" spans="1:22" hidden="1">
      <c r="A2889">
        <v>2648</v>
      </c>
      <c r="B2889">
        <v>3476</v>
      </c>
      <c r="C2889">
        <v>4058</v>
      </c>
      <c r="D2889">
        <v>6557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 t="s">
        <v>20</v>
      </c>
      <c r="L2889" s="1">
        <v>44284</v>
      </c>
      <c r="M2889">
        <v>304</v>
      </c>
      <c r="N2889">
        <v>77</v>
      </c>
      <c r="O2889">
        <v>106</v>
      </c>
      <c r="P2889">
        <v>150</v>
      </c>
      <c r="Q2889">
        <v>106</v>
      </c>
      <c r="S2889">
        <v>241</v>
      </c>
      <c r="T2889">
        <v>241</v>
      </c>
      <c r="U2889">
        <f>+SUM(Table1[[#This Row],[Latinos]:[Cemex]])</f>
        <v>1</v>
      </c>
      <c r="V2889" t="str">
        <f>+Table1[[#This Row],[id_destino]]&amp;" - "&amp;Table1[[#This Row],[id_origen]]</f>
        <v>304 - 77</v>
      </c>
    </row>
    <row r="2890" spans="1:22" hidden="1">
      <c r="A2890">
        <v>1911</v>
      </c>
      <c r="B2890">
        <v>3012</v>
      </c>
      <c r="C2890">
        <v>4058</v>
      </c>
      <c r="D2890">
        <v>6040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 t="s">
        <v>20</v>
      </c>
      <c r="L2890" s="1">
        <v>43712</v>
      </c>
      <c r="M2890">
        <v>345</v>
      </c>
      <c r="N2890">
        <v>77</v>
      </c>
      <c r="O2890">
        <v>50</v>
      </c>
      <c r="P2890">
        <v>150</v>
      </c>
      <c r="Q2890">
        <v>50</v>
      </c>
      <c r="S2890">
        <v>92</v>
      </c>
      <c r="T2890">
        <v>92</v>
      </c>
      <c r="U2890">
        <f>+SUM(Table1[[#This Row],[Latinos]:[Cemex]])</f>
        <v>1</v>
      </c>
      <c r="V2890" t="str">
        <f>+Table1[[#This Row],[id_destino]]&amp;" - "&amp;Table1[[#This Row],[id_origen]]</f>
        <v>345 - 77</v>
      </c>
    </row>
    <row r="2891" spans="1:22" hidden="1">
      <c r="A2891">
        <v>3574</v>
      </c>
      <c r="B2891">
        <v>4083</v>
      </c>
      <c r="C2891">
        <v>7218</v>
      </c>
      <c r="D2891">
        <v>7224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  <c r="K2891" t="s">
        <v>20</v>
      </c>
      <c r="L2891" s="1">
        <v>44961</v>
      </c>
      <c r="M2891">
        <v>348</v>
      </c>
      <c r="N2891">
        <v>77</v>
      </c>
      <c r="O2891">
        <v>524</v>
      </c>
      <c r="P2891">
        <v>546</v>
      </c>
      <c r="Q2891">
        <v>524</v>
      </c>
      <c r="S2891">
        <v>1514</v>
      </c>
      <c r="T2891">
        <v>1514</v>
      </c>
      <c r="U2891">
        <f>+SUM(Table1[[#This Row],[Latinos]:[Cemex]])</f>
        <v>1</v>
      </c>
      <c r="V2891" t="str">
        <f>+Table1[[#This Row],[id_destino]]&amp;" - "&amp;Table1[[#This Row],[id_origen]]</f>
        <v>348 - 77</v>
      </c>
    </row>
    <row r="2892" spans="1:22" hidden="1">
      <c r="A2892">
        <v>2004</v>
      </c>
      <c r="B2892">
        <v>3070</v>
      </c>
      <c r="C2892">
        <v>4058</v>
      </c>
      <c r="D2892">
        <v>6111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 t="s">
        <v>20</v>
      </c>
      <c r="L2892" s="1">
        <v>43762</v>
      </c>
      <c r="M2892">
        <v>473</v>
      </c>
      <c r="N2892">
        <v>77</v>
      </c>
      <c r="O2892">
        <v>50</v>
      </c>
      <c r="P2892">
        <v>150</v>
      </c>
      <c r="Q2892">
        <v>50</v>
      </c>
      <c r="S2892">
        <v>150</v>
      </c>
      <c r="T2892">
        <v>150</v>
      </c>
      <c r="U2892">
        <f>+SUM(Table1[[#This Row],[Latinos]:[Cemex]])</f>
        <v>1</v>
      </c>
      <c r="V2892" t="str">
        <f>+Table1[[#This Row],[id_destino]]&amp;" - "&amp;Table1[[#This Row],[id_origen]]</f>
        <v>473 - 77</v>
      </c>
    </row>
    <row r="2893" spans="1:22" hidden="1">
      <c r="A2893">
        <v>3569</v>
      </c>
      <c r="B2893">
        <v>4078</v>
      </c>
      <c r="C2893">
        <v>7218</v>
      </c>
      <c r="D2893">
        <v>7219</v>
      </c>
      <c r="E2893">
        <v>0</v>
      </c>
      <c r="F2893">
        <v>0</v>
      </c>
      <c r="G2893">
        <v>0</v>
      </c>
      <c r="H2893">
        <v>1</v>
      </c>
      <c r="I2893">
        <v>0</v>
      </c>
      <c r="J2893">
        <v>0</v>
      </c>
      <c r="K2893" t="s">
        <v>20</v>
      </c>
      <c r="L2893" s="1">
        <v>44961</v>
      </c>
      <c r="M2893">
        <v>871</v>
      </c>
      <c r="N2893">
        <v>77</v>
      </c>
      <c r="O2893">
        <v>1203</v>
      </c>
      <c r="P2893">
        <v>1216</v>
      </c>
      <c r="Q2893">
        <v>1203</v>
      </c>
      <c r="S2893">
        <v>1856</v>
      </c>
      <c r="T2893">
        <v>1856</v>
      </c>
      <c r="U2893">
        <f>+SUM(Table1[[#This Row],[Latinos]:[Cemex]])</f>
        <v>1</v>
      </c>
      <c r="V2893" t="str">
        <f>+Table1[[#This Row],[id_destino]]&amp;" - "&amp;Table1[[#This Row],[id_origen]]</f>
        <v>871 - 77</v>
      </c>
    </row>
    <row r="2894" spans="1:22" hidden="1">
      <c r="A2894">
        <v>3576</v>
      </c>
      <c r="B2894">
        <v>4085</v>
      </c>
      <c r="C2894">
        <v>7218</v>
      </c>
      <c r="D2894">
        <v>7226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 t="s">
        <v>20</v>
      </c>
      <c r="L2894" s="1">
        <v>44974</v>
      </c>
      <c r="M2894">
        <v>873</v>
      </c>
      <c r="N2894">
        <v>77</v>
      </c>
      <c r="O2894">
        <v>494</v>
      </c>
      <c r="P2894">
        <v>549</v>
      </c>
      <c r="Q2894">
        <v>494</v>
      </c>
      <c r="S2894">
        <v>300</v>
      </c>
      <c r="T2894">
        <v>0</v>
      </c>
      <c r="U2894">
        <f>+SUM(Table1[[#This Row],[Latinos]:[Cemex]])</f>
        <v>1</v>
      </c>
      <c r="V2894" t="str">
        <f>+Table1[[#This Row],[id_destino]]&amp;" - "&amp;Table1[[#This Row],[id_origen]]</f>
        <v>873 - 77</v>
      </c>
    </row>
    <row r="2895" spans="1:22" hidden="1">
      <c r="A2895">
        <v>4035</v>
      </c>
      <c r="B2895">
        <v>4374</v>
      </c>
      <c r="C2895">
        <v>7491</v>
      </c>
      <c r="D2895">
        <v>7340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  <c r="K2895" t="s">
        <v>20</v>
      </c>
      <c r="L2895" s="1">
        <v>45244</v>
      </c>
      <c r="M2895">
        <v>65</v>
      </c>
      <c r="N2895">
        <v>78</v>
      </c>
      <c r="O2895">
        <v>118</v>
      </c>
      <c r="P2895">
        <v>110</v>
      </c>
      <c r="Q2895">
        <v>118</v>
      </c>
      <c r="S2895">
        <v>327</v>
      </c>
      <c r="T2895">
        <v>327</v>
      </c>
      <c r="U2895">
        <f>+SUM(Table1[[#This Row],[Latinos]:[Cemex]])</f>
        <v>1</v>
      </c>
      <c r="V2895" t="str">
        <f>+Table1[[#This Row],[id_destino]]&amp;" - "&amp;Table1[[#This Row],[id_origen]]</f>
        <v>65 - 78</v>
      </c>
    </row>
    <row r="2896" spans="1:22" hidden="1">
      <c r="A2896">
        <v>1722</v>
      </c>
      <c r="B2896">
        <v>1769</v>
      </c>
      <c r="C2896">
        <v>4246</v>
      </c>
      <c r="D2896">
        <v>4631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0</v>
      </c>
      <c r="K2896" t="s">
        <v>20</v>
      </c>
      <c r="L2896" s="1">
        <v>43585</v>
      </c>
      <c r="M2896">
        <v>3</v>
      </c>
      <c r="N2896">
        <v>79</v>
      </c>
      <c r="O2896">
        <v>613</v>
      </c>
      <c r="P2896">
        <v>622</v>
      </c>
      <c r="Q2896">
        <v>613</v>
      </c>
      <c r="S2896">
        <v>1787</v>
      </c>
      <c r="T2896">
        <v>1787</v>
      </c>
      <c r="U2896">
        <f>+SUM(Table1[[#This Row],[Latinos]:[Cemex]])</f>
        <v>1</v>
      </c>
      <c r="V2896" t="str">
        <f>+Table1[[#This Row],[id_destino]]&amp;" - "&amp;Table1[[#This Row],[id_origen]]</f>
        <v>3 - 79</v>
      </c>
    </row>
    <row r="2897" spans="1:22" hidden="1">
      <c r="A2897">
        <v>3353</v>
      </c>
      <c r="B2897">
        <v>3930</v>
      </c>
      <c r="C2897">
        <v>4234</v>
      </c>
      <c r="D2897">
        <v>2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 t="s">
        <v>20</v>
      </c>
      <c r="L2897" s="1">
        <v>44846</v>
      </c>
      <c r="M2897">
        <v>4</v>
      </c>
      <c r="N2897">
        <v>79</v>
      </c>
      <c r="O2897">
        <v>693</v>
      </c>
      <c r="P2897">
        <v>696</v>
      </c>
      <c r="Q2897">
        <v>693</v>
      </c>
      <c r="S2897">
        <v>2067</v>
      </c>
      <c r="T2897">
        <v>2067</v>
      </c>
      <c r="U2897">
        <f>+SUM(Table1[[#This Row],[Latinos]:[Cemex]])</f>
        <v>1</v>
      </c>
      <c r="V2897" t="str">
        <f>+Table1[[#This Row],[id_destino]]&amp;" - "&amp;Table1[[#This Row],[id_origen]]</f>
        <v>4 - 79</v>
      </c>
    </row>
    <row r="2898" spans="1:22" hidden="1">
      <c r="A2898">
        <v>3433</v>
      </c>
      <c r="B2898">
        <v>2012</v>
      </c>
      <c r="C2898">
        <v>6943</v>
      </c>
      <c r="D2898">
        <v>5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 t="s">
        <v>20</v>
      </c>
      <c r="L2898" s="1">
        <v>44889</v>
      </c>
      <c r="M2898">
        <v>7</v>
      </c>
      <c r="N2898">
        <v>79</v>
      </c>
      <c r="O2898">
        <v>1529</v>
      </c>
      <c r="P2898">
        <v>1487</v>
      </c>
      <c r="Q2898">
        <v>1529</v>
      </c>
      <c r="S2898">
        <v>3077</v>
      </c>
      <c r="T2898">
        <v>3667</v>
      </c>
      <c r="U2898">
        <f>+SUM(Table1[[#This Row],[Latinos]:[Cemex]])</f>
        <v>1</v>
      </c>
      <c r="V2898" t="str">
        <f>+Table1[[#This Row],[id_destino]]&amp;" - "&amp;Table1[[#This Row],[id_origen]]</f>
        <v>7 - 79</v>
      </c>
    </row>
    <row r="2899" spans="1:22" hidden="1">
      <c r="A2899">
        <v>3239</v>
      </c>
      <c r="B2899">
        <v>3858</v>
      </c>
      <c r="C2899">
        <v>4234</v>
      </c>
      <c r="D2899">
        <v>5282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 t="s">
        <v>20</v>
      </c>
      <c r="L2899" s="1">
        <v>44793</v>
      </c>
      <c r="M2899">
        <v>11</v>
      </c>
      <c r="N2899">
        <v>79</v>
      </c>
      <c r="O2899">
        <v>433</v>
      </c>
      <c r="P2899">
        <v>405</v>
      </c>
      <c r="Q2899">
        <v>433</v>
      </c>
      <c r="S2899">
        <v>934</v>
      </c>
      <c r="T2899">
        <v>934</v>
      </c>
      <c r="U2899">
        <f>+SUM(Table1[[#This Row],[Latinos]:[Cemex]])</f>
        <v>1</v>
      </c>
      <c r="V2899" t="str">
        <f>+Table1[[#This Row],[id_destino]]&amp;" - "&amp;Table1[[#This Row],[id_origen]]</f>
        <v>11 - 79</v>
      </c>
    </row>
    <row r="2900" spans="1:22" hidden="1">
      <c r="A2900">
        <v>552</v>
      </c>
      <c r="B2900">
        <v>2342</v>
      </c>
      <c r="C2900">
        <v>4238</v>
      </c>
      <c r="D2900">
        <v>5406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  <c r="K2900" t="s">
        <v>20</v>
      </c>
      <c r="L2900" s="1">
        <v>43099</v>
      </c>
      <c r="M2900">
        <v>16</v>
      </c>
      <c r="N2900">
        <v>79</v>
      </c>
      <c r="O2900">
        <v>1674</v>
      </c>
      <c r="P2900">
        <v>1674</v>
      </c>
      <c r="Q2900">
        <v>1674</v>
      </c>
      <c r="S2900">
        <v>2403</v>
      </c>
      <c r="T2900">
        <v>2682</v>
      </c>
      <c r="U2900">
        <f>+SUM(Table1[[#This Row],[Latinos]:[Cemex]])</f>
        <v>1</v>
      </c>
      <c r="V2900" t="str">
        <f>+Table1[[#This Row],[id_destino]]&amp;" - "&amp;Table1[[#This Row],[id_origen]]</f>
        <v>16 - 79</v>
      </c>
    </row>
    <row r="2901" spans="1:22" hidden="1">
      <c r="A2901">
        <v>1226</v>
      </c>
      <c r="B2901">
        <v>508</v>
      </c>
      <c r="C2901">
        <v>5678</v>
      </c>
      <c r="D2901">
        <v>4177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 t="s">
        <v>20</v>
      </c>
      <c r="L2901" s="1">
        <v>45279</v>
      </c>
      <c r="M2901">
        <v>18</v>
      </c>
      <c r="N2901">
        <v>79</v>
      </c>
      <c r="O2901">
        <v>252</v>
      </c>
      <c r="P2901">
        <v>278</v>
      </c>
      <c r="Q2901">
        <v>252</v>
      </c>
      <c r="S2901">
        <v>1597</v>
      </c>
      <c r="T2901">
        <v>1605</v>
      </c>
      <c r="U2901">
        <f>+SUM(Table1[[#This Row],[Latinos]:[Cemex]])</f>
        <v>1</v>
      </c>
      <c r="V2901" t="str">
        <f>+Table1[[#This Row],[id_destino]]&amp;" - "&amp;Table1[[#This Row],[id_origen]]</f>
        <v>18 - 79</v>
      </c>
    </row>
    <row r="2902" spans="1:22" hidden="1">
      <c r="A2902">
        <v>173</v>
      </c>
      <c r="B2902">
        <v>606</v>
      </c>
      <c r="C2902">
        <v>4238</v>
      </c>
      <c r="D2902">
        <v>1869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0</v>
      </c>
      <c r="K2902" t="s">
        <v>20</v>
      </c>
      <c r="L2902" s="1">
        <v>43005</v>
      </c>
      <c r="M2902">
        <v>19</v>
      </c>
      <c r="N2902">
        <v>79</v>
      </c>
      <c r="O2902">
        <v>225</v>
      </c>
      <c r="P2902">
        <v>236</v>
      </c>
      <c r="Q2902">
        <v>225</v>
      </c>
      <c r="S2902">
        <v>423</v>
      </c>
      <c r="T2902">
        <v>430</v>
      </c>
      <c r="U2902">
        <f>+SUM(Table1[[#This Row],[Latinos]:[Cemex]])</f>
        <v>1</v>
      </c>
      <c r="V2902" t="str">
        <f>+Table1[[#This Row],[id_destino]]&amp;" - "&amp;Table1[[#This Row],[id_origen]]</f>
        <v>19 - 79</v>
      </c>
    </row>
    <row r="2903" spans="1:22" hidden="1">
      <c r="A2903">
        <v>2055</v>
      </c>
      <c r="B2903">
        <v>476</v>
      </c>
      <c r="C2903">
        <v>5653</v>
      </c>
      <c r="D2903">
        <v>5475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 t="s">
        <v>20</v>
      </c>
      <c r="L2903" s="1">
        <v>43788</v>
      </c>
      <c r="M2903">
        <v>20</v>
      </c>
      <c r="N2903">
        <v>79</v>
      </c>
      <c r="O2903">
        <v>257</v>
      </c>
      <c r="P2903">
        <v>267</v>
      </c>
      <c r="Q2903">
        <v>257</v>
      </c>
      <c r="S2903">
        <v>1428</v>
      </c>
      <c r="T2903">
        <v>1436</v>
      </c>
      <c r="U2903">
        <f>+SUM(Table1[[#This Row],[Latinos]:[Cemex]])</f>
        <v>1</v>
      </c>
      <c r="V2903" t="str">
        <f>+Table1[[#This Row],[id_destino]]&amp;" - "&amp;Table1[[#This Row],[id_origen]]</f>
        <v>20 - 79</v>
      </c>
    </row>
    <row r="2904" spans="1:22" hidden="1">
      <c r="A2904">
        <v>4783</v>
      </c>
      <c r="B2904">
        <v>1731</v>
      </c>
      <c r="C2904">
        <v>4328</v>
      </c>
      <c r="D2904">
        <v>8247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  <c r="K2904" t="s">
        <v>20</v>
      </c>
      <c r="L2904" s="1">
        <v>45821</v>
      </c>
      <c r="M2904">
        <v>23</v>
      </c>
      <c r="N2904">
        <v>79</v>
      </c>
      <c r="O2904">
        <v>734</v>
      </c>
      <c r="P2904">
        <v>765</v>
      </c>
      <c r="Q2904">
        <v>734</v>
      </c>
      <c r="S2904">
        <v>3453</v>
      </c>
      <c r="T2904">
        <v>3453</v>
      </c>
      <c r="U2904">
        <f>+SUM(Table1[[#This Row],[Latinos]:[Cemex]])</f>
        <v>1</v>
      </c>
      <c r="V2904" t="str">
        <f>+Table1[[#This Row],[id_destino]]&amp;" - "&amp;Table1[[#This Row],[id_origen]]</f>
        <v>23 - 79</v>
      </c>
    </row>
    <row r="2905" spans="1:22" hidden="1">
      <c r="A2905">
        <v>3789</v>
      </c>
      <c r="B2905">
        <v>1964</v>
      </c>
      <c r="C2905">
        <v>6746</v>
      </c>
      <c r="D2905">
        <v>4991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 t="s">
        <v>20</v>
      </c>
      <c r="L2905" s="1">
        <v>45092</v>
      </c>
      <c r="M2905">
        <v>24</v>
      </c>
      <c r="N2905">
        <v>79</v>
      </c>
      <c r="O2905">
        <v>1057</v>
      </c>
      <c r="P2905">
        <v>1021</v>
      </c>
      <c r="Q2905">
        <v>1057</v>
      </c>
      <c r="S2905">
        <v>3748</v>
      </c>
      <c r="T2905">
        <v>3835</v>
      </c>
      <c r="U2905">
        <f>+SUM(Table1[[#This Row],[Latinos]:[Cemex]])</f>
        <v>1</v>
      </c>
      <c r="V2905" t="str">
        <f>+Table1[[#This Row],[id_destino]]&amp;" - "&amp;Table1[[#This Row],[id_origen]]</f>
        <v>24 - 79</v>
      </c>
    </row>
    <row r="2906" spans="1:22" hidden="1">
      <c r="A2906">
        <v>3790</v>
      </c>
      <c r="B2906">
        <v>1964</v>
      </c>
      <c r="C2906">
        <v>6746</v>
      </c>
      <c r="D2906">
        <v>4991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  <c r="K2906" t="s">
        <v>20</v>
      </c>
      <c r="L2906" s="1">
        <v>45092</v>
      </c>
      <c r="M2906">
        <v>24</v>
      </c>
      <c r="N2906">
        <v>79</v>
      </c>
      <c r="O2906">
        <v>1077</v>
      </c>
      <c r="P2906">
        <v>1057</v>
      </c>
      <c r="Q2906">
        <v>1077</v>
      </c>
      <c r="S2906">
        <v>0</v>
      </c>
      <c r="T2906">
        <v>0</v>
      </c>
      <c r="U2906">
        <f>+SUM(Table1[[#This Row],[Latinos]:[Cemex]])</f>
        <v>1</v>
      </c>
      <c r="V2906" t="str">
        <f>+Table1[[#This Row],[id_destino]]&amp;" - "&amp;Table1[[#This Row],[id_origen]]</f>
        <v>24 - 79</v>
      </c>
    </row>
    <row r="2907" spans="1:22" hidden="1">
      <c r="A2907">
        <v>823</v>
      </c>
      <c r="B2907">
        <v>1206</v>
      </c>
      <c r="C2907">
        <v>5309</v>
      </c>
      <c r="D2907">
        <v>53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 t="s">
        <v>20</v>
      </c>
      <c r="L2907" s="1">
        <v>43176</v>
      </c>
      <c r="M2907">
        <v>35</v>
      </c>
      <c r="N2907">
        <v>79</v>
      </c>
      <c r="O2907">
        <v>154</v>
      </c>
      <c r="P2907">
        <v>156</v>
      </c>
      <c r="Q2907">
        <v>154</v>
      </c>
      <c r="S2907">
        <v>808</v>
      </c>
      <c r="T2907">
        <v>808</v>
      </c>
      <c r="U2907">
        <f>+SUM(Table1[[#This Row],[Latinos]:[Cemex]])</f>
        <v>1</v>
      </c>
      <c r="V2907" t="str">
        <f>+Table1[[#This Row],[id_destino]]&amp;" - "&amp;Table1[[#This Row],[id_origen]]</f>
        <v>35 - 79</v>
      </c>
    </row>
    <row r="2908" spans="1:22" hidden="1">
      <c r="A2908">
        <v>1137</v>
      </c>
      <c r="B2908">
        <v>1206</v>
      </c>
      <c r="C2908">
        <v>4234</v>
      </c>
      <c r="D2908">
        <v>53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 t="s">
        <v>20</v>
      </c>
      <c r="L2908" s="1">
        <v>43306</v>
      </c>
      <c r="M2908">
        <v>35</v>
      </c>
      <c r="N2908">
        <v>79</v>
      </c>
      <c r="O2908">
        <v>154</v>
      </c>
      <c r="P2908">
        <v>154</v>
      </c>
      <c r="Q2908">
        <v>154</v>
      </c>
      <c r="S2908">
        <v>534</v>
      </c>
      <c r="T2908">
        <v>534</v>
      </c>
      <c r="U2908">
        <f>+SUM(Table1[[#This Row],[Latinos]:[Cemex]])</f>
        <v>1</v>
      </c>
      <c r="V2908" t="str">
        <f>+Table1[[#This Row],[id_destino]]&amp;" - "&amp;Table1[[#This Row],[id_origen]]</f>
        <v>35 - 79</v>
      </c>
    </row>
    <row r="2909" spans="1:22" hidden="1">
      <c r="A2909">
        <v>1246</v>
      </c>
      <c r="B2909">
        <v>1116</v>
      </c>
      <c r="C2909">
        <v>5309</v>
      </c>
      <c r="D2909">
        <v>556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 t="s">
        <v>20</v>
      </c>
      <c r="L2909" s="1">
        <v>43353</v>
      </c>
      <c r="M2909">
        <v>36</v>
      </c>
      <c r="N2909">
        <v>79</v>
      </c>
      <c r="O2909">
        <v>95</v>
      </c>
      <c r="P2909">
        <v>150</v>
      </c>
      <c r="Q2909">
        <v>95</v>
      </c>
      <c r="S2909">
        <v>321</v>
      </c>
      <c r="T2909">
        <v>323</v>
      </c>
      <c r="U2909">
        <f>+SUM(Table1[[#This Row],[Latinos]:[Cemex]])</f>
        <v>1</v>
      </c>
      <c r="V2909" t="str">
        <f>+Table1[[#This Row],[id_destino]]&amp;" - "&amp;Table1[[#This Row],[id_origen]]</f>
        <v>36 - 79</v>
      </c>
    </row>
    <row r="2910" spans="1:22" hidden="1">
      <c r="A2910">
        <v>1470</v>
      </c>
      <c r="B2910">
        <v>1087</v>
      </c>
      <c r="C2910">
        <v>4328</v>
      </c>
      <c r="D2910">
        <v>44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 t="s">
        <v>20</v>
      </c>
      <c r="L2910" s="1">
        <v>43452</v>
      </c>
      <c r="M2910">
        <v>38</v>
      </c>
      <c r="N2910">
        <v>79</v>
      </c>
      <c r="O2910">
        <v>526</v>
      </c>
      <c r="P2910">
        <v>526</v>
      </c>
      <c r="Q2910">
        <v>526</v>
      </c>
      <c r="S2910">
        <v>1343</v>
      </c>
      <c r="T2910">
        <v>1346</v>
      </c>
      <c r="U2910">
        <f>+SUM(Table1[[#This Row],[Latinos]:[Cemex]])</f>
        <v>1</v>
      </c>
      <c r="V2910" t="str">
        <f>+Table1[[#This Row],[id_destino]]&amp;" - "&amp;Table1[[#This Row],[id_origen]]</f>
        <v>38 - 79</v>
      </c>
    </row>
    <row r="2911" spans="1:22" hidden="1">
      <c r="A2911">
        <v>3015</v>
      </c>
      <c r="B2911">
        <v>510</v>
      </c>
      <c r="C2911">
        <v>6598</v>
      </c>
      <c r="D2911">
        <v>6876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 t="s">
        <v>20</v>
      </c>
      <c r="L2911" s="1">
        <v>44688</v>
      </c>
      <c r="M2911">
        <v>41</v>
      </c>
      <c r="N2911">
        <v>79</v>
      </c>
      <c r="O2911">
        <v>353</v>
      </c>
      <c r="P2911">
        <v>399</v>
      </c>
      <c r="Q2911">
        <v>353</v>
      </c>
      <c r="S2911">
        <v>365</v>
      </c>
      <c r="T2911">
        <v>365</v>
      </c>
      <c r="U2911">
        <f>+SUM(Table1[[#This Row],[Latinos]:[Cemex]])</f>
        <v>1</v>
      </c>
      <c r="V2911" t="str">
        <f>+Table1[[#This Row],[id_destino]]&amp;" - "&amp;Table1[[#This Row],[id_origen]]</f>
        <v>41 - 79</v>
      </c>
    </row>
    <row r="2912" spans="1:22" hidden="1">
      <c r="A2912">
        <v>1904</v>
      </c>
      <c r="B2912">
        <v>2409</v>
      </c>
      <c r="C2912">
        <v>5229</v>
      </c>
      <c r="D2912">
        <v>48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 t="s">
        <v>20</v>
      </c>
      <c r="L2912" s="1">
        <v>43704</v>
      </c>
      <c r="M2912">
        <v>42</v>
      </c>
      <c r="N2912">
        <v>79</v>
      </c>
      <c r="O2912">
        <v>173</v>
      </c>
      <c r="P2912">
        <v>152</v>
      </c>
      <c r="Q2912">
        <v>173</v>
      </c>
      <c r="S2912">
        <v>175</v>
      </c>
      <c r="T2912">
        <v>175</v>
      </c>
      <c r="U2912">
        <f>+SUM(Table1[[#This Row],[Latinos]:[Cemex]])</f>
        <v>1</v>
      </c>
      <c r="V2912" t="str">
        <f>+Table1[[#This Row],[id_destino]]&amp;" - "&amp;Table1[[#This Row],[id_origen]]</f>
        <v>42 - 79</v>
      </c>
    </row>
    <row r="2913" spans="1:22" hidden="1">
      <c r="A2913">
        <v>2974</v>
      </c>
      <c r="B2913">
        <v>1236</v>
      </c>
      <c r="C2913">
        <v>4234</v>
      </c>
      <c r="D2913">
        <v>49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 t="s">
        <v>20</v>
      </c>
      <c r="L2913" s="1">
        <v>44657</v>
      </c>
      <c r="M2913">
        <v>43</v>
      </c>
      <c r="N2913">
        <v>79</v>
      </c>
      <c r="O2913">
        <v>458</v>
      </c>
      <c r="P2913">
        <v>463</v>
      </c>
      <c r="Q2913">
        <v>458</v>
      </c>
      <c r="S2913">
        <v>1595</v>
      </c>
      <c r="T2913">
        <v>1595</v>
      </c>
      <c r="U2913">
        <f>+SUM(Table1[[#This Row],[Latinos]:[Cemex]])</f>
        <v>1</v>
      </c>
      <c r="V2913" t="str">
        <f>+Table1[[#This Row],[id_destino]]&amp;" - "&amp;Table1[[#This Row],[id_origen]]</f>
        <v>43 - 79</v>
      </c>
    </row>
    <row r="2914" spans="1:22" hidden="1">
      <c r="A2914">
        <v>3723</v>
      </c>
      <c r="B2914">
        <v>107</v>
      </c>
      <c r="C2914">
        <v>4234</v>
      </c>
      <c r="D2914">
        <v>52</v>
      </c>
      <c r="E2914">
        <v>0</v>
      </c>
      <c r="F2914">
        <v>1</v>
      </c>
      <c r="G2914">
        <v>0</v>
      </c>
      <c r="H2914">
        <v>0</v>
      </c>
      <c r="I2914">
        <v>1</v>
      </c>
      <c r="J2914">
        <v>0</v>
      </c>
      <c r="K2914" t="s">
        <v>20</v>
      </c>
      <c r="L2914" s="1">
        <v>45075</v>
      </c>
      <c r="M2914">
        <v>46</v>
      </c>
      <c r="N2914">
        <v>79</v>
      </c>
      <c r="O2914">
        <v>296</v>
      </c>
      <c r="P2914">
        <v>309</v>
      </c>
      <c r="Q2914">
        <v>296</v>
      </c>
      <c r="S2914">
        <v>578</v>
      </c>
      <c r="T2914">
        <v>942</v>
      </c>
      <c r="U2914">
        <f>+SUM(Table1[[#This Row],[Latinos]:[Cemex]])</f>
        <v>2</v>
      </c>
      <c r="V2914" t="str">
        <f>+Table1[[#This Row],[id_destino]]&amp;" - "&amp;Table1[[#This Row],[id_origen]]</f>
        <v>46 - 79</v>
      </c>
    </row>
    <row r="2915" spans="1:22" hidden="1">
      <c r="A2915">
        <v>3890</v>
      </c>
      <c r="B2915">
        <v>107</v>
      </c>
      <c r="C2915">
        <v>4234</v>
      </c>
      <c r="D2915">
        <v>52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0</v>
      </c>
      <c r="K2915" t="s">
        <v>20</v>
      </c>
      <c r="L2915" s="1">
        <v>45168</v>
      </c>
      <c r="M2915">
        <v>46</v>
      </c>
      <c r="N2915">
        <v>79</v>
      </c>
      <c r="O2915">
        <v>215</v>
      </c>
      <c r="P2915">
        <v>309</v>
      </c>
      <c r="Q2915">
        <v>215</v>
      </c>
      <c r="S2915">
        <v>578</v>
      </c>
      <c r="T2915">
        <v>942</v>
      </c>
      <c r="U2915">
        <f>+SUM(Table1[[#This Row],[Latinos]:[Cemex]])</f>
        <v>1</v>
      </c>
      <c r="V2915" t="str">
        <f>+Table1[[#This Row],[id_destino]]&amp;" - "&amp;Table1[[#This Row],[id_origen]]</f>
        <v>46 - 79</v>
      </c>
    </row>
    <row r="2916" spans="1:22" hidden="1">
      <c r="A2916">
        <v>2049</v>
      </c>
      <c r="B2916">
        <v>1145</v>
      </c>
      <c r="C2916">
        <v>6150</v>
      </c>
      <c r="D2916">
        <v>6151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 t="s">
        <v>20</v>
      </c>
      <c r="L2916" s="1">
        <v>44082</v>
      </c>
      <c r="M2916">
        <v>47</v>
      </c>
      <c r="N2916">
        <v>79</v>
      </c>
      <c r="O2916">
        <v>340</v>
      </c>
      <c r="P2916">
        <v>335</v>
      </c>
      <c r="Q2916">
        <v>340</v>
      </c>
      <c r="S2916">
        <v>1567</v>
      </c>
      <c r="T2916">
        <v>1581</v>
      </c>
      <c r="U2916">
        <f>+SUM(Table1[[#This Row],[Latinos]:[Cemex]])</f>
        <v>1</v>
      </c>
      <c r="V2916" t="str">
        <f>+Table1[[#This Row],[id_destino]]&amp;" - "&amp;Table1[[#This Row],[id_origen]]</f>
        <v>47 - 79</v>
      </c>
    </row>
    <row r="2917" spans="1:22" hidden="1">
      <c r="A2917">
        <v>942</v>
      </c>
      <c r="B2917">
        <v>1569</v>
      </c>
      <c r="C2917">
        <v>5309</v>
      </c>
      <c r="D2917">
        <v>65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 t="s">
        <v>51</v>
      </c>
      <c r="L2917" s="1">
        <v>43223</v>
      </c>
      <c r="M2917">
        <v>57</v>
      </c>
      <c r="N2917">
        <v>79</v>
      </c>
      <c r="O2917">
        <v>232</v>
      </c>
      <c r="P2917">
        <v>210</v>
      </c>
      <c r="Q2917">
        <v>232</v>
      </c>
      <c r="S2917">
        <v>370.01</v>
      </c>
      <c r="T2917">
        <v>550</v>
      </c>
      <c r="U2917">
        <f>+SUM(Table1[[#This Row],[Latinos]:[Cemex]])</f>
        <v>1</v>
      </c>
      <c r="V2917" t="str">
        <f>+Table1[[#This Row],[id_destino]]&amp;" - "&amp;Table1[[#This Row],[id_origen]]</f>
        <v>57 - 79</v>
      </c>
    </row>
    <row r="2918" spans="1:22" hidden="1">
      <c r="A2918">
        <v>2284</v>
      </c>
      <c r="B2918">
        <v>125</v>
      </c>
      <c r="C2918">
        <v>6108</v>
      </c>
      <c r="D2918">
        <v>3984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  <c r="K2918" t="s">
        <v>20</v>
      </c>
      <c r="L2918" s="1">
        <v>43903</v>
      </c>
      <c r="M2918">
        <v>59</v>
      </c>
      <c r="N2918">
        <v>79</v>
      </c>
      <c r="O2918">
        <v>512</v>
      </c>
      <c r="P2918">
        <v>512</v>
      </c>
      <c r="Q2918">
        <v>512</v>
      </c>
      <c r="S2918">
        <v>1550</v>
      </c>
      <c r="T2918">
        <v>1667</v>
      </c>
      <c r="U2918">
        <f>+SUM(Table1[[#This Row],[Latinos]:[Cemex]])</f>
        <v>1</v>
      </c>
      <c r="V2918" t="str">
        <f>+Table1[[#This Row],[id_destino]]&amp;" - "&amp;Table1[[#This Row],[id_origen]]</f>
        <v>59 - 79</v>
      </c>
    </row>
    <row r="2919" spans="1:22" hidden="1">
      <c r="A2919">
        <v>2285</v>
      </c>
      <c r="B2919">
        <v>125</v>
      </c>
      <c r="C2919">
        <v>6108</v>
      </c>
      <c r="D2919">
        <v>3984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 t="s">
        <v>20</v>
      </c>
      <c r="L2919" s="1">
        <v>43908</v>
      </c>
      <c r="M2919">
        <v>59</v>
      </c>
      <c r="N2919">
        <v>79</v>
      </c>
      <c r="O2919">
        <v>512</v>
      </c>
      <c r="P2919">
        <v>500</v>
      </c>
      <c r="Q2919">
        <v>512</v>
      </c>
      <c r="S2919">
        <v>2113</v>
      </c>
      <c r="T2919">
        <v>2340</v>
      </c>
      <c r="U2919">
        <f>+SUM(Table1[[#This Row],[Latinos]:[Cemex]])</f>
        <v>1</v>
      </c>
      <c r="V2919" t="str">
        <f>+Table1[[#This Row],[id_destino]]&amp;" - "&amp;Table1[[#This Row],[id_origen]]</f>
        <v>59 - 79</v>
      </c>
    </row>
    <row r="2920" spans="1:22" hidden="1">
      <c r="A2920">
        <v>3523</v>
      </c>
      <c r="B2920">
        <v>4047</v>
      </c>
      <c r="C2920">
        <v>4898</v>
      </c>
      <c r="D2920">
        <v>3984</v>
      </c>
      <c r="E2920">
        <v>0</v>
      </c>
      <c r="F2920">
        <v>1</v>
      </c>
      <c r="G2920">
        <v>0</v>
      </c>
      <c r="H2920">
        <v>0</v>
      </c>
      <c r="I2920">
        <v>0</v>
      </c>
      <c r="J2920">
        <v>0</v>
      </c>
      <c r="K2920" t="s">
        <v>20</v>
      </c>
      <c r="L2920" s="1">
        <v>44946</v>
      </c>
      <c r="M2920">
        <v>59</v>
      </c>
      <c r="N2920">
        <v>79</v>
      </c>
      <c r="O2920">
        <v>542</v>
      </c>
      <c r="P2920">
        <v>577</v>
      </c>
      <c r="Q2920">
        <v>542</v>
      </c>
      <c r="S2920">
        <v>1604</v>
      </c>
      <c r="T2920">
        <v>1721</v>
      </c>
      <c r="U2920">
        <f>+SUM(Table1[[#This Row],[Latinos]:[Cemex]])</f>
        <v>1</v>
      </c>
      <c r="V2920" t="str">
        <f>+Table1[[#This Row],[id_destino]]&amp;" - "&amp;Table1[[#This Row],[id_origen]]</f>
        <v>59 - 79</v>
      </c>
    </row>
    <row r="2921" spans="1:22" hidden="1">
      <c r="A2921">
        <v>3100</v>
      </c>
      <c r="B2921">
        <v>3775</v>
      </c>
      <c r="C2921">
        <v>6598</v>
      </c>
      <c r="D2921">
        <v>6932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 t="s">
        <v>20</v>
      </c>
      <c r="L2921" s="1">
        <v>44727</v>
      </c>
      <c r="M2921">
        <v>60</v>
      </c>
      <c r="N2921">
        <v>79</v>
      </c>
      <c r="O2921">
        <v>3019</v>
      </c>
      <c r="P2921">
        <v>2977</v>
      </c>
      <c r="Q2921">
        <v>3019</v>
      </c>
      <c r="S2921">
        <v>8814</v>
      </c>
      <c r="T2921">
        <v>8999</v>
      </c>
      <c r="U2921">
        <f>+SUM(Table1[[#This Row],[Latinos]:[Cemex]])</f>
        <v>1</v>
      </c>
      <c r="V2921" t="str">
        <f>+Table1[[#This Row],[id_destino]]&amp;" - "&amp;Table1[[#This Row],[id_origen]]</f>
        <v>60 - 79</v>
      </c>
    </row>
    <row r="2922" spans="1:22" hidden="1">
      <c r="A2922">
        <v>597</v>
      </c>
      <c r="B2922">
        <v>1743</v>
      </c>
      <c r="C2922">
        <v>3301</v>
      </c>
      <c r="D2922">
        <v>1194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 t="s">
        <v>20</v>
      </c>
      <c r="L2922" s="1">
        <v>43193</v>
      </c>
      <c r="M2922">
        <v>65</v>
      </c>
      <c r="N2922">
        <v>79</v>
      </c>
      <c r="O2922">
        <v>134</v>
      </c>
      <c r="P2922">
        <v>190</v>
      </c>
      <c r="Q2922">
        <v>134</v>
      </c>
      <c r="S2922">
        <v>1535</v>
      </c>
      <c r="T2922">
        <v>1535</v>
      </c>
      <c r="U2922">
        <f>+SUM(Table1[[#This Row],[Latinos]:[Cemex]])</f>
        <v>1</v>
      </c>
      <c r="V2922" t="str">
        <f>+Table1[[#This Row],[id_destino]]&amp;" - "&amp;Table1[[#This Row],[id_origen]]</f>
        <v>65 - 79</v>
      </c>
    </row>
    <row r="2923" spans="1:22" hidden="1">
      <c r="A2923">
        <v>851</v>
      </c>
      <c r="B2923">
        <v>1743</v>
      </c>
      <c r="C2923">
        <v>3581</v>
      </c>
      <c r="D2923">
        <v>3172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  <c r="K2923" t="s">
        <v>20</v>
      </c>
      <c r="L2923" s="1">
        <v>43193</v>
      </c>
      <c r="M2923">
        <v>65</v>
      </c>
      <c r="N2923">
        <v>79</v>
      </c>
      <c r="O2923">
        <v>134</v>
      </c>
      <c r="P2923">
        <v>150</v>
      </c>
      <c r="Q2923">
        <v>134</v>
      </c>
      <c r="S2923">
        <v>390</v>
      </c>
      <c r="T2923">
        <v>390</v>
      </c>
      <c r="U2923">
        <f>+SUM(Table1[[#This Row],[Latinos]:[Cemex]])</f>
        <v>1</v>
      </c>
      <c r="V2923" t="str">
        <f>+Table1[[#This Row],[id_destino]]&amp;" - "&amp;Table1[[#This Row],[id_origen]]</f>
        <v>65 - 79</v>
      </c>
    </row>
    <row r="2924" spans="1:22" hidden="1">
      <c r="A2924">
        <v>1793</v>
      </c>
      <c r="B2924">
        <v>2941</v>
      </c>
      <c r="C2924">
        <v>2291</v>
      </c>
      <c r="D2924">
        <v>3265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 t="s">
        <v>20</v>
      </c>
      <c r="L2924" s="1">
        <v>43634</v>
      </c>
      <c r="M2924">
        <v>66</v>
      </c>
      <c r="N2924">
        <v>79</v>
      </c>
      <c r="O2924">
        <v>94</v>
      </c>
      <c r="P2924">
        <v>150</v>
      </c>
      <c r="Q2924">
        <v>94</v>
      </c>
      <c r="S2924">
        <v>293</v>
      </c>
      <c r="T2924">
        <v>296</v>
      </c>
      <c r="U2924">
        <f>+SUM(Table1[[#This Row],[Latinos]:[Cemex]])</f>
        <v>1</v>
      </c>
      <c r="V2924" t="str">
        <f>+Table1[[#This Row],[id_destino]]&amp;" - "&amp;Table1[[#This Row],[id_origen]]</f>
        <v>66 - 79</v>
      </c>
    </row>
    <row r="2925" spans="1:22" hidden="1">
      <c r="A2925">
        <v>598</v>
      </c>
      <c r="B2925">
        <v>2359</v>
      </c>
      <c r="C2925">
        <v>3581</v>
      </c>
      <c r="D2925">
        <v>3830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0</v>
      </c>
      <c r="K2925" t="s">
        <v>20</v>
      </c>
      <c r="L2925" s="1">
        <v>43111</v>
      </c>
      <c r="M2925">
        <v>67</v>
      </c>
      <c r="N2925">
        <v>79</v>
      </c>
      <c r="O2925">
        <v>123</v>
      </c>
      <c r="P2925">
        <v>157</v>
      </c>
      <c r="Q2925">
        <v>123</v>
      </c>
      <c r="S2925">
        <v>118</v>
      </c>
      <c r="T2925">
        <v>118</v>
      </c>
      <c r="U2925">
        <f>+SUM(Table1[[#This Row],[Latinos]:[Cemex]])</f>
        <v>1</v>
      </c>
      <c r="V2925" t="str">
        <f>+Table1[[#This Row],[id_destino]]&amp;" - "&amp;Table1[[#This Row],[id_origen]]</f>
        <v>67 - 79</v>
      </c>
    </row>
    <row r="2926" spans="1:22" hidden="1">
      <c r="A2926">
        <v>2013</v>
      </c>
      <c r="B2926">
        <v>592</v>
      </c>
      <c r="C2926">
        <v>5653</v>
      </c>
      <c r="D2926">
        <v>6116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 t="s">
        <v>20</v>
      </c>
      <c r="L2926" s="1">
        <v>43768</v>
      </c>
      <c r="M2926">
        <v>69</v>
      </c>
      <c r="N2926">
        <v>79</v>
      </c>
      <c r="O2926">
        <v>245</v>
      </c>
      <c r="P2926">
        <v>267</v>
      </c>
      <c r="Q2926">
        <v>245</v>
      </c>
      <c r="S2926">
        <v>609</v>
      </c>
      <c r="T2926">
        <v>685</v>
      </c>
      <c r="U2926">
        <f>+SUM(Table1[[#This Row],[Latinos]:[Cemex]])</f>
        <v>1</v>
      </c>
      <c r="V2926" t="str">
        <f>+Table1[[#This Row],[id_destino]]&amp;" - "&amp;Table1[[#This Row],[id_origen]]</f>
        <v>69 - 79</v>
      </c>
    </row>
    <row r="2927" spans="1:22" hidden="1">
      <c r="A2927">
        <v>2721</v>
      </c>
      <c r="B2927">
        <v>1595</v>
      </c>
      <c r="C2927">
        <v>6613</v>
      </c>
      <c r="D2927">
        <v>4898</v>
      </c>
      <c r="E2927">
        <v>0</v>
      </c>
      <c r="F2927">
        <v>0</v>
      </c>
      <c r="G2927">
        <v>0</v>
      </c>
      <c r="H2927">
        <v>1</v>
      </c>
      <c r="I2927">
        <v>0</v>
      </c>
      <c r="J2927">
        <v>0</v>
      </c>
      <c r="K2927" t="s">
        <v>20</v>
      </c>
      <c r="L2927" s="1">
        <v>45666</v>
      </c>
      <c r="M2927">
        <v>79</v>
      </c>
      <c r="N2927">
        <v>79</v>
      </c>
      <c r="O2927">
        <v>50</v>
      </c>
      <c r="P2927">
        <v>150</v>
      </c>
      <c r="Q2927">
        <v>50</v>
      </c>
      <c r="S2927">
        <v>0</v>
      </c>
      <c r="T2927">
        <v>0</v>
      </c>
      <c r="U2927">
        <f>+SUM(Table1[[#This Row],[Latinos]:[Cemex]])</f>
        <v>1</v>
      </c>
      <c r="V2927" t="str">
        <f>+Table1[[#This Row],[id_destino]]&amp;" - "&amp;Table1[[#This Row],[id_origen]]</f>
        <v>79 - 79</v>
      </c>
    </row>
    <row r="2928" spans="1:22" hidden="1">
      <c r="A2928">
        <v>4615</v>
      </c>
      <c r="B2928">
        <v>4797</v>
      </c>
      <c r="C2928">
        <v>8088</v>
      </c>
      <c r="D2928">
        <v>4293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 t="s">
        <v>20</v>
      </c>
      <c r="L2928" s="1">
        <v>45672</v>
      </c>
      <c r="M2928">
        <v>83</v>
      </c>
      <c r="N2928">
        <v>79</v>
      </c>
      <c r="O2928">
        <v>1119</v>
      </c>
      <c r="P2928">
        <v>1127</v>
      </c>
      <c r="Q2928">
        <v>1119</v>
      </c>
      <c r="S2928">
        <v>1463</v>
      </c>
      <c r="T2928">
        <v>1463</v>
      </c>
      <c r="U2928">
        <f>+SUM(Table1[[#This Row],[Latinos]:[Cemex]])</f>
        <v>1</v>
      </c>
      <c r="V2928" t="str">
        <f>+Table1[[#This Row],[id_destino]]&amp;" - "&amp;Table1[[#This Row],[id_origen]]</f>
        <v>83 - 79</v>
      </c>
    </row>
    <row r="2929" spans="1:22" hidden="1">
      <c r="A2929">
        <v>1414</v>
      </c>
      <c r="B2929">
        <v>2732</v>
      </c>
      <c r="C2929">
        <v>4246</v>
      </c>
      <c r="D2929">
        <v>5756</v>
      </c>
      <c r="E2929">
        <v>0</v>
      </c>
      <c r="F2929">
        <v>1</v>
      </c>
      <c r="G2929">
        <v>0</v>
      </c>
      <c r="H2929">
        <v>0</v>
      </c>
      <c r="I2929">
        <v>0</v>
      </c>
      <c r="J2929">
        <v>0</v>
      </c>
      <c r="K2929" t="s">
        <v>20</v>
      </c>
      <c r="L2929" s="1">
        <v>43425</v>
      </c>
      <c r="M2929">
        <v>91</v>
      </c>
      <c r="N2929">
        <v>79</v>
      </c>
      <c r="O2929">
        <v>238</v>
      </c>
      <c r="P2929">
        <v>229</v>
      </c>
      <c r="Q2929">
        <v>238</v>
      </c>
      <c r="S2929">
        <v>323</v>
      </c>
      <c r="T2929">
        <v>323</v>
      </c>
      <c r="U2929">
        <f>+SUM(Table1[[#This Row],[Latinos]:[Cemex]])</f>
        <v>1</v>
      </c>
      <c r="V2929" t="str">
        <f>+Table1[[#This Row],[id_destino]]&amp;" - "&amp;Table1[[#This Row],[id_origen]]</f>
        <v>91 - 79</v>
      </c>
    </row>
    <row r="2930" spans="1:22" hidden="1">
      <c r="A2930">
        <v>2508</v>
      </c>
      <c r="B2930">
        <v>1843</v>
      </c>
      <c r="C2930">
        <v>4898</v>
      </c>
      <c r="D2930">
        <v>6451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 t="s">
        <v>20</v>
      </c>
      <c r="L2930" s="1">
        <v>44611</v>
      </c>
      <c r="M2930">
        <v>105</v>
      </c>
      <c r="N2930">
        <v>79</v>
      </c>
      <c r="O2930">
        <v>305</v>
      </c>
      <c r="P2930">
        <v>326</v>
      </c>
      <c r="Q2930">
        <v>305</v>
      </c>
      <c r="S2930">
        <v>719</v>
      </c>
      <c r="T2930">
        <v>793</v>
      </c>
      <c r="U2930">
        <f>+SUM(Table1[[#This Row],[Latinos]:[Cemex]])</f>
        <v>0</v>
      </c>
      <c r="V2930" t="str">
        <f>+Table1[[#This Row],[id_destino]]&amp;" - "&amp;Table1[[#This Row],[id_origen]]</f>
        <v>105 - 79</v>
      </c>
    </row>
    <row r="2931" spans="1:22" hidden="1">
      <c r="A2931">
        <v>4173</v>
      </c>
      <c r="B2931">
        <v>1843</v>
      </c>
      <c r="C2931">
        <v>6598</v>
      </c>
      <c r="D2931">
        <v>4181</v>
      </c>
      <c r="E2931">
        <v>0</v>
      </c>
      <c r="F2931">
        <v>0</v>
      </c>
      <c r="G2931">
        <v>0</v>
      </c>
      <c r="H2931">
        <v>1</v>
      </c>
      <c r="I2931">
        <v>0</v>
      </c>
      <c r="J2931">
        <v>0</v>
      </c>
      <c r="K2931" t="s">
        <v>20</v>
      </c>
      <c r="L2931" s="1">
        <v>45336</v>
      </c>
      <c r="M2931">
        <v>105</v>
      </c>
      <c r="N2931">
        <v>79</v>
      </c>
      <c r="O2931">
        <v>305</v>
      </c>
      <c r="P2931">
        <v>305</v>
      </c>
      <c r="Q2931">
        <v>305</v>
      </c>
      <c r="S2931">
        <v>1879</v>
      </c>
      <c r="T2931">
        <v>1891</v>
      </c>
      <c r="U2931">
        <f>+SUM(Table1[[#This Row],[Latinos]:[Cemex]])</f>
        <v>1</v>
      </c>
      <c r="V2931" t="str">
        <f>+Table1[[#This Row],[id_destino]]&amp;" - "&amp;Table1[[#This Row],[id_origen]]</f>
        <v>105 - 79</v>
      </c>
    </row>
    <row r="2932" spans="1:22" hidden="1">
      <c r="A2932">
        <v>3068</v>
      </c>
      <c r="B2932">
        <v>1908</v>
      </c>
      <c r="C2932">
        <v>4234</v>
      </c>
      <c r="D2932">
        <v>1366</v>
      </c>
      <c r="E2932">
        <v>0</v>
      </c>
      <c r="F2932">
        <v>0</v>
      </c>
      <c r="G2932">
        <v>0</v>
      </c>
      <c r="H2932">
        <v>1</v>
      </c>
      <c r="I2932">
        <v>0</v>
      </c>
      <c r="J2932">
        <v>0</v>
      </c>
      <c r="K2932" t="s">
        <v>20</v>
      </c>
      <c r="L2932" s="1">
        <v>44714</v>
      </c>
      <c r="M2932">
        <v>107</v>
      </c>
      <c r="N2932">
        <v>79</v>
      </c>
      <c r="O2932">
        <v>506</v>
      </c>
      <c r="P2932">
        <v>549</v>
      </c>
      <c r="Q2932">
        <v>506</v>
      </c>
      <c r="S2932">
        <v>1068</v>
      </c>
      <c r="T2932">
        <v>1169</v>
      </c>
      <c r="U2932">
        <f>+SUM(Table1[[#This Row],[Latinos]:[Cemex]])</f>
        <v>1</v>
      </c>
      <c r="V2932" t="str">
        <f>+Table1[[#This Row],[id_destino]]&amp;" - "&amp;Table1[[#This Row],[id_origen]]</f>
        <v>107 - 79</v>
      </c>
    </row>
    <row r="2933" spans="1:22" hidden="1">
      <c r="A2933">
        <v>4158</v>
      </c>
      <c r="B2933">
        <v>908</v>
      </c>
      <c r="C2933">
        <v>7428</v>
      </c>
      <c r="D2933">
        <v>7655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 t="s">
        <v>20</v>
      </c>
      <c r="L2933" s="1">
        <v>45328</v>
      </c>
      <c r="M2933">
        <v>114</v>
      </c>
      <c r="N2933">
        <v>79</v>
      </c>
      <c r="O2933">
        <v>410</v>
      </c>
      <c r="P2933">
        <v>475</v>
      </c>
      <c r="Q2933">
        <v>410</v>
      </c>
      <c r="S2933">
        <v>969</v>
      </c>
      <c r="T2933">
        <v>1808</v>
      </c>
      <c r="U2933">
        <f>+SUM(Table1[[#This Row],[Latinos]:[Cemex]])</f>
        <v>1</v>
      </c>
      <c r="V2933" t="str">
        <f>+Table1[[#This Row],[id_destino]]&amp;" - "&amp;Table1[[#This Row],[id_origen]]</f>
        <v>114 - 79</v>
      </c>
    </row>
    <row r="2934" spans="1:22" hidden="1">
      <c r="A2934">
        <v>2592</v>
      </c>
      <c r="B2934">
        <v>1866</v>
      </c>
      <c r="C2934">
        <v>7428</v>
      </c>
      <c r="D2934">
        <v>4607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  <c r="K2934" t="s">
        <v>20</v>
      </c>
      <c r="L2934" s="1">
        <v>45502</v>
      </c>
      <c r="M2934">
        <v>117</v>
      </c>
      <c r="N2934">
        <v>79</v>
      </c>
      <c r="O2934">
        <v>256</v>
      </c>
      <c r="P2934">
        <v>256</v>
      </c>
      <c r="Q2934">
        <v>256</v>
      </c>
      <c r="S2934">
        <v>719</v>
      </c>
      <c r="T2934">
        <v>848</v>
      </c>
      <c r="U2934">
        <f>+SUM(Table1[[#This Row],[Latinos]:[Cemex]])</f>
        <v>1</v>
      </c>
      <c r="V2934" t="str">
        <f>+Table1[[#This Row],[id_destino]]&amp;" - "&amp;Table1[[#This Row],[id_origen]]</f>
        <v>117 - 79</v>
      </c>
    </row>
    <row r="2935" spans="1:22" hidden="1">
      <c r="A2935">
        <v>1514</v>
      </c>
      <c r="B2935">
        <v>2787</v>
      </c>
      <c r="C2935">
        <v>4328</v>
      </c>
      <c r="D2935">
        <v>623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  <c r="K2935" t="s">
        <v>20</v>
      </c>
      <c r="L2935" s="1">
        <v>43480</v>
      </c>
      <c r="M2935">
        <v>121</v>
      </c>
      <c r="N2935">
        <v>79</v>
      </c>
      <c r="O2935">
        <v>538</v>
      </c>
      <c r="P2935">
        <v>538</v>
      </c>
      <c r="Q2935">
        <v>538</v>
      </c>
      <c r="S2935">
        <v>1232</v>
      </c>
      <c r="T2935">
        <v>1235</v>
      </c>
      <c r="U2935">
        <f>+SUM(Table1[[#This Row],[Latinos]:[Cemex]])</f>
        <v>1</v>
      </c>
      <c r="V2935" t="str">
        <f>+Table1[[#This Row],[id_destino]]&amp;" - "&amp;Table1[[#This Row],[id_origen]]</f>
        <v>121 - 79</v>
      </c>
    </row>
    <row r="2936" spans="1:22" hidden="1">
      <c r="A2936">
        <v>4578</v>
      </c>
      <c r="B2936">
        <v>4771</v>
      </c>
      <c r="C2936">
        <v>4234</v>
      </c>
      <c r="D2936">
        <v>8046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 t="s">
        <v>20</v>
      </c>
      <c r="L2936" s="1">
        <v>45628</v>
      </c>
      <c r="M2936">
        <v>126</v>
      </c>
      <c r="N2936">
        <v>79</v>
      </c>
      <c r="O2936">
        <v>640</v>
      </c>
      <c r="P2936">
        <v>640</v>
      </c>
      <c r="Q2936">
        <v>640</v>
      </c>
      <c r="S2936">
        <v>1053</v>
      </c>
      <c r="T2936">
        <v>1053</v>
      </c>
      <c r="U2936">
        <f>+SUM(Table1[[#This Row],[Latinos]:[Cemex]])</f>
        <v>1</v>
      </c>
      <c r="V2936" t="str">
        <f>+Table1[[#This Row],[id_destino]]&amp;" - "&amp;Table1[[#This Row],[id_origen]]</f>
        <v>126 - 79</v>
      </c>
    </row>
    <row r="2937" spans="1:22" hidden="1">
      <c r="A2937">
        <v>354</v>
      </c>
      <c r="B2937">
        <v>277</v>
      </c>
      <c r="C2937">
        <v>5182</v>
      </c>
      <c r="D2937">
        <v>47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0</v>
      </c>
      <c r="K2937" t="s">
        <v>20</v>
      </c>
      <c r="L2937" s="1">
        <v>43043</v>
      </c>
      <c r="M2937">
        <v>129</v>
      </c>
      <c r="N2937">
        <v>79</v>
      </c>
      <c r="O2937">
        <v>364</v>
      </c>
      <c r="P2937">
        <v>398</v>
      </c>
      <c r="Q2937">
        <v>364</v>
      </c>
      <c r="S2937">
        <v>365</v>
      </c>
      <c r="T2937">
        <v>365</v>
      </c>
      <c r="U2937">
        <f>+SUM(Table1[[#This Row],[Latinos]:[Cemex]])</f>
        <v>1</v>
      </c>
      <c r="V2937" t="str">
        <f>+Table1[[#This Row],[id_destino]]&amp;" - "&amp;Table1[[#This Row],[id_origen]]</f>
        <v>129 - 79</v>
      </c>
    </row>
    <row r="2938" spans="1:22" hidden="1">
      <c r="A2938">
        <v>943</v>
      </c>
      <c r="B2938">
        <v>1503</v>
      </c>
      <c r="C2938">
        <v>3581</v>
      </c>
      <c r="D2938">
        <v>3176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  <c r="K2938" t="s">
        <v>20</v>
      </c>
      <c r="L2938" s="1">
        <v>43223</v>
      </c>
      <c r="M2938">
        <v>136</v>
      </c>
      <c r="N2938">
        <v>79</v>
      </c>
      <c r="O2938">
        <v>134</v>
      </c>
      <c r="P2938">
        <v>150</v>
      </c>
      <c r="Q2938">
        <v>134</v>
      </c>
      <c r="S2938">
        <v>383</v>
      </c>
      <c r="T2938">
        <v>390</v>
      </c>
      <c r="U2938">
        <f>+SUM(Table1[[#This Row],[Latinos]:[Cemex]])</f>
        <v>1</v>
      </c>
      <c r="V2938" t="str">
        <f>+Table1[[#This Row],[id_destino]]&amp;" - "&amp;Table1[[#This Row],[id_origen]]</f>
        <v>136 - 79</v>
      </c>
    </row>
    <row r="2939" spans="1:22" hidden="1">
      <c r="A2939">
        <v>964</v>
      </c>
      <c r="B2939">
        <v>1503</v>
      </c>
      <c r="C2939">
        <v>3581</v>
      </c>
      <c r="D2939">
        <v>3176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 t="s">
        <v>20</v>
      </c>
      <c r="L2939" s="1">
        <v>43230</v>
      </c>
      <c r="M2939">
        <v>136</v>
      </c>
      <c r="N2939">
        <v>79</v>
      </c>
      <c r="O2939">
        <v>135</v>
      </c>
      <c r="P2939">
        <v>150</v>
      </c>
      <c r="Q2939">
        <v>135</v>
      </c>
      <c r="S2939">
        <v>227</v>
      </c>
      <c r="T2939">
        <v>235</v>
      </c>
      <c r="U2939">
        <f>+SUM(Table1[[#This Row],[Latinos]:[Cemex]])</f>
        <v>1</v>
      </c>
      <c r="V2939" t="str">
        <f>+Table1[[#This Row],[id_destino]]&amp;" - "&amp;Table1[[#This Row],[id_origen]]</f>
        <v>136 - 79</v>
      </c>
    </row>
    <row r="2940" spans="1:22" hidden="1">
      <c r="A2940">
        <v>3882</v>
      </c>
      <c r="B2940">
        <v>4279</v>
      </c>
      <c r="C2940">
        <v>4234</v>
      </c>
      <c r="D2940">
        <v>7448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 t="s">
        <v>20</v>
      </c>
      <c r="L2940" s="1">
        <v>45161</v>
      </c>
      <c r="M2940">
        <v>144</v>
      </c>
      <c r="N2940">
        <v>79</v>
      </c>
      <c r="O2940">
        <v>358</v>
      </c>
      <c r="P2940">
        <v>369</v>
      </c>
      <c r="Q2940">
        <v>358</v>
      </c>
      <c r="S2940">
        <v>1292</v>
      </c>
      <c r="T2940">
        <v>1298</v>
      </c>
      <c r="U2940">
        <f>+SUM(Table1[[#This Row],[Latinos]:[Cemex]])</f>
        <v>1</v>
      </c>
      <c r="V2940" t="str">
        <f>+Table1[[#This Row],[id_destino]]&amp;" - "&amp;Table1[[#This Row],[id_origen]]</f>
        <v>144 - 79</v>
      </c>
    </row>
    <row r="2941" spans="1:22" hidden="1">
      <c r="A2941">
        <v>762</v>
      </c>
      <c r="B2941">
        <v>901</v>
      </c>
      <c r="C2941">
        <v>4328</v>
      </c>
      <c r="D2941">
        <v>2111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0</v>
      </c>
      <c r="K2941" t="s">
        <v>20</v>
      </c>
      <c r="L2941" s="1">
        <v>43612</v>
      </c>
      <c r="M2941">
        <v>155</v>
      </c>
      <c r="N2941">
        <v>79</v>
      </c>
      <c r="O2941">
        <v>1271</v>
      </c>
      <c r="P2941">
        <v>1271</v>
      </c>
      <c r="Q2941">
        <v>1271</v>
      </c>
      <c r="S2941">
        <v>3442</v>
      </c>
      <c r="T2941">
        <v>3442</v>
      </c>
      <c r="U2941">
        <f>+SUM(Table1[[#This Row],[Latinos]:[Cemex]])</f>
        <v>1</v>
      </c>
      <c r="V2941" t="str">
        <f>+Table1[[#This Row],[id_destino]]&amp;" - "&amp;Table1[[#This Row],[id_origen]]</f>
        <v>155 - 79</v>
      </c>
    </row>
    <row r="2942" spans="1:22" hidden="1">
      <c r="A2942">
        <v>764</v>
      </c>
      <c r="B2942">
        <v>901</v>
      </c>
      <c r="C2942">
        <v>4328</v>
      </c>
      <c r="D2942">
        <v>2111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 t="s">
        <v>20</v>
      </c>
      <c r="L2942" s="1">
        <v>43158</v>
      </c>
      <c r="M2942">
        <v>155</v>
      </c>
      <c r="N2942">
        <v>79</v>
      </c>
      <c r="O2942">
        <v>1271</v>
      </c>
      <c r="P2942">
        <v>1721</v>
      </c>
      <c r="Q2942">
        <v>1271</v>
      </c>
      <c r="S2942">
        <v>3442</v>
      </c>
      <c r="T2942">
        <v>3442</v>
      </c>
      <c r="U2942">
        <f>+SUM(Table1[[#This Row],[Latinos]:[Cemex]])</f>
        <v>1</v>
      </c>
      <c r="V2942" t="str">
        <f>+Table1[[#This Row],[id_destino]]&amp;" - "&amp;Table1[[#This Row],[id_origen]]</f>
        <v>155 - 79</v>
      </c>
    </row>
    <row r="2943" spans="1:22" hidden="1">
      <c r="A2943">
        <v>4033</v>
      </c>
      <c r="B2943">
        <v>4372</v>
      </c>
      <c r="C2943">
        <v>6943</v>
      </c>
      <c r="D2943">
        <v>7554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 t="s">
        <v>20</v>
      </c>
      <c r="L2943" s="1">
        <v>45243</v>
      </c>
      <c r="M2943">
        <v>167</v>
      </c>
      <c r="N2943">
        <v>79</v>
      </c>
      <c r="O2943">
        <v>440</v>
      </c>
      <c r="P2943">
        <v>439</v>
      </c>
      <c r="Q2943">
        <v>440</v>
      </c>
      <c r="S2943">
        <v>1023</v>
      </c>
      <c r="T2943">
        <v>1023</v>
      </c>
      <c r="U2943">
        <f>+SUM(Table1[[#This Row],[Latinos]:[Cemex]])</f>
        <v>1</v>
      </c>
      <c r="V2943" t="str">
        <f>+Table1[[#This Row],[id_destino]]&amp;" - "&amp;Table1[[#This Row],[id_origen]]</f>
        <v>167 - 79</v>
      </c>
    </row>
    <row r="2944" spans="1:22" hidden="1">
      <c r="A2944">
        <v>827</v>
      </c>
      <c r="B2944">
        <v>2470</v>
      </c>
      <c r="C2944">
        <v>4328</v>
      </c>
      <c r="D2944">
        <v>12</v>
      </c>
      <c r="E2944">
        <v>0</v>
      </c>
      <c r="F2944">
        <v>1</v>
      </c>
      <c r="G2944">
        <v>0</v>
      </c>
      <c r="H2944">
        <v>0</v>
      </c>
      <c r="I2944">
        <v>0</v>
      </c>
      <c r="J2944">
        <v>0</v>
      </c>
      <c r="K2944" t="s">
        <v>20</v>
      </c>
      <c r="L2944" s="1">
        <v>43892</v>
      </c>
      <c r="M2944">
        <v>169</v>
      </c>
      <c r="N2944">
        <v>79</v>
      </c>
      <c r="O2944">
        <v>624</v>
      </c>
      <c r="P2944">
        <v>624</v>
      </c>
      <c r="Q2944">
        <v>624</v>
      </c>
      <c r="S2944">
        <v>1563</v>
      </c>
      <c r="T2944">
        <v>1570</v>
      </c>
      <c r="U2944">
        <f>+SUM(Table1[[#This Row],[Latinos]:[Cemex]])</f>
        <v>1</v>
      </c>
      <c r="V2944" t="str">
        <f>+Table1[[#This Row],[id_destino]]&amp;" - "&amp;Table1[[#This Row],[id_origen]]</f>
        <v>169 - 79</v>
      </c>
    </row>
    <row r="2945" spans="1:22" hidden="1">
      <c r="A2945">
        <v>1316</v>
      </c>
      <c r="B2945">
        <v>2470</v>
      </c>
      <c r="C2945">
        <v>4328</v>
      </c>
      <c r="D2945">
        <v>12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 t="s">
        <v>20</v>
      </c>
      <c r="L2945" s="1">
        <v>43381</v>
      </c>
      <c r="M2945">
        <v>169</v>
      </c>
      <c r="N2945">
        <v>79</v>
      </c>
      <c r="O2945">
        <v>624</v>
      </c>
      <c r="P2945">
        <v>624</v>
      </c>
      <c r="Q2945">
        <v>624</v>
      </c>
      <c r="S2945">
        <v>1571</v>
      </c>
      <c r="T2945">
        <v>1578</v>
      </c>
      <c r="U2945">
        <f>+SUM(Table1[[#This Row],[Latinos]:[Cemex]])</f>
        <v>1</v>
      </c>
      <c r="V2945" t="str">
        <f>+Table1[[#This Row],[id_destino]]&amp;" - "&amp;Table1[[#This Row],[id_origen]]</f>
        <v>169 - 79</v>
      </c>
    </row>
    <row r="2946" spans="1:22" hidden="1">
      <c r="A2946">
        <v>3323</v>
      </c>
      <c r="B2946">
        <v>3905</v>
      </c>
      <c r="C2946">
        <v>6943</v>
      </c>
      <c r="D2946">
        <v>6500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0</v>
      </c>
      <c r="K2946" t="s">
        <v>20</v>
      </c>
      <c r="L2946" s="1">
        <v>44831</v>
      </c>
      <c r="M2946">
        <v>179</v>
      </c>
      <c r="N2946">
        <v>79</v>
      </c>
      <c r="O2946">
        <v>2092</v>
      </c>
      <c r="P2946">
        <v>2100</v>
      </c>
      <c r="Q2946">
        <v>2092</v>
      </c>
      <c r="S2946">
        <v>7413</v>
      </c>
      <c r="T2946">
        <v>7531</v>
      </c>
      <c r="U2946">
        <f>+SUM(Table1[[#This Row],[Latinos]:[Cemex]])</f>
        <v>1</v>
      </c>
      <c r="V2946" t="str">
        <f>+Table1[[#This Row],[id_destino]]&amp;" - "&amp;Table1[[#This Row],[id_origen]]</f>
        <v>179 - 79</v>
      </c>
    </row>
    <row r="2947" spans="1:22" hidden="1">
      <c r="A2947">
        <v>2208</v>
      </c>
      <c r="B2947">
        <v>3201</v>
      </c>
      <c r="C2947">
        <v>5683</v>
      </c>
      <c r="D2947">
        <v>6258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 t="s">
        <v>20</v>
      </c>
      <c r="L2947" s="1">
        <v>43857</v>
      </c>
      <c r="M2947">
        <v>184</v>
      </c>
      <c r="N2947">
        <v>79</v>
      </c>
      <c r="O2947">
        <v>245</v>
      </c>
      <c r="P2947">
        <v>245</v>
      </c>
      <c r="Q2947">
        <v>245</v>
      </c>
      <c r="S2947">
        <v>611</v>
      </c>
      <c r="T2947">
        <v>688</v>
      </c>
      <c r="U2947">
        <f>+SUM(Table1[[#This Row],[Latinos]:[Cemex]])</f>
        <v>1</v>
      </c>
      <c r="V2947" t="str">
        <f>+Table1[[#This Row],[id_destino]]&amp;" - "&amp;Table1[[#This Row],[id_origen]]</f>
        <v>184 - 79</v>
      </c>
    </row>
    <row r="2948" spans="1:22" hidden="1">
      <c r="A2948">
        <v>4806</v>
      </c>
      <c r="B2948">
        <v>4918</v>
      </c>
      <c r="C2948">
        <v>3855</v>
      </c>
      <c r="D2948">
        <v>4073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0</v>
      </c>
      <c r="K2948" t="s">
        <v>20</v>
      </c>
      <c r="L2948" s="1">
        <v>45845</v>
      </c>
      <c r="M2948">
        <v>227</v>
      </c>
      <c r="N2948">
        <v>79</v>
      </c>
      <c r="O2948">
        <v>304</v>
      </c>
      <c r="P2948">
        <v>291</v>
      </c>
      <c r="Q2948">
        <v>304</v>
      </c>
      <c r="S2948">
        <v>1016</v>
      </c>
      <c r="T2948">
        <v>1024</v>
      </c>
      <c r="U2948">
        <f>+SUM(Table1[[#This Row],[Latinos]:[Cemex]])</f>
        <v>1</v>
      </c>
      <c r="V2948" t="str">
        <f>+Table1[[#This Row],[id_destino]]&amp;" - "&amp;Table1[[#This Row],[id_origen]]</f>
        <v>227 - 79</v>
      </c>
    </row>
    <row r="2949" spans="1:22" hidden="1">
      <c r="A2949">
        <v>1172</v>
      </c>
      <c r="B2949">
        <v>2613</v>
      </c>
      <c r="C2949">
        <v>5309</v>
      </c>
      <c r="D2949">
        <v>4053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 t="s">
        <v>20</v>
      </c>
      <c r="L2949" s="1">
        <v>43329</v>
      </c>
      <c r="M2949">
        <v>255</v>
      </c>
      <c r="N2949">
        <v>79</v>
      </c>
      <c r="O2949">
        <v>250</v>
      </c>
      <c r="P2949">
        <v>250</v>
      </c>
      <c r="Q2949">
        <v>250</v>
      </c>
      <c r="S2949">
        <v>699</v>
      </c>
      <c r="T2949">
        <v>706</v>
      </c>
      <c r="U2949">
        <f>+SUM(Table1[[#This Row],[Latinos]:[Cemex]])</f>
        <v>1</v>
      </c>
      <c r="V2949" t="str">
        <f>+Table1[[#This Row],[id_destino]]&amp;" - "&amp;Table1[[#This Row],[id_origen]]</f>
        <v>255 - 79</v>
      </c>
    </row>
    <row r="2950" spans="1:22" hidden="1">
      <c r="A2950">
        <v>1336</v>
      </c>
      <c r="B2950">
        <v>2613</v>
      </c>
      <c r="C2950">
        <v>5309</v>
      </c>
      <c r="D2950">
        <v>4053</v>
      </c>
      <c r="E2950">
        <v>0</v>
      </c>
      <c r="F2950">
        <v>0</v>
      </c>
      <c r="G2950">
        <v>0</v>
      </c>
      <c r="H2950">
        <v>1</v>
      </c>
      <c r="I2950">
        <v>0</v>
      </c>
      <c r="J2950">
        <v>0</v>
      </c>
      <c r="K2950" t="s">
        <v>20</v>
      </c>
      <c r="L2950" s="1">
        <v>43390</v>
      </c>
      <c r="M2950">
        <v>255</v>
      </c>
      <c r="N2950">
        <v>79</v>
      </c>
      <c r="O2950">
        <v>250</v>
      </c>
      <c r="P2950">
        <v>250</v>
      </c>
      <c r="Q2950">
        <v>250</v>
      </c>
      <c r="S2950">
        <v>706</v>
      </c>
      <c r="T2950">
        <v>713</v>
      </c>
      <c r="U2950">
        <f>+SUM(Table1[[#This Row],[Latinos]:[Cemex]])</f>
        <v>1</v>
      </c>
      <c r="V2950" t="str">
        <f>+Table1[[#This Row],[id_destino]]&amp;" - "&amp;Table1[[#This Row],[id_origen]]</f>
        <v>255 - 79</v>
      </c>
    </row>
    <row r="2951" spans="1:22" hidden="1">
      <c r="A2951">
        <v>2762</v>
      </c>
      <c r="B2951">
        <v>1225</v>
      </c>
      <c r="C2951">
        <v>4898</v>
      </c>
      <c r="D2951">
        <v>33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 t="s">
        <v>20</v>
      </c>
      <c r="L2951" s="1">
        <v>44426</v>
      </c>
      <c r="M2951">
        <v>260</v>
      </c>
      <c r="N2951">
        <v>79</v>
      </c>
      <c r="O2951">
        <v>1621</v>
      </c>
      <c r="P2951">
        <v>1640</v>
      </c>
      <c r="Q2951">
        <v>1621</v>
      </c>
      <c r="S2951">
        <v>4647</v>
      </c>
      <c r="T2951">
        <v>4726</v>
      </c>
      <c r="U2951">
        <f>+SUM(Table1[[#This Row],[Latinos]:[Cemex]])</f>
        <v>1</v>
      </c>
      <c r="V2951" t="str">
        <f>+Table1[[#This Row],[id_destino]]&amp;" - "&amp;Table1[[#This Row],[id_origen]]</f>
        <v>260 - 79</v>
      </c>
    </row>
    <row r="2952" spans="1:22" hidden="1">
      <c r="A2952">
        <v>4753</v>
      </c>
      <c r="B2952">
        <v>4888</v>
      </c>
      <c r="C2952">
        <v>6766</v>
      </c>
      <c r="D2952">
        <v>2643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 t="s">
        <v>20</v>
      </c>
      <c r="L2952" s="1">
        <v>45785</v>
      </c>
      <c r="M2952">
        <v>273</v>
      </c>
      <c r="N2952">
        <v>79</v>
      </c>
      <c r="O2952">
        <v>223</v>
      </c>
      <c r="P2952">
        <v>224</v>
      </c>
      <c r="Q2952">
        <v>223</v>
      </c>
      <c r="S2952">
        <v>650</v>
      </c>
      <c r="T2952">
        <v>658</v>
      </c>
      <c r="U2952">
        <f>+SUM(Table1[[#This Row],[Latinos]:[Cemex]])</f>
        <v>1</v>
      </c>
      <c r="V2952" t="str">
        <f>+Table1[[#This Row],[id_destino]]&amp;" - "&amp;Table1[[#This Row],[id_origen]]</f>
        <v>273 - 79</v>
      </c>
    </row>
    <row r="2953" spans="1:22" hidden="1">
      <c r="A2953">
        <v>2911</v>
      </c>
      <c r="B2953">
        <v>1845</v>
      </c>
      <c r="C2953">
        <v>6598</v>
      </c>
      <c r="D2953">
        <v>6789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0</v>
      </c>
      <c r="K2953" t="s">
        <v>20</v>
      </c>
      <c r="L2953" s="1">
        <v>44607</v>
      </c>
      <c r="M2953">
        <v>345</v>
      </c>
      <c r="N2953">
        <v>79</v>
      </c>
      <c r="O2953">
        <v>63</v>
      </c>
      <c r="P2953">
        <v>150</v>
      </c>
      <c r="Q2953">
        <v>63</v>
      </c>
      <c r="S2953">
        <v>0</v>
      </c>
      <c r="T2953">
        <v>0</v>
      </c>
      <c r="U2953">
        <f>+SUM(Table1[[#This Row],[Latinos]:[Cemex]])</f>
        <v>1</v>
      </c>
      <c r="V2953" t="str">
        <f>+Table1[[#This Row],[id_destino]]&amp;" - "&amp;Table1[[#This Row],[id_origen]]</f>
        <v>345 - 79</v>
      </c>
    </row>
    <row r="2954" spans="1:22" hidden="1">
      <c r="A2954">
        <v>4765</v>
      </c>
      <c r="B2954">
        <v>4895</v>
      </c>
      <c r="C2954">
        <v>3301</v>
      </c>
      <c r="D2954">
        <v>8227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  <c r="K2954" t="s">
        <v>20</v>
      </c>
      <c r="L2954" s="1">
        <v>45792</v>
      </c>
      <c r="M2954">
        <v>349</v>
      </c>
      <c r="N2954">
        <v>79</v>
      </c>
      <c r="O2954">
        <v>528</v>
      </c>
      <c r="P2954">
        <v>394</v>
      </c>
      <c r="Q2954">
        <v>528</v>
      </c>
      <c r="S2954">
        <v>1650</v>
      </c>
      <c r="T2954">
        <v>1877</v>
      </c>
      <c r="U2954">
        <f>+SUM(Table1[[#This Row],[Latinos]:[Cemex]])</f>
        <v>1</v>
      </c>
      <c r="V2954" t="str">
        <f>+Table1[[#This Row],[id_destino]]&amp;" - "&amp;Table1[[#This Row],[id_origen]]</f>
        <v>349 - 79</v>
      </c>
    </row>
    <row r="2955" spans="1:22" hidden="1">
      <c r="A2955">
        <v>4301</v>
      </c>
      <c r="B2955">
        <v>4553</v>
      </c>
      <c r="C2955">
        <v>6943</v>
      </c>
      <c r="D2955">
        <v>7788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 t="s">
        <v>20</v>
      </c>
      <c r="L2955" s="1">
        <v>45444</v>
      </c>
      <c r="M2955">
        <v>432</v>
      </c>
      <c r="N2955">
        <v>79</v>
      </c>
      <c r="O2955">
        <v>643</v>
      </c>
      <c r="P2955">
        <v>627</v>
      </c>
      <c r="Q2955">
        <v>643</v>
      </c>
      <c r="S2955">
        <v>1787</v>
      </c>
      <c r="T2955">
        <v>1787</v>
      </c>
      <c r="U2955">
        <f>+SUM(Table1[[#This Row],[Latinos]:[Cemex]])</f>
        <v>1</v>
      </c>
      <c r="V2955" t="str">
        <f>+Table1[[#This Row],[id_destino]]&amp;" - "&amp;Table1[[#This Row],[id_origen]]</f>
        <v>432 - 79</v>
      </c>
    </row>
    <row r="2956" spans="1:22" hidden="1">
      <c r="A2956">
        <v>1471</v>
      </c>
      <c r="B2956">
        <v>2764</v>
      </c>
      <c r="C2956">
        <v>4246</v>
      </c>
      <c r="D2956">
        <v>5783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 t="s">
        <v>20</v>
      </c>
      <c r="L2956" s="1">
        <v>43452</v>
      </c>
      <c r="M2956">
        <v>472</v>
      </c>
      <c r="N2956">
        <v>79</v>
      </c>
      <c r="O2956">
        <v>258</v>
      </c>
      <c r="P2956">
        <v>254</v>
      </c>
      <c r="Q2956">
        <v>258</v>
      </c>
      <c r="S2956">
        <v>706</v>
      </c>
      <c r="T2956">
        <v>713</v>
      </c>
      <c r="U2956">
        <f>+SUM(Table1[[#This Row],[Latinos]:[Cemex]])</f>
        <v>1</v>
      </c>
      <c r="V2956" t="str">
        <f>+Table1[[#This Row],[id_destino]]&amp;" - "&amp;Table1[[#This Row],[id_origen]]</f>
        <v>472 - 79</v>
      </c>
    </row>
    <row r="2957" spans="1:22" hidden="1">
      <c r="A2957">
        <v>4403</v>
      </c>
      <c r="B2957">
        <v>556</v>
      </c>
      <c r="C2957">
        <v>7722</v>
      </c>
      <c r="D2957">
        <v>7877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  <c r="K2957" t="s">
        <v>20</v>
      </c>
      <c r="L2957" s="1">
        <v>45524</v>
      </c>
      <c r="M2957">
        <v>473</v>
      </c>
      <c r="N2957">
        <v>79</v>
      </c>
      <c r="O2957">
        <v>256</v>
      </c>
      <c r="P2957">
        <v>240</v>
      </c>
      <c r="Q2957">
        <v>256</v>
      </c>
      <c r="S2957">
        <v>1024</v>
      </c>
      <c r="T2957">
        <v>1038</v>
      </c>
      <c r="U2957">
        <f>+SUM(Table1[[#This Row],[Latinos]:[Cemex]])</f>
        <v>1</v>
      </c>
      <c r="V2957" t="str">
        <f>+Table1[[#This Row],[id_destino]]&amp;" - "&amp;Table1[[#This Row],[id_origen]]</f>
        <v>473 - 79</v>
      </c>
    </row>
    <row r="2958" spans="1:22" hidden="1">
      <c r="A2958">
        <v>4310</v>
      </c>
      <c r="B2958">
        <v>4561</v>
      </c>
      <c r="C2958">
        <v>6598</v>
      </c>
      <c r="D2958">
        <v>7797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 t="s">
        <v>20</v>
      </c>
      <c r="L2958" s="1">
        <v>45451</v>
      </c>
      <c r="M2958">
        <v>492</v>
      </c>
      <c r="N2958">
        <v>79</v>
      </c>
      <c r="O2958">
        <v>150</v>
      </c>
      <c r="P2958">
        <v>150</v>
      </c>
      <c r="Q2958">
        <v>150</v>
      </c>
      <c r="S2958">
        <v>321</v>
      </c>
      <c r="T2958">
        <v>323</v>
      </c>
      <c r="U2958">
        <f>+SUM(Table1[[#This Row],[Latinos]:[Cemex]])</f>
        <v>1</v>
      </c>
      <c r="V2958" t="str">
        <f>+Table1[[#This Row],[id_destino]]&amp;" - "&amp;Table1[[#This Row],[id_origen]]</f>
        <v>492 - 79</v>
      </c>
    </row>
    <row r="2959" spans="1:22" hidden="1">
      <c r="A2959">
        <v>3213</v>
      </c>
      <c r="B2959">
        <v>3841</v>
      </c>
      <c r="C2959">
        <v>4234</v>
      </c>
      <c r="D2959">
        <v>6991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 t="s">
        <v>20</v>
      </c>
      <c r="L2959" s="1">
        <v>44770</v>
      </c>
      <c r="M2959">
        <v>503</v>
      </c>
      <c r="N2959">
        <v>79</v>
      </c>
      <c r="O2959">
        <v>487</v>
      </c>
      <c r="P2959">
        <v>539</v>
      </c>
      <c r="Q2959">
        <v>487</v>
      </c>
      <c r="S2959">
        <v>1587</v>
      </c>
      <c r="T2959">
        <v>1598</v>
      </c>
      <c r="U2959">
        <f>+SUM(Table1[[#This Row],[Latinos]:[Cemex]])</f>
        <v>1</v>
      </c>
      <c r="V2959" t="str">
        <f>+Table1[[#This Row],[id_destino]]&amp;" - "&amp;Table1[[#This Row],[id_origen]]</f>
        <v>503 - 79</v>
      </c>
    </row>
    <row r="2960" spans="1:22" hidden="1">
      <c r="A2960">
        <v>1705</v>
      </c>
      <c r="B2960">
        <v>2894</v>
      </c>
      <c r="C2960">
        <v>5683</v>
      </c>
      <c r="D2960">
        <v>5885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  <c r="K2960" t="s">
        <v>20</v>
      </c>
      <c r="L2960" s="1">
        <v>43570</v>
      </c>
      <c r="M2960">
        <v>525</v>
      </c>
      <c r="N2960">
        <v>79</v>
      </c>
      <c r="O2960">
        <v>264</v>
      </c>
      <c r="P2960">
        <v>264</v>
      </c>
      <c r="Q2960">
        <v>264</v>
      </c>
      <c r="S2960">
        <v>720</v>
      </c>
      <c r="T2960">
        <v>726</v>
      </c>
      <c r="U2960">
        <f>+SUM(Table1[[#This Row],[Latinos]:[Cemex]])</f>
        <v>1</v>
      </c>
      <c r="V2960" t="str">
        <f>+Table1[[#This Row],[id_destino]]&amp;" - "&amp;Table1[[#This Row],[id_origen]]</f>
        <v>525 - 79</v>
      </c>
    </row>
    <row r="2961" spans="1:22" hidden="1">
      <c r="A2961">
        <v>564</v>
      </c>
      <c r="B2961">
        <v>2348</v>
      </c>
      <c r="C2961">
        <v>4328</v>
      </c>
      <c r="D2961">
        <v>3923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0</v>
      </c>
      <c r="K2961" t="s">
        <v>20</v>
      </c>
      <c r="L2961" s="1">
        <v>43104</v>
      </c>
      <c r="M2961">
        <v>548</v>
      </c>
      <c r="N2961">
        <v>79</v>
      </c>
      <c r="O2961">
        <v>402</v>
      </c>
      <c r="P2961">
        <v>402</v>
      </c>
      <c r="Q2961">
        <v>402</v>
      </c>
      <c r="S2961">
        <v>678</v>
      </c>
      <c r="T2961">
        <v>685</v>
      </c>
      <c r="U2961">
        <f>+SUM(Table1[[#This Row],[Latinos]:[Cemex]])</f>
        <v>1</v>
      </c>
      <c r="V2961" t="str">
        <f>+Table1[[#This Row],[id_destino]]&amp;" - "&amp;Table1[[#This Row],[id_origen]]</f>
        <v>548 - 79</v>
      </c>
    </row>
    <row r="2962" spans="1:22" hidden="1">
      <c r="A2962">
        <v>4016</v>
      </c>
      <c r="B2962">
        <v>4360</v>
      </c>
      <c r="C2962">
        <v>7524</v>
      </c>
      <c r="D2962">
        <v>7545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  <c r="K2962" t="s">
        <v>20</v>
      </c>
      <c r="L2962" s="1">
        <v>45237</v>
      </c>
      <c r="M2962">
        <v>669</v>
      </c>
      <c r="N2962">
        <v>79</v>
      </c>
      <c r="O2962">
        <v>608</v>
      </c>
      <c r="P2962">
        <v>602</v>
      </c>
      <c r="Q2962">
        <v>608</v>
      </c>
      <c r="S2962">
        <v>1636</v>
      </c>
      <c r="T2962">
        <v>1646</v>
      </c>
      <c r="U2962">
        <f>+SUM(Table1[[#This Row],[Latinos]:[Cemex]])</f>
        <v>1</v>
      </c>
      <c r="V2962" t="str">
        <f>+Table1[[#This Row],[id_destino]]&amp;" - "&amp;Table1[[#This Row],[id_origen]]</f>
        <v>669 - 79</v>
      </c>
    </row>
    <row r="2963" spans="1:22" hidden="1">
      <c r="A2963">
        <v>721</v>
      </c>
      <c r="B2963">
        <v>2425</v>
      </c>
      <c r="C2963">
        <v>4328</v>
      </c>
      <c r="D2963">
        <v>5466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 t="s">
        <v>20</v>
      </c>
      <c r="L2963" s="1">
        <v>43140</v>
      </c>
      <c r="M2963">
        <v>738</v>
      </c>
      <c r="N2963">
        <v>79</v>
      </c>
      <c r="O2963">
        <v>352</v>
      </c>
      <c r="P2963">
        <v>352</v>
      </c>
      <c r="Q2963">
        <v>352</v>
      </c>
      <c r="S2963">
        <v>751</v>
      </c>
      <c r="T2963">
        <v>758</v>
      </c>
      <c r="U2963">
        <f>+SUM(Table1[[#This Row],[Latinos]:[Cemex]])</f>
        <v>1</v>
      </c>
      <c r="V2963" t="str">
        <f>+Table1[[#This Row],[id_destino]]&amp;" - "&amp;Table1[[#This Row],[id_origen]]</f>
        <v>738 - 79</v>
      </c>
    </row>
    <row r="2964" spans="1:22" hidden="1">
      <c r="A2964">
        <v>1459</v>
      </c>
      <c r="B2964">
        <v>2757</v>
      </c>
      <c r="C2964">
        <v>4246</v>
      </c>
      <c r="D2964">
        <v>5780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 t="s">
        <v>20</v>
      </c>
      <c r="L2964" s="1">
        <v>43449</v>
      </c>
      <c r="M2964">
        <v>764</v>
      </c>
      <c r="N2964">
        <v>79</v>
      </c>
      <c r="O2964">
        <v>236</v>
      </c>
      <c r="P2964">
        <v>261</v>
      </c>
      <c r="Q2964">
        <v>236</v>
      </c>
      <c r="S2964">
        <v>706</v>
      </c>
      <c r="T2964">
        <v>713</v>
      </c>
      <c r="U2964">
        <f>+SUM(Table1[[#This Row],[Latinos]:[Cemex]])</f>
        <v>1</v>
      </c>
      <c r="V2964" t="str">
        <f>+Table1[[#This Row],[id_destino]]&amp;" - "&amp;Table1[[#This Row],[id_origen]]</f>
        <v>764 - 79</v>
      </c>
    </row>
    <row r="2965" spans="1:22" hidden="1">
      <c r="A2965">
        <v>4695</v>
      </c>
      <c r="B2965">
        <v>4852</v>
      </c>
      <c r="C2965">
        <v>7722</v>
      </c>
      <c r="D2965">
        <v>8167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 t="s">
        <v>20</v>
      </c>
      <c r="L2965" s="1">
        <v>45734</v>
      </c>
      <c r="M2965">
        <v>778</v>
      </c>
      <c r="N2965">
        <v>79</v>
      </c>
      <c r="O2965">
        <v>168</v>
      </c>
      <c r="P2965">
        <v>164</v>
      </c>
      <c r="Q2965">
        <v>168</v>
      </c>
      <c r="S2965">
        <v>108</v>
      </c>
      <c r="T2965">
        <v>199</v>
      </c>
      <c r="U2965">
        <f>+SUM(Table1[[#This Row],[Latinos]:[Cemex]])</f>
        <v>1</v>
      </c>
      <c r="V2965" t="str">
        <f>+Table1[[#This Row],[id_destino]]&amp;" - "&amp;Table1[[#This Row],[id_origen]]</f>
        <v>778 - 79</v>
      </c>
    </row>
    <row r="2966" spans="1:22" hidden="1">
      <c r="A2966">
        <v>3472</v>
      </c>
      <c r="B2966">
        <v>4014</v>
      </c>
      <c r="C2966">
        <v>4234</v>
      </c>
      <c r="D2966">
        <v>6502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 t="s">
        <v>20</v>
      </c>
      <c r="L2966" s="1">
        <v>44910</v>
      </c>
      <c r="M2966">
        <v>824</v>
      </c>
      <c r="N2966">
        <v>79</v>
      </c>
      <c r="O2966">
        <v>633</v>
      </c>
      <c r="P2966">
        <v>610</v>
      </c>
      <c r="Q2966">
        <v>633</v>
      </c>
      <c r="S2966">
        <v>936</v>
      </c>
      <c r="T2966">
        <v>936</v>
      </c>
      <c r="U2966">
        <f>+SUM(Table1[[#This Row],[Latinos]:[Cemex]])</f>
        <v>1</v>
      </c>
      <c r="V2966" t="str">
        <f>+Table1[[#This Row],[id_destino]]&amp;" - "&amp;Table1[[#This Row],[id_origen]]</f>
        <v>824 - 79</v>
      </c>
    </row>
    <row r="2967" spans="1:22" hidden="1">
      <c r="A2967">
        <v>3466</v>
      </c>
      <c r="B2967">
        <v>4011</v>
      </c>
      <c r="C2967">
        <v>6871</v>
      </c>
      <c r="D2967">
        <v>7144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 t="s">
        <v>20</v>
      </c>
      <c r="L2967" s="1">
        <v>44908</v>
      </c>
      <c r="M2967">
        <v>865</v>
      </c>
      <c r="N2967">
        <v>79</v>
      </c>
      <c r="O2967">
        <v>371</v>
      </c>
      <c r="P2967">
        <v>326</v>
      </c>
      <c r="Q2967">
        <v>371</v>
      </c>
      <c r="S2967">
        <v>352</v>
      </c>
      <c r="T2967">
        <v>525</v>
      </c>
      <c r="U2967">
        <f>+SUM(Table1[[#This Row],[Latinos]:[Cemex]])</f>
        <v>1</v>
      </c>
      <c r="V2967" t="str">
        <f>+Table1[[#This Row],[id_destino]]&amp;" - "&amp;Table1[[#This Row],[id_origen]]</f>
        <v>865 - 79</v>
      </c>
    </row>
    <row r="2968" spans="1:22" hidden="1">
      <c r="A2968">
        <v>3479</v>
      </c>
      <c r="B2968">
        <v>4017</v>
      </c>
      <c r="C2968">
        <v>6943</v>
      </c>
      <c r="D2968">
        <v>7152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 t="s">
        <v>20</v>
      </c>
      <c r="L2968" s="1">
        <v>44916</v>
      </c>
      <c r="M2968">
        <v>866</v>
      </c>
      <c r="N2968">
        <v>79</v>
      </c>
      <c r="O2968">
        <v>1244</v>
      </c>
      <c r="P2968">
        <v>1171</v>
      </c>
      <c r="Q2968">
        <v>1244</v>
      </c>
      <c r="S2968">
        <v>1904</v>
      </c>
      <c r="T2968">
        <v>1987</v>
      </c>
      <c r="U2968">
        <f>+SUM(Table1[[#This Row],[Latinos]:[Cemex]])</f>
        <v>1</v>
      </c>
      <c r="V2968" t="str">
        <f>+Table1[[#This Row],[id_destino]]&amp;" - "&amp;Table1[[#This Row],[id_origen]]</f>
        <v>866 - 79</v>
      </c>
    </row>
    <row r="2969" spans="1:22" hidden="1">
      <c r="A2969">
        <v>3990</v>
      </c>
      <c r="B2969">
        <v>1639</v>
      </c>
      <c r="C2969">
        <v>146</v>
      </c>
      <c r="D2969">
        <v>15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 t="s">
        <v>20</v>
      </c>
      <c r="L2969" s="1">
        <v>45224</v>
      </c>
      <c r="M2969">
        <v>16</v>
      </c>
      <c r="N2969">
        <v>80</v>
      </c>
      <c r="O2969">
        <v>1476</v>
      </c>
      <c r="P2969">
        <v>1432</v>
      </c>
      <c r="Q2969">
        <v>1476</v>
      </c>
      <c r="S2969">
        <v>4245</v>
      </c>
      <c r="T2969">
        <v>4760</v>
      </c>
      <c r="U2969">
        <f>+SUM(Table1[[#This Row],[Latinos]:[Cemex]])</f>
        <v>1</v>
      </c>
      <c r="V2969" t="str">
        <f>+Table1[[#This Row],[id_destino]]&amp;" - "&amp;Table1[[#This Row],[id_origen]]</f>
        <v>16 - 80</v>
      </c>
    </row>
    <row r="2970" spans="1:22" hidden="1">
      <c r="A2970">
        <v>1796</v>
      </c>
      <c r="B2970">
        <v>2943</v>
      </c>
      <c r="C2970">
        <v>146</v>
      </c>
      <c r="D2970">
        <v>35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 t="s">
        <v>20</v>
      </c>
      <c r="L2970" s="1">
        <v>43636</v>
      </c>
      <c r="M2970">
        <v>31</v>
      </c>
      <c r="N2970">
        <v>80</v>
      </c>
      <c r="O2970">
        <v>1233</v>
      </c>
      <c r="P2970">
        <v>1234</v>
      </c>
      <c r="Q2970">
        <v>1233</v>
      </c>
      <c r="S2970">
        <v>6038</v>
      </c>
      <c r="T2970">
        <v>6131</v>
      </c>
      <c r="U2970">
        <f>+SUM(Table1[[#This Row],[Latinos]:[Cemex]])</f>
        <v>1</v>
      </c>
      <c r="V2970" t="str">
        <f>+Table1[[#This Row],[id_destino]]&amp;" - "&amp;Table1[[#This Row],[id_origen]]</f>
        <v>31 - 80</v>
      </c>
    </row>
    <row r="2971" spans="1:22" hidden="1">
      <c r="A2971">
        <v>998</v>
      </c>
      <c r="B2971">
        <v>2537</v>
      </c>
      <c r="C2971">
        <v>146</v>
      </c>
      <c r="D2971">
        <v>40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 t="s">
        <v>20</v>
      </c>
      <c r="L2971" s="1">
        <v>45712</v>
      </c>
      <c r="M2971">
        <v>34</v>
      </c>
      <c r="N2971">
        <v>80</v>
      </c>
      <c r="O2971">
        <v>986</v>
      </c>
      <c r="P2971">
        <v>986</v>
      </c>
      <c r="Q2971">
        <v>986</v>
      </c>
      <c r="S2971">
        <v>3171</v>
      </c>
      <c r="T2971">
        <v>3420</v>
      </c>
      <c r="U2971">
        <f>+SUM(Table1[[#This Row],[Latinos]:[Cemex]])</f>
        <v>1</v>
      </c>
      <c r="V2971" t="str">
        <f>+Table1[[#This Row],[id_destino]]&amp;" - "&amp;Table1[[#This Row],[id_origen]]</f>
        <v>34 - 80</v>
      </c>
    </row>
    <row r="2972" spans="1:22" hidden="1">
      <c r="A2972">
        <v>3791</v>
      </c>
      <c r="B2972">
        <v>4222</v>
      </c>
      <c r="C2972">
        <v>146</v>
      </c>
      <c r="D2972">
        <v>7382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0</v>
      </c>
      <c r="K2972" t="s">
        <v>20</v>
      </c>
      <c r="L2972" s="1">
        <v>45093</v>
      </c>
      <c r="M2972">
        <v>62</v>
      </c>
      <c r="N2972">
        <v>80</v>
      </c>
      <c r="O2972">
        <v>436</v>
      </c>
      <c r="P2972">
        <v>410</v>
      </c>
      <c r="Q2972">
        <v>436</v>
      </c>
      <c r="S2972">
        <v>1237</v>
      </c>
      <c r="T2972">
        <v>1237</v>
      </c>
      <c r="U2972">
        <f>+SUM(Table1[[#This Row],[Latinos]:[Cemex]])</f>
        <v>1</v>
      </c>
      <c r="V2972" t="str">
        <f>+Table1[[#This Row],[id_destino]]&amp;" - "&amp;Table1[[#This Row],[id_origen]]</f>
        <v>62 - 80</v>
      </c>
    </row>
    <row r="2973" spans="1:22" hidden="1">
      <c r="A2973">
        <v>1161</v>
      </c>
      <c r="B2973">
        <v>2608</v>
      </c>
      <c r="C2973">
        <v>146</v>
      </c>
      <c r="D2973">
        <v>5648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 t="s">
        <v>20</v>
      </c>
      <c r="L2973" s="1">
        <v>43323</v>
      </c>
      <c r="M2973">
        <v>169</v>
      </c>
      <c r="N2973">
        <v>80</v>
      </c>
      <c r="O2973">
        <v>375</v>
      </c>
      <c r="P2973">
        <v>379</v>
      </c>
      <c r="Q2973">
        <v>375</v>
      </c>
      <c r="S2973">
        <v>1037</v>
      </c>
      <c r="T2973">
        <v>1111</v>
      </c>
      <c r="U2973">
        <f>+SUM(Table1[[#This Row],[Latinos]:[Cemex]])</f>
        <v>1</v>
      </c>
      <c r="V2973" t="str">
        <f>+Table1[[#This Row],[id_destino]]&amp;" - "&amp;Table1[[#This Row],[id_origen]]</f>
        <v>169 - 80</v>
      </c>
    </row>
    <row r="2974" spans="1:22" hidden="1">
      <c r="A2974">
        <v>3918</v>
      </c>
      <c r="B2974">
        <v>4302</v>
      </c>
      <c r="C2974">
        <v>146</v>
      </c>
      <c r="D2974">
        <v>7403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0</v>
      </c>
      <c r="K2974" t="s">
        <v>20</v>
      </c>
      <c r="L2974" s="1">
        <v>45180</v>
      </c>
      <c r="M2974">
        <v>466</v>
      </c>
      <c r="N2974">
        <v>80</v>
      </c>
      <c r="O2974">
        <v>658</v>
      </c>
      <c r="P2974">
        <v>655</v>
      </c>
      <c r="Q2974">
        <v>658</v>
      </c>
      <c r="S2974">
        <v>3169</v>
      </c>
      <c r="T2974">
        <v>3262</v>
      </c>
      <c r="U2974">
        <f>+SUM(Table1[[#This Row],[Latinos]:[Cemex]])</f>
        <v>1</v>
      </c>
      <c r="V2974" t="str">
        <f>+Table1[[#This Row],[id_destino]]&amp;" - "&amp;Table1[[#This Row],[id_origen]]</f>
        <v>466 - 80</v>
      </c>
    </row>
    <row r="2975" spans="1:22" hidden="1">
      <c r="A2975">
        <v>299</v>
      </c>
      <c r="B2975">
        <v>392</v>
      </c>
      <c r="C2975">
        <v>210</v>
      </c>
      <c r="D2975">
        <v>469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 t="s">
        <v>20</v>
      </c>
      <c r="L2975" s="1">
        <v>45687</v>
      </c>
      <c r="M2975">
        <v>2</v>
      </c>
      <c r="N2975">
        <v>81</v>
      </c>
      <c r="O2975">
        <v>100</v>
      </c>
      <c r="P2975">
        <v>150</v>
      </c>
      <c r="Q2975">
        <v>100</v>
      </c>
      <c r="S2975">
        <v>333</v>
      </c>
      <c r="T2975">
        <v>333</v>
      </c>
      <c r="U2975">
        <f>+SUM(Table1[[#This Row],[Latinos]:[Cemex]])</f>
        <v>1</v>
      </c>
      <c r="V2975" t="str">
        <f>+Table1[[#This Row],[id_destino]]&amp;" - "&amp;Table1[[#This Row],[id_origen]]</f>
        <v>2 - 81</v>
      </c>
    </row>
    <row r="2976" spans="1:22" hidden="1">
      <c r="A2976">
        <v>3554</v>
      </c>
      <c r="B2976">
        <v>1721</v>
      </c>
      <c r="C2976">
        <v>7108</v>
      </c>
      <c r="D2976">
        <v>2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0</v>
      </c>
      <c r="K2976" t="s">
        <v>20</v>
      </c>
      <c r="L2976" s="1">
        <v>44954</v>
      </c>
      <c r="M2976">
        <v>4</v>
      </c>
      <c r="N2976">
        <v>81</v>
      </c>
      <c r="O2976">
        <v>728</v>
      </c>
      <c r="P2976">
        <v>718</v>
      </c>
      <c r="Q2976">
        <v>728</v>
      </c>
      <c r="S2976">
        <v>1789</v>
      </c>
      <c r="T2976">
        <v>1789</v>
      </c>
      <c r="U2976">
        <f>+SUM(Table1[[#This Row],[Latinos]:[Cemex]])</f>
        <v>1</v>
      </c>
      <c r="V2976" t="str">
        <f>+Table1[[#This Row],[id_destino]]&amp;" - "&amp;Table1[[#This Row],[id_origen]]</f>
        <v>4 - 81</v>
      </c>
    </row>
    <row r="2977" spans="1:22" hidden="1">
      <c r="A2977">
        <v>4285</v>
      </c>
      <c r="B2977">
        <v>1721</v>
      </c>
      <c r="C2977">
        <v>210</v>
      </c>
      <c r="D2977">
        <v>2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 t="s">
        <v>20</v>
      </c>
      <c r="L2977" s="1">
        <v>45427</v>
      </c>
      <c r="M2977">
        <v>4</v>
      </c>
      <c r="N2977">
        <v>81</v>
      </c>
      <c r="O2977">
        <v>705</v>
      </c>
      <c r="P2977">
        <v>737</v>
      </c>
      <c r="Q2977">
        <v>705</v>
      </c>
      <c r="S2977">
        <v>1842</v>
      </c>
      <c r="T2977">
        <v>1842</v>
      </c>
      <c r="U2977">
        <f>+SUM(Table1[[#This Row],[Latinos]:[Cemex]])</f>
        <v>1</v>
      </c>
      <c r="V2977" t="str">
        <f>+Table1[[#This Row],[id_destino]]&amp;" - "&amp;Table1[[#This Row],[id_origen]]</f>
        <v>4 - 81</v>
      </c>
    </row>
    <row r="2978" spans="1:22" hidden="1">
      <c r="A2978">
        <v>4046</v>
      </c>
      <c r="B2978">
        <v>4383</v>
      </c>
      <c r="C2978">
        <v>210</v>
      </c>
      <c r="D2978">
        <v>4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 t="s">
        <v>20</v>
      </c>
      <c r="L2978" s="1">
        <v>45248</v>
      </c>
      <c r="M2978">
        <v>6</v>
      </c>
      <c r="N2978">
        <v>81</v>
      </c>
      <c r="O2978">
        <v>1032</v>
      </c>
      <c r="P2978">
        <v>1022</v>
      </c>
      <c r="Q2978">
        <v>1032</v>
      </c>
      <c r="S2978">
        <v>2237</v>
      </c>
      <c r="T2978">
        <v>2320</v>
      </c>
      <c r="U2978">
        <f>+SUM(Table1[[#This Row],[Latinos]:[Cemex]])</f>
        <v>1</v>
      </c>
      <c r="V2978" t="str">
        <f>+Table1[[#This Row],[id_destino]]&amp;" - "&amp;Table1[[#This Row],[id_origen]]</f>
        <v>6 - 81</v>
      </c>
    </row>
    <row r="2979" spans="1:22" hidden="1">
      <c r="A2979">
        <v>275</v>
      </c>
      <c r="B2979">
        <v>923</v>
      </c>
      <c r="C2979">
        <v>210</v>
      </c>
      <c r="D2979">
        <v>4014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0</v>
      </c>
      <c r="K2979" t="s">
        <v>20</v>
      </c>
      <c r="L2979" s="1">
        <v>43028</v>
      </c>
      <c r="M2979">
        <v>7</v>
      </c>
      <c r="N2979">
        <v>81</v>
      </c>
      <c r="O2979">
        <v>1571</v>
      </c>
      <c r="P2979">
        <v>1501</v>
      </c>
      <c r="Q2979">
        <v>1571</v>
      </c>
      <c r="S2979">
        <v>2289</v>
      </c>
      <c r="T2979">
        <v>2721</v>
      </c>
      <c r="U2979">
        <f>+SUM(Table1[[#This Row],[Latinos]:[Cemex]])</f>
        <v>1</v>
      </c>
      <c r="V2979" t="str">
        <f>+Table1[[#This Row],[id_destino]]&amp;" - "&amp;Table1[[#This Row],[id_origen]]</f>
        <v>7 - 81</v>
      </c>
    </row>
    <row r="2980" spans="1:22" hidden="1">
      <c r="A2980">
        <v>1185</v>
      </c>
      <c r="B2980">
        <v>651</v>
      </c>
      <c r="C2980">
        <v>210</v>
      </c>
      <c r="D2980">
        <v>7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 t="s">
        <v>20</v>
      </c>
      <c r="L2980" s="1">
        <v>43334</v>
      </c>
      <c r="M2980">
        <v>9</v>
      </c>
      <c r="N2980">
        <v>81</v>
      </c>
      <c r="O2980">
        <v>1290</v>
      </c>
      <c r="P2980">
        <v>1194</v>
      </c>
      <c r="Q2980">
        <v>1290</v>
      </c>
      <c r="S2980">
        <v>2223</v>
      </c>
      <c r="T2980">
        <v>2306</v>
      </c>
      <c r="U2980">
        <f>+SUM(Table1[[#This Row],[Latinos]:[Cemex]])</f>
        <v>1</v>
      </c>
      <c r="V2980" t="str">
        <f>+Table1[[#This Row],[id_destino]]&amp;" - "&amp;Table1[[#This Row],[id_origen]]</f>
        <v>9 - 81</v>
      </c>
    </row>
    <row r="2981" spans="1:22" hidden="1">
      <c r="A2981">
        <v>2977</v>
      </c>
      <c r="B2981">
        <v>3695</v>
      </c>
      <c r="C2981">
        <v>3295</v>
      </c>
      <c r="D2981">
        <v>10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 t="s">
        <v>20</v>
      </c>
      <c r="L2981" s="1">
        <v>44659</v>
      </c>
      <c r="M2981">
        <v>12</v>
      </c>
      <c r="N2981">
        <v>81</v>
      </c>
      <c r="O2981">
        <v>604</v>
      </c>
      <c r="P2981">
        <v>602</v>
      </c>
      <c r="Q2981">
        <v>604</v>
      </c>
      <c r="S2981">
        <v>2505</v>
      </c>
      <c r="T2981">
        <v>2505</v>
      </c>
      <c r="U2981">
        <f>+SUM(Table1[[#This Row],[Latinos]:[Cemex]])</f>
        <v>1</v>
      </c>
      <c r="V2981" t="str">
        <f>+Table1[[#This Row],[id_destino]]&amp;" - "&amp;Table1[[#This Row],[id_origen]]</f>
        <v>12 - 81</v>
      </c>
    </row>
    <row r="2982" spans="1:22" hidden="1">
      <c r="A2982">
        <v>4778</v>
      </c>
      <c r="B2982">
        <v>4904</v>
      </c>
      <c r="C2982">
        <v>7806</v>
      </c>
      <c r="D2982">
        <v>8244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 t="s">
        <v>20</v>
      </c>
      <c r="L2982" s="1">
        <v>45819</v>
      </c>
      <c r="M2982">
        <v>15</v>
      </c>
      <c r="N2982">
        <v>81</v>
      </c>
      <c r="O2982">
        <v>1936</v>
      </c>
      <c r="P2982">
        <v>1901</v>
      </c>
      <c r="Q2982">
        <v>1936</v>
      </c>
      <c r="S2982">
        <v>5211</v>
      </c>
      <c r="T2982">
        <v>5872</v>
      </c>
      <c r="U2982">
        <f>+SUM(Table1[[#This Row],[Latinos]:[Cemex]])</f>
        <v>1</v>
      </c>
      <c r="V2982" t="str">
        <f>+Table1[[#This Row],[id_destino]]&amp;" - "&amp;Table1[[#This Row],[id_origen]]</f>
        <v>15 - 81</v>
      </c>
    </row>
    <row r="2983" spans="1:22" hidden="1">
      <c r="A2983">
        <v>1595</v>
      </c>
      <c r="B2983">
        <v>690</v>
      </c>
      <c r="C2983">
        <v>210</v>
      </c>
      <c r="D2983">
        <v>19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 t="s">
        <v>20</v>
      </c>
      <c r="L2983" s="1">
        <v>43523</v>
      </c>
      <c r="M2983">
        <v>18</v>
      </c>
      <c r="N2983">
        <v>81</v>
      </c>
      <c r="O2983">
        <v>199</v>
      </c>
      <c r="P2983">
        <v>199</v>
      </c>
      <c r="Q2983">
        <v>199</v>
      </c>
      <c r="S2983">
        <v>536</v>
      </c>
      <c r="T2983">
        <v>606</v>
      </c>
      <c r="U2983">
        <f>+SUM(Table1[[#This Row],[Latinos]:[Cemex]])</f>
        <v>1</v>
      </c>
      <c r="V2983" t="str">
        <f>+Table1[[#This Row],[id_destino]]&amp;" - "&amp;Table1[[#This Row],[id_origen]]</f>
        <v>18 - 81</v>
      </c>
    </row>
    <row r="2984" spans="1:22" hidden="1">
      <c r="A2984">
        <v>1592</v>
      </c>
      <c r="B2984">
        <v>2829</v>
      </c>
      <c r="C2984">
        <v>210</v>
      </c>
      <c r="D2984">
        <v>4401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  <c r="K2984" t="s">
        <v>20</v>
      </c>
      <c r="L2984" s="1">
        <v>43521</v>
      </c>
      <c r="M2984">
        <v>20</v>
      </c>
      <c r="N2984">
        <v>81</v>
      </c>
      <c r="O2984">
        <v>189</v>
      </c>
      <c r="P2984">
        <v>189</v>
      </c>
      <c r="Q2984">
        <v>189</v>
      </c>
      <c r="S2984">
        <v>536</v>
      </c>
      <c r="T2984">
        <v>606</v>
      </c>
      <c r="U2984">
        <f>+SUM(Table1[[#This Row],[Latinos]:[Cemex]])</f>
        <v>1</v>
      </c>
      <c r="V2984" t="str">
        <f>+Table1[[#This Row],[id_destino]]&amp;" - "&amp;Table1[[#This Row],[id_origen]]</f>
        <v>20 - 81</v>
      </c>
    </row>
    <row r="2985" spans="1:22" hidden="1">
      <c r="A2985">
        <v>390</v>
      </c>
      <c r="B2985">
        <v>520</v>
      </c>
      <c r="C2985">
        <v>210</v>
      </c>
      <c r="D2985">
        <v>4455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 t="s">
        <v>20</v>
      </c>
      <c r="L2985" s="1">
        <v>43054</v>
      </c>
      <c r="M2985">
        <v>23</v>
      </c>
      <c r="N2985">
        <v>81</v>
      </c>
      <c r="O2985">
        <v>641</v>
      </c>
      <c r="P2985">
        <v>641</v>
      </c>
      <c r="Q2985">
        <v>641</v>
      </c>
      <c r="S2985">
        <v>1973</v>
      </c>
      <c r="T2985">
        <v>1973</v>
      </c>
      <c r="U2985">
        <f>+SUM(Table1[[#This Row],[Latinos]:[Cemex]])</f>
        <v>1</v>
      </c>
      <c r="V2985" t="str">
        <f>+Table1[[#This Row],[id_destino]]&amp;" - "&amp;Table1[[#This Row],[id_origen]]</f>
        <v>23 - 81</v>
      </c>
    </row>
    <row r="2986" spans="1:22" hidden="1">
      <c r="A2986">
        <v>34</v>
      </c>
      <c r="B2986">
        <v>643</v>
      </c>
      <c r="C2986">
        <v>210</v>
      </c>
      <c r="D2986">
        <v>4768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 t="s">
        <v>20</v>
      </c>
      <c r="L2986" s="1">
        <v>44260</v>
      </c>
      <c r="M2986">
        <v>24</v>
      </c>
      <c r="N2986">
        <v>81</v>
      </c>
      <c r="O2986">
        <v>950</v>
      </c>
      <c r="P2986">
        <v>950</v>
      </c>
      <c r="Q2986">
        <v>950</v>
      </c>
      <c r="S2986">
        <v>2401.52</v>
      </c>
      <c r="T2986">
        <v>2401.52</v>
      </c>
      <c r="U2986">
        <f>+SUM(Table1[[#This Row],[Latinos]:[Cemex]])</f>
        <v>1</v>
      </c>
      <c r="V2986" t="str">
        <f>+Table1[[#This Row],[id_destino]]&amp;" - "&amp;Table1[[#This Row],[id_origen]]</f>
        <v>24 - 81</v>
      </c>
    </row>
    <row r="2987" spans="1:22" hidden="1">
      <c r="A2987">
        <v>4487</v>
      </c>
      <c r="B2987">
        <v>1290</v>
      </c>
      <c r="C2987">
        <v>210</v>
      </c>
      <c r="D2987">
        <v>4525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0</v>
      </c>
      <c r="K2987" t="s">
        <v>20</v>
      </c>
      <c r="L2987" s="1">
        <v>45676</v>
      </c>
      <c r="M2987">
        <v>26</v>
      </c>
      <c r="N2987">
        <v>81</v>
      </c>
      <c r="O2987">
        <v>665</v>
      </c>
      <c r="P2987">
        <v>669</v>
      </c>
      <c r="Q2987">
        <v>665</v>
      </c>
      <c r="S2987">
        <v>2838</v>
      </c>
      <c r="T2987">
        <v>2838</v>
      </c>
      <c r="U2987">
        <f>+SUM(Table1[[#This Row],[Latinos]:[Cemex]])</f>
        <v>1</v>
      </c>
      <c r="V2987" t="str">
        <f>+Table1[[#This Row],[id_destino]]&amp;" - "&amp;Table1[[#This Row],[id_origen]]</f>
        <v>26 - 81</v>
      </c>
    </row>
    <row r="2988" spans="1:22" hidden="1">
      <c r="A2988">
        <v>2926</v>
      </c>
      <c r="B2988">
        <v>3659</v>
      </c>
      <c r="C2988">
        <v>213</v>
      </c>
      <c r="D2988">
        <v>4543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 t="s">
        <v>20</v>
      </c>
      <c r="L2988" s="1">
        <v>44621</v>
      </c>
      <c r="M2988">
        <v>27</v>
      </c>
      <c r="N2988">
        <v>81</v>
      </c>
      <c r="O2988">
        <v>987</v>
      </c>
      <c r="P2988">
        <v>985</v>
      </c>
      <c r="Q2988">
        <v>985</v>
      </c>
      <c r="S2988">
        <v>2810</v>
      </c>
      <c r="T2988">
        <v>2810</v>
      </c>
      <c r="U2988">
        <f>+SUM(Table1[[#This Row],[Latinos]:[Cemex]])</f>
        <v>1</v>
      </c>
      <c r="V2988" t="str">
        <f>+Table1[[#This Row],[id_destino]]&amp;" - "&amp;Table1[[#This Row],[id_origen]]</f>
        <v>27 - 81</v>
      </c>
    </row>
    <row r="2989" spans="1:22" hidden="1">
      <c r="A2989">
        <v>1841</v>
      </c>
      <c r="B2989">
        <v>1044</v>
      </c>
      <c r="C2989">
        <v>210</v>
      </c>
      <c r="D2989">
        <v>5978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 t="s">
        <v>20</v>
      </c>
      <c r="L2989" s="1">
        <v>44742</v>
      </c>
      <c r="M2989">
        <v>30</v>
      </c>
      <c r="N2989">
        <v>81</v>
      </c>
      <c r="O2989">
        <v>1126</v>
      </c>
      <c r="P2989">
        <v>1126</v>
      </c>
      <c r="Q2989">
        <v>1126</v>
      </c>
      <c r="S2989">
        <v>4484.5600000000004</v>
      </c>
      <c r="T2989">
        <v>4484.5600000000004</v>
      </c>
      <c r="U2989">
        <f>+SUM(Table1[[#This Row],[Latinos]:[Cemex]])</f>
        <v>1</v>
      </c>
      <c r="V2989" t="str">
        <f>+Table1[[#This Row],[id_destino]]&amp;" - "&amp;Table1[[#This Row],[id_origen]]</f>
        <v>30 - 81</v>
      </c>
    </row>
    <row r="2990" spans="1:22" hidden="1">
      <c r="A2990">
        <v>2299</v>
      </c>
      <c r="B2990">
        <v>1044</v>
      </c>
      <c r="C2990">
        <v>210</v>
      </c>
      <c r="D2990">
        <v>34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0</v>
      </c>
      <c r="K2990" t="s">
        <v>20</v>
      </c>
      <c r="L2990" s="1">
        <v>43916</v>
      </c>
      <c r="M2990">
        <v>30</v>
      </c>
      <c r="N2990">
        <v>81</v>
      </c>
      <c r="O2990">
        <v>1140</v>
      </c>
      <c r="P2990">
        <v>1140</v>
      </c>
      <c r="Q2990">
        <v>1140</v>
      </c>
      <c r="S2990">
        <v>5425</v>
      </c>
      <c r="T2990">
        <v>5425</v>
      </c>
      <c r="U2990">
        <f>+SUM(Table1[[#This Row],[Latinos]:[Cemex]])</f>
        <v>1</v>
      </c>
      <c r="V2990" t="str">
        <f>+Table1[[#This Row],[id_destino]]&amp;" - "&amp;Table1[[#This Row],[id_origen]]</f>
        <v>30 - 81</v>
      </c>
    </row>
    <row r="2991" spans="1:22" hidden="1">
      <c r="A2991">
        <v>1230</v>
      </c>
      <c r="B2991">
        <v>492</v>
      </c>
      <c r="C2991">
        <v>210</v>
      </c>
      <c r="D2991">
        <v>35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 t="s">
        <v>20</v>
      </c>
      <c r="L2991" s="1">
        <v>43348</v>
      </c>
      <c r="M2991">
        <v>31</v>
      </c>
      <c r="N2991">
        <v>81</v>
      </c>
      <c r="O2991">
        <v>1342</v>
      </c>
      <c r="P2991">
        <v>1353</v>
      </c>
      <c r="Q2991">
        <v>1342</v>
      </c>
      <c r="S2991">
        <v>6058</v>
      </c>
      <c r="T2991">
        <v>6058</v>
      </c>
      <c r="U2991">
        <f>+SUM(Table1[[#This Row],[Latinos]:[Cemex]])</f>
        <v>1</v>
      </c>
      <c r="V2991" t="str">
        <f>+Table1[[#This Row],[id_destino]]&amp;" - "&amp;Table1[[#This Row],[id_origen]]</f>
        <v>31 - 81</v>
      </c>
    </row>
    <row r="2992" spans="1:22" hidden="1">
      <c r="A2992">
        <v>3310</v>
      </c>
      <c r="B2992">
        <v>1202</v>
      </c>
      <c r="C2992">
        <v>213</v>
      </c>
      <c r="D2992">
        <v>40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 t="s">
        <v>20</v>
      </c>
      <c r="L2992" s="1">
        <v>44825</v>
      </c>
      <c r="M2992">
        <v>34</v>
      </c>
      <c r="N2992">
        <v>81</v>
      </c>
      <c r="O2992">
        <v>1125</v>
      </c>
      <c r="P2992">
        <v>1096</v>
      </c>
      <c r="Q2992">
        <v>1125</v>
      </c>
      <c r="S2992">
        <v>3233</v>
      </c>
      <c r="T2992">
        <v>3389</v>
      </c>
      <c r="U2992">
        <f>+SUM(Table1[[#This Row],[Latinos]:[Cemex]])</f>
        <v>1</v>
      </c>
      <c r="V2992" t="str">
        <f>+Table1[[#This Row],[id_destino]]&amp;" - "&amp;Table1[[#This Row],[id_origen]]</f>
        <v>34 - 81</v>
      </c>
    </row>
    <row r="2993" spans="1:22" hidden="1">
      <c r="A2993">
        <v>253</v>
      </c>
      <c r="B2993">
        <v>329</v>
      </c>
      <c r="C2993">
        <v>210</v>
      </c>
      <c r="D2993">
        <v>3618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 t="s">
        <v>20</v>
      </c>
      <c r="L2993" s="1">
        <v>43125</v>
      </c>
      <c r="M2993">
        <v>35</v>
      </c>
      <c r="N2993">
        <v>81</v>
      </c>
      <c r="O2993">
        <v>301</v>
      </c>
      <c r="P2993">
        <v>301</v>
      </c>
      <c r="Q2993">
        <v>301</v>
      </c>
      <c r="S2993">
        <v>690</v>
      </c>
      <c r="T2993">
        <v>690</v>
      </c>
      <c r="U2993">
        <f>+SUM(Table1[[#This Row],[Latinos]:[Cemex]])</f>
        <v>1</v>
      </c>
      <c r="V2993" t="str">
        <f>+Table1[[#This Row],[id_destino]]&amp;" - "&amp;Table1[[#This Row],[id_origen]]</f>
        <v>35 - 81</v>
      </c>
    </row>
    <row r="2994" spans="1:22" hidden="1">
      <c r="A2994">
        <v>994</v>
      </c>
      <c r="B2994">
        <v>329</v>
      </c>
      <c r="C2994">
        <v>210</v>
      </c>
      <c r="D2994">
        <v>3618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 t="s">
        <v>20</v>
      </c>
      <c r="L2994" s="1">
        <v>43256</v>
      </c>
      <c r="M2994">
        <v>35</v>
      </c>
      <c r="N2994">
        <v>81</v>
      </c>
      <c r="O2994">
        <v>303</v>
      </c>
      <c r="P2994">
        <v>303</v>
      </c>
      <c r="Q2994">
        <v>303</v>
      </c>
      <c r="S2994">
        <v>634.48</v>
      </c>
      <c r="T2994">
        <v>634.48</v>
      </c>
      <c r="U2994">
        <f>+SUM(Table1[[#This Row],[Latinos]:[Cemex]])</f>
        <v>1</v>
      </c>
      <c r="V2994" t="str">
        <f>+Table1[[#This Row],[id_destino]]&amp;" - "&amp;Table1[[#This Row],[id_origen]]</f>
        <v>35 - 81</v>
      </c>
    </row>
    <row r="2995" spans="1:22" hidden="1">
      <c r="A2995">
        <v>4553</v>
      </c>
      <c r="B2995">
        <v>329</v>
      </c>
      <c r="C2995">
        <v>210</v>
      </c>
      <c r="D2995">
        <v>1319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 t="s">
        <v>20</v>
      </c>
      <c r="L2995" s="1">
        <v>45612</v>
      </c>
      <c r="M2995">
        <v>35</v>
      </c>
      <c r="N2995">
        <v>81</v>
      </c>
      <c r="O2995">
        <v>292</v>
      </c>
      <c r="P2995">
        <v>289</v>
      </c>
      <c r="Q2995">
        <v>292</v>
      </c>
      <c r="S2995">
        <v>854</v>
      </c>
      <c r="T2995">
        <v>854</v>
      </c>
      <c r="U2995">
        <f>+SUM(Table1[[#This Row],[Latinos]:[Cemex]])</f>
        <v>1</v>
      </c>
      <c r="V2995" t="str">
        <f>+Table1[[#This Row],[id_destino]]&amp;" - "&amp;Table1[[#This Row],[id_origen]]</f>
        <v>35 - 81</v>
      </c>
    </row>
    <row r="2996" spans="1:22" hidden="1">
      <c r="A2996">
        <v>809</v>
      </c>
      <c r="B2996">
        <v>1395</v>
      </c>
      <c r="C2996">
        <v>210</v>
      </c>
      <c r="D2996">
        <v>2355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 t="s">
        <v>20</v>
      </c>
      <c r="L2996" s="1">
        <v>43172</v>
      </c>
      <c r="M2996">
        <v>37</v>
      </c>
      <c r="N2996">
        <v>81</v>
      </c>
      <c r="O2996">
        <v>769</v>
      </c>
      <c r="P2996">
        <v>769</v>
      </c>
      <c r="Q2996">
        <v>769</v>
      </c>
      <c r="S2996">
        <v>1707.75</v>
      </c>
      <c r="T2996">
        <v>1707.75</v>
      </c>
      <c r="U2996">
        <f>+SUM(Table1[[#This Row],[Latinos]:[Cemex]])</f>
        <v>1</v>
      </c>
      <c r="V2996" t="str">
        <f>+Table1[[#This Row],[id_destino]]&amp;" - "&amp;Table1[[#This Row],[id_origen]]</f>
        <v>37 - 81</v>
      </c>
    </row>
    <row r="2997" spans="1:22" hidden="1">
      <c r="A2997">
        <v>752</v>
      </c>
      <c r="B2997">
        <v>2437</v>
      </c>
      <c r="C2997">
        <v>210</v>
      </c>
      <c r="D2997">
        <v>361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  <c r="K2997" t="s">
        <v>20</v>
      </c>
      <c r="L2997" s="1">
        <v>43152</v>
      </c>
      <c r="M2997">
        <v>43</v>
      </c>
      <c r="N2997">
        <v>81</v>
      </c>
      <c r="O2997">
        <v>498</v>
      </c>
      <c r="P2997">
        <v>498</v>
      </c>
      <c r="Q2997">
        <v>498</v>
      </c>
      <c r="S2997">
        <v>1127</v>
      </c>
      <c r="T2997">
        <v>1127</v>
      </c>
      <c r="U2997">
        <f>+SUM(Table1[[#This Row],[Latinos]:[Cemex]])</f>
        <v>1</v>
      </c>
      <c r="V2997" t="str">
        <f>+Table1[[#This Row],[id_destino]]&amp;" - "&amp;Table1[[#This Row],[id_origen]]</f>
        <v>43 - 81</v>
      </c>
    </row>
    <row r="2998" spans="1:22" hidden="1">
      <c r="A2998">
        <v>569</v>
      </c>
      <c r="B2998">
        <v>1582</v>
      </c>
      <c r="C2998">
        <v>210</v>
      </c>
      <c r="D2998">
        <v>2413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0</v>
      </c>
      <c r="K2998" t="s">
        <v>20</v>
      </c>
      <c r="L2998" s="1">
        <v>43104</v>
      </c>
      <c r="M2998">
        <v>47</v>
      </c>
      <c r="N2998">
        <v>81</v>
      </c>
      <c r="O2998">
        <v>192</v>
      </c>
      <c r="P2998">
        <v>192</v>
      </c>
      <c r="Q2998">
        <v>192</v>
      </c>
      <c r="S2998">
        <v>449</v>
      </c>
      <c r="T2998">
        <v>449</v>
      </c>
      <c r="U2998">
        <f>+SUM(Table1[[#This Row],[Latinos]:[Cemex]])</f>
        <v>1</v>
      </c>
      <c r="V2998" t="str">
        <f>+Table1[[#This Row],[id_destino]]&amp;" - "&amp;Table1[[#This Row],[id_origen]]</f>
        <v>47 - 81</v>
      </c>
    </row>
    <row r="2999" spans="1:22" hidden="1">
      <c r="A2999">
        <v>570</v>
      </c>
      <c r="B2999">
        <v>1582</v>
      </c>
      <c r="C2999">
        <v>210</v>
      </c>
      <c r="D2999">
        <v>2413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  <c r="K2999" t="s">
        <v>20</v>
      </c>
      <c r="L2999" s="1">
        <v>43104</v>
      </c>
      <c r="M2999">
        <v>47</v>
      </c>
      <c r="N2999">
        <v>81</v>
      </c>
      <c r="O2999">
        <v>192</v>
      </c>
      <c r="P2999">
        <v>192</v>
      </c>
      <c r="Q2999">
        <v>192</v>
      </c>
      <c r="S2999">
        <v>449</v>
      </c>
      <c r="T2999">
        <v>449</v>
      </c>
      <c r="U2999">
        <f>+SUM(Table1[[#This Row],[Latinos]:[Cemex]])</f>
        <v>1</v>
      </c>
      <c r="V2999" t="str">
        <f>+Table1[[#This Row],[id_destino]]&amp;" - "&amp;Table1[[#This Row],[id_origen]]</f>
        <v>47 - 81</v>
      </c>
    </row>
    <row r="3000" spans="1:22" hidden="1">
      <c r="A3000">
        <v>139</v>
      </c>
      <c r="B3000">
        <v>652</v>
      </c>
      <c r="C3000">
        <v>210</v>
      </c>
      <c r="D3000">
        <v>63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 t="s">
        <v>20</v>
      </c>
      <c r="L3000" s="1">
        <v>42999</v>
      </c>
      <c r="M3000">
        <v>55</v>
      </c>
      <c r="N3000">
        <v>81</v>
      </c>
      <c r="O3000">
        <v>140</v>
      </c>
      <c r="P3000">
        <v>140</v>
      </c>
      <c r="Q3000">
        <v>140</v>
      </c>
      <c r="S3000">
        <v>337</v>
      </c>
      <c r="T3000">
        <v>337</v>
      </c>
      <c r="U3000">
        <f>+SUM(Table1[[#This Row],[Latinos]:[Cemex]])</f>
        <v>1</v>
      </c>
      <c r="V3000" t="str">
        <f>+Table1[[#This Row],[id_destino]]&amp;" - "&amp;Table1[[#This Row],[id_origen]]</f>
        <v>55 - 81</v>
      </c>
    </row>
    <row r="3001" spans="1:22" hidden="1">
      <c r="A3001">
        <v>979</v>
      </c>
      <c r="B3001">
        <v>936</v>
      </c>
      <c r="C3001">
        <v>210</v>
      </c>
      <c r="D3001">
        <v>5567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0</v>
      </c>
      <c r="K3001" t="s">
        <v>20</v>
      </c>
      <c r="L3001" s="1">
        <v>43302</v>
      </c>
      <c r="M3001">
        <v>60</v>
      </c>
      <c r="N3001">
        <v>81</v>
      </c>
      <c r="O3001">
        <v>2952</v>
      </c>
      <c r="P3001">
        <v>2952</v>
      </c>
      <c r="Q3001">
        <v>2952</v>
      </c>
      <c r="S3001">
        <v>3946</v>
      </c>
      <c r="T3001">
        <v>3946</v>
      </c>
      <c r="U3001">
        <f>+SUM(Table1[[#This Row],[Latinos]:[Cemex]])</f>
        <v>1</v>
      </c>
      <c r="V3001" t="str">
        <f>+Table1[[#This Row],[id_destino]]&amp;" - "&amp;Table1[[#This Row],[id_origen]]</f>
        <v>60 - 81</v>
      </c>
    </row>
    <row r="3002" spans="1:22" hidden="1">
      <c r="A3002">
        <v>3067</v>
      </c>
      <c r="B3002">
        <v>369</v>
      </c>
      <c r="C3002">
        <v>3295</v>
      </c>
      <c r="D3002">
        <v>6914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 t="s">
        <v>20</v>
      </c>
      <c r="L3002" s="1">
        <v>44713</v>
      </c>
      <c r="M3002">
        <v>61</v>
      </c>
      <c r="N3002">
        <v>81</v>
      </c>
      <c r="O3002">
        <v>2735</v>
      </c>
      <c r="P3002">
        <v>2698</v>
      </c>
      <c r="Q3002">
        <v>2735</v>
      </c>
      <c r="S3002">
        <v>5563</v>
      </c>
      <c r="T3002">
        <v>5649</v>
      </c>
      <c r="U3002">
        <f>+SUM(Table1[[#This Row],[Latinos]:[Cemex]])</f>
        <v>1</v>
      </c>
      <c r="V3002" t="str">
        <f>+Table1[[#This Row],[id_destino]]&amp;" - "&amp;Table1[[#This Row],[id_origen]]</f>
        <v>61 - 81</v>
      </c>
    </row>
    <row r="3003" spans="1:22" hidden="1">
      <c r="A3003">
        <v>1224</v>
      </c>
      <c r="B3003">
        <v>796</v>
      </c>
      <c r="C3003">
        <v>213</v>
      </c>
      <c r="D3003">
        <v>5679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0</v>
      </c>
      <c r="K3003" t="s">
        <v>20</v>
      </c>
      <c r="L3003" s="1">
        <v>43347</v>
      </c>
      <c r="M3003">
        <v>62</v>
      </c>
      <c r="N3003">
        <v>81</v>
      </c>
      <c r="O3003">
        <v>524</v>
      </c>
      <c r="P3003">
        <v>524</v>
      </c>
      <c r="Q3003">
        <v>524</v>
      </c>
      <c r="S3003">
        <v>77</v>
      </c>
      <c r="T3003">
        <v>77</v>
      </c>
      <c r="U3003">
        <f>+SUM(Table1[[#This Row],[Latinos]:[Cemex]])</f>
        <v>1</v>
      </c>
      <c r="V3003" t="str">
        <f>+Table1[[#This Row],[id_destino]]&amp;" - "&amp;Table1[[#This Row],[id_origen]]</f>
        <v>62 - 81</v>
      </c>
    </row>
    <row r="3004" spans="1:22" hidden="1">
      <c r="A3004">
        <v>4326</v>
      </c>
      <c r="B3004">
        <v>1316</v>
      </c>
      <c r="C3004">
        <v>7806</v>
      </c>
      <c r="D3004">
        <v>7807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 t="s">
        <v>20</v>
      </c>
      <c r="L3004" s="1">
        <v>45460</v>
      </c>
      <c r="M3004">
        <v>65</v>
      </c>
      <c r="N3004">
        <v>81</v>
      </c>
      <c r="O3004">
        <v>14</v>
      </c>
      <c r="P3004">
        <v>150</v>
      </c>
      <c r="Q3004">
        <v>14</v>
      </c>
      <c r="S3004">
        <v>0</v>
      </c>
      <c r="T3004">
        <v>0</v>
      </c>
      <c r="U3004">
        <f>+SUM(Table1[[#This Row],[Latinos]:[Cemex]])</f>
        <v>1</v>
      </c>
      <c r="V3004" t="str">
        <f>+Table1[[#This Row],[id_destino]]&amp;" - "&amp;Table1[[#This Row],[id_origen]]</f>
        <v>65 - 81</v>
      </c>
    </row>
    <row r="3005" spans="1:22" hidden="1">
      <c r="A3005">
        <v>1890</v>
      </c>
      <c r="B3005">
        <v>3000</v>
      </c>
      <c r="C3005">
        <v>210</v>
      </c>
      <c r="D3005">
        <v>4293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 t="s">
        <v>20</v>
      </c>
      <c r="L3005" s="1">
        <v>43696</v>
      </c>
      <c r="M3005">
        <v>83</v>
      </c>
      <c r="N3005">
        <v>81</v>
      </c>
      <c r="O3005">
        <v>1040</v>
      </c>
      <c r="P3005">
        <v>1026</v>
      </c>
      <c r="Q3005">
        <v>1040</v>
      </c>
      <c r="S3005">
        <v>2349</v>
      </c>
      <c r="T3005">
        <v>2349</v>
      </c>
      <c r="U3005">
        <f>+SUM(Table1[[#This Row],[Latinos]:[Cemex]])</f>
        <v>1</v>
      </c>
      <c r="V3005" t="str">
        <f>+Table1[[#This Row],[id_destino]]&amp;" - "&amp;Table1[[#This Row],[id_origen]]</f>
        <v>83 - 81</v>
      </c>
    </row>
    <row r="3006" spans="1:22" hidden="1">
      <c r="A3006">
        <v>116</v>
      </c>
      <c r="B3006">
        <v>2149</v>
      </c>
      <c r="C3006">
        <v>210</v>
      </c>
      <c r="D3006">
        <v>4024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 t="s">
        <v>20</v>
      </c>
      <c r="L3006" s="1">
        <v>43649</v>
      </c>
      <c r="M3006">
        <v>95</v>
      </c>
      <c r="N3006">
        <v>81</v>
      </c>
      <c r="O3006">
        <v>1042</v>
      </c>
      <c r="P3006">
        <v>1034</v>
      </c>
      <c r="Q3006">
        <v>1042</v>
      </c>
      <c r="S3006">
        <v>1326</v>
      </c>
      <c r="T3006">
        <v>1326</v>
      </c>
      <c r="U3006">
        <f>+SUM(Table1[[#This Row],[Latinos]:[Cemex]])</f>
        <v>1</v>
      </c>
      <c r="V3006" t="str">
        <f>+Table1[[#This Row],[id_destino]]&amp;" - "&amp;Table1[[#This Row],[id_origen]]</f>
        <v>95 - 81</v>
      </c>
    </row>
    <row r="3007" spans="1:22" hidden="1">
      <c r="A3007">
        <v>280</v>
      </c>
      <c r="B3007">
        <v>42</v>
      </c>
      <c r="C3007">
        <v>210</v>
      </c>
      <c r="D3007">
        <v>268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 t="s">
        <v>20</v>
      </c>
      <c r="L3007" s="1">
        <v>45211</v>
      </c>
      <c r="M3007">
        <v>99</v>
      </c>
      <c r="N3007">
        <v>81</v>
      </c>
      <c r="O3007">
        <v>1085</v>
      </c>
      <c r="P3007">
        <v>1067</v>
      </c>
      <c r="Q3007">
        <v>1085</v>
      </c>
      <c r="S3007">
        <v>2171</v>
      </c>
      <c r="T3007">
        <v>2171</v>
      </c>
      <c r="U3007">
        <f>+SUM(Table1[[#This Row],[Latinos]:[Cemex]])</f>
        <v>1</v>
      </c>
      <c r="V3007" t="str">
        <f>+Table1[[#This Row],[id_destino]]&amp;" - "&amp;Table1[[#This Row],[id_origen]]</f>
        <v>99 - 81</v>
      </c>
    </row>
    <row r="3008" spans="1:22" hidden="1">
      <c r="A3008">
        <v>287</v>
      </c>
      <c r="B3008">
        <v>42</v>
      </c>
      <c r="C3008">
        <v>210</v>
      </c>
      <c r="D3008">
        <v>268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 t="s">
        <v>20</v>
      </c>
      <c r="L3008" s="1">
        <v>45191</v>
      </c>
      <c r="M3008">
        <v>99</v>
      </c>
      <c r="N3008">
        <v>81</v>
      </c>
      <c r="O3008">
        <v>1082</v>
      </c>
      <c r="P3008">
        <v>1080</v>
      </c>
      <c r="Q3008">
        <v>1082</v>
      </c>
      <c r="S3008">
        <v>2171</v>
      </c>
      <c r="T3008">
        <v>2171</v>
      </c>
      <c r="U3008">
        <f>+SUM(Table1[[#This Row],[Latinos]:[Cemex]])</f>
        <v>1</v>
      </c>
      <c r="V3008" t="str">
        <f>+Table1[[#This Row],[id_destino]]&amp;" - "&amp;Table1[[#This Row],[id_origen]]</f>
        <v>99 - 81</v>
      </c>
    </row>
    <row r="3009" spans="1:22" hidden="1">
      <c r="A3009">
        <v>1343</v>
      </c>
      <c r="B3009">
        <v>42</v>
      </c>
      <c r="C3009">
        <v>210</v>
      </c>
      <c r="D3009">
        <v>268</v>
      </c>
      <c r="E3009">
        <v>1</v>
      </c>
      <c r="F3009">
        <v>0</v>
      </c>
      <c r="G3009">
        <v>0</v>
      </c>
      <c r="H3009">
        <v>0</v>
      </c>
      <c r="I3009">
        <v>1</v>
      </c>
      <c r="J3009">
        <v>0</v>
      </c>
      <c r="K3009" t="s">
        <v>20</v>
      </c>
      <c r="L3009" s="1">
        <v>44606</v>
      </c>
      <c r="M3009">
        <v>99</v>
      </c>
      <c r="N3009">
        <v>81</v>
      </c>
      <c r="O3009">
        <v>1079</v>
      </c>
      <c r="P3009">
        <v>1067</v>
      </c>
      <c r="Q3009">
        <v>1079</v>
      </c>
      <c r="S3009">
        <v>2243.44</v>
      </c>
      <c r="T3009">
        <v>2243.44</v>
      </c>
      <c r="U3009">
        <f>+SUM(Table1[[#This Row],[Latinos]:[Cemex]])</f>
        <v>2</v>
      </c>
      <c r="V3009" t="str">
        <f>+Table1[[#This Row],[id_destino]]&amp;" - "&amp;Table1[[#This Row],[id_origen]]</f>
        <v>99 - 81</v>
      </c>
    </row>
    <row r="3010" spans="1:22" hidden="1">
      <c r="A3010">
        <v>188</v>
      </c>
      <c r="B3010">
        <v>31</v>
      </c>
      <c r="C3010">
        <v>210</v>
      </c>
      <c r="D3010">
        <v>1555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 t="s">
        <v>20</v>
      </c>
      <c r="L3010" s="1">
        <v>45246</v>
      </c>
      <c r="M3010">
        <v>107</v>
      </c>
      <c r="N3010">
        <v>81</v>
      </c>
      <c r="O3010">
        <v>533</v>
      </c>
      <c r="P3010">
        <v>533</v>
      </c>
      <c r="Q3010">
        <v>533</v>
      </c>
      <c r="S3010">
        <v>1959</v>
      </c>
      <c r="T3010">
        <v>2156</v>
      </c>
      <c r="U3010">
        <f>+SUM(Table1[[#This Row],[Latinos]:[Cemex]])</f>
        <v>1</v>
      </c>
      <c r="V3010" t="str">
        <f>+Table1[[#This Row],[id_destino]]&amp;" - "&amp;Table1[[#This Row],[id_origen]]</f>
        <v>107 - 81</v>
      </c>
    </row>
    <row r="3011" spans="1:22" hidden="1">
      <c r="A3011">
        <v>2322</v>
      </c>
      <c r="B3011">
        <v>31</v>
      </c>
      <c r="C3011">
        <v>210</v>
      </c>
      <c r="D3011">
        <v>1366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 t="s">
        <v>20</v>
      </c>
      <c r="L3011" s="1">
        <v>43941</v>
      </c>
      <c r="M3011">
        <v>107</v>
      </c>
      <c r="N3011">
        <v>81</v>
      </c>
      <c r="O3011">
        <v>515</v>
      </c>
      <c r="P3011">
        <v>517</v>
      </c>
      <c r="Q3011">
        <v>515</v>
      </c>
      <c r="S3011">
        <v>867</v>
      </c>
      <c r="T3011">
        <v>964</v>
      </c>
      <c r="U3011">
        <f>+SUM(Table1[[#This Row],[Latinos]:[Cemex]])</f>
        <v>1</v>
      </c>
      <c r="V3011" t="str">
        <f>+Table1[[#This Row],[id_destino]]&amp;" - "&amp;Table1[[#This Row],[id_origen]]</f>
        <v>107 - 81</v>
      </c>
    </row>
    <row r="3012" spans="1:22" hidden="1">
      <c r="A3012">
        <v>28</v>
      </c>
      <c r="B3012">
        <v>2221</v>
      </c>
      <c r="C3012">
        <v>3295</v>
      </c>
      <c r="D3012">
        <v>4607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 t="s">
        <v>20</v>
      </c>
      <c r="L3012" s="1">
        <v>42996</v>
      </c>
      <c r="M3012">
        <v>117</v>
      </c>
      <c r="N3012">
        <v>81</v>
      </c>
      <c r="O3012">
        <v>142</v>
      </c>
      <c r="P3012">
        <v>150</v>
      </c>
      <c r="Q3012">
        <v>145</v>
      </c>
      <c r="S3012">
        <v>233</v>
      </c>
      <c r="T3012">
        <v>350</v>
      </c>
      <c r="U3012">
        <f>+SUM(Table1[[#This Row],[Latinos]:[Cemex]])</f>
        <v>1</v>
      </c>
      <c r="V3012" t="str">
        <f>+Table1[[#This Row],[id_destino]]&amp;" - "&amp;Table1[[#This Row],[id_origen]]</f>
        <v>117 - 81</v>
      </c>
    </row>
    <row r="3013" spans="1:22" hidden="1">
      <c r="A3013">
        <v>1810</v>
      </c>
      <c r="B3013">
        <v>2949</v>
      </c>
      <c r="C3013">
        <v>210</v>
      </c>
      <c r="D3013">
        <v>5951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0</v>
      </c>
      <c r="K3013" t="s">
        <v>20</v>
      </c>
      <c r="L3013" s="1">
        <v>43641</v>
      </c>
      <c r="M3013">
        <v>134</v>
      </c>
      <c r="N3013">
        <v>81</v>
      </c>
      <c r="O3013">
        <v>973</v>
      </c>
      <c r="P3013">
        <v>1012</v>
      </c>
      <c r="Q3013">
        <v>973</v>
      </c>
      <c r="S3013">
        <v>1087</v>
      </c>
      <c r="T3013">
        <v>1087</v>
      </c>
      <c r="U3013">
        <f>+SUM(Table1[[#This Row],[Latinos]:[Cemex]])</f>
        <v>1</v>
      </c>
      <c r="V3013" t="str">
        <f>+Table1[[#This Row],[id_destino]]&amp;" - "&amp;Table1[[#This Row],[id_origen]]</f>
        <v>134 - 81</v>
      </c>
    </row>
    <row r="3014" spans="1:22" hidden="1">
      <c r="A3014">
        <v>1019</v>
      </c>
      <c r="B3014">
        <v>2549</v>
      </c>
      <c r="C3014">
        <v>3295</v>
      </c>
      <c r="D3014">
        <v>5585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 t="s">
        <v>20</v>
      </c>
      <c r="L3014" s="1">
        <v>43251</v>
      </c>
      <c r="M3014">
        <v>142</v>
      </c>
      <c r="N3014">
        <v>81</v>
      </c>
      <c r="O3014">
        <v>213</v>
      </c>
      <c r="P3014">
        <v>227</v>
      </c>
      <c r="Q3014">
        <v>213</v>
      </c>
      <c r="S3014">
        <v>374</v>
      </c>
      <c r="T3014">
        <v>439</v>
      </c>
      <c r="U3014">
        <f>+SUM(Table1[[#This Row],[Latinos]:[Cemex]])</f>
        <v>1</v>
      </c>
      <c r="V3014" t="str">
        <f>+Table1[[#This Row],[id_destino]]&amp;" - "&amp;Table1[[#This Row],[id_origen]]</f>
        <v>142 - 81</v>
      </c>
    </row>
    <row r="3015" spans="1:22" hidden="1">
      <c r="A3015">
        <v>4249</v>
      </c>
      <c r="B3015">
        <v>4521</v>
      </c>
      <c r="C3015">
        <v>210</v>
      </c>
      <c r="D3015">
        <v>7448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 t="s">
        <v>20</v>
      </c>
      <c r="L3015" s="1">
        <v>45399</v>
      </c>
      <c r="M3015">
        <v>144</v>
      </c>
      <c r="N3015">
        <v>81</v>
      </c>
      <c r="O3015">
        <v>282</v>
      </c>
      <c r="P3015">
        <v>285</v>
      </c>
      <c r="Q3015">
        <v>282</v>
      </c>
      <c r="S3015">
        <v>1163</v>
      </c>
      <c r="T3015">
        <v>1163</v>
      </c>
      <c r="U3015">
        <f>+SUM(Table1[[#This Row],[Latinos]:[Cemex]])</f>
        <v>1</v>
      </c>
      <c r="V3015" t="str">
        <f>+Table1[[#This Row],[id_destino]]&amp;" - "&amp;Table1[[#This Row],[id_origen]]</f>
        <v>144 - 81</v>
      </c>
    </row>
    <row r="3016" spans="1:22" hidden="1">
      <c r="A3016">
        <v>2975</v>
      </c>
      <c r="B3016">
        <v>3694</v>
      </c>
      <c r="C3016">
        <v>213</v>
      </c>
      <c r="D3016">
        <v>6847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 t="s">
        <v>20</v>
      </c>
      <c r="L3016" s="1">
        <v>44658</v>
      </c>
      <c r="M3016">
        <v>145</v>
      </c>
      <c r="N3016">
        <v>81</v>
      </c>
      <c r="O3016">
        <v>864</v>
      </c>
      <c r="P3016">
        <v>861</v>
      </c>
      <c r="Q3016">
        <v>864</v>
      </c>
      <c r="S3016">
        <v>3814</v>
      </c>
      <c r="T3016">
        <v>3814</v>
      </c>
      <c r="U3016">
        <f>+SUM(Table1[[#This Row],[Latinos]:[Cemex]])</f>
        <v>1</v>
      </c>
      <c r="V3016" t="str">
        <f>+Table1[[#This Row],[id_destino]]&amp;" - "&amp;Table1[[#This Row],[id_origen]]</f>
        <v>145 - 81</v>
      </c>
    </row>
    <row r="3017" spans="1:22" hidden="1">
      <c r="A3017">
        <v>1456</v>
      </c>
      <c r="B3017">
        <v>330</v>
      </c>
      <c r="C3017">
        <v>210</v>
      </c>
      <c r="D3017">
        <v>5778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</v>
      </c>
      <c r="K3017" t="s">
        <v>20</v>
      </c>
      <c r="L3017" s="1">
        <v>43446</v>
      </c>
      <c r="M3017">
        <v>169</v>
      </c>
      <c r="N3017">
        <v>81</v>
      </c>
      <c r="O3017">
        <v>497</v>
      </c>
      <c r="P3017">
        <v>491</v>
      </c>
      <c r="Q3017">
        <v>497</v>
      </c>
      <c r="S3017">
        <v>2010</v>
      </c>
      <c r="T3017">
        <v>2010</v>
      </c>
      <c r="U3017">
        <f>+SUM(Table1[[#This Row],[Latinos]:[Cemex]])</f>
        <v>1</v>
      </c>
      <c r="V3017" t="str">
        <f>+Table1[[#This Row],[id_destino]]&amp;" - "&amp;Table1[[#This Row],[id_origen]]</f>
        <v>169 - 81</v>
      </c>
    </row>
    <row r="3018" spans="1:22" hidden="1">
      <c r="A3018">
        <v>1553</v>
      </c>
      <c r="B3018">
        <v>361</v>
      </c>
      <c r="C3018">
        <v>210</v>
      </c>
      <c r="D3018">
        <v>24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  <c r="K3018" t="s">
        <v>20</v>
      </c>
      <c r="L3018" s="1">
        <v>43971</v>
      </c>
      <c r="M3018">
        <v>179</v>
      </c>
      <c r="N3018">
        <v>81</v>
      </c>
      <c r="O3018">
        <v>2013</v>
      </c>
      <c r="P3018">
        <v>2012</v>
      </c>
      <c r="Q3018">
        <v>2013</v>
      </c>
      <c r="S3018">
        <v>7683</v>
      </c>
      <c r="T3018">
        <v>7796</v>
      </c>
      <c r="U3018">
        <f>+SUM(Table1[[#This Row],[Latinos]:[Cemex]])</f>
        <v>1</v>
      </c>
      <c r="V3018" t="str">
        <f>+Table1[[#This Row],[id_destino]]&amp;" - "&amp;Table1[[#This Row],[id_origen]]</f>
        <v>179 - 81</v>
      </c>
    </row>
    <row r="3019" spans="1:22" hidden="1">
      <c r="A3019">
        <v>169</v>
      </c>
      <c r="B3019">
        <v>208</v>
      </c>
      <c r="C3019">
        <v>210</v>
      </c>
      <c r="D3019">
        <v>3032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 t="s">
        <v>20</v>
      </c>
      <c r="L3019" s="1">
        <v>43004</v>
      </c>
      <c r="M3019">
        <v>189</v>
      </c>
      <c r="N3019">
        <v>81</v>
      </c>
      <c r="O3019">
        <v>1315</v>
      </c>
      <c r="P3019">
        <v>1334</v>
      </c>
      <c r="Q3019">
        <v>1315</v>
      </c>
      <c r="S3019">
        <v>6636</v>
      </c>
      <c r="T3019">
        <v>5416</v>
      </c>
      <c r="U3019">
        <f>+SUM(Table1[[#This Row],[Latinos]:[Cemex]])</f>
        <v>1</v>
      </c>
      <c r="V3019" t="str">
        <f>+Table1[[#This Row],[id_destino]]&amp;" - "&amp;Table1[[#This Row],[id_origen]]</f>
        <v>189 - 81</v>
      </c>
    </row>
    <row r="3020" spans="1:22" hidden="1">
      <c r="A3020">
        <v>211</v>
      </c>
      <c r="B3020">
        <v>208</v>
      </c>
      <c r="C3020">
        <v>210</v>
      </c>
      <c r="D3020">
        <v>3032</v>
      </c>
      <c r="E3020">
        <v>0</v>
      </c>
      <c r="F3020">
        <v>1</v>
      </c>
      <c r="G3020">
        <v>0</v>
      </c>
      <c r="H3020">
        <v>0</v>
      </c>
      <c r="I3020">
        <v>1</v>
      </c>
      <c r="J3020">
        <v>0</v>
      </c>
      <c r="K3020" t="s">
        <v>26</v>
      </c>
      <c r="L3020" s="1">
        <v>43013</v>
      </c>
      <c r="M3020">
        <v>189</v>
      </c>
      <c r="N3020">
        <v>81</v>
      </c>
      <c r="O3020">
        <v>1741</v>
      </c>
      <c r="P3020">
        <v>1741</v>
      </c>
      <c r="Q3020">
        <v>1741</v>
      </c>
      <c r="S3020">
        <v>3825</v>
      </c>
      <c r="T3020">
        <v>3899</v>
      </c>
      <c r="U3020">
        <f>+SUM(Table1[[#This Row],[Latinos]:[Cemex]])</f>
        <v>2</v>
      </c>
      <c r="V3020" t="str">
        <f>+Table1[[#This Row],[id_destino]]&amp;" - "&amp;Table1[[#This Row],[id_origen]]</f>
        <v>189 - 81</v>
      </c>
    </row>
    <row r="3021" spans="1:22" hidden="1">
      <c r="A3021">
        <v>1555</v>
      </c>
      <c r="B3021">
        <v>2807</v>
      </c>
      <c r="C3021">
        <v>213</v>
      </c>
      <c r="D3021">
        <v>5796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 t="s">
        <v>20</v>
      </c>
      <c r="L3021" s="1">
        <v>43503</v>
      </c>
      <c r="M3021">
        <v>200</v>
      </c>
      <c r="N3021">
        <v>81</v>
      </c>
      <c r="O3021">
        <v>671</v>
      </c>
      <c r="P3021">
        <v>652</v>
      </c>
      <c r="Q3021">
        <v>671</v>
      </c>
      <c r="S3021">
        <v>1915</v>
      </c>
      <c r="T3021">
        <v>1915</v>
      </c>
      <c r="U3021">
        <f>+SUM(Table1[[#This Row],[Latinos]:[Cemex]])</f>
        <v>1</v>
      </c>
      <c r="V3021" t="str">
        <f>+Table1[[#This Row],[id_destino]]&amp;" - "&amp;Table1[[#This Row],[id_origen]]</f>
        <v>200 - 81</v>
      </c>
    </row>
    <row r="3022" spans="1:22" hidden="1">
      <c r="A3022">
        <v>1556</v>
      </c>
      <c r="B3022">
        <v>2807</v>
      </c>
      <c r="C3022">
        <v>213</v>
      </c>
      <c r="D3022">
        <v>5796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  <c r="K3022" t="s">
        <v>20</v>
      </c>
      <c r="L3022" s="1">
        <v>43504</v>
      </c>
      <c r="M3022">
        <v>200</v>
      </c>
      <c r="N3022">
        <v>81</v>
      </c>
      <c r="O3022">
        <v>671</v>
      </c>
      <c r="P3022">
        <v>652</v>
      </c>
      <c r="Q3022">
        <v>671</v>
      </c>
      <c r="S3022">
        <v>1915</v>
      </c>
      <c r="T3022">
        <v>1915</v>
      </c>
      <c r="U3022">
        <f>+SUM(Table1[[#This Row],[Latinos]:[Cemex]])</f>
        <v>1</v>
      </c>
      <c r="V3022" t="str">
        <f>+Table1[[#This Row],[id_destino]]&amp;" - "&amp;Table1[[#This Row],[id_origen]]</f>
        <v>200 - 81</v>
      </c>
    </row>
    <row r="3023" spans="1:22" hidden="1">
      <c r="A3023">
        <v>3794</v>
      </c>
      <c r="B3023">
        <v>4223</v>
      </c>
      <c r="C3023">
        <v>3295</v>
      </c>
      <c r="D3023">
        <v>7388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0</v>
      </c>
      <c r="K3023" t="s">
        <v>20</v>
      </c>
      <c r="L3023" s="1">
        <v>45096</v>
      </c>
      <c r="M3023">
        <v>225</v>
      </c>
      <c r="N3023">
        <v>81</v>
      </c>
      <c r="O3023">
        <v>1428</v>
      </c>
      <c r="P3023">
        <v>1435</v>
      </c>
      <c r="Q3023">
        <v>1428</v>
      </c>
      <c r="S3023">
        <v>1655</v>
      </c>
      <c r="T3023">
        <v>1655</v>
      </c>
      <c r="U3023">
        <f>+SUM(Table1[[#This Row],[Latinos]:[Cemex]])</f>
        <v>1</v>
      </c>
      <c r="V3023" t="str">
        <f>+Table1[[#This Row],[id_destino]]&amp;" - "&amp;Table1[[#This Row],[id_origen]]</f>
        <v>225 - 81</v>
      </c>
    </row>
    <row r="3024" spans="1:22" hidden="1">
      <c r="A3024">
        <v>4796</v>
      </c>
      <c r="B3024">
        <v>4914</v>
      </c>
      <c r="C3024">
        <v>7617</v>
      </c>
      <c r="D3024">
        <v>7876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  <c r="K3024" t="s">
        <v>20</v>
      </c>
      <c r="L3024" s="1">
        <v>45834</v>
      </c>
      <c r="M3024">
        <v>233</v>
      </c>
      <c r="N3024">
        <v>81</v>
      </c>
      <c r="O3024">
        <v>84</v>
      </c>
      <c r="P3024">
        <v>84</v>
      </c>
      <c r="Q3024">
        <v>100</v>
      </c>
      <c r="S3024">
        <v>357</v>
      </c>
      <c r="T3024">
        <v>357</v>
      </c>
      <c r="U3024">
        <f>+SUM(Table1[[#This Row],[Latinos]:[Cemex]])</f>
        <v>1</v>
      </c>
      <c r="V3024" t="str">
        <f>+Table1[[#This Row],[id_destino]]&amp;" - "&amp;Table1[[#This Row],[id_origen]]</f>
        <v>233 - 81</v>
      </c>
    </row>
    <row r="3025" spans="1:22" hidden="1">
      <c r="A3025">
        <v>1872</v>
      </c>
      <c r="B3025">
        <v>2986</v>
      </c>
      <c r="C3025">
        <v>210</v>
      </c>
      <c r="D3025">
        <v>33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 t="s">
        <v>20</v>
      </c>
      <c r="L3025" s="1">
        <v>44811</v>
      </c>
      <c r="M3025">
        <v>260</v>
      </c>
      <c r="N3025">
        <v>81</v>
      </c>
      <c r="O3025">
        <v>1559</v>
      </c>
      <c r="P3025">
        <v>1536</v>
      </c>
      <c r="Q3025">
        <v>1559</v>
      </c>
      <c r="S3025">
        <v>6457</v>
      </c>
      <c r="T3025">
        <v>6555</v>
      </c>
      <c r="U3025">
        <f>+SUM(Table1[[#This Row],[Latinos]:[Cemex]])</f>
        <v>1</v>
      </c>
      <c r="V3025" t="str">
        <f>+Table1[[#This Row],[id_destino]]&amp;" - "&amp;Table1[[#This Row],[id_origen]]</f>
        <v>260 - 81</v>
      </c>
    </row>
    <row r="3026" spans="1:22" hidden="1">
      <c r="A3026">
        <v>2172</v>
      </c>
      <c r="B3026">
        <v>3183</v>
      </c>
      <c r="C3026">
        <v>210</v>
      </c>
      <c r="D3026">
        <v>6233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 t="s">
        <v>20</v>
      </c>
      <c r="L3026" s="1">
        <v>43839</v>
      </c>
      <c r="M3026">
        <v>264</v>
      </c>
      <c r="N3026">
        <v>81</v>
      </c>
      <c r="O3026">
        <v>57</v>
      </c>
      <c r="P3026">
        <v>150</v>
      </c>
      <c r="Q3026">
        <v>57</v>
      </c>
      <c r="S3026">
        <v>0</v>
      </c>
      <c r="T3026">
        <v>0</v>
      </c>
      <c r="U3026">
        <f>+SUM(Table1[[#This Row],[Latinos]:[Cemex]])</f>
        <v>1</v>
      </c>
      <c r="V3026" t="str">
        <f>+Table1[[#This Row],[id_destino]]&amp;" - "&amp;Table1[[#This Row],[id_origen]]</f>
        <v>264 - 81</v>
      </c>
    </row>
    <row r="3027" spans="1:22" hidden="1">
      <c r="A3027">
        <v>4339</v>
      </c>
      <c r="B3027">
        <v>4580</v>
      </c>
      <c r="C3027">
        <v>213</v>
      </c>
      <c r="D3027">
        <v>7830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  <c r="K3027" t="s">
        <v>20</v>
      </c>
      <c r="L3027" s="1">
        <v>45479</v>
      </c>
      <c r="M3027">
        <v>321</v>
      </c>
      <c r="N3027">
        <v>81</v>
      </c>
      <c r="O3027">
        <v>242</v>
      </c>
      <c r="P3027">
        <v>244</v>
      </c>
      <c r="Q3027">
        <v>242</v>
      </c>
      <c r="S3027">
        <v>128</v>
      </c>
      <c r="T3027">
        <v>128</v>
      </c>
      <c r="U3027">
        <f>+SUM(Table1[[#This Row],[Latinos]:[Cemex]])</f>
        <v>1</v>
      </c>
      <c r="V3027" t="str">
        <f>+Table1[[#This Row],[id_destino]]&amp;" - "&amp;Table1[[#This Row],[id_origen]]</f>
        <v>321 - 81</v>
      </c>
    </row>
    <row r="3028" spans="1:22" hidden="1">
      <c r="A3028">
        <v>1545</v>
      </c>
      <c r="B3028">
        <v>1647</v>
      </c>
      <c r="C3028">
        <v>210</v>
      </c>
      <c r="D3028">
        <v>5378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 t="s">
        <v>20</v>
      </c>
      <c r="L3028" s="1">
        <v>43501</v>
      </c>
      <c r="M3028">
        <v>345</v>
      </c>
      <c r="N3028">
        <v>81</v>
      </c>
      <c r="O3028">
        <v>116</v>
      </c>
      <c r="P3028">
        <v>116</v>
      </c>
      <c r="Q3028">
        <v>150</v>
      </c>
      <c r="S3028">
        <v>323</v>
      </c>
      <c r="T3028">
        <v>323</v>
      </c>
      <c r="U3028">
        <f>+SUM(Table1[[#This Row],[Latinos]:[Cemex]])</f>
        <v>1</v>
      </c>
      <c r="V3028" t="str">
        <f>+Table1[[#This Row],[id_destino]]&amp;" - "&amp;Table1[[#This Row],[id_origen]]</f>
        <v>345 - 81</v>
      </c>
    </row>
    <row r="3029" spans="1:22" hidden="1">
      <c r="A3029">
        <v>3813</v>
      </c>
      <c r="B3029">
        <v>4234</v>
      </c>
      <c r="C3029">
        <v>210</v>
      </c>
      <c r="D3029">
        <v>6289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 t="s">
        <v>20</v>
      </c>
      <c r="L3029" s="1">
        <v>45107</v>
      </c>
      <c r="M3029">
        <v>379</v>
      </c>
      <c r="N3029">
        <v>81</v>
      </c>
      <c r="O3029">
        <v>1033</v>
      </c>
      <c r="P3029">
        <v>992</v>
      </c>
      <c r="Q3029">
        <v>1033</v>
      </c>
      <c r="S3029">
        <v>1826</v>
      </c>
      <c r="T3029">
        <v>1826</v>
      </c>
      <c r="U3029">
        <f>+SUM(Table1[[#This Row],[Latinos]:[Cemex]])</f>
        <v>1</v>
      </c>
      <c r="V3029" t="str">
        <f>+Table1[[#This Row],[id_destino]]&amp;" - "&amp;Table1[[#This Row],[id_origen]]</f>
        <v>379 - 81</v>
      </c>
    </row>
    <row r="3030" spans="1:22" hidden="1">
      <c r="A3030">
        <v>2890</v>
      </c>
      <c r="B3030">
        <v>955</v>
      </c>
      <c r="C3030">
        <v>213</v>
      </c>
      <c r="D3030">
        <v>6773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 t="s">
        <v>20</v>
      </c>
      <c r="L3030" s="1">
        <v>44606</v>
      </c>
      <c r="M3030">
        <v>614</v>
      </c>
      <c r="N3030">
        <v>81</v>
      </c>
      <c r="O3030">
        <v>858</v>
      </c>
      <c r="P3030">
        <v>850</v>
      </c>
      <c r="Q3030">
        <v>858</v>
      </c>
      <c r="S3030">
        <v>3648</v>
      </c>
      <c r="T3030">
        <v>3648</v>
      </c>
      <c r="U3030">
        <f>+SUM(Table1[[#This Row],[Latinos]:[Cemex]])</f>
        <v>1</v>
      </c>
      <c r="V3030" t="str">
        <f>+Table1[[#This Row],[id_destino]]&amp;" - "&amp;Table1[[#This Row],[id_origen]]</f>
        <v>614 - 81</v>
      </c>
    </row>
    <row r="3031" spans="1:22" hidden="1">
      <c r="A3031">
        <v>971</v>
      </c>
      <c r="B3031">
        <v>1829</v>
      </c>
      <c r="C3031">
        <v>3295</v>
      </c>
      <c r="D3031">
        <v>4901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 t="s">
        <v>20</v>
      </c>
      <c r="L3031" s="1">
        <v>43235</v>
      </c>
      <c r="M3031">
        <v>672</v>
      </c>
      <c r="N3031">
        <v>81</v>
      </c>
      <c r="O3031">
        <v>358</v>
      </c>
      <c r="P3031">
        <v>359</v>
      </c>
      <c r="Q3031">
        <v>358</v>
      </c>
      <c r="S3031">
        <v>867</v>
      </c>
      <c r="T3031">
        <v>867</v>
      </c>
      <c r="U3031">
        <f>+SUM(Table1[[#This Row],[Latinos]:[Cemex]])</f>
        <v>1</v>
      </c>
      <c r="V3031" t="str">
        <f>+Table1[[#This Row],[id_destino]]&amp;" - "&amp;Table1[[#This Row],[id_origen]]</f>
        <v>672 - 81</v>
      </c>
    </row>
    <row r="3032" spans="1:22" hidden="1">
      <c r="A3032">
        <v>1439</v>
      </c>
      <c r="B3032">
        <v>2748</v>
      </c>
      <c r="C3032">
        <v>210</v>
      </c>
      <c r="D3032">
        <v>5766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0</v>
      </c>
      <c r="K3032" t="s">
        <v>20</v>
      </c>
      <c r="L3032" s="1">
        <v>43434</v>
      </c>
      <c r="M3032">
        <v>690</v>
      </c>
      <c r="N3032">
        <v>81</v>
      </c>
      <c r="O3032">
        <v>1599</v>
      </c>
      <c r="P3032">
        <v>1486</v>
      </c>
      <c r="Q3032">
        <v>1599</v>
      </c>
      <c r="S3032">
        <v>3279</v>
      </c>
      <c r="T3032">
        <v>3814</v>
      </c>
      <c r="U3032">
        <f>+SUM(Table1[[#This Row],[Latinos]:[Cemex]])</f>
        <v>1</v>
      </c>
      <c r="V3032" t="str">
        <f>+Table1[[#This Row],[id_destino]]&amp;" - "&amp;Table1[[#This Row],[id_origen]]</f>
        <v>690 - 81</v>
      </c>
    </row>
    <row r="3033" spans="1:22" hidden="1">
      <c r="A3033">
        <v>1071</v>
      </c>
      <c r="B3033">
        <v>2570</v>
      </c>
      <c r="C3033">
        <v>213</v>
      </c>
      <c r="D3033">
        <v>5611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  <c r="K3033" t="s">
        <v>20</v>
      </c>
      <c r="L3033" s="1">
        <v>43274</v>
      </c>
      <c r="M3033">
        <v>750</v>
      </c>
      <c r="N3033">
        <v>81</v>
      </c>
      <c r="O3033">
        <v>156</v>
      </c>
      <c r="P3033">
        <v>156</v>
      </c>
      <c r="Q3033">
        <v>156</v>
      </c>
      <c r="S3033">
        <v>398</v>
      </c>
      <c r="T3033">
        <v>398</v>
      </c>
      <c r="U3033">
        <f>+SUM(Table1[[#This Row],[Latinos]:[Cemex]])</f>
        <v>1</v>
      </c>
      <c r="V3033" t="str">
        <f>+Table1[[#This Row],[id_destino]]&amp;" - "&amp;Table1[[#This Row],[id_origen]]</f>
        <v>750 - 81</v>
      </c>
    </row>
    <row r="3034" spans="1:22" hidden="1">
      <c r="A3034">
        <v>2839</v>
      </c>
      <c r="B3034">
        <v>3600</v>
      </c>
      <c r="C3034">
        <v>3295</v>
      </c>
      <c r="D3034">
        <v>6727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 t="s">
        <v>20</v>
      </c>
      <c r="L3034" s="1">
        <v>44522</v>
      </c>
      <c r="M3034">
        <v>837</v>
      </c>
      <c r="N3034">
        <v>81</v>
      </c>
      <c r="O3034">
        <v>533</v>
      </c>
      <c r="P3034">
        <v>541</v>
      </c>
      <c r="Q3034">
        <v>533</v>
      </c>
      <c r="S3034">
        <v>1915</v>
      </c>
      <c r="T3034">
        <v>1915</v>
      </c>
      <c r="U3034">
        <f>+SUM(Table1[[#This Row],[Latinos]:[Cemex]])</f>
        <v>1</v>
      </c>
      <c r="V3034" t="str">
        <f>+Table1[[#This Row],[id_destino]]&amp;" - "&amp;Table1[[#This Row],[id_origen]]</f>
        <v>837 - 81</v>
      </c>
    </row>
    <row r="3035" spans="1:22" hidden="1">
      <c r="A3035">
        <v>4779</v>
      </c>
      <c r="B3035">
        <v>4902</v>
      </c>
      <c r="C3035">
        <v>213</v>
      </c>
      <c r="D3035">
        <v>8202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 t="s">
        <v>20</v>
      </c>
      <c r="L3035" s="1">
        <v>45816</v>
      </c>
      <c r="M3035">
        <v>929</v>
      </c>
      <c r="N3035">
        <v>81</v>
      </c>
      <c r="O3035">
        <v>565</v>
      </c>
      <c r="P3035">
        <v>564</v>
      </c>
      <c r="Q3035">
        <v>565</v>
      </c>
      <c r="S3035">
        <v>557</v>
      </c>
      <c r="T3035">
        <v>557</v>
      </c>
      <c r="U3035">
        <f>+SUM(Table1[[#This Row],[Latinos]:[Cemex]])</f>
        <v>1</v>
      </c>
      <c r="V3035" t="str">
        <f>+Table1[[#This Row],[id_destino]]&amp;" - "&amp;Table1[[#This Row],[id_origen]]</f>
        <v>929 - 81</v>
      </c>
    </row>
    <row r="3036" spans="1:22" hidden="1">
      <c r="A3036">
        <v>3692</v>
      </c>
      <c r="B3036">
        <v>4167</v>
      </c>
      <c r="C3036">
        <v>7316</v>
      </c>
      <c r="D3036">
        <v>3984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0</v>
      </c>
      <c r="K3036" t="s">
        <v>20</v>
      </c>
      <c r="L3036" s="1">
        <v>45033</v>
      </c>
      <c r="M3036">
        <v>59</v>
      </c>
      <c r="N3036">
        <v>82</v>
      </c>
      <c r="O3036">
        <v>220</v>
      </c>
      <c r="P3036">
        <v>222</v>
      </c>
      <c r="Q3036">
        <v>220</v>
      </c>
      <c r="S3036">
        <v>725</v>
      </c>
      <c r="T3036">
        <v>725</v>
      </c>
      <c r="U3036">
        <f>+SUM(Table1[[#This Row],[Latinos]:[Cemex]])</f>
        <v>1</v>
      </c>
      <c r="V3036" t="str">
        <f>+Table1[[#This Row],[id_destino]]&amp;" - "&amp;Table1[[#This Row],[id_origen]]</f>
        <v>59 - 82</v>
      </c>
    </row>
    <row r="3037" spans="1:22" hidden="1">
      <c r="A3037">
        <v>4714</v>
      </c>
      <c r="B3037">
        <v>4865</v>
      </c>
      <c r="C3037">
        <v>7316</v>
      </c>
      <c r="D3037">
        <v>4607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 t="s">
        <v>20</v>
      </c>
      <c r="L3037" s="1">
        <v>45751</v>
      </c>
      <c r="M3037">
        <v>117</v>
      </c>
      <c r="N3037">
        <v>82</v>
      </c>
      <c r="O3037">
        <v>120</v>
      </c>
      <c r="P3037">
        <v>150</v>
      </c>
      <c r="Q3037">
        <v>120</v>
      </c>
      <c r="S3037">
        <v>378</v>
      </c>
      <c r="T3037">
        <v>378</v>
      </c>
      <c r="U3037">
        <f>+SUM(Table1[[#This Row],[Latinos]:[Cemex]])</f>
        <v>1</v>
      </c>
      <c r="V3037" t="str">
        <f>+Table1[[#This Row],[id_destino]]&amp;" - "&amp;Table1[[#This Row],[id_origen]]</f>
        <v>117 - 82</v>
      </c>
    </row>
    <row r="3038" spans="1:22" hidden="1">
      <c r="A3038">
        <v>487</v>
      </c>
      <c r="B3038">
        <v>2316</v>
      </c>
      <c r="C3038">
        <v>5285</v>
      </c>
      <c r="D3038">
        <v>394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  <c r="K3038" t="s">
        <v>20</v>
      </c>
      <c r="L3038" s="1">
        <v>43078</v>
      </c>
      <c r="M3038">
        <v>1</v>
      </c>
      <c r="N3038">
        <v>83</v>
      </c>
      <c r="O3038">
        <v>50</v>
      </c>
      <c r="P3038">
        <v>150</v>
      </c>
      <c r="Q3038">
        <v>50</v>
      </c>
      <c r="S3038">
        <v>0</v>
      </c>
      <c r="T3038">
        <v>0</v>
      </c>
      <c r="U3038">
        <f>+SUM(Table1[[#This Row],[Latinos]:[Cemex]])</f>
        <v>1</v>
      </c>
      <c r="V3038" t="str">
        <f>+Table1[[#This Row],[id_destino]]&amp;" - "&amp;Table1[[#This Row],[id_origen]]</f>
        <v>1 - 83</v>
      </c>
    </row>
    <row r="3039" spans="1:22" hidden="1">
      <c r="A3039">
        <v>4114</v>
      </c>
      <c r="B3039">
        <v>2316</v>
      </c>
      <c r="C3039">
        <v>4293</v>
      </c>
      <c r="D3039">
        <v>5835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0</v>
      </c>
      <c r="K3039" t="s">
        <v>20</v>
      </c>
      <c r="L3039" s="1">
        <v>45299</v>
      </c>
      <c r="M3039">
        <v>1</v>
      </c>
      <c r="N3039">
        <v>83</v>
      </c>
      <c r="O3039">
        <v>20</v>
      </c>
      <c r="P3039">
        <v>150</v>
      </c>
      <c r="Q3039">
        <v>20</v>
      </c>
      <c r="S3039">
        <v>0</v>
      </c>
      <c r="T3039">
        <v>0</v>
      </c>
      <c r="U3039">
        <f>+SUM(Table1[[#This Row],[Latinos]:[Cemex]])</f>
        <v>1</v>
      </c>
      <c r="V3039" t="str">
        <f>+Table1[[#This Row],[id_destino]]&amp;" - "&amp;Table1[[#This Row],[id_origen]]</f>
        <v>1 - 83</v>
      </c>
    </row>
    <row r="3040" spans="1:22" hidden="1">
      <c r="A3040">
        <v>1813</v>
      </c>
      <c r="B3040">
        <v>2951</v>
      </c>
      <c r="C3040">
        <v>5661</v>
      </c>
      <c r="D3040">
        <v>822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  <c r="K3040" t="s">
        <v>20</v>
      </c>
      <c r="L3040" s="1">
        <v>43644</v>
      </c>
      <c r="M3040">
        <v>20</v>
      </c>
      <c r="N3040">
        <v>83</v>
      </c>
      <c r="O3040">
        <v>888</v>
      </c>
      <c r="P3040">
        <v>888</v>
      </c>
      <c r="Q3040">
        <v>888</v>
      </c>
      <c r="S3040">
        <v>0</v>
      </c>
      <c r="T3040">
        <v>0</v>
      </c>
      <c r="U3040">
        <f>+SUM(Table1[[#This Row],[Latinos]:[Cemex]])</f>
        <v>1</v>
      </c>
      <c r="V3040" t="str">
        <f>+Table1[[#This Row],[id_destino]]&amp;" - "&amp;Table1[[#This Row],[id_origen]]</f>
        <v>20 - 83</v>
      </c>
    </row>
    <row r="3041" spans="1:22" hidden="1">
      <c r="A3041">
        <v>3797</v>
      </c>
      <c r="B3041">
        <v>2131</v>
      </c>
      <c r="C3041">
        <v>4730</v>
      </c>
      <c r="D3041">
        <v>4455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</v>
      </c>
      <c r="K3041" t="s">
        <v>20</v>
      </c>
      <c r="L3041" s="1">
        <v>45098</v>
      </c>
      <c r="M3041">
        <v>23</v>
      </c>
      <c r="N3041">
        <v>83</v>
      </c>
      <c r="O3041">
        <v>861</v>
      </c>
      <c r="P3041">
        <v>782</v>
      </c>
      <c r="Q3041">
        <v>861</v>
      </c>
      <c r="S3041">
        <v>1625</v>
      </c>
      <c r="T3041">
        <v>1663</v>
      </c>
      <c r="U3041">
        <f>+SUM(Table1[[#This Row],[Latinos]:[Cemex]])</f>
        <v>1</v>
      </c>
      <c r="V3041" t="str">
        <f>+Table1[[#This Row],[id_destino]]&amp;" - "&amp;Table1[[#This Row],[id_origen]]</f>
        <v>23 - 83</v>
      </c>
    </row>
    <row r="3042" spans="1:22" hidden="1">
      <c r="A3042">
        <v>3812</v>
      </c>
      <c r="B3042">
        <v>2131</v>
      </c>
      <c r="C3042">
        <v>7399</v>
      </c>
      <c r="D3042">
        <v>7344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  <c r="K3042" t="s">
        <v>20</v>
      </c>
      <c r="L3042" s="1">
        <v>45107</v>
      </c>
      <c r="M3042">
        <v>23</v>
      </c>
      <c r="N3042">
        <v>83</v>
      </c>
      <c r="O3042">
        <v>0</v>
      </c>
      <c r="P3042">
        <v>150</v>
      </c>
      <c r="Q3042">
        <v>0</v>
      </c>
      <c r="S3042">
        <v>0</v>
      </c>
      <c r="T3042">
        <v>0</v>
      </c>
      <c r="U3042">
        <f>+SUM(Table1[[#This Row],[Latinos]:[Cemex]])</f>
        <v>1</v>
      </c>
      <c r="V3042" t="str">
        <f>+Table1[[#This Row],[id_destino]]&amp;" - "&amp;Table1[[#This Row],[id_origen]]</f>
        <v>23 - 83</v>
      </c>
    </row>
    <row r="3043" spans="1:22" hidden="1">
      <c r="A3043">
        <v>3431</v>
      </c>
      <c r="B3043">
        <v>3984</v>
      </c>
      <c r="C3043">
        <v>4730</v>
      </c>
      <c r="D3043">
        <v>34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 t="s">
        <v>20</v>
      </c>
      <c r="L3043" s="1">
        <v>44889</v>
      </c>
      <c r="M3043">
        <v>30</v>
      </c>
      <c r="N3043">
        <v>83</v>
      </c>
      <c r="O3043">
        <v>866</v>
      </c>
      <c r="P3043">
        <v>840</v>
      </c>
      <c r="Q3043">
        <v>866</v>
      </c>
      <c r="S3043">
        <v>3809</v>
      </c>
      <c r="T3043">
        <v>4239</v>
      </c>
      <c r="U3043">
        <f>+SUM(Table1[[#This Row],[Latinos]:[Cemex]])</f>
        <v>1</v>
      </c>
      <c r="V3043" t="str">
        <f>+Table1[[#This Row],[id_destino]]&amp;" - "&amp;Table1[[#This Row],[id_origen]]</f>
        <v>30 - 83</v>
      </c>
    </row>
    <row r="3044" spans="1:22" hidden="1">
      <c r="A3044">
        <v>2047</v>
      </c>
      <c r="B3044">
        <v>3101</v>
      </c>
      <c r="C3044">
        <v>4730</v>
      </c>
      <c r="D3044">
        <v>35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 t="s">
        <v>20</v>
      </c>
      <c r="L3044" s="1">
        <v>43783</v>
      </c>
      <c r="M3044">
        <v>31</v>
      </c>
      <c r="N3044">
        <v>83</v>
      </c>
      <c r="O3044">
        <v>1065</v>
      </c>
      <c r="P3044">
        <v>1065</v>
      </c>
      <c r="Q3044">
        <v>1065</v>
      </c>
      <c r="S3044">
        <v>3389</v>
      </c>
      <c r="T3044">
        <v>3737</v>
      </c>
      <c r="U3044">
        <f>+SUM(Table1[[#This Row],[Latinos]:[Cemex]])</f>
        <v>1</v>
      </c>
      <c r="V3044" t="str">
        <f>+Table1[[#This Row],[id_destino]]&amp;" - "&amp;Table1[[#This Row],[id_origen]]</f>
        <v>31 - 83</v>
      </c>
    </row>
    <row r="3045" spans="1:22" hidden="1">
      <c r="A3045">
        <v>154</v>
      </c>
      <c r="B3045">
        <v>2233</v>
      </c>
      <c r="C3045">
        <v>5285</v>
      </c>
      <c r="D3045">
        <v>5292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 t="s">
        <v>20</v>
      </c>
      <c r="L3045" s="1">
        <v>43003</v>
      </c>
      <c r="M3045">
        <v>34</v>
      </c>
      <c r="N3045">
        <v>83</v>
      </c>
      <c r="O3045">
        <v>353</v>
      </c>
      <c r="P3045">
        <v>377</v>
      </c>
      <c r="Q3045">
        <v>353</v>
      </c>
      <c r="S3045">
        <v>0</v>
      </c>
      <c r="T3045">
        <v>0</v>
      </c>
      <c r="U3045">
        <f>+SUM(Table1[[#This Row],[Latinos]:[Cemex]])</f>
        <v>1</v>
      </c>
      <c r="V3045" t="str">
        <f>+Table1[[#This Row],[id_destino]]&amp;" - "&amp;Table1[[#This Row],[id_origen]]</f>
        <v>34 - 83</v>
      </c>
    </row>
    <row r="3046" spans="1:22" hidden="1">
      <c r="A3046">
        <v>2524</v>
      </c>
      <c r="B3046">
        <v>3078</v>
      </c>
      <c r="C3046">
        <v>4293</v>
      </c>
      <c r="D3046">
        <v>3458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 t="s">
        <v>20</v>
      </c>
      <c r="L3046" s="1">
        <v>44152</v>
      </c>
      <c r="M3046">
        <v>53</v>
      </c>
      <c r="N3046">
        <v>83</v>
      </c>
      <c r="O3046">
        <v>217</v>
      </c>
      <c r="P3046">
        <v>217</v>
      </c>
      <c r="Q3046">
        <v>217</v>
      </c>
      <c r="S3046">
        <v>362</v>
      </c>
      <c r="T3046">
        <v>362</v>
      </c>
      <c r="U3046">
        <f>+SUM(Table1[[#This Row],[Latinos]:[Cemex]])</f>
        <v>1</v>
      </c>
      <c r="V3046" t="str">
        <f>+Table1[[#This Row],[id_destino]]&amp;" - "&amp;Table1[[#This Row],[id_origen]]</f>
        <v>53 - 83</v>
      </c>
    </row>
    <row r="3047" spans="1:22" hidden="1">
      <c r="A3047">
        <v>1661</v>
      </c>
      <c r="B3047">
        <v>2371</v>
      </c>
      <c r="C3047">
        <v>3563</v>
      </c>
      <c r="D3047">
        <v>5863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 t="s">
        <v>20</v>
      </c>
      <c r="L3047" s="1">
        <v>43553</v>
      </c>
      <c r="M3047">
        <v>54</v>
      </c>
      <c r="N3047">
        <v>83</v>
      </c>
      <c r="O3047">
        <v>109</v>
      </c>
      <c r="P3047">
        <v>150</v>
      </c>
      <c r="Q3047">
        <v>109</v>
      </c>
      <c r="S3047">
        <v>257</v>
      </c>
      <c r="T3047">
        <v>257</v>
      </c>
      <c r="U3047">
        <f>+SUM(Table1[[#This Row],[Latinos]:[Cemex]])</f>
        <v>1</v>
      </c>
      <c r="V3047" t="str">
        <f>+Table1[[#This Row],[id_destino]]&amp;" - "&amp;Table1[[#This Row],[id_origen]]</f>
        <v>54 - 83</v>
      </c>
    </row>
    <row r="3048" spans="1:22" hidden="1">
      <c r="A3048">
        <v>1474</v>
      </c>
      <c r="B3048">
        <v>838</v>
      </c>
      <c r="C3048">
        <v>5785</v>
      </c>
      <c r="D3048">
        <v>3984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0</v>
      </c>
      <c r="K3048" t="s">
        <v>20</v>
      </c>
      <c r="L3048" s="1">
        <v>43455</v>
      </c>
      <c r="M3048">
        <v>59</v>
      </c>
      <c r="N3048">
        <v>83</v>
      </c>
      <c r="O3048">
        <v>1310</v>
      </c>
      <c r="P3048">
        <v>1292</v>
      </c>
      <c r="Q3048">
        <v>1310</v>
      </c>
      <c r="S3048">
        <v>2136</v>
      </c>
      <c r="T3048">
        <v>2136</v>
      </c>
      <c r="U3048">
        <f>+SUM(Table1[[#This Row],[Latinos]:[Cemex]])</f>
        <v>1</v>
      </c>
      <c r="V3048" t="str">
        <f>+Table1[[#This Row],[id_destino]]&amp;" - "&amp;Table1[[#This Row],[id_origen]]</f>
        <v>59 - 83</v>
      </c>
    </row>
    <row r="3049" spans="1:22" hidden="1">
      <c r="A3049">
        <v>1475</v>
      </c>
      <c r="B3049">
        <v>838</v>
      </c>
      <c r="C3049">
        <v>5785</v>
      </c>
      <c r="D3049">
        <v>3984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 t="s">
        <v>20</v>
      </c>
      <c r="L3049" s="1">
        <v>43455</v>
      </c>
      <c r="M3049">
        <v>59</v>
      </c>
      <c r="N3049">
        <v>83</v>
      </c>
      <c r="O3049">
        <v>0</v>
      </c>
      <c r="P3049">
        <v>150</v>
      </c>
      <c r="Q3049">
        <v>0</v>
      </c>
      <c r="S3049">
        <v>0</v>
      </c>
      <c r="T3049">
        <v>0</v>
      </c>
      <c r="U3049">
        <f>+SUM(Table1[[#This Row],[Latinos]:[Cemex]])</f>
        <v>1</v>
      </c>
      <c r="V3049" t="str">
        <f>+Table1[[#This Row],[id_destino]]&amp;" - "&amp;Table1[[#This Row],[id_origen]]</f>
        <v>59 - 83</v>
      </c>
    </row>
    <row r="3050" spans="1:22" hidden="1">
      <c r="A3050">
        <v>2039</v>
      </c>
      <c r="B3050">
        <v>3095</v>
      </c>
      <c r="C3050">
        <v>4293</v>
      </c>
      <c r="D3050">
        <v>6143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  <c r="K3050" t="s">
        <v>20</v>
      </c>
      <c r="L3050" s="1">
        <v>43777</v>
      </c>
      <c r="M3050">
        <v>61</v>
      </c>
      <c r="N3050">
        <v>83</v>
      </c>
      <c r="O3050">
        <v>2075</v>
      </c>
      <c r="P3050">
        <v>2075</v>
      </c>
      <c r="Q3050">
        <v>2075</v>
      </c>
      <c r="S3050">
        <v>2031</v>
      </c>
      <c r="T3050">
        <v>2351</v>
      </c>
      <c r="U3050">
        <f>+SUM(Table1[[#This Row],[Latinos]:[Cemex]])</f>
        <v>1</v>
      </c>
      <c r="V3050" t="str">
        <f>+Table1[[#This Row],[id_destino]]&amp;" - "&amp;Table1[[#This Row],[id_origen]]</f>
        <v>61 - 83</v>
      </c>
    </row>
    <row r="3051" spans="1:22" hidden="1">
      <c r="A3051">
        <v>2294</v>
      </c>
      <c r="B3051">
        <v>3254</v>
      </c>
      <c r="C3051">
        <v>6319</v>
      </c>
      <c r="D3051">
        <v>6320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 t="s">
        <v>20</v>
      </c>
      <c r="L3051" s="1">
        <v>43914</v>
      </c>
      <c r="M3051">
        <v>63</v>
      </c>
      <c r="N3051">
        <v>83</v>
      </c>
      <c r="O3051">
        <v>564</v>
      </c>
      <c r="P3051">
        <v>564</v>
      </c>
      <c r="Q3051">
        <v>564</v>
      </c>
      <c r="S3051">
        <v>19</v>
      </c>
      <c r="T3051">
        <v>19</v>
      </c>
      <c r="U3051">
        <f>+SUM(Table1[[#This Row],[Latinos]:[Cemex]])</f>
        <v>1</v>
      </c>
      <c r="V3051" t="str">
        <f>+Table1[[#This Row],[id_destino]]&amp;" - "&amp;Table1[[#This Row],[id_origen]]</f>
        <v>63 - 83</v>
      </c>
    </row>
    <row r="3052" spans="1:22" hidden="1">
      <c r="A3052">
        <v>4220</v>
      </c>
      <c r="B3052">
        <v>4501</v>
      </c>
      <c r="C3052">
        <v>4293</v>
      </c>
      <c r="D3052">
        <v>5674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0</v>
      </c>
      <c r="K3052" t="s">
        <v>20</v>
      </c>
      <c r="L3052" s="1">
        <v>45376</v>
      </c>
      <c r="M3052">
        <v>65</v>
      </c>
      <c r="N3052">
        <v>83</v>
      </c>
      <c r="O3052">
        <v>1054</v>
      </c>
      <c r="P3052">
        <v>1027</v>
      </c>
      <c r="Q3052">
        <v>1054</v>
      </c>
      <c r="S3052">
        <v>1913</v>
      </c>
      <c r="T3052">
        <v>1913</v>
      </c>
      <c r="U3052">
        <f>+SUM(Table1[[#This Row],[Latinos]:[Cemex]])</f>
        <v>1</v>
      </c>
      <c r="V3052" t="str">
        <f>+Table1[[#This Row],[id_destino]]&amp;" - "&amp;Table1[[#This Row],[id_origen]]</f>
        <v>65 - 83</v>
      </c>
    </row>
    <row r="3053" spans="1:22" hidden="1">
      <c r="A3053">
        <v>4099</v>
      </c>
      <c r="B3053">
        <v>1785</v>
      </c>
      <c r="C3053">
        <v>5366</v>
      </c>
      <c r="D3053">
        <v>4908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  <c r="K3053" t="s">
        <v>20</v>
      </c>
      <c r="L3053" s="1">
        <v>45287</v>
      </c>
      <c r="M3053">
        <v>75</v>
      </c>
      <c r="N3053">
        <v>83</v>
      </c>
      <c r="O3053">
        <v>909</v>
      </c>
      <c r="P3053">
        <v>909</v>
      </c>
      <c r="Q3053">
        <v>909</v>
      </c>
      <c r="S3053">
        <v>1271</v>
      </c>
      <c r="T3053">
        <v>1271</v>
      </c>
      <c r="U3053">
        <f>+SUM(Table1[[#This Row],[Latinos]:[Cemex]])</f>
        <v>1</v>
      </c>
      <c r="V3053" t="str">
        <f>+Table1[[#This Row],[id_destino]]&amp;" - "&amp;Table1[[#This Row],[id_origen]]</f>
        <v>75 - 83</v>
      </c>
    </row>
    <row r="3054" spans="1:22" hidden="1">
      <c r="A3054">
        <v>133</v>
      </c>
      <c r="B3054">
        <v>2231</v>
      </c>
      <c r="C3054">
        <v>5285</v>
      </c>
      <c r="D3054">
        <v>3202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  <c r="K3054" t="s">
        <v>20</v>
      </c>
      <c r="L3054" s="1">
        <v>43000</v>
      </c>
      <c r="M3054">
        <v>83</v>
      </c>
      <c r="N3054">
        <v>83</v>
      </c>
      <c r="O3054">
        <v>18</v>
      </c>
      <c r="P3054">
        <v>100</v>
      </c>
      <c r="Q3054">
        <v>18</v>
      </c>
      <c r="S3054">
        <v>0</v>
      </c>
      <c r="T3054">
        <v>0</v>
      </c>
      <c r="U3054">
        <f>+SUM(Table1[[#This Row],[Latinos]:[Cemex]])</f>
        <v>1</v>
      </c>
      <c r="V3054" t="str">
        <f>+Table1[[#This Row],[id_destino]]&amp;" - "&amp;Table1[[#This Row],[id_origen]]</f>
        <v>83 - 83</v>
      </c>
    </row>
    <row r="3055" spans="1:22" hidden="1">
      <c r="A3055">
        <v>2824</v>
      </c>
      <c r="B3055">
        <v>2231</v>
      </c>
      <c r="C3055">
        <v>4293</v>
      </c>
      <c r="D3055">
        <v>6067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 t="s">
        <v>20</v>
      </c>
      <c r="L3055" s="1">
        <v>44490</v>
      </c>
      <c r="M3055">
        <v>83</v>
      </c>
      <c r="N3055">
        <v>83</v>
      </c>
      <c r="O3055">
        <v>15</v>
      </c>
      <c r="P3055">
        <v>150</v>
      </c>
      <c r="Q3055">
        <v>15</v>
      </c>
      <c r="S3055">
        <v>0</v>
      </c>
      <c r="T3055">
        <v>0</v>
      </c>
      <c r="U3055">
        <f>+SUM(Table1[[#This Row],[Latinos]:[Cemex]])</f>
        <v>1</v>
      </c>
      <c r="V3055" t="str">
        <f>+Table1[[#This Row],[id_destino]]&amp;" - "&amp;Table1[[#This Row],[id_origen]]</f>
        <v>83 - 83</v>
      </c>
    </row>
    <row r="3056" spans="1:22" hidden="1">
      <c r="A3056">
        <v>4139</v>
      </c>
      <c r="B3056">
        <v>3633</v>
      </c>
      <c r="C3056">
        <v>4293</v>
      </c>
      <c r="D3056">
        <v>7640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 t="s">
        <v>20</v>
      </c>
      <c r="L3056" s="1">
        <v>45315</v>
      </c>
      <c r="M3056">
        <v>84</v>
      </c>
      <c r="N3056">
        <v>83</v>
      </c>
      <c r="O3056">
        <v>30</v>
      </c>
      <c r="P3056">
        <v>150</v>
      </c>
      <c r="Q3056">
        <v>30</v>
      </c>
      <c r="S3056">
        <v>593</v>
      </c>
      <c r="T3056">
        <v>593</v>
      </c>
      <c r="U3056">
        <f>+SUM(Table1[[#This Row],[Latinos]:[Cemex]])</f>
        <v>1</v>
      </c>
      <c r="V3056" t="str">
        <f>+Table1[[#This Row],[id_destino]]&amp;" - "&amp;Table1[[#This Row],[id_origen]]</f>
        <v>84 - 83</v>
      </c>
    </row>
    <row r="3057" spans="1:22" hidden="1">
      <c r="A3057">
        <v>3860</v>
      </c>
      <c r="B3057">
        <v>4265</v>
      </c>
      <c r="C3057">
        <v>871</v>
      </c>
      <c r="D3057">
        <v>7437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 t="s">
        <v>20</v>
      </c>
      <c r="L3057" s="1">
        <v>45146</v>
      </c>
      <c r="M3057">
        <v>92</v>
      </c>
      <c r="N3057">
        <v>83</v>
      </c>
      <c r="O3057">
        <v>50</v>
      </c>
      <c r="P3057">
        <v>150</v>
      </c>
      <c r="Q3057">
        <v>50</v>
      </c>
      <c r="S3057">
        <v>0</v>
      </c>
      <c r="T3057">
        <v>0</v>
      </c>
      <c r="U3057">
        <f>+SUM(Table1[[#This Row],[Latinos]:[Cemex]])</f>
        <v>1</v>
      </c>
      <c r="V3057" t="str">
        <f>+Table1[[#This Row],[id_destino]]&amp;" - "&amp;Table1[[#This Row],[id_origen]]</f>
        <v>92 - 83</v>
      </c>
    </row>
    <row r="3058" spans="1:22" hidden="1">
      <c r="A3058">
        <v>4297</v>
      </c>
      <c r="B3058">
        <v>4265</v>
      </c>
      <c r="C3058">
        <v>4293</v>
      </c>
      <c r="D3058">
        <v>7784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 t="s">
        <v>20</v>
      </c>
      <c r="L3058" s="1">
        <v>45441</v>
      </c>
      <c r="M3058">
        <v>92</v>
      </c>
      <c r="N3058">
        <v>83</v>
      </c>
      <c r="O3058">
        <v>55</v>
      </c>
      <c r="P3058">
        <v>150</v>
      </c>
      <c r="Q3058">
        <v>55</v>
      </c>
      <c r="S3058">
        <v>225</v>
      </c>
      <c r="T3058">
        <v>225</v>
      </c>
      <c r="U3058">
        <f>+SUM(Table1[[#This Row],[Latinos]:[Cemex]])</f>
        <v>1</v>
      </c>
      <c r="V3058" t="str">
        <f>+Table1[[#This Row],[id_destino]]&amp;" - "&amp;Table1[[#This Row],[id_origen]]</f>
        <v>92 - 83</v>
      </c>
    </row>
    <row r="3059" spans="1:22" hidden="1">
      <c r="A3059">
        <v>1798</v>
      </c>
      <c r="B3059">
        <v>2944</v>
      </c>
      <c r="C3059">
        <v>5943</v>
      </c>
      <c r="D3059">
        <v>4406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 t="s">
        <v>20</v>
      </c>
      <c r="L3059" s="1">
        <v>43637</v>
      </c>
      <c r="M3059">
        <v>99</v>
      </c>
      <c r="N3059">
        <v>83</v>
      </c>
      <c r="O3059">
        <v>2107</v>
      </c>
      <c r="P3059">
        <v>2107</v>
      </c>
      <c r="Q3059">
        <v>2107</v>
      </c>
      <c r="S3059">
        <v>0</v>
      </c>
      <c r="T3059">
        <v>0</v>
      </c>
      <c r="U3059">
        <f>+SUM(Table1[[#This Row],[Latinos]:[Cemex]])</f>
        <v>1</v>
      </c>
      <c r="V3059" t="str">
        <f>+Table1[[#This Row],[id_destino]]&amp;" - "&amp;Table1[[#This Row],[id_origen]]</f>
        <v>99 - 83</v>
      </c>
    </row>
    <row r="3060" spans="1:22" hidden="1">
      <c r="A3060">
        <v>3868</v>
      </c>
      <c r="B3060">
        <v>2944</v>
      </c>
      <c r="C3060">
        <v>5285</v>
      </c>
      <c r="D3060">
        <v>268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 t="s">
        <v>20</v>
      </c>
      <c r="L3060" s="1">
        <v>45154</v>
      </c>
      <c r="M3060">
        <v>99</v>
      </c>
      <c r="N3060">
        <v>83</v>
      </c>
      <c r="O3060">
        <v>2078</v>
      </c>
      <c r="P3060">
        <v>2089</v>
      </c>
      <c r="Q3060">
        <v>2078</v>
      </c>
      <c r="S3060">
        <v>3531</v>
      </c>
      <c r="T3060">
        <v>3531</v>
      </c>
      <c r="U3060">
        <f>+SUM(Table1[[#This Row],[Latinos]:[Cemex]])</f>
        <v>1</v>
      </c>
      <c r="V3060" t="str">
        <f>+Table1[[#This Row],[id_destino]]&amp;" - "&amp;Table1[[#This Row],[id_origen]]</f>
        <v>99 - 83</v>
      </c>
    </row>
    <row r="3061" spans="1:22" hidden="1">
      <c r="A3061">
        <v>3945</v>
      </c>
      <c r="B3061">
        <v>4318</v>
      </c>
      <c r="C3061">
        <v>4293</v>
      </c>
      <c r="D3061">
        <v>4169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 t="s">
        <v>20</v>
      </c>
      <c r="L3061" s="1">
        <v>45201</v>
      </c>
      <c r="M3061">
        <v>127</v>
      </c>
      <c r="N3061">
        <v>83</v>
      </c>
      <c r="O3061">
        <v>182</v>
      </c>
      <c r="P3061">
        <v>172</v>
      </c>
      <c r="Q3061">
        <v>182</v>
      </c>
      <c r="S3061">
        <v>0</v>
      </c>
      <c r="T3061">
        <v>0</v>
      </c>
      <c r="U3061">
        <f>+SUM(Table1[[#This Row],[Latinos]:[Cemex]])</f>
        <v>1</v>
      </c>
      <c r="V3061" t="str">
        <f>+Table1[[#This Row],[id_destino]]&amp;" - "&amp;Table1[[#This Row],[id_origen]]</f>
        <v>127 - 83</v>
      </c>
    </row>
    <row r="3062" spans="1:22" hidden="1">
      <c r="A3062">
        <v>4223</v>
      </c>
      <c r="B3062">
        <v>4504</v>
      </c>
      <c r="C3062">
        <v>4293</v>
      </c>
      <c r="D3062">
        <v>7712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0</v>
      </c>
      <c r="K3062" t="s">
        <v>20</v>
      </c>
      <c r="L3062" s="1">
        <v>45384</v>
      </c>
      <c r="M3062">
        <v>173</v>
      </c>
      <c r="N3062">
        <v>83</v>
      </c>
      <c r="O3062">
        <v>896</v>
      </c>
      <c r="P3062">
        <v>841</v>
      </c>
      <c r="Q3062">
        <v>896</v>
      </c>
      <c r="S3062">
        <v>1864</v>
      </c>
      <c r="T3062">
        <v>1902</v>
      </c>
      <c r="U3062">
        <f>+SUM(Table1[[#This Row],[Latinos]:[Cemex]])</f>
        <v>1</v>
      </c>
      <c r="V3062" t="str">
        <f>+Table1[[#This Row],[id_destino]]&amp;" - "&amp;Table1[[#This Row],[id_origen]]</f>
        <v>173 - 83</v>
      </c>
    </row>
    <row r="3063" spans="1:22" hidden="1">
      <c r="A3063">
        <v>2510</v>
      </c>
      <c r="B3063">
        <v>3390</v>
      </c>
      <c r="C3063">
        <v>4293</v>
      </c>
      <c r="D3063">
        <v>6100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0</v>
      </c>
      <c r="K3063" t="s">
        <v>20</v>
      </c>
      <c r="L3063" s="1">
        <v>44175</v>
      </c>
      <c r="M3063">
        <v>337</v>
      </c>
      <c r="N3063">
        <v>83</v>
      </c>
      <c r="O3063">
        <v>50</v>
      </c>
      <c r="P3063">
        <v>150</v>
      </c>
      <c r="Q3063">
        <v>50</v>
      </c>
      <c r="S3063">
        <v>82</v>
      </c>
      <c r="T3063">
        <v>82</v>
      </c>
      <c r="U3063">
        <f>+SUM(Table1[[#This Row],[Latinos]:[Cemex]])</f>
        <v>1</v>
      </c>
      <c r="V3063" t="str">
        <f>+Table1[[#This Row],[id_destino]]&amp;" - "&amp;Table1[[#This Row],[id_origen]]</f>
        <v>337 - 83</v>
      </c>
    </row>
    <row r="3064" spans="1:22" hidden="1">
      <c r="A3064">
        <v>2552</v>
      </c>
      <c r="B3064">
        <v>3390</v>
      </c>
      <c r="C3064">
        <v>4293</v>
      </c>
      <c r="D3064">
        <v>6100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  <c r="K3064" t="s">
        <v>20</v>
      </c>
      <c r="L3064" s="1">
        <v>44175</v>
      </c>
      <c r="M3064">
        <v>337</v>
      </c>
      <c r="N3064">
        <v>83</v>
      </c>
      <c r="O3064">
        <v>50</v>
      </c>
      <c r="P3064">
        <v>50</v>
      </c>
      <c r="Q3064">
        <v>50</v>
      </c>
      <c r="S3064">
        <v>0</v>
      </c>
      <c r="T3064">
        <v>0</v>
      </c>
      <c r="U3064">
        <f>+SUM(Table1[[#This Row],[Latinos]:[Cemex]])</f>
        <v>1</v>
      </c>
      <c r="V3064" t="str">
        <f>+Table1[[#This Row],[id_destino]]&amp;" - "&amp;Table1[[#This Row],[id_origen]]</f>
        <v>337 - 83</v>
      </c>
    </row>
    <row r="3065" spans="1:22" hidden="1">
      <c r="A3065">
        <v>1867</v>
      </c>
      <c r="B3065">
        <v>2984</v>
      </c>
      <c r="C3065">
        <v>4293</v>
      </c>
      <c r="D3065">
        <v>5378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 t="s">
        <v>20</v>
      </c>
      <c r="L3065" s="1">
        <v>43945</v>
      </c>
      <c r="M3065">
        <v>345</v>
      </c>
      <c r="N3065">
        <v>83</v>
      </c>
      <c r="O3065">
        <v>947</v>
      </c>
      <c r="P3065">
        <v>920</v>
      </c>
      <c r="Q3065">
        <v>947</v>
      </c>
      <c r="S3065">
        <v>1136</v>
      </c>
      <c r="T3065">
        <v>1136</v>
      </c>
      <c r="U3065">
        <f>+SUM(Table1[[#This Row],[Latinos]:[Cemex]])</f>
        <v>1</v>
      </c>
      <c r="V3065" t="str">
        <f>+Table1[[#This Row],[id_destino]]&amp;" - "&amp;Table1[[#This Row],[id_origen]]</f>
        <v>345 - 83</v>
      </c>
    </row>
    <row r="3066" spans="1:22" hidden="1">
      <c r="A3066">
        <v>4569</v>
      </c>
      <c r="B3066">
        <v>4761</v>
      </c>
      <c r="C3066">
        <v>8039</v>
      </c>
      <c r="D3066">
        <v>4145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 t="s">
        <v>20</v>
      </c>
      <c r="L3066" s="1">
        <v>45624</v>
      </c>
      <c r="M3066">
        <v>353</v>
      </c>
      <c r="N3066">
        <v>83</v>
      </c>
      <c r="O3066">
        <v>793</v>
      </c>
      <c r="P3066">
        <v>789</v>
      </c>
      <c r="Q3066">
        <v>800</v>
      </c>
      <c r="S3066">
        <v>0</v>
      </c>
      <c r="T3066">
        <v>0</v>
      </c>
      <c r="U3066">
        <f>+SUM(Table1[[#This Row],[Latinos]:[Cemex]])</f>
        <v>1</v>
      </c>
      <c r="V3066" t="str">
        <f>+Table1[[#This Row],[id_destino]]&amp;" - "&amp;Table1[[#This Row],[id_origen]]</f>
        <v>353 - 83</v>
      </c>
    </row>
    <row r="3067" spans="1:22" hidden="1">
      <c r="A3067">
        <v>2969</v>
      </c>
      <c r="B3067">
        <v>3690</v>
      </c>
      <c r="C3067">
        <v>6768</v>
      </c>
      <c r="D3067">
        <v>6839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  <c r="K3067" t="s">
        <v>20</v>
      </c>
      <c r="L3067" s="1">
        <v>44664</v>
      </c>
      <c r="M3067">
        <v>379</v>
      </c>
      <c r="N3067">
        <v>83</v>
      </c>
      <c r="O3067">
        <v>40</v>
      </c>
      <c r="P3067">
        <v>150</v>
      </c>
      <c r="Q3067">
        <v>51</v>
      </c>
      <c r="S3067">
        <v>0</v>
      </c>
      <c r="T3067">
        <v>0</v>
      </c>
      <c r="U3067">
        <f>+SUM(Table1[[#This Row],[Latinos]:[Cemex]])</f>
        <v>1</v>
      </c>
      <c r="V3067" t="str">
        <f>+Table1[[#This Row],[id_destino]]&amp;" - "&amp;Table1[[#This Row],[id_origen]]</f>
        <v>379 - 83</v>
      </c>
    </row>
    <row r="3068" spans="1:22" hidden="1">
      <c r="A3068">
        <v>4122</v>
      </c>
      <c r="B3068">
        <v>3690</v>
      </c>
      <c r="C3068">
        <v>4293</v>
      </c>
      <c r="D3068">
        <v>7629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 t="s">
        <v>20</v>
      </c>
      <c r="L3068" s="1">
        <v>45303</v>
      </c>
      <c r="M3068">
        <v>379</v>
      </c>
      <c r="N3068">
        <v>83</v>
      </c>
      <c r="O3068">
        <v>40</v>
      </c>
      <c r="P3068">
        <v>150</v>
      </c>
      <c r="Q3068">
        <v>40</v>
      </c>
      <c r="S3068">
        <v>251</v>
      </c>
      <c r="T3068">
        <v>251</v>
      </c>
      <c r="U3068">
        <f>+SUM(Table1[[#This Row],[Latinos]:[Cemex]])</f>
        <v>1</v>
      </c>
      <c r="V3068" t="str">
        <f>+Table1[[#This Row],[id_destino]]&amp;" - "&amp;Table1[[#This Row],[id_origen]]</f>
        <v>379 - 83</v>
      </c>
    </row>
    <row r="3069" spans="1:22" hidden="1">
      <c r="A3069">
        <v>1418</v>
      </c>
      <c r="B3069">
        <v>2735</v>
      </c>
      <c r="C3069">
        <v>4611</v>
      </c>
      <c r="D3069">
        <v>5758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  <c r="K3069" t="s">
        <v>20</v>
      </c>
      <c r="L3069" s="1">
        <v>43427</v>
      </c>
      <c r="M3069">
        <v>384</v>
      </c>
      <c r="N3069">
        <v>83</v>
      </c>
      <c r="O3069">
        <v>731</v>
      </c>
      <c r="P3069">
        <v>731</v>
      </c>
      <c r="Q3069">
        <v>731</v>
      </c>
      <c r="S3069">
        <v>0</v>
      </c>
      <c r="T3069">
        <v>0</v>
      </c>
      <c r="U3069">
        <f>+SUM(Table1[[#This Row],[Latinos]:[Cemex]])</f>
        <v>1</v>
      </c>
      <c r="V3069" t="str">
        <f>+Table1[[#This Row],[id_destino]]&amp;" - "&amp;Table1[[#This Row],[id_origen]]</f>
        <v>384 - 83</v>
      </c>
    </row>
    <row r="3070" spans="1:22" hidden="1">
      <c r="A3070">
        <v>4812</v>
      </c>
      <c r="B3070">
        <v>4923</v>
      </c>
      <c r="C3070">
        <v>8266</v>
      </c>
      <c r="D3070">
        <v>8267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 t="s">
        <v>20</v>
      </c>
      <c r="L3070" s="1">
        <v>45857</v>
      </c>
      <c r="M3070">
        <v>471</v>
      </c>
      <c r="N3070">
        <v>83</v>
      </c>
      <c r="O3070">
        <v>73</v>
      </c>
      <c r="P3070">
        <v>150</v>
      </c>
      <c r="Q3070">
        <v>150</v>
      </c>
      <c r="S3070">
        <v>129</v>
      </c>
      <c r="T3070">
        <v>129</v>
      </c>
      <c r="U3070">
        <f>+SUM(Table1[[#This Row],[Latinos]:[Cemex]])</f>
        <v>1</v>
      </c>
      <c r="V3070" t="str">
        <f>+Table1[[#This Row],[id_destino]]&amp;" - "&amp;Table1[[#This Row],[id_origen]]</f>
        <v>471 - 83</v>
      </c>
    </row>
    <row r="3071" spans="1:22" hidden="1">
      <c r="A3071">
        <v>2250</v>
      </c>
      <c r="B3071">
        <v>3229</v>
      </c>
      <c r="C3071">
        <v>3563</v>
      </c>
      <c r="D3071">
        <v>6287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 t="s">
        <v>20</v>
      </c>
      <c r="L3071" s="1">
        <v>43878</v>
      </c>
      <c r="M3071">
        <v>507</v>
      </c>
      <c r="N3071">
        <v>83</v>
      </c>
      <c r="O3071">
        <v>585</v>
      </c>
      <c r="P3071">
        <v>585</v>
      </c>
      <c r="Q3071">
        <v>585</v>
      </c>
      <c r="S3071">
        <v>257</v>
      </c>
      <c r="T3071">
        <v>257</v>
      </c>
      <c r="U3071">
        <f>+SUM(Table1[[#This Row],[Latinos]:[Cemex]])</f>
        <v>1</v>
      </c>
      <c r="V3071" t="str">
        <f>+Table1[[#This Row],[id_destino]]&amp;" - "&amp;Table1[[#This Row],[id_origen]]</f>
        <v>507 - 83</v>
      </c>
    </row>
    <row r="3072" spans="1:22" hidden="1">
      <c r="A3072">
        <v>4018</v>
      </c>
      <c r="B3072">
        <v>4361</v>
      </c>
      <c r="C3072">
        <v>4293</v>
      </c>
      <c r="D3072">
        <v>7546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 t="s">
        <v>20</v>
      </c>
      <c r="L3072" s="1">
        <v>45238</v>
      </c>
      <c r="M3072">
        <v>535</v>
      </c>
      <c r="N3072">
        <v>83</v>
      </c>
      <c r="O3072">
        <v>72</v>
      </c>
      <c r="P3072">
        <v>150</v>
      </c>
      <c r="Q3072">
        <v>72</v>
      </c>
      <c r="S3072">
        <v>443</v>
      </c>
      <c r="T3072">
        <v>443</v>
      </c>
      <c r="U3072">
        <f>+SUM(Table1[[#This Row],[Latinos]:[Cemex]])</f>
        <v>1</v>
      </c>
      <c r="V3072" t="str">
        <f>+Table1[[#This Row],[id_destino]]&amp;" - "&amp;Table1[[#This Row],[id_origen]]</f>
        <v>535 - 83</v>
      </c>
    </row>
    <row r="3073" spans="1:22" hidden="1">
      <c r="A3073">
        <v>4519</v>
      </c>
      <c r="B3073">
        <v>4312</v>
      </c>
      <c r="C3073">
        <v>4293</v>
      </c>
      <c r="D3073">
        <v>7011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0</v>
      </c>
      <c r="K3073" t="s">
        <v>20</v>
      </c>
      <c r="L3073" s="1">
        <v>45600</v>
      </c>
      <c r="M3073">
        <v>591</v>
      </c>
      <c r="N3073">
        <v>83</v>
      </c>
      <c r="O3073">
        <v>876</v>
      </c>
      <c r="P3073">
        <v>870</v>
      </c>
      <c r="Q3073">
        <v>876</v>
      </c>
      <c r="S3073">
        <v>1179</v>
      </c>
      <c r="T3073">
        <v>1179</v>
      </c>
      <c r="U3073">
        <f>+SUM(Table1[[#This Row],[Latinos]:[Cemex]])</f>
        <v>1</v>
      </c>
      <c r="V3073" t="str">
        <f>+Table1[[#This Row],[id_destino]]&amp;" - "&amp;Table1[[#This Row],[id_origen]]</f>
        <v>591 - 83</v>
      </c>
    </row>
    <row r="3074" spans="1:22" hidden="1">
      <c r="A3074">
        <v>4296</v>
      </c>
      <c r="B3074">
        <v>4552</v>
      </c>
      <c r="C3074">
        <v>7782</v>
      </c>
      <c r="D3074">
        <v>7783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  <c r="K3074" t="s">
        <v>20</v>
      </c>
      <c r="L3074" s="1">
        <v>45441</v>
      </c>
      <c r="M3074">
        <v>645</v>
      </c>
      <c r="N3074">
        <v>83</v>
      </c>
      <c r="O3074">
        <v>50</v>
      </c>
      <c r="P3074">
        <v>150</v>
      </c>
      <c r="Q3074">
        <v>50</v>
      </c>
      <c r="S3074">
        <v>0</v>
      </c>
      <c r="T3074">
        <v>0</v>
      </c>
      <c r="U3074">
        <f>+SUM(Table1[[#This Row],[Latinos]:[Cemex]])</f>
        <v>1</v>
      </c>
      <c r="V3074" t="str">
        <f>+Table1[[#This Row],[id_destino]]&amp;" - "&amp;Table1[[#This Row],[id_origen]]</f>
        <v>645 - 83</v>
      </c>
    </row>
    <row r="3075" spans="1:22" hidden="1">
      <c r="A3075">
        <v>2296</v>
      </c>
      <c r="B3075">
        <v>3255</v>
      </c>
      <c r="C3075">
        <v>3846</v>
      </c>
      <c r="D3075">
        <v>6321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 t="s">
        <v>20</v>
      </c>
      <c r="L3075" s="1">
        <v>43914</v>
      </c>
      <c r="M3075">
        <v>669</v>
      </c>
      <c r="N3075">
        <v>83</v>
      </c>
      <c r="O3075">
        <v>514</v>
      </c>
      <c r="P3075">
        <v>514</v>
      </c>
      <c r="Q3075">
        <v>514</v>
      </c>
      <c r="S3075">
        <v>413</v>
      </c>
      <c r="T3075">
        <v>413</v>
      </c>
      <c r="U3075">
        <f>+SUM(Table1[[#This Row],[Latinos]:[Cemex]])</f>
        <v>1</v>
      </c>
      <c r="V3075" t="str">
        <f>+Table1[[#This Row],[id_destino]]&amp;" - "&amp;Table1[[#This Row],[id_origen]]</f>
        <v>669 - 83</v>
      </c>
    </row>
    <row r="3076" spans="1:22" hidden="1">
      <c r="A3076">
        <v>4651</v>
      </c>
      <c r="B3076">
        <v>4820</v>
      </c>
      <c r="C3076">
        <v>3563</v>
      </c>
      <c r="D3076">
        <v>7687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0</v>
      </c>
      <c r="K3076" t="s">
        <v>20</v>
      </c>
      <c r="L3076" s="1">
        <v>45706</v>
      </c>
      <c r="M3076">
        <v>707</v>
      </c>
      <c r="N3076">
        <v>83</v>
      </c>
      <c r="O3076">
        <v>992</v>
      </c>
      <c r="P3076">
        <v>992</v>
      </c>
      <c r="Q3076">
        <v>992</v>
      </c>
      <c r="S3076">
        <v>2326</v>
      </c>
      <c r="T3076">
        <v>2326</v>
      </c>
      <c r="U3076">
        <f>+SUM(Table1[[#This Row],[Latinos]:[Cemex]])</f>
        <v>1</v>
      </c>
      <c r="V3076" t="str">
        <f>+Table1[[#This Row],[id_destino]]&amp;" - "&amp;Table1[[#This Row],[id_origen]]</f>
        <v>707 - 83</v>
      </c>
    </row>
    <row r="3077" spans="1:22" hidden="1">
      <c r="A3077">
        <v>3661</v>
      </c>
      <c r="B3077">
        <v>4145</v>
      </c>
      <c r="C3077">
        <v>6469</v>
      </c>
      <c r="D3077">
        <v>6817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 t="s">
        <v>20</v>
      </c>
      <c r="L3077" s="1">
        <v>45014</v>
      </c>
      <c r="M3077">
        <v>3</v>
      </c>
      <c r="N3077">
        <v>84</v>
      </c>
      <c r="O3077">
        <v>1703</v>
      </c>
      <c r="P3077">
        <v>1702</v>
      </c>
      <c r="Q3077">
        <v>1703</v>
      </c>
      <c r="S3077">
        <v>3438</v>
      </c>
      <c r="T3077">
        <v>3438</v>
      </c>
      <c r="U3077">
        <f>+SUM(Table1[[#This Row],[Latinos]:[Cemex]])</f>
        <v>1</v>
      </c>
      <c r="V3077" t="str">
        <f>+Table1[[#This Row],[id_destino]]&amp;" - "&amp;Table1[[#This Row],[id_origen]]</f>
        <v>3 - 84</v>
      </c>
    </row>
    <row r="3078" spans="1:22" hidden="1">
      <c r="A3078">
        <v>3013</v>
      </c>
      <c r="B3078">
        <v>3722</v>
      </c>
      <c r="C3078">
        <v>6469</v>
      </c>
      <c r="D3078">
        <v>6875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 t="s">
        <v>20</v>
      </c>
      <c r="L3078" s="1">
        <v>44687</v>
      </c>
      <c r="M3078">
        <v>4</v>
      </c>
      <c r="N3078">
        <v>84</v>
      </c>
      <c r="O3078">
        <v>1723</v>
      </c>
      <c r="P3078">
        <v>1781</v>
      </c>
      <c r="Q3078">
        <v>1723</v>
      </c>
      <c r="S3078">
        <v>3849</v>
      </c>
      <c r="T3078">
        <v>3870</v>
      </c>
      <c r="U3078">
        <f>+SUM(Table1[[#This Row],[Latinos]:[Cemex]])</f>
        <v>1</v>
      </c>
      <c r="V3078" t="str">
        <f>+Table1[[#This Row],[id_destino]]&amp;" - "&amp;Table1[[#This Row],[id_origen]]</f>
        <v>4 - 84</v>
      </c>
    </row>
    <row r="3079" spans="1:22" hidden="1">
      <c r="A3079">
        <v>3762</v>
      </c>
      <c r="B3079">
        <v>4205</v>
      </c>
      <c r="C3079">
        <v>7364</v>
      </c>
      <c r="D3079">
        <v>401</v>
      </c>
      <c r="E3079">
        <v>0</v>
      </c>
      <c r="F3079">
        <v>0</v>
      </c>
      <c r="G3079">
        <v>0</v>
      </c>
      <c r="H3079">
        <v>1</v>
      </c>
      <c r="I3079">
        <v>0</v>
      </c>
      <c r="J3079">
        <v>0</v>
      </c>
      <c r="K3079" t="s">
        <v>20</v>
      </c>
      <c r="L3079" s="1">
        <v>45076</v>
      </c>
      <c r="M3079">
        <v>5</v>
      </c>
      <c r="N3079">
        <v>84</v>
      </c>
      <c r="O3079">
        <v>2261</v>
      </c>
      <c r="P3079">
        <v>2520</v>
      </c>
      <c r="Q3079">
        <v>2261</v>
      </c>
      <c r="S3079">
        <v>3472</v>
      </c>
      <c r="T3079">
        <v>3472</v>
      </c>
      <c r="U3079">
        <f>+SUM(Table1[[#This Row],[Latinos]:[Cemex]])</f>
        <v>1</v>
      </c>
      <c r="V3079" t="str">
        <f>+Table1[[#This Row],[id_destino]]&amp;" - "&amp;Table1[[#This Row],[id_origen]]</f>
        <v>5 - 84</v>
      </c>
    </row>
    <row r="3080" spans="1:22" hidden="1">
      <c r="A3080">
        <v>1334</v>
      </c>
      <c r="B3080">
        <v>1287</v>
      </c>
      <c r="C3080">
        <v>3601</v>
      </c>
      <c r="D3080">
        <v>2302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 t="s">
        <v>20</v>
      </c>
      <c r="L3080" s="1">
        <v>43389</v>
      </c>
      <c r="M3080">
        <v>6</v>
      </c>
      <c r="N3080">
        <v>84</v>
      </c>
      <c r="O3080">
        <v>2056</v>
      </c>
      <c r="P3080">
        <v>2085</v>
      </c>
      <c r="Q3080">
        <v>2056</v>
      </c>
      <c r="S3080">
        <v>4297</v>
      </c>
      <c r="T3080">
        <v>4410</v>
      </c>
      <c r="U3080">
        <f>+SUM(Table1[[#This Row],[Latinos]:[Cemex]])</f>
        <v>1</v>
      </c>
      <c r="V3080" t="str">
        <f>+Table1[[#This Row],[id_destino]]&amp;" - "&amp;Table1[[#This Row],[id_origen]]</f>
        <v>6 - 84</v>
      </c>
    </row>
    <row r="3081" spans="1:22" hidden="1">
      <c r="A3081">
        <v>1335</v>
      </c>
      <c r="B3081">
        <v>1287</v>
      </c>
      <c r="C3081">
        <v>3601</v>
      </c>
      <c r="D3081">
        <v>2302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  <c r="K3081" t="s">
        <v>20</v>
      </c>
      <c r="L3081" s="1">
        <v>43389</v>
      </c>
      <c r="M3081">
        <v>6</v>
      </c>
      <c r="N3081">
        <v>84</v>
      </c>
      <c r="O3081">
        <v>2056</v>
      </c>
      <c r="P3081">
        <v>2056</v>
      </c>
      <c r="Q3081">
        <v>0</v>
      </c>
      <c r="S3081">
        <v>0</v>
      </c>
      <c r="T3081">
        <v>0</v>
      </c>
      <c r="U3081">
        <f>+SUM(Table1[[#This Row],[Latinos]:[Cemex]])</f>
        <v>1</v>
      </c>
      <c r="V3081" t="str">
        <f>+Table1[[#This Row],[id_destino]]&amp;" - "&amp;Table1[[#This Row],[id_origen]]</f>
        <v>6 - 84</v>
      </c>
    </row>
    <row r="3082" spans="1:22" hidden="1">
      <c r="A3082">
        <v>3770</v>
      </c>
      <c r="B3082">
        <v>4204</v>
      </c>
      <c r="C3082">
        <v>6913</v>
      </c>
      <c r="D3082">
        <v>7352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 t="s">
        <v>20</v>
      </c>
      <c r="L3082" s="1">
        <v>45077</v>
      </c>
      <c r="M3082">
        <v>7</v>
      </c>
      <c r="N3082">
        <v>84</v>
      </c>
      <c r="O3082">
        <v>2546</v>
      </c>
      <c r="P3082">
        <v>2588</v>
      </c>
      <c r="Q3082">
        <v>2546</v>
      </c>
      <c r="S3082">
        <v>3472</v>
      </c>
      <c r="T3082">
        <v>3472</v>
      </c>
      <c r="U3082">
        <f>+SUM(Table1[[#This Row],[Latinos]:[Cemex]])</f>
        <v>1</v>
      </c>
      <c r="V3082" t="str">
        <f>+Table1[[#This Row],[id_destino]]&amp;" - "&amp;Table1[[#This Row],[id_origen]]</f>
        <v>7 - 84</v>
      </c>
    </row>
    <row r="3083" spans="1:22" hidden="1">
      <c r="A3083">
        <v>1237</v>
      </c>
      <c r="B3083">
        <v>1291</v>
      </c>
      <c r="C3083">
        <v>3601</v>
      </c>
      <c r="D3083">
        <v>4526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 t="s">
        <v>20</v>
      </c>
      <c r="L3083" s="1">
        <v>43351</v>
      </c>
      <c r="M3083">
        <v>9</v>
      </c>
      <c r="N3083">
        <v>84</v>
      </c>
      <c r="O3083">
        <v>2256</v>
      </c>
      <c r="P3083">
        <v>2252</v>
      </c>
      <c r="Q3083">
        <v>2256</v>
      </c>
      <c r="S3083">
        <v>4191</v>
      </c>
      <c r="T3083">
        <v>4258</v>
      </c>
      <c r="U3083">
        <f>+SUM(Table1[[#This Row],[Latinos]:[Cemex]])</f>
        <v>1</v>
      </c>
      <c r="V3083" t="str">
        <f>+Table1[[#This Row],[id_destino]]&amp;" - "&amp;Table1[[#This Row],[id_origen]]</f>
        <v>9 - 84</v>
      </c>
    </row>
    <row r="3084" spans="1:22" hidden="1">
      <c r="A3084">
        <v>1363</v>
      </c>
      <c r="B3084">
        <v>1291</v>
      </c>
      <c r="C3084">
        <v>3601</v>
      </c>
      <c r="D3084">
        <v>5735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  <c r="K3084" t="s">
        <v>20</v>
      </c>
      <c r="L3084" s="1">
        <v>43403</v>
      </c>
      <c r="M3084">
        <v>9</v>
      </c>
      <c r="N3084">
        <v>84</v>
      </c>
      <c r="O3084">
        <v>2256</v>
      </c>
      <c r="P3084">
        <v>2266</v>
      </c>
      <c r="Q3084">
        <v>0</v>
      </c>
      <c r="S3084">
        <v>0</v>
      </c>
      <c r="T3084">
        <v>0</v>
      </c>
      <c r="U3084">
        <f>+SUM(Table1[[#This Row],[Latinos]:[Cemex]])</f>
        <v>1</v>
      </c>
      <c r="V3084" t="str">
        <f>+Table1[[#This Row],[id_destino]]&amp;" - "&amp;Table1[[#This Row],[id_origen]]</f>
        <v>9 - 84</v>
      </c>
    </row>
    <row r="3085" spans="1:22" hidden="1">
      <c r="A3085">
        <v>3107</v>
      </c>
      <c r="B3085">
        <v>3780</v>
      </c>
      <c r="C3085">
        <v>6469</v>
      </c>
      <c r="D3085">
        <v>6937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 t="s">
        <v>20</v>
      </c>
      <c r="L3085" s="1">
        <v>44833</v>
      </c>
      <c r="M3085">
        <v>12</v>
      </c>
      <c r="N3085">
        <v>84</v>
      </c>
      <c r="O3085">
        <v>694</v>
      </c>
      <c r="P3085">
        <v>619</v>
      </c>
      <c r="Q3085">
        <v>694</v>
      </c>
      <c r="S3085">
        <v>1052</v>
      </c>
      <c r="T3085">
        <v>1090</v>
      </c>
      <c r="U3085">
        <f>+SUM(Table1[[#This Row],[Latinos]:[Cemex]])</f>
        <v>1</v>
      </c>
      <c r="V3085" t="str">
        <f>+Table1[[#This Row],[id_destino]]&amp;" - "&amp;Table1[[#This Row],[id_origen]]</f>
        <v>12 - 84</v>
      </c>
    </row>
    <row r="3086" spans="1:22" hidden="1">
      <c r="A3086">
        <v>3109</v>
      </c>
      <c r="B3086">
        <v>3782</v>
      </c>
      <c r="C3086">
        <v>6469</v>
      </c>
      <c r="D3086">
        <v>6889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0</v>
      </c>
      <c r="K3086" t="s">
        <v>20</v>
      </c>
      <c r="L3086" s="1">
        <v>44832</v>
      </c>
      <c r="M3086">
        <v>13</v>
      </c>
      <c r="N3086">
        <v>84</v>
      </c>
      <c r="O3086">
        <v>740</v>
      </c>
      <c r="P3086">
        <v>780</v>
      </c>
      <c r="Q3086">
        <v>740</v>
      </c>
      <c r="S3086">
        <v>738</v>
      </c>
      <c r="T3086">
        <v>738</v>
      </c>
      <c r="U3086">
        <f>+SUM(Table1[[#This Row],[Latinos]:[Cemex]])</f>
        <v>1</v>
      </c>
      <c r="V3086" t="str">
        <f>+Table1[[#This Row],[id_destino]]&amp;" - "&amp;Table1[[#This Row],[id_origen]]</f>
        <v>13 - 84</v>
      </c>
    </row>
    <row r="3087" spans="1:22" hidden="1">
      <c r="A3087">
        <v>3029</v>
      </c>
      <c r="B3087">
        <v>1638</v>
      </c>
      <c r="C3087">
        <v>6469</v>
      </c>
      <c r="D3087">
        <v>6894</v>
      </c>
      <c r="E3087">
        <v>0</v>
      </c>
      <c r="F3087">
        <v>1</v>
      </c>
      <c r="G3087">
        <v>0</v>
      </c>
      <c r="H3087">
        <v>0</v>
      </c>
      <c r="I3087">
        <v>0</v>
      </c>
      <c r="J3087">
        <v>0</v>
      </c>
      <c r="K3087" t="s">
        <v>20</v>
      </c>
      <c r="L3087" s="1">
        <v>44698</v>
      </c>
      <c r="M3087">
        <v>15</v>
      </c>
      <c r="N3087">
        <v>84</v>
      </c>
      <c r="O3087">
        <v>1184</v>
      </c>
      <c r="P3087">
        <v>1216</v>
      </c>
      <c r="Q3087">
        <v>1184</v>
      </c>
      <c r="S3087">
        <v>2945</v>
      </c>
      <c r="T3087">
        <v>3451</v>
      </c>
      <c r="U3087">
        <f>+SUM(Table1[[#This Row],[Latinos]:[Cemex]])</f>
        <v>1</v>
      </c>
      <c r="V3087" t="str">
        <f>+Table1[[#This Row],[id_destino]]&amp;" - "&amp;Table1[[#This Row],[id_origen]]</f>
        <v>15 - 84</v>
      </c>
    </row>
    <row r="3088" spans="1:22" hidden="1">
      <c r="A3088">
        <v>3264</v>
      </c>
      <c r="B3088">
        <v>3874</v>
      </c>
      <c r="C3088">
        <v>6469</v>
      </c>
      <c r="D3088">
        <v>6918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 t="s">
        <v>20</v>
      </c>
      <c r="L3088" s="1">
        <v>44798</v>
      </c>
      <c r="M3088">
        <v>16</v>
      </c>
      <c r="N3088">
        <v>84</v>
      </c>
      <c r="O3088">
        <v>859</v>
      </c>
      <c r="P3088">
        <v>844</v>
      </c>
      <c r="Q3088">
        <v>859</v>
      </c>
      <c r="S3088">
        <v>2162</v>
      </c>
      <c r="T3088">
        <v>2460</v>
      </c>
      <c r="U3088">
        <f>+SUM(Table1[[#This Row],[Latinos]:[Cemex]])</f>
        <v>1</v>
      </c>
      <c r="V3088" t="str">
        <f>+Table1[[#This Row],[id_destino]]&amp;" - "&amp;Table1[[#This Row],[id_origen]]</f>
        <v>16 - 84</v>
      </c>
    </row>
    <row r="3089" spans="1:22" hidden="1">
      <c r="A3089">
        <v>3278</v>
      </c>
      <c r="B3089">
        <v>3884</v>
      </c>
      <c r="C3089">
        <v>6469</v>
      </c>
      <c r="D3089">
        <v>7007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0</v>
      </c>
      <c r="K3089" t="s">
        <v>20</v>
      </c>
      <c r="L3089" s="1">
        <v>44800</v>
      </c>
      <c r="M3089">
        <v>17</v>
      </c>
      <c r="N3089">
        <v>84</v>
      </c>
      <c r="O3089">
        <v>642</v>
      </c>
      <c r="P3089">
        <v>629</v>
      </c>
      <c r="Q3089">
        <v>642</v>
      </c>
      <c r="S3089">
        <v>2393</v>
      </c>
      <c r="T3089">
        <v>2823</v>
      </c>
      <c r="U3089">
        <f>+SUM(Table1[[#This Row],[Latinos]:[Cemex]])</f>
        <v>1</v>
      </c>
      <c r="V3089" t="str">
        <f>+Table1[[#This Row],[id_destino]]&amp;" - "&amp;Table1[[#This Row],[id_origen]]</f>
        <v>17 - 84</v>
      </c>
    </row>
    <row r="3090" spans="1:22" hidden="1">
      <c r="A3090">
        <v>3738</v>
      </c>
      <c r="B3090">
        <v>3884</v>
      </c>
      <c r="C3090">
        <v>6913</v>
      </c>
      <c r="D3090">
        <v>7342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 t="s">
        <v>20</v>
      </c>
      <c r="L3090" s="1">
        <v>45062</v>
      </c>
      <c r="M3090">
        <v>17</v>
      </c>
      <c r="N3090">
        <v>84</v>
      </c>
      <c r="O3090">
        <v>642</v>
      </c>
      <c r="P3090">
        <v>642</v>
      </c>
      <c r="Q3090">
        <v>642</v>
      </c>
      <c r="S3090">
        <v>1996</v>
      </c>
      <c r="T3090">
        <v>2426</v>
      </c>
      <c r="U3090">
        <f>+SUM(Table1[[#This Row],[Latinos]:[Cemex]])</f>
        <v>1</v>
      </c>
      <c r="V3090" t="str">
        <f>+Table1[[#This Row],[id_destino]]&amp;" - "&amp;Table1[[#This Row],[id_origen]]</f>
        <v>17 - 84</v>
      </c>
    </row>
    <row r="3091" spans="1:22" hidden="1">
      <c r="A3091">
        <v>2907</v>
      </c>
      <c r="B3091">
        <v>1961</v>
      </c>
      <c r="C3091">
        <v>6469</v>
      </c>
      <c r="D3091">
        <v>4177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 t="s">
        <v>20</v>
      </c>
      <c r="L3091" s="1">
        <v>44605</v>
      </c>
      <c r="M3091">
        <v>18</v>
      </c>
      <c r="N3091">
        <v>84</v>
      </c>
      <c r="O3091">
        <v>924</v>
      </c>
      <c r="P3091">
        <v>911</v>
      </c>
      <c r="Q3091">
        <v>924</v>
      </c>
      <c r="S3091">
        <v>1387</v>
      </c>
      <c r="T3091">
        <v>1387</v>
      </c>
      <c r="U3091">
        <f>+SUM(Table1[[#This Row],[Latinos]:[Cemex]])</f>
        <v>1</v>
      </c>
      <c r="V3091" t="str">
        <f>+Table1[[#This Row],[id_destino]]&amp;" - "&amp;Table1[[#This Row],[id_origen]]</f>
        <v>18 - 84</v>
      </c>
    </row>
    <row r="3092" spans="1:22" hidden="1">
      <c r="A3092">
        <v>2574</v>
      </c>
      <c r="B3092">
        <v>3428</v>
      </c>
      <c r="C3092">
        <v>6469</v>
      </c>
      <c r="D3092">
        <v>88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 t="s">
        <v>20</v>
      </c>
      <c r="L3092" s="1">
        <v>44193</v>
      </c>
      <c r="M3092">
        <v>19</v>
      </c>
      <c r="N3092">
        <v>84</v>
      </c>
      <c r="O3092">
        <v>962</v>
      </c>
      <c r="P3092">
        <v>936</v>
      </c>
      <c r="Q3092">
        <v>962</v>
      </c>
      <c r="S3092">
        <v>1175</v>
      </c>
      <c r="T3092">
        <v>1175</v>
      </c>
      <c r="U3092">
        <f>+SUM(Table1[[#This Row],[Latinos]:[Cemex]])</f>
        <v>1</v>
      </c>
      <c r="V3092" t="str">
        <f>+Table1[[#This Row],[id_destino]]&amp;" - "&amp;Table1[[#This Row],[id_origen]]</f>
        <v>19 - 84</v>
      </c>
    </row>
    <row r="3093" spans="1:22" hidden="1">
      <c r="A3093">
        <v>2995</v>
      </c>
      <c r="B3093">
        <v>3710</v>
      </c>
      <c r="C3093">
        <v>6469</v>
      </c>
      <c r="D3093">
        <v>6812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 t="s">
        <v>20</v>
      </c>
      <c r="L3093" s="1">
        <v>44677</v>
      </c>
      <c r="M3093">
        <v>20</v>
      </c>
      <c r="N3093">
        <v>84</v>
      </c>
      <c r="O3093">
        <v>893</v>
      </c>
      <c r="P3093">
        <v>926</v>
      </c>
      <c r="Q3093">
        <v>893</v>
      </c>
      <c r="S3093">
        <v>1387</v>
      </c>
      <c r="T3093">
        <v>1387</v>
      </c>
      <c r="U3093">
        <f>+SUM(Table1[[#This Row],[Latinos]:[Cemex]])</f>
        <v>1</v>
      </c>
      <c r="V3093" t="str">
        <f>+Table1[[#This Row],[id_destino]]&amp;" - "&amp;Table1[[#This Row],[id_origen]]</f>
        <v>20 - 84</v>
      </c>
    </row>
    <row r="3094" spans="1:22" hidden="1">
      <c r="A3094">
        <v>3358</v>
      </c>
      <c r="B3094">
        <v>3934</v>
      </c>
      <c r="C3094">
        <v>6469</v>
      </c>
      <c r="D3094">
        <v>7078</v>
      </c>
      <c r="E3094">
        <v>0</v>
      </c>
      <c r="F3094">
        <v>1</v>
      </c>
      <c r="G3094">
        <v>0</v>
      </c>
      <c r="H3094">
        <v>0</v>
      </c>
      <c r="I3094">
        <v>0</v>
      </c>
      <c r="J3094">
        <v>0</v>
      </c>
      <c r="K3094" t="s">
        <v>20</v>
      </c>
      <c r="L3094" s="1">
        <v>44849</v>
      </c>
      <c r="M3094">
        <v>21</v>
      </c>
      <c r="N3094">
        <v>84</v>
      </c>
      <c r="O3094">
        <v>1519</v>
      </c>
      <c r="P3094">
        <v>1591</v>
      </c>
      <c r="Q3094">
        <v>1519</v>
      </c>
      <c r="S3094">
        <v>1892</v>
      </c>
      <c r="T3094">
        <v>2236</v>
      </c>
      <c r="U3094">
        <f>+SUM(Table1[[#This Row],[Latinos]:[Cemex]])</f>
        <v>1</v>
      </c>
      <c r="V3094" t="str">
        <f>+Table1[[#This Row],[id_destino]]&amp;" - "&amp;Table1[[#This Row],[id_origen]]</f>
        <v>21 - 84</v>
      </c>
    </row>
    <row r="3095" spans="1:22" hidden="1">
      <c r="A3095">
        <v>3137</v>
      </c>
      <c r="B3095">
        <v>3797</v>
      </c>
      <c r="C3095">
        <v>6469</v>
      </c>
      <c r="D3095">
        <v>6945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 t="s">
        <v>20</v>
      </c>
      <c r="L3095" s="1">
        <v>44736</v>
      </c>
      <c r="M3095">
        <v>24</v>
      </c>
      <c r="N3095">
        <v>84</v>
      </c>
      <c r="O3095">
        <v>1128</v>
      </c>
      <c r="P3095">
        <v>1183</v>
      </c>
      <c r="Q3095">
        <v>1128</v>
      </c>
      <c r="S3095">
        <v>2279</v>
      </c>
      <c r="T3095">
        <v>2345</v>
      </c>
      <c r="U3095">
        <f>+SUM(Table1[[#This Row],[Latinos]:[Cemex]])</f>
        <v>1</v>
      </c>
      <c r="V3095" t="str">
        <f>+Table1[[#This Row],[id_destino]]&amp;" - "&amp;Table1[[#This Row],[id_origen]]</f>
        <v>24 - 84</v>
      </c>
    </row>
    <row r="3096" spans="1:22" hidden="1">
      <c r="A3096">
        <v>3256</v>
      </c>
      <c r="B3096">
        <v>3868</v>
      </c>
      <c r="C3096">
        <v>6469</v>
      </c>
      <c r="D3096">
        <v>6950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 t="s">
        <v>20</v>
      </c>
      <c r="L3096" s="1">
        <v>44797</v>
      </c>
      <c r="M3096">
        <v>25</v>
      </c>
      <c r="N3096">
        <v>84</v>
      </c>
      <c r="O3096">
        <v>1078</v>
      </c>
      <c r="P3096">
        <v>1078</v>
      </c>
      <c r="Q3096">
        <v>1078</v>
      </c>
      <c r="S3096">
        <v>1995</v>
      </c>
      <c r="T3096">
        <v>1995</v>
      </c>
      <c r="U3096">
        <f>+SUM(Table1[[#This Row],[Latinos]:[Cemex]])</f>
        <v>1</v>
      </c>
      <c r="V3096" t="str">
        <f>+Table1[[#This Row],[id_destino]]&amp;" - "&amp;Table1[[#This Row],[id_origen]]</f>
        <v>25 - 84</v>
      </c>
    </row>
    <row r="3097" spans="1:22" hidden="1">
      <c r="A3097">
        <v>2983</v>
      </c>
      <c r="B3097">
        <v>3701</v>
      </c>
      <c r="C3097">
        <v>6469</v>
      </c>
      <c r="D3097">
        <v>6855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 t="s">
        <v>20</v>
      </c>
      <c r="L3097" s="1">
        <v>44670</v>
      </c>
      <c r="M3097">
        <v>26</v>
      </c>
      <c r="N3097">
        <v>84</v>
      </c>
      <c r="O3097">
        <v>857</v>
      </c>
      <c r="P3097">
        <v>841</v>
      </c>
      <c r="Q3097">
        <v>857</v>
      </c>
      <c r="S3097">
        <v>1833</v>
      </c>
      <c r="T3097">
        <v>1871</v>
      </c>
      <c r="U3097">
        <f>+SUM(Table1[[#This Row],[Latinos]:[Cemex]])</f>
        <v>1</v>
      </c>
      <c r="V3097" t="str">
        <f>+Table1[[#This Row],[id_destino]]&amp;" - "&amp;Table1[[#This Row],[id_origen]]</f>
        <v>26 - 84</v>
      </c>
    </row>
    <row r="3098" spans="1:22" hidden="1">
      <c r="A3098">
        <v>1667</v>
      </c>
      <c r="B3098">
        <v>200</v>
      </c>
      <c r="C3098">
        <v>3601</v>
      </c>
      <c r="D3098">
        <v>34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0</v>
      </c>
      <c r="K3098" t="s">
        <v>20</v>
      </c>
      <c r="L3098" s="1">
        <v>43719</v>
      </c>
      <c r="M3098">
        <v>30</v>
      </c>
      <c r="N3098">
        <v>84</v>
      </c>
      <c r="O3098">
        <v>884</v>
      </c>
      <c r="P3098">
        <v>882</v>
      </c>
      <c r="Q3098">
        <v>884</v>
      </c>
      <c r="S3098">
        <v>4169</v>
      </c>
      <c r="T3098">
        <v>4599</v>
      </c>
      <c r="U3098">
        <f>+SUM(Table1[[#This Row],[Latinos]:[Cemex]])</f>
        <v>1</v>
      </c>
      <c r="V3098" t="str">
        <f>+Table1[[#This Row],[id_destino]]&amp;" - "&amp;Table1[[#This Row],[id_origen]]</f>
        <v>30 - 84</v>
      </c>
    </row>
    <row r="3099" spans="1:22" hidden="1">
      <c r="A3099">
        <v>2124</v>
      </c>
      <c r="B3099">
        <v>1363</v>
      </c>
      <c r="C3099">
        <v>977</v>
      </c>
      <c r="D3099">
        <v>35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 t="s">
        <v>20</v>
      </c>
      <c r="L3099" s="1">
        <v>44294</v>
      </c>
      <c r="M3099">
        <v>31</v>
      </c>
      <c r="N3099">
        <v>84</v>
      </c>
      <c r="O3099">
        <v>1092</v>
      </c>
      <c r="P3099">
        <v>1083</v>
      </c>
      <c r="Q3099">
        <v>1092</v>
      </c>
      <c r="S3099">
        <v>4699</v>
      </c>
      <c r="T3099">
        <v>5218</v>
      </c>
      <c r="U3099">
        <f>+SUM(Table1[[#This Row],[Latinos]:[Cemex]])</f>
        <v>1</v>
      </c>
      <c r="V3099" t="str">
        <f>+Table1[[#This Row],[id_destino]]&amp;" - "&amp;Table1[[#This Row],[id_origen]]</f>
        <v>31 - 84</v>
      </c>
    </row>
    <row r="3100" spans="1:22" hidden="1">
      <c r="A3100">
        <v>3084</v>
      </c>
      <c r="B3100">
        <v>1927</v>
      </c>
      <c r="C3100">
        <v>6469</v>
      </c>
      <c r="D3100">
        <v>5876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0</v>
      </c>
      <c r="K3100" t="s">
        <v>20</v>
      </c>
      <c r="L3100" s="1">
        <v>44716</v>
      </c>
      <c r="M3100">
        <v>33</v>
      </c>
      <c r="N3100">
        <v>84</v>
      </c>
      <c r="O3100">
        <v>359</v>
      </c>
      <c r="P3100">
        <v>412</v>
      </c>
      <c r="Q3100">
        <v>359</v>
      </c>
      <c r="S3100">
        <v>1486</v>
      </c>
      <c r="T3100">
        <v>1547</v>
      </c>
      <c r="U3100">
        <f>+SUM(Table1[[#This Row],[Latinos]:[Cemex]])</f>
        <v>1</v>
      </c>
      <c r="V3100" t="str">
        <f>+Table1[[#This Row],[id_destino]]&amp;" - "&amp;Table1[[#This Row],[id_origen]]</f>
        <v>33 - 84</v>
      </c>
    </row>
    <row r="3101" spans="1:22" hidden="1">
      <c r="A3101">
        <v>1609</v>
      </c>
      <c r="B3101">
        <v>2837</v>
      </c>
      <c r="C3101">
        <v>3601</v>
      </c>
      <c r="D3101">
        <v>40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0</v>
      </c>
      <c r="K3101" t="s">
        <v>20</v>
      </c>
      <c r="L3101" s="1">
        <v>43529</v>
      </c>
      <c r="M3101">
        <v>34</v>
      </c>
      <c r="N3101">
        <v>84</v>
      </c>
      <c r="O3101">
        <v>404</v>
      </c>
      <c r="P3101">
        <v>380</v>
      </c>
      <c r="Q3101">
        <v>404</v>
      </c>
      <c r="S3101">
        <v>990</v>
      </c>
      <c r="T3101">
        <v>990</v>
      </c>
      <c r="U3101">
        <f>+SUM(Table1[[#This Row],[Latinos]:[Cemex]])</f>
        <v>1</v>
      </c>
      <c r="V3101" t="str">
        <f>+Table1[[#This Row],[id_destino]]&amp;" - "&amp;Table1[[#This Row],[id_origen]]</f>
        <v>34 - 84</v>
      </c>
    </row>
    <row r="3102" spans="1:22" hidden="1">
      <c r="A3102">
        <v>2985</v>
      </c>
      <c r="B3102">
        <v>1666</v>
      </c>
      <c r="C3102">
        <v>6469</v>
      </c>
      <c r="D3102">
        <v>6858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 t="s">
        <v>95</v>
      </c>
      <c r="L3102" s="1">
        <v>44684</v>
      </c>
      <c r="M3102">
        <v>35</v>
      </c>
      <c r="N3102">
        <v>84</v>
      </c>
      <c r="O3102">
        <v>1252</v>
      </c>
      <c r="P3102">
        <v>1323</v>
      </c>
      <c r="Q3102">
        <v>1252</v>
      </c>
      <c r="S3102">
        <v>3102</v>
      </c>
      <c r="T3102">
        <v>3108</v>
      </c>
      <c r="U3102">
        <f>+SUM(Table1[[#This Row],[Latinos]:[Cemex]])</f>
        <v>1</v>
      </c>
      <c r="V3102" t="str">
        <f>+Table1[[#This Row],[id_destino]]&amp;" - "&amp;Table1[[#This Row],[id_origen]]</f>
        <v>35 - 84</v>
      </c>
    </row>
    <row r="3103" spans="1:22" hidden="1">
      <c r="A3103">
        <v>3155</v>
      </c>
      <c r="B3103">
        <v>3805</v>
      </c>
      <c r="C3103">
        <v>6469</v>
      </c>
      <c r="D3103">
        <v>6963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 t="s">
        <v>20</v>
      </c>
      <c r="L3103" s="1">
        <v>44774</v>
      </c>
      <c r="M3103">
        <v>37</v>
      </c>
      <c r="N3103">
        <v>84</v>
      </c>
      <c r="O3103">
        <v>1126</v>
      </c>
      <c r="P3103">
        <v>1206</v>
      </c>
      <c r="Q3103">
        <v>1126</v>
      </c>
      <c r="S3103">
        <v>1975</v>
      </c>
      <c r="T3103">
        <v>1975</v>
      </c>
      <c r="U3103">
        <f>+SUM(Table1[[#This Row],[Latinos]:[Cemex]])</f>
        <v>1</v>
      </c>
      <c r="V3103" t="str">
        <f>+Table1[[#This Row],[id_destino]]&amp;" - "&amp;Table1[[#This Row],[id_origen]]</f>
        <v>37 - 84</v>
      </c>
    </row>
    <row r="3104" spans="1:22" hidden="1">
      <c r="A3104">
        <v>3146</v>
      </c>
      <c r="B3104">
        <v>3802</v>
      </c>
      <c r="C3104">
        <v>6469</v>
      </c>
      <c r="D3104">
        <v>6956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 t="s">
        <v>20</v>
      </c>
      <c r="L3104" s="1">
        <v>44739</v>
      </c>
      <c r="M3104">
        <v>39</v>
      </c>
      <c r="N3104">
        <v>84</v>
      </c>
      <c r="O3104">
        <v>920</v>
      </c>
      <c r="P3104">
        <v>972</v>
      </c>
      <c r="Q3104">
        <v>920</v>
      </c>
      <c r="S3104">
        <v>2466</v>
      </c>
      <c r="T3104">
        <v>2466</v>
      </c>
      <c r="U3104">
        <f>+SUM(Table1[[#This Row],[Latinos]:[Cemex]])</f>
        <v>1</v>
      </c>
      <c r="V3104" t="str">
        <f>+Table1[[#This Row],[id_destino]]&amp;" - "&amp;Table1[[#This Row],[id_origen]]</f>
        <v>39 - 84</v>
      </c>
    </row>
    <row r="3105" spans="1:22" hidden="1">
      <c r="A3105">
        <v>3172</v>
      </c>
      <c r="B3105">
        <v>3821</v>
      </c>
      <c r="C3105">
        <v>6469</v>
      </c>
      <c r="D3105">
        <v>6974</v>
      </c>
      <c r="E3105">
        <v>0</v>
      </c>
      <c r="F3105">
        <v>1</v>
      </c>
      <c r="G3105">
        <v>0</v>
      </c>
      <c r="H3105">
        <v>0</v>
      </c>
      <c r="I3105">
        <v>0</v>
      </c>
      <c r="J3105">
        <v>0</v>
      </c>
      <c r="K3105" t="s">
        <v>20</v>
      </c>
      <c r="L3105" s="1">
        <v>44756</v>
      </c>
      <c r="M3105">
        <v>40</v>
      </c>
      <c r="N3105">
        <v>84</v>
      </c>
      <c r="O3105">
        <v>831</v>
      </c>
      <c r="P3105">
        <v>934</v>
      </c>
      <c r="Q3105">
        <v>831</v>
      </c>
      <c r="S3105">
        <v>2574</v>
      </c>
      <c r="T3105">
        <v>2593</v>
      </c>
      <c r="U3105">
        <f>+SUM(Table1[[#This Row],[Latinos]:[Cemex]])</f>
        <v>1</v>
      </c>
      <c r="V3105" t="str">
        <f>+Table1[[#This Row],[id_destino]]&amp;" - "&amp;Table1[[#This Row],[id_origen]]</f>
        <v>40 - 84</v>
      </c>
    </row>
    <row r="3106" spans="1:22" hidden="1">
      <c r="A3106">
        <v>3161</v>
      </c>
      <c r="B3106">
        <v>3811</v>
      </c>
      <c r="C3106">
        <v>6469</v>
      </c>
      <c r="D3106">
        <v>6890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0</v>
      </c>
      <c r="K3106" t="s">
        <v>20</v>
      </c>
      <c r="L3106" s="1">
        <v>44749</v>
      </c>
      <c r="M3106">
        <v>43</v>
      </c>
      <c r="N3106">
        <v>84</v>
      </c>
      <c r="O3106">
        <v>1477</v>
      </c>
      <c r="P3106">
        <v>1543</v>
      </c>
      <c r="Q3106">
        <v>1477</v>
      </c>
      <c r="S3106">
        <v>3247</v>
      </c>
      <c r="T3106">
        <v>3247</v>
      </c>
      <c r="U3106">
        <f>+SUM(Table1[[#This Row],[Latinos]:[Cemex]])</f>
        <v>1</v>
      </c>
      <c r="V3106" t="str">
        <f>+Table1[[#This Row],[id_destino]]&amp;" - "&amp;Table1[[#This Row],[id_origen]]</f>
        <v>43 - 84</v>
      </c>
    </row>
    <row r="3107" spans="1:22" hidden="1">
      <c r="A3107">
        <v>3031</v>
      </c>
      <c r="B3107">
        <v>3730</v>
      </c>
      <c r="C3107">
        <v>6469</v>
      </c>
      <c r="D3107">
        <v>6897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 t="s">
        <v>20</v>
      </c>
      <c r="L3107" s="1">
        <v>44699</v>
      </c>
      <c r="M3107">
        <v>46</v>
      </c>
      <c r="N3107">
        <v>84</v>
      </c>
      <c r="O3107">
        <v>1162</v>
      </c>
      <c r="P3107">
        <v>1169</v>
      </c>
      <c r="Q3107">
        <v>1162</v>
      </c>
      <c r="S3107">
        <v>2290</v>
      </c>
      <c r="T3107">
        <v>2336</v>
      </c>
      <c r="U3107">
        <f>+SUM(Table1[[#This Row],[Latinos]:[Cemex]])</f>
        <v>1</v>
      </c>
      <c r="V3107" t="str">
        <f>+Table1[[#This Row],[id_destino]]&amp;" - "&amp;Table1[[#This Row],[id_origen]]</f>
        <v>46 - 84</v>
      </c>
    </row>
    <row r="3108" spans="1:22" hidden="1">
      <c r="A3108">
        <v>4095</v>
      </c>
      <c r="B3108">
        <v>3730</v>
      </c>
      <c r="C3108">
        <v>6913</v>
      </c>
      <c r="D3108">
        <v>478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  <c r="K3108" t="s">
        <v>20</v>
      </c>
      <c r="L3108" s="1">
        <v>45282</v>
      </c>
      <c r="M3108">
        <v>46</v>
      </c>
      <c r="N3108">
        <v>84</v>
      </c>
      <c r="O3108">
        <v>1063</v>
      </c>
      <c r="P3108">
        <v>1059</v>
      </c>
      <c r="Q3108">
        <v>1063</v>
      </c>
      <c r="S3108">
        <v>1164</v>
      </c>
      <c r="T3108">
        <v>1218</v>
      </c>
      <c r="U3108">
        <f>+SUM(Table1[[#This Row],[Latinos]:[Cemex]])</f>
        <v>1</v>
      </c>
      <c r="V3108" t="str">
        <f>+Table1[[#This Row],[id_destino]]&amp;" - "&amp;Table1[[#This Row],[id_origen]]</f>
        <v>46 - 84</v>
      </c>
    </row>
    <row r="3109" spans="1:22" hidden="1">
      <c r="A3109">
        <v>3203</v>
      </c>
      <c r="B3109">
        <v>3835</v>
      </c>
      <c r="C3109">
        <v>6469</v>
      </c>
      <c r="D3109">
        <v>6865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 t="s">
        <v>20</v>
      </c>
      <c r="L3109" s="1">
        <v>44768</v>
      </c>
      <c r="M3109">
        <v>53</v>
      </c>
      <c r="N3109">
        <v>84</v>
      </c>
      <c r="O3109">
        <v>244</v>
      </c>
      <c r="P3109">
        <v>236</v>
      </c>
      <c r="Q3109">
        <v>244</v>
      </c>
      <c r="S3109">
        <v>795</v>
      </c>
      <c r="T3109">
        <v>795</v>
      </c>
      <c r="U3109">
        <f>+SUM(Table1[[#This Row],[Latinos]:[Cemex]])</f>
        <v>1</v>
      </c>
      <c r="V3109" t="str">
        <f>+Table1[[#This Row],[id_destino]]&amp;" - "&amp;Table1[[#This Row],[id_origen]]</f>
        <v>53 - 84</v>
      </c>
    </row>
    <row r="3110" spans="1:22" hidden="1">
      <c r="A3110">
        <v>3011</v>
      </c>
      <c r="B3110">
        <v>3721</v>
      </c>
      <c r="C3110">
        <v>6469</v>
      </c>
      <c r="D3110">
        <v>6873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 t="s">
        <v>20</v>
      </c>
      <c r="L3110" s="1">
        <v>44687</v>
      </c>
      <c r="M3110">
        <v>54</v>
      </c>
      <c r="N3110">
        <v>84</v>
      </c>
      <c r="O3110">
        <v>72</v>
      </c>
      <c r="P3110">
        <v>150</v>
      </c>
      <c r="Q3110">
        <v>72</v>
      </c>
      <c r="S3110">
        <v>465</v>
      </c>
      <c r="T3110">
        <v>465</v>
      </c>
      <c r="U3110">
        <f>+SUM(Table1[[#This Row],[Latinos]:[Cemex]])</f>
        <v>1</v>
      </c>
      <c r="V3110" t="str">
        <f>+Table1[[#This Row],[id_destino]]&amp;" - "&amp;Table1[[#This Row],[id_origen]]</f>
        <v>54 - 84</v>
      </c>
    </row>
    <row r="3111" spans="1:22" hidden="1">
      <c r="A3111">
        <v>3056</v>
      </c>
      <c r="B3111">
        <v>3747</v>
      </c>
      <c r="C3111">
        <v>6469</v>
      </c>
      <c r="D3111">
        <v>6888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 t="s">
        <v>20</v>
      </c>
      <c r="L3111" s="1">
        <v>44708</v>
      </c>
      <c r="M3111">
        <v>55</v>
      </c>
      <c r="N3111">
        <v>84</v>
      </c>
      <c r="O3111">
        <v>967</v>
      </c>
      <c r="P3111">
        <v>863</v>
      </c>
      <c r="Q3111">
        <v>967</v>
      </c>
      <c r="S3111">
        <v>1947</v>
      </c>
      <c r="T3111">
        <v>1947</v>
      </c>
      <c r="U3111">
        <f>+SUM(Table1[[#This Row],[Latinos]:[Cemex]])</f>
        <v>1</v>
      </c>
      <c r="V3111" t="str">
        <f>+Table1[[#This Row],[id_destino]]&amp;" - "&amp;Table1[[#This Row],[id_origen]]</f>
        <v>55 - 84</v>
      </c>
    </row>
    <row r="3112" spans="1:22" hidden="1">
      <c r="A3112">
        <v>3046</v>
      </c>
      <c r="B3112">
        <v>3742</v>
      </c>
      <c r="C3112">
        <v>6469</v>
      </c>
      <c r="D3112">
        <v>6905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 t="s">
        <v>20</v>
      </c>
      <c r="L3112" s="1">
        <v>44706</v>
      </c>
      <c r="M3112">
        <v>58</v>
      </c>
      <c r="N3112">
        <v>84</v>
      </c>
      <c r="O3112">
        <v>1042</v>
      </c>
      <c r="P3112">
        <v>1012</v>
      </c>
      <c r="Q3112">
        <v>1042</v>
      </c>
      <c r="S3112">
        <v>1636</v>
      </c>
      <c r="T3112">
        <v>1636</v>
      </c>
      <c r="U3112">
        <f>+SUM(Table1[[#This Row],[Latinos]:[Cemex]])</f>
        <v>1</v>
      </c>
      <c r="V3112" t="str">
        <f>+Table1[[#This Row],[id_destino]]&amp;" - "&amp;Table1[[#This Row],[id_origen]]</f>
        <v>58 - 84</v>
      </c>
    </row>
    <row r="3113" spans="1:22" hidden="1">
      <c r="A3113">
        <v>494</v>
      </c>
      <c r="B3113">
        <v>1723</v>
      </c>
      <c r="C3113">
        <v>977</v>
      </c>
      <c r="D3113">
        <v>70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0</v>
      </c>
      <c r="K3113" t="s">
        <v>20</v>
      </c>
      <c r="L3113" s="1">
        <v>43081</v>
      </c>
      <c r="M3113">
        <v>60</v>
      </c>
      <c r="N3113">
        <v>84</v>
      </c>
      <c r="O3113">
        <v>2261</v>
      </c>
      <c r="P3113">
        <v>2261</v>
      </c>
      <c r="Q3113">
        <v>2261</v>
      </c>
      <c r="S3113">
        <v>2436</v>
      </c>
      <c r="T3113">
        <v>2784</v>
      </c>
      <c r="U3113">
        <f>+SUM(Table1[[#This Row],[Latinos]:[Cemex]])</f>
        <v>1</v>
      </c>
      <c r="V3113" t="str">
        <f>+Table1[[#This Row],[id_destino]]&amp;" - "&amp;Table1[[#This Row],[id_origen]]</f>
        <v>60 - 84</v>
      </c>
    </row>
    <row r="3114" spans="1:22" hidden="1">
      <c r="A3114">
        <v>185</v>
      </c>
      <c r="B3114">
        <v>2203</v>
      </c>
      <c r="C3114">
        <v>977</v>
      </c>
      <c r="D3114">
        <v>71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  <c r="K3114" t="s">
        <v>20</v>
      </c>
      <c r="L3114" s="1">
        <v>43007</v>
      </c>
      <c r="M3114">
        <v>61</v>
      </c>
      <c r="N3114">
        <v>84</v>
      </c>
      <c r="O3114">
        <v>2091</v>
      </c>
      <c r="P3114">
        <v>2091</v>
      </c>
      <c r="Q3114">
        <v>2091</v>
      </c>
      <c r="S3114">
        <v>0</v>
      </c>
      <c r="T3114">
        <v>0</v>
      </c>
      <c r="U3114">
        <f>+SUM(Table1[[#This Row],[Latinos]:[Cemex]])</f>
        <v>1</v>
      </c>
      <c r="V3114" t="str">
        <f>+Table1[[#This Row],[id_destino]]&amp;" - "&amp;Table1[[#This Row],[id_origen]]</f>
        <v>61 - 84</v>
      </c>
    </row>
    <row r="3115" spans="1:22" hidden="1">
      <c r="A3115">
        <v>3314</v>
      </c>
      <c r="B3115">
        <v>2203</v>
      </c>
      <c r="C3115">
        <v>6469</v>
      </c>
      <c r="D3115">
        <v>6852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 t="s">
        <v>20</v>
      </c>
      <c r="L3115" s="1">
        <v>44826</v>
      </c>
      <c r="M3115">
        <v>61</v>
      </c>
      <c r="N3115">
        <v>84</v>
      </c>
      <c r="O3115">
        <v>2091</v>
      </c>
      <c r="P3115">
        <v>2106</v>
      </c>
      <c r="Q3115">
        <v>2091</v>
      </c>
      <c r="S3115">
        <v>3196</v>
      </c>
      <c r="T3115">
        <v>3645</v>
      </c>
      <c r="U3115">
        <f>+SUM(Table1[[#This Row],[Latinos]:[Cemex]])</f>
        <v>1</v>
      </c>
      <c r="V3115" t="str">
        <f>+Table1[[#This Row],[id_destino]]&amp;" - "&amp;Table1[[#This Row],[id_origen]]</f>
        <v>61 - 84</v>
      </c>
    </row>
    <row r="3116" spans="1:22" hidden="1">
      <c r="A3116">
        <v>3325</v>
      </c>
      <c r="B3116">
        <v>3907</v>
      </c>
      <c r="C3116">
        <v>6469</v>
      </c>
      <c r="D3116">
        <v>6940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0</v>
      </c>
      <c r="K3116" t="s">
        <v>20</v>
      </c>
      <c r="L3116" s="1">
        <v>44831</v>
      </c>
      <c r="M3116">
        <v>62</v>
      </c>
      <c r="N3116">
        <v>84</v>
      </c>
      <c r="O3116">
        <v>541</v>
      </c>
      <c r="P3116">
        <v>555</v>
      </c>
      <c r="Q3116">
        <v>541</v>
      </c>
      <c r="S3116">
        <v>693</v>
      </c>
      <c r="T3116">
        <v>693</v>
      </c>
      <c r="U3116">
        <f>+SUM(Table1[[#This Row],[Latinos]:[Cemex]])</f>
        <v>1</v>
      </c>
      <c r="V3116" t="str">
        <f>+Table1[[#This Row],[id_destino]]&amp;" - "&amp;Table1[[#This Row],[id_origen]]</f>
        <v>62 - 84</v>
      </c>
    </row>
    <row r="3117" spans="1:22" hidden="1">
      <c r="A3117">
        <v>3265</v>
      </c>
      <c r="B3117">
        <v>3875</v>
      </c>
      <c r="C3117">
        <v>6469</v>
      </c>
      <c r="D3117">
        <v>7020</v>
      </c>
      <c r="E3117">
        <v>0</v>
      </c>
      <c r="F3117">
        <v>1</v>
      </c>
      <c r="G3117">
        <v>0</v>
      </c>
      <c r="H3117">
        <v>0</v>
      </c>
      <c r="I3117">
        <v>0</v>
      </c>
      <c r="J3117">
        <v>0</v>
      </c>
      <c r="K3117" t="s">
        <v>20</v>
      </c>
      <c r="L3117" s="1">
        <v>44798</v>
      </c>
      <c r="M3117">
        <v>63</v>
      </c>
      <c r="N3117">
        <v>84</v>
      </c>
      <c r="O3117">
        <v>725</v>
      </c>
      <c r="P3117">
        <v>811</v>
      </c>
      <c r="Q3117">
        <v>725</v>
      </c>
      <c r="S3117">
        <v>1469</v>
      </c>
      <c r="T3117">
        <v>1560</v>
      </c>
      <c r="U3117">
        <f>+SUM(Table1[[#This Row],[Latinos]:[Cemex]])</f>
        <v>1</v>
      </c>
      <c r="V3117" t="str">
        <f>+Table1[[#This Row],[id_destino]]&amp;" - "&amp;Table1[[#This Row],[id_origen]]</f>
        <v>63 - 84</v>
      </c>
    </row>
    <row r="3118" spans="1:22" hidden="1">
      <c r="A3118">
        <v>3368</v>
      </c>
      <c r="B3118">
        <v>3940</v>
      </c>
      <c r="C3118">
        <v>6469</v>
      </c>
      <c r="D3118">
        <v>7085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0</v>
      </c>
      <c r="K3118" t="s">
        <v>20</v>
      </c>
      <c r="L3118" s="1">
        <v>44852</v>
      </c>
      <c r="M3118">
        <v>64</v>
      </c>
      <c r="N3118">
        <v>84</v>
      </c>
      <c r="O3118">
        <v>311</v>
      </c>
      <c r="P3118">
        <v>312</v>
      </c>
      <c r="Q3118">
        <v>311</v>
      </c>
      <c r="S3118">
        <v>153</v>
      </c>
      <c r="T3118">
        <v>153</v>
      </c>
      <c r="U3118">
        <f>+SUM(Table1[[#This Row],[Latinos]:[Cemex]])</f>
        <v>1</v>
      </c>
      <c r="V3118" t="str">
        <f>+Table1[[#This Row],[id_destino]]&amp;" - "&amp;Table1[[#This Row],[id_origen]]</f>
        <v>64 - 84</v>
      </c>
    </row>
    <row r="3119" spans="1:22" hidden="1">
      <c r="A3119">
        <v>3180</v>
      </c>
      <c r="B3119">
        <v>3824</v>
      </c>
      <c r="C3119">
        <v>6469</v>
      </c>
      <c r="D3119">
        <v>6820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 t="s">
        <v>20</v>
      </c>
      <c r="L3119" s="1">
        <v>44760</v>
      </c>
      <c r="M3119">
        <v>65</v>
      </c>
      <c r="N3119">
        <v>84</v>
      </c>
      <c r="O3119">
        <v>1053</v>
      </c>
      <c r="P3119">
        <v>1080</v>
      </c>
      <c r="Q3119">
        <v>1053</v>
      </c>
      <c r="S3119">
        <v>2048</v>
      </c>
      <c r="T3119">
        <v>1662</v>
      </c>
      <c r="U3119">
        <f>+SUM(Table1[[#This Row],[Latinos]:[Cemex]])</f>
        <v>1</v>
      </c>
      <c r="V3119" t="str">
        <f>+Table1[[#This Row],[id_destino]]&amp;" - "&amp;Table1[[#This Row],[id_origen]]</f>
        <v>65 - 84</v>
      </c>
    </row>
    <row r="3120" spans="1:22" hidden="1">
      <c r="A3120">
        <v>3722</v>
      </c>
      <c r="B3120">
        <v>4185</v>
      </c>
      <c r="C3120">
        <v>6469</v>
      </c>
      <c r="D3120">
        <v>4197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 t="s">
        <v>20</v>
      </c>
      <c r="L3120" s="1">
        <v>45050</v>
      </c>
      <c r="M3120">
        <v>71</v>
      </c>
      <c r="N3120">
        <v>84</v>
      </c>
      <c r="O3120">
        <v>888</v>
      </c>
      <c r="P3120">
        <v>834</v>
      </c>
      <c r="Q3120">
        <v>888</v>
      </c>
      <c r="S3120">
        <v>1833</v>
      </c>
      <c r="T3120">
        <v>1871</v>
      </c>
      <c r="U3120">
        <f>+SUM(Table1[[#This Row],[Latinos]:[Cemex]])</f>
        <v>1</v>
      </c>
      <c r="V3120" t="str">
        <f>+Table1[[#This Row],[id_destino]]&amp;" - "&amp;Table1[[#This Row],[id_origen]]</f>
        <v>71 - 84</v>
      </c>
    </row>
    <row r="3121" spans="1:22" hidden="1">
      <c r="A3121">
        <v>2883</v>
      </c>
      <c r="B3121">
        <v>3633</v>
      </c>
      <c r="C3121">
        <v>6469</v>
      </c>
      <c r="D3121">
        <v>6768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 t="s">
        <v>20</v>
      </c>
      <c r="L3121" s="1">
        <v>44587</v>
      </c>
      <c r="M3121">
        <v>83</v>
      </c>
      <c r="N3121">
        <v>84</v>
      </c>
      <c r="O3121">
        <v>41</v>
      </c>
      <c r="P3121">
        <v>150</v>
      </c>
      <c r="Q3121">
        <v>51</v>
      </c>
      <c r="S3121">
        <v>171</v>
      </c>
      <c r="T3121">
        <v>171</v>
      </c>
      <c r="U3121">
        <f>+SUM(Table1[[#This Row],[Latinos]:[Cemex]])</f>
        <v>1</v>
      </c>
      <c r="V3121" t="str">
        <f>+Table1[[#This Row],[id_destino]]&amp;" - "&amp;Table1[[#This Row],[id_origen]]</f>
        <v>83 - 84</v>
      </c>
    </row>
    <row r="3122" spans="1:22" hidden="1">
      <c r="A3122">
        <v>1660</v>
      </c>
      <c r="B3122">
        <v>2872</v>
      </c>
      <c r="C3122">
        <v>3601</v>
      </c>
      <c r="D3122">
        <v>990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 t="s">
        <v>20</v>
      </c>
      <c r="L3122" s="1">
        <v>43552</v>
      </c>
      <c r="M3122">
        <v>84</v>
      </c>
      <c r="N3122">
        <v>84</v>
      </c>
      <c r="O3122">
        <v>50</v>
      </c>
      <c r="P3122">
        <v>150</v>
      </c>
      <c r="Q3122">
        <v>50</v>
      </c>
      <c r="S3122">
        <v>0</v>
      </c>
      <c r="T3122">
        <v>0</v>
      </c>
      <c r="U3122">
        <f>+SUM(Table1[[#This Row],[Latinos]:[Cemex]])</f>
        <v>1</v>
      </c>
      <c r="V3122" t="str">
        <f>+Table1[[#This Row],[id_destino]]&amp;" - "&amp;Table1[[#This Row],[id_origen]]</f>
        <v>84 - 84</v>
      </c>
    </row>
    <row r="3123" spans="1:22" hidden="1">
      <c r="A3123">
        <v>3345</v>
      </c>
      <c r="B3123">
        <v>3924</v>
      </c>
      <c r="C3123">
        <v>6469</v>
      </c>
      <c r="D3123">
        <v>7066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 t="s">
        <v>20</v>
      </c>
      <c r="L3123" s="1">
        <v>44842</v>
      </c>
      <c r="M3123">
        <v>89</v>
      </c>
      <c r="N3123">
        <v>84</v>
      </c>
      <c r="O3123">
        <v>246</v>
      </c>
      <c r="P3123">
        <v>246</v>
      </c>
      <c r="Q3123">
        <v>246</v>
      </c>
      <c r="S3123">
        <v>19</v>
      </c>
      <c r="T3123">
        <v>19</v>
      </c>
      <c r="U3123">
        <f>+SUM(Table1[[#This Row],[Latinos]:[Cemex]])</f>
        <v>1</v>
      </c>
      <c r="V3123" t="str">
        <f>+Table1[[#This Row],[id_destino]]&amp;" - "&amp;Table1[[#This Row],[id_origen]]</f>
        <v>89 - 84</v>
      </c>
    </row>
    <row r="3124" spans="1:22" hidden="1">
      <c r="A3124">
        <v>3369</v>
      </c>
      <c r="B3124">
        <v>3941</v>
      </c>
      <c r="C3124">
        <v>6469</v>
      </c>
      <c r="D3124">
        <v>7086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 t="s">
        <v>20</v>
      </c>
      <c r="L3124" s="1">
        <v>44852</v>
      </c>
      <c r="M3124">
        <v>101</v>
      </c>
      <c r="N3124">
        <v>84</v>
      </c>
      <c r="O3124">
        <v>342</v>
      </c>
      <c r="P3124">
        <v>334</v>
      </c>
      <c r="Q3124">
        <v>342</v>
      </c>
      <c r="S3124">
        <v>403</v>
      </c>
      <c r="T3124">
        <v>403</v>
      </c>
      <c r="U3124">
        <f>+SUM(Table1[[#This Row],[Latinos]:[Cemex]])</f>
        <v>1</v>
      </c>
      <c r="V3124" t="str">
        <f>+Table1[[#This Row],[id_destino]]&amp;" - "&amp;Table1[[#This Row],[id_origen]]</f>
        <v>101 - 84</v>
      </c>
    </row>
    <row r="3125" spans="1:22" hidden="1">
      <c r="A3125">
        <v>3255</v>
      </c>
      <c r="B3125">
        <v>3867</v>
      </c>
      <c r="C3125">
        <v>6469</v>
      </c>
      <c r="D3125">
        <v>7018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0</v>
      </c>
      <c r="K3125" t="s">
        <v>20</v>
      </c>
      <c r="L3125" s="1">
        <v>45206</v>
      </c>
      <c r="M3125">
        <v>111</v>
      </c>
      <c r="N3125">
        <v>84</v>
      </c>
      <c r="O3125">
        <v>1508</v>
      </c>
      <c r="P3125">
        <v>1499</v>
      </c>
      <c r="Q3125">
        <v>1508</v>
      </c>
      <c r="S3125">
        <v>5686</v>
      </c>
      <c r="T3125">
        <v>6228</v>
      </c>
      <c r="U3125">
        <f>+SUM(Table1[[#This Row],[Latinos]:[Cemex]])</f>
        <v>1</v>
      </c>
      <c r="V3125" t="str">
        <f>+Table1[[#This Row],[id_destino]]&amp;" - "&amp;Table1[[#This Row],[id_origen]]</f>
        <v>111 - 84</v>
      </c>
    </row>
    <row r="3126" spans="1:22" hidden="1">
      <c r="A3126">
        <v>3187</v>
      </c>
      <c r="B3126">
        <v>3828</v>
      </c>
      <c r="C3126">
        <v>6469</v>
      </c>
      <c r="D3126">
        <v>6952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 t="s">
        <v>20</v>
      </c>
      <c r="L3126" s="1">
        <v>44762</v>
      </c>
      <c r="M3126">
        <v>116</v>
      </c>
      <c r="N3126">
        <v>84</v>
      </c>
      <c r="O3126">
        <v>1029</v>
      </c>
      <c r="P3126">
        <v>1026</v>
      </c>
      <c r="Q3126">
        <v>1029</v>
      </c>
      <c r="S3126">
        <v>1373</v>
      </c>
      <c r="T3126">
        <v>1373</v>
      </c>
      <c r="U3126">
        <f>+SUM(Table1[[#This Row],[Latinos]:[Cemex]])</f>
        <v>1</v>
      </c>
      <c r="V3126" t="str">
        <f>+Table1[[#This Row],[id_destino]]&amp;" - "&amp;Table1[[#This Row],[id_origen]]</f>
        <v>116 - 84</v>
      </c>
    </row>
    <row r="3127" spans="1:22" hidden="1">
      <c r="A3127">
        <v>529</v>
      </c>
      <c r="B3127">
        <v>1773</v>
      </c>
      <c r="C3127">
        <v>977</v>
      </c>
      <c r="D3127">
        <v>1584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 t="s">
        <v>20</v>
      </c>
      <c r="L3127" s="1">
        <v>43425</v>
      </c>
      <c r="M3127">
        <v>118</v>
      </c>
      <c r="N3127">
        <v>84</v>
      </c>
      <c r="O3127">
        <v>2325</v>
      </c>
      <c r="P3127">
        <v>2335</v>
      </c>
      <c r="Q3127">
        <v>2325</v>
      </c>
      <c r="S3127">
        <v>3641</v>
      </c>
      <c r="T3127">
        <v>4102</v>
      </c>
      <c r="U3127">
        <f>+SUM(Table1[[#This Row],[Latinos]:[Cemex]])</f>
        <v>1</v>
      </c>
      <c r="V3127" t="str">
        <f>+Table1[[#This Row],[id_destino]]&amp;" - "&amp;Table1[[#This Row],[id_origen]]</f>
        <v>118 - 84</v>
      </c>
    </row>
    <row r="3128" spans="1:22" hidden="1">
      <c r="A3128">
        <v>3271</v>
      </c>
      <c r="B3128">
        <v>3880</v>
      </c>
      <c r="C3128">
        <v>6469</v>
      </c>
      <c r="D3128">
        <v>7019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 t="s">
        <v>20</v>
      </c>
      <c r="L3128" s="1">
        <v>44798</v>
      </c>
      <c r="M3128">
        <v>119</v>
      </c>
      <c r="N3128">
        <v>84</v>
      </c>
      <c r="O3128">
        <v>1633</v>
      </c>
      <c r="P3128">
        <v>1633</v>
      </c>
      <c r="Q3128">
        <v>1633</v>
      </c>
      <c r="S3128">
        <v>4318</v>
      </c>
      <c r="T3128">
        <v>4762</v>
      </c>
      <c r="U3128">
        <f>+SUM(Table1[[#This Row],[Latinos]:[Cemex]])</f>
        <v>1</v>
      </c>
      <c r="V3128" t="str">
        <f>+Table1[[#This Row],[id_destino]]&amp;" - "&amp;Table1[[#This Row],[id_origen]]</f>
        <v>119 - 84</v>
      </c>
    </row>
    <row r="3129" spans="1:22" hidden="1">
      <c r="A3129">
        <v>3136</v>
      </c>
      <c r="B3129">
        <v>3796</v>
      </c>
      <c r="C3129">
        <v>6469</v>
      </c>
      <c r="D3129">
        <v>6951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0</v>
      </c>
      <c r="K3129" t="s">
        <v>20</v>
      </c>
      <c r="L3129" s="1">
        <v>44736</v>
      </c>
      <c r="M3129">
        <v>121</v>
      </c>
      <c r="N3129">
        <v>84</v>
      </c>
      <c r="O3129">
        <v>693</v>
      </c>
      <c r="P3129">
        <v>747</v>
      </c>
      <c r="Q3129">
        <v>693</v>
      </c>
      <c r="S3129">
        <v>1184</v>
      </c>
      <c r="T3129">
        <v>1184</v>
      </c>
      <c r="U3129">
        <f>+SUM(Table1[[#This Row],[Latinos]:[Cemex]])</f>
        <v>1</v>
      </c>
      <c r="V3129" t="str">
        <f>+Table1[[#This Row],[id_destino]]&amp;" - "&amp;Table1[[#This Row],[id_origen]]</f>
        <v>121 - 84</v>
      </c>
    </row>
    <row r="3130" spans="1:22" hidden="1">
      <c r="A3130">
        <v>3978</v>
      </c>
      <c r="B3130">
        <v>3796</v>
      </c>
      <c r="C3130">
        <v>6469</v>
      </c>
      <c r="D3130">
        <v>6951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  <c r="K3130" t="s">
        <v>20</v>
      </c>
      <c r="L3130" s="1">
        <v>45213</v>
      </c>
      <c r="M3130">
        <v>121</v>
      </c>
      <c r="N3130">
        <v>84</v>
      </c>
      <c r="O3130">
        <v>0</v>
      </c>
      <c r="P3130">
        <v>150</v>
      </c>
      <c r="Q3130">
        <v>0</v>
      </c>
      <c r="S3130">
        <v>0</v>
      </c>
      <c r="T3130">
        <v>0</v>
      </c>
      <c r="U3130">
        <f>+SUM(Table1[[#This Row],[Latinos]:[Cemex]])</f>
        <v>1</v>
      </c>
      <c r="V3130" t="str">
        <f>+Table1[[#This Row],[id_destino]]&amp;" - "&amp;Table1[[#This Row],[id_origen]]</f>
        <v>121 - 84</v>
      </c>
    </row>
    <row r="3131" spans="1:22" hidden="1">
      <c r="A3131">
        <v>3324</v>
      </c>
      <c r="B3131">
        <v>3906</v>
      </c>
      <c r="C3131">
        <v>6469</v>
      </c>
      <c r="D3131">
        <v>6972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 t="s">
        <v>53</v>
      </c>
      <c r="L3131" s="1">
        <v>44831</v>
      </c>
      <c r="M3131">
        <v>123</v>
      </c>
      <c r="N3131">
        <v>84</v>
      </c>
      <c r="O3131">
        <v>1305</v>
      </c>
      <c r="P3131">
        <v>1361</v>
      </c>
      <c r="Q3131">
        <v>1305</v>
      </c>
      <c r="S3131">
        <v>3744</v>
      </c>
      <c r="T3131">
        <v>4176</v>
      </c>
      <c r="U3131">
        <f>+SUM(Table1[[#This Row],[Latinos]:[Cemex]])</f>
        <v>1</v>
      </c>
      <c r="V3131" t="str">
        <f>+Table1[[#This Row],[id_destino]]&amp;" - "&amp;Table1[[#This Row],[id_origen]]</f>
        <v>123 - 84</v>
      </c>
    </row>
    <row r="3132" spans="1:22" hidden="1">
      <c r="A3132">
        <v>3549</v>
      </c>
      <c r="B3132">
        <v>4064</v>
      </c>
      <c r="C3132">
        <v>6469</v>
      </c>
      <c r="D3132">
        <v>6972</v>
      </c>
      <c r="E3132">
        <v>0</v>
      </c>
      <c r="F3132">
        <v>1</v>
      </c>
      <c r="G3132">
        <v>0</v>
      </c>
      <c r="H3132">
        <v>0</v>
      </c>
      <c r="I3132">
        <v>1</v>
      </c>
      <c r="J3132">
        <v>0</v>
      </c>
      <c r="K3132" t="s">
        <v>102</v>
      </c>
      <c r="L3132" s="1">
        <v>44956</v>
      </c>
      <c r="M3132">
        <v>123</v>
      </c>
      <c r="N3132">
        <v>84</v>
      </c>
      <c r="O3132">
        <v>3722</v>
      </c>
      <c r="P3132">
        <v>932</v>
      </c>
      <c r="Q3132">
        <v>3722</v>
      </c>
      <c r="S3132">
        <v>5201</v>
      </c>
      <c r="T3132">
        <v>4364</v>
      </c>
      <c r="U3132">
        <f>+SUM(Table1[[#This Row],[Latinos]:[Cemex]])</f>
        <v>2</v>
      </c>
      <c r="V3132" t="str">
        <f>+Table1[[#This Row],[id_destino]]&amp;" - "&amp;Table1[[#This Row],[id_origen]]</f>
        <v>123 - 84</v>
      </c>
    </row>
    <row r="3133" spans="1:22" hidden="1">
      <c r="A3133">
        <v>3254</v>
      </c>
      <c r="B3133">
        <v>3866</v>
      </c>
      <c r="C3133">
        <v>6469</v>
      </c>
      <c r="D3133">
        <v>6986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 t="s">
        <v>20</v>
      </c>
      <c r="L3133" s="1">
        <v>44797</v>
      </c>
      <c r="M3133">
        <v>126</v>
      </c>
      <c r="N3133">
        <v>84</v>
      </c>
      <c r="O3133">
        <v>1724</v>
      </c>
      <c r="P3133">
        <v>1683</v>
      </c>
      <c r="Q3133">
        <v>1724</v>
      </c>
      <c r="S3133">
        <v>3148</v>
      </c>
      <c r="T3133">
        <v>2570</v>
      </c>
      <c r="U3133">
        <f>+SUM(Table1[[#This Row],[Latinos]:[Cemex]])</f>
        <v>1</v>
      </c>
      <c r="V3133" t="str">
        <f>+Table1[[#This Row],[id_destino]]&amp;" - "&amp;Table1[[#This Row],[id_origen]]</f>
        <v>126 - 84</v>
      </c>
    </row>
    <row r="3134" spans="1:22" hidden="1">
      <c r="A3134">
        <v>3104</v>
      </c>
      <c r="B3134">
        <v>3778</v>
      </c>
      <c r="C3134">
        <v>6469</v>
      </c>
      <c r="D3134">
        <v>6934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 t="s">
        <v>20</v>
      </c>
      <c r="L3134" s="1">
        <v>44728</v>
      </c>
      <c r="M3134">
        <v>134</v>
      </c>
      <c r="N3134">
        <v>84</v>
      </c>
      <c r="O3134">
        <v>2068</v>
      </c>
      <c r="P3134">
        <v>2107</v>
      </c>
      <c r="Q3134">
        <v>2068</v>
      </c>
      <c r="S3134">
        <v>4231</v>
      </c>
      <c r="T3134">
        <v>4273</v>
      </c>
      <c r="U3134">
        <f>+SUM(Table1[[#This Row],[Latinos]:[Cemex]])</f>
        <v>1</v>
      </c>
      <c r="V3134" t="str">
        <f>+Table1[[#This Row],[id_destino]]&amp;" - "&amp;Table1[[#This Row],[id_origen]]</f>
        <v>134 - 84</v>
      </c>
    </row>
    <row r="3135" spans="1:22" hidden="1">
      <c r="A3135">
        <v>3127</v>
      </c>
      <c r="B3135">
        <v>3791</v>
      </c>
      <c r="C3135">
        <v>6469</v>
      </c>
      <c r="D3135">
        <v>6946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</v>
      </c>
      <c r="K3135" t="s">
        <v>20</v>
      </c>
      <c r="L3135" s="1">
        <v>44735</v>
      </c>
      <c r="M3135">
        <v>145</v>
      </c>
      <c r="N3135">
        <v>84</v>
      </c>
      <c r="O3135">
        <v>1030</v>
      </c>
      <c r="P3135">
        <v>1090</v>
      </c>
      <c r="Q3135">
        <v>1030</v>
      </c>
      <c r="S3135">
        <v>1872</v>
      </c>
      <c r="T3135">
        <v>1872</v>
      </c>
      <c r="U3135">
        <f>+SUM(Table1[[#This Row],[Latinos]:[Cemex]])</f>
        <v>1</v>
      </c>
      <c r="V3135" t="str">
        <f>+Table1[[#This Row],[id_destino]]&amp;" - "&amp;Table1[[#This Row],[id_origen]]</f>
        <v>145 - 84</v>
      </c>
    </row>
    <row r="3136" spans="1:22" hidden="1">
      <c r="A3136">
        <v>3342</v>
      </c>
      <c r="B3136">
        <v>3921</v>
      </c>
      <c r="C3136">
        <v>6469</v>
      </c>
      <c r="D3136">
        <v>7062</v>
      </c>
      <c r="E3136">
        <v>0</v>
      </c>
      <c r="F3136">
        <v>1</v>
      </c>
      <c r="G3136">
        <v>0</v>
      </c>
      <c r="H3136">
        <v>0</v>
      </c>
      <c r="I3136">
        <v>0</v>
      </c>
      <c r="J3136">
        <v>0</v>
      </c>
      <c r="K3136" t="s">
        <v>20</v>
      </c>
      <c r="L3136" s="1">
        <v>44841</v>
      </c>
      <c r="M3136">
        <v>152</v>
      </c>
      <c r="N3136">
        <v>84</v>
      </c>
      <c r="O3136">
        <v>1189</v>
      </c>
      <c r="P3136">
        <v>1192</v>
      </c>
      <c r="Q3136">
        <v>1189</v>
      </c>
      <c r="S3136">
        <v>3677</v>
      </c>
      <c r="T3136">
        <v>4072</v>
      </c>
      <c r="U3136">
        <f>+SUM(Table1[[#This Row],[Latinos]:[Cemex]])</f>
        <v>1</v>
      </c>
      <c r="V3136" t="str">
        <f>+Table1[[#This Row],[id_destino]]&amp;" - "&amp;Table1[[#This Row],[id_origen]]</f>
        <v>152 - 84</v>
      </c>
    </row>
    <row r="3137" spans="1:22" hidden="1">
      <c r="A3137">
        <v>3581</v>
      </c>
      <c r="B3137">
        <v>580</v>
      </c>
      <c r="C3137">
        <v>6469</v>
      </c>
      <c r="D3137">
        <v>2111</v>
      </c>
      <c r="E3137">
        <v>0</v>
      </c>
      <c r="F3137">
        <v>1</v>
      </c>
      <c r="G3137">
        <v>0</v>
      </c>
      <c r="H3137">
        <v>0</v>
      </c>
      <c r="I3137">
        <v>1</v>
      </c>
      <c r="J3137">
        <v>0</v>
      </c>
      <c r="K3137" t="s">
        <v>20</v>
      </c>
      <c r="L3137" s="1">
        <v>44965</v>
      </c>
      <c r="M3137">
        <v>155</v>
      </c>
      <c r="N3137">
        <v>84</v>
      </c>
      <c r="O3137">
        <v>3722</v>
      </c>
      <c r="P3137">
        <v>932</v>
      </c>
      <c r="Q3137">
        <v>3722</v>
      </c>
      <c r="S3137">
        <v>5201</v>
      </c>
      <c r="T3137">
        <v>4364</v>
      </c>
      <c r="U3137">
        <f>+SUM(Table1[[#This Row],[Latinos]:[Cemex]])</f>
        <v>2</v>
      </c>
      <c r="V3137" t="str">
        <f>+Table1[[#This Row],[id_destino]]&amp;" - "&amp;Table1[[#This Row],[id_origen]]</f>
        <v>155 - 84</v>
      </c>
    </row>
    <row r="3138" spans="1:22" hidden="1">
      <c r="A3138">
        <v>3356</v>
      </c>
      <c r="B3138">
        <v>3932</v>
      </c>
      <c r="C3138">
        <v>6469</v>
      </c>
      <c r="D3138">
        <v>7077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0</v>
      </c>
      <c r="K3138" t="s">
        <v>20</v>
      </c>
      <c r="L3138" s="1">
        <v>44847</v>
      </c>
      <c r="M3138">
        <v>159</v>
      </c>
      <c r="N3138">
        <v>84</v>
      </c>
      <c r="O3138">
        <v>1376</v>
      </c>
      <c r="P3138">
        <v>1440</v>
      </c>
      <c r="Q3138">
        <v>1376</v>
      </c>
      <c r="S3138">
        <v>4022</v>
      </c>
      <c r="T3138">
        <v>4466</v>
      </c>
      <c r="U3138">
        <f>+SUM(Table1[[#This Row],[Latinos]:[Cemex]])</f>
        <v>1</v>
      </c>
      <c r="V3138" t="str">
        <f>+Table1[[#This Row],[id_destino]]&amp;" - "&amp;Table1[[#This Row],[id_origen]]</f>
        <v>159 - 84</v>
      </c>
    </row>
    <row r="3139" spans="1:22" hidden="1">
      <c r="A3139">
        <v>3139</v>
      </c>
      <c r="B3139">
        <v>3798</v>
      </c>
      <c r="C3139">
        <v>6469</v>
      </c>
      <c r="D3139">
        <v>6949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 t="s">
        <v>20</v>
      </c>
      <c r="L3139" s="1">
        <v>44737</v>
      </c>
      <c r="M3139">
        <v>167</v>
      </c>
      <c r="N3139">
        <v>84</v>
      </c>
      <c r="O3139">
        <v>1460</v>
      </c>
      <c r="P3139">
        <v>1460</v>
      </c>
      <c r="Q3139">
        <v>1460</v>
      </c>
      <c r="S3139">
        <v>2833</v>
      </c>
      <c r="T3139">
        <v>2833</v>
      </c>
      <c r="U3139">
        <f>+SUM(Table1[[#This Row],[Latinos]:[Cemex]])</f>
        <v>1</v>
      </c>
      <c r="V3139" t="str">
        <f>+Table1[[#This Row],[id_destino]]&amp;" - "&amp;Table1[[#This Row],[id_origen]]</f>
        <v>167 - 84</v>
      </c>
    </row>
    <row r="3140" spans="1:22" hidden="1">
      <c r="A3140">
        <v>3048</v>
      </c>
      <c r="B3140">
        <v>3744</v>
      </c>
      <c r="C3140">
        <v>6469</v>
      </c>
      <c r="D3140">
        <v>6886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 t="s">
        <v>20</v>
      </c>
      <c r="L3140" s="1">
        <v>44707</v>
      </c>
      <c r="M3140">
        <v>169</v>
      </c>
      <c r="N3140">
        <v>84</v>
      </c>
      <c r="O3140">
        <v>745</v>
      </c>
      <c r="P3140">
        <v>739</v>
      </c>
      <c r="Q3140">
        <v>745</v>
      </c>
      <c r="S3140">
        <v>1391</v>
      </c>
      <c r="T3140">
        <v>1391</v>
      </c>
      <c r="U3140">
        <f>+SUM(Table1[[#This Row],[Latinos]:[Cemex]])</f>
        <v>1</v>
      </c>
      <c r="V3140" t="str">
        <f>+Table1[[#This Row],[id_destino]]&amp;" - "&amp;Table1[[#This Row],[id_origen]]</f>
        <v>169 - 84</v>
      </c>
    </row>
    <row r="3141" spans="1:22" hidden="1">
      <c r="A3141">
        <v>496</v>
      </c>
      <c r="B3141">
        <v>1944</v>
      </c>
      <c r="C3141">
        <v>977</v>
      </c>
      <c r="D3141">
        <v>5385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 t="s">
        <v>20</v>
      </c>
      <c r="L3141" s="1">
        <v>44613</v>
      </c>
      <c r="M3141">
        <v>179</v>
      </c>
      <c r="N3141">
        <v>84</v>
      </c>
      <c r="O3141">
        <v>1764</v>
      </c>
      <c r="P3141">
        <v>1530</v>
      </c>
      <c r="Q3141">
        <v>1740</v>
      </c>
      <c r="S3141">
        <v>2380</v>
      </c>
      <c r="T3141">
        <v>2748</v>
      </c>
      <c r="U3141">
        <f>+SUM(Table1[[#This Row],[Latinos]:[Cemex]])</f>
        <v>1</v>
      </c>
      <c r="V3141" t="str">
        <f>+Table1[[#This Row],[id_destino]]&amp;" - "&amp;Table1[[#This Row],[id_origen]]</f>
        <v>179 - 84</v>
      </c>
    </row>
    <row r="3142" spans="1:22" hidden="1">
      <c r="A3142">
        <v>3030</v>
      </c>
      <c r="B3142">
        <v>3729</v>
      </c>
      <c r="C3142">
        <v>6469</v>
      </c>
      <c r="D3142">
        <v>6896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0</v>
      </c>
      <c r="K3142" t="s">
        <v>20</v>
      </c>
      <c r="L3142" s="1">
        <v>44699</v>
      </c>
      <c r="M3142">
        <v>180</v>
      </c>
      <c r="N3142">
        <v>84</v>
      </c>
      <c r="O3142">
        <v>191</v>
      </c>
      <c r="P3142">
        <v>196</v>
      </c>
      <c r="Q3142">
        <v>191</v>
      </c>
      <c r="S3142">
        <v>555</v>
      </c>
      <c r="T3142">
        <v>555</v>
      </c>
      <c r="U3142">
        <f>+SUM(Table1[[#This Row],[Latinos]:[Cemex]])</f>
        <v>1</v>
      </c>
      <c r="V3142" t="str">
        <f>+Table1[[#This Row],[id_destino]]&amp;" - "&amp;Table1[[#This Row],[id_origen]]</f>
        <v>180 - 84</v>
      </c>
    </row>
    <row r="3143" spans="1:22" hidden="1">
      <c r="A3143">
        <v>4749</v>
      </c>
      <c r="B3143">
        <v>1815</v>
      </c>
      <c r="C3143">
        <v>7825</v>
      </c>
      <c r="D3143">
        <v>1302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 t="s">
        <v>122</v>
      </c>
      <c r="L3143" s="1">
        <v>45783</v>
      </c>
      <c r="M3143">
        <v>189</v>
      </c>
      <c r="N3143">
        <v>84</v>
      </c>
      <c r="O3143">
        <v>1039</v>
      </c>
      <c r="P3143">
        <v>1069</v>
      </c>
      <c r="Q3143">
        <v>1039</v>
      </c>
      <c r="S3143">
        <v>4548</v>
      </c>
      <c r="T3143">
        <v>4999</v>
      </c>
      <c r="U3143">
        <f>+SUM(Table1[[#This Row],[Latinos]:[Cemex]])</f>
        <v>1</v>
      </c>
      <c r="V3143" t="str">
        <f>+Table1[[#This Row],[id_destino]]&amp;" - "&amp;Table1[[#This Row],[id_origen]]</f>
        <v>189 - 84</v>
      </c>
    </row>
    <row r="3144" spans="1:22" hidden="1">
      <c r="A3144">
        <v>4752</v>
      </c>
      <c r="B3144">
        <v>1815</v>
      </c>
      <c r="C3144">
        <v>7825</v>
      </c>
      <c r="D3144">
        <v>1302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  <c r="K3144" t="s">
        <v>20</v>
      </c>
      <c r="L3144" s="1">
        <v>45785</v>
      </c>
      <c r="M3144">
        <v>189</v>
      </c>
      <c r="N3144">
        <v>84</v>
      </c>
      <c r="O3144">
        <v>1039</v>
      </c>
      <c r="P3144">
        <v>1039</v>
      </c>
      <c r="Q3144">
        <v>1033</v>
      </c>
      <c r="S3144">
        <v>0</v>
      </c>
      <c r="T3144">
        <v>0</v>
      </c>
      <c r="U3144">
        <f>+SUM(Table1[[#This Row],[Latinos]:[Cemex]])</f>
        <v>1</v>
      </c>
      <c r="V3144" t="str">
        <f>+Table1[[#This Row],[id_destino]]&amp;" - "&amp;Table1[[#This Row],[id_origen]]</f>
        <v>189 - 84</v>
      </c>
    </row>
    <row r="3145" spans="1:22" hidden="1">
      <c r="A3145">
        <v>3328</v>
      </c>
      <c r="B3145">
        <v>3909</v>
      </c>
      <c r="C3145">
        <v>6469</v>
      </c>
      <c r="D3145">
        <v>7052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 t="s">
        <v>20</v>
      </c>
      <c r="L3145" s="1">
        <v>44832</v>
      </c>
      <c r="M3145">
        <v>190</v>
      </c>
      <c r="N3145">
        <v>84</v>
      </c>
      <c r="O3145">
        <v>302</v>
      </c>
      <c r="P3145">
        <v>276</v>
      </c>
      <c r="Q3145">
        <v>302</v>
      </c>
      <c r="S3145">
        <v>192</v>
      </c>
      <c r="T3145">
        <v>192</v>
      </c>
      <c r="U3145">
        <f>+SUM(Table1[[#This Row],[Latinos]:[Cemex]])</f>
        <v>1</v>
      </c>
      <c r="V3145" t="str">
        <f>+Table1[[#This Row],[id_destino]]&amp;" - "&amp;Table1[[#This Row],[id_origen]]</f>
        <v>190 - 84</v>
      </c>
    </row>
    <row r="3146" spans="1:22" hidden="1">
      <c r="A3146">
        <v>3186</v>
      </c>
      <c r="B3146">
        <v>3827</v>
      </c>
      <c r="C3146">
        <v>6469</v>
      </c>
      <c r="D3146">
        <v>6917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 t="s">
        <v>20</v>
      </c>
      <c r="L3146" s="1">
        <v>44762</v>
      </c>
      <c r="M3146">
        <v>212</v>
      </c>
      <c r="N3146">
        <v>84</v>
      </c>
      <c r="O3146">
        <v>1195</v>
      </c>
      <c r="P3146">
        <v>1092</v>
      </c>
      <c r="Q3146">
        <v>1195</v>
      </c>
      <c r="S3146">
        <v>1620</v>
      </c>
      <c r="T3146">
        <v>1223</v>
      </c>
      <c r="U3146">
        <f>+SUM(Table1[[#This Row],[Latinos]:[Cemex]])</f>
        <v>1</v>
      </c>
      <c r="V3146" t="str">
        <f>+Table1[[#This Row],[id_destino]]&amp;" - "&amp;Table1[[#This Row],[id_origen]]</f>
        <v>212 - 84</v>
      </c>
    </row>
    <row r="3147" spans="1:22" hidden="1">
      <c r="A3147">
        <v>3559</v>
      </c>
      <c r="B3147">
        <v>4070</v>
      </c>
      <c r="C3147">
        <v>6913</v>
      </c>
      <c r="D3147">
        <v>2506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  <c r="K3147" t="s">
        <v>20</v>
      </c>
      <c r="L3147" s="1">
        <v>44957</v>
      </c>
      <c r="M3147">
        <v>225</v>
      </c>
      <c r="N3147">
        <v>84</v>
      </c>
      <c r="O3147">
        <v>2436</v>
      </c>
      <c r="P3147">
        <v>2458</v>
      </c>
      <c r="Q3147">
        <v>2436</v>
      </c>
      <c r="S3147">
        <v>3161</v>
      </c>
      <c r="T3147">
        <v>3161</v>
      </c>
      <c r="U3147">
        <f>+SUM(Table1[[#This Row],[Latinos]:[Cemex]])</f>
        <v>1</v>
      </c>
      <c r="V3147" t="str">
        <f>+Table1[[#This Row],[id_destino]]&amp;" - "&amp;Table1[[#This Row],[id_origen]]</f>
        <v>225 - 84</v>
      </c>
    </row>
    <row r="3148" spans="1:22" hidden="1">
      <c r="A3148">
        <v>3373</v>
      </c>
      <c r="B3148">
        <v>3945</v>
      </c>
      <c r="C3148">
        <v>6469</v>
      </c>
      <c r="D3148">
        <v>7065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 t="s">
        <v>20</v>
      </c>
      <c r="L3148" s="1">
        <v>44853</v>
      </c>
      <c r="M3148">
        <v>230</v>
      </c>
      <c r="N3148">
        <v>84</v>
      </c>
      <c r="O3148">
        <v>402</v>
      </c>
      <c r="P3148">
        <v>397</v>
      </c>
      <c r="Q3148">
        <v>402</v>
      </c>
      <c r="S3148">
        <v>0</v>
      </c>
      <c r="T3148">
        <v>0</v>
      </c>
      <c r="U3148">
        <f>+SUM(Table1[[#This Row],[Latinos]:[Cemex]])</f>
        <v>1</v>
      </c>
      <c r="V3148" t="str">
        <f>+Table1[[#This Row],[id_destino]]&amp;" - "&amp;Table1[[#This Row],[id_origen]]</f>
        <v>230 - 84</v>
      </c>
    </row>
    <row r="3149" spans="1:22" hidden="1">
      <c r="A3149">
        <v>1597</v>
      </c>
      <c r="B3149">
        <v>2831</v>
      </c>
      <c r="C3149">
        <v>3601</v>
      </c>
      <c r="D3149">
        <v>5834</v>
      </c>
      <c r="E3149">
        <v>0</v>
      </c>
      <c r="F3149">
        <v>1</v>
      </c>
      <c r="G3149">
        <v>0</v>
      </c>
      <c r="H3149">
        <v>0</v>
      </c>
      <c r="I3149">
        <v>0</v>
      </c>
      <c r="J3149">
        <v>0</v>
      </c>
      <c r="K3149" t="s">
        <v>20</v>
      </c>
      <c r="L3149" s="1">
        <v>43529</v>
      </c>
      <c r="M3149">
        <v>254</v>
      </c>
      <c r="N3149">
        <v>84</v>
      </c>
      <c r="O3149">
        <v>982</v>
      </c>
      <c r="P3149">
        <v>936</v>
      </c>
      <c r="Q3149">
        <v>982</v>
      </c>
      <c r="S3149">
        <v>1126</v>
      </c>
      <c r="T3149">
        <v>1126</v>
      </c>
      <c r="U3149">
        <f>+SUM(Table1[[#This Row],[Latinos]:[Cemex]])</f>
        <v>1</v>
      </c>
      <c r="V3149" t="str">
        <f>+Table1[[#This Row],[id_destino]]&amp;" - "&amp;Table1[[#This Row],[id_origen]]</f>
        <v>254 - 84</v>
      </c>
    </row>
    <row r="3150" spans="1:22" hidden="1">
      <c r="A3150">
        <v>1613</v>
      </c>
      <c r="B3150">
        <v>2831</v>
      </c>
      <c r="C3150">
        <v>3601</v>
      </c>
      <c r="D3150">
        <v>5834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  <c r="K3150" t="s">
        <v>20</v>
      </c>
      <c r="L3150" s="1">
        <v>43530</v>
      </c>
      <c r="M3150">
        <v>254</v>
      </c>
      <c r="N3150">
        <v>84</v>
      </c>
      <c r="O3150">
        <v>982</v>
      </c>
      <c r="P3150">
        <v>936</v>
      </c>
      <c r="Q3150">
        <v>982</v>
      </c>
      <c r="S3150">
        <v>1126</v>
      </c>
      <c r="T3150">
        <v>1126</v>
      </c>
      <c r="U3150">
        <f>+SUM(Table1[[#This Row],[Latinos]:[Cemex]])</f>
        <v>1</v>
      </c>
      <c r="V3150" t="str">
        <f>+Table1[[#This Row],[id_destino]]&amp;" - "&amp;Table1[[#This Row],[id_origen]]</f>
        <v>254 - 84</v>
      </c>
    </row>
    <row r="3151" spans="1:22" hidden="1">
      <c r="A3151">
        <v>1689</v>
      </c>
      <c r="B3151">
        <v>2888</v>
      </c>
      <c r="C3151">
        <v>977</v>
      </c>
      <c r="D3151">
        <v>33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 t="s">
        <v>20</v>
      </c>
      <c r="L3151" s="1">
        <v>44518</v>
      </c>
      <c r="M3151">
        <v>260</v>
      </c>
      <c r="N3151">
        <v>84</v>
      </c>
      <c r="O3151">
        <v>1285</v>
      </c>
      <c r="P3151">
        <v>1277</v>
      </c>
      <c r="Q3151">
        <v>1285</v>
      </c>
      <c r="S3151">
        <v>5201</v>
      </c>
      <c r="T3151">
        <v>5729</v>
      </c>
      <c r="U3151">
        <f>+SUM(Table1[[#This Row],[Latinos]:[Cemex]])</f>
        <v>1</v>
      </c>
      <c r="V3151" t="str">
        <f>+Table1[[#This Row],[id_destino]]&amp;" - "&amp;Table1[[#This Row],[id_origen]]</f>
        <v>260 - 84</v>
      </c>
    </row>
    <row r="3152" spans="1:22" hidden="1">
      <c r="A3152">
        <v>3099</v>
      </c>
      <c r="B3152">
        <v>2888</v>
      </c>
      <c r="C3152">
        <v>3559</v>
      </c>
      <c r="D3152">
        <v>33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  <c r="K3152" t="s">
        <v>100</v>
      </c>
      <c r="L3152" s="1">
        <v>44726</v>
      </c>
      <c r="M3152">
        <v>260</v>
      </c>
      <c r="N3152">
        <v>84</v>
      </c>
      <c r="O3152">
        <v>0</v>
      </c>
      <c r="P3152">
        <v>150</v>
      </c>
      <c r="Q3152">
        <v>0</v>
      </c>
      <c r="S3152">
        <v>0</v>
      </c>
      <c r="T3152">
        <v>0</v>
      </c>
      <c r="U3152">
        <f>+SUM(Table1[[#This Row],[Latinos]:[Cemex]])</f>
        <v>1</v>
      </c>
      <c r="V3152" t="str">
        <f>+Table1[[#This Row],[id_destino]]&amp;" - "&amp;Table1[[#This Row],[id_origen]]</f>
        <v>260 - 84</v>
      </c>
    </row>
    <row r="3153" spans="1:22" hidden="1">
      <c r="A3153">
        <v>3270</v>
      </c>
      <c r="B3153">
        <v>3879</v>
      </c>
      <c r="C3153">
        <v>6469</v>
      </c>
      <c r="D3153">
        <v>6953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0</v>
      </c>
      <c r="K3153" t="s">
        <v>20</v>
      </c>
      <c r="L3153" s="1">
        <v>44798</v>
      </c>
      <c r="M3153">
        <v>286</v>
      </c>
      <c r="N3153">
        <v>84</v>
      </c>
      <c r="O3153">
        <v>1105</v>
      </c>
      <c r="P3153">
        <v>1138</v>
      </c>
      <c r="Q3153">
        <v>1105</v>
      </c>
      <c r="S3153">
        <v>1896</v>
      </c>
      <c r="T3153">
        <v>1896</v>
      </c>
      <c r="U3153">
        <f>+SUM(Table1[[#This Row],[Latinos]:[Cemex]])</f>
        <v>1</v>
      </c>
      <c r="V3153" t="str">
        <f>+Table1[[#This Row],[id_destino]]&amp;" - "&amp;Table1[[#This Row],[id_origen]]</f>
        <v>286 - 84</v>
      </c>
    </row>
    <row r="3154" spans="1:22" hidden="1">
      <c r="A3154">
        <v>3034</v>
      </c>
      <c r="B3154">
        <v>3733</v>
      </c>
      <c r="C3154">
        <v>6469</v>
      </c>
      <c r="D3154">
        <v>6856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0</v>
      </c>
      <c r="K3154" t="s">
        <v>20</v>
      </c>
      <c r="L3154" s="1">
        <v>44701</v>
      </c>
      <c r="M3154">
        <v>316</v>
      </c>
      <c r="N3154">
        <v>84</v>
      </c>
      <c r="O3154">
        <v>874</v>
      </c>
      <c r="P3154">
        <v>830</v>
      </c>
      <c r="Q3154">
        <v>874</v>
      </c>
      <c r="S3154">
        <v>2084</v>
      </c>
      <c r="T3154">
        <v>2122</v>
      </c>
      <c r="U3154">
        <f>+SUM(Table1[[#This Row],[Latinos]:[Cemex]])</f>
        <v>1</v>
      </c>
      <c r="V3154" t="str">
        <f>+Table1[[#This Row],[id_destino]]&amp;" - "&amp;Table1[[#This Row],[id_origen]]</f>
        <v>316 - 84</v>
      </c>
    </row>
    <row r="3155" spans="1:22" hidden="1">
      <c r="A3155">
        <v>3359</v>
      </c>
      <c r="B3155">
        <v>3935</v>
      </c>
      <c r="C3155">
        <v>6469</v>
      </c>
      <c r="D3155">
        <v>7079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 t="s">
        <v>20</v>
      </c>
      <c r="L3155" s="1">
        <v>44847</v>
      </c>
      <c r="M3155">
        <v>329</v>
      </c>
      <c r="N3155">
        <v>84</v>
      </c>
      <c r="O3155">
        <v>1503</v>
      </c>
      <c r="P3155">
        <v>1560</v>
      </c>
      <c r="Q3155">
        <v>1503</v>
      </c>
      <c r="S3155">
        <v>3070</v>
      </c>
      <c r="T3155">
        <v>3519</v>
      </c>
      <c r="U3155">
        <f>+SUM(Table1[[#This Row],[Latinos]:[Cemex]])</f>
        <v>1</v>
      </c>
      <c r="V3155" t="str">
        <f>+Table1[[#This Row],[id_destino]]&amp;" - "&amp;Table1[[#This Row],[id_origen]]</f>
        <v>329 - 84</v>
      </c>
    </row>
    <row r="3156" spans="1:22" hidden="1">
      <c r="A3156">
        <v>1548</v>
      </c>
      <c r="B3156">
        <v>2804</v>
      </c>
      <c r="C3156">
        <v>3601</v>
      </c>
      <c r="D3156">
        <v>5817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  <c r="K3156" t="s">
        <v>20</v>
      </c>
      <c r="L3156" s="1">
        <v>43502</v>
      </c>
      <c r="M3156">
        <v>374</v>
      </c>
      <c r="N3156">
        <v>84</v>
      </c>
      <c r="O3156">
        <v>1090</v>
      </c>
      <c r="P3156">
        <v>1090</v>
      </c>
      <c r="Q3156">
        <v>1090</v>
      </c>
      <c r="S3156">
        <v>896</v>
      </c>
      <c r="T3156">
        <v>950</v>
      </c>
      <c r="U3156">
        <f>+SUM(Table1[[#This Row],[Latinos]:[Cemex]])</f>
        <v>1</v>
      </c>
      <c r="V3156" t="str">
        <f>+Table1[[#This Row],[id_destino]]&amp;" - "&amp;Table1[[#This Row],[id_origen]]</f>
        <v>374 - 84</v>
      </c>
    </row>
    <row r="3157" spans="1:22" hidden="1">
      <c r="A3157">
        <v>3210</v>
      </c>
      <c r="B3157">
        <v>3365</v>
      </c>
      <c r="C3157">
        <v>6469</v>
      </c>
      <c r="D3157">
        <v>6839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 t="s">
        <v>20</v>
      </c>
      <c r="L3157" s="1">
        <v>44770</v>
      </c>
      <c r="M3157">
        <v>379</v>
      </c>
      <c r="N3157">
        <v>84</v>
      </c>
      <c r="O3157">
        <v>50</v>
      </c>
      <c r="P3157">
        <v>150</v>
      </c>
      <c r="Q3157">
        <v>50</v>
      </c>
      <c r="S3157">
        <v>0</v>
      </c>
      <c r="T3157">
        <v>0</v>
      </c>
      <c r="U3157">
        <f>+SUM(Table1[[#This Row],[Latinos]:[Cemex]])</f>
        <v>1</v>
      </c>
      <c r="V3157" t="str">
        <f>+Table1[[#This Row],[id_destino]]&amp;" - "&amp;Table1[[#This Row],[id_origen]]</f>
        <v>379 - 84</v>
      </c>
    </row>
    <row r="3158" spans="1:22" hidden="1">
      <c r="A3158">
        <v>3058</v>
      </c>
      <c r="B3158">
        <v>3748</v>
      </c>
      <c r="C3158">
        <v>6469</v>
      </c>
      <c r="D3158">
        <v>6887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  <c r="K3158" t="s">
        <v>20</v>
      </c>
      <c r="L3158" s="1">
        <v>44708</v>
      </c>
      <c r="M3158">
        <v>384</v>
      </c>
      <c r="N3158">
        <v>84</v>
      </c>
      <c r="O3158">
        <v>755</v>
      </c>
      <c r="P3158">
        <v>743</v>
      </c>
      <c r="Q3158">
        <v>755</v>
      </c>
      <c r="S3158">
        <v>862</v>
      </c>
      <c r="T3158">
        <v>862</v>
      </c>
      <c r="U3158">
        <f>+SUM(Table1[[#This Row],[Latinos]:[Cemex]])</f>
        <v>1</v>
      </c>
      <c r="V3158" t="str">
        <f>+Table1[[#This Row],[id_destino]]&amp;" - "&amp;Table1[[#This Row],[id_origen]]</f>
        <v>384 - 84</v>
      </c>
    </row>
    <row r="3159" spans="1:22" hidden="1">
      <c r="A3159">
        <v>2889</v>
      </c>
      <c r="B3159">
        <v>3636</v>
      </c>
      <c r="C3159">
        <v>6469</v>
      </c>
      <c r="D3159">
        <v>6743</v>
      </c>
      <c r="E3159">
        <v>0</v>
      </c>
      <c r="F3159">
        <v>1</v>
      </c>
      <c r="G3159">
        <v>0</v>
      </c>
      <c r="H3159">
        <v>0</v>
      </c>
      <c r="I3159">
        <v>0</v>
      </c>
      <c r="J3159">
        <v>0</v>
      </c>
      <c r="K3159" t="s">
        <v>20</v>
      </c>
      <c r="L3159" s="1">
        <v>44605</v>
      </c>
      <c r="M3159">
        <v>425</v>
      </c>
      <c r="N3159">
        <v>84</v>
      </c>
      <c r="O3159">
        <v>912</v>
      </c>
      <c r="P3159">
        <v>890</v>
      </c>
      <c r="Q3159">
        <v>912</v>
      </c>
      <c r="S3159">
        <v>1475</v>
      </c>
      <c r="T3159">
        <v>1475</v>
      </c>
      <c r="U3159">
        <f>+SUM(Table1[[#This Row],[Latinos]:[Cemex]])</f>
        <v>1</v>
      </c>
      <c r="V3159" t="str">
        <f>+Table1[[#This Row],[id_destino]]&amp;" - "&amp;Table1[[#This Row],[id_origen]]</f>
        <v>425 - 84</v>
      </c>
    </row>
    <row r="3160" spans="1:22" hidden="1">
      <c r="A3160">
        <v>4451</v>
      </c>
      <c r="B3160">
        <v>4669</v>
      </c>
      <c r="C3160">
        <v>7825</v>
      </c>
      <c r="D3160">
        <v>805</v>
      </c>
      <c r="E3160">
        <v>0</v>
      </c>
      <c r="F3160">
        <v>1</v>
      </c>
      <c r="G3160">
        <v>0</v>
      </c>
      <c r="H3160">
        <v>0</v>
      </c>
      <c r="I3160">
        <v>0</v>
      </c>
      <c r="J3160">
        <v>0</v>
      </c>
      <c r="K3160" t="s">
        <v>20</v>
      </c>
      <c r="L3160" s="1">
        <v>45553</v>
      </c>
      <c r="M3160">
        <v>451</v>
      </c>
      <c r="N3160">
        <v>84</v>
      </c>
      <c r="O3160">
        <v>1644</v>
      </c>
      <c r="P3160">
        <v>1649</v>
      </c>
      <c r="Q3160">
        <v>1644</v>
      </c>
      <c r="S3160">
        <v>4599</v>
      </c>
      <c r="T3160">
        <v>4599</v>
      </c>
      <c r="U3160">
        <f>+SUM(Table1[[#This Row],[Latinos]:[Cemex]])</f>
        <v>1</v>
      </c>
      <c r="V3160" t="str">
        <f>+Table1[[#This Row],[id_destino]]&amp;" - "&amp;Table1[[#This Row],[id_origen]]</f>
        <v>451 - 84</v>
      </c>
    </row>
    <row r="3161" spans="1:22" hidden="1">
      <c r="A3161">
        <v>3236</v>
      </c>
      <c r="B3161">
        <v>3856</v>
      </c>
      <c r="C3161">
        <v>6469</v>
      </c>
      <c r="D3161">
        <v>6938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 t="s">
        <v>20</v>
      </c>
      <c r="L3161" s="1">
        <v>44792</v>
      </c>
      <c r="M3161">
        <v>465</v>
      </c>
      <c r="N3161">
        <v>84</v>
      </c>
      <c r="O3161">
        <v>1243</v>
      </c>
      <c r="P3161">
        <v>1305</v>
      </c>
      <c r="Q3161">
        <v>1243</v>
      </c>
      <c r="S3161">
        <v>3744</v>
      </c>
      <c r="T3161">
        <v>4176</v>
      </c>
      <c r="U3161">
        <f>+SUM(Table1[[#This Row],[Latinos]:[Cemex]])</f>
        <v>1</v>
      </c>
      <c r="V3161" t="str">
        <f>+Table1[[#This Row],[id_destino]]&amp;" - "&amp;Table1[[#This Row],[id_origen]]</f>
        <v>465 - 84</v>
      </c>
    </row>
    <row r="3162" spans="1:22" hidden="1">
      <c r="A3162">
        <v>3047</v>
      </c>
      <c r="B3162">
        <v>3743</v>
      </c>
      <c r="C3162">
        <v>6469</v>
      </c>
      <c r="D3162">
        <v>6906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 t="s">
        <v>20</v>
      </c>
      <c r="L3162" s="1">
        <v>44707</v>
      </c>
      <c r="M3162">
        <v>492</v>
      </c>
      <c r="N3162">
        <v>84</v>
      </c>
      <c r="O3162">
        <v>1213</v>
      </c>
      <c r="P3162">
        <v>1245</v>
      </c>
      <c r="Q3162">
        <v>1213</v>
      </c>
      <c r="S3162">
        <v>2075</v>
      </c>
      <c r="T3162">
        <v>2077</v>
      </c>
      <c r="U3162">
        <f>+SUM(Table1[[#This Row],[Latinos]:[Cemex]])</f>
        <v>1</v>
      </c>
      <c r="V3162" t="str">
        <f>+Table1[[#This Row],[id_destino]]&amp;" - "&amp;Table1[[#This Row],[id_origen]]</f>
        <v>492 - 84</v>
      </c>
    </row>
    <row r="3163" spans="1:22" hidden="1">
      <c r="A3163">
        <v>3158</v>
      </c>
      <c r="B3163">
        <v>3808</v>
      </c>
      <c r="C3163">
        <v>6469</v>
      </c>
      <c r="D3163">
        <v>6954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0</v>
      </c>
      <c r="K3163" t="s">
        <v>20</v>
      </c>
      <c r="L3163" s="1">
        <v>44747</v>
      </c>
      <c r="M3163">
        <v>497</v>
      </c>
      <c r="N3163">
        <v>84</v>
      </c>
      <c r="O3163">
        <v>808</v>
      </c>
      <c r="P3163">
        <v>844</v>
      </c>
      <c r="Q3163">
        <v>808</v>
      </c>
      <c r="S3163">
        <v>1102</v>
      </c>
      <c r="T3163">
        <v>1102</v>
      </c>
      <c r="U3163">
        <f>+SUM(Table1[[#This Row],[Latinos]:[Cemex]])</f>
        <v>1</v>
      </c>
      <c r="V3163" t="str">
        <f>+Table1[[#This Row],[id_destino]]&amp;" - "&amp;Table1[[#This Row],[id_origen]]</f>
        <v>497 - 84</v>
      </c>
    </row>
    <row r="3164" spans="1:22" hidden="1">
      <c r="A3164">
        <v>3126</v>
      </c>
      <c r="B3164">
        <v>3790</v>
      </c>
      <c r="C3164">
        <v>6469</v>
      </c>
      <c r="D3164">
        <v>6947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 t="s">
        <v>20</v>
      </c>
      <c r="L3164" s="1">
        <v>44735</v>
      </c>
      <c r="M3164">
        <v>513</v>
      </c>
      <c r="N3164">
        <v>84</v>
      </c>
      <c r="O3164">
        <v>1265</v>
      </c>
      <c r="P3164">
        <v>1333</v>
      </c>
      <c r="Q3164">
        <v>1265</v>
      </c>
      <c r="S3164">
        <v>2780</v>
      </c>
      <c r="T3164">
        <v>2780</v>
      </c>
      <c r="U3164">
        <f>+SUM(Table1[[#This Row],[Latinos]:[Cemex]])</f>
        <v>1</v>
      </c>
      <c r="V3164" t="str">
        <f>+Table1[[#This Row],[id_destino]]&amp;" - "&amp;Table1[[#This Row],[id_origen]]</f>
        <v>513 - 84</v>
      </c>
    </row>
    <row r="3165" spans="1:22" hidden="1">
      <c r="A3165">
        <v>2998</v>
      </c>
      <c r="B3165">
        <v>3712</v>
      </c>
      <c r="C3165">
        <v>6469</v>
      </c>
      <c r="D3165">
        <v>6744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 t="s">
        <v>20</v>
      </c>
      <c r="L3165" s="1">
        <v>44677</v>
      </c>
      <c r="M3165">
        <v>517</v>
      </c>
      <c r="N3165">
        <v>84</v>
      </c>
      <c r="O3165">
        <v>919</v>
      </c>
      <c r="P3165">
        <v>890</v>
      </c>
      <c r="Q3165">
        <v>919</v>
      </c>
      <c r="S3165">
        <v>1475</v>
      </c>
      <c r="T3165">
        <v>1475</v>
      </c>
      <c r="U3165">
        <f>+SUM(Table1[[#This Row],[Latinos]:[Cemex]])</f>
        <v>1</v>
      </c>
      <c r="V3165" t="str">
        <f>+Table1[[#This Row],[id_destino]]&amp;" - "&amp;Table1[[#This Row],[id_origen]]</f>
        <v>517 - 84</v>
      </c>
    </row>
    <row r="3166" spans="1:22" hidden="1">
      <c r="A3166">
        <v>2993</v>
      </c>
      <c r="B3166">
        <v>3708</v>
      </c>
      <c r="C3166">
        <v>6469</v>
      </c>
      <c r="D3166">
        <v>6745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 t="s">
        <v>20</v>
      </c>
      <c r="L3166" s="1">
        <v>44752</v>
      </c>
      <c r="M3166">
        <v>525</v>
      </c>
      <c r="N3166">
        <v>84</v>
      </c>
      <c r="O3166">
        <v>854</v>
      </c>
      <c r="P3166">
        <v>890</v>
      </c>
      <c r="Q3166">
        <v>854</v>
      </c>
      <c r="S3166">
        <v>1475</v>
      </c>
      <c r="T3166">
        <v>1475</v>
      </c>
      <c r="U3166">
        <f>+SUM(Table1[[#This Row],[Latinos]:[Cemex]])</f>
        <v>1</v>
      </c>
      <c r="V3166" t="str">
        <f>+Table1[[#This Row],[id_destino]]&amp;" - "&amp;Table1[[#This Row],[id_origen]]</f>
        <v>525 - 84</v>
      </c>
    </row>
    <row r="3167" spans="1:22" hidden="1">
      <c r="A3167">
        <v>3862</v>
      </c>
      <c r="B3167">
        <v>4267</v>
      </c>
      <c r="C3167">
        <v>6913</v>
      </c>
      <c r="D3167">
        <v>7393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  <c r="K3167" t="s">
        <v>20</v>
      </c>
      <c r="L3167" s="1">
        <v>45147</v>
      </c>
      <c r="M3167">
        <v>531</v>
      </c>
      <c r="N3167">
        <v>84</v>
      </c>
      <c r="O3167">
        <v>1415</v>
      </c>
      <c r="P3167">
        <v>1725</v>
      </c>
      <c r="Q3167">
        <v>1415</v>
      </c>
      <c r="S3167">
        <v>3428</v>
      </c>
      <c r="T3167">
        <v>3428</v>
      </c>
      <c r="U3167">
        <f>+SUM(Table1[[#This Row],[Latinos]:[Cemex]])</f>
        <v>1</v>
      </c>
      <c r="V3167" t="str">
        <f>+Table1[[#This Row],[id_destino]]&amp;" - "&amp;Table1[[#This Row],[id_origen]]</f>
        <v>531 - 84</v>
      </c>
    </row>
    <row r="3168" spans="1:22" hidden="1">
      <c r="A3168">
        <v>3035</v>
      </c>
      <c r="B3168">
        <v>3734</v>
      </c>
      <c r="C3168">
        <v>6469</v>
      </c>
      <c r="D3168">
        <v>6884</v>
      </c>
      <c r="E3168">
        <v>0</v>
      </c>
      <c r="F3168">
        <v>1</v>
      </c>
      <c r="G3168">
        <v>0</v>
      </c>
      <c r="H3168">
        <v>0</v>
      </c>
      <c r="I3168">
        <v>0</v>
      </c>
      <c r="J3168">
        <v>0</v>
      </c>
      <c r="K3168" t="s">
        <v>20</v>
      </c>
      <c r="L3168" s="1">
        <v>44771</v>
      </c>
      <c r="M3168">
        <v>550</v>
      </c>
      <c r="N3168">
        <v>84</v>
      </c>
      <c r="O3168">
        <v>503</v>
      </c>
      <c r="P3168">
        <v>560</v>
      </c>
      <c r="Q3168">
        <v>503</v>
      </c>
      <c r="S3168">
        <v>30</v>
      </c>
      <c r="T3168">
        <v>30</v>
      </c>
      <c r="U3168">
        <f>+SUM(Table1[[#This Row],[Latinos]:[Cemex]])</f>
        <v>1</v>
      </c>
      <c r="V3168" t="str">
        <f>+Table1[[#This Row],[id_destino]]&amp;" - "&amp;Table1[[#This Row],[id_origen]]</f>
        <v>550 - 84</v>
      </c>
    </row>
    <row r="3169" spans="1:22" hidden="1">
      <c r="A3169">
        <v>3083</v>
      </c>
      <c r="B3169">
        <v>3761</v>
      </c>
      <c r="C3169">
        <v>6469</v>
      </c>
      <c r="D3169">
        <v>6921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 t="s">
        <v>20</v>
      </c>
      <c r="L3169" s="1">
        <v>45180</v>
      </c>
      <c r="M3169">
        <v>566</v>
      </c>
      <c r="N3169">
        <v>84</v>
      </c>
      <c r="O3169">
        <v>478</v>
      </c>
      <c r="P3169">
        <v>490</v>
      </c>
      <c r="Q3169">
        <v>478</v>
      </c>
      <c r="S3169">
        <v>237</v>
      </c>
      <c r="T3169">
        <v>237</v>
      </c>
      <c r="U3169">
        <f>+SUM(Table1[[#This Row],[Latinos]:[Cemex]])</f>
        <v>1</v>
      </c>
      <c r="V3169" t="str">
        <f>+Table1[[#This Row],[id_destino]]&amp;" - "&amp;Table1[[#This Row],[id_origen]]</f>
        <v>566 - 84</v>
      </c>
    </row>
    <row r="3170" spans="1:22" hidden="1">
      <c r="A3170">
        <v>447</v>
      </c>
      <c r="B3170">
        <v>2296</v>
      </c>
      <c r="C3170">
        <v>5363</v>
      </c>
      <c r="D3170">
        <v>5364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 t="s">
        <v>20</v>
      </c>
      <c r="L3170" s="1">
        <v>43068</v>
      </c>
      <c r="M3170">
        <v>587</v>
      </c>
      <c r="N3170">
        <v>84</v>
      </c>
      <c r="O3170">
        <v>791</v>
      </c>
      <c r="P3170">
        <v>791</v>
      </c>
      <c r="Q3170">
        <v>791</v>
      </c>
      <c r="S3170">
        <v>0</v>
      </c>
      <c r="T3170">
        <v>0</v>
      </c>
      <c r="U3170">
        <f>+SUM(Table1[[#This Row],[Latinos]:[Cemex]])</f>
        <v>1</v>
      </c>
      <c r="V3170" t="str">
        <f>+Table1[[#This Row],[id_destino]]&amp;" - "&amp;Table1[[#This Row],[id_origen]]</f>
        <v>587 - 84</v>
      </c>
    </row>
    <row r="3171" spans="1:22" hidden="1">
      <c r="A3171">
        <v>1673</v>
      </c>
      <c r="B3171">
        <v>2880</v>
      </c>
      <c r="C3171">
        <v>3601</v>
      </c>
      <c r="D3171">
        <v>5860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 t="s">
        <v>20</v>
      </c>
      <c r="L3171" s="1">
        <v>44596</v>
      </c>
      <c r="M3171">
        <v>602</v>
      </c>
      <c r="N3171">
        <v>84</v>
      </c>
      <c r="O3171">
        <v>899</v>
      </c>
      <c r="P3171">
        <v>899</v>
      </c>
      <c r="Q3171">
        <v>899</v>
      </c>
      <c r="S3171">
        <v>1330</v>
      </c>
      <c r="T3171">
        <v>1330</v>
      </c>
      <c r="U3171">
        <f>+SUM(Table1[[#This Row],[Latinos]:[Cemex]])</f>
        <v>1</v>
      </c>
      <c r="V3171" t="str">
        <f>+Table1[[#This Row],[id_destino]]&amp;" - "&amp;Table1[[#This Row],[id_origen]]</f>
        <v>602 - 84</v>
      </c>
    </row>
    <row r="3172" spans="1:22" hidden="1">
      <c r="A3172">
        <v>2980</v>
      </c>
      <c r="B3172">
        <v>3698</v>
      </c>
      <c r="C3172">
        <v>6469</v>
      </c>
      <c r="D3172">
        <v>6850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0</v>
      </c>
      <c r="K3172" t="s">
        <v>20</v>
      </c>
      <c r="L3172" s="1">
        <v>44664</v>
      </c>
      <c r="M3172">
        <v>662</v>
      </c>
      <c r="N3172">
        <v>84</v>
      </c>
      <c r="O3172">
        <v>2227</v>
      </c>
      <c r="P3172">
        <v>2289</v>
      </c>
      <c r="Q3172">
        <v>2227</v>
      </c>
      <c r="S3172">
        <v>3990</v>
      </c>
      <c r="T3172">
        <v>4506</v>
      </c>
      <c r="U3172">
        <f>+SUM(Table1[[#This Row],[Latinos]:[Cemex]])</f>
        <v>1</v>
      </c>
      <c r="V3172" t="str">
        <f>+Table1[[#This Row],[id_destino]]&amp;" - "&amp;Table1[[#This Row],[id_origen]]</f>
        <v>662 - 84</v>
      </c>
    </row>
    <row r="3173" spans="1:22" hidden="1">
      <c r="A3173">
        <v>4206</v>
      </c>
      <c r="B3173">
        <v>4489</v>
      </c>
      <c r="C3173">
        <v>977</v>
      </c>
      <c r="D3173">
        <v>7697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 t="s">
        <v>20</v>
      </c>
      <c r="L3173" s="1">
        <v>45364</v>
      </c>
      <c r="M3173">
        <v>746</v>
      </c>
      <c r="N3173">
        <v>84</v>
      </c>
      <c r="O3173">
        <v>50</v>
      </c>
      <c r="P3173">
        <v>150</v>
      </c>
      <c r="Q3173">
        <v>50</v>
      </c>
      <c r="S3173">
        <v>0</v>
      </c>
      <c r="T3173">
        <v>0</v>
      </c>
      <c r="U3173">
        <f>+SUM(Table1[[#This Row],[Latinos]:[Cemex]])</f>
        <v>1</v>
      </c>
      <c r="V3173" t="str">
        <f>+Table1[[#This Row],[id_destino]]&amp;" - "&amp;Table1[[#This Row],[id_origen]]</f>
        <v>746 - 84</v>
      </c>
    </row>
    <row r="3174" spans="1:22" hidden="1">
      <c r="A3174">
        <v>4208</v>
      </c>
      <c r="B3174">
        <v>4489</v>
      </c>
      <c r="C3174">
        <v>977</v>
      </c>
      <c r="D3174">
        <v>7697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  <c r="K3174" t="s">
        <v>20</v>
      </c>
      <c r="L3174" s="1">
        <v>45364</v>
      </c>
      <c r="M3174">
        <v>746</v>
      </c>
      <c r="N3174">
        <v>84</v>
      </c>
      <c r="O3174">
        <v>30</v>
      </c>
      <c r="P3174">
        <v>150</v>
      </c>
      <c r="Q3174">
        <v>30</v>
      </c>
      <c r="S3174">
        <v>0</v>
      </c>
      <c r="T3174">
        <v>0</v>
      </c>
      <c r="U3174">
        <f>+SUM(Table1[[#This Row],[Latinos]:[Cemex]])</f>
        <v>1</v>
      </c>
      <c r="V3174" t="str">
        <f>+Table1[[#This Row],[id_destino]]&amp;" - "&amp;Table1[[#This Row],[id_origen]]</f>
        <v>746 - 84</v>
      </c>
    </row>
    <row r="3175" spans="1:22" hidden="1">
      <c r="A3175">
        <v>2986</v>
      </c>
      <c r="B3175">
        <v>3703</v>
      </c>
      <c r="C3175">
        <v>6469</v>
      </c>
      <c r="D3175">
        <v>6859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0</v>
      </c>
      <c r="K3175" t="s">
        <v>20</v>
      </c>
      <c r="L3175" s="1">
        <v>44671</v>
      </c>
      <c r="M3175">
        <v>753</v>
      </c>
      <c r="N3175">
        <v>84</v>
      </c>
      <c r="O3175">
        <v>2174</v>
      </c>
      <c r="P3175">
        <v>2252</v>
      </c>
      <c r="Q3175">
        <v>2174</v>
      </c>
      <c r="S3175">
        <v>4191</v>
      </c>
      <c r="T3175">
        <v>4258</v>
      </c>
      <c r="U3175">
        <f>+SUM(Table1[[#This Row],[Latinos]:[Cemex]])</f>
        <v>1</v>
      </c>
      <c r="V3175" t="str">
        <f>+Table1[[#This Row],[id_destino]]&amp;" - "&amp;Table1[[#This Row],[id_origen]]</f>
        <v>753 - 84</v>
      </c>
    </row>
    <row r="3176" spans="1:22" hidden="1">
      <c r="A3176">
        <v>3367</v>
      </c>
      <c r="B3176">
        <v>3939</v>
      </c>
      <c r="C3176">
        <v>6469</v>
      </c>
      <c r="D3176">
        <v>7084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0</v>
      </c>
      <c r="K3176" t="s">
        <v>20</v>
      </c>
      <c r="L3176" s="1">
        <v>44852</v>
      </c>
      <c r="M3176">
        <v>767</v>
      </c>
      <c r="N3176">
        <v>84</v>
      </c>
      <c r="O3176">
        <v>650</v>
      </c>
      <c r="P3176">
        <v>717</v>
      </c>
      <c r="Q3176">
        <v>650</v>
      </c>
      <c r="S3176">
        <v>1267</v>
      </c>
      <c r="T3176">
        <v>1373</v>
      </c>
      <c r="U3176">
        <f>+SUM(Table1[[#This Row],[Latinos]:[Cemex]])</f>
        <v>1</v>
      </c>
      <c r="V3176" t="str">
        <f>+Table1[[#This Row],[id_destino]]&amp;" - "&amp;Table1[[#This Row],[id_origen]]</f>
        <v>767 - 84</v>
      </c>
    </row>
    <row r="3177" spans="1:22" hidden="1">
      <c r="A3177">
        <v>4059</v>
      </c>
      <c r="B3177">
        <v>3939</v>
      </c>
      <c r="C3177">
        <v>7575</v>
      </c>
      <c r="D3177">
        <v>6811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  <c r="K3177" t="s">
        <v>20</v>
      </c>
      <c r="L3177" s="1">
        <v>45280</v>
      </c>
      <c r="M3177">
        <v>767</v>
      </c>
      <c r="N3177">
        <v>84</v>
      </c>
      <c r="O3177">
        <v>716</v>
      </c>
      <c r="P3177">
        <v>716</v>
      </c>
      <c r="Q3177">
        <v>716</v>
      </c>
      <c r="S3177">
        <v>1280</v>
      </c>
      <c r="T3177">
        <v>1366</v>
      </c>
      <c r="U3177">
        <f>+SUM(Table1[[#This Row],[Latinos]:[Cemex]])</f>
        <v>1</v>
      </c>
      <c r="V3177" t="str">
        <f>+Table1[[#This Row],[id_destino]]&amp;" - "&amp;Table1[[#This Row],[id_origen]]</f>
        <v>767 - 84</v>
      </c>
    </row>
    <row r="3178" spans="1:22" hidden="1">
      <c r="A3178">
        <v>3069</v>
      </c>
      <c r="B3178">
        <v>3754</v>
      </c>
      <c r="C3178">
        <v>6469</v>
      </c>
      <c r="D3178">
        <v>6916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 t="s">
        <v>20</v>
      </c>
      <c r="L3178" s="1">
        <v>44714</v>
      </c>
      <c r="M3178">
        <v>849</v>
      </c>
      <c r="N3178">
        <v>84</v>
      </c>
      <c r="O3178">
        <v>1154</v>
      </c>
      <c r="P3178">
        <v>1224</v>
      </c>
      <c r="Q3178">
        <v>1154</v>
      </c>
      <c r="S3178">
        <v>2608</v>
      </c>
      <c r="T3178">
        <v>2539</v>
      </c>
      <c r="U3178">
        <f>+SUM(Table1[[#This Row],[Latinos]:[Cemex]])</f>
        <v>1</v>
      </c>
      <c r="V3178" t="str">
        <f>+Table1[[#This Row],[id_destino]]&amp;" - "&amp;Table1[[#This Row],[id_origen]]</f>
        <v>849 - 84</v>
      </c>
    </row>
    <row r="3179" spans="1:22" hidden="1">
      <c r="A3179">
        <v>3162</v>
      </c>
      <c r="B3179">
        <v>3812</v>
      </c>
      <c r="C3179">
        <v>6469</v>
      </c>
      <c r="D3179">
        <v>6967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0</v>
      </c>
      <c r="K3179" t="s">
        <v>20</v>
      </c>
      <c r="L3179" s="1">
        <v>44749</v>
      </c>
      <c r="M3179">
        <v>852</v>
      </c>
      <c r="N3179">
        <v>84</v>
      </c>
      <c r="O3179">
        <v>936</v>
      </c>
      <c r="P3179">
        <v>890</v>
      </c>
      <c r="Q3179">
        <v>936</v>
      </c>
      <c r="S3179">
        <v>1475</v>
      </c>
      <c r="T3179">
        <v>1475</v>
      </c>
      <c r="U3179">
        <f>+SUM(Table1[[#This Row],[Latinos]:[Cemex]])</f>
        <v>1</v>
      </c>
      <c r="V3179" t="str">
        <f>+Table1[[#This Row],[id_destino]]&amp;" - "&amp;Table1[[#This Row],[id_origen]]</f>
        <v>852 - 84</v>
      </c>
    </row>
    <row r="3180" spans="1:22" hidden="1">
      <c r="A3180">
        <v>3163</v>
      </c>
      <c r="B3180">
        <v>3812</v>
      </c>
      <c r="C3180">
        <v>6469</v>
      </c>
      <c r="D3180">
        <v>6967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 t="s">
        <v>20</v>
      </c>
      <c r="L3180" s="1">
        <v>44749</v>
      </c>
      <c r="M3180">
        <v>852</v>
      </c>
      <c r="N3180">
        <v>84</v>
      </c>
      <c r="O3180">
        <v>0</v>
      </c>
      <c r="P3180">
        <v>150</v>
      </c>
      <c r="Q3180">
        <v>0</v>
      </c>
      <c r="S3180">
        <v>0</v>
      </c>
      <c r="T3180">
        <v>0</v>
      </c>
      <c r="U3180">
        <f>+SUM(Table1[[#This Row],[Latinos]:[Cemex]])</f>
        <v>1</v>
      </c>
      <c r="V3180" t="str">
        <f>+Table1[[#This Row],[id_destino]]&amp;" - "&amp;Table1[[#This Row],[id_origen]]</f>
        <v>852 - 84</v>
      </c>
    </row>
    <row r="3181" spans="1:22" hidden="1">
      <c r="A3181">
        <v>3245</v>
      </c>
      <c r="B3181">
        <v>3862</v>
      </c>
      <c r="C3181">
        <v>6469</v>
      </c>
      <c r="D3181">
        <v>6987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 t="s">
        <v>20</v>
      </c>
      <c r="L3181" s="1">
        <v>44795</v>
      </c>
      <c r="M3181">
        <v>855</v>
      </c>
      <c r="N3181">
        <v>84</v>
      </c>
      <c r="O3181">
        <v>1356</v>
      </c>
      <c r="P3181">
        <v>1411</v>
      </c>
      <c r="Q3181">
        <v>1356</v>
      </c>
      <c r="S3181">
        <v>2575</v>
      </c>
      <c r="T3181">
        <v>2172</v>
      </c>
      <c r="U3181">
        <f>+SUM(Table1[[#This Row],[Latinos]:[Cemex]])</f>
        <v>1</v>
      </c>
      <c r="V3181" t="str">
        <f>+Table1[[#This Row],[id_destino]]&amp;" - "&amp;Table1[[#This Row],[id_origen]]</f>
        <v>855 - 84</v>
      </c>
    </row>
    <row r="3182" spans="1:22" hidden="1">
      <c r="A3182">
        <v>3209</v>
      </c>
      <c r="B3182">
        <v>3838</v>
      </c>
      <c r="C3182">
        <v>6469</v>
      </c>
      <c r="D3182">
        <v>6988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 t="s">
        <v>20</v>
      </c>
      <c r="L3182" s="1">
        <v>44770</v>
      </c>
      <c r="M3182">
        <v>856</v>
      </c>
      <c r="N3182">
        <v>84</v>
      </c>
      <c r="O3182">
        <v>1197</v>
      </c>
      <c r="P3182">
        <v>1215</v>
      </c>
      <c r="Q3182">
        <v>1197</v>
      </c>
      <c r="S3182">
        <v>2331</v>
      </c>
      <c r="T3182">
        <v>2384</v>
      </c>
      <c r="U3182">
        <f>+SUM(Table1[[#This Row],[Latinos]:[Cemex]])</f>
        <v>1</v>
      </c>
      <c r="V3182" t="str">
        <f>+Table1[[#This Row],[id_destino]]&amp;" - "&amp;Table1[[#This Row],[id_origen]]</f>
        <v>856 - 84</v>
      </c>
    </row>
    <row r="3183" spans="1:22" hidden="1">
      <c r="A3183">
        <v>4531</v>
      </c>
      <c r="B3183">
        <v>4731</v>
      </c>
      <c r="C3183">
        <v>8000</v>
      </c>
      <c r="D3183">
        <v>71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 t="s">
        <v>20</v>
      </c>
      <c r="L3183" s="1">
        <v>45603</v>
      </c>
      <c r="M3183">
        <v>61</v>
      </c>
      <c r="N3183">
        <v>85</v>
      </c>
      <c r="O3183">
        <v>2171</v>
      </c>
      <c r="P3183">
        <v>2209</v>
      </c>
      <c r="Q3183">
        <v>2171</v>
      </c>
      <c r="S3183">
        <v>3388</v>
      </c>
      <c r="T3183">
        <v>3837</v>
      </c>
      <c r="U3183">
        <f>+SUM(Table1[[#This Row],[Latinos]:[Cemex]])</f>
        <v>1</v>
      </c>
      <c r="V3183" t="str">
        <f>+Table1[[#This Row],[id_destino]]&amp;" - "&amp;Table1[[#This Row],[id_origen]]</f>
        <v>61 - 85</v>
      </c>
    </row>
    <row r="3184" spans="1:22" hidden="1">
      <c r="A3184">
        <v>4532</v>
      </c>
      <c r="B3184">
        <v>4731</v>
      </c>
      <c r="C3184">
        <v>8000</v>
      </c>
      <c r="D3184">
        <v>71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 t="s">
        <v>20</v>
      </c>
      <c r="L3184" s="1">
        <v>45604</v>
      </c>
      <c r="M3184">
        <v>61</v>
      </c>
      <c r="N3184">
        <v>85</v>
      </c>
      <c r="O3184">
        <v>0</v>
      </c>
      <c r="P3184">
        <v>150</v>
      </c>
      <c r="Q3184">
        <v>0</v>
      </c>
      <c r="S3184">
        <v>0</v>
      </c>
      <c r="T3184">
        <v>0</v>
      </c>
      <c r="U3184">
        <f>+SUM(Table1[[#This Row],[Latinos]:[Cemex]])</f>
        <v>1</v>
      </c>
      <c r="V3184" t="str">
        <f>+Table1[[#This Row],[id_destino]]&amp;" - "&amp;Table1[[#This Row],[id_origen]]</f>
        <v>61 - 85</v>
      </c>
    </row>
    <row r="3185" spans="1:22" hidden="1">
      <c r="A3185">
        <v>2355</v>
      </c>
      <c r="B3185">
        <v>1331</v>
      </c>
      <c r="C3185">
        <v>6249</v>
      </c>
      <c r="D3185">
        <v>4177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 t="s">
        <v>20</v>
      </c>
      <c r="L3185" s="1">
        <v>43977</v>
      </c>
      <c r="M3185">
        <v>18</v>
      </c>
      <c r="N3185">
        <v>86</v>
      </c>
      <c r="O3185">
        <v>60</v>
      </c>
      <c r="P3185">
        <v>150</v>
      </c>
      <c r="Q3185">
        <v>60</v>
      </c>
      <c r="S3185">
        <v>344</v>
      </c>
      <c r="T3185">
        <v>344</v>
      </c>
      <c r="U3185">
        <f>+SUM(Table1[[#This Row],[Latinos]:[Cemex]])</f>
        <v>1</v>
      </c>
      <c r="V3185" t="str">
        <f>+Table1[[#This Row],[id_destino]]&amp;" - "&amp;Table1[[#This Row],[id_origen]]</f>
        <v>18 - 86</v>
      </c>
    </row>
    <row r="3186" spans="1:22" hidden="1">
      <c r="A3186">
        <v>1216</v>
      </c>
      <c r="B3186">
        <v>2641</v>
      </c>
      <c r="C3186">
        <v>2596</v>
      </c>
      <c r="D3186">
        <v>5530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 t="s">
        <v>20</v>
      </c>
      <c r="L3186" s="1">
        <v>43343</v>
      </c>
      <c r="M3186">
        <v>23</v>
      </c>
      <c r="N3186">
        <v>86</v>
      </c>
      <c r="O3186">
        <v>511</v>
      </c>
      <c r="P3186">
        <v>511</v>
      </c>
      <c r="Q3186">
        <v>511</v>
      </c>
      <c r="S3186">
        <v>1572</v>
      </c>
      <c r="T3186">
        <v>1572</v>
      </c>
      <c r="U3186">
        <f>+SUM(Table1[[#This Row],[Latinos]:[Cemex]])</f>
        <v>1</v>
      </c>
      <c r="V3186" t="str">
        <f>+Table1[[#This Row],[id_destino]]&amp;" - "&amp;Table1[[#This Row],[id_origen]]</f>
        <v>23 - 86</v>
      </c>
    </row>
    <row r="3187" spans="1:22" hidden="1">
      <c r="A3187">
        <v>1296</v>
      </c>
      <c r="B3187">
        <v>2679</v>
      </c>
      <c r="C3187">
        <v>5715</v>
      </c>
      <c r="D3187">
        <v>53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  <c r="K3187" t="s">
        <v>20</v>
      </c>
      <c r="L3187" s="1">
        <v>43371</v>
      </c>
      <c r="M3187">
        <v>35</v>
      </c>
      <c r="N3187">
        <v>86</v>
      </c>
      <c r="O3187">
        <v>421</v>
      </c>
      <c r="P3187">
        <v>421</v>
      </c>
      <c r="Q3187">
        <v>421</v>
      </c>
      <c r="S3187">
        <v>1200</v>
      </c>
      <c r="T3187">
        <v>1200</v>
      </c>
      <c r="U3187">
        <f>+SUM(Table1[[#This Row],[Latinos]:[Cemex]])</f>
        <v>1</v>
      </c>
      <c r="V3187" t="str">
        <f>+Table1[[#This Row],[id_destino]]&amp;" - "&amp;Table1[[#This Row],[id_origen]]</f>
        <v>35 - 86</v>
      </c>
    </row>
    <row r="3188" spans="1:22" hidden="1">
      <c r="A3188">
        <v>1377</v>
      </c>
      <c r="B3188">
        <v>2709</v>
      </c>
      <c r="C3188">
        <v>5715</v>
      </c>
      <c r="D3188">
        <v>3846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  <c r="K3188" t="s">
        <v>20</v>
      </c>
      <c r="L3188" s="1">
        <v>43410</v>
      </c>
      <c r="M3188">
        <v>83</v>
      </c>
      <c r="N3188">
        <v>86</v>
      </c>
      <c r="O3188">
        <v>899</v>
      </c>
      <c r="P3188">
        <v>899</v>
      </c>
      <c r="Q3188">
        <v>899</v>
      </c>
      <c r="S3188">
        <v>744</v>
      </c>
      <c r="T3188">
        <v>744</v>
      </c>
      <c r="U3188">
        <f>+SUM(Table1[[#This Row],[Latinos]:[Cemex]])</f>
        <v>1</v>
      </c>
      <c r="V3188" t="str">
        <f>+Table1[[#This Row],[id_destino]]&amp;" - "&amp;Table1[[#This Row],[id_origen]]</f>
        <v>83 - 86</v>
      </c>
    </row>
    <row r="3189" spans="1:22" hidden="1">
      <c r="A3189">
        <v>3349</v>
      </c>
      <c r="B3189">
        <v>3928</v>
      </c>
      <c r="C3189">
        <v>7013</v>
      </c>
      <c r="D3189">
        <v>7068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 t="s">
        <v>20</v>
      </c>
      <c r="L3189" s="1">
        <v>44845</v>
      </c>
      <c r="M3189">
        <v>116</v>
      </c>
      <c r="N3189">
        <v>86</v>
      </c>
      <c r="O3189">
        <v>187</v>
      </c>
      <c r="P3189">
        <v>152</v>
      </c>
      <c r="Q3189">
        <v>187</v>
      </c>
      <c r="S3189">
        <v>123</v>
      </c>
      <c r="T3189">
        <v>123</v>
      </c>
      <c r="U3189">
        <f>+SUM(Table1[[#This Row],[Latinos]:[Cemex]])</f>
        <v>1</v>
      </c>
      <c r="V3189" t="str">
        <f>+Table1[[#This Row],[id_destino]]&amp;" - "&amp;Table1[[#This Row],[id_origen]]</f>
        <v>116 - 86</v>
      </c>
    </row>
    <row r="3190" spans="1:22" hidden="1">
      <c r="A3190">
        <v>3241</v>
      </c>
      <c r="B3190">
        <v>3860</v>
      </c>
      <c r="C3190">
        <v>7013</v>
      </c>
      <c r="D3190">
        <v>4607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 t="s">
        <v>20</v>
      </c>
      <c r="L3190" s="1">
        <v>44795</v>
      </c>
      <c r="M3190">
        <v>117</v>
      </c>
      <c r="N3190">
        <v>86</v>
      </c>
      <c r="O3190">
        <v>156</v>
      </c>
      <c r="P3190">
        <v>150</v>
      </c>
      <c r="Q3190">
        <v>156</v>
      </c>
      <c r="S3190">
        <v>283</v>
      </c>
      <c r="T3190">
        <v>283</v>
      </c>
      <c r="U3190">
        <f>+SUM(Table1[[#This Row],[Latinos]:[Cemex]])</f>
        <v>1</v>
      </c>
      <c r="V3190" t="str">
        <f>+Table1[[#This Row],[id_destino]]&amp;" - "&amp;Table1[[#This Row],[id_origen]]</f>
        <v>117 - 86</v>
      </c>
    </row>
    <row r="3191" spans="1:22" hidden="1">
      <c r="A3191">
        <v>1200</v>
      </c>
      <c r="B3191">
        <v>2628</v>
      </c>
      <c r="C3191">
        <v>3476</v>
      </c>
      <c r="D3191">
        <v>4531</v>
      </c>
      <c r="E3191">
        <v>0</v>
      </c>
      <c r="F3191">
        <v>1</v>
      </c>
      <c r="G3191">
        <v>0</v>
      </c>
      <c r="H3191">
        <v>0</v>
      </c>
      <c r="I3191">
        <v>0</v>
      </c>
      <c r="J3191">
        <v>0</v>
      </c>
      <c r="K3191" t="s">
        <v>20</v>
      </c>
      <c r="L3191" s="1">
        <v>43340</v>
      </c>
      <c r="M3191">
        <v>9</v>
      </c>
      <c r="N3191">
        <v>87</v>
      </c>
      <c r="O3191">
        <v>2029</v>
      </c>
      <c r="P3191">
        <v>2029</v>
      </c>
      <c r="Q3191">
        <v>2029</v>
      </c>
      <c r="S3191">
        <v>3734</v>
      </c>
      <c r="T3191">
        <v>3734</v>
      </c>
      <c r="U3191">
        <f>+SUM(Table1[[#This Row],[Latinos]:[Cemex]])</f>
        <v>1</v>
      </c>
      <c r="V3191" t="str">
        <f>+Table1[[#This Row],[id_destino]]&amp;" - "&amp;Table1[[#This Row],[id_origen]]</f>
        <v>9 - 87</v>
      </c>
    </row>
    <row r="3192" spans="1:22" hidden="1">
      <c r="A3192">
        <v>1584</v>
      </c>
      <c r="B3192">
        <v>847</v>
      </c>
      <c r="C3192">
        <v>3476</v>
      </c>
      <c r="D3192">
        <v>4455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 t="s">
        <v>20</v>
      </c>
      <c r="L3192" s="1">
        <v>43516</v>
      </c>
      <c r="M3192">
        <v>23</v>
      </c>
      <c r="N3192">
        <v>87</v>
      </c>
      <c r="O3192">
        <v>135</v>
      </c>
      <c r="P3192">
        <v>150</v>
      </c>
      <c r="Q3192">
        <v>135</v>
      </c>
      <c r="S3192">
        <v>219</v>
      </c>
      <c r="T3192">
        <v>219</v>
      </c>
      <c r="U3192">
        <f>+SUM(Table1[[#This Row],[Latinos]:[Cemex]])</f>
        <v>1</v>
      </c>
      <c r="V3192" t="str">
        <f>+Table1[[#This Row],[id_destino]]&amp;" - "&amp;Table1[[#This Row],[id_origen]]</f>
        <v>23 - 87</v>
      </c>
    </row>
    <row r="3193" spans="1:22" hidden="1">
      <c r="A3193">
        <v>489</v>
      </c>
      <c r="B3193">
        <v>867</v>
      </c>
      <c r="C3193">
        <v>3476</v>
      </c>
      <c r="D3193">
        <v>4245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 t="s">
        <v>20</v>
      </c>
      <c r="L3193" s="1">
        <v>43078</v>
      </c>
      <c r="M3193">
        <v>26</v>
      </c>
      <c r="N3193">
        <v>87</v>
      </c>
      <c r="O3193">
        <v>135</v>
      </c>
      <c r="P3193">
        <v>150</v>
      </c>
      <c r="Q3193">
        <v>135</v>
      </c>
      <c r="S3193">
        <v>210</v>
      </c>
      <c r="T3193">
        <v>210</v>
      </c>
      <c r="U3193">
        <f>+SUM(Table1[[#This Row],[Latinos]:[Cemex]])</f>
        <v>1</v>
      </c>
      <c r="V3193" t="str">
        <f>+Table1[[#This Row],[id_destino]]&amp;" - "&amp;Table1[[#This Row],[id_origen]]</f>
        <v>26 - 87</v>
      </c>
    </row>
    <row r="3194" spans="1:22" hidden="1">
      <c r="A3194">
        <v>1762</v>
      </c>
      <c r="B3194">
        <v>2924</v>
      </c>
      <c r="C3194">
        <v>5470</v>
      </c>
      <c r="D3194">
        <v>403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  <c r="K3194" t="s">
        <v>75</v>
      </c>
      <c r="L3194" s="1">
        <v>43610</v>
      </c>
      <c r="M3194">
        <v>27</v>
      </c>
      <c r="N3194">
        <v>87</v>
      </c>
      <c r="O3194">
        <v>461</v>
      </c>
      <c r="P3194">
        <v>461</v>
      </c>
      <c r="Q3194">
        <v>461</v>
      </c>
      <c r="S3194">
        <v>617</v>
      </c>
      <c r="T3194">
        <v>617</v>
      </c>
      <c r="U3194">
        <f>+SUM(Table1[[#This Row],[Latinos]:[Cemex]])</f>
        <v>1</v>
      </c>
      <c r="V3194" t="str">
        <f>+Table1[[#This Row],[id_destino]]&amp;" - "&amp;Table1[[#This Row],[id_origen]]</f>
        <v>27 - 87</v>
      </c>
    </row>
    <row r="3195" spans="1:22" hidden="1">
      <c r="A3195">
        <v>2618</v>
      </c>
      <c r="B3195">
        <v>3457</v>
      </c>
      <c r="C3195">
        <v>195</v>
      </c>
      <c r="D3195">
        <v>6529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  <c r="K3195" t="s">
        <v>20</v>
      </c>
      <c r="L3195" s="1">
        <v>44247</v>
      </c>
      <c r="M3195">
        <v>37</v>
      </c>
      <c r="N3195">
        <v>87</v>
      </c>
      <c r="O3195">
        <v>615</v>
      </c>
      <c r="P3195">
        <v>615</v>
      </c>
      <c r="Q3195">
        <v>615</v>
      </c>
      <c r="S3195">
        <v>0</v>
      </c>
      <c r="T3195">
        <v>0</v>
      </c>
      <c r="U3195">
        <f>+SUM(Table1[[#This Row],[Latinos]:[Cemex]])</f>
        <v>1</v>
      </c>
      <c r="V3195" t="str">
        <f>+Table1[[#This Row],[id_destino]]&amp;" - "&amp;Table1[[#This Row],[id_origen]]</f>
        <v>37 - 87</v>
      </c>
    </row>
    <row r="3196" spans="1:22" hidden="1">
      <c r="A3196">
        <v>2570</v>
      </c>
      <c r="B3196">
        <v>3425</v>
      </c>
      <c r="C3196">
        <v>3476</v>
      </c>
      <c r="D3196">
        <v>45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</v>
      </c>
      <c r="K3196" t="s">
        <v>20</v>
      </c>
      <c r="L3196" s="1">
        <v>44184</v>
      </c>
      <c r="M3196">
        <v>39</v>
      </c>
      <c r="N3196">
        <v>87</v>
      </c>
      <c r="O3196">
        <v>386</v>
      </c>
      <c r="P3196">
        <v>386</v>
      </c>
      <c r="Q3196">
        <v>386</v>
      </c>
      <c r="S3196">
        <v>0</v>
      </c>
      <c r="T3196">
        <v>0</v>
      </c>
      <c r="U3196">
        <f>+SUM(Table1[[#This Row],[Latinos]:[Cemex]])</f>
        <v>1</v>
      </c>
      <c r="V3196" t="str">
        <f>+Table1[[#This Row],[id_destino]]&amp;" - "&amp;Table1[[#This Row],[id_origen]]</f>
        <v>39 - 87</v>
      </c>
    </row>
    <row r="3197" spans="1:22" hidden="1">
      <c r="A3197">
        <v>4265</v>
      </c>
      <c r="B3197">
        <v>4534</v>
      </c>
      <c r="C3197">
        <v>7402</v>
      </c>
      <c r="D3197">
        <v>7053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  <c r="K3197" t="s">
        <v>20</v>
      </c>
      <c r="L3197" s="1">
        <v>45409</v>
      </c>
      <c r="M3197">
        <v>47</v>
      </c>
      <c r="N3197">
        <v>87</v>
      </c>
      <c r="O3197">
        <v>596</v>
      </c>
      <c r="P3197">
        <v>588</v>
      </c>
      <c r="Q3197">
        <v>596</v>
      </c>
      <c r="S3197">
        <v>2016</v>
      </c>
      <c r="T3197">
        <v>2076</v>
      </c>
      <c r="U3197">
        <f>+SUM(Table1[[#This Row],[Latinos]:[Cemex]])</f>
        <v>1</v>
      </c>
      <c r="V3197" t="str">
        <f>+Table1[[#This Row],[id_destino]]&amp;" - "&amp;Table1[[#This Row],[id_origen]]</f>
        <v>47 - 87</v>
      </c>
    </row>
    <row r="3198" spans="1:22" hidden="1">
      <c r="A3198">
        <v>3822</v>
      </c>
      <c r="B3198">
        <v>4242</v>
      </c>
      <c r="C3198">
        <v>3476</v>
      </c>
      <c r="D3198">
        <v>7410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 t="s">
        <v>20</v>
      </c>
      <c r="L3198" s="1">
        <v>45118</v>
      </c>
      <c r="M3198">
        <v>160</v>
      </c>
      <c r="N3198">
        <v>87</v>
      </c>
      <c r="O3198">
        <v>161</v>
      </c>
      <c r="P3198">
        <v>150</v>
      </c>
      <c r="Q3198">
        <v>161</v>
      </c>
      <c r="S3198">
        <v>0</v>
      </c>
      <c r="T3198">
        <v>0</v>
      </c>
      <c r="U3198">
        <f>+SUM(Table1[[#This Row],[Latinos]:[Cemex]])</f>
        <v>1</v>
      </c>
      <c r="V3198" t="str">
        <f>+Table1[[#This Row],[id_destino]]&amp;" - "&amp;Table1[[#This Row],[id_origen]]</f>
        <v>160 - 87</v>
      </c>
    </row>
    <row r="3199" spans="1:22" hidden="1">
      <c r="A3199">
        <v>929</v>
      </c>
      <c r="B3199">
        <v>2516</v>
      </c>
      <c r="C3199">
        <v>3476</v>
      </c>
      <c r="D3199">
        <v>3032</v>
      </c>
      <c r="E3199">
        <v>0</v>
      </c>
      <c r="F3199">
        <v>1</v>
      </c>
      <c r="G3199">
        <v>0</v>
      </c>
      <c r="H3199">
        <v>0</v>
      </c>
      <c r="I3199">
        <v>0</v>
      </c>
      <c r="J3199">
        <v>0</v>
      </c>
      <c r="K3199" t="s">
        <v>20</v>
      </c>
      <c r="L3199" s="1">
        <v>43217</v>
      </c>
      <c r="M3199">
        <v>189</v>
      </c>
      <c r="N3199">
        <v>87</v>
      </c>
      <c r="O3199">
        <v>780</v>
      </c>
      <c r="P3199">
        <v>767</v>
      </c>
      <c r="Q3199">
        <v>780</v>
      </c>
      <c r="S3199">
        <v>3151</v>
      </c>
      <c r="T3199">
        <v>3151</v>
      </c>
      <c r="U3199">
        <f>+SUM(Table1[[#This Row],[Latinos]:[Cemex]])</f>
        <v>1</v>
      </c>
      <c r="V3199" t="str">
        <f>+Table1[[#This Row],[id_destino]]&amp;" - "&amp;Table1[[#This Row],[id_origen]]</f>
        <v>189 - 87</v>
      </c>
    </row>
    <row r="3200" spans="1:22" hidden="1">
      <c r="A3200">
        <v>962</v>
      </c>
      <c r="B3200">
        <v>2526</v>
      </c>
      <c r="C3200">
        <v>3476</v>
      </c>
      <c r="D3200">
        <v>5561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0</v>
      </c>
      <c r="K3200" t="s">
        <v>20</v>
      </c>
      <c r="L3200" s="1">
        <v>43230</v>
      </c>
      <c r="M3200">
        <v>226</v>
      </c>
      <c r="N3200">
        <v>87</v>
      </c>
      <c r="O3200">
        <v>1090</v>
      </c>
      <c r="P3200">
        <v>1090</v>
      </c>
      <c r="Q3200">
        <v>1090</v>
      </c>
      <c r="S3200">
        <v>2869</v>
      </c>
      <c r="T3200">
        <v>2869</v>
      </c>
      <c r="U3200">
        <f>+SUM(Table1[[#This Row],[Latinos]:[Cemex]])</f>
        <v>1</v>
      </c>
      <c r="V3200" t="str">
        <f>+Table1[[#This Row],[id_destino]]&amp;" - "&amp;Table1[[#This Row],[id_origen]]</f>
        <v>226 - 87</v>
      </c>
    </row>
    <row r="3201" spans="1:22" hidden="1">
      <c r="A3201">
        <v>2200</v>
      </c>
      <c r="B3201">
        <v>3196</v>
      </c>
      <c r="C3201">
        <v>3476</v>
      </c>
      <c r="D3201">
        <v>6252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 t="s">
        <v>20</v>
      </c>
      <c r="L3201" s="1">
        <v>43888</v>
      </c>
      <c r="M3201">
        <v>352</v>
      </c>
      <c r="N3201">
        <v>87</v>
      </c>
      <c r="O3201">
        <v>184</v>
      </c>
      <c r="P3201">
        <v>205</v>
      </c>
      <c r="Q3201">
        <v>184</v>
      </c>
      <c r="S3201">
        <v>463</v>
      </c>
      <c r="T3201">
        <v>463</v>
      </c>
      <c r="U3201">
        <f>+SUM(Table1[[#This Row],[Latinos]:[Cemex]])</f>
        <v>1</v>
      </c>
      <c r="V3201" t="str">
        <f>+Table1[[#This Row],[id_destino]]&amp;" - "&amp;Table1[[#This Row],[id_origen]]</f>
        <v>352 - 87</v>
      </c>
    </row>
    <row r="3202" spans="1:22" hidden="1">
      <c r="A3202">
        <v>2122</v>
      </c>
      <c r="B3202">
        <v>3146</v>
      </c>
      <c r="C3202">
        <v>3476</v>
      </c>
      <c r="D3202">
        <v>6198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 t="s">
        <v>20</v>
      </c>
      <c r="L3202" s="1">
        <v>43819</v>
      </c>
      <c r="M3202">
        <v>708</v>
      </c>
      <c r="N3202">
        <v>87</v>
      </c>
      <c r="O3202">
        <v>246</v>
      </c>
      <c r="P3202">
        <v>220</v>
      </c>
      <c r="Q3202">
        <v>246</v>
      </c>
      <c r="S3202">
        <v>0</v>
      </c>
      <c r="T3202">
        <v>0</v>
      </c>
      <c r="U3202">
        <f>+SUM(Table1[[#This Row],[Latinos]:[Cemex]])</f>
        <v>1</v>
      </c>
      <c r="V3202" t="str">
        <f>+Table1[[#This Row],[id_destino]]&amp;" - "&amp;Table1[[#This Row],[id_origen]]</f>
        <v>708 - 87</v>
      </c>
    </row>
    <row r="3203" spans="1:22" hidden="1">
      <c r="A3203">
        <v>3693</v>
      </c>
      <c r="B3203">
        <v>4168</v>
      </c>
      <c r="C3203">
        <v>3476</v>
      </c>
      <c r="D3203">
        <v>7318</v>
      </c>
      <c r="E3203">
        <v>0</v>
      </c>
      <c r="F3203">
        <v>1</v>
      </c>
      <c r="G3203">
        <v>0</v>
      </c>
      <c r="H3203">
        <v>0</v>
      </c>
      <c r="I3203">
        <v>0</v>
      </c>
      <c r="J3203">
        <v>0</v>
      </c>
      <c r="K3203" t="s">
        <v>20</v>
      </c>
      <c r="L3203" s="1">
        <v>45034</v>
      </c>
      <c r="M3203">
        <v>779</v>
      </c>
      <c r="N3203">
        <v>87</v>
      </c>
      <c r="O3203">
        <v>493</v>
      </c>
      <c r="P3203">
        <v>485</v>
      </c>
      <c r="Q3203">
        <v>493</v>
      </c>
      <c r="S3203">
        <v>1939</v>
      </c>
      <c r="T3203">
        <v>1939</v>
      </c>
      <c r="U3203">
        <f>+SUM(Table1[[#This Row],[Latinos]:[Cemex]])</f>
        <v>1</v>
      </c>
      <c r="V3203" t="str">
        <f>+Table1[[#This Row],[id_destino]]&amp;" - "&amp;Table1[[#This Row],[id_origen]]</f>
        <v>779 - 87</v>
      </c>
    </row>
    <row r="3204" spans="1:22" hidden="1">
      <c r="A3204">
        <v>2332</v>
      </c>
      <c r="B3204">
        <v>3277</v>
      </c>
      <c r="C3204">
        <v>3476</v>
      </c>
      <c r="D3204">
        <v>6336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  <c r="K3204" t="s">
        <v>20</v>
      </c>
      <c r="L3204" s="1">
        <v>44042</v>
      </c>
      <c r="M3204">
        <v>811</v>
      </c>
      <c r="N3204">
        <v>87</v>
      </c>
      <c r="O3204">
        <v>869</v>
      </c>
      <c r="P3204">
        <v>885</v>
      </c>
      <c r="Q3204">
        <v>869</v>
      </c>
      <c r="S3204">
        <v>1795</v>
      </c>
      <c r="T3204">
        <v>1849</v>
      </c>
      <c r="U3204">
        <f>+SUM(Table1[[#This Row],[Latinos]:[Cemex]])</f>
        <v>1</v>
      </c>
      <c r="V3204" t="str">
        <f>+Table1[[#This Row],[id_destino]]&amp;" - "&amp;Table1[[#This Row],[id_origen]]</f>
        <v>811 - 87</v>
      </c>
    </row>
    <row r="3205" spans="1:22" hidden="1">
      <c r="A3205">
        <v>4037</v>
      </c>
      <c r="B3205">
        <v>4376</v>
      </c>
      <c r="C3205">
        <v>3476</v>
      </c>
      <c r="D3205">
        <v>7555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 t="s">
        <v>20</v>
      </c>
      <c r="L3205" s="1">
        <v>45244</v>
      </c>
      <c r="M3205">
        <v>886</v>
      </c>
      <c r="N3205">
        <v>87</v>
      </c>
      <c r="O3205">
        <v>94</v>
      </c>
      <c r="P3205">
        <v>150</v>
      </c>
      <c r="Q3205">
        <v>94</v>
      </c>
      <c r="S3205">
        <v>286</v>
      </c>
      <c r="T3205">
        <v>286</v>
      </c>
      <c r="U3205">
        <f>+SUM(Table1[[#This Row],[Latinos]:[Cemex]])</f>
        <v>1</v>
      </c>
      <c r="V3205" t="str">
        <f>+Table1[[#This Row],[id_destino]]&amp;" - "&amp;Table1[[#This Row],[id_origen]]</f>
        <v>886 - 87</v>
      </c>
    </row>
    <row r="3206" spans="1:22" hidden="1">
      <c r="A3206">
        <v>4704</v>
      </c>
      <c r="B3206">
        <v>4855</v>
      </c>
      <c r="C3206">
        <v>3476</v>
      </c>
      <c r="D3206">
        <v>8180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 t="s">
        <v>20</v>
      </c>
      <c r="L3206" s="1">
        <v>45743</v>
      </c>
      <c r="M3206">
        <v>927</v>
      </c>
      <c r="N3206">
        <v>87</v>
      </c>
      <c r="O3206">
        <v>494</v>
      </c>
      <c r="P3206">
        <v>485</v>
      </c>
      <c r="Q3206">
        <v>494</v>
      </c>
      <c r="S3206">
        <v>1939</v>
      </c>
      <c r="T3206">
        <v>1939</v>
      </c>
      <c r="U3206">
        <f>+SUM(Table1[[#This Row],[Latinos]:[Cemex]])</f>
        <v>1</v>
      </c>
      <c r="V3206" t="str">
        <f>+Table1[[#This Row],[id_destino]]&amp;" - "&amp;Table1[[#This Row],[id_origen]]</f>
        <v>927 - 87</v>
      </c>
    </row>
    <row r="3207" spans="1:22" hidden="1">
      <c r="A3207">
        <v>4759</v>
      </c>
      <c r="B3207">
        <v>4892</v>
      </c>
      <c r="C3207">
        <v>3476</v>
      </c>
      <c r="D3207">
        <v>8225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 t="s">
        <v>20</v>
      </c>
      <c r="L3207" s="1">
        <v>45790</v>
      </c>
      <c r="M3207">
        <v>928</v>
      </c>
      <c r="N3207">
        <v>87</v>
      </c>
      <c r="O3207">
        <v>101</v>
      </c>
      <c r="P3207">
        <v>205</v>
      </c>
      <c r="Q3207">
        <v>101</v>
      </c>
      <c r="S3207">
        <v>303</v>
      </c>
      <c r="T3207">
        <v>303</v>
      </c>
      <c r="U3207">
        <f>+SUM(Table1[[#This Row],[Latinos]:[Cemex]])</f>
        <v>1</v>
      </c>
      <c r="V3207" t="str">
        <f>+Table1[[#This Row],[id_destino]]&amp;" - "&amp;Table1[[#This Row],[id_origen]]</f>
        <v>928 - 87</v>
      </c>
    </row>
    <row r="3208" spans="1:22" hidden="1">
      <c r="A3208">
        <v>4790</v>
      </c>
      <c r="B3208">
        <v>4910</v>
      </c>
      <c r="C3208">
        <v>3476</v>
      </c>
      <c r="D3208">
        <v>8252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</v>
      </c>
      <c r="K3208" t="s">
        <v>20</v>
      </c>
      <c r="L3208" s="1">
        <v>45826</v>
      </c>
      <c r="M3208">
        <v>930</v>
      </c>
      <c r="N3208">
        <v>87</v>
      </c>
      <c r="O3208">
        <v>184</v>
      </c>
      <c r="P3208">
        <v>180</v>
      </c>
      <c r="Q3208">
        <v>184</v>
      </c>
      <c r="S3208">
        <v>791</v>
      </c>
      <c r="T3208">
        <v>791</v>
      </c>
      <c r="U3208">
        <f>+SUM(Table1[[#This Row],[Latinos]:[Cemex]])</f>
        <v>1</v>
      </c>
      <c r="V3208" t="str">
        <f>+Table1[[#This Row],[id_destino]]&amp;" - "&amp;Table1[[#This Row],[id_origen]]</f>
        <v>930 - 87</v>
      </c>
    </row>
    <row r="3209" spans="1:22" hidden="1">
      <c r="A3209">
        <v>1886</v>
      </c>
      <c r="B3209">
        <v>2998</v>
      </c>
      <c r="C3209">
        <v>6018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 t="s">
        <v>20</v>
      </c>
      <c r="L3209" s="1">
        <v>43692</v>
      </c>
      <c r="M3209">
        <v>3</v>
      </c>
      <c r="N3209">
        <v>88</v>
      </c>
      <c r="O3209">
        <v>950</v>
      </c>
      <c r="P3209">
        <v>950</v>
      </c>
      <c r="Q3209">
        <v>950</v>
      </c>
      <c r="S3209">
        <v>2265</v>
      </c>
      <c r="T3209">
        <v>2265</v>
      </c>
      <c r="U3209">
        <f>+SUM(Table1[[#This Row],[Latinos]:[Cemex]])</f>
        <v>1</v>
      </c>
      <c r="V3209" t="str">
        <f>+Table1[[#This Row],[id_destino]]&amp;" - "&amp;Table1[[#This Row],[id_origen]]</f>
        <v>3 - 88</v>
      </c>
    </row>
    <row r="3210" spans="1:22" hidden="1">
      <c r="A3210">
        <v>4465</v>
      </c>
      <c r="B3210">
        <v>1725</v>
      </c>
      <c r="C3210">
        <v>6070</v>
      </c>
      <c r="D3210">
        <v>7934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  <c r="K3210" t="s">
        <v>20</v>
      </c>
      <c r="L3210" s="1">
        <v>45566</v>
      </c>
      <c r="M3210">
        <v>13</v>
      </c>
      <c r="N3210">
        <v>88</v>
      </c>
      <c r="O3210">
        <v>62</v>
      </c>
      <c r="P3210">
        <v>100</v>
      </c>
      <c r="Q3210">
        <v>62</v>
      </c>
      <c r="S3210">
        <v>185</v>
      </c>
      <c r="T3210">
        <v>185</v>
      </c>
      <c r="U3210">
        <f>+SUM(Table1[[#This Row],[Latinos]:[Cemex]])</f>
        <v>1</v>
      </c>
      <c r="V3210" t="str">
        <f>+Table1[[#This Row],[id_destino]]&amp;" - "&amp;Table1[[#This Row],[id_origen]]</f>
        <v>13 - 88</v>
      </c>
    </row>
    <row r="3211" spans="1:22" hidden="1">
      <c r="A3211">
        <v>4467</v>
      </c>
      <c r="B3211">
        <v>4678</v>
      </c>
      <c r="C3211">
        <v>6070</v>
      </c>
      <c r="D3211">
        <v>7936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 t="s">
        <v>20</v>
      </c>
      <c r="L3211" s="1">
        <v>45566</v>
      </c>
      <c r="M3211">
        <v>16</v>
      </c>
      <c r="N3211">
        <v>88</v>
      </c>
      <c r="O3211">
        <v>1256</v>
      </c>
      <c r="P3211">
        <v>1256</v>
      </c>
      <c r="Q3211">
        <v>1256</v>
      </c>
      <c r="S3211">
        <v>1571</v>
      </c>
      <c r="T3211">
        <v>1935</v>
      </c>
      <c r="U3211">
        <f>+SUM(Table1[[#This Row],[Latinos]:[Cemex]])</f>
        <v>1</v>
      </c>
      <c r="V3211" t="str">
        <f>+Table1[[#This Row],[id_destino]]&amp;" - "&amp;Table1[[#This Row],[id_origen]]</f>
        <v>16 - 88</v>
      </c>
    </row>
    <row r="3212" spans="1:22" hidden="1">
      <c r="A3212">
        <v>2544</v>
      </c>
      <c r="B3212">
        <v>1285</v>
      </c>
      <c r="C3212">
        <v>6466</v>
      </c>
      <c r="D3212">
        <v>6472</v>
      </c>
      <c r="E3212">
        <v>0</v>
      </c>
      <c r="F3212">
        <v>0</v>
      </c>
      <c r="G3212">
        <v>0</v>
      </c>
      <c r="H3212">
        <v>1</v>
      </c>
      <c r="I3212">
        <v>0</v>
      </c>
      <c r="J3212">
        <v>0</v>
      </c>
      <c r="K3212" t="s">
        <v>20</v>
      </c>
      <c r="L3212" s="1">
        <v>44168</v>
      </c>
      <c r="M3212">
        <v>18</v>
      </c>
      <c r="N3212">
        <v>88</v>
      </c>
      <c r="O3212">
        <v>188</v>
      </c>
      <c r="P3212">
        <v>170</v>
      </c>
      <c r="Q3212">
        <v>188</v>
      </c>
      <c r="S3212">
        <v>373</v>
      </c>
      <c r="T3212">
        <v>373</v>
      </c>
      <c r="U3212">
        <f>+SUM(Table1[[#This Row],[Latinos]:[Cemex]])</f>
        <v>1</v>
      </c>
      <c r="V3212" t="str">
        <f>+Table1[[#This Row],[id_destino]]&amp;" - "&amp;Table1[[#This Row],[id_origen]]</f>
        <v>18 - 88</v>
      </c>
    </row>
    <row r="3213" spans="1:22" hidden="1">
      <c r="A3213">
        <v>4466</v>
      </c>
      <c r="B3213">
        <v>4544</v>
      </c>
      <c r="C3213">
        <v>6070</v>
      </c>
      <c r="D3213">
        <v>7935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 t="s">
        <v>20</v>
      </c>
      <c r="L3213" s="1">
        <v>45566</v>
      </c>
      <c r="M3213">
        <v>33</v>
      </c>
      <c r="N3213">
        <v>88</v>
      </c>
      <c r="O3213">
        <v>793</v>
      </c>
      <c r="P3213">
        <v>793</v>
      </c>
      <c r="Q3213">
        <v>793</v>
      </c>
      <c r="S3213">
        <v>670</v>
      </c>
      <c r="T3213">
        <v>817</v>
      </c>
      <c r="U3213">
        <f>+SUM(Table1[[#This Row],[Latinos]:[Cemex]])</f>
        <v>1</v>
      </c>
      <c r="V3213" t="str">
        <f>+Table1[[#This Row],[id_destino]]&amp;" - "&amp;Table1[[#This Row],[id_origen]]</f>
        <v>33 - 88</v>
      </c>
    </row>
    <row r="3214" spans="1:22" hidden="1">
      <c r="A3214">
        <v>588</v>
      </c>
      <c r="B3214">
        <v>160</v>
      </c>
      <c r="C3214">
        <v>4253</v>
      </c>
      <c r="D3214">
        <v>3984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 t="s">
        <v>20</v>
      </c>
      <c r="L3214" s="1">
        <v>43109</v>
      </c>
      <c r="M3214">
        <v>59</v>
      </c>
      <c r="N3214">
        <v>88</v>
      </c>
      <c r="O3214">
        <v>603</v>
      </c>
      <c r="P3214">
        <v>596</v>
      </c>
      <c r="Q3214">
        <v>603</v>
      </c>
      <c r="S3214">
        <v>1458</v>
      </c>
      <c r="T3214">
        <v>1458</v>
      </c>
      <c r="U3214">
        <f>+SUM(Table1[[#This Row],[Latinos]:[Cemex]])</f>
        <v>1</v>
      </c>
      <c r="V3214" t="str">
        <f>+Table1[[#This Row],[id_destino]]&amp;" - "&amp;Table1[[#This Row],[id_origen]]</f>
        <v>59 - 88</v>
      </c>
    </row>
    <row r="3215" spans="1:22" hidden="1">
      <c r="A3215">
        <v>2534</v>
      </c>
      <c r="B3215">
        <v>3401</v>
      </c>
      <c r="C3215">
        <v>6466</v>
      </c>
      <c r="D3215">
        <v>6466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 t="s">
        <v>20</v>
      </c>
      <c r="L3215" s="1">
        <v>44160</v>
      </c>
      <c r="M3215">
        <v>88</v>
      </c>
      <c r="N3215">
        <v>88</v>
      </c>
      <c r="O3215">
        <v>0</v>
      </c>
      <c r="P3215">
        <v>150</v>
      </c>
      <c r="Q3215">
        <v>0</v>
      </c>
      <c r="S3215">
        <v>0</v>
      </c>
      <c r="T3215">
        <v>0</v>
      </c>
      <c r="U3215">
        <f>+SUM(Table1[[#This Row],[Latinos]:[Cemex]])</f>
        <v>1</v>
      </c>
      <c r="V3215" t="str">
        <f>+Table1[[#This Row],[id_destino]]&amp;" - "&amp;Table1[[#This Row],[id_origen]]</f>
        <v>88 - 88</v>
      </c>
    </row>
    <row r="3216" spans="1:22" hidden="1">
      <c r="A3216">
        <v>1742</v>
      </c>
      <c r="B3216">
        <v>2912</v>
      </c>
      <c r="C3216">
        <v>5642</v>
      </c>
      <c r="D3216">
        <v>5913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 t="s">
        <v>20</v>
      </c>
      <c r="L3216" s="1">
        <v>43596</v>
      </c>
      <c r="M3216">
        <v>111</v>
      </c>
      <c r="N3216">
        <v>88</v>
      </c>
      <c r="O3216">
        <v>1445</v>
      </c>
      <c r="P3216">
        <v>1452</v>
      </c>
      <c r="Q3216">
        <v>1445</v>
      </c>
      <c r="S3216">
        <v>3056</v>
      </c>
      <c r="T3216">
        <v>3142</v>
      </c>
      <c r="U3216">
        <f>+SUM(Table1[[#This Row],[Latinos]:[Cemex]])</f>
        <v>1</v>
      </c>
      <c r="V3216" t="str">
        <f>+Table1[[#This Row],[id_destino]]&amp;" - "&amp;Table1[[#This Row],[id_origen]]</f>
        <v>111 - 88</v>
      </c>
    </row>
    <row r="3217" spans="1:22" hidden="1">
      <c r="A3217">
        <v>4197</v>
      </c>
      <c r="B3217">
        <v>4483</v>
      </c>
      <c r="C3217">
        <v>6070</v>
      </c>
      <c r="D3217">
        <v>7679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 t="s">
        <v>20</v>
      </c>
      <c r="L3217" s="1">
        <v>45352</v>
      </c>
      <c r="M3217">
        <v>116</v>
      </c>
      <c r="N3217">
        <v>88</v>
      </c>
      <c r="O3217">
        <v>305</v>
      </c>
      <c r="P3217">
        <v>303</v>
      </c>
      <c r="Q3217">
        <v>305</v>
      </c>
      <c r="S3217">
        <v>763</v>
      </c>
      <c r="T3217">
        <v>763</v>
      </c>
      <c r="U3217">
        <f>+SUM(Table1[[#This Row],[Latinos]:[Cemex]])</f>
        <v>1</v>
      </c>
      <c r="V3217" t="str">
        <f>+Table1[[#This Row],[id_destino]]&amp;" - "&amp;Table1[[#This Row],[id_origen]]</f>
        <v>116 - 88</v>
      </c>
    </row>
    <row r="3218" spans="1:22" hidden="1">
      <c r="A3218">
        <v>4611</v>
      </c>
      <c r="B3218">
        <v>4793</v>
      </c>
      <c r="C3218">
        <v>6534</v>
      </c>
      <c r="D3218">
        <v>623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 t="s">
        <v>20</v>
      </c>
      <c r="L3218" s="1">
        <v>45670</v>
      </c>
      <c r="M3218">
        <v>121</v>
      </c>
      <c r="N3218">
        <v>88</v>
      </c>
      <c r="O3218">
        <v>116</v>
      </c>
      <c r="P3218">
        <v>150</v>
      </c>
      <c r="Q3218">
        <v>116</v>
      </c>
      <c r="S3218">
        <v>400</v>
      </c>
      <c r="T3218">
        <v>400</v>
      </c>
      <c r="U3218">
        <f>+SUM(Table1[[#This Row],[Latinos]:[Cemex]])</f>
        <v>1</v>
      </c>
      <c r="V3218" t="str">
        <f>+Table1[[#This Row],[id_destino]]&amp;" - "&amp;Table1[[#This Row],[id_origen]]</f>
        <v>121 - 88</v>
      </c>
    </row>
    <row r="3219" spans="1:22" hidden="1">
      <c r="A3219">
        <v>4163</v>
      </c>
      <c r="B3219">
        <v>4462</v>
      </c>
      <c r="C3219">
        <v>7591</v>
      </c>
      <c r="D3219">
        <v>12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 t="s">
        <v>20</v>
      </c>
      <c r="L3219" s="1">
        <v>45332</v>
      </c>
      <c r="M3219">
        <v>169</v>
      </c>
      <c r="N3219">
        <v>88</v>
      </c>
      <c r="O3219">
        <v>175</v>
      </c>
      <c r="P3219">
        <v>187</v>
      </c>
      <c r="Q3219">
        <v>175</v>
      </c>
      <c r="S3219">
        <v>679</v>
      </c>
      <c r="T3219">
        <v>679</v>
      </c>
      <c r="U3219">
        <f>+SUM(Table1[[#This Row],[Latinos]:[Cemex]])</f>
        <v>1</v>
      </c>
      <c r="V3219" t="str">
        <f>+Table1[[#This Row],[id_destino]]&amp;" - "&amp;Table1[[#This Row],[id_origen]]</f>
        <v>169 - 88</v>
      </c>
    </row>
    <row r="3220" spans="1:22" hidden="1">
      <c r="A3220">
        <v>4165</v>
      </c>
      <c r="B3220">
        <v>4462</v>
      </c>
      <c r="C3220">
        <v>7591</v>
      </c>
      <c r="D3220">
        <v>12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  <c r="K3220" t="s">
        <v>20</v>
      </c>
      <c r="L3220" s="1">
        <v>45334</v>
      </c>
      <c r="M3220">
        <v>169</v>
      </c>
      <c r="N3220">
        <v>88</v>
      </c>
      <c r="O3220">
        <v>175</v>
      </c>
      <c r="P3220">
        <v>175</v>
      </c>
      <c r="Q3220">
        <v>175</v>
      </c>
      <c r="S3220">
        <v>384</v>
      </c>
      <c r="T3220">
        <v>384</v>
      </c>
      <c r="U3220">
        <f>+SUM(Table1[[#This Row],[Latinos]:[Cemex]])</f>
        <v>1</v>
      </c>
      <c r="V3220" t="str">
        <f>+Table1[[#This Row],[id_destino]]&amp;" - "&amp;Table1[[#This Row],[id_origen]]</f>
        <v>169 - 88</v>
      </c>
    </row>
    <row r="3221" spans="1:22" hidden="1">
      <c r="A3221">
        <v>4341</v>
      </c>
      <c r="B3221">
        <v>4582</v>
      </c>
      <c r="C3221">
        <v>6070</v>
      </c>
      <c r="D3221">
        <v>7832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 t="s">
        <v>20</v>
      </c>
      <c r="L3221" s="1">
        <v>45481</v>
      </c>
      <c r="M3221">
        <v>220</v>
      </c>
      <c r="N3221">
        <v>88</v>
      </c>
      <c r="O3221">
        <v>384</v>
      </c>
      <c r="P3221">
        <v>384</v>
      </c>
      <c r="Q3221">
        <v>384</v>
      </c>
      <c r="S3221">
        <v>1244</v>
      </c>
      <c r="T3221">
        <v>1244</v>
      </c>
      <c r="U3221">
        <f>+SUM(Table1[[#This Row],[Latinos]:[Cemex]])</f>
        <v>1</v>
      </c>
      <c r="V3221" t="str">
        <f>+Table1[[#This Row],[id_destino]]&amp;" - "&amp;Table1[[#This Row],[id_origen]]</f>
        <v>220 - 88</v>
      </c>
    </row>
    <row r="3222" spans="1:22" hidden="1">
      <c r="A3222">
        <v>1550</v>
      </c>
      <c r="B3222">
        <v>2806</v>
      </c>
      <c r="C3222">
        <v>3975</v>
      </c>
      <c r="D3222">
        <v>33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 t="s">
        <v>20</v>
      </c>
      <c r="L3222" s="1">
        <v>43502</v>
      </c>
      <c r="M3222">
        <v>260</v>
      </c>
      <c r="N3222">
        <v>88</v>
      </c>
      <c r="O3222">
        <v>1256</v>
      </c>
      <c r="P3222">
        <v>1230</v>
      </c>
      <c r="Q3222">
        <v>1256</v>
      </c>
      <c r="S3222">
        <v>2702</v>
      </c>
      <c r="T3222">
        <v>2776</v>
      </c>
      <c r="U3222">
        <f>+SUM(Table1[[#This Row],[Latinos]:[Cemex]])</f>
        <v>1</v>
      </c>
      <c r="V3222" t="str">
        <f>+Table1[[#This Row],[id_destino]]&amp;" - "&amp;Table1[[#This Row],[id_origen]]</f>
        <v>260 - 88</v>
      </c>
    </row>
    <row r="3223" spans="1:22" hidden="1">
      <c r="A3223">
        <v>1552</v>
      </c>
      <c r="B3223">
        <v>2806</v>
      </c>
      <c r="C3223">
        <v>3975</v>
      </c>
      <c r="D3223">
        <v>33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  <c r="K3223" t="s">
        <v>20</v>
      </c>
      <c r="L3223" s="1">
        <v>43502</v>
      </c>
      <c r="M3223">
        <v>260</v>
      </c>
      <c r="N3223">
        <v>88</v>
      </c>
      <c r="O3223">
        <v>1256</v>
      </c>
      <c r="P3223">
        <v>1230</v>
      </c>
      <c r="Q3223">
        <v>1256</v>
      </c>
      <c r="S3223">
        <v>2702</v>
      </c>
      <c r="T3223">
        <v>2776</v>
      </c>
      <c r="U3223">
        <f>+SUM(Table1[[#This Row],[Latinos]:[Cemex]])</f>
        <v>1</v>
      </c>
      <c r="V3223" t="str">
        <f>+Table1[[#This Row],[id_destino]]&amp;" - "&amp;Table1[[#This Row],[id_origen]]</f>
        <v>260 - 88</v>
      </c>
    </row>
    <row r="3224" spans="1:22" hidden="1">
      <c r="A3224">
        <v>1945</v>
      </c>
      <c r="B3224">
        <v>3036</v>
      </c>
      <c r="C3224">
        <v>6070</v>
      </c>
      <c r="D3224">
        <v>6071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 t="s">
        <v>20</v>
      </c>
      <c r="L3224" s="1">
        <v>43734</v>
      </c>
      <c r="M3224">
        <v>318</v>
      </c>
      <c r="N3224">
        <v>88</v>
      </c>
      <c r="O3224">
        <v>170</v>
      </c>
      <c r="P3224">
        <v>170</v>
      </c>
      <c r="Q3224">
        <v>170</v>
      </c>
      <c r="S3224">
        <v>363</v>
      </c>
      <c r="T3224">
        <v>363</v>
      </c>
      <c r="U3224">
        <f>+SUM(Table1[[#This Row],[Latinos]:[Cemex]])</f>
        <v>1</v>
      </c>
      <c r="V3224" t="str">
        <f>+Table1[[#This Row],[id_destino]]&amp;" - "&amp;Table1[[#This Row],[id_origen]]</f>
        <v>318 - 88</v>
      </c>
    </row>
    <row r="3225" spans="1:22" hidden="1">
      <c r="A3225">
        <v>1353</v>
      </c>
      <c r="B3225">
        <v>2703</v>
      </c>
      <c r="C3225">
        <v>5642</v>
      </c>
      <c r="D3225">
        <v>5608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 t="s">
        <v>20</v>
      </c>
      <c r="L3225" s="1">
        <v>43397</v>
      </c>
      <c r="M3225">
        <v>492</v>
      </c>
      <c r="N3225">
        <v>88</v>
      </c>
      <c r="O3225">
        <v>465</v>
      </c>
      <c r="P3225">
        <v>500</v>
      </c>
      <c r="Q3225">
        <v>465</v>
      </c>
      <c r="S3225">
        <v>1429</v>
      </c>
      <c r="T3225">
        <v>1436</v>
      </c>
      <c r="U3225">
        <f>+SUM(Table1[[#This Row],[Latinos]:[Cemex]])</f>
        <v>1</v>
      </c>
      <c r="V3225" t="str">
        <f>+Table1[[#This Row],[id_destino]]&amp;" - "&amp;Table1[[#This Row],[id_origen]]</f>
        <v>492 - 88</v>
      </c>
    </row>
    <row r="3226" spans="1:22" hidden="1">
      <c r="A3226">
        <v>4107</v>
      </c>
      <c r="B3226">
        <v>4425</v>
      </c>
      <c r="C3226">
        <v>6070</v>
      </c>
      <c r="D3226">
        <v>7615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 t="s">
        <v>20</v>
      </c>
      <c r="L3226" s="1">
        <v>45295</v>
      </c>
      <c r="M3226">
        <v>747</v>
      </c>
      <c r="N3226">
        <v>88</v>
      </c>
      <c r="O3226">
        <v>1551</v>
      </c>
      <c r="P3226">
        <v>1538</v>
      </c>
      <c r="Q3226">
        <v>1551</v>
      </c>
      <c r="S3226">
        <v>2951</v>
      </c>
      <c r="T3226">
        <v>2951</v>
      </c>
      <c r="U3226">
        <f>+SUM(Table1[[#This Row],[Latinos]:[Cemex]])</f>
        <v>1</v>
      </c>
      <c r="V3226" t="str">
        <f>+Table1[[#This Row],[id_destino]]&amp;" - "&amp;Table1[[#This Row],[id_origen]]</f>
        <v>747 - 88</v>
      </c>
    </row>
    <row r="3227" spans="1:22" hidden="1">
      <c r="A3227">
        <v>2189</v>
      </c>
      <c r="B3227">
        <v>951</v>
      </c>
      <c r="C3227">
        <v>1431</v>
      </c>
      <c r="D3227">
        <v>18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 t="s">
        <v>20</v>
      </c>
      <c r="L3227" s="1">
        <v>43848</v>
      </c>
      <c r="M3227">
        <v>17</v>
      </c>
      <c r="N3227">
        <v>89</v>
      </c>
      <c r="O3227">
        <v>542</v>
      </c>
      <c r="P3227">
        <v>542</v>
      </c>
      <c r="Q3227">
        <v>542</v>
      </c>
      <c r="S3227">
        <v>1044</v>
      </c>
      <c r="T3227">
        <v>1364</v>
      </c>
      <c r="U3227">
        <f>+SUM(Table1[[#This Row],[Latinos]:[Cemex]])</f>
        <v>1</v>
      </c>
      <c r="V3227" t="str">
        <f>+Table1[[#This Row],[id_destino]]&amp;" - "&amp;Table1[[#This Row],[id_origen]]</f>
        <v>17 - 89</v>
      </c>
    </row>
    <row r="3228" spans="1:22" hidden="1">
      <c r="A3228">
        <v>727</v>
      </c>
      <c r="B3228">
        <v>804</v>
      </c>
      <c r="C3228">
        <v>1431</v>
      </c>
      <c r="D3228">
        <v>40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0</v>
      </c>
      <c r="K3228" t="s">
        <v>20</v>
      </c>
      <c r="L3228" s="1">
        <v>43144</v>
      </c>
      <c r="M3228">
        <v>34</v>
      </c>
      <c r="N3228">
        <v>89</v>
      </c>
      <c r="O3228">
        <v>304</v>
      </c>
      <c r="P3228">
        <v>326</v>
      </c>
      <c r="Q3228">
        <v>304</v>
      </c>
      <c r="S3228">
        <v>0</v>
      </c>
      <c r="T3228">
        <v>0</v>
      </c>
      <c r="U3228">
        <f>+SUM(Table1[[#This Row],[Latinos]:[Cemex]])</f>
        <v>1</v>
      </c>
      <c r="V3228" t="str">
        <f>+Table1[[#This Row],[id_destino]]&amp;" - "&amp;Table1[[#This Row],[id_origen]]</f>
        <v>34 - 89</v>
      </c>
    </row>
    <row r="3229" spans="1:22" hidden="1">
      <c r="A3229">
        <v>687</v>
      </c>
      <c r="B3229">
        <v>2407</v>
      </c>
      <c r="C3229">
        <v>1431</v>
      </c>
      <c r="D3229">
        <v>4806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 t="s">
        <v>20</v>
      </c>
      <c r="L3229" s="1">
        <v>43130</v>
      </c>
      <c r="M3229">
        <v>52</v>
      </c>
      <c r="N3229">
        <v>89</v>
      </c>
      <c r="O3229">
        <v>210</v>
      </c>
      <c r="P3229">
        <v>194</v>
      </c>
      <c r="Q3229">
        <v>210</v>
      </c>
      <c r="S3229">
        <v>0</v>
      </c>
      <c r="T3229">
        <v>0</v>
      </c>
      <c r="U3229">
        <f>+SUM(Table1[[#This Row],[Latinos]:[Cemex]])</f>
        <v>1</v>
      </c>
      <c r="V3229" t="str">
        <f>+Table1[[#This Row],[id_destino]]&amp;" - "&amp;Table1[[#This Row],[id_origen]]</f>
        <v>52 - 89</v>
      </c>
    </row>
    <row r="3230" spans="1:22" hidden="1">
      <c r="A3230">
        <v>2727</v>
      </c>
      <c r="B3230">
        <v>3528</v>
      </c>
      <c r="C3230">
        <v>1431</v>
      </c>
      <c r="D3230">
        <v>6619</v>
      </c>
      <c r="E3230">
        <v>0</v>
      </c>
      <c r="F3230">
        <v>1</v>
      </c>
      <c r="G3230">
        <v>0</v>
      </c>
      <c r="H3230">
        <v>0</v>
      </c>
      <c r="I3230">
        <v>0</v>
      </c>
      <c r="J3230">
        <v>0</v>
      </c>
      <c r="K3230" t="s">
        <v>20</v>
      </c>
      <c r="L3230" s="1">
        <v>44387</v>
      </c>
      <c r="M3230">
        <v>53</v>
      </c>
      <c r="N3230">
        <v>89</v>
      </c>
      <c r="O3230">
        <v>269</v>
      </c>
      <c r="P3230">
        <v>269</v>
      </c>
      <c r="Q3230">
        <v>269</v>
      </c>
      <c r="S3230">
        <v>0</v>
      </c>
      <c r="T3230">
        <v>0</v>
      </c>
      <c r="U3230">
        <f>+SUM(Table1[[#This Row],[Latinos]:[Cemex]])</f>
        <v>1</v>
      </c>
      <c r="V3230" t="str">
        <f>+Table1[[#This Row],[id_destino]]&amp;" - "&amp;Table1[[#This Row],[id_origen]]</f>
        <v>53 - 89</v>
      </c>
    </row>
    <row r="3231" spans="1:22" hidden="1">
      <c r="A3231">
        <v>583</v>
      </c>
      <c r="B3231">
        <v>1686</v>
      </c>
      <c r="C3231">
        <v>1431</v>
      </c>
      <c r="D3231">
        <v>2213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0</v>
      </c>
      <c r="K3231" t="s">
        <v>20</v>
      </c>
      <c r="L3231" s="1">
        <v>43108</v>
      </c>
      <c r="M3231">
        <v>62</v>
      </c>
      <c r="N3231">
        <v>89</v>
      </c>
      <c r="O3231">
        <v>623</v>
      </c>
      <c r="P3231">
        <v>623</v>
      </c>
      <c r="Q3231">
        <v>623</v>
      </c>
      <c r="S3231">
        <v>170</v>
      </c>
      <c r="T3231">
        <v>170</v>
      </c>
      <c r="U3231">
        <f>+SUM(Table1[[#This Row],[Latinos]:[Cemex]])</f>
        <v>1</v>
      </c>
      <c r="V3231" t="str">
        <f>+Table1[[#This Row],[id_destino]]&amp;" - "&amp;Table1[[#This Row],[id_origen]]</f>
        <v>62 - 89</v>
      </c>
    </row>
    <row r="3232" spans="1:22" hidden="1">
      <c r="A3232">
        <v>2337</v>
      </c>
      <c r="B3232">
        <v>3282</v>
      </c>
      <c r="C3232">
        <v>1431</v>
      </c>
      <c r="D3232">
        <v>3471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  <c r="K3232" t="s">
        <v>20</v>
      </c>
      <c r="L3232" s="1">
        <v>43956</v>
      </c>
      <c r="M3232">
        <v>71</v>
      </c>
      <c r="N3232">
        <v>89</v>
      </c>
      <c r="O3232">
        <v>953</v>
      </c>
      <c r="P3232">
        <v>970</v>
      </c>
      <c r="Q3232">
        <v>953</v>
      </c>
      <c r="S3232">
        <v>1259</v>
      </c>
      <c r="T3232">
        <v>1259</v>
      </c>
      <c r="U3232">
        <f>+SUM(Table1[[#This Row],[Latinos]:[Cemex]])</f>
        <v>1</v>
      </c>
      <c r="V3232" t="str">
        <f>+Table1[[#This Row],[id_destino]]&amp;" - "&amp;Table1[[#This Row],[id_origen]]</f>
        <v>71 - 89</v>
      </c>
    </row>
    <row r="3233" spans="1:22" hidden="1">
      <c r="A3233">
        <v>2830</v>
      </c>
      <c r="B3233">
        <v>3595</v>
      </c>
      <c r="C3233">
        <v>1431</v>
      </c>
      <c r="D3233">
        <v>6711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 t="s">
        <v>20</v>
      </c>
      <c r="L3233" s="1">
        <v>44497</v>
      </c>
      <c r="M3233">
        <v>101</v>
      </c>
      <c r="N3233">
        <v>89</v>
      </c>
      <c r="O3233">
        <v>112</v>
      </c>
      <c r="P3233">
        <v>150</v>
      </c>
      <c r="Q3233">
        <v>112</v>
      </c>
      <c r="S3233">
        <v>0</v>
      </c>
      <c r="T3233">
        <v>0</v>
      </c>
      <c r="U3233">
        <f>+SUM(Table1[[#This Row],[Latinos]:[Cemex]])</f>
        <v>1</v>
      </c>
      <c r="V3233" t="str">
        <f>+Table1[[#This Row],[id_destino]]&amp;" - "&amp;Table1[[#This Row],[id_origen]]</f>
        <v>101 - 89</v>
      </c>
    </row>
    <row r="3234" spans="1:22" hidden="1">
      <c r="A3234">
        <v>3730</v>
      </c>
      <c r="B3234">
        <v>3595</v>
      </c>
      <c r="C3234">
        <v>847</v>
      </c>
      <c r="D3234">
        <v>7086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 t="s">
        <v>20</v>
      </c>
      <c r="L3234" s="1">
        <v>45061</v>
      </c>
      <c r="M3234">
        <v>101</v>
      </c>
      <c r="N3234">
        <v>89</v>
      </c>
      <c r="O3234">
        <v>112</v>
      </c>
      <c r="P3234">
        <v>112</v>
      </c>
      <c r="Q3234">
        <v>112</v>
      </c>
      <c r="S3234">
        <v>0</v>
      </c>
      <c r="T3234">
        <v>0</v>
      </c>
      <c r="U3234">
        <f>+SUM(Table1[[#This Row],[Latinos]:[Cemex]])</f>
        <v>1</v>
      </c>
      <c r="V3234" t="str">
        <f>+Table1[[#This Row],[id_destino]]&amp;" - "&amp;Table1[[#This Row],[id_origen]]</f>
        <v>101 - 89</v>
      </c>
    </row>
    <row r="3235" spans="1:22" hidden="1">
      <c r="A3235">
        <v>2271</v>
      </c>
      <c r="B3235">
        <v>3244</v>
      </c>
      <c r="C3235">
        <v>1431</v>
      </c>
      <c r="D3235">
        <v>6306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 t="s">
        <v>20</v>
      </c>
      <c r="L3235" s="1">
        <v>43894</v>
      </c>
      <c r="M3235">
        <v>130</v>
      </c>
      <c r="N3235">
        <v>89</v>
      </c>
      <c r="O3235">
        <v>243</v>
      </c>
      <c r="P3235">
        <v>243</v>
      </c>
      <c r="Q3235">
        <v>243</v>
      </c>
      <c r="S3235">
        <v>0</v>
      </c>
      <c r="T3235">
        <v>0</v>
      </c>
      <c r="U3235">
        <f>+SUM(Table1[[#This Row],[Latinos]:[Cemex]])</f>
        <v>1</v>
      </c>
      <c r="V3235" t="str">
        <f>+Table1[[#This Row],[id_destino]]&amp;" - "&amp;Table1[[#This Row],[id_origen]]</f>
        <v>130 - 89</v>
      </c>
    </row>
    <row r="3236" spans="1:22" hidden="1">
      <c r="A3236">
        <v>1293</v>
      </c>
      <c r="B3236">
        <v>2676</v>
      </c>
      <c r="C3236">
        <v>1431</v>
      </c>
      <c r="D3236">
        <v>5710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 t="s">
        <v>20</v>
      </c>
      <c r="L3236" s="1">
        <v>43369</v>
      </c>
      <c r="M3236">
        <v>521</v>
      </c>
      <c r="N3236">
        <v>89</v>
      </c>
      <c r="O3236">
        <v>142</v>
      </c>
      <c r="P3236">
        <v>142</v>
      </c>
      <c r="Q3236">
        <v>142</v>
      </c>
      <c r="S3236">
        <v>0</v>
      </c>
      <c r="T3236">
        <v>0</v>
      </c>
      <c r="U3236">
        <f>+SUM(Table1[[#This Row],[Latinos]:[Cemex]])</f>
        <v>1</v>
      </c>
      <c r="V3236" t="str">
        <f>+Table1[[#This Row],[id_destino]]&amp;" - "&amp;Table1[[#This Row],[id_origen]]</f>
        <v>521 - 89</v>
      </c>
    </row>
    <row r="3237" spans="1:22" hidden="1">
      <c r="A3237">
        <v>672</v>
      </c>
      <c r="B3237">
        <v>2401</v>
      </c>
      <c r="C3237">
        <v>1431</v>
      </c>
      <c r="D3237">
        <v>5445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 t="s">
        <v>20</v>
      </c>
      <c r="L3237" s="1">
        <v>43126</v>
      </c>
      <c r="M3237">
        <v>529</v>
      </c>
      <c r="N3237">
        <v>89</v>
      </c>
      <c r="O3237">
        <v>1020</v>
      </c>
      <c r="P3237">
        <v>1018</v>
      </c>
      <c r="Q3237">
        <v>1020</v>
      </c>
      <c r="S3237">
        <v>874</v>
      </c>
      <c r="T3237">
        <v>874</v>
      </c>
      <c r="U3237">
        <f>+SUM(Table1[[#This Row],[Latinos]:[Cemex]])</f>
        <v>1</v>
      </c>
      <c r="V3237" t="str">
        <f>+Table1[[#This Row],[id_destino]]&amp;" - "&amp;Table1[[#This Row],[id_origen]]</f>
        <v>529 - 89</v>
      </c>
    </row>
    <row r="3238" spans="1:22" hidden="1">
      <c r="A3238">
        <v>519</v>
      </c>
      <c r="B3238">
        <v>2330</v>
      </c>
      <c r="C3238">
        <v>1431</v>
      </c>
      <c r="D3238">
        <v>5393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0</v>
      </c>
      <c r="K3238" t="s">
        <v>20</v>
      </c>
      <c r="L3238" s="1">
        <v>43088</v>
      </c>
      <c r="M3238">
        <v>726</v>
      </c>
      <c r="N3238">
        <v>89</v>
      </c>
      <c r="O3238">
        <v>301</v>
      </c>
      <c r="P3238">
        <v>297</v>
      </c>
      <c r="Q3238">
        <v>301</v>
      </c>
      <c r="S3238">
        <v>0</v>
      </c>
      <c r="T3238">
        <v>0</v>
      </c>
      <c r="U3238">
        <f>+SUM(Table1[[#This Row],[Latinos]:[Cemex]])</f>
        <v>1</v>
      </c>
      <c r="V3238" t="str">
        <f>+Table1[[#This Row],[id_destino]]&amp;" - "&amp;Table1[[#This Row],[id_origen]]</f>
        <v>726 - 89</v>
      </c>
    </row>
    <row r="3239" spans="1:22" hidden="1">
      <c r="A3239">
        <v>1855</v>
      </c>
      <c r="B3239">
        <v>2974</v>
      </c>
      <c r="C3239">
        <v>5986</v>
      </c>
      <c r="D3239">
        <v>5987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 t="s">
        <v>20</v>
      </c>
      <c r="L3239" s="1">
        <v>43672</v>
      </c>
      <c r="M3239">
        <v>16</v>
      </c>
      <c r="N3239">
        <v>90</v>
      </c>
      <c r="O3239">
        <v>1278</v>
      </c>
      <c r="P3239">
        <v>1293</v>
      </c>
      <c r="Q3239">
        <v>1278</v>
      </c>
      <c r="S3239">
        <v>1388</v>
      </c>
      <c r="T3239">
        <v>1688</v>
      </c>
      <c r="U3239">
        <f>+SUM(Table1[[#This Row],[Latinos]:[Cemex]])</f>
        <v>1</v>
      </c>
      <c r="V3239" t="str">
        <f>+Table1[[#This Row],[id_destino]]&amp;" - "&amp;Table1[[#This Row],[id_origen]]</f>
        <v>16 - 90</v>
      </c>
    </row>
    <row r="3240" spans="1:22" hidden="1">
      <c r="A3240">
        <v>1724</v>
      </c>
      <c r="B3240">
        <v>2904</v>
      </c>
      <c r="C3240">
        <v>4946</v>
      </c>
      <c r="D3240">
        <v>3804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  <c r="K3240" t="s">
        <v>20</v>
      </c>
      <c r="L3240" s="1">
        <v>43588</v>
      </c>
      <c r="M3240">
        <v>1</v>
      </c>
      <c r="N3240">
        <v>92</v>
      </c>
      <c r="O3240">
        <v>50</v>
      </c>
      <c r="P3240">
        <v>150</v>
      </c>
      <c r="Q3240">
        <v>50</v>
      </c>
      <c r="S3240">
        <v>0</v>
      </c>
      <c r="T3240">
        <v>0</v>
      </c>
      <c r="U3240">
        <f>+SUM(Table1[[#This Row],[Latinos]:[Cemex]])</f>
        <v>1</v>
      </c>
      <c r="V3240" t="str">
        <f>+Table1[[#This Row],[id_destino]]&amp;" - "&amp;Table1[[#This Row],[id_origen]]</f>
        <v>1 - 92</v>
      </c>
    </row>
    <row r="3241" spans="1:22" hidden="1">
      <c r="A3241">
        <v>3885</v>
      </c>
      <c r="B3241">
        <v>4280</v>
      </c>
      <c r="C3241">
        <v>7449</v>
      </c>
      <c r="D3241">
        <v>4531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0</v>
      </c>
      <c r="K3241" t="s">
        <v>20</v>
      </c>
      <c r="L3241" s="1">
        <v>45162</v>
      </c>
      <c r="M3241">
        <v>9</v>
      </c>
      <c r="N3241">
        <v>92</v>
      </c>
      <c r="O3241">
        <v>2279</v>
      </c>
      <c r="P3241">
        <v>2195</v>
      </c>
      <c r="Q3241">
        <v>2279</v>
      </c>
      <c r="S3241">
        <v>4624</v>
      </c>
      <c r="T3241">
        <v>3825</v>
      </c>
      <c r="U3241">
        <f>+SUM(Table1[[#This Row],[Latinos]:[Cemex]])</f>
        <v>1</v>
      </c>
      <c r="V3241" t="str">
        <f>+Table1[[#This Row],[id_destino]]&amp;" - "&amp;Table1[[#This Row],[id_origen]]</f>
        <v>9 - 92</v>
      </c>
    </row>
    <row r="3242" spans="1:22" hidden="1">
      <c r="A3242">
        <v>3886</v>
      </c>
      <c r="B3242">
        <v>4280</v>
      </c>
      <c r="C3242">
        <v>7449</v>
      </c>
      <c r="D3242">
        <v>4531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  <c r="K3242" t="s">
        <v>20</v>
      </c>
      <c r="L3242" s="1">
        <v>45455</v>
      </c>
      <c r="M3242">
        <v>9</v>
      </c>
      <c r="N3242">
        <v>92</v>
      </c>
      <c r="O3242">
        <v>1</v>
      </c>
      <c r="P3242">
        <v>150</v>
      </c>
      <c r="Q3242">
        <v>0</v>
      </c>
      <c r="S3242">
        <v>0</v>
      </c>
      <c r="T3242">
        <v>0</v>
      </c>
      <c r="U3242">
        <f>+SUM(Table1[[#This Row],[Latinos]:[Cemex]])</f>
        <v>1</v>
      </c>
      <c r="V3242" t="str">
        <f>+Table1[[#This Row],[id_destino]]&amp;" - "&amp;Table1[[#This Row],[id_origen]]</f>
        <v>9 - 92</v>
      </c>
    </row>
    <row r="3243" spans="1:22" hidden="1">
      <c r="A3243">
        <v>517</v>
      </c>
      <c r="B3243">
        <v>2329</v>
      </c>
      <c r="C3243">
        <v>4946</v>
      </c>
      <c r="D3243">
        <v>5282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 t="s">
        <v>20</v>
      </c>
      <c r="L3243" s="1">
        <v>43088</v>
      </c>
      <c r="M3243">
        <v>11</v>
      </c>
      <c r="N3243">
        <v>92</v>
      </c>
      <c r="O3243">
        <v>696</v>
      </c>
      <c r="P3243">
        <v>696</v>
      </c>
      <c r="Q3243">
        <v>696</v>
      </c>
      <c r="S3243">
        <v>291</v>
      </c>
      <c r="T3243">
        <v>291</v>
      </c>
      <c r="U3243">
        <f>+SUM(Table1[[#This Row],[Latinos]:[Cemex]])</f>
        <v>1</v>
      </c>
      <c r="V3243" t="str">
        <f>+Table1[[#This Row],[id_destino]]&amp;" - "&amp;Table1[[#This Row],[id_origen]]</f>
        <v>11 - 92</v>
      </c>
    </row>
    <row r="3244" spans="1:22" hidden="1">
      <c r="A3244">
        <v>810</v>
      </c>
      <c r="B3244">
        <v>2464</v>
      </c>
      <c r="C3244">
        <v>4946</v>
      </c>
      <c r="D3244">
        <v>10</v>
      </c>
      <c r="E3244">
        <v>0</v>
      </c>
      <c r="F3244">
        <v>1</v>
      </c>
      <c r="G3244">
        <v>0</v>
      </c>
      <c r="H3244">
        <v>0</v>
      </c>
      <c r="I3244">
        <v>0</v>
      </c>
      <c r="J3244">
        <v>0</v>
      </c>
      <c r="K3244" t="s">
        <v>20</v>
      </c>
      <c r="L3244" s="1">
        <v>43172</v>
      </c>
      <c r="M3244">
        <v>12</v>
      </c>
      <c r="N3244">
        <v>92</v>
      </c>
      <c r="O3244">
        <v>689</v>
      </c>
      <c r="P3244">
        <v>718</v>
      </c>
      <c r="Q3244">
        <v>689</v>
      </c>
      <c r="S3244">
        <v>490</v>
      </c>
      <c r="T3244">
        <v>490</v>
      </c>
      <c r="U3244">
        <f>+SUM(Table1[[#This Row],[Latinos]:[Cemex]])</f>
        <v>1</v>
      </c>
      <c r="V3244" t="str">
        <f>+Table1[[#This Row],[id_destino]]&amp;" - "&amp;Table1[[#This Row],[id_origen]]</f>
        <v>12 - 92</v>
      </c>
    </row>
    <row r="3245" spans="1:22" hidden="1">
      <c r="A3245">
        <v>2461</v>
      </c>
      <c r="B3245">
        <v>1884</v>
      </c>
      <c r="C3245">
        <v>464</v>
      </c>
      <c r="D3245">
        <v>4940</v>
      </c>
      <c r="E3245">
        <v>0</v>
      </c>
      <c r="F3245">
        <v>0</v>
      </c>
      <c r="G3245">
        <v>0</v>
      </c>
      <c r="H3245">
        <v>1</v>
      </c>
      <c r="I3245">
        <v>0</v>
      </c>
      <c r="J3245">
        <v>0</v>
      </c>
      <c r="K3245" t="s">
        <v>20</v>
      </c>
      <c r="L3245" s="1">
        <v>44091</v>
      </c>
      <c r="M3245">
        <v>15</v>
      </c>
      <c r="N3245">
        <v>92</v>
      </c>
      <c r="O3245">
        <v>1159</v>
      </c>
      <c r="P3245">
        <v>1159</v>
      </c>
      <c r="Q3245">
        <v>1159</v>
      </c>
      <c r="S3245">
        <v>0</v>
      </c>
      <c r="T3245">
        <v>0</v>
      </c>
      <c r="U3245">
        <f>+SUM(Table1[[#This Row],[Latinos]:[Cemex]])</f>
        <v>1</v>
      </c>
      <c r="V3245" t="str">
        <f>+Table1[[#This Row],[id_destino]]&amp;" - "&amp;Table1[[#This Row],[id_origen]]</f>
        <v>15 - 92</v>
      </c>
    </row>
    <row r="3246" spans="1:22" hidden="1">
      <c r="A3246">
        <v>2560</v>
      </c>
      <c r="B3246">
        <v>3418</v>
      </c>
      <c r="C3246">
        <v>3161</v>
      </c>
      <c r="D3246">
        <v>15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0</v>
      </c>
      <c r="K3246" t="s">
        <v>20</v>
      </c>
      <c r="L3246" s="1">
        <v>44180</v>
      </c>
      <c r="M3246">
        <v>16</v>
      </c>
      <c r="N3246">
        <v>92</v>
      </c>
      <c r="O3246">
        <v>812</v>
      </c>
      <c r="P3246">
        <v>843</v>
      </c>
      <c r="Q3246">
        <v>812</v>
      </c>
      <c r="S3246">
        <v>1336</v>
      </c>
      <c r="T3246">
        <v>1573</v>
      </c>
      <c r="U3246">
        <f>+SUM(Table1[[#This Row],[Latinos]:[Cemex]])</f>
        <v>1</v>
      </c>
      <c r="V3246" t="str">
        <f>+Table1[[#This Row],[id_destino]]&amp;" - "&amp;Table1[[#This Row],[id_origen]]</f>
        <v>16 - 92</v>
      </c>
    </row>
    <row r="3247" spans="1:22" hidden="1">
      <c r="A3247">
        <v>2561</v>
      </c>
      <c r="B3247">
        <v>3418</v>
      </c>
      <c r="C3247">
        <v>3161</v>
      </c>
      <c r="D3247">
        <v>15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  <c r="K3247" t="s">
        <v>20</v>
      </c>
      <c r="L3247" s="1">
        <v>44180</v>
      </c>
      <c r="M3247">
        <v>16</v>
      </c>
      <c r="N3247">
        <v>92</v>
      </c>
      <c r="O3247">
        <v>0</v>
      </c>
      <c r="P3247">
        <v>150</v>
      </c>
      <c r="Q3247">
        <v>0</v>
      </c>
      <c r="S3247">
        <v>0</v>
      </c>
      <c r="T3247">
        <v>0</v>
      </c>
      <c r="U3247">
        <f>+SUM(Table1[[#This Row],[Latinos]:[Cemex]])</f>
        <v>1</v>
      </c>
      <c r="V3247" t="str">
        <f>+Table1[[#This Row],[id_destino]]&amp;" - "&amp;Table1[[#This Row],[id_origen]]</f>
        <v>16 - 92</v>
      </c>
    </row>
    <row r="3248" spans="1:22" hidden="1">
      <c r="A3248">
        <v>2240</v>
      </c>
      <c r="B3248">
        <v>2210</v>
      </c>
      <c r="C3248">
        <v>4946</v>
      </c>
      <c r="D3248">
        <v>4050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 t="s">
        <v>20</v>
      </c>
      <c r="L3248" s="1">
        <v>43872</v>
      </c>
      <c r="M3248">
        <v>18</v>
      </c>
      <c r="N3248">
        <v>92</v>
      </c>
      <c r="O3248">
        <v>857</v>
      </c>
      <c r="P3248">
        <v>878</v>
      </c>
      <c r="Q3248">
        <v>857</v>
      </c>
      <c r="S3248">
        <v>786</v>
      </c>
      <c r="T3248">
        <v>786</v>
      </c>
      <c r="U3248">
        <f>+SUM(Table1[[#This Row],[Latinos]:[Cemex]])</f>
        <v>1</v>
      </c>
      <c r="V3248" t="str">
        <f>+Table1[[#This Row],[id_destino]]&amp;" - "&amp;Table1[[#This Row],[id_origen]]</f>
        <v>18 - 92</v>
      </c>
    </row>
    <row r="3249" spans="1:22" hidden="1">
      <c r="A3249">
        <v>2265</v>
      </c>
      <c r="B3249">
        <v>3241</v>
      </c>
      <c r="C3249">
        <v>4946</v>
      </c>
      <c r="D3249">
        <v>6299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  <c r="K3249" t="s">
        <v>20</v>
      </c>
      <c r="L3249" s="1">
        <v>43887</v>
      </c>
      <c r="M3249">
        <v>23</v>
      </c>
      <c r="N3249">
        <v>92</v>
      </c>
      <c r="O3249">
        <v>827</v>
      </c>
      <c r="P3249">
        <v>872</v>
      </c>
      <c r="Q3249">
        <v>827</v>
      </c>
      <c r="S3249">
        <v>0</v>
      </c>
      <c r="T3249">
        <v>0</v>
      </c>
      <c r="U3249">
        <f>+SUM(Table1[[#This Row],[Latinos]:[Cemex]])</f>
        <v>1</v>
      </c>
      <c r="V3249" t="str">
        <f>+Table1[[#This Row],[id_destino]]&amp;" - "&amp;Table1[[#This Row],[id_origen]]</f>
        <v>23 - 92</v>
      </c>
    </row>
    <row r="3250" spans="1:22" hidden="1">
      <c r="A3250">
        <v>1046</v>
      </c>
      <c r="B3250">
        <v>2560</v>
      </c>
      <c r="C3250">
        <v>4946</v>
      </c>
      <c r="D3250">
        <v>3738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 t="s">
        <v>20</v>
      </c>
      <c r="L3250" s="1">
        <v>43263</v>
      </c>
      <c r="M3250">
        <v>24</v>
      </c>
      <c r="N3250">
        <v>92</v>
      </c>
      <c r="O3250">
        <v>1128</v>
      </c>
      <c r="P3250">
        <v>1167</v>
      </c>
      <c r="Q3250">
        <v>1128</v>
      </c>
      <c r="S3250">
        <v>1765</v>
      </c>
      <c r="T3250">
        <v>1830</v>
      </c>
      <c r="U3250">
        <f>+SUM(Table1[[#This Row],[Latinos]:[Cemex]])</f>
        <v>1</v>
      </c>
      <c r="V3250" t="str">
        <f>+Table1[[#This Row],[id_destino]]&amp;" - "&amp;Table1[[#This Row],[id_origen]]</f>
        <v>24 - 92</v>
      </c>
    </row>
    <row r="3251" spans="1:22" hidden="1">
      <c r="A3251">
        <v>1963</v>
      </c>
      <c r="B3251">
        <v>3050</v>
      </c>
      <c r="C3251">
        <v>4946</v>
      </c>
      <c r="D3251">
        <v>6081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  <c r="K3251" t="s">
        <v>20</v>
      </c>
      <c r="L3251" s="1">
        <v>43741</v>
      </c>
      <c r="M3251">
        <v>33</v>
      </c>
      <c r="N3251">
        <v>92</v>
      </c>
      <c r="O3251">
        <v>397</v>
      </c>
      <c r="P3251">
        <v>397</v>
      </c>
      <c r="Q3251">
        <v>397</v>
      </c>
      <c r="S3251">
        <v>0</v>
      </c>
      <c r="T3251">
        <v>0</v>
      </c>
      <c r="U3251">
        <f>+SUM(Table1[[#This Row],[Latinos]:[Cemex]])</f>
        <v>1</v>
      </c>
      <c r="V3251" t="str">
        <f>+Table1[[#This Row],[id_destino]]&amp;" - "&amp;Table1[[#This Row],[id_origen]]</f>
        <v>33 - 92</v>
      </c>
    </row>
    <row r="3252" spans="1:22" hidden="1">
      <c r="A3252">
        <v>4260</v>
      </c>
      <c r="B3252">
        <v>1897</v>
      </c>
      <c r="C3252">
        <v>464</v>
      </c>
      <c r="D3252">
        <v>4412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 t="s">
        <v>20</v>
      </c>
      <c r="L3252" s="1">
        <v>45406</v>
      </c>
      <c r="M3252">
        <v>34</v>
      </c>
      <c r="N3252">
        <v>92</v>
      </c>
      <c r="O3252">
        <v>320</v>
      </c>
      <c r="P3252">
        <v>326</v>
      </c>
      <c r="Q3252">
        <v>320</v>
      </c>
      <c r="S3252">
        <v>776</v>
      </c>
      <c r="T3252">
        <v>776</v>
      </c>
      <c r="U3252">
        <f>+SUM(Table1[[#This Row],[Latinos]:[Cemex]])</f>
        <v>1</v>
      </c>
      <c r="V3252" t="str">
        <f>+Table1[[#This Row],[id_destino]]&amp;" - "&amp;Table1[[#This Row],[id_origen]]</f>
        <v>34 - 92</v>
      </c>
    </row>
    <row r="3253" spans="1:22" hidden="1">
      <c r="A3253">
        <v>1333</v>
      </c>
      <c r="B3253">
        <v>2697</v>
      </c>
      <c r="C3253">
        <v>4946</v>
      </c>
      <c r="D3253">
        <v>3618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  <c r="K3253" t="s">
        <v>20</v>
      </c>
      <c r="L3253" s="1">
        <v>43389</v>
      </c>
      <c r="M3253">
        <v>35</v>
      </c>
      <c r="N3253">
        <v>92</v>
      </c>
      <c r="O3253">
        <v>1289</v>
      </c>
      <c r="P3253">
        <v>1330</v>
      </c>
      <c r="Q3253">
        <v>1289</v>
      </c>
      <c r="S3253">
        <v>1712.07</v>
      </c>
      <c r="T3253">
        <v>1712.07</v>
      </c>
      <c r="U3253">
        <f>+SUM(Table1[[#This Row],[Latinos]:[Cemex]])</f>
        <v>1</v>
      </c>
      <c r="V3253" t="str">
        <f>+Table1[[#This Row],[id_destino]]&amp;" - "&amp;Table1[[#This Row],[id_origen]]</f>
        <v>35 - 92</v>
      </c>
    </row>
    <row r="3254" spans="1:22" hidden="1">
      <c r="A3254">
        <v>2081</v>
      </c>
      <c r="B3254">
        <v>3122</v>
      </c>
      <c r="C3254">
        <v>464</v>
      </c>
      <c r="D3254">
        <v>6174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 t="s">
        <v>20</v>
      </c>
      <c r="L3254" s="1">
        <v>43803</v>
      </c>
      <c r="M3254">
        <v>47</v>
      </c>
      <c r="N3254">
        <v>92</v>
      </c>
      <c r="O3254">
        <v>881</v>
      </c>
      <c r="P3254">
        <v>881</v>
      </c>
      <c r="Q3254">
        <v>881</v>
      </c>
      <c r="S3254">
        <v>0</v>
      </c>
      <c r="T3254">
        <v>0</v>
      </c>
      <c r="U3254">
        <f>+SUM(Table1[[#This Row],[Latinos]:[Cemex]])</f>
        <v>1</v>
      </c>
      <c r="V3254" t="str">
        <f>+Table1[[#This Row],[id_destino]]&amp;" - "&amp;Table1[[#This Row],[id_origen]]</f>
        <v>47 - 92</v>
      </c>
    </row>
    <row r="3255" spans="1:22" hidden="1">
      <c r="A3255">
        <v>2481</v>
      </c>
      <c r="B3255">
        <v>3122</v>
      </c>
      <c r="C3255">
        <v>4946</v>
      </c>
      <c r="D3255">
        <v>2413</v>
      </c>
      <c r="E3255">
        <v>0</v>
      </c>
      <c r="F3255">
        <v>1</v>
      </c>
      <c r="G3255">
        <v>0</v>
      </c>
      <c r="H3255">
        <v>0</v>
      </c>
      <c r="I3255">
        <v>0</v>
      </c>
      <c r="J3255">
        <v>0</v>
      </c>
      <c r="K3255" t="s">
        <v>20</v>
      </c>
      <c r="L3255" s="1">
        <v>44116</v>
      </c>
      <c r="M3255">
        <v>47</v>
      </c>
      <c r="N3255">
        <v>92</v>
      </c>
      <c r="O3255">
        <v>882</v>
      </c>
      <c r="P3255">
        <v>871</v>
      </c>
      <c r="Q3255">
        <v>882</v>
      </c>
      <c r="S3255">
        <v>600</v>
      </c>
      <c r="T3255">
        <v>660</v>
      </c>
      <c r="U3255">
        <f>+SUM(Table1[[#This Row],[Latinos]:[Cemex]])</f>
        <v>1</v>
      </c>
      <c r="V3255" t="str">
        <f>+Table1[[#This Row],[id_destino]]&amp;" - "&amp;Table1[[#This Row],[id_origen]]</f>
        <v>47 - 92</v>
      </c>
    </row>
    <row r="3256" spans="1:22" hidden="1">
      <c r="A3256">
        <v>2430</v>
      </c>
      <c r="B3256">
        <v>3338</v>
      </c>
      <c r="C3256">
        <v>4946</v>
      </c>
      <c r="D3256">
        <v>3431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 t="s">
        <v>20</v>
      </c>
      <c r="L3256" s="1">
        <v>44068</v>
      </c>
      <c r="M3256">
        <v>52</v>
      </c>
      <c r="N3256">
        <v>92</v>
      </c>
      <c r="O3256">
        <v>50</v>
      </c>
      <c r="P3256">
        <v>150</v>
      </c>
      <c r="Q3256">
        <v>50</v>
      </c>
      <c r="S3256">
        <v>0</v>
      </c>
      <c r="T3256">
        <v>0</v>
      </c>
      <c r="U3256">
        <f>+SUM(Table1[[#This Row],[Latinos]:[Cemex]])</f>
        <v>1</v>
      </c>
      <c r="V3256" t="str">
        <f>+Table1[[#This Row],[id_destino]]&amp;" - "&amp;Table1[[#This Row],[id_origen]]</f>
        <v>52 - 92</v>
      </c>
    </row>
    <row r="3257" spans="1:22" hidden="1">
      <c r="A3257">
        <v>2327</v>
      </c>
      <c r="B3257">
        <v>1855</v>
      </c>
      <c r="C3257">
        <v>464</v>
      </c>
      <c r="D3257">
        <v>4920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 t="s">
        <v>20</v>
      </c>
      <c r="L3257" s="1">
        <v>43946</v>
      </c>
      <c r="M3257">
        <v>60</v>
      </c>
      <c r="N3257">
        <v>92</v>
      </c>
      <c r="O3257">
        <v>2221</v>
      </c>
      <c r="P3257">
        <v>2221</v>
      </c>
      <c r="Q3257">
        <v>2221</v>
      </c>
      <c r="S3257">
        <v>0</v>
      </c>
      <c r="T3257">
        <v>0</v>
      </c>
      <c r="U3257">
        <f>+SUM(Table1[[#This Row],[Latinos]:[Cemex]])</f>
        <v>1</v>
      </c>
      <c r="V3257" t="str">
        <f>+Table1[[#This Row],[id_destino]]&amp;" - "&amp;Table1[[#This Row],[id_origen]]</f>
        <v>60 - 92</v>
      </c>
    </row>
    <row r="3258" spans="1:22" hidden="1">
      <c r="A3258">
        <v>2440</v>
      </c>
      <c r="B3258">
        <v>1855</v>
      </c>
      <c r="C3258">
        <v>6393</v>
      </c>
      <c r="D3258">
        <v>70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 t="s">
        <v>20</v>
      </c>
      <c r="L3258" s="1">
        <v>44078</v>
      </c>
      <c r="M3258">
        <v>60</v>
      </c>
      <c r="N3258">
        <v>92</v>
      </c>
      <c r="O3258">
        <v>2213</v>
      </c>
      <c r="P3258">
        <v>2221</v>
      </c>
      <c r="Q3258">
        <v>2213</v>
      </c>
      <c r="S3258">
        <v>2516</v>
      </c>
      <c r="T3258">
        <v>2898</v>
      </c>
      <c r="U3258">
        <f>+SUM(Table1[[#This Row],[Latinos]:[Cemex]])</f>
        <v>1</v>
      </c>
      <c r="V3258" t="str">
        <f>+Table1[[#This Row],[id_destino]]&amp;" - "&amp;Table1[[#This Row],[id_origen]]</f>
        <v>60 - 92</v>
      </c>
    </row>
    <row r="3259" spans="1:22" hidden="1">
      <c r="A3259">
        <v>2626</v>
      </c>
      <c r="B3259">
        <v>3460</v>
      </c>
      <c r="C3259">
        <v>4946</v>
      </c>
      <c r="D3259">
        <v>71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 t="s">
        <v>20</v>
      </c>
      <c r="L3259" s="1">
        <v>44256</v>
      </c>
      <c r="M3259">
        <v>61</v>
      </c>
      <c r="N3259">
        <v>92</v>
      </c>
      <c r="O3259">
        <v>2075</v>
      </c>
      <c r="P3259">
        <v>2075</v>
      </c>
      <c r="Q3259">
        <v>2075</v>
      </c>
      <c r="S3259">
        <v>1872</v>
      </c>
      <c r="T3259">
        <v>2198</v>
      </c>
      <c r="U3259">
        <f>+SUM(Table1[[#This Row],[Latinos]:[Cemex]])</f>
        <v>1</v>
      </c>
      <c r="V3259" t="str">
        <f>+Table1[[#This Row],[id_destino]]&amp;" - "&amp;Table1[[#This Row],[id_origen]]</f>
        <v>61 - 92</v>
      </c>
    </row>
    <row r="3260" spans="1:22" hidden="1">
      <c r="A3260">
        <v>2326</v>
      </c>
      <c r="B3260">
        <v>2107</v>
      </c>
      <c r="C3260">
        <v>464</v>
      </c>
      <c r="D3260">
        <v>5174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  <c r="K3260" t="s">
        <v>20</v>
      </c>
      <c r="L3260" s="1">
        <v>43946</v>
      </c>
      <c r="M3260">
        <v>62</v>
      </c>
      <c r="N3260">
        <v>92</v>
      </c>
      <c r="O3260">
        <v>502</v>
      </c>
      <c r="P3260">
        <v>502</v>
      </c>
      <c r="Q3260">
        <v>502</v>
      </c>
      <c r="S3260">
        <v>0</v>
      </c>
      <c r="T3260">
        <v>0</v>
      </c>
      <c r="U3260">
        <f>+SUM(Table1[[#This Row],[Latinos]:[Cemex]])</f>
        <v>1</v>
      </c>
      <c r="V3260" t="str">
        <f>+Table1[[#This Row],[id_destino]]&amp;" - "&amp;Table1[[#This Row],[id_origen]]</f>
        <v>62 - 92</v>
      </c>
    </row>
    <row r="3261" spans="1:22" hidden="1">
      <c r="A3261">
        <v>2487</v>
      </c>
      <c r="B3261">
        <v>3374</v>
      </c>
      <c r="C3261">
        <v>4946</v>
      </c>
      <c r="D3261">
        <v>74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0</v>
      </c>
      <c r="K3261" t="s">
        <v>20</v>
      </c>
      <c r="L3261" s="1">
        <v>44121</v>
      </c>
      <c r="M3261">
        <v>64</v>
      </c>
      <c r="N3261">
        <v>92</v>
      </c>
      <c r="O3261">
        <v>320</v>
      </c>
      <c r="P3261">
        <v>320</v>
      </c>
      <c r="Q3261">
        <v>320</v>
      </c>
      <c r="S3261">
        <v>212</v>
      </c>
      <c r="T3261">
        <v>212</v>
      </c>
      <c r="U3261">
        <f>+SUM(Table1[[#This Row],[Latinos]:[Cemex]])</f>
        <v>1</v>
      </c>
      <c r="V3261" t="str">
        <f>+Table1[[#This Row],[id_destino]]&amp;" - "&amp;Table1[[#This Row],[id_origen]]</f>
        <v>64 - 92</v>
      </c>
    </row>
    <row r="3262" spans="1:22" hidden="1">
      <c r="A3262">
        <v>1430</v>
      </c>
      <c r="B3262">
        <v>2744</v>
      </c>
      <c r="C3262">
        <v>4946</v>
      </c>
      <c r="D3262">
        <v>105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 t="s">
        <v>20</v>
      </c>
      <c r="L3262" s="1">
        <v>43431</v>
      </c>
      <c r="M3262">
        <v>75</v>
      </c>
      <c r="N3262">
        <v>92</v>
      </c>
      <c r="O3262">
        <v>894</v>
      </c>
      <c r="P3262">
        <v>895</v>
      </c>
      <c r="Q3262">
        <v>923</v>
      </c>
      <c r="S3262">
        <v>844</v>
      </c>
      <c r="T3262">
        <v>844</v>
      </c>
      <c r="U3262">
        <f>+SUM(Table1[[#This Row],[Latinos]:[Cemex]])</f>
        <v>1</v>
      </c>
      <c r="V3262" t="str">
        <f>+Table1[[#This Row],[id_destino]]&amp;" - "&amp;Table1[[#This Row],[id_origen]]</f>
        <v>75 - 92</v>
      </c>
    </row>
    <row r="3263" spans="1:22" hidden="1">
      <c r="A3263">
        <v>1518</v>
      </c>
      <c r="B3263">
        <v>2791</v>
      </c>
      <c r="C3263">
        <v>4946</v>
      </c>
      <c r="D3263">
        <v>109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 t="s">
        <v>20</v>
      </c>
      <c r="L3263" s="1">
        <v>43484</v>
      </c>
      <c r="M3263">
        <v>93</v>
      </c>
      <c r="N3263">
        <v>92</v>
      </c>
      <c r="O3263">
        <v>895</v>
      </c>
      <c r="P3263">
        <v>842</v>
      </c>
      <c r="Q3263">
        <v>895</v>
      </c>
      <c r="S3263">
        <v>716</v>
      </c>
      <c r="T3263">
        <v>716</v>
      </c>
      <c r="U3263">
        <f>+SUM(Table1[[#This Row],[Latinos]:[Cemex]])</f>
        <v>1</v>
      </c>
      <c r="V3263" t="str">
        <f>+Table1[[#This Row],[id_destino]]&amp;" - "&amp;Table1[[#This Row],[id_origen]]</f>
        <v>93 - 92</v>
      </c>
    </row>
    <row r="3264" spans="1:22" hidden="1">
      <c r="A3264">
        <v>2276</v>
      </c>
      <c r="B3264">
        <v>3247</v>
      </c>
      <c r="C3264">
        <v>4946</v>
      </c>
      <c r="D3264">
        <v>268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 t="s">
        <v>20</v>
      </c>
      <c r="L3264" s="1">
        <v>43900</v>
      </c>
      <c r="M3264">
        <v>99</v>
      </c>
      <c r="N3264">
        <v>92</v>
      </c>
      <c r="O3264">
        <v>2026</v>
      </c>
      <c r="P3264">
        <v>2089</v>
      </c>
      <c r="Q3264">
        <v>2077</v>
      </c>
      <c r="S3264">
        <v>2632.76</v>
      </c>
      <c r="T3264">
        <v>2632.76</v>
      </c>
      <c r="U3264">
        <f>+SUM(Table1[[#This Row],[Latinos]:[Cemex]])</f>
        <v>1</v>
      </c>
      <c r="V3264" t="str">
        <f>+Table1[[#This Row],[id_destino]]&amp;" - "&amp;Table1[[#This Row],[id_origen]]</f>
        <v>99 - 92</v>
      </c>
    </row>
    <row r="3265" spans="1:22" hidden="1">
      <c r="A3265">
        <v>2419</v>
      </c>
      <c r="B3265">
        <v>3331</v>
      </c>
      <c r="C3265">
        <v>464</v>
      </c>
      <c r="D3265">
        <v>6382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0</v>
      </c>
      <c r="K3265" t="s">
        <v>20</v>
      </c>
      <c r="L3265" s="1">
        <v>44058</v>
      </c>
      <c r="M3265">
        <v>102</v>
      </c>
      <c r="N3265">
        <v>92</v>
      </c>
      <c r="O3265">
        <v>354</v>
      </c>
      <c r="P3265">
        <v>354</v>
      </c>
      <c r="Q3265">
        <v>354</v>
      </c>
      <c r="S3265">
        <v>0</v>
      </c>
      <c r="T3265">
        <v>0</v>
      </c>
      <c r="U3265">
        <f>+SUM(Table1[[#This Row],[Latinos]:[Cemex]])</f>
        <v>1</v>
      </c>
      <c r="V3265" t="str">
        <f>+Table1[[#This Row],[id_destino]]&amp;" - "&amp;Table1[[#This Row],[id_origen]]</f>
        <v>102 - 92</v>
      </c>
    </row>
    <row r="3266" spans="1:22" hidden="1">
      <c r="A3266">
        <v>2435</v>
      </c>
      <c r="B3266">
        <v>3342</v>
      </c>
      <c r="C3266">
        <v>464</v>
      </c>
      <c r="D3266">
        <v>6390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 t="s">
        <v>20</v>
      </c>
      <c r="L3266" s="1">
        <v>44075</v>
      </c>
      <c r="M3266">
        <v>118</v>
      </c>
      <c r="N3266">
        <v>92</v>
      </c>
      <c r="O3266">
        <v>2316</v>
      </c>
      <c r="P3266">
        <v>2316</v>
      </c>
      <c r="Q3266">
        <v>2316</v>
      </c>
      <c r="S3266">
        <v>0</v>
      </c>
      <c r="T3266">
        <v>0</v>
      </c>
      <c r="U3266">
        <f>+SUM(Table1[[#This Row],[Latinos]:[Cemex]])</f>
        <v>1</v>
      </c>
      <c r="V3266" t="str">
        <f>+Table1[[#This Row],[id_destino]]&amp;" - "&amp;Table1[[#This Row],[id_origen]]</f>
        <v>118 - 92</v>
      </c>
    </row>
    <row r="3267" spans="1:22" hidden="1">
      <c r="A3267">
        <v>2082</v>
      </c>
      <c r="B3267">
        <v>3123</v>
      </c>
      <c r="C3267">
        <v>464</v>
      </c>
      <c r="D3267">
        <v>4550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 t="s">
        <v>20</v>
      </c>
      <c r="L3267" s="1">
        <v>43803</v>
      </c>
      <c r="M3267">
        <v>136</v>
      </c>
      <c r="N3267">
        <v>92</v>
      </c>
      <c r="O3267">
        <v>1010</v>
      </c>
      <c r="P3267">
        <v>1010</v>
      </c>
      <c r="Q3267">
        <v>1010</v>
      </c>
      <c r="S3267">
        <v>0</v>
      </c>
      <c r="T3267">
        <v>0</v>
      </c>
      <c r="U3267">
        <f>+SUM(Table1[[#This Row],[Latinos]:[Cemex]])</f>
        <v>1</v>
      </c>
      <c r="V3267" t="str">
        <f>+Table1[[#This Row],[id_destino]]&amp;" - "&amp;Table1[[#This Row],[id_origen]]</f>
        <v>136 - 92</v>
      </c>
    </row>
    <row r="3268" spans="1:22" hidden="1">
      <c r="A3268">
        <v>2243</v>
      </c>
      <c r="B3268">
        <v>1988</v>
      </c>
      <c r="C3268">
        <v>464</v>
      </c>
      <c r="D3268">
        <v>1600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  <c r="K3268" t="s">
        <v>20</v>
      </c>
      <c r="L3268" s="1">
        <v>45384</v>
      </c>
      <c r="M3268">
        <v>169</v>
      </c>
      <c r="N3268">
        <v>92</v>
      </c>
      <c r="O3268">
        <v>0</v>
      </c>
      <c r="P3268">
        <v>150</v>
      </c>
      <c r="Q3268">
        <v>0</v>
      </c>
      <c r="S3268">
        <v>773</v>
      </c>
      <c r="T3268">
        <v>773</v>
      </c>
      <c r="U3268">
        <f>+SUM(Table1[[#This Row],[Latinos]:[Cemex]])</f>
        <v>1</v>
      </c>
      <c r="V3268" t="str">
        <f>+Table1[[#This Row],[id_destino]]&amp;" - "&amp;Table1[[#This Row],[id_origen]]</f>
        <v>169 - 92</v>
      </c>
    </row>
    <row r="3269" spans="1:22" hidden="1">
      <c r="A3269">
        <v>2471</v>
      </c>
      <c r="B3269">
        <v>1988</v>
      </c>
      <c r="C3269">
        <v>4946</v>
      </c>
      <c r="D3269">
        <v>12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 t="s">
        <v>20</v>
      </c>
      <c r="L3269" s="1">
        <v>45384</v>
      </c>
      <c r="M3269">
        <v>169</v>
      </c>
      <c r="N3269">
        <v>92</v>
      </c>
      <c r="O3269">
        <v>683</v>
      </c>
      <c r="P3269">
        <v>681</v>
      </c>
      <c r="Q3269">
        <v>683</v>
      </c>
      <c r="S3269">
        <v>944</v>
      </c>
      <c r="T3269">
        <v>944</v>
      </c>
      <c r="U3269">
        <f>+SUM(Table1[[#This Row],[Latinos]:[Cemex]])</f>
        <v>1</v>
      </c>
      <c r="V3269" t="str">
        <f>+Table1[[#This Row],[id_destino]]&amp;" - "&amp;Table1[[#This Row],[id_origen]]</f>
        <v>169 - 92</v>
      </c>
    </row>
    <row r="3270" spans="1:22" hidden="1">
      <c r="A3270">
        <v>4330</v>
      </c>
      <c r="B3270">
        <v>4571</v>
      </c>
      <c r="C3270">
        <v>464</v>
      </c>
      <c r="D3270">
        <v>7814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 t="s">
        <v>20</v>
      </c>
      <c r="L3270" s="1">
        <v>45879</v>
      </c>
      <c r="M3270">
        <v>179</v>
      </c>
      <c r="N3270">
        <v>92</v>
      </c>
      <c r="O3270">
        <v>1708</v>
      </c>
      <c r="P3270">
        <v>1708</v>
      </c>
      <c r="Q3270">
        <v>1708</v>
      </c>
      <c r="S3270">
        <v>2172</v>
      </c>
      <c r="T3270">
        <v>2540</v>
      </c>
      <c r="U3270">
        <f>+SUM(Table1[[#This Row],[Latinos]:[Cemex]])</f>
        <v>1</v>
      </c>
      <c r="V3270" t="str">
        <f>+Table1[[#This Row],[id_destino]]&amp;" - "&amp;Table1[[#This Row],[id_origen]]</f>
        <v>179 - 92</v>
      </c>
    </row>
    <row r="3271" spans="1:22" hidden="1">
      <c r="A3271">
        <v>1732</v>
      </c>
      <c r="B3271">
        <v>2908</v>
      </c>
      <c r="C3271">
        <v>4946</v>
      </c>
      <c r="D3271">
        <v>3430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 t="s">
        <v>20</v>
      </c>
      <c r="L3271" s="1">
        <v>43594</v>
      </c>
      <c r="M3271">
        <v>180</v>
      </c>
      <c r="N3271">
        <v>92</v>
      </c>
      <c r="O3271">
        <v>261</v>
      </c>
      <c r="P3271">
        <v>240</v>
      </c>
      <c r="Q3271">
        <v>261</v>
      </c>
      <c r="S3271">
        <v>359</v>
      </c>
      <c r="T3271">
        <v>359</v>
      </c>
      <c r="U3271">
        <f>+SUM(Table1[[#This Row],[Latinos]:[Cemex]])</f>
        <v>1</v>
      </c>
      <c r="V3271" t="str">
        <f>+Table1[[#This Row],[id_destino]]&amp;" - "&amp;Table1[[#This Row],[id_origen]]</f>
        <v>180 - 92</v>
      </c>
    </row>
    <row r="3272" spans="1:22" hidden="1">
      <c r="A3272">
        <v>2241</v>
      </c>
      <c r="B3272">
        <v>2908</v>
      </c>
      <c r="C3272">
        <v>464</v>
      </c>
      <c r="D3272">
        <v>1216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 t="s">
        <v>20</v>
      </c>
      <c r="L3272" s="1">
        <v>43873</v>
      </c>
      <c r="M3272">
        <v>180</v>
      </c>
      <c r="N3272">
        <v>92</v>
      </c>
      <c r="O3272">
        <v>261</v>
      </c>
      <c r="P3272">
        <v>210</v>
      </c>
      <c r="Q3272">
        <v>261</v>
      </c>
      <c r="S3272">
        <v>371</v>
      </c>
      <c r="T3272">
        <v>371</v>
      </c>
      <c r="U3272">
        <f>+SUM(Table1[[#This Row],[Latinos]:[Cemex]])</f>
        <v>1</v>
      </c>
      <c r="V3272" t="str">
        <f>+Table1[[#This Row],[id_destino]]&amp;" - "&amp;Table1[[#This Row],[id_origen]]</f>
        <v>180 - 92</v>
      </c>
    </row>
    <row r="3273" spans="1:22" hidden="1">
      <c r="A3273">
        <v>2270</v>
      </c>
      <c r="B3273">
        <v>2597</v>
      </c>
      <c r="C3273">
        <v>4946</v>
      </c>
      <c r="D3273">
        <v>6305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  <c r="K3273" t="s">
        <v>20</v>
      </c>
      <c r="L3273" s="1">
        <v>43945</v>
      </c>
      <c r="M3273">
        <v>345</v>
      </c>
      <c r="N3273">
        <v>92</v>
      </c>
      <c r="O3273">
        <v>896</v>
      </c>
      <c r="P3273">
        <v>896</v>
      </c>
      <c r="Q3273">
        <v>896</v>
      </c>
      <c r="S3273">
        <v>0</v>
      </c>
      <c r="T3273">
        <v>0</v>
      </c>
      <c r="U3273">
        <f>+SUM(Table1[[#This Row],[Latinos]:[Cemex]])</f>
        <v>1</v>
      </c>
      <c r="V3273" t="str">
        <f>+Table1[[#This Row],[id_destino]]&amp;" - "&amp;Table1[[#This Row],[id_origen]]</f>
        <v>345 - 92</v>
      </c>
    </row>
    <row r="3274" spans="1:22" hidden="1">
      <c r="A3274">
        <v>412</v>
      </c>
      <c r="B3274">
        <v>2284</v>
      </c>
      <c r="C3274">
        <v>4946</v>
      </c>
      <c r="D3274">
        <v>255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 t="s">
        <v>20</v>
      </c>
      <c r="L3274" s="1">
        <v>43061</v>
      </c>
      <c r="M3274">
        <v>714</v>
      </c>
      <c r="N3274">
        <v>92</v>
      </c>
      <c r="O3274">
        <v>892</v>
      </c>
      <c r="P3274">
        <v>920</v>
      </c>
      <c r="Q3274">
        <v>892</v>
      </c>
      <c r="S3274">
        <v>844</v>
      </c>
      <c r="T3274">
        <v>844</v>
      </c>
      <c r="U3274">
        <f>+SUM(Table1[[#This Row],[Latinos]:[Cemex]])</f>
        <v>1</v>
      </c>
      <c r="V3274" t="str">
        <f>+Table1[[#This Row],[id_destino]]&amp;" - "&amp;Table1[[#This Row],[id_origen]]</f>
        <v>714 - 92</v>
      </c>
    </row>
    <row r="3275" spans="1:22" hidden="1">
      <c r="A3275">
        <v>2722</v>
      </c>
      <c r="B3275">
        <v>3524</v>
      </c>
      <c r="C3275">
        <v>6425</v>
      </c>
      <c r="D3275">
        <v>6609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 t="s">
        <v>20</v>
      </c>
      <c r="L3275" s="1">
        <v>44379</v>
      </c>
      <c r="M3275">
        <v>746</v>
      </c>
      <c r="N3275">
        <v>92</v>
      </c>
      <c r="O3275">
        <v>55</v>
      </c>
      <c r="P3275">
        <v>100</v>
      </c>
      <c r="Q3275">
        <v>55</v>
      </c>
      <c r="S3275">
        <v>0</v>
      </c>
      <c r="T3275">
        <v>0</v>
      </c>
      <c r="U3275">
        <f>+SUM(Table1[[#This Row],[Latinos]:[Cemex]])</f>
        <v>1</v>
      </c>
      <c r="V3275" t="str">
        <f>+Table1[[#This Row],[id_destino]]&amp;" - "&amp;Table1[[#This Row],[id_origen]]</f>
        <v>746 - 92</v>
      </c>
    </row>
    <row r="3276" spans="1:22" hidden="1">
      <c r="A3276">
        <v>1529</v>
      </c>
      <c r="B3276">
        <v>1809</v>
      </c>
      <c r="C3276">
        <v>109</v>
      </c>
      <c r="D3276">
        <v>2653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 t="s">
        <v>20</v>
      </c>
      <c r="L3276" s="1">
        <v>43493</v>
      </c>
      <c r="M3276">
        <v>1</v>
      </c>
      <c r="N3276">
        <v>93</v>
      </c>
      <c r="O3276">
        <v>859</v>
      </c>
      <c r="P3276">
        <v>853</v>
      </c>
      <c r="Q3276">
        <v>859</v>
      </c>
      <c r="S3276">
        <v>1103</v>
      </c>
      <c r="T3276">
        <v>1103</v>
      </c>
      <c r="U3276">
        <f>+SUM(Table1[[#This Row],[Latinos]:[Cemex]])</f>
        <v>1</v>
      </c>
      <c r="V3276" t="str">
        <f>+Table1[[#This Row],[id_destino]]&amp;" - "&amp;Table1[[#This Row],[id_origen]]</f>
        <v>1 - 93</v>
      </c>
    </row>
    <row r="3277" spans="1:22" hidden="1">
      <c r="A3277">
        <v>1557</v>
      </c>
      <c r="B3277">
        <v>1809</v>
      </c>
      <c r="C3277">
        <v>109</v>
      </c>
      <c r="D3277">
        <v>5764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 t="s">
        <v>20</v>
      </c>
      <c r="L3277" s="1">
        <v>43505</v>
      </c>
      <c r="M3277">
        <v>1</v>
      </c>
      <c r="N3277">
        <v>93</v>
      </c>
      <c r="O3277">
        <v>842</v>
      </c>
      <c r="P3277">
        <v>842</v>
      </c>
      <c r="Q3277">
        <v>842</v>
      </c>
      <c r="S3277">
        <v>652</v>
      </c>
      <c r="T3277">
        <v>652</v>
      </c>
      <c r="U3277">
        <f>+SUM(Table1[[#This Row],[Latinos]:[Cemex]])</f>
        <v>1</v>
      </c>
      <c r="V3277" t="str">
        <f>+Table1[[#This Row],[id_destino]]&amp;" - "&amp;Table1[[#This Row],[id_origen]]</f>
        <v>1 - 93</v>
      </c>
    </row>
    <row r="3278" spans="1:22" hidden="1">
      <c r="A3278">
        <v>444</v>
      </c>
      <c r="B3278">
        <v>625</v>
      </c>
      <c r="C3278">
        <v>254</v>
      </c>
      <c r="D3278">
        <v>469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0</v>
      </c>
      <c r="K3278" t="s">
        <v>20</v>
      </c>
      <c r="L3278" s="1">
        <v>43523</v>
      </c>
      <c r="M3278">
        <v>2</v>
      </c>
      <c r="N3278">
        <v>93</v>
      </c>
      <c r="O3278">
        <v>111</v>
      </c>
      <c r="P3278">
        <v>150</v>
      </c>
      <c r="Q3278">
        <v>111</v>
      </c>
      <c r="S3278">
        <v>418</v>
      </c>
      <c r="T3278">
        <v>485</v>
      </c>
      <c r="U3278">
        <f>+SUM(Table1[[#This Row],[Latinos]:[Cemex]])</f>
        <v>1</v>
      </c>
      <c r="V3278" t="str">
        <f>+Table1[[#This Row],[id_destino]]&amp;" - "&amp;Table1[[#This Row],[id_origen]]</f>
        <v>2 - 93</v>
      </c>
    </row>
    <row r="3279" spans="1:22" hidden="1">
      <c r="A3279">
        <v>2623</v>
      </c>
      <c r="B3279">
        <v>1104</v>
      </c>
      <c r="C3279">
        <v>109</v>
      </c>
      <c r="D3279">
        <v>3542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 t="s">
        <v>20</v>
      </c>
      <c r="L3279" s="1">
        <v>44251</v>
      </c>
      <c r="M3279">
        <v>3</v>
      </c>
      <c r="N3279">
        <v>93</v>
      </c>
      <c r="O3279">
        <v>817</v>
      </c>
      <c r="P3279">
        <v>812</v>
      </c>
      <c r="Q3279">
        <v>817</v>
      </c>
      <c r="S3279">
        <v>3021</v>
      </c>
      <c r="T3279">
        <v>3021</v>
      </c>
      <c r="U3279">
        <f>+SUM(Table1[[#This Row],[Latinos]:[Cemex]])</f>
        <v>1</v>
      </c>
      <c r="V3279" t="str">
        <f>+Table1[[#This Row],[id_destino]]&amp;" - "&amp;Table1[[#This Row],[id_origen]]</f>
        <v>3 - 93</v>
      </c>
    </row>
    <row r="3280" spans="1:22" hidden="1">
      <c r="A3280">
        <v>2191</v>
      </c>
      <c r="B3280">
        <v>1787</v>
      </c>
      <c r="C3280">
        <v>109</v>
      </c>
      <c r="D3280">
        <v>2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0</v>
      </c>
      <c r="K3280" t="s">
        <v>20</v>
      </c>
      <c r="L3280" s="1">
        <v>43888</v>
      </c>
      <c r="M3280">
        <v>4</v>
      </c>
      <c r="N3280">
        <v>93</v>
      </c>
      <c r="O3280">
        <v>905</v>
      </c>
      <c r="P3280">
        <v>914</v>
      </c>
      <c r="Q3280">
        <v>905</v>
      </c>
      <c r="S3280">
        <v>2371</v>
      </c>
      <c r="T3280">
        <v>2445</v>
      </c>
      <c r="U3280">
        <f>+SUM(Table1[[#This Row],[Latinos]:[Cemex]])</f>
        <v>1</v>
      </c>
      <c r="V3280" t="str">
        <f>+Table1[[#This Row],[id_destino]]&amp;" - "&amp;Table1[[#This Row],[id_origen]]</f>
        <v>4 - 93</v>
      </c>
    </row>
    <row r="3281" spans="1:22" hidden="1">
      <c r="A3281">
        <v>2432</v>
      </c>
      <c r="B3281">
        <v>3340</v>
      </c>
      <c r="C3281">
        <v>109</v>
      </c>
      <c r="D3281">
        <v>3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 t="s">
        <v>20</v>
      </c>
      <c r="L3281" s="1">
        <v>45810</v>
      </c>
      <c r="M3281">
        <v>5</v>
      </c>
      <c r="N3281">
        <v>93</v>
      </c>
      <c r="O3281">
        <v>1746</v>
      </c>
      <c r="P3281">
        <v>1646</v>
      </c>
      <c r="Q3281">
        <v>1746</v>
      </c>
      <c r="S3281">
        <v>4779</v>
      </c>
      <c r="T3281">
        <v>5253</v>
      </c>
      <c r="U3281">
        <f>+SUM(Table1[[#This Row],[Latinos]:[Cemex]])</f>
        <v>1</v>
      </c>
      <c r="V3281" t="str">
        <f>+Table1[[#This Row],[id_destino]]&amp;" - "&amp;Table1[[#This Row],[id_origen]]</f>
        <v>5 - 93</v>
      </c>
    </row>
    <row r="3282" spans="1:22" hidden="1">
      <c r="A3282">
        <v>2658</v>
      </c>
      <c r="B3282">
        <v>3482</v>
      </c>
      <c r="C3282">
        <v>109</v>
      </c>
      <c r="D3282">
        <v>4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  <c r="K3282" t="s">
        <v>20</v>
      </c>
      <c r="L3282" s="1">
        <v>44302</v>
      </c>
      <c r="M3282">
        <v>6</v>
      </c>
      <c r="N3282">
        <v>93</v>
      </c>
      <c r="O3282">
        <v>1286</v>
      </c>
      <c r="P3282">
        <v>1297</v>
      </c>
      <c r="Q3282">
        <v>1286</v>
      </c>
      <c r="S3282">
        <v>2433</v>
      </c>
      <c r="T3282">
        <v>2507</v>
      </c>
      <c r="U3282">
        <f>+SUM(Table1[[#This Row],[Latinos]:[Cemex]])</f>
        <v>1</v>
      </c>
      <c r="V3282" t="str">
        <f>+Table1[[#This Row],[id_destino]]&amp;" - "&amp;Table1[[#This Row],[id_origen]]</f>
        <v>6 - 93</v>
      </c>
    </row>
    <row r="3283" spans="1:22" hidden="1">
      <c r="A3283">
        <v>2227</v>
      </c>
      <c r="B3283">
        <v>85</v>
      </c>
      <c r="C3283">
        <v>109</v>
      </c>
      <c r="D3283">
        <v>3696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 t="s">
        <v>20</v>
      </c>
      <c r="L3283" s="1">
        <v>43866</v>
      </c>
      <c r="M3283">
        <v>7</v>
      </c>
      <c r="N3283">
        <v>93</v>
      </c>
      <c r="O3283">
        <v>1766</v>
      </c>
      <c r="P3283">
        <v>1677</v>
      </c>
      <c r="Q3283">
        <v>1766</v>
      </c>
      <c r="S3283">
        <v>4814</v>
      </c>
      <c r="T3283">
        <v>5349</v>
      </c>
      <c r="U3283">
        <f>+SUM(Table1[[#This Row],[Latinos]:[Cemex]])</f>
        <v>1</v>
      </c>
      <c r="V3283" t="str">
        <f>+Table1[[#This Row],[id_destino]]&amp;" - "&amp;Table1[[#This Row],[id_origen]]</f>
        <v>7 - 93</v>
      </c>
    </row>
    <row r="3284" spans="1:22" hidden="1">
      <c r="A3284">
        <v>1146</v>
      </c>
      <c r="B3284">
        <v>1104</v>
      </c>
      <c r="C3284">
        <v>109</v>
      </c>
      <c r="D3284">
        <v>4531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 t="s">
        <v>20</v>
      </c>
      <c r="L3284" s="1">
        <v>43313</v>
      </c>
      <c r="M3284">
        <v>9</v>
      </c>
      <c r="N3284">
        <v>93</v>
      </c>
      <c r="O3284">
        <v>1421</v>
      </c>
      <c r="P3284">
        <v>1362</v>
      </c>
      <c r="Q3284">
        <v>1421</v>
      </c>
      <c r="S3284">
        <v>3758</v>
      </c>
      <c r="T3284">
        <v>3841</v>
      </c>
      <c r="U3284">
        <f>+SUM(Table1[[#This Row],[Latinos]:[Cemex]])</f>
        <v>1</v>
      </c>
      <c r="V3284" t="str">
        <f>+Table1[[#This Row],[id_destino]]&amp;" - "&amp;Table1[[#This Row],[id_origen]]</f>
        <v>9 - 93</v>
      </c>
    </row>
    <row r="3285" spans="1:22" hidden="1">
      <c r="A3285">
        <v>214</v>
      </c>
      <c r="B3285">
        <v>93</v>
      </c>
      <c r="C3285">
        <v>109</v>
      </c>
      <c r="D3285">
        <v>5282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0</v>
      </c>
      <c r="K3285" t="s">
        <v>20</v>
      </c>
      <c r="L3285" s="1">
        <v>43014</v>
      </c>
      <c r="M3285">
        <v>11</v>
      </c>
      <c r="N3285">
        <v>93</v>
      </c>
      <c r="O3285">
        <v>158</v>
      </c>
      <c r="P3285">
        <v>162</v>
      </c>
      <c r="Q3285">
        <v>158</v>
      </c>
      <c r="S3285">
        <v>347</v>
      </c>
      <c r="T3285">
        <v>347</v>
      </c>
      <c r="U3285">
        <f>+SUM(Table1[[#This Row],[Latinos]:[Cemex]])</f>
        <v>1</v>
      </c>
      <c r="V3285" t="str">
        <f>+Table1[[#This Row],[id_destino]]&amp;" - "&amp;Table1[[#This Row],[id_origen]]</f>
        <v>11 - 93</v>
      </c>
    </row>
    <row r="3286" spans="1:22" hidden="1">
      <c r="A3286">
        <v>921</v>
      </c>
      <c r="B3286">
        <v>745</v>
      </c>
      <c r="C3286">
        <v>109</v>
      </c>
      <c r="D3286">
        <v>10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 t="s">
        <v>20</v>
      </c>
      <c r="L3286" s="1">
        <v>45706</v>
      </c>
      <c r="M3286">
        <v>12</v>
      </c>
      <c r="N3286">
        <v>93</v>
      </c>
      <c r="O3286">
        <v>437</v>
      </c>
      <c r="P3286">
        <v>437</v>
      </c>
      <c r="Q3286">
        <v>437</v>
      </c>
      <c r="S3286">
        <v>1777</v>
      </c>
      <c r="T3286">
        <v>1777</v>
      </c>
      <c r="U3286">
        <f>+SUM(Table1[[#This Row],[Latinos]:[Cemex]])</f>
        <v>1</v>
      </c>
      <c r="V3286" t="str">
        <f>+Table1[[#This Row],[id_destino]]&amp;" - "&amp;Table1[[#This Row],[id_origen]]</f>
        <v>12 - 93</v>
      </c>
    </row>
    <row r="3287" spans="1:22" hidden="1">
      <c r="A3287">
        <v>213</v>
      </c>
      <c r="B3287">
        <v>337</v>
      </c>
      <c r="C3287">
        <v>109</v>
      </c>
      <c r="D3287">
        <v>5256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0</v>
      </c>
      <c r="K3287" t="s">
        <v>20</v>
      </c>
      <c r="L3287" s="1">
        <v>43995</v>
      </c>
      <c r="M3287">
        <v>13</v>
      </c>
      <c r="N3287">
        <v>93</v>
      </c>
      <c r="O3287">
        <v>212</v>
      </c>
      <c r="P3287">
        <v>202</v>
      </c>
      <c r="Q3287">
        <v>212</v>
      </c>
      <c r="S3287">
        <v>690</v>
      </c>
      <c r="T3287">
        <v>690</v>
      </c>
      <c r="U3287">
        <f>+SUM(Table1[[#This Row],[Latinos]:[Cemex]])</f>
        <v>1</v>
      </c>
      <c r="V3287" t="str">
        <f>+Table1[[#This Row],[id_destino]]&amp;" - "&amp;Table1[[#This Row],[id_origen]]</f>
        <v>13 - 93</v>
      </c>
    </row>
    <row r="3288" spans="1:22" hidden="1">
      <c r="A3288">
        <v>3527</v>
      </c>
      <c r="B3288">
        <v>337</v>
      </c>
      <c r="C3288">
        <v>109</v>
      </c>
      <c r="D3288">
        <v>5256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0</v>
      </c>
      <c r="K3288" t="s">
        <v>20</v>
      </c>
      <c r="L3288" s="1">
        <v>44949</v>
      </c>
      <c r="M3288">
        <v>13</v>
      </c>
      <c r="N3288">
        <v>93</v>
      </c>
      <c r="O3288">
        <v>207</v>
      </c>
      <c r="P3288">
        <v>209</v>
      </c>
      <c r="Q3288">
        <v>207</v>
      </c>
      <c r="S3288">
        <v>461</v>
      </c>
      <c r="T3288">
        <v>461</v>
      </c>
      <c r="U3288">
        <f>+SUM(Table1[[#This Row],[Latinos]:[Cemex]])</f>
        <v>1</v>
      </c>
      <c r="V3288" t="str">
        <f>+Table1[[#This Row],[id_destino]]&amp;" - "&amp;Table1[[#This Row],[id_origen]]</f>
        <v>13 - 93</v>
      </c>
    </row>
    <row r="3289" spans="1:22" hidden="1">
      <c r="A3289">
        <v>2729</v>
      </c>
      <c r="B3289">
        <v>1678</v>
      </c>
      <c r="C3289">
        <v>109</v>
      </c>
      <c r="D3289">
        <v>6620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  <c r="K3289" t="s">
        <v>20</v>
      </c>
      <c r="L3289" s="1">
        <v>44389</v>
      </c>
      <c r="M3289">
        <v>15</v>
      </c>
      <c r="N3289">
        <v>93</v>
      </c>
      <c r="O3289">
        <v>1739</v>
      </c>
      <c r="P3289">
        <v>1735</v>
      </c>
      <c r="Q3289">
        <v>1739</v>
      </c>
      <c r="S3289">
        <v>4336</v>
      </c>
      <c r="T3289">
        <v>4997</v>
      </c>
      <c r="U3289">
        <f>+SUM(Table1[[#This Row],[Latinos]:[Cemex]])</f>
        <v>1</v>
      </c>
      <c r="V3289" t="str">
        <f>+Table1[[#This Row],[id_destino]]&amp;" - "&amp;Table1[[#This Row],[id_origen]]</f>
        <v>15 - 93</v>
      </c>
    </row>
    <row r="3290" spans="1:22" hidden="1">
      <c r="A3290">
        <v>657</v>
      </c>
      <c r="B3290">
        <v>502</v>
      </c>
      <c r="C3290">
        <v>109</v>
      </c>
      <c r="D3290">
        <v>15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 t="s">
        <v>20</v>
      </c>
      <c r="L3290" s="1">
        <v>44471</v>
      </c>
      <c r="M3290">
        <v>16</v>
      </c>
      <c r="N3290">
        <v>93</v>
      </c>
      <c r="O3290">
        <v>1379</v>
      </c>
      <c r="P3290">
        <v>1377</v>
      </c>
      <c r="Q3290">
        <v>1379</v>
      </c>
      <c r="S3290">
        <v>3481</v>
      </c>
      <c r="T3290">
        <v>3903</v>
      </c>
      <c r="U3290">
        <f>+SUM(Table1[[#This Row],[Latinos]:[Cemex]])</f>
        <v>1</v>
      </c>
      <c r="V3290" t="str">
        <f>+Table1[[#This Row],[id_destino]]&amp;" - "&amp;Table1[[#This Row],[id_origen]]</f>
        <v>16 - 93</v>
      </c>
    </row>
    <row r="3291" spans="1:22" hidden="1">
      <c r="A3291">
        <v>15</v>
      </c>
      <c r="B3291">
        <v>259</v>
      </c>
      <c r="C3291">
        <v>109</v>
      </c>
      <c r="D3291">
        <v>18</v>
      </c>
      <c r="E3291">
        <v>0</v>
      </c>
      <c r="F3291">
        <v>1</v>
      </c>
      <c r="G3291">
        <v>0</v>
      </c>
      <c r="H3291">
        <v>0</v>
      </c>
      <c r="I3291">
        <v>0</v>
      </c>
      <c r="J3291">
        <v>0</v>
      </c>
      <c r="K3291" t="s">
        <v>20</v>
      </c>
      <c r="L3291" s="1">
        <v>45173</v>
      </c>
      <c r="M3291">
        <v>17</v>
      </c>
      <c r="N3291">
        <v>93</v>
      </c>
      <c r="O3291">
        <v>847</v>
      </c>
      <c r="P3291">
        <v>837</v>
      </c>
      <c r="Q3291">
        <v>847</v>
      </c>
      <c r="S3291">
        <v>2010</v>
      </c>
      <c r="T3291">
        <v>2048</v>
      </c>
      <c r="U3291">
        <f>+SUM(Table1[[#This Row],[Latinos]:[Cemex]])</f>
        <v>1</v>
      </c>
      <c r="V3291" t="str">
        <f>+Table1[[#This Row],[id_destino]]&amp;" - "&amp;Table1[[#This Row],[id_origen]]</f>
        <v>17 - 93</v>
      </c>
    </row>
    <row r="3292" spans="1:22" hidden="1">
      <c r="A3292">
        <v>1100</v>
      </c>
      <c r="B3292">
        <v>259</v>
      </c>
      <c r="C3292">
        <v>109</v>
      </c>
      <c r="D3292">
        <v>18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 t="s">
        <v>20</v>
      </c>
      <c r="L3292" s="1">
        <v>43290</v>
      </c>
      <c r="M3292">
        <v>17</v>
      </c>
      <c r="N3292">
        <v>93</v>
      </c>
      <c r="O3292">
        <v>847</v>
      </c>
      <c r="P3292">
        <v>847</v>
      </c>
      <c r="Q3292">
        <v>847</v>
      </c>
      <c r="S3292">
        <v>463</v>
      </c>
      <c r="T3292">
        <v>463</v>
      </c>
      <c r="U3292">
        <f>+SUM(Table1[[#This Row],[Latinos]:[Cemex]])</f>
        <v>1</v>
      </c>
      <c r="V3292" t="str">
        <f>+Table1[[#This Row],[id_destino]]&amp;" - "&amp;Table1[[#This Row],[id_origen]]</f>
        <v>17 - 93</v>
      </c>
    </row>
    <row r="3293" spans="1:22" hidden="1">
      <c r="A3293">
        <v>19</v>
      </c>
      <c r="B3293">
        <v>468</v>
      </c>
      <c r="C3293">
        <v>109</v>
      </c>
      <c r="D3293">
        <v>19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 t="s">
        <v>20</v>
      </c>
      <c r="L3293" s="1">
        <v>42998</v>
      </c>
      <c r="M3293">
        <v>18</v>
      </c>
      <c r="N3293">
        <v>93</v>
      </c>
      <c r="O3293">
        <v>32</v>
      </c>
      <c r="P3293">
        <v>100</v>
      </c>
      <c r="Q3293">
        <v>28</v>
      </c>
      <c r="S3293">
        <v>165</v>
      </c>
      <c r="T3293">
        <v>165</v>
      </c>
      <c r="U3293">
        <f>+SUM(Table1[[#This Row],[Latinos]:[Cemex]])</f>
        <v>1</v>
      </c>
      <c r="V3293" t="str">
        <f>+Table1[[#This Row],[id_destino]]&amp;" - "&amp;Table1[[#This Row],[id_origen]]</f>
        <v>18 - 93</v>
      </c>
    </row>
    <row r="3294" spans="1:22" hidden="1">
      <c r="A3294">
        <v>36</v>
      </c>
      <c r="B3294">
        <v>628</v>
      </c>
      <c r="C3294">
        <v>109</v>
      </c>
      <c r="D3294">
        <v>22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0</v>
      </c>
      <c r="K3294" t="s">
        <v>20</v>
      </c>
      <c r="L3294" s="1">
        <v>42998</v>
      </c>
      <c r="M3294">
        <v>19</v>
      </c>
      <c r="N3294">
        <v>93</v>
      </c>
      <c r="O3294">
        <v>69</v>
      </c>
      <c r="P3294">
        <v>100</v>
      </c>
      <c r="Q3294">
        <v>69</v>
      </c>
      <c r="S3294">
        <v>239</v>
      </c>
      <c r="T3294">
        <v>239</v>
      </c>
      <c r="U3294">
        <f>+SUM(Table1[[#This Row],[Latinos]:[Cemex]])</f>
        <v>1</v>
      </c>
      <c r="V3294" t="str">
        <f>+Table1[[#This Row],[id_destino]]&amp;" - "&amp;Table1[[#This Row],[id_origen]]</f>
        <v>19 - 93</v>
      </c>
    </row>
    <row r="3295" spans="1:22" hidden="1">
      <c r="A3295">
        <v>231</v>
      </c>
      <c r="B3295">
        <v>628</v>
      </c>
      <c r="C3295">
        <v>109</v>
      </c>
      <c r="D3295">
        <v>1869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 t="s">
        <v>20</v>
      </c>
      <c r="L3295" s="1">
        <v>43019</v>
      </c>
      <c r="M3295">
        <v>19</v>
      </c>
      <c r="N3295">
        <v>93</v>
      </c>
      <c r="O3295">
        <v>77</v>
      </c>
      <c r="P3295">
        <v>150</v>
      </c>
      <c r="Q3295">
        <v>77</v>
      </c>
      <c r="S3295">
        <v>297</v>
      </c>
      <c r="T3295">
        <v>297</v>
      </c>
      <c r="U3295">
        <f>+SUM(Table1[[#This Row],[Latinos]:[Cemex]])</f>
        <v>1</v>
      </c>
      <c r="V3295" t="str">
        <f>+Table1[[#This Row],[id_destino]]&amp;" - "&amp;Table1[[#This Row],[id_origen]]</f>
        <v>19 - 93</v>
      </c>
    </row>
    <row r="3296" spans="1:22" hidden="1">
      <c r="A3296">
        <v>1490</v>
      </c>
      <c r="B3296">
        <v>1091</v>
      </c>
      <c r="C3296">
        <v>109</v>
      </c>
      <c r="D3296">
        <v>7669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 t="s">
        <v>20</v>
      </c>
      <c r="L3296" s="1">
        <v>45343</v>
      </c>
      <c r="M3296">
        <v>20</v>
      </c>
      <c r="N3296">
        <v>93</v>
      </c>
      <c r="O3296">
        <v>47</v>
      </c>
      <c r="P3296">
        <v>150</v>
      </c>
      <c r="Q3296">
        <v>47</v>
      </c>
      <c r="S3296">
        <v>222</v>
      </c>
      <c r="T3296">
        <v>222</v>
      </c>
      <c r="U3296">
        <f>+SUM(Table1[[#This Row],[Latinos]:[Cemex]])</f>
        <v>1</v>
      </c>
      <c r="V3296" t="str">
        <f>+Table1[[#This Row],[id_destino]]&amp;" - "&amp;Table1[[#This Row],[id_origen]]</f>
        <v>20 - 93</v>
      </c>
    </row>
    <row r="3297" spans="1:22" hidden="1">
      <c r="A3297">
        <v>2397</v>
      </c>
      <c r="B3297">
        <v>1874</v>
      </c>
      <c r="C3297">
        <v>109</v>
      </c>
      <c r="D3297">
        <v>23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 t="s">
        <v>20</v>
      </c>
      <c r="L3297" s="1">
        <v>44029</v>
      </c>
      <c r="M3297">
        <v>21</v>
      </c>
      <c r="N3297">
        <v>93</v>
      </c>
      <c r="O3297">
        <v>2170</v>
      </c>
      <c r="P3297">
        <v>2142</v>
      </c>
      <c r="Q3297">
        <v>2170</v>
      </c>
      <c r="S3297">
        <v>2031</v>
      </c>
      <c r="T3297">
        <v>2427</v>
      </c>
      <c r="U3297">
        <f>+SUM(Table1[[#This Row],[Latinos]:[Cemex]])</f>
        <v>1</v>
      </c>
      <c r="V3297" t="str">
        <f>+Table1[[#This Row],[id_destino]]&amp;" - "&amp;Table1[[#This Row],[id_origen]]</f>
        <v>21 - 93</v>
      </c>
    </row>
    <row r="3298" spans="1:22" hidden="1">
      <c r="A3298">
        <v>296</v>
      </c>
      <c r="B3298">
        <v>50</v>
      </c>
      <c r="C3298">
        <v>109</v>
      </c>
      <c r="D3298">
        <v>4455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0</v>
      </c>
      <c r="K3298" t="s">
        <v>20</v>
      </c>
      <c r="L3298" s="1">
        <v>45649</v>
      </c>
      <c r="M3298">
        <v>23</v>
      </c>
      <c r="N3298">
        <v>93</v>
      </c>
      <c r="O3298">
        <v>490</v>
      </c>
      <c r="P3298">
        <v>490</v>
      </c>
      <c r="Q3298">
        <v>490</v>
      </c>
      <c r="S3298">
        <v>2130</v>
      </c>
      <c r="T3298">
        <v>2130</v>
      </c>
      <c r="U3298">
        <f>+SUM(Table1[[#This Row],[Latinos]:[Cemex]])</f>
        <v>1</v>
      </c>
      <c r="V3298" t="str">
        <f>+Table1[[#This Row],[id_destino]]&amp;" - "&amp;Table1[[#This Row],[id_origen]]</f>
        <v>23 - 93</v>
      </c>
    </row>
    <row r="3299" spans="1:22" hidden="1">
      <c r="A3299">
        <v>933</v>
      </c>
      <c r="B3299">
        <v>50</v>
      </c>
      <c r="C3299">
        <v>109</v>
      </c>
      <c r="D3299">
        <v>1443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  <c r="K3299" t="s">
        <v>20</v>
      </c>
      <c r="L3299" s="1">
        <v>44235</v>
      </c>
      <c r="M3299">
        <v>23</v>
      </c>
      <c r="N3299">
        <v>93</v>
      </c>
      <c r="O3299">
        <v>473</v>
      </c>
      <c r="P3299">
        <v>473</v>
      </c>
      <c r="Q3299">
        <v>473</v>
      </c>
      <c r="S3299">
        <v>1492</v>
      </c>
      <c r="T3299">
        <v>1492</v>
      </c>
      <c r="U3299">
        <f>+SUM(Table1[[#This Row],[Latinos]:[Cemex]])</f>
        <v>1</v>
      </c>
      <c r="V3299" t="str">
        <f>+Table1[[#This Row],[id_destino]]&amp;" - "&amp;Table1[[#This Row],[id_origen]]</f>
        <v>23 - 93</v>
      </c>
    </row>
    <row r="3300" spans="1:22" hidden="1">
      <c r="A3300">
        <v>813</v>
      </c>
      <c r="B3300">
        <v>1026</v>
      </c>
      <c r="C3300">
        <v>109</v>
      </c>
      <c r="D3300">
        <v>4991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0</v>
      </c>
      <c r="K3300" t="s">
        <v>20</v>
      </c>
      <c r="L3300" s="1">
        <v>43654</v>
      </c>
      <c r="M3300">
        <v>24</v>
      </c>
      <c r="N3300">
        <v>93</v>
      </c>
      <c r="O3300">
        <v>781</v>
      </c>
      <c r="P3300">
        <v>781</v>
      </c>
      <c r="Q3300">
        <v>781</v>
      </c>
      <c r="S3300">
        <v>2033</v>
      </c>
      <c r="T3300">
        <v>2098</v>
      </c>
      <c r="U3300">
        <f>+SUM(Table1[[#This Row],[Latinos]:[Cemex]])</f>
        <v>1</v>
      </c>
      <c r="V3300" t="str">
        <f>+Table1[[#This Row],[id_destino]]&amp;" - "&amp;Table1[[#This Row],[id_origen]]</f>
        <v>24 - 93</v>
      </c>
    </row>
    <row r="3301" spans="1:22" hidden="1">
      <c r="A3301">
        <v>2643</v>
      </c>
      <c r="B3301">
        <v>3473</v>
      </c>
      <c r="C3301">
        <v>109</v>
      </c>
      <c r="D3301">
        <v>6553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0</v>
      </c>
      <c r="K3301" t="s">
        <v>20</v>
      </c>
      <c r="L3301" s="1">
        <v>44281</v>
      </c>
      <c r="M3301">
        <v>25</v>
      </c>
      <c r="N3301">
        <v>93</v>
      </c>
      <c r="O3301">
        <v>696</v>
      </c>
      <c r="P3301">
        <v>677</v>
      </c>
      <c r="Q3301">
        <v>696</v>
      </c>
      <c r="S3301">
        <v>2064</v>
      </c>
      <c r="T3301">
        <v>2064</v>
      </c>
      <c r="U3301">
        <f>+SUM(Table1[[#This Row],[Latinos]:[Cemex]])</f>
        <v>1</v>
      </c>
      <c r="V3301" t="str">
        <f>+Table1[[#This Row],[id_destino]]&amp;" - "&amp;Table1[[#This Row],[id_origen]]</f>
        <v>25 - 93</v>
      </c>
    </row>
    <row r="3302" spans="1:22" hidden="1">
      <c r="A3302">
        <v>1423</v>
      </c>
      <c r="B3302">
        <v>1894</v>
      </c>
      <c r="C3302">
        <v>109</v>
      </c>
      <c r="D3302">
        <v>5759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 t="s">
        <v>20</v>
      </c>
      <c r="L3302" s="1">
        <v>45818</v>
      </c>
      <c r="M3302">
        <v>26</v>
      </c>
      <c r="N3302">
        <v>93</v>
      </c>
      <c r="O3302">
        <v>511</v>
      </c>
      <c r="P3302">
        <v>504</v>
      </c>
      <c r="Q3302">
        <v>504</v>
      </c>
      <c r="S3302">
        <v>2130</v>
      </c>
      <c r="T3302">
        <v>2130</v>
      </c>
      <c r="U3302">
        <f>+SUM(Table1[[#This Row],[Latinos]:[Cemex]])</f>
        <v>1</v>
      </c>
      <c r="V3302" t="str">
        <f>+Table1[[#This Row],[id_destino]]&amp;" - "&amp;Table1[[#This Row],[id_origen]]</f>
        <v>26 - 93</v>
      </c>
    </row>
    <row r="3303" spans="1:22" hidden="1">
      <c r="A3303">
        <v>2841</v>
      </c>
      <c r="B3303">
        <v>1323</v>
      </c>
      <c r="C3303">
        <v>109</v>
      </c>
      <c r="D3303">
        <v>4543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 t="s">
        <v>20</v>
      </c>
      <c r="L3303" s="1">
        <v>44525</v>
      </c>
      <c r="M3303">
        <v>27</v>
      </c>
      <c r="N3303">
        <v>93</v>
      </c>
      <c r="O3303">
        <v>824</v>
      </c>
      <c r="P3303">
        <v>830</v>
      </c>
      <c r="Q3303">
        <v>824</v>
      </c>
      <c r="S3303">
        <v>3612</v>
      </c>
      <c r="T3303">
        <v>3612</v>
      </c>
      <c r="U3303">
        <f>+SUM(Table1[[#This Row],[Latinos]:[Cemex]])</f>
        <v>1</v>
      </c>
      <c r="V3303" t="str">
        <f>+Table1[[#This Row],[id_destino]]&amp;" - "&amp;Table1[[#This Row],[id_origen]]</f>
        <v>27 - 93</v>
      </c>
    </row>
    <row r="3304" spans="1:22" hidden="1">
      <c r="A3304">
        <v>2088</v>
      </c>
      <c r="B3304">
        <v>862</v>
      </c>
      <c r="C3304">
        <v>109</v>
      </c>
      <c r="D3304">
        <v>34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0</v>
      </c>
      <c r="K3304" t="s">
        <v>20</v>
      </c>
      <c r="L3304" s="1">
        <v>43805</v>
      </c>
      <c r="M3304">
        <v>30</v>
      </c>
      <c r="N3304">
        <v>93</v>
      </c>
      <c r="O3304">
        <v>998</v>
      </c>
      <c r="P3304">
        <v>997</v>
      </c>
      <c r="Q3304">
        <v>998</v>
      </c>
      <c r="S3304">
        <v>2709</v>
      </c>
      <c r="T3304">
        <v>2709</v>
      </c>
      <c r="U3304">
        <f>+SUM(Table1[[#This Row],[Latinos]:[Cemex]])</f>
        <v>1</v>
      </c>
      <c r="V3304" t="str">
        <f>+Table1[[#This Row],[id_destino]]&amp;" - "&amp;Table1[[#This Row],[id_origen]]</f>
        <v>30 - 93</v>
      </c>
    </row>
    <row r="3305" spans="1:22" hidden="1">
      <c r="A3305">
        <v>511</v>
      </c>
      <c r="B3305">
        <v>148</v>
      </c>
      <c r="C3305">
        <v>109</v>
      </c>
      <c r="D3305">
        <v>35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 t="s">
        <v>20</v>
      </c>
      <c r="L3305" s="1">
        <v>43087</v>
      </c>
      <c r="M3305">
        <v>31</v>
      </c>
      <c r="N3305">
        <v>93</v>
      </c>
      <c r="O3305">
        <v>1170</v>
      </c>
      <c r="P3305">
        <v>1177</v>
      </c>
      <c r="Q3305">
        <v>1170</v>
      </c>
      <c r="S3305">
        <v>5232</v>
      </c>
      <c r="T3305">
        <v>5232</v>
      </c>
      <c r="U3305">
        <f>+SUM(Table1[[#This Row],[Latinos]:[Cemex]])</f>
        <v>1</v>
      </c>
      <c r="V3305" t="str">
        <f>+Table1[[#This Row],[id_destino]]&amp;" - "&amp;Table1[[#This Row],[id_origen]]</f>
        <v>31 - 93</v>
      </c>
    </row>
    <row r="3306" spans="1:22" hidden="1">
      <c r="A3306">
        <v>680</v>
      </c>
      <c r="B3306">
        <v>1409</v>
      </c>
      <c r="C3306">
        <v>109</v>
      </c>
      <c r="D3306">
        <v>7484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 t="s">
        <v>20</v>
      </c>
      <c r="L3306" s="1">
        <v>45194</v>
      </c>
      <c r="M3306">
        <v>34</v>
      </c>
      <c r="N3306">
        <v>93</v>
      </c>
      <c r="O3306">
        <v>954</v>
      </c>
      <c r="P3306">
        <v>935</v>
      </c>
      <c r="Q3306">
        <v>954</v>
      </c>
      <c r="S3306">
        <v>2361</v>
      </c>
      <c r="T3306">
        <v>2517</v>
      </c>
      <c r="U3306">
        <f>+SUM(Table1[[#This Row],[Latinos]:[Cemex]])</f>
        <v>1</v>
      </c>
      <c r="V3306" t="str">
        <f>+Table1[[#This Row],[id_destino]]&amp;" - "&amp;Table1[[#This Row],[id_origen]]</f>
        <v>34 - 93</v>
      </c>
    </row>
    <row r="3307" spans="1:22" hidden="1">
      <c r="A3307">
        <v>171</v>
      </c>
      <c r="B3307">
        <v>159</v>
      </c>
      <c r="C3307">
        <v>109</v>
      </c>
      <c r="D3307">
        <v>53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 t="s">
        <v>20</v>
      </c>
      <c r="L3307" s="1">
        <v>43005</v>
      </c>
      <c r="M3307">
        <v>35</v>
      </c>
      <c r="N3307">
        <v>93</v>
      </c>
      <c r="O3307">
        <v>480</v>
      </c>
      <c r="P3307">
        <v>457</v>
      </c>
      <c r="Q3307">
        <v>480</v>
      </c>
      <c r="S3307">
        <v>2389</v>
      </c>
      <c r="T3307">
        <v>2389</v>
      </c>
      <c r="U3307">
        <f>+SUM(Table1[[#This Row],[Latinos]:[Cemex]])</f>
        <v>1</v>
      </c>
      <c r="V3307" t="str">
        <f>+Table1[[#This Row],[id_destino]]&amp;" - "&amp;Table1[[#This Row],[id_origen]]</f>
        <v>35 - 93</v>
      </c>
    </row>
    <row r="3308" spans="1:22" hidden="1">
      <c r="A3308">
        <v>1741</v>
      </c>
      <c r="B3308">
        <v>999</v>
      </c>
      <c r="C3308">
        <v>109</v>
      </c>
      <c r="D3308">
        <v>556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0</v>
      </c>
      <c r="K3308" t="s">
        <v>20</v>
      </c>
      <c r="L3308" s="1">
        <v>43657</v>
      </c>
      <c r="M3308">
        <v>36</v>
      </c>
      <c r="N3308">
        <v>93</v>
      </c>
      <c r="O3308">
        <v>354</v>
      </c>
      <c r="P3308">
        <v>396</v>
      </c>
      <c r="Q3308">
        <v>354</v>
      </c>
      <c r="S3308">
        <v>1165</v>
      </c>
      <c r="T3308">
        <v>1240</v>
      </c>
      <c r="U3308">
        <f>+SUM(Table1[[#This Row],[Latinos]:[Cemex]])</f>
        <v>1</v>
      </c>
      <c r="V3308" t="str">
        <f>+Table1[[#This Row],[id_destino]]&amp;" - "&amp;Table1[[#This Row],[id_origen]]</f>
        <v>36 - 93</v>
      </c>
    </row>
    <row r="3309" spans="1:22" hidden="1">
      <c r="A3309">
        <v>37</v>
      </c>
      <c r="B3309">
        <v>314</v>
      </c>
      <c r="C3309">
        <v>109</v>
      </c>
      <c r="D3309">
        <v>43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 t="s">
        <v>20</v>
      </c>
      <c r="L3309" s="1">
        <v>44046</v>
      </c>
      <c r="M3309">
        <v>37</v>
      </c>
      <c r="N3309">
        <v>93</v>
      </c>
      <c r="O3309">
        <v>601</v>
      </c>
      <c r="P3309">
        <v>564</v>
      </c>
      <c r="Q3309">
        <v>601</v>
      </c>
      <c r="S3309">
        <v>2541</v>
      </c>
      <c r="T3309">
        <v>2541</v>
      </c>
      <c r="U3309">
        <f>+SUM(Table1[[#This Row],[Latinos]:[Cemex]])</f>
        <v>1</v>
      </c>
      <c r="V3309" t="str">
        <f>+Table1[[#This Row],[id_destino]]&amp;" - "&amp;Table1[[#This Row],[id_origen]]</f>
        <v>37 - 93</v>
      </c>
    </row>
    <row r="3310" spans="1:22" hidden="1">
      <c r="A3310">
        <v>3806</v>
      </c>
      <c r="B3310">
        <v>314</v>
      </c>
      <c r="C3310">
        <v>109</v>
      </c>
      <c r="D3310">
        <v>7290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0</v>
      </c>
      <c r="K3310" t="s">
        <v>20</v>
      </c>
      <c r="L3310" s="1">
        <v>45104</v>
      </c>
      <c r="M3310">
        <v>37</v>
      </c>
      <c r="N3310">
        <v>93</v>
      </c>
      <c r="O3310">
        <v>581</v>
      </c>
      <c r="P3310">
        <v>601</v>
      </c>
      <c r="Q3310">
        <v>581</v>
      </c>
      <c r="S3310">
        <v>1842</v>
      </c>
      <c r="T3310">
        <v>1842</v>
      </c>
      <c r="U3310">
        <f>+SUM(Table1[[#This Row],[Latinos]:[Cemex]])</f>
        <v>1</v>
      </c>
      <c r="V3310" t="str">
        <f>+Table1[[#This Row],[id_destino]]&amp;" - "&amp;Table1[[#This Row],[id_origen]]</f>
        <v>37 - 93</v>
      </c>
    </row>
    <row r="3311" spans="1:22" hidden="1">
      <c r="A3311">
        <v>485</v>
      </c>
      <c r="B3311">
        <v>605</v>
      </c>
      <c r="C3311">
        <v>109</v>
      </c>
      <c r="D3311">
        <v>44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0</v>
      </c>
      <c r="K3311" t="s">
        <v>20</v>
      </c>
      <c r="L3311" s="1">
        <v>43077</v>
      </c>
      <c r="M3311">
        <v>38</v>
      </c>
      <c r="N3311">
        <v>93</v>
      </c>
      <c r="O3311">
        <v>250</v>
      </c>
      <c r="P3311">
        <v>251</v>
      </c>
      <c r="Q3311">
        <v>250</v>
      </c>
      <c r="S3311">
        <v>1132</v>
      </c>
      <c r="T3311">
        <v>1132</v>
      </c>
      <c r="U3311">
        <f>+SUM(Table1[[#This Row],[Latinos]:[Cemex]])</f>
        <v>1</v>
      </c>
      <c r="V3311" t="str">
        <f>+Table1[[#This Row],[id_destino]]&amp;" - "&amp;Table1[[#This Row],[id_origen]]</f>
        <v>38 - 93</v>
      </c>
    </row>
    <row r="3312" spans="1:22" hidden="1">
      <c r="A3312">
        <v>1349</v>
      </c>
      <c r="B3312">
        <v>605</v>
      </c>
      <c r="C3312">
        <v>109</v>
      </c>
      <c r="D3312">
        <v>44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 t="s">
        <v>20</v>
      </c>
      <c r="L3312" s="1">
        <v>43395</v>
      </c>
      <c r="M3312">
        <v>38</v>
      </c>
      <c r="N3312">
        <v>93</v>
      </c>
      <c r="O3312">
        <v>251</v>
      </c>
      <c r="P3312">
        <v>251</v>
      </c>
      <c r="Q3312">
        <v>251</v>
      </c>
      <c r="S3312">
        <v>594</v>
      </c>
      <c r="T3312">
        <v>594</v>
      </c>
      <c r="U3312">
        <f>+SUM(Table1[[#This Row],[Latinos]:[Cemex]])</f>
        <v>1</v>
      </c>
      <c r="V3312" t="str">
        <f>+Table1[[#This Row],[id_destino]]&amp;" - "&amp;Table1[[#This Row],[id_origen]]</f>
        <v>38 - 93</v>
      </c>
    </row>
    <row r="3313" spans="1:22" hidden="1">
      <c r="A3313">
        <v>1174</v>
      </c>
      <c r="B3313">
        <v>1204</v>
      </c>
      <c r="C3313">
        <v>109</v>
      </c>
      <c r="D3313">
        <v>45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0</v>
      </c>
      <c r="K3313" t="s">
        <v>20</v>
      </c>
      <c r="L3313" s="1">
        <v>43330</v>
      </c>
      <c r="M3313">
        <v>39</v>
      </c>
      <c r="N3313">
        <v>93</v>
      </c>
      <c r="O3313">
        <v>360</v>
      </c>
      <c r="P3313">
        <v>362</v>
      </c>
      <c r="Q3313">
        <v>360</v>
      </c>
      <c r="S3313">
        <v>1595</v>
      </c>
      <c r="T3313">
        <v>1595</v>
      </c>
      <c r="U3313">
        <f>+SUM(Table1[[#This Row],[Latinos]:[Cemex]])</f>
        <v>1</v>
      </c>
      <c r="V3313" t="str">
        <f>+Table1[[#This Row],[id_destino]]&amp;" - "&amp;Table1[[#This Row],[id_origen]]</f>
        <v>39 - 93</v>
      </c>
    </row>
    <row r="3314" spans="1:22" hidden="1">
      <c r="A3314">
        <v>387</v>
      </c>
      <c r="B3314">
        <v>1777</v>
      </c>
      <c r="C3314">
        <v>109</v>
      </c>
      <c r="D3314">
        <v>46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 t="s">
        <v>20</v>
      </c>
      <c r="L3314" s="1">
        <v>43053</v>
      </c>
      <c r="M3314">
        <v>40</v>
      </c>
      <c r="N3314">
        <v>93</v>
      </c>
      <c r="O3314">
        <v>371</v>
      </c>
      <c r="P3314">
        <v>385</v>
      </c>
      <c r="Q3314">
        <v>371</v>
      </c>
      <c r="S3314">
        <v>1679</v>
      </c>
      <c r="T3314">
        <v>1679</v>
      </c>
      <c r="U3314">
        <f>+SUM(Table1[[#This Row],[Latinos]:[Cemex]])</f>
        <v>1</v>
      </c>
      <c r="V3314" t="str">
        <f>+Table1[[#This Row],[id_destino]]&amp;" - "&amp;Table1[[#This Row],[id_origen]]</f>
        <v>40 - 93</v>
      </c>
    </row>
    <row r="3315" spans="1:22" hidden="1">
      <c r="A3315">
        <v>1241</v>
      </c>
      <c r="B3315">
        <v>2650</v>
      </c>
      <c r="C3315">
        <v>109</v>
      </c>
      <c r="D3315">
        <v>5686</v>
      </c>
      <c r="E3315">
        <v>0</v>
      </c>
      <c r="F3315">
        <v>1</v>
      </c>
      <c r="G3315">
        <v>0</v>
      </c>
      <c r="H3315">
        <v>0</v>
      </c>
      <c r="I3315">
        <v>0</v>
      </c>
      <c r="J3315">
        <v>0</v>
      </c>
      <c r="K3315" t="s">
        <v>20</v>
      </c>
      <c r="L3315" s="1">
        <v>44029</v>
      </c>
      <c r="M3315">
        <v>41</v>
      </c>
      <c r="N3315">
        <v>93</v>
      </c>
      <c r="O3315">
        <v>542</v>
      </c>
      <c r="P3315">
        <v>542</v>
      </c>
      <c r="Q3315">
        <v>542</v>
      </c>
      <c r="S3315">
        <v>1344</v>
      </c>
      <c r="T3315">
        <v>1413</v>
      </c>
      <c r="U3315">
        <f>+SUM(Table1[[#This Row],[Latinos]:[Cemex]])</f>
        <v>1</v>
      </c>
      <c r="V3315" t="str">
        <f>+Table1[[#This Row],[id_destino]]&amp;" - "&amp;Table1[[#This Row],[id_origen]]</f>
        <v>41 - 93</v>
      </c>
    </row>
    <row r="3316" spans="1:22" hidden="1">
      <c r="A3316">
        <v>1740</v>
      </c>
      <c r="B3316">
        <v>154</v>
      </c>
      <c r="C3316">
        <v>109</v>
      </c>
      <c r="D3316">
        <v>48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0</v>
      </c>
      <c r="K3316" t="s">
        <v>20</v>
      </c>
      <c r="L3316" s="1">
        <v>43596</v>
      </c>
      <c r="M3316">
        <v>42</v>
      </c>
      <c r="N3316">
        <v>93</v>
      </c>
      <c r="O3316">
        <v>332</v>
      </c>
      <c r="P3316">
        <v>322</v>
      </c>
      <c r="Q3316">
        <v>332</v>
      </c>
      <c r="S3316">
        <v>2029</v>
      </c>
      <c r="T3316">
        <v>2029</v>
      </c>
      <c r="U3316">
        <f>+SUM(Table1[[#This Row],[Latinos]:[Cemex]])</f>
        <v>1</v>
      </c>
      <c r="V3316" t="str">
        <f>+Table1[[#This Row],[id_destino]]&amp;" - "&amp;Table1[[#This Row],[id_origen]]</f>
        <v>42 - 93</v>
      </c>
    </row>
    <row r="3317" spans="1:22" hidden="1">
      <c r="A3317">
        <v>1827</v>
      </c>
      <c r="B3317">
        <v>249</v>
      </c>
      <c r="C3317">
        <v>109</v>
      </c>
      <c r="D3317">
        <v>49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0</v>
      </c>
      <c r="K3317" t="s">
        <v>20</v>
      </c>
      <c r="L3317" s="1">
        <v>43888</v>
      </c>
      <c r="M3317">
        <v>43</v>
      </c>
      <c r="N3317">
        <v>93</v>
      </c>
      <c r="O3317">
        <v>660</v>
      </c>
      <c r="P3317">
        <v>653</v>
      </c>
      <c r="Q3317">
        <v>660</v>
      </c>
      <c r="S3317">
        <v>2829</v>
      </c>
      <c r="T3317">
        <v>2829</v>
      </c>
      <c r="U3317">
        <f>+SUM(Table1[[#This Row],[Latinos]:[Cemex]])</f>
        <v>1</v>
      </c>
      <c r="V3317" t="str">
        <f>+Table1[[#This Row],[id_destino]]&amp;" - "&amp;Table1[[#This Row],[id_origen]]</f>
        <v>43 - 93</v>
      </c>
    </row>
    <row r="3318" spans="1:22" hidden="1">
      <c r="A3318">
        <v>1642</v>
      </c>
      <c r="B3318">
        <v>155</v>
      </c>
      <c r="C3318">
        <v>109</v>
      </c>
      <c r="D3318">
        <v>52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0</v>
      </c>
      <c r="K3318" t="s">
        <v>20</v>
      </c>
      <c r="L3318" s="1">
        <v>43547</v>
      </c>
      <c r="M3318">
        <v>46</v>
      </c>
      <c r="N3318">
        <v>93</v>
      </c>
      <c r="O3318">
        <v>283</v>
      </c>
      <c r="P3318">
        <v>282</v>
      </c>
      <c r="Q3318">
        <v>283</v>
      </c>
      <c r="S3318">
        <v>1395</v>
      </c>
      <c r="T3318">
        <v>1488</v>
      </c>
      <c r="U3318">
        <f>+SUM(Table1[[#This Row],[Latinos]:[Cemex]])</f>
        <v>1</v>
      </c>
      <c r="V3318" t="str">
        <f>+Table1[[#This Row],[id_destino]]&amp;" - "&amp;Table1[[#This Row],[id_origen]]</f>
        <v>46 - 93</v>
      </c>
    </row>
    <row r="3319" spans="1:22" hidden="1">
      <c r="A3319">
        <v>109</v>
      </c>
      <c r="B3319">
        <v>237</v>
      </c>
      <c r="C3319">
        <v>109</v>
      </c>
      <c r="D3319">
        <v>2413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 t="s">
        <v>20</v>
      </c>
      <c r="L3319" s="1">
        <v>43013</v>
      </c>
      <c r="M3319">
        <v>47</v>
      </c>
      <c r="N3319">
        <v>93</v>
      </c>
      <c r="O3319">
        <v>123</v>
      </c>
      <c r="P3319">
        <v>150</v>
      </c>
      <c r="Q3319">
        <v>123</v>
      </c>
      <c r="S3319">
        <v>844</v>
      </c>
      <c r="T3319">
        <v>930</v>
      </c>
      <c r="U3319">
        <f>+SUM(Table1[[#This Row],[Latinos]:[Cemex]])</f>
        <v>1</v>
      </c>
      <c r="V3319" t="str">
        <f>+Table1[[#This Row],[id_destino]]&amp;" - "&amp;Table1[[#This Row],[id_origen]]</f>
        <v>47 - 93</v>
      </c>
    </row>
    <row r="3320" spans="1:22" hidden="1">
      <c r="A3320">
        <v>2353</v>
      </c>
      <c r="B3320">
        <v>237</v>
      </c>
      <c r="C3320">
        <v>109</v>
      </c>
      <c r="D3320">
        <v>2413</v>
      </c>
      <c r="E3320">
        <v>0</v>
      </c>
      <c r="F3320">
        <v>0</v>
      </c>
      <c r="G3320">
        <v>0</v>
      </c>
      <c r="H3320">
        <v>1</v>
      </c>
      <c r="I3320">
        <v>0</v>
      </c>
      <c r="J3320">
        <v>0</v>
      </c>
      <c r="K3320" t="s">
        <v>20</v>
      </c>
      <c r="L3320" s="1">
        <v>43972</v>
      </c>
      <c r="M3320">
        <v>47</v>
      </c>
      <c r="N3320">
        <v>93</v>
      </c>
      <c r="O3320">
        <v>123</v>
      </c>
      <c r="P3320">
        <v>150</v>
      </c>
      <c r="Q3320">
        <v>123</v>
      </c>
      <c r="S3320">
        <v>488</v>
      </c>
      <c r="T3320">
        <v>540</v>
      </c>
      <c r="U3320">
        <f>+SUM(Table1[[#This Row],[Latinos]:[Cemex]])</f>
        <v>1</v>
      </c>
      <c r="V3320" t="str">
        <f>+Table1[[#This Row],[id_destino]]&amp;" - "&amp;Table1[[#This Row],[id_origen]]</f>
        <v>47 - 93</v>
      </c>
    </row>
    <row r="3321" spans="1:22" hidden="1">
      <c r="A3321">
        <v>422</v>
      </c>
      <c r="B3321">
        <v>87</v>
      </c>
      <c r="C3321">
        <v>109</v>
      </c>
      <c r="D3321">
        <v>3431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  <c r="K3321" t="s">
        <v>20</v>
      </c>
      <c r="L3321" s="1">
        <v>43063</v>
      </c>
      <c r="M3321">
        <v>52</v>
      </c>
      <c r="N3321">
        <v>93</v>
      </c>
      <c r="O3321">
        <v>865</v>
      </c>
      <c r="P3321">
        <v>852</v>
      </c>
      <c r="Q3321">
        <v>865</v>
      </c>
      <c r="S3321">
        <v>1365</v>
      </c>
      <c r="T3321">
        <v>1365</v>
      </c>
      <c r="U3321">
        <f>+SUM(Table1[[#This Row],[Latinos]:[Cemex]])</f>
        <v>1</v>
      </c>
      <c r="V3321" t="str">
        <f>+Table1[[#This Row],[id_destino]]&amp;" - "&amp;Table1[[#This Row],[id_origen]]</f>
        <v>52 - 93</v>
      </c>
    </row>
    <row r="3322" spans="1:22" hidden="1">
      <c r="A3322">
        <v>812</v>
      </c>
      <c r="B3322">
        <v>87</v>
      </c>
      <c r="C3322">
        <v>109</v>
      </c>
      <c r="D3322">
        <v>3431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  <c r="K3322" t="s">
        <v>20</v>
      </c>
      <c r="L3322" s="1">
        <v>43172</v>
      </c>
      <c r="M3322">
        <v>52</v>
      </c>
      <c r="N3322">
        <v>93</v>
      </c>
      <c r="O3322">
        <v>865</v>
      </c>
      <c r="P3322">
        <v>865</v>
      </c>
      <c r="Q3322">
        <v>865</v>
      </c>
      <c r="S3322">
        <v>638</v>
      </c>
      <c r="T3322">
        <v>368</v>
      </c>
      <c r="U3322">
        <f>+SUM(Table1[[#This Row],[Latinos]:[Cemex]])</f>
        <v>1</v>
      </c>
      <c r="V3322" t="str">
        <f>+Table1[[#This Row],[id_destino]]&amp;" - "&amp;Table1[[#This Row],[id_origen]]</f>
        <v>52 - 93</v>
      </c>
    </row>
    <row r="3323" spans="1:22" hidden="1">
      <c r="A3323">
        <v>4039</v>
      </c>
      <c r="B3323">
        <v>1937</v>
      </c>
      <c r="C3323">
        <v>109</v>
      </c>
      <c r="D3323">
        <v>3458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 t="s">
        <v>20</v>
      </c>
      <c r="L3323" s="1">
        <v>45244</v>
      </c>
      <c r="M3323">
        <v>53</v>
      </c>
      <c r="N3323">
        <v>93</v>
      </c>
      <c r="O3323">
        <v>1058</v>
      </c>
      <c r="P3323">
        <v>1058</v>
      </c>
      <c r="Q3323">
        <v>1058</v>
      </c>
      <c r="S3323">
        <v>1804</v>
      </c>
      <c r="T3323">
        <v>1804</v>
      </c>
      <c r="U3323">
        <f>+SUM(Table1[[#This Row],[Latinos]:[Cemex]])</f>
        <v>1</v>
      </c>
      <c r="V3323" t="str">
        <f>+Table1[[#This Row],[id_destino]]&amp;" - "&amp;Table1[[#This Row],[id_origen]]</f>
        <v>53 - 93</v>
      </c>
    </row>
    <row r="3324" spans="1:22" hidden="1">
      <c r="A3324">
        <v>153</v>
      </c>
      <c r="B3324">
        <v>53</v>
      </c>
      <c r="C3324">
        <v>109</v>
      </c>
      <c r="D3324">
        <v>5291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 t="s">
        <v>20</v>
      </c>
      <c r="L3324" s="1">
        <v>45279</v>
      </c>
      <c r="M3324">
        <v>54</v>
      </c>
      <c r="N3324">
        <v>93</v>
      </c>
      <c r="O3324">
        <v>788</v>
      </c>
      <c r="P3324">
        <v>785</v>
      </c>
      <c r="Q3324">
        <v>788</v>
      </c>
      <c r="S3324">
        <v>1071</v>
      </c>
      <c r="T3324">
        <v>1071</v>
      </c>
      <c r="U3324">
        <f>+SUM(Table1[[#This Row],[Latinos]:[Cemex]])</f>
        <v>1</v>
      </c>
      <c r="V3324" t="str">
        <f>+Table1[[#This Row],[id_destino]]&amp;" - "&amp;Table1[[#This Row],[id_origen]]</f>
        <v>54 - 93</v>
      </c>
    </row>
    <row r="3325" spans="1:22" hidden="1">
      <c r="A3325">
        <v>1462</v>
      </c>
      <c r="B3325">
        <v>794</v>
      </c>
      <c r="C3325">
        <v>109</v>
      </c>
      <c r="D3325">
        <v>63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0</v>
      </c>
      <c r="K3325" t="s">
        <v>20</v>
      </c>
      <c r="L3325" s="1">
        <v>44221</v>
      </c>
      <c r="M3325">
        <v>55</v>
      </c>
      <c r="N3325">
        <v>93</v>
      </c>
      <c r="O3325">
        <v>87</v>
      </c>
      <c r="P3325">
        <v>150</v>
      </c>
      <c r="Q3325">
        <v>87</v>
      </c>
      <c r="S3325">
        <v>145</v>
      </c>
      <c r="T3325">
        <v>145</v>
      </c>
      <c r="U3325">
        <f>+SUM(Table1[[#This Row],[Latinos]:[Cemex]])</f>
        <v>1</v>
      </c>
      <c r="V3325" t="str">
        <f>+Table1[[#This Row],[id_destino]]&amp;" - "&amp;Table1[[#This Row],[id_origen]]</f>
        <v>55 - 93</v>
      </c>
    </row>
    <row r="3326" spans="1:22" hidden="1">
      <c r="A3326">
        <v>4798</v>
      </c>
      <c r="B3326">
        <v>794</v>
      </c>
      <c r="C3326">
        <v>109</v>
      </c>
      <c r="D3326">
        <v>63</v>
      </c>
      <c r="E3326">
        <v>0</v>
      </c>
      <c r="F3326">
        <v>0</v>
      </c>
      <c r="G3326">
        <v>0</v>
      </c>
      <c r="H3326">
        <v>1</v>
      </c>
      <c r="I3326">
        <v>0</v>
      </c>
      <c r="J3326">
        <v>0</v>
      </c>
      <c r="K3326" t="s">
        <v>20</v>
      </c>
      <c r="L3326" s="1">
        <v>45838</v>
      </c>
      <c r="M3326">
        <v>55</v>
      </c>
      <c r="N3326">
        <v>93</v>
      </c>
      <c r="O3326">
        <v>76</v>
      </c>
      <c r="P3326">
        <v>76</v>
      </c>
      <c r="Q3326">
        <v>100</v>
      </c>
      <c r="S3326">
        <v>154</v>
      </c>
      <c r="T3326">
        <v>154</v>
      </c>
      <c r="U3326">
        <f>+SUM(Table1[[#This Row],[Latinos]:[Cemex]])</f>
        <v>1</v>
      </c>
      <c r="V3326" t="str">
        <f>+Table1[[#This Row],[id_destino]]&amp;" - "&amp;Table1[[#This Row],[id_origen]]</f>
        <v>55 - 93</v>
      </c>
    </row>
    <row r="3327" spans="1:22" hidden="1">
      <c r="A3327">
        <v>2734</v>
      </c>
      <c r="B3327">
        <v>3534</v>
      </c>
      <c r="C3327">
        <v>109</v>
      </c>
      <c r="D3327">
        <v>65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 t="s">
        <v>20</v>
      </c>
      <c r="L3327" s="1">
        <v>44391</v>
      </c>
      <c r="M3327">
        <v>57</v>
      </c>
      <c r="N3327">
        <v>93</v>
      </c>
      <c r="O3327">
        <v>144</v>
      </c>
      <c r="P3327">
        <v>150</v>
      </c>
      <c r="Q3327">
        <v>140</v>
      </c>
      <c r="S3327">
        <v>397</v>
      </c>
      <c r="T3327">
        <v>471</v>
      </c>
      <c r="U3327">
        <f>+SUM(Table1[[#This Row],[Latinos]:[Cemex]])</f>
        <v>1</v>
      </c>
      <c r="V3327" t="str">
        <f>+Table1[[#This Row],[id_destino]]&amp;" - "&amp;Table1[[#This Row],[id_origen]]</f>
        <v>57 - 93</v>
      </c>
    </row>
    <row r="3328" spans="1:22" hidden="1">
      <c r="A3328">
        <v>388</v>
      </c>
      <c r="B3328">
        <v>1366</v>
      </c>
      <c r="C3328">
        <v>109</v>
      </c>
      <c r="D3328">
        <v>3984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 t="s">
        <v>20</v>
      </c>
      <c r="L3328" s="1">
        <v>43742</v>
      </c>
      <c r="M3328">
        <v>59</v>
      </c>
      <c r="N3328">
        <v>93</v>
      </c>
      <c r="O3328">
        <v>452</v>
      </c>
      <c r="P3328">
        <v>441</v>
      </c>
      <c r="Q3328">
        <v>452</v>
      </c>
      <c r="S3328">
        <v>1200</v>
      </c>
      <c r="T3328">
        <v>1200</v>
      </c>
      <c r="U3328">
        <f>+SUM(Table1[[#This Row],[Latinos]:[Cemex]])</f>
        <v>1</v>
      </c>
      <c r="V3328" t="str">
        <f>+Table1[[#This Row],[id_destino]]&amp;" - "&amp;Table1[[#This Row],[id_origen]]</f>
        <v>59 - 93</v>
      </c>
    </row>
    <row r="3329" spans="1:22" hidden="1">
      <c r="A3329">
        <v>315</v>
      </c>
      <c r="B3329">
        <v>92</v>
      </c>
      <c r="C3329">
        <v>109</v>
      </c>
      <c r="D3329">
        <v>70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</v>
      </c>
      <c r="K3329" t="s">
        <v>29</v>
      </c>
      <c r="L3329" s="1">
        <v>45803</v>
      </c>
      <c r="M3329">
        <v>60</v>
      </c>
      <c r="N3329">
        <v>93</v>
      </c>
      <c r="O3329">
        <v>2781</v>
      </c>
      <c r="P3329">
        <v>2719</v>
      </c>
      <c r="Q3329">
        <v>2781</v>
      </c>
      <c r="S3329">
        <v>8397</v>
      </c>
      <c r="T3329">
        <v>8510</v>
      </c>
      <c r="U3329">
        <f>+SUM(Table1[[#This Row],[Latinos]:[Cemex]])</f>
        <v>1</v>
      </c>
      <c r="V3329" t="str">
        <f>+Table1[[#This Row],[id_destino]]&amp;" - "&amp;Table1[[#This Row],[id_origen]]</f>
        <v>60 - 93</v>
      </c>
    </row>
    <row r="3330" spans="1:22" hidden="1">
      <c r="A3330">
        <v>838</v>
      </c>
      <c r="B3330">
        <v>1068</v>
      </c>
      <c r="C3330">
        <v>109</v>
      </c>
      <c r="D3330">
        <v>71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 t="s">
        <v>36</v>
      </c>
      <c r="L3330" s="1">
        <v>43739</v>
      </c>
      <c r="M3330">
        <v>61</v>
      </c>
      <c r="N3330">
        <v>93</v>
      </c>
      <c r="O3330">
        <v>2621</v>
      </c>
      <c r="P3330">
        <v>2551</v>
      </c>
      <c r="Q3330">
        <v>2621</v>
      </c>
      <c r="S3330">
        <v>7209</v>
      </c>
      <c r="T3330">
        <v>7321</v>
      </c>
      <c r="U3330">
        <f>+SUM(Table1[[#This Row],[Latinos]:[Cemex]])</f>
        <v>1</v>
      </c>
      <c r="V3330" t="str">
        <f>+Table1[[#This Row],[id_destino]]&amp;" - "&amp;Table1[[#This Row],[id_origen]]</f>
        <v>61 - 93</v>
      </c>
    </row>
    <row r="3331" spans="1:22" hidden="1">
      <c r="A3331">
        <v>72</v>
      </c>
      <c r="B3331">
        <v>161</v>
      </c>
      <c r="C3331">
        <v>109</v>
      </c>
      <c r="D3331">
        <v>72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0</v>
      </c>
      <c r="K3331" t="s">
        <v>20</v>
      </c>
      <c r="L3331" s="1">
        <v>42987</v>
      </c>
      <c r="M3331">
        <v>62</v>
      </c>
      <c r="N3331">
        <v>93</v>
      </c>
      <c r="O3331">
        <v>353</v>
      </c>
      <c r="P3331">
        <v>355</v>
      </c>
      <c r="Q3331">
        <v>354</v>
      </c>
      <c r="S3331">
        <v>425</v>
      </c>
      <c r="T3331">
        <v>425</v>
      </c>
      <c r="U3331">
        <f>+SUM(Table1[[#This Row],[Latinos]:[Cemex]])</f>
        <v>1</v>
      </c>
      <c r="V3331" t="str">
        <f>+Table1[[#This Row],[id_destino]]&amp;" - "&amp;Table1[[#This Row],[id_origen]]</f>
        <v>62 - 93</v>
      </c>
    </row>
    <row r="3332" spans="1:22" hidden="1">
      <c r="A3332">
        <v>339</v>
      </c>
      <c r="B3332">
        <v>1706</v>
      </c>
      <c r="C3332">
        <v>109</v>
      </c>
      <c r="D3332">
        <v>74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 t="s">
        <v>20</v>
      </c>
      <c r="L3332" s="1">
        <v>43040</v>
      </c>
      <c r="M3332">
        <v>64</v>
      </c>
      <c r="N3332">
        <v>93</v>
      </c>
      <c r="O3332">
        <v>529</v>
      </c>
      <c r="P3332">
        <v>532</v>
      </c>
      <c r="Q3332">
        <v>529</v>
      </c>
      <c r="S3332">
        <v>594</v>
      </c>
      <c r="T3332">
        <v>594</v>
      </c>
      <c r="U3332">
        <f>+SUM(Table1[[#This Row],[Latinos]:[Cemex]])</f>
        <v>1</v>
      </c>
      <c r="V3332" t="str">
        <f>+Table1[[#This Row],[id_destino]]&amp;" - "&amp;Table1[[#This Row],[id_origen]]</f>
        <v>64 - 93</v>
      </c>
    </row>
    <row r="3333" spans="1:22" hidden="1">
      <c r="A3333">
        <v>340</v>
      </c>
      <c r="B3333">
        <v>981</v>
      </c>
      <c r="C3333">
        <v>109</v>
      </c>
      <c r="D3333">
        <v>3172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0</v>
      </c>
      <c r="K3333" t="s">
        <v>20</v>
      </c>
      <c r="L3333" s="1">
        <v>45499</v>
      </c>
      <c r="M3333">
        <v>65</v>
      </c>
      <c r="N3333">
        <v>93</v>
      </c>
      <c r="O3333">
        <v>199</v>
      </c>
      <c r="P3333">
        <v>180</v>
      </c>
      <c r="Q3333">
        <v>199</v>
      </c>
      <c r="S3333">
        <v>1535</v>
      </c>
      <c r="T3333">
        <v>1535</v>
      </c>
      <c r="U3333">
        <f>+SUM(Table1[[#This Row],[Latinos]:[Cemex]])</f>
        <v>1</v>
      </c>
      <c r="V3333" t="str">
        <f>+Table1[[#This Row],[id_destino]]&amp;" - "&amp;Table1[[#This Row],[id_origen]]</f>
        <v>65 - 93</v>
      </c>
    </row>
    <row r="3334" spans="1:22" hidden="1">
      <c r="A3334">
        <v>267</v>
      </c>
      <c r="B3334">
        <v>988</v>
      </c>
      <c r="C3334">
        <v>109</v>
      </c>
      <c r="D3334">
        <v>3265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 t="s">
        <v>20</v>
      </c>
      <c r="L3334" s="1">
        <v>43028</v>
      </c>
      <c r="M3334">
        <v>66</v>
      </c>
      <c r="N3334">
        <v>93</v>
      </c>
      <c r="O3334">
        <v>181</v>
      </c>
      <c r="P3334">
        <v>181</v>
      </c>
      <c r="Q3334">
        <v>181</v>
      </c>
      <c r="S3334">
        <v>518</v>
      </c>
      <c r="T3334">
        <v>585</v>
      </c>
      <c r="U3334">
        <f>+SUM(Table1[[#This Row],[Latinos]:[Cemex]])</f>
        <v>1</v>
      </c>
      <c r="V3334" t="str">
        <f>+Table1[[#This Row],[id_destino]]&amp;" - "&amp;Table1[[#This Row],[id_origen]]</f>
        <v>66 - 93</v>
      </c>
    </row>
    <row r="3335" spans="1:22" hidden="1">
      <c r="A3335">
        <v>2965</v>
      </c>
      <c r="B3335">
        <v>3686</v>
      </c>
      <c r="C3335">
        <v>109</v>
      </c>
      <c r="D3335">
        <v>5637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 t="s">
        <v>20</v>
      </c>
      <c r="L3335" s="1">
        <v>44650</v>
      </c>
      <c r="M3335">
        <v>67</v>
      </c>
      <c r="N3335">
        <v>93</v>
      </c>
      <c r="O3335">
        <v>312</v>
      </c>
      <c r="P3335">
        <v>313</v>
      </c>
      <c r="Q3335">
        <v>312</v>
      </c>
      <c r="S3335">
        <v>1815</v>
      </c>
      <c r="T3335">
        <v>1815</v>
      </c>
      <c r="U3335">
        <f>+SUM(Table1[[#This Row],[Latinos]:[Cemex]])</f>
        <v>1</v>
      </c>
      <c r="V3335" t="str">
        <f>+Table1[[#This Row],[id_destino]]&amp;" - "&amp;Table1[[#This Row],[id_origen]]</f>
        <v>67 - 93</v>
      </c>
    </row>
    <row r="3336" spans="1:22" hidden="1">
      <c r="A3336">
        <v>2251</v>
      </c>
      <c r="B3336">
        <v>466</v>
      </c>
      <c r="C3336">
        <v>109</v>
      </c>
      <c r="D3336">
        <v>6288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0</v>
      </c>
      <c r="K3336" t="s">
        <v>20</v>
      </c>
      <c r="L3336" s="1">
        <v>44986</v>
      </c>
      <c r="M3336">
        <v>71</v>
      </c>
      <c r="N3336">
        <v>93</v>
      </c>
      <c r="O3336">
        <v>496</v>
      </c>
      <c r="P3336">
        <v>497</v>
      </c>
      <c r="Q3336">
        <v>496</v>
      </c>
      <c r="S3336">
        <v>2130</v>
      </c>
      <c r="T3336">
        <v>2130</v>
      </c>
      <c r="U3336">
        <f>+SUM(Table1[[#This Row],[Latinos]:[Cemex]])</f>
        <v>1</v>
      </c>
      <c r="V3336" t="str">
        <f>+Table1[[#This Row],[id_destino]]&amp;" - "&amp;Table1[[#This Row],[id_origen]]</f>
        <v>71 - 93</v>
      </c>
    </row>
    <row r="3337" spans="1:22" hidden="1">
      <c r="A3337">
        <v>2542</v>
      </c>
      <c r="B3337">
        <v>60</v>
      </c>
      <c r="C3337">
        <v>109</v>
      </c>
      <c r="D3337">
        <v>468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 t="s">
        <v>20</v>
      </c>
      <c r="L3337" s="1">
        <v>44166</v>
      </c>
      <c r="M3337">
        <v>73</v>
      </c>
      <c r="N3337">
        <v>93</v>
      </c>
      <c r="O3337">
        <v>859</v>
      </c>
      <c r="P3337">
        <v>839</v>
      </c>
      <c r="Q3337">
        <v>859</v>
      </c>
      <c r="S3337">
        <v>699</v>
      </c>
      <c r="T3337">
        <v>699</v>
      </c>
      <c r="U3337">
        <f>+SUM(Table1[[#This Row],[Latinos]:[Cemex]])</f>
        <v>1</v>
      </c>
      <c r="V3337" t="str">
        <f>+Table1[[#This Row],[id_destino]]&amp;" - "&amp;Table1[[#This Row],[id_origen]]</f>
        <v>73 - 93</v>
      </c>
    </row>
    <row r="3338" spans="1:22" hidden="1">
      <c r="A3338">
        <v>1726</v>
      </c>
      <c r="B3338">
        <v>1247</v>
      </c>
      <c r="C3338">
        <v>109</v>
      </c>
      <c r="D3338">
        <v>7689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 t="s">
        <v>20</v>
      </c>
      <c r="L3338" s="1">
        <v>45357</v>
      </c>
      <c r="M3338">
        <v>76</v>
      </c>
      <c r="N3338">
        <v>93</v>
      </c>
      <c r="O3338">
        <v>68</v>
      </c>
      <c r="P3338">
        <v>150</v>
      </c>
      <c r="Q3338">
        <v>68</v>
      </c>
      <c r="S3338">
        <v>222</v>
      </c>
      <c r="T3338">
        <v>222</v>
      </c>
      <c r="U3338">
        <f>+SUM(Table1[[#This Row],[Latinos]:[Cemex]])</f>
        <v>1</v>
      </c>
      <c r="V3338" t="str">
        <f>+Table1[[#This Row],[id_destino]]&amp;" - "&amp;Table1[[#This Row],[id_origen]]</f>
        <v>76 - 93</v>
      </c>
    </row>
    <row r="3339" spans="1:22" hidden="1">
      <c r="A3339">
        <v>2970</v>
      </c>
      <c r="B3339">
        <v>3691</v>
      </c>
      <c r="C3339">
        <v>109</v>
      </c>
      <c r="D3339">
        <v>6840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 t="s">
        <v>20</v>
      </c>
      <c r="L3339" s="1">
        <v>44652</v>
      </c>
      <c r="M3339">
        <v>83</v>
      </c>
      <c r="N3339">
        <v>93</v>
      </c>
      <c r="O3339">
        <v>876</v>
      </c>
      <c r="P3339">
        <v>861</v>
      </c>
      <c r="Q3339">
        <v>876</v>
      </c>
      <c r="S3339">
        <v>1217</v>
      </c>
      <c r="T3339">
        <v>1217</v>
      </c>
      <c r="U3339">
        <f>+SUM(Table1[[#This Row],[Latinos]:[Cemex]])</f>
        <v>1</v>
      </c>
      <c r="V3339" t="str">
        <f>+Table1[[#This Row],[id_destino]]&amp;" - "&amp;Table1[[#This Row],[id_origen]]</f>
        <v>83 - 93</v>
      </c>
    </row>
    <row r="3340" spans="1:22" hidden="1">
      <c r="A3340">
        <v>1049</v>
      </c>
      <c r="B3340">
        <v>2561</v>
      </c>
      <c r="C3340">
        <v>109</v>
      </c>
      <c r="D3340">
        <v>4528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 t="s">
        <v>20</v>
      </c>
      <c r="L3340" s="1">
        <v>43263</v>
      </c>
      <c r="M3340">
        <v>86</v>
      </c>
      <c r="N3340">
        <v>93</v>
      </c>
      <c r="O3340">
        <v>46</v>
      </c>
      <c r="P3340">
        <v>150</v>
      </c>
      <c r="Q3340">
        <v>46</v>
      </c>
      <c r="S3340">
        <v>151</v>
      </c>
      <c r="T3340">
        <v>151</v>
      </c>
      <c r="U3340">
        <f>+SUM(Table1[[#This Row],[Latinos]:[Cemex]])</f>
        <v>1</v>
      </c>
      <c r="V3340" t="str">
        <f>+Table1[[#This Row],[id_destino]]&amp;" - "&amp;Table1[[#This Row],[id_origen]]</f>
        <v>86 - 93</v>
      </c>
    </row>
    <row r="3341" spans="1:22" hidden="1">
      <c r="A3341">
        <v>1883</v>
      </c>
      <c r="B3341">
        <v>2995</v>
      </c>
      <c r="C3341">
        <v>109</v>
      </c>
      <c r="D3341">
        <v>6018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 t="s">
        <v>20</v>
      </c>
      <c r="L3341" s="1">
        <v>43691</v>
      </c>
      <c r="M3341">
        <v>88</v>
      </c>
      <c r="N3341">
        <v>93</v>
      </c>
      <c r="O3341">
        <v>166</v>
      </c>
      <c r="P3341">
        <v>150</v>
      </c>
      <c r="Q3341">
        <v>166</v>
      </c>
      <c r="S3341">
        <v>329</v>
      </c>
      <c r="T3341">
        <v>329</v>
      </c>
      <c r="U3341">
        <f>+SUM(Table1[[#This Row],[Latinos]:[Cemex]])</f>
        <v>1</v>
      </c>
      <c r="V3341" t="str">
        <f>+Table1[[#This Row],[id_destino]]&amp;" - "&amp;Table1[[#This Row],[id_origen]]</f>
        <v>88 - 93</v>
      </c>
    </row>
    <row r="3342" spans="1:22" hidden="1">
      <c r="A3342">
        <v>528</v>
      </c>
      <c r="B3342">
        <v>278</v>
      </c>
      <c r="C3342">
        <v>109</v>
      </c>
      <c r="D3342">
        <v>847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 t="s">
        <v>20</v>
      </c>
      <c r="L3342" s="1">
        <v>43089</v>
      </c>
      <c r="M3342">
        <v>89</v>
      </c>
      <c r="N3342">
        <v>93</v>
      </c>
      <c r="O3342">
        <v>964</v>
      </c>
      <c r="P3342">
        <v>964</v>
      </c>
      <c r="Q3342">
        <v>964</v>
      </c>
      <c r="S3342">
        <v>605</v>
      </c>
      <c r="T3342">
        <v>605</v>
      </c>
      <c r="U3342">
        <f>+SUM(Table1[[#This Row],[Latinos]:[Cemex]])</f>
        <v>1</v>
      </c>
      <c r="V3342" t="str">
        <f>+Table1[[#This Row],[id_destino]]&amp;" - "&amp;Table1[[#This Row],[id_origen]]</f>
        <v>89 - 93</v>
      </c>
    </row>
    <row r="3343" spans="1:22" hidden="1">
      <c r="A3343">
        <v>2278</v>
      </c>
      <c r="B3343">
        <v>2791</v>
      </c>
      <c r="C3343">
        <v>254</v>
      </c>
      <c r="D3343">
        <v>6308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 t="s">
        <v>20</v>
      </c>
      <c r="L3343" s="1">
        <v>43901</v>
      </c>
      <c r="M3343">
        <v>92</v>
      </c>
      <c r="N3343">
        <v>93</v>
      </c>
      <c r="O3343">
        <v>866</v>
      </c>
      <c r="P3343">
        <v>866</v>
      </c>
      <c r="Q3343">
        <v>866</v>
      </c>
      <c r="S3343">
        <v>698</v>
      </c>
      <c r="T3343">
        <v>698</v>
      </c>
      <c r="U3343">
        <f>+SUM(Table1[[#This Row],[Latinos]:[Cemex]])</f>
        <v>1</v>
      </c>
      <c r="V3343" t="str">
        <f>+Table1[[#This Row],[id_destino]]&amp;" - "&amp;Table1[[#This Row],[id_origen]]</f>
        <v>92 - 93</v>
      </c>
    </row>
    <row r="3344" spans="1:22" hidden="1">
      <c r="A3344">
        <v>4319</v>
      </c>
      <c r="B3344">
        <v>4565</v>
      </c>
      <c r="C3344">
        <v>109</v>
      </c>
      <c r="D3344">
        <v>109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0</v>
      </c>
      <c r="K3344" t="s">
        <v>20</v>
      </c>
      <c r="L3344" s="1">
        <v>45455</v>
      </c>
      <c r="M3344">
        <v>93</v>
      </c>
      <c r="N3344">
        <v>93</v>
      </c>
      <c r="O3344">
        <v>5</v>
      </c>
      <c r="P3344">
        <v>150</v>
      </c>
      <c r="Q3344">
        <v>100</v>
      </c>
      <c r="S3344">
        <v>0</v>
      </c>
      <c r="T3344">
        <v>0</v>
      </c>
      <c r="U3344">
        <f>+SUM(Table1[[#This Row],[Latinos]:[Cemex]])</f>
        <v>1</v>
      </c>
      <c r="V3344" t="str">
        <f>+Table1[[#This Row],[id_destino]]&amp;" - "&amp;Table1[[#This Row],[id_origen]]</f>
        <v>93 - 93</v>
      </c>
    </row>
    <row r="3345" spans="1:22" hidden="1">
      <c r="A3345">
        <v>852</v>
      </c>
      <c r="B3345">
        <v>898</v>
      </c>
      <c r="C3345">
        <v>109</v>
      </c>
      <c r="D3345">
        <v>173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 t="s">
        <v>20</v>
      </c>
      <c r="L3345" s="1">
        <v>43194</v>
      </c>
      <c r="M3345">
        <v>105</v>
      </c>
      <c r="N3345">
        <v>93</v>
      </c>
      <c r="O3345">
        <v>25</v>
      </c>
      <c r="P3345">
        <v>150</v>
      </c>
      <c r="Q3345">
        <v>25</v>
      </c>
      <c r="S3345">
        <v>234</v>
      </c>
      <c r="T3345">
        <v>234</v>
      </c>
      <c r="U3345">
        <f>+SUM(Table1[[#This Row],[Latinos]:[Cemex]])</f>
        <v>1</v>
      </c>
      <c r="V3345" t="str">
        <f>+Table1[[#This Row],[id_destino]]&amp;" - "&amp;Table1[[#This Row],[id_origen]]</f>
        <v>105 - 93</v>
      </c>
    </row>
    <row r="3346" spans="1:22" hidden="1">
      <c r="A3346">
        <v>2885</v>
      </c>
      <c r="B3346">
        <v>898</v>
      </c>
      <c r="C3346">
        <v>109</v>
      </c>
      <c r="D3346">
        <v>173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  <c r="K3346" t="s">
        <v>20</v>
      </c>
      <c r="L3346" s="1">
        <v>44588</v>
      </c>
      <c r="M3346">
        <v>105</v>
      </c>
      <c r="N3346">
        <v>93</v>
      </c>
      <c r="O3346">
        <v>36</v>
      </c>
      <c r="P3346">
        <v>150</v>
      </c>
      <c r="Q3346">
        <v>50</v>
      </c>
      <c r="S3346">
        <v>199</v>
      </c>
      <c r="T3346">
        <v>199</v>
      </c>
      <c r="U3346">
        <f>+SUM(Table1[[#This Row],[Latinos]:[Cemex]])</f>
        <v>1</v>
      </c>
      <c r="V3346" t="str">
        <f>+Table1[[#This Row],[id_destino]]&amp;" - "&amp;Table1[[#This Row],[id_origen]]</f>
        <v>105 - 93</v>
      </c>
    </row>
    <row r="3347" spans="1:22" hidden="1">
      <c r="A3347">
        <v>730</v>
      </c>
      <c r="B3347">
        <v>560</v>
      </c>
      <c r="C3347">
        <v>109</v>
      </c>
      <c r="D3347">
        <v>1523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 t="s">
        <v>20</v>
      </c>
      <c r="L3347" s="1">
        <v>43742</v>
      </c>
      <c r="M3347">
        <v>107</v>
      </c>
      <c r="N3347">
        <v>93</v>
      </c>
      <c r="O3347">
        <v>512</v>
      </c>
      <c r="P3347">
        <v>477</v>
      </c>
      <c r="Q3347">
        <v>512</v>
      </c>
      <c r="S3347">
        <v>2536</v>
      </c>
      <c r="T3347">
        <v>2634</v>
      </c>
      <c r="U3347">
        <f>+SUM(Table1[[#This Row],[Latinos]:[Cemex]])</f>
        <v>1</v>
      </c>
      <c r="V3347" t="str">
        <f>+Table1[[#This Row],[id_destino]]&amp;" - "&amp;Table1[[#This Row],[id_origen]]</f>
        <v>107 - 93</v>
      </c>
    </row>
    <row r="3348" spans="1:22" hidden="1">
      <c r="A3348">
        <v>2739</v>
      </c>
      <c r="B3348">
        <v>560</v>
      </c>
      <c r="C3348">
        <v>109</v>
      </c>
      <c r="D3348">
        <v>1555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 t="s">
        <v>20</v>
      </c>
      <c r="L3348" s="1">
        <v>44399</v>
      </c>
      <c r="M3348">
        <v>107</v>
      </c>
      <c r="N3348">
        <v>93</v>
      </c>
      <c r="O3348">
        <v>540</v>
      </c>
      <c r="P3348">
        <v>540</v>
      </c>
      <c r="Q3348">
        <v>540</v>
      </c>
      <c r="S3348">
        <v>1226</v>
      </c>
      <c r="T3348">
        <v>1300</v>
      </c>
      <c r="U3348">
        <f>+SUM(Table1[[#This Row],[Latinos]:[Cemex]])</f>
        <v>1</v>
      </c>
      <c r="V3348" t="str">
        <f>+Table1[[#This Row],[id_destino]]&amp;" - "&amp;Table1[[#This Row],[id_origen]]</f>
        <v>107 - 93</v>
      </c>
    </row>
    <row r="3349" spans="1:22" hidden="1">
      <c r="A3349">
        <v>2783</v>
      </c>
      <c r="B3349">
        <v>560</v>
      </c>
      <c r="C3349">
        <v>109</v>
      </c>
      <c r="D3349">
        <v>1366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 t="s">
        <v>20</v>
      </c>
      <c r="L3349" s="1">
        <v>44439</v>
      </c>
      <c r="M3349">
        <v>107</v>
      </c>
      <c r="N3349">
        <v>93</v>
      </c>
      <c r="O3349">
        <v>512</v>
      </c>
      <c r="P3349">
        <v>512</v>
      </c>
      <c r="Q3349">
        <v>512</v>
      </c>
      <c r="S3349">
        <v>0</v>
      </c>
      <c r="T3349">
        <v>0</v>
      </c>
      <c r="U3349">
        <f>+SUM(Table1[[#This Row],[Latinos]:[Cemex]])</f>
        <v>1</v>
      </c>
      <c r="V3349" t="str">
        <f>+Table1[[#This Row],[id_destino]]&amp;" - "&amp;Table1[[#This Row],[id_origen]]</f>
        <v>107 - 93</v>
      </c>
    </row>
    <row r="3350" spans="1:22" hidden="1">
      <c r="A3350">
        <v>1348</v>
      </c>
      <c r="B3350">
        <v>1089</v>
      </c>
      <c r="C3350">
        <v>109</v>
      </c>
      <c r="D3350">
        <v>4607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  <c r="K3350" t="s">
        <v>20</v>
      </c>
      <c r="L3350" s="1">
        <v>43395</v>
      </c>
      <c r="M3350">
        <v>117</v>
      </c>
      <c r="N3350">
        <v>93</v>
      </c>
      <c r="O3350">
        <v>167</v>
      </c>
      <c r="P3350">
        <v>167</v>
      </c>
      <c r="Q3350">
        <v>167</v>
      </c>
      <c r="S3350">
        <v>364</v>
      </c>
      <c r="T3350">
        <v>364</v>
      </c>
      <c r="U3350">
        <f>+SUM(Table1[[#This Row],[Latinos]:[Cemex]])</f>
        <v>1</v>
      </c>
      <c r="V3350" t="str">
        <f>+Table1[[#This Row],[id_destino]]&amp;" - "&amp;Table1[[#This Row],[id_origen]]</f>
        <v>117 - 93</v>
      </c>
    </row>
    <row r="3351" spans="1:22" hidden="1">
      <c r="A3351">
        <v>1576</v>
      </c>
      <c r="B3351">
        <v>1089</v>
      </c>
      <c r="C3351">
        <v>109</v>
      </c>
      <c r="D3351">
        <v>4607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 t="s">
        <v>20</v>
      </c>
      <c r="L3351" s="1">
        <v>43512</v>
      </c>
      <c r="M3351">
        <v>117</v>
      </c>
      <c r="N3351">
        <v>93</v>
      </c>
      <c r="O3351">
        <v>154</v>
      </c>
      <c r="P3351">
        <v>155</v>
      </c>
      <c r="Q3351">
        <v>154</v>
      </c>
      <c r="S3351">
        <v>222</v>
      </c>
      <c r="T3351">
        <v>222</v>
      </c>
      <c r="U3351">
        <f>+SUM(Table1[[#This Row],[Latinos]:[Cemex]])</f>
        <v>1</v>
      </c>
      <c r="V3351" t="str">
        <f>+Table1[[#This Row],[id_destino]]&amp;" - "&amp;Table1[[#This Row],[id_origen]]</f>
        <v>117 - 93</v>
      </c>
    </row>
    <row r="3352" spans="1:22" hidden="1">
      <c r="A3352">
        <v>2644</v>
      </c>
      <c r="B3352">
        <v>287</v>
      </c>
      <c r="C3352">
        <v>109</v>
      </c>
      <c r="D3352">
        <v>1584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</v>
      </c>
      <c r="K3352" t="s">
        <v>20</v>
      </c>
      <c r="L3352" s="1">
        <v>44281</v>
      </c>
      <c r="M3352">
        <v>118</v>
      </c>
      <c r="N3352">
        <v>93</v>
      </c>
      <c r="O3352">
        <v>2897</v>
      </c>
      <c r="P3352">
        <v>2783</v>
      </c>
      <c r="Q3352">
        <v>2897</v>
      </c>
      <c r="S3352">
        <v>7654</v>
      </c>
      <c r="T3352">
        <v>7778</v>
      </c>
      <c r="U3352">
        <f>+SUM(Table1[[#This Row],[Latinos]:[Cemex]])</f>
        <v>1</v>
      </c>
      <c r="V3352" t="str">
        <f>+Table1[[#This Row],[id_destino]]&amp;" - "&amp;Table1[[#This Row],[id_origen]]</f>
        <v>118 - 93</v>
      </c>
    </row>
    <row r="3353" spans="1:22" hidden="1">
      <c r="A3353">
        <v>669</v>
      </c>
      <c r="B3353">
        <v>2399</v>
      </c>
      <c r="C3353">
        <v>109</v>
      </c>
      <c r="D3353">
        <v>5442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 t="s">
        <v>20</v>
      </c>
      <c r="L3353" s="1">
        <v>43127</v>
      </c>
      <c r="M3353">
        <v>120</v>
      </c>
      <c r="N3353">
        <v>93</v>
      </c>
      <c r="O3353">
        <v>834</v>
      </c>
      <c r="P3353">
        <v>1006</v>
      </c>
      <c r="Q3353">
        <v>834</v>
      </c>
      <c r="S3353">
        <v>1856</v>
      </c>
      <c r="T3353">
        <v>1923</v>
      </c>
      <c r="U3353">
        <f>+SUM(Table1[[#This Row],[Latinos]:[Cemex]])</f>
        <v>1</v>
      </c>
      <c r="V3353" t="str">
        <f>+Table1[[#This Row],[id_destino]]&amp;" - "&amp;Table1[[#This Row],[id_origen]]</f>
        <v>120 - 93</v>
      </c>
    </row>
    <row r="3354" spans="1:22" hidden="1">
      <c r="A3354">
        <v>1105</v>
      </c>
      <c r="B3354">
        <v>255</v>
      </c>
      <c r="C3354">
        <v>109</v>
      </c>
      <c r="D3354">
        <v>623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0</v>
      </c>
      <c r="K3354" t="s">
        <v>20</v>
      </c>
      <c r="L3354" s="1">
        <v>45280</v>
      </c>
      <c r="M3354">
        <v>121</v>
      </c>
      <c r="N3354">
        <v>93</v>
      </c>
      <c r="O3354">
        <v>262</v>
      </c>
      <c r="P3354">
        <v>260</v>
      </c>
      <c r="Q3354">
        <v>262</v>
      </c>
      <c r="S3354">
        <v>905</v>
      </c>
      <c r="T3354">
        <v>905</v>
      </c>
      <c r="U3354">
        <f>+SUM(Table1[[#This Row],[Latinos]:[Cemex]])</f>
        <v>1</v>
      </c>
      <c r="V3354" t="str">
        <f>+Table1[[#This Row],[id_destino]]&amp;" - "&amp;Table1[[#This Row],[id_origen]]</f>
        <v>121 - 93</v>
      </c>
    </row>
    <row r="3355" spans="1:22" hidden="1">
      <c r="A3355">
        <v>1047</v>
      </c>
      <c r="B3355">
        <v>102</v>
      </c>
      <c r="C3355">
        <v>109</v>
      </c>
      <c r="D3355">
        <v>47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 t="s">
        <v>20</v>
      </c>
      <c r="L3355" s="1">
        <v>44029</v>
      </c>
      <c r="M3355">
        <v>129</v>
      </c>
      <c r="N3355">
        <v>93</v>
      </c>
      <c r="O3355">
        <v>519</v>
      </c>
      <c r="P3355">
        <v>521</v>
      </c>
      <c r="Q3355">
        <v>519</v>
      </c>
      <c r="S3355">
        <v>2062</v>
      </c>
      <c r="T3355">
        <v>2062</v>
      </c>
      <c r="U3355">
        <f>+SUM(Table1[[#This Row],[Latinos]:[Cemex]])</f>
        <v>1</v>
      </c>
      <c r="V3355" t="str">
        <f>+Table1[[#This Row],[id_destino]]&amp;" - "&amp;Table1[[#This Row],[id_origen]]</f>
        <v>129 - 93</v>
      </c>
    </row>
    <row r="3356" spans="1:22" hidden="1">
      <c r="A3356">
        <v>3670</v>
      </c>
      <c r="B3356">
        <v>181</v>
      </c>
      <c r="C3356">
        <v>109</v>
      </c>
      <c r="D3356">
        <v>7292</v>
      </c>
      <c r="E3356">
        <v>0</v>
      </c>
      <c r="F3356">
        <v>1</v>
      </c>
      <c r="G3356">
        <v>0</v>
      </c>
      <c r="H3356">
        <v>0</v>
      </c>
      <c r="I3356">
        <v>0</v>
      </c>
      <c r="J3356">
        <v>0</v>
      </c>
      <c r="K3356" t="s">
        <v>20</v>
      </c>
      <c r="L3356" s="1">
        <v>45019</v>
      </c>
      <c r="M3356">
        <v>130</v>
      </c>
      <c r="N3356">
        <v>93</v>
      </c>
      <c r="O3356">
        <v>1203</v>
      </c>
      <c r="P3356">
        <v>1231</v>
      </c>
      <c r="Q3356">
        <v>1203</v>
      </c>
      <c r="S3356">
        <v>1804</v>
      </c>
      <c r="T3356">
        <v>1804</v>
      </c>
      <c r="U3356">
        <f>+SUM(Table1[[#This Row],[Latinos]:[Cemex]])</f>
        <v>1</v>
      </c>
      <c r="V3356" t="str">
        <f>+Table1[[#This Row],[id_destino]]&amp;" - "&amp;Table1[[#This Row],[id_origen]]</f>
        <v>130 - 93</v>
      </c>
    </row>
    <row r="3357" spans="1:22" hidden="1">
      <c r="A3357">
        <v>4513</v>
      </c>
      <c r="B3357">
        <v>1507</v>
      </c>
      <c r="C3357">
        <v>109</v>
      </c>
      <c r="D3357">
        <v>7986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 t="s">
        <v>20</v>
      </c>
      <c r="L3357" s="1">
        <v>45595</v>
      </c>
      <c r="M3357">
        <v>133</v>
      </c>
      <c r="N3357">
        <v>93</v>
      </c>
      <c r="O3357">
        <v>298</v>
      </c>
      <c r="P3357">
        <v>291</v>
      </c>
      <c r="Q3357">
        <v>298</v>
      </c>
      <c r="S3357">
        <v>934</v>
      </c>
      <c r="T3357">
        <v>934</v>
      </c>
      <c r="U3357">
        <f>+SUM(Table1[[#This Row],[Latinos]:[Cemex]])</f>
        <v>1</v>
      </c>
      <c r="V3357" t="str">
        <f>+Table1[[#This Row],[id_destino]]&amp;" - "&amp;Table1[[#This Row],[id_origen]]</f>
        <v>133 - 93</v>
      </c>
    </row>
    <row r="3358" spans="1:22" hidden="1">
      <c r="A3358">
        <v>141</v>
      </c>
      <c r="B3358">
        <v>972</v>
      </c>
      <c r="C3358">
        <v>109</v>
      </c>
      <c r="D3358">
        <v>3176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0</v>
      </c>
      <c r="K3358" t="s">
        <v>20</v>
      </c>
      <c r="L3358" s="1">
        <v>44615</v>
      </c>
      <c r="M3358">
        <v>136</v>
      </c>
      <c r="N3358">
        <v>93</v>
      </c>
      <c r="O3358">
        <v>202</v>
      </c>
      <c r="P3358">
        <v>180</v>
      </c>
      <c r="Q3358">
        <v>202</v>
      </c>
      <c r="S3358">
        <v>1535</v>
      </c>
      <c r="T3358">
        <v>1535</v>
      </c>
      <c r="U3358">
        <f>+SUM(Table1[[#This Row],[Latinos]:[Cemex]])</f>
        <v>1</v>
      </c>
      <c r="V3358" t="str">
        <f>+Table1[[#This Row],[id_destino]]&amp;" - "&amp;Table1[[#This Row],[id_origen]]</f>
        <v>136 - 93</v>
      </c>
    </row>
    <row r="3359" spans="1:22" hidden="1">
      <c r="A3359">
        <v>488</v>
      </c>
      <c r="B3359">
        <v>746</v>
      </c>
      <c r="C3359">
        <v>109</v>
      </c>
      <c r="D3359">
        <v>1645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 t="s">
        <v>20</v>
      </c>
      <c r="L3359" s="1">
        <v>43808</v>
      </c>
      <c r="M3359">
        <v>148</v>
      </c>
      <c r="N3359">
        <v>93</v>
      </c>
      <c r="O3359">
        <v>577</v>
      </c>
      <c r="P3359">
        <v>554</v>
      </c>
      <c r="Q3359">
        <v>577</v>
      </c>
      <c r="S3359">
        <v>1743</v>
      </c>
      <c r="T3359">
        <v>1743</v>
      </c>
      <c r="U3359">
        <f>+SUM(Table1[[#This Row],[Latinos]:[Cemex]])</f>
        <v>1</v>
      </c>
      <c r="V3359" t="str">
        <f>+Table1[[#This Row],[id_destino]]&amp;" - "&amp;Table1[[#This Row],[id_origen]]</f>
        <v>148 - 93</v>
      </c>
    </row>
    <row r="3360" spans="1:22" hidden="1">
      <c r="A3360">
        <v>4092</v>
      </c>
      <c r="B3360">
        <v>4415</v>
      </c>
      <c r="C3360">
        <v>109</v>
      </c>
      <c r="D3360">
        <v>2111</v>
      </c>
      <c r="E3360">
        <v>0</v>
      </c>
      <c r="F3360">
        <v>1</v>
      </c>
      <c r="G3360">
        <v>0</v>
      </c>
      <c r="H3360">
        <v>0</v>
      </c>
      <c r="I3360">
        <v>0</v>
      </c>
      <c r="J3360">
        <v>0</v>
      </c>
      <c r="K3360" t="s">
        <v>20</v>
      </c>
      <c r="L3360" s="1">
        <v>45280</v>
      </c>
      <c r="M3360">
        <v>155</v>
      </c>
      <c r="N3360">
        <v>93</v>
      </c>
      <c r="O3360">
        <v>1146</v>
      </c>
      <c r="P3360">
        <v>1032</v>
      </c>
      <c r="Q3360">
        <v>1146</v>
      </c>
      <c r="S3360">
        <v>5631</v>
      </c>
      <c r="T3360">
        <v>4581</v>
      </c>
      <c r="U3360">
        <f>+SUM(Table1[[#This Row],[Latinos]:[Cemex]])</f>
        <v>1</v>
      </c>
      <c r="V3360" t="str">
        <f>+Table1[[#This Row],[id_destino]]&amp;" - "&amp;Table1[[#This Row],[id_origen]]</f>
        <v>155 - 93</v>
      </c>
    </row>
    <row r="3361" spans="1:22" hidden="1">
      <c r="A3361">
        <v>2457</v>
      </c>
      <c r="B3361">
        <v>3357</v>
      </c>
      <c r="C3361">
        <v>254</v>
      </c>
      <c r="D3361">
        <v>6406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  <c r="K3361" t="s">
        <v>20</v>
      </c>
      <c r="L3361" s="1">
        <v>44084</v>
      </c>
      <c r="M3361">
        <v>159</v>
      </c>
      <c r="N3361">
        <v>93</v>
      </c>
      <c r="O3361">
        <v>1993</v>
      </c>
      <c r="P3361">
        <v>1900</v>
      </c>
      <c r="Q3361">
        <v>1993</v>
      </c>
      <c r="S3361">
        <v>3725</v>
      </c>
      <c r="T3361">
        <v>3811</v>
      </c>
      <c r="U3361">
        <f>+SUM(Table1[[#This Row],[Latinos]:[Cemex]])</f>
        <v>1</v>
      </c>
      <c r="V3361" t="str">
        <f>+Table1[[#This Row],[id_destino]]&amp;" - "&amp;Table1[[#This Row],[id_origen]]</f>
        <v>159 - 93</v>
      </c>
    </row>
    <row r="3362" spans="1:22" hidden="1">
      <c r="A3362">
        <v>754</v>
      </c>
      <c r="B3362">
        <v>268</v>
      </c>
      <c r="C3362">
        <v>109</v>
      </c>
      <c r="D3362">
        <v>12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0</v>
      </c>
      <c r="K3362" t="s">
        <v>20</v>
      </c>
      <c r="L3362" s="1">
        <v>43153</v>
      </c>
      <c r="M3362">
        <v>169</v>
      </c>
      <c r="N3362">
        <v>93</v>
      </c>
      <c r="O3362">
        <v>329</v>
      </c>
      <c r="P3362">
        <v>323</v>
      </c>
      <c r="Q3362">
        <v>329</v>
      </c>
      <c r="S3362">
        <v>1184</v>
      </c>
      <c r="T3362">
        <v>1184</v>
      </c>
      <c r="U3362">
        <f>+SUM(Table1[[#This Row],[Latinos]:[Cemex]])</f>
        <v>1</v>
      </c>
      <c r="V3362" t="str">
        <f>+Table1[[#This Row],[id_destino]]&amp;" - "&amp;Table1[[#This Row],[id_origen]]</f>
        <v>169 - 93</v>
      </c>
    </row>
    <row r="3363" spans="1:22" hidden="1">
      <c r="A3363">
        <v>638</v>
      </c>
      <c r="B3363">
        <v>530</v>
      </c>
      <c r="C3363">
        <v>109</v>
      </c>
      <c r="D3363">
        <v>24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 t="s">
        <v>20</v>
      </c>
      <c r="L3363" s="1">
        <v>45811</v>
      </c>
      <c r="M3363">
        <v>179</v>
      </c>
      <c r="N3363">
        <v>93</v>
      </c>
      <c r="O3363">
        <v>1836</v>
      </c>
      <c r="P3363">
        <v>1843</v>
      </c>
      <c r="Q3363">
        <v>1836</v>
      </c>
      <c r="S3363">
        <v>6825</v>
      </c>
      <c r="T3363">
        <v>6938</v>
      </c>
      <c r="U3363">
        <f>+SUM(Table1[[#This Row],[Latinos]:[Cemex]])</f>
        <v>1</v>
      </c>
      <c r="V3363" t="str">
        <f>+Table1[[#This Row],[id_destino]]&amp;" - "&amp;Table1[[#This Row],[id_origen]]</f>
        <v>179 - 93</v>
      </c>
    </row>
    <row r="3364" spans="1:22" hidden="1">
      <c r="A3364">
        <v>168</v>
      </c>
      <c r="B3364">
        <v>1095</v>
      </c>
      <c r="C3364">
        <v>109</v>
      </c>
      <c r="D3364">
        <v>5297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0</v>
      </c>
      <c r="K3364" t="s">
        <v>20</v>
      </c>
      <c r="L3364" s="1">
        <v>43004</v>
      </c>
      <c r="M3364">
        <v>180</v>
      </c>
      <c r="N3364">
        <v>93</v>
      </c>
      <c r="O3364">
        <v>1066</v>
      </c>
      <c r="P3364">
        <v>1078</v>
      </c>
      <c r="Q3364">
        <v>1066</v>
      </c>
      <c r="S3364">
        <v>2261</v>
      </c>
      <c r="T3364">
        <v>2261</v>
      </c>
      <c r="U3364">
        <f>+SUM(Table1[[#This Row],[Latinos]:[Cemex]])</f>
        <v>1</v>
      </c>
      <c r="V3364" t="str">
        <f>+Table1[[#This Row],[id_destino]]&amp;" - "&amp;Table1[[#This Row],[id_origen]]</f>
        <v>180 - 93</v>
      </c>
    </row>
    <row r="3365" spans="1:22" hidden="1">
      <c r="A3365">
        <v>416</v>
      </c>
      <c r="B3365">
        <v>1055</v>
      </c>
      <c r="C3365">
        <v>109</v>
      </c>
      <c r="D3365">
        <v>3000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 t="s">
        <v>20</v>
      </c>
      <c r="L3365" s="1">
        <v>43061</v>
      </c>
      <c r="M3365">
        <v>183</v>
      </c>
      <c r="N3365">
        <v>93</v>
      </c>
      <c r="O3365">
        <v>469</v>
      </c>
      <c r="P3365">
        <v>470</v>
      </c>
      <c r="Q3365">
        <v>469</v>
      </c>
      <c r="S3365">
        <v>2123</v>
      </c>
      <c r="T3365">
        <v>2123</v>
      </c>
      <c r="U3365">
        <f>+SUM(Table1[[#This Row],[Latinos]:[Cemex]])</f>
        <v>1</v>
      </c>
      <c r="V3365" t="str">
        <f>+Table1[[#This Row],[id_destino]]&amp;" - "&amp;Table1[[#This Row],[id_origen]]</f>
        <v>183 - 93</v>
      </c>
    </row>
    <row r="3366" spans="1:22" hidden="1">
      <c r="A3366">
        <v>766</v>
      </c>
      <c r="B3366">
        <v>2084</v>
      </c>
      <c r="C3366">
        <v>109</v>
      </c>
      <c r="D3366">
        <v>5480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 t="s">
        <v>20</v>
      </c>
      <c r="L3366" s="1">
        <v>43374</v>
      </c>
      <c r="M3366">
        <v>185</v>
      </c>
      <c r="N3366">
        <v>93</v>
      </c>
      <c r="O3366">
        <v>30</v>
      </c>
      <c r="P3366">
        <v>150</v>
      </c>
      <c r="Q3366">
        <v>30</v>
      </c>
      <c r="S3366">
        <v>176</v>
      </c>
      <c r="T3366">
        <v>176</v>
      </c>
      <c r="U3366">
        <f>+SUM(Table1[[#This Row],[Latinos]:[Cemex]])</f>
        <v>1</v>
      </c>
      <c r="V3366" t="str">
        <f>+Table1[[#This Row],[id_destino]]&amp;" - "&amp;Table1[[#This Row],[id_origen]]</f>
        <v>185 - 93</v>
      </c>
    </row>
    <row r="3367" spans="1:22" hidden="1">
      <c r="A3367">
        <v>1357</v>
      </c>
      <c r="B3367">
        <v>513</v>
      </c>
      <c r="C3367">
        <v>109</v>
      </c>
      <c r="D3367">
        <v>3032</v>
      </c>
      <c r="E3367">
        <v>0</v>
      </c>
      <c r="F3367">
        <v>1</v>
      </c>
      <c r="G3367">
        <v>0</v>
      </c>
      <c r="H3367">
        <v>0</v>
      </c>
      <c r="I3367">
        <v>1</v>
      </c>
      <c r="J3367">
        <v>0</v>
      </c>
      <c r="K3367" t="s">
        <v>35</v>
      </c>
      <c r="L3367" s="1">
        <v>43400</v>
      </c>
      <c r="M3367">
        <v>189</v>
      </c>
      <c r="N3367">
        <v>93</v>
      </c>
      <c r="O3367">
        <v>1573</v>
      </c>
      <c r="P3367">
        <v>1573</v>
      </c>
      <c r="Q3367">
        <v>1573</v>
      </c>
      <c r="S3367">
        <v>3268</v>
      </c>
      <c r="T3367">
        <v>3342</v>
      </c>
      <c r="U3367">
        <f>+SUM(Table1[[#This Row],[Latinos]:[Cemex]])</f>
        <v>2</v>
      </c>
      <c r="V3367" t="str">
        <f>+Table1[[#This Row],[id_destino]]&amp;" - "&amp;Table1[[#This Row],[id_origen]]</f>
        <v>189 - 93</v>
      </c>
    </row>
    <row r="3368" spans="1:22" hidden="1">
      <c r="A3368">
        <v>1594</v>
      </c>
      <c r="B3368">
        <v>513</v>
      </c>
      <c r="C3368">
        <v>109</v>
      </c>
      <c r="D3368">
        <v>3032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 t="s">
        <v>32</v>
      </c>
      <c r="L3368" s="1">
        <v>43522</v>
      </c>
      <c r="M3368">
        <v>189</v>
      </c>
      <c r="N3368">
        <v>93</v>
      </c>
      <c r="O3368">
        <v>1146</v>
      </c>
      <c r="P3368">
        <v>1146</v>
      </c>
      <c r="Q3368">
        <v>1146</v>
      </c>
      <c r="S3368">
        <v>2751</v>
      </c>
      <c r="T3368">
        <v>2751</v>
      </c>
      <c r="U3368">
        <f>+SUM(Table1[[#This Row],[Latinos]:[Cemex]])</f>
        <v>1</v>
      </c>
      <c r="V3368" t="str">
        <f>+Table1[[#This Row],[id_destino]]&amp;" - "&amp;Table1[[#This Row],[id_origen]]</f>
        <v>189 - 93</v>
      </c>
    </row>
    <row r="3369" spans="1:22" hidden="1">
      <c r="A3369">
        <v>1370</v>
      </c>
      <c r="B3369">
        <v>2178</v>
      </c>
      <c r="C3369">
        <v>109</v>
      </c>
      <c r="D3369">
        <v>5738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0</v>
      </c>
      <c r="K3369" t="s">
        <v>20</v>
      </c>
      <c r="L3369" s="1">
        <v>43409</v>
      </c>
      <c r="M3369">
        <v>190</v>
      </c>
      <c r="N3369">
        <v>93</v>
      </c>
      <c r="O3369">
        <v>674</v>
      </c>
      <c r="P3369">
        <v>665</v>
      </c>
      <c r="Q3369">
        <v>674</v>
      </c>
      <c r="S3369">
        <v>1177.01</v>
      </c>
      <c r="T3369">
        <v>1207</v>
      </c>
      <c r="U3369">
        <f>+SUM(Table1[[#This Row],[Latinos]:[Cemex]])</f>
        <v>1</v>
      </c>
      <c r="V3369" t="str">
        <f>+Table1[[#This Row],[id_destino]]&amp;" - "&amp;Table1[[#This Row],[id_origen]]</f>
        <v>190 - 93</v>
      </c>
    </row>
    <row r="3370" spans="1:22" hidden="1">
      <c r="A3370">
        <v>1777</v>
      </c>
      <c r="B3370">
        <v>2932</v>
      </c>
      <c r="C3370">
        <v>109</v>
      </c>
      <c r="D3370">
        <v>4262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 t="s">
        <v>20</v>
      </c>
      <c r="L3370" s="1">
        <v>43621</v>
      </c>
      <c r="M3370">
        <v>192</v>
      </c>
      <c r="N3370">
        <v>93</v>
      </c>
      <c r="O3370">
        <v>467</v>
      </c>
      <c r="P3370">
        <v>482</v>
      </c>
      <c r="Q3370">
        <v>467</v>
      </c>
      <c r="S3370">
        <v>1110</v>
      </c>
      <c r="T3370">
        <v>1110</v>
      </c>
      <c r="U3370">
        <f>+SUM(Table1[[#This Row],[Latinos]:[Cemex]])</f>
        <v>1</v>
      </c>
      <c r="V3370" t="str">
        <f>+Table1[[#This Row],[id_destino]]&amp;" - "&amp;Table1[[#This Row],[id_origen]]</f>
        <v>192 - 93</v>
      </c>
    </row>
    <row r="3371" spans="1:22" hidden="1">
      <c r="A3371">
        <v>3871</v>
      </c>
      <c r="B3371">
        <v>4271</v>
      </c>
      <c r="C3371">
        <v>109</v>
      </c>
      <c r="D3371">
        <v>7443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 t="s">
        <v>20</v>
      </c>
      <c r="L3371" s="1">
        <v>45154</v>
      </c>
      <c r="M3371">
        <v>225</v>
      </c>
      <c r="N3371">
        <v>93</v>
      </c>
      <c r="O3371">
        <v>1608</v>
      </c>
      <c r="P3371">
        <v>1594</v>
      </c>
      <c r="Q3371">
        <v>1608</v>
      </c>
      <c r="S3371">
        <v>3168</v>
      </c>
      <c r="T3371">
        <v>3168</v>
      </c>
      <c r="U3371">
        <f>+SUM(Table1[[#This Row],[Latinos]:[Cemex]])</f>
        <v>1</v>
      </c>
      <c r="V3371" t="str">
        <f>+Table1[[#This Row],[id_destino]]&amp;" - "&amp;Table1[[#This Row],[id_origen]]</f>
        <v>225 - 93</v>
      </c>
    </row>
    <row r="3372" spans="1:22" hidden="1">
      <c r="A3372">
        <v>1190</v>
      </c>
      <c r="B3372">
        <v>2622</v>
      </c>
      <c r="C3372">
        <v>109</v>
      </c>
      <c r="D3372">
        <v>5666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 t="s">
        <v>20</v>
      </c>
      <c r="L3372" s="1">
        <v>43335</v>
      </c>
      <c r="M3372">
        <v>254</v>
      </c>
      <c r="N3372">
        <v>93</v>
      </c>
      <c r="O3372">
        <v>58</v>
      </c>
      <c r="P3372">
        <v>150</v>
      </c>
      <c r="Q3372">
        <v>58</v>
      </c>
      <c r="S3372">
        <v>239</v>
      </c>
      <c r="T3372">
        <v>239</v>
      </c>
      <c r="U3372">
        <f>+SUM(Table1[[#This Row],[Latinos]:[Cemex]])</f>
        <v>1</v>
      </c>
      <c r="V3372" t="str">
        <f>+Table1[[#This Row],[id_destino]]&amp;" - "&amp;Table1[[#This Row],[id_origen]]</f>
        <v>254 - 93</v>
      </c>
    </row>
    <row r="3373" spans="1:22" hidden="1">
      <c r="A3373">
        <v>582</v>
      </c>
      <c r="B3373">
        <v>254</v>
      </c>
      <c r="C3373">
        <v>109</v>
      </c>
      <c r="D3373">
        <v>33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 t="s">
        <v>20</v>
      </c>
      <c r="L3373" s="1">
        <v>44536</v>
      </c>
      <c r="M3373">
        <v>260</v>
      </c>
      <c r="N3373">
        <v>93</v>
      </c>
      <c r="O3373">
        <v>1371</v>
      </c>
      <c r="P3373">
        <v>1370</v>
      </c>
      <c r="Q3373">
        <v>1371</v>
      </c>
      <c r="S3373">
        <v>5631</v>
      </c>
      <c r="T3373">
        <v>5729</v>
      </c>
      <c r="U3373">
        <f>+SUM(Table1[[#This Row],[Latinos]:[Cemex]])</f>
        <v>1</v>
      </c>
      <c r="V3373" t="str">
        <f>+Table1[[#This Row],[id_destino]]&amp;" - "&amp;Table1[[#This Row],[id_origen]]</f>
        <v>260 - 93</v>
      </c>
    </row>
    <row r="3374" spans="1:22" hidden="1">
      <c r="A3374">
        <v>602</v>
      </c>
      <c r="B3374">
        <v>1608</v>
      </c>
      <c r="C3374">
        <v>109</v>
      </c>
      <c r="D3374">
        <v>5378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</v>
      </c>
      <c r="K3374" t="s">
        <v>20</v>
      </c>
      <c r="L3374" s="1">
        <v>43112</v>
      </c>
      <c r="M3374">
        <v>345</v>
      </c>
      <c r="N3374">
        <v>93</v>
      </c>
      <c r="O3374">
        <v>75</v>
      </c>
      <c r="P3374">
        <v>150</v>
      </c>
      <c r="Q3374">
        <v>75</v>
      </c>
      <c r="S3374">
        <v>497</v>
      </c>
      <c r="T3374">
        <v>497</v>
      </c>
      <c r="U3374">
        <f>+SUM(Table1[[#This Row],[Latinos]:[Cemex]])</f>
        <v>1</v>
      </c>
      <c r="V3374" t="str">
        <f>+Table1[[#This Row],[id_destino]]&amp;" - "&amp;Table1[[#This Row],[id_origen]]</f>
        <v>345 - 93</v>
      </c>
    </row>
    <row r="3375" spans="1:22" hidden="1">
      <c r="A3375">
        <v>2074</v>
      </c>
      <c r="B3375">
        <v>1608</v>
      </c>
      <c r="C3375">
        <v>109</v>
      </c>
      <c r="D3375">
        <v>6169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0</v>
      </c>
      <c r="K3375" t="s">
        <v>20</v>
      </c>
      <c r="L3375" s="1">
        <v>43797</v>
      </c>
      <c r="M3375">
        <v>345</v>
      </c>
      <c r="N3375">
        <v>93</v>
      </c>
      <c r="O3375">
        <v>75</v>
      </c>
      <c r="P3375">
        <v>150</v>
      </c>
      <c r="Q3375">
        <v>75</v>
      </c>
      <c r="S3375">
        <v>427</v>
      </c>
      <c r="T3375">
        <v>427</v>
      </c>
      <c r="U3375">
        <f>+SUM(Table1[[#This Row],[Latinos]:[Cemex]])</f>
        <v>1</v>
      </c>
      <c r="V3375" t="str">
        <f>+Table1[[#This Row],[id_destino]]&amp;" - "&amp;Table1[[#This Row],[id_origen]]</f>
        <v>345 - 93</v>
      </c>
    </row>
    <row r="3376" spans="1:22" hidden="1">
      <c r="A3376">
        <v>2256</v>
      </c>
      <c r="B3376">
        <v>3234</v>
      </c>
      <c r="C3376">
        <v>109</v>
      </c>
      <c r="D3376">
        <v>6292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</v>
      </c>
      <c r="K3376" t="s">
        <v>20</v>
      </c>
      <c r="L3376" s="1">
        <v>43880</v>
      </c>
      <c r="M3376">
        <v>360</v>
      </c>
      <c r="N3376">
        <v>93</v>
      </c>
      <c r="O3376">
        <v>494</v>
      </c>
      <c r="P3376">
        <v>473</v>
      </c>
      <c r="Q3376">
        <v>494</v>
      </c>
      <c r="S3376">
        <v>1514</v>
      </c>
      <c r="T3376">
        <v>1514</v>
      </c>
      <c r="U3376">
        <f>+SUM(Table1[[#This Row],[Latinos]:[Cemex]])</f>
        <v>1</v>
      </c>
      <c r="V3376" t="str">
        <f>+Table1[[#This Row],[id_destino]]&amp;" - "&amp;Table1[[#This Row],[id_origen]]</f>
        <v>360 - 93</v>
      </c>
    </row>
    <row r="3377" spans="1:22" hidden="1">
      <c r="A3377">
        <v>906</v>
      </c>
      <c r="B3377">
        <v>2504</v>
      </c>
      <c r="C3377">
        <v>109</v>
      </c>
      <c r="D3377">
        <v>5535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 t="s">
        <v>20</v>
      </c>
      <c r="L3377" s="1">
        <v>43209</v>
      </c>
      <c r="M3377">
        <v>362</v>
      </c>
      <c r="N3377">
        <v>93</v>
      </c>
      <c r="O3377">
        <v>110</v>
      </c>
      <c r="P3377">
        <v>150</v>
      </c>
      <c r="Q3377">
        <v>110</v>
      </c>
      <c r="S3377">
        <v>492</v>
      </c>
      <c r="T3377">
        <v>561</v>
      </c>
      <c r="U3377">
        <f>+SUM(Table1[[#This Row],[Latinos]:[Cemex]])</f>
        <v>1</v>
      </c>
      <c r="V3377" t="str">
        <f>+Table1[[#This Row],[id_destino]]&amp;" - "&amp;Table1[[#This Row],[id_origen]]</f>
        <v>362 - 93</v>
      </c>
    </row>
    <row r="3378" spans="1:22" hidden="1">
      <c r="A3378">
        <v>1561</v>
      </c>
      <c r="B3378">
        <v>2811</v>
      </c>
      <c r="C3378">
        <v>109</v>
      </c>
      <c r="D3378">
        <v>5819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 t="s">
        <v>20</v>
      </c>
      <c r="L3378" s="1">
        <v>43507</v>
      </c>
      <c r="M3378">
        <v>379</v>
      </c>
      <c r="N3378">
        <v>93</v>
      </c>
      <c r="O3378">
        <v>844</v>
      </c>
      <c r="P3378">
        <v>839</v>
      </c>
      <c r="Q3378">
        <v>844</v>
      </c>
      <c r="S3378">
        <v>652</v>
      </c>
      <c r="T3378">
        <v>652</v>
      </c>
      <c r="U3378">
        <f>+SUM(Table1[[#This Row],[Latinos]:[Cemex]])</f>
        <v>1</v>
      </c>
      <c r="V3378" t="str">
        <f>+Table1[[#This Row],[id_destino]]&amp;" - "&amp;Table1[[#This Row],[id_origen]]</f>
        <v>379 - 93</v>
      </c>
    </row>
    <row r="3379" spans="1:22" hidden="1">
      <c r="A3379">
        <v>4051</v>
      </c>
      <c r="B3379">
        <v>1610</v>
      </c>
      <c r="C3379">
        <v>109</v>
      </c>
      <c r="D3379">
        <v>7567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 t="s">
        <v>20</v>
      </c>
      <c r="L3379" s="1">
        <v>45253</v>
      </c>
      <c r="M3379">
        <v>384</v>
      </c>
      <c r="N3379">
        <v>93</v>
      </c>
      <c r="O3379">
        <v>163</v>
      </c>
      <c r="P3379">
        <v>162</v>
      </c>
      <c r="Q3379">
        <v>163</v>
      </c>
      <c r="S3379">
        <v>329</v>
      </c>
      <c r="T3379">
        <v>329</v>
      </c>
      <c r="U3379">
        <f>+SUM(Table1[[#This Row],[Latinos]:[Cemex]])</f>
        <v>1</v>
      </c>
      <c r="V3379" t="str">
        <f>+Table1[[#This Row],[id_destino]]&amp;" - "&amp;Table1[[#This Row],[id_origen]]</f>
        <v>384 - 93</v>
      </c>
    </row>
    <row r="3380" spans="1:22" hidden="1">
      <c r="A3380">
        <v>4316</v>
      </c>
      <c r="B3380">
        <v>2143</v>
      </c>
      <c r="C3380">
        <v>109</v>
      </c>
      <c r="D3380">
        <v>5205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0</v>
      </c>
      <c r="K3380" t="s">
        <v>20</v>
      </c>
      <c r="L3380" s="1">
        <v>45454</v>
      </c>
      <c r="M3380">
        <v>393</v>
      </c>
      <c r="N3380">
        <v>93</v>
      </c>
      <c r="O3380">
        <v>800</v>
      </c>
      <c r="P3380">
        <v>793</v>
      </c>
      <c r="Q3380">
        <v>800</v>
      </c>
      <c r="S3380">
        <v>822</v>
      </c>
      <c r="T3380">
        <v>822</v>
      </c>
      <c r="U3380">
        <f>+SUM(Table1[[#This Row],[Latinos]:[Cemex]])</f>
        <v>1</v>
      </c>
      <c r="V3380" t="str">
        <f>+Table1[[#This Row],[id_destino]]&amp;" - "&amp;Table1[[#This Row],[id_origen]]</f>
        <v>393 - 93</v>
      </c>
    </row>
    <row r="3381" spans="1:22" hidden="1">
      <c r="A3381">
        <v>4545</v>
      </c>
      <c r="B3381">
        <v>4741</v>
      </c>
      <c r="C3381">
        <v>109</v>
      </c>
      <c r="D3381">
        <v>6999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 t="s">
        <v>20</v>
      </c>
      <c r="L3381" s="1">
        <v>45610</v>
      </c>
      <c r="M3381">
        <v>424</v>
      </c>
      <c r="N3381">
        <v>93</v>
      </c>
      <c r="O3381">
        <v>222</v>
      </c>
      <c r="P3381">
        <v>222</v>
      </c>
      <c r="Q3381">
        <v>222</v>
      </c>
      <c r="S3381">
        <v>1697</v>
      </c>
      <c r="T3381">
        <v>1697</v>
      </c>
      <c r="U3381">
        <f>+SUM(Table1[[#This Row],[Latinos]:[Cemex]])</f>
        <v>1</v>
      </c>
      <c r="V3381" t="str">
        <f>+Table1[[#This Row],[id_destino]]&amp;" - "&amp;Table1[[#This Row],[id_origen]]</f>
        <v>424 - 93</v>
      </c>
    </row>
    <row r="3382" spans="1:22" hidden="1">
      <c r="A3382">
        <v>4741</v>
      </c>
      <c r="B3382">
        <v>4880</v>
      </c>
      <c r="C3382">
        <v>109</v>
      </c>
      <c r="D3382">
        <v>6867</v>
      </c>
      <c r="E3382">
        <v>0</v>
      </c>
      <c r="F3382">
        <v>1</v>
      </c>
      <c r="G3382">
        <v>0</v>
      </c>
      <c r="H3382">
        <v>0</v>
      </c>
      <c r="I3382">
        <v>0</v>
      </c>
      <c r="J3382">
        <v>0</v>
      </c>
      <c r="K3382" t="s">
        <v>20</v>
      </c>
      <c r="L3382" s="1">
        <v>45777</v>
      </c>
      <c r="M3382">
        <v>490</v>
      </c>
      <c r="N3382">
        <v>93</v>
      </c>
      <c r="O3382">
        <v>470</v>
      </c>
      <c r="P3382">
        <v>497</v>
      </c>
      <c r="Q3382">
        <v>470</v>
      </c>
      <c r="S3382">
        <v>2130</v>
      </c>
      <c r="T3382">
        <v>2130</v>
      </c>
      <c r="U3382">
        <f>+SUM(Table1[[#This Row],[Latinos]:[Cemex]])</f>
        <v>1</v>
      </c>
      <c r="V3382" t="str">
        <f>+Table1[[#This Row],[id_destino]]&amp;" - "&amp;Table1[[#This Row],[id_origen]]</f>
        <v>490 - 93</v>
      </c>
    </row>
    <row r="3383" spans="1:22" hidden="1">
      <c r="A3383">
        <v>4036</v>
      </c>
      <c r="B3383">
        <v>4375</v>
      </c>
      <c r="C3383">
        <v>5722</v>
      </c>
      <c r="D3383">
        <v>3481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  <c r="K3383" t="s">
        <v>20</v>
      </c>
      <c r="L3383" s="1">
        <v>45244</v>
      </c>
      <c r="M3383">
        <v>492</v>
      </c>
      <c r="N3383">
        <v>93</v>
      </c>
      <c r="O3383">
        <v>334</v>
      </c>
      <c r="P3383">
        <v>396</v>
      </c>
      <c r="Q3383">
        <v>334</v>
      </c>
      <c r="S3383">
        <v>1373</v>
      </c>
      <c r="T3383">
        <v>1465</v>
      </c>
      <c r="U3383">
        <f>+SUM(Table1[[#This Row],[Latinos]:[Cemex]])</f>
        <v>1</v>
      </c>
      <c r="V3383" t="str">
        <f>+Table1[[#This Row],[id_destino]]&amp;" - "&amp;Table1[[#This Row],[id_origen]]</f>
        <v>492 - 93</v>
      </c>
    </row>
    <row r="3384" spans="1:22" hidden="1">
      <c r="A3384">
        <v>2774</v>
      </c>
      <c r="B3384">
        <v>3556</v>
      </c>
      <c r="C3384">
        <v>109</v>
      </c>
      <c r="D3384">
        <v>6650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 t="s">
        <v>20</v>
      </c>
      <c r="L3384" s="1">
        <v>44434</v>
      </c>
      <c r="M3384">
        <v>507</v>
      </c>
      <c r="N3384">
        <v>93</v>
      </c>
      <c r="O3384">
        <v>722</v>
      </c>
      <c r="P3384">
        <v>719</v>
      </c>
      <c r="Q3384">
        <v>722</v>
      </c>
      <c r="S3384">
        <v>1319</v>
      </c>
      <c r="T3384">
        <v>1319</v>
      </c>
      <c r="U3384">
        <f>+SUM(Table1[[#This Row],[Latinos]:[Cemex]])</f>
        <v>1</v>
      </c>
      <c r="V3384" t="str">
        <f>+Table1[[#This Row],[id_destino]]&amp;" - "&amp;Table1[[#This Row],[id_origen]]</f>
        <v>507 - 93</v>
      </c>
    </row>
    <row r="3385" spans="1:22" hidden="1">
      <c r="A3385">
        <v>1425</v>
      </c>
      <c r="B3385">
        <v>2739</v>
      </c>
      <c r="C3385">
        <v>109</v>
      </c>
      <c r="D3385">
        <v>5761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0</v>
      </c>
      <c r="K3385" t="s">
        <v>20</v>
      </c>
      <c r="L3385" s="1">
        <v>43430</v>
      </c>
      <c r="M3385">
        <v>521</v>
      </c>
      <c r="N3385">
        <v>93</v>
      </c>
      <c r="O3385">
        <v>1076</v>
      </c>
      <c r="P3385">
        <v>1076</v>
      </c>
      <c r="Q3385">
        <v>1076</v>
      </c>
      <c r="S3385">
        <v>652</v>
      </c>
      <c r="T3385">
        <v>652</v>
      </c>
      <c r="U3385">
        <f>+SUM(Table1[[#This Row],[Latinos]:[Cemex]])</f>
        <v>1</v>
      </c>
      <c r="V3385" t="str">
        <f>+Table1[[#This Row],[id_destino]]&amp;" - "&amp;Table1[[#This Row],[id_origen]]</f>
        <v>521 - 93</v>
      </c>
    </row>
    <row r="3386" spans="1:22" hidden="1">
      <c r="A3386">
        <v>4185</v>
      </c>
      <c r="B3386">
        <v>4475</v>
      </c>
      <c r="C3386">
        <v>109</v>
      </c>
      <c r="D3386">
        <v>7670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 t="s">
        <v>20</v>
      </c>
      <c r="L3386" s="1">
        <v>45344</v>
      </c>
      <c r="M3386">
        <v>525</v>
      </c>
      <c r="N3386">
        <v>93</v>
      </c>
      <c r="O3386">
        <v>70</v>
      </c>
      <c r="P3386">
        <v>150</v>
      </c>
      <c r="Q3386">
        <v>70</v>
      </c>
      <c r="S3386">
        <v>431</v>
      </c>
      <c r="T3386">
        <v>431</v>
      </c>
      <c r="U3386">
        <f>+SUM(Table1[[#This Row],[Latinos]:[Cemex]])</f>
        <v>1</v>
      </c>
      <c r="V3386" t="str">
        <f>+Table1[[#This Row],[id_destino]]&amp;" - "&amp;Table1[[#This Row],[id_origen]]</f>
        <v>525 - 93</v>
      </c>
    </row>
    <row r="3387" spans="1:22" hidden="1">
      <c r="A3387">
        <v>785</v>
      </c>
      <c r="B3387">
        <v>2449</v>
      </c>
      <c r="C3387">
        <v>109</v>
      </c>
      <c r="D3387">
        <v>2819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 t="s">
        <v>20</v>
      </c>
      <c r="L3387" s="1">
        <v>43164</v>
      </c>
      <c r="M3387">
        <v>529</v>
      </c>
      <c r="N3387">
        <v>93</v>
      </c>
      <c r="O3387">
        <v>78</v>
      </c>
      <c r="P3387">
        <v>150</v>
      </c>
      <c r="Q3387">
        <v>78</v>
      </c>
      <c r="S3387">
        <v>375</v>
      </c>
      <c r="T3387">
        <v>427</v>
      </c>
      <c r="U3387">
        <f>+SUM(Table1[[#This Row],[Latinos]:[Cemex]])</f>
        <v>1</v>
      </c>
      <c r="V3387" t="str">
        <f>+Table1[[#This Row],[id_destino]]&amp;" - "&amp;Table1[[#This Row],[id_origen]]</f>
        <v>529 - 93</v>
      </c>
    </row>
    <row r="3388" spans="1:22" hidden="1">
      <c r="A3388">
        <v>4826</v>
      </c>
      <c r="B3388">
        <v>4935</v>
      </c>
      <c r="C3388">
        <v>109</v>
      </c>
      <c r="D3388">
        <v>7246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0</v>
      </c>
      <c r="K3388" t="s">
        <v>20</v>
      </c>
      <c r="L3388" s="1">
        <v>45867</v>
      </c>
      <c r="M3388">
        <v>535</v>
      </c>
      <c r="N3388">
        <v>93</v>
      </c>
      <c r="O3388">
        <v>834</v>
      </c>
      <c r="P3388">
        <v>828</v>
      </c>
      <c r="Q3388">
        <v>828</v>
      </c>
      <c r="S3388">
        <v>892</v>
      </c>
      <c r="T3388">
        <v>882</v>
      </c>
      <c r="U3388">
        <f>+SUM(Table1[[#This Row],[Latinos]:[Cemex]])</f>
        <v>1</v>
      </c>
      <c r="V3388" t="str">
        <f>+Table1[[#This Row],[id_destino]]&amp;" - "&amp;Table1[[#This Row],[id_origen]]</f>
        <v>535 - 93</v>
      </c>
    </row>
    <row r="3389" spans="1:22" hidden="1">
      <c r="A3389">
        <v>3633</v>
      </c>
      <c r="B3389">
        <v>4123</v>
      </c>
      <c r="C3389">
        <v>109</v>
      </c>
      <c r="D3389">
        <v>7011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 t="s">
        <v>20</v>
      </c>
      <c r="L3389" s="1">
        <v>45007</v>
      </c>
      <c r="M3389">
        <v>591</v>
      </c>
      <c r="N3389">
        <v>93</v>
      </c>
      <c r="O3389">
        <v>42</v>
      </c>
      <c r="P3389">
        <v>150</v>
      </c>
      <c r="Q3389">
        <v>42</v>
      </c>
      <c r="S3389">
        <v>222</v>
      </c>
      <c r="T3389">
        <v>222</v>
      </c>
      <c r="U3389">
        <f>+SUM(Table1[[#This Row],[Latinos]:[Cemex]])</f>
        <v>1</v>
      </c>
      <c r="V3389" t="str">
        <f>+Table1[[#This Row],[id_destino]]&amp;" - "&amp;Table1[[#This Row],[id_origen]]</f>
        <v>591 - 93</v>
      </c>
    </row>
    <row r="3390" spans="1:22" hidden="1">
      <c r="A3390">
        <v>4188</v>
      </c>
      <c r="B3390">
        <v>4123</v>
      </c>
      <c r="C3390">
        <v>109</v>
      </c>
      <c r="D3390">
        <v>7011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  <c r="K3390" t="s">
        <v>20</v>
      </c>
      <c r="L3390" s="1">
        <v>45346</v>
      </c>
      <c r="M3390">
        <v>591</v>
      </c>
      <c r="N3390">
        <v>93</v>
      </c>
      <c r="O3390">
        <v>15</v>
      </c>
      <c r="P3390">
        <v>26</v>
      </c>
      <c r="Q3390">
        <v>15</v>
      </c>
      <c r="S3390">
        <v>222</v>
      </c>
      <c r="T3390">
        <v>222</v>
      </c>
      <c r="U3390">
        <f>+SUM(Table1[[#This Row],[Latinos]:[Cemex]])</f>
        <v>1</v>
      </c>
      <c r="V3390" t="str">
        <f>+Table1[[#This Row],[id_destino]]&amp;" - "&amp;Table1[[#This Row],[id_origen]]</f>
        <v>591 - 93</v>
      </c>
    </row>
    <row r="3391" spans="1:22" hidden="1">
      <c r="A3391">
        <v>540</v>
      </c>
      <c r="B3391">
        <v>2201</v>
      </c>
      <c r="C3391">
        <v>109</v>
      </c>
      <c r="D3391">
        <v>64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 t="s">
        <v>20</v>
      </c>
      <c r="L3391" s="1">
        <v>43096</v>
      </c>
      <c r="M3391">
        <v>602</v>
      </c>
      <c r="N3391">
        <v>93</v>
      </c>
      <c r="O3391">
        <v>39</v>
      </c>
      <c r="P3391">
        <v>150</v>
      </c>
      <c r="Q3391">
        <v>39</v>
      </c>
      <c r="S3391">
        <v>0</v>
      </c>
      <c r="T3391">
        <v>0</v>
      </c>
      <c r="U3391">
        <f>+SUM(Table1[[#This Row],[Latinos]:[Cemex]])</f>
        <v>1</v>
      </c>
      <c r="V3391" t="str">
        <f>+Table1[[#This Row],[id_destino]]&amp;" - "&amp;Table1[[#This Row],[id_origen]]</f>
        <v>602 - 93</v>
      </c>
    </row>
    <row r="3392" spans="1:22" hidden="1">
      <c r="A3392">
        <v>596</v>
      </c>
      <c r="B3392">
        <v>2358</v>
      </c>
      <c r="C3392">
        <v>109</v>
      </c>
      <c r="D3392">
        <v>72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 t="s">
        <v>20</v>
      </c>
      <c r="L3392" s="1">
        <v>43111</v>
      </c>
      <c r="M3392">
        <v>669</v>
      </c>
      <c r="N3392">
        <v>93</v>
      </c>
      <c r="O3392">
        <v>362</v>
      </c>
      <c r="P3392">
        <v>355</v>
      </c>
      <c r="Q3392">
        <v>362</v>
      </c>
      <c r="S3392">
        <v>449</v>
      </c>
      <c r="T3392">
        <v>449</v>
      </c>
      <c r="U3392">
        <f>+SUM(Table1[[#This Row],[Latinos]:[Cemex]])</f>
        <v>1</v>
      </c>
      <c r="V3392" t="str">
        <f>+Table1[[#This Row],[id_destino]]&amp;" - "&amp;Table1[[#This Row],[id_origen]]</f>
        <v>669 - 93</v>
      </c>
    </row>
    <row r="3393" spans="1:22" hidden="1">
      <c r="A3393">
        <v>3986</v>
      </c>
      <c r="B3393">
        <v>4337</v>
      </c>
      <c r="C3393">
        <v>109</v>
      </c>
      <c r="D3393">
        <v>7513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0</v>
      </c>
      <c r="K3393" t="s">
        <v>20</v>
      </c>
      <c r="L3393" s="1">
        <v>45217</v>
      </c>
      <c r="M3393">
        <v>709</v>
      </c>
      <c r="N3393">
        <v>93</v>
      </c>
      <c r="O3393">
        <v>569</v>
      </c>
      <c r="P3393">
        <v>429</v>
      </c>
      <c r="Q3393">
        <v>569</v>
      </c>
      <c r="S3393">
        <v>327</v>
      </c>
      <c r="T3393">
        <v>327</v>
      </c>
      <c r="U3393">
        <f>+SUM(Table1[[#This Row],[Latinos]:[Cemex]])</f>
        <v>1</v>
      </c>
      <c r="V3393" t="str">
        <f>+Table1[[#This Row],[id_destino]]&amp;" - "&amp;Table1[[#This Row],[id_origen]]</f>
        <v>709 - 93</v>
      </c>
    </row>
    <row r="3394" spans="1:22" hidden="1">
      <c r="A3394">
        <v>3879</v>
      </c>
      <c r="B3394">
        <v>4276</v>
      </c>
      <c r="C3394">
        <v>109</v>
      </c>
      <c r="D3394">
        <v>7447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 t="s">
        <v>20</v>
      </c>
      <c r="L3394" s="1">
        <v>45160</v>
      </c>
      <c r="M3394">
        <v>714</v>
      </c>
      <c r="N3394">
        <v>93</v>
      </c>
      <c r="O3394">
        <v>64</v>
      </c>
      <c r="P3394">
        <v>150</v>
      </c>
      <c r="Q3394">
        <v>64</v>
      </c>
      <c r="S3394">
        <v>431</v>
      </c>
      <c r="T3394">
        <v>431</v>
      </c>
      <c r="U3394">
        <f>+SUM(Table1[[#This Row],[Latinos]:[Cemex]])</f>
        <v>1</v>
      </c>
      <c r="V3394" t="str">
        <f>+Table1[[#This Row],[id_destino]]&amp;" - "&amp;Table1[[#This Row],[id_origen]]</f>
        <v>714 - 93</v>
      </c>
    </row>
    <row r="3395" spans="1:22" hidden="1">
      <c r="A3395">
        <v>279</v>
      </c>
      <c r="B3395">
        <v>2256</v>
      </c>
      <c r="C3395">
        <v>109</v>
      </c>
      <c r="D3395">
        <v>5318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 t="s">
        <v>20</v>
      </c>
      <c r="L3395" s="1">
        <v>43029</v>
      </c>
      <c r="M3395">
        <v>724</v>
      </c>
      <c r="N3395">
        <v>93</v>
      </c>
      <c r="O3395">
        <v>865</v>
      </c>
      <c r="P3395">
        <v>835</v>
      </c>
      <c r="Q3395">
        <v>865</v>
      </c>
      <c r="S3395">
        <v>992</v>
      </c>
      <c r="T3395">
        <v>992</v>
      </c>
      <c r="U3395">
        <f>+SUM(Table1[[#This Row],[Latinos]:[Cemex]])</f>
        <v>1</v>
      </c>
      <c r="V3395" t="str">
        <f>+Table1[[#This Row],[id_destino]]&amp;" - "&amp;Table1[[#This Row],[id_origen]]</f>
        <v>724 - 93</v>
      </c>
    </row>
    <row r="3396" spans="1:22" hidden="1">
      <c r="A3396">
        <v>4337</v>
      </c>
      <c r="B3396">
        <v>4578</v>
      </c>
      <c r="C3396">
        <v>109</v>
      </c>
      <c r="D3396">
        <v>7826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 t="s">
        <v>20</v>
      </c>
      <c r="L3396" s="1">
        <v>45643</v>
      </c>
      <c r="M3396">
        <v>739</v>
      </c>
      <c r="N3396">
        <v>93</v>
      </c>
      <c r="O3396">
        <v>969</v>
      </c>
      <c r="P3396">
        <v>960</v>
      </c>
      <c r="Q3396">
        <v>969</v>
      </c>
      <c r="S3396">
        <v>822</v>
      </c>
      <c r="T3396">
        <v>822</v>
      </c>
      <c r="U3396">
        <f>+SUM(Table1[[#This Row],[Latinos]:[Cemex]])</f>
        <v>1</v>
      </c>
      <c r="V3396" t="str">
        <f>+Table1[[#This Row],[id_destino]]&amp;" - "&amp;Table1[[#This Row],[id_origen]]</f>
        <v>739 - 93</v>
      </c>
    </row>
    <row r="3397" spans="1:22" hidden="1">
      <c r="A3397">
        <v>1643</v>
      </c>
      <c r="B3397">
        <v>2857</v>
      </c>
      <c r="C3397">
        <v>109</v>
      </c>
      <c r="D3397">
        <v>5858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 t="s">
        <v>20</v>
      </c>
      <c r="L3397" s="1">
        <v>43547</v>
      </c>
      <c r="M3397">
        <v>770</v>
      </c>
      <c r="N3397">
        <v>93</v>
      </c>
      <c r="O3397">
        <v>674</v>
      </c>
      <c r="P3397">
        <v>664</v>
      </c>
      <c r="Q3397">
        <v>674</v>
      </c>
      <c r="S3397">
        <v>659</v>
      </c>
      <c r="T3397">
        <v>676</v>
      </c>
      <c r="U3397">
        <f>+SUM(Table1[[#This Row],[Latinos]:[Cemex]])</f>
        <v>1</v>
      </c>
      <c r="V3397" t="str">
        <f>+Table1[[#This Row],[id_destino]]&amp;" - "&amp;Table1[[#This Row],[id_origen]]</f>
        <v>770 - 93</v>
      </c>
    </row>
    <row r="3398" spans="1:22" hidden="1">
      <c r="A3398">
        <v>1839</v>
      </c>
      <c r="B3398">
        <v>2965</v>
      </c>
      <c r="C3398">
        <v>109</v>
      </c>
      <c r="D3398">
        <v>5956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  <c r="K3398" t="s">
        <v>20</v>
      </c>
      <c r="L3398" s="1">
        <v>43658</v>
      </c>
      <c r="M3398">
        <v>775</v>
      </c>
      <c r="N3398">
        <v>93</v>
      </c>
      <c r="O3398">
        <v>15</v>
      </c>
      <c r="P3398">
        <v>150</v>
      </c>
      <c r="Q3398">
        <v>15</v>
      </c>
      <c r="S3398">
        <v>0</v>
      </c>
      <c r="T3398">
        <v>0</v>
      </c>
      <c r="U3398">
        <f>+SUM(Table1[[#This Row],[Latinos]:[Cemex]])</f>
        <v>1</v>
      </c>
      <c r="V3398" t="str">
        <f>+Table1[[#This Row],[id_destino]]&amp;" - "&amp;Table1[[#This Row],[id_origen]]</f>
        <v>775 - 93</v>
      </c>
    </row>
    <row r="3399" spans="1:22" hidden="1">
      <c r="A3399">
        <v>2803</v>
      </c>
      <c r="B3399">
        <v>3577</v>
      </c>
      <c r="C3399">
        <v>109</v>
      </c>
      <c r="D3399">
        <v>6685</v>
      </c>
      <c r="E3399">
        <v>0</v>
      </c>
      <c r="F3399">
        <v>1</v>
      </c>
      <c r="G3399">
        <v>0</v>
      </c>
      <c r="H3399">
        <v>0</v>
      </c>
      <c r="I3399">
        <v>0</v>
      </c>
      <c r="J3399">
        <v>0</v>
      </c>
      <c r="K3399" t="s">
        <v>20</v>
      </c>
      <c r="L3399" s="1">
        <v>44467</v>
      </c>
      <c r="M3399">
        <v>776</v>
      </c>
      <c r="N3399">
        <v>93</v>
      </c>
      <c r="O3399">
        <v>150</v>
      </c>
      <c r="P3399">
        <v>150</v>
      </c>
      <c r="Q3399">
        <v>150</v>
      </c>
      <c r="S3399">
        <v>497</v>
      </c>
      <c r="T3399">
        <v>549</v>
      </c>
      <c r="U3399">
        <f>+SUM(Table1[[#This Row],[Latinos]:[Cemex]])</f>
        <v>1</v>
      </c>
      <c r="V3399" t="str">
        <f>+Table1[[#This Row],[id_destino]]&amp;" - "&amp;Table1[[#This Row],[id_origen]]</f>
        <v>776 - 93</v>
      </c>
    </row>
    <row r="3400" spans="1:22" hidden="1">
      <c r="A3400">
        <v>1882</v>
      </c>
      <c r="B3400">
        <v>2994</v>
      </c>
      <c r="C3400">
        <v>109</v>
      </c>
      <c r="D3400">
        <v>6016</v>
      </c>
      <c r="E3400">
        <v>0</v>
      </c>
      <c r="F3400">
        <v>1</v>
      </c>
      <c r="G3400">
        <v>0</v>
      </c>
      <c r="H3400">
        <v>0</v>
      </c>
      <c r="I3400">
        <v>0</v>
      </c>
      <c r="J3400">
        <v>0</v>
      </c>
      <c r="K3400" t="s">
        <v>20</v>
      </c>
      <c r="L3400" s="1">
        <v>43691</v>
      </c>
      <c r="M3400">
        <v>778</v>
      </c>
      <c r="N3400">
        <v>93</v>
      </c>
      <c r="O3400">
        <v>208</v>
      </c>
      <c r="P3400">
        <v>208</v>
      </c>
      <c r="Q3400">
        <v>208</v>
      </c>
      <c r="S3400">
        <v>519</v>
      </c>
      <c r="T3400">
        <v>641</v>
      </c>
      <c r="U3400">
        <f>+SUM(Table1[[#This Row],[Latinos]:[Cemex]])</f>
        <v>1</v>
      </c>
      <c r="V3400" t="str">
        <f>+Table1[[#This Row],[id_destino]]&amp;" - "&amp;Table1[[#This Row],[id_origen]]</f>
        <v>778 - 93</v>
      </c>
    </row>
    <row r="3401" spans="1:22" hidden="1">
      <c r="A3401">
        <v>3553</v>
      </c>
      <c r="B3401">
        <v>4065</v>
      </c>
      <c r="C3401">
        <v>109</v>
      </c>
      <c r="D3401">
        <v>7207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 t="s">
        <v>20</v>
      </c>
      <c r="L3401" s="1">
        <v>44954</v>
      </c>
      <c r="M3401">
        <v>869</v>
      </c>
      <c r="N3401">
        <v>93</v>
      </c>
      <c r="O3401">
        <v>431</v>
      </c>
      <c r="P3401">
        <v>417</v>
      </c>
      <c r="Q3401">
        <v>431</v>
      </c>
      <c r="S3401">
        <v>709</v>
      </c>
      <c r="T3401">
        <v>709</v>
      </c>
      <c r="U3401">
        <f>+SUM(Table1[[#This Row],[Latinos]:[Cemex]])</f>
        <v>1</v>
      </c>
      <c r="V3401" t="str">
        <f>+Table1[[#This Row],[id_destino]]&amp;" - "&amp;Table1[[#This Row],[id_origen]]</f>
        <v>869 - 93</v>
      </c>
    </row>
    <row r="3402" spans="1:22" hidden="1">
      <c r="A3402">
        <v>1602</v>
      </c>
      <c r="B3402">
        <v>2834</v>
      </c>
      <c r="C3402">
        <v>3448</v>
      </c>
      <c r="D3402">
        <v>5835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 t="s">
        <v>20</v>
      </c>
      <c r="L3402" s="1">
        <v>43525</v>
      </c>
      <c r="M3402">
        <v>1</v>
      </c>
      <c r="N3402">
        <v>95</v>
      </c>
      <c r="O3402">
        <v>50</v>
      </c>
      <c r="P3402">
        <v>150</v>
      </c>
      <c r="Q3402">
        <v>50</v>
      </c>
      <c r="S3402">
        <v>0</v>
      </c>
      <c r="T3402">
        <v>0</v>
      </c>
      <c r="U3402">
        <f>+SUM(Table1[[#This Row],[Latinos]:[Cemex]])</f>
        <v>1</v>
      </c>
      <c r="V3402" t="str">
        <f>+Table1[[#This Row],[id_destino]]&amp;" - "&amp;Table1[[#This Row],[id_origen]]</f>
        <v>1 - 95</v>
      </c>
    </row>
    <row r="3403" spans="1:22" hidden="1">
      <c r="A3403">
        <v>4028</v>
      </c>
      <c r="B3403">
        <v>4368</v>
      </c>
      <c r="C3403">
        <v>7321</v>
      </c>
      <c r="D3403">
        <v>2957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 t="s">
        <v>20</v>
      </c>
      <c r="L3403" s="1">
        <v>45243</v>
      </c>
      <c r="M3403">
        <v>7</v>
      </c>
      <c r="N3403">
        <v>95</v>
      </c>
      <c r="O3403">
        <v>2577</v>
      </c>
      <c r="P3403">
        <v>2590</v>
      </c>
      <c r="Q3403">
        <v>2577</v>
      </c>
      <c r="S3403">
        <v>3235</v>
      </c>
      <c r="T3403">
        <v>3235</v>
      </c>
      <c r="U3403">
        <f>+SUM(Table1[[#This Row],[Latinos]:[Cemex]])</f>
        <v>1</v>
      </c>
      <c r="V3403" t="str">
        <f>+Table1[[#This Row],[id_destino]]&amp;" - "&amp;Table1[[#This Row],[id_origen]]</f>
        <v>7 - 95</v>
      </c>
    </row>
    <row r="3404" spans="1:22" hidden="1">
      <c r="A3404">
        <v>4029</v>
      </c>
      <c r="B3404">
        <v>4369</v>
      </c>
      <c r="C3404">
        <v>7321</v>
      </c>
      <c r="D3404">
        <v>7284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 t="s">
        <v>20</v>
      </c>
      <c r="L3404" s="1">
        <v>45243</v>
      </c>
      <c r="M3404">
        <v>9</v>
      </c>
      <c r="N3404">
        <v>95</v>
      </c>
      <c r="O3404">
        <v>2294</v>
      </c>
      <c r="P3404">
        <v>2284</v>
      </c>
      <c r="Q3404">
        <v>2294</v>
      </c>
      <c r="S3404">
        <v>3369</v>
      </c>
      <c r="T3404">
        <v>3369</v>
      </c>
      <c r="U3404">
        <f>+SUM(Table1[[#This Row],[Latinos]:[Cemex]])</f>
        <v>1</v>
      </c>
      <c r="V3404" t="str">
        <f>+Table1[[#This Row],[id_destino]]&amp;" - "&amp;Table1[[#This Row],[id_origen]]</f>
        <v>9 - 95</v>
      </c>
    </row>
    <row r="3405" spans="1:22" hidden="1">
      <c r="A3405">
        <v>1569</v>
      </c>
      <c r="B3405">
        <v>2818</v>
      </c>
      <c r="C3405">
        <v>3448</v>
      </c>
      <c r="D3405">
        <v>5823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0</v>
      </c>
      <c r="K3405" t="s">
        <v>20</v>
      </c>
      <c r="L3405" s="1">
        <v>43510</v>
      </c>
      <c r="M3405">
        <v>11</v>
      </c>
      <c r="N3405">
        <v>95</v>
      </c>
      <c r="O3405">
        <v>751</v>
      </c>
      <c r="P3405">
        <v>751</v>
      </c>
      <c r="Q3405">
        <v>751</v>
      </c>
      <c r="S3405">
        <v>309</v>
      </c>
      <c r="T3405">
        <v>309</v>
      </c>
      <c r="U3405">
        <f>+SUM(Table1[[#This Row],[Latinos]:[Cemex]])</f>
        <v>1</v>
      </c>
      <c r="V3405" t="str">
        <f>+Table1[[#This Row],[id_destino]]&amp;" - "&amp;Table1[[#This Row],[id_origen]]</f>
        <v>11 - 95</v>
      </c>
    </row>
    <row r="3406" spans="1:22" hidden="1">
      <c r="A3406">
        <v>3969</v>
      </c>
      <c r="B3406">
        <v>4328</v>
      </c>
      <c r="C3406">
        <v>7321</v>
      </c>
      <c r="D3406">
        <v>7501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 t="s">
        <v>107</v>
      </c>
      <c r="L3406" s="1">
        <v>45211</v>
      </c>
      <c r="M3406">
        <v>12</v>
      </c>
      <c r="N3406">
        <v>95</v>
      </c>
      <c r="O3406">
        <v>705</v>
      </c>
      <c r="P3406">
        <v>714</v>
      </c>
      <c r="Q3406">
        <v>705</v>
      </c>
      <c r="S3406">
        <v>539</v>
      </c>
      <c r="T3406">
        <v>539</v>
      </c>
      <c r="U3406">
        <f>+SUM(Table1[[#This Row],[Latinos]:[Cemex]])</f>
        <v>1</v>
      </c>
      <c r="V3406" t="str">
        <f>+Table1[[#This Row],[id_destino]]&amp;" - "&amp;Table1[[#This Row],[id_origen]]</f>
        <v>12 - 95</v>
      </c>
    </row>
    <row r="3407" spans="1:22" hidden="1">
      <c r="A3407">
        <v>343</v>
      </c>
      <c r="B3407">
        <v>2267</v>
      </c>
      <c r="C3407">
        <v>259</v>
      </c>
      <c r="D3407">
        <v>4455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 t="s">
        <v>31</v>
      </c>
      <c r="L3407" s="1">
        <v>43040</v>
      </c>
      <c r="M3407">
        <v>23</v>
      </c>
      <c r="N3407">
        <v>95</v>
      </c>
      <c r="O3407">
        <v>815</v>
      </c>
      <c r="P3407">
        <v>847</v>
      </c>
      <c r="Q3407">
        <v>815</v>
      </c>
      <c r="S3407">
        <v>0</v>
      </c>
      <c r="T3407">
        <v>0</v>
      </c>
      <c r="U3407">
        <f>+SUM(Table1[[#This Row],[Latinos]:[Cemex]])</f>
        <v>1</v>
      </c>
      <c r="V3407" t="str">
        <f>+Table1[[#This Row],[id_destino]]&amp;" - "&amp;Table1[[#This Row],[id_origen]]</f>
        <v>23 - 95</v>
      </c>
    </row>
    <row r="3408" spans="1:22" hidden="1">
      <c r="A3408">
        <v>2968</v>
      </c>
      <c r="B3408">
        <v>3689</v>
      </c>
      <c r="C3408">
        <v>3448</v>
      </c>
      <c r="D3408">
        <v>6838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 t="s">
        <v>20</v>
      </c>
      <c r="L3408" s="1">
        <v>44750</v>
      </c>
      <c r="M3408">
        <v>27</v>
      </c>
      <c r="N3408">
        <v>95</v>
      </c>
      <c r="O3408">
        <v>1191</v>
      </c>
      <c r="P3408">
        <v>1218</v>
      </c>
      <c r="Q3408">
        <v>1191</v>
      </c>
      <c r="S3408">
        <v>5444</v>
      </c>
      <c r="T3408">
        <v>5874</v>
      </c>
      <c r="U3408">
        <f>+SUM(Table1[[#This Row],[Latinos]:[Cemex]])</f>
        <v>1</v>
      </c>
      <c r="V3408" t="str">
        <f>+Table1[[#This Row],[id_destino]]&amp;" - "&amp;Table1[[#This Row],[id_origen]]</f>
        <v>27 - 95</v>
      </c>
    </row>
    <row r="3409" spans="1:22" hidden="1">
      <c r="A3409">
        <v>1568</v>
      </c>
      <c r="B3409">
        <v>2817</v>
      </c>
      <c r="C3409">
        <v>3448</v>
      </c>
      <c r="D3409">
        <v>5824</v>
      </c>
      <c r="E3409">
        <v>0</v>
      </c>
      <c r="F3409">
        <v>1</v>
      </c>
      <c r="G3409">
        <v>0</v>
      </c>
      <c r="H3409">
        <v>0</v>
      </c>
      <c r="I3409">
        <v>0</v>
      </c>
      <c r="J3409">
        <v>0</v>
      </c>
      <c r="K3409" t="s">
        <v>20</v>
      </c>
      <c r="L3409" s="1">
        <v>43510</v>
      </c>
      <c r="M3409">
        <v>31</v>
      </c>
      <c r="N3409">
        <v>95</v>
      </c>
      <c r="O3409">
        <v>1076</v>
      </c>
      <c r="P3409">
        <v>1076</v>
      </c>
      <c r="Q3409">
        <v>1076</v>
      </c>
      <c r="S3409">
        <v>3103</v>
      </c>
      <c r="T3409">
        <v>3451</v>
      </c>
      <c r="U3409">
        <f>+SUM(Table1[[#This Row],[Latinos]:[Cemex]])</f>
        <v>1</v>
      </c>
      <c r="V3409" t="str">
        <f>+Table1[[#This Row],[id_destino]]&amp;" - "&amp;Table1[[#This Row],[id_origen]]</f>
        <v>31 - 95</v>
      </c>
    </row>
    <row r="3410" spans="1:22" hidden="1">
      <c r="A3410">
        <v>1442</v>
      </c>
      <c r="B3410">
        <v>1277</v>
      </c>
      <c r="C3410">
        <v>3448</v>
      </c>
      <c r="D3410">
        <v>2413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 t="s">
        <v>20</v>
      </c>
      <c r="L3410" s="1">
        <v>43437</v>
      </c>
      <c r="M3410">
        <v>47</v>
      </c>
      <c r="N3410">
        <v>95</v>
      </c>
      <c r="O3410">
        <v>902</v>
      </c>
      <c r="P3410">
        <v>895</v>
      </c>
      <c r="Q3410">
        <v>902</v>
      </c>
      <c r="S3410">
        <v>504</v>
      </c>
      <c r="T3410">
        <v>564</v>
      </c>
      <c r="U3410">
        <f>+SUM(Table1[[#This Row],[Latinos]:[Cemex]])</f>
        <v>1</v>
      </c>
      <c r="V3410" t="str">
        <f>+Table1[[#This Row],[id_destino]]&amp;" - "&amp;Table1[[#This Row],[id_origen]]</f>
        <v>47 - 95</v>
      </c>
    </row>
    <row r="3411" spans="1:22" hidden="1">
      <c r="A3411">
        <v>3971</v>
      </c>
      <c r="B3411">
        <v>1277</v>
      </c>
      <c r="C3411">
        <v>7321</v>
      </c>
      <c r="D3411">
        <v>7503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  <c r="K3411" t="s">
        <v>20</v>
      </c>
      <c r="L3411" s="1">
        <v>45211</v>
      </c>
      <c r="M3411">
        <v>47</v>
      </c>
      <c r="N3411">
        <v>95</v>
      </c>
      <c r="O3411">
        <v>902</v>
      </c>
      <c r="P3411">
        <v>891</v>
      </c>
      <c r="Q3411">
        <v>902</v>
      </c>
      <c r="S3411">
        <v>609</v>
      </c>
      <c r="T3411">
        <v>669</v>
      </c>
      <c r="U3411">
        <f>+SUM(Table1[[#This Row],[Latinos]:[Cemex]])</f>
        <v>1</v>
      </c>
      <c r="V3411" t="str">
        <f>+Table1[[#This Row],[id_destino]]&amp;" - "&amp;Table1[[#This Row],[id_origen]]</f>
        <v>47 - 95</v>
      </c>
    </row>
    <row r="3412" spans="1:22" hidden="1">
      <c r="A3412">
        <v>1329</v>
      </c>
      <c r="B3412">
        <v>2695</v>
      </c>
      <c r="C3412">
        <v>5727</v>
      </c>
      <c r="D3412">
        <v>3857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  <c r="K3412" t="s">
        <v>20</v>
      </c>
      <c r="L3412" s="1">
        <v>43388</v>
      </c>
      <c r="M3412">
        <v>49</v>
      </c>
      <c r="N3412">
        <v>95</v>
      </c>
      <c r="O3412">
        <v>588</v>
      </c>
      <c r="P3412">
        <v>588</v>
      </c>
      <c r="Q3412">
        <v>588</v>
      </c>
      <c r="S3412">
        <v>44</v>
      </c>
      <c r="T3412">
        <v>44</v>
      </c>
      <c r="U3412">
        <f>+SUM(Table1[[#This Row],[Latinos]:[Cemex]])</f>
        <v>1</v>
      </c>
      <c r="V3412" t="str">
        <f>+Table1[[#This Row],[id_destino]]&amp;" - "&amp;Table1[[#This Row],[id_origen]]</f>
        <v>49 - 95</v>
      </c>
    </row>
    <row r="3413" spans="1:22" hidden="1">
      <c r="A3413">
        <v>4215</v>
      </c>
      <c r="B3413">
        <v>4495</v>
      </c>
      <c r="C3413">
        <v>6659</v>
      </c>
      <c r="D3413">
        <v>3460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 t="s">
        <v>20</v>
      </c>
      <c r="L3413" s="1">
        <v>45370</v>
      </c>
      <c r="M3413">
        <v>54</v>
      </c>
      <c r="N3413">
        <v>95</v>
      </c>
      <c r="O3413">
        <v>110</v>
      </c>
      <c r="P3413">
        <v>150</v>
      </c>
      <c r="Q3413">
        <v>110</v>
      </c>
      <c r="S3413">
        <v>257</v>
      </c>
      <c r="T3413">
        <v>257</v>
      </c>
      <c r="U3413">
        <f>+SUM(Table1[[#This Row],[Latinos]:[Cemex]])</f>
        <v>1</v>
      </c>
      <c r="V3413" t="str">
        <f>+Table1[[#This Row],[id_destino]]&amp;" - "&amp;Table1[[#This Row],[id_origen]]</f>
        <v>54 - 95</v>
      </c>
    </row>
    <row r="3414" spans="1:22" hidden="1">
      <c r="A3414">
        <v>4096</v>
      </c>
      <c r="B3414">
        <v>4417</v>
      </c>
      <c r="C3414">
        <v>7604</v>
      </c>
      <c r="D3414">
        <v>7605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  <c r="K3414" t="s">
        <v>20</v>
      </c>
      <c r="L3414" s="1">
        <v>45283</v>
      </c>
      <c r="M3414">
        <v>60</v>
      </c>
      <c r="N3414">
        <v>95</v>
      </c>
      <c r="O3414">
        <v>2254</v>
      </c>
      <c r="P3414">
        <v>2241</v>
      </c>
      <c r="Q3414">
        <v>2254</v>
      </c>
      <c r="S3414">
        <v>2896</v>
      </c>
      <c r="T3414">
        <v>3389</v>
      </c>
      <c r="U3414">
        <f>+SUM(Table1[[#This Row],[Latinos]:[Cemex]])</f>
        <v>1</v>
      </c>
      <c r="V3414" t="str">
        <f>+Table1[[#This Row],[id_destino]]&amp;" - "&amp;Table1[[#This Row],[id_origen]]</f>
        <v>60 - 95</v>
      </c>
    </row>
    <row r="3415" spans="1:22" hidden="1">
      <c r="A3415">
        <v>4001</v>
      </c>
      <c r="B3415">
        <v>4347</v>
      </c>
      <c r="C3415">
        <v>7321</v>
      </c>
      <c r="D3415">
        <v>7193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  <c r="K3415" t="s">
        <v>20</v>
      </c>
      <c r="L3415" s="1">
        <v>45229</v>
      </c>
      <c r="M3415">
        <v>61</v>
      </c>
      <c r="N3415">
        <v>95</v>
      </c>
      <c r="O3415">
        <v>2090</v>
      </c>
      <c r="P3415">
        <v>2070</v>
      </c>
      <c r="Q3415">
        <v>2090</v>
      </c>
      <c r="S3415">
        <v>2052</v>
      </c>
      <c r="T3415">
        <v>2419</v>
      </c>
      <c r="U3415">
        <f>+SUM(Table1[[#This Row],[Latinos]:[Cemex]])</f>
        <v>1</v>
      </c>
      <c r="V3415" t="str">
        <f>+Table1[[#This Row],[id_destino]]&amp;" - "&amp;Table1[[#This Row],[id_origen]]</f>
        <v>61 - 95</v>
      </c>
    </row>
    <row r="3416" spans="1:22" hidden="1">
      <c r="A3416">
        <v>3968</v>
      </c>
      <c r="B3416">
        <v>4327</v>
      </c>
      <c r="C3416">
        <v>7321</v>
      </c>
      <c r="D3416">
        <v>7500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  <c r="K3416" t="s">
        <v>20</v>
      </c>
      <c r="L3416" s="1">
        <v>45210</v>
      </c>
      <c r="M3416">
        <v>63</v>
      </c>
      <c r="N3416">
        <v>95</v>
      </c>
      <c r="O3416">
        <v>699</v>
      </c>
      <c r="P3416">
        <v>707</v>
      </c>
      <c r="Q3416">
        <v>699</v>
      </c>
      <c r="S3416">
        <v>807</v>
      </c>
      <c r="T3416">
        <v>861</v>
      </c>
      <c r="U3416">
        <f>+SUM(Table1[[#This Row],[Latinos]:[Cemex]])</f>
        <v>1</v>
      </c>
      <c r="V3416" t="str">
        <f>+Table1[[#This Row],[id_destino]]&amp;" - "&amp;Table1[[#This Row],[id_origen]]</f>
        <v>63 - 95</v>
      </c>
    </row>
    <row r="3417" spans="1:22" hidden="1">
      <c r="A3417">
        <v>1567</v>
      </c>
      <c r="B3417">
        <v>2816</v>
      </c>
      <c r="C3417">
        <v>3448</v>
      </c>
      <c r="D3417">
        <v>5825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  <c r="K3417" t="s">
        <v>20</v>
      </c>
      <c r="L3417" s="1">
        <v>43510</v>
      </c>
      <c r="M3417">
        <v>65</v>
      </c>
      <c r="N3417">
        <v>95</v>
      </c>
      <c r="O3417">
        <v>1049</v>
      </c>
      <c r="P3417">
        <v>1049</v>
      </c>
      <c r="Q3417">
        <v>1049</v>
      </c>
      <c r="S3417">
        <v>1299</v>
      </c>
      <c r="T3417">
        <v>1299</v>
      </c>
      <c r="U3417">
        <f>+SUM(Table1[[#This Row],[Latinos]:[Cemex]])</f>
        <v>1</v>
      </c>
      <c r="V3417" t="str">
        <f>+Table1[[#This Row],[id_destino]]&amp;" - "&amp;Table1[[#This Row],[id_origen]]</f>
        <v>65 - 95</v>
      </c>
    </row>
    <row r="3418" spans="1:22" hidden="1">
      <c r="A3418">
        <v>1637</v>
      </c>
      <c r="B3418">
        <v>2853</v>
      </c>
      <c r="C3418">
        <v>3448</v>
      </c>
      <c r="D3418">
        <v>5855</v>
      </c>
      <c r="E3418">
        <v>0</v>
      </c>
      <c r="F3418">
        <v>1</v>
      </c>
      <c r="G3418">
        <v>0</v>
      </c>
      <c r="H3418">
        <v>0</v>
      </c>
      <c r="I3418">
        <v>0</v>
      </c>
      <c r="J3418">
        <v>0</v>
      </c>
      <c r="K3418" t="s">
        <v>20</v>
      </c>
      <c r="L3418" s="1">
        <v>43546</v>
      </c>
      <c r="M3418">
        <v>71</v>
      </c>
      <c r="N3418">
        <v>95</v>
      </c>
      <c r="O3418">
        <v>868</v>
      </c>
      <c r="P3418">
        <v>872</v>
      </c>
      <c r="Q3418">
        <v>868</v>
      </c>
      <c r="S3418">
        <v>1188</v>
      </c>
      <c r="T3418">
        <v>1188</v>
      </c>
      <c r="U3418">
        <f>+SUM(Table1[[#This Row],[Latinos]:[Cemex]])</f>
        <v>1</v>
      </c>
      <c r="V3418" t="str">
        <f>+Table1[[#This Row],[id_destino]]&amp;" - "&amp;Table1[[#This Row],[id_origen]]</f>
        <v>71 - 95</v>
      </c>
    </row>
    <row r="3419" spans="1:22" hidden="1">
      <c r="A3419">
        <v>2966</v>
      </c>
      <c r="B3419">
        <v>3687</v>
      </c>
      <c r="C3419">
        <v>3448</v>
      </c>
      <c r="D3419">
        <v>6837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 t="s">
        <v>20</v>
      </c>
      <c r="L3419" s="1">
        <v>44750</v>
      </c>
      <c r="M3419">
        <v>87</v>
      </c>
      <c r="N3419">
        <v>95</v>
      </c>
      <c r="O3419">
        <v>983</v>
      </c>
      <c r="P3419">
        <v>927</v>
      </c>
      <c r="Q3419">
        <v>983</v>
      </c>
      <c r="S3419">
        <v>2150</v>
      </c>
      <c r="T3419">
        <v>2188</v>
      </c>
      <c r="U3419">
        <f>+SUM(Table1[[#This Row],[Latinos]:[Cemex]])</f>
        <v>1</v>
      </c>
      <c r="V3419" t="str">
        <f>+Table1[[#This Row],[id_destino]]&amp;" - "&amp;Table1[[#This Row],[id_origen]]</f>
        <v>87 - 95</v>
      </c>
    </row>
    <row r="3420" spans="1:22" hidden="1">
      <c r="A3420">
        <v>4032</v>
      </c>
      <c r="B3420">
        <v>4371</v>
      </c>
      <c r="C3420">
        <v>7321</v>
      </c>
      <c r="D3420">
        <v>7553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  <c r="K3420" t="s">
        <v>20</v>
      </c>
      <c r="L3420" s="1">
        <v>45243</v>
      </c>
      <c r="M3420">
        <v>121</v>
      </c>
      <c r="N3420">
        <v>95</v>
      </c>
      <c r="O3420">
        <v>715</v>
      </c>
      <c r="P3420">
        <v>705</v>
      </c>
      <c r="Q3420">
        <v>715</v>
      </c>
      <c r="S3420">
        <v>384</v>
      </c>
      <c r="T3420">
        <v>384</v>
      </c>
      <c r="U3420">
        <f>+SUM(Table1[[#This Row],[Latinos]:[Cemex]])</f>
        <v>1</v>
      </c>
      <c r="V3420" t="str">
        <f>+Table1[[#This Row],[id_destino]]&amp;" - "&amp;Table1[[#This Row],[id_origen]]</f>
        <v>121 - 95</v>
      </c>
    </row>
    <row r="3421" spans="1:22" hidden="1">
      <c r="A3421">
        <v>1566</v>
      </c>
      <c r="B3421">
        <v>2815</v>
      </c>
      <c r="C3421">
        <v>3448</v>
      </c>
      <c r="D3421">
        <v>5822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 t="s">
        <v>20</v>
      </c>
      <c r="L3421" s="1">
        <v>43510</v>
      </c>
      <c r="M3421">
        <v>133</v>
      </c>
      <c r="N3421">
        <v>95</v>
      </c>
      <c r="O3421">
        <v>707</v>
      </c>
      <c r="P3421">
        <v>707</v>
      </c>
      <c r="Q3421">
        <v>707</v>
      </c>
      <c r="S3421">
        <v>309</v>
      </c>
      <c r="T3421">
        <v>309</v>
      </c>
      <c r="U3421">
        <f>+SUM(Table1[[#This Row],[Latinos]:[Cemex]])</f>
        <v>1</v>
      </c>
      <c r="V3421" t="str">
        <f>+Table1[[#This Row],[id_destino]]&amp;" - "&amp;Table1[[#This Row],[id_origen]]</f>
        <v>133 - 95</v>
      </c>
    </row>
    <row r="3422" spans="1:22" hidden="1">
      <c r="A3422">
        <v>1578</v>
      </c>
      <c r="B3422">
        <v>2822</v>
      </c>
      <c r="C3422">
        <v>3448</v>
      </c>
      <c r="D3422">
        <v>5827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 t="s">
        <v>20</v>
      </c>
      <c r="L3422" s="1">
        <v>43514</v>
      </c>
      <c r="M3422">
        <v>179</v>
      </c>
      <c r="N3422">
        <v>95</v>
      </c>
      <c r="O3422">
        <v>1724</v>
      </c>
      <c r="P3422">
        <v>1724</v>
      </c>
      <c r="Q3422">
        <v>1724</v>
      </c>
      <c r="S3422">
        <v>1790</v>
      </c>
      <c r="T3422">
        <v>2148</v>
      </c>
      <c r="U3422">
        <f>+SUM(Table1[[#This Row],[Latinos]:[Cemex]])</f>
        <v>1</v>
      </c>
      <c r="V3422" t="str">
        <f>+Table1[[#This Row],[id_destino]]&amp;" - "&amp;Table1[[#This Row],[id_origen]]</f>
        <v>179 - 95</v>
      </c>
    </row>
    <row r="3423" spans="1:22" hidden="1">
      <c r="A3423">
        <v>3972</v>
      </c>
      <c r="B3423">
        <v>4330</v>
      </c>
      <c r="C3423">
        <v>7321</v>
      </c>
      <c r="D3423">
        <v>7504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  <c r="K3423" t="s">
        <v>20</v>
      </c>
      <c r="L3423" s="1">
        <v>45211</v>
      </c>
      <c r="M3423">
        <v>243</v>
      </c>
      <c r="N3423">
        <v>95</v>
      </c>
      <c r="O3423">
        <v>1640</v>
      </c>
      <c r="P3423">
        <v>1636</v>
      </c>
      <c r="Q3423">
        <v>1640</v>
      </c>
      <c r="S3423">
        <v>2876</v>
      </c>
      <c r="T3423">
        <v>2876</v>
      </c>
      <c r="U3423">
        <f>+SUM(Table1[[#This Row],[Latinos]:[Cemex]])</f>
        <v>1</v>
      </c>
      <c r="V3423" t="str">
        <f>+Table1[[#This Row],[id_destino]]&amp;" - "&amp;Table1[[#This Row],[id_origen]]</f>
        <v>243 - 95</v>
      </c>
    </row>
    <row r="3424" spans="1:22" hidden="1">
      <c r="A3424">
        <v>1610</v>
      </c>
      <c r="B3424">
        <v>2838</v>
      </c>
      <c r="C3424">
        <v>3448</v>
      </c>
      <c r="D3424">
        <v>5840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 t="s">
        <v>20</v>
      </c>
      <c r="L3424" s="1">
        <v>43529</v>
      </c>
      <c r="M3424">
        <v>591</v>
      </c>
      <c r="N3424">
        <v>95</v>
      </c>
      <c r="O3424">
        <v>890</v>
      </c>
      <c r="P3424">
        <v>878</v>
      </c>
      <c r="Q3424">
        <v>890</v>
      </c>
      <c r="S3424">
        <v>733</v>
      </c>
      <c r="T3424">
        <v>733</v>
      </c>
      <c r="U3424">
        <f>+SUM(Table1[[#This Row],[Latinos]:[Cemex]])</f>
        <v>1</v>
      </c>
      <c r="V3424" t="str">
        <f>+Table1[[#This Row],[id_destino]]&amp;" - "&amp;Table1[[#This Row],[id_origen]]</f>
        <v>591 - 95</v>
      </c>
    </row>
    <row r="3425" spans="1:22" hidden="1">
      <c r="A3425">
        <v>4030</v>
      </c>
      <c r="B3425">
        <v>4370</v>
      </c>
      <c r="C3425">
        <v>7321</v>
      </c>
      <c r="D3425">
        <v>7195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0</v>
      </c>
      <c r="K3425" t="s">
        <v>20</v>
      </c>
      <c r="L3425" s="1">
        <v>45243</v>
      </c>
      <c r="M3425">
        <v>602</v>
      </c>
      <c r="N3425">
        <v>95</v>
      </c>
      <c r="O3425">
        <v>857</v>
      </c>
      <c r="P3425">
        <v>844</v>
      </c>
      <c r="Q3425">
        <v>857</v>
      </c>
      <c r="S3425">
        <v>768</v>
      </c>
      <c r="T3425">
        <v>768</v>
      </c>
      <c r="U3425">
        <f>+SUM(Table1[[#This Row],[Latinos]:[Cemex]])</f>
        <v>1</v>
      </c>
      <c r="V3425" t="str">
        <f>+Table1[[#This Row],[id_destino]]&amp;" - "&amp;Table1[[#This Row],[id_origen]]</f>
        <v>602 - 95</v>
      </c>
    </row>
    <row r="3426" spans="1:22" hidden="1">
      <c r="A3426">
        <v>3970</v>
      </c>
      <c r="B3426">
        <v>4329</v>
      </c>
      <c r="C3426">
        <v>7321</v>
      </c>
      <c r="D3426">
        <v>7502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 t="s">
        <v>20</v>
      </c>
      <c r="L3426" s="1">
        <v>45211</v>
      </c>
      <c r="M3426">
        <v>619</v>
      </c>
      <c r="N3426">
        <v>95</v>
      </c>
      <c r="O3426">
        <v>922</v>
      </c>
      <c r="P3426">
        <v>928</v>
      </c>
      <c r="Q3426">
        <v>922</v>
      </c>
      <c r="S3426">
        <v>1043</v>
      </c>
      <c r="T3426">
        <v>1043</v>
      </c>
      <c r="U3426">
        <f>+SUM(Table1[[#This Row],[Latinos]:[Cemex]])</f>
        <v>1</v>
      </c>
      <c r="V3426" t="str">
        <f>+Table1[[#This Row],[id_destino]]&amp;" - "&amp;Table1[[#This Row],[id_origen]]</f>
        <v>619 - 95</v>
      </c>
    </row>
    <row r="3427" spans="1:22" hidden="1">
      <c r="A3427">
        <v>2935</v>
      </c>
      <c r="B3427">
        <v>3666</v>
      </c>
      <c r="C3427">
        <v>5625</v>
      </c>
      <c r="D3427">
        <v>6700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 t="s">
        <v>20</v>
      </c>
      <c r="L3427" s="1">
        <v>44627</v>
      </c>
      <c r="M3427">
        <v>645</v>
      </c>
      <c r="N3427">
        <v>95</v>
      </c>
      <c r="O3427">
        <v>50</v>
      </c>
      <c r="P3427">
        <v>150</v>
      </c>
      <c r="Q3427">
        <v>50</v>
      </c>
      <c r="S3427">
        <v>0</v>
      </c>
      <c r="T3427">
        <v>0</v>
      </c>
      <c r="U3427">
        <f>+SUM(Table1[[#This Row],[Latinos]:[Cemex]])</f>
        <v>1</v>
      </c>
      <c r="V3427" t="str">
        <f>+Table1[[#This Row],[id_destino]]&amp;" - "&amp;Table1[[#This Row],[id_origen]]</f>
        <v>645 - 95</v>
      </c>
    </row>
    <row r="3428" spans="1:22" hidden="1">
      <c r="A3428">
        <v>2967</v>
      </c>
      <c r="B3428">
        <v>3688</v>
      </c>
      <c r="C3428">
        <v>3448</v>
      </c>
      <c r="D3428">
        <v>5538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0</v>
      </c>
      <c r="K3428" t="s">
        <v>20</v>
      </c>
      <c r="L3428" s="1">
        <v>44651</v>
      </c>
      <c r="M3428">
        <v>654</v>
      </c>
      <c r="N3428">
        <v>95</v>
      </c>
      <c r="O3428">
        <v>1140</v>
      </c>
      <c r="P3428">
        <v>1140</v>
      </c>
      <c r="Q3428">
        <v>1140</v>
      </c>
      <c r="S3428">
        <v>2163</v>
      </c>
      <c r="T3428">
        <v>2163</v>
      </c>
      <c r="U3428">
        <f>+SUM(Table1[[#This Row],[Latinos]:[Cemex]])</f>
        <v>1</v>
      </c>
      <c r="V3428" t="str">
        <f>+Table1[[#This Row],[id_destino]]&amp;" - "&amp;Table1[[#This Row],[id_origen]]</f>
        <v>654 - 95</v>
      </c>
    </row>
    <row r="3429" spans="1:22" hidden="1">
      <c r="A3429">
        <v>4031</v>
      </c>
      <c r="B3429">
        <v>3688</v>
      </c>
      <c r="C3429">
        <v>7321</v>
      </c>
      <c r="D3429">
        <v>5538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 t="s">
        <v>20</v>
      </c>
      <c r="L3429" s="1">
        <v>45243</v>
      </c>
      <c r="M3429">
        <v>654</v>
      </c>
      <c r="N3429">
        <v>95</v>
      </c>
      <c r="O3429">
        <v>1007</v>
      </c>
      <c r="P3429">
        <v>1031</v>
      </c>
      <c r="Q3429">
        <v>1007</v>
      </c>
      <c r="S3429">
        <v>4406</v>
      </c>
      <c r="T3429">
        <v>4836</v>
      </c>
      <c r="U3429">
        <f>+SUM(Table1[[#This Row],[Latinos]:[Cemex]])</f>
        <v>1</v>
      </c>
      <c r="V3429" t="str">
        <f>+Table1[[#This Row],[id_destino]]&amp;" - "&amp;Table1[[#This Row],[id_origen]]</f>
        <v>654 - 95</v>
      </c>
    </row>
    <row r="3430" spans="1:22" hidden="1">
      <c r="A3430">
        <v>277</v>
      </c>
      <c r="B3430">
        <v>1980</v>
      </c>
      <c r="C3430">
        <v>5317</v>
      </c>
      <c r="D3430">
        <v>2788</v>
      </c>
      <c r="E3430">
        <v>0</v>
      </c>
      <c r="F3430">
        <v>0</v>
      </c>
      <c r="G3430">
        <v>0</v>
      </c>
      <c r="H3430">
        <v>1</v>
      </c>
      <c r="I3430">
        <v>0</v>
      </c>
      <c r="J3430">
        <v>0</v>
      </c>
      <c r="K3430" t="s">
        <v>20</v>
      </c>
      <c r="L3430" s="1">
        <v>43066</v>
      </c>
      <c r="M3430">
        <v>53</v>
      </c>
      <c r="N3430">
        <v>96</v>
      </c>
      <c r="O3430">
        <v>15</v>
      </c>
      <c r="P3430">
        <v>15</v>
      </c>
      <c r="Q3430">
        <v>50</v>
      </c>
      <c r="S3430">
        <v>0</v>
      </c>
      <c r="T3430">
        <v>0</v>
      </c>
      <c r="U3430">
        <f>+SUM(Table1[[#This Row],[Latinos]:[Cemex]])</f>
        <v>1</v>
      </c>
      <c r="V3430" t="str">
        <f>+Table1[[#This Row],[id_destino]]&amp;" - "&amp;Table1[[#This Row],[id_origen]]</f>
        <v>53 - 96</v>
      </c>
    </row>
    <row r="3431" spans="1:22" hidden="1">
      <c r="A3431">
        <v>1512</v>
      </c>
      <c r="B3431">
        <v>597</v>
      </c>
      <c r="C3431">
        <v>268</v>
      </c>
      <c r="D3431">
        <v>4632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  <c r="K3431" t="s">
        <v>20</v>
      </c>
      <c r="L3431" s="1">
        <v>43480</v>
      </c>
      <c r="M3431">
        <v>4</v>
      </c>
      <c r="N3431">
        <v>99</v>
      </c>
      <c r="O3431">
        <v>382</v>
      </c>
      <c r="P3431">
        <v>382</v>
      </c>
      <c r="Q3431">
        <v>382</v>
      </c>
      <c r="S3431">
        <v>230</v>
      </c>
      <c r="T3431">
        <v>230</v>
      </c>
      <c r="U3431">
        <f>+SUM(Table1[[#This Row],[Latinos]:[Cemex]])</f>
        <v>1</v>
      </c>
      <c r="V3431" t="str">
        <f>+Table1[[#This Row],[id_destino]]&amp;" - "&amp;Table1[[#This Row],[id_origen]]</f>
        <v>4 - 99</v>
      </c>
    </row>
    <row r="3432" spans="1:22" hidden="1">
      <c r="A3432">
        <v>1628</v>
      </c>
      <c r="B3432">
        <v>597</v>
      </c>
      <c r="C3432">
        <v>268</v>
      </c>
      <c r="D3432">
        <v>4632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 t="s">
        <v>20</v>
      </c>
      <c r="L3432" s="1">
        <v>43537</v>
      </c>
      <c r="M3432">
        <v>4</v>
      </c>
      <c r="N3432">
        <v>99</v>
      </c>
      <c r="O3432">
        <v>382</v>
      </c>
      <c r="P3432">
        <v>382</v>
      </c>
      <c r="Q3432">
        <v>382</v>
      </c>
      <c r="S3432">
        <v>230</v>
      </c>
      <c r="T3432">
        <v>230</v>
      </c>
      <c r="U3432">
        <f>+SUM(Table1[[#This Row],[Latinos]:[Cemex]])</f>
        <v>1</v>
      </c>
      <c r="V3432" t="str">
        <f>+Table1[[#This Row],[id_destino]]&amp;" - "&amp;Table1[[#This Row],[id_origen]]</f>
        <v>4 - 99</v>
      </c>
    </row>
    <row r="3433" spans="1:22" hidden="1">
      <c r="A3433">
        <v>2557</v>
      </c>
      <c r="B3433">
        <v>3415</v>
      </c>
      <c r="C3433">
        <v>5472</v>
      </c>
      <c r="D3433">
        <v>5285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 t="s">
        <v>20</v>
      </c>
      <c r="L3433" s="1">
        <v>44179</v>
      </c>
      <c r="M3433">
        <v>83</v>
      </c>
      <c r="N3433">
        <v>102</v>
      </c>
      <c r="O3433">
        <v>302</v>
      </c>
      <c r="P3433">
        <v>302</v>
      </c>
      <c r="Q3433">
        <v>302</v>
      </c>
      <c r="S3433">
        <v>0</v>
      </c>
      <c r="T3433">
        <v>0</v>
      </c>
      <c r="U3433">
        <f>+SUM(Table1[[#This Row],[Latinos]:[Cemex]])</f>
        <v>1</v>
      </c>
      <c r="V3433" t="str">
        <f>+Table1[[#This Row],[id_destino]]&amp;" - "&amp;Table1[[#This Row],[id_origen]]</f>
        <v>83 - 102</v>
      </c>
    </row>
    <row r="3434" spans="1:22" hidden="1">
      <c r="A3434">
        <v>2736</v>
      </c>
      <c r="B3434">
        <v>551</v>
      </c>
      <c r="C3434">
        <v>173</v>
      </c>
      <c r="D3434">
        <v>1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0</v>
      </c>
      <c r="K3434" t="s">
        <v>20</v>
      </c>
      <c r="L3434" s="1">
        <v>44392</v>
      </c>
      <c r="M3434">
        <v>3</v>
      </c>
      <c r="N3434">
        <v>105</v>
      </c>
      <c r="O3434">
        <v>832</v>
      </c>
      <c r="P3434">
        <v>798</v>
      </c>
      <c r="Q3434">
        <v>832</v>
      </c>
      <c r="S3434">
        <v>2866</v>
      </c>
      <c r="T3434">
        <v>2866</v>
      </c>
      <c r="U3434">
        <f>+SUM(Table1[[#This Row],[Latinos]:[Cemex]])</f>
        <v>1</v>
      </c>
      <c r="V3434" t="str">
        <f>+Table1[[#This Row],[id_destino]]&amp;" - "&amp;Table1[[#This Row],[id_origen]]</f>
        <v>3 - 105</v>
      </c>
    </row>
    <row r="3435" spans="1:22" hidden="1">
      <c r="A3435">
        <v>2454</v>
      </c>
      <c r="B3435">
        <v>629</v>
      </c>
      <c r="C3435">
        <v>173</v>
      </c>
      <c r="D3435">
        <v>2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 t="s">
        <v>20</v>
      </c>
      <c r="L3435" s="1">
        <v>44083</v>
      </c>
      <c r="M3435">
        <v>4</v>
      </c>
      <c r="N3435">
        <v>105</v>
      </c>
      <c r="O3435">
        <v>895</v>
      </c>
      <c r="P3435">
        <v>876</v>
      </c>
      <c r="Q3435">
        <v>895</v>
      </c>
      <c r="S3435">
        <v>3146</v>
      </c>
      <c r="T3435">
        <v>3146</v>
      </c>
      <c r="U3435">
        <f>+SUM(Table1[[#This Row],[Latinos]:[Cemex]])</f>
        <v>1</v>
      </c>
      <c r="V3435" t="str">
        <f>+Table1[[#This Row],[id_destino]]&amp;" - "&amp;Table1[[#This Row],[id_origen]]</f>
        <v>4 - 105</v>
      </c>
    </row>
    <row r="3436" spans="1:22" hidden="1">
      <c r="A3436">
        <v>4625</v>
      </c>
      <c r="B3436">
        <v>4803</v>
      </c>
      <c r="C3436">
        <v>173</v>
      </c>
      <c r="D3436">
        <v>8099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 t="s">
        <v>20</v>
      </c>
      <c r="L3436" s="1">
        <v>45681</v>
      </c>
      <c r="M3436">
        <v>5</v>
      </c>
      <c r="N3436">
        <v>105</v>
      </c>
      <c r="O3436">
        <v>1643</v>
      </c>
      <c r="P3436">
        <v>1632</v>
      </c>
      <c r="Q3436">
        <v>1643</v>
      </c>
      <c r="S3436">
        <v>4659</v>
      </c>
      <c r="T3436">
        <v>5194</v>
      </c>
      <c r="U3436">
        <f>+SUM(Table1[[#This Row],[Latinos]:[Cemex]])</f>
        <v>1</v>
      </c>
      <c r="V3436" t="str">
        <f>+Table1[[#This Row],[id_destino]]&amp;" - "&amp;Table1[[#This Row],[id_origen]]</f>
        <v>5 - 105</v>
      </c>
    </row>
    <row r="3437" spans="1:22" hidden="1">
      <c r="A3437">
        <v>2288</v>
      </c>
      <c r="B3437">
        <v>1951</v>
      </c>
      <c r="C3437">
        <v>4181</v>
      </c>
      <c r="D3437">
        <v>5232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 t="s">
        <v>20</v>
      </c>
      <c r="L3437" s="1">
        <v>43907</v>
      </c>
      <c r="M3437">
        <v>7</v>
      </c>
      <c r="N3437">
        <v>105</v>
      </c>
      <c r="O3437">
        <v>1758</v>
      </c>
      <c r="P3437">
        <v>1651</v>
      </c>
      <c r="Q3437">
        <v>1758</v>
      </c>
      <c r="S3437">
        <v>4776</v>
      </c>
      <c r="T3437">
        <v>5366</v>
      </c>
      <c r="U3437">
        <f>+SUM(Table1[[#This Row],[Latinos]:[Cemex]])</f>
        <v>1</v>
      </c>
      <c r="V3437" t="str">
        <f>+Table1[[#This Row],[id_destino]]&amp;" - "&amp;Table1[[#This Row],[id_origen]]</f>
        <v>7 - 105</v>
      </c>
    </row>
    <row r="3438" spans="1:22" hidden="1">
      <c r="A3438">
        <v>2782</v>
      </c>
      <c r="B3438">
        <v>3563</v>
      </c>
      <c r="C3438">
        <v>173</v>
      </c>
      <c r="D3438">
        <v>6664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0</v>
      </c>
      <c r="K3438" t="s">
        <v>20</v>
      </c>
      <c r="L3438" s="1">
        <v>44439</v>
      </c>
      <c r="M3438">
        <v>8</v>
      </c>
      <c r="N3438">
        <v>105</v>
      </c>
      <c r="O3438">
        <v>1377</v>
      </c>
      <c r="P3438">
        <v>1417</v>
      </c>
      <c r="Q3438">
        <v>1377</v>
      </c>
      <c r="S3438">
        <v>2077</v>
      </c>
      <c r="T3438">
        <v>2144</v>
      </c>
      <c r="U3438">
        <f>+SUM(Table1[[#This Row],[Latinos]:[Cemex]])</f>
        <v>1</v>
      </c>
      <c r="V3438" t="str">
        <f>+Table1[[#This Row],[id_destino]]&amp;" - "&amp;Table1[[#This Row],[id_origen]]</f>
        <v>8 - 105</v>
      </c>
    </row>
    <row r="3439" spans="1:22" hidden="1">
      <c r="A3439">
        <v>2635</v>
      </c>
      <c r="B3439">
        <v>886</v>
      </c>
      <c r="C3439">
        <v>173</v>
      </c>
      <c r="D3439">
        <v>7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0</v>
      </c>
      <c r="K3439" t="s">
        <v>20</v>
      </c>
      <c r="L3439" s="1">
        <v>44266</v>
      </c>
      <c r="M3439">
        <v>9</v>
      </c>
      <c r="N3439">
        <v>105</v>
      </c>
      <c r="O3439">
        <v>1439</v>
      </c>
      <c r="P3439">
        <v>1451</v>
      </c>
      <c r="Q3439">
        <v>1439</v>
      </c>
      <c r="S3439">
        <v>2194</v>
      </c>
      <c r="T3439">
        <v>2268</v>
      </c>
      <c r="U3439">
        <f>+SUM(Table1[[#This Row],[Latinos]:[Cemex]])</f>
        <v>1</v>
      </c>
      <c r="V3439" t="str">
        <f>+Table1[[#This Row],[id_destino]]&amp;" - "&amp;Table1[[#This Row],[id_origen]]</f>
        <v>9 - 105</v>
      </c>
    </row>
    <row r="3440" spans="1:22" hidden="1">
      <c r="A3440">
        <v>2813</v>
      </c>
      <c r="B3440">
        <v>3586</v>
      </c>
      <c r="C3440">
        <v>173</v>
      </c>
      <c r="D3440">
        <v>14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 t="s">
        <v>20</v>
      </c>
      <c r="L3440" s="1">
        <v>44484</v>
      </c>
      <c r="M3440">
        <v>15</v>
      </c>
      <c r="N3440">
        <v>105</v>
      </c>
      <c r="O3440">
        <v>1788</v>
      </c>
      <c r="P3440">
        <v>1754</v>
      </c>
      <c r="Q3440">
        <v>1788</v>
      </c>
      <c r="S3440">
        <v>4212</v>
      </c>
      <c r="T3440">
        <v>4842</v>
      </c>
      <c r="U3440">
        <f>+SUM(Table1[[#This Row],[Latinos]:[Cemex]])</f>
        <v>1</v>
      </c>
      <c r="V3440" t="str">
        <f>+Table1[[#This Row],[id_destino]]&amp;" - "&amp;Table1[[#This Row],[id_origen]]</f>
        <v>15 - 105</v>
      </c>
    </row>
    <row r="3441" spans="1:22" hidden="1">
      <c r="A3441">
        <v>1294</v>
      </c>
      <c r="B3441">
        <v>2677</v>
      </c>
      <c r="C3441">
        <v>5712</v>
      </c>
      <c r="D3441">
        <v>15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0</v>
      </c>
      <c r="K3441" t="s">
        <v>20</v>
      </c>
      <c r="L3441" s="1">
        <v>43888</v>
      </c>
      <c r="M3441">
        <v>16</v>
      </c>
      <c r="N3441">
        <v>105</v>
      </c>
      <c r="O3441">
        <v>1392</v>
      </c>
      <c r="P3441">
        <v>1396</v>
      </c>
      <c r="Q3441">
        <v>1392</v>
      </c>
      <c r="S3441">
        <v>3581</v>
      </c>
      <c r="T3441">
        <v>4003</v>
      </c>
      <c r="U3441">
        <f>+SUM(Table1[[#This Row],[Latinos]:[Cemex]])</f>
        <v>1</v>
      </c>
      <c r="V3441" t="str">
        <f>+Table1[[#This Row],[id_destino]]&amp;" - "&amp;Table1[[#This Row],[id_origen]]</f>
        <v>16 - 105</v>
      </c>
    </row>
    <row r="3442" spans="1:22" hidden="1">
      <c r="A3442">
        <v>2569</v>
      </c>
      <c r="B3442">
        <v>3424</v>
      </c>
      <c r="C3442">
        <v>2635</v>
      </c>
      <c r="D3442">
        <v>18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 t="s">
        <v>20</v>
      </c>
      <c r="L3442" s="1">
        <v>44184</v>
      </c>
      <c r="M3442">
        <v>17</v>
      </c>
      <c r="N3442">
        <v>105</v>
      </c>
      <c r="O3442">
        <v>862</v>
      </c>
      <c r="P3442">
        <v>859</v>
      </c>
      <c r="Q3442">
        <v>862</v>
      </c>
      <c r="S3442">
        <v>592</v>
      </c>
      <c r="T3442">
        <v>592</v>
      </c>
      <c r="U3442">
        <f>+SUM(Table1[[#This Row],[Latinos]:[Cemex]])</f>
        <v>1</v>
      </c>
      <c r="V3442" t="str">
        <f>+Table1[[#This Row],[id_destino]]&amp;" - "&amp;Table1[[#This Row],[id_origen]]</f>
        <v>17 - 105</v>
      </c>
    </row>
    <row r="3443" spans="1:22" hidden="1">
      <c r="A3443">
        <v>1029</v>
      </c>
      <c r="B3443">
        <v>788</v>
      </c>
      <c r="C3443">
        <v>4889</v>
      </c>
      <c r="D3443">
        <v>4177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0</v>
      </c>
      <c r="K3443" t="s">
        <v>20</v>
      </c>
      <c r="L3443" s="1">
        <v>43255</v>
      </c>
      <c r="M3443">
        <v>18</v>
      </c>
      <c r="N3443">
        <v>105</v>
      </c>
      <c r="O3443">
        <v>15</v>
      </c>
      <c r="P3443">
        <v>150</v>
      </c>
      <c r="Q3443">
        <v>15</v>
      </c>
      <c r="S3443">
        <v>0</v>
      </c>
      <c r="T3443">
        <v>0</v>
      </c>
      <c r="U3443">
        <f>+SUM(Table1[[#This Row],[Latinos]:[Cemex]])</f>
        <v>1</v>
      </c>
      <c r="V3443" t="str">
        <f>+Table1[[#This Row],[id_destino]]&amp;" - "&amp;Table1[[#This Row],[id_origen]]</f>
        <v>18 - 105</v>
      </c>
    </row>
    <row r="3444" spans="1:22" hidden="1">
      <c r="A3444">
        <v>283</v>
      </c>
      <c r="B3444">
        <v>707</v>
      </c>
      <c r="C3444">
        <v>5319</v>
      </c>
      <c r="D3444">
        <v>1869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  <c r="K3444" t="s">
        <v>20</v>
      </c>
      <c r="L3444" s="1">
        <v>43428</v>
      </c>
      <c r="M3444">
        <v>19</v>
      </c>
      <c r="N3444">
        <v>105</v>
      </c>
      <c r="O3444">
        <v>50</v>
      </c>
      <c r="P3444">
        <v>150</v>
      </c>
      <c r="Q3444">
        <v>50</v>
      </c>
      <c r="S3444">
        <v>58</v>
      </c>
      <c r="T3444">
        <v>58</v>
      </c>
      <c r="U3444">
        <f>+SUM(Table1[[#This Row],[Latinos]:[Cemex]])</f>
        <v>1</v>
      </c>
      <c r="V3444" t="str">
        <f>+Table1[[#This Row],[id_destino]]&amp;" - "&amp;Table1[[#This Row],[id_origen]]</f>
        <v>19 - 105</v>
      </c>
    </row>
    <row r="3445" spans="1:22" hidden="1">
      <c r="A3445">
        <v>2464</v>
      </c>
      <c r="B3445">
        <v>1144</v>
      </c>
      <c r="C3445">
        <v>6412</v>
      </c>
      <c r="D3445">
        <v>6413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  <c r="K3445" t="s">
        <v>20</v>
      </c>
      <c r="L3445" s="1">
        <v>44091</v>
      </c>
      <c r="M3445">
        <v>20</v>
      </c>
      <c r="N3445">
        <v>105</v>
      </c>
      <c r="O3445">
        <v>25</v>
      </c>
      <c r="P3445">
        <v>150</v>
      </c>
      <c r="Q3445">
        <v>25</v>
      </c>
      <c r="S3445">
        <v>0</v>
      </c>
      <c r="T3445">
        <v>0</v>
      </c>
      <c r="U3445">
        <f>+SUM(Table1[[#This Row],[Latinos]:[Cemex]])</f>
        <v>1</v>
      </c>
      <c r="V3445" t="str">
        <f>+Table1[[#This Row],[id_destino]]&amp;" - "&amp;Table1[[#This Row],[id_origen]]</f>
        <v>20 - 105</v>
      </c>
    </row>
    <row r="3446" spans="1:22" hidden="1">
      <c r="A3446">
        <v>2559</v>
      </c>
      <c r="B3446">
        <v>3417</v>
      </c>
      <c r="C3446">
        <v>173</v>
      </c>
      <c r="D3446">
        <v>3252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0</v>
      </c>
      <c r="K3446" t="s">
        <v>20</v>
      </c>
      <c r="L3446" s="1">
        <v>44179</v>
      </c>
      <c r="M3446">
        <v>26</v>
      </c>
      <c r="N3446">
        <v>105</v>
      </c>
      <c r="O3446">
        <v>532</v>
      </c>
      <c r="P3446">
        <v>523</v>
      </c>
      <c r="Q3446">
        <v>532</v>
      </c>
      <c r="S3446">
        <v>2112</v>
      </c>
      <c r="T3446">
        <v>2112</v>
      </c>
      <c r="U3446">
        <f>+SUM(Table1[[#This Row],[Latinos]:[Cemex]])</f>
        <v>1</v>
      </c>
      <c r="V3446" t="str">
        <f>+Table1[[#This Row],[id_destino]]&amp;" - "&amp;Table1[[#This Row],[id_origen]]</f>
        <v>26 - 105</v>
      </c>
    </row>
    <row r="3447" spans="1:22" hidden="1">
      <c r="A3447">
        <v>4527</v>
      </c>
      <c r="B3447">
        <v>4727</v>
      </c>
      <c r="C3447">
        <v>4181</v>
      </c>
      <c r="D3447">
        <v>5155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 t="s">
        <v>20</v>
      </c>
      <c r="L3447" s="1">
        <v>45602</v>
      </c>
      <c r="M3447">
        <v>33</v>
      </c>
      <c r="N3447">
        <v>105</v>
      </c>
      <c r="O3447">
        <v>947</v>
      </c>
      <c r="P3447">
        <v>950</v>
      </c>
      <c r="Q3447">
        <v>947</v>
      </c>
      <c r="S3447">
        <v>2461</v>
      </c>
      <c r="T3447">
        <v>2617</v>
      </c>
      <c r="U3447">
        <f>+SUM(Table1[[#This Row],[Latinos]:[Cemex]])</f>
        <v>1</v>
      </c>
      <c r="V3447" t="str">
        <f>+Table1[[#This Row],[id_destino]]&amp;" - "&amp;Table1[[#This Row],[id_origen]]</f>
        <v>33 - 105</v>
      </c>
    </row>
    <row r="3448" spans="1:22" hidden="1">
      <c r="A3448">
        <v>1011</v>
      </c>
      <c r="B3448">
        <v>305</v>
      </c>
      <c r="C3448">
        <v>173</v>
      </c>
      <c r="D3448">
        <v>40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 t="s">
        <v>20</v>
      </c>
      <c r="L3448" s="1">
        <v>43249</v>
      </c>
      <c r="M3448">
        <v>34</v>
      </c>
      <c r="N3448">
        <v>105</v>
      </c>
      <c r="O3448">
        <v>967</v>
      </c>
      <c r="P3448">
        <v>959</v>
      </c>
      <c r="Q3448">
        <v>967</v>
      </c>
      <c r="S3448">
        <v>930</v>
      </c>
      <c r="T3448">
        <v>2306</v>
      </c>
      <c r="U3448">
        <f>+SUM(Table1[[#This Row],[Latinos]:[Cemex]])</f>
        <v>1</v>
      </c>
      <c r="V3448" t="str">
        <f>+Table1[[#This Row],[id_destino]]&amp;" - "&amp;Table1[[#This Row],[id_origen]]</f>
        <v>34 - 105</v>
      </c>
    </row>
    <row r="3449" spans="1:22" hidden="1">
      <c r="A3449">
        <v>1095</v>
      </c>
      <c r="B3449">
        <v>156</v>
      </c>
      <c r="C3449">
        <v>173</v>
      </c>
      <c r="D3449">
        <v>53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 t="s">
        <v>20</v>
      </c>
      <c r="L3449" s="1">
        <v>43290</v>
      </c>
      <c r="M3449">
        <v>35</v>
      </c>
      <c r="N3449">
        <v>105</v>
      </c>
      <c r="O3449">
        <v>476</v>
      </c>
      <c r="P3449">
        <v>443</v>
      </c>
      <c r="Q3449">
        <v>476</v>
      </c>
      <c r="S3449">
        <v>2234</v>
      </c>
      <c r="T3449">
        <v>2234</v>
      </c>
      <c r="U3449">
        <f>+SUM(Table1[[#This Row],[Latinos]:[Cemex]])</f>
        <v>1</v>
      </c>
      <c r="V3449" t="str">
        <f>+Table1[[#This Row],[id_destino]]&amp;" - "&amp;Table1[[#This Row],[id_origen]]</f>
        <v>35 - 105</v>
      </c>
    </row>
    <row r="3450" spans="1:22" hidden="1">
      <c r="A3450">
        <v>1799</v>
      </c>
      <c r="B3450">
        <v>156</v>
      </c>
      <c r="C3450">
        <v>173</v>
      </c>
      <c r="D3450">
        <v>53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  <c r="K3450" t="s">
        <v>20</v>
      </c>
      <c r="L3450" s="1">
        <v>44182</v>
      </c>
      <c r="M3450">
        <v>35</v>
      </c>
      <c r="N3450">
        <v>105</v>
      </c>
      <c r="O3450">
        <v>475</v>
      </c>
      <c r="P3450">
        <v>475</v>
      </c>
      <c r="Q3450">
        <v>475</v>
      </c>
      <c r="S3450">
        <v>1379</v>
      </c>
      <c r="T3450">
        <v>1453</v>
      </c>
      <c r="U3450">
        <f>+SUM(Table1[[#This Row],[Latinos]:[Cemex]])</f>
        <v>1</v>
      </c>
      <c r="V3450" t="str">
        <f>+Table1[[#This Row],[id_destino]]&amp;" - "&amp;Table1[[#This Row],[id_origen]]</f>
        <v>35 - 105</v>
      </c>
    </row>
    <row r="3451" spans="1:22" hidden="1">
      <c r="A3451">
        <v>883</v>
      </c>
      <c r="B3451">
        <v>40</v>
      </c>
      <c r="C3451">
        <v>173</v>
      </c>
      <c r="D3451">
        <v>556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 t="s">
        <v>20</v>
      </c>
      <c r="L3451" s="1">
        <v>43203</v>
      </c>
      <c r="M3451">
        <v>36</v>
      </c>
      <c r="N3451">
        <v>105</v>
      </c>
      <c r="O3451">
        <v>392</v>
      </c>
      <c r="P3451">
        <v>392</v>
      </c>
      <c r="Q3451">
        <v>392</v>
      </c>
      <c r="S3451">
        <v>875</v>
      </c>
      <c r="T3451">
        <v>945</v>
      </c>
      <c r="U3451">
        <f>+SUM(Table1[[#This Row],[Latinos]:[Cemex]])</f>
        <v>1</v>
      </c>
      <c r="V3451" t="str">
        <f>+Table1[[#This Row],[id_destino]]&amp;" - "&amp;Table1[[#This Row],[id_origen]]</f>
        <v>36 - 105</v>
      </c>
    </row>
    <row r="3452" spans="1:22" hidden="1">
      <c r="A3452">
        <v>1096</v>
      </c>
      <c r="B3452">
        <v>40</v>
      </c>
      <c r="C3452">
        <v>173</v>
      </c>
      <c r="D3452">
        <v>556</v>
      </c>
      <c r="E3452">
        <v>0</v>
      </c>
      <c r="F3452">
        <v>1</v>
      </c>
      <c r="G3452">
        <v>0</v>
      </c>
      <c r="H3452">
        <v>0</v>
      </c>
      <c r="I3452">
        <v>0</v>
      </c>
      <c r="J3452">
        <v>0</v>
      </c>
      <c r="K3452" t="s">
        <v>20</v>
      </c>
      <c r="L3452" s="1">
        <v>43299</v>
      </c>
      <c r="M3452">
        <v>36</v>
      </c>
      <c r="N3452">
        <v>105</v>
      </c>
      <c r="O3452">
        <v>351</v>
      </c>
      <c r="P3452">
        <v>351</v>
      </c>
      <c r="Q3452">
        <v>351</v>
      </c>
      <c r="S3452">
        <v>736</v>
      </c>
      <c r="T3452">
        <v>736</v>
      </c>
      <c r="U3452">
        <f>+SUM(Table1[[#This Row],[Latinos]:[Cemex]])</f>
        <v>1</v>
      </c>
      <c r="V3452" t="str">
        <f>+Table1[[#This Row],[id_destino]]&amp;" - "&amp;Table1[[#This Row],[id_origen]]</f>
        <v>36 - 105</v>
      </c>
    </row>
    <row r="3453" spans="1:22" hidden="1">
      <c r="A3453">
        <v>2964</v>
      </c>
      <c r="B3453">
        <v>280</v>
      </c>
      <c r="C3453">
        <v>173</v>
      </c>
      <c r="D3453">
        <v>43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0</v>
      </c>
      <c r="K3453" t="s">
        <v>20</v>
      </c>
      <c r="L3453" s="1">
        <v>44650</v>
      </c>
      <c r="M3453">
        <v>37</v>
      </c>
      <c r="N3453">
        <v>105</v>
      </c>
      <c r="O3453">
        <v>601</v>
      </c>
      <c r="P3453">
        <v>583</v>
      </c>
      <c r="Q3453">
        <v>601</v>
      </c>
      <c r="S3453">
        <v>2641</v>
      </c>
      <c r="T3453">
        <v>2641</v>
      </c>
      <c r="U3453">
        <f>+SUM(Table1[[#This Row],[Latinos]:[Cemex]])</f>
        <v>1</v>
      </c>
      <c r="V3453" t="str">
        <f>+Table1[[#This Row],[id_destino]]&amp;" - "&amp;Table1[[#This Row],[id_origen]]</f>
        <v>37 - 105</v>
      </c>
    </row>
    <row r="3454" spans="1:22" hidden="1">
      <c r="A3454">
        <v>298</v>
      </c>
      <c r="B3454">
        <v>180</v>
      </c>
      <c r="C3454">
        <v>173</v>
      </c>
      <c r="D3454">
        <v>44</v>
      </c>
      <c r="E3454">
        <v>0</v>
      </c>
      <c r="F3454">
        <v>1</v>
      </c>
      <c r="G3454">
        <v>0</v>
      </c>
      <c r="H3454">
        <v>0</v>
      </c>
      <c r="I3454">
        <v>0</v>
      </c>
      <c r="J3454">
        <v>0</v>
      </c>
      <c r="K3454" t="s">
        <v>20</v>
      </c>
      <c r="L3454" s="1">
        <v>44606</v>
      </c>
      <c r="M3454">
        <v>38</v>
      </c>
      <c r="N3454">
        <v>105</v>
      </c>
      <c r="O3454">
        <v>262</v>
      </c>
      <c r="P3454">
        <v>267</v>
      </c>
      <c r="Q3454">
        <v>262</v>
      </c>
      <c r="S3454">
        <v>1232</v>
      </c>
      <c r="T3454">
        <v>1232</v>
      </c>
      <c r="U3454">
        <f>+SUM(Table1[[#This Row],[Latinos]:[Cemex]])</f>
        <v>1</v>
      </c>
      <c r="V3454" t="str">
        <f>+Table1[[#This Row],[id_destino]]&amp;" - "&amp;Table1[[#This Row],[id_origen]]</f>
        <v>38 - 105</v>
      </c>
    </row>
    <row r="3455" spans="1:22" hidden="1">
      <c r="A3455">
        <v>521</v>
      </c>
      <c r="B3455">
        <v>265</v>
      </c>
      <c r="C3455">
        <v>173</v>
      </c>
      <c r="D3455">
        <v>45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 t="s">
        <v>20</v>
      </c>
      <c r="L3455" s="1">
        <v>43088</v>
      </c>
      <c r="M3455">
        <v>39</v>
      </c>
      <c r="N3455">
        <v>105</v>
      </c>
      <c r="O3455">
        <v>385</v>
      </c>
      <c r="P3455">
        <v>377</v>
      </c>
      <c r="Q3455">
        <v>385</v>
      </c>
      <c r="S3455">
        <v>900</v>
      </c>
      <c r="T3455">
        <v>900</v>
      </c>
      <c r="U3455">
        <f>+SUM(Table1[[#This Row],[Latinos]:[Cemex]])</f>
        <v>1</v>
      </c>
      <c r="V3455" t="str">
        <f>+Table1[[#This Row],[id_destino]]&amp;" - "&amp;Table1[[#This Row],[id_origen]]</f>
        <v>39 - 105</v>
      </c>
    </row>
    <row r="3456" spans="1:22" hidden="1">
      <c r="A3456">
        <v>2698</v>
      </c>
      <c r="B3456">
        <v>170</v>
      </c>
      <c r="C3456">
        <v>173</v>
      </c>
      <c r="D3456">
        <v>48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 t="s">
        <v>20</v>
      </c>
      <c r="L3456" s="1">
        <v>44355</v>
      </c>
      <c r="M3456">
        <v>42</v>
      </c>
      <c r="N3456">
        <v>105</v>
      </c>
      <c r="O3456">
        <v>328</v>
      </c>
      <c r="P3456">
        <v>338</v>
      </c>
      <c r="Q3456">
        <v>328</v>
      </c>
      <c r="S3456">
        <v>1018</v>
      </c>
      <c r="T3456">
        <v>1092</v>
      </c>
      <c r="U3456">
        <f>+SUM(Table1[[#This Row],[Latinos]:[Cemex]])</f>
        <v>1</v>
      </c>
      <c r="V3456" t="str">
        <f>+Table1[[#This Row],[id_destino]]&amp;" - "&amp;Table1[[#This Row],[id_origen]]</f>
        <v>42 - 105</v>
      </c>
    </row>
    <row r="3457" spans="1:22" hidden="1">
      <c r="A3457">
        <v>750</v>
      </c>
      <c r="B3457">
        <v>75</v>
      </c>
      <c r="C3457">
        <v>173</v>
      </c>
      <c r="D3457">
        <v>49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 t="s">
        <v>20</v>
      </c>
      <c r="L3457" s="1">
        <v>43152</v>
      </c>
      <c r="M3457">
        <v>43</v>
      </c>
      <c r="N3457">
        <v>105</v>
      </c>
      <c r="O3457">
        <v>671</v>
      </c>
      <c r="P3457">
        <v>671</v>
      </c>
      <c r="Q3457">
        <v>671</v>
      </c>
      <c r="S3457">
        <v>1643</v>
      </c>
      <c r="T3457">
        <v>1712</v>
      </c>
      <c r="U3457">
        <f>+SUM(Table1[[#This Row],[Latinos]:[Cemex]])</f>
        <v>1</v>
      </c>
      <c r="V3457" t="str">
        <f>+Table1[[#This Row],[id_destino]]&amp;" - "&amp;Table1[[#This Row],[id_origen]]</f>
        <v>43 - 105</v>
      </c>
    </row>
    <row r="3458" spans="1:22" hidden="1">
      <c r="A3458">
        <v>1097</v>
      </c>
      <c r="B3458">
        <v>998</v>
      </c>
      <c r="C3458">
        <v>173</v>
      </c>
      <c r="D3458">
        <v>52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 t="s">
        <v>20</v>
      </c>
      <c r="L3458" s="1">
        <v>43290</v>
      </c>
      <c r="M3458">
        <v>46</v>
      </c>
      <c r="N3458">
        <v>105</v>
      </c>
      <c r="O3458">
        <v>276</v>
      </c>
      <c r="P3458">
        <v>276</v>
      </c>
      <c r="Q3458">
        <v>276</v>
      </c>
      <c r="S3458">
        <v>254</v>
      </c>
      <c r="T3458">
        <v>323</v>
      </c>
      <c r="U3458">
        <f>+SUM(Table1[[#This Row],[Latinos]:[Cemex]])</f>
        <v>1</v>
      </c>
      <c r="V3458" t="str">
        <f>+Table1[[#This Row],[id_destino]]&amp;" - "&amp;Table1[[#This Row],[id_origen]]</f>
        <v>46 - 105</v>
      </c>
    </row>
    <row r="3459" spans="1:22" hidden="1">
      <c r="A3459">
        <v>2263</v>
      </c>
      <c r="B3459">
        <v>998</v>
      </c>
      <c r="C3459">
        <v>173</v>
      </c>
      <c r="D3459">
        <v>52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  <c r="K3459" t="s">
        <v>20</v>
      </c>
      <c r="L3459" s="1">
        <v>43886</v>
      </c>
      <c r="M3459">
        <v>46</v>
      </c>
      <c r="N3459">
        <v>105</v>
      </c>
      <c r="O3459">
        <v>271</v>
      </c>
      <c r="P3459">
        <v>271</v>
      </c>
      <c r="Q3459">
        <v>271</v>
      </c>
      <c r="S3459">
        <v>740</v>
      </c>
      <c r="T3459">
        <v>814</v>
      </c>
      <c r="U3459">
        <f>+SUM(Table1[[#This Row],[Latinos]:[Cemex]])</f>
        <v>1</v>
      </c>
      <c r="V3459" t="str">
        <f>+Table1[[#This Row],[id_destino]]&amp;" - "&amp;Table1[[#This Row],[id_origen]]</f>
        <v>46 - 105</v>
      </c>
    </row>
    <row r="3460" spans="1:22" hidden="1">
      <c r="A3460">
        <v>1496</v>
      </c>
      <c r="B3460">
        <v>238</v>
      </c>
      <c r="C3460">
        <v>173</v>
      </c>
      <c r="D3460">
        <v>2413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 t="s">
        <v>20</v>
      </c>
      <c r="L3460" s="1">
        <v>44512</v>
      </c>
      <c r="M3460">
        <v>47</v>
      </c>
      <c r="N3460">
        <v>105</v>
      </c>
      <c r="O3460">
        <v>88</v>
      </c>
      <c r="P3460">
        <v>150</v>
      </c>
      <c r="Q3460">
        <v>88</v>
      </c>
      <c r="S3460">
        <v>644</v>
      </c>
      <c r="T3460">
        <v>730</v>
      </c>
      <c r="U3460">
        <f>+SUM(Table1[[#This Row],[Latinos]:[Cemex]])</f>
        <v>1</v>
      </c>
      <c r="V3460" t="str">
        <f>+Table1[[#This Row],[id_destino]]&amp;" - "&amp;Table1[[#This Row],[id_origen]]</f>
        <v>47 - 105</v>
      </c>
    </row>
    <row r="3461" spans="1:22" hidden="1">
      <c r="A3461">
        <v>842</v>
      </c>
      <c r="B3461">
        <v>447</v>
      </c>
      <c r="C3461">
        <v>173</v>
      </c>
      <c r="D3461">
        <v>63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 t="s">
        <v>20</v>
      </c>
      <c r="L3461" s="1">
        <v>43185</v>
      </c>
      <c r="M3461">
        <v>55</v>
      </c>
      <c r="N3461">
        <v>105</v>
      </c>
      <c r="O3461">
        <v>100</v>
      </c>
      <c r="P3461">
        <v>150</v>
      </c>
      <c r="Q3461">
        <v>100</v>
      </c>
      <c r="S3461">
        <v>37</v>
      </c>
      <c r="T3461">
        <v>37</v>
      </c>
      <c r="U3461">
        <f>+SUM(Table1[[#This Row],[Latinos]:[Cemex]])</f>
        <v>1</v>
      </c>
      <c r="V3461" t="str">
        <f>+Table1[[#This Row],[id_destino]]&amp;" - "&amp;Table1[[#This Row],[id_origen]]</f>
        <v>55 - 105</v>
      </c>
    </row>
    <row r="3462" spans="1:22" hidden="1">
      <c r="A3462">
        <v>2693</v>
      </c>
      <c r="B3462">
        <v>2127</v>
      </c>
      <c r="C3462">
        <v>173</v>
      </c>
      <c r="D3462">
        <v>65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 t="s">
        <v>20</v>
      </c>
      <c r="L3462" s="1">
        <v>44348</v>
      </c>
      <c r="M3462">
        <v>57</v>
      </c>
      <c r="N3462">
        <v>105</v>
      </c>
      <c r="O3462">
        <v>142</v>
      </c>
      <c r="P3462">
        <v>150</v>
      </c>
      <c r="Q3462">
        <v>142</v>
      </c>
      <c r="S3462">
        <v>158</v>
      </c>
      <c r="T3462">
        <v>232</v>
      </c>
      <c r="U3462">
        <f>+SUM(Table1[[#This Row],[Latinos]:[Cemex]])</f>
        <v>1</v>
      </c>
      <c r="V3462" t="str">
        <f>+Table1[[#This Row],[id_destino]]&amp;" - "&amp;Table1[[#This Row],[id_origen]]</f>
        <v>57 - 105</v>
      </c>
    </row>
    <row r="3463" spans="1:22" hidden="1">
      <c r="A3463">
        <v>184</v>
      </c>
      <c r="B3463">
        <v>340</v>
      </c>
      <c r="C3463">
        <v>173</v>
      </c>
      <c r="D3463">
        <v>3984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  <c r="K3463" t="s">
        <v>20</v>
      </c>
      <c r="L3463" s="1">
        <v>43007</v>
      </c>
      <c r="M3463">
        <v>59</v>
      </c>
      <c r="N3463">
        <v>105</v>
      </c>
      <c r="O3463">
        <v>414</v>
      </c>
      <c r="P3463">
        <v>416</v>
      </c>
      <c r="Q3463">
        <v>414</v>
      </c>
      <c r="S3463">
        <v>978</v>
      </c>
      <c r="T3463">
        <v>978</v>
      </c>
      <c r="U3463">
        <f>+SUM(Table1[[#This Row],[Latinos]:[Cemex]])</f>
        <v>1</v>
      </c>
      <c r="V3463" t="str">
        <f>+Table1[[#This Row],[id_destino]]&amp;" - "&amp;Table1[[#This Row],[id_origen]]</f>
        <v>59 - 105</v>
      </c>
    </row>
    <row r="3464" spans="1:22" hidden="1">
      <c r="A3464">
        <v>1305</v>
      </c>
      <c r="B3464">
        <v>340</v>
      </c>
      <c r="C3464">
        <v>173</v>
      </c>
      <c r="D3464">
        <v>3984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  <c r="K3464" t="s">
        <v>20</v>
      </c>
      <c r="L3464" s="1">
        <v>43378</v>
      </c>
      <c r="M3464">
        <v>59</v>
      </c>
      <c r="N3464">
        <v>105</v>
      </c>
      <c r="O3464">
        <v>436</v>
      </c>
      <c r="P3464">
        <v>436</v>
      </c>
      <c r="Q3464">
        <v>436</v>
      </c>
      <c r="S3464">
        <v>1185</v>
      </c>
      <c r="T3464">
        <v>1185</v>
      </c>
      <c r="U3464">
        <f>+SUM(Table1[[#This Row],[Latinos]:[Cemex]])</f>
        <v>1</v>
      </c>
      <c r="V3464" t="str">
        <f>+Table1[[#This Row],[id_destino]]&amp;" - "&amp;Table1[[#This Row],[id_origen]]</f>
        <v>59 - 105</v>
      </c>
    </row>
    <row r="3465" spans="1:22" hidden="1">
      <c r="A3465">
        <v>4624</v>
      </c>
      <c r="B3465">
        <v>39</v>
      </c>
      <c r="C3465">
        <v>173</v>
      </c>
      <c r="D3465">
        <v>8098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 t="s">
        <v>20</v>
      </c>
      <c r="L3465" s="1">
        <v>45681</v>
      </c>
      <c r="M3465">
        <v>60</v>
      </c>
      <c r="N3465">
        <v>105</v>
      </c>
      <c r="O3465">
        <v>2818</v>
      </c>
      <c r="P3465">
        <v>2737</v>
      </c>
      <c r="Q3465">
        <v>2818</v>
      </c>
      <c r="S3465">
        <v>7951</v>
      </c>
      <c r="T3465">
        <v>8130</v>
      </c>
      <c r="U3465">
        <f>+SUM(Table1[[#This Row],[Latinos]:[Cemex]])</f>
        <v>1</v>
      </c>
      <c r="V3465" t="str">
        <f>+Table1[[#This Row],[id_destino]]&amp;" - "&amp;Table1[[#This Row],[id_origen]]</f>
        <v>60 - 105</v>
      </c>
    </row>
    <row r="3466" spans="1:22" hidden="1">
      <c r="A3466">
        <v>138</v>
      </c>
      <c r="B3466">
        <v>399</v>
      </c>
      <c r="C3466">
        <v>173</v>
      </c>
      <c r="D3466">
        <v>72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 t="s">
        <v>20</v>
      </c>
      <c r="L3466" s="1">
        <v>42998</v>
      </c>
      <c r="M3466">
        <v>62</v>
      </c>
      <c r="N3466">
        <v>105</v>
      </c>
      <c r="O3466">
        <v>381</v>
      </c>
      <c r="P3466">
        <v>365</v>
      </c>
      <c r="Q3466">
        <v>381</v>
      </c>
      <c r="S3466">
        <v>391</v>
      </c>
      <c r="T3466">
        <v>391</v>
      </c>
      <c r="U3466">
        <f>+SUM(Table1[[#This Row],[Latinos]:[Cemex]])</f>
        <v>1</v>
      </c>
      <c r="V3466" t="str">
        <f>+Table1[[#This Row],[id_destino]]&amp;" - "&amp;Table1[[#This Row],[id_origen]]</f>
        <v>62 - 105</v>
      </c>
    </row>
    <row r="3467" spans="1:22" hidden="1">
      <c r="A3467">
        <v>1090</v>
      </c>
      <c r="B3467">
        <v>1003</v>
      </c>
      <c r="C3467">
        <v>173</v>
      </c>
      <c r="D3467">
        <v>3172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 t="s">
        <v>20</v>
      </c>
      <c r="L3467" s="1">
        <v>43284</v>
      </c>
      <c r="M3467">
        <v>65</v>
      </c>
      <c r="N3467">
        <v>105</v>
      </c>
      <c r="O3467">
        <v>200</v>
      </c>
      <c r="P3467">
        <v>200</v>
      </c>
      <c r="Q3467">
        <v>200</v>
      </c>
      <c r="S3467">
        <v>516</v>
      </c>
      <c r="T3467">
        <v>585</v>
      </c>
      <c r="U3467">
        <f>+SUM(Table1[[#This Row],[Latinos]:[Cemex]])</f>
        <v>1</v>
      </c>
      <c r="V3467" t="str">
        <f>+Table1[[#This Row],[id_destino]]&amp;" - "&amp;Table1[[#This Row],[id_origen]]</f>
        <v>65 - 105</v>
      </c>
    </row>
    <row r="3468" spans="1:22" hidden="1">
      <c r="A3468">
        <v>4292</v>
      </c>
      <c r="B3468">
        <v>1003</v>
      </c>
      <c r="C3468">
        <v>4181</v>
      </c>
      <c r="D3468">
        <v>7772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  <c r="K3468" t="s">
        <v>20</v>
      </c>
      <c r="L3468" s="1">
        <v>45432</v>
      </c>
      <c r="M3468">
        <v>65</v>
      </c>
      <c r="N3468">
        <v>105</v>
      </c>
      <c r="O3468">
        <v>265</v>
      </c>
      <c r="P3468">
        <v>265</v>
      </c>
      <c r="Q3468">
        <v>265</v>
      </c>
      <c r="S3468">
        <v>774</v>
      </c>
      <c r="T3468">
        <v>774</v>
      </c>
      <c r="U3468">
        <f>+SUM(Table1[[#This Row],[Latinos]:[Cemex]])</f>
        <v>1</v>
      </c>
      <c r="V3468" t="str">
        <f>+Table1[[#This Row],[id_destino]]&amp;" - "&amp;Table1[[#This Row],[id_origen]]</f>
        <v>65 - 105</v>
      </c>
    </row>
    <row r="3469" spans="1:22" hidden="1">
      <c r="A3469">
        <v>3930</v>
      </c>
      <c r="B3469">
        <v>2155</v>
      </c>
      <c r="C3469">
        <v>4181</v>
      </c>
      <c r="D3469">
        <v>7480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 t="s">
        <v>20</v>
      </c>
      <c r="L3469" s="1">
        <v>45729</v>
      </c>
      <c r="M3469">
        <v>69</v>
      </c>
      <c r="N3469">
        <v>105</v>
      </c>
      <c r="O3469">
        <v>30</v>
      </c>
      <c r="P3469">
        <v>150</v>
      </c>
      <c r="Q3469">
        <v>30</v>
      </c>
      <c r="S3469">
        <v>0</v>
      </c>
      <c r="T3469">
        <v>0</v>
      </c>
      <c r="U3469">
        <f>+SUM(Table1[[#This Row],[Latinos]:[Cemex]])</f>
        <v>1</v>
      </c>
      <c r="V3469" t="str">
        <f>+Table1[[#This Row],[id_destino]]&amp;" - "&amp;Table1[[#This Row],[id_origen]]</f>
        <v>69 - 105</v>
      </c>
    </row>
    <row r="3470" spans="1:22" hidden="1">
      <c r="A3470">
        <v>1534</v>
      </c>
      <c r="B3470">
        <v>1027</v>
      </c>
      <c r="C3470">
        <v>173</v>
      </c>
      <c r="D3470">
        <v>5809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 t="s">
        <v>20</v>
      </c>
      <c r="L3470" s="1">
        <v>43496</v>
      </c>
      <c r="M3470">
        <v>71</v>
      </c>
      <c r="N3470">
        <v>105</v>
      </c>
      <c r="O3470">
        <v>517</v>
      </c>
      <c r="P3470">
        <v>499</v>
      </c>
      <c r="Q3470">
        <v>517</v>
      </c>
      <c r="S3470">
        <v>1566</v>
      </c>
      <c r="T3470">
        <v>1566</v>
      </c>
      <c r="U3470">
        <f>+SUM(Table1[[#This Row],[Latinos]:[Cemex]])</f>
        <v>1</v>
      </c>
      <c r="V3470" t="str">
        <f>+Table1[[#This Row],[id_destino]]&amp;" - "&amp;Table1[[#This Row],[id_origen]]</f>
        <v>71 - 105</v>
      </c>
    </row>
    <row r="3471" spans="1:22" hidden="1">
      <c r="A3471">
        <v>3637</v>
      </c>
      <c r="B3471">
        <v>4126</v>
      </c>
      <c r="C3471">
        <v>4181</v>
      </c>
      <c r="D3471">
        <v>7275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  <c r="K3471" t="s">
        <v>20</v>
      </c>
      <c r="L3471" s="1">
        <v>45008</v>
      </c>
      <c r="M3471">
        <v>78</v>
      </c>
      <c r="N3471">
        <v>105</v>
      </c>
      <c r="O3471">
        <v>233</v>
      </c>
      <c r="P3471">
        <v>248</v>
      </c>
      <c r="Q3471">
        <v>233</v>
      </c>
      <c r="S3471">
        <v>751</v>
      </c>
      <c r="T3471">
        <v>841</v>
      </c>
      <c r="U3471">
        <f>+SUM(Table1[[#This Row],[Latinos]:[Cemex]])</f>
        <v>1</v>
      </c>
      <c r="V3471" t="str">
        <f>+Table1[[#This Row],[id_destino]]&amp;" - "&amp;Table1[[#This Row],[id_origen]]</f>
        <v>78 - 105</v>
      </c>
    </row>
    <row r="3472" spans="1:22" hidden="1">
      <c r="A3472">
        <v>1522</v>
      </c>
      <c r="B3472">
        <v>1843</v>
      </c>
      <c r="C3472">
        <v>173</v>
      </c>
      <c r="D3472">
        <v>4328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 t="s">
        <v>20</v>
      </c>
      <c r="L3472" s="1">
        <v>44655</v>
      </c>
      <c r="M3472">
        <v>79</v>
      </c>
      <c r="N3472">
        <v>105</v>
      </c>
      <c r="O3472">
        <v>305</v>
      </c>
      <c r="P3472">
        <v>280</v>
      </c>
      <c r="Q3472">
        <v>305</v>
      </c>
      <c r="S3472">
        <v>1688</v>
      </c>
      <c r="T3472">
        <v>1696</v>
      </c>
      <c r="U3472">
        <f>+SUM(Table1[[#This Row],[Latinos]:[Cemex]])</f>
        <v>1</v>
      </c>
      <c r="V3472" t="str">
        <f>+Table1[[#This Row],[id_destino]]&amp;" - "&amp;Table1[[#This Row],[id_origen]]</f>
        <v>79 - 105</v>
      </c>
    </row>
    <row r="3473" spans="1:22" hidden="1">
      <c r="A3473">
        <v>335</v>
      </c>
      <c r="B3473">
        <v>2266</v>
      </c>
      <c r="C3473">
        <v>5319</v>
      </c>
      <c r="D3473">
        <v>259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 t="s">
        <v>20</v>
      </c>
      <c r="L3473" s="1">
        <v>43039</v>
      </c>
      <c r="M3473">
        <v>95</v>
      </c>
      <c r="N3473">
        <v>105</v>
      </c>
      <c r="O3473">
        <v>874</v>
      </c>
      <c r="P3473">
        <v>874</v>
      </c>
      <c r="Q3473">
        <v>874</v>
      </c>
      <c r="S3473">
        <v>682</v>
      </c>
      <c r="T3473">
        <v>682</v>
      </c>
      <c r="U3473">
        <f>+SUM(Table1[[#This Row],[Latinos]:[Cemex]])</f>
        <v>1</v>
      </c>
      <c r="V3473" t="str">
        <f>+Table1[[#This Row],[id_destino]]&amp;" - "&amp;Table1[[#This Row],[id_origen]]</f>
        <v>95 - 105</v>
      </c>
    </row>
    <row r="3474" spans="1:22" hidden="1">
      <c r="A3474">
        <v>2111</v>
      </c>
      <c r="B3474">
        <v>3137</v>
      </c>
      <c r="C3474">
        <v>6193</v>
      </c>
      <c r="D3474">
        <v>6193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  <c r="K3474" t="s">
        <v>20</v>
      </c>
      <c r="L3474" s="1">
        <v>44145</v>
      </c>
      <c r="M3474">
        <v>105</v>
      </c>
      <c r="N3474">
        <v>105</v>
      </c>
      <c r="O3474">
        <v>15</v>
      </c>
      <c r="P3474">
        <v>150</v>
      </c>
      <c r="Q3474">
        <v>15</v>
      </c>
      <c r="S3474">
        <v>0</v>
      </c>
      <c r="T3474">
        <v>0</v>
      </c>
      <c r="U3474">
        <f>+SUM(Table1[[#This Row],[Latinos]:[Cemex]])</f>
        <v>1</v>
      </c>
      <c r="V3474" t="str">
        <f>+Table1[[#This Row],[id_destino]]&amp;" - "&amp;Table1[[#This Row],[id_origen]]</f>
        <v>105 - 105</v>
      </c>
    </row>
    <row r="3475" spans="1:22" hidden="1">
      <c r="A3475">
        <v>4020</v>
      </c>
      <c r="B3475">
        <v>3137</v>
      </c>
      <c r="C3475">
        <v>173</v>
      </c>
      <c r="D3475">
        <v>3182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  <c r="K3475" t="s">
        <v>20</v>
      </c>
      <c r="L3475" s="1">
        <v>45238</v>
      </c>
      <c r="M3475">
        <v>105</v>
      </c>
      <c r="N3475">
        <v>105</v>
      </c>
      <c r="O3475">
        <v>10</v>
      </c>
      <c r="P3475">
        <v>150</v>
      </c>
      <c r="Q3475">
        <v>10</v>
      </c>
      <c r="S3475">
        <v>0</v>
      </c>
      <c r="T3475">
        <v>0</v>
      </c>
      <c r="U3475">
        <f>+SUM(Table1[[#This Row],[Latinos]:[Cemex]])</f>
        <v>1</v>
      </c>
      <c r="V3475" t="str">
        <f>+Table1[[#This Row],[id_destino]]&amp;" - "&amp;Table1[[#This Row],[id_origen]]</f>
        <v>105 - 105</v>
      </c>
    </row>
    <row r="3476" spans="1:22" hidden="1">
      <c r="A3476">
        <v>2604</v>
      </c>
      <c r="B3476">
        <v>1459</v>
      </c>
      <c r="C3476">
        <v>6412</v>
      </c>
      <c r="D3476">
        <v>1366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  <c r="K3476" t="s">
        <v>20</v>
      </c>
      <c r="L3476" s="1">
        <v>44236</v>
      </c>
      <c r="M3476">
        <v>107</v>
      </c>
      <c r="N3476">
        <v>105</v>
      </c>
      <c r="O3476">
        <v>509</v>
      </c>
      <c r="P3476">
        <v>520</v>
      </c>
      <c r="Q3476">
        <v>509</v>
      </c>
      <c r="S3476">
        <v>987</v>
      </c>
      <c r="T3476">
        <v>1061</v>
      </c>
      <c r="U3476">
        <f>+SUM(Table1[[#This Row],[Latinos]:[Cemex]])</f>
        <v>1</v>
      </c>
      <c r="V3476" t="str">
        <f>+Table1[[#This Row],[id_destino]]&amp;" - "&amp;Table1[[#This Row],[id_origen]]</f>
        <v>107 - 105</v>
      </c>
    </row>
    <row r="3477" spans="1:22" hidden="1">
      <c r="A3477">
        <v>2897</v>
      </c>
      <c r="B3477">
        <v>3639</v>
      </c>
      <c r="C3477">
        <v>173</v>
      </c>
      <c r="D3477">
        <v>6548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 t="s">
        <v>20</v>
      </c>
      <c r="L3477" s="1">
        <v>44613</v>
      </c>
      <c r="M3477">
        <v>121</v>
      </c>
      <c r="N3477">
        <v>105</v>
      </c>
      <c r="O3477">
        <v>284</v>
      </c>
      <c r="P3477">
        <v>287</v>
      </c>
      <c r="Q3477">
        <v>274</v>
      </c>
      <c r="S3477">
        <v>1005</v>
      </c>
      <c r="T3477">
        <v>1005</v>
      </c>
      <c r="U3477">
        <f>+SUM(Table1[[#This Row],[Latinos]:[Cemex]])</f>
        <v>1</v>
      </c>
      <c r="V3477" t="str">
        <f>+Table1[[#This Row],[id_destino]]&amp;" - "&amp;Table1[[#This Row],[id_origen]]</f>
        <v>121 - 105</v>
      </c>
    </row>
    <row r="3478" spans="1:22" hidden="1">
      <c r="A3478">
        <v>787</v>
      </c>
      <c r="B3478">
        <v>48</v>
      </c>
      <c r="C3478">
        <v>173</v>
      </c>
      <c r="D3478">
        <v>47</v>
      </c>
      <c r="E3478">
        <v>0</v>
      </c>
      <c r="F3478">
        <v>1</v>
      </c>
      <c r="G3478">
        <v>0</v>
      </c>
      <c r="H3478">
        <v>0</v>
      </c>
      <c r="I3478">
        <v>0</v>
      </c>
      <c r="J3478">
        <v>0</v>
      </c>
      <c r="K3478" t="s">
        <v>20</v>
      </c>
      <c r="L3478" s="1">
        <v>44844</v>
      </c>
      <c r="M3478">
        <v>129</v>
      </c>
      <c r="N3478">
        <v>105</v>
      </c>
      <c r="O3478">
        <v>538</v>
      </c>
      <c r="P3478">
        <v>508</v>
      </c>
      <c r="Q3478">
        <v>538</v>
      </c>
      <c r="S3478">
        <v>1907</v>
      </c>
      <c r="T3478">
        <v>1907</v>
      </c>
      <c r="U3478">
        <f>+SUM(Table1[[#This Row],[Latinos]:[Cemex]])</f>
        <v>1</v>
      </c>
      <c r="V3478" t="str">
        <f>+Table1[[#This Row],[id_destino]]&amp;" - "&amp;Table1[[#This Row],[id_origen]]</f>
        <v>129 - 105</v>
      </c>
    </row>
    <row r="3479" spans="1:22" hidden="1">
      <c r="A3479">
        <v>1583</v>
      </c>
      <c r="B3479">
        <v>1369</v>
      </c>
      <c r="C3479">
        <v>173</v>
      </c>
      <c r="D3479">
        <v>3176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 t="s">
        <v>20</v>
      </c>
      <c r="L3479" s="1">
        <v>43516</v>
      </c>
      <c r="M3479">
        <v>136</v>
      </c>
      <c r="N3479">
        <v>105</v>
      </c>
      <c r="O3479">
        <v>175</v>
      </c>
      <c r="P3479">
        <v>170</v>
      </c>
      <c r="Q3479">
        <v>175</v>
      </c>
      <c r="S3479">
        <v>1380</v>
      </c>
      <c r="T3479">
        <v>1380</v>
      </c>
      <c r="U3479">
        <f>+SUM(Table1[[#This Row],[Latinos]:[Cemex]])</f>
        <v>1</v>
      </c>
      <c r="V3479" t="str">
        <f>+Table1[[#This Row],[id_destino]]&amp;" - "&amp;Table1[[#This Row],[id_origen]]</f>
        <v>136 - 105</v>
      </c>
    </row>
    <row r="3480" spans="1:22" hidden="1">
      <c r="A3480">
        <v>4623</v>
      </c>
      <c r="B3480">
        <v>1909</v>
      </c>
      <c r="C3480">
        <v>173</v>
      </c>
      <c r="D3480">
        <v>8094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0</v>
      </c>
      <c r="K3480" t="s">
        <v>20</v>
      </c>
      <c r="L3480" s="1">
        <v>45681</v>
      </c>
      <c r="M3480">
        <v>179</v>
      </c>
      <c r="N3480">
        <v>105</v>
      </c>
      <c r="O3480">
        <v>1899</v>
      </c>
      <c r="P3480">
        <v>1862</v>
      </c>
      <c r="Q3480">
        <v>1899</v>
      </c>
      <c r="S3480">
        <v>6550</v>
      </c>
      <c r="T3480">
        <v>6662</v>
      </c>
      <c r="U3480">
        <f>+SUM(Table1[[#This Row],[Latinos]:[Cemex]])</f>
        <v>1</v>
      </c>
      <c r="V3480" t="str">
        <f>+Table1[[#This Row],[id_destino]]&amp;" - "&amp;Table1[[#This Row],[id_origen]]</f>
        <v>179 - 105</v>
      </c>
    </row>
    <row r="3481" spans="1:22" hidden="1">
      <c r="A3481">
        <v>918</v>
      </c>
      <c r="B3481">
        <v>2512</v>
      </c>
      <c r="C3481">
        <v>173</v>
      </c>
      <c r="D3481">
        <v>3430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 t="s">
        <v>20</v>
      </c>
      <c r="L3481" s="1">
        <v>43213</v>
      </c>
      <c r="M3481">
        <v>180</v>
      </c>
      <c r="N3481">
        <v>105</v>
      </c>
      <c r="O3481">
        <v>1084</v>
      </c>
      <c r="P3481">
        <v>1084</v>
      </c>
      <c r="Q3481">
        <v>1084</v>
      </c>
      <c r="S3481">
        <v>1034</v>
      </c>
      <c r="T3481">
        <v>1034</v>
      </c>
      <c r="U3481">
        <f>+SUM(Table1[[#This Row],[Latinos]:[Cemex]])</f>
        <v>1</v>
      </c>
      <c r="V3481" t="str">
        <f>+Table1[[#This Row],[id_destino]]&amp;" - "&amp;Table1[[#This Row],[id_origen]]</f>
        <v>180 - 105</v>
      </c>
    </row>
    <row r="3482" spans="1:22" hidden="1">
      <c r="A3482">
        <v>1371</v>
      </c>
      <c r="B3482">
        <v>2706</v>
      </c>
      <c r="C3482">
        <v>173</v>
      </c>
      <c r="D3482">
        <v>5738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 t="s">
        <v>20</v>
      </c>
      <c r="L3482" s="1">
        <v>43409</v>
      </c>
      <c r="M3482">
        <v>190</v>
      </c>
      <c r="N3482">
        <v>105</v>
      </c>
      <c r="O3482">
        <v>694</v>
      </c>
      <c r="P3482">
        <v>682</v>
      </c>
      <c r="Q3482">
        <v>694</v>
      </c>
      <c r="S3482">
        <v>740</v>
      </c>
      <c r="T3482">
        <v>757</v>
      </c>
      <c r="U3482">
        <f>+SUM(Table1[[#This Row],[Latinos]:[Cemex]])</f>
        <v>1</v>
      </c>
      <c r="V3482" t="str">
        <f>+Table1[[#This Row],[id_destino]]&amp;" - "&amp;Table1[[#This Row],[id_origen]]</f>
        <v>190 - 105</v>
      </c>
    </row>
    <row r="3483" spans="1:22" hidden="1">
      <c r="A3483">
        <v>4442</v>
      </c>
      <c r="B3483">
        <v>4661</v>
      </c>
      <c r="C3483">
        <v>173</v>
      </c>
      <c r="D3483">
        <v>5604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 t="s">
        <v>20</v>
      </c>
      <c r="L3483" s="1">
        <v>45542</v>
      </c>
      <c r="M3483">
        <v>227</v>
      </c>
      <c r="N3483">
        <v>105</v>
      </c>
      <c r="O3483">
        <v>90</v>
      </c>
      <c r="P3483">
        <v>150</v>
      </c>
      <c r="Q3483">
        <v>90</v>
      </c>
      <c r="S3483">
        <v>644</v>
      </c>
      <c r="T3483">
        <v>730</v>
      </c>
      <c r="U3483">
        <f>+SUM(Table1[[#This Row],[Latinos]:[Cemex]])</f>
        <v>1</v>
      </c>
      <c r="V3483" t="str">
        <f>+Table1[[#This Row],[id_destino]]&amp;" - "&amp;Table1[[#This Row],[id_origen]]</f>
        <v>227 - 105</v>
      </c>
    </row>
    <row r="3484" spans="1:22" hidden="1">
      <c r="A3484">
        <v>2767</v>
      </c>
      <c r="B3484">
        <v>3553</v>
      </c>
      <c r="C3484">
        <v>6451</v>
      </c>
      <c r="D3484">
        <v>33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  <c r="K3484" t="s">
        <v>20</v>
      </c>
      <c r="L3484" s="1">
        <v>44428</v>
      </c>
      <c r="M3484">
        <v>260</v>
      </c>
      <c r="N3484">
        <v>105</v>
      </c>
      <c r="O3484">
        <v>1394</v>
      </c>
      <c r="P3484">
        <v>1376</v>
      </c>
      <c r="Q3484">
        <v>1394</v>
      </c>
      <c r="S3484">
        <v>3930</v>
      </c>
      <c r="T3484">
        <v>4004</v>
      </c>
      <c r="U3484">
        <f>+SUM(Table1[[#This Row],[Latinos]:[Cemex]])</f>
        <v>1</v>
      </c>
      <c r="V3484" t="str">
        <f>+Table1[[#This Row],[id_destino]]&amp;" - "&amp;Table1[[#This Row],[id_origen]]</f>
        <v>260 - 105</v>
      </c>
    </row>
    <row r="3485" spans="1:22" hidden="1">
      <c r="A3485">
        <v>2784</v>
      </c>
      <c r="B3485">
        <v>3553</v>
      </c>
      <c r="C3485">
        <v>6451</v>
      </c>
      <c r="D3485">
        <v>33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 t="s">
        <v>20</v>
      </c>
      <c r="L3485" s="1">
        <v>44440</v>
      </c>
      <c r="M3485">
        <v>260</v>
      </c>
      <c r="N3485">
        <v>105</v>
      </c>
      <c r="O3485">
        <v>1396</v>
      </c>
      <c r="P3485">
        <v>1393</v>
      </c>
      <c r="Q3485">
        <v>1396</v>
      </c>
      <c r="S3485">
        <v>3970</v>
      </c>
      <c r="T3485">
        <v>4044</v>
      </c>
      <c r="U3485">
        <f>+SUM(Table1[[#This Row],[Latinos]:[Cemex]])</f>
        <v>1</v>
      </c>
      <c r="V3485" t="str">
        <f>+Table1[[#This Row],[id_destino]]&amp;" - "&amp;Table1[[#This Row],[id_origen]]</f>
        <v>260 - 105</v>
      </c>
    </row>
    <row r="3486" spans="1:22" hidden="1">
      <c r="A3486">
        <v>1244</v>
      </c>
      <c r="B3486">
        <v>2653</v>
      </c>
      <c r="C3486">
        <v>173</v>
      </c>
      <c r="D3486">
        <v>5688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 t="s">
        <v>20</v>
      </c>
      <c r="L3486" s="1">
        <v>43360</v>
      </c>
      <c r="M3486">
        <v>290</v>
      </c>
      <c r="N3486">
        <v>105</v>
      </c>
      <c r="O3486">
        <v>38</v>
      </c>
      <c r="P3486">
        <v>150</v>
      </c>
      <c r="Q3486">
        <v>38</v>
      </c>
      <c r="S3486">
        <v>327</v>
      </c>
      <c r="T3486">
        <v>327</v>
      </c>
      <c r="U3486">
        <f>+SUM(Table1[[#This Row],[Latinos]:[Cemex]])</f>
        <v>1</v>
      </c>
      <c r="V3486" t="str">
        <f>+Table1[[#This Row],[id_destino]]&amp;" - "&amp;Table1[[#This Row],[id_origen]]</f>
        <v>290 - 105</v>
      </c>
    </row>
    <row r="3487" spans="1:22" hidden="1">
      <c r="A3487">
        <v>1832</v>
      </c>
      <c r="B3487">
        <v>1750</v>
      </c>
      <c r="C3487">
        <v>111</v>
      </c>
      <c r="D3487">
        <v>5378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0</v>
      </c>
      <c r="K3487" t="s">
        <v>20</v>
      </c>
      <c r="L3487" s="1">
        <v>43655</v>
      </c>
      <c r="M3487">
        <v>345</v>
      </c>
      <c r="N3487">
        <v>105</v>
      </c>
      <c r="O3487">
        <v>62</v>
      </c>
      <c r="P3487">
        <v>150</v>
      </c>
      <c r="Q3487">
        <v>62</v>
      </c>
      <c r="S3487">
        <v>0</v>
      </c>
      <c r="T3487">
        <v>0</v>
      </c>
      <c r="U3487">
        <f>+SUM(Table1[[#This Row],[Latinos]:[Cemex]])</f>
        <v>1</v>
      </c>
      <c r="V3487" t="str">
        <f>+Table1[[#This Row],[id_destino]]&amp;" - "&amp;Table1[[#This Row],[id_origen]]</f>
        <v>345 - 105</v>
      </c>
    </row>
    <row r="3488" spans="1:22" hidden="1">
      <c r="A3488">
        <v>2535</v>
      </c>
      <c r="B3488">
        <v>3402</v>
      </c>
      <c r="C3488">
        <v>6412</v>
      </c>
      <c r="D3488">
        <v>4145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  <c r="K3488" t="s">
        <v>20</v>
      </c>
      <c r="L3488" s="1">
        <v>44161</v>
      </c>
      <c r="M3488">
        <v>353</v>
      </c>
      <c r="N3488">
        <v>105</v>
      </c>
      <c r="O3488">
        <v>108</v>
      </c>
      <c r="P3488">
        <v>98</v>
      </c>
      <c r="Q3488">
        <v>108</v>
      </c>
      <c r="S3488">
        <v>351</v>
      </c>
      <c r="T3488">
        <v>351</v>
      </c>
      <c r="U3488">
        <f>+SUM(Table1[[#This Row],[Latinos]:[Cemex]])</f>
        <v>1</v>
      </c>
      <c r="V3488" t="str">
        <f>+Table1[[#This Row],[id_destino]]&amp;" - "&amp;Table1[[#This Row],[id_origen]]</f>
        <v>353 - 105</v>
      </c>
    </row>
    <row r="3489" spans="1:22" hidden="1">
      <c r="A3489">
        <v>2625</v>
      </c>
      <c r="B3489">
        <v>3402</v>
      </c>
      <c r="C3489">
        <v>6412</v>
      </c>
      <c r="D3489">
        <v>4145</v>
      </c>
      <c r="E3489">
        <v>0</v>
      </c>
      <c r="F3489">
        <v>1</v>
      </c>
      <c r="G3489">
        <v>0</v>
      </c>
      <c r="H3489">
        <v>0</v>
      </c>
      <c r="I3489">
        <v>1</v>
      </c>
      <c r="J3489">
        <v>0</v>
      </c>
      <c r="K3489" t="s">
        <v>20</v>
      </c>
      <c r="L3489" s="1">
        <v>44252</v>
      </c>
      <c r="M3489">
        <v>353</v>
      </c>
      <c r="N3489">
        <v>105</v>
      </c>
      <c r="O3489">
        <v>117</v>
      </c>
      <c r="P3489">
        <v>150</v>
      </c>
      <c r="Q3489">
        <v>117</v>
      </c>
      <c r="S3489">
        <v>361</v>
      </c>
      <c r="T3489">
        <v>361</v>
      </c>
      <c r="U3489">
        <f>+SUM(Table1[[#This Row],[Latinos]:[Cemex]])</f>
        <v>2</v>
      </c>
      <c r="V3489" t="str">
        <f>+Table1[[#This Row],[id_destino]]&amp;" - "&amp;Table1[[#This Row],[id_origen]]</f>
        <v>353 - 105</v>
      </c>
    </row>
    <row r="3490" spans="1:22" hidden="1">
      <c r="A3490">
        <v>4130</v>
      </c>
      <c r="B3490">
        <v>4437</v>
      </c>
      <c r="C3490">
        <v>173</v>
      </c>
      <c r="D3490">
        <v>7403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 t="s">
        <v>20</v>
      </c>
      <c r="L3490" s="1">
        <v>45308</v>
      </c>
      <c r="M3490">
        <v>466</v>
      </c>
      <c r="N3490">
        <v>105</v>
      </c>
      <c r="O3490">
        <v>640</v>
      </c>
      <c r="P3490">
        <v>626</v>
      </c>
      <c r="Q3490">
        <v>640</v>
      </c>
      <c r="S3490">
        <v>2505</v>
      </c>
      <c r="T3490">
        <v>2505</v>
      </c>
      <c r="U3490">
        <f>+SUM(Table1[[#This Row],[Latinos]:[Cemex]])</f>
        <v>1</v>
      </c>
      <c r="V3490" t="str">
        <f>+Table1[[#This Row],[id_destino]]&amp;" - "&amp;Table1[[#This Row],[id_origen]]</f>
        <v>466 - 105</v>
      </c>
    </row>
    <row r="3491" spans="1:22" hidden="1">
      <c r="A3491">
        <v>4626</v>
      </c>
      <c r="B3491">
        <v>4804</v>
      </c>
      <c r="C3491">
        <v>173</v>
      </c>
      <c r="D3491">
        <v>8102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 t="s">
        <v>20</v>
      </c>
      <c r="L3491" s="1">
        <v>45682</v>
      </c>
      <c r="M3491">
        <v>515</v>
      </c>
      <c r="N3491">
        <v>105</v>
      </c>
      <c r="O3491">
        <v>940</v>
      </c>
      <c r="P3491">
        <v>939</v>
      </c>
      <c r="Q3491">
        <v>940</v>
      </c>
      <c r="S3491">
        <v>3024</v>
      </c>
      <c r="T3491">
        <v>3024</v>
      </c>
      <c r="U3491">
        <f>+SUM(Table1[[#This Row],[Latinos]:[Cemex]])</f>
        <v>1</v>
      </c>
      <c r="V3491" t="str">
        <f>+Table1[[#This Row],[id_destino]]&amp;" - "&amp;Table1[[#This Row],[id_origen]]</f>
        <v>515 - 105</v>
      </c>
    </row>
    <row r="3492" spans="1:22" hidden="1">
      <c r="A3492">
        <v>4181</v>
      </c>
      <c r="B3492">
        <v>4473</v>
      </c>
      <c r="C3492">
        <v>7355</v>
      </c>
      <c r="D3492">
        <v>7670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 t="s">
        <v>20</v>
      </c>
      <c r="L3492" s="1">
        <v>45344</v>
      </c>
      <c r="M3492">
        <v>525</v>
      </c>
      <c r="N3492">
        <v>105</v>
      </c>
      <c r="O3492">
        <v>57</v>
      </c>
      <c r="P3492">
        <v>150</v>
      </c>
      <c r="Q3492">
        <v>57</v>
      </c>
      <c r="S3492">
        <v>0</v>
      </c>
      <c r="T3492">
        <v>0</v>
      </c>
      <c r="U3492">
        <f>+SUM(Table1[[#This Row],[Latinos]:[Cemex]])</f>
        <v>1</v>
      </c>
      <c r="V3492" t="str">
        <f>+Table1[[#This Row],[id_destino]]&amp;" - "&amp;Table1[[#This Row],[id_origen]]</f>
        <v>525 - 105</v>
      </c>
    </row>
    <row r="3493" spans="1:22" hidden="1">
      <c r="A3493">
        <v>4052</v>
      </c>
      <c r="B3493">
        <v>4388</v>
      </c>
      <c r="C3493">
        <v>173</v>
      </c>
      <c r="D3493">
        <v>7011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 t="s">
        <v>20</v>
      </c>
      <c r="L3493" s="1">
        <v>45254</v>
      </c>
      <c r="M3493">
        <v>591</v>
      </c>
      <c r="N3493">
        <v>105</v>
      </c>
      <c r="O3493">
        <v>15</v>
      </c>
      <c r="P3493">
        <v>150</v>
      </c>
      <c r="Q3493">
        <v>15</v>
      </c>
      <c r="S3493">
        <v>0</v>
      </c>
      <c r="T3493">
        <v>0</v>
      </c>
      <c r="U3493">
        <f>+SUM(Table1[[#This Row],[Latinos]:[Cemex]])</f>
        <v>1</v>
      </c>
      <c r="V3493" t="str">
        <f>+Table1[[#This Row],[id_destino]]&amp;" - "&amp;Table1[[#This Row],[id_origen]]</f>
        <v>591 - 105</v>
      </c>
    </row>
    <row r="3494" spans="1:22" hidden="1">
      <c r="A3494">
        <v>4140</v>
      </c>
      <c r="B3494">
        <v>4388</v>
      </c>
      <c r="C3494">
        <v>173</v>
      </c>
      <c r="D3494">
        <v>7011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  <c r="K3494" t="s">
        <v>20</v>
      </c>
      <c r="L3494" s="1">
        <v>45315</v>
      </c>
      <c r="M3494">
        <v>591</v>
      </c>
      <c r="N3494">
        <v>105</v>
      </c>
      <c r="O3494">
        <v>17</v>
      </c>
      <c r="P3494">
        <v>17</v>
      </c>
      <c r="Q3494">
        <v>17</v>
      </c>
      <c r="S3494">
        <v>0</v>
      </c>
      <c r="T3494">
        <v>0</v>
      </c>
      <c r="U3494">
        <f>+SUM(Table1[[#This Row],[Latinos]:[Cemex]])</f>
        <v>1</v>
      </c>
      <c r="V3494" t="str">
        <f>+Table1[[#This Row],[id_destino]]&amp;" - "&amp;Table1[[#This Row],[id_origen]]</f>
        <v>591 - 105</v>
      </c>
    </row>
    <row r="3495" spans="1:22" hidden="1">
      <c r="A3495">
        <v>826</v>
      </c>
      <c r="B3495">
        <v>2469</v>
      </c>
      <c r="C3495">
        <v>173</v>
      </c>
      <c r="D3495">
        <v>72</v>
      </c>
      <c r="E3495">
        <v>0</v>
      </c>
      <c r="F3495">
        <v>1</v>
      </c>
      <c r="G3495">
        <v>0</v>
      </c>
      <c r="H3495">
        <v>0</v>
      </c>
      <c r="I3495">
        <v>0</v>
      </c>
      <c r="J3495">
        <v>0</v>
      </c>
      <c r="K3495" t="s">
        <v>20</v>
      </c>
      <c r="L3495" s="1">
        <v>43179</v>
      </c>
      <c r="M3495">
        <v>669</v>
      </c>
      <c r="N3495">
        <v>105</v>
      </c>
      <c r="O3495">
        <v>390</v>
      </c>
      <c r="P3495">
        <v>370</v>
      </c>
      <c r="Q3495">
        <v>390</v>
      </c>
      <c r="S3495">
        <v>417</v>
      </c>
      <c r="T3495">
        <v>417</v>
      </c>
      <c r="U3495">
        <f>+SUM(Table1[[#This Row],[Latinos]:[Cemex]])</f>
        <v>1</v>
      </c>
      <c r="V3495" t="str">
        <f>+Table1[[#This Row],[id_destino]]&amp;" - "&amp;Table1[[#This Row],[id_origen]]</f>
        <v>669 - 105</v>
      </c>
    </row>
    <row r="3496" spans="1:22" hidden="1">
      <c r="A3496">
        <v>1755</v>
      </c>
      <c r="B3496">
        <v>2741</v>
      </c>
      <c r="C3496">
        <v>173</v>
      </c>
      <c r="D3496">
        <v>3489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  <c r="K3496" t="s">
        <v>60</v>
      </c>
      <c r="L3496" s="1">
        <v>43878</v>
      </c>
      <c r="M3496">
        <v>684</v>
      </c>
      <c r="N3496">
        <v>105</v>
      </c>
      <c r="O3496">
        <v>256</v>
      </c>
      <c r="P3496">
        <v>256</v>
      </c>
      <c r="Q3496">
        <v>256</v>
      </c>
      <c r="S3496">
        <v>644</v>
      </c>
      <c r="T3496">
        <v>723</v>
      </c>
      <c r="U3496">
        <f>+SUM(Table1[[#This Row],[Latinos]:[Cemex]])</f>
        <v>1</v>
      </c>
      <c r="V3496" t="str">
        <f>+Table1[[#This Row],[id_destino]]&amp;" - "&amp;Table1[[#This Row],[id_origen]]</f>
        <v>684 - 105</v>
      </c>
    </row>
    <row r="3497" spans="1:22" hidden="1">
      <c r="A3497">
        <v>599</v>
      </c>
      <c r="B3497">
        <v>2360</v>
      </c>
      <c r="C3497">
        <v>173</v>
      </c>
      <c r="D3497">
        <v>5417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</v>
      </c>
      <c r="K3497" t="s">
        <v>20</v>
      </c>
      <c r="L3497" s="1">
        <v>43111</v>
      </c>
      <c r="M3497">
        <v>730</v>
      </c>
      <c r="N3497">
        <v>105</v>
      </c>
      <c r="O3497">
        <v>106</v>
      </c>
      <c r="P3497">
        <v>150</v>
      </c>
      <c r="Q3497">
        <v>106</v>
      </c>
      <c r="S3497">
        <v>165</v>
      </c>
      <c r="T3497">
        <v>165</v>
      </c>
      <c r="U3497">
        <f>+SUM(Table1[[#This Row],[Latinos]:[Cemex]])</f>
        <v>1</v>
      </c>
      <c r="V3497" t="str">
        <f>+Table1[[#This Row],[id_destino]]&amp;" - "&amp;Table1[[#This Row],[id_origen]]</f>
        <v>730 - 105</v>
      </c>
    </row>
    <row r="3498" spans="1:22" hidden="1">
      <c r="A3498">
        <v>1503</v>
      </c>
      <c r="B3498">
        <v>2783</v>
      </c>
      <c r="C3498">
        <v>173</v>
      </c>
      <c r="D3498">
        <v>5797</v>
      </c>
      <c r="E3498">
        <v>0</v>
      </c>
      <c r="F3498">
        <v>1</v>
      </c>
      <c r="G3498">
        <v>0</v>
      </c>
      <c r="H3498">
        <v>0</v>
      </c>
      <c r="I3498">
        <v>0</v>
      </c>
      <c r="J3498">
        <v>0</v>
      </c>
      <c r="K3498" t="s">
        <v>20</v>
      </c>
      <c r="L3498" s="1">
        <v>43474</v>
      </c>
      <c r="M3498">
        <v>742</v>
      </c>
      <c r="N3498">
        <v>105</v>
      </c>
      <c r="O3498">
        <v>561</v>
      </c>
      <c r="P3498">
        <v>561</v>
      </c>
      <c r="Q3498">
        <v>561</v>
      </c>
      <c r="S3498">
        <v>1712</v>
      </c>
      <c r="T3498">
        <v>1712</v>
      </c>
      <c r="U3498">
        <f>+SUM(Table1[[#This Row],[Latinos]:[Cemex]])</f>
        <v>1</v>
      </c>
      <c r="V3498" t="str">
        <f>+Table1[[#This Row],[id_destino]]&amp;" - "&amp;Table1[[#This Row],[id_origen]]</f>
        <v>742 - 105</v>
      </c>
    </row>
    <row r="3499" spans="1:22" hidden="1">
      <c r="A3499">
        <v>1018</v>
      </c>
      <c r="B3499">
        <v>2548</v>
      </c>
      <c r="C3499">
        <v>4889</v>
      </c>
      <c r="D3499">
        <v>3679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 t="s">
        <v>20</v>
      </c>
      <c r="L3499" s="1">
        <v>43251</v>
      </c>
      <c r="M3499">
        <v>750</v>
      </c>
      <c r="N3499">
        <v>105</v>
      </c>
      <c r="O3499">
        <v>48</v>
      </c>
      <c r="P3499">
        <v>150</v>
      </c>
      <c r="Q3499">
        <v>48</v>
      </c>
      <c r="S3499">
        <v>199</v>
      </c>
      <c r="T3499">
        <v>251</v>
      </c>
      <c r="U3499">
        <f>+SUM(Table1[[#This Row],[Latinos]:[Cemex]])</f>
        <v>1</v>
      </c>
      <c r="V3499" t="str">
        <f>+Table1[[#This Row],[id_destino]]&amp;" - "&amp;Table1[[#This Row],[id_origen]]</f>
        <v>750 - 105</v>
      </c>
    </row>
    <row r="3500" spans="1:22" hidden="1">
      <c r="A3500">
        <v>1325</v>
      </c>
      <c r="B3500">
        <v>2692</v>
      </c>
      <c r="C3500">
        <v>173</v>
      </c>
      <c r="D3500">
        <v>5726</v>
      </c>
      <c r="E3500">
        <v>0</v>
      </c>
      <c r="F3500">
        <v>1</v>
      </c>
      <c r="G3500">
        <v>0</v>
      </c>
      <c r="H3500">
        <v>0</v>
      </c>
      <c r="I3500">
        <v>0</v>
      </c>
      <c r="J3500">
        <v>0</v>
      </c>
      <c r="K3500" t="s">
        <v>20</v>
      </c>
      <c r="L3500" s="1">
        <v>43384</v>
      </c>
      <c r="M3500">
        <v>759</v>
      </c>
      <c r="N3500">
        <v>105</v>
      </c>
      <c r="O3500">
        <v>717</v>
      </c>
      <c r="P3500">
        <v>802</v>
      </c>
      <c r="Q3500">
        <v>717</v>
      </c>
      <c r="S3500">
        <v>1561</v>
      </c>
      <c r="T3500">
        <v>1631</v>
      </c>
      <c r="U3500">
        <f>+SUM(Table1[[#This Row],[Latinos]:[Cemex]])</f>
        <v>1</v>
      </c>
      <c r="V3500" t="str">
        <f>+Table1[[#This Row],[id_destino]]&amp;" - "&amp;Table1[[#This Row],[id_origen]]</f>
        <v>759 - 105</v>
      </c>
    </row>
    <row r="3501" spans="1:22" hidden="1">
      <c r="A3501">
        <v>2804</v>
      </c>
      <c r="B3501">
        <v>3578</v>
      </c>
      <c r="C3501">
        <v>173</v>
      </c>
      <c r="D3501">
        <v>6685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 t="s">
        <v>20</v>
      </c>
      <c r="L3501" s="1">
        <v>44467</v>
      </c>
      <c r="M3501">
        <v>776</v>
      </c>
      <c r="N3501">
        <v>105</v>
      </c>
      <c r="O3501">
        <v>150</v>
      </c>
      <c r="P3501">
        <v>150</v>
      </c>
      <c r="Q3501">
        <v>150</v>
      </c>
      <c r="S3501">
        <v>298</v>
      </c>
      <c r="T3501">
        <v>350</v>
      </c>
      <c r="U3501">
        <f>+SUM(Table1[[#This Row],[Latinos]:[Cemex]])</f>
        <v>1</v>
      </c>
      <c r="V3501" t="str">
        <f>+Table1[[#This Row],[id_destino]]&amp;" - "&amp;Table1[[#This Row],[id_origen]]</f>
        <v>776 - 105</v>
      </c>
    </row>
    <row r="3502" spans="1:22" hidden="1">
      <c r="A3502">
        <v>2065</v>
      </c>
      <c r="B3502">
        <v>3113</v>
      </c>
      <c r="C3502">
        <v>173</v>
      </c>
      <c r="D3502">
        <v>6165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 t="s">
        <v>20</v>
      </c>
      <c r="L3502" s="1">
        <v>43795</v>
      </c>
      <c r="M3502">
        <v>794</v>
      </c>
      <c r="N3502">
        <v>105</v>
      </c>
      <c r="O3502">
        <v>992</v>
      </c>
      <c r="P3502">
        <v>1014</v>
      </c>
      <c r="Q3502">
        <v>992</v>
      </c>
      <c r="S3502">
        <v>1933</v>
      </c>
      <c r="T3502">
        <v>2006</v>
      </c>
      <c r="U3502">
        <f>+SUM(Table1[[#This Row],[Latinos]:[Cemex]])</f>
        <v>1</v>
      </c>
      <c r="V3502" t="str">
        <f>+Table1[[#This Row],[id_destino]]&amp;" - "&amp;Table1[[#This Row],[id_origen]]</f>
        <v>794 - 105</v>
      </c>
    </row>
    <row r="3503" spans="1:22" hidden="1">
      <c r="A3503">
        <v>3059</v>
      </c>
      <c r="B3503">
        <v>1195</v>
      </c>
      <c r="C3503">
        <v>3173</v>
      </c>
      <c r="D3503">
        <v>6908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 t="s">
        <v>20</v>
      </c>
      <c r="L3503" s="1">
        <v>44712</v>
      </c>
      <c r="M3503">
        <v>3</v>
      </c>
      <c r="N3503">
        <v>107</v>
      </c>
      <c r="O3503">
        <v>923</v>
      </c>
      <c r="P3503">
        <v>921</v>
      </c>
      <c r="Q3503">
        <v>923</v>
      </c>
      <c r="S3503">
        <v>3262</v>
      </c>
      <c r="T3503">
        <v>3262</v>
      </c>
      <c r="U3503">
        <f>+SUM(Table1[[#This Row],[Latinos]:[Cemex]])</f>
        <v>1</v>
      </c>
      <c r="V3503" t="str">
        <f>+Table1[[#This Row],[id_destino]]&amp;" - "&amp;Table1[[#This Row],[id_origen]]</f>
        <v>3 - 107</v>
      </c>
    </row>
    <row r="3504" spans="1:22" hidden="1">
      <c r="A3504">
        <v>2093</v>
      </c>
      <c r="B3504">
        <v>433</v>
      </c>
      <c r="C3504">
        <v>3173</v>
      </c>
      <c r="D3504">
        <v>4455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 t="s">
        <v>20</v>
      </c>
      <c r="L3504" s="1">
        <v>43806</v>
      </c>
      <c r="M3504">
        <v>23</v>
      </c>
      <c r="N3504">
        <v>107</v>
      </c>
      <c r="O3504">
        <v>787</v>
      </c>
      <c r="P3504">
        <v>781</v>
      </c>
      <c r="Q3504">
        <v>787</v>
      </c>
      <c r="S3504">
        <v>1552</v>
      </c>
      <c r="T3504">
        <v>1606</v>
      </c>
      <c r="U3504">
        <f>+SUM(Table1[[#This Row],[Latinos]:[Cemex]])</f>
        <v>1</v>
      </c>
      <c r="V3504" t="str">
        <f>+Table1[[#This Row],[id_destino]]&amp;" - "&amp;Table1[[#This Row],[id_origen]]</f>
        <v>23 - 107</v>
      </c>
    </row>
    <row r="3505" spans="1:22" hidden="1">
      <c r="A3505">
        <v>3543</v>
      </c>
      <c r="B3505">
        <v>482</v>
      </c>
      <c r="C3505">
        <v>3173</v>
      </c>
      <c r="D3505">
        <v>7201</v>
      </c>
      <c r="E3505">
        <v>0</v>
      </c>
      <c r="F3505">
        <v>1</v>
      </c>
      <c r="G3505">
        <v>0</v>
      </c>
      <c r="H3505">
        <v>0</v>
      </c>
      <c r="I3505">
        <v>0</v>
      </c>
      <c r="J3505">
        <v>0</v>
      </c>
      <c r="K3505" t="s">
        <v>20</v>
      </c>
      <c r="L3505" s="1">
        <v>44952</v>
      </c>
      <c r="M3505">
        <v>24</v>
      </c>
      <c r="N3505">
        <v>107</v>
      </c>
      <c r="O3505">
        <v>1075</v>
      </c>
      <c r="P3505">
        <v>1075</v>
      </c>
      <c r="Q3505">
        <v>1075</v>
      </c>
      <c r="S3505">
        <v>2396</v>
      </c>
      <c r="T3505">
        <v>2516</v>
      </c>
      <c r="U3505">
        <f>+SUM(Table1[[#This Row],[Latinos]:[Cemex]])</f>
        <v>1</v>
      </c>
      <c r="V3505" t="str">
        <f>+Table1[[#This Row],[id_destino]]&amp;" - "&amp;Table1[[#This Row],[id_origen]]</f>
        <v>24 - 107</v>
      </c>
    </row>
    <row r="3506" spans="1:22" hidden="1">
      <c r="A3506">
        <v>2169</v>
      </c>
      <c r="B3506">
        <v>3181</v>
      </c>
      <c r="C3506">
        <v>1555</v>
      </c>
      <c r="D3506">
        <v>5978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 t="s">
        <v>20</v>
      </c>
      <c r="L3506" s="1">
        <v>43838</v>
      </c>
      <c r="M3506">
        <v>30</v>
      </c>
      <c r="N3506">
        <v>107</v>
      </c>
      <c r="O3506">
        <v>1251</v>
      </c>
      <c r="P3506">
        <v>1251</v>
      </c>
      <c r="Q3506">
        <v>1251</v>
      </c>
      <c r="S3506">
        <v>1956.9</v>
      </c>
      <c r="T3506">
        <v>2434.48</v>
      </c>
      <c r="U3506">
        <f>+SUM(Table1[[#This Row],[Latinos]:[Cemex]])</f>
        <v>1</v>
      </c>
      <c r="V3506" t="str">
        <f>+Table1[[#This Row],[id_destino]]&amp;" - "&amp;Table1[[#This Row],[id_origen]]</f>
        <v>30 - 107</v>
      </c>
    </row>
    <row r="3507" spans="1:22" hidden="1">
      <c r="A3507">
        <v>2649</v>
      </c>
      <c r="B3507">
        <v>3181</v>
      </c>
      <c r="C3507">
        <v>3173</v>
      </c>
      <c r="D3507">
        <v>34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 t="s">
        <v>20</v>
      </c>
      <c r="L3507" s="1">
        <v>44291</v>
      </c>
      <c r="M3507">
        <v>30</v>
      </c>
      <c r="N3507">
        <v>107</v>
      </c>
      <c r="O3507">
        <v>1251</v>
      </c>
      <c r="P3507">
        <v>1251</v>
      </c>
      <c r="Q3507">
        <v>1251</v>
      </c>
      <c r="S3507">
        <v>3094</v>
      </c>
      <c r="T3507">
        <v>3148</v>
      </c>
      <c r="U3507">
        <f>+SUM(Table1[[#This Row],[Latinos]:[Cemex]])</f>
        <v>1</v>
      </c>
      <c r="V3507" t="str">
        <f>+Table1[[#This Row],[id_destino]]&amp;" - "&amp;Table1[[#This Row],[id_origen]]</f>
        <v>30 - 107</v>
      </c>
    </row>
    <row r="3508" spans="1:22" hidden="1">
      <c r="A3508">
        <v>260</v>
      </c>
      <c r="B3508">
        <v>1394</v>
      </c>
      <c r="C3508">
        <v>3173</v>
      </c>
      <c r="D3508">
        <v>5095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0</v>
      </c>
      <c r="K3508" t="s">
        <v>20</v>
      </c>
      <c r="L3508" s="1">
        <v>45791</v>
      </c>
      <c r="M3508">
        <v>35</v>
      </c>
      <c r="N3508">
        <v>107</v>
      </c>
      <c r="O3508">
        <v>450</v>
      </c>
      <c r="P3508">
        <v>450</v>
      </c>
      <c r="Q3508">
        <v>450</v>
      </c>
      <c r="S3508">
        <v>2413</v>
      </c>
      <c r="T3508">
        <v>2413</v>
      </c>
      <c r="U3508">
        <f>+SUM(Table1[[#This Row],[Latinos]:[Cemex]])</f>
        <v>1</v>
      </c>
      <c r="V3508" t="str">
        <f>+Table1[[#This Row],[id_destino]]&amp;" - "&amp;Table1[[#This Row],[id_origen]]</f>
        <v>35 - 107</v>
      </c>
    </row>
    <row r="3509" spans="1:22" hidden="1">
      <c r="A3509">
        <v>789</v>
      </c>
      <c r="B3509">
        <v>1394</v>
      </c>
      <c r="C3509">
        <v>1555</v>
      </c>
      <c r="D3509">
        <v>3618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 t="s">
        <v>20</v>
      </c>
      <c r="L3509" s="1">
        <v>43164</v>
      </c>
      <c r="M3509">
        <v>35</v>
      </c>
      <c r="N3509">
        <v>107</v>
      </c>
      <c r="O3509">
        <v>510</v>
      </c>
      <c r="P3509">
        <v>510</v>
      </c>
      <c r="Q3509">
        <v>510</v>
      </c>
      <c r="S3509">
        <v>372.41</v>
      </c>
      <c r="T3509">
        <v>499</v>
      </c>
      <c r="U3509">
        <f>+SUM(Table1[[#This Row],[Latinos]:[Cemex]])</f>
        <v>1</v>
      </c>
      <c r="V3509" t="str">
        <f>+Table1[[#This Row],[id_destino]]&amp;" - "&amp;Table1[[#This Row],[id_origen]]</f>
        <v>35 - 107</v>
      </c>
    </row>
    <row r="3510" spans="1:22" hidden="1">
      <c r="A3510">
        <v>814</v>
      </c>
      <c r="B3510">
        <v>1394</v>
      </c>
      <c r="C3510">
        <v>1555</v>
      </c>
      <c r="D3510">
        <v>3618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  <c r="K3510" t="s">
        <v>20</v>
      </c>
      <c r="L3510" s="1">
        <v>44863</v>
      </c>
      <c r="M3510">
        <v>35</v>
      </c>
      <c r="N3510">
        <v>107</v>
      </c>
      <c r="O3510">
        <v>510</v>
      </c>
      <c r="P3510">
        <v>510</v>
      </c>
      <c r="Q3510">
        <v>510</v>
      </c>
      <c r="S3510">
        <v>372.41</v>
      </c>
      <c r="T3510">
        <v>372.41</v>
      </c>
      <c r="U3510">
        <f>+SUM(Table1[[#This Row],[Latinos]:[Cemex]])</f>
        <v>1</v>
      </c>
      <c r="V3510" t="str">
        <f>+Table1[[#This Row],[id_destino]]&amp;" - "&amp;Table1[[#This Row],[id_origen]]</f>
        <v>35 - 107</v>
      </c>
    </row>
    <row r="3511" spans="1:22" hidden="1">
      <c r="A3511">
        <v>278</v>
      </c>
      <c r="B3511">
        <v>333</v>
      </c>
      <c r="C3511">
        <v>1555</v>
      </c>
      <c r="D3511">
        <v>4894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 t="s">
        <v>20</v>
      </c>
      <c r="L3511" s="1">
        <v>43029</v>
      </c>
      <c r="M3511">
        <v>37</v>
      </c>
      <c r="N3511">
        <v>107</v>
      </c>
      <c r="O3511">
        <v>1098</v>
      </c>
      <c r="P3511">
        <v>1098</v>
      </c>
      <c r="Q3511">
        <v>1098</v>
      </c>
      <c r="S3511">
        <v>1556.03</v>
      </c>
      <c r="T3511">
        <v>1602.58</v>
      </c>
      <c r="U3511">
        <f>+SUM(Table1[[#This Row],[Latinos]:[Cemex]])</f>
        <v>1</v>
      </c>
      <c r="V3511" t="str">
        <f>+Table1[[#This Row],[id_destino]]&amp;" - "&amp;Table1[[#This Row],[id_origen]]</f>
        <v>37 - 107</v>
      </c>
    </row>
    <row r="3512" spans="1:22" hidden="1">
      <c r="A3512">
        <v>1005</v>
      </c>
      <c r="B3512">
        <v>1821</v>
      </c>
      <c r="C3512">
        <v>3173</v>
      </c>
      <c r="D3512">
        <v>3218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 t="s">
        <v>20</v>
      </c>
      <c r="L3512" s="1">
        <v>43246</v>
      </c>
      <c r="M3512">
        <v>46</v>
      </c>
      <c r="N3512">
        <v>107</v>
      </c>
      <c r="O3512">
        <v>264</v>
      </c>
      <c r="P3512">
        <v>273</v>
      </c>
      <c r="Q3512">
        <v>264</v>
      </c>
      <c r="S3512">
        <v>215</v>
      </c>
      <c r="T3512">
        <v>215</v>
      </c>
      <c r="U3512">
        <f>+SUM(Table1[[#This Row],[Latinos]:[Cemex]])</f>
        <v>1</v>
      </c>
      <c r="V3512" t="str">
        <f>+Table1[[#This Row],[id_destino]]&amp;" - "&amp;Table1[[#This Row],[id_origen]]</f>
        <v>46 - 107</v>
      </c>
    </row>
    <row r="3513" spans="1:22" hidden="1">
      <c r="A3513">
        <v>2529</v>
      </c>
      <c r="B3513">
        <v>3399</v>
      </c>
      <c r="C3513">
        <v>1366</v>
      </c>
      <c r="D3513">
        <v>3689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 t="s">
        <v>20</v>
      </c>
      <c r="L3513" s="1">
        <v>44156</v>
      </c>
      <c r="M3513">
        <v>49</v>
      </c>
      <c r="N3513">
        <v>107</v>
      </c>
      <c r="O3513">
        <v>15</v>
      </c>
      <c r="P3513">
        <v>150</v>
      </c>
      <c r="Q3513">
        <v>15</v>
      </c>
      <c r="S3513">
        <v>0</v>
      </c>
      <c r="T3513">
        <v>0</v>
      </c>
      <c r="U3513">
        <f>+SUM(Table1[[#This Row],[Latinos]:[Cemex]])</f>
        <v>1</v>
      </c>
      <c r="V3513" t="str">
        <f>+Table1[[#This Row],[id_destino]]&amp;" - "&amp;Table1[[#This Row],[id_origen]]</f>
        <v>49 - 107</v>
      </c>
    </row>
    <row r="3514" spans="1:22" hidden="1">
      <c r="A3514">
        <v>1409</v>
      </c>
      <c r="B3514">
        <v>2729</v>
      </c>
      <c r="C3514">
        <v>1637</v>
      </c>
      <c r="D3514">
        <v>5460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  <c r="K3514" t="s">
        <v>20</v>
      </c>
      <c r="L3514" s="1">
        <v>43421</v>
      </c>
      <c r="M3514">
        <v>51</v>
      </c>
      <c r="N3514">
        <v>107</v>
      </c>
      <c r="O3514">
        <v>557</v>
      </c>
      <c r="P3514">
        <v>557</v>
      </c>
      <c r="Q3514">
        <v>557</v>
      </c>
      <c r="S3514">
        <v>0</v>
      </c>
      <c r="T3514">
        <v>0</v>
      </c>
      <c r="U3514">
        <f>+SUM(Table1[[#This Row],[Latinos]:[Cemex]])</f>
        <v>1</v>
      </c>
      <c r="V3514" t="str">
        <f>+Table1[[#This Row],[id_destino]]&amp;" - "&amp;Table1[[#This Row],[id_origen]]</f>
        <v>51 - 107</v>
      </c>
    </row>
    <row r="3515" spans="1:22" hidden="1">
      <c r="A3515">
        <v>294</v>
      </c>
      <c r="B3515">
        <v>2257</v>
      </c>
      <c r="C3515">
        <v>3173</v>
      </c>
      <c r="D3515">
        <v>70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0</v>
      </c>
      <c r="K3515" t="s">
        <v>20</v>
      </c>
      <c r="L3515" s="1">
        <v>43032</v>
      </c>
      <c r="M3515">
        <v>60</v>
      </c>
      <c r="N3515">
        <v>107</v>
      </c>
      <c r="O3515">
        <v>2746</v>
      </c>
      <c r="P3515">
        <v>2768</v>
      </c>
      <c r="Q3515">
        <v>2746</v>
      </c>
      <c r="S3515">
        <v>2201</v>
      </c>
      <c r="T3515">
        <v>2549</v>
      </c>
      <c r="U3515">
        <f>+SUM(Table1[[#This Row],[Latinos]:[Cemex]])</f>
        <v>1</v>
      </c>
      <c r="V3515" t="str">
        <f>+Table1[[#This Row],[id_destino]]&amp;" - "&amp;Table1[[#This Row],[id_origen]]</f>
        <v>60 - 107</v>
      </c>
    </row>
    <row r="3516" spans="1:22" hidden="1">
      <c r="A3516">
        <v>931</v>
      </c>
      <c r="B3516">
        <v>1754</v>
      </c>
      <c r="C3516">
        <v>3173</v>
      </c>
      <c r="D3516">
        <v>4828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 t="s">
        <v>20</v>
      </c>
      <c r="L3516" s="1">
        <v>43218</v>
      </c>
      <c r="M3516">
        <v>63</v>
      </c>
      <c r="N3516">
        <v>107</v>
      </c>
      <c r="O3516">
        <v>163</v>
      </c>
      <c r="P3516">
        <v>142</v>
      </c>
      <c r="Q3516">
        <v>163</v>
      </c>
      <c r="S3516">
        <v>49</v>
      </c>
      <c r="T3516">
        <v>49</v>
      </c>
      <c r="U3516">
        <f>+SUM(Table1[[#This Row],[Latinos]:[Cemex]])</f>
        <v>1</v>
      </c>
      <c r="V3516" t="str">
        <f>+Table1[[#This Row],[id_destino]]&amp;" - "&amp;Table1[[#This Row],[id_origen]]</f>
        <v>63 - 107</v>
      </c>
    </row>
    <row r="3517" spans="1:22" hidden="1">
      <c r="A3517">
        <v>2785</v>
      </c>
      <c r="B3517">
        <v>1707</v>
      </c>
      <c r="C3517">
        <v>3173</v>
      </c>
      <c r="D3517">
        <v>4288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 t="s">
        <v>20</v>
      </c>
      <c r="L3517" s="1">
        <v>44441</v>
      </c>
      <c r="M3517">
        <v>71</v>
      </c>
      <c r="N3517">
        <v>107</v>
      </c>
      <c r="O3517">
        <v>796</v>
      </c>
      <c r="P3517">
        <v>772</v>
      </c>
      <c r="Q3517">
        <v>796</v>
      </c>
      <c r="S3517">
        <v>2301</v>
      </c>
      <c r="T3517">
        <v>2396</v>
      </c>
      <c r="U3517">
        <f>+SUM(Table1[[#This Row],[Latinos]:[Cemex]])</f>
        <v>1</v>
      </c>
      <c r="V3517" t="str">
        <f>+Table1[[#This Row],[id_destino]]&amp;" - "&amp;Table1[[#This Row],[id_origen]]</f>
        <v>71 - 107</v>
      </c>
    </row>
    <row r="3518" spans="1:22" hidden="1">
      <c r="A3518">
        <v>2694</v>
      </c>
      <c r="B3518">
        <v>1747</v>
      </c>
      <c r="C3518">
        <v>3173</v>
      </c>
      <c r="D3518">
        <v>846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 t="s">
        <v>20</v>
      </c>
      <c r="L3518" s="1">
        <v>44349</v>
      </c>
      <c r="M3518">
        <v>72</v>
      </c>
      <c r="N3518">
        <v>107</v>
      </c>
      <c r="O3518">
        <v>489</v>
      </c>
      <c r="P3518">
        <v>428</v>
      </c>
      <c r="Q3518">
        <v>489</v>
      </c>
      <c r="S3518">
        <v>1810</v>
      </c>
      <c r="T3518">
        <v>1848</v>
      </c>
      <c r="U3518">
        <f>+SUM(Table1[[#This Row],[Latinos]:[Cemex]])</f>
        <v>1</v>
      </c>
      <c r="V3518" t="str">
        <f>+Table1[[#This Row],[id_destino]]&amp;" - "&amp;Table1[[#This Row],[id_origen]]</f>
        <v>72 - 107</v>
      </c>
    </row>
    <row r="3519" spans="1:22" hidden="1">
      <c r="A3519">
        <v>1350</v>
      </c>
      <c r="B3519">
        <v>915</v>
      </c>
      <c r="C3519">
        <v>3173</v>
      </c>
      <c r="D3519">
        <v>4322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 t="s">
        <v>20</v>
      </c>
      <c r="L3519" s="1">
        <v>43545</v>
      </c>
      <c r="M3519">
        <v>76</v>
      </c>
      <c r="N3519">
        <v>107</v>
      </c>
      <c r="O3519">
        <v>538</v>
      </c>
      <c r="P3519">
        <v>538</v>
      </c>
      <c r="Q3519">
        <v>538</v>
      </c>
      <c r="S3519">
        <v>923</v>
      </c>
      <c r="T3519">
        <v>933</v>
      </c>
      <c r="U3519">
        <f>+SUM(Table1[[#This Row],[Latinos]:[Cemex]])</f>
        <v>1</v>
      </c>
      <c r="V3519" t="str">
        <f>+Table1[[#This Row],[id_destino]]&amp;" - "&amp;Table1[[#This Row],[id_origen]]</f>
        <v>76 - 107</v>
      </c>
    </row>
    <row r="3520" spans="1:22" hidden="1">
      <c r="A3520">
        <v>616</v>
      </c>
      <c r="B3520">
        <v>1908</v>
      </c>
      <c r="C3520">
        <v>3173</v>
      </c>
      <c r="D3520">
        <v>5309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0</v>
      </c>
      <c r="K3520" t="s">
        <v>20</v>
      </c>
      <c r="L3520" s="1">
        <v>44527</v>
      </c>
      <c r="M3520">
        <v>79</v>
      </c>
      <c r="N3520">
        <v>107</v>
      </c>
      <c r="O3520">
        <v>577</v>
      </c>
      <c r="P3520">
        <v>512</v>
      </c>
      <c r="Q3520">
        <v>577</v>
      </c>
      <c r="S3520">
        <v>1836</v>
      </c>
      <c r="T3520">
        <v>2029</v>
      </c>
      <c r="U3520">
        <f>+SUM(Table1[[#This Row],[Latinos]:[Cemex]])</f>
        <v>1</v>
      </c>
      <c r="V3520" t="str">
        <f>+Table1[[#This Row],[id_destino]]&amp;" - "&amp;Table1[[#This Row],[id_origen]]</f>
        <v>79 - 107</v>
      </c>
    </row>
    <row r="3521" spans="1:22" hidden="1">
      <c r="A3521">
        <v>658</v>
      </c>
      <c r="B3521">
        <v>1632</v>
      </c>
      <c r="C3521">
        <v>1637</v>
      </c>
      <c r="D3521">
        <v>5285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  <c r="K3521" t="s">
        <v>20</v>
      </c>
      <c r="L3521" s="1">
        <v>43123</v>
      </c>
      <c r="M3521">
        <v>83</v>
      </c>
      <c r="N3521">
        <v>107</v>
      </c>
      <c r="O3521">
        <v>563</v>
      </c>
      <c r="P3521">
        <v>563</v>
      </c>
      <c r="Q3521">
        <v>563</v>
      </c>
      <c r="S3521">
        <v>0</v>
      </c>
      <c r="T3521">
        <v>0</v>
      </c>
      <c r="U3521">
        <f>+SUM(Table1[[#This Row],[Latinos]:[Cemex]])</f>
        <v>1</v>
      </c>
      <c r="V3521" t="str">
        <f>+Table1[[#This Row],[id_destino]]&amp;" - "&amp;Table1[[#This Row],[id_origen]]</f>
        <v>83 - 107</v>
      </c>
    </row>
    <row r="3522" spans="1:22" hidden="1">
      <c r="A3522">
        <v>1571</v>
      </c>
      <c r="B3522">
        <v>1632</v>
      </c>
      <c r="C3522">
        <v>3173</v>
      </c>
      <c r="D3522">
        <v>3515</v>
      </c>
      <c r="E3522">
        <v>0</v>
      </c>
      <c r="F3522">
        <v>1</v>
      </c>
      <c r="G3522">
        <v>0</v>
      </c>
      <c r="H3522">
        <v>0</v>
      </c>
      <c r="I3522">
        <v>0</v>
      </c>
      <c r="J3522">
        <v>0</v>
      </c>
      <c r="K3522" t="s">
        <v>20</v>
      </c>
      <c r="L3522" s="1">
        <v>44659</v>
      </c>
      <c r="M3522">
        <v>83</v>
      </c>
      <c r="N3522">
        <v>107</v>
      </c>
      <c r="O3522">
        <v>581</v>
      </c>
      <c r="P3522">
        <v>505</v>
      </c>
      <c r="Q3522">
        <v>581</v>
      </c>
      <c r="S3522">
        <v>443</v>
      </c>
      <c r="T3522">
        <v>443</v>
      </c>
      <c r="U3522">
        <f>+SUM(Table1[[#This Row],[Latinos]:[Cemex]])</f>
        <v>1</v>
      </c>
      <c r="V3522" t="str">
        <f>+Table1[[#This Row],[id_destino]]&amp;" - "&amp;Table1[[#This Row],[id_origen]]</f>
        <v>83 - 107</v>
      </c>
    </row>
    <row r="3523" spans="1:22" hidden="1">
      <c r="A3523">
        <v>1340</v>
      </c>
      <c r="B3523">
        <v>1393</v>
      </c>
      <c r="C3523">
        <v>1555</v>
      </c>
      <c r="D3523">
        <v>268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 t="s">
        <v>20</v>
      </c>
      <c r="L3523" s="1">
        <v>43391</v>
      </c>
      <c r="M3523">
        <v>99</v>
      </c>
      <c r="N3523">
        <v>107</v>
      </c>
      <c r="O3523">
        <v>1400</v>
      </c>
      <c r="P3523">
        <v>1392</v>
      </c>
      <c r="Q3523">
        <v>1400</v>
      </c>
      <c r="S3523">
        <v>1528.44</v>
      </c>
      <c r="T3523">
        <v>1528.44</v>
      </c>
      <c r="U3523">
        <f>+SUM(Table1[[#This Row],[Latinos]:[Cemex]])</f>
        <v>1</v>
      </c>
      <c r="V3523" t="str">
        <f>+Table1[[#This Row],[id_destino]]&amp;" - "&amp;Table1[[#This Row],[id_origen]]</f>
        <v>99 - 107</v>
      </c>
    </row>
    <row r="3524" spans="1:22" hidden="1">
      <c r="A3524">
        <v>195</v>
      </c>
      <c r="B3524">
        <v>1459</v>
      </c>
      <c r="C3524">
        <v>3173</v>
      </c>
      <c r="D3524">
        <v>2635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 t="s">
        <v>20</v>
      </c>
      <c r="L3524" s="1">
        <v>43335</v>
      </c>
      <c r="M3524">
        <v>105</v>
      </c>
      <c r="N3524">
        <v>107</v>
      </c>
      <c r="O3524">
        <v>513</v>
      </c>
      <c r="P3524">
        <v>463</v>
      </c>
      <c r="Q3524">
        <v>513</v>
      </c>
      <c r="S3524">
        <v>2294</v>
      </c>
      <c r="T3524">
        <v>2387</v>
      </c>
      <c r="U3524">
        <f>+SUM(Table1[[#This Row],[Latinos]:[Cemex]])</f>
        <v>1</v>
      </c>
      <c r="V3524" t="str">
        <f>+Table1[[#This Row],[id_destino]]&amp;" - "&amp;Table1[[#This Row],[id_origen]]</f>
        <v>105 - 107</v>
      </c>
    </row>
    <row r="3525" spans="1:22" hidden="1">
      <c r="A3525">
        <v>735</v>
      </c>
      <c r="B3525">
        <v>1905</v>
      </c>
      <c r="C3525">
        <v>1523</v>
      </c>
      <c r="D3525">
        <v>1555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 t="s">
        <v>20</v>
      </c>
      <c r="L3525" s="1">
        <v>43147</v>
      </c>
      <c r="M3525">
        <v>107</v>
      </c>
      <c r="N3525">
        <v>107</v>
      </c>
      <c r="O3525">
        <v>50</v>
      </c>
      <c r="P3525">
        <v>150</v>
      </c>
      <c r="Q3525">
        <v>50</v>
      </c>
      <c r="S3525">
        <v>0</v>
      </c>
      <c r="T3525">
        <v>0</v>
      </c>
      <c r="U3525">
        <f>+SUM(Table1[[#This Row],[Latinos]:[Cemex]])</f>
        <v>1</v>
      </c>
      <c r="V3525" t="str">
        <f>+Table1[[#This Row],[id_destino]]&amp;" - "&amp;Table1[[#This Row],[id_origen]]</f>
        <v>107 - 107</v>
      </c>
    </row>
    <row r="3526" spans="1:22" hidden="1">
      <c r="A3526">
        <v>3141</v>
      </c>
      <c r="B3526">
        <v>1905</v>
      </c>
      <c r="C3526">
        <v>1523</v>
      </c>
      <c r="D3526">
        <v>1555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  <c r="K3526" t="s">
        <v>20</v>
      </c>
      <c r="L3526" s="1">
        <v>44737</v>
      </c>
      <c r="M3526">
        <v>107</v>
      </c>
      <c r="N3526">
        <v>107</v>
      </c>
      <c r="O3526">
        <v>50</v>
      </c>
      <c r="P3526">
        <v>150</v>
      </c>
      <c r="Q3526">
        <v>50</v>
      </c>
      <c r="S3526">
        <v>0</v>
      </c>
      <c r="T3526">
        <v>0</v>
      </c>
      <c r="U3526">
        <f>+SUM(Table1[[#This Row],[Latinos]:[Cemex]])</f>
        <v>1</v>
      </c>
      <c r="V3526" t="str">
        <f>+Table1[[#This Row],[id_destino]]&amp;" - "&amp;Table1[[#This Row],[id_origen]]</f>
        <v>107 - 107</v>
      </c>
    </row>
    <row r="3527" spans="1:22" hidden="1">
      <c r="A3527">
        <v>3403</v>
      </c>
      <c r="B3527">
        <v>3961</v>
      </c>
      <c r="C3527">
        <v>1637</v>
      </c>
      <c r="D3527">
        <v>6790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 t="s">
        <v>20</v>
      </c>
      <c r="L3527" s="1">
        <v>44872</v>
      </c>
      <c r="M3527">
        <v>111</v>
      </c>
      <c r="N3527">
        <v>107</v>
      </c>
      <c r="O3527">
        <v>1797</v>
      </c>
      <c r="P3527">
        <v>1804</v>
      </c>
      <c r="Q3527">
        <v>1797</v>
      </c>
      <c r="S3527">
        <v>4070</v>
      </c>
      <c r="T3527">
        <v>4210</v>
      </c>
      <c r="U3527">
        <f>+SUM(Table1[[#This Row],[Latinos]:[Cemex]])</f>
        <v>1</v>
      </c>
      <c r="V3527" t="str">
        <f>+Table1[[#This Row],[id_destino]]&amp;" - "&amp;Table1[[#This Row],[id_origen]]</f>
        <v>111 - 107</v>
      </c>
    </row>
    <row r="3528" spans="1:22" hidden="1">
      <c r="A3528">
        <v>3389</v>
      </c>
      <c r="B3528">
        <v>3952</v>
      </c>
      <c r="C3528">
        <v>3173</v>
      </c>
      <c r="D3528">
        <v>7097</v>
      </c>
      <c r="E3528">
        <v>0</v>
      </c>
      <c r="F3528">
        <v>1</v>
      </c>
      <c r="G3528">
        <v>0</v>
      </c>
      <c r="H3528">
        <v>0</v>
      </c>
      <c r="I3528">
        <v>0</v>
      </c>
      <c r="J3528">
        <v>0</v>
      </c>
      <c r="K3528" t="s">
        <v>20</v>
      </c>
      <c r="L3528" s="1">
        <v>44866</v>
      </c>
      <c r="M3528">
        <v>167</v>
      </c>
      <c r="N3528">
        <v>107</v>
      </c>
      <c r="O3528">
        <v>800</v>
      </c>
      <c r="P3528">
        <v>735</v>
      </c>
      <c r="Q3528">
        <v>800</v>
      </c>
      <c r="S3528">
        <v>3070</v>
      </c>
      <c r="T3528">
        <v>3070</v>
      </c>
      <c r="U3528">
        <f>+SUM(Table1[[#This Row],[Latinos]:[Cemex]])</f>
        <v>1</v>
      </c>
      <c r="V3528" t="str">
        <f>+Table1[[#This Row],[id_destino]]&amp;" - "&amp;Table1[[#This Row],[id_origen]]</f>
        <v>167 - 107</v>
      </c>
    </row>
    <row r="3529" spans="1:22" hidden="1">
      <c r="A3529">
        <v>4067</v>
      </c>
      <c r="B3529">
        <v>1668</v>
      </c>
      <c r="C3529">
        <v>7581</v>
      </c>
      <c r="D3529">
        <v>7466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  <c r="K3529" t="s">
        <v>20</v>
      </c>
      <c r="L3529" s="1">
        <v>45265</v>
      </c>
      <c r="M3529">
        <v>169</v>
      </c>
      <c r="N3529">
        <v>107</v>
      </c>
      <c r="O3529">
        <v>633</v>
      </c>
      <c r="P3529">
        <v>633</v>
      </c>
      <c r="Q3529">
        <v>633</v>
      </c>
      <c r="S3529">
        <v>1501</v>
      </c>
      <c r="T3529">
        <v>1501</v>
      </c>
      <c r="U3529">
        <f>+SUM(Table1[[#This Row],[Latinos]:[Cemex]])</f>
        <v>1</v>
      </c>
      <c r="V3529" t="str">
        <f>+Table1[[#This Row],[id_destino]]&amp;" - "&amp;Table1[[#This Row],[id_origen]]</f>
        <v>169 - 107</v>
      </c>
    </row>
    <row r="3530" spans="1:22" hidden="1">
      <c r="A3530">
        <v>947</v>
      </c>
      <c r="B3530">
        <v>1580</v>
      </c>
      <c r="C3530">
        <v>3987</v>
      </c>
      <c r="D3530">
        <v>5554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0</v>
      </c>
      <c r="K3530" t="s">
        <v>20</v>
      </c>
      <c r="L3530" s="1">
        <v>44025</v>
      </c>
      <c r="M3530">
        <v>180</v>
      </c>
      <c r="N3530">
        <v>107</v>
      </c>
      <c r="O3530">
        <v>767</v>
      </c>
      <c r="P3530">
        <v>767</v>
      </c>
      <c r="Q3530">
        <v>767</v>
      </c>
      <c r="S3530">
        <v>343</v>
      </c>
      <c r="T3530">
        <v>343</v>
      </c>
      <c r="U3530">
        <f>+SUM(Table1[[#This Row],[Latinos]:[Cemex]])</f>
        <v>1</v>
      </c>
      <c r="V3530" t="str">
        <f>+Table1[[#This Row],[id_destino]]&amp;" - "&amp;Table1[[#This Row],[id_origen]]</f>
        <v>180 - 107</v>
      </c>
    </row>
    <row r="3531" spans="1:22" hidden="1">
      <c r="A3531">
        <v>1729</v>
      </c>
      <c r="B3531">
        <v>1732</v>
      </c>
      <c r="C3531">
        <v>4170</v>
      </c>
      <c r="D3531">
        <v>2359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 t="s">
        <v>20</v>
      </c>
      <c r="L3531" s="1">
        <v>43593</v>
      </c>
      <c r="M3531">
        <v>190</v>
      </c>
      <c r="N3531">
        <v>107</v>
      </c>
      <c r="O3531">
        <v>232</v>
      </c>
      <c r="P3531">
        <v>232</v>
      </c>
      <c r="Q3531">
        <v>232</v>
      </c>
      <c r="S3531">
        <v>0</v>
      </c>
      <c r="T3531">
        <v>0</v>
      </c>
      <c r="U3531">
        <f>+SUM(Table1[[#This Row],[Latinos]:[Cemex]])</f>
        <v>1</v>
      </c>
      <c r="V3531" t="str">
        <f>+Table1[[#This Row],[id_destino]]&amp;" - "&amp;Table1[[#This Row],[id_origen]]</f>
        <v>190 - 107</v>
      </c>
    </row>
    <row r="3532" spans="1:22" hidden="1">
      <c r="A3532">
        <v>1104</v>
      </c>
      <c r="B3532">
        <v>2585</v>
      </c>
      <c r="C3532">
        <v>3173</v>
      </c>
      <c r="D3532">
        <v>5626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 t="s">
        <v>20</v>
      </c>
      <c r="L3532" s="1">
        <v>43291</v>
      </c>
      <c r="M3532">
        <v>230</v>
      </c>
      <c r="N3532">
        <v>107</v>
      </c>
      <c r="O3532">
        <v>124</v>
      </c>
      <c r="P3532">
        <v>150</v>
      </c>
      <c r="Q3532">
        <v>124</v>
      </c>
      <c r="S3532">
        <v>0</v>
      </c>
      <c r="T3532">
        <v>0</v>
      </c>
      <c r="U3532">
        <f>+SUM(Table1[[#This Row],[Latinos]:[Cemex]])</f>
        <v>1</v>
      </c>
      <c r="V3532" t="str">
        <f>+Table1[[#This Row],[id_destino]]&amp;" - "&amp;Table1[[#This Row],[id_origen]]</f>
        <v>230 - 107</v>
      </c>
    </row>
    <row r="3533" spans="1:22" hidden="1">
      <c r="A3533">
        <v>4829</v>
      </c>
      <c r="B3533">
        <v>4948</v>
      </c>
      <c r="C3533">
        <v>1523</v>
      </c>
      <c r="D3533">
        <v>8281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 t="s">
        <v>20</v>
      </c>
      <c r="L3533" s="1">
        <v>45882</v>
      </c>
      <c r="M3533">
        <v>241</v>
      </c>
      <c r="N3533">
        <v>107</v>
      </c>
      <c r="O3533">
        <v>265</v>
      </c>
      <c r="P3533">
        <v>282</v>
      </c>
      <c r="Q3533">
        <v>265</v>
      </c>
      <c r="S3533">
        <v>699</v>
      </c>
      <c r="T3533">
        <v>699</v>
      </c>
      <c r="U3533">
        <f>+SUM(Table1[[#This Row],[Latinos]:[Cemex]])</f>
        <v>1</v>
      </c>
      <c r="V3533" t="str">
        <f>+Table1[[#This Row],[id_destino]]&amp;" - "&amp;Table1[[#This Row],[id_origen]]</f>
        <v>241 - 107</v>
      </c>
    </row>
    <row r="3534" spans="1:22" hidden="1">
      <c r="A3534">
        <v>2575</v>
      </c>
      <c r="B3534">
        <v>3429</v>
      </c>
      <c r="C3534">
        <v>3173</v>
      </c>
      <c r="D3534">
        <v>6494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 t="s">
        <v>20</v>
      </c>
      <c r="L3534" s="1">
        <v>44194</v>
      </c>
      <c r="M3534">
        <v>254</v>
      </c>
      <c r="N3534">
        <v>107</v>
      </c>
      <c r="O3534">
        <v>524</v>
      </c>
      <c r="P3534">
        <v>524</v>
      </c>
      <c r="Q3534">
        <v>524</v>
      </c>
      <c r="S3534">
        <v>987</v>
      </c>
      <c r="T3534">
        <v>1061</v>
      </c>
      <c r="U3534">
        <f>+SUM(Table1[[#This Row],[Latinos]:[Cemex]])</f>
        <v>1</v>
      </c>
      <c r="V3534" t="str">
        <f>+Table1[[#This Row],[id_destino]]&amp;" - "&amp;Table1[[#This Row],[id_origen]]</f>
        <v>254 - 107</v>
      </c>
    </row>
    <row r="3535" spans="1:22" hidden="1">
      <c r="A3535">
        <v>4568</v>
      </c>
      <c r="B3535">
        <v>4760</v>
      </c>
      <c r="C3535">
        <v>1523</v>
      </c>
      <c r="D3535">
        <v>1034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0</v>
      </c>
      <c r="K3535" t="s">
        <v>20</v>
      </c>
      <c r="L3535" s="1">
        <v>45622</v>
      </c>
      <c r="M3535">
        <v>304</v>
      </c>
      <c r="N3535">
        <v>107</v>
      </c>
      <c r="O3535">
        <v>431</v>
      </c>
      <c r="P3535">
        <v>449</v>
      </c>
      <c r="Q3535">
        <v>431</v>
      </c>
      <c r="S3535">
        <v>1960</v>
      </c>
      <c r="T3535">
        <v>1960</v>
      </c>
      <c r="U3535">
        <f>+SUM(Table1[[#This Row],[Latinos]:[Cemex]])</f>
        <v>1</v>
      </c>
      <c r="V3535" t="str">
        <f>+Table1[[#This Row],[id_destino]]&amp;" - "&amp;Table1[[#This Row],[id_origen]]</f>
        <v>304 - 107</v>
      </c>
    </row>
    <row r="3536" spans="1:22" hidden="1">
      <c r="A3536">
        <v>4131</v>
      </c>
      <c r="B3536">
        <v>4438</v>
      </c>
      <c r="C3536">
        <v>3987</v>
      </c>
      <c r="D3536">
        <v>7636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 t="s">
        <v>20</v>
      </c>
      <c r="L3536" s="1">
        <v>45308</v>
      </c>
      <c r="M3536">
        <v>316</v>
      </c>
      <c r="N3536">
        <v>107</v>
      </c>
      <c r="O3536">
        <v>772</v>
      </c>
      <c r="P3536">
        <v>772</v>
      </c>
      <c r="Q3536">
        <v>772</v>
      </c>
      <c r="S3536">
        <v>2301</v>
      </c>
      <c r="T3536">
        <v>2396</v>
      </c>
      <c r="U3536">
        <f>+SUM(Table1[[#This Row],[Latinos]:[Cemex]])</f>
        <v>1</v>
      </c>
      <c r="V3536" t="str">
        <f>+Table1[[#This Row],[id_destino]]&amp;" - "&amp;Table1[[#This Row],[id_origen]]</f>
        <v>316 - 107</v>
      </c>
    </row>
    <row r="3537" spans="1:22" hidden="1">
      <c r="A3537">
        <v>2743</v>
      </c>
      <c r="B3537">
        <v>3537</v>
      </c>
      <c r="C3537">
        <v>4170</v>
      </c>
      <c r="D3537">
        <v>5330</v>
      </c>
      <c r="E3537">
        <v>0</v>
      </c>
      <c r="F3537">
        <v>1</v>
      </c>
      <c r="G3537">
        <v>0</v>
      </c>
      <c r="H3537">
        <v>0</v>
      </c>
      <c r="I3537">
        <v>0</v>
      </c>
      <c r="J3537">
        <v>0</v>
      </c>
      <c r="K3537" t="s">
        <v>20</v>
      </c>
      <c r="L3537" s="1">
        <v>44405</v>
      </c>
      <c r="M3537">
        <v>318</v>
      </c>
      <c r="N3537">
        <v>107</v>
      </c>
      <c r="O3537">
        <v>473</v>
      </c>
      <c r="P3537">
        <v>535</v>
      </c>
      <c r="Q3537">
        <v>473</v>
      </c>
      <c r="S3537">
        <v>987</v>
      </c>
      <c r="T3537">
        <v>1061</v>
      </c>
      <c r="U3537">
        <f>+SUM(Table1[[#This Row],[Latinos]:[Cemex]])</f>
        <v>1</v>
      </c>
      <c r="V3537" t="str">
        <f>+Table1[[#This Row],[id_destino]]&amp;" - "&amp;Table1[[#This Row],[id_origen]]</f>
        <v>318 - 107</v>
      </c>
    </row>
    <row r="3538" spans="1:22" hidden="1">
      <c r="A3538">
        <v>4478</v>
      </c>
      <c r="B3538">
        <v>4688</v>
      </c>
      <c r="C3538">
        <v>1523</v>
      </c>
      <c r="D3538">
        <v>5505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 t="s">
        <v>20</v>
      </c>
      <c r="L3538" s="1">
        <v>45575</v>
      </c>
      <c r="M3538">
        <v>345</v>
      </c>
      <c r="N3538">
        <v>107</v>
      </c>
      <c r="O3538">
        <v>475</v>
      </c>
      <c r="P3538">
        <v>491</v>
      </c>
      <c r="Q3538">
        <v>475</v>
      </c>
      <c r="S3538">
        <v>2026</v>
      </c>
      <c r="T3538">
        <v>2101</v>
      </c>
      <c r="U3538">
        <f>+SUM(Table1[[#This Row],[Latinos]:[Cemex]])</f>
        <v>1</v>
      </c>
      <c r="V3538" t="str">
        <f>+Table1[[#This Row],[id_destino]]&amp;" - "&amp;Table1[[#This Row],[id_origen]]</f>
        <v>345 - 107</v>
      </c>
    </row>
    <row r="3539" spans="1:22" hidden="1">
      <c r="A3539">
        <v>2188</v>
      </c>
      <c r="B3539">
        <v>3191</v>
      </c>
      <c r="C3539">
        <v>4170</v>
      </c>
      <c r="D3539">
        <v>6025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 t="s">
        <v>20</v>
      </c>
      <c r="L3539" s="1">
        <v>43848</v>
      </c>
      <c r="M3539">
        <v>379</v>
      </c>
      <c r="N3539">
        <v>107</v>
      </c>
      <c r="O3539">
        <v>556</v>
      </c>
      <c r="P3539">
        <v>477</v>
      </c>
      <c r="Q3539">
        <v>556</v>
      </c>
      <c r="S3539">
        <v>192</v>
      </c>
      <c r="T3539">
        <v>192</v>
      </c>
      <c r="U3539">
        <f>+SUM(Table1[[#This Row],[Latinos]:[Cemex]])</f>
        <v>1</v>
      </c>
      <c r="V3539" t="str">
        <f>+Table1[[#This Row],[id_destino]]&amp;" - "&amp;Table1[[#This Row],[id_origen]]</f>
        <v>379 - 107</v>
      </c>
    </row>
    <row r="3540" spans="1:22" hidden="1">
      <c r="A3540">
        <v>1546</v>
      </c>
      <c r="B3540">
        <v>2803</v>
      </c>
      <c r="C3540">
        <v>4170</v>
      </c>
      <c r="D3540">
        <v>2397</v>
      </c>
      <c r="E3540">
        <v>0</v>
      </c>
      <c r="F3540">
        <v>1</v>
      </c>
      <c r="G3540">
        <v>0</v>
      </c>
      <c r="H3540">
        <v>0</v>
      </c>
      <c r="I3540">
        <v>0</v>
      </c>
      <c r="J3540">
        <v>0</v>
      </c>
      <c r="K3540" t="s">
        <v>20</v>
      </c>
      <c r="L3540" s="1">
        <v>43501</v>
      </c>
      <c r="M3540">
        <v>473</v>
      </c>
      <c r="N3540">
        <v>107</v>
      </c>
      <c r="O3540">
        <v>524</v>
      </c>
      <c r="P3540">
        <v>524</v>
      </c>
      <c r="Q3540">
        <v>524</v>
      </c>
      <c r="S3540">
        <v>946</v>
      </c>
      <c r="T3540">
        <v>1016</v>
      </c>
      <c r="U3540">
        <f>+SUM(Table1[[#This Row],[Latinos]:[Cemex]])</f>
        <v>1</v>
      </c>
      <c r="V3540" t="str">
        <f>+Table1[[#This Row],[id_destino]]&amp;" - "&amp;Table1[[#This Row],[id_origen]]</f>
        <v>473 - 107</v>
      </c>
    </row>
    <row r="3541" spans="1:22" hidden="1">
      <c r="A3541">
        <v>4072</v>
      </c>
      <c r="B3541">
        <v>4401</v>
      </c>
      <c r="C3541">
        <v>4170</v>
      </c>
      <c r="D3541">
        <v>7583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 t="s">
        <v>20</v>
      </c>
      <c r="L3541" s="1">
        <v>45266</v>
      </c>
      <c r="M3541">
        <v>535</v>
      </c>
      <c r="N3541">
        <v>107</v>
      </c>
      <c r="O3541">
        <v>428</v>
      </c>
      <c r="P3541">
        <v>428</v>
      </c>
      <c r="Q3541">
        <v>428</v>
      </c>
      <c r="S3541">
        <v>0</v>
      </c>
      <c r="T3541">
        <v>0</v>
      </c>
      <c r="U3541">
        <f>+SUM(Table1[[#This Row],[Latinos]:[Cemex]])</f>
        <v>1</v>
      </c>
      <c r="V3541" t="str">
        <f>+Table1[[#This Row],[id_destino]]&amp;" - "&amp;Table1[[#This Row],[id_origen]]</f>
        <v>535 - 107</v>
      </c>
    </row>
    <row r="3542" spans="1:22" hidden="1">
      <c r="A3542">
        <v>2290</v>
      </c>
      <c r="B3542">
        <v>3252</v>
      </c>
      <c r="C3542">
        <v>3173</v>
      </c>
      <c r="D3542">
        <v>4542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 t="s">
        <v>20</v>
      </c>
      <c r="L3542" s="1">
        <v>43909</v>
      </c>
      <c r="M3542">
        <v>570</v>
      </c>
      <c r="N3542">
        <v>107</v>
      </c>
      <c r="O3542">
        <v>504</v>
      </c>
      <c r="P3542">
        <v>552</v>
      </c>
      <c r="Q3542">
        <v>504</v>
      </c>
      <c r="S3542">
        <v>1224</v>
      </c>
      <c r="T3542">
        <v>1224</v>
      </c>
      <c r="U3542">
        <f>+SUM(Table1[[#This Row],[Latinos]:[Cemex]])</f>
        <v>1</v>
      </c>
      <c r="V3542" t="str">
        <f>+Table1[[#This Row],[id_destino]]&amp;" - "&amp;Table1[[#This Row],[id_origen]]</f>
        <v>570 - 107</v>
      </c>
    </row>
    <row r="3543" spans="1:22" hidden="1">
      <c r="A3543">
        <v>618</v>
      </c>
      <c r="B3543">
        <v>2366</v>
      </c>
      <c r="C3543">
        <v>4170</v>
      </c>
      <c r="D3543">
        <v>3489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 t="s">
        <v>20</v>
      </c>
      <c r="L3543" s="1">
        <v>43116</v>
      </c>
      <c r="M3543">
        <v>684</v>
      </c>
      <c r="N3543">
        <v>107</v>
      </c>
      <c r="O3543">
        <v>527</v>
      </c>
      <c r="P3543">
        <v>512</v>
      </c>
      <c r="Q3543">
        <v>527</v>
      </c>
      <c r="S3543">
        <v>2018</v>
      </c>
      <c r="T3543">
        <v>2191</v>
      </c>
      <c r="U3543">
        <f>+SUM(Table1[[#This Row],[Latinos]:[Cemex]])</f>
        <v>1</v>
      </c>
      <c r="V3543" t="str">
        <f>+Table1[[#This Row],[id_destino]]&amp;" - "&amp;Table1[[#This Row],[id_origen]]</f>
        <v>684 - 107</v>
      </c>
    </row>
    <row r="3544" spans="1:22" hidden="1">
      <c r="A3544">
        <v>4005</v>
      </c>
      <c r="B3544">
        <v>4351</v>
      </c>
      <c r="C3544">
        <v>1366</v>
      </c>
      <c r="D3544">
        <v>7513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 t="s">
        <v>20</v>
      </c>
      <c r="L3544" s="1">
        <v>45231</v>
      </c>
      <c r="M3544">
        <v>709</v>
      </c>
      <c r="N3544">
        <v>107</v>
      </c>
      <c r="O3544">
        <v>122</v>
      </c>
      <c r="P3544">
        <v>150</v>
      </c>
      <c r="Q3544">
        <v>122</v>
      </c>
      <c r="S3544">
        <v>61</v>
      </c>
      <c r="T3544">
        <v>61</v>
      </c>
      <c r="U3544">
        <f>+SUM(Table1[[#This Row],[Latinos]:[Cemex]])</f>
        <v>1</v>
      </c>
      <c r="V3544" t="str">
        <f>+Table1[[#This Row],[id_destino]]&amp;" - "&amp;Table1[[#This Row],[id_origen]]</f>
        <v>709 - 107</v>
      </c>
    </row>
    <row r="3545" spans="1:22" hidden="1">
      <c r="A3545">
        <v>397</v>
      </c>
      <c r="B3545">
        <v>2278</v>
      </c>
      <c r="C3545">
        <v>1555</v>
      </c>
      <c r="D3545">
        <v>255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0</v>
      </c>
      <c r="K3545" t="s">
        <v>20</v>
      </c>
      <c r="L3545" s="1">
        <v>43488</v>
      </c>
      <c r="M3545">
        <v>714</v>
      </c>
      <c r="N3545">
        <v>107</v>
      </c>
      <c r="O3545">
        <v>502</v>
      </c>
      <c r="P3545">
        <v>499</v>
      </c>
      <c r="Q3545">
        <v>502</v>
      </c>
      <c r="S3545">
        <v>743.1</v>
      </c>
      <c r="T3545">
        <v>802.58</v>
      </c>
      <c r="U3545">
        <f>+SUM(Table1[[#This Row],[Latinos]:[Cemex]])</f>
        <v>1</v>
      </c>
      <c r="V3545" t="str">
        <f>+Table1[[#This Row],[id_destino]]&amp;" - "&amp;Table1[[#This Row],[id_origen]]</f>
        <v>714 - 107</v>
      </c>
    </row>
    <row r="3546" spans="1:22" hidden="1">
      <c r="A3546">
        <v>2463</v>
      </c>
      <c r="B3546">
        <v>3360</v>
      </c>
      <c r="C3546">
        <v>3987</v>
      </c>
      <c r="D3546">
        <v>6411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 t="s">
        <v>20</v>
      </c>
      <c r="L3546" s="1">
        <v>44091</v>
      </c>
      <c r="M3546">
        <v>753</v>
      </c>
      <c r="N3546">
        <v>107</v>
      </c>
      <c r="O3546">
        <v>1581</v>
      </c>
      <c r="P3546">
        <v>1581</v>
      </c>
      <c r="Q3546">
        <v>1581</v>
      </c>
      <c r="S3546">
        <v>1566</v>
      </c>
      <c r="T3546">
        <v>1566</v>
      </c>
      <c r="U3546">
        <f>+SUM(Table1[[#This Row],[Latinos]:[Cemex]])</f>
        <v>1</v>
      </c>
      <c r="V3546" t="str">
        <f>+Table1[[#This Row],[id_destino]]&amp;" - "&amp;Table1[[#This Row],[id_origen]]</f>
        <v>753 - 107</v>
      </c>
    </row>
    <row r="3547" spans="1:22" hidden="1">
      <c r="A3547">
        <v>3192</v>
      </c>
      <c r="B3547">
        <v>3830</v>
      </c>
      <c r="C3547">
        <v>2304</v>
      </c>
      <c r="D3547">
        <v>2927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  <c r="K3547" t="s">
        <v>20</v>
      </c>
      <c r="L3547" s="1">
        <v>44765</v>
      </c>
      <c r="M3547">
        <v>54</v>
      </c>
      <c r="N3547">
        <v>110</v>
      </c>
      <c r="O3547">
        <v>493</v>
      </c>
      <c r="P3547">
        <v>488</v>
      </c>
      <c r="Q3547">
        <v>493</v>
      </c>
      <c r="S3547">
        <v>0</v>
      </c>
      <c r="T3547">
        <v>0</v>
      </c>
      <c r="U3547">
        <f>+SUM(Table1[[#This Row],[Latinos]:[Cemex]])</f>
        <v>1</v>
      </c>
      <c r="V3547" t="str">
        <f>+Table1[[#This Row],[id_destino]]&amp;" - "&amp;Table1[[#This Row],[id_origen]]</f>
        <v>54 - 110</v>
      </c>
    </row>
    <row r="3548" spans="1:22" hidden="1">
      <c r="A3548">
        <v>3606</v>
      </c>
      <c r="B3548">
        <v>4107</v>
      </c>
      <c r="C3548">
        <v>2304</v>
      </c>
      <c r="D3548">
        <v>405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  <c r="K3548" t="s">
        <v>20</v>
      </c>
      <c r="L3548" s="1">
        <v>44982</v>
      </c>
      <c r="M3548">
        <v>180</v>
      </c>
      <c r="N3548">
        <v>110</v>
      </c>
      <c r="O3548">
        <v>708</v>
      </c>
      <c r="P3548">
        <v>723</v>
      </c>
      <c r="Q3548">
        <v>708</v>
      </c>
      <c r="S3548">
        <v>363</v>
      </c>
      <c r="T3548">
        <v>363</v>
      </c>
      <c r="U3548">
        <f>+SUM(Table1[[#This Row],[Latinos]:[Cemex]])</f>
        <v>1</v>
      </c>
      <c r="V3548" t="str">
        <f>+Table1[[#This Row],[id_destino]]&amp;" - "&amp;Table1[[#This Row],[id_origen]]</f>
        <v>180 - 110</v>
      </c>
    </row>
    <row r="3549" spans="1:22" hidden="1">
      <c r="A3549">
        <v>2037</v>
      </c>
      <c r="B3549">
        <v>3093</v>
      </c>
      <c r="C3549">
        <v>356</v>
      </c>
      <c r="D3549">
        <v>5530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 t="s">
        <v>20</v>
      </c>
      <c r="L3549" s="1">
        <v>43775</v>
      </c>
      <c r="M3549">
        <v>23</v>
      </c>
      <c r="N3549">
        <v>111</v>
      </c>
      <c r="O3549">
        <v>1113</v>
      </c>
      <c r="P3549">
        <v>1113</v>
      </c>
      <c r="Q3549">
        <v>1113</v>
      </c>
      <c r="S3549">
        <v>2286</v>
      </c>
      <c r="T3549">
        <v>2372</v>
      </c>
      <c r="U3549">
        <f>+SUM(Table1[[#This Row],[Latinos]:[Cemex]])</f>
        <v>1</v>
      </c>
      <c r="V3549" t="str">
        <f>+Table1[[#This Row],[id_destino]]&amp;" - "&amp;Table1[[#This Row],[id_origen]]</f>
        <v>23 - 111</v>
      </c>
    </row>
    <row r="3550" spans="1:22" hidden="1">
      <c r="A3550">
        <v>902</v>
      </c>
      <c r="B3550">
        <v>2502</v>
      </c>
      <c r="C3550">
        <v>356</v>
      </c>
      <c r="D3550">
        <v>362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 t="s">
        <v>20</v>
      </c>
      <c r="L3550" s="1">
        <v>43208</v>
      </c>
      <c r="M3550">
        <v>25</v>
      </c>
      <c r="N3550">
        <v>111</v>
      </c>
      <c r="O3550">
        <v>1286</v>
      </c>
      <c r="P3550">
        <v>1286</v>
      </c>
      <c r="Q3550">
        <v>1286</v>
      </c>
      <c r="S3550">
        <v>2660</v>
      </c>
      <c r="T3550">
        <v>2746</v>
      </c>
      <c r="U3550">
        <f>+SUM(Table1[[#This Row],[Latinos]:[Cemex]])</f>
        <v>1</v>
      </c>
      <c r="V3550" t="str">
        <f>+Table1[[#This Row],[id_destino]]&amp;" - "&amp;Table1[[#This Row],[id_origen]]</f>
        <v>25 - 111</v>
      </c>
    </row>
    <row r="3551" spans="1:22" hidden="1">
      <c r="A3551">
        <v>899</v>
      </c>
      <c r="B3551">
        <v>2501</v>
      </c>
      <c r="C3551">
        <v>356</v>
      </c>
      <c r="D3551">
        <v>403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  <c r="K3551" t="s">
        <v>20</v>
      </c>
      <c r="L3551" s="1">
        <v>43207</v>
      </c>
      <c r="M3551">
        <v>27</v>
      </c>
      <c r="N3551">
        <v>111</v>
      </c>
      <c r="O3551">
        <v>1062</v>
      </c>
      <c r="P3551">
        <v>1063</v>
      </c>
      <c r="Q3551">
        <v>1062</v>
      </c>
      <c r="S3551">
        <v>1811</v>
      </c>
      <c r="T3551">
        <v>1897</v>
      </c>
      <c r="U3551">
        <f>+SUM(Table1[[#This Row],[Latinos]:[Cemex]])</f>
        <v>1</v>
      </c>
      <c r="V3551" t="str">
        <f>+Table1[[#This Row],[id_destino]]&amp;" - "&amp;Table1[[#This Row],[id_origen]]</f>
        <v>27 - 111</v>
      </c>
    </row>
    <row r="3552" spans="1:22" hidden="1">
      <c r="A3552">
        <v>928</v>
      </c>
      <c r="B3552">
        <v>2515</v>
      </c>
      <c r="C3552">
        <v>356</v>
      </c>
      <c r="D3552">
        <v>419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 t="s">
        <v>20</v>
      </c>
      <c r="L3552" s="1">
        <v>43216</v>
      </c>
      <c r="M3552">
        <v>60</v>
      </c>
      <c r="N3552">
        <v>111</v>
      </c>
      <c r="O3552">
        <v>1114</v>
      </c>
      <c r="P3552">
        <v>1114</v>
      </c>
      <c r="Q3552">
        <v>1114</v>
      </c>
      <c r="S3552">
        <v>1076</v>
      </c>
      <c r="T3552">
        <v>1125</v>
      </c>
      <c r="U3552">
        <f>+SUM(Table1[[#This Row],[Latinos]:[Cemex]])</f>
        <v>1</v>
      </c>
      <c r="V3552" t="str">
        <f>+Table1[[#This Row],[id_destino]]&amp;" - "&amp;Table1[[#This Row],[id_origen]]</f>
        <v>60 - 111</v>
      </c>
    </row>
    <row r="3553" spans="1:22" hidden="1">
      <c r="A3553">
        <v>3283</v>
      </c>
      <c r="B3553">
        <v>3887</v>
      </c>
      <c r="C3553">
        <v>6790</v>
      </c>
      <c r="D3553">
        <v>378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  <c r="K3553" t="s">
        <v>20</v>
      </c>
      <c r="L3553" s="1">
        <v>44802</v>
      </c>
      <c r="M3553">
        <v>123</v>
      </c>
      <c r="N3553">
        <v>111</v>
      </c>
      <c r="O3553">
        <v>305</v>
      </c>
      <c r="P3553">
        <v>305</v>
      </c>
      <c r="Q3553">
        <v>305</v>
      </c>
      <c r="S3553">
        <v>426</v>
      </c>
      <c r="T3553">
        <v>438</v>
      </c>
      <c r="U3553">
        <f>+SUM(Table1[[#This Row],[Latinos]:[Cemex]])</f>
        <v>1</v>
      </c>
      <c r="V3553" t="str">
        <f>+Table1[[#This Row],[id_destino]]&amp;" - "&amp;Table1[[#This Row],[id_origen]]</f>
        <v>123 - 111</v>
      </c>
    </row>
    <row r="3554" spans="1:22" hidden="1">
      <c r="A3554">
        <v>3644</v>
      </c>
      <c r="B3554">
        <v>4131</v>
      </c>
      <c r="C3554">
        <v>6790</v>
      </c>
      <c r="D3554">
        <v>418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  <c r="K3554" t="s">
        <v>20</v>
      </c>
      <c r="L3554" s="1">
        <v>45012</v>
      </c>
      <c r="M3554">
        <v>145</v>
      </c>
      <c r="N3554">
        <v>111</v>
      </c>
      <c r="O3554">
        <v>910</v>
      </c>
      <c r="P3554">
        <v>897</v>
      </c>
      <c r="Q3554">
        <v>910</v>
      </c>
      <c r="S3554">
        <v>3312</v>
      </c>
      <c r="T3554">
        <v>3400</v>
      </c>
      <c r="U3554">
        <f>+SUM(Table1[[#This Row],[Latinos]:[Cemex]])</f>
        <v>1</v>
      </c>
      <c r="V3554" t="str">
        <f>+Table1[[#This Row],[id_destino]]&amp;" - "&amp;Table1[[#This Row],[id_origen]]</f>
        <v>145 - 111</v>
      </c>
    </row>
    <row r="3555" spans="1:22" hidden="1">
      <c r="A3555">
        <v>507</v>
      </c>
      <c r="B3555">
        <v>82</v>
      </c>
      <c r="C3555">
        <v>356</v>
      </c>
      <c r="D3555">
        <v>3169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 t="s">
        <v>35</v>
      </c>
      <c r="L3555" s="1">
        <v>43084</v>
      </c>
      <c r="M3555">
        <v>189</v>
      </c>
      <c r="N3555">
        <v>111</v>
      </c>
      <c r="O3555">
        <v>444</v>
      </c>
      <c r="P3555">
        <v>444</v>
      </c>
      <c r="Q3555">
        <v>444</v>
      </c>
      <c r="S3555">
        <v>354</v>
      </c>
      <c r="T3555">
        <v>366</v>
      </c>
      <c r="U3555">
        <f>+SUM(Table1[[#This Row],[Latinos]:[Cemex]])</f>
        <v>1</v>
      </c>
      <c r="V3555" t="str">
        <f>+Table1[[#This Row],[id_destino]]&amp;" - "&amp;Table1[[#This Row],[id_origen]]</f>
        <v>189 - 111</v>
      </c>
    </row>
    <row r="3556" spans="1:22" hidden="1">
      <c r="A3556">
        <v>3716</v>
      </c>
      <c r="B3556">
        <v>4181</v>
      </c>
      <c r="C3556">
        <v>6790</v>
      </c>
      <c r="D3556">
        <v>7136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 t="s">
        <v>20</v>
      </c>
      <c r="L3556" s="1">
        <v>45049</v>
      </c>
      <c r="M3556">
        <v>690</v>
      </c>
      <c r="N3556">
        <v>111</v>
      </c>
      <c r="O3556">
        <v>3254</v>
      </c>
      <c r="P3556">
        <v>3250</v>
      </c>
      <c r="Q3556">
        <v>3254</v>
      </c>
      <c r="S3556">
        <v>8219</v>
      </c>
      <c r="T3556">
        <v>8307</v>
      </c>
      <c r="U3556">
        <f>+SUM(Table1[[#This Row],[Latinos]:[Cemex]])</f>
        <v>1</v>
      </c>
      <c r="V3556" t="str">
        <f>+Table1[[#This Row],[id_destino]]&amp;" - "&amp;Table1[[#This Row],[id_origen]]</f>
        <v>690 - 111</v>
      </c>
    </row>
    <row r="3557" spans="1:22" hidden="1">
      <c r="A3557">
        <v>747</v>
      </c>
      <c r="B3557">
        <v>2434</v>
      </c>
      <c r="C3557">
        <v>3746</v>
      </c>
      <c r="D3557">
        <v>5473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 t="s">
        <v>20</v>
      </c>
      <c r="L3557" s="1">
        <v>43151</v>
      </c>
      <c r="M3557">
        <v>59</v>
      </c>
      <c r="N3557">
        <v>115</v>
      </c>
      <c r="O3557">
        <v>290</v>
      </c>
      <c r="P3557">
        <v>290</v>
      </c>
      <c r="Q3557">
        <v>290</v>
      </c>
      <c r="S3557">
        <v>1000</v>
      </c>
      <c r="T3557">
        <v>1000</v>
      </c>
      <c r="U3557">
        <f>+SUM(Table1[[#This Row],[Latinos]:[Cemex]])</f>
        <v>1</v>
      </c>
      <c r="V3557" t="str">
        <f>+Table1[[#This Row],[id_destino]]&amp;" - "&amp;Table1[[#This Row],[id_origen]]</f>
        <v>59 - 115</v>
      </c>
    </row>
    <row r="3558" spans="1:22" hidden="1">
      <c r="A3558">
        <v>1364</v>
      </c>
      <c r="B3558">
        <v>2434</v>
      </c>
      <c r="C3558">
        <v>3746</v>
      </c>
      <c r="D3558">
        <v>3984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  <c r="K3558" t="s">
        <v>20</v>
      </c>
      <c r="L3558" s="1">
        <v>43403</v>
      </c>
      <c r="M3558">
        <v>59</v>
      </c>
      <c r="N3558">
        <v>115</v>
      </c>
      <c r="O3558">
        <v>320</v>
      </c>
      <c r="P3558">
        <v>330</v>
      </c>
      <c r="Q3558">
        <v>320</v>
      </c>
      <c r="S3558">
        <v>1000</v>
      </c>
      <c r="T3558">
        <v>1000</v>
      </c>
      <c r="U3558">
        <f>+SUM(Table1[[#This Row],[Latinos]:[Cemex]])</f>
        <v>1</v>
      </c>
      <c r="V3558" t="str">
        <f>+Table1[[#This Row],[id_destino]]&amp;" - "&amp;Table1[[#This Row],[id_origen]]</f>
        <v>59 - 115</v>
      </c>
    </row>
    <row r="3559" spans="1:22" hidden="1">
      <c r="A3559">
        <v>1625</v>
      </c>
      <c r="B3559">
        <v>2847</v>
      </c>
      <c r="C3559">
        <v>3746</v>
      </c>
      <c r="D3559">
        <v>5851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0</v>
      </c>
      <c r="K3559" t="s">
        <v>20</v>
      </c>
      <c r="L3559" s="1">
        <v>43536</v>
      </c>
      <c r="M3559">
        <v>82</v>
      </c>
      <c r="N3559">
        <v>115</v>
      </c>
      <c r="O3559">
        <v>118</v>
      </c>
      <c r="P3559">
        <v>150</v>
      </c>
      <c r="Q3559">
        <v>118</v>
      </c>
      <c r="S3559">
        <v>273</v>
      </c>
      <c r="T3559">
        <v>273</v>
      </c>
      <c r="U3559">
        <f>+SUM(Table1[[#This Row],[Latinos]:[Cemex]])</f>
        <v>1</v>
      </c>
      <c r="V3559" t="str">
        <f>+Table1[[#This Row],[id_destino]]&amp;" - "&amp;Table1[[#This Row],[id_origen]]</f>
        <v>82 - 115</v>
      </c>
    </row>
    <row r="3560" spans="1:22" hidden="1">
      <c r="A3560">
        <v>538</v>
      </c>
      <c r="B3560">
        <v>2335</v>
      </c>
      <c r="C3560">
        <v>3746</v>
      </c>
      <c r="D3560">
        <v>4607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0</v>
      </c>
      <c r="K3560" t="s">
        <v>20</v>
      </c>
      <c r="L3560" s="1">
        <v>43092</v>
      </c>
      <c r="M3560">
        <v>117</v>
      </c>
      <c r="N3560">
        <v>115</v>
      </c>
      <c r="O3560">
        <v>43</v>
      </c>
      <c r="P3560">
        <v>150</v>
      </c>
      <c r="Q3560">
        <v>43</v>
      </c>
      <c r="S3560">
        <v>0</v>
      </c>
      <c r="T3560">
        <v>0</v>
      </c>
      <c r="U3560">
        <f>+SUM(Table1[[#This Row],[Latinos]:[Cemex]])</f>
        <v>1</v>
      </c>
      <c r="V3560" t="str">
        <f>+Table1[[#This Row],[id_destino]]&amp;" - "&amp;Table1[[#This Row],[id_origen]]</f>
        <v>117 - 115</v>
      </c>
    </row>
    <row r="3561" spans="1:22" hidden="1">
      <c r="A3561">
        <v>2142</v>
      </c>
      <c r="B3561">
        <v>3162</v>
      </c>
      <c r="C3561">
        <v>3746</v>
      </c>
      <c r="D3561">
        <v>6214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 t="s">
        <v>20</v>
      </c>
      <c r="L3561" s="1">
        <v>43832</v>
      </c>
      <c r="M3561">
        <v>802</v>
      </c>
      <c r="N3561">
        <v>115</v>
      </c>
      <c r="O3561">
        <v>141</v>
      </c>
      <c r="P3561">
        <v>150</v>
      </c>
      <c r="Q3561">
        <v>141</v>
      </c>
      <c r="S3561">
        <v>273</v>
      </c>
      <c r="T3561">
        <v>273</v>
      </c>
      <c r="U3561">
        <f>+SUM(Table1[[#This Row],[Latinos]:[Cemex]])</f>
        <v>1</v>
      </c>
      <c r="V3561" t="str">
        <f>+Table1[[#This Row],[id_destino]]&amp;" - "&amp;Table1[[#This Row],[id_origen]]</f>
        <v>802 - 115</v>
      </c>
    </row>
    <row r="3562" spans="1:22" hidden="1">
      <c r="A3562">
        <v>2233</v>
      </c>
      <c r="B3562">
        <v>3218</v>
      </c>
      <c r="C3562">
        <v>979</v>
      </c>
      <c r="D3562">
        <v>6273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 t="s">
        <v>20</v>
      </c>
      <c r="L3562" s="1">
        <v>43868</v>
      </c>
      <c r="M3562">
        <v>3</v>
      </c>
      <c r="N3562">
        <v>116</v>
      </c>
      <c r="O3562">
        <v>751</v>
      </c>
      <c r="P3562">
        <v>734</v>
      </c>
      <c r="Q3562">
        <v>751</v>
      </c>
      <c r="S3562">
        <v>1683</v>
      </c>
      <c r="T3562">
        <v>1800</v>
      </c>
      <c r="U3562">
        <f>+SUM(Table1[[#This Row],[Latinos]:[Cemex]])</f>
        <v>1</v>
      </c>
      <c r="V3562" t="str">
        <f>+Table1[[#This Row],[id_destino]]&amp;" - "&amp;Table1[[#This Row],[id_origen]]</f>
        <v>3 - 116</v>
      </c>
    </row>
    <row r="3563" spans="1:22" hidden="1">
      <c r="A3563">
        <v>2120</v>
      </c>
      <c r="B3563">
        <v>3144</v>
      </c>
      <c r="C3563">
        <v>979</v>
      </c>
      <c r="D3563">
        <v>6197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 t="s">
        <v>20</v>
      </c>
      <c r="L3563" s="1">
        <v>43818</v>
      </c>
      <c r="M3563">
        <v>4</v>
      </c>
      <c r="N3563">
        <v>116</v>
      </c>
      <c r="O3563">
        <v>836</v>
      </c>
      <c r="P3563">
        <v>826</v>
      </c>
      <c r="Q3563">
        <v>836</v>
      </c>
      <c r="S3563">
        <v>1891</v>
      </c>
      <c r="T3563">
        <v>2008</v>
      </c>
      <c r="U3563">
        <f>+SUM(Table1[[#This Row],[Latinos]:[Cemex]])</f>
        <v>1</v>
      </c>
      <c r="V3563" t="str">
        <f>+Table1[[#This Row],[id_destino]]&amp;" - "&amp;Table1[[#This Row],[id_origen]]</f>
        <v>4 - 116</v>
      </c>
    </row>
    <row r="3564" spans="1:22" hidden="1">
      <c r="A3564">
        <v>4258</v>
      </c>
      <c r="B3564">
        <v>3144</v>
      </c>
      <c r="C3564">
        <v>979</v>
      </c>
      <c r="D3564">
        <v>4632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  <c r="K3564" t="s">
        <v>20</v>
      </c>
      <c r="L3564" s="1">
        <v>45405</v>
      </c>
      <c r="M3564">
        <v>4</v>
      </c>
      <c r="N3564">
        <v>116</v>
      </c>
      <c r="O3564">
        <v>809</v>
      </c>
      <c r="P3564">
        <v>815</v>
      </c>
      <c r="Q3564">
        <v>809</v>
      </c>
      <c r="S3564">
        <v>2148</v>
      </c>
      <c r="T3564">
        <v>2265</v>
      </c>
      <c r="U3564">
        <f>+SUM(Table1[[#This Row],[Latinos]:[Cemex]])</f>
        <v>1</v>
      </c>
      <c r="V3564" t="str">
        <f>+Table1[[#This Row],[id_destino]]&amp;" - "&amp;Table1[[#This Row],[id_origen]]</f>
        <v>4 - 116</v>
      </c>
    </row>
    <row r="3565" spans="1:22" hidden="1">
      <c r="A3565">
        <v>2108</v>
      </c>
      <c r="B3565">
        <v>3135</v>
      </c>
      <c r="C3565">
        <v>979</v>
      </c>
      <c r="D3565">
        <v>6191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0</v>
      </c>
      <c r="K3565" t="s">
        <v>20</v>
      </c>
      <c r="L3565" s="1">
        <v>43812</v>
      </c>
      <c r="M3565">
        <v>6</v>
      </c>
      <c r="N3565">
        <v>116</v>
      </c>
      <c r="O3565">
        <v>1193</v>
      </c>
      <c r="P3565">
        <v>1187</v>
      </c>
      <c r="Q3565">
        <v>1193</v>
      </c>
      <c r="S3565">
        <v>1854</v>
      </c>
      <c r="T3565">
        <v>1971</v>
      </c>
      <c r="U3565">
        <f>+SUM(Table1[[#This Row],[Latinos]:[Cemex]])</f>
        <v>1</v>
      </c>
      <c r="V3565" t="str">
        <f>+Table1[[#This Row],[id_destino]]&amp;" - "&amp;Table1[[#This Row],[id_origen]]</f>
        <v>6 - 116</v>
      </c>
    </row>
    <row r="3566" spans="1:22" hidden="1">
      <c r="A3566">
        <v>2234</v>
      </c>
      <c r="B3566">
        <v>3219</v>
      </c>
      <c r="C3566">
        <v>979</v>
      </c>
      <c r="D3566">
        <v>6274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0</v>
      </c>
      <c r="K3566" t="s">
        <v>20</v>
      </c>
      <c r="L3566" s="1">
        <v>43868</v>
      </c>
      <c r="M3566">
        <v>9</v>
      </c>
      <c r="N3566">
        <v>116</v>
      </c>
      <c r="O3566">
        <v>1381</v>
      </c>
      <c r="P3566">
        <v>1374</v>
      </c>
      <c r="Q3566">
        <v>1381</v>
      </c>
      <c r="S3566">
        <v>1891</v>
      </c>
      <c r="T3566">
        <v>2008</v>
      </c>
      <c r="U3566">
        <f>+SUM(Table1[[#This Row],[Latinos]:[Cemex]])</f>
        <v>1</v>
      </c>
      <c r="V3566" t="str">
        <f>+Table1[[#This Row],[id_destino]]&amp;" - "&amp;Table1[[#This Row],[id_origen]]</f>
        <v>9 - 116</v>
      </c>
    </row>
    <row r="3567" spans="1:22" hidden="1">
      <c r="A3567">
        <v>2083</v>
      </c>
      <c r="B3567">
        <v>3124</v>
      </c>
      <c r="C3567">
        <v>979</v>
      </c>
      <c r="D3567">
        <v>6175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 t="s">
        <v>20</v>
      </c>
      <c r="L3567" s="1">
        <v>43892</v>
      </c>
      <c r="M3567">
        <v>16</v>
      </c>
      <c r="N3567">
        <v>116</v>
      </c>
      <c r="O3567">
        <v>1535</v>
      </c>
      <c r="P3567">
        <v>1542</v>
      </c>
      <c r="Q3567">
        <v>1535</v>
      </c>
      <c r="S3567">
        <v>2170</v>
      </c>
      <c r="T3567">
        <v>2470</v>
      </c>
      <c r="U3567">
        <f>+SUM(Table1[[#This Row],[Latinos]:[Cemex]])</f>
        <v>1</v>
      </c>
      <c r="V3567" t="str">
        <f>+Table1[[#This Row],[id_destino]]&amp;" - "&amp;Table1[[#This Row],[id_origen]]</f>
        <v>16 - 116</v>
      </c>
    </row>
    <row r="3568" spans="1:22" hidden="1">
      <c r="A3568">
        <v>2116</v>
      </c>
      <c r="B3568">
        <v>3140</v>
      </c>
      <c r="C3568">
        <v>979</v>
      </c>
      <c r="D3568">
        <v>6181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 t="s">
        <v>20</v>
      </c>
      <c r="L3568" s="1">
        <v>43818</v>
      </c>
      <c r="M3568">
        <v>17</v>
      </c>
      <c r="N3568">
        <v>116</v>
      </c>
      <c r="O3568">
        <v>1023</v>
      </c>
      <c r="P3568">
        <v>1009</v>
      </c>
      <c r="Q3568">
        <v>1023</v>
      </c>
      <c r="S3568">
        <v>998</v>
      </c>
      <c r="T3568">
        <v>998</v>
      </c>
      <c r="U3568">
        <f>+SUM(Table1[[#This Row],[Latinos]:[Cemex]])</f>
        <v>1</v>
      </c>
      <c r="V3568" t="str">
        <f>+Table1[[#This Row],[id_destino]]&amp;" - "&amp;Table1[[#This Row],[id_origen]]</f>
        <v>17 - 116</v>
      </c>
    </row>
    <row r="3569" spans="1:22" hidden="1">
      <c r="A3569">
        <v>2235</v>
      </c>
      <c r="B3569">
        <v>3220</v>
      </c>
      <c r="C3569">
        <v>979</v>
      </c>
      <c r="D3569">
        <v>6275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 t="s">
        <v>20</v>
      </c>
      <c r="L3569" s="1">
        <v>43892</v>
      </c>
      <c r="M3569">
        <v>26</v>
      </c>
      <c r="N3569">
        <v>116</v>
      </c>
      <c r="O3569">
        <v>659</v>
      </c>
      <c r="P3569">
        <v>625</v>
      </c>
      <c r="Q3569">
        <v>659</v>
      </c>
      <c r="S3569">
        <v>1749</v>
      </c>
      <c r="T3569">
        <v>1858</v>
      </c>
      <c r="U3569">
        <f>+SUM(Table1[[#This Row],[Latinos]:[Cemex]])</f>
        <v>1</v>
      </c>
      <c r="V3569" t="str">
        <f>+Table1[[#This Row],[id_destino]]&amp;" - "&amp;Table1[[#This Row],[id_origen]]</f>
        <v>26 - 116</v>
      </c>
    </row>
    <row r="3570" spans="1:22" hidden="1">
      <c r="A3570">
        <v>2204</v>
      </c>
      <c r="B3570">
        <v>3199</v>
      </c>
      <c r="C3570">
        <v>979</v>
      </c>
      <c r="D3570">
        <v>6254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  <c r="K3570" t="s">
        <v>20</v>
      </c>
      <c r="L3570" s="1">
        <v>43855</v>
      </c>
      <c r="M3570">
        <v>31</v>
      </c>
      <c r="N3570">
        <v>116</v>
      </c>
      <c r="O3570">
        <v>1356</v>
      </c>
      <c r="P3570">
        <v>1311</v>
      </c>
      <c r="Q3570">
        <v>1356</v>
      </c>
      <c r="S3570">
        <v>5730</v>
      </c>
      <c r="T3570">
        <v>5844</v>
      </c>
      <c r="U3570">
        <f>+SUM(Table1[[#This Row],[Latinos]:[Cemex]])</f>
        <v>1</v>
      </c>
      <c r="V3570" t="str">
        <f>+Table1[[#This Row],[id_destino]]&amp;" - "&amp;Table1[[#This Row],[id_origen]]</f>
        <v>31 - 116</v>
      </c>
    </row>
    <row r="3571" spans="1:22" hidden="1">
      <c r="A3571">
        <v>2118</v>
      </c>
      <c r="B3571">
        <v>3142</v>
      </c>
      <c r="C3571">
        <v>979</v>
      </c>
      <c r="D3571">
        <v>6179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 t="s">
        <v>20</v>
      </c>
      <c r="L3571" s="1">
        <v>43818</v>
      </c>
      <c r="M3571">
        <v>41</v>
      </c>
      <c r="N3571">
        <v>116</v>
      </c>
      <c r="O3571">
        <v>470</v>
      </c>
      <c r="P3571">
        <v>443</v>
      </c>
      <c r="Q3571">
        <v>470</v>
      </c>
      <c r="S3571">
        <v>948</v>
      </c>
      <c r="T3571">
        <v>1065</v>
      </c>
      <c r="U3571">
        <f>+SUM(Table1[[#This Row],[Latinos]:[Cemex]])</f>
        <v>1</v>
      </c>
      <c r="V3571" t="str">
        <f>+Table1[[#This Row],[id_destino]]&amp;" - "&amp;Table1[[#This Row],[id_origen]]</f>
        <v>41 - 116</v>
      </c>
    </row>
    <row r="3572" spans="1:22" hidden="1">
      <c r="A3572">
        <v>1251</v>
      </c>
      <c r="B3572">
        <v>1661</v>
      </c>
      <c r="C3572">
        <v>4173</v>
      </c>
      <c r="D3572">
        <v>3984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 t="s">
        <v>20</v>
      </c>
      <c r="L3572" s="1">
        <v>43353</v>
      </c>
      <c r="M3572">
        <v>59</v>
      </c>
      <c r="N3572">
        <v>116</v>
      </c>
      <c r="O3572">
        <v>298</v>
      </c>
      <c r="P3572">
        <v>298</v>
      </c>
      <c r="Q3572">
        <v>298</v>
      </c>
      <c r="S3572">
        <v>890</v>
      </c>
      <c r="T3572">
        <v>890</v>
      </c>
      <c r="U3572">
        <f>+SUM(Table1[[#This Row],[Latinos]:[Cemex]])</f>
        <v>1</v>
      </c>
      <c r="V3572" t="str">
        <f>+Table1[[#This Row],[id_destino]]&amp;" - "&amp;Table1[[#This Row],[id_origen]]</f>
        <v>59 - 116</v>
      </c>
    </row>
    <row r="3573" spans="1:22" hidden="1">
      <c r="A3573">
        <v>2630</v>
      </c>
      <c r="B3573">
        <v>1661</v>
      </c>
      <c r="C3573">
        <v>3490</v>
      </c>
      <c r="D3573">
        <v>3984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 t="s">
        <v>20</v>
      </c>
      <c r="L3573" s="1">
        <v>44259</v>
      </c>
      <c r="M3573">
        <v>59</v>
      </c>
      <c r="N3573">
        <v>116</v>
      </c>
      <c r="O3573">
        <v>310</v>
      </c>
      <c r="P3573">
        <v>330</v>
      </c>
      <c r="Q3573">
        <v>310</v>
      </c>
      <c r="S3573">
        <v>1152</v>
      </c>
      <c r="T3573">
        <v>1152</v>
      </c>
      <c r="U3573">
        <f>+SUM(Table1[[#This Row],[Latinos]:[Cemex]])</f>
        <v>1</v>
      </c>
      <c r="V3573" t="str">
        <f>+Table1[[#This Row],[id_destino]]&amp;" - "&amp;Table1[[#This Row],[id_origen]]</f>
        <v>59 - 116</v>
      </c>
    </row>
    <row r="3574" spans="1:22" hidden="1">
      <c r="A3574">
        <v>331</v>
      </c>
      <c r="B3574">
        <v>2265</v>
      </c>
      <c r="C3574">
        <v>4173</v>
      </c>
      <c r="D3574">
        <v>291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 t="s">
        <v>20</v>
      </c>
      <c r="L3574" s="1">
        <v>43039</v>
      </c>
      <c r="M3574">
        <v>62</v>
      </c>
      <c r="N3574">
        <v>116</v>
      </c>
      <c r="O3574">
        <v>515</v>
      </c>
      <c r="P3574">
        <v>515</v>
      </c>
      <c r="Q3574">
        <v>515</v>
      </c>
      <c r="S3574">
        <v>797</v>
      </c>
      <c r="T3574">
        <v>797</v>
      </c>
      <c r="U3574">
        <f>+SUM(Table1[[#This Row],[Latinos]:[Cemex]])</f>
        <v>1</v>
      </c>
      <c r="V3574" t="str">
        <f>+Table1[[#This Row],[id_destino]]&amp;" - "&amp;Table1[[#This Row],[id_origen]]</f>
        <v>62 - 116</v>
      </c>
    </row>
    <row r="3575" spans="1:22" hidden="1">
      <c r="A3575">
        <v>4844</v>
      </c>
      <c r="B3575">
        <v>1490</v>
      </c>
      <c r="C3575">
        <v>7837</v>
      </c>
      <c r="D3575">
        <v>4607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 t="s">
        <v>20</v>
      </c>
      <c r="L3575" s="1">
        <v>45887</v>
      </c>
      <c r="M3575">
        <v>117</v>
      </c>
      <c r="N3575">
        <v>116</v>
      </c>
      <c r="O3575">
        <v>39</v>
      </c>
      <c r="P3575">
        <v>150</v>
      </c>
      <c r="Q3575">
        <v>39</v>
      </c>
      <c r="S3575">
        <v>0</v>
      </c>
      <c r="T3575">
        <v>0</v>
      </c>
      <c r="U3575">
        <f>+SUM(Table1[[#This Row],[Latinos]:[Cemex]])</f>
        <v>1</v>
      </c>
      <c r="V3575" t="str">
        <f>+Table1[[#This Row],[id_destino]]&amp;" - "&amp;Table1[[#This Row],[id_origen]]</f>
        <v>117 - 116</v>
      </c>
    </row>
    <row r="3576" spans="1:22" hidden="1">
      <c r="A3576">
        <v>2210</v>
      </c>
      <c r="B3576">
        <v>3202</v>
      </c>
      <c r="C3576">
        <v>979</v>
      </c>
      <c r="D3576">
        <v>6259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 t="s">
        <v>20</v>
      </c>
      <c r="L3576" s="1">
        <v>43859</v>
      </c>
      <c r="M3576">
        <v>123</v>
      </c>
      <c r="N3576">
        <v>116</v>
      </c>
      <c r="O3576">
        <v>1170</v>
      </c>
      <c r="P3576">
        <v>1170</v>
      </c>
      <c r="Q3576">
        <v>1170</v>
      </c>
      <c r="S3576">
        <v>2949</v>
      </c>
      <c r="T3576">
        <v>3058</v>
      </c>
      <c r="U3576">
        <f>+SUM(Table1[[#This Row],[Latinos]:[Cemex]])</f>
        <v>1</v>
      </c>
      <c r="V3576" t="str">
        <f>+Table1[[#This Row],[id_destino]]&amp;" - "&amp;Table1[[#This Row],[id_origen]]</f>
        <v>123 - 116</v>
      </c>
    </row>
    <row r="3577" spans="1:22" hidden="1">
      <c r="A3577">
        <v>2203</v>
      </c>
      <c r="B3577">
        <v>3198</v>
      </c>
      <c r="C3577">
        <v>979</v>
      </c>
      <c r="D3577">
        <v>1005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 t="s">
        <v>20</v>
      </c>
      <c r="L3577" s="1">
        <v>43857</v>
      </c>
      <c r="M3577">
        <v>134</v>
      </c>
      <c r="N3577">
        <v>116</v>
      </c>
      <c r="O3577">
        <v>1155</v>
      </c>
      <c r="P3577">
        <v>1131</v>
      </c>
      <c r="Q3577">
        <v>1155</v>
      </c>
      <c r="S3577">
        <v>2121</v>
      </c>
      <c r="T3577">
        <v>2238</v>
      </c>
      <c r="U3577">
        <f>+SUM(Table1[[#This Row],[Latinos]:[Cemex]])</f>
        <v>1</v>
      </c>
      <c r="V3577" t="str">
        <f>+Table1[[#This Row],[id_destino]]&amp;" - "&amp;Table1[[#This Row],[id_origen]]</f>
        <v>134 - 116</v>
      </c>
    </row>
    <row r="3578" spans="1:22" hidden="1">
      <c r="A3578">
        <v>2107</v>
      </c>
      <c r="B3578">
        <v>3134</v>
      </c>
      <c r="C3578">
        <v>979</v>
      </c>
      <c r="D3578">
        <v>6190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0</v>
      </c>
      <c r="K3578" t="s">
        <v>20</v>
      </c>
      <c r="L3578" s="1">
        <v>43812</v>
      </c>
      <c r="M3578">
        <v>179</v>
      </c>
      <c r="N3578">
        <v>116</v>
      </c>
      <c r="O3578">
        <v>1996</v>
      </c>
      <c r="P3578">
        <v>1966</v>
      </c>
      <c r="Q3578">
        <v>1996</v>
      </c>
      <c r="S3578">
        <v>4296</v>
      </c>
      <c r="T3578">
        <v>4491</v>
      </c>
      <c r="U3578">
        <f>+SUM(Table1[[#This Row],[Latinos]:[Cemex]])</f>
        <v>1</v>
      </c>
      <c r="V3578" t="str">
        <f>+Table1[[#This Row],[id_destino]]&amp;" - "&amp;Table1[[#This Row],[id_origen]]</f>
        <v>179 - 116</v>
      </c>
    </row>
    <row r="3579" spans="1:22" hidden="1">
      <c r="A3579">
        <v>2202</v>
      </c>
      <c r="B3579">
        <v>3197</v>
      </c>
      <c r="C3579">
        <v>979</v>
      </c>
      <c r="D3579">
        <v>1493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0</v>
      </c>
      <c r="K3579" t="s">
        <v>20</v>
      </c>
      <c r="L3579" s="1">
        <v>43857</v>
      </c>
      <c r="M3579">
        <v>348</v>
      </c>
      <c r="N3579">
        <v>116</v>
      </c>
      <c r="O3579">
        <v>540</v>
      </c>
      <c r="P3579">
        <v>524</v>
      </c>
      <c r="Q3579">
        <v>540</v>
      </c>
      <c r="S3579">
        <v>1393</v>
      </c>
      <c r="T3579">
        <v>1510</v>
      </c>
      <c r="U3579">
        <f>+SUM(Table1[[#This Row],[Latinos]:[Cemex]])</f>
        <v>1</v>
      </c>
      <c r="V3579" t="str">
        <f>+Table1[[#This Row],[id_destino]]&amp;" - "&amp;Table1[[#This Row],[id_origen]]</f>
        <v>348 - 116</v>
      </c>
    </row>
    <row r="3580" spans="1:22" hidden="1">
      <c r="A3580">
        <v>4344</v>
      </c>
      <c r="B3580">
        <v>4584</v>
      </c>
      <c r="C3580">
        <v>7837</v>
      </c>
      <c r="D3580">
        <v>7835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 t="s">
        <v>20</v>
      </c>
      <c r="L3580" s="1">
        <v>45483</v>
      </c>
      <c r="M3580">
        <v>499</v>
      </c>
      <c r="N3580">
        <v>116</v>
      </c>
      <c r="O3580">
        <v>261</v>
      </c>
      <c r="P3580">
        <v>259</v>
      </c>
      <c r="Q3580">
        <v>261</v>
      </c>
      <c r="S3580">
        <v>413</v>
      </c>
      <c r="T3580">
        <v>413</v>
      </c>
      <c r="U3580">
        <f>+SUM(Table1[[#This Row],[Latinos]:[Cemex]])</f>
        <v>1</v>
      </c>
      <c r="V3580" t="str">
        <f>+Table1[[#This Row],[id_destino]]&amp;" - "&amp;Table1[[#This Row],[id_origen]]</f>
        <v>499 - 116</v>
      </c>
    </row>
    <row r="3581" spans="1:22" hidden="1">
      <c r="A3581">
        <v>2170</v>
      </c>
      <c r="B3581">
        <v>3182</v>
      </c>
      <c r="C3581">
        <v>979</v>
      </c>
      <c r="D3581">
        <v>6231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0</v>
      </c>
      <c r="K3581" t="s">
        <v>20</v>
      </c>
      <c r="L3581" s="1">
        <v>43892</v>
      </c>
      <c r="M3581">
        <v>539</v>
      </c>
      <c r="N3581">
        <v>116</v>
      </c>
      <c r="O3581">
        <v>90</v>
      </c>
      <c r="P3581">
        <v>150</v>
      </c>
      <c r="Q3581">
        <v>90</v>
      </c>
      <c r="S3581">
        <v>79</v>
      </c>
      <c r="T3581">
        <v>79</v>
      </c>
      <c r="U3581">
        <f>+SUM(Table1[[#This Row],[Latinos]:[Cemex]])</f>
        <v>1</v>
      </c>
      <c r="V3581" t="str">
        <f>+Table1[[#This Row],[id_destino]]&amp;" - "&amp;Table1[[#This Row],[id_origen]]</f>
        <v>539 - 116</v>
      </c>
    </row>
    <row r="3582" spans="1:22" hidden="1">
      <c r="A3582">
        <v>2171</v>
      </c>
      <c r="B3582">
        <v>3182</v>
      </c>
      <c r="C3582">
        <v>979</v>
      </c>
      <c r="D3582">
        <v>6231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  <c r="K3582" t="s">
        <v>20</v>
      </c>
      <c r="L3582" s="1">
        <v>43838</v>
      </c>
      <c r="M3582">
        <v>539</v>
      </c>
      <c r="N3582">
        <v>116</v>
      </c>
      <c r="O3582">
        <v>90</v>
      </c>
      <c r="P3582">
        <v>150</v>
      </c>
      <c r="Q3582">
        <v>90</v>
      </c>
      <c r="S3582">
        <v>79</v>
      </c>
      <c r="T3582">
        <v>79</v>
      </c>
      <c r="U3582">
        <f>+SUM(Table1[[#This Row],[Latinos]:[Cemex]])</f>
        <v>1</v>
      </c>
      <c r="V3582" t="str">
        <f>+Table1[[#This Row],[id_destino]]&amp;" - "&amp;Table1[[#This Row],[id_origen]]</f>
        <v>539 - 116</v>
      </c>
    </row>
    <row r="3583" spans="1:22" hidden="1">
      <c r="A3583">
        <v>1177</v>
      </c>
      <c r="B3583">
        <v>1729</v>
      </c>
      <c r="C3583">
        <v>4599</v>
      </c>
      <c r="D3583">
        <v>4608</v>
      </c>
      <c r="E3583">
        <v>0</v>
      </c>
      <c r="F3583">
        <v>1</v>
      </c>
      <c r="G3583">
        <v>0</v>
      </c>
      <c r="H3583">
        <v>0</v>
      </c>
      <c r="I3583">
        <v>0</v>
      </c>
      <c r="J3583">
        <v>0</v>
      </c>
      <c r="K3583" t="s">
        <v>20</v>
      </c>
      <c r="L3583" s="1">
        <v>43332</v>
      </c>
      <c r="M3583">
        <v>602</v>
      </c>
      <c r="N3583">
        <v>116</v>
      </c>
      <c r="O3583">
        <v>201</v>
      </c>
      <c r="P3583">
        <v>201</v>
      </c>
      <c r="Q3583">
        <v>201</v>
      </c>
      <c r="S3583">
        <v>590</v>
      </c>
      <c r="T3583">
        <v>590</v>
      </c>
      <c r="U3583">
        <f>+SUM(Table1[[#This Row],[Latinos]:[Cemex]])</f>
        <v>1</v>
      </c>
      <c r="V3583" t="str">
        <f>+Table1[[#This Row],[id_destino]]&amp;" - "&amp;Table1[[#This Row],[id_origen]]</f>
        <v>602 - 116</v>
      </c>
    </row>
    <row r="3584" spans="1:22" hidden="1">
      <c r="A3584">
        <v>2117</v>
      </c>
      <c r="B3584">
        <v>3141</v>
      </c>
      <c r="C3584">
        <v>979</v>
      </c>
      <c r="D3584">
        <v>6178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 t="s">
        <v>20</v>
      </c>
      <c r="L3584" s="1">
        <v>43818</v>
      </c>
      <c r="M3584">
        <v>770</v>
      </c>
      <c r="N3584">
        <v>116</v>
      </c>
      <c r="O3584">
        <v>847</v>
      </c>
      <c r="P3584">
        <v>827</v>
      </c>
      <c r="Q3584">
        <v>847</v>
      </c>
      <c r="S3584">
        <v>1184</v>
      </c>
      <c r="T3584">
        <v>1201</v>
      </c>
      <c r="U3584">
        <f>+SUM(Table1[[#This Row],[Latinos]:[Cemex]])</f>
        <v>1</v>
      </c>
      <c r="V3584" t="str">
        <f>+Table1[[#This Row],[id_destino]]&amp;" - "&amp;Table1[[#This Row],[id_origen]]</f>
        <v>770 - 116</v>
      </c>
    </row>
    <row r="3585" spans="1:22" hidden="1">
      <c r="A3585">
        <v>2151</v>
      </c>
      <c r="B3585">
        <v>3167</v>
      </c>
      <c r="C3585">
        <v>979</v>
      </c>
      <c r="D3585">
        <v>6171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 t="s">
        <v>20</v>
      </c>
      <c r="L3585" s="1">
        <v>43861</v>
      </c>
      <c r="M3585">
        <v>795</v>
      </c>
      <c r="N3585">
        <v>116</v>
      </c>
      <c r="O3585">
        <v>745</v>
      </c>
      <c r="P3585">
        <v>729</v>
      </c>
      <c r="Q3585">
        <v>745</v>
      </c>
      <c r="S3585">
        <v>1393</v>
      </c>
      <c r="T3585">
        <v>1510</v>
      </c>
      <c r="U3585">
        <f>+SUM(Table1[[#This Row],[Latinos]:[Cemex]])</f>
        <v>1</v>
      </c>
      <c r="V3585" t="str">
        <f>+Table1[[#This Row],[id_destino]]&amp;" - "&amp;Table1[[#This Row],[id_origen]]</f>
        <v>795 - 116</v>
      </c>
    </row>
    <row r="3586" spans="1:22" hidden="1">
      <c r="A3586">
        <v>2119</v>
      </c>
      <c r="B3586">
        <v>3143</v>
      </c>
      <c r="C3586">
        <v>979</v>
      </c>
      <c r="D3586">
        <v>6184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 t="s">
        <v>20</v>
      </c>
      <c r="L3586" s="1">
        <v>43818</v>
      </c>
      <c r="M3586">
        <v>797</v>
      </c>
      <c r="N3586">
        <v>116</v>
      </c>
      <c r="O3586">
        <v>894</v>
      </c>
      <c r="P3586">
        <v>897</v>
      </c>
      <c r="Q3586">
        <v>894</v>
      </c>
      <c r="S3586">
        <v>1891</v>
      </c>
      <c r="T3586">
        <v>2008</v>
      </c>
      <c r="U3586">
        <f>+SUM(Table1[[#This Row],[Latinos]:[Cemex]])</f>
        <v>1</v>
      </c>
      <c r="V3586" t="str">
        <f>+Table1[[#This Row],[id_destino]]&amp;" - "&amp;Table1[[#This Row],[id_origen]]</f>
        <v>797 - 116</v>
      </c>
    </row>
    <row r="3587" spans="1:22" hidden="1">
      <c r="A3587">
        <v>2106</v>
      </c>
      <c r="B3587">
        <v>3133</v>
      </c>
      <c r="C3587">
        <v>979</v>
      </c>
      <c r="D3587">
        <v>6189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0</v>
      </c>
      <c r="K3587" t="s">
        <v>20</v>
      </c>
      <c r="L3587" s="1">
        <v>43812</v>
      </c>
      <c r="M3587">
        <v>798</v>
      </c>
      <c r="N3587">
        <v>116</v>
      </c>
      <c r="O3587">
        <v>450</v>
      </c>
      <c r="P3587">
        <v>450</v>
      </c>
      <c r="Q3587">
        <v>450</v>
      </c>
      <c r="S3587">
        <v>978</v>
      </c>
      <c r="T3587">
        <v>1095</v>
      </c>
      <c r="U3587">
        <f>+SUM(Table1[[#This Row],[Latinos]:[Cemex]])</f>
        <v>1</v>
      </c>
      <c r="V3587" t="str">
        <f>+Table1[[#This Row],[id_destino]]&amp;" - "&amp;Table1[[#This Row],[id_origen]]</f>
        <v>798 - 116</v>
      </c>
    </row>
    <row r="3588" spans="1:22" hidden="1">
      <c r="A3588">
        <v>4124</v>
      </c>
      <c r="B3588">
        <v>4431</v>
      </c>
      <c r="C3588">
        <v>3490</v>
      </c>
      <c r="D3588">
        <v>7632</v>
      </c>
      <c r="E3588">
        <v>0</v>
      </c>
      <c r="F3588">
        <v>1</v>
      </c>
      <c r="G3588">
        <v>0</v>
      </c>
      <c r="H3588">
        <v>0</v>
      </c>
      <c r="I3588">
        <v>0</v>
      </c>
      <c r="J3588">
        <v>0</v>
      </c>
      <c r="K3588" t="s">
        <v>20</v>
      </c>
      <c r="L3588" s="1">
        <v>45304</v>
      </c>
      <c r="M3588">
        <v>896</v>
      </c>
      <c r="N3588">
        <v>116</v>
      </c>
      <c r="O3588">
        <v>150</v>
      </c>
      <c r="P3588">
        <v>150</v>
      </c>
      <c r="Q3588">
        <v>150</v>
      </c>
      <c r="S3588">
        <v>235</v>
      </c>
      <c r="T3588">
        <v>235</v>
      </c>
      <c r="U3588">
        <f>+SUM(Table1[[#This Row],[Latinos]:[Cemex]])</f>
        <v>1</v>
      </c>
      <c r="V3588" t="str">
        <f>+Table1[[#This Row],[id_destino]]&amp;" - "&amp;Table1[[#This Row],[id_origen]]</f>
        <v>896 - 116</v>
      </c>
    </row>
    <row r="3589" spans="1:22" hidden="1">
      <c r="A3589">
        <v>713</v>
      </c>
      <c r="B3589">
        <v>1185</v>
      </c>
      <c r="C3589">
        <v>5384</v>
      </c>
      <c r="D3589">
        <v>469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 t="s">
        <v>20</v>
      </c>
      <c r="L3589" s="1">
        <v>43139</v>
      </c>
      <c r="M3589">
        <v>2</v>
      </c>
      <c r="N3589">
        <v>117</v>
      </c>
      <c r="O3589">
        <v>184</v>
      </c>
      <c r="P3589">
        <v>184</v>
      </c>
      <c r="Q3589">
        <v>184</v>
      </c>
      <c r="S3589">
        <v>385</v>
      </c>
      <c r="T3589">
        <v>454</v>
      </c>
      <c r="U3589">
        <f>+SUM(Table1[[#This Row],[Latinos]:[Cemex]])</f>
        <v>1</v>
      </c>
      <c r="V3589" t="str">
        <f>+Table1[[#This Row],[id_destino]]&amp;" - "&amp;Table1[[#This Row],[id_origen]]</f>
        <v>2 - 117</v>
      </c>
    </row>
    <row r="3590" spans="1:22" hidden="1">
      <c r="A3590">
        <v>3668</v>
      </c>
      <c r="B3590">
        <v>4151</v>
      </c>
      <c r="C3590">
        <v>5384</v>
      </c>
      <c r="D3590">
        <v>353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  <c r="K3590" t="s">
        <v>20</v>
      </c>
      <c r="L3590" s="1">
        <v>45017</v>
      </c>
      <c r="M3590">
        <v>7</v>
      </c>
      <c r="N3590">
        <v>117</v>
      </c>
      <c r="O3590">
        <v>1689</v>
      </c>
      <c r="P3590">
        <v>1683</v>
      </c>
      <c r="Q3590">
        <v>1689</v>
      </c>
      <c r="S3590">
        <v>1910</v>
      </c>
      <c r="T3590">
        <v>2027</v>
      </c>
      <c r="U3590">
        <f>+SUM(Table1[[#This Row],[Latinos]:[Cemex]])</f>
        <v>1</v>
      </c>
      <c r="V3590" t="str">
        <f>+Table1[[#This Row],[id_destino]]&amp;" - "&amp;Table1[[#This Row],[id_origen]]</f>
        <v>7 - 117</v>
      </c>
    </row>
    <row r="3591" spans="1:22" hidden="1">
      <c r="A3591">
        <v>4348</v>
      </c>
      <c r="B3591">
        <v>4587</v>
      </c>
      <c r="C3591">
        <v>4607</v>
      </c>
      <c r="D3591">
        <v>7840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 t="s">
        <v>20</v>
      </c>
      <c r="L3591" s="1">
        <v>45488</v>
      </c>
      <c r="M3591">
        <v>13</v>
      </c>
      <c r="N3591">
        <v>117</v>
      </c>
      <c r="O3591">
        <v>349</v>
      </c>
      <c r="P3591">
        <v>369</v>
      </c>
      <c r="Q3591">
        <v>349</v>
      </c>
      <c r="S3591">
        <v>872</v>
      </c>
      <c r="T3591">
        <v>872</v>
      </c>
      <c r="U3591">
        <f>+SUM(Table1[[#This Row],[Latinos]:[Cemex]])</f>
        <v>1</v>
      </c>
      <c r="V3591" t="str">
        <f>+Table1[[#This Row],[id_destino]]&amp;" - "&amp;Table1[[#This Row],[id_origen]]</f>
        <v>13 - 117</v>
      </c>
    </row>
    <row r="3592" spans="1:22" hidden="1">
      <c r="A3592">
        <v>493</v>
      </c>
      <c r="B3592">
        <v>2167</v>
      </c>
      <c r="C3592">
        <v>5384</v>
      </c>
      <c r="D3592">
        <v>3935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  <c r="K3592" t="s">
        <v>20</v>
      </c>
      <c r="L3592" s="1">
        <v>43080</v>
      </c>
      <c r="M3592">
        <v>19</v>
      </c>
      <c r="N3592">
        <v>117</v>
      </c>
      <c r="O3592">
        <v>89</v>
      </c>
      <c r="P3592">
        <v>150</v>
      </c>
      <c r="Q3592">
        <v>89</v>
      </c>
      <c r="S3592">
        <v>139</v>
      </c>
      <c r="T3592">
        <v>139</v>
      </c>
      <c r="U3592">
        <f>+SUM(Table1[[#This Row],[Latinos]:[Cemex]])</f>
        <v>1</v>
      </c>
      <c r="V3592" t="str">
        <f>+Table1[[#This Row],[id_destino]]&amp;" - "&amp;Table1[[#This Row],[id_origen]]</f>
        <v>19 - 117</v>
      </c>
    </row>
    <row r="3593" spans="1:22" hidden="1">
      <c r="A3593">
        <v>4015</v>
      </c>
      <c r="B3593">
        <v>4359</v>
      </c>
      <c r="C3593">
        <v>7538</v>
      </c>
      <c r="D3593">
        <v>7543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0</v>
      </c>
      <c r="K3593" t="s">
        <v>20</v>
      </c>
      <c r="L3593" s="1">
        <v>45237</v>
      </c>
      <c r="M3593">
        <v>20</v>
      </c>
      <c r="N3593">
        <v>117</v>
      </c>
      <c r="O3593">
        <v>122</v>
      </c>
      <c r="P3593">
        <v>109</v>
      </c>
      <c r="Q3593">
        <v>122</v>
      </c>
      <c r="S3593">
        <v>250</v>
      </c>
      <c r="T3593">
        <v>250</v>
      </c>
      <c r="U3593">
        <f>+SUM(Table1[[#This Row],[Latinos]:[Cemex]])</f>
        <v>1</v>
      </c>
      <c r="V3593" t="str">
        <f>+Table1[[#This Row],[id_destino]]&amp;" - "&amp;Table1[[#This Row],[id_origen]]</f>
        <v>20 - 117</v>
      </c>
    </row>
    <row r="3594" spans="1:22" hidden="1">
      <c r="A3594">
        <v>1351</v>
      </c>
      <c r="B3594">
        <v>619</v>
      </c>
      <c r="C3594">
        <v>4607</v>
      </c>
      <c r="D3594">
        <v>5731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 t="s">
        <v>20</v>
      </c>
      <c r="L3594" s="1">
        <v>43397</v>
      </c>
      <c r="M3594">
        <v>23</v>
      </c>
      <c r="N3594">
        <v>117</v>
      </c>
      <c r="O3594">
        <v>571</v>
      </c>
      <c r="P3594">
        <v>571</v>
      </c>
      <c r="Q3594">
        <v>571</v>
      </c>
      <c r="S3594">
        <v>1509</v>
      </c>
      <c r="T3594">
        <v>1509</v>
      </c>
      <c r="U3594">
        <f>+SUM(Table1[[#This Row],[Latinos]:[Cemex]])</f>
        <v>1</v>
      </c>
      <c r="V3594" t="str">
        <f>+Table1[[#This Row],[id_destino]]&amp;" - "&amp;Table1[[#This Row],[id_origen]]</f>
        <v>23 - 117</v>
      </c>
    </row>
    <row r="3595" spans="1:22" hidden="1">
      <c r="A3595">
        <v>3907</v>
      </c>
      <c r="B3595">
        <v>619</v>
      </c>
      <c r="C3595">
        <v>6941</v>
      </c>
      <c r="D3595">
        <v>299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  <c r="K3595" t="s">
        <v>20</v>
      </c>
      <c r="L3595" s="1">
        <v>45175</v>
      </c>
      <c r="M3595">
        <v>23</v>
      </c>
      <c r="N3595">
        <v>117</v>
      </c>
      <c r="O3595">
        <v>625</v>
      </c>
      <c r="P3595">
        <v>567</v>
      </c>
      <c r="Q3595">
        <v>625</v>
      </c>
      <c r="S3595">
        <v>2138</v>
      </c>
      <c r="T3595">
        <v>2306</v>
      </c>
      <c r="U3595">
        <f>+SUM(Table1[[#This Row],[Latinos]:[Cemex]])</f>
        <v>1</v>
      </c>
      <c r="V3595" t="str">
        <f>+Table1[[#This Row],[id_destino]]&amp;" - "&amp;Table1[[#This Row],[id_origen]]</f>
        <v>23 - 117</v>
      </c>
    </row>
    <row r="3596" spans="1:22" hidden="1">
      <c r="A3596">
        <v>748</v>
      </c>
      <c r="B3596">
        <v>2435</v>
      </c>
      <c r="C3596">
        <v>4607</v>
      </c>
      <c r="D3596">
        <v>43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 t="s">
        <v>20</v>
      </c>
      <c r="L3596" s="1">
        <v>43151</v>
      </c>
      <c r="M3596">
        <v>37</v>
      </c>
      <c r="N3596">
        <v>117</v>
      </c>
      <c r="O3596">
        <v>653</v>
      </c>
      <c r="P3596">
        <v>653</v>
      </c>
      <c r="Q3596">
        <v>653</v>
      </c>
      <c r="S3596">
        <v>847</v>
      </c>
      <c r="T3596">
        <v>847</v>
      </c>
      <c r="U3596">
        <f>+SUM(Table1[[#This Row],[Latinos]:[Cemex]])</f>
        <v>1</v>
      </c>
      <c r="V3596" t="str">
        <f>+Table1[[#This Row],[id_destino]]&amp;" - "&amp;Table1[[#This Row],[id_origen]]</f>
        <v>37 - 117</v>
      </c>
    </row>
    <row r="3597" spans="1:22" hidden="1">
      <c r="A3597">
        <v>587</v>
      </c>
      <c r="B3597">
        <v>2156</v>
      </c>
      <c r="C3597">
        <v>5055</v>
      </c>
      <c r="D3597">
        <v>44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  <c r="K3597" t="s">
        <v>20</v>
      </c>
      <c r="L3597" s="1">
        <v>43109</v>
      </c>
      <c r="M3597">
        <v>38</v>
      </c>
      <c r="N3597">
        <v>117</v>
      </c>
      <c r="O3597">
        <v>379</v>
      </c>
      <c r="P3597">
        <v>348</v>
      </c>
      <c r="Q3597">
        <v>379</v>
      </c>
      <c r="S3597">
        <v>705</v>
      </c>
      <c r="T3597">
        <v>814</v>
      </c>
      <c r="U3597">
        <f>+SUM(Table1[[#This Row],[Latinos]:[Cemex]])</f>
        <v>1</v>
      </c>
      <c r="V3597" t="str">
        <f>+Table1[[#This Row],[id_destino]]&amp;" - "&amp;Table1[[#This Row],[id_origen]]</f>
        <v>38 - 117</v>
      </c>
    </row>
    <row r="3598" spans="1:22" hidden="1">
      <c r="A3598">
        <v>715</v>
      </c>
      <c r="B3598">
        <v>2420</v>
      </c>
      <c r="C3598">
        <v>5384</v>
      </c>
      <c r="D3598">
        <v>6962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 t="s">
        <v>20</v>
      </c>
      <c r="L3598" s="1">
        <v>45075</v>
      </c>
      <c r="M3598">
        <v>59</v>
      </c>
      <c r="N3598">
        <v>117</v>
      </c>
      <c r="O3598">
        <v>313</v>
      </c>
      <c r="P3598">
        <v>290</v>
      </c>
      <c r="Q3598">
        <v>313</v>
      </c>
      <c r="S3598">
        <v>1248</v>
      </c>
      <c r="T3598">
        <v>1248</v>
      </c>
      <c r="U3598">
        <f>+SUM(Table1[[#This Row],[Latinos]:[Cemex]])</f>
        <v>1</v>
      </c>
      <c r="V3598" t="str">
        <f>+Table1[[#This Row],[id_destino]]&amp;" - "&amp;Table1[[#This Row],[id_origen]]</f>
        <v>59 - 117</v>
      </c>
    </row>
    <row r="3599" spans="1:22" hidden="1">
      <c r="A3599">
        <v>3009</v>
      </c>
      <c r="B3599">
        <v>3719</v>
      </c>
      <c r="C3599">
        <v>5384</v>
      </c>
      <c r="D3599">
        <v>389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  <c r="K3599" t="s">
        <v>20</v>
      </c>
      <c r="L3599" s="1">
        <v>44687</v>
      </c>
      <c r="M3599">
        <v>61</v>
      </c>
      <c r="N3599">
        <v>117</v>
      </c>
      <c r="O3599">
        <v>2689</v>
      </c>
      <c r="P3599">
        <v>2627</v>
      </c>
      <c r="Q3599">
        <v>2689</v>
      </c>
      <c r="S3599">
        <v>4862</v>
      </c>
      <c r="T3599">
        <v>5057</v>
      </c>
      <c r="U3599">
        <f>+SUM(Table1[[#This Row],[Latinos]:[Cemex]])</f>
        <v>1</v>
      </c>
      <c r="V3599" t="str">
        <f>+Table1[[#This Row],[id_destino]]&amp;" - "&amp;Table1[[#This Row],[id_origen]]</f>
        <v>61 - 117</v>
      </c>
    </row>
    <row r="3600" spans="1:22" hidden="1">
      <c r="A3600">
        <v>4090</v>
      </c>
      <c r="B3600">
        <v>4413</v>
      </c>
      <c r="C3600">
        <v>6941</v>
      </c>
      <c r="D3600">
        <v>2512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 t="s">
        <v>20</v>
      </c>
      <c r="L3600" s="1">
        <v>45276</v>
      </c>
      <c r="M3600">
        <v>67</v>
      </c>
      <c r="N3600">
        <v>117</v>
      </c>
      <c r="O3600">
        <v>276</v>
      </c>
      <c r="P3600">
        <v>275</v>
      </c>
      <c r="Q3600">
        <v>276</v>
      </c>
      <c r="S3600">
        <v>789</v>
      </c>
      <c r="T3600">
        <v>989</v>
      </c>
      <c r="U3600">
        <f>+SUM(Table1[[#This Row],[Latinos]:[Cemex]])</f>
        <v>1</v>
      </c>
      <c r="V3600" t="str">
        <f>+Table1[[#This Row],[id_destino]]&amp;" - "&amp;Table1[[#This Row],[id_origen]]</f>
        <v>67 - 117</v>
      </c>
    </row>
    <row r="3601" spans="1:22" hidden="1">
      <c r="A3601">
        <v>3041</v>
      </c>
      <c r="B3601">
        <v>1866</v>
      </c>
      <c r="C3601">
        <v>4607</v>
      </c>
      <c r="D3601">
        <v>6598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 t="s">
        <v>20</v>
      </c>
      <c r="L3601" s="1">
        <v>44704</v>
      </c>
      <c r="M3601">
        <v>79</v>
      </c>
      <c r="N3601">
        <v>117</v>
      </c>
      <c r="O3601">
        <v>254</v>
      </c>
      <c r="P3601">
        <v>277</v>
      </c>
      <c r="Q3601">
        <v>254</v>
      </c>
      <c r="S3601">
        <v>801</v>
      </c>
      <c r="T3601">
        <v>929</v>
      </c>
      <c r="U3601">
        <f>+SUM(Table1[[#This Row],[Latinos]:[Cemex]])</f>
        <v>1</v>
      </c>
      <c r="V3601" t="str">
        <f>+Table1[[#This Row],[id_destino]]&amp;" - "&amp;Table1[[#This Row],[id_origen]]</f>
        <v>79 - 117</v>
      </c>
    </row>
    <row r="3602" spans="1:22" hidden="1">
      <c r="A3602">
        <v>4425</v>
      </c>
      <c r="B3602">
        <v>1866</v>
      </c>
      <c r="C3602">
        <v>6941</v>
      </c>
      <c r="D3602">
        <v>4234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  <c r="K3602" t="s">
        <v>20</v>
      </c>
      <c r="L3602" s="1">
        <v>45533</v>
      </c>
      <c r="M3602">
        <v>79</v>
      </c>
      <c r="N3602">
        <v>117</v>
      </c>
      <c r="O3602">
        <v>256</v>
      </c>
      <c r="P3602">
        <v>286</v>
      </c>
      <c r="Q3602">
        <v>256</v>
      </c>
      <c r="S3602">
        <v>1240</v>
      </c>
      <c r="T3602">
        <v>1463</v>
      </c>
      <c r="U3602">
        <f>+SUM(Table1[[#This Row],[Latinos]:[Cemex]])</f>
        <v>1</v>
      </c>
      <c r="V3602" t="str">
        <f>+Table1[[#This Row],[id_destino]]&amp;" - "&amp;Table1[[#This Row],[id_origen]]</f>
        <v>79 - 117</v>
      </c>
    </row>
    <row r="3603" spans="1:22" hidden="1">
      <c r="A3603">
        <v>4242</v>
      </c>
      <c r="B3603">
        <v>2221</v>
      </c>
      <c r="C3603">
        <v>5384</v>
      </c>
      <c r="D3603">
        <v>7714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  <c r="K3603" t="s">
        <v>20</v>
      </c>
      <c r="L3603" s="1">
        <v>45391</v>
      </c>
      <c r="M3603">
        <v>81</v>
      </c>
      <c r="N3603">
        <v>117</v>
      </c>
      <c r="O3603">
        <v>155</v>
      </c>
      <c r="P3603">
        <v>142</v>
      </c>
      <c r="Q3603">
        <v>155</v>
      </c>
      <c r="S3603">
        <v>233</v>
      </c>
      <c r="T3603">
        <v>350</v>
      </c>
      <c r="U3603">
        <f>+SUM(Table1[[#This Row],[Latinos]:[Cemex]])</f>
        <v>1</v>
      </c>
      <c r="V3603" t="str">
        <f>+Table1[[#This Row],[id_destino]]&amp;" - "&amp;Table1[[#This Row],[id_origen]]</f>
        <v>81 - 117</v>
      </c>
    </row>
    <row r="3604" spans="1:22" hidden="1">
      <c r="A3604">
        <v>1629</v>
      </c>
      <c r="B3604">
        <v>2848</v>
      </c>
      <c r="C3604">
        <v>4607</v>
      </c>
      <c r="D3604">
        <v>3601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 t="s">
        <v>20</v>
      </c>
      <c r="L3604" s="1">
        <v>43537</v>
      </c>
      <c r="M3604">
        <v>84</v>
      </c>
      <c r="N3604">
        <v>117</v>
      </c>
      <c r="O3604">
        <v>1037</v>
      </c>
      <c r="P3604">
        <v>1024</v>
      </c>
      <c r="Q3604">
        <v>1037</v>
      </c>
      <c r="S3604">
        <v>935</v>
      </c>
      <c r="T3604">
        <v>935</v>
      </c>
      <c r="U3604">
        <f>+SUM(Table1[[#This Row],[Latinos]:[Cemex]])</f>
        <v>1</v>
      </c>
      <c r="V3604" t="str">
        <f>+Table1[[#This Row],[id_destino]]&amp;" - "&amp;Table1[[#This Row],[id_origen]]</f>
        <v>84 - 117</v>
      </c>
    </row>
    <row r="3605" spans="1:22" hidden="1">
      <c r="A3605">
        <v>4011</v>
      </c>
      <c r="B3605">
        <v>4356</v>
      </c>
      <c r="C3605">
        <v>7538</v>
      </c>
      <c r="D3605">
        <v>6070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  <c r="K3605" t="s">
        <v>20</v>
      </c>
      <c r="L3605" s="1">
        <v>45234</v>
      </c>
      <c r="M3605">
        <v>88</v>
      </c>
      <c r="N3605">
        <v>117</v>
      </c>
      <c r="O3605">
        <v>297</v>
      </c>
      <c r="P3605">
        <v>294</v>
      </c>
      <c r="Q3605">
        <v>297</v>
      </c>
      <c r="S3605">
        <v>666</v>
      </c>
      <c r="T3605">
        <v>666</v>
      </c>
      <c r="U3605">
        <f>+SUM(Table1[[#This Row],[Latinos]:[Cemex]])</f>
        <v>1</v>
      </c>
      <c r="V3605" t="str">
        <f>+Table1[[#This Row],[id_destino]]&amp;" - "&amp;Table1[[#This Row],[id_origen]]</f>
        <v>88 - 117</v>
      </c>
    </row>
    <row r="3606" spans="1:22" hidden="1">
      <c r="A3606">
        <v>1218</v>
      </c>
      <c r="B3606">
        <v>873</v>
      </c>
      <c r="C3606">
        <v>5055</v>
      </c>
      <c r="D3606">
        <v>173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  <c r="K3606" t="s">
        <v>20</v>
      </c>
      <c r="L3606" s="1">
        <v>43344</v>
      </c>
      <c r="M3606">
        <v>105</v>
      </c>
      <c r="N3606">
        <v>117</v>
      </c>
      <c r="O3606">
        <v>128</v>
      </c>
      <c r="P3606">
        <v>150</v>
      </c>
      <c r="Q3606">
        <v>128</v>
      </c>
      <c r="S3606">
        <v>139</v>
      </c>
      <c r="T3606">
        <v>139</v>
      </c>
      <c r="U3606">
        <f>+SUM(Table1[[#This Row],[Latinos]:[Cemex]])</f>
        <v>1</v>
      </c>
      <c r="V3606" t="str">
        <f>+Table1[[#This Row],[id_destino]]&amp;" - "&amp;Table1[[#This Row],[id_origen]]</f>
        <v>105 - 117</v>
      </c>
    </row>
    <row r="3607" spans="1:22" hidden="1">
      <c r="A3607">
        <v>3010</v>
      </c>
      <c r="B3607">
        <v>3720</v>
      </c>
      <c r="C3607">
        <v>5384</v>
      </c>
      <c r="D3607">
        <v>6874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 t="s">
        <v>20</v>
      </c>
      <c r="L3607" s="1">
        <v>44687</v>
      </c>
      <c r="M3607">
        <v>118</v>
      </c>
      <c r="N3607">
        <v>117</v>
      </c>
      <c r="O3607">
        <v>2901</v>
      </c>
      <c r="P3607">
        <v>2893</v>
      </c>
      <c r="Q3607">
        <v>2901</v>
      </c>
      <c r="S3607">
        <v>5554</v>
      </c>
      <c r="T3607">
        <v>5805</v>
      </c>
      <c r="U3607">
        <f>+SUM(Table1[[#This Row],[Latinos]:[Cemex]])</f>
        <v>1</v>
      </c>
      <c r="V3607" t="str">
        <f>+Table1[[#This Row],[id_destino]]&amp;" - "&amp;Table1[[#This Row],[id_origen]]</f>
        <v>118 - 117</v>
      </c>
    </row>
    <row r="3608" spans="1:22" hidden="1">
      <c r="A3608">
        <v>4134</v>
      </c>
      <c r="B3608">
        <v>4441</v>
      </c>
      <c r="C3608">
        <v>4607</v>
      </c>
      <c r="D3608">
        <v>6927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0</v>
      </c>
      <c r="K3608" t="s">
        <v>20</v>
      </c>
      <c r="L3608" s="1">
        <v>45309</v>
      </c>
      <c r="M3608">
        <v>169</v>
      </c>
      <c r="N3608">
        <v>117</v>
      </c>
      <c r="O3608">
        <v>470</v>
      </c>
      <c r="P3608">
        <v>467</v>
      </c>
      <c r="Q3608">
        <v>470</v>
      </c>
      <c r="S3608">
        <v>1359</v>
      </c>
      <c r="T3608">
        <v>1359</v>
      </c>
      <c r="U3608">
        <f>+SUM(Table1[[#This Row],[Latinos]:[Cemex]])</f>
        <v>1</v>
      </c>
      <c r="V3608" t="str">
        <f>+Table1[[#This Row],[id_destino]]&amp;" - "&amp;Table1[[#This Row],[id_origen]]</f>
        <v>169 - 117</v>
      </c>
    </row>
    <row r="3609" spans="1:22" hidden="1">
      <c r="A3609">
        <v>2362</v>
      </c>
      <c r="B3609">
        <v>1640</v>
      </c>
      <c r="C3609">
        <v>4607</v>
      </c>
      <c r="D3609">
        <v>135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 t="s">
        <v>20</v>
      </c>
      <c r="L3609" s="1">
        <v>44887</v>
      </c>
      <c r="M3609">
        <v>227</v>
      </c>
      <c r="N3609">
        <v>117</v>
      </c>
      <c r="O3609">
        <v>111</v>
      </c>
      <c r="P3609">
        <v>150</v>
      </c>
      <c r="Q3609">
        <v>111</v>
      </c>
      <c r="S3609">
        <v>134</v>
      </c>
      <c r="T3609">
        <v>183</v>
      </c>
      <c r="U3609">
        <f>+SUM(Table1[[#This Row],[Latinos]:[Cemex]])</f>
        <v>1</v>
      </c>
      <c r="V3609" t="str">
        <f>+Table1[[#This Row],[id_destino]]&amp;" - "&amp;Table1[[#This Row],[id_origen]]</f>
        <v>227 - 117</v>
      </c>
    </row>
    <row r="3610" spans="1:22" hidden="1">
      <c r="A3610">
        <v>3785</v>
      </c>
      <c r="B3610">
        <v>4220</v>
      </c>
      <c r="C3610">
        <v>6941</v>
      </c>
      <c r="D3610">
        <v>5763</v>
      </c>
      <c r="E3610">
        <v>0</v>
      </c>
      <c r="F3610">
        <v>1</v>
      </c>
      <c r="G3610">
        <v>0</v>
      </c>
      <c r="H3610">
        <v>0</v>
      </c>
      <c r="I3610">
        <v>0</v>
      </c>
      <c r="J3610">
        <v>0</v>
      </c>
      <c r="K3610" t="s">
        <v>20</v>
      </c>
      <c r="L3610" s="1">
        <v>45089</v>
      </c>
      <c r="M3610">
        <v>276</v>
      </c>
      <c r="N3610">
        <v>117</v>
      </c>
      <c r="O3610">
        <v>142</v>
      </c>
      <c r="P3610">
        <v>150</v>
      </c>
      <c r="Q3610">
        <v>150</v>
      </c>
      <c r="S3610">
        <v>491</v>
      </c>
      <c r="T3610">
        <v>546</v>
      </c>
      <c r="U3610">
        <f>+SUM(Table1[[#This Row],[Latinos]:[Cemex]])</f>
        <v>1</v>
      </c>
      <c r="V3610" t="str">
        <f>+Table1[[#This Row],[id_destino]]&amp;" - "&amp;Table1[[#This Row],[id_origen]]</f>
        <v>276 - 117</v>
      </c>
    </row>
    <row r="3611" spans="1:22" hidden="1">
      <c r="A3611">
        <v>4421</v>
      </c>
      <c r="B3611">
        <v>4646</v>
      </c>
      <c r="C3611">
        <v>4607</v>
      </c>
      <c r="D3611">
        <v>7890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 t="s">
        <v>20</v>
      </c>
      <c r="L3611" s="1">
        <v>45532</v>
      </c>
      <c r="M3611">
        <v>307</v>
      </c>
      <c r="N3611">
        <v>117</v>
      </c>
      <c r="O3611">
        <v>196</v>
      </c>
      <c r="P3611">
        <v>196</v>
      </c>
      <c r="Q3611">
        <v>196</v>
      </c>
      <c r="S3611">
        <v>316</v>
      </c>
      <c r="T3611">
        <v>316</v>
      </c>
      <c r="U3611">
        <f>+SUM(Table1[[#This Row],[Latinos]:[Cemex]])</f>
        <v>1</v>
      </c>
      <c r="V3611" t="str">
        <f>+Table1[[#This Row],[id_destino]]&amp;" - "&amp;Table1[[#This Row],[id_origen]]</f>
        <v>307 - 117</v>
      </c>
    </row>
    <row r="3612" spans="1:22" hidden="1">
      <c r="A3612">
        <v>607</v>
      </c>
      <c r="B3612">
        <v>798</v>
      </c>
      <c r="C3612">
        <v>5384</v>
      </c>
      <c r="D3612">
        <v>1898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 t="s">
        <v>20</v>
      </c>
      <c r="L3612" s="1">
        <v>43113</v>
      </c>
      <c r="M3612">
        <v>384</v>
      </c>
      <c r="N3612">
        <v>117</v>
      </c>
      <c r="O3612">
        <v>294</v>
      </c>
      <c r="P3612">
        <v>294</v>
      </c>
      <c r="Q3612">
        <v>294</v>
      </c>
      <c r="S3612">
        <v>458</v>
      </c>
      <c r="T3612">
        <v>458</v>
      </c>
      <c r="U3612">
        <f>+SUM(Table1[[#This Row],[Latinos]:[Cemex]])</f>
        <v>1</v>
      </c>
      <c r="V3612" t="str">
        <f>+Table1[[#This Row],[id_destino]]&amp;" - "&amp;Table1[[#This Row],[id_origen]]</f>
        <v>384 - 117</v>
      </c>
    </row>
    <row r="3613" spans="1:22" hidden="1">
      <c r="A3613">
        <v>4097</v>
      </c>
      <c r="B3613">
        <v>4418</v>
      </c>
      <c r="C3613">
        <v>4607</v>
      </c>
      <c r="D3613">
        <v>7230</v>
      </c>
      <c r="E3613">
        <v>0</v>
      </c>
      <c r="F3613">
        <v>1</v>
      </c>
      <c r="G3613">
        <v>0</v>
      </c>
      <c r="H3613">
        <v>0</v>
      </c>
      <c r="I3613">
        <v>0</v>
      </c>
      <c r="J3613">
        <v>0</v>
      </c>
      <c r="K3613" t="s">
        <v>20</v>
      </c>
      <c r="L3613" s="1">
        <v>45286</v>
      </c>
      <c r="M3613">
        <v>473</v>
      </c>
      <c r="N3613">
        <v>117</v>
      </c>
      <c r="O3613">
        <v>120</v>
      </c>
      <c r="P3613">
        <v>150</v>
      </c>
      <c r="Q3613">
        <v>120</v>
      </c>
      <c r="S3613">
        <v>258</v>
      </c>
      <c r="T3613">
        <v>258</v>
      </c>
      <c r="U3613">
        <f>+SUM(Table1[[#This Row],[Latinos]:[Cemex]])</f>
        <v>1</v>
      </c>
      <c r="V3613" t="str">
        <f>+Table1[[#This Row],[id_destino]]&amp;" - "&amp;Table1[[#This Row],[id_origen]]</f>
        <v>473 - 117</v>
      </c>
    </row>
    <row r="3614" spans="1:22" hidden="1">
      <c r="A3614">
        <v>4295</v>
      </c>
      <c r="B3614">
        <v>4551</v>
      </c>
      <c r="C3614">
        <v>4607</v>
      </c>
      <c r="D3614">
        <v>7780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  <c r="K3614" t="s">
        <v>20</v>
      </c>
      <c r="L3614" s="1">
        <v>45439</v>
      </c>
      <c r="M3614">
        <v>506</v>
      </c>
      <c r="N3614">
        <v>117</v>
      </c>
      <c r="O3614">
        <v>130</v>
      </c>
      <c r="P3614">
        <v>150</v>
      </c>
      <c r="Q3614">
        <v>130</v>
      </c>
      <c r="S3614">
        <v>107</v>
      </c>
      <c r="T3614">
        <v>161</v>
      </c>
      <c r="U3614">
        <f>+SUM(Table1[[#This Row],[Latinos]:[Cemex]])</f>
        <v>1</v>
      </c>
      <c r="V3614" t="str">
        <f>+Table1[[#This Row],[id_destino]]&amp;" - "&amp;Table1[[#This Row],[id_origen]]</f>
        <v>506 - 117</v>
      </c>
    </row>
    <row r="3615" spans="1:22" hidden="1">
      <c r="A3615">
        <v>4357</v>
      </c>
      <c r="B3615">
        <v>4595</v>
      </c>
      <c r="C3615">
        <v>4607</v>
      </c>
      <c r="D3615">
        <v>7011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 t="s">
        <v>20</v>
      </c>
      <c r="L3615" s="1">
        <v>45490</v>
      </c>
      <c r="M3615">
        <v>591</v>
      </c>
      <c r="N3615">
        <v>117</v>
      </c>
      <c r="O3615">
        <v>146</v>
      </c>
      <c r="P3615">
        <v>150</v>
      </c>
      <c r="Q3615">
        <v>146</v>
      </c>
      <c r="S3615">
        <v>0</v>
      </c>
      <c r="T3615">
        <v>0</v>
      </c>
      <c r="U3615">
        <f>+SUM(Table1[[#This Row],[Latinos]:[Cemex]])</f>
        <v>1</v>
      </c>
      <c r="V3615" t="str">
        <f>+Table1[[#This Row],[id_destino]]&amp;" - "&amp;Table1[[#This Row],[id_origen]]</f>
        <v>591 - 117</v>
      </c>
    </row>
    <row r="3616" spans="1:22" hidden="1">
      <c r="A3616">
        <v>3739</v>
      </c>
      <c r="B3616">
        <v>2108</v>
      </c>
      <c r="C3616">
        <v>6941</v>
      </c>
      <c r="D3616">
        <v>7043</v>
      </c>
      <c r="E3616">
        <v>0</v>
      </c>
      <c r="F3616">
        <v>1</v>
      </c>
      <c r="G3616">
        <v>0</v>
      </c>
      <c r="H3616">
        <v>0</v>
      </c>
      <c r="I3616">
        <v>0</v>
      </c>
      <c r="J3616">
        <v>0</v>
      </c>
      <c r="K3616" t="s">
        <v>20</v>
      </c>
      <c r="L3616" s="1">
        <v>45062</v>
      </c>
      <c r="M3616">
        <v>684</v>
      </c>
      <c r="N3616">
        <v>117</v>
      </c>
      <c r="O3616">
        <v>253</v>
      </c>
      <c r="P3616">
        <v>242</v>
      </c>
      <c r="Q3616">
        <v>253</v>
      </c>
      <c r="S3616">
        <v>991</v>
      </c>
      <c r="T3616">
        <v>1212</v>
      </c>
      <c r="U3616">
        <f>+SUM(Table1[[#This Row],[Latinos]:[Cemex]])</f>
        <v>1</v>
      </c>
      <c r="V3616" t="str">
        <f>+Table1[[#This Row],[id_destino]]&amp;" - "&amp;Table1[[#This Row],[id_origen]]</f>
        <v>684 - 117</v>
      </c>
    </row>
    <row r="3617" spans="1:22" hidden="1">
      <c r="A3617">
        <v>2573</v>
      </c>
      <c r="B3617">
        <v>3427</v>
      </c>
      <c r="C3617">
        <v>4607</v>
      </c>
      <c r="D3617">
        <v>5412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 t="s">
        <v>20</v>
      </c>
      <c r="L3617" s="1">
        <v>44191</v>
      </c>
      <c r="M3617">
        <v>729</v>
      </c>
      <c r="N3617">
        <v>117</v>
      </c>
      <c r="O3617">
        <v>146</v>
      </c>
      <c r="P3617">
        <v>126</v>
      </c>
      <c r="Q3617">
        <v>146</v>
      </c>
      <c r="S3617">
        <v>428</v>
      </c>
      <c r="T3617">
        <v>502</v>
      </c>
      <c r="U3617">
        <f>+SUM(Table1[[#This Row],[Latinos]:[Cemex]])</f>
        <v>1</v>
      </c>
      <c r="V3617" t="str">
        <f>+Table1[[#This Row],[id_destino]]&amp;" - "&amp;Table1[[#This Row],[id_origen]]</f>
        <v>729 - 117</v>
      </c>
    </row>
    <row r="3618" spans="1:22" hidden="1">
      <c r="A3618">
        <v>1407</v>
      </c>
      <c r="B3618">
        <v>2728</v>
      </c>
      <c r="C3618">
        <v>1355</v>
      </c>
      <c r="D3618">
        <v>372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 t="s">
        <v>20</v>
      </c>
      <c r="L3618" s="1">
        <v>43420</v>
      </c>
      <c r="M3618">
        <v>179</v>
      </c>
      <c r="N3618">
        <v>118</v>
      </c>
      <c r="O3618">
        <v>962</v>
      </c>
      <c r="P3618">
        <v>962</v>
      </c>
      <c r="Q3618">
        <v>962</v>
      </c>
      <c r="S3618">
        <v>972</v>
      </c>
      <c r="T3618">
        <v>1024</v>
      </c>
      <c r="U3618">
        <f>+SUM(Table1[[#This Row],[Latinos]:[Cemex]])</f>
        <v>1</v>
      </c>
      <c r="V3618" t="str">
        <f>+Table1[[#This Row],[id_destino]]&amp;" - "&amp;Table1[[#This Row],[id_origen]]</f>
        <v>179 - 118</v>
      </c>
    </row>
    <row r="3619" spans="1:22" hidden="1">
      <c r="A3619">
        <v>3955</v>
      </c>
      <c r="B3619">
        <v>4323</v>
      </c>
      <c r="C3619">
        <v>1584</v>
      </c>
      <c r="D3619">
        <v>3032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 t="s">
        <v>20</v>
      </c>
      <c r="L3619" s="1">
        <v>45206</v>
      </c>
      <c r="M3619">
        <v>189</v>
      </c>
      <c r="N3619">
        <v>118</v>
      </c>
      <c r="O3619">
        <v>1522</v>
      </c>
      <c r="P3619">
        <v>1546</v>
      </c>
      <c r="Q3619">
        <v>1522</v>
      </c>
      <c r="S3619">
        <v>179</v>
      </c>
      <c r="T3619">
        <v>179</v>
      </c>
      <c r="U3619">
        <f>+SUM(Table1[[#This Row],[Latinos]:[Cemex]])</f>
        <v>1</v>
      </c>
      <c r="V3619" t="str">
        <f>+Table1[[#This Row],[id_destino]]&amp;" - "&amp;Table1[[#This Row],[id_origen]]</f>
        <v>189 - 118</v>
      </c>
    </row>
    <row r="3620" spans="1:22" hidden="1">
      <c r="A3620">
        <v>703</v>
      </c>
      <c r="B3620">
        <v>2414</v>
      </c>
      <c r="C3620">
        <v>371</v>
      </c>
      <c r="D3620">
        <v>5420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</v>
      </c>
      <c r="K3620" t="s">
        <v>20</v>
      </c>
      <c r="L3620" s="1">
        <v>43137</v>
      </c>
      <c r="M3620">
        <v>26</v>
      </c>
      <c r="N3620">
        <v>119</v>
      </c>
      <c r="O3620">
        <v>1231</v>
      </c>
      <c r="P3620">
        <v>1234</v>
      </c>
      <c r="Q3620">
        <v>1231</v>
      </c>
      <c r="S3620">
        <v>0</v>
      </c>
      <c r="T3620">
        <v>0</v>
      </c>
      <c r="U3620">
        <f>+SUM(Table1[[#This Row],[Latinos]:[Cemex]])</f>
        <v>1</v>
      </c>
      <c r="V3620" t="str">
        <f>+Table1[[#This Row],[id_destino]]&amp;" - "&amp;Table1[[#This Row],[id_origen]]</f>
        <v>26 - 119</v>
      </c>
    </row>
    <row r="3621" spans="1:22" hidden="1">
      <c r="A3621">
        <v>1458</v>
      </c>
      <c r="B3621">
        <v>2756</v>
      </c>
      <c r="C3621">
        <v>5442</v>
      </c>
      <c r="D3621">
        <v>3431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 t="s">
        <v>20</v>
      </c>
      <c r="L3621" s="1">
        <v>43449</v>
      </c>
      <c r="M3621">
        <v>52</v>
      </c>
      <c r="N3621">
        <v>120</v>
      </c>
      <c r="O3621">
        <v>1839</v>
      </c>
      <c r="P3621">
        <v>1839</v>
      </c>
      <c r="Q3621">
        <v>1839</v>
      </c>
      <c r="S3621">
        <v>2502</v>
      </c>
      <c r="T3621">
        <v>2502</v>
      </c>
      <c r="U3621">
        <f>+SUM(Table1[[#This Row],[Latinos]:[Cemex]])</f>
        <v>1</v>
      </c>
      <c r="V3621" t="str">
        <f>+Table1[[#This Row],[id_destino]]&amp;" - "&amp;Table1[[#This Row],[id_origen]]</f>
        <v>52 - 120</v>
      </c>
    </row>
    <row r="3622" spans="1:22" hidden="1">
      <c r="A3622">
        <v>1893</v>
      </c>
      <c r="B3622">
        <v>1931</v>
      </c>
      <c r="C3622">
        <v>5745</v>
      </c>
      <c r="D3622">
        <v>394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  <c r="K3622" t="s">
        <v>20</v>
      </c>
      <c r="L3622" s="1">
        <v>43698</v>
      </c>
      <c r="M3622">
        <v>1</v>
      </c>
      <c r="N3622">
        <v>121</v>
      </c>
      <c r="O3622">
        <v>699</v>
      </c>
      <c r="P3622">
        <v>683</v>
      </c>
      <c r="Q3622">
        <v>699</v>
      </c>
      <c r="S3622">
        <v>321</v>
      </c>
      <c r="T3622">
        <v>321</v>
      </c>
      <c r="U3622">
        <f>+SUM(Table1[[#This Row],[Latinos]:[Cemex]])</f>
        <v>1</v>
      </c>
      <c r="V3622" t="str">
        <f>+Table1[[#This Row],[id_destino]]&amp;" - "&amp;Table1[[#This Row],[id_origen]]</f>
        <v>1 - 121</v>
      </c>
    </row>
    <row r="3623" spans="1:22" hidden="1">
      <c r="A3623">
        <v>1344</v>
      </c>
      <c r="B3623">
        <v>2700</v>
      </c>
      <c r="C3623">
        <v>1152</v>
      </c>
      <c r="D3623">
        <v>353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  <c r="K3623" t="s">
        <v>20</v>
      </c>
      <c r="L3623" s="1">
        <v>43393</v>
      </c>
      <c r="M3623">
        <v>7</v>
      </c>
      <c r="N3623">
        <v>121</v>
      </c>
      <c r="O3623">
        <v>1970</v>
      </c>
      <c r="P3623">
        <v>2007</v>
      </c>
      <c r="Q3623">
        <v>1970</v>
      </c>
      <c r="S3623">
        <v>2566</v>
      </c>
      <c r="T3623">
        <v>2566</v>
      </c>
      <c r="U3623">
        <f>+SUM(Table1[[#This Row],[Latinos]:[Cemex]])</f>
        <v>1</v>
      </c>
      <c r="V3623" t="str">
        <f>+Table1[[#This Row],[id_destino]]&amp;" - "&amp;Table1[[#This Row],[id_origen]]</f>
        <v>7 - 121</v>
      </c>
    </row>
    <row r="3624" spans="1:22" hidden="1">
      <c r="A3624">
        <v>1213</v>
      </c>
      <c r="B3624">
        <v>1377</v>
      </c>
      <c r="C3624">
        <v>5675</v>
      </c>
      <c r="D3624">
        <v>3772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  <c r="K3624" t="s">
        <v>20</v>
      </c>
      <c r="L3624" s="1">
        <v>43342</v>
      </c>
      <c r="M3624">
        <v>18</v>
      </c>
      <c r="N3624">
        <v>121</v>
      </c>
      <c r="O3624">
        <v>274</v>
      </c>
      <c r="P3624">
        <v>274</v>
      </c>
      <c r="Q3624">
        <v>274</v>
      </c>
      <c r="S3624">
        <v>653</v>
      </c>
      <c r="T3624">
        <v>653</v>
      </c>
      <c r="U3624">
        <f>+SUM(Table1[[#This Row],[Latinos]:[Cemex]])</f>
        <v>1</v>
      </c>
      <c r="V3624" t="str">
        <f>+Table1[[#This Row],[id_destino]]&amp;" - "&amp;Table1[[#This Row],[id_origen]]</f>
        <v>18 - 121</v>
      </c>
    </row>
    <row r="3625" spans="1:22" hidden="1">
      <c r="A3625">
        <v>1477</v>
      </c>
      <c r="B3625">
        <v>2767</v>
      </c>
      <c r="C3625">
        <v>2750</v>
      </c>
      <c r="D3625">
        <v>71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 t="s">
        <v>20</v>
      </c>
      <c r="L3625" s="1">
        <v>43455</v>
      </c>
      <c r="M3625">
        <v>61</v>
      </c>
      <c r="N3625">
        <v>121</v>
      </c>
      <c r="O3625">
        <v>2387</v>
      </c>
      <c r="P3625">
        <v>2294</v>
      </c>
      <c r="Q3625">
        <v>2387</v>
      </c>
      <c r="S3625">
        <v>3284</v>
      </c>
      <c r="T3625">
        <v>3370</v>
      </c>
      <c r="U3625">
        <f>+SUM(Table1[[#This Row],[Latinos]:[Cemex]])</f>
        <v>1</v>
      </c>
      <c r="V3625" t="str">
        <f>+Table1[[#This Row],[id_destino]]&amp;" - "&amp;Table1[[#This Row],[id_origen]]</f>
        <v>61 - 121</v>
      </c>
    </row>
    <row r="3626" spans="1:22" hidden="1">
      <c r="A3626">
        <v>4171</v>
      </c>
      <c r="B3626">
        <v>4467</v>
      </c>
      <c r="C3626">
        <v>5745</v>
      </c>
      <c r="D3626">
        <v>6754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 t="s">
        <v>20</v>
      </c>
      <c r="L3626" s="1">
        <v>45336</v>
      </c>
      <c r="M3626">
        <v>63</v>
      </c>
      <c r="N3626">
        <v>121</v>
      </c>
      <c r="O3626">
        <v>512</v>
      </c>
      <c r="P3626">
        <v>475</v>
      </c>
      <c r="Q3626">
        <v>512</v>
      </c>
      <c r="S3626">
        <v>745</v>
      </c>
      <c r="T3626">
        <v>799</v>
      </c>
      <c r="U3626">
        <f>+SUM(Table1[[#This Row],[Latinos]:[Cemex]])</f>
        <v>1</v>
      </c>
      <c r="V3626" t="str">
        <f>+Table1[[#This Row],[id_destino]]&amp;" - "&amp;Table1[[#This Row],[id_origen]]</f>
        <v>63 - 121</v>
      </c>
    </row>
    <row r="3627" spans="1:22" hidden="1">
      <c r="A3627">
        <v>3185</v>
      </c>
      <c r="B3627">
        <v>3826</v>
      </c>
      <c r="C3627">
        <v>6980</v>
      </c>
      <c r="D3627">
        <v>2111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 t="s">
        <v>20</v>
      </c>
      <c r="L3627" s="1">
        <v>44761</v>
      </c>
      <c r="M3627">
        <v>155</v>
      </c>
      <c r="N3627">
        <v>121</v>
      </c>
      <c r="O3627">
        <v>782</v>
      </c>
      <c r="P3627">
        <v>775</v>
      </c>
      <c r="Q3627">
        <v>782</v>
      </c>
      <c r="S3627">
        <v>3180</v>
      </c>
      <c r="T3627">
        <v>3180</v>
      </c>
      <c r="U3627">
        <f>+SUM(Table1[[#This Row],[Latinos]:[Cemex]])</f>
        <v>1</v>
      </c>
      <c r="V3627" t="str">
        <f>+Table1[[#This Row],[id_destino]]&amp;" - "&amp;Table1[[#This Row],[id_origen]]</f>
        <v>155 - 121</v>
      </c>
    </row>
    <row r="3628" spans="1:22" hidden="1">
      <c r="A3628">
        <v>3541</v>
      </c>
      <c r="B3628">
        <v>4059</v>
      </c>
      <c r="C3628">
        <v>5745</v>
      </c>
      <c r="D3628">
        <v>7121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 t="s">
        <v>20</v>
      </c>
      <c r="L3628" s="1">
        <v>44952</v>
      </c>
      <c r="M3628">
        <v>173</v>
      </c>
      <c r="N3628">
        <v>121</v>
      </c>
      <c r="O3628">
        <v>273</v>
      </c>
      <c r="P3628">
        <v>286</v>
      </c>
      <c r="Q3628">
        <v>273</v>
      </c>
      <c r="S3628">
        <v>486</v>
      </c>
      <c r="T3628">
        <v>486</v>
      </c>
      <c r="U3628">
        <f>+SUM(Table1[[#This Row],[Latinos]:[Cemex]])</f>
        <v>1</v>
      </c>
      <c r="V3628" t="str">
        <f>+Table1[[#This Row],[id_destino]]&amp;" - "&amp;Table1[[#This Row],[id_origen]]</f>
        <v>173 - 121</v>
      </c>
    </row>
    <row r="3629" spans="1:22" hidden="1">
      <c r="A3629">
        <v>4055</v>
      </c>
      <c r="B3629">
        <v>4390</v>
      </c>
      <c r="C3629">
        <v>5745</v>
      </c>
      <c r="D3629">
        <v>405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  <c r="K3629" t="s">
        <v>20</v>
      </c>
      <c r="L3629" s="1">
        <v>45301</v>
      </c>
      <c r="M3629">
        <v>180</v>
      </c>
      <c r="N3629">
        <v>121</v>
      </c>
      <c r="O3629">
        <v>1027</v>
      </c>
      <c r="P3629">
        <v>903</v>
      </c>
      <c r="Q3629">
        <v>1027</v>
      </c>
      <c r="S3629">
        <v>1010</v>
      </c>
      <c r="T3629">
        <v>1010</v>
      </c>
      <c r="U3629">
        <f>+SUM(Table1[[#This Row],[Latinos]:[Cemex]])</f>
        <v>1</v>
      </c>
      <c r="V3629" t="str">
        <f>+Table1[[#This Row],[id_destino]]&amp;" - "&amp;Table1[[#This Row],[id_origen]]</f>
        <v>180 - 121</v>
      </c>
    </row>
    <row r="3630" spans="1:22" hidden="1">
      <c r="A3630">
        <v>1389</v>
      </c>
      <c r="B3630">
        <v>2717</v>
      </c>
      <c r="C3630">
        <v>1152</v>
      </c>
      <c r="D3630">
        <v>422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 t="s">
        <v>20</v>
      </c>
      <c r="L3630" s="1">
        <v>43413</v>
      </c>
      <c r="M3630">
        <v>280</v>
      </c>
      <c r="N3630">
        <v>121</v>
      </c>
      <c r="O3630">
        <v>263</v>
      </c>
      <c r="P3630">
        <v>263</v>
      </c>
      <c r="Q3630">
        <v>263</v>
      </c>
      <c r="S3630">
        <v>603</v>
      </c>
      <c r="T3630">
        <v>603</v>
      </c>
      <c r="U3630">
        <f>+SUM(Table1[[#This Row],[Latinos]:[Cemex]])</f>
        <v>1</v>
      </c>
      <c r="V3630" t="str">
        <f>+Table1[[#This Row],[id_destino]]&amp;" - "&amp;Table1[[#This Row],[id_origen]]</f>
        <v>280 - 121</v>
      </c>
    </row>
    <row r="3631" spans="1:22" hidden="1">
      <c r="A3631">
        <v>3474</v>
      </c>
      <c r="B3631">
        <v>4015</v>
      </c>
      <c r="C3631">
        <v>623</v>
      </c>
      <c r="D3631">
        <v>3233</v>
      </c>
      <c r="E3631">
        <v>0</v>
      </c>
      <c r="F3631">
        <v>1</v>
      </c>
      <c r="G3631">
        <v>0</v>
      </c>
      <c r="H3631">
        <v>0</v>
      </c>
      <c r="I3631">
        <v>0</v>
      </c>
      <c r="J3631">
        <v>0</v>
      </c>
      <c r="K3631" t="s">
        <v>20</v>
      </c>
      <c r="L3631" s="1">
        <v>44910</v>
      </c>
      <c r="M3631">
        <v>505</v>
      </c>
      <c r="N3631">
        <v>121</v>
      </c>
      <c r="O3631">
        <v>128</v>
      </c>
      <c r="P3631">
        <v>150</v>
      </c>
      <c r="Q3631">
        <v>128</v>
      </c>
      <c r="S3631">
        <v>0</v>
      </c>
      <c r="T3631">
        <v>0</v>
      </c>
      <c r="U3631">
        <f>+SUM(Table1[[#This Row],[Latinos]:[Cemex]])</f>
        <v>1</v>
      </c>
      <c r="V3631" t="str">
        <f>+Table1[[#This Row],[id_destino]]&amp;" - "&amp;Table1[[#This Row],[id_origen]]</f>
        <v>505 - 121</v>
      </c>
    </row>
    <row r="3632" spans="1:22" hidden="1">
      <c r="A3632">
        <v>432</v>
      </c>
      <c r="B3632">
        <v>2289</v>
      </c>
      <c r="C3632">
        <v>378</v>
      </c>
      <c r="D3632">
        <v>387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 t="s">
        <v>33</v>
      </c>
      <c r="L3632" s="1">
        <v>43066</v>
      </c>
      <c r="M3632">
        <v>30</v>
      </c>
      <c r="N3632">
        <v>123</v>
      </c>
      <c r="O3632">
        <v>393</v>
      </c>
      <c r="P3632">
        <v>393</v>
      </c>
      <c r="Q3632">
        <v>393</v>
      </c>
      <c r="S3632">
        <v>613</v>
      </c>
      <c r="T3632">
        <v>618</v>
      </c>
      <c r="U3632">
        <f>+SUM(Table1[[#This Row],[Latinos]:[Cemex]])</f>
        <v>1</v>
      </c>
      <c r="V3632" t="str">
        <f>+Table1[[#This Row],[id_destino]]&amp;" - "&amp;Table1[[#This Row],[id_origen]]</f>
        <v>30 - 123</v>
      </c>
    </row>
    <row r="3633" spans="1:22" hidden="1">
      <c r="A3633">
        <v>2617</v>
      </c>
      <c r="B3633">
        <v>3456</v>
      </c>
      <c r="C3633">
        <v>378</v>
      </c>
      <c r="D3633">
        <v>419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 t="s">
        <v>20</v>
      </c>
      <c r="L3633" s="1">
        <v>44245</v>
      </c>
      <c r="M3633">
        <v>60</v>
      </c>
      <c r="N3633">
        <v>123</v>
      </c>
      <c r="O3633">
        <v>1471</v>
      </c>
      <c r="P3633">
        <v>1477</v>
      </c>
      <c r="Q3633">
        <v>1471</v>
      </c>
      <c r="S3633">
        <v>252</v>
      </c>
      <c r="T3633">
        <v>252</v>
      </c>
      <c r="U3633">
        <f>+SUM(Table1[[#This Row],[Latinos]:[Cemex]])</f>
        <v>1</v>
      </c>
      <c r="V3633" t="str">
        <f>+Table1[[#This Row],[id_destino]]&amp;" - "&amp;Table1[[#This Row],[id_origen]]</f>
        <v>60 - 123</v>
      </c>
    </row>
    <row r="3634" spans="1:22" hidden="1">
      <c r="A3634">
        <v>1605</v>
      </c>
      <c r="B3634">
        <v>2835</v>
      </c>
      <c r="C3634">
        <v>378</v>
      </c>
      <c r="D3634">
        <v>3169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 t="s">
        <v>20</v>
      </c>
      <c r="L3634" s="1">
        <v>43531</v>
      </c>
      <c r="M3634">
        <v>189</v>
      </c>
      <c r="N3634">
        <v>123</v>
      </c>
      <c r="O3634">
        <v>189</v>
      </c>
      <c r="P3634">
        <v>189</v>
      </c>
      <c r="Q3634">
        <v>189</v>
      </c>
      <c r="S3634">
        <v>0</v>
      </c>
      <c r="T3634">
        <v>0</v>
      </c>
      <c r="U3634">
        <f>+SUM(Table1[[#This Row],[Latinos]:[Cemex]])</f>
        <v>1</v>
      </c>
      <c r="V3634" t="str">
        <f>+Table1[[#This Row],[id_destino]]&amp;" - "&amp;Table1[[#This Row],[id_origen]]</f>
        <v>189 - 123</v>
      </c>
    </row>
    <row r="3635" spans="1:22" hidden="1">
      <c r="A3635">
        <v>163</v>
      </c>
      <c r="B3635">
        <v>571</v>
      </c>
      <c r="C3635">
        <v>4838</v>
      </c>
      <c r="D3635">
        <v>44</v>
      </c>
      <c r="E3635">
        <v>0</v>
      </c>
      <c r="F3635">
        <v>1</v>
      </c>
      <c r="G3635">
        <v>0</v>
      </c>
      <c r="H3635">
        <v>0</v>
      </c>
      <c r="I3635">
        <v>0</v>
      </c>
      <c r="J3635">
        <v>0</v>
      </c>
      <c r="K3635" t="s">
        <v>20</v>
      </c>
      <c r="L3635" s="1">
        <v>43004</v>
      </c>
      <c r="M3635">
        <v>38</v>
      </c>
      <c r="N3635">
        <v>124</v>
      </c>
      <c r="O3635">
        <v>172</v>
      </c>
      <c r="P3635">
        <v>164</v>
      </c>
      <c r="Q3635">
        <v>172</v>
      </c>
      <c r="S3635">
        <v>463</v>
      </c>
      <c r="T3635">
        <v>463</v>
      </c>
      <c r="U3635">
        <f>+SUM(Table1[[#This Row],[Latinos]:[Cemex]])</f>
        <v>1</v>
      </c>
      <c r="V3635" t="str">
        <f>+Table1[[#This Row],[id_destino]]&amp;" - "&amp;Table1[[#This Row],[id_origen]]</f>
        <v>38 - 124</v>
      </c>
    </row>
    <row r="3636" spans="1:22" hidden="1">
      <c r="A3636">
        <v>497</v>
      </c>
      <c r="B3636">
        <v>2318</v>
      </c>
      <c r="C3636">
        <v>4111</v>
      </c>
      <c r="D3636">
        <v>45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0</v>
      </c>
      <c r="K3636" t="s">
        <v>20</v>
      </c>
      <c r="L3636" s="1">
        <v>45762</v>
      </c>
      <c r="M3636">
        <v>39</v>
      </c>
      <c r="N3636">
        <v>124</v>
      </c>
      <c r="O3636">
        <v>150</v>
      </c>
      <c r="P3636">
        <v>150</v>
      </c>
      <c r="Q3636">
        <v>150</v>
      </c>
      <c r="S3636">
        <v>0</v>
      </c>
      <c r="T3636">
        <v>0</v>
      </c>
      <c r="U3636">
        <f>+SUM(Table1[[#This Row],[Latinos]:[Cemex]])</f>
        <v>1</v>
      </c>
      <c r="V3636" t="str">
        <f>+Table1[[#This Row],[id_destino]]&amp;" - "&amp;Table1[[#This Row],[id_origen]]</f>
        <v>39 - 124</v>
      </c>
    </row>
    <row r="3637" spans="1:22" hidden="1">
      <c r="A3637">
        <v>482</v>
      </c>
      <c r="B3637">
        <v>1794</v>
      </c>
      <c r="C3637">
        <v>4838</v>
      </c>
      <c r="D3637">
        <v>46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0</v>
      </c>
      <c r="K3637" t="s">
        <v>20</v>
      </c>
      <c r="L3637" s="1">
        <v>43076</v>
      </c>
      <c r="M3637">
        <v>40</v>
      </c>
      <c r="N3637">
        <v>124</v>
      </c>
      <c r="O3637">
        <v>54</v>
      </c>
      <c r="P3637">
        <v>150</v>
      </c>
      <c r="Q3637">
        <v>54</v>
      </c>
      <c r="S3637">
        <v>233</v>
      </c>
      <c r="T3637">
        <v>233</v>
      </c>
      <c r="U3637">
        <f>+SUM(Table1[[#This Row],[Latinos]:[Cemex]])</f>
        <v>1</v>
      </c>
      <c r="V3637" t="str">
        <f>+Table1[[#This Row],[id_destino]]&amp;" - "&amp;Table1[[#This Row],[id_origen]]</f>
        <v>40 - 124</v>
      </c>
    </row>
    <row r="3638" spans="1:22" hidden="1">
      <c r="A3638">
        <v>2728</v>
      </c>
      <c r="B3638">
        <v>3529</v>
      </c>
      <c r="C3638">
        <v>4838</v>
      </c>
      <c r="D3638">
        <v>2413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0</v>
      </c>
      <c r="K3638" t="s">
        <v>20</v>
      </c>
      <c r="L3638" s="1">
        <v>44389</v>
      </c>
      <c r="M3638">
        <v>47</v>
      </c>
      <c r="N3638">
        <v>124</v>
      </c>
      <c r="O3638">
        <v>358</v>
      </c>
      <c r="P3638">
        <v>351</v>
      </c>
      <c r="Q3638">
        <v>358</v>
      </c>
      <c r="S3638">
        <v>997</v>
      </c>
      <c r="T3638">
        <v>1057</v>
      </c>
      <c r="U3638">
        <f>+SUM(Table1[[#This Row],[Latinos]:[Cemex]])</f>
        <v>1</v>
      </c>
      <c r="V3638" t="str">
        <f>+Table1[[#This Row],[id_destino]]&amp;" - "&amp;Table1[[#This Row],[id_origen]]</f>
        <v>47 - 124</v>
      </c>
    </row>
    <row r="3639" spans="1:22" hidden="1">
      <c r="A3639">
        <v>4313</v>
      </c>
      <c r="B3639">
        <v>4563</v>
      </c>
      <c r="C3639">
        <v>4838</v>
      </c>
      <c r="D3639">
        <v>4607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0</v>
      </c>
      <c r="K3639" t="s">
        <v>20</v>
      </c>
      <c r="L3639" s="1">
        <v>45453</v>
      </c>
      <c r="M3639">
        <v>117</v>
      </c>
      <c r="N3639">
        <v>124</v>
      </c>
      <c r="O3639">
        <v>504</v>
      </c>
      <c r="P3639">
        <v>453</v>
      </c>
      <c r="Q3639">
        <v>504</v>
      </c>
      <c r="S3639">
        <v>1492</v>
      </c>
      <c r="T3639">
        <v>1660</v>
      </c>
      <c r="U3639">
        <f>+SUM(Table1[[#This Row],[Latinos]:[Cemex]])</f>
        <v>1</v>
      </c>
      <c r="V3639" t="str">
        <f>+Table1[[#This Row],[id_destino]]&amp;" - "&amp;Table1[[#This Row],[id_origen]]</f>
        <v>117 - 124</v>
      </c>
    </row>
    <row r="3640" spans="1:22" hidden="1">
      <c r="A3640">
        <v>863</v>
      </c>
      <c r="B3640">
        <v>2484</v>
      </c>
      <c r="C3640">
        <v>4838</v>
      </c>
      <c r="D3640">
        <v>623</v>
      </c>
      <c r="E3640">
        <v>0</v>
      </c>
      <c r="F3640">
        <v>1</v>
      </c>
      <c r="G3640">
        <v>0</v>
      </c>
      <c r="H3640">
        <v>0</v>
      </c>
      <c r="I3640">
        <v>0</v>
      </c>
      <c r="J3640">
        <v>0</v>
      </c>
      <c r="K3640" t="s">
        <v>20</v>
      </c>
      <c r="L3640" s="1">
        <v>43195</v>
      </c>
      <c r="M3640">
        <v>121</v>
      </c>
      <c r="N3640">
        <v>124</v>
      </c>
      <c r="O3640">
        <v>88</v>
      </c>
      <c r="P3640">
        <v>150</v>
      </c>
      <c r="Q3640">
        <v>88</v>
      </c>
      <c r="S3640">
        <v>0</v>
      </c>
      <c r="T3640">
        <v>0</v>
      </c>
      <c r="U3640">
        <f>+SUM(Table1[[#This Row],[Latinos]:[Cemex]])</f>
        <v>1</v>
      </c>
      <c r="V3640" t="str">
        <f>+Table1[[#This Row],[id_destino]]&amp;" - "&amp;Table1[[#This Row],[id_origen]]</f>
        <v>121 - 124</v>
      </c>
    </row>
    <row r="3641" spans="1:22" hidden="1">
      <c r="A3641">
        <v>1214</v>
      </c>
      <c r="B3641">
        <v>2640</v>
      </c>
      <c r="C3641">
        <v>5676</v>
      </c>
      <c r="D3641">
        <v>5537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 t="s">
        <v>20</v>
      </c>
      <c r="L3641" s="1">
        <v>43342</v>
      </c>
      <c r="M3641">
        <v>25</v>
      </c>
      <c r="N3641">
        <v>125</v>
      </c>
      <c r="O3641">
        <v>367</v>
      </c>
      <c r="P3641">
        <v>367</v>
      </c>
      <c r="Q3641">
        <v>367</v>
      </c>
      <c r="S3641">
        <v>920</v>
      </c>
      <c r="T3641">
        <v>920</v>
      </c>
      <c r="U3641">
        <f>+SUM(Table1[[#This Row],[Latinos]:[Cemex]])</f>
        <v>1</v>
      </c>
      <c r="V3641" t="str">
        <f>+Table1[[#This Row],[id_destino]]&amp;" - "&amp;Table1[[#This Row],[id_origen]]</f>
        <v>25 - 125</v>
      </c>
    </row>
    <row r="3642" spans="1:22" hidden="1">
      <c r="A3642">
        <v>2129</v>
      </c>
      <c r="B3642">
        <v>3152</v>
      </c>
      <c r="C3642">
        <v>6201</v>
      </c>
      <c r="D3642">
        <v>846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 t="s">
        <v>20</v>
      </c>
      <c r="L3642" s="1">
        <v>43822</v>
      </c>
      <c r="M3642">
        <v>72</v>
      </c>
      <c r="N3642">
        <v>125</v>
      </c>
      <c r="O3642">
        <v>396</v>
      </c>
      <c r="P3642">
        <v>396</v>
      </c>
      <c r="Q3642">
        <v>396</v>
      </c>
      <c r="S3642">
        <v>396</v>
      </c>
      <c r="T3642">
        <v>396</v>
      </c>
      <c r="U3642">
        <f>+SUM(Table1[[#This Row],[Latinos]:[Cemex]])</f>
        <v>1</v>
      </c>
      <c r="V3642" t="str">
        <f>+Table1[[#This Row],[id_destino]]&amp;" - "&amp;Table1[[#This Row],[id_origen]]</f>
        <v>72 - 125</v>
      </c>
    </row>
    <row r="3643" spans="1:22" hidden="1">
      <c r="A3643">
        <v>2668</v>
      </c>
      <c r="B3643">
        <v>3490</v>
      </c>
      <c r="C3643">
        <v>380</v>
      </c>
      <c r="D3643">
        <v>380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 t="s">
        <v>20</v>
      </c>
      <c r="L3643" s="1">
        <v>44329</v>
      </c>
      <c r="M3643">
        <v>125</v>
      </c>
      <c r="N3643">
        <v>125</v>
      </c>
      <c r="O3643">
        <v>50</v>
      </c>
      <c r="P3643">
        <v>150</v>
      </c>
      <c r="Q3643">
        <v>50</v>
      </c>
      <c r="S3643">
        <v>0</v>
      </c>
      <c r="T3643">
        <v>0</v>
      </c>
      <c r="U3643">
        <f>+SUM(Table1[[#This Row],[Latinos]:[Cemex]])</f>
        <v>1</v>
      </c>
      <c r="V3643" t="str">
        <f>+Table1[[#This Row],[id_destino]]&amp;" - "&amp;Table1[[#This Row],[id_origen]]</f>
        <v>125 - 125</v>
      </c>
    </row>
    <row r="3644" spans="1:22" hidden="1">
      <c r="A3644">
        <v>4725</v>
      </c>
      <c r="B3644">
        <v>4870</v>
      </c>
      <c r="C3644">
        <v>8205</v>
      </c>
      <c r="D3644">
        <v>8206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 t="s">
        <v>20</v>
      </c>
      <c r="L3644" s="1">
        <v>45761</v>
      </c>
      <c r="M3644">
        <v>490</v>
      </c>
      <c r="N3644">
        <v>125</v>
      </c>
      <c r="O3644">
        <v>240</v>
      </c>
      <c r="P3644">
        <v>240</v>
      </c>
      <c r="Q3644">
        <v>240</v>
      </c>
      <c r="S3644">
        <v>951</v>
      </c>
      <c r="T3644">
        <v>951</v>
      </c>
      <c r="U3644">
        <f>+SUM(Table1[[#This Row],[Latinos]:[Cemex]])</f>
        <v>1</v>
      </c>
      <c r="V3644" t="str">
        <f>+Table1[[#This Row],[id_destino]]&amp;" - "&amp;Table1[[#This Row],[id_origen]]</f>
        <v>490 - 125</v>
      </c>
    </row>
    <row r="3645" spans="1:22" hidden="1">
      <c r="A3645">
        <v>2133</v>
      </c>
      <c r="B3645">
        <v>3155</v>
      </c>
      <c r="C3645">
        <v>6201</v>
      </c>
      <c r="D3645">
        <v>6157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 t="s">
        <v>20</v>
      </c>
      <c r="L3645" s="1">
        <v>43826</v>
      </c>
      <c r="M3645">
        <v>684</v>
      </c>
      <c r="N3645">
        <v>125</v>
      </c>
      <c r="O3645">
        <v>671</v>
      </c>
      <c r="P3645">
        <v>671</v>
      </c>
      <c r="Q3645">
        <v>671</v>
      </c>
      <c r="S3645">
        <v>1386</v>
      </c>
      <c r="T3645">
        <v>1386</v>
      </c>
      <c r="U3645">
        <f>+SUM(Table1[[#This Row],[Latinos]:[Cemex]])</f>
        <v>1</v>
      </c>
      <c r="V3645" t="str">
        <f>+Table1[[#This Row],[id_destino]]&amp;" - "&amp;Table1[[#This Row],[id_origen]]</f>
        <v>684 - 125</v>
      </c>
    </row>
    <row r="3646" spans="1:22" hidden="1">
      <c r="A3646">
        <v>3987</v>
      </c>
      <c r="B3646">
        <v>4338</v>
      </c>
      <c r="C3646">
        <v>383</v>
      </c>
      <c r="D3646">
        <v>7491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 t="s">
        <v>20</v>
      </c>
      <c r="L3646" s="1">
        <v>45221</v>
      </c>
      <c r="M3646">
        <v>78</v>
      </c>
      <c r="N3646">
        <v>126</v>
      </c>
      <c r="O3646">
        <v>593</v>
      </c>
      <c r="P3646">
        <v>646</v>
      </c>
      <c r="Q3646">
        <v>593</v>
      </c>
      <c r="S3646">
        <v>1332</v>
      </c>
      <c r="T3646">
        <v>1332</v>
      </c>
      <c r="U3646">
        <f>+SUM(Table1[[#This Row],[Latinos]:[Cemex]])</f>
        <v>1</v>
      </c>
      <c r="V3646" t="str">
        <f>+Table1[[#This Row],[id_destino]]&amp;" - "&amp;Table1[[#This Row],[id_origen]]</f>
        <v>78 - 126</v>
      </c>
    </row>
    <row r="3647" spans="1:22" hidden="1">
      <c r="A3647">
        <v>4246</v>
      </c>
      <c r="B3647">
        <v>4520</v>
      </c>
      <c r="C3647">
        <v>383</v>
      </c>
      <c r="D3647">
        <v>7298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 t="s">
        <v>20</v>
      </c>
      <c r="L3647" s="1">
        <v>45394</v>
      </c>
      <c r="M3647">
        <v>685</v>
      </c>
      <c r="N3647">
        <v>126</v>
      </c>
      <c r="O3647">
        <v>651</v>
      </c>
      <c r="P3647">
        <v>651</v>
      </c>
      <c r="Q3647">
        <v>651</v>
      </c>
      <c r="S3647">
        <v>762</v>
      </c>
      <c r="T3647">
        <v>762</v>
      </c>
      <c r="U3647">
        <f>+SUM(Table1[[#This Row],[Latinos]:[Cemex]])</f>
        <v>1</v>
      </c>
      <c r="V3647" t="str">
        <f>+Table1[[#This Row],[id_destino]]&amp;" - "&amp;Table1[[#This Row],[id_origen]]</f>
        <v>685 - 126</v>
      </c>
    </row>
    <row r="3648" spans="1:22" hidden="1">
      <c r="A3648">
        <v>2550</v>
      </c>
      <c r="B3648">
        <v>3412</v>
      </c>
      <c r="C3648">
        <v>391</v>
      </c>
      <c r="D3648">
        <v>2927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 t="s">
        <v>20</v>
      </c>
      <c r="L3648" s="1">
        <v>44173</v>
      </c>
      <c r="M3648">
        <v>54</v>
      </c>
      <c r="N3648">
        <v>127</v>
      </c>
      <c r="O3648">
        <v>161</v>
      </c>
      <c r="P3648">
        <v>161</v>
      </c>
      <c r="Q3648">
        <v>161</v>
      </c>
      <c r="S3648">
        <v>0</v>
      </c>
      <c r="T3648">
        <v>0</v>
      </c>
      <c r="U3648">
        <f>+SUM(Table1[[#This Row],[Latinos]:[Cemex]])</f>
        <v>1</v>
      </c>
      <c r="V3648" t="str">
        <f>+Table1[[#This Row],[id_destino]]&amp;" - "&amp;Table1[[#This Row],[id_origen]]</f>
        <v>54 - 127</v>
      </c>
    </row>
    <row r="3649" spans="1:22" hidden="1">
      <c r="A3649">
        <v>3285</v>
      </c>
      <c r="B3649">
        <v>3888</v>
      </c>
      <c r="C3649">
        <v>485</v>
      </c>
      <c r="D3649">
        <v>352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 t="s">
        <v>20</v>
      </c>
      <c r="L3649" s="1">
        <v>44810</v>
      </c>
      <c r="M3649">
        <v>6</v>
      </c>
      <c r="N3649">
        <v>129</v>
      </c>
      <c r="O3649">
        <v>1332</v>
      </c>
      <c r="P3649">
        <v>1304</v>
      </c>
      <c r="Q3649">
        <v>1332</v>
      </c>
      <c r="S3649">
        <v>1890</v>
      </c>
      <c r="T3649">
        <v>1890</v>
      </c>
      <c r="U3649">
        <f>+SUM(Table1[[#This Row],[Latinos]:[Cemex]])</f>
        <v>1</v>
      </c>
      <c r="V3649" t="str">
        <f>+Table1[[#This Row],[id_destino]]&amp;" - "&amp;Table1[[#This Row],[id_origen]]</f>
        <v>6 - 129</v>
      </c>
    </row>
    <row r="3650" spans="1:22" hidden="1">
      <c r="A3650">
        <v>4343</v>
      </c>
      <c r="B3650">
        <v>2790</v>
      </c>
      <c r="C3650">
        <v>47</v>
      </c>
      <c r="D3650">
        <v>53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  <c r="K3650" t="s">
        <v>20</v>
      </c>
      <c r="L3650" s="1">
        <v>45482</v>
      </c>
      <c r="M3650">
        <v>35</v>
      </c>
      <c r="N3650">
        <v>129</v>
      </c>
      <c r="O3650">
        <v>445</v>
      </c>
      <c r="P3650">
        <v>452</v>
      </c>
      <c r="Q3650">
        <v>445</v>
      </c>
      <c r="S3650">
        <v>1057</v>
      </c>
      <c r="T3650">
        <v>1057</v>
      </c>
      <c r="U3650">
        <f>+SUM(Table1[[#This Row],[Latinos]:[Cemex]])</f>
        <v>1</v>
      </c>
      <c r="V3650" t="str">
        <f>+Table1[[#This Row],[id_destino]]&amp;" - "&amp;Table1[[#This Row],[id_origen]]</f>
        <v>35 - 129</v>
      </c>
    </row>
    <row r="3651" spans="1:22" hidden="1">
      <c r="A3651">
        <v>2725</v>
      </c>
      <c r="B3651">
        <v>3526</v>
      </c>
      <c r="C3651">
        <v>47</v>
      </c>
      <c r="D3651">
        <v>65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 t="s">
        <v>20</v>
      </c>
      <c r="L3651" s="1">
        <v>44385</v>
      </c>
      <c r="M3651">
        <v>57</v>
      </c>
      <c r="N3651">
        <v>129</v>
      </c>
      <c r="O3651">
        <v>498</v>
      </c>
      <c r="P3651">
        <v>494</v>
      </c>
      <c r="Q3651">
        <v>498</v>
      </c>
      <c r="S3651">
        <v>1100</v>
      </c>
      <c r="T3651">
        <v>1100</v>
      </c>
      <c r="U3651">
        <f>+SUM(Table1[[#This Row],[Latinos]:[Cemex]])</f>
        <v>1</v>
      </c>
      <c r="V3651" t="str">
        <f>+Table1[[#This Row],[id_destino]]&amp;" - "&amp;Table1[[#This Row],[id_origen]]</f>
        <v>57 - 129</v>
      </c>
    </row>
    <row r="3652" spans="1:22" hidden="1">
      <c r="A3652">
        <v>3094</v>
      </c>
      <c r="B3652">
        <v>3771</v>
      </c>
      <c r="C3652">
        <v>485</v>
      </c>
      <c r="D3652">
        <v>6913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 t="s">
        <v>20</v>
      </c>
      <c r="L3652" s="1">
        <v>44722</v>
      </c>
      <c r="M3652">
        <v>84</v>
      </c>
      <c r="N3652">
        <v>129</v>
      </c>
      <c r="O3652">
        <v>1403</v>
      </c>
      <c r="P3652">
        <v>1397</v>
      </c>
      <c r="Q3652">
        <v>1403</v>
      </c>
      <c r="S3652">
        <v>2131</v>
      </c>
      <c r="T3652">
        <v>2131</v>
      </c>
      <c r="U3652">
        <f>+SUM(Table1[[#This Row],[Latinos]:[Cemex]])</f>
        <v>1</v>
      </c>
      <c r="V3652" t="str">
        <f>+Table1[[#This Row],[id_destino]]&amp;" - "&amp;Table1[[#This Row],[id_origen]]</f>
        <v>84 - 129</v>
      </c>
    </row>
    <row r="3653" spans="1:22" hidden="1">
      <c r="A3653">
        <v>2273</v>
      </c>
      <c r="B3653">
        <v>48</v>
      </c>
      <c r="C3653">
        <v>47</v>
      </c>
      <c r="D3653">
        <v>173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 t="s">
        <v>20</v>
      </c>
      <c r="L3653" s="1">
        <v>43895</v>
      </c>
      <c r="M3653">
        <v>105</v>
      </c>
      <c r="N3653">
        <v>129</v>
      </c>
      <c r="O3653">
        <v>514</v>
      </c>
      <c r="P3653">
        <v>514</v>
      </c>
      <c r="Q3653">
        <v>514</v>
      </c>
      <c r="S3653">
        <v>1228</v>
      </c>
      <c r="T3653">
        <v>1302</v>
      </c>
      <c r="U3653">
        <f>+SUM(Table1[[#This Row],[Latinos]:[Cemex]])</f>
        <v>1</v>
      </c>
      <c r="V3653" t="str">
        <f>+Table1[[#This Row],[id_destino]]&amp;" - "&amp;Table1[[#This Row],[id_origen]]</f>
        <v>105 - 129</v>
      </c>
    </row>
    <row r="3654" spans="1:22" hidden="1">
      <c r="A3654">
        <v>2872</v>
      </c>
      <c r="B3654">
        <v>3624</v>
      </c>
      <c r="C3654">
        <v>2867</v>
      </c>
      <c r="D3654">
        <v>1687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 t="s">
        <v>93</v>
      </c>
      <c r="L3654" s="1">
        <v>44967</v>
      </c>
      <c r="M3654">
        <v>53</v>
      </c>
      <c r="N3654">
        <v>130</v>
      </c>
      <c r="O3654">
        <v>336</v>
      </c>
      <c r="P3654">
        <v>347</v>
      </c>
      <c r="Q3654">
        <v>336</v>
      </c>
      <c r="S3654">
        <v>0</v>
      </c>
      <c r="T3654">
        <v>0</v>
      </c>
      <c r="U3654">
        <f>+SUM(Table1[[#This Row],[Latinos]:[Cemex]])</f>
        <v>1</v>
      </c>
      <c r="V3654" t="str">
        <f>+Table1[[#This Row],[id_destino]]&amp;" - "&amp;Table1[[#This Row],[id_origen]]</f>
        <v>53 - 130</v>
      </c>
    </row>
    <row r="3655" spans="1:22" hidden="1">
      <c r="A3655">
        <v>2562</v>
      </c>
      <c r="B3655">
        <v>3419</v>
      </c>
      <c r="C3655">
        <v>2867</v>
      </c>
      <c r="D3655">
        <v>5285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 t="s">
        <v>20</v>
      </c>
      <c r="L3655" s="1">
        <v>45399</v>
      </c>
      <c r="M3655">
        <v>83</v>
      </c>
      <c r="N3655">
        <v>130</v>
      </c>
      <c r="O3655">
        <v>438</v>
      </c>
      <c r="P3655">
        <v>462</v>
      </c>
      <c r="Q3655">
        <v>438</v>
      </c>
      <c r="S3655">
        <v>0</v>
      </c>
      <c r="T3655">
        <v>0</v>
      </c>
      <c r="U3655">
        <f>+SUM(Table1[[#This Row],[Latinos]:[Cemex]])</f>
        <v>1</v>
      </c>
      <c r="V3655" t="str">
        <f>+Table1[[#This Row],[id_destino]]&amp;" - "&amp;Table1[[#This Row],[id_origen]]</f>
        <v>83 - 130</v>
      </c>
    </row>
    <row r="3656" spans="1:22" hidden="1">
      <c r="A3656">
        <v>3333</v>
      </c>
      <c r="B3656">
        <v>3914</v>
      </c>
      <c r="C3656">
        <v>2867</v>
      </c>
      <c r="D3656">
        <v>405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 t="s">
        <v>20</v>
      </c>
      <c r="L3656" s="1">
        <v>45231</v>
      </c>
      <c r="M3656">
        <v>180</v>
      </c>
      <c r="N3656">
        <v>130</v>
      </c>
      <c r="O3656">
        <v>638</v>
      </c>
      <c r="P3656">
        <v>667</v>
      </c>
      <c r="Q3656">
        <v>638</v>
      </c>
      <c r="S3656">
        <v>391</v>
      </c>
      <c r="T3656">
        <v>391</v>
      </c>
      <c r="U3656">
        <f>+SUM(Table1[[#This Row],[Latinos]:[Cemex]])</f>
        <v>1</v>
      </c>
      <c r="V3656" t="str">
        <f>+Table1[[#This Row],[id_destino]]&amp;" - "&amp;Table1[[#This Row],[id_origen]]</f>
        <v>180 - 130</v>
      </c>
    </row>
    <row r="3657" spans="1:22" hidden="1">
      <c r="A3657">
        <v>1411</v>
      </c>
      <c r="B3657">
        <v>2730</v>
      </c>
      <c r="C3657">
        <v>3371</v>
      </c>
      <c r="D3657">
        <v>3581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 t="s">
        <v>20</v>
      </c>
      <c r="L3657" s="1">
        <v>43424</v>
      </c>
      <c r="M3657">
        <v>79</v>
      </c>
      <c r="N3657">
        <v>132</v>
      </c>
      <c r="O3657">
        <v>117</v>
      </c>
      <c r="P3657">
        <v>150</v>
      </c>
      <c r="Q3657">
        <v>150</v>
      </c>
      <c r="S3657">
        <v>355</v>
      </c>
      <c r="T3657">
        <v>361</v>
      </c>
      <c r="U3657">
        <f>+SUM(Table1[[#This Row],[Latinos]:[Cemex]])</f>
        <v>1</v>
      </c>
      <c r="V3657" t="str">
        <f>+Table1[[#This Row],[id_destino]]&amp;" - "&amp;Table1[[#This Row],[id_origen]]</f>
        <v>79 - 132</v>
      </c>
    </row>
    <row r="3658" spans="1:22" hidden="1">
      <c r="A3658">
        <v>4366</v>
      </c>
      <c r="B3658">
        <v>4603</v>
      </c>
      <c r="C3658">
        <v>7012</v>
      </c>
      <c r="D3658">
        <v>623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0</v>
      </c>
      <c r="K3658" t="s">
        <v>20</v>
      </c>
      <c r="L3658" s="1">
        <v>45496</v>
      </c>
      <c r="M3658">
        <v>121</v>
      </c>
      <c r="N3658">
        <v>132</v>
      </c>
      <c r="O3658">
        <v>398</v>
      </c>
      <c r="P3658">
        <v>391</v>
      </c>
      <c r="Q3658">
        <v>398</v>
      </c>
      <c r="S3658">
        <v>1651</v>
      </c>
      <c r="T3658">
        <v>1656</v>
      </c>
      <c r="U3658">
        <f>+SUM(Table1[[#This Row],[Latinos]:[Cemex]])</f>
        <v>1</v>
      </c>
      <c r="V3658" t="str">
        <f>+Table1[[#This Row],[id_destino]]&amp;" - "&amp;Table1[[#This Row],[id_origen]]</f>
        <v>121 - 132</v>
      </c>
    </row>
    <row r="3659" spans="1:22" hidden="1">
      <c r="A3659">
        <v>4393</v>
      </c>
      <c r="B3659">
        <v>4625</v>
      </c>
      <c r="C3659">
        <v>7012</v>
      </c>
      <c r="D3659">
        <v>7012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 t="s">
        <v>20</v>
      </c>
      <c r="L3659" s="1">
        <v>45518</v>
      </c>
      <c r="M3659">
        <v>132</v>
      </c>
      <c r="N3659">
        <v>132</v>
      </c>
      <c r="O3659">
        <v>0</v>
      </c>
      <c r="P3659">
        <v>150</v>
      </c>
      <c r="Q3659">
        <v>100</v>
      </c>
      <c r="S3659">
        <v>0</v>
      </c>
      <c r="T3659">
        <v>0</v>
      </c>
      <c r="U3659">
        <f>+SUM(Table1[[#This Row],[Latinos]:[Cemex]])</f>
        <v>1</v>
      </c>
      <c r="V3659" t="str">
        <f>+Table1[[#This Row],[id_destino]]&amp;" - "&amp;Table1[[#This Row],[id_origen]]</f>
        <v>132 - 132</v>
      </c>
    </row>
    <row r="3660" spans="1:22" hidden="1">
      <c r="A3660">
        <v>4416</v>
      </c>
      <c r="B3660">
        <v>4641</v>
      </c>
      <c r="C3660">
        <v>7012</v>
      </c>
      <c r="D3660">
        <v>3176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0</v>
      </c>
      <c r="K3660" t="s">
        <v>20</v>
      </c>
      <c r="L3660" s="1">
        <v>45531</v>
      </c>
      <c r="M3660">
        <v>136</v>
      </c>
      <c r="N3660">
        <v>132</v>
      </c>
      <c r="O3660">
        <v>40</v>
      </c>
      <c r="P3660">
        <v>150</v>
      </c>
      <c r="Q3660">
        <v>40</v>
      </c>
      <c r="S3660">
        <v>111</v>
      </c>
      <c r="T3660">
        <v>111</v>
      </c>
      <c r="U3660">
        <f>+SUM(Table1[[#This Row],[Latinos]:[Cemex]])</f>
        <v>1</v>
      </c>
      <c r="V3660" t="str">
        <f>+Table1[[#This Row],[id_destino]]&amp;" - "&amp;Table1[[#This Row],[id_origen]]</f>
        <v>136 - 132</v>
      </c>
    </row>
    <row r="3661" spans="1:22" hidden="1">
      <c r="A3661">
        <v>502</v>
      </c>
      <c r="B3661">
        <v>2322</v>
      </c>
      <c r="C3661">
        <v>415</v>
      </c>
      <c r="D3661">
        <v>388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 t="s">
        <v>20</v>
      </c>
      <c r="L3661" s="1">
        <v>43868</v>
      </c>
      <c r="M3661">
        <v>9</v>
      </c>
      <c r="N3661">
        <v>134</v>
      </c>
      <c r="O3661">
        <v>1295</v>
      </c>
      <c r="P3661">
        <v>1295</v>
      </c>
      <c r="Q3661">
        <v>1295</v>
      </c>
      <c r="S3661">
        <v>951</v>
      </c>
      <c r="T3661">
        <v>951</v>
      </c>
      <c r="U3661">
        <f>+SUM(Table1[[#This Row],[Latinos]:[Cemex]])</f>
        <v>1</v>
      </c>
      <c r="V3661" t="str">
        <f>+Table1[[#This Row],[id_destino]]&amp;" - "&amp;Table1[[#This Row],[id_origen]]</f>
        <v>9 - 134</v>
      </c>
    </row>
    <row r="3662" spans="1:22" hidden="1">
      <c r="A3662">
        <v>1537</v>
      </c>
      <c r="B3662">
        <v>2799</v>
      </c>
      <c r="C3662">
        <v>5812</v>
      </c>
      <c r="D3662">
        <v>5811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 t="s">
        <v>20</v>
      </c>
      <c r="L3662" s="1">
        <v>43497</v>
      </c>
      <c r="M3662">
        <v>35</v>
      </c>
      <c r="N3662">
        <v>134</v>
      </c>
      <c r="O3662">
        <v>862</v>
      </c>
      <c r="P3662">
        <v>862</v>
      </c>
      <c r="Q3662">
        <v>862</v>
      </c>
      <c r="S3662">
        <v>1308</v>
      </c>
      <c r="T3662">
        <v>1308</v>
      </c>
      <c r="U3662">
        <f>+SUM(Table1[[#This Row],[Latinos]:[Cemex]])</f>
        <v>1</v>
      </c>
      <c r="V3662" t="str">
        <f>+Table1[[#This Row],[id_destino]]&amp;" - "&amp;Table1[[#This Row],[id_origen]]</f>
        <v>35 - 134</v>
      </c>
    </row>
    <row r="3663" spans="1:22" hidden="1">
      <c r="A3663">
        <v>3979</v>
      </c>
      <c r="B3663">
        <v>4334</v>
      </c>
      <c r="C3663">
        <v>7377</v>
      </c>
      <c r="D3663">
        <v>405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 t="s">
        <v>20</v>
      </c>
      <c r="L3663" s="1">
        <v>45213</v>
      </c>
      <c r="M3663">
        <v>180</v>
      </c>
      <c r="N3663">
        <v>135</v>
      </c>
      <c r="O3663">
        <v>1140</v>
      </c>
      <c r="P3663">
        <v>1152</v>
      </c>
      <c r="Q3663">
        <v>1140</v>
      </c>
      <c r="S3663">
        <v>1140</v>
      </c>
      <c r="T3663">
        <v>1194</v>
      </c>
      <c r="U3663">
        <f>+SUM(Table1[[#This Row],[Latinos]:[Cemex]])</f>
        <v>1</v>
      </c>
      <c r="V3663" t="str">
        <f>+Table1[[#This Row],[id_destino]]&amp;" - "&amp;Table1[[#This Row],[id_origen]]</f>
        <v>180 - 135</v>
      </c>
    </row>
    <row r="3664" spans="1:22" hidden="1">
      <c r="A3664">
        <v>3008</v>
      </c>
      <c r="B3664">
        <v>3718</v>
      </c>
      <c r="C3664">
        <v>3176</v>
      </c>
      <c r="D3664">
        <v>6872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  <c r="K3664" t="s">
        <v>20</v>
      </c>
      <c r="L3664" s="1">
        <v>44686</v>
      </c>
      <c r="M3664">
        <v>1</v>
      </c>
      <c r="N3664">
        <v>136</v>
      </c>
      <c r="O3664">
        <v>1016</v>
      </c>
      <c r="P3664">
        <v>1034</v>
      </c>
      <c r="Q3664">
        <v>1016</v>
      </c>
      <c r="S3664">
        <v>1900</v>
      </c>
      <c r="T3664">
        <v>1900</v>
      </c>
      <c r="U3664">
        <f>+SUM(Table1[[#This Row],[Latinos]:[Cemex]])</f>
        <v>1</v>
      </c>
      <c r="V3664" t="str">
        <f>+Table1[[#This Row],[id_destino]]&amp;" - "&amp;Table1[[#This Row],[id_origen]]</f>
        <v>1 - 136</v>
      </c>
    </row>
    <row r="3665" spans="1:22" hidden="1">
      <c r="A3665">
        <v>1538</v>
      </c>
      <c r="B3665">
        <v>2800</v>
      </c>
      <c r="C3665">
        <v>3176</v>
      </c>
      <c r="D3665">
        <v>4631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 t="s">
        <v>20</v>
      </c>
      <c r="L3665" s="1">
        <v>43497</v>
      </c>
      <c r="M3665">
        <v>3</v>
      </c>
      <c r="N3665">
        <v>136</v>
      </c>
      <c r="O3665">
        <v>626</v>
      </c>
      <c r="P3665">
        <v>626</v>
      </c>
      <c r="Q3665">
        <v>626</v>
      </c>
      <c r="S3665">
        <v>1298</v>
      </c>
      <c r="T3665">
        <v>1298</v>
      </c>
      <c r="U3665">
        <f>+SUM(Table1[[#This Row],[Latinos]:[Cemex]])</f>
        <v>1</v>
      </c>
      <c r="V3665" t="str">
        <f>+Table1[[#This Row],[id_destino]]&amp;" - "&amp;Table1[[#This Row],[id_origen]]</f>
        <v>3 - 136</v>
      </c>
    </row>
    <row r="3666" spans="1:22" hidden="1">
      <c r="A3666">
        <v>4520</v>
      </c>
      <c r="B3666">
        <v>2800</v>
      </c>
      <c r="C3666">
        <v>3176</v>
      </c>
      <c r="D3666">
        <v>1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0</v>
      </c>
      <c r="K3666" t="s">
        <v>20</v>
      </c>
      <c r="L3666" s="1">
        <v>45600</v>
      </c>
      <c r="M3666">
        <v>3</v>
      </c>
      <c r="N3666">
        <v>136</v>
      </c>
      <c r="O3666">
        <v>637</v>
      </c>
      <c r="P3666">
        <v>648</v>
      </c>
      <c r="Q3666">
        <v>637</v>
      </c>
      <c r="S3666">
        <v>1486</v>
      </c>
      <c r="T3666">
        <v>1486</v>
      </c>
      <c r="U3666">
        <f>+SUM(Table1[[#This Row],[Latinos]:[Cemex]])</f>
        <v>1</v>
      </c>
      <c r="V3666" t="str">
        <f>+Table1[[#This Row],[id_destino]]&amp;" - "&amp;Table1[[#This Row],[id_origen]]</f>
        <v>3 - 136</v>
      </c>
    </row>
    <row r="3667" spans="1:22" hidden="1">
      <c r="A3667">
        <v>4209</v>
      </c>
      <c r="B3667">
        <v>3099</v>
      </c>
      <c r="C3667">
        <v>3176</v>
      </c>
      <c r="D3667">
        <v>7</v>
      </c>
      <c r="E3667">
        <v>0</v>
      </c>
      <c r="F3667">
        <v>1</v>
      </c>
      <c r="G3667">
        <v>0</v>
      </c>
      <c r="H3667">
        <v>0</v>
      </c>
      <c r="I3667">
        <v>0</v>
      </c>
      <c r="J3667">
        <v>0</v>
      </c>
      <c r="K3667" t="s">
        <v>20</v>
      </c>
      <c r="L3667" s="1">
        <v>45364</v>
      </c>
      <c r="M3667">
        <v>9</v>
      </c>
      <c r="N3667">
        <v>136</v>
      </c>
      <c r="O3667">
        <v>1167</v>
      </c>
      <c r="P3667">
        <v>1189</v>
      </c>
      <c r="Q3667">
        <v>1167</v>
      </c>
      <c r="S3667">
        <v>2223</v>
      </c>
      <c r="T3667">
        <v>2306</v>
      </c>
      <c r="U3667">
        <f>+SUM(Table1[[#This Row],[Latinos]:[Cemex]])</f>
        <v>1</v>
      </c>
      <c r="V3667" t="str">
        <f>+Table1[[#This Row],[id_destino]]&amp;" - "&amp;Table1[[#This Row],[id_origen]]</f>
        <v>9 - 136</v>
      </c>
    </row>
    <row r="3668" spans="1:22" hidden="1">
      <c r="A3668">
        <v>4469</v>
      </c>
      <c r="B3668">
        <v>4680</v>
      </c>
      <c r="C3668">
        <v>7005</v>
      </c>
      <c r="D3668">
        <v>7939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0</v>
      </c>
      <c r="K3668" t="s">
        <v>20</v>
      </c>
      <c r="L3668" s="1">
        <v>45569</v>
      </c>
      <c r="M3668">
        <v>35</v>
      </c>
      <c r="N3668">
        <v>136</v>
      </c>
      <c r="O3668">
        <v>278</v>
      </c>
      <c r="P3668">
        <v>284</v>
      </c>
      <c r="Q3668">
        <v>278</v>
      </c>
      <c r="S3668">
        <v>854</v>
      </c>
      <c r="T3668">
        <v>854</v>
      </c>
      <c r="U3668">
        <f>+SUM(Table1[[#This Row],[Latinos]:[Cemex]])</f>
        <v>1</v>
      </c>
      <c r="V3668" t="str">
        <f>+Table1[[#This Row],[id_destino]]&amp;" - "&amp;Table1[[#This Row],[id_origen]]</f>
        <v>35 - 136</v>
      </c>
    </row>
    <row r="3669" spans="1:22" hidden="1">
      <c r="A3669">
        <v>2389</v>
      </c>
      <c r="B3669">
        <v>3312</v>
      </c>
      <c r="C3669">
        <v>3176</v>
      </c>
      <c r="D3669">
        <v>5299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  <c r="K3669" t="s">
        <v>20</v>
      </c>
      <c r="L3669" s="1">
        <v>44022</v>
      </c>
      <c r="M3669">
        <v>38</v>
      </c>
      <c r="N3669">
        <v>136</v>
      </c>
      <c r="O3669">
        <v>424</v>
      </c>
      <c r="P3669">
        <v>421</v>
      </c>
      <c r="Q3669">
        <v>424</v>
      </c>
      <c r="S3669">
        <v>1457</v>
      </c>
      <c r="T3669">
        <v>1457</v>
      </c>
      <c r="U3669">
        <f>+SUM(Table1[[#This Row],[Latinos]:[Cemex]])</f>
        <v>1</v>
      </c>
      <c r="V3669" t="str">
        <f>+Table1[[#This Row],[id_destino]]&amp;" - "&amp;Table1[[#This Row],[id_origen]]</f>
        <v>38 - 136</v>
      </c>
    </row>
    <row r="3670" spans="1:22" hidden="1">
      <c r="A3670">
        <v>1050</v>
      </c>
      <c r="B3670">
        <v>1214</v>
      </c>
      <c r="C3670">
        <v>3176</v>
      </c>
      <c r="D3670">
        <v>230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 t="s">
        <v>20</v>
      </c>
      <c r="L3670" s="1">
        <v>43264</v>
      </c>
      <c r="M3670">
        <v>47</v>
      </c>
      <c r="N3670">
        <v>136</v>
      </c>
      <c r="O3670">
        <v>197</v>
      </c>
      <c r="P3670">
        <v>208</v>
      </c>
      <c r="Q3670">
        <v>197</v>
      </c>
      <c r="S3670">
        <v>930</v>
      </c>
      <c r="T3670">
        <v>930</v>
      </c>
      <c r="U3670">
        <f>+SUM(Table1[[#This Row],[Latinos]:[Cemex]])</f>
        <v>1</v>
      </c>
      <c r="V3670" t="str">
        <f>+Table1[[#This Row],[id_destino]]&amp;" - "&amp;Table1[[#This Row],[id_origen]]</f>
        <v>47 - 136</v>
      </c>
    </row>
    <row r="3671" spans="1:22" hidden="1">
      <c r="A3671">
        <v>1379</v>
      </c>
      <c r="B3671">
        <v>2710</v>
      </c>
      <c r="C3671">
        <v>3176</v>
      </c>
      <c r="D3671">
        <v>230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 t="s">
        <v>20</v>
      </c>
      <c r="L3671" s="1">
        <v>43412</v>
      </c>
      <c r="M3671">
        <v>47</v>
      </c>
      <c r="N3671">
        <v>136</v>
      </c>
      <c r="O3671">
        <v>197</v>
      </c>
      <c r="P3671">
        <v>197</v>
      </c>
      <c r="Q3671">
        <v>197</v>
      </c>
      <c r="S3671">
        <v>486</v>
      </c>
      <c r="T3671">
        <v>486</v>
      </c>
      <c r="U3671">
        <f>+SUM(Table1[[#This Row],[Latinos]:[Cemex]])</f>
        <v>1</v>
      </c>
      <c r="V3671" t="str">
        <f>+Table1[[#This Row],[id_destino]]&amp;" - "&amp;Table1[[#This Row],[id_origen]]</f>
        <v>47 - 136</v>
      </c>
    </row>
    <row r="3672" spans="1:22" hidden="1">
      <c r="A3672">
        <v>1972</v>
      </c>
      <c r="B3672">
        <v>3055</v>
      </c>
      <c r="C3672">
        <v>3176</v>
      </c>
      <c r="D3672">
        <v>6084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  <c r="K3672" t="s">
        <v>20</v>
      </c>
      <c r="L3672" s="1">
        <v>43745</v>
      </c>
      <c r="M3672">
        <v>65</v>
      </c>
      <c r="N3672">
        <v>136</v>
      </c>
      <c r="O3672">
        <v>10</v>
      </c>
      <c r="P3672">
        <v>150</v>
      </c>
      <c r="Q3672">
        <v>10</v>
      </c>
      <c r="S3672">
        <v>0</v>
      </c>
      <c r="T3672">
        <v>0</v>
      </c>
      <c r="U3672">
        <f>+SUM(Table1[[#This Row],[Latinos]:[Cemex]])</f>
        <v>1</v>
      </c>
      <c r="V3672" t="str">
        <f>+Table1[[#This Row],[id_destino]]&amp;" - "&amp;Table1[[#This Row],[id_origen]]</f>
        <v>65 - 136</v>
      </c>
    </row>
    <row r="3673" spans="1:22" hidden="1">
      <c r="A3673">
        <v>1973</v>
      </c>
      <c r="B3673">
        <v>3055</v>
      </c>
      <c r="C3673">
        <v>3176</v>
      </c>
      <c r="D3673">
        <v>6084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 t="s">
        <v>20</v>
      </c>
      <c r="L3673" s="1">
        <v>43745</v>
      </c>
      <c r="M3673">
        <v>65</v>
      </c>
      <c r="N3673">
        <v>136</v>
      </c>
      <c r="O3673">
        <v>10</v>
      </c>
      <c r="P3673">
        <v>150</v>
      </c>
      <c r="Q3673">
        <v>10</v>
      </c>
      <c r="S3673">
        <v>0</v>
      </c>
      <c r="T3673">
        <v>0</v>
      </c>
      <c r="U3673">
        <f>+SUM(Table1[[#This Row],[Latinos]:[Cemex]])</f>
        <v>1</v>
      </c>
      <c r="V3673" t="str">
        <f>+Table1[[#This Row],[id_destino]]&amp;" - "&amp;Table1[[#This Row],[id_origen]]</f>
        <v>65 - 136</v>
      </c>
    </row>
    <row r="3674" spans="1:22" hidden="1">
      <c r="A3674">
        <v>4712</v>
      </c>
      <c r="B3674">
        <v>4863</v>
      </c>
      <c r="C3674">
        <v>7005</v>
      </c>
      <c r="D3674">
        <v>8190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 t="s">
        <v>20</v>
      </c>
      <c r="L3674" s="1">
        <v>45749</v>
      </c>
      <c r="M3674">
        <v>69</v>
      </c>
      <c r="N3674">
        <v>136</v>
      </c>
      <c r="O3674">
        <v>144</v>
      </c>
      <c r="P3674">
        <v>150</v>
      </c>
      <c r="Q3674">
        <v>144</v>
      </c>
      <c r="R3674">
        <v>144</v>
      </c>
      <c r="S3674">
        <v>1113</v>
      </c>
      <c r="T3674">
        <v>1113</v>
      </c>
      <c r="U3674">
        <f>+SUM(Table1[[#This Row],[Latinos]:[Cemex]])</f>
        <v>1</v>
      </c>
      <c r="V3674" t="str">
        <f>+Table1[[#This Row],[id_destino]]&amp;" - "&amp;Table1[[#This Row],[id_origen]]</f>
        <v>69 - 136</v>
      </c>
    </row>
    <row r="3675" spans="1:22" hidden="1">
      <c r="A3675">
        <v>1604</v>
      </c>
      <c r="B3675">
        <v>1328</v>
      </c>
      <c r="C3675">
        <v>3176</v>
      </c>
      <c r="D3675">
        <v>210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  <c r="K3675" t="s">
        <v>20</v>
      </c>
      <c r="L3675" s="1">
        <v>43526</v>
      </c>
      <c r="M3675">
        <v>81</v>
      </c>
      <c r="N3675">
        <v>136</v>
      </c>
      <c r="O3675">
        <v>50</v>
      </c>
      <c r="P3675">
        <v>150</v>
      </c>
      <c r="Q3675">
        <v>50</v>
      </c>
      <c r="S3675">
        <v>0</v>
      </c>
      <c r="T3675">
        <v>0</v>
      </c>
      <c r="U3675">
        <f>+SUM(Table1[[#This Row],[Latinos]:[Cemex]])</f>
        <v>1</v>
      </c>
      <c r="V3675" t="str">
        <f>+Table1[[#This Row],[id_destino]]&amp;" - "&amp;Table1[[#This Row],[id_origen]]</f>
        <v>81 - 136</v>
      </c>
    </row>
    <row r="3676" spans="1:22" hidden="1">
      <c r="A3676">
        <v>4156</v>
      </c>
      <c r="B3676">
        <v>4456</v>
      </c>
      <c r="C3676">
        <v>3176</v>
      </c>
      <c r="D3676">
        <v>1366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 t="s">
        <v>20</v>
      </c>
      <c r="L3676" s="1">
        <v>45324</v>
      </c>
      <c r="M3676">
        <v>107</v>
      </c>
      <c r="N3676">
        <v>136</v>
      </c>
      <c r="O3676">
        <v>451</v>
      </c>
      <c r="P3676">
        <v>516</v>
      </c>
      <c r="Q3676">
        <v>451</v>
      </c>
      <c r="S3676">
        <v>975</v>
      </c>
      <c r="T3676">
        <v>1072</v>
      </c>
      <c r="U3676">
        <f>+SUM(Table1[[#This Row],[Latinos]:[Cemex]])</f>
        <v>1</v>
      </c>
      <c r="V3676" t="str">
        <f>+Table1[[#This Row],[id_destino]]&amp;" - "&amp;Table1[[#This Row],[id_origen]]</f>
        <v>107 - 136</v>
      </c>
    </row>
    <row r="3677" spans="1:22" hidden="1">
      <c r="A3677">
        <v>4530</v>
      </c>
      <c r="B3677">
        <v>4730</v>
      </c>
      <c r="C3677">
        <v>3176</v>
      </c>
      <c r="D3677">
        <v>3176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0</v>
      </c>
      <c r="K3677" t="s">
        <v>20</v>
      </c>
      <c r="L3677" s="1">
        <v>45603</v>
      </c>
      <c r="M3677">
        <v>136</v>
      </c>
      <c r="N3677">
        <v>136</v>
      </c>
      <c r="O3677">
        <v>0</v>
      </c>
      <c r="P3677">
        <v>150</v>
      </c>
      <c r="Q3677">
        <v>50</v>
      </c>
      <c r="S3677">
        <v>0</v>
      </c>
      <c r="T3677">
        <v>0</v>
      </c>
      <c r="U3677">
        <f>+SUM(Table1[[#This Row],[Latinos]:[Cemex]])</f>
        <v>1</v>
      </c>
      <c r="V3677" t="str">
        <f>+Table1[[#This Row],[id_destino]]&amp;" - "&amp;Table1[[#This Row],[id_origen]]</f>
        <v>136 - 136</v>
      </c>
    </row>
    <row r="3678" spans="1:22" hidden="1">
      <c r="A3678">
        <v>2929</v>
      </c>
      <c r="B3678">
        <v>3662</v>
      </c>
      <c r="C3678">
        <v>3176</v>
      </c>
      <c r="D3678">
        <v>6671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 t="s">
        <v>20</v>
      </c>
      <c r="L3678" s="1">
        <v>44623</v>
      </c>
      <c r="M3678">
        <v>212</v>
      </c>
      <c r="N3678">
        <v>136</v>
      </c>
      <c r="O3678">
        <v>141</v>
      </c>
      <c r="P3678">
        <v>150</v>
      </c>
      <c r="Q3678">
        <v>141</v>
      </c>
      <c r="S3678">
        <v>625</v>
      </c>
      <c r="T3678">
        <v>639</v>
      </c>
      <c r="U3678">
        <f>+SUM(Table1[[#This Row],[Latinos]:[Cemex]])</f>
        <v>1</v>
      </c>
      <c r="V3678" t="str">
        <f>+Table1[[#This Row],[id_destino]]&amp;" - "&amp;Table1[[#This Row],[id_origen]]</f>
        <v>212 - 136</v>
      </c>
    </row>
    <row r="3679" spans="1:22" hidden="1">
      <c r="A3679">
        <v>3799</v>
      </c>
      <c r="B3679">
        <v>3662</v>
      </c>
      <c r="C3679">
        <v>3176</v>
      </c>
      <c r="D3679">
        <v>6917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 t="s">
        <v>20</v>
      </c>
      <c r="L3679" s="1">
        <v>45099</v>
      </c>
      <c r="M3679">
        <v>212</v>
      </c>
      <c r="N3679">
        <v>136</v>
      </c>
      <c r="O3679">
        <v>0</v>
      </c>
      <c r="P3679">
        <v>150</v>
      </c>
      <c r="Q3679">
        <v>0</v>
      </c>
      <c r="S3679">
        <v>0</v>
      </c>
      <c r="T3679">
        <v>0</v>
      </c>
      <c r="U3679">
        <f>+SUM(Table1[[#This Row],[Latinos]:[Cemex]])</f>
        <v>1</v>
      </c>
      <c r="V3679" t="str">
        <f>+Table1[[#This Row],[id_destino]]&amp;" - "&amp;Table1[[#This Row],[id_origen]]</f>
        <v>212 - 136</v>
      </c>
    </row>
    <row r="3680" spans="1:22" hidden="1">
      <c r="A3680">
        <v>2374</v>
      </c>
      <c r="B3680">
        <v>3305</v>
      </c>
      <c r="C3680">
        <v>3176</v>
      </c>
      <c r="D3680">
        <v>6363</v>
      </c>
      <c r="E3680">
        <v>0</v>
      </c>
      <c r="F3680">
        <v>1</v>
      </c>
      <c r="G3680">
        <v>0</v>
      </c>
      <c r="H3680">
        <v>0</v>
      </c>
      <c r="I3680">
        <v>0</v>
      </c>
      <c r="J3680">
        <v>0</v>
      </c>
      <c r="K3680" t="s">
        <v>20</v>
      </c>
      <c r="L3680" s="1">
        <v>44131</v>
      </c>
      <c r="M3680">
        <v>308</v>
      </c>
      <c r="N3680">
        <v>136</v>
      </c>
      <c r="O3680">
        <v>175</v>
      </c>
      <c r="P3680">
        <v>150</v>
      </c>
      <c r="Q3680">
        <v>175</v>
      </c>
      <c r="S3680">
        <v>306</v>
      </c>
      <c r="T3680">
        <v>423</v>
      </c>
      <c r="U3680">
        <f>+SUM(Table1[[#This Row],[Latinos]:[Cemex]])</f>
        <v>1</v>
      </c>
      <c r="V3680" t="str">
        <f>+Table1[[#This Row],[id_destino]]&amp;" - "&amp;Table1[[#This Row],[id_origen]]</f>
        <v>308 - 136</v>
      </c>
    </row>
    <row r="3681" spans="1:22" hidden="1">
      <c r="A3681">
        <v>4763</v>
      </c>
      <c r="B3681">
        <v>4894</v>
      </c>
      <c r="C3681">
        <v>7005</v>
      </c>
      <c r="D3681">
        <v>8227</v>
      </c>
      <c r="E3681">
        <v>0</v>
      </c>
      <c r="F3681">
        <v>1</v>
      </c>
      <c r="G3681">
        <v>0</v>
      </c>
      <c r="H3681">
        <v>0</v>
      </c>
      <c r="I3681">
        <v>0</v>
      </c>
      <c r="J3681">
        <v>0</v>
      </c>
      <c r="K3681" t="s">
        <v>20</v>
      </c>
      <c r="L3681" s="1">
        <v>45791</v>
      </c>
      <c r="M3681">
        <v>349</v>
      </c>
      <c r="N3681">
        <v>136</v>
      </c>
      <c r="O3681">
        <v>415</v>
      </c>
      <c r="P3681">
        <v>415</v>
      </c>
      <c r="Q3681">
        <v>415</v>
      </c>
      <c r="S3681">
        <v>1662</v>
      </c>
      <c r="T3681">
        <v>1662</v>
      </c>
      <c r="U3681">
        <f>+SUM(Table1[[#This Row],[Latinos]:[Cemex]])</f>
        <v>1</v>
      </c>
      <c r="V3681" t="str">
        <f>+Table1[[#This Row],[id_destino]]&amp;" - "&amp;Table1[[#This Row],[id_origen]]</f>
        <v>349 - 136</v>
      </c>
    </row>
    <row r="3682" spans="1:22" hidden="1">
      <c r="A3682">
        <v>4362</v>
      </c>
      <c r="B3682">
        <v>4600</v>
      </c>
      <c r="C3682">
        <v>3176</v>
      </c>
      <c r="D3682">
        <v>7797</v>
      </c>
      <c r="E3682">
        <v>0</v>
      </c>
      <c r="F3682">
        <v>1</v>
      </c>
      <c r="G3682">
        <v>0</v>
      </c>
      <c r="H3682">
        <v>0</v>
      </c>
      <c r="I3682">
        <v>0</v>
      </c>
      <c r="J3682">
        <v>0</v>
      </c>
      <c r="K3682" t="s">
        <v>20</v>
      </c>
      <c r="L3682" s="1">
        <v>45494</v>
      </c>
      <c r="M3682">
        <v>492</v>
      </c>
      <c r="N3682">
        <v>136</v>
      </c>
      <c r="O3682">
        <v>175</v>
      </c>
      <c r="P3682">
        <v>181</v>
      </c>
      <c r="Q3682">
        <v>175</v>
      </c>
      <c r="S3682">
        <v>859</v>
      </c>
      <c r="T3682">
        <v>873</v>
      </c>
      <c r="U3682">
        <f>+SUM(Table1[[#This Row],[Latinos]:[Cemex]])</f>
        <v>1</v>
      </c>
      <c r="V3682" t="str">
        <f>+Table1[[#This Row],[id_destino]]&amp;" - "&amp;Table1[[#This Row],[id_origen]]</f>
        <v>492 - 136</v>
      </c>
    </row>
    <row r="3683" spans="1:22" hidden="1">
      <c r="A3683">
        <v>2015</v>
      </c>
      <c r="B3683">
        <v>3077</v>
      </c>
      <c r="C3683">
        <v>3176</v>
      </c>
      <c r="D3683">
        <v>6118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 t="s">
        <v>20</v>
      </c>
      <c r="L3683" s="1">
        <v>43770</v>
      </c>
      <c r="M3683">
        <v>674</v>
      </c>
      <c r="N3683">
        <v>136</v>
      </c>
      <c r="O3683">
        <v>106</v>
      </c>
      <c r="P3683">
        <v>150</v>
      </c>
      <c r="Q3683">
        <v>106</v>
      </c>
      <c r="S3683">
        <v>58</v>
      </c>
      <c r="T3683">
        <v>107</v>
      </c>
      <c r="U3683">
        <f>+SUM(Table1[[#This Row],[Latinos]:[Cemex]])</f>
        <v>1</v>
      </c>
      <c r="V3683" t="str">
        <f>+Table1[[#This Row],[id_destino]]&amp;" - "&amp;Table1[[#This Row],[id_origen]]</f>
        <v>674 - 136</v>
      </c>
    </row>
    <row r="3684" spans="1:22" hidden="1">
      <c r="A3684">
        <v>1851</v>
      </c>
      <c r="B3684">
        <v>2971</v>
      </c>
      <c r="C3684">
        <v>3176</v>
      </c>
      <c r="D3684">
        <v>5984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 t="s">
        <v>20</v>
      </c>
      <c r="L3684" s="1">
        <v>43668</v>
      </c>
      <c r="M3684">
        <v>778</v>
      </c>
      <c r="N3684">
        <v>136</v>
      </c>
      <c r="O3684">
        <v>132</v>
      </c>
      <c r="P3684">
        <v>150</v>
      </c>
      <c r="Q3684">
        <v>132</v>
      </c>
      <c r="S3684">
        <v>189</v>
      </c>
      <c r="T3684">
        <v>189</v>
      </c>
      <c r="U3684">
        <f>+SUM(Table1[[#This Row],[Latinos]:[Cemex]])</f>
        <v>1</v>
      </c>
      <c r="V3684" t="str">
        <f>+Table1[[#This Row],[id_destino]]&amp;" - "&amp;Table1[[#This Row],[id_origen]]</f>
        <v>778 - 136</v>
      </c>
    </row>
    <row r="3685" spans="1:22" hidden="1">
      <c r="A3685">
        <v>3348</v>
      </c>
      <c r="B3685">
        <v>3927</v>
      </c>
      <c r="C3685">
        <v>3176</v>
      </c>
      <c r="D3685">
        <v>6810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 t="s">
        <v>20</v>
      </c>
      <c r="L3685" s="1">
        <v>44842</v>
      </c>
      <c r="M3685">
        <v>843</v>
      </c>
      <c r="N3685">
        <v>136</v>
      </c>
      <c r="O3685">
        <v>1267</v>
      </c>
      <c r="P3685">
        <v>1258</v>
      </c>
      <c r="Q3685">
        <v>1267</v>
      </c>
      <c r="S3685">
        <v>1801</v>
      </c>
      <c r="T3685">
        <v>1801</v>
      </c>
      <c r="U3685">
        <f>+SUM(Table1[[#This Row],[Latinos]:[Cemex]])</f>
        <v>1</v>
      </c>
      <c r="V3685" t="str">
        <f>+Table1[[#This Row],[id_destino]]&amp;" - "&amp;Table1[[#This Row],[id_origen]]</f>
        <v>843 - 136</v>
      </c>
    </row>
    <row r="3686" spans="1:22" hidden="1">
      <c r="A3686">
        <v>403</v>
      </c>
      <c r="B3686">
        <v>2281</v>
      </c>
      <c r="C3686">
        <v>5350</v>
      </c>
      <c r="D3686">
        <v>22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 t="s">
        <v>20</v>
      </c>
      <c r="L3686" s="1">
        <v>43056</v>
      </c>
      <c r="M3686">
        <v>19</v>
      </c>
      <c r="N3686">
        <v>137</v>
      </c>
      <c r="O3686">
        <v>169</v>
      </c>
      <c r="P3686">
        <v>169</v>
      </c>
      <c r="Q3686">
        <v>169</v>
      </c>
      <c r="S3686">
        <v>417</v>
      </c>
      <c r="T3686">
        <v>417</v>
      </c>
      <c r="U3686">
        <f>+SUM(Table1[[#This Row],[Latinos]:[Cemex]])</f>
        <v>1</v>
      </c>
      <c r="V3686" t="str">
        <f>+Table1[[#This Row],[id_destino]]&amp;" - "&amp;Table1[[#This Row],[id_origen]]</f>
        <v>19 - 137</v>
      </c>
    </row>
    <row r="3687" spans="1:22" hidden="1">
      <c r="A3687">
        <v>3217</v>
      </c>
      <c r="B3687">
        <v>1137</v>
      </c>
      <c r="C3687">
        <v>6994</v>
      </c>
      <c r="D3687">
        <v>3176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</v>
      </c>
      <c r="K3687" t="s">
        <v>20</v>
      </c>
      <c r="L3687" s="1">
        <v>44775</v>
      </c>
      <c r="M3687">
        <v>136</v>
      </c>
      <c r="N3687">
        <v>137</v>
      </c>
      <c r="O3687">
        <v>88</v>
      </c>
      <c r="P3687">
        <v>150</v>
      </c>
      <c r="Q3687">
        <v>88</v>
      </c>
      <c r="S3687">
        <v>146</v>
      </c>
      <c r="T3687">
        <v>146</v>
      </c>
      <c r="U3687">
        <f>+SUM(Table1[[#This Row],[Latinos]:[Cemex]])</f>
        <v>1</v>
      </c>
      <c r="V3687" t="str">
        <f>+Table1[[#This Row],[id_destino]]&amp;" - "&amp;Table1[[#This Row],[id_origen]]</f>
        <v>136 - 137</v>
      </c>
    </row>
    <row r="3688" spans="1:22" hidden="1">
      <c r="A3688">
        <v>4356</v>
      </c>
      <c r="B3688">
        <v>4594</v>
      </c>
      <c r="C3688">
        <v>7146</v>
      </c>
      <c r="D3688">
        <v>7758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 t="s">
        <v>20</v>
      </c>
      <c r="L3688" s="1">
        <v>45490</v>
      </c>
      <c r="M3688">
        <v>906</v>
      </c>
      <c r="N3688">
        <v>137</v>
      </c>
      <c r="O3688">
        <v>251</v>
      </c>
      <c r="P3688">
        <v>272</v>
      </c>
      <c r="Q3688">
        <v>251</v>
      </c>
      <c r="S3688">
        <v>270</v>
      </c>
      <c r="T3688">
        <v>270</v>
      </c>
      <c r="U3688">
        <f>+SUM(Table1[[#This Row],[Latinos]:[Cemex]])</f>
        <v>1</v>
      </c>
      <c r="V3688" t="str">
        <f>+Table1[[#This Row],[id_destino]]&amp;" - "&amp;Table1[[#This Row],[id_origen]]</f>
        <v>906 - 137</v>
      </c>
    </row>
    <row r="3689" spans="1:22" hidden="1">
      <c r="A3689">
        <v>3844</v>
      </c>
      <c r="B3689">
        <v>4254</v>
      </c>
      <c r="C3689">
        <v>7430</v>
      </c>
      <c r="D3689">
        <v>353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 t="s">
        <v>20</v>
      </c>
      <c r="L3689" s="1">
        <v>45138</v>
      </c>
      <c r="M3689">
        <v>7</v>
      </c>
      <c r="N3689">
        <v>138</v>
      </c>
      <c r="O3689">
        <v>962</v>
      </c>
      <c r="P3689">
        <v>963</v>
      </c>
      <c r="Q3689">
        <v>962</v>
      </c>
      <c r="S3689">
        <v>88</v>
      </c>
      <c r="T3689">
        <v>88</v>
      </c>
      <c r="U3689">
        <f>+SUM(Table1[[#This Row],[Latinos]:[Cemex]])</f>
        <v>1</v>
      </c>
      <c r="V3689" t="str">
        <f>+Table1[[#This Row],[id_destino]]&amp;" - "&amp;Table1[[#This Row],[id_origen]]</f>
        <v>7 - 138</v>
      </c>
    </row>
    <row r="3690" spans="1:22" hidden="1">
      <c r="A3690">
        <v>4776</v>
      </c>
      <c r="B3690">
        <v>4900</v>
      </c>
      <c r="C3690">
        <v>6661</v>
      </c>
      <c r="D3690">
        <v>4632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 t="s">
        <v>20</v>
      </c>
      <c r="L3690" s="1">
        <v>45811</v>
      </c>
      <c r="M3690">
        <v>4</v>
      </c>
      <c r="N3690">
        <v>140</v>
      </c>
      <c r="O3690">
        <v>150</v>
      </c>
      <c r="P3690">
        <v>150</v>
      </c>
      <c r="Q3690">
        <v>150</v>
      </c>
      <c r="S3690">
        <v>185</v>
      </c>
      <c r="T3690">
        <v>185</v>
      </c>
      <c r="U3690">
        <f>+SUM(Table1[[#This Row],[Latinos]:[Cemex]])</f>
        <v>1</v>
      </c>
      <c r="V3690" t="str">
        <f>+Table1[[#This Row],[id_destino]]&amp;" - "&amp;Table1[[#This Row],[id_origen]]</f>
        <v>4 - 140</v>
      </c>
    </row>
    <row r="3691" spans="1:22" hidden="1">
      <c r="A3691">
        <v>499</v>
      </c>
      <c r="B3691">
        <v>2319</v>
      </c>
      <c r="C3691">
        <v>5387</v>
      </c>
      <c r="D3691">
        <v>388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 t="s">
        <v>20</v>
      </c>
      <c r="L3691" s="1">
        <v>43082</v>
      </c>
      <c r="M3691">
        <v>9</v>
      </c>
      <c r="N3691">
        <v>140</v>
      </c>
      <c r="O3691">
        <v>772</v>
      </c>
      <c r="P3691">
        <v>772</v>
      </c>
      <c r="Q3691">
        <v>772</v>
      </c>
      <c r="S3691">
        <v>140</v>
      </c>
      <c r="T3691">
        <v>140</v>
      </c>
      <c r="U3691">
        <f>+SUM(Table1[[#This Row],[Latinos]:[Cemex]])</f>
        <v>1</v>
      </c>
      <c r="V3691" t="str">
        <f>+Table1[[#This Row],[id_destino]]&amp;" - "&amp;Table1[[#This Row],[id_origen]]</f>
        <v>9 - 140</v>
      </c>
    </row>
    <row r="3692" spans="1:22" hidden="1">
      <c r="A3692">
        <v>1837</v>
      </c>
      <c r="B3692">
        <v>2964</v>
      </c>
      <c r="C3692">
        <v>764</v>
      </c>
      <c r="D3692">
        <v>5975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0</v>
      </c>
      <c r="K3692" t="s">
        <v>20</v>
      </c>
      <c r="L3692" s="1">
        <v>43657</v>
      </c>
      <c r="M3692">
        <v>3</v>
      </c>
      <c r="N3692">
        <v>144</v>
      </c>
      <c r="O3692">
        <v>900</v>
      </c>
      <c r="P3692">
        <v>899</v>
      </c>
      <c r="Q3692">
        <v>900</v>
      </c>
      <c r="S3692">
        <v>2265</v>
      </c>
      <c r="T3692">
        <v>2265</v>
      </c>
      <c r="U3692">
        <f>+SUM(Table1[[#This Row],[Latinos]:[Cemex]])</f>
        <v>1</v>
      </c>
      <c r="V3692" t="str">
        <f>+Table1[[#This Row],[id_destino]]&amp;" - "&amp;Table1[[#This Row],[id_origen]]</f>
        <v>3 - 144</v>
      </c>
    </row>
    <row r="3693" spans="1:22" hidden="1">
      <c r="A3693">
        <v>1838</v>
      </c>
      <c r="B3693">
        <v>2964</v>
      </c>
      <c r="C3693">
        <v>764</v>
      </c>
      <c r="D3693">
        <v>5975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 t="s">
        <v>20</v>
      </c>
      <c r="L3693" s="1">
        <v>43657</v>
      </c>
      <c r="M3693">
        <v>3</v>
      </c>
      <c r="N3693">
        <v>144</v>
      </c>
      <c r="O3693">
        <v>900</v>
      </c>
      <c r="P3693">
        <v>899</v>
      </c>
      <c r="Q3693">
        <v>900</v>
      </c>
      <c r="S3693">
        <v>2265</v>
      </c>
      <c r="T3693">
        <v>2265</v>
      </c>
      <c r="U3693">
        <f>+SUM(Table1[[#This Row],[Latinos]:[Cemex]])</f>
        <v>1</v>
      </c>
      <c r="V3693" t="str">
        <f>+Table1[[#This Row],[id_destino]]&amp;" - "&amp;Table1[[#This Row],[id_origen]]</f>
        <v>3 - 144</v>
      </c>
    </row>
    <row r="3694" spans="1:22" hidden="1">
      <c r="A3694">
        <v>4441</v>
      </c>
      <c r="B3694">
        <v>4660</v>
      </c>
      <c r="C3694">
        <v>7886</v>
      </c>
      <c r="D3694">
        <v>7875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 t="s">
        <v>20</v>
      </c>
      <c r="L3694" s="1">
        <v>45542</v>
      </c>
      <c r="M3694">
        <v>35</v>
      </c>
      <c r="N3694">
        <v>144</v>
      </c>
      <c r="O3694">
        <v>525</v>
      </c>
      <c r="P3694">
        <v>554</v>
      </c>
      <c r="Q3694">
        <v>525</v>
      </c>
      <c r="S3694">
        <v>2096</v>
      </c>
      <c r="T3694">
        <v>2096</v>
      </c>
      <c r="U3694">
        <f>+SUM(Table1[[#This Row],[Latinos]:[Cemex]])</f>
        <v>1</v>
      </c>
      <c r="V3694" t="str">
        <f>+Table1[[#This Row],[id_destino]]&amp;" - "&amp;Table1[[#This Row],[id_origen]]</f>
        <v>35 - 144</v>
      </c>
    </row>
    <row r="3695" spans="1:22" hidden="1">
      <c r="A3695">
        <v>3679</v>
      </c>
      <c r="B3695">
        <v>4158</v>
      </c>
      <c r="C3695">
        <v>1570</v>
      </c>
      <c r="D3695">
        <v>6910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 t="s">
        <v>20</v>
      </c>
      <c r="L3695" s="1">
        <v>45026</v>
      </c>
      <c r="M3695">
        <v>55</v>
      </c>
      <c r="N3695">
        <v>144</v>
      </c>
      <c r="O3695">
        <v>185</v>
      </c>
      <c r="P3695">
        <v>174</v>
      </c>
      <c r="Q3695">
        <v>185</v>
      </c>
      <c r="S3695">
        <v>566</v>
      </c>
      <c r="T3695">
        <v>566</v>
      </c>
      <c r="U3695">
        <f>+SUM(Table1[[#This Row],[Latinos]:[Cemex]])</f>
        <v>1</v>
      </c>
      <c r="V3695" t="str">
        <f>+Table1[[#This Row],[id_destino]]&amp;" - "&amp;Table1[[#This Row],[id_origen]]</f>
        <v>55 - 144</v>
      </c>
    </row>
    <row r="3696" spans="1:22" hidden="1">
      <c r="A3696">
        <v>4267</v>
      </c>
      <c r="B3696">
        <v>3311</v>
      </c>
      <c r="C3696">
        <v>7448</v>
      </c>
      <c r="D3696">
        <v>5599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 t="s">
        <v>20</v>
      </c>
      <c r="L3696" s="1">
        <v>45411</v>
      </c>
      <c r="M3696">
        <v>73</v>
      </c>
      <c r="N3696">
        <v>144</v>
      </c>
      <c r="O3696">
        <v>758</v>
      </c>
      <c r="P3696">
        <v>459</v>
      </c>
      <c r="Q3696">
        <v>758</v>
      </c>
      <c r="S3696">
        <v>485</v>
      </c>
      <c r="T3696">
        <v>485</v>
      </c>
      <c r="U3696">
        <f>+SUM(Table1[[#This Row],[Latinos]:[Cemex]])</f>
        <v>1</v>
      </c>
      <c r="V3696" t="str">
        <f>+Table1[[#This Row],[id_destino]]&amp;" - "&amp;Table1[[#This Row],[id_origen]]</f>
        <v>73 - 144</v>
      </c>
    </row>
    <row r="3697" spans="1:22" hidden="1">
      <c r="A3697">
        <v>3947</v>
      </c>
      <c r="B3697">
        <v>4320</v>
      </c>
      <c r="C3697">
        <v>7174</v>
      </c>
      <c r="D3697">
        <v>7491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 t="s">
        <v>20</v>
      </c>
      <c r="L3697" s="1">
        <v>45202</v>
      </c>
      <c r="M3697">
        <v>78</v>
      </c>
      <c r="N3697">
        <v>144</v>
      </c>
      <c r="O3697">
        <v>375</v>
      </c>
      <c r="P3697">
        <v>345</v>
      </c>
      <c r="Q3697">
        <v>375</v>
      </c>
      <c r="S3697">
        <v>1233</v>
      </c>
      <c r="T3697">
        <v>1233</v>
      </c>
      <c r="U3697">
        <f>+SUM(Table1[[#This Row],[Latinos]:[Cemex]])</f>
        <v>1</v>
      </c>
      <c r="V3697" t="str">
        <f>+Table1[[#This Row],[id_destino]]&amp;" - "&amp;Table1[[#This Row],[id_origen]]</f>
        <v>78 - 144</v>
      </c>
    </row>
    <row r="3698" spans="1:22" hidden="1">
      <c r="A3698">
        <v>3901</v>
      </c>
      <c r="B3698">
        <v>4287</v>
      </c>
      <c r="C3698">
        <v>7174</v>
      </c>
      <c r="D3698">
        <v>7460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 t="s">
        <v>20</v>
      </c>
      <c r="L3698" s="1">
        <v>45173</v>
      </c>
      <c r="M3698">
        <v>119</v>
      </c>
      <c r="N3698">
        <v>144</v>
      </c>
      <c r="O3698">
        <v>1620</v>
      </c>
      <c r="P3698">
        <v>1629</v>
      </c>
      <c r="Q3698">
        <v>1620</v>
      </c>
      <c r="S3698">
        <v>4955</v>
      </c>
      <c r="T3698">
        <v>5043</v>
      </c>
      <c r="U3698">
        <f>+SUM(Table1[[#This Row],[Latinos]:[Cemex]])</f>
        <v>1</v>
      </c>
      <c r="V3698" t="str">
        <f>+Table1[[#This Row],[id_destino]]&amp;" - "&amp;Table1[[#This Row],[id_origen]]</f>
        <v>119 - 144</v>
      </c>
    </row>
    <row r="3699" spans="1:22" hidden="1">
      <c r="A3699">
        <v>2522</v>
      </c>
      <c r="B3699">
        <v>3395</v>
      </c>
      <c r="C3699">
        <v>6457</v>
      </c>
      <c r="D3699">
        <v>6458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0</v>
      </c>
      <c r="K3699" t="s">
        <v>20</v>
      </c>
      <c r="L3699" s="1">
        <v>44148</v>
      </c>
      <c r="M3699">
        <v>124</v>
      </c>
      <c r="N3699">
        <v>144</v>
      </c>
      <c r="O3699">
        <v>268</v>
      </c>
      <c r="P3699">
        <v>241</v>
      </c>
      <c r="Q3699">
        <v>268</v>
      </c>
      <c r="S3699">
        <v>335</v>
      </c>
      <c r="T3699">
        <v>335</v>
      </c>
      <c r="U3699">
        <f>+SUM(Table1[[#This Row],[Latinos]:[Cemex]])</f>
        <v>1</v>
      </c>
      <c r="V3699" t="str">
        <f>+Table1[[#This Row],[id_destino]]&amp;" - "&amp;Table1[[#This Row],[id_origen]]</f>
        <v>124 - 144</v>
      </c>
    </row>
    <row r="3700" spans="1:22" hidden="1">
      <c r="A3700">
        <v>3413</v>
      </c>
      <c r="B3700">
        <v>3972</v>
      </c>
      <c r="C3700">
        <v>7112</v>
      </c>
      <c r="D3700">
        <v>6886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 t="s">
        <v>20</v>
      </c>
      <c r="L3700" s="1">
        <v>44880</v>
      </c>
      <c r="M3700">
        <v>169</v>
      </c>
      <c r="N3700">
        <v>144</v>
      </c>
      <c r="O3700">
        <v>231</v>
      </c>
      <c r="P3700">
        <v>222</v>
      </c>
      <c r="Q3700">
        <v>231</v>
      </c>
      <c r="S3700">
        <v>345</v>
      </c>
      <c r="T3700">
        <v>345</v>
      </c>
      <c r="U3700">
        <f>+SUM(Table1[[#This Row],[Latinos]:[Cemex]])</f>
        <v>1</v>
      </c>
      <c r="V3700" t="str">
        <f>+Table1[[#This Row],[id_destino]]&amp;" - "&amp;Table1[[#This Row],[id_origen]]</f>
        <v>169 - 144</v>
      </c>
    </row>
    <row r="3701" spans="1:22" hidden="1">
      <c r="A3701">
        <v>891</v>
      </c>
      <c r="B3701">
        <v>2496</v>
      </c>
      <c r="C3701">
        <v>5520</v>
      </c>
      <c r="D3701">
        <v>5533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 t="s">
        <v>20</v>
      </c>
      <c r="L3701" s="1">
        <v>43206</v>
      </c>
      <c r="M3701">
        <v>276</v>
      </c>
      <c r="N3701">
        <v>144</v>
      </c>
      <c r="O3701">
        <v>145</v>
      </c>
      <c r="P3701">
        <v>150</v>
      </c>
      <c r="Q3701">
        <v>145</v>
      </c>
      <c r="S3701">
        <v>645</v>
      </c>
      <c r="T3701">
        <v>714</v>
      </c>
      <c r="U3701">
        <f>+SUM(Table1[[#This Row],[Latinos]:[Cemex]])</f>
        <v>1</v>
      </c>
      <c r="V3701" t="str">
        <f>+Table1[[#This Row],[id_destino]]&amp;" - "&amp;Table1[[#This Row],[id_origen]]</f>
        <v>276 - 144</v>
      </c>
    </row>
    <row r="3702" spans="1:22" hidden="1">
      <c r="A3702">
        <v>3664</v>
      </c>
      <c r="B3702">
        <v>4147</v>
      </c>
      <c r="C3702">
        <v>1570</v>
      </c>
      <c r="D3702">
        <v>422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 t="s">
        <v>20</v>
      </c>
      <c r="L3702" s="1">
        <v>45015</v>
      </c>
      <c r="M3702">
        <v>280</v>
      </c>
      <c r="N3702">
        <v>144</v>
      </c>
      <c r="O3702">
        <v>127</v>
      </c>
      <c r="P3702">
        <v>89</v>
      </c>
      <c r="Q3702">
        <v>127</v>
      </c>
      <c r="S3702">
        <v>291</v>
      </c>
      <c r="T3702">
        <v>291</v>
      </c>
      <c r="U3702">
        <f>+SUM(Table1[[#This Row],[Latinos]:[Cemex]])</f>
        <v>1</v>
      </c>
      <c r="V3702" t="str">
        <f>+Table1[[#This Row],[id_destino]]&amp;" - "&amp;Table1[[#This Row],[id_origen]]</f>
        <v>280 - 144</v>
      </c>
    </row>
    <row r="3703" spans="1:22" hidden="1">
      <c r="A3703">
        <v>4474</v>
      </c>
      <c r="B3703">
        <v>4685</v>
      </c>
      <c r="C3703">
        <v>7947</v>
      </c>
      <c r="D3703">
        <v>805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0</v>
      </c>
      <c r="K3703" t="s">
        <v>20</v>
      </c>
      <c r="L3703" s="1">
        <v>45573</v>
      </c>
      <c r="M3703">
        <v>451</v>
      </c>
      <c r="N3703">
        <v>144</v>
      </c>
      <c r="O3703">
        <v>1915</v>
      </c>
      <c r="P3703">
        <v>1644</v>
      </c>
      <c r="Q3703">
        <v>1915</v>
      </c>
      <c r="S3703">
        <v>3558</v>
      </c>
      <c r="T3703">
        <v>3558</v>
      </c>
      <c r="U3703">
        <f>+SUM(Table1[[#This Row],[Latinos]:[Cemex]])</f>
        <v>1</v>
      </c>
      <c r="V3703" t="str">
        <f>+Table1[[#This Row],[id_destino]]&amp;" - "&amp;Table1[[#This Row],[id_origen]]</f>
        <v>451 - 144</v>
      </c>
    </row>
    <row r="3704" spans="1:22" hidden="1">
      <c r="A3704">
        <v>1549</v>
      </c>
      <c r="B3704">
        <v>2805</v>
      </c>
      <c r="C3704">
        <v>418</v>
      </c>
      <c r="D3704">
        <v>362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 t="s">
        <v>20</v>
      </c>
      <c r="L3704" s="1">
        <v>43502</v>
      </c>
      <c r="M3704">
        <v>25</v>
      </c>
      <c r="N3704">
        <v>145</v>
      </c>
      <c r="O3704">
        <v>389</v>
      </c>
      <c r="P3704">
        <v>389</v>
      </c>
      <c r="Q3704">
        <v>389</v>
      </c>
      <c r="S3704">
        <v>853</v>
      </c>
      <c r="T3704">
        <v>853</v>
      </c>
      <c r="U3704">
        <f>+SUM(Table1[[#This Row],[Latinos]:[Cemex]])</f>
        <v>1</v>
      </c>
      <c r="V3704" t="str">
        <f>+Table1[[#This Row],[id_destino]]&amp;" - "&amp;Table1[[#This Row],[id_origen]]</f>
        <v>25 - 145</v>
      </c>
    </row>
    <row r="3705" spans="1:22" hidden="1">
      <c r="A3705">
        <v>1656</v>
      </c>
      <c r="B3705">
        <v>2868</v>
      </c>
      <c r="C3705">
        <v>418</v>
      </c>
      <c r="D3705">
        <v>403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 t="s">
        <v>20</v>
      </c>
      <c r="L3705" s="1">
        <v>43551</v>
      </c>
      <c r="M3705">
        <v>27</v>
      </c>
      <c r="N3705">
        <v>145</v>
      </c>
      <c r="O3705">
        <v>166</v>
      </c>
      <c r="P3705">
        <v>166</v>
      </c>
      <c r="Q3705">
        <v>166</v>
      </c>
      <c r="S3705">
        <v>0</v>
      </c>
      <c r="T3705">
        <v>0</v>
      </c>
      <c r="U3705">
        <f>+SUM(Table1[[#This Row],[Latinos]:[Cemex]])</f>
        <v>1</v>
      </c>
      <c r="V3705" t="str">
        <f>+Table1[[#This Row],[id_destino]]&amp;" - "&amp;Table1[[#This Row],[id_origen]]</f>
        <v>27 - 145</v>
      </c>
    </row>
    <row r="3706" spans="1:22" hidden="1">
      <c r="A3706">
        <v>1979</v>
      </c>
      <c r="B3706">
        <v>3058</v>
      </c>
      <c r="C3706">
        <v>418</v>
      </c>
      <c r="D3706">
        <v>387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 t="s">
        <v>20</v>
      </c>
      <c r="L3706" s="1">
        <v>43748</v>
      </c>
      <c r="M3706">
        <v>30</v>
      </c>
      <c r="N3706">
        <v>145</v>
      </c>
      <c r="O3706">
        <v>268</v>
      </c>
      <c r="P3706">
        <v>268</v>
      </c>
      <c r="Q3706">
        <v>268</v>
      </c>
      <c r="S3706">
        <v>875</v>
      </c>
      <c r="T3706">
        <v>875</v>
      </c>
      <c r="U3706">
        <f>+SUM(Table1[[#This Row],[Latinos]:[Cemex]])</f>
        <v>1</v>
      </c>
      <c r="V3706" t="str">
        <f>+Table1[[#This Row],[id_destino]]&amp;" - "&amp;Table1[[#This Row],[id_origen]]</f>
        <v>30 - 145</v>
      </c>
    </row>
    <row r="3707" spans="1:22" hidden="1">
      <c r="A3707">
        <v>541</v>
      </c>
      <c r="B3707">
        <v>2336</v>
      </c>
      <c r="C3707">
        <v>4966</v>
      </c>
      <c r="D3707">
        <v>5403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 t="s">
        <v>20</v>
      </c>
      <c r="L3707" s="1">
        <v>43096</v>
      </c>
      <c r="M3707">
        <v>35</v>
      </c>
      <c r="N3707">
        <v>147</v>
      </c>
      <c r="O3707">
        <v>313</v>
      </c>
      <c r="P3707">
        <v>313</v>
      </c>
      <c r="Q3707">
        <v>313</v>
      </c>
      <c r="S3707">
        <v>690</v>
      </c>
      <c r="T3707">
        <v>690</v>
      </c>
      <c r="U3707">
        <f>+SUM(Table1[[#This Row],[Latinos]:[Cemex]])</f>
        <v>1</v>
      </c>
      <c r="V3707" t="str">
        <f>+Table1[[#This Row],[id_destino]]&amp;" - "&amp;Table1[[#This Row],[id_origen]]</f>
        <v>35 - 147</v>
      </c>
    </row>
    <row r="3708" spans="1:22" hidden="1">
      <c r="A3708">
        <v>551</v>
      </c>
      <c r="B3708">
        <v>2336</v>
      </c>
      <c r="C3708">
        <v>4966</v>
      </c>
      <c r="D3708">
        <v>5403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 t="s">
        <v>20</v>
      </c>
      <c r="L3708" s="1">
        <v>43098</v>
      </c>
      <c r="M3708">
        <v>35</v>
      </c>
      <c r="N3708">
        <v>147</v>
      </c>
      <c r="O3708">
        <v>313</v>
      </c>
      <c r="P3708">
        <v>313</v>
      </c>
      <c r="Q3708">
        <v>313</v>
      </c>
      <c r="S3708">
        <v>690</v>
      </c>
      <c r="T3708">
        <v>690</v>
      </c>
      <c r="U3708">
        <f>+SUM(Table1[[#This Row],[Latinos]:[Cemex]])</f>
        <v>1</v>
      </c>
      <c r="V3708" t="str">
        <f>+Table1[[#This Row],[id_destino]]&amp;" - "&amp;Table1[[#This Row],[id_origen]]</f>
        <v>35 - 147</v>
      </c>
    </row>
    <row r="3709" spans="1:22" hidden="1">
      <c r="A3709">
        <v>2166</v>
      </c>
      <c r="B3709">
        <v>1538</v>
      </c>
      <c r="C3709">
        <v>1504</v>
      </c>
      <c r="D3709">
        <v>469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 t="s">
        <v>20</v>
      </c>
      <c r="L3709" s="1">
        <v>43838</v>
      </c>
      <c r="M3709">
        <v>2</v>
      </c>
      <c r="N3709">
        <v>148</v>
      </c>
      <c r="O3709">
        <v>655</v>
      </c>
      <c r="P3709">
        <v>655</v>
      </c>
      <c r="Q3709">
        <v>655</v>
      </c>
      <c r="S3709">
        <v>1410</v>
      </c>
      <c r="T3709">
        <v>1410</v>
      </c>
      <c r="U3709">
        <f>+SUM(Table1[[#This Row],[Latinos]:[Cemex]])</f>
        <v>1</v>
      </c>
      <c r="V3709" t="str">
        <f>+Table1[[#This Row],[id_destino]]&amp;" - "&amp;Table1[[#This Row],[id_origen]]</f>
        <v>2 - 148</v>
      </c>
    </row>
    <row r="3710" spans="1:22" hidden="1">
      <c r="A3710">
        <v>643</v>
      </c>
      <c r="B3710">
        <v>2383</v>
      </c>
      <c r="C3710">
        <v>3074</v>
      </c>
      <c r="D3710">
        <v>349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 t="s">
        <v>20</v>
      </c>
      <c r="L3710" s="1">
        <v>43122</v>
      </c>
      <c r="M3710">
        <v>12</v>
      </c>
      <c r="N3710">
        <v>148</v>
      </c>
      <c r="O3710">
        <v>125</v>
      </c>
      <c r="P3710">
        <v>125</v>
      </c>
      <c r="Q3710">
        <v>125</v>
      </c>
      <c r="S3710">
        <v>0</v>
      </c>
      <c r="T3710">
        <v>0</v>
      </c>
      <c r="U3710">
        <f>+SUM(Table1[[#This Row],[Latinos]:[Cemex]])</f>
        <v>1</v>
      </c>
      <c r="V3710" t="str">
        <f>+Table1[[#This Row],[id_destino]]&amp;" - "&amp;Table1[[#This Row],[id_origen]]</f>
        <v>12 - 148</v>
      </c>
    </row>
    <row r="3711" spans="1:22" hidden="1">
      <c r="A3711">
        <v>3880</v>
      </c>
      <c r="B3711">
        <v>4277</v>
      </c>
      <c r="C3711">
        <v>1645</v>
      </c>
      <c r="D3711">
        <v>18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 t="s">
        <v>20</v>
      </c>
      <c r="L3711" s="1">
        <v>45160</v>
      </c>
      <c r="M3711">
        <v>17</v>
      </c>
      <c r="N3711">
        <v>148</v>
      </c>
      <c r="O3711">
        <v>302</v>
      </c>
      <c r="P3711">
        <v>292</v>
      </c>
      <c r="Q3711">
        <v>302</v>
      </c>
      <c r="S3711">
        <v>209</v>
      </c>
      <c r="T3711">
        <v>209</v>
      </c>
      <c r="U3711">
        <f>+SUM(Table1[[#This Row],[Latinos]:[Cemex]])</f>
        <v>1</v>
      </c>
      <c r="V3711" t="str">
        <f>+Table1[[#This Row],[id_destino]]&amp;" - "&amp;Table1[[#This Row],[id_origen]]</f>
        <v>17 - 148</v>
      </c>
    </row>
    <row r="3712" spans="1:22" hidden="1">
      <c r="A3712">
        <v>4088</v>
      </c>
      <c r="B3712">
        <v>450</v>
      </c>
      <c r="C3712">
        <v>3074</v>
      </c>
      <c r="D3712">
        <v>5530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 t="s">
        <v>20</v>
      </c>
      <c r="L3712" s="1">
        <v>45276</v>
      </c>
      <c r="M3712">
        <v>23</v>
      </c>
      <c r="N3712">
        <v>148</v>
      </c>
      <c r="O3712">
        <v>364</v>
      </c>
      <c r="P3712">
        <v>348</v>
      </c>
      <c r="Q3712">
        <v>364</v>
      </c>
      <c r="S3712">
        <v>992</v>
      </c>
      <c r="T3712">
        <v>992</v>
      </c>
      <c r="U3712">
        <f>+SUM(Table1[[#This Row],[Latinos]:[Cemex]])</f>
        <v>1</v>
      </c>
      <c r="V3712" t="str">
        <f>+Table1[[#This Row],[id_destino]]&amp;" - "&amp;Table1[[#This Row],[id_origen]]</f>
        <v>23 - 148</v>
      </c>
    </row>
    <row r="3713" spans="1:22" hidden="1">
      <c r="A3713">
        <v>4323</v>
      </c>
      <c r="B3713">
        <v>4567</v>
      </c>
      <c r="C3713">
        <v>3074</v>
      </c>
      <c r="D3713">
        <v>387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  <c r="K3713" t="s">
        <v>20</v>
      </c>
      <c r="L3713" s="1">
        <v>45455</v>
      </c>
      <c r="M3713">
        <v>30</v>
      </c>
      <c r="N3713">
        <v>148</v>
      </c>
      <c r="O3713">
        <v>536</v>
      </c>
      <c r="P3713">
        <v>549</v>
      </c>
      <c r="Q3713">
        <v>536</v>
      </c>
      <c r="S3713">
        <v>1632</v>
      </c>
      <c r="T3713">
        <v>1632</v>
      </c>
      <c r="U3713">
        <f>+SUM(Table1[[#This Row],[Latinos]:[Cemex]])</f>
        <v>1</v>
      </c>
      <c r="V3713" t="str">
        <f>+Table1[[#This Row],[id_destino]]&amp;" - "&amp;Table1[[#This Row],[id_origen]]</f>
        <v>30 - 148</v>
      </c>
    </row>
    <row r="3714" spans="1:22" hidden="1">
      <c r="A3714">
        <v>2747</v>
      </c>
      <c r="B3714">
        <v>3541</v>
      </c>
      <c r="C3714">
        <v>1645</v>
      </c>
      <c r="D3714">
        <v>40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 t="s">
        <v>20</v>
      </c>
      <c r="L3714" s="1">
        <v>44407</v>
      </c>
      <c r="M3714">
        <v>34</v>
      </c>
      <c r="N3714">
        <v>148</v>
      </c>
      <c r="O3714">
        <v>391</v>
      </c>
      <c r="P3714">
        <v>396</v>
      </c>
      <c r="Q3714">
        <v>391</v>
      </c>
      <c r="S3714">
        <v>557</v>
      </c>
      <c r="T3714">
        <v>679</v>
      </c>
      <c r="U3714">
        <f>+SUM(Table1[[#This Row],[Latinos]:[Cemex]])</f>
        <v>1</v>
      </c>
      <c r="V3714" t="str">
        <f>+Table1[[#This Row],[id_destino]]&amp;" - "&amp;Table1[[#This Row],[id_origen]]</f>
        <v>34 - 148</v>
      </c>
    </row>
    <row r="3715" spans="1:22" hidden="1">
      <c r="A3715">
        <v>1946</v>
      </c>
      <c r="B3715">
        <v>3037</v>
      </c>
      <c r="C3715">
        <v>1645</v>
      </c>
      <c r="D3715">
        <v>71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 t="s">
        <v>20</v>
      </c>
      <c r="L3715" s="1">
        <v>43734</v>
      </c>
      <c r="M3715">
        <v>61</v>
      </c>
      <c r="N3715">
        <v>148</v>
      </c>
      <c r="O3715">
        <v>2094</v>
      </c>
      <c r="P3715">
        <v>2125</v>
      </c>
      <c r="Q3715">
        <v>2094</v>
      </c>
      <c r="S3715">
        <v>4443</v>
      </c>
      <c r="T3715">
        <v>4574</v>
      </c>
      <c r="U3715">
        <f>+SUM(Table1[[#This Row],[Latinos]:[Cemex]])</f>
        <v>1</v>
      </c>
      <c r="V3715" t="str">
        <f>+Table1[[#This Row],[id_destino]]&amp;" - "&amp;Table1[[#This Row],[id_origen]]</f>
        <v>61 - 148</v>
      </c>
    </row>
    <row r="3716" spans="1:22" hidden="1">
      <c r="A3716">
        <v>4132</v>
      </c>
      <c r="B3716">
        <v>4439</v>
      </c>
      <c r="C3716">
        <v>3074</v>
      </c>
      <c r="D3716">
        <v>6754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 t="s">
        <v>20</v>
      </c>
      <c r="L3716" s="1">
        <v>45308</v>
      </c>
      <c r="M3716">
        <v>63</v>
      </c>
      <c r="N3716">
        <v>148</v>
      </c>
      <c r="O3716">
        <v>494</v>
      </c>
      <c r="P3716">
        <v>484</v>
      </c>
      <c r="Q3716">
        <v>494</v>
      </c>
      <c r="S3716">
        <v>584</v>
      </c>
      <c r="T3716">
        <v>638</v>
      </c>
      <c r="U3716">
        <f>+SUM(Table1[[#This Row],[Latinos]:[Cemex]])</f>
        <v>1</v>
      </c>
      <c r="V3716" t="str">
        <f>+Table1[[#This Row],[id_destino]]&amp;" - "&amp;Table1[[#This Row],[id_origen]]</f>
        <v>63 - 148</v>
      </c>
    </row>
    <row r="3717" spans="1:22" hidden="1">
      <c r="A3717">
        <v>4706</v>
      </c>
      <c r="B3717">
        <v>4857</v>
      </c>
      <c r="C3717">
        <v>1645</v>
      </c>
      <c r="D3717">
        <v>268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 t="s">
        <v>20</v>
      </c>
      <c r="L3717" s="1">
        <v>45744</v>
      </c>
      <c r="M3717">
        <v>99</v>
      </c>
      <c r="N3717">
        <v>148</v>
      </c>
      <c r="O3717">
        <v>1782</v>
      </c>
      <c r="P3717">
        <v>1782</v>
      </c>
      <c r="Q3717">
        <v>1782</v>
      </c>
      <c r="S3717">
        <v>0</v>
      </c>
      <c r="T3717">
        <v>0</v>
      </c>
      <c r="U3717">
        <f>+SUM(Table1[[#This Row],[Latinos]:[Cemex]])</f>
        <v>1</v>
      </c>
      <c r="V3717" t="str">
        <f>+Table1[[#This Row],[id_destino]]&amp;" - "&amp;Table1[[#This Row],[id_origen]]</f>
        <v>99 - 148</v>
      </c>
    </row>
    <row r="3718" spans="1:22" hidden="1">
      <c r="A3718">
        <v>4240</v>
      </c>
      <c r="B3718">
        <v>4516</v>
      </c>
      <c r="C3718">
        <v>3074</v>
      </c>
      <c r="D3718">
        <v>1637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 t="s">
        <v>20</v>
      </c>
      <c r="L3718" s="1">
        <v>45388</v>
      </c>
      <c r="M3718">
        <v>107</v>
      </c>
      <c r="N3718">
        <v>148</v>
      </c>
      <c r="O3718">
        <v>647</v>
      </c>
      <c r="P3718">
        <v>646</v>
      </c>
      <c r="Q3718">
        <v>647</v>
      </c>
      <c r="S3718">
        <v>645</v>
      </c>
      <c r="T3718">
        <v>699</v>
      </c>
      <c r="U3718">
        <f>+SUM(Table1[[#This Row],[Latinos]:[Cemex]])</f>
        <v>1</v>
      </c>
      <c r="V3718" t="str">
        <f>+Table1[[#This Row],[id_destino]]&amp;" - "&amp;Table1[[#This Row],[id_origen]]</f>
        <v>107 - 148</v>
      </c>
    </row>
    <row r="3719" spans="1:22" hidden="1">
      <c r="A3719">
        <v>4643</v>
      </c>
      <c r="B3719">
        <v>4816</v>
      </c>
      <c r="C3719">
        <v>8113</v>
      </c>
      <c r="D3719">
        <v>4745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  <c r="K3719" t="s">
        <v>20</v>
      </c>
      <c r="L3719" s="1">
        <v>45696</v>
      </c>
      <c r="M3719">
        <v>525</v>
      </c>
      <c r="N3719">
        <v>148</v>
      </c>
      <c r="O3719">
        <v>612</v>
      </c>
      <c r="P3719">
        <v>612</v>
      </c>
      <c r="Q3719">
        <v>612</v>
      </c>
      <c r="S3719">
        <v>2348</v>
      </c>
      <c r="T3719">
        <v>2348</v>
      </c>
      <c r="U3719">
        <f>+SUM(Table1[[#This Row],[Latinos]:[Cemex]])</f>
        <v>1</v>
      </c>
      <c r="V3719" t="str">
        <f>+Table1[[#This Row],[id_destino]]&amp;" - "&amp;Table1[[#This Row],[id_origen]]</f>
        <v>525 - 148</v>
      </c>
    </row>
    <row r="3720" spans="1:22" hidden="1">
      <c r="A3720">
        <v>2899</v>
      </c>
      <c r="B3720">
        <v>3641</v>
      </c>
      <c r="C3720">
        <v>6774</v>
      </c>
      <c r="D3720">
        <v>3984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 t="s">
        <v>20</v>
      </c>
      <c r="L3720" s="1">
        <v>44596</v>
      </c>
      <c r="M3720">
        <v>59</v>
      </c>
      <c r="N3720">
        <v>149</v>
      </c>
      <c r="O3720">
        <v>474</v>
      </c>
      <c r="P3720">
        <v>484</v>
      </c>
      <c r="Q3720">
        <v>484</v>
      </c>
      <c r="S3720">
        <v>462</v>
      </c>
      <c r="T3720">
        <v>462</v>
      </c>
      <c r="U3720">
        <f>+SUM(Table1[[#This Row],[Latinos]:[Cemex]])</f>
        <v>1</v>
      </c>
      <c r="V3720" t="str">
        <f>+Table1[[#This Row],[id_destino]]&amp;" - "&amp;Table1[[#This Row],[id_origen]]</f>
        <v>59 - 149</v>
      </c>
    </row>
    <row r="3721" spans="1:22" hidden="1">
      <c r="A3721">
        <v>4200</v>
      </c>
      <c r="B3721">
        <v>4484</v>
      </c>
      <c r="C3721">
        <v>7682</v>
      </c>
      <c r="D3721">
        <v>5506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 t="s">
        <v>20</v>
      </c>
      <c r="L3721" s="1">
        <v>45353</v>
      </c>
      <c r="M3721">
        <v>169</v>
      </c>
      <c r="N3721">
        <v>152</v>
      </c>
      <c r="O3721">
        <v>1024</v>
      </c>
      <c r="P3721">
        <v>1000</v>
      </c>
      <c r="Q3721">
        <v>1024</v>
      </c>
      <c r="S3721">
        <v>4221</v>
      </c>
      <c r="T3721">
        <v>4258</v>
      </c>
      <c r="U3721">
        <f>+SUM(Table1[[#This Row],[Latinos]:[Cemex]])</f>
        <v>1</v>
      </c>
      <c r="V3721" t="str">
        <f>+Table1[[#This Row],[id_destino]]&amp;" - "&amp;Table1[[#This Row],[id_origen]]</f>
        <v>169 - 152</v>
      </c>
    </row>
    <row r="3722" spans="1:22" hidden="1">
      <c r="A3722">
        <v>4424</v>
      </c>
      <c r="B3722">
        <v>4649</v>
      </c>
      <c r="C3722">
        <v>7872</v>
      </c>
      <c r="D3722">
        <v>5256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0</v>
      </c>
      <c r="K3722" t="s">
        <v>20</v>
      </c>
      <c r="L3722" s="1">
        <v>45533</v>
      </c>
      <c r="M3722">
        <v>13</v>
      </c>
      <c r="N3722">
        <v>153</v>
      </c>
      <c r="O3722">
        <v>30</v>
      </c>
      <c r="P3722">
        <v>150</v>
      </c>
      <c r="Q3722">
        <v>50</v>
      </c>
      <c r="S3722">
        <v>0</v>
      </c>
      <c r="T3722">
        <v>0</v>
      </c>
      <c r="U3722">
        <f>+SUM(Table1[[#This Row],[Latinos]:[Cemex]])</f>
        <v>1</v>
      </c>
      <c r="V3722" t="str">
        <f>+Table1[[#This Row],[id_destino]]&amp;" - "&amp;Table1[[#This Row],[id_origen]]</f>
        <v>13 - 153</v>
      </c>
    </row>
    <row r="3723" spans="1:22" hidden="1">
      <c r="A3723">
        <v>1150</v>
      </c>
      <c r="B3723">
        <v>2603</v>
      </c>
      <c r="C3723">
        <v>2111</v>
      </c>
      <c r="D3723">
        <v>1370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 t="s">
        <v>20</v>
      </c>
      <c r="L3723" s="1">
        <v>43342</v>
      </c>
      <c r="M3723">
        <v>69</v>
      </c>
      <c r="N3723">
        <v>155</v>
      </c>
      <c r="O3723">
        <v>1447</v>
      </c>
      <c r="P3723">
        <v>1447</v>
      </c>
      <c r="Q3723">
        <v>1447</v>
      </c>
      <c r="S3723">
        <v>2956</v>
      </c>
      <c r="T3723">
        <v>2956</v>
      </c>
      <c r="U3723">
        <f>+SUM(Table1[[#This Row],[Latinos]:[Cemex]])</f>
        <v>1</v>
      </c>
      <c r="V3723" t="str">
        <f>+Table1[[#This Row],[id_destino]]&amp;" - "&amp;Table1[[#This Row],[id_origen]]</f>
        <v>69 - 155</v>
      </c>
    </row>
    <row r="3724" spans="1:22" hidden="1">
      <c r="A3724">
        <v>3598</v>
      </c>
      <c r="B3724">
        <v>4102</v>
      </c>
      <c r="C3724">
        <v>2111</v>
      </c>
      <c r="D3724">
        <v>6972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 t="s">
        <v>20</v>
      </c>
      <c r="L3724" s="1">
        <v>44977</v>
      </c>
      <c r="M3724">
        <v>123</v>
      </c>
      <c r="N3724">
        <v>155</v>
      </c>
      <c r="O3724">
        <v>25</v>
      </c>
      <c r="P3724">
        <v>150</v>
      </c>
      <c r="Q3724">
        <v>25</v>
      </c>
      <c r="S3724">
        <v>0</v>
      </c>
      <c r="T3724">
        <v>0</v>
      </c>
      <c r="U3724">
        <f>+SUM(Table1[[#This Row],[Latinos]:[Cemex]])</f>
        <v>1</v>
      </c>
      <c r="V3724" t="str">
        <f>+Table1[[#This Row],[id_destino]]&amp;" - "&amp;Table1[[#This Row],[id_origen]]</f>
        <v>123 - 155</v>
      </c>
    </row>
    <row r="3725" spans="1:22" hidden="1">
      <c r="A3725">
        <v>4842</v>
      </c>
      <c r="B3725">
        <v>990</v>
      </c>
      <c r="C3725">
        <v>2111</v>
      </c>
      <c r="D3725">
        <v>3032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 t="s">
        <v>20</v>
      </c>
      <c r="L3725" s="1">
        <v>45885</v>
      </c>
      <c r="M3725">
        <v>189</v>
      </c>
      <c r="N3725">
        <v>155</v>
      </c>
      <c r="O3725">
        <v>186</v>
      </c>
      <c r="P3725">
        <v>186</v>
      </c>
      <c r="Q3725">
        <v>186</v>
      </c>
      <c r="S3725">
        <v>0</v>
      </c>
      <c r="T3725">
        <v>0</v>
      </c>
      <c r="U3725">
        <f>+SUM(Table1[[#This Row],[Latinos]:[Cemex]])</f>
        <v>1</v>
      </c>
      <c r="V3725" t="str">
        <f>+Table1[[#This Row],[id_destino]]&amp;" - "&amp;Table1[[#This Row],[id_origen]]</f>
        <v>189 - 155</v>
      </c>
    </row>
    <row r="3726" spans="1:22" hidden="1">
      <c r="A3726">
        <v>2479</v>
      </c>
      <c r="B3726">
        <v>3370</v>
      </c>
      <c r="C3726">
        <v>3255</v>
      </c>
      <c r="D3726">
        <v>18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0</v>
      </c>
      <c r="K3726" t="s">
        <v>20</v>
      </c>
      <c r="L3726" s="1">
        <v>44116</v>
      </c>
      <c r="M3726">
        <v>17</v>
      </c>
      <c r="N3726">
        <v>159</v>
      </c>
      <c r="O3726">
        <v>820</v>
      </c>
      <c r="P3726">
        <v>808</v>
      </c>
      <c r="Q3726">
        <v>820</v>
      </c>
      <c r="S3726">
        <v>2238</v>
      </c>
      <c r="T3726">
        <v>2324</v>
      </c>
      <c r="U3726">
        <f>+SUM(Table1[[#This Row],[Latinos]:[Cemex]])</f>
        <v>1</v>
      </c>
      <c r="V3726" t="str">
        <f>+Table1[[#This Row],[id_destino]]&amp;" - "&amp;Table1[[#This Row],[id_origen]]</f>
        <v>17 - 159</v>
      </c>
    </row>
    <row r="3727" spans="1:22" hidden="1">
      <c r="A3727">
        <v>2330</v>
      </c>
      <c r="B3727">
        <v>1306</v>
      </c>
      <c r="C3727">
        <v>3255</v>
      </c>
      <c r="D3727">
        <v>4455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 t="s">
        <v>20</v>
      </c>
      <c r="L3727" s="1">
        <v>43949</v>
      </c>
      <c r="M3727">
        <v>23</v>
      </c>
      <c r="N3727">
        <v>159</v>
      </c>
      <c r="O3727">
        <v>1038</v>
      </c>
      <c r="P3727">
        <v>1037</v>
      </c>
      <c r="Q3727">
        <v>1038</v>
      </c>
      <c r="S3727">
        <v>2175</v>
      </c>
      <c r="T3727">
        <v>2261</v>
      </c>
      <c r="U3727">
        <f>+SUM(Table1[[#This Row],[Latinos]:[Cemex]])</f>
        <v>1</v>
      </c>
      <c r="V3727" t="str">
        <f>+Table1[[#This Row],[id_destino]]&amp;" - "&amp;Table1[[#This Row],[id_origen]]</f>
        <v>23 - 159</v>
      </c>
    </row>
    <row r="3728" spans="1:22" hidden="1">
      <c r="A3728">
        <v>411</v>
      </c>
      <c r="B3728">
        <v>1022</v>
      </c>
      <c r="C3728">
        <v>3255</v>
      </c>
      <c r="D3728">
        <v>34</v>
      </c>
      <c r="E3728">
        <v>0</v>
      </c>
      <c r="F3728">
        <v>1</v>
      </c>
      <c r="G3728">
        <v>0</v>
      </c>
      <c r="H3728">
        <v>0</v>
      </c>
      <c r="I3728">
        <v>0</v>
      </c>
      <c r="J3728">
        <v>0</v>
      </c>
      <c r="K3728" t="s">
        <v>20</v>
      </c>
      <c r="L3728" s="1">
        <v>44127</v>
      </c>
      <c r="M3728">
        <v>30</v>
      </c>
      <c r="N3728">
        <v>159</v>
      </c>
      <c r="O3728">
        <v>564</v>
      </c>
      <c r="P3728">
        <v>567</v>
      </c>
      <c r="Q3728">
        <v>564</v>
      </c>
      <c r="S3728">
        <v>846</v>
      </c>
      <c r="T3728">
        <v>932</v>
      </c>
      <c r="U3728">
        <f>+SUM(Table1[[#This Row],[Latinos]:[Cemex]])</f>
        <v>1</v>
      </c>
      <c r="V3728" t="str">
        <f>+Table1[[#This Row],[id_destino]]&amp;" - "&amp;Table1[[#This Row],[id_origen]]</f>
        <v>30 - 159</v>
      </c>
    </row>
    <row r="3729" spans="1:22" hidden="1">
      <c r="A3729">
        <v>305</v>
      </c>
      <c r="B3729">
        <v>391</v>
      </c>
      <c r="C3729">
        <v>3255</v>
      </c>
      <c r="D3729">
        <v>35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0</v>
      </c>
      <c r="K3729" t="s">
        <v>20</v>
      </c>
      <c r="L3729" s="1">
        <v>43914</v>
      </c>
      <c r="M3729">
        <v>31</v>
      </c>
      <c r="N3729">
        <v>159</v>
      </c>
      <c r="O3729">
        <v>378</v>
      </c>
      <c r="P3729">
        <v>368</v>
      </c>
      <c r="Q3729">
        <v>378</v>
      </c>
      <c r="S3729">
        <v>637</v>
      </c>
      <c r="T3729">
        <v>749</v>
      </c>
      <c r="U3729">
        <f>+SUM(Table1[[#This Row],[Latinos]:[Cemex]])</f>
        <v>1</v>
      </c>
      <c r="V3729" t="str">
        <f>+Table1[[#This Row],[id_destino]]&amp;" - "&amp;Table1[[#This Row],[id_origen]]</f>
        <v>31 - 159</v>
      </c>
    </row>
    <row r="3730" spans="1:22" hidden="1">
      <c r="A3730">
        <v>4154</v>
      </c>
      <c r="B3730">
        <v>4455</v>
      </c>
      <c r="C3730">
        <v>3255</v>
      </c>
      <c r="D3730">
        <v>71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 t="s">
        <v>20</v>
      </c>
      <c r="L3730" s="1">
        <v>45324</v>
      </c>
      <c r="M3730">
        <v>61</v>
      </c>
      <c r="N3730">
        <v>159</v>
      </c>
      <c r="O3730">
        <v>1019</v>
      </c>
      <c r="P3730">
        <v>1028</v>
      </c>
      <c r="Q3730">
        <v>1019</v>
      </c>
      <c r="S3730">
        <v>1258</v>
      </c>
      <c r="T3730">
        <v>1258</v>
      </c>
      <c r="U3730">
        <f>+SUM(Table1[[#This Row],[Latinos]:[Cemex]])</f>
        <v>1</v>
      </c>
      <c r="V3730" t="str">
        <f>+Table1[[#This Row],[id_destino]]&amp;" - "&amp;Table1[[#This Row],[id_origen]]</f>
        <v>61 - 159</v>
      </c>
    </row>
    <row r="3731" spans="1:22" hidden="1">
      <c r="A3731">
        <v>2436</v>
      </c>
      <c r="B3731">
        <v>3343</v>
      </c>
      <c r="C3731">
        <v>3255</v>
      </c>
      <c r="D3731">
        <v>2111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 t="s">
        <v>87</v>
      </c>
      <c r="L3731" s="1">
        <v>44072</v>
      </c>
      <c r="M3731">
        <v>155</v>
      </c>
      <c r="N3731">
        <v>159</v>
      </c>
      <c r="O3731">
        <v>208</v>
      </c>
      <c r="P3731">
        <v>1049</v>
      </c>
      <c r="Q3731">
        <v>208</v>
      </c>
      <c r="S3731">
        <v>963</v>
      </c>
      <c r="T3731">
        <v>1808</v>
      </c>
      <c r="U3731">
        <f>+SUM(Table1[[#This Row],[Latinos]:[Cemex]])</f>
        <v>1</v>
      </c>
      <c r="V3731" t="str">
        <f>+Table1[[#This Row],[id_destino]]&amp;" - "&amp;Table1[[#This Row],[id_origen]]</f>
        <v>155 - 159</v>
      </c>
    </row>
    <row r="3732" spans="1:22" hidden="1">
      <c r="A3732">
        <v>2874</v>
      </c>
      <c r="B3732">
        <v>3626</v>
      </c>
      <c r="C3732">
        <v>3255</v>
      </c>
      <c r="D3732">
        <v>3032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 t="s">
        <v>94</v>
      </c>
      <c r="L3732" s="1">
        <v>44634</v>
      </c>
      <c r="M3732">
        <v>189</v>
      </c>
      <c r="N3732">
        <v>159</v>
      </c>
      <c r="O3732">
        <v>396</v>
      </c>
      <c r="P3732">
        <v>766</v>
      </c>
      <c r="Q3732">
        <v>396</v>
      </c>
      <c r="S3732">
        <v>1374</v>
      </c>
      <c r="T3732">
        <v>1685</v>
      </c>
      <c r="U3732">
        <f>+SUM(Table1[[#This Row],[Latinos]:[Cemex]])</f>
        <v>1</v>
      </c>
      <c r="V3732" t="str">
        <f>+Table1[[#This Row],[id_destino]]&amp;" - "&amp;Table1[[#This Row],[id_origen]]</f>
        <v>189 - 159</v>
      </c>
    </row>
    <row r="3733" spans="1:22" hidden="1">
      <c r="A3733">
        <v>1840</v>
      </c>
      <c r="B3733">
        <v>2966</v>
      </c>
      <c r="C3733">
        <v>3255</v>
      </c>
      <c r="D3733">
        <v>33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 t="s">
        <v>20</v>
      </c>
      <c r="L3733" s="1">
        <v>43658</v>
      </c>
      <c r="M3733">
        <v>260</v>
      </c>
      <c r="N3733">
        <v>159</v>
      </c>
      <c r="O3733">
        <v>163</v>
      </c>
      <c r="P3733">
        <v>164</v>
      </c>
      <c r="Q3733">
        <v>163</v>
      </c>
      <c r="S3733">
        <v>320</v>
      </c>
      <c r="T3733">
        <v>334</v>
      </c>
      <c r="U3733">
        <f>+SUM(Table1[[#This Row],[Latinos]:[Cemex]])</f>
        <v>1</v>
      </c>
      <c r="V3733" t="str">
        <f>+Table1[[#This Row],[id_destino]]&amp;" - "&amp;Table1[[#This Row],[id_origen]]</f>
        <v>260 - 159</v>
      </c>
    </row>
    <row r="3734" spans="1:22" hidden="1">
      <c r="A3734">
        <v>4656</v>
      </c>
      <c r="B3734">
        <v>4824</v>
      </c>
      <c r="C3734">
        <v>8133</v>
      </c>
      <c r="D3734">
        <v>4145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 t="s">
        <v>20</v>
      </c>
      <c r="L3734" s="1">
        <v>45708</v>
      </c>
      <c r="M3734">
        <v>353</v>
      </c>
      <c r="N3734">
        <v>159</v>
      </c>
      <c r="O3734">
        <v>1458</v>
      </c>
      <c r="P3734">
        <v>1452</v>
      </c>
      <c r="Q3734">
        <v>1458</v>
      </c>
      <c r="S3734">
        <v>5600</v>
      </c>
      <c r="T3734">
        <v>5713</v>
      </c>
      <c r="U3734">
        <f>+SUM(Table1[[#This Row],[Latinos]:[Cemex]])</f>
        <v>1</v>
      </c>
      <c r="V3734" t="str">
        <f>+Table1[[#This Row],[id_destino]]&amp;" - "&amp;Table1[[#This Row],[id_origen]]</f>
        <v>353 - 159</v>
      </c>
    </row>
    <row r="3735" spans="1:22" hidden="1">
      <c r="A3735">
        <v>2446</v>
      </c>
      <c r="B3735">
        <v>910</v>
      </c>
      <c r="C3735">
        <v>3255</v>
      </c>
      <c r="D3735">
        <v>805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 t="s">
        <v>20</v>
      </c>
      <c r="L3735" s="1">
        <v>44077</v>
      </c>
      <c r="M3735">
        <v>451</v>
      </c>
      <c r="N3735">
        <v>159</v>
      </c>
      <c r="O3735">
        <v>979</v>
      </c>
      <c r="P3735">
        <v>1334</v>
      </c>
      <c r="Q3735">
        <v>979</v>
      </c>
      <c r="S3735">
        <v>1465</v>
      </c>
      <c r="T3735">
        <v>1577.99</v>
      </c>
      <c r="U3735">
        <f>+SUM(Table1[[#This Row],[Latinos]:[Cemex]])</f>
        <v>1</v>
      </c>
      <c r="V3735" t="str">
        <f>+Table1[[#This Row],[id_destino]]&amp;" - "&amp;Table1[[#This Row],[id_origen]]</f>
        <v>451 - 159</v>
      </c>
    </row>
    <row r="3736" spans="1:22" hidden="1">
      <c r="A3736">
        <v>4816</v>
      </c>
      <c r="B3736">
        <v>910</v>
      </c>
      <c r="C3736">
        <v>3255</v>
      </c>
      <c r="D3736">
        <v>6683</v>
      </c>
      <c r="E3736">
        <v>0</v>
      </c>
      <c r="F3736">
        <v>1</v>
      </c>
      <c r="G3736">
        <v>0</v>
      </c>
      <c r="H3736">
        <v>0</v>
      </c>
      <c r="I3736">
        <v>1</v>
      </c>
      <c r="J3736">
        <v>0</v>
      </c>
      <c r="K3736" t="s">
        <v>20</v>
      </c>
      <c r="L3736" s="1">
        <v>45860</v>
      </c>
      <c r="M3736">
        <v>451</v>
      </c>
      <c r="N3736">
        <v>159</v>
      </c>
      <c r="O3736">
        <v>1334</v>
      </c>
      <c r="P3736">
        <v>1334</v>
      </c>
      <c r="Q3736">
        <v>1334</v>
      </c>
      <c r="S3736">
        <v>1465</v>
      </c>
      <c r="T3736">
        <v>1578</v>
      </c>
      <c r="U3736">
        <f>+SUM(Table1[[#This Row],[Latinos]:[Cemex]])</f>
        <v>2</v>
      </c>
      <c r="V3736" t="str">
        <f>+Table1[[#This Row],[id_destino]]&amp;" - "&amp;Table1[[#This Row],[id_origen]]</f>
        <v>451 - 159</v>
      </c>
    </row>
    <row r="3737" spans="1:22" hidden="1">
      <c r="A3737">
        <v>4075</v>
      </c>
      <c r="B3737">
        <v>4403</v>
      </c>
      <c r="C3737">
        <v>7582</v>
      </c>
      <c r="D3737">
        <v>7586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 t="s">
        <v>20</v>
      </c>
      <c r="L3737" s="1">
        <v>45267</v>
      </c>
      <c r="M3737">
        <v>9</v>
      </c>
      <c r="N3737">
        <v>167</v>
      </c>
      <c r="O3737">
        <v>804</v>
      </c>
      <c r="P3737">
        <v>790</v>
      </c>
      <c r="Q3737">
        <v>804</v>
      </c>
      <c r="S3737">
        <v>415</v>
      </c>
      <c r="T3737">
        <v>415</v>
      </c>
      <c r="U3737">
        <f>+SUM(Table1[[#This Row],[Latinos]:[Cemex]])</f>
        <v>1</v>
      </c>
      <c r="V3737" t="str">
        <f>+Table1[[#This Row],[id_destino]]&amp;" - "&amp;Table1[[#This Row],[id_origen]]</f>
        <v>9 - 167</v>
      </c>
    </row>
    <row r="3738" spans="1:22" hidden="1">
      <c r="A3738">
        <v>3671</v>
      </c>
      <c r="B3738">
        <v>4152</v>
      </c>
      <c r="C3738">
        <v>7297</v>
      </c>
      <c r="D3738">
        <v>7298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 t="s">
        <v>20</v>
      </c>
      <c r="L3738" s="1">
        <v>45021</v>
      </c>
      <c r="M3738">
        <v>685</v>
      </c>
      <c r="N3738">
        <v>167</v>
      </c>
      <c r="O3738">
        <v>459</v>
      </c>
      <c r="P3738">
        <v>441</v>
      </c>
      <c r="Q3738">
        <v>459</v>
      </c>
      <c r="S3738">
        <v>1332</v>
      </c>
      <c r="T3738">
        <v>1332</v>
      </c>
      <c r="U3738">
        <f>+SUM(Table1[[#This Row],[Latinos]:[Cemex]])</f>
        <v>1</v>
      </c>
      <c r="V3738" t="str">
        <f>+Table1[[#This Row],[id_destino]]&amp;" - "&amp;Table1[[#This Row],[id_origen]]</f>
        <v>685 - 167</v>
      </c>
    </row>
    <row r="3739" spans="1:22" hidden="1">
      <c r="A3739">
        <v>4658</v>
      </c>
      <c r="B3739">
        <v>4826</v>
      </c>
      <c r="C3739">
        <v>8079</v>
      </c>
      <c r="D3739">
        <v>8136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 t="s">
        <v>20</v>
      </c>
      <c r="L3739" s="1">
        <v>45709</v>
      </c>
      <c r="M3739">
        <v>3</v>
      </c>
      <c r="N3739">
        <v>169</v>
      </c>
      <c r="O3739">
        <v>1116</v>
      </c>
      <c r="P3739">
        <v>1116</v>
      </c>
      <c r="Q3739">
        <v>1116</v>
      </c>
      <c r="S3739">
        <v>3707</v>
      </c>
      <c r="T3739">
        <v>3707</v>
      </c>
      <c r="U3739">
        <f>+SUM(Table1[[#This Row],[Latinos]:[Cemex]])</f>
        <v>1</v>
      </c>
      <c r="V3739" t="str">
        <f>+Table1[[#This Row],[id_destino]]&amp;" - "&amp;Table1[[#This Row],[id_origen]]</f>
        <v>3 - 169</v>
      </c>
    </row>
    <row r="3740" spans="1:22" hidden="1">
      <c r="A3740">
        <v>2019</v>
      </c>
      <c r="B3740">
        <v>3079</v>
      </c>
      <c r="C3740">
        <v>6120</v>
      </c>
      <c r="D3740">
        <v>6117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 t="s">
        <v>20</v>
      </c>
      <c r="L3740" s="1">
        <v>43770</v>
      </c>
      <c r="M3740">
        <v>4</v>
      </c>
      <c r="N3740">
        <v>169</v>
      </c>
      <c r="O3740">
        <v>1210</v>
      </c>
      <c r="P3740">
        <v>1210</v>
      </c>
      <c r="Q3740">
        <v>1210</v>
      </c>
      <c r="S3740">
        <v>2834</v>
      </c>
      <c r="T3740">
        <v>2834</v>
      </c>
      <c r="U3740">
        <f>+SUM(Table1[[#This Row],[Latinos]:[Cemex]])</f>
        <v>1</v>
      </c>
      <c r="V3740" t="str">
        <f>+Table1[[#This Row],[id_destino]]&amp;" - "&amp;Table1[[#This Row],[id_origen]]</f>
        <v>4 - 169</v>
      </c>
    </row>
    <row r="3741" spans="1:22" hidden="1">
      <c r="A3741">
        <v>1337</v>
      </c>
      <c r="B3741">
        <v>2698</v>
      </c>
      <c r="C3741">
        <v>2670</v>
      </c>
      <c r="D3741">
        <v>353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 t="s">
        <v>20</v>
      </c>
      <c r="L3741" s="1">
        <v>44907</v>
      </c>
      <c r="M3741">
        <v>7</v>
      </c>
      <c r="N3741">
        <v>169</v>
      </c>
      <c r="O3741">
        <v>2033</v>
      </c>
      <c r="P3741">
        <v>2074</v>
      </c>
      <c r="Q3741">
        <v>2033</v>
      </c>
      <c r="S3741">
        <v>2848</v>
      </c>
      <c r="T3741">
        <v>2848</v>
      </c>
      <c r="U3741">
        <f>+SUM(Table1[[#This Row],[Latinos]:[Cemex]])</f>
        <v>1</v>
      </c>
      <c r="V3741" t="str">
        <f>+Table1[[#This Row],[id_destino]]&amp;" - "&amp;Table1[[#This Row],[id_origen]]</f>
        <v>7 - 169</v>
      </c>
    </row>
    <row r="3742" spans="1:22" hidden="1">
      <c r="A3742">
        <v>4404</v>
      </c>
      <c r="B3742">
        <v>2698</v>
      </c>
      <c r="C3742">
        <v>12</v>
      </c>
      <c r="D3742">
        <v>4014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0</v>
      </c>
      <c r="K3742" t="s">
        <v>20</v>
      </c>
      <c r="L3742" s="1">
        <v>45524</v>
      </c>
      <c r="M3742">
        <v>7</v>
      </c>
      <c r="N3742">
        <v>169</v>
      </c>
      <c r="O3742">
        <v>2000</v>
      </c>
      <c r="P3742">
        <v>2035</v>
      </c>
      <c r="Q3742">
        <v>2000</v>
      </c>
      <c r="S3742">
        <v>3197</v>
      </c>
      <c r="T3742">
        <v>3197</v>
      </c>
      <c r="U3742">
        <f>+SUM(Table1[[#This Row],[Latinos]:[Cemex]])</f>
        <v>1</v>
      </c>
      <c r="V3742" t="str">
        <f>+Table1[[#This Row],[id_destino]]&amp;" - "&amp;Table1[[#This Row],[id_origen]]</f>
        <v>7 - 169</v>
      </c>
    </row>
    <row r="3743" spans="1:22" hidden="1">
      <c r="A3743">
        <v>2132</v>
      </c>
      <c r="B3743">
        <v>3154</v>
      </c>
      <c r="C3743">
        <v>12</v>
      </c>
      <c r="D3743">
        <v>4531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 t="s">
        <v>20</v>
      </c>
      <c r="L3743" s="1">
        <v>43826</v>
      </c>
      <c r="M3743">
        <v>9</v>
      </c>
      <c r="N3743">
        <v>169</v>
      </c>
      <c r="O3743">
        <v>1729</v>
      </c>
      <c r="P3743">
        <v>1729</v>
      </c>
      <c r="Q3743">
        <v>1729</v>
      </c>
      <c r="S3743">
        <v>2797</v>
      </c>
      <c r="T3743">
        <v>2797</v>
      </c>
      <c r="U3743">
        <f>+SUM(Table1[[#This Row],[Latinos]:[Cemex]])</f>
        <v>1</v>
      </c>
      <c r="V3743" t="str">
        <f>+Table1[[#This Row],[id_destino]]&amp;" - "&amp;Table1[[#This Row],[id_origen]]</f>
        <v>9 - 169</v>
      </c>
    </row>
    <row r="3744" spans="1:22" hidden="1">
      <c r="A3744">
        <v>1405</v>
      </c>
      <c r="B3744">
        <v>395</v>
      </c>
      <c r="C3744">
        <v>7616</v>
      </c>
      <c r="D3744">
        <v>7623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 t="s">
        <v>20</v>
      </c>
      <c r="L3744" s="1">
        <v>45299</v>
      </c>
      <c r="M3744">
        <v>12</v>
      </c>
      <c r="N3744">
        <v>169</v>
      </c>
      <c r="O3744">
        <v>148</v>
      </c>
      <c r="P3744">
        <v>118</v>
      </c>
      <c r="Q3744">
        <v>148</v>
      </c>
      <c r="S3744">
        <v>550</v>
      </c>
      <c r="T3744">
        <v>550</v>
      </c>
      <c r="U3744">
        <f>+SUM(Table1[[#This Row],[Latinos]:[Cemex]])</f>
        <v>1</v>
      </c>
      <c r="V3744" t="str">
        <f>+Table1[[#This Row],[id_destino]]&amp;" - "&amp;Table1[[#This Row],[id_origen]]</f>
        <v>12 - 169</v>
      </c>
    </row>
    <row r="3745" spans="1:22" hidden="1">
      <c r="A3745">
        <v>4558</v>
      </c>
      <c r="B3745">
        <v>395</v>
      </c>
      <c r="C3745">
        <v>12</v>
      </c>
      <c r="D3745">
        <v>8025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0</v>
      </c>
      <c r="K3745" t="s">
        <v>20</v>
      </c>
      <c r="L3745" s="1">
        <v>45617</v>
      </c>
      <c r="M3745">
        <v>12</v>
      </c>
      <c r="N3745">
        <v>169</v>
      </c>
      <c r="O3745">
        <v>125</v>
      </c>
      <c r="P3745">
        <v>150</v>
      </c>
      <c r="Q3745">
        <v>125</v>
      </c>
      <c r="S3745">
        <v>550</v>
      </c>
      <c r="T3745">
        <v>550</v>
      </c>
      <c r="U3745">
        <f>+SUM(Table1[[#This Row],[Latinos]:[Cemex]])</f>
        <v>1</v>
      </c>
      <c r="V3745" t="str">
        <f>+Table1[[#This Row],[id_destino]]&amp;" - "&amp;Table1[[#This Row],[id_origen]]</f>
        <v>12 - 169</v>
      </c>
    </row>
    <row r="3746" spans="1:22" hidden="1">
      <c r="A3746">
        <v>2765</v>
      </c>
      <c r="B3746">
        <v>3551</v>
      </c>
      <c r="C3746">
        <v>6649</v>
      </c>
      <c r="D3746">
        <v>18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 t="s">
        <v>20</v>
      </c>
      <c r="L3746" s="1">
        <v>44429</v>
      </c>
      <c r="M3746">
        <v>17</v>
      </c>
      <c r="N3746">
        <v>169</v>
      </c>
      <c r="O3746">
        <v>561</v>
      </c>
      <c r="P3746">
        <v>525</v>
      </c>
      <c r="Q3746">
        <v>544</v>
      </c>
      <c r="S3746">
        <v>881</v>
      </c>
      <c r="T3746">
        <v>919</v>
      </c>
      <c r="U3746">
        <f>+SUM(Table1[[#This Row],[Latinos]:[Cemex]])</f>
        <v>1</v>
      </c>
      <c r="V3746" t="str">
        <f>+Table1[[#This Row],[id_destino]]&amp;" - "&amp;Table1[[#This Row],[id_origen]]</f>
        <v>17 - 169</v>
      </c>
    </row>
    <row r="3747" spans="1:22" hidden="1">
      <c r="A3747">
        <v>4218</v>
      </c>
      <c r="B3747">
        <v>4498</v>
      </c>
      <c r="C3747">
        <v>7616</v>
      </c>
      <c r="D3747">
        <v>7705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 t="s">
        <v>20</v>
      </c>
      <c r="L3747" s="1">
        <v>45373</v>
      </c>
      <c r="M3747">
        <v>20</v>
      </c>
      <c r="N3747">
        <v>169</v>
      </c>
      <c r="O3747">
        <v>340</v>
      </c>
      <c r="P3747">
        <v>362</v>
      </c>
      <c r="Q3747">
        <v>340</v>
      </c>
      <c r="S3747">
        <v>813</v>
      </c>
      <c r="T3747">
        <v>813</v>
      </c>
      <c r="U3747">
        <f>+SUM(Table1[[#This Row],[Latinos]:[Cemex]])</f>
        <v>1</v>
      </c>
      <c r="V3747" t="str">
        <f>+Table1[[#This Row],[id_destino]]&amp;" - "&amp;Table1[[#This Row],[id_origen]]</f>
        <v>20 - 169</v>
      </c>
    </row>
    <row r="3748" spans="1:22" hidden="1">
      <c r="A3748">
        <v>815</v>
      </c>
      <c r="B3748">
        <v>334</v>
      </c>
      <c r="C3748">
        <v>382</v>
      </c>
      <c r="D3748">
        <v>5382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 t="s">
        <v>20</v>
      </c>
      <c r="L3748" s="1">
        <v>43173</v>
      </c>
      <c r="M3748">
        <v>23</v>
      </c>
      <c r="N3748">
        <v>169</v>
      </c>
      <c r="O3748">
        <v>203</v>
      </c>
      <c r="P3748">
        <v>203</v>
      </c>
      <c r="Q3748">
        <v>203</v>
      </c>
      <c r="S3748">
        <v>651</v>
      </c>
      <c r="T3748">
        <v>651</v>
      </c>
      <c r="U3748">
        <f>+SUM(Table1[[#This Row],[Latinos]:[Cemex]])</f>
        <v>1</v>
      </c>
      <c r="V3748" t="str">
        <f>+Table1[[#This Row],[id_destino]]&amp;" - "&amp;Table1[[#This Row],[id_origen]]</f>
        <v>23 - 169</v>
      </c>
    </row>
    <row r="3749" spans="1:22" hidden="1">
      <c r="A3749">
        <v>4851</v>
      </c>
      <c r="B3749">
        <v>1217</v>
      </c>
      <c r="C3749">
        <v>7616</v>
      </c>
      <c r="D3749">
        <v>8300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 t="s">
        <v>20</v>
      </c>
      <c r="L3749" s="1">
        <v>45895</v>
      </c>
      <c r="M3749">
        <v>24</v>
      </c>
      <c r="N3749">
        <v>169</v>
      </c>
      <c r="O3749">
        <v>556</v>
      </c>
      <c r="P3749">
        <v>556</v>
      </c>
      <c r="Q3749">
        <v>556</v>
      </c>
      <c r="S3749">
        <v>2239</v>
      </c>
      <c r="T3749">
        <v>2330</v>
      </c>
      <c r="U3749">
        <f>+SUM(Table1[[#This Row],[Latinos]:[Cemex]])</f>
        <v>1</v>
      </c>
      <c r="V3749" t="str">
        <f>+Table1[[#This Row],[id_destino]]&amp;" - "&amp;Table1[[#This Row],[id_origen]]</f>
        <v>24 - 169</v>
      </c>
    </row>
    <row r="3750" spans="1:22" hidden="1">
      <c r="A3750">
        <v>4308</v>
      </c>
      <c r="B3750">
        <v>4559</v>
      </c>
      <c r="C3750">
        <v>6386</v>
      </c>
      <c r="D3750">
        <v>387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 t="s">
        <v>115</v>
      </c>
      <c r="L3750" s="1">
        <v>45450</v>
      </c>
      <c r="M3750">
        <v>30</v>
      </c>
      <c r="N3750">
        <v>169</v>
      </c>
      <c r="O3750">
        <v>737</v>
      </c>
      <c r="P3750">
        <v>755</v>
      </c>
      <c r="Q3750">
        <v>737</v>
      </c>
      <c r="S3750">
        <v>2981</v>
      </c>
      <c r="T3750">
        <v>2981</v>
      </c>
      <c r="U3750">
        <f>+SUM(Table1[[#This Row],[Latinos]:[Cemex]])</f>
        <v>1</v>
      </c>
      <c r="V3750" t="str">
        <f>+Table1[[#This Row],[id_destino]]&amp;" - "&amp;Table1[[#This Row],[id_origen]]</f>
        <v>30 - 169</v>
      </c>
    </row>
    <row r="3751" spans="1:22" hidden="1">
      <c r="A3751">
        <v>1985</v>
      </c>
      <c r="B3751">
        <v>729</v>
      </c>
      <c r="C3751">
        <v>6386</v>
      </c>
      <c r="D3751">
        <v>6919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 t="s">
        <v>20</v>
      </c>
      <c r="L3751" s="1">
        <v>44847</v>
      </c>
      <c r="M3751">
        <v>33</v>
      </c>
      <c r="N3751">
        <v>169</v>
      </c>
      <c r="O3751">
        <v>738</v>
      </c>
      <c r="P3751">
        <v>791</v>
      </c>
      <c r="Q3751">
        <v>738</v>
      </c>
      <c r="S3751">
        <v>944</v>
      </c>
      <c r="T3751">
        <v>1066</v>
      </c>
      <c r="U3751">
        <f>+SUM(Table1[[#This Row],[Latinos]:[Cemex]])</f>
        <v>1</v>
      </c>
      <c r="V3751" t="str">
        <f>+Table1[[#This Row],[id_destino]]&amp;" - "&amp;Table1[[#This Row],[id_origen]]</f>
        <v>33 - 169</v>
      </c>
    </row>
    <row r="3752" spans="1:22" hidden="1">
      <c r="A3752">
        <v>2818</v>
      </c>
      <c r="B3752">
        <v>308</v>
      </c>
      <c r="C3752">
        <v>6183</v>
      </c>
      <c r="D3752">
        <v>40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  <c r="K3752" t="s">
        <v>20</v>
      </c>
      <c r="L3752" s="1">
        <v>44952</v>
      </c>
      <c r="M3752">
        <v>34</v>
      </c>
      <c r="N3752">
        <v>169</v>
      </c>
      <c r="O3752">
        <v>628</v>
      </c>
      <c r="P3752">
        <v>622</v>
      </c>
      <c r="Q3752">
        <v>628</v>
      </c>
      <c r="S3752">
        <v>1305</v>
      </c>
      <c r="T3752">
        <v>1469</v>
      </c>
      <c r="U3752">
        <f>+SUM(Table1[[#This Row],[Latinos]:[Cemex]])</f>
        <v>1</v>
      </c>
      <c r="V3752" t="str">
        <f>+Table1[[#This Row],[id_destino]]&amp;" - "&amp;Table1[[#This Row],[id_origen]]</f>
        <v>34 - 169</v>
      </c>
    </row>
    <row r="3753" spans="1:22" hidden="1">
      <c r="A3753">
        <v>4657</v>
      </c>
      <c r="B3753">
        <v>4825</v>
      </c>
      <c r="C3753">
        <v>7616</v>
      </c>
      <c r="D3753">
        <v>8134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 t="s">
        <v>20</v>
      </c>
      <c r="L3753" s="1">
        <v>45709</v>
      </c>
      <c r="M3753">
        <v>35</v>
      </c>
      <c r="N3753">
        <v>169</v>
      </c>
      <c r="O3753">
        <v>752</v>
      </c>
      <c r="P3753">
        <v>752</v>
      </c>
      <c r="Q3753">
        <v>752</v>
      </c>
      <c r="S3753">
        <v>2776</v>
      </c>
      <c r="T3753">
        <v>2776</v>
      </c>
      <c r="U3753">
        <f>+SUM(Table1[[#This Row],[Latinos]:[Cemex]])</f>
        <v>1</v>
      </c>
      <c r="V3753" t="str">
        <f>+Table1[[#This Row],[id_destino]]&amp;" - "&amp;Table1[[#This Row],[id_origen]]</f>
        <v>35 - 169</v>
      </c>
    </row>
    <row r="3754" spans="1:22" hidden="1">
      <c r="A3754">
        <v>805</v>
      </c>
      <c r="B3754">
        <v>2460</v>
      </c>
      <c r="C3754">
        <v>12</v>
      </c>
      <c r="D3754">
        <v>43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0</v>
      </c>
      <c r="K3754" t="s">
        <v>20</v>
      </c>
      <c r="L3754" s="1">
        <v>43171</v>
      </c>
      <c r="M3754">
        <v>37</v>
      </c>
      <c r="N3754">
        <v>169</v>
      </c>
      <c r="O3754">
        <v>551</v>
      </c>
      <c r="P3754">
        <v>551</v>
      </c>
      <c r="Q3754">
        <v>551</v>
      </c>
      <c r="S3754">
        <v>1234</v>
      </c>
      <c r="T3754">
        <v>1234</v>
      </c>
      <c r="U3754">
        <f>+SUM(Table1[[#This Row],[Latinos]:[Cemex]])</f>
        <v>1</v>
      </c>
      <c r="V3754" t="str">
        <f>+Table1[[#This Row],[id_destino]]&amp;" - "&amp;Table1[[#This Row],[id_origen]]</f>
        <v>37 - 169</v>
      </c>
    </row>
    <row r="3755" spans="1:22" hidden="1">
      <c r="A3755">
        <v>546</v>
      </c>
      <c r="B3755">
        <v>2338</v>
      </c>
      <c r="C3755">
        <v>12</v>
      </c>
      <c r="D3755">
        <v>49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 t="s">
        <v>20</v>
      </c>
      <c r="L3755" s="1">
        <v>43097</v>
      </c>
      <c r="M3755">
        <v>43</v>
      </c>
      <c r="N3755">
        <v>169</v>
      </c>
      <c r="O3755">
        <v>970</v>
      </c>
      <c r="P3755">
        <v>970</v>
      </c>
      <c r="Q3755">
        <v>970</v>
      </c>
      <c r="S3755">
        <v>2160</v>
      </c>
      <c r="T3755">
        <v>2160</v>
      </c>
      <c r="U3755">
        <f>+SUM(Table1[[#This Row],[Latinos]:[Cemex]])</f>
        <v>1</v>
      </c>
      <c r="V3755" t="str">
        <f>+Table1[[#This Row],[id_destino]]&amp;" - "&amp;Table1[[#This Row],[id_origen]]</f>
        <v>43 - 169</v>
      </c>
    </row>
    <row r="3756" spans="1:22" hidden="1">
      <c r="A3756">
        <v>2748</v>
      </c>
      <c r="B3756">
        <v>2339</v>
      </c>
      <c r="C3756">
        <v>6183</v>
      </c>
      <c r="D3756">
        <v>52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 t="s">
        <v>20</v>
      </c>
      <c r="L3756" s="1">
        <v>44407</v>
      </c>
      <c r="M3756">
        <v>46</v>
      </c>
      <c r="N3756">
        <v>169</v>
      </c>
      <c r="O3756">
        <v>582</v>
      </c>
      <c r="P3756">
        <v>576</v>
      </c>
      <c r="Q3756">
        <v>582</v>
      </c>
      <c r="S3756">
        <v>1044</v>
      </c>
      <c r="T3756">
        <v>1044</v>
      </c>
      <c r="U3756">
        <f>+SUM(Table1[[#This Row],[Latinos]:[Cemex]])</f>
        <v>1</v>
      </c>
      <c r="V3756" t="str">
        <f>+Table1[[#This Row],[id_destino]]&amp;" - "&amp;Table1[[#This Row],[id_origen]]</f>
        <v>46 - 169</v>
      </c>
    </row>
    <row r="3757" spans="1:22" hidden="1">
      <c r="A3757">
        <v>2531</v>
      </c>
      <c r="B3757">
        <v>598</v>
      </c>
      <c r="C3757">
        <v>6465</v>
      </c>
      <c r="D3757">
        <v>6283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 t="s">
        <v>20</v>
      </c>
      <c r="L3757" s="1">
        <v>44159</v>
      </c>
      <c r="M3757">
        <v>47</v>
      </c>
      <c r="N3757">
        <v>169</v>
      </c>
      <c r="O3757">
        <v>372</v>
      </c>
      <c r="P3757">
        <v>348</v>
      </c>
      <c r="Q3757">
        <v>372</v>
      </c>
      <c r="S3757">
        <v>1059</v>
      </c>
      <c r="T3757">
        <v>1173</v>
      </c>
      <c r="U3757">
        <f>+SUM(Table1[[#This Row],[Latinos]:[Cemex]])</f>
        <v>1</v>
      </c>
      <c r="V3757" t="str">
        <f>+Table1[[#This Row],[id_destino]]&amp;" - "&amp;Table1[[#This Row],[id_origen]]</f>
        <v>47 - 169</v>
      </c>
    </row>
    <row r="3758" spans="1:22" hidden="1">
      <c r="A3758">
        <v>705</v>
      </c>
      <c r="B3758">
        <v>1189</v>
      </c>
      <c r="C3758">
        <v>5459</v>
      </c>
      <c r="D3758">
        <v>5460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 t="s">
        <v>20</v>
      </c>
      <c r="L3758" s="1">
        <v>43137</v>
      </c>
      <c r="M3758">
        <v>51</v>
      </c>
      <c r="N3758">
        <v>169</v>
      </c>
      <c r="O3758">
        <v>696</v>
      </c>
      <c r="P3758">
        <v>696</v>
      </c>
      <c r="Q3758">
        <v>696</v>
      </c>
      <c r="S3758">
        <v>563</v>
      </c>
      <c r="T3758">
        <v>536</v>
      </c>
      <c r="U3758">
        <f>+SUM(Table1[[#This Row],[Latinos]:[Cemex]])</f>
        <v>1</v>
      </c>
      <c r="V3758" t="str">
        <f>+Table1[[#This Row],[id_destino]]&amp;" - "&amp;Table1[[#This Row],[id_origen]]</f>
        <v>51 - 169</v>
      </c>
    </row>
    <row r="3759" spans="1:22" hidden="1">
      <c r="A3759">
        <v>3343</v>
      </c>
      <c r="B3759">
        <v>3922</v>
      </c>
      <c r="C3759">
        <v>6183</v>
      </c>
      <c r="D3759">
        <v>6882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 t="s">
        <v>20</v>
      </c>
      <c r="L3759" s="1">
        <v>44841</v>
      </c>
      <c r="M3759">
        <v>54</v>
      </c>
      <c r="N3759">
        <v>169</v>
      </c>
      <c r="O3759">
        <v>627</v>
      </c>
      <c r="P3759">
        <v>598</v>
      </c>
      <c r="Q3759">
        <v>627</v>
      </c>
      <c r="S3759">
        <v>671</v>
      </c>
      <c r="T3759">
        <v>690</v>
      </c>
      <c r="U3759">
        <f>+SUM(Table1[[#This Row],[Latinos]:[Cemex]])</f>
        <v>1</v>
      </c>
      <c r="V3759" t="str">
        <f>+Table1[[#This Row],[id_destino]]&amp;" - "&amp;Table1[[#This Row],[id_origen]]</f>
        <v>54 - 169</v>
      </c>
    </row>
    <row r="3760" spans="1:22" hidden="1">
      <c r="A3760">
        <v>4632</v>
      </c>
      <c r="B3760">
        <v>4808</v>
      </c>
      <c r="C3760">
        <v>12</v>
      </c>
      <c r="D3760">
        <v>8106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 t="s">
        <v>20</v>
      </c>
      <c r="L3760" s="1">
        <v>45686</v>
      </c>
      <c r="M3760">
        <v>55</v>
      </c>
      <c r="N3760">
        <v>169</v>
      </c>
      <c r="O3760">
        <v>389</v>
      </c>
      <c r="P3760">
        <v>0</v>
      </c>
      <c r="Q3760">
        <v>389</v>
      </c>
      <c r="S3760">
        <v>0</v>
      </c>
      <c r="T3760">
        <v>0</v>
      </c>
      <c r="U3760">
        <f>+SUM(Table1[[#This Row],[Latinos]:[Cemex]])</f>
        <v>1</v>
      </c>
      <c r="V3760" t="str">
        <f>+Table1[[#This Row],[id_destino]]&amp;" - "&amp;Table1[[#This Row],[id_origen]]</f>
        <v>55 - 169</v>
      </c>
    </row>
    <row r="3761" spans="1:22" hidden="1">
      <c r="A3761">
        <v>4785</v>
      </c>
      <c r="B3761">
        <v>4442</v>
      </c>
      <c r="C3761">
        <v>12</v>
      </c>
      <c r="D3761">
        <v>3984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 t="s">
        <v>20</v>
      </c>
      <c r="L3761" s="1">
        <v>45822</v>
      </c>
      <c r="M3761">
        <v>59</v>
      </c>
      <c r="N3761">
        <v>169</v>
      </c>
      <c r="O3761">
        <v>766</v>
      </c>
      <c r="P3761">
        <v>771</v>
      </c>
      <c r="Q3761">
        <v>766</v>
      </c>
      <c r="S3761">
        <v>3338</v>
      </c>
      <c r="T3761">
        <v>3338</v>
      </c>
      <c r="U3761">
        <f>+SUM(Table1[[#This Row],[Latinos]:[Cemex]])</f>
        <v>1</v>
      </c>
      <c r="V3761" t="str">
        <f>+Table1[[#This Row],[id_destino]]&amp;" - "&amp;Table1[[#This Row],[id_origen]]</f>
        <v>59 - 169</v>
      </c>
    </row>
    <row r="3762" spans="1:22" hidden="1">
      <c r="A3762">
        <v>3994</v>
      </c>
      <c r="B3762">
        <v>1473</v>
      </c>
      <c r="C3762">
        <v>6386</v>
      </c>
      <c r="D3762">
        <v>409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 t="s">
        <v>20</v>
      </c>
      <c r="L3762" s="1">
        <v>45227</v>
      </c>
      <c r="M3762">
        <v>62</v>
      </c>
      <c r="N3762">
        <v>169</v>
      </c>
      <c r="O3762">
        <v>181</v>
      </c>
      <c r="P3762">
        <v>210</v>
      </c>
      <c r="Q3762">
        <v>181</v>
      </c>
      <c r="S3762">
        <v>405</v>
      </c>
      <c r="T3762">
        <v>405</v>
      </c>
      <c r="U3762">
        <f>+SUM(Table1[[#This Row],[Latinos]:[Cemex]])</f>
        <v>1</v>
      </c>
      <c r="V3762" t="str">
        <f>+Table1[[#This Row],[id_destino]]&amp;" - "&amp;Table1[[#This Row],[id_origen]]</f>
        <v>62 - 169</v>
      </c>
    </row>
    <row r="3763" spans="1:22" hidden="1">
      <c r="A3763">
        <v>4673</v>
      </c>
      <c r="B3763">
        <v>4835</v>
      </c>
      <c r="C3763">
        <v>7616</v>
      </c>
      <c r="D3763">
        <v>3488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 t="s">
        <v>20</v>
      </c>
      <c r="L3763" s="1">
        <v>45719</v>
      </c>
      <c r="M3763">
        <v>68</v>
      </c>
      <c r="N3763">
        <v>169</v>
      </c>
      <c r="O3763">
        <v>726</v>
      </c>
      <c r="P3763">
        <v>726</v>
      </c>
      <c r="Q3763">
        <v>726</v>
      </c>
      <c r="S3763">
        <v>3071</v>
      </c>
      <c r="T3763">
        <v>3071</v>
      </c>
      <c r="U3763">
        <f>+SUM(Table1[[#This Row],[Latinos]:[Cemex]])</f>
        <v>1</v>
      </c>
      <c r="V3763" t="str">
        <f>+Table1[[#This Row],[id_destino]]&amp;" - "&amp;Table1[[#This Row],[id_origen]]</f>
        <v>68 - 169</v>
      </c>
    </row>
    <row r="3764" spans="1:22" hidden="1">
      <c r="A3764">
        <v>4109</v>
      </c>
      <c r="B3764">
        <v>330</v>
      </c>
      <c r="C3764">
        <v>7616</v>
      </c>
      <c r="D3764">
        <v>7617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 t="s">
        <v>20</v>
      </c>
      <c r="L3764" s="1">
        <v>45296</v>
      </c>
      <c r="M3764">
        <v>81</v>
      </c>
      <c r="N3764">
        <v>169</v>
      </c>
      <c r="O3764">
        <v>483</v>
      </c>
      <c r="P3764">
        <v>497</v>
      </c>
      <c r="Q3764">
        <v>483</v>
      </c>
      <c r="S3764">
        <v>1547</v>
      </c>
      <c r="T3764">
        <v>1547</v>
      </c>
      <c r="U3764">
        <f>+SUM(Table1[[#This Row],[Latinos]:[Cemex]])</f>
        <v>1</v>
      </c>
      <c r="V3764" t="str">
        <f>+Table1[[#This Row],[id_destino]]&amp;" - "&amp;Table1[[#This Row],[id_origen]]</f>
        <v>81 - 169</v>
      </c>
    </row>
    <row r="3765" spans="1:22" hidden="1">
      <c r="A3765">
        <v>745</v>
      </c>
      <c r="B3765">
        <v>2432</v>
      </c>
      <c r="C3765">
        <v>382</v>
      </c>
      <c r="D3765">
        <v>5472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 t="s">
        <v>20</v>
      </c>
      <c r="L3765" s="1">
        <v>44068</v>
      </c>
      <c r="M3765">
        <v>102</v>
      </c>
      <c r="N3765">
        <v>169</v>
      </c>
      <c r="O3765">
        <v>831</v>
      </c>
      <c r="P3765">
        <v>836</v>
      </c>
      <c r="Q3765">
        <v>831</v>
      </c>
      <c r="S3765">
        <v>721</v>
      </c>
      <c r="T3765">
        <v>754</v>
      </c>
      <c r="U3765">
        <f>+SUM(Table1[[#This Row],[Latinos]:[Cemex]])</f>
        <v>1</v>
      </c>
      <c r="V3765" t="str">
        <f>+Table1[[#This Row],[id_destino]]&amp;" - "&amp;Table1[[#This Row],[id_origen]]</f>
        <v>102 - 169</v>
      </c>
    </row>
    <row r="3766" spans="1:22" hidden="1">
      <c r="A3766">
        <v>1003</v>
      </c>
      <c r="B3766">
        <v>2542</v>
      </c>
      <c r="C3766">
        <v>12</v>
      </c>
      <c r="D3766">
        <v>47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 t="s">
        <v>20</v>
      </c>
      <c r="L3766" s="1">
        <v>43244</v>
      </c>
      <c r="M3766">
        <v>129</v>
      </c>
      <c r="N3766">
        <v>169</v>
      </c>
      <c r="O3766">
        <v>799</v>
      </c>
      <c r="P3766">
        <v>838</v>
      </c>
      <c r="Q3766">
        <v>799</v>
      </c>
      <c r="S3766">
        <v>1769</v>
      </c>
      <c r="T3766">
        <v>1769</v>
      </c>
      <c r="U3766">
        <f>+SUM(Table1[[#This Row],[Latinos]:[Cemex]])</f>
        <v>1</v>
      </c>
      <c r="V3766" t="str">
        <f>+Table1[[#This Row],[id_destino]]&amp;" - "&amp;Table1[[#This Row],[id_origen]]</f>
        <v>129 - 169</v>
      </c>
    </row>
    <row r="3767" spans="1:22" hidden="1">
      <c r="A3767">
        <v>4480</v>
      </c>
      <c r="B3767">
        <v>4690</v>
      </c>
      <c r="C3767">
        <v>12</v>
      </c>
      <c r="D3767">
        <v>7950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 t="s">
        <v>20</v>
      </c>
      <c r="L3767" s="1">
        <v>45576</v>
      </c>
      <c r="M3767">
        <v>136</v>
      </c>
      <c r="N3767">
        <v>169</v>
      </c>
      <c r="O3767">
        <v>489</v>
      </c>
      <c r="P3767">
        <v>491</v>
      </c>
      <c r="Q3767">
        <v>489</v>
      </c>
      <c r="S3767">
        <v>2010</v>
      </c>
      <c r="T3767">
        <v>2010</v>
      </c>
      <c r="U3767">
        <f>+SUM(Table1[[#This Row],[Latinos]:[Cemex]])</f>
        <v>1</v>
      </c>
      <c r="V3767" t="str">
        <f>+Table1[[#This Row],[id_destino]]&amp;" - "&amp;Table1[[#This Row],[id_origen]]</f>
        <v>136 - 169</v>
      </c>
    </row>
    <row r="3768" spans="1:22" hidden="1">
      <c r="A3768">
        <v>1570</v>
      </c>
      <c r="B3768">
        <v>2819</v>
      </c>
      <c r="C3768">
        <v>12</v>
      </c>
      <c r="D3768">
        <v>24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 t="s">
        <v>20</v>
      </c>
      <c r="L3768" s="1">
        <v>43897</v>
      </c>
      <c r="M3768">
        <v>179</v>
      </c>
      <c r="N3768">
        <v>169</v>
      </c>
      <c r="O3768">
        <v>1566</v>
      </c>
      <c r="P3768">
        <v>1566</v>
      </c>
      <c r="Q3768">
        <v>1566</v>
      </c>
      <c r="S3768">
        <v>3234</v>
      </c>
      <c r="T3768">
        <v>3320</v>
      </c>
      <c r="U3768">
        <f>+SUM(Table1[[#This Row],[Latinos]:[Cemex]])</f>
        <v>1</v>
      </c>
      <c r="V3768" t="str">
        <f>+Table1[[#This Row],[id_destino]]&amp;" - "&amp;Table1[[#This Row],[id_origen]]</f>
        <v>179 - 169</v>
      </c>
    </row>
    <row r="3769" spans="1:22" hidden="1">
      <c r="A3769">
        <v>4192</v>
      </c>
      <c r="B3769">
        <v>4480</v>
      </c>
      <c r="C3769">
        <v>6386</v>
      </c>
      <c r="D3769">
        <v>405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 t="s">
        <v>20</v>
      </c>
      <c r="L3769" s="1">
        <v>45349</v>
      </c>
      <c r="M3769">
        <v>180</v>
      </c>
      <c r="N3769">
        <v>169</v>
      </c>
      <c r="O3769">
        <v>913</v>
      </c>
      <c r="P3769">
        <v>907</v>
      </c>
      <c r="Q3769">
        <v>913</v>
      </c>
      <c r="S3769">
        <v>1224</v>
      </c>
      <c r="T3769">
        <v>1224</v>
      </c>
      <c r="U3769">
        <f>+SUM(Table1[[#This Row],[Latinos]:[Cemex]])</f>
        <v>1</v>
      </c>
      <c r="V3769" t="str">
        <f>+Table1[[#This Row],[id_destino]]&amp;" - "&amp;Table1[[#This Row],[id_origen]]</f>
        <v>180 - 169</v>
      </c>
    </row>
    <row r="3770" spans="1:22" hidden="1">
      <c r="A3770">
        <v>4426</v>
      </c>
      <c r="B3770">
        <v>4650</v>
      </c>
      <c r="C3770">
        <v>7616</v>
      </c>
      <c r="D3770">
        <v>7876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 t="s">
        <v>20</v>
      </c>
      <c r="L3770" s="1">
        <v>45533</v>
      </c>
      <c r="M3770">
        <v>233</v>
      </c>
      <c r="N3770">
        <v>169</v>
      </c>
      <c r="O3770">
        <v>412</v>
      </c>
      <c r="P3770">
        <v>422</v>
      </c>
      <c r="Q3770">
        <v>412</v>
      </c>
      <c r="S3770">
        <v>1201</v>
      </c>
      <c r="T3770">
        <v>1201</v>
      </c>
      <c r="U3770">
        <f>+SUM(Table1[[#This Row],[Latinos]:[Cemex]])</f>
        <v>1</v>
      </c>
      <c r="V3770" t="str">
        <f>+Table1[[#This Row],[id_destino]]&amp;" - "&amp;Table1[[#This Row],[id_origen]]</f>
        <v>233 - 169</v>
      </c>
    </row>
    <row r="3771" spans="1:22" hidden="1">
      <c r="A3771">
        <v>2988</v>
      </c>
      <c r="B3771">
        <v>3704</v>
      </c>
      <c r="C3771">
        <v>12</v>
      </c>
      <c r="D3771">
        <v>33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 t="s">
        <v>20</v>
      </c>
      <c r="L3771" s="1">
        <v>44672</v>
      </c>
      <c r="M3771">
        <v>260</v>
      </c>
      <c r="N3771">
        <v>169</v>
      </c>
      <c r="O3771">
        <v>1095</v>
      </c>
      <c r="P3771">
        <v>1094</v>
      </c>
      <c r="Q3771">
        <v>1095</v>
      </c>
      <c r="S3771">
        <v>2941</v>
      </c>
      <c r="T3771">
        <v>3015</v>
      </c>
      <c r="U3771">
        <f>+SUM(Table1[[#This Row],[Latinos]:[Cemex]])</f>
        <v>1</v>
      </c>
      <c r="V3771" t="str">
        <f>+Table1[[#This Row],[id_destino]]&amp;" - "&amp;Table1[[#This Row],[id_origen]]</f>
        <v>260 - 169</v>
      </c>
    </row>
    <row r="3772" spans="1:22" hidden="1">
      <c r="A3772">
        <v>1387</v>
      </c>
      <c r="B3772">
        <v>2715</v>
      </c>
      <c r="C3772">
        <v>2670</v>
      </c>
      <c r="D3772">
        <v>422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 t="s">
        <v>20</v>
      </c>
      <c r="L3772" s="1">
        <v>43413</v>
      </c>
      <c r="M3772">
        <v>280</v>
      </c>
      <c r="N3772">
        <v>169</v>
      </c>
      <c r="O3772">
        <v>332</v>
      </c>
      <c r="P3772">
        <v>332</v>
      </c>
      <c r="Q3772">
        <v>332</v>
      </c>
      <c r="S3772">
        <v>603</v>
      </c>
      <c r="T3772">
        <v>603</v>
      </c>
      <c r="U3772">
        <f>+SUM(Table1[[#This Row],[Latinos]:[Cemex]])</f>
        <v>1</v>
      </c>
      <c r="V3772" t="str">
        <f>+Table1[[#This Row],[id_destino]]&amp;" - "&amp;Table1[[#This Row],[id_origen]]</f>
        <v>280 - 169</v>
      </c>
    </row>
    <row r="3773" spans="1:22" hidden="1">
      <c r="A3773">
        <v>3920</v>
      </c>
      <c r="B3773">
        <v>4303</v>
      </c>
      <c r="C3773">
        <v>6183</v>
      </c>
      <c r="D3773">
        <v>7324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 t="s">
        <v>20</v>
      </c>
      <c r="L3773" s="1">
        <v>45183</v>
      </c>
      <c r="M3773">
        <v>385</v>
      </c>
      <c r="N3773">
        <v>169</v>
      </c>
      <c r="O3773">
        <v>394</v>
      </c>
      <c r="P3773">
        <v>399</v>
      </c>
      <c r="Q3773">
        <v>394</v>
      </c>
      <c r="S3773">
        <v>1587</v>
      </c>
      <c r="T3773">
        <v>1587</v>
      </c>
      <c r="U3773">
        <f>+SUM(Table1[[#This Row],[Latinos]:[Cemex]])</f>
        <v>1</v>
      </c>
      <c r="V3773" t="str">
        <f>+Table1[[#This Row],[id_destino]]&amp;" - "&amp;Table1[[#This Row],[id_origen]]</f>
        <v>385 - 169</v>
      </c>
    </row>
    <row r="3774" spans="1:22" hidden="1">
      <c r="A3774">
        <v>4528</v>
      </c>
      <c r="B3774">
        <v>4728</v>
      </c>
      <c r="C3774">
        <v>7616</v>
      </c>
      <c r="D3774">
        <v>7997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 t="s">
        <v>20</v>
      </c>
      <c r="L3774" s="1">
        <v>45602</v>
      </c>
      <c r="M3774">
        <v>492</v>
      </c>
      <c r="N3774">
        <v>169</v>
      </c>
      <c r="O3774">
        <v>615</v>
      </c>
      <c r="P3774">
        <v>657</v>
      </c>
      <c r="Q3774">
        <v>615</v>
      </c>
      <c r="S3774">
        <v>2877</v>
      </c>
      <c r="T3774">
        <v>2891</v>
      </c>
      <c r="U3774">
        <f>+SUM(Table1[[#This Row],[Latinos]:[Cemex]])</f>
        <v>1</v>
      </c>
      <c r="V3774" t="str">
        <f>+Table1[[#This Row],[id_destino]]&amp;" - "&amp;Table1[[#This Row],[id_origen]]</f>
        <v>492 - 169</v>
      </c>
    </row>
    <row r="3775" spans="1:22" hidden="1">
      <c r="A3775">
        <v>2905</v>
      </c>
      <c r="B3775">
        <v>3645</v>
      </c>
      <c r="C3775">
        <v>6183</v>
      </c>
      <c r="D3775">
        <v>6783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0</v>
      </c>
      <c r="K3775" t="s">
        <v>20</v>
      </c>
      <c r="L3775" s="1">
        <v>44601</v>
      </c>
      <c r="M3775">
        <v>502</v>
      </c>
      <c r="N3775">
        <v>169</v>
      </c>
      <c r="O3775">
        <v>172</v>
      </c>
      <c r="P3775">
        <v>150</v>
      </c>
      <c r="Q3775">
        <v>172</v>
      </c>
      <c r="S3775">
        <v>0</v>
      </c>
      <c r="T3775">
        <v>0</v>
      </c>
      <c r="U3775">
        <f>+SUM(Table1[[#This Row],[Latinos]:[Cemex]])</f>
        <v>1</v>
      </c>
      <c r="V3775" t="str">
        <f>+Table1[[#This Row],[id_destino]]&amp;" - "&amp;Table1[[#This Row],[id_origen]]</f>
        <v>502 - 169</v>
      </c>
    </row>
    <row r="3776" spans="1:22" hidden="1">
      <c r="A3776">
        <v>4476</v>
      </c>
      <c r="B3776">
        <v>4686</v>
      </c>
      <c r="C3776">
        <v>7616</v>
      </c>
      <c r="D3776">
        <v>7940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 t="s">
        <v>20</v>
      </c>
      <c r="L3776" s="1">
        <v>45573</v>
      </c>
      <c r="M3776">
        <v>511</v>
      </c>
      <c r="N3776">
        <v>169</v>
      </c>
      <c r="O3776">
        <v>234</v>
      </c>
      <c r="P3776">
        <v>234</v>
      </c>
      <c r="Q3776">
        <v>234</v>
      </c>
      <c r="S3776">
        <v>1038</v>
      </c>
      <c r="T3776">
        <v>1038</v>
      </c>
      <c r="U3776">
        <f>+SUM(Table1[[#This Row],[Latinos]:[Cemex]])</f>
        <v>1</v>
      </c>
      <c r="V3776" t="str">
        <f>+Table1[[#This Row],[id_destino]]&amp;" - "&amp;Table1[[#This Row],[id_origen]]</f>
        <v>511 - 169</v>
      </c>
    </row>
    <row r="3777" spans="1:22" hidden="1">
      <c r="A3777">
        <v>3335</v>
      </c>
      <c r="B3777">
        <v>3915</v>
      </c>
      <c r="C3777">
        <v>12</v>
      </c>
      <c r="D3777">
        <v>7058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 t="s">
        <v>20</v>
      </c>
      <c r="L3777" s="1">
        <v>44835</v>
      </c>
      <c r="M3777">
        <v>581</v>
      </c>
      <c r="N3777">
        <v>169</v>
      </c>
      <c r="O3777">
        <v>1947</v>
      </c>
      <c r="P3777">
        <v>1956</v>
      </c>
      <c r="Q3777">
        <v>1947</v>
      </c>
      <c r="S3777">
        <v>2848</v>
      </c>
      <c r="T3777">
        <v>2848</v>
      </c>
      <c r="U3777">
        <f>+SUM(Table1[[#This Row],[Latinos]:[Cemex]])</f>
        <v>1</v>
      </c>
      <c r="V3777" t="str">
        <f>+Table1[[#This Row],[id_destino]]&amp;" - "&amp;Table1[[#This Row],[id_origen]]</f>
        <v>581 - 169</v>
      </c>
    </row>
    <row r="3778" spans="1:22" hidden="1">
      <c r="A3778">
        <v>4444</v>
      </c>
      <c r="B3778">
        <v>4663</v>
      </c>
      <c r="C3778">
        <v>6927</v>
      </c>
      <c r="D3778">
        <v>7011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  <c r="K3778" t="s">
        <v>20</v>
      </c>
      <c r="L3778" s="1">
        <v>45544</v>
      </c>
      <c r="M3778">
        <v>591</v>
      </c>
      <c r="N3778">
        <v>169</v>
      </c>
      <c r="O3778">
        <v>339</v>
      </c>
      <c r="P3778">
        <v>333</v>
      </c>
      <c r="Q3778">
        <v>339</v>
      </c>
      <c r="S3778">
        <v>1284</v>
      </c>
      <c r="T3778">
        <v>1284</v>
      </c>
      <c r="U3778">
        <f>+SUM(Table1[[#This Row],[Latinos]:[Cemex]])</f>
        <v>1</v>
      </c>
      <c r="V3778" t="str">
        <f>+Table1[[#This Row],[id_destino]]&amp;" - "&amp;Table1[[#This Row],[id_origen]]</f>
        <v>591 - 169</v>
      </c>
    </row>
    <row r="3779" spans="1:22" hidden="1">
      <c r="A3779">
        <v>4655</v>
      </c>
      <c r="B3779">
        <v>3017</v>
      </c>
      <c r="C3779">
        <v>7616</v>
      </c>
      <c r="D3779">
        <v>8131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 t="s">
        <v>20</v>
      </c>
      <c r="L3779" s="1">
        <v>45707</v>
      </c>
      <c r="M3779">
        <v>623</v>
      </c>
      <c r="N3779">
        <v>169</v>
      </c>
      <c r="O3779">
        <v>154</v>
      </c>
      <c r="P3779">
        <v>154</v>
      </c>
      <c r="Q3779">
        <v>154</v>
      </c>
      <c r="S3779">
        <v>582</v>
      </c>
      <c r="T3779">
        <v>582</v>
      </c>
      <c r="U3779">
        <f>+SUM(Table1[[#This Row],[Latinos]:[Cemex]])</f>
        <v>1</v>
      </c>
      <c r="V3779" t="str">
        <f>+Table1[[#This Row],[id_destino]]&amp;" - "&amp;Table1[[#This Row],[id_origen]]</f>
        <v>623 - 169</v>
      </c>
    </row>
    <row r="3780" spans="1:22" hidden="1">
      <c r="A3780">
        <v>896</v>
      </c>
      <c r="B3780">
        <v>2500</v>
      </c>
      <c r="C3780">
        <v>12</v>
      </c>
      <c r="D3780">
        <v>72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 t="s">
        <v>20</v>
      </c>
      <c r="L3780" s="1">
        <v>43207</v>
      </c>
      <c r="M3780">
        <v>669</v>
      </c>
      <c r="N3780">
        <v>169</v>
      </c>
      <c r="O3780">
        <v>210</v>
      </c>
      <c r="P3780">
        <v>210</v>
      </c>
      <c r="Q3780">
        <v>210</v>
      </c>
      <c r="S3780">
        <v>260</v>
      </c>
      <c r="T3780">
        <v>260</v>
      </c>
      <c r="U3780">
        <f>+SUM(Table1[[#This Row],[Latinos]:[Cemex]])</f>
        <v>1</v>
      </c>
      <c r="V3780" t="str">
        <f>+Table1[[#This Row],[id_destino]]&amp;" - "&amp;Table1[[#This Row],[id_origen]]</f>
        <v>669 - 169</v>
      </c>
    </row>
    <row r="3781" spans="1:22" hidden="1">
      <c r="A3781">
        <v>926</v>
      </c>
      <c r="B3781">
        <v>2514</v>
      </c>
      <c r="C3781">
        <v>382</v>
      </c>
      <c r="D3781">
        <v>5542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 t="s">
        <v>20</v>
      </c>
      <c r="L3781" s="1">
        <v>43216</v>
      </c>
      <c r="M3781">
        <v>746</v>
      </c>
      <c r="N3781">
        <v>169</v>
      </c>
      <c r="O3781">
        <v>723</v>
      </c>
      <c r="P3781">
        <v>723</v>
      </c>
      <c r="Q3781">
        <v>723</v>
      </c>
      <c r="S3781">
        <v>583</v>
      </c>
      <c r="T3781">
        <v>583</v>
      </c>
      <c r="U3781">
        <f>+SUM(Table1[[#This Row],[Latinos]:[Cemex]])</f>
        <v>1</v>
      </c>
      <c r="V3781" t="str">
        <f>+Table1[[#This Row],[id_destino]]&amp;" - "&amp;Table1[[#This Row],[id_origen]]</f>
        <v>746 - 169</v>
      </c>
    </row>
    <row r="3782" spans="1:22" hidden="1">
      <c r="A3782">
        <v>2099</v>
      </c>
      <c r="B3782">
        <v>3130</v>
      </c>
      <c r="C3782">
        <v>6183</v>
      </c>
      <c r="D3782">
        <v>6184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 t="s">
        <v>20</v>
      </c>
      <c r="L3782" s="1">
        <v>43808</v>
      </c>
      <c r="M3782">
        <v>797</v>
      </c>
      <c r="N3782">
        <v>169</v>
      </c>
      <c r="O3782">
        <v>1283</v>
      </c>
      <c r="P3782">
        <v>1291</v>
      </c>
      <c r="Q3782">
        <v>1283</v>
      </c>
      <c r="S3782">
        <v>2834</v>
      </c>
      <c r="T3782">
        <v>2834</v>
      </c>
      <c r="U3782">
        <f>+SUM(Table1[[#This Row],[Latinos]:[Cemex]])</f>
        <v>1</v>
      </c>
      <c r="V3782" t="str">
        <f>+Table1[[#This Row],[id_destino]]&amp;" - "&amp;Table1[[#This Row],[id_origen]]</f>
        <v>797 - 169</v>
      </c>
    </row>
    <row r="3783" spans="1:22" hidden="1">
      <c r="A3783">
        <v>3330</v>
      </c>
      <c r="B3783">
        <v>3911</v>
      </c>
      <c r="C3783">
        <v>6183</v>
      </c>
      <c r="D3783">
        <v>7055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 t="s">
        <v>20</v>
      </c>
      <c r="L3783" s="1">
        <v>44832</v>
      </c>
      <c r="M3783">
        <v>832</v>
      </c>
      <c r="N3783">
        <v>169</v>
      </c>
      <c r="O3783">
        <v>381</v>
      </c>
      <c r="P3783">
        <v>383</v>
      </c>
      <c r="Q3783">
        <v>381</v>
      </c>
      <c r="S3783">
        <v>1032</v>
      </c>
      <c r="T3783">
        <v>1032</v>
      </c>
      <c r="U3783">
        <f>+SUM(Table1[[#This Row],[Latinos]:[Cemex]])</f>
        <v>1</v>
      </c>
      <c r="V3783" t="str">
        <f>+Table1[[#This Row],[id_destino]]&amp;" - "&amp;Table1[[#This Row],[id_origen]]</f>
        <v>832 - 169</v>
      </c>
    </row>
    <row r="3784" spans="1:22" hidden="1">
      <c r="A3784">
        <v>3993</v>
      </c>
      <c r="B3784">
        <v>4341</v>
      </c>
      <c r="C3784">
        <v>7521</v>
      </c>
      <c r="D3784">
        <v>7522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 t="s">
        <v>20</v>
      </c>
      <c r="L3784" s="1">
        <v>45226</v>
      </c>
      <c r="M3784">
        <v>882</v>
      </c>
      <c r="N3784">
        <v>169</v>
      </c>
      <c r="O3784">
        <v>221</v>
      </c>
      <c r="P3784">
        <v>221</v>
      </c>
      <c r="Q3784">
        <v>221</v>
      </c>
      <c r="S3784">
        <v>372</v>
      </c>
      <c r="T3784">
        <v>372</v>
      </c>
      <c r="U3784">
        <f>+SUM(Table1[[#This Row],[Latinos]:[Cemex]])</f>
        <v>1</v>
      </c>
      <c r="V3784" t="str">
        <f>+Table1[[#This Row],[id_destino]]&amp;" - "&amp;Table1[[#This Row],[id_origen]]</f>
        <v>882 - 169</v>
      </c>
    </row>
    <row r="3785" spans="1:22" hidden="1">
      <c r="A3785">
        <v>4167</v>
      </c>
      <c r="B3785">
        <v>4463</v>
      </c>
      <c r="C3785">
        <v>6386</v>
      </c>
      <c r="D3785">
        <v>7665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 t="s">
        <v>20</v>
      </c>
      <c r="L3785" s="1">
        <v>45334</v>
      </c>
      <c r="M3785">
        <v>898</v>
      </c>
      <c r="N3785">
        <v>169</v>
      </c>
      <c r="O3785">
        <v>374</v>
      </c>
      <c r="P3785">
        <v>387</v>
      </c>
      <c r="Q3785">
        <v>374</v>
      </c>
      <c r="S3785">
        <v>763</v>
      </c>
      <c r="T3785">
        <v>780</v>
      </c>
      <c r="U3785">
        <f>+SUM(Table1[[#This Row],[Latinos]:[Cemex]])</f>
        <v>1</v>
      </c>
      <c r="V3785" t="str">
        <f>+Table1[[#This Row],[id_destino]]&amp;" - "&amp;Table1[[#This Row],[id_origen]]</f>
        <v>898 - 169</v>
      </c>
    </row>
    <row r="3786" spans="1:22" hidden="1">
      <c r="A3786">
        <v>4745</v>
      </c>
      <c r="B3786">
        <v>4882</v>
      </c>
      <c r="C3786">
        <v>7616</v>
      </c>
      <c r="D3786">
        <v>7811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 t="s">
        <v>20</v>
      </c>
      <c r="L3786" s="1">
        <v>45780</v>
      </c>
      <c r="M3786">
        <v>904</v>
      </c>
      <c r="N3786">
        <v>169</v>
      </c>
      <c r="O3786">
        <v>289</v>
      </c>
      <c r="P3786">
        <v>289</v>
      </c>
      <c r="Q3786">
        <v>289</v>
      </c>
      <c r="S3786">
        <v>646</v>
      </c>
      <c r="T3786">
        <v>646</v>
      </c>
      <c r="U3786">
        <f>+SUM(Table1[[#This Row],[Latinos]:[Cemex]])</f>
        <v>1</v>
      </c>
      <c r="V3786" t="str">
        <f>+Table1[[#This Row],[id_destino]]&amp;" - "&amp;Table1[[#This Row],[id_origen]]</f>
        <v>904 - 169</v>
      </c>
    </row>
    <row r="3787" spans="1:22" hidden="1">
      <c r="A3787">
        <v>3038</v>
      </c>
      <c r="B3787">
        <v>3737</v>
      </c>
      <c r="C3787">
        <v>6899</v>
      </c>
      <c r="D3787">
        <v>6892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 t="s">
        <v>20</v>
      </c>
      <c r="L3787" s="1">
        <v>44702</v>
      </c>
      <c r="M3787">
        <v>12</v>
      </c>
      <c r="N3787">
        <v>173</v>
      </c>
      <c r="O3787">
        <v>253</v>
      </c>
      <c r="P3787">
        <v>273</v>
      </c>
      <c r="Q3787">
        <v>253</v>
      </c>
      <c r="S3787">
        <v>818</v>
      </c>
      <c r="T3787">
        <v>818</v>
      </c>
      <c r="U3787">
        <f>+SUM(Table1[[#This Row],[Latinos]:[Cemex]])</f>
        <v>1</v>
      </c>
      <c r="V3787" t="str">
        <f>+Table1[[#This Row],[id_destino]]&amp;" - "&amp;Table1[[#This Row],[id_origen]]</f>
        <v>12 - 173</v>
      </c>
    </row>
    <row r="3788" spans="1:22" hidden="1">
      <c r="A3788">
        <v>2289</v>
      </c>
      <c r="B3788">
        <v>3251</v>
      </c>
      <c r="C3788">
        <v>6295</v>
      </c>
      <c r="D3788">
        <v>6314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0</v>
      </c>
      <c r="K3788" t="s">
        <v>20</v>
      </c>
      <c r="L3788" s="1">
        <v>43907</v>
      </c>
      <c r="M3788">
        <v>27</v>
      </c>
      <c r="N3788">
        <v>173</v>
      </c>
      <c r="O3788">
        <v>370</v>
      </c>
      <c r="P3788">
        <v>267</v>
      </c>
      <c r="Q3788">
        <v>370</v>
      </c>
      <c r="S3788">
        <v>157</v>
      </c>
      <c r="T3788">
        <v>157</v>
      </c>
      <c r="U3788">
        <f>+SUM(Table1[[#This Row],[Latinos]:[Cemex]])</f>
        <v>1</v>
      </c>
      <c r="V3788" t="str">
        <f>+Table1[[#This Row],[id_destino]]&amp;" - "&amp;Table1[[#This Row],[id_origen]]</f>
        <v>27 - 173</v>
      </c>
    </row>
    <row r="3789" spans="1:22" hidden="1">
      <c r="A3789">
        <v>4642</v>
      </c>
      <c r="B3789">
        <v>4815</v>
      </c>
      <c r="C3789">
        <v>7818</v>
      </c>
      <c r="D3789">
        <v>8111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0</v>
      </c>
      <c r="K3789" t="s">
        <v>20</v>
      </c>
      <c r="L3789" s="1">
        <v>45703</v>
      </c>
      <c r="M3789">
        <v>218</v>
      </c>
      <c r="N3789">
        <v>173</v>
      </c>
      <c r="O3789">
        <v>191</v>
      </c>
      <c r="P3789">
        <v>162</v>
      </c>
      <c r="Q3789">
        <v>191</v>
      </c>
      <c r="S3789">
        <v>697</v>
      </c>
      <c r="T3789">
        <v>697</v>
      </c>
      <c r="U3789">
        <f>+SUM(Table1[[#This Row],[Latinos]:[Cemex]])</f>
        <v>1</v>
      </c>
      <c r="V3789" t="str">
        <f>+Table1[[#This Row],[id_destino]]&amp;" - "&amp;Table1[[#This Row],[id_origen]]</f>
        <v>218 - 173</v>
      </c>
    </row>
    <row r="3790" spans="1:22" hidden="1">
      <c r="A3790">
        <v>2624</v>
      </c>
      <c r="B3790">
        <v>3459</v>
      </c>
      <c r="C3790">
        <v>6531</v>
      </c>
      <c r="D3790">
        <v>6055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 t="s">
        <v>20</v>
      </c>
      <c r="L3790" s="1">
        <v>44251</v>
      </c>
      <c r="M3790">
        <v>23</v>
      </c>
      <c r="N3790">
        <v>178</v>
      </c>
      <c r="O3790">
        <v>1300</v>
      </c>
      <c r="P3790">
        <v>1300</v>
      </c>
      <c r="Q3790">
        <v>1300</v>
      </c>
      <c r="S3790">
        <v>0</v>
      </c>
      <c r="T3790">
        <v>0</v>
      </c>
      <c r="U3790">
        <f>+SUM(Table1[[#This Row],[Latinos]:[Cemex]])</f>
        <v>1</v>
      </c>
      <c r="V3790" t="str">
        <f>+Table1[[#This Row],[id_destino]]&amp;" - "&amp;Table1[[#This Row],[id_origen]]</f>
        <v>23 - 178</v>
      </c>
    </row>
    <row r="3791" spans="1:22" hidden="1">
      <c r="A3791">
        <v>4594</v>
      </c>
      <c r="B3791">
        <v>2907</v>
      </c>
      <c r="C3791">
        <v>8070</v>
      </c>
      <c r="D3791">
        <v>7209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 t="s">
        <v>20</v>
      </c>
      <c r="L3791" s="1">
        <v>45653</v>
      </c>
      <c r="M3791">
        <v>11</v>
      </c>
      <c r="N3791">
        <v>179</v>
      </c>
      <c r="O3791">
        <v>1757</v>
      </c>
      <c r="P3791">
        <v>1757</v>
      </c>
      <c r="Q3791">
        <v>1757</v>
      </c>
      <c r="S3791">
        <v>6004</v>
      </c>
      <c r="T3791">
        <v>6004</v>
      </c>
      <c r="U3791">
        <f>+SUM(Table1[[#This Row],[Latinos]:[Cemex]])</f>
        <v>1</v>
      </c>
      <c r="V3791" t="str">
        <f>+Table1[[#This Row],[id_destino]]&amp;" - "&amp;Table1[[#This Row],[id_origen]]</f>
        <v>11 - 179</v>
      </c>
    </row>
    <row r="3792" spans="1:22" hidden="1">
      <c r="A3792">
        <v>2571</v>
      </c>
      <c r="B3792">
        <v>3422</v>
      </c>
      <c r="C3792">
        <v>6491</v>
      </c>
      <c r="D3792">
        <v>3348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 t="s">
        <v>20</v>
      </c>
      <c r="L3792" s="1">
        <v>44184</v>
      </c>
      <c r="M3792">
        <v>16</v>
      </c>
      <c r="N3792">
        <v>179</v>
      </c>
      <c r="O3792">
        <v>890</v>
      </c>
      <c r="P3792">
        <v>890</v>
      </c>
      <c r="Q3792">
        <v>890</v>
      </c>
      <c r="S3792">
        <v>0</v>
      </c>
      <c r="T3792">
        <v>0</v>
      </c>
      <c r="U3792">
        <f>+SUM(Table1[[#This Row],[Latinos]:[Cemex]])</f>
        <v>1</v>
      </c>
      <c r="V3792" t="str">
        <f>+Table1[[#This Row],[id_destino]]&amp;" - "&amp;Table1[[#This Row],[id_origen]]</f>
        <v>16 - 179</v>
      </c>
    </row>
    <row r="3793" spans="1:22" hidden="1">
      <c r="A3793">
        <v>970</v>
      </c>
      <c r="B3793">
        <v>2527</v>
      </c>
      <c r="C3793">
        <v>5565</v>
      </c>
      <c r="D3793">
        <v>5566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 t="s">
        <v>20</v>
      </c>
      <c r="L3793" s="1">
        <v>43234</v>
      </c>
      <c r="M3793">
        <v>24</v>
      </c>
      <c r="N3793">
        <v>179</v>
      </c>
      <c r="O3793">
        <v>1641</v>
      </c>
      <c r="P3793">
        <v>1641</v>
      </c>
      <c r="Q3793">
        <v>1641</v>
      </c>
      <c r="S3793">
        <v>3138</v>
      </c>
      <c r="T3793">
        <v>3289</v>
      </c>
      <c r="U3793">
        <f>+SUM(Table1[[#This Row],[Latinos]:[Cemex]])</f>
        <v>1</v>
      </c>
      <c r="V3793" t="str">
        <f>+Table1[[#This Row],[id_destino]]&amp;" - "&amp;Table1[[#This Row],[id_origen]]</f>
        <v>24 - 179</v>
      </c>
    </row>
    <row r="3794" spans="1:22" hidden="1">
      <c r="A3794">
        <v>3090</v>
      </c>
      <c r="B3794">
        <v>3768</v>
      </c>
      <c r="C3794">
        <v>372</v>
      </c>
      <c r="D3794">
        <v>403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 t="s">
        <v>20</v>
      </c>
      <c r="L3794" s="1">
        <v>44721</v>
      </c>
      <c r="M3794">
        <v>27</v>
      </c>
      <c r="N3794">
        <v>179</v>
      </c>
      <c r="O3794">
        <v>1312</v>
      </c>
      <c r="P3794">
        <v>1312</v>
      </c>
      <c r="Q3794">
        <v>1312</v>
      </c>
      <c r="S3794">
        <v>0</v>
      </c>
      <c r="T3794">
        <v>0</v>
      </c>
      <c r="U3794">
        <f>+SUM(Table1[[#This Row],[Latinos]:[Cemex]])</f>
        <v>1</v>
      </c>
      <c r="V3794" t="str">
        <f>+Table1[[#This Row],[id_destino]]&amp;" - "&amp;Table1[[#This Row],[id_origen]]</f>
        <v>27 - 179</v>
      </c>
    </row>
    <row r="3795" spans="1:22" hidden="1">
      <c r="A3795">
        <v>431</v>
      </c>
      <c r="B3795">
        <v>1011</v>
      </c>
      <c r="C3795">
        <v>372</v>
      </c>
      <c r="D3795">
        <v>387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 t="s">
        <v>20</v>
      </c>
      <c r="L3795" s="1">
        <v>44061</v>
      </c>
      <c r="M3795">
        <v>30</v>
      </c>
      <c r="N3795">
        <v>179</v>
      </c>
      <c r="O3795">
        <v>885</v>
      </c>
      <c r="P3795">
        <v>885</v>
      </c>
      <c r="Q3795">
        <v>885</v>
      </c>
      <c r="S3795">
        <v>1154</v>
      </c>
      <c r="T3795">
        <v>1240</v>
      </c>
      <c r="U3795">
        <f>+SUM(Table1[[#This Row],[Latinos]:[Cemex]])</f>
        <v>1</v>
      </c>
      <c r="V3795" t="str">
        <f>+Table1[[#This Row],[id_destino]]&amp;" - "&amp;Table1[[#This Row],[id_origen]]</f>
        <v>30 - 179</v>
      </c>
    </row>
    <row r="3796" spans="1:22" hidden="1">
      <c r="A3796">
        <v>2512</v>
      </c>
      <c r="B3796">
        <v>1023</v>
      </c>
      <c r="C3796">
        <v>24</v>
      </c>
      <c r="D3796">
        <v>6370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 t="s">
        <v>20</v>
      </c>
      <c r="L3796" s="1">
        <v>44144</v>
      </c>
      <c r="M3796">
        <v>33</v>
      </c>
      <c r="N3796">
        <v>179</v>
      </c>
      <c r="O3796">
        <v>1363</v>
      </c>
      <c r="P3796">
        <v>1358</v>
      </c>
      <c r="Q3796">
        <v>1363</v>
      </c>
      <c r="S3796">
        <v>3607</v>
      </c>
      <c r="T3796">
        <v>3999</v>
      </c>
      <c r="U3796">
        <f>+SUM(Table1[[#This Row],[Latinos]:[Cemex]])</f>
        <v>1</v>
      </c>
      <c r="V3796" t="str">
        <f>+Table1[[#This Row],[id_destino]]&amp;" - "&amp;Table1[[#This Row],[id_origen]]</f>
        <v>33 - 179</v>
      </c>
    </row>
    <row r="3797" spans="1:22" hidden="1">
      <c r="A3797">
        <v>2834</v>
      </c>
      <c r="B3797">
        <v>2728</v>
      </c>
      <c r="C3797">
        <v>24</v>
      </c>
      <c r="D3797">
        <v>6712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 t="s">
        <v>20</v>
      </c>
      <c r="L3797" s="1">
        <v>44502</v>
      </c>
      <c r="M3797">
        <v>118</v>
      </c>
      <c r="N3797">
        <v>179</v>
      </c>
      <c r="O3797">
        <v>959</v>
      </c>
      <c r="P3797">
        <v>959</v>
      </c>
      <c r="Q3797">
        <v>959</v>
      </c>
      <c r="S3797">
        <v>1047</v>
      </c>
      <c r="T3797">
        <v>1103</v>
      </c>
      <c r="U3797">
        <f>+SUM(Table1[[#This Row],[Latinos]:[Cemex]])</f>
        <v>1</v>
      </c>
      <c r="V3797" t="str">
        <f>+Table1[[#This Row],[id_destino]]&amp;" - "&amp;Table1[[#This Row],[id_origen]]</f>
        <v>118 - 179</v>
      </c>
    </row>
    <row r="3798" spans="1:22" hidden="1">
      <c r="A3798">
        <v>4373</v>
      </c>
      <c r="B3798">
        <v>973</v>
      </c>
      <c r="C3798">
        <v>5491</v>
      </c>
      <c r="D3798">
        <v>3255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 t="s">
        <v>20</v>
      </c>
      <c r="L3798" s="1">
        <v>45498</v>
      </c>
      <c r="M3798">
        <v>159</v>
      </c>
      <c r="N3798">
        <v>179</v>
      </c>
      <c r="O3798">
        <v>317</v>
      </c>
      <c r="P3798">
        <v>319</v>
      </c>
      <c r="Q3798">
        <v>317</v>
      </c>
      <c r="S3798">
        <v>499</v>
      </c>
      <c r="T3798">
        <v>499</v>
      </c>
      <c r="U3798">
        <f>+SUM(Table1[[#This Row],[Latinos]:[Cemex]])</f>
        <v>1</v>
      </c>
      <c r="V3798" t="str">
        <f>+Table1[[#This Row],[id_destino]]&amp;" - "&amp;Table1[[#This Row],[id_origen]]</f>
        <v>159 - 179</v>
      </c>
    </row>
    <row r="3799" spans="1:22" hidden="1">
      <c r="A3799">
        <v>4693</v>
      </c>
      <c r="B3799">
        <v>4850</v>
      </c>
      <c r="C3799">
        <v>24</v>
      </c>
      <c r="D3799">
        <v>8094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 t="s">
        <v>20</v>
      </c>
      <c r="L3799" s="1">
        <v>45734</v>
      </c>
      <c r="M3799">
        <v>179</v>
      </c>
      <c r="N3799">
        <v>179</v>
      </c>
      <c r="O3799">
        <v>17</v>
      </c>
      <c r="P3799">
        <v>150</v>
      </c>
      <c r="Q3799">
        <v>17</v>
      </c>
      <c r="S3799">
        <v>0</v>
      </c>
      <c r="T3799">
        <v>0</v>
      </c>
      <c r="U3799">
        <f>+SUM(Table1[[#This Row],[Latinos]:[Cemex]])</f>
        <v>1</v>
      </c>
      <c r="V3799" t="str">
        <f>+Table1[[#This Row],[id_destino]]&amp;" - "&amp;Table1[[#This Row],[id_origen]]</f>
        <v>179 - 179</v>
      </c>
    </row>
    <row r="3800" spans="1:22" hidden="1">
      <c r="A3800">
        <v>1209</v>
      </c>
      <c r="B3800">
        <v>2636</v>
      </c>
      <c r="C3800">
        <v>5491</v>
      </c>
      <c r="D3800">
        <v>3169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 t="s">
        <v>20</v>
      </c>
      <c r="L3800" s="1">
        <v>43342</v>
      </c>
      <c r="M3800">
        <v>189</v>
      </c>
      <c r="N3800">
        <v>179</v>
      </c>
      <c r="O3800">
        <v>838</v>
      </c>
      <c r="P3800">
        <v>838</v>
      </c>
      <c r="Q3800">
        <v>838</v>
      </c>
      <c r="S3800">
        <v>0</v>
      </c>
      <c r="T3800">
        <v>0</v>
      </c>
      <c r="U3800">
        <f>+SUM(Table1[[#This Row],[Latinos]:[Cemex]])</f>
        <v>1</v>
      </c>
      <c r="V3800" t="str">
        <f>+Table1[[#This Row],[id_destino]]&amp;" - "&amp;Table1[[#This Row],[id_origen]]</f>
        <v>189 - 179</v>
      </c>
    </row>
    <row r="3801" spans="1:22" hidden="1">
      <c r="A3801">
        <v>2670</v>
      </c>
      <c r="B3801">
        <v>974</v>
      </c>
      <c r="C3801">
        <v>5491</v>
      </c>
      <c r="D3801">
        <v>33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  <c r="K3801" t="s">
        <v>20</v>
      </c>
      <c r="L3801" s="1">
        <v>44330</v>
      </c>
      <c r="M3801">
        <v>260</v>
      </c>
      <c r="N3801">
        <v>179</v>
      </c>
      <c r="O3801">
        <v>483</v>
      </c>
      <c r="P3801">
        <v>482</v>
      </c>
      <c r="Q3801">
        <v>482</v>
      </c>
      <c r="S3801">
        <v>657</v>
      </c>
      <c r="T3801">
        <v>669</v>
      </c>
      <c r="U3801">
        <f>+SUM(Table1[[#This Row],[Latinos]:[Cemex]])</f>
        <v>1</v>
      </c>
      <c r="V3801" t="str">
        <f>+Table1[[#This Row],[id_destino]]&amp;" - "&amp;Table1[[#This Row],[id_origen]]</f>
        <v>260 - 179</v>
      </c>
    </row>
    <row r="3802" spans="1:22" hidden="1">
      <c r="A3802">
        <v>2040</v>
      </c>
      <c r="B3802">
        <v>3096</v>
      </c>
      <c r="C3802">
        <v>24</v>
      </c>
      <c r="D3802">
        <v>6144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 t="s">
        <v>20</v>
      </c>
      <c r="L3802" s="1">
        <v>43777</v>
      </c>
      <c r="M3802">
        <v>290</v>
      </c>
      <c r="N3802">
        <v>179</v>
      </c>
      <c r="O3802">
        <v>1852</v>
      </c>
      <c r="P3802">
        <v>1852</v>
      </c>
      <c r="Q3802">
        <v>1852</v>
      </c>
      <c r="S3802">
        <v>4309</v>
      </c>
      <c r="T3802">
        <v>4395</v>
      </c>
      <c r="U3802">
        <f>+SUM(Table1[[#This Row],[Latinos]:[Cemex]])</f>
        <v>1</v>
      </c>
      <c r="V3802" t="str">
        <f>+Table1[[#This Row],[id_destino]]&amp;" - "&amp;Table1[[#This Row],[id_origen]]</f>
        <v>290 - 179</v>
      </c>
    </row>
    <row r="3803" spans="1:22" hidden="1">
      <c r="A3803">
        <v>3485</v>
      </c>
      <c r="B3803">
        <v>4019</v>
      </c>
      <c r="C3803">
        <v>24</v>
      </c>
      <c r="D3803">
        <v>7156</v>
      </c>
      <c r="E3803">
        <v>0</v>
      </c>
      <c r="F3803">
        <v>1</v>
      </c>
      <c r="G3803">
        <v>0</v>
      </c>
      <c r="H3803">
        <v>0</v>
      </c>
      <c r="I3803">
        <v>0</v>
      </c>
      <c r="J3803">
        <v>0</v>
      </c>
      <c r="K3803" t="s">
        <v>20</v>
      </c>
      <c r="L3803" s="1">
        <v>44921</v>
      </c>
      <c r="M3803">
        <v>316</v>
      </c>
      <c r="N3803">
        <v>179</v>
      </c>
      <c r="O3803">
        <v>1383</v>
      </c>
      <c r="P3803">
        <v>1375</v>
      </c>
      <c r="Q3803">
        <v>1383</v>
      </c>
      <c r="S3803">
        <v>2789</v>
      </c>
      <c r="T3803">
        <v>2875</v>
      </c>
      <c r="U3803">
        <f>+SUM(Table1[[#This Row],[Latinos]:[Cemex]])</f>
        <v>1</v>
      </c>
      <c r="V3803" t="str">
        <f>+Table1[[#This Row],[id_destino]]&amp;" - "&amp;Table1[[#This Row],[id_origen]]</f>
        <v>316 - 179</v>
      </c>
    </row>
    <row r="3804" spans="1:22" hidden="1">
      <c r="A3804">
        <v>2726</v>
      </c>
      <c r="B3804">
        <v>3527</v>
      </c>
      <c r="C3804">
        <v>6604</v>
      </c>
      <c r="D3804">
        <v>6618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 t="s">
        <v>20</v>
      </c>
      <c r="L3804" s="1">
        <v>44386</v>
      </c>
      <c r="M3804">
        <v>343</v>
      </c>
      <c r="N3804">
        <v>179</v>
      </c>
      <c r="O3804">
        <v>1739</v>
      </c>
      <c r="P3804">
        <v>1739</v>
      </c>
      <c r="Q3804">
        <v>1739</v>
      </c>
      <c r="S3804">
        <v>1892</v>
      </c>
      <c r="T3804">
        <v>2256</v>
      </c>
      <c r="U3804">
        <f>+SUM(Table1[[#This Row],[Latinos]:[Cemex]])</f>
        <v>1</v>
      </c>
      <c r="V3804" t="str">
        <f>+Table1[[#This Row],[id_destino]]&amp;" - "&amp;Table1[[#This Row],[id_origen]]</f>
        <v>343 - 179</v>
      </c>
    </row>
    <row r="3805" spans="1:22" hidden="1">
      <c r="A3805">
        <v>274</v>
      </c>
      <c r="B3805">
        <v>2255</v>
      </c>
      <c r="C3805">
        <v>5311</v>
      </c>
      <c r="D3805">
        <v>5316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 t="s">
        <v>20</v>
      </c>
      <c r="L3805" s="1">
        <v>43028</v>
      </c>
      <c r="M3805">
        <v>591</v>
      </c>
      <c r="N3805">
        <v>179</v>
      </c>
      <c r="O3805">
        <v>1848</v>
      </c>
      <c r="P3805">
        <v>1848</v>
      </c>
      <c r="Q3805">
        <v>1848</v>
      </c>
      <c r="S3805">
        <v>3874</v>
      </c>
      <c r="T3805">
        <v>3960</v>
      </c>
      <c r="U3805">
        <f>+SUM(Table1[[#This Row],[Latinos]:[Cemex]])</f>
        <v>1</v>
      </c>
      <c r="V3805" t="str">
        <f>+Table1[[#This Row],[id_destino]]&amp;" - "&amp;Table1[[#This Row],[id_origen]]</f>
        <v>591 - 179</v>
      </c>
    </row>
    <row r="3806" spans="1:22" hidden="1">
      <c r="A3806">
        <v>1117</v>
      </c>
      <c r="B3806">
        <v>2592</v>
      </c>
      <c r="C3806">
        <v>405</v>
      </c>
      <c r="D3806">
        <v>353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 t="s">
        <v>58</v>
      </c>
      <c r="L3806" s="1">
        <v>43300</v>
      </c>
      <c r="M3806">
        <v>7</v>
      </c>
      <c r="N3806">
        <v>180</v>
      </c>
      <c r="O3806">
        <v>2797</v>
      </c>
      <c r="P3806">
        <v>2797</v>
      </c>
      <c r="Q3806">
        <v>2797</v>
      </c>
      <c r="S3806">
        <v>3007</v>
      </c>
      <c r="T3806">
        <v>3007</v>
      </c>
      <c r="U3806">
        <f>+SUM(Table1[[#This Row],[Latinos]:[Cemex]])</f>
        <v>1</v>
      </c>
      <c r="V3806" t="str">
        <f>+Table1[[#This Row],[id_destino]]&amp;" - "&amp;Table1[[#This Row],[id_origen]]</f>
        <v>7 - 180</v>
      </c>
    </row>
    <row r="3807" spans="1:22" hidden="1">
      <c r="A3807">
        <v>3329</v>
      </c>
      <c r="B3807">
        <v>3910</v>
      </c>
      <c r="C3807">
        <v>405</v>
      </c>
      <c r="D3807">
        <v>7027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 t="s">
        <v>20</v>
      </c>
      <c r="L3807" s="1">
        <v>44832</v>
      </c>
      <c r="M3807">
        <v>13</v>
      </c>
      <c r="N3807">
        <v>180</v>
      </c>
      <c r="O3807">
        <v>943</v>
      </c>
      <c r="P3807">
        <v>978</v>
      </c>
      <c r="Q3807">
        <v>943</v>
      </c>
      <c r="S3807">
        <v>1082</v>
      </c>
      <c r="T3807">
        <v>1082</v>
      </c>
      <c r="U3807">
        <f>+SUM(Table1[[#This Row],[Latinos]:[Cemex]])</f>
        <v>1</v>
      </c>
      <c r="V3807" t="str">
        <f>+Table1[[#This Row],[id_destino]]&amp;" - "&amp;Table1[[#This Row],[id_origen]]</f>
        <v>13 - 180</v>
      </c>
    </row>
    <row r="3808" spans="1:22" hidden="1">
      <c r="A3808">
        <v>2777</v>
      </c>
      <c r="B3808">
        <v>3559</v>
      </c>
      <c r="C3808">
        <v>405</v>
      </c>
      <c r="D3808">
        <v>403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 t="s">
        <v>20</v>
      </c>
      <c r="L3808" s="1">
        <v>44436</v>
      </c>
      <c r="M3808">
        <v>27</v>
      </c>
      <c r="N3808">
        <v>180</v>
      </c>
      <c r="O3808">
        <v>1396</v>
      </c>
      <c r="P3808">
        <v>1396</v>
      </c>
      <c r="Q3808">
        <v>1396</v>
      </c>
      <c r="S3808">
        <v>0</v>
      </c>
      <c r="T3808">
        <v>0</v>
      </c>
      <c r="U3808">
        <f>+SUM(Table1[[#This Row],[Latinos]:[Cemex]])</f>
        <v>1</v>
      </c>
      <c r="V3808" t="str">
        <f>+Table1[[#This Row],[id_destino]]&amp;" - "&amp;Table1[[#This Row],[id_origen]]</f>
        <v>27 - 180</v>
      </c>
    </row>
    <row r="3809" spans="1:22" hidden="1">
      <c r="A3809">
        <v>3096</v>
      </c>
      <c r="B3809">
        <v>3772</v>
      </c>
      <c r="C3809">
        <v>405</v>
      </c>
      <c r="D3809">
        <v>6919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 t="s">
        <v>20</v>
      </c>
      <c r="L3809" s="1">
        <v>44725</v>
      </c>
      <c r="M3809">
        <v>33</v>
      </c>
      <c r="N3809">
        <v>180</v>
      </c>
      <c r="O3809">
        <v>579</v>
      </c>
      <c r="P3809">
        <v>591</v>
      </c>
      <c r="Q3809">
        <v>579</v>
      </c>
      <c r="S3809">
        <v>1082</v>
      </c>
      <c r="T3809">
        <v>1134</v>
      </c>
      <c r="U3809">
        <f>+SUM(Table1[[#This Row],[Latinos]:[Cemex]])</f>
        <v>1</v>
      </c>
      <c r="V3809" t="str">
        <f>+Table1[[#This Row],[id_destino]]&amp;" - "&amp;Table1[[#This Row],[id_origen]]</f>
        <v>33 - 180</v>
      </c>
    </row>
    <row r="3810" spans="1:22" hidden="1">
      <c r="A3810">
        <v>3361</v>
      </c>
      <c r="B3810">
        <v>3936</v>
      </c>
      <c r="C3810">
        <v>405</v>
      </c>
      <c r="D3810">
        <v>426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 t="s">
        <v>20</v>
      </c>
      <c r="L3810" s="1">
        <v>44848</v>
      </c>
      <c r="M3810">
        <v>35</v>
      </c>
      <c r="N3810">
        <v>180</v>
      </c>
      <c r="O3810">
        <v>1548</v>
      </c>
      <c r="P3810">
        <v>1532</v>
      </c>
      <c r="Q3810">
        <v>1548</v>
      </c>
      <c r="S3810">
        <v>2775</v>
      </c>
      <c r="T3810">
        <v>2775</v>
      </c>
      <c r="U3810">
        <f>+SUM(Table1[[#This Row],[Latinos]:[Cemex]])</f>
        <v>1</v>
      </c>
      <c r="V3810" t="str">
        <f>+Table1[[#This Row],[id_destino]]&amp;" - "&amp;Table1[[#This Row],[id_origen]]</f>
        <v>35 - 180</v>
      </c>
    </row>
    <row r="3811" spans="1:22" hidden="1">
      <c r="A3811">
        <v>1312</v>
      </c>
      <c r="B3811">
        <v>2687</v>
      </c>
      <c r="C3811">
        <v>405</v>
      </c>
      <c r="D3811">
        <v>361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 t="s">
        <v>65</v>
      </c>
      <c r="L3811" s="1">
        <v>43378</v>
      </c>
      <c r="M3811">
        <v>43</v>
      </c>
      <c r="N3811">
        <v>180</v>
      </c>
      <c r="O3811">
        <v>1693</v>
      </c>
      <c r="P3811">
        <v>1693</v>
      </c>
      <c r="Q3811">
        <v>1693</v>
      </c>
      <c r="S3811">
        <v>2806</v>
      </c>
      <c r="T3811">
        <v>2806</v>
      </c>
      <c r="U3811">
        <f>+SUM(Table1[[#This Row],[Latinos]:[Cemex]])</f>
        <v>1</v>
      </c>
      <c r="V3811" t="str">
        <f>+Table1[[#This Row],[id_destino]]&amp;" - "&amp;Table1[[#This Row],[id_origen]]</f>
        <v>43 - 180</v>
      </c>
    </row>
    <row r="3812" spans="1:22" hidden="1">
      <c r="A3812">
        <v>725</v>
      </c>
      <c r="B3812">
        <v>2427</v>
      </c>
      <c r="C3812">
        <v>405</v>
      </c>
      <c r="D3812">
        <v>5460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 t="s">
        <v>20</v>
      </c>
      <c r="L3812" s="1">
        <v>43143</v>
      </c>
      <c r="M3812">
        <v>51</v>
      </c>
      <c r="N3812">
        <v>180</v>
      </c>
      <c r="O3812">
        <v>210</v>
      </c>
      <c r="P3812">
        <v>210</v>
      </c>
      <c r="Q3812">
        <v>210</v>
      </c>
      <c r="S3812">
        <v>0</v>
      </c>
      <c r="T3812">
        <v>0</v>
      </c>
      <c r="U3812">
        <f>+SUM(Table1[[#This Row],[Latinos]:[Cemex]])</f>
        <v>1</v>
      </c>
      <c r="V3812" t="str">
        <f>+Table1[[#This Row],[id_destino]]&amp;" - "&amp;Table1[[#This Row],[id_origen]]</f>
        <v>51 - 180</v>
      </c>
    </row>
    <row r="3813" spans="1:22" hidden="1">
      <c r="A3813">
        <v>338</v>
      </c>
      <c r="B3813">
        <v>95</v>
      </c>
      <c r="C3813">
        <v>3430</v>
      </c>
      <c r="D3813">
        <v>566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0</v>
      </c>
      <c r="K3813" t="s">
        <v>20</v>
      </c>
      <c r="L3813" s="1">
        <v>43039</v>
      </c>
      <c r="M3813">
        <v>73</v>
      </c>
      <c r="N3813">
        <v>180</v>
      </c>
      <c r="O3813">
        <v>232</v>
      </c>
      <c r="P3813">
        <v>234</v>
      </c>
      <c r="Q3813">
        <v>232</v>
      </c>
      <c r="S3813">
        <v>806</v>
      </c>
      <c r="T3813">
        <v>806</v>
      </c>
      <c r="U3813">
        <f>+SUM(Table1[[#This Row],[Latinos]:[Cemex]])</f>
        <v>1</v>
      </c>
      <c r="V3813" t="str">
        <f>+Table1[[#This Row],[id_destino]]&amp;" - "&amp;Table1[[#This Row],[id_origen]]</f>
        <v>73 - 180</v>
      </c>
    </row>
    <row r="3814" spans="1:22" hidden="1">
      <c r="A3814">
        <v>682</v>
      </c>
      <c r="B3814">
        <v>1963</v>
      </c>
      <c r="C3814">
        <v>405</v>
      </c>
      <c r="D3814">
        <v>5285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 t="s">
        <v>20</v>
      </c>
      <c r="L3814" s="1">
        <v>43129</v>
      </c>
      <c r="M3814">
        <v>83</v>
      </c>
      <c r="N3814">
        <v>180</v>
      </c>
      <c r="O3814">
        <v>207</v>
      </c>
      <c r="P3814">
        <v>210</v>
      </c>
      <c r="Q3814">
        <v>207</v>
      </c>
      <c r="S3814">
        <v>0</v>
      </c>
      <c r="T3814">
        <v>0</v>
      </c>
      <c r="U3814">
        <f>+SUM(Table1[[#This Row],[Latinos]:[Cemex]])</f>
        <v>1</v>
      </c>
      <c r="V3814" t="str">
        <f>+Table1[[#This Row],[id_destino]]&amp;" - "&amp;Table1[[#This Row],[id_origen]]</f>
        <v>83 - 180</v>
      </c>
    </row>
    <row r="3815" spans="1:22" hidden="1">
      <c r="A3815">
        <v>4094</v>
      </c>
      <c r="B3815">
        <v>3729</v>
      </c>
      <c r="C3815">
        <v>405</v>
      </c>
      <c r="D3815">
        <v>6913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 t="s">
        <v>20</v>
      </c>
      <c r="L3815" s="1">
        <v>45282</v>
      </c>
      <c r="M3815">
        <v>84</v>
      </c>
      <c r="N3815">
        <v>180</v>
      </c>
      <c r="O3815">
        <v>180</v>
      </c>
      <c r="P3815">
        <v>184</v>
      </c>
      <c r="Q3815">
        <v>180</v>
      </c>
      <c r="S3815">
        <v>422</v>
      </c>
      <c r="T3815">
        <v>422</v>
      </c>
      <c r="U3815">
        <f>+SUM(Table1[[#This Row],[Latinos]:[Cemex]])</f>
        <v>1</v>
      </c>
      <c r="V3815" t="str">
        <f>+Table1[[#This Row],[id_destino]]&amp;" - "&amp;Table1[[#This Row],[id_origen]]</f>
        <v>84 - 180</v>
      </c>
    </row>
    <row r="3816" spans="1:22" hidden="1">
      <c r="A3816">
        <v>4702</v>
      </c>
      <c r="B3816">
        <v>4854</v>
      </c>
      <c r="C3816">
        <v>3430</v>
      </c>
      <c r="D3816">
        <v>8176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 t="s">
        <v>20</v>
      </c>
      <c r="L3816" s="1">
        <v>45741</v>
      </c>
      <c r="M3816">
        <v>88</v>
      </c>
      <c r="N3816">
        <v>180</v>
      </c>
      <c r="O3816">
        <v>942</v>
      </c>
      <c r="P3816">
        <v>945</v>
      </c>
      <c r="Q3816">
        <v>942</v>
      </c>
      <c r="S3816">
        <v>1769</v>
      </c>
      <c r="T3816">
        <v>1769</v>
      </c>
      <c r="U3816">
        <f>+SUM(Table1[[#This Row],[Latinos]:[Cemex]])</f>
        <v>1</v>
      </c>
      <c r="V3816" t="str">
        <f>+Table1[[#This Row],[id_destino]]&amp;" - "&amp;Table1[[#This Row],[id_origen]]</f>
        <v>88 - 180</v>
      </c>
    </row>
    <row r="3817" spans="1:22" hidden="1">
      <c r="A3817">
        <v>2073</v>
      </c>
      <c r="B3817">
        <v>1580</v>
      </c>
      <c r="C3817">
        <v>405</v>
      </c>
      <c r="D3817">
        <v>1637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 t="s">
        <v>20</v>
      </c>
      <c r="L3817" s="1">
        <v>44277</v>
      </c>
      <c r="M3817">
        <v>107</v>
      </c>
      <c r="N3817">
        <v>180</v>
      </c>
      <c r="O3817">
        <v>677</v>
      </c>
      <c r="P3817">
        <v>677</v>
      </c>
      <c r="Q3817">
        <v>677</v>
      </c>
      <c r="S3817">
        <v>0</v>
      </c>
      <c r="T3817">
        <v>0</v>
      </c>
      <c r="U3817">
        <f>+SUM(Table1[[#This Row],[Latinos]:[Cemex]])</f>
        <v>1</v>
      </c>
      <c r="V3817" t="str">
        <f>+Table1[[#This Row],[id_destino]]&amp;" - "&amp;Table1[[#This Row],[id_origen]]</f>
        <v>107 - 180</v>
      </c>
    </row>
    <row r="3818" spans="1:22" hidden="1">
      <c r="A3818">
        <v>1266</v>
      </c>
      <c r="B3818">
        <v>2660</v>
      </c>
      <c r="C3818">
        <v>405</v>
      </c>
      <c r="D3818">
        <v>2670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 t="s">
        <v>20</v>
      </c>
      <c r="L3818" s="1">
        <v>43357</v>
      </c>
      <c r="M3818">
        <v>153</v>
      </c>
      <c r="N3818">
        <v>180</v>
      </c>
      <c r="O3818">
        <v>918</v>
      </c>
      <c r="P3818">
        <v>918</v>
      </c>
      <c r="Q3818">
        <v>918</v>
      </c>
      <c r="S3818">
        <v>0</v>
      </c>
      <c r="T3818">
        <v>0</v>
      </c>
      <c r="U3818">
        <f>+SUM(Table1[[#This Row],[Latinos]:[Cemex]])</f>
        <v>1</v>
      </c>
      <c r="V3818" t="str">
        <f>+Table1[[#This Row],[id_destino]]&amp;" - "&amp;Table1[[#This Row],[id_origen]]</f>
        <v>153 - 180</v>
      </c>
    </row>
    <row r="3819" spans="1:22" hidden="1">
      <c r="A3819">
        <v>3219</v>
      </c>
      <c r="B3819">
        <v>645</v>
      </c>
      <c r="C3819">
        <v>2655</v>
      </c>
      <c r="D3819">
        <v>2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 t="s">
        <v>20</v>
      </c>
      <c r="L3819" s="1">
        <v>44776</v>
      </c>
      <c r="M3819">
        <v>4</v>
      </c>
      <c r="N3819">
        <v>183</v>
      </c>
      <c r="O3819">
        <v>1343</v>
      </c>
      <c r="P3819">
        <v>1351</v>
      </c>
      <c r="Q3819">
        <v>1343</v>
      </c>
      <c r="S3819">
        <v>4000</v>
      </c>
      <c r="T3819">
        <v>4000</v>
      </c>
      <c r="U3819">
        <f>+SUM(Table1[[#This Row],[Latinos]:[Cemex]])</f>
        <v>1</v>
      </c>
      <c r="V3819" t="str">
        <f>+Table1[[#This Row],[id_destino]]&amp;" - "&amp;Table1[[#This Row],[id_origen]]</f>
        <v>4 - 183</v>
      </c>
    </row>
    <row r="3820" spans="1:22" hidden="1">
      <c r="A3820">
        <v>1528</v>
      </c>
      <c r="B3820">
        <v>1097</v>
      </c>
      <c r="C3820">
        <v>3000</v>
      </c>
      <c r="D3820">
        <v>10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 t="s">
        <v>20</v>
      </c>
      <c r="L3820" s="1">
        <v>43489</v>
      </c>
      <c r="M3820">
        <v>12</v>
      </c>
      <c r="N3820">
        <v>183</v>
      </c>
      <c r="O3820">
        <v>200</v>
      </c>
      <c r="P3820">
        <v>200</v>
      </c>
      <c r="Q3820">
        <v>200</v>
      </c>
      <c r="S3820">
        <v>479</v>
      </c>
      <c r="T3820">
        <v>479</v>
      </c>
      <c r="U3820">
        <f>+SUM(Table1[[#This Row],[Latinos]:[Cemex]])</f>
        <v>1</v>
      </c>
      <c r="V3820" t="str">
        <f>+Table1[[#This Row],[id_destino]]&amp;" - "&amp;Table1[[#This Row],[id_origen]]</f>
        <v>12 - 183</v>
      </c>
    </row>
    <row r="3821" spans="1:22" hidden="1">
      <c r="A3821">
        <v>4</v>
      </c>
      <c r="B3821">
        <v>198</v>
      </c>
      <c r="C3821">
        <v>116</v>
      </c>
      <c r="D3821">
        <v>18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 t="s">
        <v>21</v>
      </c>
      <c r="L3821" s="1">
        <v>42982</v>
      </c>
      <c r="M3821">
        <v>17</v>
      </c>
      <c r="N3821">
        <v>183</v>
      </c>
      <c r="O3821">
        <v>625</v>
      </c>
      <c r="P3821">
        <v>592</v>
      </c>
      <c r="Q3821">
        <v>670</v>
      </c>
      <c r="S3821">
        <v>1454</v>
      </c>
      <c r="T3821">
        <v>1495</v>
      </c>
      <c r="U3821">
        <f>+SUM(Table1[[#This Row],[Latinos]:[Cemex]])</f>
        <v>1</v>
      </c>
      <c r="V3821" t="str">
        <f>+Table1[[#This Row],[id_destino]]&amp;" - "&amp;Table1[[#This Row],[id_origen]]</f>
        <v>17 - 183</v>
      </c>
    </row>
    <row r="3822" spans="1:22" hidden="1">
      <c r="A3822">
        <v>131</v>
      </c>
      <c r="B3822">
        <v>129</v>
      </c>
      <c r="C3822">
        <v>116</v>
      </c>
      <c r="D3822">
        <v>19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 t="s">
        <v>20</v>
      </c>
      <c r="L3822" s="1">
        <v>42998</v>
      </c>
      <c r="M3822">
        <v>18</v>
      </c>
      <c r="N3822">
        <v>183</v>
      </c>
      <c r="O3822">
        <v>494</v>
      </c>
      <c r="P3822">
        <v>482</v>
      </c>
      <c r="Q3822">
        <v>494</v>
      </c>
      <c r="S3822">
        <v>1415</v>
      </c>
      <c r="T3822">
        <v>1415</v>
      </c>
      <c r="U3822">
        <f>+SUM(Table1[[#This Row],[Latinos]:[Cemex]])</f>
        <v>1</v>
      </c>
      <c r="V3822" t="str">
        <f>+Table1[[#This Row],[id_destino]]&amp;" - "&amp;Table1[[#This Row],[id_origen]]</f>
        <v>18 - 183</v>
      </c>
    </row>
    <row r="3823" spans="1:22" hidden="1">
      <c r="A3823">
        <v>1601</v>
      </c>
      <c r="B3823">
        <v>129</v>
      </c>
      <c r="C3823">
        <v>3393</v>
      </c>
      <c r="D3823">
        <v>4177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0</v>
      </c>
      <c r="K3823" t="s">
        <v>20</v>
      </c>
      <c r="L3823" s="1">
        <v>43525</v>
      </c>
      <c r="M3823">
        <v>18</v>
      </c>
      <c r="N3823">
        <v>183</v>
      </c>
      <c r="O3823">
        <v>499</v>
      </c>
      <c r="P3823">
        <v>482</v>
      </c>
      <c r="Q3823">
        <v>499</v>
      </c>
      <c r="S3823">
        <v>1566</v>
      </c>
      <c r="T3823">
        <v>1566</v>
      </c>
      <c r="U3823">
        <f>+SUM(Table1[[#This Row],[Latinos]:[Cemex]])</f>
        <v>1</v>
      </c>
      <c r="V3823" t="str">
        <f>+Table1[[#This Row],[id_destino]]&amp;" - "&amp;Table1[[#This Row],[id_origen]]</f>
        <v>18 - 183</v>
      </c>
    </row>
    <row r="3824" spans="1:22" hidden="1">
      <c r="A3824">
        <v>414</v>
      </c>
      <c r="B3824">
        <v>1330</v>
      </c>
      <c r="C3824">
        <v>3000</v>
      </c>
      <c r="D3824">
        <v>22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 t="s">
        <v>20</v>
      </c>
      <c r="L3824" s="1">
        <v>43061</v>
      </c>
      <c r="M3824">
        <v>19</v>
      </c>
      <c r="N3824">
        <v>183</v>
      </c>
      <c r="O3824">
        <v>524</v>
      </c>
      <c r="P3824">
        <v>524</v>
      </c>
      <c r="Q3824">
        <v>524</v>
      </c>
      <c r="S3824">
        <v>1577</v>
      </c>
      <c r="T3824">
        <v>1577</v>
      </c>
      <c r="U3824">
        <f>+SUM(Table1[[#This Row],[Latinos]:[Cemex]])</f>
        <v>1</v>
      </c>
      <c r="V3824" t="str">
        <f>+Table1[[#This Row],[id_destino]]&amp;" - "&amp;Table1[[#This Row],[id_origen]]</f>
        <v>19 - 183</v>
      </c>
    </row>
    <row r="3825" spans="1:22" hidden="1">
      <c r="A3825">
        <v>342</v>
      </c>
      <c r="B3825">
        <v>681</v>
      </c>
      <c r="C3825">
        <v>3000</v>
      </c>
      <c r="D3825">
        <v>4455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 t="s">
        <v>20</v>
      </c>
      <c r="L3825" s="1">
        <v>43040</v>
      </c>
      <c r="M3825">
        <v>23</v>
      </c>
      <c r="N3825">
        <v>183</v>
      </c>
      <c r="O3825">
        <v>25</v>
      </c>
      <c r="P3825">
        <v>150</v>
      </c>
      <c r="Q3825">
        <v>25</v>
      </c>
      <c r="S3825">
        <v>99</v>
      </c>
      <c r="T3825">
        <v>99</v>
      </c>
      <c r="U3825">
        <f>+SUM(Table1[[#This Row],[Latinos]:[Cemex]])</f>
        <v>1</v>
      </c>
      <c r="V3825" t="str">
        <f>+Table1[[#This Row],[id_destino]]&amp;" - "&amp;Table1[[#This Row],[id_origen]]</f>
        <v>23 - 183</v>
      </c>
    </row>
    <row r="3826" spans="1:22" hidden="1">
      <c r="A3826">
        <v>1179</v>
      </c>
      <c r="B3826">
        <v>504</v>
      </c>
      <c r="C3826">
        <v>3000</v>
      </c>
      <c r="D3826">
        <v>40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0</v>
      </c>
      <c r="K3826" t="s">
        <v>20</v>
      </c>
      <c r="L3826" s="1">
        <v>43810</v>
      </c>
      <c r="M3826">
        <v>34</v>
      </c>
      <c r="N3826">
        <v>183</v>
      </c>
      <c r="O3826">
        <v>721</v>
      </c>
      <c r="P3826">
        <v>721</v>
      </c>
      <c r="Q3826">
        <v>721</v>
      </c>
      <c r="S3826">
        <v>1052</v>
      </c>
      <c r="T3826">
        <v>1166</v>
      </c>
      <c r="U3826">
        <f>+SUM(Table1[[#This Row],[Latinos]:[Cemex]])</f>
        <v>1</v>
      </c>
      <c r="V3826" t="str">
        <f>+Table1[[#This Row],[id_destino]]&amp;" - "&amp;Table1[[#This Row],[id_origen]]</f>
        <v>34 - 183</v>
      </c>
    </row>
    <row r="3827" spans="1:22" hidden="1">
      <c r="A3827">
        <v>366</v>
      </c>
      <c r="B3827">
        <v>801</v>
      </c>
      <c r="C3827">
        <v>116</v>
      </c>
      <c r="D3827">
        <v>53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0</v>
      </c>
      <c r="K3827" t="s">
        <v>20</v>
      </c>
      <c r="L3827" s="1">
        <v>43046</v>
      </c>
      <c r="M3827">
        <v>35</v>
      </c>
      <c r="N3827">
        <v>183</v>
      </c>
      <c r="O3827">
        <v>944</v>
      </c>
      <c r="P3827">
        <v>917</v>
      </c>
      <c r="Q3827">
        <v>944</v>
      </c>
      <c r="S3827">
        <v>2410</v>
      </c>
      <c r="T3827">
        <v>2410</v>
      </c>
      <c r="U3827">
        <f>+SUM(Table1[[#This Row],[Latinos]:[Cemex]])</f>
        <v>1</v>
      </c>
      <c r="V3827" t="str">
        <f>+Table1[[#This Row],[id_destino]]&amp;" - "&amp;Table1[[#This Row],[id_origen]]</f>
        <v>35 - 183</v>
      </c>
    </row>
    <row r="3828" spans="1:22" hidden="1">
      <c r="A3828">
        <v>365</v>
      </c>
      <c r="B3828">
        <v>2270</v>
      </c>
      <c r="C3828">
        <v>116</v>
      </c>
      <c r="D3828">
        <v>48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0</v>
      </c>
      <c r="K3828" t="s">
        <v>20</v>
      </c>
      <c r="L3828" s="1">
        <v>43046</v>
      </c>
      <c r="M3828">
        <v>42</v>
      </c>
      <c r="N3828">
        <v>183</v>
      </c>
      <c r="O3828">
        <v>803</v>
      </c>
      <c r="P3828">
        <v>779</v>
      </c>
      <c r="Q3828">
        <v>803</v>
      </c>
      <c r="S3828">
        <v>2088</v>
      </c>
      <c r="T3828">
        <v>2088</v>
      </c>
      <c r="U3828">
        <f>+SUM(Table1[[#This Row],[Latinos]:[Cemex]])</f>
        <v>1</v>
      </c>
      <c r="V3828" t="str">
        <f>+Table1[[#This Row],[id_destino]]&amp;" - "&amp;Table1[[#This Row],[id_origen]]</f>
        <v>42 - 183</v>
      </c>
    </row>
    <row r="3829" spans="1:22" hidden="1">
      <c r="A3829">
        <v>543</v>
      </c>
      <c r="B3829">
        <v>1836</v>
      </c>
      <c r="C3829">
        <v>3000</v>
      </c>
      <c r="D3829">
        <v>49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0</v>
      </c>
      <c r="K3829" t="s">
        <v>20</v>
      </c>
      <c r="L3829" s="1">
        <v>43096</v>
      </c>
      <c r="M3829">
        <v>43</v>
      </c>
      <c r="N3829">
        <v>183</v>
      </c>
      <c r="O3829">
        <v>1112</v>
      </c>
      <c r="P3829">
        <v>1112</v>
      </c>
      <c r="Q3829">
        <v>1112</v>
      </c>
      <c r="S3829">
        <v>2936</v>
      </c>
      <c r="T3829">
        <v>2963</v>
      </c>
      <c r="U3829">
        <f>+SUM(Table1[[#This Row],[Latinos]:[Cemex]])</f>
        <v>1</v>
      </c>
      <c r="V3829" t="str">
        <f>+Table1[[#This Row],[id_destino]]&amp;" - "&amp;Table1[[#This Row],[id_origen]]</f>
        <v>43 - 183</v>
      </c>
    </row>
    <row r="3830" spans="1:22" hidden="1">
      <c r="A3830">
        <v>2426</v>
      </c>
      <c r="B3830">
        <v>115</v>
      </c>
      <c r="C3830">
        <v>3393</v>
      </c>
      <c r="D3830">
        <v>70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  <c r="K3830" t="s">
        <v>20</v>
      </c>
      <c r="L3830" s="1">
        <v>44340</v>
      </c>
      <c r="M3830">
        <v>60</v>
      </c>
      <c r="N3830">
        <v>183</v>
      </c>
      <c r="O3830">
        <v>2263</v>
      </c>
      <c r="P3830">
        <v>2252</v>
      </c>
      <c r="Q3830">
        <v>2263</v>
      </c>
      <c r="S3830">
        <v>3573</v>
      </c>
      <c r="T3830">
        <v>3715</v>
      </c>
      <c r="U3830">
        <f>+SUM(Table1[[#This Row],[Latinos]:[Cemex]])</f>
        <v>1</v>
      </c>
      <c r="V3830" t="str">
        <f>+Table1[[#This Row],[id_destino]]&amp;" - "&amp;Table1[[#This Row],[id_origen]]</f>
        <v>60 - 183</v>
      </c>
    </row>
    <row r="3831" spans="1:22" hidden="1">
      <c r="A3831">
        <v>2738</v>
      </c>
      <c r="B3831">
        <v>241</v>
      </c>
      <c r="C3831">
        <v>3000</v>
      </c>
      <c r="D3831">
        <v>71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 t="s">
        <v>20</v>
      </c>
      <c r="L3831" s="1">
        <v>44398</v>
      </c>
      <c r="M3831">
        <v>61</v>
      </c>
      <c r="N3831">
        <v>183</v>
      </c>
      <c r="O3831">
        <v>2094</v>
      </c>
      <c r="P3831">
        <v>2093</v>
      </c>
      <c r="Q3831">
        <v>2094</v>
      </c>
      <c r="S3831">
        <v>5296</v>
      </c>
      <c r="T3831">
        <v>5408</v>
      </c>
      <c r="U3831">
        <f>+SUM(Table1[[#This Row],[Latinos]:[Cemex]])</f>
        <v>1</v>
      </c>
      <c r="V3831" t="str">
        <f>+Table1[[#This Row],[id_destino]]&amp;" - "&amp;Table1[[#This Row],[id_origen]]</f>
        <v>61 - 183</v>
      </c>
    </row>
    <row r="3832" spans="1:22" hidden="1">
      <c r="A3832">
        <v>252</v>
      </c>
      <c r="B3832">
        <v>2202</v>
      </c>
      <c r="C3832">
        <v>3000</v>
      </c>
      <c r="D3832">
        <v>291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0</v>
      </c>
      <c r="K3832" t="s">
        <v>20</v>
      </c>
      <c r="L3832" s="1">
        <v>43025</v>
      </c>
      <c r="M3832">
        <v>62</v>
      </c>
      <c r="N3832">
        <v>183</v>
      </c>
      <c r="O3832">
        <v>322</v>
      </c>
      <c r="P3832">
        <v>322</v>
      </c>
      <c r="Q3832">
        <v>322</v>
      </c>
      <c r="S3832">
        <v>608</v>
      </c>
      <c r="T3832">
        <v>608</v>
      </c>
      <c r="U3832">
        <f>+SUM(Table1[[#This Row],[Latinos]:[Cemex]])</f>
        <v>1</v>
      </c>
      <c r="V3832" t="str">
        <f>+Table1[[#This Row],[id_destino]]&amp;" - "&amp;Table1[[#This Row],[id_origen]]</f>
        <v>62 - 183</v>
      </c>
    </row>
    <row r="3833" spans="1:22" hidden="1">
      <c r="A3833">
        <v>3398</v>
      </c>
      <c r="B3833">
        <v>3958</v>
      </c>
      <c r="C3833">
        <v>1716</v>
      </c>
      <c r="D3833">
        <v>6913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 t="s">
        <v>20</v>
      </c>
      <c r="L3833" s="1">
        <v>44869</v>
      </c>
      <c r="M3833">
        <v>84</v>
      </c>
      <c r="N3833">
        <v>183</v>
      </c>
      <c r="O3833">
        <v>835</v>
      </c>
      <c r="P3833">
        <v>858</v>
      </c>
      <c r="Q3833">
        <v>835</v>
      </c>
      <c r="S3833">
        <v>1066</v>
      </c>
      <c r="T3833">
        <v>1066</v>
      </c>
      <c r="U3833">
        <f>+SUM(Table1[[#This Row],[Latinos]:[Cemex]])</f>
        <v>1</v>
      </c>
      <c r="V3833" t="str">
        <f>+Table1[[#This Row],[id_destino]]&amp;" - "&amp;Table1[[#This Row],[id_origen]]</f>
        <v>84 - 183</v>
      </c>
    </row>
    <row r="3834" spans="1:22" hidden="1">
      <c r="A3834">
        <v>757</v>
      </c>
      <c r="B3834">
        <v>1055</v>
      </c>
      <c r="C3834">
        <v>3000</v>
      </c>
      <c r="D3834">
        <v>109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 t="s">
        <v>20</v>
      </c>
      <c r="L3834" s="1">
        <v>43782</v>
      </c>
      <c r="M3834">
        <v>93</v>
      </c>
      <c r="N3834">
        <v>183</v>
      </c>
      <c r="O3834">
        <v>490</v>
      </c>
      <c r="P3834">
        <v>490</v>
      </c>
      <c r="Q3834">
        <v>490</v>
      </c>
      <c r="S3834">
        <v>1349</v>
      </c>
      <c r="T3834">
        <v>1349</v>
      </c>
      <c r="U3834">
        <f>+SUM(Table1[[#This Row],[Latinos]:[Cemex]])</f>
        <v>1</v>
      </c>
      <c r="V3834" t="str">
        <f>+Table1[[#This Row],[id_destino]]&amp;" - "&amp;Table1[[#This Row],[id_origen]]</f>
        <v>93 - 183</v>
      </c>
    </row>
    <row r="3835" spans="1:22" hidden="1">
      <c r="A3835">
        <v>3428</v>
      </c>
      <c r="B3835">
        <v>1463</v>
      </c>
      <c r="C3835">
        <v>116</v>
      </c>
      <c r="D3835">
        <v>1555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 t="s">
        <v>20</v>
      </c>
      <c r="L3835" s="1">
        <v>44884</v>
      </c>
      <c r="M3835">
        <v>107</v>
      </c>
      <c r="N3835">
        <v>183</v>
      </c>
      <c r="O3835">
        <v>760</v>
      </c>
      <c r="P3835">
        <v>743</v>
      </c>
      <c r="Q3835">
        <v>760</v>
      </c>
      <c r="S3835">
        <v>1069.8</v>
      </c>
      <c r="T3835">
        <v>1206.99</v>
      </c>
      <c r="U3835">
        <f>+SUM(Table1[[#This Row],[Latinos]:[Cemex]])</f>
        <v>1</v>
      </c>
      <c r="V3835" t="str">
        <f>+Table1[[#This Row],[id_destino]]&amp;" - "&amp;Table1[[#This Row],[id_origen]]</f>
        <v>107 - 183</v>
      </c>
    </row>
    <row r="3836" spans="1:22" hidden="1">
      <c r="A3836">
        <v>1286</v>
      </c>
      <c r="B3836">
        <v>1364</v>
      </c>
      <c r="C3836">
        <v>3000</v>
      </c>
      <c r="D3836">
        <v>623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0</v>
      </c>
      <c r="K3836" t="s">
        <v>20</v>
      </c>
      <c r="L3836" s="1">
        <v>43731</v>
      </c>
      <c r="M3836">
        <v>121</v>
      </c>
      <c r="N3836">
        <v>183</v>
      </c>
      <c r="O3836">
        <v>254</v>
      </c>
      <c r="P3836">
        <v>254</v>
      </c>
      <c r="Q3836">
        <v>254</v>
      </c>
      <c r="S3836">
        <v>514</v>
      </c>
      <c r="T3836">
        <v>514</v>
      </c>
      <c r="U3836">
        <f>+SUM(Table1[[#This Row],[Latinos]:[Cemex]])</f>
        <v>1</v>
      </c>
      <c r="V3836" t="str">
        <f>+Table1[[#This Row],[id_destino]]&amp;" - "&amp;Table1[[#This Row],[id_origen]]</f>
        <v>121 - 183</v>
      </c>
    </row>
    <row r="3837" spans="1:22" hidden="1">
      <c r="A3837">
        <v>1153</v>
      </c>
      <c r="B3837">
        <v>407</v>
      </c>
      <c r="C3837">
        <v>3393</v>
      </c>
      <c r="D3837">
        <v>1727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 t="s">
        <v>20</v>
      </c>
      <c r="L3837" s="1">
        <v>43529</v>
      </c>
      <c r="M3837">
        <v>169</v>
      </c>
      <c r="N3837">
        <v>183</v>
      </c>
      <c r="O3837">
        <v>194</v>
      </c>
      <c r="P3837">
        <v>195</v>
      </c>
      <c r="Q3837">
        <v>194</v>
      </c>
      <c r="S3837">
        <v>1032</v>
      </c>
      <c r="T3837">
        <v>1032</v>
      </c>
      <c r="U3837">
        <f>+SUM(Table1[[#This Row],[Latinos]:[Cemex]])</f>
        <v>1</v>
      </c>
      <c r="V3837" t="str">
        <f>+Table1[[#This Row],[id_destino]]&amp;" - "&amp;Table1[[#This Row],[id_origen]]</f>
        <v>169 - 183</v>
      </c>
    </row>
    <row r="3838" spans="1:22" hidden="1">
      <c r="A3838">
        <v>1466</v>
      </c>
      <c r="B3838">
        <v>2762</v>
      </c>
      <c r="C3838">
        <v>3000</v>
      </c>
      <c r="D3838">
        <v>24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 t="s">
        <v>20</v>
      </c>
      <c r="L3838" s="1">
        <v>43452</v>
      </c>
      <c r="M3838">
        <v>179</v>
      </c>
      <c r="N3838">
        <v>183</v>
      </c>
      <c r="O3838">
        <v>1387</v>
      </c>
      <c r="P3838">
        <v>1387</v>
      </c>
      <c r="Q3838">
        <v>1387</v>
      </c>
      <c r="S3838">
        <v>2596</v>
      </c>
      <c r="T3838">
        <v>2862</v>
      </c>
      <c r="U3838">
        <f>+SUM(Table1[[#This Row],[Latinos]:[Cemex]])</f>
        <v>1</v>
      </c>
      <c r="V3838" t="str">
        <f>+Table1[[#This Row],[id_destino]]&amp;" - "&amp;Table1[[#This Row],[id_origen]]</f>
        <v>179 - 183</v>
      </c>
    </row>
    <row r="3839" spans="1:22" hidden="1">
      <c r="A3839">
        <v>2091</v>
      </c>
      <c r="B3839">
        <v>3126</v>
      </c>
      <c r="C3839">
        <v>3393</v>
      </c>
      <c r="D3839">
        <v>3032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0</v>
      </c>
      <c r="K3839" t="s">
        <v>53</v>
      </c>
      <c r="L3839" s="1">
        <v>43806</v>
      </c>
      <c r="M3839">
        <v>189</v>
      </c>
      <c r="N3839">
        <v>183</v>
      </c>
      <c r="O3839">
        <v>1243</v>
      </c>
      <c r="P3839">
        <v>1095</v>
      </c>
      <c r="Q3839">
        <v>1243</v>
      </c>
      <c r="S3839">
        <v>1963</v>
      </c>
      <c r="T3839">
        <v>2037</v>
      </c>
      <c r="U3839">
        <f>+SUM(Table1[[#This Row],[Latinos]:[Cemex]])</f>
        <v>1</v>
      </c>
      <c r="V3839" t="str">
        <f>+Table1[[#This Row],[id_destino]]&amp;" - "&amp;Table1[[#This Row],[id_origen]]</f>
        <v>189 - 183</v>
      </c>
    </row>
    <row r="3840" spans="1:22" hidden="1">
      <c r="A3840">
        <v>321</v>
      </c>
      <c r="B3840">
        <v>2261</v>
      </c>
      <c r="C3840">
        <v>116</v>
      </c>
      <c r="D3840">
        <v>2064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 t="s">
        <v>20</v>
      </c>
      <c r="L3840" s="1">
        <v>43036</v>
      </c>
      <c r="M3840">
        <v>259</v>
      </c>
      <c r="N3840">
        <v>183</v>
      </c>
      <c r="O3840">
        <v>472</v>
      </c>
      <c r="P3840">
        <v>472</v>
      </c>
      <c r="Q3840">
        <v>472</v>
      </c>
      <c r="S3840">
        <v>1260</v>
      </c>
      <c r="T3840">
        <v>1320</v>
      </c>
      <c r="U3840">
        <f>+SUM(Table1[[#This Row],[Latinos]:[Cemex]])</f>
        <v>1</v>
      </c>
      <c r="V3840" t="str">
        <f>+Table1[[#This Row],[id_destino]]&amp;" - "&amp;Table1[[#This Row],[id_origen]]</f>
        <v>259 - 183</v>
      </c>
    </row>
    <row r="3841" spans="1:22" hidden="1">
      <c r="A3841">
        <v>1276</v>
      </c>
      <c r="B3841">
        <v>2666</v>
      </c>
      <c r="C3841">
        <v>3000</v>
      </c>
      <c r="D3841">
        <v>5698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 t="s">
        <v>20</v>
      </c>
      <c r="L3841" s="1">
        <v>43361</v>
      </c>
      <c r="M3841">
        <v>682</v>
      </c>
      <c r="N3841">
        <v>183</v>
      </c>
      <c r="O3841">
        <v>356</v>
      </c>
      <c r="P3841">
        <v>356</v>
      </c>
      <c r="Q3841">
        <v>356</v>
      </c>
      <c r="S3841">
        <v>1064</v>
      </c>
      <c r="T3841">
        <v>1064</v>
      </c>
      <c r="U3841">
        <f>+SUM(Table1[[#This Row],[Latinos]:[Cemex]])</f>
        <v>1</v>
      </c>
      <c r="V3841" t="str">
        <f>+Table1[[#This Row],[id_destino]]&amp;" - "&amp;Table1[[#This Row],[id_origen]]</f>
        <v>682 - 183</v>
      </c>
    </row>
    <row r="3842" spans="1:22" hidden="1">
      <c r="A3842">
        <v>3364</v>
      </c>
      <c r="B3842">
        <v>3938</v>
      </c>
      <c r="C3842">
        <v>1716</v>
      </c>
      <c r="D3842">
        <v>7242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 t="s">
        <v>20</v>
      </c>
      <c r="L3842" s="1">
        <v>44974</v>
      </c>
      <c r="M3842">
        <v>843</v>
      </c>
      <c r="N3842">
        <v>183</v>
      </c>
      <c r="O3842">
        <v>1026</v>
      </c>
      <c r="P3842">
        <v>1014</v>
      </c>
      <c r="Q3842">
        <v>1026</v>
      </c>
      <c r="S3842">
        <v>1286</v>
      </c>
      <c r="T3842">
        <v>1286</v>
      </c>
      <c r="U3842">
        <f>+SUM(Table1[[#This Row],[Latinos]:[Cemex]])</f>
        <v>1</v>
      </c>
      <c r="V3842" t="str">
        <f>+Table1[[#This Row],[id_destino]]&amp;" - "&amp;Table1[[#This Row],[id_origen]]</f>
        <v>843 - 183</v>
      </c>
    </row>
    <row r="3843" spans="1:22" hidden="1">
      <c r="A3843">
        <v>3658</v>
      </c>
      <c r="B3843">
        <v>4142</v>
      </c>
      <c r="C3843">
        <v>5146</v>
      </c>
      <c r="D3843">
        <v>7286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 t="s">
        <v>20</v>
      </c>
      <c r="L3843" s="1">
        <v>45014</v>
      </c>
      <c r="M3843">
        <v>3</v>
      </c>
      <c r="N3843">
        <v>184</v>
      </c>
      <c r="O3843">
        <v>775</v>
      </c>
      <c r="P3843">
        <v>803</v>
      </c>
      <c r="Q3843">
        <v>775</v>
      </c>
      <c r="S3843">
        <v>2113</v>
      </c>
      <c r="T3843">
        <v>2113</v>
      </c>
      <c r="U3843">
        <f>+SUM(Table1[[#This Row],[Latinos]:[Cemex]])</f>
        <v>1</v>
      </c>
      <c r="V3843" t="str">
        <f>+Table1[[#This Row],[id_destino]]&amp;" - "&amp;Table1[[#This Row],[id_origen]]</f>
        <v>3 - 184</v>
      </c>
    </row>
    <row r="3844" spans="1:22" hidden="1">
      <c r="A3844">
        <v>3659</v>
      </c>
      <c r="B3844">
        <v>4143</v>
      </c>
      <c r="C3844">
        <v>5146</v>
      </c>
      <c r="D3844">
        <v>7287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  <c r="K3844" t="s">
        <v>20</v>
      </c>
      <c r="L3844" s="1">
        <v>45014</v>
      </c>
      <c r="M3844">
        <v>6</v>
      </c>
      <c r="N3844">
        <v>184</v>
      </c>
      <c r="O3844">
        <v>1222</v>
      </c>
      <c r="P3844">
        <v>1254</v>
      </c>
      <c r="Q3844">
        <v>1222</v>
      </c>
      <c r="S3844">
        <v>2335</v>
      </c>
      <c r="T3844">
        <v>2335</v>
      </c>
      <c r="U3844">
        <f>+SUM(Table1[[#This Row],[Latinos]:[Cemex]])</f>
        <v>1</v>
      </c>
      <c r="V3844" t="str">
        <f>+Table1[[#This Row],[id_destino]]&amp;" - "&amp;Table1[[#This Row],[id_origen]]</f>
        <v>6 - 184</v>
      </c>
    </row>
    <row r="3845" spans="1:22" hidden="1">
      <c r="A3845">
        <v>3657</v>
      </c>
      <c r="B3845">
        <v>4141</v>
      </c>
      <c r="C3845">
        <v>5146</v>
      </c>
      <c r="D3845">
        <v>7285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 t="s">
        <v>20</v>
      </c>
      <c r="L3845" s="1">
        <v>45014</v>
      </c>
      <c r="M3845">
        <v>7</v>
      </c>
      <c r="N3845">
        <v>184</v>
      </c>
      <c r="O3845">
        <v>1694</v>
      </c>
      <c r="P3845">
        <v>1738</v>
      </c>
      <c r="Q3845">
        <v>1694</v>
      </c>
      <c r="S3845">
        <v>2157</v>
      </c>
      <c r="T3845">
        <v>2157</v>
      </c>
      <c r="U3845">
        <f>+SUM(Table1[[#This Row],[Latinos]:[Cemex]])</f>
        <v>1</v>
      </c>
      <c r="V3845" t="str">
        <f>+Table1[[#This Row],[id_destino]]&amp;" - "&amp;Table1[[#This Row],[id_origen]]</f>
        <v>7 - 184</v>
      </c>
    </row>
    <row r="3846" spans="1:22" hidden="1">
      <c r="A3846">
        <v>1448</v>
      </c>
      <c r="B3846">
        <v>646</v>
      </c>
      <c r="C3846">
        <v>5146</v>
      </c>
      <c r="D3846">
        <v>7252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  <c r="K3846" t="s">
        <v>20</v>
      </c>
      <c r="L3846" s="1">
        <v>44985</v>
      </c>
      <c r="M3846">
        <v>8</v>
      </c>
      <c r="N3846">
        <v>184</v>
      </c>
      <c r="O3846">
        <v>1628</v>
      </c>
      <c r="P3846">
        <v>1640</v>
      </c>
      <c r="Q3846">
        <v>1628</v>
      </c>
      <c r="S3846">
        <v>3454</v>
      </c>
      <c r="T3846">
        <v>3996</v>
      </c>
      <c r="U3846">
        <f>+SUM(Table1[[#This Row],[Latinos]:[Cemex]])</f>
        <v>1</v>
      </c>
      <c r="V3846" t="str">
        <f>+Table1[[#This Row],[id_destino]]&amp;" - "&amp;Table1[[#This Row],[id_origen]]</f>
        <v>8 - 184</v>
      </c>
    </row>
    <row r="3847" spans="1:22" hidden="1">
      <c r="A3847">
        <v>3611</v>
      </c>
      <c r="B3847">
        <v>4111</v>
      </c>
      <c r="C3847">
        <v>5146</v>
      </c>
      <c r="D3847">
        <v>359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 t="s">
        <v>20</v>
      </c>
      <c r="L3847" s="1">
        <v>44985</v>
      </c>
      <c r="M3847">
        <v>8</v>
      </c>
      <c r="N3847">
        <v>184</v>
      </c>
      <c r="O3847">
        <v>1374</v>
      </c>
      <c r="P3847">
        <v>1407</v>
      </c>
      <c r="Q3847">
        <v>1374</v>
      </c>
      <c r="S3847">
        <v>2117</v>
      </c>
      <c r="T3847">
        <v>2207</v>
      </c>
      <c r="U3847">
        <f>+SUM(Table1[[#This Row],[Latinos]:[Cemex]])</f>
        <v>1</v>
      </c>
      <c r="V3847" t="str">
        <f>+Table1[[#This Row],[id_destino]]&amp;" - "&amp;Table1[[#This Row],[id_origen]]</f>
        <v>8 - 184</v>
      </c>
    </row>
    <row r="3848" spans="1:22" hidden="1">
      <c r="A3848">
        <v>3656</v>
      </c>
      <c r="B3848">
        <v>4140</v>
      </c>
      <c r="C3848">
        <v>5146</v>
      </c>
      <c r="D3848">
        <v>7284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 t="s">
        <v>20</v>
      </c>
      <c r="L3848" s="1">
        <v>45014</v>
      </c>
      <c r="M3848">
        <v>9</v>
      </c>
      <c r="N3848">
        <v>184</v>
      </c>
      <c r="O3848">
        <v>1392</v>
      </c>
      <c r="P3848">
        <v>1412</v>
      </c>
      <c r="Q3848">
        <v>1392</v>
      </c>
      <c r="S3848">
        <v>2335</v>
      </c>
      <c r="T3848">
        <v>2335</v>
      </c>
      <c r="U3848">
        <f>+SUM(Table1[[#This Row],[Latinos]:[Cemex]])</f>
        <v>1</v>
      </c>
      <c r="V3848" t="str">
        <f>+Table1[[#This Row],[id_destino]]&amp;" - "&amp;Table1[[#This Row],[id_origen]]</f>
        <v>9 - 184</v>
      </c>
    </row>
    <row r="3849" spans="1:22" hidden="1">
      <c r="A3849">
        <v>1531</v>
      </c>
      <c r="B3849">
        <v>2080</v>
      </c>
      <c r="C3849">
        <v>5171</v>
      </c>
      <c r="D3849">
        <v>5808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 t="s">
        <v>20</v>
      </c>
      <c r="L3849" s="1">
        <v>43494</v>
      </c>
      <c r="M3849">
        <v>18</v>
      </c>
      <c r="N3849">
        <v>184</v>
      </c>
      <c r="O3849">
        <v>38</v>
      </c>
      <c r="P3849">
        <v>150</v>
      </c>
      <c r="Q3849">
        <v>38</v>
      </c>
      <c r="S3849">
        <v>0</v>
      </c>
      <c r="T3849">
        <v>0</v>
      </c>
      <c r="U3849">
        <f>+SUM(Table1[[#This Row],[Latinos]:[Cemex]])</f>
        <v>1</v>
      </c>
      <c r="V3849" t="str">
        <f>+Table1[[#This Row],[id_destino]]&amp;" - "&amp;Table1[[#This Row],[id_origen]]</f>
        <v>18 - 184</v>
      </c>
    </row>
    <row r="3850" spans="1:22" hidden="1">
      <c r="A3850">
        <v>3536</v>
      </c>
      <c r="B3850">
        <v>3263</v>
      </c>
      <c r="C3850">
        <v>5146</v>
      </c>
      <c r="D3850">
        <v>7196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 t="s">
        <v>20</v>
      </c>
      <c r="L3850" s="1">
        <v>44950</v>
      </c>
      <c r="M3850">
        <v>26</v>
      </c>
      <c r="N3850">
        <v>184</v>
      </c>
      <c r="O3850">
        <v>534</v>
      </c>
      <c r="P3850">
        <v>529</v>
      </c>
      <c r="Q3850">
        <v>534</v>
      </c>
      <c r="S3850">
        <v>1798</v>
      </c>
      <c r="T3850">
        <v>1798</v>
      </c>
      <c r="U3850">
        <f>+SUM(Table1[[#This Row],[Latinos]:[Cemex]])</f>
        <v>1</v>
      </c>
      <c r="V3850" t="str">
        <f>+Table1[[#This Row],[id_destino]]&amp;" - "&amp;Table1[[#This Row],[id_origen]]</f>
        <v>26 - 184</v>
      </c>
    </row>
    <row r="3851" spans="1:22" hidden="1">
      <c r="A3851">
        <v>3614</v>
      </c>
      <c r="B3851">
        <v>4114</v>
      </c>
      <c r="C3851">
        <v>5146</v>
      </c>
      <c r="D3851">
        <v>6838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 t="s">
        <v>20</v>
      </c>
      <c r="L3851" s="1">
        <v>44985</v>
      </c>
      <c r="M3851">
        <v>27</v>
      </c>
      <c r="N3851">
        <v>184</v>
      </c>
      <c r="O3851">
        <v>854</v>
      </c>
      <c r="P3851">
        <v>849</v>
      </c>
      <c r="Q3851">
        <v>854</v>
      </c>
      <c r="S3851">
        <v>2381</v>
      </c>
      <c r="T3851">
        <v>2381</v>
      </c>
      <c r="U3851">
        <f>+SUM(Table1[[#This Row],[Latinos]:[Cemex]])</f>
        <v>1</v>
      </c>
      <c r="V3851" t="str">
        <f>+Table1[[#This Row],[id_destino]]&amp;" - "&amp;Table1[[#This Row],[id_origen]]</f>
        <v>27 - 184</v>
      </c>
    </row>
    <row r="3852" spans="1:22" hidden="1">
      <c r="A3852">
        <v>3650</v>
      </c>
      <c r="B3852">
        <v>4135</v>
      </c>
      <c r="C3852">
        <v>5146</v>
      </c>
      <c r="D3852">
        <v>7277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 t="s">
        <v>20</v>
      </c>
      <c r="L3852" s="1">
        <v>45013</v>
      </c>
      <c r="M3852">
        <v>30</v>
      </c>
      <c r="N3852">
        <v>184</v>
      </c>
      <c r="O3852">
        <v>1012</v>
      </c>
      <c r="P3852">
        <v>981</v>
      </c>
      <c r="Q3852">
        <v>1012</v>
      </c>
      <c r="S3852">
        <v>4231</v>
      </c>
      <c r="T3852">
        <v>4340</v>
      </c>
      <c r="U3852">
        <f>+SUM(Table1[[#This Row],[Latinos]:[Cemex]])</f>
        <v>1</v>
      </c>
      <c r="V3852" t="str">
        <f>+Table1[[#This Row],[id_destino]]&amp;" - "&amp;Table1[[#This Row],[id_origen]]</f>
        <v>30 - 184</v>
      </c>
    </row>
    <row r="3853" spans="1:22" hidden="1">
      <c r="A3853">
        <v>3652</v>
      </c>
      <c r="B3853">
        <v>4137</v>
      </c>
      <c r="C3853">
        <v>5146</v>
      </c>
      <c r="D3853">
        <v>7279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 t="s">
        <v>20</v>
      </c>
      <c r="L3853" s="1">
        <v>45037</v>
      </c>
      <c r="M3853">
        <v>35</v>
      </c>
      <c r="N3853">
        <v>184</v>
      </c>
      <c r="O3853">
        <v>420</v>
      </c>
      <c r="P3853">
        <v>459</v>
      </c>
      <c r="Q3853">
        <v>420</v>
      </c>
      <c r="S3853">
        <v>1502</v>
      </c>
      <c r="T3853">
        <v>1502</v>
      </c>
      <c r="U3853">
        <f>+SUM(Table1[[#This Row],[Latinos]:[Cemex]])</f>
        <v>1</v>
      </c>
      <c r="V3853" t="str">
        <f>+Table1[[#This Row],[id_destino]]&amp;" - "&amp;Table1[[#This Row],[id_origen]]</f>
        <v>35 - 184</v>
      </c>
    </row>
    <row r="3854" spans="1:22" hidden="1">
      <c r="A3854">
        <v>3533</v>
      </c>
      <c r="B3854">
        <v>4053</v>
      </c>
      <c r="C3854">
        <v>5146</v>
      </c>
      <c r="D3854">
        <v>7192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 t="s">
        <v>20</v>
      </c>
      <c r="L3854" s="1">
        <v>44950</v>
      </c>
      <c r="M3854">
        <v>41</v>
      </c>
      <c r="N3854">
        <v>184</v>
      </c>
      <c r="O3854">
        <v>507</v>
      </c>
      <c r="P3854">
        <v>530</v>
      </c>
      <c r="Q3854">
        <v>507</v>
      </c>
      <c r="S3854">
        <v>1258</v>
      </c>
      <c r="T3854">
        <v>1332</v>
      </c>
      <c r="U3854">
        <f>+SUM(Table1[[#This Row],[Latinos]:[Cemex]])</f>
        <v>1</v>
      </c>
      <c r="V3854" t="str">
        <f>+Table1[[#This Row],[id_destino]]&amp;" - "&amp;Table1[[#This Row],[id_origen]]</f>
        <v>41 - 184</v>
      </c>
    </row>
    <row r="3855" spans="1:22" hidden="1">
      <c r="A3855">
        <v>2217</v>
      </c>
      <c r="B3855">
        <v>3206</v>
      </c>
      <c r="C3855">
        <v>6258</v>
      </c>
      <c r="D3855">
        <v>63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 t="s">
        <v>20</v>
      </c>
      <c r="L3855" s="1">
        <v>43860</v>
      </c>
      <c r="M3855">
        <v>55</v>
      </c>
      <c r="N3855">
        <v>184</v>
      </c>
      <c r="O3855">
        <v>101</v>
      </c>
      <c r="P3855">
        <v>150</v>
      </c>
      <c r="Q3855">
        <v>101</v>
      </c>
      <c r="S3855">
        <v>110</v>
      </c>
      <c r="T3855">
        <v>110</v>
      </c>
      <c r="U3855">
        <f>+SUM(Table1[[#This Row],[Latinos]:[Cemex]])</f>
        <v>1</v>
      </c>
      <c r="V3855" t="str">
        <f>+Table1[[#This Row],[id_destino]]&amp;" - "&amp;Table1[[#This Row],[id_origen]]</f>
        <v>55 - 184</v>
      </c>
    </row>
    <row r="3856" spans="1:22" hidden="1">
      <c r="A3856">
        <v>3534</v>
      </c>
      <c r="B3856">
        <v>4054</v>
      </c>
      <c r="C3856">
        <v>5146</v>
      </c>
      <c r="D3856">
        <v>7193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 t="s">
        <v>20</v>
      </c>
      <c r="L3856" s="1">
        <v>44950</v>
      </c>
      <c r="M3856">
        <v>61</v>
      </c>
      <c r="N3856">
        <v>184</v>
      </c>
      <c r="O3856">
        <v>2576</v>
      </c>
      <c r="P3856">
        <v>2563</v>
      </c>
      <c r="Q3856">
        <v>2576</v>
      </c>
      <c r="S3856">
        <v>4942</v>
      </c>
      <c r="T3856">
        <v>5028</v>
      </c>
      <c r="U3856">
        <f>+SUM(Table1[[#This Row],[Latinos]:[Cemex]])</f>
        <v>1</v>
      </c>
      <c r="V3856" t="str">
        <f>+Table1[[#This Row],[id_destino]]&amp;" - "&amp;Table1[[#This Row],[id_origen]]</f>
        <v>61 - 184</v>
      </c>
    </row>
    <row r="3857" spans="1:22" hidden="1">
      <c r="A3857">
        <v>3609</v>
      </c>
      <c r="B3857">
        <v>4109</v>
      </c>
      <c r="C3857">
        <v>5146</v>
      </c>
      <c r="D3857">
        <v>7250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 t="s">
        <v>20</v>
      </c>
      <c r="L3857" s="1">
        <v>44985</v>
      </c>
      <c r="M3857">
        <v>62</v>
      </c>
      <c r="N3857">
        <v>184</v>
      </c>
      <c r="O3857">
        <v>407</v>
      </c>
      <c r="P3857">
        <v>386</v>
      </c>
      <c r="Q3857">
        <v>407</v>
      </c>
      <c r="S3857">
        <v>471</v>
      </c>
      <c r="T3857">
        <v>471</v>
      </c>
      <c r="U3857">
        <f>+SUM(Table1[[#This Row],[Latinos]:[Cemex]])</f>
        <v>1</v>
      </c>
      <c r="V3857" t="str">
        <f>+Table1[[#This Row],[id_destino]]&amp;" - "&amp;Table1[[#This Row],[id_origen]]</f>
        <v>62 - 184</v>
      </c>
    </row>
    <row r="3858" spans="1:22" hidden="1">
      <c r="A3858">
        <v>3612</v>
      </c>
      <c r="B3858">
        <v>4112</v>
      </c>
      <c r="C3858">
        <v>5146</v>
      </c>
      <c r="D3858">
        <v>7253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 t="s">
        <v>20</v>
      </c>
      <c r="L3858" s="1">
        <v>44985</v>
      </c>
      <c r="M3858">
        <v>65</v>
      </c>
      <c r="N3858">
        <v>184</v>
      </c>
      <c r="O3858">
        <v>119</v>
      </c>
      <c r="P3858">
        <v>155</v>
      </c>
      <c r="Q3858">
        <v>119</v>
      </c>
      <c r="S3858">
        <v>564</v>
      </c>
      <c r="T3858">
        <v>654</v>
      </c>
      <c r="U3858">
        <f>+SUM(Table1[[#This Row],[Latinos]:[Cemex]])</f>
        <v>1</v>
      </c>
      <c r="V3858" t="str">
        <f>+Table1[[#This Row],[id_destino]]&amp;" - "&amp;Table1[[#This Row],[id_origen]]</f>
        <v>65 - 184</v>
      </c>
    </row>
    <row r="3859" spans="1:22" hidden="1">
      <c r="A3859">
        <v>4168</v>
      </c>
      <c r="B3859">
        <v>4464</v>
      </c>
      <c r="C3859">
        <v>5171</v>
      </c>
      <c r="D3859">
        <v>4181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 t="s">
        <v>20</v>
      </c>
      <c r="L3859" s="1">
        <v>45335</v>
      </c>
      <c r="M3859">
        <v>105</v>
      </c>
      <c r="N3859">
        <v>184</v>
      </c>
      <c r="O3859">
        <v>45</v>
      </c>
      <c r="P3859">
        <v>150</v>
      </c>
      <c r="Q3859">
        <v>45</v>
      </c>
      <c r="S3859">
        <v>71</v>
      </c>
      <c r="T3859">
        <v>71</v>
      </c>
      <c r="U3859">
        <f>+SUM(Table1[[#This Row],[Latinos]:[Cemex]])</f>
        <v>1</v>
      </c>
      <c r="V3859" t="str">
        <f>+Table1[[#This Row],[id_destino]]&amp;" - "&amp;Table1[[#This Row],[id_origen]]</f>
        <v>105 - 184</v>
      </c>
    </row>
    <row r="3860" spans="1:22" hidden="1">
      <c r="A3860">
        <v>3538</v>
      </c>
      <c r="B3860">
        <v>4057</v>
      </c>
      <c r="C3860">
        <v>5146</v>
      </c>
      <c r="D3860">
        <v>7197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 t="s">
        <v>20</v>
      </c>
      <c r="L3860" s="1">
        <v>44950</v>
      </c>
      <c r="M3860">
        <v>134</v>
      </c>
      <c r="N3860">
        <v>184</v>
      </c>
      <c r="O3860">
        <v>1204</v>
      </c>
      <c r="P3860">
        <v>1207</v>
      </c>
      <c r="Q3860">
        <v>1204</v>
      </c>
      <c r="S3860">
        <v>2507</v>
      </c>
      <c r="T3860">
        <v>2581</v>
      </c>
      <c r="U3860">
        <f>+SUM(Table1[[#This Row],[Latinos]:[Cemex]])</f>
        <v>1</v>
      </c>
      <c r="V3860" t="str">
        <f>+Table1[[#This Row],[id_destino]]&amp;" - "&amp;Table1[[#This Row],[id_origen]]</f>
        <v>134 - 184</v>
      </c>
    </row>
    <row r="3861" spans="1:22" hidden="1">
      <c r="A3861">
        <v>3653</v>
      </c>
      <c r="B3861">
        <v>4138</v>
      </c>
      <c r="C3861">
        <v>5146</v>
      </c>
      <c r="D3861">
        <v>7281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 t="s">
        <v>20</v>
      </c>
      <c r="L3861" s="1">
        <v>45013</v>
      </c>
      <c r="M3861">
        <v>209</v>
      </c>
      <c r="N3861">
        <v>184</v>
      </c>
      <c r="O3861">
        <v>921</v>
      </c>
      <c r="P3861">
        <v>948</v>
      </c>
      <c r="Q3861">
        <v>921</v>
      </c>
      <c r="S3861">
        <v>2157</v>
      </c>
      <c r="T3861">
        <v>2157</v>
      </c>
      <c r="U3861">
        <f>+SUM(Table1[[#This Row],[Latinos]:[Cemex]])</f>
        <v>1</v>
      </c>
      <c r="V3861" t="str">
        <f>+Table1[[#This Row],[id_destino]]&amp;" - "&amp;Table1[[#This Row],[id_origen]]</f>
        <v>209 - 184</v>
      </c>
    </row>
    <row r="3862" spans="1:22" hidden="1">
      <c r="A3862">
        <v>3674</v>
      </c>
      <c r="B3862">
        <v>4154</v>
      </c>
      <c r="C3862">
        <v>5146</v>
      </c>
      <c r="D3862">
        <v>7280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 t="s">
        <v>20</v>
      </c>
      <c r="L3862" s="1">
        <v>45021</v>
      </c>
      <c r="M3862">
        <v>369</v>
      </c>
      <c r="N3862">
        <v>184</v>
      </c>
      <c r="O3862">
        <v>1630</v>
      </c>
      <c r="P3862">
        <v>1680</v>
      </c>
      <c r="Q3862">
        <v>1630</v>
      </c>
      <c r="S3862">
        <v>5223</v>
      </c>
      <c r="T3862">
        <v>5406</v>
      </c>
      <c r="U3862">
        <f>+SUM(Table1[[#This Row],[Latinos]:[Cemex]])</f>
        <v>1</v>
      </c>
      <c r="V3862" t="str">
        <f>+Table1[[#This Row],[id_destino]]&amp;" - "&amp;Table1[[#This Row],[id_origen]]</f>
        <v>369 - 184</v>
      </c>
    </row>
    <row r="3863" spans="1:22" hidden="1">
      <c r="A3863">
        <v>3532</v>
      </c>
      <c r="B3863">
        <v>4052</v>
      </c>
      <c r="C3863">
        <v>5146</v>
      </c>
      <c r="D3863">
        <v>7191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 t="s">
        <v>20</v>
      </c>
      <c r="L3863" s="1">
        <v>44950</v>
      </c>
      <c r="M3863">
        <v>428</v>
      </c>
      <c r="N3863">
        <v>184</v>
      </c>
      <c r="O3863">
        <v>943</v>
      </c>
      <c r="P3863">
        <v>970</v>
      </c>
      <c r="Q3863">
        <v>943</v>
      </c>
      <c r="S3863">
        <v>2349</v>
      </c>
      <c r="T3863">
        <v>2423</v>
      </c>
      <c r="U3863">
        <f>+SUM(Table1[[#This Row],[Latinos]:[Cemex]])</f>
        <v>1</v>
      </c>
      <c r="V3863" t="str">
        <f>+Table1[[#This Row],[id_destino]]&amp;" - "&amp;Table1[[#This Row],[id_origen]]</f>
        <v>428 - 184</v>
      </c>
    </row>
    <row r="3864" spans="1:22" hidden="1">
      <c r="A3864">
        <v>3610</v>
      </c>
      <c r="B3864">
        <v>4110</v>
      </c>
      <c r="C3864">
        <v>5146</v>
      </c>
      <c r="D3864">
        <v>7251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 t="s">
        <v>20</v>
      </c>
      <c r="L3864" s="1">
        <v>44985</v>
      </c>
      <c r="M3864">
        <v>435</v>
      </c>
      <c r="N3864">
        <v>184</v>
      </c>
      <c r="O3864">
        <v>981</v>
      </c>
      <c r="P3864">
        <v>997</v>
      </c>
      <c r="Q3864">
        <v>981</v>
      </c>
      <c r="S3864">
        <v>2709</v>
      </c>
      <c r="T3864">
        <v>2799</v>
      </c>
      <c r="U3864">
        <f>+SUM(Table1[[#This Row],[Latinos]:[Cemex]])</f>
        <v>1</v>
      </c>
      <c r="V3864" t="str">
        <f>+Table1[[#This Row],[id_destino]]&amp;" - "&amp;Table1[[#This Row],[id_origen]]</f>
        <v>435 - 184</v>
      </c>
    </row>
    <row r="3865" spans="1:22" hidden="1">
      <c r="A3865">
        <v>3649</v>
      </c>
      <c r="B3865">
        <v>4134</v>
      </c>
      <c r="C3865">
        <v>5146</v>
      </c>
      <c r="D3865">
        <v>7276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 t="s">
        <v>20</v>
      </c>
      <c r="L3865" s="1">
        <v>45013</v>
      </c>
      <c r="M3865">
        <v>492</v>
      </c>
      <c r="N3865">
        <v>184</v>
      </c>
      <c r="O3865">
        <v>328</v>
      </c>
      <c r="P3865">
        <v>374</v>
      </c>
      <c r="Q3865">
        <v>328</v>
      </c>
      <c r="S3865">
        <v>1059</v>
      </c>
      <c r="T3865">
        <v>1061</v>
      </c>
      <c r="U3865">
        <f>+SUM(Table1[[#This Row],[Latinos]:[Cemex]])</f>
        <v>1</v>
      </c>
      <c r="V3865" t="str">
        <f>+Table1[[#This Row],[id_destino]]&amp;" - "&amp;Table1[[#This Row],[id_origen]]</f>
        <v>492 - 184</v>
      </c>
    </row>
    <row r="3866" spans="1:22" hidden="1">
      <c r="A3866">
        <v>3654</v>
      </c>
      <c r="B3866">
        <v>4139</v>
      </c>
      <c r="C3866">
        <v>5146</v>
      </c>
      <c r="D3866">
        <v>7282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 t="s">
        <v>20</v>
      </c>
      <c r="L3866" s="1">
        <v>45013</v>
      </c>
      <c r="M3866">
        <v>497</v>
      </c>
      <c r="N3866">
        <v>184</v>
      </c>
      <c r="O3866">
        <v>290</v>
      </c>
      <c r="P3866">
        <v>258</v>
      </c>
      <c r="Q3866">
        <v>290</v>
      </c>
      <c r="S3866">
        <v>785</v>
      </c>
      <c r="T3866">
        <v>894</v>
      </c>
      <c r="U3866">
        <f>+SUM(Table1[[#This Row],[Latinos]:[Cemex]])</f>
        <v>1</v>
      </c>
      <c r="V3866" t="str">
        <f>+Table1[[#This Row],[id_destino]]&amp;" - "&amp;Table1[[#This Row],[id_origen]]</f>
        <v>497 - 184</v>
      </c>
    </row>
    <row r="3867" spans="1:22" hidden="1">
      <c r="A3867">
        <v>1953</v>
      </c>
      <c r="B3867">
        <v>3042</v>
      </c>
      <c r="C3867">
        <v>5146</v>
      </c>
      <c r="D3867">
        <v>7198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 t="s">
        <v>20</v>
      </c>
      <c r="L3867" s="1">
        <v>44950</v>
      </c>
      <c r="M3867">
        <v>503</v>
      </c>
      <c r="N3867">
        <v>184</v>
      </c>
      <c r="O3867">
        <v>270</v>
      </c>
      <c r="P3867">
        <v>277</v>
      </c>
      <c r="Q3867">
        <v>270</v>
      </c>
      <c r="S3867">
        <v>471</v>
      </c>
      <c r="T3867">
        <v>471</v>
      </c>
      <c r="U3867">
        <f>+SUM(Table1[[#This Row],[Latinos]:[Cemex]])</f>
        <v>1</v>
      </c>
      <c r="V3867" t="str">
        <f>+Table1[[#This Row],[id_destino]]&amp;" - "&amp;Table1[[#This Row],[id_origen]]</f>
        <v>503 - 184</v>
      </c>
    </row>
    <row r="3868" spans="1:22" hidden="1">
      <c r="A3868">
        <v>3539</v>
      </c>
      <c r="B3868">
        <v>4058</v>
      </c>
      <c r="C3868">
        <v>5146</v>
      </c>
      <c r="D3868">
        <v>7199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 t="s">
        <v>20</v>
      </c>
      <c r="L3868" s="1">
        <v>44950</v>
      </c>
      <c r="M3868">
        <v>527</v>
      </c>
      <c r="N3868">
        <v>184</v>
      </c>
      <c r="O3868">
        <v>329</v>
      </c>
      <c r="P3868">
        <v>324</v>
      </c>
      <c r="Q3868">
        <v>329</v>
      </c>
      <c r="S3868">
        <v>929</v>
      </c>
      <c r="T3868">
        <v>929</v>
      </c>
      <c r="U3868">
        <f>+SUM(Table1[[#This Row],[Latinos]:[Cemex]])</f>
        <v>1</v>
      </c>
      <c r="V3868" t="str">
        <f>+Table1[[#This Row],[id_destino]]&amp;" - "&amp;Table1[[#This Row],[id_origen]]</f>
        <v>527 - 184</v>
      </c>
    </row>
    <row r="3869" spans="1:22" hidden="1">
      <c r="A3869">
        <v>3535</v>
      </c>
      <c r="B3869">
        <v>4055</v>
      </c>
      <c r="C3869">
        <v>5146</v>
      </c>
      <c r="D3869">
        <v>7195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 t="s">
        <v>20</v>
      </c>
      <c r="L3869" s="1">
        <v>44950</v>
      </c>
      <c r="M3869">
        <v>602</v>
      </c>
      <c r="N3869">
        <v>184</v>
      </c>
      <c r="O3869">
        <v>100</v>
      </c>
      <c r="P3869">
        <v>100</v>
      </c>
      <c r="Q3869">
        <v>100</v>
      </c>
      <c r="S3869">
        <v>199</v>
      </c>
      <c r="T3869">
        <v>199</v>
      </c>
      <c r="U3869">
        <f>+SUM(Table1[[#This Row],[Latinos]:[Cemex]])</f>
        <v>1</v>
      </c>
      <c r="V3869" t="str">
        <f>+Table1[[#This Row],[id_destino]]&amp;" - "&amp;Table1[[#This Row],[id_origen]]</f>
        <v>602 - 184</v>
      </c>
    </row>
    <row r="3870" spans="1:22" hidden="1">
      <c r="A3870">
        <v>3660</v>
      </c>
      <c r="B3870">
        <v>4144</v>
      </c>
      <c r="C3870">
        <v>5146</v>
      </c>
      <c r="D3870">
        <v>5538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 t="s">
        <v>20</v>
      </c>
      <c r="L3870" s="1">
        <v>45014</v>
      </c>
      <c r="M3870">
        <v>654</v>
      </c>
      <c r="N3870">
        <v>184</v>
      </c>
      <c r="O3870">
        <v>801</v>
      </c>
      <c r="P3870">
        <v>789</v>
      </c>
      <c r="Q3870">
        <v>801</v>
      </c>
      <c r="S3870">
        <v>2916</v>
      </c>
      <c r="T3870">
        <v>3025</v>
      </c>
      <c r="U3870">
        <f>+SUM(Table1[[#This Row],[Latinos]:[Cemex]])</f>
        <v>1</v>
      </c>
      <c r="V3870" t="str">
        <f>+Table1[[#This Row],[id_destino]]&amp;" - "&amp;Table1[[#This Row],[id_origen]]</f>
        <v>654 - 184</v>
      </c>
    </row>
    <row r="3871" spans="1:22" hidden="1">
      <c r="A3871">
        <v>3651</v>
      </c>
      <c r="B3871">
        <v>4136</v>
      </c>
      <c r="C3871">
        <v>5146</v>
      </c>
      <c r="D3871">
        <v>7278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 t="s">
        <v>20</v>
      </c>
      <c r="L3871" s="1">
        <v>45013</v>
      </c>
      <c r="M3871">
        <v>673</v>
      </c>
      <c r="N3871">
        <v>184</v>
      </c>
      <c r="O3871">
        <v>1001</v>
      </c>
      <c r="P3871">
        <v>1008</v>
      </c>
      <c r="Q3871">
        <v>1001</v>
      </c>
      <c r="S3871">
        <v>2157</v>
      </c>
      <c r="T3871">
        <v>2157</v>
      </c>
      <c r="U3871">
        <f>+SUM(Table1[[#This Row],[Latinos]:[Cemex]])</f>
        <v>1</v>
      </c>
      <c r="V3871" t="str">
        <f>+Table1[[#This Row],[id_destino]]&amp;" - "&amp;Table1[[#This Row],[id_origen]]</f>
        <v>673 - 184</v>
      </c>
    </row>
    <row r="3872" spans="1:22" hidden="1">
      <c r="A3872">
        <v>3537</v>
      </c>
      <c r="B3872">
        <v>4056</v>
      </c>
      <c r="C3872">
        <v>5146</v>
      </c>
      <c r="D3872">
        <v>7194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 t="s">
        <v>20</v>
      </c>
      <c r="L3872" s="1">
        <v>44950</v>
      </c>
      <c r="M3872">
        <v>816</v>
      </c>
      <c r="N3872">
        <v>184</v>
      </c>
      <c r="O3872">
        <v>664</v>
      </c>
      <c r="P3872">
        <v>641</v>
      </c>
      <c r="Q3872">
        <v>664</v>
      </c>
      <c r="S3872">
        <v>2030</v>
      </c>
      <c r="T3872">
        <v>2030</v>
      </c>
      <c r="U3872">
        <f>+SUM(Table1[[#This Row],[Latinos]:[Cemex]])</f>
        <v>1</v>
      </c>
      <c r="V3872" t="str">
        <f>+Table1[[#This Row],[id_destino]]&amp;" - "&amp;Table1[[#This Row],[id_origen]]</f>
        <v>816 - 184</v>
      </c>
    </row>
    <row r="3873" spans="1:22" hidden="1">
      <c r="A3873">
        <v>2501</v>
      </c>
      <c r="B3873">
        <v>3383</v>
      </c>
      <c r="C3873">
        <v>6396</v>
      </c>
      <c r="D3873">
        <v>6446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 t="s">
        <v>20</v>
      </c>
      <c r="L3873" s="1">
        <v>44135</v>
      </c>
      <c r="M3873">
        <v>3</v>
      </c>
      <c r="N3873">
        <v>185</v>
      </c>
      <c r="O3873">
        <v>813</v>
      </c>
      <c r="P3873">
        <v>820</v>
      </c>
      <c r="Q3873">
        <v>813</v>
      </c>
      <c r="S3873">
        <v>1942</v>
      </c>
      <c r="T3873">
        <v>2016</v>
      </c>
      <c r="U3873">
        <f>+SUM(Table1[[#This Row],[Latinos]:[Cemex]])</f>
        <v>1</v>
      </c>
      <c r="V3873" t="str">
        <f>+Table1[[#This Row],[id_destino]]&amp;" - "&amp;Table1[[#This Row],[id_origen]]</f>
        <v>3 - 185</v>
      </c>
    </row>
    <row r="3874" spans="1:22" hidden="1">
      <c r="A3874">
        <v>2676</v>
      </c>
      <c r="B3874">
        <v>3494</v>
      </c>
      <c r="C3874">
        <v>6396</v>
      </c>
      <c r="D3874">
        <v>6579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 t="s">
        <v>20</v>
      </c>
      <c r="L3874" s="1">
        <v>44334</v>
      </c>
      <c r="M3874">
        <v>4</v>
      </c>
      <c r="N3874">
        <v>185</v>
      </c>
      <c r="O3874">
        <v>910</v>
      </c>
      <c r="P3874">
        <v>910</v>
      </c>
      <c r="Q3874">
        <v>910</v>
      </c>
      <c r="S3874">
        <v>0</v>
      </c>
      <c r="T3874">
        <v>0</v>
      </c>
      <c r="U3874">
        <f>+SUM(Table1[[#This Row],[Latinos]:[Cemex]])</f>
        <v>1</v>
      </c>
      <c r="V3874" t="str">
        <f>+Table1[[#This Row],[id_destino]]&amp;" - "&amp;Table1[[#This Row],[id_origen]]</f>
        <v>4 - 185</v>
      </c>
    </row>
    <row r="3875" spans="1:22" hidden="1">
      <c r="A3875">
        <v>2504</v>
      </c>
      <c r="B3875">
        <v>3386</v>
      </c>
      <c r="C3875">
        <v>6396</v>
      </c>
      <c r="D3875">
        <v>6449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 t="s">
        <v>20</v>
      </c>
      <c r="L3875" s="1">
        <v>44138</v>
      </c>
      <c r="M3875">
        <v>11</v>
      </c>
      <c r="N3875">
        <v>185</v>
      </c>
      <c r="O3875">
        <v>179</v>
      </c>
      <c r="P3875">
        <v>170</v>
      </c>
      <c r="Q3875">
        <v>179</v>
      </c>
      <c r="S3875">
        <v>373</v>
      </c>
      <c r="T3875">
        <v>373</v>
      </c>
      <c r="U3875">
        <f>+SUM(Table1[[#This Row],[Latinos]:[Cemex]])</f>
        <v>1</v>
      </c>
      <c r="V3875" t="str">
        <f>+Table1[[#This Row],[id_destino]]&amp;" - "&amp;Table1[[#This Row],[id_origen]]</f>
        <v>11 - 185</v>
      </c>
    </row>
    <row r="3876" spans="1:22" hidden="1">
      <c r="A3876">
        <v>2541</v>
      </c>
      <c r="B3876">
        <v>3408</v>
      </c>
      <c r="C3876">
        <v>6396</v>
      </c>
      <c r="D3876">
        <v>6470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 t="s">
        <v>20</v>
      </c>
      <c r="L3876" s="1">
        <v>44166</v>
      </c>
      <c r="M3876">
        <v>15</v>
      </c>
      <c r="N3876">
        <v>185</v>
      </c>
      <c r="O3876">
        <v>1820</v>
      </c>
      <c r="P3876">
        <v>1743</v>
      </c>
      <c r="Q3876">
        <v>1820</v>
      </c>
      <c r="S3876">
        <v>2175</v>
      </c>
      <c r="T3876">
        <v>2644</v>
      </c>
      <c r="U3876">
        <f>+SUM(Table1[[#This Row],[Latinos]:[Cemex]])</f>
        <v>1</v>
      </c>
      <c r="V3876" t="str">
        <f>+Table1[[#This Row],[id_destino]]&amp;" - "&amp;Table1[[#This Row],[id_origen]]</f>
        <v>15 - 185</v>
      </c>
    </row>
    <row r="3877" spans="1:22" hidden="1">
      <c r="A3877">
        <v>2449</v>
      </c>
      <c r="B3877">
        <v>3352</v>
      </c>
      <c r="C3877">
        <v>6396</v>
      </c>
      <c r="D3877">
        <v>6402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  <c r="K3877" t="s">
        <v>20</v>
      </c>
      <c r="L3877" s="1">
        <v>44081</v>
      </c>
      <c r="M3877">
        <v>16</v>
      </c>
      <c r="N3877">
        <v>185</v>
      </c>
      <c r="O3877">
        <v>1397</v>
      </c>
      <c r="P3877">
        <v>1391</v>
      </c>
      <c r="Q3877">
        <v>1397</v>
      </c>
      <c r="S3877">
        <v>1994</v>
      </c>
      <c r="T3877">
        <v>1994</v>
      </c>
      <c r="U3877">
        <f>+SUM(Table1[[#This Row],[Latinos]:[Cemex]])</f>
        <v>1</v>
      </c>
      <c r="V3877" t="str">
        <f>+Table1[[#This Row],[id_destino]]&amp;" - "&amp;Table1[[#This Row],[id_origen]]</f>
        <v>16 - 185</v>
      </c>
    </row>
    <row r="3878" spans="1:22" hidden="1">
      <c r="A3878">
        <v>2456</v>
      </c>
      <c r="B3878">
        <v>3356</v>
      </c>
      <c r="C3878">
        <v>6396</v>
      </c>
      <c r="D3878">
        <v>6405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 t="s">
        <v>20</v>
      </c>
      <c r="L3878" s="1">
        <v>44084</v>
      </c>
      <c r="M3878">
        <v>17</v>
      </c>
      <c r="N3878">
        <v>185</v>
      </c>
      <c r="O3878">
        <v>920</v>
      </c>
      <c r="P3878">
        <v>859</v>
      </c>
      <c r="Q3878">
        <v>920</v>
      </c>
      <c r="S3878">
        <v>846</v>
      </c>
      <c r="T3878">
        <v>846</v>
      </c>
      <c r="U3878">
        <f>+SUM(Table1[[#This Row],[Latinos]:[Cemex]])</f>
        <v>1</v>
      </c>
      <c r="V3878" t="str">
        <f>+Table1[[#This Row],[id_destino]]&amp;" - "&amp;Table1[[#This Row],[id_origen]]</f>
        <v>17 - 185</v>
      </c>
    </row>
    <row r="3879" spans="1:22" hidden="1">
      <c r="A3879">
        <v>2586</v>
      </c>
      <c r="B3879">
        <v>3436</v>
      </c>
      <c r="C3879">
        <v>6396</v>
      </c>
      <c r="D3879">
        <v>6499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 t="s">
        <v>20</v>
      </c>
      <c r="L3879" s="1">
        <v>44204</v>
      </c>
      <c r="M3879">
        <v>23</v>
      </c>
      <c r="N3879">
        <v>185</v>
      </c>
      <c r="O3879">
        <v>507</v>
      </c>
      <c r="P3879">
        <v>489</v>
      </c>
      <c r="Q3879">
        <v>507</v>
      </c>
      <c r="S3879">
        <v>1743</v>
      </c>
      <c r="T3879">
        <v>1743</v>
      </c>
      <c r="U3879">
        <f>+SUM(Table1[[#This Row],[Latinos]:[Cemex]])</f>
        <v>1</v>
      </c>
      <c r="V3879" t="str">
        <f>+Table1[[#This Row],[id_destino]]&amp;" - "&amp;Table1[[#This Row],[id_origen]]</f>
        <v>23 - 185</v>
      </c>
    </row>
    <row r="3880" spans="1:22" hidden="1">
      <c r="A3880">
        <v>2664</v>
      </c>
      <c r="B3880">
        <v>3487</v>
      </c>
      <c r="C3880">
        <v>6396</v>
      </c>
      <c r="D3880">
        <v>6570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 t="s">
        <v>20</v>
      </c>
      <c r="L3880" s="1">
        <v>44315</v>
      </c>
      <c r="M3880">
        <v>24</v>
      </c>
      <c r="N3880">
        <v>185</v>
      </c>
      <c r="O3880">
        <v>813</v>
      </c>
      <c r="P3880">
        <v>793</v>
      </c>
      <c r="Q3880">
        <v>813</v>
      </c>
      <c r="S3880">
        <v>0</v>
      </c>
      <c r="T3880">
        <v>0</v>
      </c>
      <c r="U3880">
        <f>+SUM(Table1[[#This Row],[Latinos]:[Cemex]])</f>
        <v>1</v>
      </c>
      <c r="V3880" t="str">
        <f>+Table1[[#This Row],[id_destino]]&amp;" - "&amp;Table1[[#This Row],[id_origen]]</f>
        <v>24 - 185</v>
      </c>
    </row>
    <row r="3881" spans="1:22" hidden="1">
      <c r="A3881">
        <v>2445</v>
      </c>
      <c r="B3881">
        <v>3349</v>
      </c>
      <c r="C3881">
        <v>6396</v>
      </c>
      <c r="D3881">
        <v>6398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 t="s">
        <v>20</v>
      </c>
      <c r="L3881" s="1">
        <v>44078</v>
      </c>
      <c r="M3881">
        <v>34</v>
      </c>
      <c r="N3881">
        <v>185</v>
      </c>
      <c r="O3881">
        <v>959</v>
      </c>
      <c r="P3881">
        <v>953</v>
      </c>
      <c r="Q3881">
        <v>959</v>
      </c>
      <c r="S3881">
        <v>1014</v>
      </c>
      <c r="T3881">
        <v>1136</v>
      </c>
      <c r="U3881">
        <f>+SUM(Table1[[#This Row],[Latinos]:[Cemex]])</f>
        <v>1</v>
      </c>
      <c r="V3881" t="str">
        <f>+Table1[[#This Row],[id_destino]]&amp;" - "&amp;Table1[[#This Row],[id_origen]]</f>
        <v>34 - 185</v>
      </c>
    </row>
    <row r="3882" spans="1:22" hidden="1">
      <c r="A3882">
        <v>2590</v>
      </c>
      <c r="B3882">
        <v>3439</v>
      </c>
      <c r="C3882">
        <v>6396</v>
      </c>
      <c r="D3882">
        <v>6506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 t="s">
        <v>20</v>
      </c>
      <c r="L3882" s="1">
        <v>44215</v>
      </c>
      <c r="M3882">
        <v>35</v>
      </c>
      <c r="N3882">
        <v>185</v>
      </c>
      <c r="O3882">
        <v>470</v>
      </c>
      <c r="P3882">
        <v>475</v>
      </c>
      <c r="Q3882">
        <v>470</v>
      </c>
      <c r="S3882">
        <v>787</v>
      </c>
      <c r="T3882">
        <v>787</v>
      </c>
      <c r="U3882">
        <f>+SUM(Table1[[#This Row],[Latinos]:[Cemex]])</f>
        <v>1</v>
      </c>
      <c r="V3882" t="str">
        <f>+Table1[[#This Row],[id_destino]]&amp;" - "&amp;Table1[[#This Row],[id_origen]]</f>
        <v>35 - 185</v>
      </c>
    </row>
    <row r="3883" spans="1:22" hidden="1">
      <c r="A3883">
        <v>2444</v>
      </c>
      <c r="B3883">
        <v>3348</v>
      </c>
      <c r="C3883">
        <v>6396</v>
      </c>
      <c r="D3883">
        <v>6397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 t="s">
        <v>20</v>
      </c>
      <c r="L3883" s="1">
        <v>44077</v>
      </c>
      <c r="M3883">
        <v>49</v>
      </c>
      <c r="N3883">
        <v>185</v>
      </c>
      <c r="O3883">
        <v>457</v>
      </c>
      <c r="P3883">
        <v>510</v>
      </c>
      <c r="Q3883">
        <v>457</v>
      </c>
      <c r="S3883">
        <v>922</v>
      </c>
      <c r="T3883">
        <v>996</v>
      </c>
      <c r="U3883">
        <f>+SUM(Table1[[#This Row],[Latinos]:[Cemex]])</f>
        <v>1</v>
      </c>
      <c r="V3883" t="str">
        <f>+Table1[[#This Row],[id_destino]]&amp;" - "&amp;Table1[[#This Row],[id_origen]]</f>
        <v>49 - 185</v>
      </c>
    </row>
    <row r="3884" spans="1:22" hidden="1">
      <c r="A3884">
        <v>2502</v>
      </c>
      <c r="B3884">
        <v>3384</v>
      </c>
      <c r="C3884">
        <v>6396</v>
      </c>
      <c r="D3884">
        <v>6447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 t="s">
        <v>20</v>
      </c>
      <c r="L3884" s="1">
        <v>44135</v>
      </c>
      <c r="M3884">
        <v>54</v>
      </c>
      <c r="N3884">
        <v>185</v>
      </c>
      <c r="O3884">
        <v>806</v>
      </c>
      <c r="P3884">
        <v>806</v>
      </c>
      <c r="Q3884">
        <v>806</v>
      </c>
      <c r="S3884">
        <v>787</v>
      </c>
      <c r="T3884">
        <v>787</v>
      </c>
      <c r="U3884">
        <f>+SUM(Table1[[#This Row],[Latinos]:[Cemex]])</f>
        <v>1</v>
      </c>
      <c r="V3884" t="str">
        <f>+Table1[[#This Row],[id_destino]]&amp;" - "&amp;Table1[[#This Row],[id_origen]]</f>
        <v>54 - 185</v>
      </c>
    </row>
    <row r="3885" spans="1:22" hidden="1">
      <c r="A3885">
        <v>2709</v>
      </c>
      <c r="B3885">
        <v>3516</v>
      </c>
      <c r="C3885">
        <v>6396</v>
      </c>
      <c r="D3885">
        <v>6590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 t="s">
        <v>20</v>
      </c>
      <c r="L3885" s="1">
        <v>44365</v>
      </c>
      <c r="M3885">
        <v>60</v>
      </c>
      <c r="N3885">
        <v>185</v>
      </c>
      <c r="O3885">
        <v>2842</v>
      </c>
      <c r="P3885">
        <v>2793</v>
      </c>
      <c r="Q3885">
        <v>2842</v>
      </c>
      <c r="S3885">
        <v>1802</v>
      </c>
      <c r="T3885">
        <v>1802</v>
      </c>
      <c r="U3885">
        <f>+SUM(Table1[[#This Row],[Latinos]:[Cemex]])</f>
        <v>1</v>
      </c>
      <c r="V3885" t="str">
        <f>+Table1[[#This Row],[id_destino]]&amp;" - "&amp;Table1[[#This Row],[id_origen]]</f>
        <v>60 - 185</v>
      </c>
    </row>
    <row r="3886" spans="1:22" hidden="1">
      <c r="A3886">
        <v>2674</v>
      </c>
      <c r="B3886">
        <v>3492</v>
      </c>
      <c r="C3886">
        <v>6396</v>
      </c>
      <c r="D3886">
        <v>6577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 t="s">
        <v>20</v>
      </c>
      <c r="L3886" s="1">
        <v>44334</v>
      </c>
      <c r="M3886">
        <v>102</v>
      </c>
      <c r="N3886">
        <v>185</v>
      </c>
      <c r="O3886">
        <v>1118</v>
      </c>
      <c r="P3886">
        <v>1118</v>
      </c>
      <c r="Q3886">
        <v>1118</v>
      </c>
      <c r="S3886">
        <v>0</v>
      </c>
      <c r="T3886">
        <v>0</v>
      </c>
      <c r="U3886">
        <f>+SUM(Table1[[#This Row],[Latinos]:[Cemex]])</f>
        <v>1</v>
      </c>
      <c r="V3886" t="str">
        <f>+Table1[[#This Row],[id_destino]]&amp;" - "&amp;Table1[[#This Row],[id_origen]]</f>
        <v>102 - 185</v>
      </c>
    </row>
    <row r="3887" spans="1:22" hidden="1">
      <c r="A3887">
        <v>2700</v>
      </c>
      <c r="B3887">
        <v>3508</v>
      </c>
      <c r="C3887">
        <v>6396</v>
      </c>
      <c r="D3887">
        <v>6599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 t="s">
        <v>20</v>
      </c>
      <c r="L3887" s="1">
        <v>44358</v>
      </c>
      <c r="M3887">
        <v>140</v>
      </c>
      <c r="N3887">
        <v>185</v>
      </c>
      <c r="O3887">
        <v>1034</v>
      </c>
      <c r="P3887">
        <v>1048</v>
      </c>
      <c r="Q3887">
        <v>1034</v>
      </c>
      <c r="S3887">
        <v>0</v>
      </c>
      <c r="T3887">
        <v>0</v>
      </c>
      <c r="U3887">
        <f>+SUM(Table1[[#This Row],[Latinos]:[Cemex]])</f>
        <v>1</v>
      </c>
      <c r="V3887" t="str">
        <f>+Table1[[#This Row],[id_destino]]&amp;" - "&amp;Table1[[#This Row],[id_origen]]</f>
        <v>140 - 185</v>
      </c>
    </row>
    <row r="3888" spans="1:22" hidden="1">
      <c r="A3888">
        <v>2485</v>
      </c>
      <c r="B3888">
        <v>3373</v>
      </c>
      <c r="C3888">
        <v>6396</v>
      </c>
      <c r="D3888">
        <v>6431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 t="s">
        <v>20</v>
      </c>
      <c r="L3888" s="1">
        <v>44117</v>
      </c>
      <c r="M3888">
        <v>152</v>
      </c>
      <c r="N3888">
        <v>185</v>
      </c>
      <c r="O3888">
        <v>1472</v>
      </c>
      <c r="P3888">
        <v>1282</v>
      </c>
      <c r="Q3888">
        <v>1472</v>
      </c>
      <c r="S3888">
        <v>3578</v>
      </c>
      <c r="T3888">
        <v>3615</v>
      </c>
      <c r="U3888">
        <f>+SUM(Table1[[#This Row],[Latinos]:[Cemex]])</f>
        <v>1</v>
      </c>
      <c r="V3888" t="str">
        <f>+Table1[[#This Row],[id_destino]]&amp;" - "&amp;Table1[[#This Row],[id_origen]]</f>
        <v>152 - 185</v>
      </c>
    </row>
    <row r="3889" spans="1:22" hidden="1">
      <c r="A3889">
        <v>2503</v>
      </c>
      <c r="B3889">
        <v>3385</v>
      </c>
      <c r="C3889">
        <v>6396</v>
      </c>
      <c r="D3889">
        <v>6448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 t="s">
        <v>20</v>
      </c>
      <c r="L3889" s="1">
        <v>44135</v>
      </c>
      <c r="M3889">
        <v>180</v>
      </c>
      <c r="N3889">
        <v>185</v>
      </c>
      <c r="O3889">
        <v>1147</v>
      </c>
      <c r="P3889">
        <v>1161</v>
      </c>
      <c r="Q3889">
        <v>1147</v>
      </c>
      <c r="S3889">
        <v>1158</v>
      </c>
      <c r="T3889">
        <v>1158</v>
      </c>
      <c r="U3889">
        <f>+SUM(Table1[[#This Row],[Latinos]:[Cemex]])</f>
        <v>1</v>
      </c>
      <c r="V3889" t="str">
        <f>+Table1[[#This Row],[id_destino]]&amp;" - "&amp;Table1[[#This Row],[id_origen]]</f>
        <v>180 - 185</v>
      </c>
    </row>
    <row r="3890" spans="1:22" hidden="1">
      <c r="A3890">
        <v>2677</v>
      </c>
      <c r="B3890">
        <v>3495</v>
      </c>
      <c r="C3890">
        <v>6396</v>
      </c>
      <c r="D3890">
        <v>6580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 t="s">
        <v>20</v>
      </c>
      <c r="L3890" s="1">
        <v>44334</v>
      </c>
      <c r="M3890">
        <v>214</v>
      </c>
      <c r="N3890">
        <v>185</v>
      </c>
      <c r="O3890">
        <v>805</v>
      </c>
      <c r="P3890">
        <v>805</v>
      </c>
      <c r="Q3890">
        <v>805</v>
      </c>
      <c r="S3890">
        <v>0</v>
      </c>
      <c r="T3890">
        <v>0</v>
      </c>
      <c r="U3890">
        <f>+SUM(Table1[[#This Row],[Latinos]:[Cemex]])</f>
        <v>1</v>
      </c>
      <c r="V3890" t="str">
        <f>+Table1[[#This Row],[id_destino]]&amp;" - "&amp;Table1[[#This Row],[id_origen]]</f>
        <v>214 - 185</v>
      </c>
    </row>
    <row r="3891" spans="1:22" hidden="1">
      <c r="A3891">
        <v>2484</v>
      </c>
      <c r="B3891">
        <v>3372</v>
      </c>
      <c r="C3891">
        <v>6396</v>
      </c>
      <c r="D3891">
        <v>6430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 t="s">
        <v>20</v>
      </c>
      <c r="L3891" s="1">
        <v>44117</v>
      </c>
      <c r="M3891">
        <v>260</v>
      </c>
      <c r="N3891">
        <v>185</v>
      </c>
      <c r="O3891">
        <v>1456</v>
      </c>
      <c r="P3891">
        <v>1376</v>
      </c>
      <c r="Q3891">
        <v>1456</v>
      </c>
      <c r="S3891">
        <v>3645</v>
      </c>
      <c r="T3891">
        <v>3719</v>
      </c>
      <c r="U3891">
        <f>+SUM(Table1[[#This Row],[Latinos]:[Cemex]])</f>
        <v>1</v>
      </c>
      <c r="V3891" t="str">
        <f>+Table1[[#This Row],[id_destino]]&amp;" - "&amp;Table1[[#This Row],[id_origen]]</f>
        <v>260 - 185</v>
      </c>
    </row>
    <row r="3892" spans="1:22" hidden="1">
      <c r="A3892">
        <v>2450</v>
      </c>
      <c r="B3892">
        <v>3353</v>
      </c>
      <c r="C3892">
        <v>6396</v>
      </c>
      <c r="D3892">
        <v>6401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 t="s">
        <v>20</v>
      </c>
      <c r="L3892" s="1">
        <v>44081</v>
      </c>
      <c r="M3892">
        <v>379</v>
      </c>
      <c r="N3892">
        <v>185</v>
      </c>
      <c r="O3892">
        <v>855</v>
      </c>
      <c r="P3892">
        <v>900</v>
      </c>
      <c r="Q3892">
        <v>855</v>
      </c>
      <c r="S3892">
        <v>1958</v>
      </c>
      <c r="T3892">
        <v>1958</v>
      </c>
      <c r="U3892">
        <f>+SUM(Table1[[#This Row],[Latinos]:[Cemex]])</f>
        <v>1</v>
      </c>
      <c r="V3892" t="str">
        <f>+Table1[[#This Row],[id_destino]]&amp;" - "&amp;Table1[[#This Row],[id_origen]]</f>
        <v>379 - 185</v>
      </c>
    </row>
    <row r="3893" spans="1:22" hidden="1">
      <c r="A3893">
        <v>2675</v>
      </c>
      <c r="B3893">
        <v>3493</v>
      </c>
      <c r="C3893">
        <v>6396</v>
      </c>
      <c r="D3893">
        <v>6578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 t="s">
        <v>20</v>
      </c>
      <c r="L3893" s="1">
        <v>44334</v>
      </c>
      <c r="M3893">
        <v>740</v>
      </c>
      <c r="N3893">
        <v>185</v>
      </c>
      <c r="O3893">
        <v>791</v>
      </c>
      <c r="P3893">
        <v>784</v>
      </c>
      <c r="Q3893">
        <v>791</v>
      </c>
      <c r="S3893">
        <v>0</v>
      </c>
      <c r="T3893">
        <v>0</v>
      </c>
      <c r="U3893">
        <f>+SUM(Table1[[#This Row],[Latinos]:[Cemex]])</f>
        <v>1</v>
      </c>
      <c r="V3893" t="str">
        <f>+Table1[[#This Row],[id_destino]]&amp;" - "&amp;Table1[[#This Row],[id_origen]]</f>
        <v>740 - 185</v>
      </c>
    </row>
    <row r="3894" spans="1:22" hidden="1">
      <c r="A3894">
        <v>2591</v>
      </c>
      <c r="B3894">
        <v>3440</v>
      </c>
      <c r="C3894">
        <v>6396</v>
      </c>
      <c r="D3894">
        <v>6505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 t="s">
        <v>20</v>
      </c>
      <c r="L3894" s="1">
        <v>44215</v>
      </c>
      <c r="M3894">
        <v>747</v>
      </c>
      <c r="N3894">
        <v>185</v>
      </c>
      <c r="O3894">
        <v>1344</v>
      </c>
      <c r="P3894">
        <v>1341</v>
      </c>
      <c r="Q3894">
        <v>1344</v>
      </c>
      <c r="S3894">
        <v>1466</v>
      </c>
      <c r="T3894">
        <v>1466</v>
      </c>
      <c r="U3894">
        <f>+SUM(Table1[[#This Row],[Latinos]:[Cemex]])</f>
        <v>1</v>
      </c>
      <c r="V3894" t="str">
        <f>+Table1[[#This Row],[id_destino]]&amp;" - "&amp;Table1[[#This Row],[id_origen]]</f>
        <v>747 - 185</v>
      </c>
    </row>
    <row r="3895" spans="1:22" hidden="1">
      <c r="A3895">
        <v>223</v>
      </c>
      <c r="B3895">
        <v>2245</v>
      </c>
      <c r="C3895">
        <v>240</v>
      </c>
      <c r="D3895">
        <v>49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0</v>
      </c>
      <c r="K3895" t="s">
        <v>20</v>
      </c>
      <c r="L3895" s="1">
        <v>43017</v>
      </c>
      <c r="M3895">
        <v>43</v>
      </c>
      <c r="N3895">
        <v>187</v>
      </c>
      <c r="O3895">
        <v>605</v>
      </c>
      <c r="P3895">
        <v>605</v>
      </c>
      <c r="Q3895">
        <v>605</v>
      </c>
      <c r="S3895">
        <v>1165</v>
      </c>
      <c r="T3895">
        <v>1165</v>
      </c>
      <c r="U3895">
        <f>+SUM(Table1[[#This Row],[Latinos]:[Cemex]])</f>
        <v>1</v>
      </c>
      <c r="V3895" t="str">
        <f>+Table1[[#This Row],[id_destino]]&amp;" - "&amp;Table1[[#This Row],[id_origen]]</f>
        <v>43 - 187</v>
      </c>
    </row>
    <row r="3896" spans="1:22" hidden="1">
      <c r="A3896">
        <v>2050</v>
      </c>
      <c r="B3896">
        <v>2245</v>
      </c>
      <c r="C3896">
        <v>240</v>
      </c>
      <c r="D3896">
        <v>49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 t="s">
        <v>20</v>
      </c>
      <c r="L3896" s="1">
        <v>43784</v>
      </c>
      <c r="M3896">
        <v>43</v>
      </c>
      <c r="N3896">
        <v>187</v>
      </c>
      <c r="O3896">
        <v>601</v>
      </c>
      <c r="P3896">
        <v>601</v>
      </c>
      <c r="Q3896">
        <v>601</v>
      </c>
      <c r="S3896">
        <v>1517</v>
      </c>
      <c r="T3896">
        <v>1517</v>
      </c>
      <c r="U3896">
        <f>+SUM(Table1[[#This Row],[Latinos]:[Cemex]])</f>
        <v>1</v>
      </c>
      <c r="V3896" t="str">
        <f>+Table1[[#This Row],[id_destino]]&amp;" - "&amp;Table1[[#This Row],[id_origen]]</f>
        <v>43 - 187</v>
      </c>
    </row>
    <row r="3897" spans="1:22" hidden="1">
      <c r="A3897">
        <v>2310</v>
      </c>
      <c r="B3897">
        <v>3264</v>
      </c>
      <c r="C3897">
        <v>6309</v>
      </c>
      <c r="D3897">
        <v>6326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 t="s">
        <v>20</v>
      </c>
      <c r="L3897" s="1">
        <v>43924</v>
      </c>
      <c r="M3897">
        <v>145</v>
      </c>
      <c r="N3897">
        <v>188</v>
      </c>
      <c r="O3897">
        <v>687</v>
      </c>
      <c r="P3897">
        <v>668</v>
      </c>
      <c r="Q3897">
        <v>687</v>
      </c>
      <c r="S3897">
        <v>1799</v>
      </c>
      <c r="T3897">
        <v>1859</v>
      </c>
      <c r="U3897">
        <f>+SUM(Table1[[#This Row],[Latinos]:[Cemex]])</f>
        <v>1</v>
      </c>
      <c r="V3897" t="str">
        <f>+Table1[[#This Row],[id_destino]]&amp;" - "&amp;Table1[[#This Row],[id_origen]]</f>
        <v>145 - 188</v>
      </c>
    </row>
    <row r="3898" spans="1:22" hidden="1">
      <c r="A3898">
        <v>916</v>
      </c>
      <c r="B3898">
        <v>2511</v>
      </c>
      <c r="C3898">
        <v>3169</v>
      </c>
      <c r="D3898">
        <v>362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 t="s">
        <v>20</v>
      </c>
      <c r="L3898" s="1">
        <v>43222</v>
      </c>
      <c r="M3898">
        <v>25</v>
      </c>
      <c r="N3898">
        <v>189</v>
      </c>
      <c r="O3898">
        <v>843</v>
      </c>
      <c r="P3898">
        <v>852</v>
      </c>
      <c r="Q3898">
        <v>843</v>
      </c>
      <c r="S3898">
        <v>1674</v>
      </c>
      <c r="T3898">
        <v>1674</v>
      </c>
      <c r="U3898">
        <f>+SUM(Table1[[#This Row],[Latinos]:[Cemex]])</f>
        <v>1</v>
      </c>
      <c r="V3898" t="str">
        <f>+Table1[[#This Row],[id_destino]]&amp;" - "&amp;Table1[[#This Row],[id_origen]]</f>
        <v>25 - 189</v>
      </c>
    </row>
    <row r="3899" spans="1:22" hidden="1">
      <c r="A3899">
        <v>1786</v>
      </c>
      <c r="B3899">
        <v>2938</v>
      </c>
      <c r="C3899">
        <v>3169</v>
      </c>
      <c r="D3899">
        <v>387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 t="s">
        <v>35</v>
      </c>
      <c r="L3899" s="1">
        <v>43630</v>
      </c>
      <c r="M3899">
        <v>30</v>
      </c>
      <c r="N3899">
        <v>189</v>
      </c>
      <c r="O3899">
        <v>582</v>
      </c>
      <c r="P3899">
        <v>582</v>
      </c>
      <c r="Q3899">
        <v>582</v>
      </c>
      <c r="S3899">
        <v>745</v>
      </c>
      <c r="T3899">
        <v>745</v>
      </c>
      <c r="U3899">
        <f>+SUM(Table1[[#This Row],[Latinos]:[Cemex]])</f>
        <v>1</v>
      </c>
      <c r="V3899" t="str">
        <f>+Table1[[#This Row],[id_destino]]&amp;" - "&amp;Table1[[#This Row],[id_origen]]</f>
        <v>30 - 189</v>
      </c>
    </row>
    <row r="3900" spans="1:22" hidden="1">
      <c r="A3900">
        <v>759</v>
      </c>
      <c r="B3900">
        <v>2440</v>
      </c>
      <c r="C3900">
        <v>3169</v>
      </c>
      <c r="D3900">
        <v>420</v>
      </c>
      <c r="E3900">
        <v>0</v>
      </c>
      <c r="F3900">
        <v>1</v>
      </c>
      <c r="G3900">
        <v>0</v>
      </c>
      <c r="H3900">
        <v>0</v>
      </c>
      <c r="I3900">
        <v>1</v>
      </c>
      <c r="J3900">
        <v>0</v>
      </c>
      <c r="K3900" t="s">
        <v>47</v>
      </c>
      <c r="L3900" s="1">
        <v>43154</v>
      </c>
      <c r="M3900">
        <v>71</v>
      </c>
      <c r="N3900">
        <v>189</v>
      </c>
      <c r="O3900">
        <v>1088</v>
      </c>
      <c r="P3900">
        <v>1088</v>
      </c>
      <c r="Q3900">
        <v>1088</v>
      </c>
      <c r="S3900">
        <v>1902</v>
      </c>
      <c r="T3900">
        <v>1970</v>
      </c>
      <c r="U3900">
        <f>+SUM(Table1[[#This Row],[Latinos]:[Cemex]])</f>
        <v>2</v>
      </c>
      <c r="V3900" t="str">
        <f>+Table1[[#This Row],[id_destino]]&amp;" - "&amp;Table1[[#This Row],[id_origen]]</f>
        <v>71 - 189</v>
      </c>
    </row>
    <row r="3901" spans="1:22" hidden="1">
      <c r="A3901">
        <v>2147</v>
      </c>
      <c r="B3901">
        <v>1548</v>
      </c>
      <c r="C3901">
        <v>6215</v>
      </c>
      <c r="D3901">
        <v>469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 t="s">
        <v>20</v>
      </c>
      <c r="L3901" s="1">
        <v>43833</v>
      </c>
      <c r="M3901">
        <v>2</v>
      </c>
      <c r="N3901">
        <v>192</v>
      </c>
      <c r="O3901">
        <v>560</v>
      </c>
      <c r="P3901">
        <v>560</v>
      </c>
      <c r="Q3901">
        <v>560</v>
      </c>
      <c r="S3901">
        <v>1414</v>
      </c>
      <c r="T3901">
        <v>1414</v>
      </c>
      <c r="U3901">
        <f>+SUM(Table1[[#This Row],[Latinos]:[Cemex]])</f>
        <v>1</v>
      </c>
      <c r="V3901" t="str">
        <f>+Table1[[#This Row],[id_destino]]&amp;" - "&amp;Table1[[#This Row],[id_origen]]</f>
        <v>2 - 192</v>
      </c>
    </row>
    <row r="3902" spans="1:22" hidden="1">
      <c r="A3902">
        <v>2145</v>
      </c>
      <c r="B3902">
        <v>3164</v>
      </c>
      <c r="C3902">
        <v>6215</v>
      </c>
      <c r="D3902">
        <v>6146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 t="s">
        <v>20</v>
      </c>
      <c r="L3902" s="1">
        <v>43833</v>
      </c>
      <c r="M3902">
        <v>26</v>
      </c>
      <c r="N3902">
        <v>192</v>
      </c>
      <c r="O3902">
        <v>86</v>
      </c>
      <c r="P3902">
        <v>150</v>
      </c>
      <c r="Q3902">
        <v>86</v>
      </c>
      <c r="S3902">
        <v>224</v>
      </c>
      <c r="T3902">
        <v>224</v>
      </c>
      <c r="U3902">
        <f>+SUM(Table1[[#This Row],[Latinos]:[Cemex]])</f>
        <v>1</v>
      </c>
      <c r="V3902" t="str">
        <f>+Table1[[#This Row],[id_destino]]&amp;" - "&amp;Table1[[#This Row],[id_origen]]</f>
        <v>26 - 192</v>
      </c>
    </row>
    <row r="3903" spans="1:22" hidden="1">
      <c r="A3903">
        <v>2812</v>
      </c>
      <c r="B3903">
        <v>3585</v>
      </c>
      <c r="C3903">
        <v>6697</v>
      </c>
      <c r="D3903">
        <v>2413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0</v>
      </c>
      <c r="K3903" t="s">
        <v>20</v>
      </c>
      <c r="L3903" s="1">
        <v>44480</v>
      </c>
      <c r="M3903">
        <v>47</v>
      </c>
      <c r="N3903">
        <v>192</v>
      </c>
      <c r="O3903">
        <v>488</v>
      </c>
      <c r="P3903">
        <v>454</v>
      </c>
      <c r="Q3903">
        <v>488</v>
      </c>
      <c r="S3903">
        <v>1583</v>
      </c>
      <c r="T3903">
        <v>1643</v>
      </c>
      <c r="U3903">
        <f>+SUM(Table1[[#This Row],[Latinos]:[Cemex]])</f>
        <v>1</v>
      </c>
      <c r="V3903" t="str">
        <f>+Table1[[#This Row],[id_destino]]&amp;" - "&amp;Table1[[#This Row],[id_origen]]</f>
        <v>47 - 192</v>
      </c>
    </row>
    <row r="3904" spans="1:22" hidden="1">
      <c r="A3904">
        <v>1488</v>
      </c>
      <c r="B3904">
        <v>2776</v>
      </c>
      <c r="C3904">
        <v>4262</v>
      </c>
      <c r="D3904">
        <v>173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 t="s">
        <v>20</v>
      </c>
      <c r="L3904" s="1">
        <v>43467</v>
      </c>
      <c r="M3904">
        <v>105</v>
      </c>
      <c r="N3904">
        <v>192</v>
      </c>
      <c r="O3904">
        <v>494</v>
      </c>
      <c r="P3904">
        <v>494</v>
      </c>
      <c r="Q3904">
        <v>494</v>
      </c>
      <c r="S3904">
        <v>1132</v>
      </c>
      <c r="T3904">
        <v>1132</v>
      </c>
      <c r="U3904">
        <f>+SUM(Table1[[#This Row],[Latinos]:[Cemex]])</f>
        <v>1</v>
      </c>
      <c r="V3904" t="str">
        <f>+Table1[[#This Row],[id_destino]]&amp;" - "&amp;Table1[[#This Row],[id_origen]]</f>
        <v>105 - 192</v>
      </c>
    </row>
    <row r="3905" spans="1:22" hidden="1">
      <c r="A3905">
        <v>2144</v>
      </c>
      <c r="B3905">
        <v>3163</v>
      </c>
      <c r="C3905">
        <v>6215</v>
      </c>
      <c r="D3905">
        <v>1504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 t="s">
        <v>20</v>
      </c>
      <c r="L3905" s="1">
        <v>43832</v>
      </c>
      <c r="M3905">
        <v>148</v>
      </c>
      <c r="N3905">
        <v>192</v>
      </c>
      <c r="O3905">
        <v>293</v>
      </c>
      <c r="P3905">
        <v>293</v>
      </c>
      <c r="Q3905">
        <v>293</v>
      </c>
      <c r="S3905">
        <v>582</v>
      </c>
      <c r="T3905">
        <v>582</v>
      </c>
      <c r="U3905">
        <f>+SUM(Table1[[#This Row],[Latinos]:[Cemex]])</f>
        <v>1</v>
      </c>
      <c r="V3905" t="str">
        <f>+Table1[[#This Row],[id_destino]]&amp;" - "&amp;Table1[[#This Row],[id_origen]]</f>
        <v>148 - 192</v>
      </c>
    </row>
    <row r="3906" spans="1:22" hidden="1">
      <c r="A3906">
        <v>1607</v>
      </c>
      <c r="B3906">
        <v>2836</v>
      </c>
      <c r="C3906">
        <v>4262</v>
      </c>
      <c r="D3906">
        <v>1548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 t="s">
        <v>20</v>
      </c>
      <c r="L3906" s="1">
        <v>43529</v>
      </c>
      <c r="M3906">
        <v>684</v>
      </c>
      <c r="N3906">
        <v>192</v>
      </c>
      <c r="O3906">
        <v>780</v>
      </c>
      <c r="P3906">
        <v>796</v>
      </c>
      <c r="Q3906">
        <v>780</v>
      </c>
      <c r="S3906">
        <v>1867</v>
      </c>
      <c r="T3906">
        <v>1867</v>
      </c>
      <c r="U3906">
        <f>+SUM(Table1[[#This Row],[Latinos]:[Cemex]])</f>
        <v>1</v>
      </c>
      <c r="V3906" t="str">
        <f>+Table1[[#This Row],[id_destino]]&amp;" - "&amp;Table1[[#This Row],[id_origen]]</f>
        <v>684 - 192</v>
      </c>
    </row>
    <row r="3907" spans="1:22" hidden="1">
      <c r="A3907">
        <v>504</v>
      </c>
      <c r="B3907">
        <v>2324</v>
      </c>
      <c r="C3907">
        <v>5386</v>
      </c>
      <c r="D3907">
        <v>388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 t="s">
        <v>20</v>
      </c>
      <c r="L3907" s="1">
        <v>45070</v>
      </c>
      <c r="M3907">
        <v>9</v>
      </c>
      <c r="N3907">
        <v>209</v>
      </c>
      <c r="O3907">
        <v>518</v>
      </c>
      <c r="P3907">
        <v>520</v>
      </c>
      <c r="Q3907">
        <v>518</v>
      </c>
      <c r="S3907">
        <v>178</v>
      </c>
      <c r="T3907">
        <v>178</v>
      </c>
      <c r="U3907">
        <f>+SUM(Table1[[#This Row],[Latinos]:[Cemex]])</f>
        <v>1</v>
      </c>
      <c r="V3907" t="str">
        <f>+Table1[[#This Row],[id_destino]]&amp;" - "&amp;Table1[[#This Row],[id_origen]]</f>
        <v>9 - 209</v>
      </c>
    </row>
    <row r="3908" spans="1:22" hidden="1">
      <c r="A3908">
        <v>4259</v>
      </c>
      <c r="B3908">
        <v>4529</v>
      </c>
      <c r="C3908">
        <v>7353</v>
      </c>
      <c r="D3908">
        <v>7729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 t="s">
        <v>20</v>
      </c>
      <c r="L3908" s="1">
        <v>45405</v>
      </c>
      <c r="M3908">
        <v>35</v>
      </c>
      <c r="N3908">
        <v>209</v>
      </c>
      <c r="O3908">
        <v>618</v>
      </c>
      <c r="P3908">
        <v>611</v>
      </c>
      <c r="Q3908">
        <v>618</v>
      </c>
      <c r="S3908">
        <v>1055</v>
      </c>
      <c r="T3908">
        <v>1055</v>
      </c>
      <c r="U3908">
        <f>+SUM(Table1[[#This Row],[Latinos]:[Cemex]])</f>
        <v>1</v>
      </c>
      <c r="V3908" t="str">
        <f>+Table1[[#This Row],[id_destino]]&amp;" - "&amp;Table1[[#This Row],[id_origen]]</f>
        <v>35 - 209</v>
      </c>
    </row>
    <row r="3909" spans="1:22" hidden="1">
      <c r="A3909">
        <v>4251</v>
      </c>
      <c r="B3909">
        <v>4523</v>
      </c>
      <c r="C3909">
        <v>5386</v>
      </c>
      <c r="D3909">
        <v>7503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 t="s">
        <v>20</v>
      </c>
      <c r="L3909" s="1">
        <v>45400</v>
      </c>
      <c r="M3909">
        <v>47</v>
      </c>
      <c r="N3909">
        <v>209</v>
      </c>
      <c r="O3909">
        <v>964</v>
      </c>
      <c r="P3909">
        <v>962</v>
      </c>
      <c r="Q3909">
        <v>964</v>
      </c>
      <c r="S3909">
        <v>2215</v>
      </c>
      <c r="T3909">
        <v>2215</v>
      </c>
      <c r="U3909">
        <f>+SUM(Table1[[#This Row],[Latinos]:[Cemex]])</f>
        <v>1</v>
      </c>
      <c r="V3909" t="str">
        <f>+Table1[[#This Row],[id_destino]]&amp;" - "&amp;Table1[[#This Row],[id_origen]]</f>
        <v>47 - 209</v>
      </c>
    </row>
    <row r="3910" spans="1:22" hidden="1">
      <c r="A3910">
        <v>4245</v>
      </c>
      <c r="B3910">
        <v>4519</v>
      </c>
      <c r="C3910">
        <v>7353</v>
      </c>
      <c r="D3910">
        <v>7714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 t="s">
        <v>20</v>
      </c>
      <c r="L3910" s="1">
        <v>45392</v>
      </c>
      <c r="M3910">
        <v>81</v>
      </c>
      <c r="N3910">
        <v>209</v>
      </c>
      <c r="O3910">
        <v>814</v>
      </c>
      <c r="P3910">
        <v>790</v>
      </c>
      <c r="Q3910">
        <v>814</v>
      </c>
      <c r="S3910">
        <v>1606</v>
      </c>
      <c r="T3910">
        <v>1606</v>
      </c>
      <c r="U3910">
        <f>+SUM(Table1[[#This Row],[Latinos]:[Cemex]])</f>
        <v>1</v>
      </c>
      <c r="V3910" t="str">
        <f>+Table1[[#This Row],[id_destino]]&amp;" - "&amp;Table1[[#This Row],[id_origen]]</f>
        <v>81 - 209</v>
      </c>
    </row>
    <row r="3911" spans="1:22" hidden="1">
      <c r="A3911">
        <v>4162</v>
      </c>
      <c r="B3911">
        <v>4461</v>
      </c>
      <c r="C3911">
        <v>7622</v>
      </c>
      <c r="D3911">
        <v>34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 t="s">
        <v>20</v>
      </c>
      <c r="L3911" s="1">
        <v>45331</v>
      </c>
      <c r="M3911">
        <v>30</v>
      </c>
      <c r="N3911">
        <v>212</v>
      </c>
      <c r="O3911">
        <v>1235</v>
      </c>
      <c r="P3911">
        <v>1232</v>
      </c>
      <c r="Q3911">
        <v>1235</v>
      </c>
      <c r="S3911">
        <v>5562</v>
      </c>
      <c r="T3911">
        <v>5568</v>
      </c>
      <c r="U3911">
        <f>+SUM(Table1[[#This Row],[Latinos]:[Cemex]])</f>
        <v>1</v>
      </c>
      <c r="V3911" t="str">
        <f>+Table1[[#This Row],[id_destino]]&amp;" - "&amp;Table1[[#This Row],[id_origen]]</f>
        <v>30 - 212</v>
      </c>
    </row>
    <row r="3912" spans="1:22" hidden="1">
      <c r="A3912">
        <v>2692</v>
      </c>
      <c r="B3912">
        <v>3506</v>
      </c>
      <c r="C3912">
        <v>1347</v>
      </c>
      <c r="D3912">
        <v>6591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 t="s">
        <v>20</v>
      </c>
      <c r="L3912" s="1">
        <v>44348</v>
      </c>
      <c r="M3912">
        <v>5</v>
      </c>
      <c r="N3912">
        <v>216</v>
      </c>
      <c r="O3912">
        <v>1893</v>
      </c>
      <c r="P3912">
        <v>1944</v>
      </c>
      <c r="Q3912">
        <v>1893</v>
      </c>
      <c r="S3912">
        <v>2821</v>
      </c>
      <c r="T3912">
        <v>2821</v>
      </c>
      <c r="U3912">
        <f>+SUM(Table1[[#This Row],[Latinos]:[Cemex]])</f>
        <v>1</v>
      </c>
      <c r="V3912" t="str">
        <f>+Table1[[#This Row],[id_destino]]&amp;" - "&amp;Table1[[#This Row],[id_origen]]</f>
        <v>5 - 216</v>
      </c>
    </row>
    <row r="3913" spans="1:22" hidden="1">
      <c r="A3913">
        <v>4407</v>
      </c>
      <c r="B3913">
        <v>4633</v>
      </c>
      <c r="C3913">
        <v>7882</v>
      </c>
      <c r="D3913">
        <v>4014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 t="s">
        <v>20</v>
      </c>
      <c r="L3913" s="1">
        <v>45525</v>
      </c>
      <c r="M3913">
        <v>7</v>
      </c>
      <c r="N3913">
        <v>216</v>
      </c>
      <c r="O3913">
        <v>1928</v>
      </c>
      <c r="P3913">
        <v>1950</v>
      </c>
      <c r="Q3913">
        <v>1928</v>
      </c>
      <c r="S3913">
        <v>3167</v>
      </c>
      <c r="T3913">
        <v>3167</v>
      </c>
      <c r="U3913">
        <f>+SUM(Table1[[#This Row],[Latinos]:[Cemex]])</f>
        <v>1</v>
      </c>
      <c r="V3913" t="str">
        <f>+Table1[[#This Row],[id_destino]]&amp;" - "&amp;Table1[[#This Row],[id_origen]]</f>
        <v>7 - 216</v>
      </c>
    </row>
    <row r="3914" spans="1:22" hidden="1">
      <c r="A3914">
        <v>2603</v>
      </c>
      <c r="B3914">
        <v>3446</v>
      </c>
      <c r="C3914">
        <v>1347</v>
      </c>
      <c r="D3914">
        <v>40</v>
      </c>
      <c r="E3914">
        <v>0</v>
      </c>
      <c r="F3914">
        <v>1</v>
      </c>
      <c r="G3914">
        <v>0</v>
      </c>
      <c r="H3914">
        <v>0</v>
      </c>
      <c r="I3914">
        <v>0</v>
      </c>
      <c r="J3914">
        <v>0</v>
      </c>
      <c r="K3914" t="s">
        <v>20</v>
      </c>
      <c r="L3914" s="1">
        <v>44235</v>
      </c>
      <c r="M3914">
        <v>34</v>
      </c>
      <c r="N3914">
        <v>216</v>
      </c>
      <c r="O3914">
        <v>723</v>
      </c>
      <c r="P3914">
        <v>732</v>
      </c>
      <c r="Q3914">
        <v>723</v>
      </c>
      <c r="S3914">
        <v>1101</v>
      </c>
      <c r="T3914">
        <v>1223</v>
      </c>
      <c r="U3914">
        <f>+SUM(Table1[[#This Row],[Latinos]:[Cemex]])</f>
        <v>1</v>
      </c>
      <c r="V3914" t="str">
        <f>+Table1[[#This Row],[id_destino]]&amp;" - "&amp;Table1[[#This Row],[id_origen]]</f>
        <v>34 - 216</v>
      </c>
    </row>
    <row r="3915" spans="1:22" hidden="1">
      <c r="A3915">
        <v>1523</v>
      </c>
      <c r="B3915">
        <v>1443</v>
      </c>
      <c r="C3915">
        <v>1347</v>
      </c>
      <c r="D3915">
        <v>268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 t="s">
        <v>72</v>
      </c>
      <c r="L3915" s="1">
        <v>43501</v>
      </c>
      <c r="M3915">
        <v>99</v>
      </c>
      <c r="N3915">
        <v>216</v>
      </c>
      <c r="O3915">
        <v>1451</v>
      </c>
      <c r="P3915">
        <v>1456</v>
      </c>
      <c r="Q3915">
        <v>1451</v>
      </c>
      <c r="S3915">
        <v>2487.9299999999998</v>
      </c>
      <c r="T3915">
        <v>2487.9299999999998</v>
      </c>
      <c r="U3915">
        <f>+SUM(Table1[[#This Row],[Latinos]:[Cemex]])</f>
        <v>1</v>
      </c>
      <c r="V3915" t="str">
        <f>+Table1[[#This Row],[id_destino]]&amp;" - "&amp;Table1[[#This Row],[id_origen]]</f>
        <v>99 - 216</v>
      </c>
    </row>
    <row r="3916" spans="1:22" hidden="1">
      <c r="A3916">
        <v>3829</v>
      </c>
      <c r="B3916">
        <v>1442</v>
      </c>
      <c r="C3916">
        <v>1347</v>
      </c>
      <c r="D3916">
        <v>1555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 t="s">
        <v>20</v>
      </c>
      <c r="L3916" s="1">
        <v>45839</v>
      </c>
      <c r="M3916">
        <v>107</v>
      </c>
      <c r="N3916">
        <v>216</v>
      </c>
      <c r="O3916">
        <v>660</v>
      </c>
      <c r="P3916">
        <v>706</v>
      </c>
      <c r="Q3916">
        <v>660</v>
      </c>
      <c r="S3916">
        <v>1740</v>
      </c>
      <c r="T3916">
        <v>2900</v>
      </c>
      <c r="U3916">
        <f>+SUM(Table1[[#This Row],[Latinos]:[Cemex]])</f>
        <v>1</v>
      </c>
      <c r="V3916" t="str">
        <f>+Table1[[#This Row],[id_destino]]&amp;" - "&amp;Table1[[#This Row],[id_origen]]</f>
        <v>107 - 216</v>
      </c>
    </row>
    <row r="3917" spans="1:22" hidden="1">
      <c r="A3917">
        <v>4351</v>
      </c>
      <c r="B3917">
        <v>4590</v>
      </c>
      <c r="C3917">
        <v>1347</v>
      </c>
      <c r="D3917">
        <v>2111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0</v>
      </c>
      <c r="K3917" t="s">
        <v>20</v>
      </c>
      <c r="L3917" s="1">
        <v>45489</v>
      </c>
      <c r="M3917">
        <v>155</v>
      </c>
      <c r="N3917">
        <v>216</v>
      </c>
      <c r="O3917">
        <v>751</v>
      </c>
      <c r="P3917">
        <v>794</v>
      </c>
      <c r="Q3917">
        <v>951</v>
      </c>
      <c r="S3917">
        <v>3158</v>
      </c>
      <c r="T3917">
        <v>3158</v>
      </c>
      <c r="U3917">
        <f>+SUM(Table1[[#This Row],[Latinos]:[Cemex]])</f>
        <v>1</v>
      </c>
      <c r="V3917" t="str">
        <f>+Table1[[#This Row],[id_destino]]&amp;" - "&amp;Table1[[#This Row],[id_origen]]</f>
        <v>155 - 216</v>
      </c>
    </row>
    <row r="3918" spans="1:22" hidden="1">
      <c r="A3918">
        <v>4352</v>
      </c>
      <c r="B3918">
        <v>4591</v>
      </c>
      <c r="C3918">
        <v>1347</v>
      </c>
      <c r="D3918">
        <v>1347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0</v>
      </c>
      <c r="K3918" t="s">
        <v>20</v>
      </c>
      <c r="L3918" s="1">
        <v>45489</v>
      </c>
      <c r="M3918">
        <v>216</v>
      </c>
      <c r="N3918">
        <v>216</v>
      </c>
      <c r="O3918">
        <v>150</v>
      </c>
      <c r="P3918">
        <v>150</v>
      </c>
      <c r="Q3918">
        <v>50</v>
      </c>
      <c r="S3918">
        <v>0</v>
      </c>
      <c r="T3918">
        <v>0</v>
      </c>
      <c r="U3918">
        <f>+SUM(Table1[[#This Row],[Latinos]:[Cemex]])</f>
        <v>1</v>
      </c>
      <c r="V3918" t="str">
        <f>+Table1[[#This Row],[id_destino]]&amp;" - "&amp;Table1[[#This Row],[id_origen]]</f>
        <v>216 - 216</v>
      </c>
    </row>
    <row r="3919" spans="1:22" hidden="1">
      <c r="A3919">
        <v>4748</v>
      </c>
      <c r="B3919">
        <v>4885</v>
      </c>
      <c r="C3919">
        <v>1347</v>
      </c>
      <c r="D3919">
        <v>6700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0</v>
      </c>
      <c r="K3919" t="s">
        <v>20</v>
      </c>
      <c r="L3919" s="1">
        <v>45782</v>
      </c>
      <c r="M3919">
        <v>645</v>
      </c>
      <c r="N3919">
        <v>216</v>
      </c>
      <c r="O3919">
        <v>833</v>
      </c>
      <c r="P3919">
        <v>833</v>
      </c>
      <c r="Q3919">
        <v>833</v>
      </c>
      <c r="S3919">
        <v>2335</v>
      </c>
      <c r="T3919">
        <v>2335</v>
      </c>
      <c r="U3919">
        <f>+SUM(Table1[[#This Row],[Latinos]:[Cemex]])</f>
        <v>1</v>
      </c>
      <c r="V3919" t="str">
        <f>+Table1[[#This Row],[id_destino]]&amp;" - "&amp;Table1[[#This Row],[id_origen]]</f>
        <v>645 - 216</v>
      </c>
    </row>
    <row r="3920" spans="1:22" hidden="1">
      <c r="A3920">
        <v>4804</v>
      </c>
      <c r="B3920">
        <v>4885</v>
      </c>
      <c r="C3920">
        <v>1347</v>
      </c>
      <c r="D3920">
        <v>6700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 t="s">
        <v>20</v>
      </c>
      <c r="L3920" s="1">
        <v>45841</v>
      </c>
      <c r="M3920">
        <v>645</v>
      </c>
      <c r="N3920">
        <v>216</v>
      </c>
      <c r="O3920">
        <v>833</v>
      </c>
      <c r="P3920">
        <v>833</v>
      </c>
      <c r="Q3920">
        <v>833</v>
      </c>
      <c r="S3920">
        <v>2335</v>
      </c>
      <c r="T3920">
        <v>2335</v>
      </c>
      <c r="U3920">
        <f>+SUM(Table1[[#This Row],[Latinos]:[Cemex]])</f>
        <v>1</v>
      </c>
      <c r="V3920" t="str">
        <f>+Table1[[#This Row],[id_destino]]&amp;" - "&amp;Table1[[#This Row],[id_origen]]</f>
        <v>645 - 216</v>
      </c>
    </row>
    <row r="3921" spans="1:22" hidden="1">
      <c r="A3921">
        <v>4322</v>
      </c>
      <c r="B3921">
        <v>4566</v>
      </c>
      <c r="C3921">
        <v>1347</v>
      </c>
      <c r="D3921">
        <v>5222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 t="s">
        <v>20</v>
      </c>
      <c r="L3921" s="1">
        <v>45455</v>
      </c>
      <c r="M3921">
        <v>684</v>
      </c>
      <c r="N3921">
        <v>216</v>
      </c>
      <c r="O3921">
        <v>485</v>
      </c>
      <c r="P3921">
        <v>476</v>
      </c>
      <c r="Q3921">
        <v>485</v>
      </c>
      <c r="S3921">
        <v>1632</v>
      </c>
      <c r="T3921">
        <v>1636</v>
      </c>
      <c r="U3921">
        <f>+SUM(Table1[[#This Row],[Latinos]:[Cemex]])</f>
        <v>1</v>
      </c>
      <c r="V3921" t="str">
        <f>+Table1[[#This Row],[id_destino]]&amp;" - "&amp;Table1[[#This Row],[id_origen]]</f>
        <v>684 - 216</v>
      </c>
    </row>
    <row r="3922" spans="1:22" hidden="1">
      <c r="A3922">
        <v>3230</v>
      </c>
      <c r="B3922">
        <v>3850</v>
      </c>
      <c r="C3922">
        <v>4192</v>
      </c>
      <c r="D3922">
        <v>2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 t="s">
        <v>20</v>
      </c>
      <c r="L3922" s="1">
        <v>44782</v>
      </c>
      <c r="M3922">
        <v>4</v>
      </c>
      <c r="N3922">
        <v>218</v>
      </c>
      <c r="O3922">
        <v>1288</v>
      </c>
      <c r="P3922">
        <v>1292</v>
      </c>
      <c r="Q3922">
        <v>1288</v>
      </c>
      <c r="S3922">
        <v>3296</v>
      </c>
      <c r="T3922">
        <v>3296</v>
      </c>
      <c r="U3922">
        <f>+SUM(Table1[[#This Row],[Latinos]:[Cemex]])</f>
        <v>1</v>
      </c>
      <c r="V3922" t="str">
        <f>+Table1[[#This Row],[id_destino]]&amp;" - "&amp;Table1[[#This Row],[id_origen]]</f>
        <v>4 - 218</v>
      </c>
    </row>
    <row r="3923" spans="1:22" hidden="1">
      <c r="A3923">
        <v>2581</v>
      </c>
      <c r="B3923">
        <v>3433</v>
      </c>
      <c r="C3923">
        <v>4192</v>
      </c>
      <c r="D3923">
        <v>4455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0</v>
      </c>
      <c r="K3923" t="s">
        <v>20</v>
      </c>
      <c r="L3923" s="1">
        <v>44200</v>
      </c>
      <c r="M3923">
        <v>23</v>
      </c>
      <c r="N3923">
        <v>218</v>
      </c>
      <c r="O3923">
        <v>138</v>
      </c>
      <c r="P3923">
        <v>132</v>
      </c>
      <c r="Q3923">
        <v>138</v>
      </c>
      <c r="S3923">
        <v>549</v>
      </c>
      <c r="T3923">
        <v>549</v>
      </c>
      <c r="U3923">
        <f>+SUM(Table1[[#This Row],[Latinos]:[Cemex]])</f>
        <v>1</v>
      </c>
      <c r="V3923" t="str">
        <f>+Table1[[#This Row],[id_destino]]&amp;" - "&amp;Table1[[#This Row],[id_origen]]</f>
        <v>23 - 218</v>
      </c>
    </row>
    <row r="3924" spans="1:22" hidden="1">
      <c r="A3924">
        <v>352</v>
      </c>
      <c r="B3924">
        <v>359</v>
      </c>
      <c r="C3924">
        <v>3837</v>
      </c>
      <c r="D3924">
        <v>33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0</v>
      </c>
      <c r="K3924" t="s">
        <v>20</v>
      </c>
      <c r="L3924" s="1">
        <v>44260</v>
      </c>
      <c r="M3924">
        <v>260</v>
      </c>
      <c r="N3924">
        <v>218</v>
      </c>
      <c r="O3924">
        <v>1021</v>
      </c>
      <c r="P3924">
        <v>1018</v>
      </c>
      <c r="Q3924">
        <v>1021</v>
      </c>
      <c r="S3924">
        <v>4277</v>
      </c>
      <c r="T3924">
        <v>4375</v>
      </c>
      <c r="U3924">
        <f>+SUM(Table1[[#This Row],[Latinos]:[Cemex]])</f>
        <v>1</v>
      </c>
      <c r="V3924" t="str">
        <f>+Table1[[#This Row],[id_destino]]&amp;" - "&amp;Table1[[#This Row],[id_origen]]</f>
        <v>260 - 218</v>
      </c>
    </row>
    <row r="3925" spans="1:22" hidden="1">
      <c r="A3925">
        <v>353</v>
      </c>
      <c r="B3925">
        <v>359</v>
      </c>
      <c r="C3925">
        <v>3837</v>
      </c>
      <c r="D3925">
        <v>33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 t="s">
        <v>20</v>
      </c>
      <c r="L3925" s="1">
        <v>43043</v>
      </c>
      <c r="M3925">
        <v>260</v>
      </c>
      <c r="N3925">
        <v>218</v>
      </c>
      <c r="O3925">
        <v>1021</v>
      </c>
      <c r="P3925">
        <v>1021</v>
      </c>
      <c r="Q3925">
        <v>1021</v>
      </c>
      <c r="S3925">
        <v>0</v>
      </c>
      <c r="T3925">
        <v>0</v>
      </c>
      <c r="U3925">
        <f>+SUM(Table1[[#This Row],[Latinos]:[Cemex]])</f>
        <v>1</v>
      </c>
      <c r="V3925" t="str">
        <f>+Table1[[#This Row],[id_destino]]&amp;" - "&amp;Table1[[#This Row],[id_origen]]</f>
        <v>260 - 218</v>
      </c>
    </row>
    <row r="3926" spans="1:22" hidden="1">
      <c r="A3926">
        <v>3942</v>
      </c>
      <c r="B3926">
        <v>4317</v>
      </c>
      <c r="C3926">
        <v>4192</v>
      </c>
      <c r="D3926">
        <v>7487</v>
      </c>
      <c r="E3926">
        <v>0</v>
      </c>
      <c r="F3926">
        <v>1</v>
      </c>
      <c r="G3926">
        <v>0</v>
      </c>
      <c r="H3926">
        <v>0</v>
      </c>
      <c r="I3926">
        <v>0</v>
      </c>
      <c r="J3926">
        <v>0</v>
      </c>
      <c r="K3926" t="s">
        <v>20</v>
      </c>
      <c r="L3926" s="1">
        <v>45198</v>
      </c>
      <c r="M3926">
        <v>501</v>
      </c>
      <c r="N3926">
        <v>218</v>
      </c>
      <c r="O3926">
        <v>374</v>
      </c>
      <c r="P3926">
        <v>401</v>
      </c>
      <c r="Q3926">
        <v>374</v>
      </c>
      <c r="S3926">
        <v>1771</v>
      </c>
      <c r="T3926">
        <v>1771</v>
      </c>
      <c r="U3926">
        <f>+SUM(Table1[[#This Row],[Latinos]:[Cemex]])</f>
        <v>1</v>
      </c>
      <c r="V3926" t="str">
        <f>+Table1[[#This Row],[id_destino]]&amp;" - "&amp;Table1[[#This Row],[id_origen]]</f>
        <v>501 - 218</v>
      </c>
    </row>
    <row r="3927" spans="1:22" hidden="1">
      <c r="A3927">
        <v>4253</v>
      </c>
      <c r="B3927">
        <v>4525</v>
      </c>
      <c r="C3927">
        <v>3837</v>
      </c>
      <c r="D3927">
        <v>7737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 t="s">
        <v>20</v>
      </c>
      <c r="L3927" s="1">
        <v>45402</v>
      </c>
      <c r="M3927">
        <v>814</v>
      </c>
      <c r="N3927">
        <v>218</v>
      </c>
      <c r="O3927">
        <v>1254</v>
      </c>
      <c r="P3927">
        <v>1252</v>
      </c>
      <c r="Q3927">
        <v>1254</v>
      </c>
      <c r="S3927">
        <v>4762</v>
      </c>
      <c r="T3927">
        <v>4874</v>
      </c>
      <c r="U3927">
        <f>+SUM(Table1[[#This Row],[Latinos]:[Cemex]])</f>
        <v>1</v>
      </c>
      <c r="V3927" t="str">
        <f>+Table1[[#This Row],[id_destino]]&amp;" - "&amp;Table1[[#This Row],[id_origen]]</f>
        <v>814 - 218</v>
      </c>
    </row>
    <row r="3928" spans="1:22" hidden="1">
      <c r="A3928">
        <v>2262</v>
      </c>
      <c r="B3928">
        <v>3239</v>
      </c>
      <c r="C3928">
        <v>5431</v>
      </c>
      <c r="D3928">
        <v>6296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0</v>
      </c>
      <c r="K3928" t="s">
        <v>20</v>
      </c>
      <c r="L3928" s="1">
        <v>43885</v>
      </c>
      <c r="M3928">
        <v>15</v>
      </c>
      <c r="N3928">
        <v>220</v>
      </c>
      <c r="O3928">
        <v>1998</v>
      </c>
      <c r="P3928">
        <v>2007</v>
      </c>
      <c r="Q3928">
        <v>1998</v>
      </c>
      <c r="S3928">
        <v>2853</v>
      </c>
      <c r="T3928">
        <v>3327</v>
      </c>
      <c r="U3928">
        <f>+SUM(Table1[[#This Row],[Latinos]:[Cemex]])</f>
        <v>1</v>
      </c>
      <c r="V3928" t="str">
        <f>+Table1[[#This Row],[id_destino]]&amp;" - "&amp;Table1[[#This Row],[id_origen]]</f>
        <v>15 - 220</v>
      </c>
    </row>
    <row r="3929" spans="1:22" hidden="1">
      <c r="A3929">
        <v>1952</v>
      </c>
      <c r="B3929">
        <v>3041</v>
      </c>
      <c r="C3929">
        <v>5431</v>
      </c>
      <c r="D3929">
        <v>4993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</v>
      </c>
      <c r="K3929" t="s">
        <v>20</v>
      </c>
      <c r="L3929" s="1">
        <v>43894</v>
      </c>
      <c r="M3929">
        <v>23</v>
      </c>
      <c r="N3929">
        <v>220</v>
      </c>
      <c r="O3929">
        <v>780</v>
      </c>
      <c r="P3929">
        <v>787</v>
      </c>
      <c r="Q3929">
        <v>780</v>
      </c>
      <c r="S3929">
        <v>2378</v>
      </c>
      <c r="T3929">
        <v>2378</v>
      </c>
      <c r="U3929">
        <f>+SUM(Table1[[#This Row],[Latinos]:[Cemex]])</f>
        <v>1</v>
      </c>
      <c r="V3929" t="str">
        <f>+Table1[[#This Row],[id_destino]]&amp;" - "&amp;Table1[[#This Row],[id_origen]]</f>
        <v>23 - 220</v>
      </c>
    </row>
    <row r="3930" spans="1:22" hidden="1">
      <c r="A3930">
        <v>788</v>
      </c>
      <c r="B3930">
        <v>2450</v>
      </c>
      <c r="C3930">
        <v>5431</v>
      </c>
      <c r="D3930">
        <v>5485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0</v>
      </c>
      <c r="K3930" t="s">
        <v>20</v>
      </c>
      <c r="L3930" s="1">
        <v>43168</v>
      </c>
      <c r="M3930">
        <v>65</v>
      </c>
      <c r="N3930">
        <v>220</v>
      </c>
      <c r="O3930">
        <v>123</v>
      </c>
      <c r="P3930">
        <v>150</v>
      </c>
      <c r="Q3930">
        <v>123</v>
      </c>
      <c r="S3930">
        <v>236</v>
      </c>
      <c r="T3930">
        <v>242</v>
      </c>
      <c r="U3930">
        <f>+SUM(Table1[[#This Row],[Latinos]:[Cemex]])</f>
        <v>1</v>
      </c>
      <c r="V3930" t="str">
        <f>+Table1[[#This Row],[id_destino]]&amp;" - "&amp;Table1[[#This Row],[id_origen]]</f>
        <v>65 - 220</v>
      </c>
    </row>
    <row r="3931" spans="1:22" hidden="1">
      <c r="A3931">
        <v>2307</v>
      </c>
      <c r="B3931">
        <v>3262</v>
      </c>
      <c r="C3931">
        <v>5431</v>
      </c>
      <c r="D3931">
        <v>4982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 t="s">
        <v>20</v>
      </c>
      <c r="L3931" s="1">
        <v>43921</v>
      </c>
      <c r="M3931">
        <v>92</v>
      </c>
      <c r="N3931">
        <v>220</v>
      </c>
      <c r="O3931">
        <v>1112</v>
      </c>
      <c r="P3931">
        <v>1142</v>
      </c>
      <c r="Q3931">
        <v>1112</v>
      </c>
      <c r="S3931">
        <v>1465</v>
      </c>
      <c r="T3931">
        <v>1470</v>
      </c>
      <c r="U3931">
        <f>+SUM(Table1[[#This Row],[Latinos]:[Cemex]])</f>
        <v>1</v>
      </c>
      <c r="V3931" t="str">
        <f>+Table1[[#This Row],[id_destino]]&amp;" - "&amp;Table1[[#This Row],[id_origen]]</f>
        <v>92 - 220</v>
      </c>
    </row>
    <row r="3932" spans="1:22" hidden="1">
      <c r="A3932">
        <v>1975</v>
      </c>
      <c r="B3932">
        <v>3056</v>
      </c>
      <c r="C3932">
        <v>5431</v>
      </c>
      <c r="D3932">
        <v>5777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 t="s">
        <v>20</v>
      </c>
      <c r="L3932" s="1">
        <v>43888</v>
      </c>
      <c r="M3932">
        <v>105</v>
      </c>
      <c r="N3932">
        <v>220</v>
      </c>
      <c r="O3932">
        <v>275</v>
      </c>
      <c r="P3932">
        <v>343</v>
      </c>
      <c r="Q3932">
        <v>275</v>
      </c>
      <c r="S3932">
        <v>609</v>
      </c>
      <c r="T3932">
        <v>685</v>
      </c>
      <c r="U3932">
        <f>+SUM(Table1[[#This Row],[Latinos]:[Cemex]])</f>
        <v>1</v>
      </c>
      <c r="V3932" t="str">
        <f>+Table1[[#This Row],[id_destino]]&amp;" - "&amp;Table1[[#This Row],[id_origen]]</f>
        <v>105 - 220</v>
      </c>
    </row>
    <row r="3933" spans="1:22" hidden="1">
      <c r="A3933">
        <v>3638</v>
      </c>
      <c r="B3933">
        <v>4127</v>
      </c>
      <c r="C3933">
        <v>7426</v>
      </c>
      <c r="D3933">
        <v>7634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 t="s">
        <v>20</v>
      </c>
      <c r="L3933" s="1">
        <v>45368</v>
      </c>
      <c r="M3933">
        <v>144</v>
      </c>
      <c r="N3933">
        <v>225</v>
      </c>
      <c r="O3933">
        <v>1739</v>
      </c>
      <c r="P3933">
        <v>1747</v>
      </c>
      <c r="Q3933">
        <v>1739</v>
      </c>
      <c r="S3933">
        <v>2813</v>
      </c>
      <c r="T3933">
        <v>2813</v>
      </c>
      <c r="U3933">
        <f>+SUM(Table1[[#This Row],[Latinos]:[Cemex]])</f>
        <v>1</v>
      </c>
      <c r="V3933" t="str">
        <f>+Table1[[#This Row],[id_destino]]&amp;" - "&amp;Table1[[#This Row],[id_origen]]</f>
        <v>144 - 225</v>
      </c>
    </row>
    <row r="3934" spans="1:22" hidden="1">
      <c r="A3934">
        <v>4213</v>
      </c>
      <c r="B3934">
        <v>4494</v>
      </c>
      <c r="C3934">
        <v>7426</v>
      </c>
      <c r="D3934">
        <v>7678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 t="s">
        <v>108</v>
      </c>
      <c r="L3934" s="1">
        <v>45368</v>
      </c>
      <c r="M3934">
        <v>665</v>
      </c>
      <c r="N3934">
        <v>225</v>
      </c>
      <c r="O3934">
        <v>1832</v>
      </c>
      <c r="P3934">
        <v>1862</v>
      </c>
      <c r="Q3934">
        <v>1832</v>
      </c>
      <c r="S3934">
        <v>4391</v>
      </c>
      <c r="T3934">
        <v>4910</v>
      </c>
      <c r="U3934">
        <f>+SUM(Table1[[#This Row],[Latinos]:[Cemex]])</f>
        <v>1</v>
      </c>
      <c r="V3934" t="str">
        <f>+Table1[[#This Row],[id_destino]]&amp;" - "&amp;Table1[[#This Row],[id_origen]]</f>
        <v>665 - 225</v>
      </c>
    </row>
    <row r="3935" spans="1:22" hidden="1">
      <c r="A3935">
        <v>2794</v>
      </c>
      <c r="B3935">
        <v>3568</v>
      </c>
      <c r="C3935">
        <v>135</v>
      </c>
      <c r="D3935">
        <v>2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  <c r="K3935" t="s">
        <v>20</v>
      </c>
      <c r="L3935" s="1">
        <v>44446</v>
      </c>
      <c r="M3935">
        <v>4</v>
      </c>
      <c r="N3935">
        <v>227</v>
      </c>
      <c r="O3935">
        <v>968</v>
      </c>
      <c r="P3935">
        <v>985</v>
      </c>
      <c r="Q3935">
        <v>968</v>
      </c>
      <c r="S3935">
        <v>2534</v>
      </c>
      <c r="T3935">
        <v>2660</v>
      </c>
      <c r="U3935">
        <f>+SUM(Table1[[#This Row],[Latinos]:[Cemex]])</f>
        <v>1</v>
      </c>
      <c r="V3935" t="str">
        <f>+Table1[[#This Row],[id_destino]]&amp;" - "&amp;Table1[[#This Row],[id_origen]]</f>
        <v>4 - 227</v>
      </c>
    </row>
    <row r="3936" spans="1:22" hidden="1">
      <c r="A3936">
        <v>2462</v>
      </c>
      <c r="B3936">
        <v>1151</v>
      </c>
      <c r="C3936">
        <v>135</v>
      </c>
      <c r="D3936">
        <v>6410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 t="s">
        <v>20</v>
      </c>
      <c r="L3936" s="1">
        <v>44091</v>
      </c>
      <c r="M3936">
        <v>10</v>
      </c>
      <c r="N3936">
        <v>227</v>
      </c>
      <c r="O3936">
        <v>990</v>
      </c>
      <c r="P3936">
        <v>987</v>
      </c>
      <c r="Q3936">
        <v>990</v>
      </c>
      <c r="S3936">
        <v>2090</v>
      </c>
      <c r="T3936">
        <v>2090</v>
      </c>
      <c r="U3936">
        <f>+SUM(Table1[[#This Row],[Latinos]:[Cemex]])</f>
        <v>1</v>
      </c>
      <c r="V3936" t="str">
        <f>+Table1[[#This Row],[id_destino]]&amp;" - "&amp;Table1[[#This Row],[id_origen]]</f>
        <v>10 - 227</v>
      </c>
    </row>
    <row r="3937" spans="1:22" hidden="1">
      <c r="A3937">
        <v>1393</v>
      </c>
      <c r="B3937">
        <v>2072</v>
      </c>
      <c r="C3937">
        <v>135</v>
      </c>
      <c r="D3937">
        <v>10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0</v>
      </c>
      <c r="K3937" t="s">
        <v>20</v>
      </c>
      <c r="L3937" s="1">
        <v>43416</v>
      </c>
      <c r="M3937">
        <v>12</v>
      </c>
      <c r="N3937">
        <v>227</v>
      </c>
      <c r="O3937">
        <v>484</v>
      </c>
      <c r="P3937">
        <v>469</v>
      </c>
      <c r="Q3937">
        <v>484</v>
      </c>
      <c r="S3937">
        <v>1554</v>
      </c>
      <c r="T3937">
        <v>1668</v>
      </c>
      <c r="U3937">
        <f>+SUM(Table1[[#This Row],[Latinos]:[Cemex]])</f>
        <v>1</v>
      </c>
      <c r="V3937" t="str">
        <f>+Table1[[#This Row],[id_destino]]&amp;" - "&amp;Table1[[#This Row],[id_origen]]</f>
        <v>12 - 227</v>
      </c>
    </row>
    <row r="3938" spans="1:22" hidden="1">
      <c r="A3938">
        <v>1783</v>
      </c>
      <c r="B3938">
        <v>4245</v>
      </c>
      <c r="C3938">
        <v>5604</v>
      </c>
      <c r="D3938">
        <v>7414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 t="s">
        <v>20</v>
      </c>
      <c r="L3938" s="1">
        <v>45155</v>
      </c>
      <c r="M3938">
        <v>15</v>
      </c>
      <c r="N3938">
        <v>227</v>
      </c>
      <c r="O3938">
        <v>1787</v>
      </c>
      <c r="P3938">
        <v>1772</v>
      </c>
      <c r="Q3938">
        <v>1787</v>
      </c>
      <c r="S3938">
        <v>3941</v>
      </c>
      <c r="T3938">
        <v>4685</v>
      </c>
      <c r="U3938">
        <f>+SUM(Table1[[#This Row],[Latinos]:[Cemex]])</f>
        <v>1</v>
      </c>
      <c r="V3938" t="str">
        <f>+Table1[[#This Row],[id_destino]]&amp;" - "&amp;Table1[[#This Row],[id_origen]]</f>
        <v>15 - 227</v>
      </c>
    </row>
    <row r="3939" spans="1:22" hidden="1">
      <c r="A3939">
        <v>3876</v>
      </c>
      <c r="B3939">
        <v>4245</v>
      </c>
      <c r="C3939">
        <v>135</v>
      </c>
      <c r="D3939">
        <v>7444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 t="s">
        <v>20</v>
      </c>
      <c r="L3939" s="1">
        <v>45159</v>
      </c>
      <c r="M3939">
        <v>15</v>
      </c>
      <c r="N3939">
        <v>227</v>
      </c>
      <c r="O3939">
        <v>1805</v>
      </c>
      <c r="P3939">
        <v>1850</v>
      </c>
      <c r="Q3939">
        <v>1805</v>
      </c>
      <c r="S3939">
        <v>2222</v>
      </c>
      <c r="T3939">
        <v>2832</v>
      </c>
      <c r="U3939">
        <f>+SUM(Table1[[#This Row],[Latinos]:[Cemex]])</f>
        <v>1</v>
      </c>
      <c r="V3939" t="str">
        <f>+Table1[[#This Row],[id_destino]]&amp;" - "&amp;Table1[[#This Row],[id_origen]]</f>
        <v>15 - 227</v>
      </c>
    </row>
    <row r="3940" spans="1:22" hidden="1">
      <c r="A3940">
        <v>1497</v>
      </c>
      <c r="B3940">
        <v>2779</v>
      </c>
      <c r="C3940">
        <v>135</v>
      </c>
      <c r="D3940">
        <v>15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  <c r="K3940" t="s">
        <v>20</v>
      </c>
      <c r="L3940" s="1">
        <v>43473</v>
      </c>
      <c r="M3940">
        <v>16</v>
      </c>
      <c r="N3940">
        <v>227</v>
      </c>
      <c r="O3940">
        <v>1417</v>
      </c>
      <c r="P3940">
        <v>1408</v>
      </c>
      <c r="Q3940">
        <v>1417</v>
      </c>
      <c r="S3940">
        <v>1784</v>
      </c>
      <c r="T3940">
        <v>2208</v>
      </c>
      <c r="U3940">
        <f>+SUM(Table1[[#This Row],[Latinos]:[Cemex]])</f>
        <v>1</v>
      </c>
      <c r="V3940" t="str">
        <f>+Table1[[#This Row],[id_destino]]&amp;" - "&amp;Table1[[#This Row],[id_origen]]</f>
        <v>16 - 227</v>
      </c>
    </row>
    <row r="3941" spans="1:22" hidden="1">
      <c r="A3941">
        <v>3338</v>
      </c>
      <c r="B3941">
        <v>2088</v>
      </c>
      <c r="C3941">
        <v>5604</v>
      </c>
      <c r="D3941">
        <v>3183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 t="s">
        <v>20</v>
      </c>
      <c r="L3941" s="1">
        <v>44838</v>
      </c>
      <c r="M3941">
        <v>19</v>
      </c>
      <c r="N3941">
        <v>227</v>
      </c>
      <c r="O3941">
        <v>70</v>
      </c>
      <c r="P3941">
        <v>150</v>
      </c>
      <c r="Q3941">
        <v>70</v>
      </c>
      <c r="S3941">
        <v>543</v>
      </c>
      <c r="T3941">
        <v>543</v>
      </c>
      <c r="U3941">
        <f>+SUM(Table1[[#This Row],[Latinos]:[Cemex]])</f>
        <v>1</v>
      </c>
      <c r="V3941" t="str">
        <f>+Table1[[#This Row],[id_destino]]&amp;" - "&amp;Table1[[#This Row],[id_origen]]</f>
        <v>19 - 227</v>
      </c>
    </row>
    <row r="3942" spans="1:22" hidden="1">
      <c r="A3942">
        <v>475</v>
      </c>
      <c r="B3942">
        <v>2117</v>
      </c>
      <c r="C3942">
        <v>5322</v>
      </c>
      <c r="D3942">
        <v>5376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0</v>
      </c>
      <c r="K3942" t="s">
        <v>20</v>
      </c>
      <c r="L3942" s="1">
        <v>43074</v>
      </c>
      <c r="M3942">
        <v>20</v>
      </c>
      <c r="N3942">
        <v>227</v>
      </c>
      <c r="O3942">
        <v>80</v>
      </c>
      <c r="P3942">
        <v>150</v>
      </c>
      <c r="Q3942">
        <v>80</v>
      </c>
      <c r="S3942">
        <v>193</v>
      </c>
      <c r="T3942">
        <v>245</v>
      </c>
      <c r="U3942">
        <f>+SUM(Table1[[#This Row],[Latinos]:[Cemex]])</f>
        <v>1</v>
      </c>
      <c r="V3942" t="str">
        <f>+Table1[[#This Row],[id_destino]]&amp;" - "&amp;Table1[[#This Row],[id_origen]]</f>
        <v>20 - 227</v>
      </c>
    </row>
    <row r="3943" spans="1:22" hidden="1">
      <c r="A3943">
        <v>4211</v>
      </c>
      <c r="B3943">
        <v>4492</v>
      </c>
      <c r="C3943">
        <v>135</v>
      </c>
      <c r="D3943">
        <v>7699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0</v>
      </c>
      <c r="K3943" t="s">
        <v>20</v>
      </c>
      <c r="L3943" s="1">
        <v>45366</v>
      </c>
      <c r="M3943">
        <v>21</v>
      </c>
      <c r="N3943">
        <v>227</v>
      </c>
      <c r="O3943">
        <v>2121</v>
      </c>
      <c r="P3943">
        <v>2104</v>
      </c>
      <c r="Q3943">
        <v>2121</v>
      </c>
      <c r="S3943">
        <v>6808</v>
      </c>
      <c r="T3943">
        <v>7034</v>
      </c>
      <c r="U3943">
        <f>+SUM(Table1[[#This Row],[Latinos]:[Cemex]])</f>
        <v>1</v>
      </c>
      <c r="V3943" t="str">
        <f>+Table1[[#This Row],[id_destino]]&amp;" - "&amp;Table1[[#This Row],[id_origen]]</f>
        <v>21 - 227</v>
      </c>
    </row>
    <row r="3944" spans="1:22" hidden="1">
      <c r="A3944">
        <v>1980</v>
      </c>
      <c r="B3944">
        <v>3059</v>
      </c>
      <c r="C3944">
        <v>135</v>
      </c>
      <c r="D3944">
        <v>6086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0</v>
      </c>
      <c r="K3944" t="s">
        <v>20</v>
      </c>
      <c r="L3944" s="1">
        <v>43748</v>
      </c>
      <c r="M3944">
        <v>24</v>
      </c>
      <c r="N3944">
        <v>227</v>
      </c>
      <c r="O3944">
        <v>770</v>
      </c>
      <c r="P3944">
        <v>761</v>
      </c>
      <c r="Q3944">
        <v>770</v>
      </c>
      <c r="S3944">
        <v>2151</v>
      </c>
      <c r="T3944">
        <v>2277</v>
      </c>
      <c r="U3944">
        <f>+SUM(Table1[[#This Row],[Latinos]:[Cemex]])</f>
        <v>1</v>
      </c>
      <c r="V3944" t="str">
        <f>+Table1[[#This Row],[id_destino]]&amp;" - "&amp;Table1[[#This Row],[id_origen]]</f>
        <v>24 - 227</v>
      </c>
    </row>
    <row r="3945" spans="1:22" hidden="1">
      <c r="A3945">
        <v>595</v>
      </c>
      <c r="B3945">
        <v>2357</v>
      </c>
      <c r="C3945">
        <v>5322</v>
      </c>
      <c r="D3945">
        <v>3021</v>
      </c>
      <c r="E3945">
        <v>0</v>
      </c>
      <c r="F3945">
        <v>1</v>
      </c>
      <c r="G3945">
        <v>0</v>
      </c>
      <c r="H3945">
        <v>0</v>
      </c>
      <c r="I3945">
        <v>0</v>
      </c>
      <c r="J3945">
        <v>0</v>
      </c>
      <c r="K3945" t="s">
        <v>20</v>
      </c>
      <c r="L3945" s="1">
        <v>43111</v>
      </c>
      <c r="M3945">
        <v>25</v>
      </c>
      <c r="N3945">
        <v>227</v>
      </c>
      <c r="O3945">
        <v>667</v>
      </c>
      <c r="P3945">
        <v>660</v>
      </c>
      <c r="Q3945">
        <v>667</v>
      </c>
      <c r="S3945">
        <v>1666</v>
      </c>
      <c r="T3945">
        <v>1726</v>
      </c>
      <c r="U3945">
        <f>+SUM(Table1[[#This Row],[Latinos]:[Cemex]])</f>
        <v>1</v>
      </c>
      <c r="V3945" t="str">
        <f>+Table1[[#This Row],[id_destino]]&amp;" - "&amp;Table1[[#This Row],[id_origen]]</f>
        <v>25 - 227</v>
      </c>
    </row>
    <row r="3946" spans="1:22" hidden="1">
      <c r="A3946">
        <v>508</v>
      </c>
      <c r="B3946">
        <v>2057</v>
      </c>
      <c r="C3946">
        <v>135</v>
      </c>
      <c r="D3946">
        <v>34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 t="s">
        <v>20</v>
      </c>
      <c r="L3946" s="1">
        <v>43085</v>
      </c>
      <c r="M3946">
        <v>30</v>
      </c>
      <c r="N3946">
        <v>227</v>
      </c>
      <c r="O3946">
        <v>937</v>
      </c>
      <c r="P3946">
        <v>937</v>
      </c>
      <c r="Q3946">
        <v>937</v>
      </c>
      <c r="S3946">
        <v>2487</v>
      </c>
      <c r="T3946">
        <v>2547</v>
      </c>
      <c r="U3946">
        <f>+SUM(Table1[[#This Row],[Latinos]:[Cemex]])</f>
        <v>1</v>
      </c>
      <c r="V3946" t="str">
        <f>+Table1[[#This Row],[id_destino]]&amp;" - "&amp;Table1[[#This Row],[id_origen]]</f>
        <v>30 - 227</v>
      </c>
    </row>
    <row r="3947" spans="1:22" hidden="1">
      <c r="A3947">
        <v>821</v>
      </c>
      <c r="B3947">
        <v>2141</v>
      </c>
      <c r="C3947">
        <v>135</v>
      </c>
      <c r="D3947">
        <v>35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 t="s">
        <v>20</v>
      </c>
      <c r="L3947" s="1">
        <v>43176</v>
      </c>
      <c r="M3947">
        <v>31</v>
      </c>
      <c r="N3947">
        <v>227</v>
      </c>
      <c r="O3947">
        <v>1150</v>
      </c>
      <c r="P3947">
        <v>1150</v>
      </c>
      <c r="Q3947">
        <v>1150</v>
      </c>
      <c r="S3947">
        <v>2916</v>
      </c>
      <c r="T3947">
        <v>2916</v>
      </c>
      <c r="U3947">
        <f>+SUM(Table1[[#This Row],[Latinos]:[Cemex]])</f>
        <v>1</v>
      </c>
      <c r="V3947" t="str">
        <f>+Table1[[#This Row],[id_destino]]&amp;" - "&amp;Table1[[#This Row],[id_origen]]</f>
        <v>31 - 227</v>
      </c>
    </row>
    <row r="3948" spans="1:22" hidden="1">
      <c r="A3948">
        <v>3105</v>
      </c>
      <c r="B3948">
        <v>3762</v>
      </c>
      <c r="C3948">
        <v>135</v>
      </c>
      <c r="D3948">
        <v>6922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 t="s">
        <v>20</v>
      </c>
      <c r="L3948" s="1">
        <v>44728</v>
      </c>
      <c r="M3948">
        <v>32</v>
      </c>
      <c r="N3948">
        <v>227</v>
      </c>
      <c r="O3948">
        <v>1296</v>
      </c>
      <c r="P3948">
        <v>1280</v>
      </c>
      <c r="Q3948">
        <v>1296</v>
      </c>
      <c r="S3948">
        <v>3633</v>
      </c>
      <c r="T3948">
        <v>3767</v>
      </c>
      <c r="U3948">
        <f>+SUM(Table1[[#This Row],[Latinos]:[Cemex]])</f>
        <v>1</v>
      </c>
      <c r="V3948" t="str">
        <f>+Table1[[#This Row],[id_destino]]&amp;" - "&amp;Table1[[#This Row],[id_origen]]</f>
        <v>32 - 227</v>
      </c>
    </row>
    <row r="3949" spans="1:22" hidden="1">
      <c r="A3949">
        <v>4198</v>
      </c>
      <c r="B3949">
        <v>3762</v>
      </c>
      <c r="C3949">
        <v>135</v>
      </c>
      <c r="D3949">
        <v>7265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 t="s">
        <v>20</v>
      </c>
      <c r="L3949" s="1">
        <v>45352</v>
      </c>
      <c r="M3949">
        <v>32</v>
      </c>
      <c r="N3949">
        <v>227</v>
      </c>
      <c r="O3949">
        <v>1294</v>
      </c>
      <c r="P3949">
        <v>1286</v>
      </c>
      <c r="Q3949">
        <v>1294</v>
      </c>
      <c r="S3949">
        <v>5453</v>
      </c>
      <c r="T3949">
        <v>5665</v>
      </c>
      <c r="U3949">
        <f>+SUM(Table1[[#This Row],[Latinos]:[Cemex]])</f>
        <v>1</v>
      </c>
      <c r="V3949" t="str">
        <f>+Table1[[#This Row],[id_destino]]&amp;" - "&amp;Table1[[#This Row],[id_origen]]</f>
        <v>32 - 227</v>
      </c>
    </row>
    <row r="3950" spans="1:22" hidden="1">
      <c r="A3950">
        <v>2181</v>
      </c>
      <c r="B3950">
        <v>3189</v>
      </c>
      <c r="C3950">
        <v>135</v>
      </c>
      <c r="D3950">
        <v>40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 t="s">
        <v>20</v>
      </c>
      <c r="L3950" s="1">
        <v>44154</v>
      </c>
      <c r="M3950">
        <v>34</v>
      </c>
      <c r="N3950">
        <v>227</v>
      </c>
      <c r="O3950">
        <v>977</v>
      </c>
      <c r="P3950">
        <v>971</v>
      </c>
      <c r="Q3950">
        <v>977</v>
      </c>
      <c r="S3950">
        <v>743</v>
      </c>
      <c r="T3950">
        <v>922</v>
      </c>
      <c r="U3950">
        <f>+SUM(Table1[[#This Row],[Latinos]:[Cemex]])</f>
        <v>1</v>
      </c>
      <c r="V3950" t="str">
        <f>+Table1[[#This Row],[id_destino]]&amp;" - "&amp;Table1[[#This Row],[id_origen]]</f>
        <v>34 - 227</v>
      </c>
    </row>
    <row r="3951" spans="1:22" hidden="1">
      <c r="A3951">
        <v>1374</v>
      </c>
      <c r="B3951">
        <v>2708</v>
      </c>
      <c r="C3951">
        <v>135</v>
      </c>
      <c r="D3951">
        <v>7456</v>
      </c>
      <c r="E3951">
        <v>0</v>
      </c>
      <c r="F3951">
        <v>1</v>
      </c>
      <c r="G3951">
        <v>0</v>
      </c>
      <c r="H3951">
        <v>0</v>
      </c>
      <c r="I3951">
        <v>0</v>
      </c>
      <c r="J3951">
        <v>0</v>
      </c>
      <c r="K3951" t="s">
        <v>20</v>
      </c>
      <c r="L3951" s="1">
        <v>45168</v>
      </c>
      <c r="M3951">
        <v>46</v>
      </c>
      <c r="N3951">
        <v>227</v>
      </c>
      <c r="O3951">
        <v>352</v>
      </c>
      <c r="P3951">
        <v>327</v>
      </c>
      <c r="Q3951">
        <v>352</v>
      </c>
      <c r="S3951">
        <v>1259</v>
      </c>
      <c r="T3951">
        <v>1352</v>
      </c>
      <c r="U3951">
        <f>+SUM(Table1[[#This Row],[Latinos]:[Cemex]])</f>
        <v>1</v>
      </c>
      <c r="V3951" t="str">
        <f>+Table1[[#This Row],[id_destino]]&amp;" - "&amp;Table1[[#This Row],[id_origen]]</f>
        <v>46 - 227</v>
      </c>
    </row>
    <row r="3952" spans="1:22" hidden="1">
      <c r="A3952">
        <v>4108</v>
      </c>
      <c r="B3952">
        <v>2123</v>
      </c>
      <c r="C3952">
        <v>135</v>
      </c>
      <c r="D3952">
        <v>140</v>
      </c>
      <c r="E3952">
        <v>0</v>
      </c>
      <c r="F3952">
        <v>1</v>
      </c>
      <c r="G3952">
        <v>0</v>
      </c>
      <c r="H3952">
        <v>0</v>
      </c>
      <c r="I3952">
        <v>0</v>
      </c>
      <c r="J3952">
        <v>0</v>
      </c>
      <c r="K3952" t="s">
        <v>20</v>
      </c>
      <c r="L3952" s="1">
        <v>45296</v>
      </c>
      <c r="M3952">
        <v>51</v>
      </c>
      <c r="N3952">
        <v>227</v>
      </c>
      <c r="O3952">
        <v>868</v>
      </c>
      <c r="P3952">
        <v>905</v>
      </c>
      <c r="Q3952">
        <v>868</v>
      </c>
      <c r="S3952">
        <v>1219</v>
      </c>
      <c r="T3952">
        <v>1333</v>
      </c>
      <c r="U3952">
        <f>+SUM(Table1[[#This Row],[Latinos]:[Cemex]])</f>
        <v>1</v>
      </c>
      <c r="V3952" t="str">
        <f>+Table1[[#This Row],[id_destino]]&amp;" - "&amp;Table1[[#This Row],[id_origen]]</f>
        <v>51 - 227</v>
      </c>
    </row>
    <row r="3953" spans="1:22" hidden="1">
      <c r="A3953">
        <v>1314</v>
      </c>
      <c r="B3953">
        <v>1541</v>
      </c>
      <c r="C3953">
        <v>135</v>
      </c>
      <c r="D3953">
        <v>3984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 t="s">
        <v>20</v>
      </c>
      <c r="L3953" s="1">
        <v>43379</v>
      </c>
      <c r="M3953">
        <v>59</v>
      </c>
      <c r="N3953">
        <v>227</v>
      </c>
      <c r="O3953">
        <v>412</v>
      </c>
      <c r="P3953">
        <v>412</v>
      </c>
      <c r="Q3953">
        <v>412</v>
      </c>
      <c r="S3953">
        <v>1045</v>
      </c>
      <c r="T3953">
        <v>1084</v>
      </c>
      <c r="U3953">
        <f>+SUM(Table1[[#This Row],[Latinos]:[Cemex]])</f>
        <v>1</v>
      </c>
      <c r="V3953" t="str">
        <f>+Table1[[#This Row],[id_destino]]&amp;" - "&amp;Table1[[#This Row],[id_origen]]</f>
        <v>59 - 227</v>
      </c>
    </row>
    <row r="3954" spans="1:22" hidden="1">
      <c r="A3954">
        <v>630</v>
      </c>
      <c r="B3954">
        <v>2374</v>
      </c>
      <c r="C3954">
        <v>135</v>
      </c>
      <c r="D3954">
        <v>70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 t="s">
        <v>36</v>
      </c>
      <c r="L3954" s="1">
        <v>43613</v>
      </c>
      <c r="M3954">
        <v>60</v>
      </c>
      <c r="N3954">
        <v>227</v>
      </c>
      <c r="O3954">
        <v>2810</v>
      </c>
      <c r="P3954">
        <v>2810</v>
      </c>
      <c r="Q3954">
        <v>2810</v>
      </c>
      <c r="S3954">
        <v>253</v>
      </c>
      <c r="T3954">
        <v>3038</v>
      </c>
      <c r="U3954">
        <f>+SUM(Table1[[#This Row],[Latinos]:[Cemex]])</f>
        <v>1</v>
      </c>
      <c r="V3954" t="str">
        <f>+Table1[[#This Row],[id_destino]]&amp;" - "&amp;Table1[[#This Row],[id_origen]]</f>
        <v>60 - 227</v>
      </c>
    </row>
    <row r="3955" spans="1:22" hidden="1">
      <c r="A3955">
        <v>1245</v>
      </c>
      <c r="B3955">
        <v>1068</v>
      </c>
      <c r="C3955">
        <v>135</v>
      </c>
      <c r="D3955">
        <v>5234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 t="s">
        <v>20</v>
      </c>
      <c r="L3955" s="1">
        <v>43353</v>
      </c>
      <c r="M3955">
        <v>61</v>
      </c>
      <c r="N3955">
        <v>227</v>
      </c>
      <c r="O3955">
        <v>2798</v>
      </c>
      <c r="P3955">
        <v>2798</v>
      </c>
      <c r="Q3955">
        <v>2798</v>
      </c>
      <c r="S3955">
        <v>2938</v>
      </c>
      <c r="T3955">
        <v>3406</v>
      </c>
      <c r="U3955">
        <f>+SUM(Table1[[#This Row],[Latinos]:[Cemex]])</f>
        <v>1</v>
      </c>
      <c r="V3955" t="str">
        <f>+Table1[[#This Row],[id_destino]]&amp;" - "&amp;Table1[[#This Row],[id_origen]]</f>
        <v>61 - 227</v>
      </c>
    </row>
    <row r="3956" spans="1:22" hidden="1">
      <c r="A3956">
        <v>1880</v>
      </c>
      <c r="B3956">
        <v>2993</v>
      </c>
      <c r="C3956">
        <v>135</v>
      </c>
      <c r="D3956">
        <v>6014</v>
      </c>
      <c r="E3956">
        <v>0</v>
      </c>
      <c r="F3956">
        <v>1</v>
      </c>
      <c r="G3956">
        <v>0</v>
      </c>
      <c r="H3956">
        <v>0</v>
      </c>
      <c r="I3956">
        <v>0</v>
      </c>
      <c r="J3956">
        <v>0</v>
      </c>
      <c r="K3956" t="s">
        <v>20</v>
      </c>
      <c r="L3956" s="1">
        <v>43689</v>
      </c>
      <c r="M3956">
        <v>66</v>
      </c>
      <c r="N3956">
        <v>227</v>
      </c>
      <c r="O3956">
        <v>243</v>
      </c>
      <c r="P3956">
        <v>212</v>
      </c>
      <c r="Q3956">
        <v>243</v>
      </c>
      <c r="S3956">
        <v>538</v>
      </c>
      <c r="T3956">
        <v>563</v>
      </c>
      <c r="U3956">
        <f>+SUM(Table1[[#This Row],[Latinos]:[Cemex]])</f>
        <v>1</v>
      </c>
      <c r="V3956" t="str">
        <f>+Table1[[#This Row],[id_destino]]&amp;" - "&amp;Table1[[#This Row],[id_origen]]</f>
        <v>66 - 227</v>
      </c>
    </row>
    <row r="3957" spans="1:22" hidden="1">
      <c r="A3957">
        <v>4698</v>
      </c>
      <c r="B3957">
        <v>2113</v>
      </c>
      <c r="C3957">
        <v>135</v>
      </c>
      <c r="D3957">
        <v>7913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 t="s">
        <v>20</v>
      </c>
      <c r="L3957" s="1">
        <v>45736</v>
      </c>
      <c r="M3957">
        <v>69</v>
      </c>
      <c r="N3957">
        <v>227</v>
      </c>
      <c r="O3957">
        <v>100</v>
      </c>
      <c r="P3957">
        <v>150</v>
      </c>
      <c r="Q3957">
        <v>100</v>
      </c>
      <c r="S3957">
        <v>390</v>
      </c>
      <c r="T3957">
        <v>415</v>
      </c>
      <c r="U3957">
        <f>+SUM(Table1[[#This Row],[Latinos]:[Cemex]])</f>
        <v>1</v>
      </c>
      <c r="V3957" t="str">
        <f>+Table1[[#This Row],[id_destino]]&amp;" - "&amp;Table1[[#This Row],[id_origen]]</f>
        <v>69 - 227</v>
      </c>
    </row>
    <row r="3958" spans="1:22" hidden="1">
      <c r="A3958">
        <v>1760</v>
      </c>
      <c r="B3958">
        <v>2922</v>
      </c>
      <c r="C3958">
        <v>5908</v>
      </c>
      <c r="D3958">
        <v>4197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 t="s">
        <v>20</v>
      </c>
      <c r="L3958" s="1">
        <v>43607</v>
      </c>
      <c r="M3958">
        <v>71</v>
      </c>
      <c r="N3958">
        <v>227</v>
      </c>
      <c r="O3958">
        <v>484</v>
      </c>
      <c r="P3958">
        <v>467</v>
      </c>
      <c r="Q3958">
        <v>484</v>
      </c>
      <c r="S3958">
        <v>1382</v>
      </c>
      <c r="T3958">
        <v>1442</v>
      </c>
      <c r="U3958">
        <f>+SUM(Table1[[#This Row],[Latinos]:[Cemex]])</f>
        <v>1</v>
      </c>
      <c r="V3958" t="str">
        <f>+Table1[[#This Row],[id_destino]]&amp;" - "&amp;Table1[[#This Row],[id_origen]]</f>
        <v>71 - 227</v>
      </c>
    </row>
    <row r="3959" spans="1:22" hidden="1">
      <c r="A3959">
        <v>1761</v>
      </c>
      <c r="B3959">
        <v>2923</v>
      </c>
      <c r="C3959">
        <v>5908</v>
      </c>
      <c r="D3959">
        <v>4197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  <c r="K3959" t="s">
        <v>20</v>
      </c>
      <c r="L3959" s="1">
        <v>43607</v>
      </c>
      <c r="M3959">
        <v>71</v>
      </c>
      <c r="N3959">
        <v>227</v>
      </c>
      <c r="O3959">
        <v>484</v>
      </c>
      <c r="P3959">
        <v>452</v>
      </c>
      <c r="Q3959">
        <v>452</v>
      </c>
      <c r="S3959">
        <v>1382</v>
      </c>
      <c r="T3959">
        <v>1442</v>
      </c>
      <c r="U3959">
        <f>+SUM(Table1[[#This Row],[Latinos]:[Cemex]])</f>
        <v>1</v>
      </c>
      <c r="V3959" t="str">
        <f>+Table1[[#This Row],[id_destino]]&amp;" - "&amp;Table1[[#This Row],[id_origen]]</f>
        <v>71 - 227</v>
      </c>
    </row>
    <row r="3960" spans="1:22" hidden="1">
      <c r="A3960">
        <v>2287</v>
      </c>
      <c r="B3960">
        <v>3250</v>
      </c>
      <c r="C3960">
        <v>135</v>
      </c>
      <c r="D3960">
        <v>6312</v>
      </c>
      <c r="E3960">
        <v>0</v>
      </c>
      <c r="F3960">
        <v>1</v>
      </c>
      <c r="G3960">
        <v>0</v>
      </c>
      <c r="H3960">
        <v>0</v>
      </c>
      <c r="I3960">
        <v>0</v>
      </c>
      <c r="J3960">
        <v>0</v>
      </c>
      <c r="K3960" t="s">
        <v>20</v>
      </c>
      <c r="L3960" s="1">
        <v>43904</v>
      </c>
      <c r="M3960">
        <v>84</v>
      </c>
      <c r="N3960">
        <v>227</v>
      </c>
      <c r="O3960">
        <v>917</v>
      </c>
      <c r="P3960">
        <v>927</v>
      </c>
      <c r="Q3960">
        <v>917</v>
      </c>
      <c r="S3960">
        <v>1162</v>
      </c>
      <c r="T3960">
        <v>1276</v>
      </c>
      <c r="U3960">
        <f>+SUM(Table1[[#This Row],[Latinos]:[Cemex]])</f>
        <v>1</v>
      </c>
      <c r="V3960" t="str">
        <f>+Table1[[#This Row],[id_destino]]&amp;" - "&amp;Table1[[#This Row],[id_origen]]</f>
        <v>84 - 227</v>
      </c>
    </row>
    <row r="3961" spans="1:22" hidden="1">
      <c r="A3961">
        <v>4634</v>
      </c>
      <c r="B3961">
        <v>2153</v>
      </c>
      <c r="C3961">
        <v>135</v>
      </c>
      <c r="D3961">
        <v>268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0</v>
      </c>
      <c r="K3961" t="s">
        <v>20</v>
      </c>
      <c r="L3961" s="1">
        <v>45694</v>
      </c>
      <c r="M3961">
        <v>99</v>
      </c>
      <c r="N3961">
        <v>227</v>
      </c>
      <c r="O3961">
        <v>1393</v>
      </c>
      <c r="P3961">
        <v>1393</v>
      </c>
      <c r="Q3961">
        <v>1393</v>
      </c>
      <c r="S3961">
        <v>4110</v>
      </c>
      <c r="T3961">
        <v>4110</v>
      </c>
      <c r="U3961">
        <f>+SUM(Table1[[#This Row],[Latinos]:[Cemex]])</f>
        <v>1</v>
      </c>
      <c r="V3961" t="str">
        <f>+Table1[[#This Row],[id_destino]]&amp;" - "&amp;Table1[[#This Row],[id_origen]]</f>
        <v>99 - 227</v>
      </c>
    </row>
    <row r="3962" spans="1:22" hidden="1">
      <c r="A3962">
        <v>1633</v>
      </c>
      <c r="B3962">
        <v>2850</v>
      </c>
      <c r="C3962">
        <v>135</v>
      </c>
      <c r="D3962">
        <v>4351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0</v>
      </c>
      <c r="K3962" t="s">
        <v>20</v>
      </c>
      <c r="L3962" s="1">
        <v>43540</v>
      </c>
      <c r="M3962">
        <v>101</v>
      </c>
      <c r="N3962">
        <v>227</v>
      </c>
      <c r="O3962">
        <v>1115</v>
      </c>
      <c r="P3962">
        <v>1105</v>
      </c>
      <c r="Q3962">
        <v>1115</v>
      </c>
      <c r="S3962">
        <v>504</v>
      </c>
      <c r="T3962">
        <v>564</v>
      </c>
      <c r="U3962">
        <f>+SUM(Table1[[#This Row],[Latinos]:[Cemex]])</f>
        <v>1</v>
      </c>
      <c r="V3962" t="str">
        <f>+Table1[[#This Row],[id_destino]]&amp;" - "&amp;Table1[[#This Row],[id_origen]]</f>
        <v>101 - 227</v>
      </c>
    </row>
    <row r="3963" spans="1:22" hidden="1">
      <c r="A3963">
        <v>3853</v>
      </c>
      <c r="B3963">
        <v>4261</v>
      </c>
      <c r="C3963">
        <v>135</v>
      </c>
      <c r="D3963">
        <v>7398</v>
      </c>
      <c r="E3963">
        <v>0</v>
      </c>
      <c r="F3963">
        <v>1</v>
      </c>
      <c r="G3963">
        <v>0</v>
      </c>
      <c r="H3963">
        <v>0</v>
      </c>
      <c r="I3963">
        <v>0</v>
      </c>
      <c r="J3963">
        <v>0</v>
      </c>
      <c r="K3963" t="s">
        <v>20</v>
      </c>
      <c r="L3963" s="1">
        <v>45143</v>
      </c>
      <c r="M3963">
        <v>102</v>
      </c>
      <c r="N3963">
        <v>227</v>
      </c>
      <c r="O3963">
        <v>925</v>
      </c>
      <c r="P3963">
        <v>1191</v>
      </c>
      <c r="Q3963">
        <v>925</v>
      </c>
      <c r="S3963">
        <v>2301</v>
      </c>
      <c r="T3963">
        <v>2008</v>
      </c>
      <c r="U3963">
        <f>+SUM(Table1[[#This Row],[Latinos]:[Cemex]])</f>
        <v>1</v>
      </c>
      <c r="V3963" t="str">
        <f>+Table1[[#This Row],[id_destino]]&amp;" - "&amp;Table1[[#This Row],[id_origen]]</f>
        <v>102 - 227</v>
      </c>
    </row>
    <row r="3964" spans="1:22" hidden="1">
      <c r="A3964">
        <v>920</v>
      </c>
      <c r="B3964">
        <v>2513</v>
      </c>
      <c r="C3964">
        <v>135</v>
      </c>
      <c r="D3964">
        <v>1366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 t="s">
        <v>20</v>
      </c>
      <c r="L3964" s="1">
        <v>43213</v>
      </c>
      <c r="M3964">
        <v>107</v>
      </c>
      <c r="N3964">
        <v>227</v>
      </c>
      <c r="O3964">
        <v>572</v>
      </c>
      <c r="P3964">
        <v>610</v>
      </c>
      <c r="Q3964">
        <v>572</v>
      </c>
      <c r="S3964">
        <v>1192</v>
      </c>
      <c r="T3964">
        <v>1313</v>
      </c>
      <c r="U3964">
        <f>+SUM(Table1[[#This Row],[Latinos]:[Cemex]])</f>
        <v>1</v>
      </c>
      <c r="V3964" t="str">
        <f>+Table1[[#This Row],[id_destino]]&amp;" - "&amp;Table1[[#This Row],[id_origen]]</f>
        <v>107 - 227</v>
      </c>
    </row>
    <row r="3965" spans="1:22" hidden="1">
      <c r="A3965">
        <v>1525</v>
      </c>
      <c r="B3965">
        <v>1640</v>
      </c>
      <c r="C3965">
        <v>135</v>
      </c>
      <c r="D3965">
        <v>4607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0</v>
      </c>
      <c r="K3965" t="s">
        <v>20</v>
      </c>
      <c r="L3965" s="1">
        <v>43489</v>
      </c>
      <c r="M3965">
        <v>117</v>
      </c>
      <c r="N3965">
        <v>227</v>
      </c>
      <c r="O3965">
        <v>110</v>
      </c>
      <c r="P3965">
        <v>150</v>
      </c>
      <c r="Q3965">
        <v>110</v>
      </c>
      <c r="S3965">
        <v>107</v>
      </c>
      <c r="T3965">
        <v>161</v>
      </c>
      <c r="U3965">
        <f>+SUM(Table1[[#This Row],[Latinos]:[Cemex]])</f>
        <v>1</v>
      </c>
      <c r="V3965" t="str">
        <f>+Table1[[#This Row],[id_destino]]&amp;" - "&amp;Table1[[#This Row],[id_origen]]</f>
        <v>117 - 227</v>
      </c>
    </row>
    <row r="3966" spans="1:22" hidden="1">
      <c r="A3966">
        <v>2180</v>
      </c>
      <c r="B3966">
        <v>3188</v>
      </c>
      <c r="C3966">
        <v>135</v>
      </c>
      <c r="D3966">
        <v>6240</v>
      </c>
      <c r="E3966">
        <v>0</v>
      </c>
      <c r="F3966">
        <v>1</v>
      </c>
      <c r="G3966">
        <v>0</v>
      </c>
      <c r="H3966">
        <v>0</v>
      </c>
      <c r="I3966">
        <v>0</v>
      </c>
      <c r="J3966">
        <v>0</v>
      </c>
      <c r="K3966" t="s">
        <v>20</v>
      </c>
      <c r="L3966" s="1">
        <v>43843</v>
      </c>
      <c r="M3966">
        <v>120</v>
      </c>
      <c r="N3966">
        <v>227</v>
      </c>
      <c r="O3966">
        <v>1010</v>
      </c>
      <c r="P3966">
        <v>1021</v>
      </c>
      <c r="Q3966">
        <v>1010</v>
      </c>
      <c r="S3966">
        <v>1869</v>
      </c>
      <c r="T3966">
        <v>1869</v>
      </c>
      <c r="U3966">
        <f>+SUM(Table1[[#This Row],[Latinos]:[Cemex]])</f>
        <v>1</v>
      </c>
      <c r="V3966" t="str">
        <f>+Table1[[#This Row],[id_destino]]&amp;" - "&amp;Table1[[#This Row],[id_origen]]</f>
        <v>120 - 227</v>
      </c>
    </row>
    <row r="3967" spans="1:22" hidden="1">
      <c r="A3967">
        <v>1091</v>
      </c>
      <c r="B3967">
        <v>2581</v>
      </c>
      <c r="C3967">
        <v>135</v>
      </c>
      <c r="D3967">
        <v>5623</v>
      </c>
      <c r="E3967">
        <v>0</v>
      </c>
      <c r="F3967">
        <v>1</v>
      </c>
      <c r="G3967">
        <v>0</v>
      </c>
      <c r="H3967">
        <v>0</v>
      </c>
      <c r="I3967">
        <v>0</v>
      </c>
      <c r="J3967">
        <v>0</v>
      </c>
      <c r="K3967" t="s">
        <v>20</v>
      </c>
      <c r="L3967" s="1">
        <v>43285</v>
      </c>
      <c r="M3967">
        <v>138</v>
      </c>
      <c r="N3967">
        <v>227</v>
      </c>
      <c r="O3967">
        <v>768</v>
      </c>
      <c r="P3967">
        <v>768</v>
      </c>
      <c r="Q3967">
        <v>768</v>
      </c>
      <c r="S3967">
        <v>1764</v>
      </c>
      <c r="T3967">
        <v>1764</v>
      </c>
      <c r="U3967">
        <f>+SUM(Table1[[#This Row],[Latinos]:[Cemex]])</f>
        <v>1</v>
      </c>
      <c r="V3967" t="str">
        <f>+Table1[[#This Row],[id_destino]]&amp;" - "&amp;Table1[[#This Row],[id_origen]]</f>
        <v>138 - 227</v>
      </c>
    </row>
    <row r="3968" spans="1:22" hidden="1">
      <c r="A3968">
        <v>4038</v>
      </c>
      <c r="B3968">
        <v>4377</v>
      </c>
      <c r="C3968">
        <v>135</v>
      </c>
      <c r="D3968">
        <v>7556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0</v>
      </c>
      <c r="K3968" t="s">
        <v>20</v>
      </c>
      <c r="L3968" s="1">
        <v>45244</v>
      </c>
      <c r="M3968">
        <v>144</v>
      </c>
      <c r="N3968">
        <v>227</v>
      </c>
      <c r="O3968">
        <v>137</v>
      </c>
      <c r="P3968">
        <v>150</v>
      </c>
      <c r="Q3968">
        <v>137</v>
      </c>
      <c r="S3968">
        <v>204</v>
      </c>
      <c r="T3968">
        <v>318</v>
      </c>
      <c r="U3968">
        <f>+SUM(Table1[[#This Row],[Latinos]:[Cemex]])</f>
        <v>1</v>
      </c>
      <c r="V3968" t="str">
        <f>+Table1[[#This Row],[id_destino]]&amp;" - "&amp;Table1[[#This Row],[id_origen]]</f>
        <v>144 - 227</v>
      </c>
    </row>
    <row r="3969" spans="1:22" hidden="1">
      <c r="A3969">
        <v>1038</v>
      </c>
      <c r="B3969">
        <v>1650</v>
      </c>
      <c r="C3969">
        <v>135</v>
      </c>
      <c r="D3969">
        <v>2111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0</v>
      </c>
      <c r="K3969" t="s">
        <v>20</v>
      </c>
      <c r="L3969" s="1">
        <v>43258</v>
      </c>
      <c r="M3969">
        <v>155</v>
      </c>
      <c r="N3969">
        <v>227</v>
      </c>
      <c r="O3969">
        <v>971</v>
      </c>
      <c r="P3969">
        <v>1013</v>
      </c>
      <c r="Q3969">
        <v>971</v>
      </c>
      <c r="S3969">
        <v>4548</v>
      </c>
      <c r="T3969">
        <v>4662.01</v>
      </c>
      <c r="U3969">
        <f>+SUM(Table1[[#This Row],[Latinos]:[Cemex]])</f>
        <v>1</v>
      </c>
      <c r="V3969" t="str">
        <f>+Table1[[#This Row],[id_destino]]&amp;" - "&amp;Table1[[#This Row],[id_origen]]</f>
        <v>155 - 227</v>
      </c>
    </row>
    <row r="3970" spans="1:22" hidden="1">
      <c r="A3970">
        <v>1039</v>
      </c>
      <c r="B3970">
        <v>1650</v>
      </c>
      <c r="C3970">
        <v>135</v>
      </c>
      <c r="D3970">
        <v>2111</v>
      </c>
      <c r="E3970">
        <v>0</v>
      </c>
      <c r="F3970">
        <v>1</v>
      </c>
      <c r="G3970">
        <v>0</v>
      </c>
      <c r="H3970">
        <v>0</v>
      </c>
      <c r="I3970">
        <v>1</v>
      </c>
      <c r="J3970">
        <v>0</v>
      </c>
      <c r="K3970" t="s">
        <v>56</v>
      </c>
      <c r="L3970" s="1">
        <v>43258</v>
      </c>
      <c r="M3970">
        <v>155</v>
      </c>
      <c r="N3970">
        <v>227</v>
      </c>
      <c r="O3970">
        <v>1388</v>
      </c>
      <c r="P3970">
        <v>1363</v>
      </c>
      <c r="Q3970">
        <v>1388</v>
      </c>
      <c r="S3970">
        <v>3195</v>
      </c>
      <c r="T3970">
        <v>3329</v>
      </c>
      <c r="U3970">
        <f>+SUM(Table1[[#This Row],[Latinos]:[Cemex]])</f>
        <v>2</v>
      </c>
      <c r="V3970" t="str">
        <f>+Table1[[#This Row],[id_destino]]&amp;" - "&amp;Table1[[#This Row],[id_origen]]</f>
        <v>155 - 227</v>
      </c>
    </row>
    <row r="3971" spans="1:22" hidden="1">
      <c r="A3971">
        <v>1084</v>
      </c>
      <c r="B3971">
        <v>1650</v>
      </c>
      <c r="C3971">
        <v>135</v>
      </c>
      <c r="D3971">
        <v>2111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 t="s">
        <v>20</v>
      </c>
      <c r="L3971" s="1">
        <v>43280</v>
      </c>
      <c r="M3971">
        <v>155</v>
      </c>
      <c r="N3971">
        <v>227</v>
      </c>
      <c r="O3971">
        <v>1343</v>
      </c>
      <c r="P3971">
        <v>1343</v>
      </c>
      <c r="Q3971">
        <v>1343</v>
      </c>
      <c r="S3971">
        <v>3195</v>
      </c>
      <c r="T3971">
        <v>3329</v>
      </c>
      <c r="U3971">
        <f>+SUM(Table1[[#This Row],[Latinos]:[Cemex]])</f>
        <v>1</v>
      </c>
      <c r="V3971" t="str">
        <f>+Table1[[#This Row],[id_destino]]&amp;" - "&amp;Table1[[#This Row],[id_origen]]</f>
        <v>155 - 227</v>
      </c>
    </row>
    <row r="3972" spans="1:22" hidden="1">
      <c r="A3972">
        <v>4440</v>
      </c>
      <c r="B3972">
        <v>4659</v>
      </c>
      <c r="C3972">
        <v>135</v>
      </c>
      <c r="D3972">
        <v>7908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 t="s">
        <v>20</v>
      </c>
      <c r="L3972" s="1">
        <v>45541</v>
      </c>
      <c r="M3972">
        <v>173</v>
      </c>
      <c r="N3972">
        <v>227</v>
      </c>
      <c r="O3972">
        <v>531</v>
      </c>
      <c r="P3972">
        <v>507</v>
      </c>
      <c r="Q3972">
        <v>531</v>
      </c>
      <c r="S3972">
        <v>2073</v>
      </c>
      <c r="T3972">
        <v>2187</v>
      </c>
      <c r="U3972">
        <f>+SUM(Table1[[#This Row],[Latinos]:[Cemex]])</f>
        <v>1</v>
      </c>
      <c r="V3972" t="str">
        <f>+Table1[[#This Row],[id_destino]]&amp;" - "&amp;Table1[[#This Row],[id_origen]]</f>
        <v>173 - 227</v>
      </c>
    </row>
    <row r="3973" spans="1:22" hidden="1">
      <c r="A3973">
        <v>1467</v>
      </c>
      <c r="B3973">
        <v>2763</v>
      </c>
      <c r="C3973">
        <v>135</v>
      </c>
      <c r="D3973">
        <v>24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 t="s">
        <v>20</v>
      </c>
      <c r="L3973" s="1">
        <v>43452</v>
      </c>
      <c r="M3973">
        <v>179</v>
      </c>
      <c r="N3973">
        <v>227</v>
      </c>
      <c r="O3973">
        <v>1815</v>
      </c>
      <c r="P3973">
        <v>1815</v>
      </c>
      <c r="Q3973">
        <v>1815</v>
      </c>
      <c r="S3973">
        <v>3839</v>
      </c>
      <c r="T3973">
        <v>3985</v>
      </c>
      <c r="U3973">
        <f>+SUM(Table1[[#This Row],[Latinos]:[Cemex]])</f>
        <v>1</v>
      </c>
      <c r="V3973" t="str">
        <f>+Table1[[#This Row],[id_destino]]&amp;" - "&amp;Table1[[#This Row],[id_origen]]</f>
        <v>179 - 227</v>
      </c>
    </row>
    <row r="3974" spans="1:22" hidden="1">
      <c r="A3974">
        <v>4690</v>
      </c>
      <c r="B3974">
        <v>4001</v>
      </c>
      <c r="C3974">
        <v>135</v>
      </c>
      <c r="D3974">
        <v>8161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 t="s">
        <v>20</v>
      </c>
      <c r="L3974" s="1">
        <v>45729</v>
      </c>
      <c r="M3974">
        <v>180</v>
      </c>
      <c r="N3974">
        <v>227</v>
      </c>
      <c r="O3974">
        <v>1110</v>
      </c>
      <c r="P3974">
        <v>1104</v>
      </c>
      <c r="Q3974">
        <v>1110</v>
      </c>
      <c r="S3974">
        <v>1969</v>
      </c>
      <c r="T3974">
        <v>1969</v>
      </c>
      <c r="U3974">
        <f>+SUM(Table1[[#This Row],[Latinos]:[Cemex]])</f>
        <v>1</v>
      </c>
      <c r="V3974" t="str">
        <f>+Table1[[#This Row],[id_destino]]&amp;" - "&amp;Table1[[#This Row],[id_origen]]</f>
        <v>180 - 227</v>
      </c>
    </row>
    <row r="3975" spans="1:22" hidden="1">
      <c r="A3975">
        <v>4691</v>
      </c>
      <c r="B3975">
        <v>4001</v>
      </c>
      <c r="C3975">
        <v>135</v>
      </c>
      <c r="D3975">
        <v>8161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 t="s">
        <v>20</v>
      </c>
      <c r="L3975" s="1">
        <v>45729</v>
      </c>
      <c r="M3975">
        <v>180</v>
      </c>
      <c r="N3975">
        <v>227</v>
      </c>
      <c r="O3975">
        <v>1110</v>
      </c>
      <c r="P3975">
        <v>1110</v>
      </c>
      <c r="Q3975">
        <v>1110</v>
      </c>
      <c r="S3975">
        <v>2335</v>
      </c>
      <c r="T3975">
        <v>2335</v>
      </c>
      <c r="U3975">
        <f>+SUM(Table1[[#This Row],[Latinos]:[Cemex]])</f>
        <v>1</v>
      </c>
      <c r="V3975" t="str">
        <f>+Table1[[#This Row],[id_destino]]&amp;" - "&amp;Table1[[#This Row],[id_origen]]</f>
        <v>180 - 227</v>
      </c>
    </row>
    <row r="3976" spans="1:22" hidden="1">
      <c r="A3976">
        <v>4010</v>
      </c>
      <c r="B3976">
        <v>4355</v>
      </c>
      <c r="C3976">
        <v>135</v>
      </c>
      <c r="D3976">
        <v>2763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 t="s">
        <v>20</v>
      </c>
      <c r="L3976" s="1">
        <v>45234</v>
      </c>
      <c r="M3976">
        <v>191</v>
      </c>
      <c r="N3976">
        <v>227</v>
      </c>
      <c r="O3976">
        <v>2838</v>
      </c>
      <c r="P3976">
        <v>2656</v>
      </c>
      <c r="Q3976">
        <v>2838</v>
      </c>
      <c r="S3976">
        <v>7476</v>
      </c>
      <c r="T3976">
        <v>7714</v>
      </c>
      <c r="U3976">
        <f>+SUM(Table1[[#This Row],[Latinos]:[Cemex]])</f>
        <v>1</v>
      </c>
      <c r="V3976" t="str">
        <f>+Table1[[#This Row],[id_destino]]&amp;" - "&amp;Table1[[#This Row],[id_origen]]</f>
        <v>191 - 227</v>
      </c>
    </row>
    <row r="3977" spans="1:22" hidden="1">
      <c r="A3977">
        <v>1896</v>
      </c>
      <c r="B3977">
        <v>3003</v>
      </c>
      <c r="C3977">
        <v>135</v>
      </c>
      <c r="D3977">
        <v>958</v>
      </c>
      <c r="E3977">
        <v>0</v>
      </c>
      <c r="F3977">
        <v>1</v>
      </c>
      <c r="G3977">
        <v>0</v>
      </c>
      <c r="H3977">
        <v>0</v>
      </c>
      <c r="I3977">
        <v>0</v>
      </c>
      <c r="J3977">
        <v>0</v>
      </c>
      <c r="K3977" t="s">
        <v>20</v>
      </c>
      <c r="L3977" s="1">
        <v>43701</v>
      </c>
      <c r="M3977">
        <v>195</v>
      </c>
      <c r="N3977">
        <v>227</v>
      </c>
      <c r="O3977">
        <v>383</v>
      </c>
      <c r="P3977">
        <v>388</v>
      </c>
      <c r="Q3977">
        <v>383</v>
      </c>
      <c r="S3977">
        <v>1125</v>
      </c>
      <c r="T3977">
        <v>1250</v>
      </c>
      <c r="U3977">
        <f>+SUM(Table1[[#This Row],[Latinos]:[Cemex]])</f>
        <v>1</v>
      </c>
      <c r="V3977" t="str">
        <f>+Table1[[#This Row],[id_destino]]&amp;" - "&amp;Table1[[#This Row],[id_origen]]</f>
        <v>195 - 227</v>
      </c>
    </row>
    <row r="3978" spans="1:22" hidden="1">
      <c r="A3978">
        <v>1182</v>
      </c>
      <c r="B3978">
        <v>2617</v>
      </c>
      <c r="C3978">
        <v>135</v>
      </c>
      <c r="D3978">
        <v>3651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 t="s">
        <v>20</v>
      </c>
      <c r="L3978" s="1">
        <v>43333</v>
      </c>
      <c r="M3978">
        <v>225</v>
      </c>
      <c r="N3978">
        <v>227</v>
      </c>
      <c r="O3978">
        <v>1640</v>
      </c>
      <c r="P3978">
        <v>1640</v>
      </c>
      <c r="Q3978">
        <v>1640</v>
      </c>
      <c r="S3978">
        <v>1844</v>
      </c>
      <c r="T3978">
        <v>1844</v>
      </c>
      <c r="U3978">
        <f>+SUM(Table1[[#This Row],[Latinos]:[Cemex]])</f>
        <v>1</v>
      </c>
      <c r="V3978" t="str">
        <f>+Table1[[#This Row],[id_destino]]&amp;" - "&amp;Table1[[#This Row],[id_origen]]</f>
        <v>225 - 227</v>
      </c>
    </row>
    <row r="3979" spans="1:22" hidden="1">
      <c r="A3979">
        <v>2546</v>
      </c>
      <c r="B3979">
        <v>3410</v>
      </c>
      <c r="C3979">
        <v>5322</v>
      </c>
      <c r="D3979">
        <v>6473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 t="s">
        <v>20</v>
      </c>
      <c r="L3979" s="1">
        <v>44170</v>
      </c>
      <c r="M3979">
        <v>251</v>
      </c>
      <c r="N3979">
        <v>227</v>
      </c>
      <c r="O3979">
        <v>115</v>
      </c>
      <c r="P3979">
        <v>150</v>
      </c>
      <c r="Q3979">
        <v>115</v>
      </c>
      <c r="S3979">
        <v>176</v>
      </c>
      <c r="T3979">
        <v>176</v>
      </c>
      <c r="U3979">
        <f>+SUM(Table1[[#This Row],[Latinos]:[Cemex]])</f>
        <v>1</v>
      </c>
      <c r="V3979" t="str">
        <f>+Table1[[#This Row],[id_destino]]&amp;" - "&amp;Table1[[#This Row],[id_origen]]</f>
        <v>251 - 227</v>
      </c>
    </row>
    <row r="3980" spans="1:22" hidden="1">
      <c r="A3980">
        <v>548</v>
      </c>
      <c r="B3980">
        <v>2340</v>
      </c>
      <c r="C3980">
        <v>135</v>
      </c>
      <c r="D3980">
        <v>33</v>
      </c>
      <c r="E3980">
        <v>0</v>
      </c>
      <c r="F3980">
        <v>1</v>
      </c>
      <c r="G3980">
        <v>0</v>
      </c>
      <c r="H3980">
        <v>0</v>
      </c>
      <c r="I3980">
        <v>0</v>
      </c>
      <c r="J3980">
        <v>0</v>
      </c>
      <c r="K3980" t="s">
        <v>20</v>
      </c>
      <c r="L3980" s="1">
        <v>43097</v>
      </c>
      <c r="M3980">
        <v>260</v>
      </c>
      <c r="N3980">
        <v>227</v>
      </c>
      <c r="O3980">
        <v>1343</v>
      </c>
      <c r="P3980">
        <v>1346</v>
      </c>
      <c r="Q3980">
        <v>1343</v>
      </c>
      <c r="S3980">
        <v>5453</v>
      </c>
      <c r="T3980">
        <v>5665</v>
      </c>
      <c r="U3980">
        <f>+SUM(Table1[[#This Row],[Latinos]:[Cemex]])</f>
        <v>1</v>
      </c>
      <c r="V3980" t="str">
        <f>+Table1[[#This Row],[id_destino]]&amp;" - "&amp;Table1[[#This Row],[id_origen]]</f>
        <v>260 - 227</v>
      </c>
    </row>
    <row r="3981" spans="1:22" hidden="1">
      <c r="A3981">
        <v>3282</v>
      </c>
      <c r="B3981">
        <v>3886</v>
      </c>
      <c r="C3981">
        <v>135</v>
      </c>
      <c r="D3981">
        <v>7026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 t="s">
        <v>20</v>
      </c>
      <c r="L3981" s="1">
        <v>44802</v>
      </c>
      <c r="M3981">
        <v>269</v>
      </c>
      <c r="N3981">
        <v>227</v>
      </c>
      <c r="O3981">
        <v>110</v>
      </c>
      <c r="P3981">
        <v>150</v>
      </c>
      <c r="Q3981">
        <v>110</v>
      </c>
      <c r="S3981">
        <v>0</v>
      </c>
      <c r="T3981">
        <v>0</v>
      </c>
      <c r="U3981">
        <f>+SUM(Table1[[#This Row],[Latinos]:[Cemex]])</f>
        <v>1</v>
      </c>
      <c r="V3981" t="str">
        <f>+Table1[[#This Row],[id_destino]]&amp;" - "&amp;Table1[[#This Row],[id_origen]]</f>
        <v>269 - 227</v>
      </c>
    </row>
    <row r="3982" spans="1:22" hidden="1">
      <c r="A3982">
        <v>1763</v>
      </c>
      <c r="B3982">
        <v>2925</v>
      </c>
      <c r="C3982">
        <v>135</v>
      </c>
      <c r="D3982">
        <v>5924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 t="s">
        <v>20</v>
      </c>
      <c r="L3982" s="1">
        <v>43610</v>
      </c>
      <c r="M3982">
        <v>285</v>
      </c>
      <c r="N3982">
        <v>227</v>
      </c>
      <c r="O3982">
        <v>391</v>
      </c>
      <c r="P3982">
        <v>391</v>
      </c>
      <c r="Q3982">
        <v>391</v>
      </c>
      <c r="S3982">
        <v>352</v>
      </c>
      <c r="T3982">
        <v>412</v>
      </c>
      <c r="U3982">
        <f>+SUM(Table1[[#This Row],[Latinos]:[Cemex]])</f>
        <v>1</v>
      </c>
      <c r="V3982" t="str">
        <f>+Table1[[#This Row],[id_destino]]&amp;" - "&amp;Table1[[#This Row],[id_origen]]</f>
        <v>285 - 227</v>
      </c>
    </row>
    <row r="3983" spans="1:22" hidden="1">
      <c r="A3983">
        <v>1800</v>
      </c>
      <c r="B3983">
        <v>2925</v>
      </c>
      <c r="C3983">
        <v>5604</v>
      </c>
      <c r="D3983">
        <v>5944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 t="s">
        <v>20</v>
      </c>
      <c r="L3983" s="1">
        <v>43638</v>
      </c>
      <c r="M3983">
        <v>285</v>
      </c>
      <c r="N3983">
        <v>227</v>
      </c>
      <c r="O3983">
        <v>535</v>
      </c>
      <c r="P3983">
        <v>392</v>
      </c>
      <c r="Q3983">
        <v>535</v>
      </c>
      <c r="S3983">
        <v>352</v>
      </c>
      <c r="T3983">
        <v>412</v>
      </c>
      <c r="U3983">
        <f>+SUM(Table1[[#This Row],[Latinos]:[Cemex]])</f>
        <v>1</v>
      </c>
      <c r="V3983" t="str">
        <f>+Table1[[#This Row],[id_destino]]&amp;" - "&amp;Table1[[#This Row],[id_origen]]</f>
        <v>285 - 227</v>
      </c>
    </row>
    <row r="3984" spans="1:22" hidden="1">
      <c r="A3984">
        <v>1464</v>
      </c>
      <c r="B3984">
        <v>2760</v>
      </c>
      <c r="C3984">
        <v>135</v>
      </c>
      <c r="D3984">
        <v>1090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 t="s">
        <v>20</v>
      </c>
      <c r="L3984" s="1">
        <v>43451</v>
      </c>
      <c r="M3984">
        <v>311</v>
      </c>
      <c r="N3984">
        <v>227</v>
      </c>
      <c r="O3984">
        <v>346</v>
      </c>
      <c r="P3984">
        <v>318</v>
      </c>
      <c r="Q3984">
        <v>346</v>
      </c>
      <c r="S3984">
        <v>688</v>
      </c>
      <c r="T3984">
        <v>693</v>
      </c>
      <c r="U3984">
        <f>+SUM(Table1[[#This Row],[Latinos]:[Cemex]])</f>
        <v>1</v>
      </c>
      <c r="V3984" t="str">
        <f>+Table1[[#This Row],[id_destino]]&amp;" - "&amp;Table1[[#This Row],[id_origen]]</f>
        <v>311 - 227</v>
      </c>
    </row>
    <row r="3985" spans="1:22" hidden="1">
      <c r="A3985">
        <v>2164</v>
      </c>
      <c r="B3985">
        <v>3178</v>
      </c>
      <c r="C3985">
        <v>135</v>
      </c>
      <c r="D3985">
        <v>6230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 t="s">
        <v>20</v>
      </c>
      <c r="L3985" s="1">
        <v>43838</v>
      </c>
      <c r="M3985">
        <v>343</v>
      </c>
      <c r="N3985">
        <v>227</v>
      </c>
      <c r="O3985">
        <v>932</v>
      </c>
      <c r="P3985">
        <v>891</v>
      </c>
      <c r="Q3985">
        <v>932</v>
      </c>
      <c r="S3985">
        <v>520</v>
      </c>
      <c r="T3985">
        <v>580</v>
      </c>
      <c r="U3985">
        <f>+SUM(Table1[[#This Row],[Latinos]:[Cemex]])</f>
        <v>1</v>
      </c>
      <c r="V3985" t="str">
        <f>+Table1[[#This Row],[id_destino]]&amp;" - "&amp;Table1[[#This Row],[id_origen]]</f>
        <v>343 - 227</v>
      </c>
    </row>
    <row r="3986" spans="1:22" hidden="1">
      <c r="A3986">
        <v>1468</v>
      </c>
      <c r="B3986">
        <v>1772</v>
      </c>
      <c r="C3986">
        <v>135</v>
      </c>
      <c r="D3986">
        <v>4851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 t="s">
        <v>20</v>
      </c>
      <c r="L3986" s="1">
        <v>43452</v>
      </c>
      <c r="M3986">
        <v>345</v>
      </c>
      <c r="N3986">
        <v>227</v>
      </c>
      <c r="O3986">
        <v>85</v>
      </c>
      <c r="P3986">
        <v>150</v>
      </c>
      <c r="Q3986">
        <v>85</v>
      </c>
      <c r="S3986">
        <v>163</v>
      </c>
      <c r="T3986">
        <v>163</v>
      </c>
      <c r="U3986">
        <f>+SUM(Table1[[#This Row],[Latinos]:[Cemex]])</f>
        <v>1</v>
      </c>
      <c r="V3986" t="str">
        <f>+Table1[[#This Row],[id_destino]]&amp;" - "&amp;Table1[[#This Row],[id_origen]]</f>
        <v>345 - 227</v>
      </c>
    </row>
    <row r="3987" spans="1:22" hidden="1">
      <c r="A3987">
        <v>769</v>
      </c>
      <c r="B3987">
        <v>2444</v>
      </c>
      <c r="C3987">
        <v>135</v>
      </c>
      <c r="D3987">
        <v>5481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 t="s">
        <v>20</v>
      </c>
      <c r="L3987" s="1">
        <v>43160</v>
      </c>
      <c r="M3987">
        <v>370</v>
      </c>
      <c r="N3987">
        <v>227</v>
      </c>
      <c r="O3987">
        <v>796</v>
      </c>
      <c r="P3987">
        <v>796</v>
      </c>
      <c r="Q3987">
        <v>796</v>
      </c>
      <c r="S3987">
        <v>1695</v>
      </c>
      <c r="T3987">
        <v>1755</v>
      </c>
      <c r="U3987">
        <f>+SUM(Table1[[#This Row],[Latinos]:[Cemex]])</f>
        <v>1</v>
      </c>
      <c r="V3987" t="str">
        <f>+Table1[[#This Row],[id_destino]]&amp;" - "&amp;Table1[[#This Row],[id_origen]]</f>
        <v>370 - 227</v>
      </c>
    </row>
    <row r="3988" spans="1:22" hidden="1">
      <c r="A3988">
        <v>3443</v>
      </c>
      <c r="B3988">
        <v>3993</v>
      </c>
      <c r="C3988">
        <v>7126</v>
      </c>
      <c r="D3988">
        <v>7127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 t="s">
        <v>20</v>
      </c>
      <c r="L3988" s="1">
        <v>44895</v>
      </c>
      <c r="M3988">
        <v>525</v>
      </c>
      <c r="N3988">
        <v>227</v>
      </c>
      <c r="O3988">
        <v>97</v>
      </c>
      <c r="P3988">
        <v>150</v>
      </c>
      <c r="Q3988">
        <v>97</v>
      </c>
      <c r="S3988">
        <v>543</v>
      </c>
      <c r="T3988">
        <v>543</v>
      </c>
      <c r="U3988">
        <f>+SUM(Table1[[#This Row],[Latinos]:[Cemex]])</f>
        <v>1</v>
      </c>
      <c r="V3988" t="str">
        <f>+Table1[[#This Row],[id_destino]]&amp;" - "&amp;Table1[[#This Row],[id_origen]]</f>
        <v>525 - 227</v>
      </c>
    </row>
    <row r="3989" spans="1:22" hidden="1">
      <c r="A3989">
        <v>2080</v>
      </c>
      <c r="B3989">
        <v>3121</v>
      </c>
      <c r="C3989">
        <v>135</v>
      </c>
      <c r="D3989">
        <v>6173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 t="s">
        <v>20</v>
      </c>
      <c r="L3989" s="1">
        <v>43803</v>
      </c>
      <c r="M3989">
        <v>590</v>
      </c>
      <c r="N3989">
        <v>227</v>
      </c>
      <c r="O3989">
        <v>1100</v>
      </c>
      <c r="P3989">
        <v>1201</v>
      </c>
      <c r="Q3989">
        <v>1100</v>
      </c>
      <c r="S3989">
        <v>2335</v>
      </c>
      <c r="T3989">
        <v>2412</v>
      </c>
      <c r="U3989">
        <f>+SUM(Table1[[#This Row],[Latinos]:[Cemex]])</f>
        <v>1</v>
      </c>
      <c r="V3989" t="str">
        <f>+Table1[[#This Row],[id_destino]]&amp;" - "&amp;Table1[[#This Row],[id_origen]]</f>
        <v>590 - 227</v>
      </c>
    </row>
    <row r="3990" spans="1:22" hidden="1">
      <c r="A3990">
        <v>1928</v>
      </c>
      <c r="B3990">
        <v>3022</v>
      </c>
      <c r="C3990">
        <v>135</v>
      </c>
      <c r="D3990">
        <v>6056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0</v>
      </c>
      <c r="K3990" t="s">
        <v>20</v>
      </c>
      <c r="L3990" s="1">
        <v>43719</v>
      </c>
      <c r="M3990">
        <v>612</v>
      </c>
      <c r="N3990">
        <v>227</v>
      </c>
      <c r="O3990">
        <v>891</v>
      </c>
      <c r="P3990">
        <v>891</v>
      </c>
      <c r="Q3990">
        <v>891</v>
      </c>
      <c r="S3990">
        <v>375</v>
      </c>
      <c r="T3990">
        <v>435</v>
      </c>
      <c r="U3990">
        <f>+SUM(Table1[[#This Row],[Latinos]:[Cemex]])</f>
        <v>1</v>
      </c>
      <c r="V3990" t="str">
        <f>+Table1[[#This Row],[id_destino]]&amp;" - "&amp;Table1[[#This Row],[id_origen]]</f>
        <v>612 - 227</v>
      </c>
    </row>
    <row r="3991" spans="1:22" hidden="1">
      <c r="A3991">
        <v>1004</v>
      </c>
      <c r="B3991">
        <v>2543</v>
      </c>
      <c r="C3991">
        <v>135</v>
      </c>
      <c r="D3991">
        <v>4386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 t="s">
        <v>20</v>
      </c>
      <c r="L3991" s="1">
        <v>43245</v>
      </c>
      <c r="M3991">
        <v>623</v>
      </c>
      <c r="N3991">
        <v>227</v>
      </c>
      <c r="O3991">
        <v>514</v>
      </c>
      <c r="P3991">
        <v>481</v>
      </c>
      <c r="Q3991">
        <v>514</v>
      </c>
      <c r="S3991">
        <v>1554</v>
      </c>
      <c r="T3991">
        <v>1554</v>
      </c>
      <c r="U3991">
        <f>+SUM(Table1[[#This Row],[Latinos]:[Cemex]])</f>
        <v>1</v>
      </c>
      <c r="V3991" t="str">
        <f>+Table1[[#This Row],[id_destino]]&amp;" - "&amp;Table1[[#This Row],[id_origen]]</f>
        <v>623 - 227</v>
      </c>
    </row>
    <row r="3992" spans="1:22" hidden="1">
      <c r="A3992">
        <v>566</v>
      </c>
      <c r="B3992">
        <v>2106</v>
      </c>
      <c r="C3992">
        <v>135</v>
      </c>
      <c r="D3992">
        <v>5173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0</v>
      </c>
      <c r="K3992" t="s">
        <v>20</v>
      </c>
      <c r="L3992" s="1">
        <v>43104</v>
      </c>
      <c r="M3992">
        <v>625</v>
      </c>
      <c r="N3992">
        <v>227</v>
      </c>
      <c r="O3992">
        <v>503</v>
      </c>
      <c r="P3992">
        <v>503</v>
      </c>
      <c r="Q3992">
        <v>503</v>
      </c>
      <c r="S3992">
        <v>1417</v>
      </c>
      <c r="T3992">
        <v>1417</v>
      </c>
      <c r="U3992">
        <f>+SUM(Table1[[#This Row],[Latinos]:[Cemex]])</f>
        <v>1</v>
      </c>
      <c r="V3992" t="str">
        <f>+Table1[[#This Row],[id_destino]]&amp;" - "&amp;Table1[[#This Row],[id_origen]]</f>
        <v>625 - 227</v>
      </c>
    </row>
    <row r="3993" spans="1:22" hidden="1">
      <c r="A3993">
        <v>2579</v>
      </c>
      <c r="B3993">
        <v>3432</v>
      </c>
      <c r="C3993">
        <v>135</v>
      </c>
      <c r="D3993">
        <v>6496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0</v>
      </c>
      <c r="K3993" t="s">
        <v>20</v>
      </c>
      <c r="L3993" s="1">
        <v>44195</v>
      </c>
      <c r="M3993">
        <v>650</v>
      </c>
      <c r="N3993">
        <v>227</v>
      </c>
      <c r="O3993">
        <v>989</v>
      </c>
      <c r="P3993">
        <v>926</v>
      </c>
      <c r="Q3993">
        <v>989</v>
      </c>
      <c r="S3993">
        <v>388</v>
      </c>
      <c r="T3993">
        <v>448</v>
      </c>
      <c r="U3993">
        <f>+SUM(Table1[[#This Row],[Latinos]:[Cemex]])</f>
        <v>1</v>
      </c>
      <c r="V3993" t="str">
        <f>+Table1[[#This Row],[id_destino]]&amp;" - "&amp;Table1[[#This Row],[id_origen]]</f>
        <v>650 - 227</v>
      </c>
    </row>
    <row r="3994" spans="1:22" hidden="1">
      <c r="A3994">
        <v>1697</v>
      </c>
      <c r="B3994">
        <v>2891</v>
      </c>
      <c r="C3994">
        <v>135</v>
      </c>
      <c r="D3994">
        <v>5880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 t="s">
        <v>20</v>
      </c>
      <c r="L3994" s="1">
        <v>43567</v>
      </c>
      <c r="M3994">
        <v>670</v>
      </c>
      <c r="N3994">
        <v>227</v>
      </c>
      <c r="O3994">
        <v>1188</v>
      </c>
      <c r="P3994">
        <v>1171</v>
      </c>
      <c r="Q3994">
        <v>1188</v>
      </c>
      <c r="S3994">
        <v>2313</v>
      </c>
      <c r="T3994">
        <v>2313</v>
      </c>
      <c r="U3994">
        <f>+SUM(Table1[[#This Row],[Latinos]:[Cemex]])</f>
        <v>1</v>
      </c>
      <c r="V3994" t="str">
        <f>+Table1[[#This Row],[id_destino]]&amp;" - "&amp;Table1[[#This Row],[id_origen]]</f>
        <v>670 - 227</v>
      </c>
    </row>
    <row r="3995" spans="1:22" hidden="1">
      <c r="A3995">
        <v>4000</v>
      </c>
      <c r="B3995">
        <v>4346</v>
      </c>
      <c r="C3995">
        <v>135</v>
      </c>
      <c r="D3995">
        <v>5041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0</v>
      </c>
      <c r="K3995" t="s">
        <v>20</v>
      </c>
      <c r="L3995" s="1">
        <v>45229</v>
      </c>
      <c r="M3995">
        <v>687</v>
      </c>
      <c r="N3995">
        <v>227</v>
      </c>
      <c r="O3995">
        <v>1219</v>
      </c>
      <c r="P3995">
        <v>1033</v>
      </c>
      <c r="Q3995">
        <v>1219</v>
      </c>
      <c r="S3995">
        <v>4379</v>
      </c>
      <c r="T3995">
        <v>4493</v>
      </c>
      <c r="U3995">
        <f>+SUM(Table1[[#This Row],[Latinos]:[Cemex]])</f>
        <v>1</v>
      </c>
      <c r="V3995" t="str">
        <f>+Table1[[#This Row],[id_destino]]&amp;" - "&amp;Table1[[#This Row],[id_origen]]</f>
        <v>687 - 227</v>
      </c>
    </row>
    <row r="3996" spans="1:22" hidden="1">
      <c r="A3996">
        <v>1966</v>
      </c>
      <c r="B3996">
        <v>3052</v>
      </c>
      <c r="C3996">
        <v>135</v>
      </c>
      <c r="D3996">
        <v>6082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 t="s">
        <v>20</v>
      </c>
      <c r="L3996" s="1">
        <v>43743</v>
      </c>
      <c r="M3996">
        <v>688</v>
      </c>
      <c r="N3996">
        <v>227</v>
      </c>
      <c r="O3996">
        <v>95</v>
      </c>
      <c r="P3996">
        <v>150</v>
      </c>
      <c r="Q3996">
        <v>95</v>
      </c>
      <c r="S3996">
        <v>163</v>
      </c>
      <c r="T3996">
        <v>163</v>
      </c>
      <c r="U3996">
        <f>+SUM(Table1[[#This Row],[Latinos]:[Cemex]])</f>
        <v>1</v>
      </c>
      <c r="V3996" t="str">
        <f>+Table1[[#This Row],[id_destino]]&amp;" - "&amp;Table1[[#This Row],[id_origen]]</f>
        <v>688 - 227</v>
      </c>
    </row>
    <row r="3997" spans="1:22" hidden="1">
      <c r="A3997">
        <v>2448</v>
      </c>
      <c r="B3997">
        <v>3351</v>
      </c>
      <c r="C3997">
        <v>135</v>
      </c>
      <c r="D3997">
        <v>6400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 t="s">
        <v>20</v>
      </c>
      <c r="L3997" s="1">
        <v>44078</v>
      </c>
      <c r="M3997">
        <v>703</v>
      </c>
      <c r="N3997">
        <v>227</v>
      </c>
      <c r="O3997">
        <v>1121</v>
      </c>
      <c r="P3997">
        <v>1121</v>
      </c>
      <c r="Q3997">
        <v>1121</v>
      </c>
      <c r="S3997">
        <v>2380</v>
      </c>
      <c r="T3997">
        <v>2380</v>
      </c>
      <c r="U3997">
        <f>+SUM(Table1[[#This Row],[Latinos]:[Cemex]])</f>
        <v>1</v>
      </c>
      <c r="V3997" t="str">
        <f>+Table1[[#This Row],[id_destino]]&amp;" - "&amp;Table1[[#This Row],[id_origen]]</f>
        <v>703 - 227</v>
      </c>
    </row>
    <row r="3998" spans="1:22" hidden="1">
      <c r="A3998">
        <v>531</v>
      </c>
      <c r="B3998">
        <v>2333</v>
      </c>
      <c r="C3998">
        <v>135</v>
      </c>
      <c r="D3998">
        <v>5395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 t="s">
        <v>20</v>
      </c>
      <c r="L3998" s="1">
        <v>43089</v>
      </c>
      <c r="M3998">
        <v>727</v>
      </c>
      <c r="N3998">
        <v>227</v>
      </c>
      <c r="O3998">
        <v>203</v>
      </c>
      <c r="P3998">
        <v>203</v>
      </c>
      <c r="Q3998">
        <v>203</v>
      </c>
      <c r="S3998">
        <v>327</v>
      </c>
      <c r="T3998">
        <v>387</v>
      </c>
      <c r="U3998">
        <f>+SUM(Table1[[#This Row],[Latinos]:[Cemex]])</f>
        <v>1</v>
      </c>
      <c r="V3998" t="str">
        <f>+Table1[[#This Row],[id_destino]]&amp;" - "&amp;Table1[[#This Row],[id_origen]]</f>
        <v>727 - 227</v>
      </c>
    </row>
    <row r="3999" spans="1:22" hidden="1">
      <c r="A3999">
        <v>880</v>
      </c>
      <c r="B3999">
        <v>2492</v>
      </c>
      <c r="C3999">
        <v>135</v>
      </c>
      <c r="D3999">
        <v>5529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 t="s">
        <v>20</v>
      </c>
      <c r="L3999" s="1">
        <v>43201</v>
      </c>
      <c r="M3999">
        <v>744</v>
      </c>
      <c r="N3999">
        <v>227</v>
      </c>
      <c r="O3999">
        <v>1022</v>
      </c>
      <c r="P3999">
        <v>1022</v>
      </c>
      <c r="Q3999">
        <v>1022</v>
      </c>
      <c r="S3999">
        <v>1804</v>
      </c>
      <c r="T3999">
        <v>1804</v>
      </c>
      <c r="U3999">
        <f>+SUM(Table1[[#This Row],[Latinos]:[Cemex]])</f>
        <v>1</v>
      </c>
      <c r="V3999" t="str">
        <f>+Table1[[#This Row],[id_destino]]&amp;" - "&amp;Table1[[#This Row],[id_origen]]</f>
        <v>744 - 227</v>
      </c>
    </row>
    <row r="4000" spans="1:22" hidden="1">
      <c r="A4000">
        <v>1308</v>
      </c>
      <c r="B4000">
        <v>2684</v>
      </c>
      <c r="C4000">
        <v>135</v>
      </c>
      <c r="D4000">
        <v>5719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 t="s">
        <v>20</v>
      </c>
      <c r="L4000" s="1">
        <v>43377</v>
      </c>
      <c r="M4000">
        <v>758</v>
      </c>
      <c r="N4000">
        <v>227</v>
      </c>
      <c r="O4000">
        <v>837</v>
      </c>
      <c r="P4000">
        <v>837</v>
      </c>
      <c r="Q4000">
        <v>837</v>
      </c>
      <c r="S4000">
        <v>366</v>
      </c>
      <c r="T4000">
        <v>426</v>
      </c>
      <c r="U4000">
        <f>+SUM(Table1[[#This Row],[Latinos]:[Cemex]])</f>
        <v>1</v>
      </c>
      <c r="V4000" t="str">
        <f>+Table1[[#This Row],[id_destino]]&amp;" - "&amp;Table1[[#This Row],[id_origen]]</f>
        <v>758 - 227</v>
      </c>
    </row>
    <row r="4001" spans="1:22" hidden="1">
      <c r="A4001">
        <v>1701</v>
      </c>
      <c r="B4001">
        <v>2892</v>
      </c>
      <c r="C4001">
        <v>135</v>
      </c>
      <c r="D4001">
        <v>5884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 t="s">
        <v>20</v>
      </c>
      <c r="L4001" s="1">
        <v>43568</v>
      </c>
      <c r="M4001">
        <v>771</v>
      </c>
      <c r="N4001">
        <v>227</v>
      </c>
      <c r="O4001">
        <v>906</v>
      </c>
      <c r="P4001">
        <v>869</v>
      </c>
      <c r="Q4001">
        <v>906</v>
      </c>
      <c r="S4001">
        <v>1882</v>
      </c>
      <c r="T4001">
        <v>1882</v>
      </c>
      <c r="U4001">
        <f>+SUM(Table1[[#This Row],[Latinos]:[Cemex]])</f>
        <v>1</v>
      </c>
      <c r="V4001" t="str">
        <f>+Table1[[#This Row],[id_destino]]&amp;" - "&amp;Table1[[#This Row],[id_origen]]</f>
        <v>771 - 227</v>
      </c>
    </row>
    <row r="4002" spans="1:22" hidden="1">
      <c r="A4002">
        <v>1884</v>
      </c>
      <c r="B4002">
        <v>2996</v>
      </c>
      <c r="C4002">
        <v>135</v>
      </c>
      <c r="D4002">
        <v>6019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  <c r="K4002" t="s">
        <v>20</v>
      </c>
      <c r="L4002" s="1">
        <v>43691</v>
      </c>
      <c r="M4002">
        <v>780</v>
      </c>
      <c r="N4002">
        <v>227</v>
      </c>
      <c r="O4002">
        <v>613</v>
      </c>
      <c r="P4002">
        <v>600</v>
      </c>
      <c r="Q4002">
        <v>613</v>
      </c>
      <c r="S4002">
        <v>1129</v>
      </c>
      <c r="T4002">
        <v>1129</v>
      </c>
      <c r="U4002">
        <f>+SUM(Table1[[#This Row],[Latinos]:[Cemex]])</f>
        <v>1</v>
      </c>
      <c r="V4002" t="str">
        <f>+Table1[[#This Row],[id_destino]]&amp;" - "&amp;Table1[[#This Row],[id_origen]]</f>
        <v>780 - 227</v>
      </c>
    </row>
    <row r="4003" spans="1:22" hidden="1">
      <c r="A4003">
        <v>1915</v>
      </c>
      <c r="B4003">
        <v>3014</v>
      </c>
      <c r="C4003">
        <v>135</v>
      </c>
      <c r="D4003">
        <v>6044</v>
      </c>
      <c r="E4003">
        <v>0</v>
      </c>
      <c r="F4003">
        <v>1</v>
      </c>
      <c r="G4003">
        <v>0</v>
      </c>
      <c r="H4003">
        <v>0</v>
      </c>
      <c r="I4003">
        <v>0</v>
      </c>
      <c r="J4003">
        <v>0</v>
      </c>
      <c r="K4003" t="s">
        <v>20</v>
      </c>
      <c r="L4003" s="1">
        <v>43713</v>
      </c>
      <c r="M4003">
        <v>783</v>
      </c>
      <c r="N4003">
        <v>227</v>
      </c>
      <c r="O4003">
        <v>480</v>
      </c>
      <c r="P4003">
        <v>483</v>
      </c>
      <c r="Q4003">
        <v>480</v>
      </c>
      <c r="S4003">
        <v>447</v>
      </c>
      <c r="T4003">
        <v>536</v>
      </c>
      <c r="U4003">
        <f>+SUM(Table1[[#This Row],[Latinos]:[Cemex]])</f>
        <v>1</v>
      </c>
      <c r="V4003" t="str">
        <f>+Table1[[#This Row],[id_destino]]&amp;" - "&amp;Table1[[#This Row],[id_origen]]</f>
        <v>783 - 227</v>
      </c>
    </row>
    <row r="4004" spans="1:22" hidden="1">
      <c r="A4004">
        <v>1924</v>
      </c>
      <c r="B4004">
        <v>3020</v>
      </c>
      <c r="C4004">
        <v>135</v>
      </c>
      <c r="D4004">
        <v>6054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 t="s">
        <v>20</v>
      </c>
      <c r="L4004" s="1">
        <v>43718</v>
      </c>
      <c r="M4004">
        <v>785</v>
      </c>
      <c r="N4004">
        <v>227</v>
      </c>
      <c r="O4004">
        <v>577</v>
      </c>
      <c r="P4004">
        <v>577</v>
      </c>
      <c r="Q4004">
        <v>577</v>
      </c>
      <c r="S4004">
        <v>1237</v>
      </c>
      <c r="T4004">
        <v>1300</v>
      </c>
      <c r="U4004">
        <f>+SUM(Table1[[#This Row],[Latinos]:[Cemex]])</f>
        <v>1</v>
      </c>
      <c r="V4004" t="str">
        <f>+Table1[[#This Row],[id_destino]]&amp;" - "&amp;Table1[[#This Row],[id_origen]]</f>
        <v>785 - 227</v>
      </c>
    </row>
    <row r="4005" spans="1:22" hidden="1">
      <c r="A4005">
        <v>2584</v>
      </c>
      <c r="B4005">
        <v>3434</v>
      </c>
      <c r="C4005">
        <v>135</v>
      </c>
      <c r="D4005">
        <v>6497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0</v>
      </c>
      <c r="K4005" t="s">
        <v>20</v>
      </c>
      <c r="L4005" s="1">
        <v>44201</v>
      </c>
      <c r="M4005">
        <v>823</v>
      </c>
      <c r="N4005">
        <v>227</v>
      </c>
      <c r="O4005">
        <v>796</v>
      </c>
      <c r="P4005">
        <v>813</v>
      </c>
      <c r="Q4005">
        <v>796</v>
      </c>
      <c r="S4005">
        <v>1981</v>
      </c>
      <c r="T4005">
        <v>2107</v>
      </c>
      <c r="U4005">
        <f>+SUM(Table1[[#This Row],[Latinos]:[Cemex]])</f>
        <v>1</v>
      </c>
      <c r="V4005" t="str">
        <f>+Table1[[#This Row],[id_destino]]&amp;" - "&amp;Table1[[#This Row],[id_origen]]</f>
        <v>823 - 227</v>
      </c>
    </row>
    <row r="4006" spans="1:22" hidden="1">
      <c r="A4006">
        <v>2807</v>
      </c>
      <c r="B4006">
        <v>3581</v>
      </c>
      <c r="C4006">
        <v>135</v>
      </c>
      <c r="D4006">
        <v>6691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 t="s">
        <v>20</v>
      </c>
      <c r="L4006" s="1">
        <v>44475</v>
      </c>
      <c r="M4006">
        <v>834</v>
      </c>
      <c r="N4006">
        <v>227</v>
      </c>
      <c r="O4006">
        <v>525</v>
      </c>
      <c r="P4006">
        <v>542</v>
      </c>
      <c r="Q4006">
        <v>525</v>
      </c>
      <c r="S4006">
        <v>952</v>
      </c>
      <c r="T4006">
        <v>1012</v>
      </c>
      <c r="U4006">
        <f>+SUM(Table1[[#This Row],[Latinos]:[Cemex]])</f>
        <v>1</v>
      </c>
      <c r="V4006" t="str">
        <f>+Table1[[#This Row],[id_destino]]&amp;" - "&amp;Table1[[#This Row],[id_origen]]</f>
        <v>834 - 227</v>
      </c>
    </row>
    <row r="4007" spans="1:22" hidden="1">
      <c r="A4007">
        <v>4012</v>
      </c>
      <c r="B4007">
        <v>4357</v>
      </c>
      <c r="C4007">
        <v>7540</v>
      </c>
      <c r="D4007">
        <v>394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 t="s">
        <v>20</v>
      </c>
      <c r="L4007" s="1">
        <v>45236</v>
      </c>
      <c r="M4007">
        <v>1</v>
      </c>
      <c r="N4007">
        <v>230</v>
      </c>
      <c r="O4007">
        <v>583</v>
      </c>
      <c r="P4007">
        <v>606</v>
      </c>
      <c r="Q4007">
        <v>583</v>
      </c>
      <c r="S4007">
        <v>165</v>
      </c>
      <c r="T4007">
        <v>165</v>
      </c>
      <c r="U4007">
        <f>+SUM(Table1[[#This Row],[Latinos]:[Cemex]])</f>
        <v>1</v>
      </c>
      <c r="V4007" t="str">
        <f>+Table1[[#This Row],[id_destino]]&amp;" - "&amp;Table1[[#This Row],[id_origen]]</f>
        <v>1 - 230</v>
      </c>
    </row>
    <row r="4008" spans="1:22" hidden="1">
      <c r="A4008">
        <v>4212</v>
      </c>
      <c r="B4008">
        <v>4493</v>
      </c>
      <c r="C4008">
        <v>7540</v>
      </c>
      <c r="D4008">
        <v>478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 t="s">
        <v>20</v>
      </c>
      <c r="L4008" s="1">
        <v>45366</v>
      </c>
      <c r="M4008">
        <v>46</v>
      </c>
      <c r="N4008">
        <v>230</v>
      </c>
      <c r="O4008">
        <v>419</v>
      </c>
      <c r="P4008">
        <v>397</v>
      </c>
      <c r="Q4008">
        <v>419</v>
      </c>
      <c r="S4008">
        <v>252</v>
      </c>
      <c r="T4008">
        <v>252</v>
      </c>
      <c r="U4008">
        <f>+SUM(Table1[[#This Row],[Latinos]:[Cemex]])</f>
        <v>1</v>
      </c>
      <c r="V4008" t="str">
        <f>+Table1[[#This Row],[id_destino]]&amp;" - "&amp;Table1[[#This Row],[id_origen]]</f>
        <v>46 - 230</v>
      </c>
    </row>
    <row r="4009" spans="1:22" hidden="1">
      <c r="A4009">
        <v>1202</v>
      </c>
      <c r="B4009">
        <v>2630</v>
      </c>
      <c r="C4009">
        <v>5671</v>
      </c>
      <c r="D4009">
        <v>5530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 t="s">
        <v>20</v>
      </c>
      <c r="L4009" s="1">
        <v>43340</v>
      </c>
      <c r="M4009">
        <v>23</v>
      </c>
      <c r="N4009">
        <v>233</v>
      </c>
      <c r="O4009">
        <v>582</v>
      </c>
      <c r="P4009">
        <v>582</v>
      </c>
      <c r="Q4009">
        <v>582</v>
      </c>
      <c r="S4009">
        <v>1822</v>
      </c>
      <c r="T4009">
        <v>1822</v>
      </c>
      <c r="U4009">
        <f>+SUM(Table1[[#This Row],[Latinos]:[Cemex]])</f>
        <v>1</v>
      </c>
      <c r="V4009" t="str">
        <f>+Table1[[#This Row],[id_destino]]&amp;" - "&amp;Table1[[#This Row],[id_origen]]</f>
        <v>23 - 233</v>
      </c>
    </row>
    <row r="4010" spans="1:22" hidden="1">
      <c r="A4010">
        <v>4232</v>
      </c>
      <c r="B4010">
        <v>4510</v>
      </c>
      <c r="C4010">
        <v>6170</v>
      </c>
      <c r="D4010">
        <v>5211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 t="s">
        <v>20</v>
      </c>
      <c r="L4010" s="1">
        <v>45387</v>
      </c>
      <c r="M4010">
        <v>18</v>
      </c>
      <c r="N4010">
        <v>239</v>
      </c>
      <c r="O4010">
        <v>306</v>
      </c>
      <c r="P4010">
        <v>306</v>
      </c>
      <c r="Q4010">
        <v>306</v>
      </c>
      <c r="S4010">
        <v>373</v>
      </c>
      <c r="T4010">
        <v>373</v>
      </c>
      <c r="U4010">
        <f>+SUM(Table1[[#This Row],[Latinos]:[Cemex]])</f>
        <v>1</v>
      </c>
      <c r="V4010" t="str">
        <f>+Table1[[#This Row],[id_destino]]&amp;" - "&amp;Table1[[#This Row],[id_origen]]</f>
        <v>18 - 239</v>
      </c>
    </row>
    <row r="4011" spans="1:22" hidden="1">
      <c r="A4011">
        <v>4436</v>
      </c>
      <c r="B4011">
        <v>4657</v>
      </c>
      <c r="C4011">
        <v>194</v>
      </c>
      <c r="D4011">
        <v>2538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0</v>
      </c>
      <c r="K4011" t="s">
        <v>20</v>
      </c>
      <c r="L4011" s="1">
        <v>45538</v>
      </c>
      <c r="M4011">
        <v>46</v>
      </c>
      <c r="N4011">
        <v>242</v>
      </c>
      <c r="O4011">
        <v>221</v>
      </c>
      <c r="P4011">
        <v>226</v>
      </c>
      <c r="Q4011">
        <v>221</v>
      </c>
      <c r="S4011">
        <v>823</v>
      </c>
      <c r="T4011">
        <v>823</v>
      </c>
      <c r="U4011">
        <f>+SUM(Table1[[#This Row],[Latinos]:[Cemex]])</f>
        <v>1</v>
      </c>
      <c r="V4011" t="str">
        <f>+Table1[[#This Row],[id_destino]]&amp;" - "&amp;Table1[[#This Row],[id_origen]]</f>
        <v>46 - 242</v>
      </c>
    </row>
    <row r="4012" spans="1:22" hidden="1">
      <c r="A4012">
        <v>4386</v>
      </c>
      <c r="B4012">
        <v>4619</v>
      </c>
      <c r="C4012">
        <v>194</v>
      </c>
      <c r="D4012">
        <v>664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 t="s">
        <v>20</v>
      </c>
      <c r="L4012" s="1">
        <v>45677</v>
      </c>
      <c r="M4012">
        <v>268</v>
      </c>
      <c r="N4012">
        <v>242</v>
      </c>
      <c r="O4012">
        <v>757</v>
      </c>
      <c r="P4012">
        <v>753</v>
      </c>
      <c r="Q4012">
        <v>757</v>
      </c>
      <c r="S4012">
        <v>2077</v>
      </c>
      <c r="T4012">
        <v>2077</v>
      </c>
      <c r="U4012">
        <f>+SUM(Table1[[#This Row],[Latinos]:[Cemex]])</f>
        <v>1</v>
      </c>
      <c r="V4012" t="str">
        <f>+Table1[[#This Row],[id_destino]]&amp;" - "&amp;Table1[[#This Row],[id_origen]]</f>
        <v>268 - 242</v>
      </c>
    </row>
    <row r="4013" spans="1:22" hidden="1">
      <c r="A4013">
        <v>4621</v>
      </c>
      <c r="B4013">
        <v>4802</v>
      </c>
      <c r="C4013">
        <v>8072</v>
      </c>
      <c r="D4013">
        <v>7852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0</v>
      </c>
      <c r="K4013" t="s">
        <v>20</v>
      </c>
      <c r="L4013" s="1">
        <v>45674</v>
      </c>
      <c r="M4013">
        <v>298</v>
      </c>
      <c r="N4013">
        <v>242</v>
      </c>
      <c r="O4013">
        <v>759</v>
      </c>
      <c r="P4013">
        <v>760</v>
      </c>
      <c r="Q4013">
        <v>759</v>
      </c>
      <c r="S4013">
        <v>2077</v>
      </c>
      <c r="T4013">
        <v>2077</v>
      </c>
      <c r="U4013">
        <f>+SUM(Table1[[#This Row],[Latinos]:[Cemex]])</f>
        <v>1</v>
      </c>
      <c r="V4013" t="str">
        <f>+Table1[[#This Row],[id_destino]]&amp;" - "&amp;Table1[[#This Row],[id_origen]]</f>
        <v>298 - 242</v>
      </c>
    </row>
    <row r="4014" spans="1:22" hidden="1">
      <c r="A4014">
        <v>1416</v>
      </c>
      <c r="B4014">
        <v>2733</v>
      </c>
      <c r="C4014">
        <v>194</v>
      </c>
      <c r="D4014">
        <v>5757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 t="s">
        <v>20</v>
      </c>
      <c r="L4014" s="1">
        <v>43426</v>
      </c>
      <c r="M4014">
        <v>761</v>
      </c>
      <c r="N4014">
        <v>242</v>
      </c>
      <c r="O4014">
        <v>95</v>
      </c>
      <c r="P4014">
        <v>150</v>
      </c>
      <c r="Q4014">
        <v>95</v>
      </c>
      <c r="S4014">
        <v>0</v>
      </c>
      <c r="T4014">
        <v>0</v>
      </c>
      <c r="U4014">
        <f>+SUM(Table1[[#This Row],[Latinos]:[Cemex]])</f>
        <v>1</v>
      </c>
      <c r="V4014" t="str">
        <f>+Table1[[#This Row],[id_destino]]&amp;" - "&amp;Table1[[#This Row],[id_origen]]</f>
        <v>761 - 242</v>
      </c>
    </row>
    <row r="4015" spans="1:22" hidden="1">
      <c r="A4015">
        <v>817</v>
      </c>
      <c r="B4015">
        <v>2466</v>
      </c>
      <c r="C4015">
        <v>5490</v>
      </c>
      <c r="D4015">
        <v>426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 t="s">
        <v>20</v>
      </c>
      <c r="L4015" s="1">
        <v>43174</v>
      </c>
      <c r="M4015">
        <v>35</v>
      </c>
      <c r="N4015">
        <v>243</v>
      </c>
      <c r="O4015">
        <v>449</v>
      </c>
      <c r="P4015">
        <v>449</v>
      </c>
      <c r="Q4015">
        <v>449</v>
      </c>
      <c r="S4015">
        <v>580</v>
      </c>
      <c r="T4015">
        <v>580</v>
      </c>
      <c r="U4015">
        <f>+SUM(Table1[[#This Row],[Latinos]:[Cemex]])</f>
        <v>1</v>
      </c>
      <c r="V4015" t="str">
        <f>+Table1[[#This Row],[id_destino]]&amp;" - "&amp;Table1[[#This Row],[id_origen]]</f>
        <v>35 - 243</v>
      </c>
    </row>
    <row r="4016" spans="1:22" hidden="1">
      <c r="A4016">
        <v>661</v>
      </c>
      <c r="B4016">
        <v>2394</v>
      </c>
      <c r="C4016">
        <v>3328</v>
      </c>
      <c r="D4016">
        <v>63</v>
      </c>
      <c r="E4016">
        <v>0</v>
      </c>
      <c r="F4016">
        <v>1</v>
      </c>
      <c r="G4016">
        <v>0</v>
      </c>
      <c r="H4016">
        <v>0</v>
      </c>
      <c r="I4016">
        <v>0</v>
      </c>
      <c r="J4016">
        <v>0</v>
      </c>
      <c r="K4016" t="s">
        <v>20</v>
      </c>
      <c r="L4016" s="1">
        <v>43123</v>
      </c>
      <c r="M4016">
        <v>55</v>
      </c>
      <c r="N4016">
        <v>244</v>
      </c>
      <c r="O4016">
        <v>99</v>
      </c>
      <c r="P4016">
        <v>150</v>
      </c>
      <c r="Q4016">
        <v>99</v>
      </c>
      <c r="S4016">
        <v>150</v>
      </c>
      <c r="T4016">
        <v>150</v>
      </c>
      <c r="U4016">
        <f>+SUM(Table1[[#This Row],[Latinos]:[Cemex]])</f>
        <v>1</v>
      </c>
      <c r="V4016" t="str">
        <f>+Table1[[#This Row],[id_destino]]&amp;" - "&amp;Table1[[#This Row],[id_origen]]</f>
        <v>55 - 244</v>
      </c>
    </row>
    <row r="4017" spans="1:22" hidden="1">
      <c r="A4017">
        <v>4692</v>
      </c>
      <c r="B4017">
        <v>4849</v>
      </c>
      <c r="C4017">
        <v>8164</v>
      </c>
      <c r="D4017">
        <v>8165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 t="s">
        <v>20</v>
      </c>
      <c r="L4017" s="1">
        <v>45730</v>
      </c>
      <c r="M4017">
        <v>7</v>
      </c>
      <c r="N4017">
        <v>254</v>
      </c>
      <c r="O4017">
        <v>1684</v>
      </c>
      <c r="P4017">
        <v>1616</v>
      </c>
      <c r="Q4017">
        <v>1684</v>
      </c>
      <c r="S4017">
        <v>4213</v>
      </c>
      <c r="T4017">
        <v>4213</v>
      </c>
      <c r="U4017">
        <f>+SUM(Table1[[#This Row],[Latinos]:[Cemex]])</f>
        <v>1</v>
      </c>
      <c r="V4017" t="str">
        <f>+Table1[[#This Row],[id_destino]]&amp;" - "&amp;Table1[[#This Row],[id_origen]]</f>
        <v>7 - 254</v>
      </c>
    </row>
    <row r="4018" spans="1:22" hidden="1">
      <c r="A4018">
        <v>4755</v>
      </c>
      <c r="B4018">
        <v>4889</v>
      </c>
      <c r="C4018">
        <v>8213</v>
      </c>
      <c r="D4018">
        <v>1172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 t="s">
        <v>20</v>
      </c>
      <c r="L4018" s="1">
        <v>45786</v>
      </c>
      <c r="M4018">
        <v>11</v>
      </c>
      <c r="N4018">
        <v>254</v>
      </c>
      <c r="O4018">
        <v>217</v>
      </c>
      <c r="P4018">
        <v>217</v>
      </c>
      <c r="Q4018">
        <v>217</v>
      </c>
      <c r="S4018">
        <v>872</v>
      </c>
      <c r="T4018">
        <v>872</v>
      </c>
      <c r="U4018">
        <f>+SUM(Table1[[#This Row],[Latinos]:[Cemex]])</f>
        <v>1</v>
      </c>
      <c r="V4018" t="str">
        <f>+Table1[[#This Row],[id_destino]]&amp;" - "&amp;Table1[[#This Row],[id_origen]]</f>
        <v>11 - 254</v>
      </c>
    </row>
    <row r="4019" spans="1:22" hidden="1">
      <c r="A4019">
        <v>955</v>
      </c>
      <c r="B4019">
        <v>1354</v>
      </c>
      <c r="C4019">
        <v>5548</v>
      </c>
      <c r="D4019">
        <v>4805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 t="s">
        <v>20</v>
      </c>
      <c r="L4019" s="1">
        <v>43227</v>
      </c>
      <c r="M4019">
        <v>18</v>
      </c>
      <c r="N4019">
        <v>254</v>
      </c>
      <c r="O4019">
        <v>41</v>
      </c>
      <c r="P4019">
        <v>150</v>
      </c>
      <c r="Q4019">
        <v>41</v>
      </c>
      <c r="S4019">
        <v>0</v>
      </c>
      <c r="T4019">
        <v>0</v>
      </c>
      <c r="U4019">
        <f>+SUM(Table1[[#This Row],[Latinos]:[Cemex]])</f>
        <v>1</v>
      </c>
      <c r="V4019" t="str">
        <f>+Table1[[#This Row],[id_destino]]&amp;" - "&amp;Table1[[#This Row],[id_origen]]</f>
        <v>18 - 254</v>
      </c>
    </row>
    <row r="4020" spans="1:22" hidden="1">
      <c r="A4020">
        <v>1599</v>
      </c>
      <c r="B4020">
        <v>2832</v>
      </c>
      <c r="C4020">
        <v>5375</v>
      </c>
      <c r="D4020">
        <v>4401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 t="s">
        <v>20</v>
      </c>
      <c r="L4020" s="1">
        <v>43524</v>
      </c>
      <c r="M4020">
        <v>20</v>
      </c>
      <c r="N4020">
        <v>254</v>
      </c>
      <c r="O4020">
        <v>20</v>
      </c>
      <c r="P4020">
        <v>150</v>
      </c>
      <c r="Q4020">
        <v>20</v>
      </c>
      <c r="S4020">
        <v>0</v>
      </c>
      <c r="T4020">
        <v>0</v>
      </c>
      <c r="U4020">
        <f>+SUM(Table1[[#This Row],[Latinos]:[Cemex]])</f>
        <v>1</v>
      </c>
      <c r="V4020" t="str">
        <f>+Table1[[#This Row],[id_destino]]&amp;" - "&amp;Table1[[#This Row],[id_origen]]</f>
        <v>20 - 254</v>
      </c>
    </row>
    <row r="4021" spans="1:22" hidden="1">
      <c r="A4021">
        <v>3317</v>
      </c>
      <c r="B4021">
        <v>3902</v>
      </c>
      <c r="C4021">
        <v>7051</v>
      </c>
      <c r="D4021">
        <v>53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 t="s">
        <v>20</v>
      </c>
      <c r="L4021" s="1">
        <v>44827</v>
      </c>
      <c r="M4021">
        <v>35</v>
      </c>
      <c r="N4021">
        <v>254</v>
      </c>
      <c r="O4021">
        <v>397</v>
      </c>
      <c r="P4021">
        <v>399</v>
      </c>
      <c r="Q4021">
        <v>397</v>
      </c>
      <c r="S4021">
        <v>1334</v>
      </c>
      <c r="T4021">
        <v>1334</v>
      </c>
      <c r="U4021">
        <f>+SUM(Table1[[#This Row],[Latinos]:[Cemex]])</f>
        <v>1</v>
      </c>
      <c r="V4021" t="str">
        <f>+Table1[[#This Row],[id_destino]]&amp;" - "&amp;Table1[[#This Row],[id_origen]]</f>
        <v>35 - 254</v>
      </c>
    </row>
    <row r="4022" spans="1:22" hidden="1">
      <c r="A4022">
        <v>1440</v>
      </c>
      <c r="B4022">
        <v>2749</v>
      </c>
      <c r="C4022">
        <v>5216</v>
      </c>
      <c r="D4022">
        <v>5767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 t="s">
        <v>20</v>
      </c>
      <c r="L4022" s="1">
        <v>43434</v>
      </c>
      <c r="M4022">
        <v>37</v>
      </c>
      <c r="N4022">
        <v>254</v>
      </c>
      <c r="O4022">
        <v>633</v>
      </c>
      <c r="P4022">
        <v>633</v>
      </c>
      <c r="Q4022">
        <v>633</v>
      </c>
      <c r="S4022">
        <v>1584</v>
      </c>
      <c r="T4022">
        <v>1584</v>
      </c>
      <c r="U4022">
        <f>+SUM(Table1[[#This Row],[Latinos]:[Cemex]])</f>
        <v>1</v>
      </c>
      <c r="V4022" t="str">
        <f>+Table1[[#This Row],[id_destino]]&amp;" - "&amp;Table1[[#This Row],[id_origen]]</f>
        <v>37 - 254</v>
      </c>
    </row>
    <row r="4023" spans="1:22" hidden="1">
      <c r="A4023">
        <v>3320</v>
      </c>
      <c r="B4023">
        <v>3904</v>
      </c>
      <c r="C4023">
        <v>7051</v>
      </c>
      <c r="D4023">
        <v>52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 t="s">
        <v>20</v>
      </c>
      <c r="L4023" s="1">
        <v>44830</v>
      </c>
      <c r="M4023">
        <v>46</v>
      </c>
      <c r="N4023">
        <v>254</v>
      </c>
      <c r="O4023">
        <v>260</v>
      </c>
      <c r="P4023">
        <v>266</v>
      </c>
      <c r="Q4023">
        <v>260</v>
      </c>
      <c r="S4023">
        <v>913</v>
      </c>
      <c r="T4023">
        <v>1006</v>
      </c>
      <c r="U4023">
        <f>+SUM(Table1[[#This Row],[Latinos]:[Cemex]])</f>
        <v>1</v>
      </c>
      <c r="V4023" t="str">
        <f>+Table1[[#This Row],[id_destino]]&amp;" - "&amp;Table1[[#This Row],[id_origen]]</f>
        <v>46 - 254</v>
      </c>
    </row>
    <row r="4024" spans="1:22" hidden="1">
      <c r="A4024">
        <v>4157</v>
      </c>
      <c r="B4024">
        <v>4457</v>
      </c>
      <c r="C4024">
        <v>255</v>
      </c>
      <c r="D4024">
        <v>7654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 t="s">
        <v>20</v>
      </c>
      <c r="L4024" s="1">
        <v>45325</v>
      </c>
      <c r="M4024">
        <v>56</v>
      </c>
      <c r="N4024">
        <v>254</v>
      </c>
      <c r="O4024">
        <v>78</v>
      </c>
      <c r="P4024">
        <v>100</v>
      </c>
      <c r="Q4024">
        <v>78</v>
      </c>
      <c r="S4024">
        <v>361</v>
      </c>
      <c r="T4024">
        <v>361</v>
      </c>
      <c r="U4024">
        <f>+SUM(Table1[[#This Row],[Latinos]:[Cemex]])</f>
        <v>1</v>
      </c>
      <c r="V4024" t="str">
        <f>+Table1[[#This Row],[id_destino]]&amp;" - "&amp;Table1[[#This Row],[id_origen]]</f>
        <v>56 - 254</v>
      </c>
    </row>
    <row r="4025" spans="1:22" hidden="1">
      <c r="A4025">
        <v>4628</v>
      </c>
      <c r="B4025">
        <v>4806</v>
      </c>
      <c r="C4025">
        <v>6926</v>
      </c>
      <c r="D4025">
        <v>7913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 t="s">
        <v>20</v>
      </c>
      <c r="L4025" s="1">
        <v>45682</v>
      </c>
      <c r="M4025">
        <v>69</v>
      </c>
      <c r="N4025">
        <v>254</v>
      </c>
      <c r="O4025">
        <v>15</v>
      </c>
      <c r="P4025">
        <v>150</v>
      </c>
      <c r="Q4025">
        <v>15</v>
      </c>
      <c r="S4025">
        <v>248</v>
      </c>
      <c r="T4025">
        <v>248</v>
      </c>
      <c r="U4025">
        <f>+SUM(Table1[[#This Row],[Latinos]:[Cemex]])</f>
        <v>1</v>
      </c>
      <c r="V4025" t="str">
        <f>+Table1[[#This Row],[id_destino]]&amp;" - "&amp;Table1[[#This Row],[id_origen]]</f>
        <v>69 - 254</v>
      </c>
    </row>
    <row r="4026" spans="1:22" hidden="1">
      <c r="A4026">
        <v>1603</v>
      </c>
      <c r="B4026">
        <v>1877</v>
      </c>
      <c r="C4026">
        <v>5834</v>
      </c>
      <c r="D4026">
        <v>468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 t="s">
        <v>20</v>
      </c>
      <c r="L4026" s="1">
        <v>43525</v>
      </c>
      <c r="M4026">
        <v>73</v>
      </c>
      <c r="N4026">
        <v>254</v>
      </c>
      <c r="O4026">
        <v>875</v>
      </c>
      <c r="P4026">
        <v>882</v>
      </c>
      <c r="Q4026">
        <v>875</v>
      </c>
      <c r="S4026">
        <v>682</v>
      </c>
      <c r="T4026">
        <v>682</v>
      </c>
      <c r="U4026">
        <f>+SUM(Table1[[#This Row],[Latinos]:[Cemex]])</f>
        <v>1</v>
      </c>
      <c r="V4026" t="str">
        <f>+Table1[[#This Row],[id_destino]]&amp;" - "&amp;Table1[[#This Row],[id_origen]]</f>
        <v>73 - 254</v>
      </c>
    </row>
    <row r="4027" spans="1:22" hidden="1">
      <c r="A4027">
        <v>3088</v>
      </c>
      <c r="B4027">
        <v>3766</v>
      </c>
      <c r="C4027">
        <v>6926</v>
      </c>
      <c r="D4027">
        <v>210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0</v>
      </c>
      <c r="K4027" t="s">
        <v>20</v>
      </c>
      <c r="L4027" s="1">
        <v>44720</v>
      </c>
      <c r="M4027">
        <v>81</v>
      </c>
      <c r="N4027">
        <v>254</v>
      </c>
      <c r="O4027">
        <v>144</v>
      </c>
      <c r="P4027">
        <v>150</v>
      </c>
      <c r="Q4027">
        <v>144</v>
      </c>
      <c r="S4027">
        <v>651</v>
      </c>
      <c r="T4027">
        <v>725</v>
      </c>
      <c r="U4027">
        <f>+SUM(Table1[[#This Row],[Latinos]:[Cemex]])</f>
        <v>1</v>
      </c>
      <c r="V4027" t="str">
        <f>+Table1[[#This Row],[id_destino]]&amp;" - "&amp;Table1[[#This Row],[id_origen]]</f>
        <v>81 - 254</v>
      </c>
    </row>
    <row r="4028" spans="1:22" hidden="1">
      <c r="A4028">
        <v>1653</v>
      </c>
      <c r="B4028">
        <v>2865</v>
      </c>
      <c r="C4028">
        <v>5834</v>
      </c>
      <c r="D4028">
        <v>5860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 t="s">
        <v>20</v>
      </c>
      <c r="L4028" s="1">
        <v>43551</v>
      </c>
      <c r="M4028">
        <v>602</v>
      </c>
      <c r="N4028">
        <v>254</v>
      </c>
      <c r="O4028">
        <v>50</v>
      </c>
      <c r="P4028">
        <v>150</v>
      </c>
      <c r="Q4028">
        <v>50</v>
      </c>
      <c r="S4028">
        <v>0</v>
      </c>
      <c r="T4028">
        <v>0</v>
      </c>
      <c r="U4028">
        <f>+SUM(Table1[[#This Row],[Latinos]:[Cemex]])</f>
        <v>1</v>
      </c>
      <c r="V4028" t="str">
        <f>+Table1[[#This Row],[id_destino]]&amp;" - "&amp;Table1[[#This Row],[id_origen]]</f>
        <v>602 - 254</v>
      </c>
    </row>
    <row r="4029" spans="1:22" hidden="1">
      <c r="A4029">
        <v>382</v>
      </c>
      <c r="B4029">
        <v>2274</v>
      </c>
      <c r="C4029">
        <v>5339</v>
      </c>
      <c r="D4029">
        <v>5340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0</v>
      </c>
      <c r="K4029" t="s">
        <v>20</v>
      </c>
      <c r="L4029" s="1">
        <v>43049</v>
      </c>
      <c r="M4029">
        <v>698</v>
      </c>
      <c r="N4029">
        <v>254</v>
      </c>
      <c r="O4029">
        <v>926</v>
      </c>
      <c r="P4029">
        <v>926</v>
      </c>
      <c r="Q4029">
        <v>926</v>
      </c>
      <c r="S4029">
        <v>2620</v>
      </c>
      <c r="T4029">
        <v>2620</v>
      </c>
      <c r="U4029">
        <f>+SUM(Table1[[#This Row],[Latinos]:[Cemex]])</f>
        <v>1</v>
      </c>
      <c r="V4029" t="str">
        <f>+Table1[[#This Row],[id_destino]]&amp;" - "&amp;Table1[[#This Row],[id_origen]]</f>
        <v>698 - 254</v>
      </c>
    </row>
    <row r="4030" spans="1:22" hidden="1">
      <c r="A4030">
        <v>2356</v>
      </c>
      <c r="B4030">
        <v>3294</v>
      </c>
      <c r="C4030">
        <v>6351</v>
      </c>
      <c r="D4030">
        <v>6352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  <c r="K4030" t="s">
        <v>20</v>
      </c>
      <c r="L4030" s="1">
        <v>43978</v>
      </c>
      <c r="M4030">
        <v>813</v>
      </c>
      <c r="N4030">
        <v>254</v>
      </c>
      <c r="O4030">
        <v>125</v>
      </c>
      <c r="P4030">
        <v>150</v>
      </c>
      <c r="Q4030">
        <v>125</v>
      </c>
      <c r="S4030">
        <v>212</v>
      </c>
      <c r="T4030">
        <v>212</v>
      </c>
      <c r="U4030">
        <f>+SUM(Table1[[#This Row],[Latinos]:[Cemex]])</f>
        <v>1</v>
      </c>
      <c r="V4030" t="str">
        <f>+Table1[[#This Row],[id_destino]]&amp;" - "&amp;Table1[[#This Row],[id_origen]]</f>
        <v>813 - 254</v>
      </c>
    </row>
    <row r="4031" spans="1:22" hidden="1">
      <c r="A4031">
        <v>2849</v>
      </c>
      <c r="B4031">
        <v>3607</v>
      </c>
      <c r="C4031">
        <v>6737</v>
      </c>
      <c r="D4031">
        <v>6738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 t="s">
        <v>20</v>
      </c>
      <c r="L4031" s="1">
        <v>44534</v>
      </c>
      <c r="M4031">
        <v>255</v>
      </c>
      <c r="N4031">
        <v>255</v>
      </c>
      <c r="O4031">
        <v>26</v>
      </c>
      <c r="P4031">
        <v>150</v>
      </c>
      <c r="Q4031">
        <v>26</v>
      </c>
      <c r="S4031">
        <v>0</v>
      </c>
      <c r="T4031">
        <v>0</v>
      </c>
      <c r="U4031">
        <f>+SUM(Table1[[#This Row],[Latinos]:[Cemex]])</f>
        <v>1</v>
      </c>
      <c r="V4031" t="str">
        <f>+Table1[[#This Row],[id_destino]]&amp;" - "&amp;Table1[[#This Row],[id_origen]]</f>
        <v>255 - 255</v>
      </c>
    </row>
    <row r="4032" spans="1:22" hidden="1">
      <c r="A4032">
        <v>3089</v>
      </c>
      <c r="B4032">
        <v>3767</v>
      </c>
      <c r="C4032">
        <v>1830</v>
      </c>
      <c r="D4032">
        <v>1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0</v>
      </c>
      <c r="K4032" t="s">
        <v>20</v>
      </c>
      <c r="L4032" s="1">
        <v>44720</v>
      </c>
      <c r="M4032">
        <v>3</v>
      </c>
      <c r="N4032">
        <v>259</v>
      </c>
      <c r="O4032">
        <v>878</v>
      </c>
      <c r="P4032">
        <v>803</v>
      </c>
      <c r="Q4032">
        <v>878</v>
      </c>
      <c r="S4032">
        <v>1944</v>
      </c>
      <c r="T4032">
        <v>1944</v>
      </c>
      <c r="U4032">
        <f>+SUM(Table1[[#This Row],[Latinos]:[Cemex]])</f>
        <v>1</v>
      </c>
      <c r="V4032" t="str">
        <f>+Table1[[#This Row],[id_destino]]&amp;" - "&amp;Table1[[#This Row],[id_origen]]</f>
        <v>3 - 259</v>
      </c>
    </row>
    <row r="4033" spans="1:22" hidden="1">
      <c r="A4033">
        <v>956</v>
      </c>
      <c r="B4033">
        <v>2137</v>
      </c>
      <c r="C4033">
        <v>5560</v>
      </c>
      <c r="D4033">
        <v>19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 t="s">
        <v>20</v>
      </c>
      <c r="L4033" s="1">
        <v>43227</v>
      </c>
      <c r="M4033">
        <v>18</v>
      </c>
      <c r="N4033">
        <v>259</v>
      </c>
      <c r="O4033">
        <v>76</v>
      </c>
      <c r="P4033">
        <v>150</v>
      </c>
      <c r="Q4033">
        <v>76</v>
      </c>
      <c r="S4033">
        <v>379</v>
      </c>
      <c r="T4033">
        <v>379</v>
      </c>
      <c r="U4033">
        <f>+SUM(Table1[[#This Row],[Latinos]:[Cemex]])</f>
        <v>1</v>
      </c>
      <c r="V4033" t="str">
        <f>+Table1[[#This Row],[id_destino]]&amp;" - "&amp;Table1[[#This Row],[id_origen]]</f>
        <v>18 - 259</v>
      </c>
    </row>
    <row r="4034" spans="1:22" hidden="1">
      <c r="A4034">
        <v>957</v>
      </c>
      <c r="B4034">
        <v>2140</v>
      </c>
      <c r="C4034">
        <v>5560</v>
      </c>
      <c r="D4034">
        <v>22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 t="s">
        <v>20</v>
      </c>
      <c r="L4034" s="1">
        <v>43227</v>
      </c>
      <c r="M4034">
        <v>19</v>
      </c>
      <c r="N4034">
        <v>259</v>
      </c>
      <c r="O4034">
        <v>63</v>
      </c>
      <c r="P4034">
        <v>150</v>
      </c>
      <c r="Q4034">
        <v>63</v>
      </c>
      <c r="S4034">
        <v>415</v>
      </c>
      <c r="T4034">
        <v>467</v>
      </c>
      <c r="U4034">
        <f>+SUM(Table1[[#This Row],[Latinos]:[Cemex]])</f>
        <v>1</v>
      </c>
      <c r="V4034" t="str">
        <f>+Table1[[#This Row],[id_destino]]&amp;" - "&amp;Table1[[#This Row],[id_origen]]</f>
        <v>19 - 259</v>
      </c>
    </row>
    <row r="4035" spans="1:22" hidden="1">
      <c r="A4035">
        <v>2467</v>
      </c>
      <c r="B4035">
        <v>3362</v>
      </c>
      <c r="C4035">
        <v>4925</v>
      </c>
      <c r="D4035">
        <v>4940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 t="s">
        <v>20</v>
      </c>
      <c r="L4035" s="1">
        <v>44097</v>
      </c>
      <c r="M4035">
        <v>15</v>
      </c>
      <c r="N4035">
        <v>260</v>
      </c>
      <c r="O4035">
        <v>1236</v>
      </c>
      <c r="P4035">
        <v>1236</v>
      </c>
      <c r="Q4035">
        <v>1236</v>
      </c>
      <c r="S4035">
        <v>0</v>
      </c>
      <c r="T4035">
        <v>0</v>
      </c>
      <c r="U4035">
        <f>+SUM(Table1[[#This Row],[Latinos]:[Cemex]])</f>
        <v>1</v>
      </c>
      <c r="V4035" t="str">
        <f>+Table1[[#This Row],[id_destino]]&amp;" - "&amp;Table1[[#This Row],[id_origen]]</f>
        <v>15 - 260</v>
      </c>
    </row>
    <row r="4036" spans="1:22" hidden="1">
      <c r="A4036">
        <v>2395</v>
      </c>
      <c r="B4036">
        <v>989</v>
      </c>
      <c r="C4036">
        <v>384</v>
      </c>
      <c r="D4036">
        <v>387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 t="s">
        <v>20</v>
      </c>
      <c r="L4036" s="1">
        <v>44028</v>
      </c>
      <c r="M4036">
        <v>30</v>
      </c>
      <c r="N4036">
        <v>260</v>
      </c>
      <c r="O4036">
        <v>413</v>
      </c>
      <c r="P4036">
        <v>413</v>
      </c>
      <c r="Q4036">
        <v>413</v>
      </c>
      <c r="S4036">
        <v>685</v>
      </c>
      <c r="T4036">
        <v>759</v>
      </c>
      <c r="U4036">
        <f>+SUM(Table1[[#This Row],[Latinos]:[Cemex]])</f>
        <v>1</v>
      </c>
      <c r="V4036" t="str">
        <f>+Table1[[#This Row],[id_destino]]&amp;" - "&amp;Table1[[#This Row],[id_origen]]</f>
        <v>30 - 260</v>
      </c>
    </row>
    <row r="4037" spans="1:22" hidden="1">
      <c r="A4037">
        <v>2494</v>
      </c>
      <c r="B4037">
        <v>1863</v>
      </c>
      <c r="C4037">
        <v>4925</v>
      </c>
      <c r="D4037">
        <v>464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 t="s">
        <v>20</v>
      </c>
      <c r="L4037" s="1">
        <v>44134</v>
      </c>
      <c r="M4037">
        <v>92</v>
      </c>
      <c r="N4037">
        <v>260</v>
      </c>
      <c r="O4037">
        <v>1242</v>
      </c>
      <c r="P4037">
        <v>1242</v>
      </c>
      <c r="Q4037">
        <v>1242</v>
      </c>
      <c r="S4037">
        <v>0</v>
      </c>
      <c r="T4037">
        <v>0</v>
      </c>
      <c r="U4037">
        <f>+SUM(Table1[[#This Row],[Latinos]:[Cemex]])</f>
        <v>1</v>
      </c>
      <c r="V4037" t="str">
        <f>+Table1[[#This Row],[id_destino]]&amp;" - "&amp;Table1[[#This Row],[id_origen]]</f>
        <v>92 - 260</v>
      </c>
    </row>
    <row r="4038" spans="1:22" hidden="1">
      <c r="A4038">
        <v>2498</v>
      </c>
      <c r="B4038">
        <v>989</v>
      </c>
      <c r="C4038">
        <v>6436</v>
      </c>
      <c r="D4038">
        <v>2111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 t="s">
        <v>20</v>
      </c>
      <c r="L4038" s="1">
        <v>44131</v>
      </c>
      <c r="M4038">
        <v>155</v>
      </c>
      <c r="N4038">
        <v>260</v>
      </c>
      <c r="O4038">
        <v>432</v>
      </c>
      <c r="P4038">
        <v>432</v>
      </c>
      <c r="Q4038">
        <v>432</v>
      </c>
      <c r="S4038">
        <v>685</v>
      </c>
      <c r="T4038">
        <v>759</v>
      </c>
      <c r="U4038">
        <f>+SUM(Table1[[#This Row],[Latinos]:[Cemex]])</f>
        <v>1</v>
      </c>
      <c r="V4038" t="str">
        <f>+Table1[[#This Row],[id_destino]]&amp;" - "&amp;Table1[[#This Row],[id_origen]]</f>
        <v>155 - 260</v>
      </c>
    </row>
    <row r="4039" spans="1:22" hidden="1">
      <c r="A4039">
        <v>1927</v>
      </c>
      <c r="B4039">
        <v>3021</v>
      </c>
      <c r="C4039">
        <v>2180</v>
      </c>
      <c r="D4039">
        <v>2111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 t="s">
        <v>20</v>
      </c>
      <c r="L4039" s="1">
        <v>44131</v>
      </c>
      <c r="M4039">
        <v>155</v>
      </c>
      <c r="N4039">
        <v>260</v>
      </c>
      <c r="O4039">
        <v>442</v>
      </c>
      <c r="P4039">
        <v>442</v>
      </c>
      <c r="Q4039">
        <v>442</v>
      </c>
      <c r="S4039">
        <v>685</v>
      </c>
      <c r="T4039">
        <v>759</v>
      </c>
      <c r="U4039">
        <f>+SUM(Table1[[#This Row],[Latinos]:[Cemex]])</f>
        <v>1</v>
      </c>
      <c r="V4039" t="str">
        <f>+Table1[[#This Row],[id_destino]]&amp;" - "&amp;Table1[[#This Row],[id_origen]]</f>
        <v>155 - 260</v>
      </c>
    </row>
    <row r="4040" spans="1:22" hidden="1">
      <c r="A4040">
        <v>1128</v>
      </c>
      <c r="B4040">
        <v>974</v>
      </c>
      <c r="C4040">
        <v>3866</v>
      </c>
      <c r="D4040">
        <v>24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 t="s">
        <v>20</v>
      </c>
      <c r="L4040" s="1">
        <v>43301</v>
      </c>
      <c r="M4040">
        <v>179</v>
      </c>
      <c r="N4040">
        <v>260</v>
      </c>
      <c r="O4040">
        <v>482</v>
      </c>
      <c r="P4040">
        <v>482</v>
      </c>
      <c r="Q4040">
        <v>482</v>
      </c>
      <c r="S4040">
        <v>0</v>
      </c>
      <c r="T4040">
        <v>0</v>
      </c>
      <c r="U4040">
        <f>+SUM(Table1[[#This Row],[Latinos]:[Cemex]])</f>
        <v>1</v>
      </c>
      <c r="V4040" t="str">
        <f>+Table1[[#This Row],[id_destino]]&amp;" - "&amp;Table1[[#This Row],[id_origen]]</f>
        <v>179 - 260</v>
      </c>
    </row>
    <row r="4041" spans="1:22" hidden="1">
      <c r="A4041">
        <v>617</v>
      </c>
      <c r="B4041">
        <v>2365</v>
      </c>
      <c r="C4041">
        <v>33</v>
      </c>
      <c r="D4041">
        <v>5424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 t="s">
        <v>20</v>
      </c>
      <c r="L4041" s="1">
        <v>43116</v>
      </c>
      <c r="M4041">
        <v>411</v>
      </c>
      <c r="N4041">
        <v>260</v>
      </c>
      <c r="O4041">
        <v>726</v>
      </c>
      <c r="P4041">
        <v>726</v>
      </c>
      <c r="Q4041">
        <v>726</v>
      </c>
      <c r="S4041">
        <v>829</v>
      </c>
      <c r="T4041">
        <v>841</v>
      </c>
      <c r="U4041">
        <f>+SUM(Table1[[#This Row],[Latinos]:[Cemex]])</f>
        <v>1</v>
      </c>
      <c r="V4041" t="str">
        <f>+Table1[[#This Row],[id_destino]]&amp;" - "&amp;Table1[[#This Row],[id_origen]]</f>
        <v>411 - 260</v>
      </c>
    </row>
    <row r="4042" spans="1:22" hidden="1">
      <c r="A4042">
        <v>1931</v>
      </c>
      <c r="B4042">
        <v>3025</v>
      </c>
      <c r="C4042">
        <v>3866</v>
      </c>
      <c r="D4042">
        <v>5684</v>
      </c>
      <c r="E4042">
        <v>0</v>
      </c>
      <c r="F4042">
        <v>1</v>
      </c>
      <c r="G4042">
        <v>0</v>
      </c>
      <c r="H4042">
        <v>0</v>
      </c>
      <c r="I4042">
        <v>0</v>
      </c>
      <c r="J4042">
        <v>0</v>
      </c>
      <c r="K4042" t="s">
        <v>20</v>
      </c>
      <c r="L4042" s="1">
        <v>43721</v>
      </c>
      <c r="M4042">
        <v>606</v>
      </c>
      <c r="N4042">
        <v>260</v>
      </c>
      <c r="O4042">
        <v>741</v>
      </c>
      <c r="P4042">
        <v>792</v>
      </c>
      <c r="Q4042">
        <v>741</v>
      </c>
      <c r="S4042">
        <v>0</v>
      </c>
      <c r="T4042">
        <v>0</v>
      </c>
      <c r="U4042">
        <f>+SUM(Table1[[#This Row],[Latinos]:[Cemex]])</f>
        <v>1</v>
      </c>
      <c r="V4042" t="str">
        <f>+Table1[[#This Row],[id_destino]]&amp;" - "&amp;Table1[[#This Row],[id_origen]]</f>
        <v>606 - 260</v>
      </c>
    </row>
    <row r="4043" spans="1:22" hidden="1">
      <c r="A4043">
        <v>1178</v>
      </c>
      <c r="B4043">
        <v>2615</v>
      </c>
      <c r="C4043">
        <v>580</v>
      </c>
      <c r="D4043">
        <v>52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 t="s">
        <v>20</v>
      </c>
      <c r="L4043" s="1">
        <v>43332</v>
      </c>
      <c r="M4043">
        <v>46</v>
      </c>
      <c r="N4043">
        <v>262</v>
      </c>
      <c r="O4043">
        <v>830</v>
      </c>
      <c r="P4043">
        <v>830</v>
      </c>
      <c r="Q4043">
        <v>830</v>
      </c>
      <c r="S4043">
        <v>215</v>
      </c>
      <c r="T4043">
        <v>215</v>
      </c>
      <c r="U4043">
        <f>+SUM(Table1[[#This Row],[Latinos]:[Cemex]])</f>
        <v>1</v>
      </c>
      <c r="V4043" t="str">
        <f>+Table1[[#This Row],[id_destino]]&amp;" - "&amp;Table1[[#This Row],[id_origen]]</f>
        <v>46 - 262</v>
      </c>
    </row>
    <row r="4044" spans="1:22" hidden="1">
      <c r="A4044">
        <v>4229</v>
      </c>
      <c r="B4044">
        <v>4507</v>
      </c>
      <c r="C4044">
        <v>7718</v>
      </c>
      <c r="D4044">
        <v>469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0</v>
      </c>
      <c r="K4044" t="s">
        <v>20</v>
      </c>
      <c r="L4044" s="1">
        <v>45387</v>
      </c>
      <c r="M4044">
        <v>2</v>
      </c>
      <c r="N4044">
        <v>265</v>
      </c>
      <c r="O4044">
        <v>9</v>
      </c>
      <c r="P4044">
        <v>150</v>
      </c>
      <c r="Q4044">
        <v>50</v>
      </c>
      <c r="S4044">
        <v>0</v>
      </c>
      <c r="T4044">
        <v>0</v>
      </c>
      <c r="U4044">
        <f>+SUM(Table1[[#This Row],[Latinos]:[Cemex]])</f>
        <v>1</v>
      </c>
      <c r="V4044" t="str">
        <f>+Table1[[#This Row],[id_destino]]&amp;" - "&amp;Table1[[#This Row],[id_origen]]</f>
        <v>2 - 265</v>
      </c>
    </row>
    <row r="4045" spans="1:22" hidden="1">
      <c r="A4045">
        <v>622</v>
      </c>
      <c r="B4045">
        <v>2369</v>
      </c>
      <c r="C4045">
        <v>5426</v>
      </c>
      <c r="D4045">
        <v>426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 t="s">
        <v>20</v>
      </c>
      <c r="L4045" s="1">
        <v>43117</v>
      </c>
      <c r="M4045">
        <v>35</v>
      </c>
      <c r="N4045">
        <v>265</v>
      </c>
      <c r="O4045">
        <v>468</v>
      </c>
      <c r="P4045">
        <v>468</v>
      </c>
      <c r="Q4045">
        <v>468</v>
      </c>
      <c r="S4045">
        <v>1171</v>
      </c>
      <c r="T4045">
        <v>1238</v>
      </c>
      <c r="U4045">
        <f>+SUM(Table1[[#This Row],[Latinos]:[Cemex]])</f>
        <v>1</v>
      </c>
      <c r="V4045" t="str">
        <f>+Table1[[#This Row],[id_destino]]&amp;" - "&amp;Table1[[#This Row],[id_origen]]</f>
        <v>35 - 265</v>
      </c>
    </row>
    <row r="4046" spans="1:22" hidden="1">
      <c r="A4046">
        <v>3843</v>
      </c>
      <c r="B4046">
        <v>4253</v>
      </c>
      <c r="C4046">
        <v>4195</v>
      </c>
      <c r="D4046">
        <v>7429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0</v>
      </c>
      <c r="K4046" t="s">
        <v>20</v>
      </c>
      <c r="L4046" s="1">
        <v>45138</v>
      </c>
      <c r="M4046">
        <v>12</v>
      </c>
      <c r="N4046">
        <v>276</v>
      </c>
      <c r="O4046">
        <v>488</v>
      </c>
      <c r="P4046">
        <v>485</v>
      </c>
      <c r="Q4046">
        <v>488</v>
      </c>
      <c r="S4046">
        <v>2443</v>
      </c>
      <c r="T4046">
        <v>2536</v>
      </c>
      <c r="U4046">
        <f>+SUM(Table1[[#This Row],[Latinos]:[Cemex]])</f>
        <v>1</v>
      </c>
      <c r="V4046" t="str">
        <f>+Table1[[#This Row],[id_destino]]&amp;" - "&amp;Table1[[#This Row],[id_origen]]</f>
        <v>12 - 276</v>
      </c>
    </row>
    <row r="4047" spans="1:22" hidden="1">
      <c r="A4047">
        <v>1664</v>
      </c>
      <c r="B4047">
        <v>2471</v>
      </c>
      <c r="C4047">
        <v>5225</v>
      </c>
      <c r="D4047">
        <v>5691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0</v>
      </c>
      <c r="K4047" t="s">
        <v>20</v>
      </c>
      <c r="L4047" s="1">
        <v>43554</v>
      </c>
      <c r="M4047">
        <v>18</v>
      </c>
      <c r="N4047">
        <v>276</v>
      </c>
      <c r="O4047">
        <v>36</v>
      </c>
      <c r="P4047">
        <v>150</v>
      </c>
      <c r="Q4047">
        <v>36</v>
      </c>
      <c r="S4047">
        <v>298</v>
      </c>
      <c r="T4047">
        <v>298</v>
      </c>
      <c r="U4047">
        <f>+SUM(Table1[[#This Row],[Latinos]:[Cemex]])</f>
        <v>1</v>
      </c>
      <c r="V4047" t="str">
        <f>+Table1[[#This Row],[id_destino]]&amp;" - "&amp;Table1[[#This Row],[id_origen]]</f>
        <v>18 - 276</v>
      </c>
    </row>
    <row r="4048" spans="1:22" hidden="1">
      <c r="A4048">
        <v>22</v>
      </c>
      <c r="B4048">
        <v>1627</v>
      </c>
      <c r="C4048">
        <v>4195</v>
      </c>
      <c r="D4048">
        <v>1869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0</v>
      </c>
      <c r="K4048" t="s">
        <v>20</v>
      </c>
      <c r="L4048" s="1">
        <v>42996</v>
      </c>
      <c r="M4048">
        <v>19</v>
      </c>
      <c r="N4048">
        <v>276</v>
      </c>
      <c r="O4048">
        <v>43</v>
      </c>
      <c r="P4048">
        <v>150</v>
      </c>
      <c r="Q4048">
        <v>44</v>
      </c>
      <c r="S4048">
        <v>0</v>
      </c>
      <c r="T4048">
        <v>0</v>
      </c>
      <c r="U4048">
        <f>+SUM(Table1[[#This Row],[Latinos]:[Cemex]])</f>
        <v>1</v>
      </c>
      <c r="V4048" t="str">
        <f>+Table1[[#This Row],[id_destino]]&amp;" - "&amp;Table1[[#This Row],[id_origen]]</f>
        <v>19 - 276</v>
      </c>
    </row>
    <row r="4049" spans="1:22" hidden="1">
      <c r="A4049">
        <v>1672</v>
      </c>
      <c r="B4049">
        <v>2879</v>
      </c>
      <c r="C4049">
        <v>4195</v>
      </c>
      <c r="D4049">
        <v>4792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 t="s">
        <v>20</v>
      </c>
      <c r="L4049" s="1">
        <v>43559</v>
      </c>
      <c r="M4049">
        <v>20</v>
      </c>
      <c r="N4049">
        <v>276</v>
      </c>
      <c r="O4049">
        <v>46</v>
      </c>
      <c r="P4049">
        <v>150</v>
      </c>
      <c r="Q4049">
        <v>46</v>
      </c>
      <c r="S4049">
        <v>298</v>
      </c>
      <c r="T4049">
        <v>298</v>
      </c>
      <c r="U4049">
        <f>+SUM(Table1[[#This Row],[Latinos]:[Cemex]])</f>
        <v>1</v>
      </c>
      <c r="V4049" t="str">
        <f>+Table1[[#This Row],[id_destino]]&amp;" - "&amp;Table1[[#This Row],[id_origen]]</f>
        <v>20 - 276</v>
      </c>
    </row>
    <row r="4050" spans="1:22" hidden="1">
      <c r="A4050">
        <v>3721</v>
      </c>
      <c r="B4050">
        <v>2879</v>
      </c>
      <c r="C4050">
        <v>5225</v>
      </c>
      <c r="D4050">
        <v>7331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 t="s">
        <v>20</v>
      </c>
      <c r="L4050" s="1">
        <v>45049</v>
      </c>
      <c r="M4050">
        <v>20</v>
      </c>
      <c r="N4050">
        <v>276</v>
      </c>
      <c r="O4050">
        <v>72</v>
      </c>
      <c r="P4050">
        <v>150</v>
      </c>
      <c r="Q4050">
        <v>72</v>
      </c>
      <c r="S4050">
        <v>194</v>
      </c>
      <c r="T4050">
        <v>284</v>
      </c>
      <c r="U4050">
        <f>+SUM(Table1[[#This Row],[Latinos]:[Cemex]])</f>
        <v>1</v>
      </c>
      <c r="V4050" t="str">
        <f>+Table1[[#This Row],[id_destino]]&amp;" - "&amp;Table1[[#This Row],[id_origen]]</f>
        <v>20 - 276</v>
      </c>
    </row>
    <row r="4051" spans="1:22" hidden="1">
      <c r="A4051">
        <v>1671</v>
      </c>
      <c r="B4051">
        <v>2878</v>
      </c>
      <c r="C4051">
        <v>4195</v>
      </c>
      <c r="D4051">
        <v>5313</v>
      </c>
      <c r="E4051">
        <v>0</v>
      </c>
      <c r="F4051">
        <v>1</v>
      </c>
      <c r="G4051">
        <v>0</v>
      </c>
      <c r="H4051">
        <v>0</v>
      </c>
      <c r="I4051">
        <v>0</v>
      </c>
      <c r="J4051">
        <v>0</v>
      </c>
      <c r="K4051" t="s">
        <v>20</v>
      </c>
      <c r="L4051" s="1">
        <v>44469</v>
      </c>
      <c r="M4051">
        <v>35</v>
      </c>
      <c r="N4051">
        <v>276</v>
      </c>
      <c r="O4051">
        <v>422</v>
      </c>
      <c r="P4051">
        <v>361</v>
      </c>
      <c r="Q4051">
        <v>422</v>
      </c>
      <c r="S4051">
        <v>1218</v>
      </c>
      <c r="T4051">
        <v>1224</v>
      </c>
      <c r="U4051">
        <f>+SUM(Table1[[#This Row],[Latinos]:[Cemex]])</f>
        <v>1</v>
      </c>
      <c r="V4051" t="str">
        <f>+Table1[[#This Row],[id_destino]]&amp;" - "&amp;Table1[[#This Row],[id_origen]]</f>
        <v>35 - 276</v>
      </c>
    </row>
    <row r="4052" spans="1:22" hidden="1">
      <c r="A4052">
        <v>3712</v>
      </c>
      <c r="B4052">
        <v>1841</v>
      </c>
      <c r="C4052">
        <v>5763</v>
      </c>
      <c r="D4052">
        <v>63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0</v>
      </c>
      <c r="K4052" t="s">
        <v>20</v>
      </c>
      <c r="L4052" s="1">
        <v>45044</v>
      </c>
      <c r="M4052">
        <v>55</v>
      </c>
      <c r="N4052">
        <v>276</v>
      </c>
      <c r="O4052">
        <v>94</v>
      </c>
      <c r="P4052">
        <v>150</v>
      </c>
      <c r="Q4052">
        <v>94</v>
      </c>
      <c r="S4052">
        <v>76</v>
      </c>
      <c r="T4052">
        <v>76</v>
      </c>
      <c r="U4052">
        <f>+SUM(Table1[[#This Row],[Latinos]:[Cemex]])</f>
        <v>1</v>
      </c>
      <c r="V4052" t="str">
        <f>+Table1[[#This Row],[id_destino]]&amp;" - "&amp;Table1[[#This Row],[id_origen]]</f>
        <v>55 - 276</v>
      </c>
    </row>
    <row r="4053" spans="1:22" hidden="1">
      <c r="A4053">
        <v>1144</v>
      </c>
      <c r="B4053">
        <v>1254</v>
      </c>
      <c r="C4053">
        <v>3883</v>
      </c>
      <c r="D4053">
        <v>65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 t="s">
        <v>20</v>
      </c>
      <c r="L4053" s="1">
        <v>43323</v>
      </c>
      <c r="M4053">
        <v>57</v>
      </c>
      <c r="N4053">
        <v>276</v>
      </c>
      <c r="O4053">
        <v>85</v>
      </c>
      <c r="P4053">
        <v>100</v>
      </c>
      <c r="Q4053">
        <v>85</v>
      </c>
      <c r="S4053">
        <v>81</v>
      </c>
      <c r="T4053">
        <v>81</v>
      </c>
      <c r="U4053">
        <f>+SUM(Table1[[#This Row],[Latinos]:[Cemex]])</f>
        <v>1</v>
      </c>
      <c r="V4053" t="str">
        <f>+Table1[[#This Row],[id_destino]]&amp;" - "&amp;Table1[[#This Row],[id_origen]]</f>
        <v>57 - 276</v>
      </c>
    </row>
    <row r="4054" spans="1:22" hidden="1">
      <c r="A4054">
        <v>2773</v>
      </c>
      <c r="B4054">
        <v>1254</v>
      </c>
      <c r="C4054">
        <v>6644</v>
      </c>
      <c r="D4054">
        <v>65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0</v>
      </c>
      <c r="K4054" t="s">
        <v>20</v>
      </c>
      <c r="L4054" s="1">
        <v>44434</v>
      </c>
      <c r="M4054">
        <v>57</v>
      </c>
      <c r="N4054">
        <v>276</v>
      </c>
      <c r="O4054">
        <v>85</v>
      </c>
      <c r="P4054">
        <v>150</v>
      </c>
      <c r="Q4054">
        <v>85</v>
      </c>
      <c r="S4054">
        <v>38</v>
      </c>
      <c r="T4054">
        <v>58</v>
      </c>
      <c r="U4054">
        <f>+SUM(Table1[[#This Row],[Latinos]:[Cemex]])</f>
        <v>1</v>
      </c>
      <c r="V4054" t="str">
        <f>+Table1[[#This Row],[id_destino]]&amp;" - "&amp;Table1[[#This Row],[id_origen]]</f>
        <v>57 - 276</v>
      </c>
    </row>
    <row r="4055" spans="1:22" hidden="1">
      <c r="A4055">
        <v>420</v>
      </c>
      <c r="B4055">
        <v>2287</v>
      </c>
      <c r="C4055">
        <v>4721</v>
      </c>
      <c r="D4055">
        <v>5354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 t="s">
        <v>20</v>
      </c>
      <c r="L4055" s="1">
        <v>43062</v>
      </c>
      <c r="M4055">
        <v>62</v>
      </c>
      <c r="N4055">
        <v>276</v>
      </c>
      <c r="O4055">
        <v>364</v>
      </c>
      <c r="P4055">
        <v>364</v>
      </c>
      <c r="Q4055">
        <v>364</v>
      </c>
      <c r="S4055">
        <v>391</v>
      </c>
      <c r="T4055">
        <v>391</v>
      </c>
      <c r="U4055">
        <f>+SUM(Table1[[#This Row],[Latinos]:[Cemex]])</f>
        <v>1</v>
      </c>
      <c r="V4055" t="str">
        <f>+Table1[[#This Row],[id_destino]]&amp;" - "&amp;Table1[[#This Row],[id_origen]]</f>
        <v>62 - 276</v>
      </c>
    </row>
    <row r="4056" spans="1:22" hidden="1">
      <c r="A4056">
        <v>2718</v>
      </c>
      <c r="B4056">
        <v>3521</v>
      </c>
      <c r="C4056">
        <v>5225</v>
      </c>
      <c r="D4056">
        <v>4643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0</v>
      </c>
      <c r="K4056" t="s">
        <v>20</v>
      </c>
      <c r="L4056" s="1">
        <v>44372</v>
      </c>
      <c r="M4056">
        <v>79</v>
      </c>
      <c r="N4056">
        <v>276</v>
      </c>
      <c r="O4056">
        <v>242</v>
      </c>
      <c r="P4056">
        <v>257</v>
      </c>
      <c r="Q4056">
        <v>242</v>
      </c>
      <c r="S4056">
        <v>511</v>
      </c>
      <c r="T4056">
        <v>516</v>
      </c>
      <c r="U4056">
        <f>+SUM(Table1[[#This Row],[Latinos]:[Cemex]])</f>
        <v>1</v>
      </c>
      <c r="V4056" t="str">
        <f>+Table1[[#This Row],[id_destino]]&amp;" - "&amp;Table1[[#This Row],[id_origen]]</f>
        <v>79 - 276</v>
      </c>
    </row>
    <row r="4057" spans="1:22" hidden="1">
      <c r="A4057">
        <v>3378</v>
      </c>
      <c r="B4057">
        <v>3948</v>
      </c>
      <c r="C4057">
        <v>5225</v>
      </c>
      <c r="D4057">
        <v>7095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 t="s">
        <v>20</v>
      </c>
      <c r="L4057" s="1">
        <v>44863</v>
      </c>
      <c r="M4057">
        <v>83</v>
      </c>
      <c r="N4057">
        <v>276</v>
      </c>
      <c r="O4057">
        <v>920</v>
      </c>
      <c r="P4057">
        <v>906</v>
      </c>
      <c r="Q4057">
        <v>920</v>
      </c>
      <c r="S4057">
        <v>1885</v>
      </c>
      <c r="T4057">
        <v>1978</v>
      </c>
      <c r="U4057">
        <f>+SUM(Table1[[#This Row],[Latinos]:[Cemex]])</f>
        <v>1</v>
      </c>
      <c r="V4057" t="str">
        <f>+Table1[[#This Row],[id_destino]]&amp;" - "&amp;Table1[[#This Row],[id_origen]]</f>
        <v>83 - 276</v>
      </c>
    </row>
    <row r="4058" spans="1:22" hidden="1">
      <c r="A4058">
        <v>3188</v>
      </c>
      <c r="B4058">
        <v>1856</v>
      </c>
      <c r="C4058">
        <v>4195</v>
      </c>
      <c r="D4058">
        <v>6981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 t="s">
        <v>20</v>
      </c>
      <c r="L4058" s="1">
        <v>44763</v>
      </c>
      <c r="M4058">
        <v>105</v>
      </c>
      <c r="N4058">
        <v>276</v>
      </c>
      <c r="O4058">
        <v>47</v>
      </c>
      <c r="P4058">
        <v>150</v>
      </c>
      <c r="Q4058">
        <v>47</v>
      </c>
      <c r="S4058">
        <v>298</v>
      </c>
      <c r="T4058">
        <v>298</v>
      </c>
      <c r="U4058">
        <f>+SUM(Table1[[#This Row],[Latinos]:[Cemex]])</f>
        <v>1</v>
      </c>
      <c r="V4058" t="str">
        <f>+Table1[[#This Row],[id_destino]]&amp;" - "&amp;Table1[[#This Row],[id_origen]]</f>
        <v>105 - 276</v>
      </c>
    </row>
    <row r="4059" spans="1:22" hidden="1">
      <c r="A4059">
        <v>3530</v>
      </c>
      <c r="B4059">
        <v>4051</v>
      </c>
      <c r="C4059">
        <v>7190</v>
      </c>
      <c r="D4059">
        <v>2111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0</v>
      </c>
      <c r="K4059" t="s">
        <v>94</v>
      </c>
      <c r="L4059" s="1">
        <v>44950</v>
      </c>
      <c r="M4059">
        <v>155</v>
      </c>
      <c r="N4059">
        <v>276</v>
      </c>
      <c r="O4059">
        <v>1490</v>
      </c>
      <c r="P4059">
        <v>1073</v>
      </c>
      <c r="Q4059">
        <v>1490</v>
      </c>
      <c r="S4059">
        <v>6395</v>
      </c>
      <c r="T4059">
        <v>4885</v>
      </c>
      <c r="U4059">
        <f>+SUM(Table1[[#This Row],[Latinos]:[Cemex]])</f>
        <v>1</v>
      </c>
      <c r="V4059" t="str">
        <f>+Table1[[#This Row],[id_destino]]&amp;" - "&amp;Table1[[#This Row],[id_origen]]</f>
        <v>155 - 276</v>
      </c>
    </row>
    <row r="4060" spans="1:22" hidden="1">
      <c r="A4060">
        <v>446</v>
      </c>
      <c r="B4060">
        <v>2295</v>
      </c>
      <c r="C4060">
        <v>5361</v>
      </c>
      <c r="D4060">
        <v>382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  <c r="K4060" t="s">
        <v>20</v>
      </c>
      <c r="L4060" s="1">
        <v>43067</v>
      </c>
      <c r="M4060">
        <v>169</v>
      </c>
      <c r="N4060">
        <v>276</v>
      </c>
      <c r="O4060">
        <v>340</v>
      </c>
      <c r="P4060">
        <v>340</v>
      </c>
      <c r="Q4060">
        <v>340</v>
      </c>
      <c r="S4060">
        <v>612</v>
      </c>
      <c r="T4060">
        <v>612</v>
      </c>
      <c r="U4060">
        <f>+SUM(Table1[[#This Row],[Latinos]:[Cemex]])</f>
        <v>1</v>
      </c>
      <c r="V4060" t="str">
        <f>+Table1[[#This Row],[id_destino]]&amp;" - "&amp;Table1[[#This Row],[id_origen]]</f>
        <v>169 - 276</v>
      </c>
    </row>
    <row r="4061" spans="1:22" hidden="1">
      <c r="A4061">
        <v>4290</v>
      </c>
      <c r="B4061">
        <v>4548</v>
      </c>
      <c r="C4061">
        <v>6834</v>
      </c>
      <c r="D4061">
        <v>7057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 t="s">
        <v>20</v>
      </c>
      <c r="L4061" s="1">
        <v>45429</v>
      </c>
      <c r="M4061">
        <v>276</v>
      </c>
      <c r="N4061">
        <v>276</v>
      </c>
      <c r="O4061">
        <v>47</v>
      </c>
      <c r="P4061">
        <v>150</v>
      </c>
      <c r="Q4061">
        <v>47</v>
      </c>
      <c r="S4061">
        <v>0</v>
      </c>
      <c r="T4061">
        <v>0</v>
      </c>
      <c r="U4061">
        <f>+SUM(Table1[[#This Row],[Latinos]:[Cemex]])</f>
        <v>1</v>
      </c>
      <c r="V4061" t="str">
        <f>+Table1[[#This Row],[id_destino]]&amp;" - "&amp;Table1[[#This Row],[id_origen]]</f>
        <v>276 - 276</v>
      </c>
    </row>
    <row r="4062" spans="1:22" hidden="1">
      <c r="A4062">
        <v>4592</v>
      </c>
      <c r="B4062">
        <v>4548</v>
      </c>
      <c r="C4062">
        <v>4195</v>
      </c>
      <c r="D4062">
        <v>4195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 t="s">
        <v>20</v>
      </c>
      <c r="L4062" s="1">
        <v>45638</v>
      </c>
      <c r="M4062">
        <v>276</v>
      </c>
      <c r="N4062">
        <v>276</v>
      </c>
      <c r="O4062">
        <v>0</v>
      </c>
      <c r="P4062">
        <v>150</v>
      </c>
      <c r="Q4062">
        <v>50</v>
      </c>
      <c r="S4062">
        <v>0</v>
      </c>
      <c r="T4062">
        <v>0</v>
      </c>
      <c r="U4062">
        <f>+SUM(Table1[[#This Row],[Latinos]:[Cemex]])</f>
        <v>1</v>
      </c>
      <c r="V4062" t="str">
        <f>+Table1[[#This Row],[id_destino]]&amp;" - "&amp;Table1[[#This Row],[id_origen]]</f>
        <v>276 - 276</v>
      </c>
    </row>
    <row r="4063" spans="1:22" hidden="1">
      <c r="A4063">
        <v>2954</v>
      </c>
      <c r="B4063">
        <v>3678</v>
      </c>
      <c r="C4063">
        <v>6834</v>
      </c>
      <c r="D4063">
        <v>6835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 t="s">
        <v>20</v>
      </c>
      <c r="L4063" s="1">
        <v>44644</v>
      </c>
      <c r="M4063">
        <v>318</v>
      </c>
      <c r="N4063">
        <v>276</v>
      </c>
      <c r="O4063">
        <v>39</v>
      </c>
      <c r="P4063">
        <v>150</v>
      </c>
      <c r="Q4063">
        <v>39</v>
      </c>
      <c r="S4063">
        <v>350</v>
      </c>
      <c r="T4063">
        <v>350</v>
      </c>
      <c r="U4063">
        <f>+SUM(Table1[[#This Row],[Latinos]:[Cemex]])</f>
        <v>1</v>
      </c>
      <c r="V4063" t="str">
        <f>+Table1[[#This Row],[id_destino]]&amp;" - "&amp;Table1[[#This Row],[id_origen]]</f>
        <v>318 - 276</v>
      </c>
    </row>
    <row r="4064" spans="1:22" hidden="1">
      <c r="A4064">
        <v>4024</v>
      </c>
      <c r="B4064">
        <v>3678</v>
      </c>
      <c r="C4064">
        <v>7057</v>
      </c>
      <c r="D4064">
        <v>5963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 t="s">
        <v>20</v>
      </c>
      <c r="L4064" s="1">
        <v>45239</v>
      </c>
      <c r="M4064">
        <v>318</v>
      </c>
      <c r="N4064">
        <v>276</v>
      </c>
      <c r="O4064">
        <v>41</v>
      </c>
      <c r="P4064">
        <v>48</v>
      </c>
      <c r="Q4064">
        <v>41</v>
      </c>
      <c r="S4064">
        <v>194</v>
      </c>
      <c r="T4064">
        <v>284</v>
      </c>
      <c r="U4064">
        <f>+SUM(Table1[[#This Row],[Latinos]:[Cemex]])</f>
        <v>1</v>
      </c>
      <c r="V4064" t="str">
        <f>+Table1[[#This Row],[id_destino]]&amp;" - "&amp;Table1[[#This Row],[id_origen]]</f>
        <v>318 - 276</v>
      </c>
    </row>
    <row r="4065" spans="1:22" hidden="1">
      <c r="A4065">
        <v>3332</v>
      </c>
      <c r="B4065">
        <v>3913</v>
      </c>
      <c r="C4065">
        <v>7057</v>
      </c>
      <c r="D4065">
        <v>5655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 t="s">
        <v>20</v>
      </c>
      <c r="L4065" s="1">
        <v>45257</v>
      </c>
      <c r="M4065">
        <v>589</v>
      </c>
      <c r="N4065">
        <v>276</v>
      </c>
      <c r="O4065">
        <v>45</v>
      </c>
      <c r="P4065">
        <v>100</v>
      </c>
      <c r="Q4065">
        <v>45</v>
      </c>
      <c r="S4065">
        <v>200</v>
      </c>
      <c r="T4065">
        <v>200</v>
      </c>
      <c r="U4065">
        <f>+SUM(Table1[[#This Row],[Latinos]:[Cemex]])</f>
        <v>1</v>
      </c>
      <c r="V4065" t="str">
        <f>+Table1[[#This Row],[id_destino]]&amp;" - "&amp;Table1[[#This Row],[id_origen]]</f>
        <v>589 - 276</v>
      </c>
    </row>
    <row r="4066" spans="1:22" hidden="1">
      <c r="A4066">
        <v>4660</v>
      </c>
      <c r="B4066">
        <v>4828</v>
      </c>
      <c r="C4066">
        <v>8047</v>
      </c>
      <c r="D4066">
        <v>7011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0</v>
      </c>
      <c r="K4066" t="s">
        <v>20</v>
      </c>
      <c r="L4066" s="1">
        <v>45709</v>
      </c>
      <c r="M4066">
        <v>591</v>
      </c>
      <c r="N4066">
        <v>276</v>
      </c>
      <c r="O4066">
        <v>55</v>
      </c>
      <c r="P4066">
        <v>150</v>
      </c>
      <c r="Q4066">
        <v>55</v>
      </c>
      <c r="S4066">
        <v>660</v>
      </c>
      <c r="T4066">
        <v>660</v>
      </c>
      <c r="U4066">
        <f>+SUM(Table1[[#This Row],[Latinos]:[Cemex]])</f>
        <v>1</v>
      </c>
      <c r="V4066" t="str">
        <f>+Table1[[#This Row],[id_destino]]&amp;" - "&amp;Table1[[#This Row],[id_origen]]</f>
        <v>591 - 276</v>
      </c>
    </row>
    <row r="4067" spans="1:22" hidden="1">
      <c r="A4067">
        <v>4288</v>
      </c>
      <c r="B4067">
        <v>4546</v>
      </c>
      <c r="C4067">
        <v>5763</v>
      </c>
      <c r="D4067">
        <v>7301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 t="s">
        <v>20</v>
      </c>
      <c r="L4067" s="1">
        <v>45428</v>
      </c>
      <c r="M4067">
        <v>594</v>
      </c>
      <c r="N4067">
        <v>276</v>
      </c>
      <c r="O4067">
        <v>2175</v>
      </c>
      <c r="P4067">
        <v>2192</v>
      </c>
      <c r="Q4067">
        <v>2175</v>
      </c>
      <c r="S4067">
        <v>7750</v>
      </c>
      <c r="T4067">
        <v>7955</v>
      </c>
      <c r="U4067">
        <f>+SUM(Table1[[#This Row],[Latinos]:[Cemex]])</f>
        <v>1</v>
      </c>
      <c r="V4067" t="str">
        <f>+Table1[[#This Row],[id_destino]]&amp;" - "&amp;Table1[[#This Row],[id_origen]]</f>
        <v>594 - 276</v>
      </c>
    </row>
    <row r="4068" spans="1:22" hidden="1">
      <c r="A4068">
        <v>2365</v>
      </c>
      <c r="B4068">
        <v>3300</v>
      </c>
      <c r="C4068">
        <v>6349</v>
      </c>
      <c r="D4068">
        <v>64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 t="s">
        <v>20</v>
      </c>
      <c r="L4068" s="1">
        <v>43990</v>
      </c>
      <c r="M4068">
        <v>602</v>
      </c>
      <c r="N4068">
        <v>276</v>
      </c>
      <c r="O4068">
        <v>57</v>
      </c>
      <c r="P4068">
        <v>150</v>
      </c>
      <c r="Q4068">
        <v>57</v>
      </c>
      <c r="S4068">
        <v>256</v>
      </c>
      <c r="T4068">
        <v>256</v>
      </c>
      <c r="U4068">
        <f>+SUM(Table1[[#This Row],[Latinos]:[Cemex]])</f>
        <v>1</v>
      </c>
      <c r="V4068" t="str">
        <f>+Table1[[#This Row],[id_destino]]&amp;" - "&amp;Table1[[#This Row],[id_origen]]</f>
        <v>602 - 276</v>
      </c>
    </row>
    <row r="4069" spans="1:22" hidden="1">
      <c r="A4069">
        <v>2319</v>
      </c>
      <c r="B4069">
        <v>3270</v>
      </c>
      <c r="C4069">
        <v>5379</v>
      </c>
      <c r="D4069">
        <v>3489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 t="s">
        <v>20</v>
      </c>
      <c r="L4069" s="1">
        <v>43935</v>
      </c>
      <c r="M4069">
        <v>684</v>
      </c>
      <c r="N4069">
        <v>276</v>
      </c>
      <c r="O4069">
        <v>305</v>
      </c>
      <c r="P4069">
        <v>305</v>
      </c>
      <c r="Q4069">
        <v>305</v>
      </c>
      <c r="S4069">
        <v>644</v>
      </c>
      <c r="T4069">
        <v>216</v>
      </c>
      <c r="U4069">
        <f>+SUM(Table1[[#This Row],[Latinos]:[Cemex]])</f>
        <v>1</v>
      </c>
      <c r="V4069" t="str">
        <f>+Table1[[#This Row],[id_destino]]&amp;" - "&amp;Table1[[#This Row],[id_origen]]</f>
        <v>684 - 276</v>
      </c>
    </row>
    <row r="4070" spans="1:22" hidden="1">
      <c r="A4070">
        <v>2138</v>
      </c>
      <c r="B4070">
        <v>3158</v>
      </c>
      <c r="C4070">
        <v>5763</v>
      </c>
      <c r="D4070">
        <v>6211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 t="s">
        <v>20</v>
      </c>
      <c r="L4070" s="1">
        <v>43829</v>
      </c>
      <c r="M4070">
        <v>685</v>
      </c>
      <c r="N4070">
        <v>276</v>
      </c>
      <c r="O4070">
        <v>209</v>
      </c>
      <c r="P4070">
        <v>209</v>
      </c>
      <c r="Q4070">
        <v>209</v>
      </c>
      <c r="S4070">
        <v>616</v>
      </c>
      <c r="T4070">
        <v>690</v>
      </c>
      <c r="U4070">
        <f>+SUM(Table1[[#This Row],[Latinos]:[Cemex]])</f>
        <v>1</v>
      </c>
      <c r="V4070" t="str">
        <f>+Table1[[#This Row],[id_destino]]&amp;" - "&amp;Table1[[#This Row],[id_origen]]</f>
        <v>685 - 276</v>
      </c>
    </row>
    <row r="4071" spans="1:22" hidden="1">
      <c r="A4071">
        <v>2143</v>
      </c>
      <c r="B4071">
        <v>3158</v>
      </c>
      <c r="C4071">
        <v>5763</v>
      </c>
      <c r="D4071">
        <v>6211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 t="s">
        <v>20</v>
      </c>
      <c r="L4071" s="1">
        <v>43832</v>
      </c>
      <c r="M4071">
        <v>685</v>
      </c>
      <c r="N4071">
        <v>276</v>
      </c>
      <c r="O4071">
        <v>209</v>
      </c>
      <c r="P4071">
        <v>209</v>
      </c>
      <c r="Q4071">
        <v>209</v>
      </c>
      <c r="S4071">
        <v>616</v>
      </c>
      <c r="T4071">
        <v>690</v>
      </c>
      <c r="U4071">
        <f>+SUM(Table1[[#This Row],[Latinos]:[Cemex]])</f>
        <v>1</v>
      </c>
      <c r="V4071" t="str">
        <f>+Table1[[#This Row],[id_destino]]&amp;" - "&amp;Table1[[#This Row],[id_origen]]</f>
        <v>685 - 276</v>
      </c>
    </row>
    <row r="4072" spans="1:22" hidden="1">
      <c r="A4072">
        <v>4680</v>
      </c>
      <c r="B4072">
        <v>4841</v>
      </c>
      <c r="C4072">
        <v>7057</v>
      </c>
      <c r="D4072">
        <v>5412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 t="s">
        <v>20</v>
      </c>
      <c r="L4072" s="1">
        <v>45724</v>
      </c>
      <c r="M4072">
        <v>729</v>
      </c>
      <c r="N4072">
        <v>276</v>
      </c>
      <c r="O4072">
        <v>42</v>
      </c>
      <c r="P4072">
        <v>42</v>
      </c>
      <c r="Q4072">
        <v>42</v>
      </c>
      <c r="S4072">
        <v>526</v>
      </c>
      <c r="T4072">
        <v>624</v>
      </c>
      <c r="U4072">
        <f>+SUM(Table1[[#This Row],[Latinos]:[Cemex]])</f>
        <v>1</v>
      </c>
      <c r="V4072" t="str">
        <f>+Table1[[#This Row],[id_destino]]&amp;" - "&amp;Table1[[#This Row],[id_origen]]</f>
        <v>729 - 276</v>
      </c>
    </row>
    <row r="4073" spans="1:22" hidden="1">
      <c r="A4073">
        <v>4342</v>
      </c>
      <c r="B4073">
        <v>4583</v>
      </c>
      <c r="C4073">
        <v>6834</v>
      </c>
      <c r="D4073">
        <v>7833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 t="s">
        <v>20</v>
      </c>
      <c r="L4073" s="1">
        <v>45481</v>
      </c>
      <c r="M4073">
        <v>852</v>
      </c>
      <c r="N4073">
        <v>276</v>
      </c>
      <c r="O4073">
        <v>46</v>
      </c>
      <c r="P4073">
        <v>150</v>
      </c>
      <c r="Q4073">
        <v>46</v>
      </c>
      <c r="S4073">
        <v>152</v>
      </c>
      <c r="T4073">
        <v>228</v>
      </c>
      <c r="U4073">
        <f>+SUM(Table1[[#This Row],[Latinos]:[Cemex]])</f>
        <v>1</v>
      </c>
      <c r="V4073" t="str">
        <f>+Table1[[#This Row],[id_destino]]&amp;" - "&amp;Table1[[#This Row],[id_origen]]</f>
        <v>852 - 276</v>
      </c>
    </row>
    <row r="4074" spans="1:22" hidden="1">
      <c r="A4074">
        <v>4581</v>
      </c>
      <c r="B4074">
        <v>4773</v>
      </c>
      <c r="C4074">
        <v>6834</v>
      </c>
      <c r="D4074">
        <v>8049</v>
      </c>
      <c r="E4074">
        <v>0</v>
      </c>
      <c r="F4074">
        <v>1</v>
      </c>
      <c r="G4074">
        <v>0</v>
      </c>
      <c r="H4074">
        <v>0</v>
      </c>
      <c r="I4074">
        <v>0</v>
      </c>
      <c r="J4074">
        <v>0</v>
      </c>
      <c r="K4074" t="s">
        <v>20</v>
      </c>
      <c r="L4074" s="1">
        <v>45630</v>
      </c>
      <c r="M4074">
        <v>924</v>
      </c>
      <c r="N4074">
        <v>276</v>
      </c>
      <c r="O4074">
        <v>256</v>
      </c>
      <c r="P4074">
        <v>292</v>
      </c>
      <c r="Q4074">
        <v>256</v>
      </c>
      <c r="S4074">
        <v>1505</v>
      </c>
      <c r="T4074">
        <v>1505</v>
      </c>
      <c r="U4074">
        <f>+SUM(Table1[[#This Row],[Latinos]:[Cemex]])</f>
        <v>1</v>
      </c>
      <c r="V4074" t="str">
        <f>+Table1[[#This Row],[id_destino]]&amp;" - "&amp;Table1[[#This Row],[id_origen]]</f>
        <v>924 - 276</v>
      </c>
    </row>
    <row r="4075" spans="1:22" hidden="1">
      <c r="A4075">
        <v>3665</v>
      </c>
      <c r="B4075">
        <v>4148</v>
      </c>
      <c r="C4075">
        <v>422</v>
      </c>
      <c r="D4075">
        <v>353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 t="s">
        <v>20</v>
      </c>
      <c r="L4075" s="1">
        <v>45015</v>
      </c>
      <c r="M4075">
        <v>7</v>
      </c>
      <c r="N4075">
        <v>280</v>
      </c>
      <c r="O4075">
        <v>1718</v>
      </c>
      <c r="P4075">
        <v>1731</v>
      </c>
      <c r="Q4075">
        <v>1718</v>
      </c>
      <c r="S4075">
        <v>2392</v>
      </c>
      <c r="T4075">
        <v>2392</v>
      </c>
      <c r="U4075">
        <f>+SUM(Table1[[#This Row],[Latinos]:[Cemex]])</f>
        <v>1</v>
      </c>
      <c r="V4075" t="str">
        <f>+Table1[[#This Row],[id_destino]]&amp;" - "&amp;Table1[[#This Row],[id_origen]]</f>
        <v>7 - 280</v>
      </c>
    </row>
    <row r="4076" spans="1:22" hidden="1">
      <c r="A4076">
        <v>4663</v>
      </c>
      <c r="B4076">
        <v>4148</v>
      </c>
      <c r="C4076">
        <v>6372</v>
      </c>
      <c r="D4076">
        <v>8141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  <c r="K4076" t="s">
        <v>20</v>
      </c>
      <c r="L4076" s="1">
        <v>45713</v>
      </c>
      <c r="M4076">
        <v>7</v>
      </c>
      <c r="N4076">
        <v>280</v>
      </c>
      <c r="O4076">
        <v>1665</v>
      </c>
      <c r="P4076">
        <v>1666</v>
      </c>
      <c r="Q4076">
        <v>1665</v>
      </c>
      <c r="S4076">
        <v>4195</v>
      </c>
      <c r="T4076">
        <v>4797</v>
      </c>
      <c r="U4076">
        <f>+SUM(Table1[[#This Row],[Latinos]:[Cemex]])</f>
        <v>1</v>
      </c>
      <c r="V4076" t="str">
        <f>+Table1[[#This Row],[id_destino]]&amp;" - "&amp;Table1[[#This Row],[id_origen]]</f>
        <v>7 - 280</v>
      </c>
    </row>
    <row r="4077" spans="1:22" hidden="1">
      <c r="A4077">
        <v>4664</v>
      </c>
      <c r="B4077">
        <v>4831</v>
      </c>
      <c r="C4077">
        <v>6372</v>
      </c>
      <c r="D4077">
        <v>8142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 t="s">
        <v>20</v>
      </c>
      <c r="L4077" s="1">
        <v>45713</v>
      </c>
      <c r="M4077">
        <v>23</v>
      </c>
      <c r="N4077">
        <v>280</v>
      </c>
      <c r="O4077">
        <v>493</v>
      </c>
      <c r="P4077">
        <v>472</v>
      </c>
      <c r="Q4077">
        <v>493</v>
      </c>
      <c r="S4077">
        <v>1980</v>
      </c>
      <c r="T4077">
        <v>1980</v>
      </c>
      <c r="U4077">
        <f>+SUM(Table1[[#This Row],[Latinos]:[Cemex]])</f>
        <v>1</v>
      </c>
      <c r="V4077" t="str">
        <f>+Table1[[#This Row],[id_destino]]&amp;" - "&amp;Table1[[#This Row],[id_origen]]</f>
        <v>23 - 280</v>
      </c>
    </row>
    <row r="4078" spans="1:22" hidden="1">
      <c r="A4078">
        <v>3170</v>
      </c>
      <c r="B4078">
        <v>3818</v>
      </c>
      <c r="C4078">
        <v>6372</v>
      </c>
      <c r="D4078">
        <v>6973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0</v>
      </c>
      <c r="K4078" t="s">
        <v>20</v>
      </c>
      <c r="L4078" s="1">
        <v>44755</v>
      </c>
      <c r="M4078">
        <v>27</v>
      </c>
      <c r="N4078">
        <v>280</v>
      </c>
      <c r="O4078">
        <v>807</v>
      </c>
      <c r="P4078">
        <v>798</v>
      </c>
      <c r="Q4078">
        <v>807</v>
      </c>
      <c r="S4078">
        <v>2070</v>
      </c>
      <c r="T4078">
        <v>2070</v>
      </c>
      <c r="U4078">
        <f>+SUM(Table1[[#This Row],[Latinos]:[Cemex]])</f>
        <v>1</v>
      </c>
      <c r="V4078" t="str">
        <f>+Table1[[#This Row],[id_destino]]&amp;" - "&amp;Table1[[#This Row],[id_origen]]</f>
        <v>27 - 280</v>
      </c>
    </row>
    <row r="4079" spans="1:22" hidden="1">
      <c r="A4079">
        <v>4324</v>
      </c>
      <c r="B4079">
        <v>4568</v>
      </c>
      <c r="C4079">
        <v>6909</v>
      </c>
      <c r="D4079">
        <v>387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 t="s">
        <v>20</v>
      </c>
      <c r="L4079" s="1">
        <v>45457</v>
      </c>
      <c r="M4079">
        <v>30</v>
      </c>
      <c r="N4079">
        <v>280</v>
      </c>
      <c r="O4079">
        <v>1007</v>
      </c>
      <c r="P4079">
        <v>1007</v>
      </c>
      <c r="Q4079">
        <v>1007</v>
      </c>
      <c r="S4079">
        <v>4014</v>
      </c>
      <c r="T4079">
        <v>4014</v>
      </c>
      <c r="U4079">
        <f>+SUM(Table1[[#This Row],[Latinos]:[Cemex]])</f>
        <v>1</v>
      </c>
      <c r="V4079" t="str">
        <f>+Table1[[#This Row],[id_destino]]&amp;" - "&amp;Table1[[#This Row],[id_origen]]</f>
        <v>30 - 280</v>
      </c>
    </row>
    <row r="4080" spans="1:22" hidden="1">
      <c r="A4080">
        <v>2392</v>
      </c>
      <c r="B4080">
        <v>3314</v>
      </c>
      <c r="C4080">
        <v>6372</v>
      </c>
      <c r="D4080">
        <v>35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0</v>
      </c>
      <c r="K4080" t="s">
        <v>20</v>
      </c>
      <c r="L4080" s="1">
        <v>44026</v>
      </c>
      <c r="M4080">
        <v>31</v>
      </c>
      <c r="N4080">
        <v>280</v>
      </c>
      <c r="O4080">
        <v>1183</v>
      </c>
      <c r="P4080">
        <v>1182</v>
      </c>
      <c r="Q4080">
        <v>1183</v>
      </c>
      <c r="S4080">
        <v>5275</v>
      </c>
      <c r="T4080">
        <v>5275</v>
      </c>
      <c r="U4080">
        <f>+SUM(Table1[[#This Row],[Latinos]:[Cemex]])</f>
        <v>1</v>
      </c>
      <c r="V4080" t="str">
        <f>+Table1[[#This Row],[id_destino]]&amp;" - "&amp;Table1[[#This Row],[id_origen]]</f>
        <v>31 - 280</v>
      </c>
    </row>
    <row r="4081" spans="1:22" hidden="1">
      <c r="A4081">
        <v>3618</v>
      </c>
      <c r="B4081">
        <v>4116</v>
      </c>
      <c r="C4081">
        <v>422</v>
      </c>
      <c r="D4081">
        <v>6919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 t="s">
        <v>20</v>
      </c>
      <c r="L4081" s="1">
        <v>44988</v>
      </c>
      <c r="M4081">
        <v>33</v>
      </c>
      <c r="N4081">
        <v>280</v>
      </c>
      <c r="O4081">
        <v>1055</v>
      </c>
      <c r="P4081">
        <v>1070</v>
      </c>
      <c r="Q4081">
        <v>1055</v>
      </c>
      <c r="S4081">
        <v>1233</v>
      </c>
      <c r="T4081">
        <v>1294</v>
      </c>
      <c r="U4081">
        <f>+SUM(Table1[[#This Row],[Latinos]:[Cemex]])</f>
        <v>1</v>
      </c>
      <c r="V4081" t="str">
        <f>+Table1[[#This Row],[id_destino]]&amp;" - "&amp;Table1[[#This Row],[id_origen]]</f>
        <v>33 - 280</v>
      </c>
    </row>
    <row r="4082" spans="1:22" hidden="1">
      <c r="A4082">
        <v>4631</v>
      </c>
      <c r="B4082">
        <v>4116</v>
      </c>
      <c r="C4082">
        <v>6372</v>
      </c>
      <c r="D4082">
        <v>8105</v>
      </c>
      <c r="E4082">
        <v>0</v>
      </c>
      <c r="F4082">
        <v>1</v>
      </c>
      <c r="G4082">
        <v>0</v>
      </c>
      <c r="H4082">
        <v>0</v>
      </c>
      <c r="I4082">
        <v>0</v>
      </c>
      <c r="J4082">
        <v>0</v>
      </c>
      <c r="K4082" t="s">
        <v>20</v>
      </c>
      <c r="L4082" s="1">
        <v>45685</v>
      </c>
      <c r="M4082">
        <v>33</v>
      </c>
      <c r="N4082">
        <v>280</v>
      </c>
      <c r="O4082">
        <v>941</v>
      </c>
      <c r="P4082">
        <v>910</v>
      </c>
      <c r="Q4082">
        <v>941</v>
      </c>
      <c r="S4082">
        <v>2375</v>
      </c>
      <c r="T4082">
        <v>2531</v>
      </c>
      <c r="U4082">
        <f>+SUM(Table1[[#This Row],[Latinos]:[Cemex]])</f>
        <v>1</v>
      </c>
      <c r="V4082" t="str">
        <f>+Table1[[#This Row],[id_destino]]&amp;" - "&amp;Table1[[#This Row],[id_origen]]</f>
        <v>33 - 280</v>
      </c>
    </row>
    <row r="4083" spans="1:22" hidden="1">
      <c r="A4083">
        <v>3061</v>
      </c>
      <c r="B4083">
        <v>3750</v>
      </c>
      <c r="C4083">
        <v>6909</v>
      </c>
      <c r="D4083">
        <v>6910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 t="s">
        <v>20</v>
      </c>
      <c r="L4083" s="1">
        <v>44764</v>
      </c>
      <c r="M4083">
        <v>55</v>
      </c>
      <c r="N4083">
        <v>280</v>
      </c>
      <c r="O4083">
        <v>91</v>
      </c>
      <c r="P4083">
        <v>100</v>
      </c>
      <c r="Q4083">
        <v>91</v>
      </c>
      <c r="S4083">
        <v>0</v>
      </c>
      <c r="T4083">
        <v>0</v>
      </c>
      <c r="U4083">
        <f>+SUM(Table1[[#This Row],[Latinos]:[Cemex]])</f>
        <v>1</v>
      </c>
      <c r="V4083" t="str">
        <f>+Table1[[#This Row],[id_destino]]&amp;" - "&amp;Table1[[#This Row],[id_origen]]</f>
        <v>55 - 280</v>
      </c>
    </row>
    <row r="4084" spans="1:22" hidden="1">
      <c r="A4084">
        <v>2714</v>
      </c>
      <c r="B4084">
        <v>3519</v>
      </c>
      <c r="C4084">
        <v>6372</v>
      </c>
      <c r="D4084">
        <v>6607</v>
      </c>
      <c r="E4084">
        <v>0</v>
      </c>
      <c r="F4084">
        <v>1</v>
      </c>
      <c r="G4084">
        <v>0</v>
      </c>
      <c r="H4084">
        <v>0</v>
      </c>
      <c r="I4084">
        <v>0</v>
      </c>
      <c r="J4084">
        <v>0</v>
      </c>
      <c r="K4084" t="s">
        <v>20</v>
      </c>
      <c r="L4084" s="1">
        <v>44370</v>
      </c>
      <c r="M4084">
        <v>118</v>
      </c>
      <c r="N4084">
        <v>280</v>
      </c>
      <c r="O4084">
        <v>2834</v>
      </c>
      <c r="P4084">
        <v>2858</v>
      </c>
      <c r="Q4084">
        <v>2834</v>
      </c>
      <c r="S4084">
        <v>3051</v>
      </c>
      <c r="T4084">
        <v>3541</v>
      </c>
      <c r="U4084">
        <f>+SUM(Table1[[#This Row],[Latinos]:[Cemex]])</f>
        <v>1</v>
      </c>
      <c r="V4084" t="str">
        <f>+Table1[[#This Row],[id_destino]]&amp;" - "&amp;Table1[[#This Row],[id_origen]]</f>
        <v>118 - 280</v>
      </c>
    </row>
    <row r="4085" spans="1:22" hidden="1">
      <c r="A4085">
        <v>3703</v>
      </c>
      <c r="B4085">
        <v>4174</v>
      </c>
      <c r="C4085">
        <v>6909</v>
      </c>
      <c r="D4085">
        <v>2506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 t="s">
        <v>20</v>
      </c>
      <c r="L4085" s="1">
        <v>45037</v>
      </c>
      <c r="M4085">
        <v>225</v>
      </c>
      <c r="N4085">
        <v>280</v>
      </c>
      <c r="O4085">
        <v>1599</v>
      </c>
      <c r="P4085">
        <v>1598</v>
      </c>
      <c r="Q4085">
        <v>1599</v>
      </c>
      <c r="S4085">
        <v>2467</v>
      </c>
      <c r="T4085">
        <v>2467</v>
      </c>
      <c r="U4085">
        <f>+SUM(Table1[[#This Row],[Latinos]:[Cemex]])</f>
        <v>1</v>
      </c>
      <c r="V4085" t="str">
        <f>+Table1[[#This Row],[id_destino]]&amp;" - "&amp;Table1[[#This Row],[id_origen]]</f>
        <v>225 - 280</v>
      </c>
    </row>
    <row r="4086" spans="1:22" hidden="1">
      <c r="A4086">
        <v>2076</v>
      </c>
      <c r="B4086">
        <v>3119</v>
      </c>
      <c r="C4086">
        <v>422</v>
      </c>
      <c r="D4086">
        <v>6170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 t="s">
        <v>20</v>
      </c>
      <c r="L4086" s="1">
        <v>43798</v>
      </c>
      <c r="M4086">
        <v>239</v>
      </c>
      <c r="N4086">
        <v>280</v>
      </c>
      <c r="O4086">
        <v>295</v>
      </c>
      <c r="P4086">
        <v>295</v>
      </c>
      <c r="Q4086">
        <v>295</v>
      </c>
      <c r="S4086">
        <v>210</v>
      </c>
      <c r="T4086">
        <v>210</v>
      </c>
      <c r="U4086">
        <f>+SUM(Table1[[#This Row],[Latinos]:[Cemex]])</f>
        <v>1</v>
      </c>
      <c r="V4086" t="str">
        <f>+Table1[[#This Row],[id_destino]]&amp;" - "&amp;Table1[[#This Row],[id_origen]]</f>
        <v>239 - 280</v>
      </c>
    </row>
    <row r="4087" spans="1:22" hidden="1">
      <c r="A4087">
        <v>4244</v>
      </c>
      <c r="B4087">
        <v>1382</v>
      </c>
      <c r="C4087">
        <v>6372</v>
      </c>
      <c r="D4087">
        <v>7723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 t="s">
        <v>20</v>
      </c>
      <c r="L4087" s="1">
        <v>45391</v>
      </c>
      <c r="M4087">
        <v>536</v>
      </c>
      <c r="N4087">
        <v>280</v>
      </c>
      <c r="O4087">
        <v>1749</v>
      </c>
      <c r="P4087">
        <v>1639</v>
      </c>
      <c r="Q4087">
        <v>1749</v>
      </c>
      <c r="S4087">
        <v>4132</v>
      </c>
      <c r="T4087">
        <v>4722</v>
      </c>
      <c r="U4087">
        <f>+SUM(Table1[[#This Row],[Latinos]:[Cemex]])</f>
        <v>1</v>
      </c>
      <c r="V4087" t="str">
        <f>+Table1[[#This Row],[id_destino]]&amp;" - "&amp;Table1[[#This Row],[id_origen]]</f>
        <v>536 - 280</v>
      </c>
    </row>
    <row r="4088" spans="1:22" hidden="1">
      <c r="A4088">
        <v>3773</v>
      </c>
      <c r="B4088">
        <v>4213</v>
      </c>
      <c r="C4088">
        <v>6372</v>
      </c>
      <c r="D4088">
        <v>7369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0</v>
      </c>
      <c r="K4088" t="s">
        <v>20</v>
      </c>
      <c r="L4088" s="1">
        <v>45186</v>
      </c>
      <c r="M4088">
        <v>876</v>
      </c>
      <c r="N4088">
        <v>280</v>
      </c>
      <c r="O4088">
        <v>406</v>
      </c>
      <c r="P4088">
        <v>411</v>
      </c>
      <c r="Q4088">
        <v>406</v>
      </c>
      <c r="S4088">
        <v>1528</v>
      </c>
      <c r="T4088">
        <v>1528</v>
      </c>
      <c r="U4088">
        <f>+SUM(Table1[[#This Row],[Latinos]:[Cemex]])</f>
        <v>1</v>
      </c>
      <c r="V4088" t="str">
        <f>+Table1[[#This Row],[id_destino]]&amp;" - "&amp;Table1[[#This Row],[id_origen]]</f>
        <v>876 - 280</v>
      </c>
    </row>
    <row r="4089" spans="1:22" hidden="1">
      <c r="A4089">
        <v>4595</v>
      </c>
      <c r="B4089">
        <v>4782</v>
      </c>
      <c r="C4089">
        <v>6372</v>
      </c>
      <c r="D4089">
        <v>8073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  <c r="K4089" t="s">
        <v>20</v>
      </c>
      <c r="L4089" s="1">
        <v>45659</v>
      </c>
      <c r="M4089">
        <v>884</v>
      </c>
      <c r="N4089">
        <v>280</v>
      </c>
      <c r="O4089">
        <v>431</v>
      </c>
      <c r="P4089">
        <v>434</v>
      </c>
      <c r="Q4089">
        <v>431</v>
      </c>
      <c r="S4089">
        <v>1555</v>
      </c>
      <c r="T4089">
        <v>1555</v>
      </c>
      <c r="U4089">
        <f>+SUM(Table1[[#This Row],[Latinos]:[Cemex]])</f>
        <v>1</v>
      </c>
      <c r="V4089" t="str">
        <f>+Table1[[#This Row],[id_destino]]&amp;" - "&amp;Table1[[#This Row],[id_origen]]</f>
        <v>884 - 280</v>
      </c>
    </row>
    <row r="4090" spans="1:22" hidden="1">
      <c r="A4090">
        <v>4807</v>
      </c>
      <c r="B4090">
        <v>4919</v>
      </c>
      <c r="C4090">
        <v>8253</v>
      </c>
      <c r="D4090">
        <v>8063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 t="s">
        <v>20</v>
      </c>
      <c r="L4090" s="1">
        <v>45859</v>
      </c>
      <c r="M4090">
        <v>6</v>
      </c>
      <c r="N4090">
        <v>286</v>
      </c>
      <c r="O4090">
        <v>1806</v>
      </c>
      <c r="P4090">
        <v>1806</v>
      </c>
      <c r="Q4090">
        <v>1806</v>
      </c>
      <c r="S4090">
        <v>6140</v>
      </c>
      <c r="T4090">
        <v>6223</v>
      </c>
      <c r="U4090">
        <f>+SUM(Table1[[#This Row],[Latinos]:[Cemex]])</f>
        <v>1</v>
      </c>
      <c r="V4090" t="str">
        <f>+Table1[[#This Row],[id_destino]]&amp;" - "&amp;Table1[[#This Row],[id_origen]]</f>
        <v>6 - 286</v>
      </c>
    </row>
    <row r="4091" spans="1:22" hidden="1">
      <c r="A4091">
        <v>2921</v>
      </c>
      <c r="B4091">
        <v>3657</v>
      </c>
      <c r="C4091">
        <v>6791</v>
      </c>
      <c r="D4091">
        <v>6796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 t="s">
        <v>20</v>
      </c>
      <c r="L4091" s="1">
        <v>44613</v>
      </c>
      <c r="M4091">
        <v>286</v>
      </c>
      <c r="N4091">
        <v>286</v>
      </c>
      <c r="O4091">
        <v>50</v>
      </c>
      <c r="P4091">
        <v>150</v>
      </c>
      <c r="Q4091">
        <v>50</v>
      </c>
      <c r="S4091">
        <v>0</v>
      </c>
      <c r="T4091">
        <v>0</v>
      </c>
      <c r="U4091">
        <f>+SUM(Table1[[#This Row],[Latinos]:[Cemex]])</f>
        <v>1</v>
      </c>
      <c r="V4091" t="str">
        <f>+Table1[[#This Row],[id_destino]]&amp;" - "&amp;Table1[[#This Row],[id_origen]]</f>
        <v>286 - 286</v>
      </c>
    </row>
    <row r="4092" spans="1:22" hidden="1">
      <c r="A4092">
        <v>4792</v>
      </c>
      <c r="B4092">
        <v>4912</v>
      </c>
      <c r="C4092">
        <v>8253</v>
      </c>
      <c r="D4092">
        <v>8254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 t="s">
        <v>20</v>
      </c>
      <c r="L4092" s="1">
        <v>45833</v>
      </c>
      <c r="M4092">
        <v>384</v>
      </c>
      <c r="N4092">
        <v>286</v>
      </c>
      <c r="O4092">
        <v>497</v>
      </c>
      <c r="P4092">
        <v>497</v>
      </c>
      <c r="Q4092">
        <v>497</v>
      </c>
      <c r="S4092">
        <v>2698</v>
      </c>
      <c r="T4092">
        <v>2698</v>
      </c>
      <c r="U4092">
        <f>+SUM(Table1[[#This Row],[Latinos]:[Cemex]])</f>
        <v>1</v>
      </c>
      <c r="V4092" t="str">
        <f>+Table1[[#This Row],[id_destino]]&amp;" - "&amp;Table1[[#This Row],[id_origen]]</f>
        <v>384 - 286</v>
      </c>
    </row>
    <row r="4093" spans="1:22" hidden="1">
      <c r="A4093">
        <v>4734</v>
      </c>
      <c r="B4093">
        <v>3851</v>
      </c>
      <c r="C4093">
        <v>8212</v>
      </c>
      <c r="D4093">
        <v>4752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 t="s">
        <v>20</v>
      </c>
      <c r="L4093" s="1">
        <v>45775</v>
      </c>
      <c r="M4093">
        <v>2</v>
      </c>
      <c r="N4093">
        <v>290</v>
      </c>
      <c r="O4093">
        <v>100</v>
      </c>
      <c r="P4093">
        <v>71</v>
      </c>
      <c r="Q4093">
        <v>100</v>
      </c>
      <c r="S4093">
        <v>169</v>
      </c>
      <c r="T4093">
        <v>169</v>
      </c>
      <c r="U4093">
        <f>+SUM(Table1[[#This Row],[Latinos]:[Cemex]])</f>
        <v>1</v>
      </c>
      <c r="V4093" t="str">
        <f>+Table1[[#This Row],[id_destino]]&amp;" - "&amp;Table1[[#This Row],[id_origen]]</f>
        <v>2 - 290</v>
      </c>
    </row>
    <row r="4094" spans="1:22" hidden="1">
      <c r="A4094">
        <v>3211</v>
      </c>
      <c r="B4094">
        <v>3839</v>
      </c>
      <c r="C4094">
        <v>6902</v>
      </c>
      <c r="D4094">
        <v>353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  <c r="K4094" t="s">
        <v>20</v>
      </c>
      <c r="L4094" s="1">
        <v>44770</v>
      </c>
      <c r="M4094">
        <v>7</v>
      </c>
      <c r="N4094">
        <v>290</v>
      </c>
      <c r="O4094">
        <v>1713</v>
      </c>
      <c r="P4094">
        <v>1726</v>
      </c>
      <c r="Q4094">
        <v>1713</v>
      </c>
      <c r="S4094">
        <v>3094</v>
      </c>
      <c r="T4094">
        <v>3511</v>
      </c>
      <c r="U4094">
        <f>+SUM(Table1[[#This Row],[Latinos]:[Cemex]])</f>
        <v>1</v>
      </c>
      <c r="V4094" t="str">
        <f>+Table1[[#This Row],[id_destino]]&amp;" - "&amp;Table1[[#This Row],[id_origen]]</f>
        <v>7 - 290</v>
      </c>
    </row>
    <row r="4095" spans="1:22" hidden="1">
      <c r="A4095">
        <v>711</v>
      </c>
      <c r="B4095">
        <v>2419</v>
      </c>
      <c r="C4095">
        <v>5464</v>
      </c>
      <c r="D4095">
        <v>146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 t="s">
        <v>20</v>
      </c>
      <c r="L4095" s="1">
        <v>43138</v>
      </c>
      <c r="M4095">
        <v>80</v>
      </c>
      <c r="N4095">
        <v>290</v>
      </c>
      <c r="O4095">
        <v>50</v>
      </c>
      <c r="P4095">
        <v>150</v>
      </c>
      <c r="Q4095">
        <v>50</v>
      </c>
      <c r="S4095">
        <v>236</v>
      </c>
      <c r="T4095">
        <v>305</v>
      </c>
      <c r="U4095">
        <f>+SUM(Table1[[#This Row],[Latinos]:[Cemex]])</f>
        <v>1</v>
      </c>
      <c r="V4095" t="str">
        <f>+Table1[[#This Row],[id_destino]]&amp;" - "&amp;Table1[[#This Row],[id_origen]]</f>
        <v>80 - 290</v>
      </c>
    </row>
    <row r="4096" spans="1:22" hidden="1">
      <c r="A4096">
        <v>3065</v>
      </c>
      <c r="B4096">
        <v>3752</v>
      </c>
      <c r="C4096">
        <v>6902</v>
      </c>
      <c r="D4096">
        <v>6913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 t="s">
        <v>20</v>
      </c>
      <c r="L4096" s="1">
        <v>44712</v>
      </c>
      <c r="M4096">
        <v>84</v>
      </c>
      <c r="N4096">
        <v>290</v>
      </c>
      <c r="O4096">
        <v>922</v>
      </c>
      <c r="P4096">
        <v>904</v>
      </c>
      <c r="Q4096">
        <v>922</v>
      </c>
      <c r="S4096">
        <v>886</v>
      </c>
      <c r="T4096">
        <v>886</v>
      </c>
      <c r="U4096">
        <f>+SUM(Table1[[#This Row],[Latinos]:[Cemex]])</f>
        <v>1</v>
      </c>
      <c r="V4096" t="str">
        <f>+Table1[[#This Row],[id_destino]]&amp;" - "&amp;Table1[[#This Row],[id_origen]]</f>
        <v>84 - 290</v>
      </c>
    </row>
    <row r="4097" spans="1:22" hidden="1">
      <c r="A4097">
        <v>3042</v>
      </c>
      <c r="B4097">
        <v>3739</v>
      </c>
      <c r="C4097">
        <v>6902</v>
      </c>
      <c r="D4097">
        <v>1716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 t="s">
        <v>20</v>
      </c>
      <c r="L4097" s="1">
        <v>44705</v>
      </c>
      <c r="M4097">
        <v>183</v>
      </c>
      <c r="N4097">
        <v>290</v>
      </c>
      <c r="O4097">
        <v>491</v>
      </c>
      <c r="P4097">
        <v>486</v>
      </c>
      <c r="Q4097">
        <v>491</v>
      </c>
      <c r="S4097">
        <v>1668</v>
      </c>
      <c r="T4097">
        <v>1668</v>
      </c>
      <c r="U4097">
        <f>+SUM(Table1[[#This Row],[Latinos]:[Cemex]])</f>
        <v>1</v>
      </c>
      <c r="V4097" t="str">
        <f>+Table1[[#This Row],[id_destino]]&amp;" - "&amp;Table1[[#This Row],[id_origen]]</f>
        <v>183 - 290</v>
      </c>
    </row>
    <row r="4098" spans="1:22" hidden="1">
      <c r="A4098">
        <v>4810</v>
      </c>
      <c r="B4098">
        <v>4921</v>
      </c>
      <c r="C4098">
        <v>6902</v>
      </c>
      <c r="D4098">
        <v>8253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 t="s">
        <v>20</v>
      </c>
      <c r="L4098" s="1">
        <v>45852</v>
      </c>
      <c r="M4098">
        <v>286</v>
      </c>
      <c r="N4098">
        <v>290</v>
      </c>
      <c r="O4098">
        <v>598</v>
      </c>
      <c r="P4098">
        <v>590</v>
      </c>
      <c r="Q4098">
        <v>598</v>
      </c>
      <c r="S4098">
        <v>2890</v>
      </c>
      <c r="T4098">
        <v>2890</v>
      </c>
      <c r="U4098">
        <f>+SUM(Table1[[#This Row],[Latinos]:[Cemex]])</f>
        <v>1</v>
      </c>
      <c r="V4098" t="str">
        <f>+Table1[[#This Row],[id_destino]]&amp;" - "&amp;Table1[[#This Row],[id_origen]]</f>
        <v>286 - 290</v>
      </c>
    </row>
    <row r="4099" spans="1:22" hidden="1">
      <c r="A4099">
        <v>3331</v>
      </c>
      <c r="B4099">
        <v>3912</v>
      </c>
      <c r="C4099">
        <v>5464</v>
      </c>
      <c r="D4099">
        <v>7056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 t="s">
        <v>20</v>
      </c>
      <c r="L4099" s="1">
        <v>44834</v>
      </c>
      <c r="M4099">
        <v>843</v>
      </c>
      <c r="N4099">
        <v>290</v>
      </c>
      <c r="O4099">
        <v>1024</v>
      </c>
      <c r="P4099">
        <v>1048</v>
      </c>
      <c r="Q4099">
        <v>1024</v>
      </c>
      <c r="S4099">
        <v>1241</v>
      </c>
      <c r="T4099">
        <v>1610</v>
      </c>
      <c r="U4099">
        <f>+SUM(Table1[[#This Row],[Latinos]:[Cemex]])</f>
        <v>1</v>
      </c>
      <c r="V4099" t="str">
        <f>+Table1[[#This Row],[id_destino]]&amp;" - "&amp;Table1[[#This Row],[id_origen]]</f>
        <v>843 - 290</v>
      </c>
    </row>
    <row r="4100" spans="1:22" hidden="1">
      <c r="A4100">
        <v>3043</v>
      </c>
      <c r="B4100">
        <v>3740</v>
      </c>
      <c r="C4100">
        <v>6902</v>
      </c>
      <c r="D4100">
        <v>6903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 t="s">
        <v>20</v>
      </c>
      <c r="L4100" s="1">
        <v>44705</v>
      </c>
      <c r="M4100">
        <v>848</v>
      </c>
      <c r="N4100">
        <v>290</v>
      </c>
      <c r="O4100">
        <v>536</v>
      </c>
      <c r="P4100">
        <v>555</v>
      </c>
      <c r="Q4100">
        <v>536</v>
      </c>
      <c r="S4100">
        <v>1354</v>
      </c>
      <c r="T4100">
        <v>1354</v>
      </c>
      <c r="U4100">
        <f>+SUM(Table1[[#This Row],[Latinos]:[Cemex]])</f>
        <v>1</v>
      </c>
      <c r="V4100" t="str">
        <f>+Table1[[#This Row],[id_destino]]&amp;" - "&amp;Table1[[#This Row],[id_origen]]</f>
        <v>848 - 290</v>
      </c>
    </row>
    <row r="4101" spans="1:22" hidden="1">
      <c r="A4101">
        <v>749</v>
      </c>
      <c r="B4101">
        <v>2436</v>
      </c>
      <c r="C4101">
        <v>5474</v>
      </c>
      <c r="D4101">
        <v>146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 t="s">
        <v>20</v>
      </c>
      <c r="L4101" s="1">
        <v>43151</v>
      </c>
      <c r="M4101">
        <v>80</v>
      </c>
      <c r="N4101">
        <v>296</v>
      </c>
      <c r="O4101">
        <v>89</v>
      </c>
      <c r="P4101">
        <v>150</v>
      </c>
      <c r="Q4101">
        <v>89</v>
      </c>
      <c r="S4101">
        <v>230</v>
      </c>
      <c r="T4101">
        <v>299</v>
      </c>
      <c r="U4101">
        <f>+SUM(Table1[[#This Row],[Latinos]:[Cemex]])</f>
        <v>1</v>
      </c>
      <c r="V4101" t="str">
        <f>+Table1[[#This Row],[id_destino]]&amp;" - "&amp;Table1[[#This Row],[id_origen]]</f>
        <v>80 - 296</v>
      </c>
    </row>
    <row r="4102" spans="1:22" hidden="1">
      <c r="A4102">
        <v>4722</v>
      </c>
      <c r="B4102">
        <v>3195</v>
      </c>
      <c r="C4102">
        <v>8112</v>
      </c>
      <c r="D4102">
        <v>8201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0</v>
      </c>
      <c r="K4102" t="s">
        <v>20</v>
      </c>
      <c r="L4102" s="1">
        <v>45758</v>
      </c>
      <c r="M4102">
        <v>18</v>
      </c>
      <c r="N4102">
        <v>304</v>
      </c>
      <c r="O4102">
        <v>45</v>
      </c>
      <c r="P4102">
        <v>150</v>
      </c>
      <c r="Q4102">
        <v>45</v>
      </c>
      <c r="S4102">
        <v>298</v>
      </c>
      <c r="T4102">
        <v>298</v>
      </c>
      <c r="U4102">
        <f>+SUM(Table1[[#This Row],[Latinos]:[Cemex]])</f>
        <v>1</v>
      </c>
      <c r="V4102" t="str">
        <f>+Table1[[#This Row],[id_destino]]&amp;" - "&amp;Table1[[#This Row],[id_origen]]</f>
        <v>18 - 304</v>
      </c>
    </row>
    <row r="4103" spans="1:22" hidden="1">
      <c r="A4103">
        <v>4724</v>
      </c>
      <c r="B4103">
        <v>4869</v>
      </c>
      <c r="C4103">
        <v>8112</v>
      </c>
      <c r="D4103">
        <v>2413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0</v>
      </c>
      <c r="K4103" t="s">
        <v>20</v>
      </c>
      <c r="L4103" s="1">
        <v>45759</v>
      </c>
      <c r="M4103">
        <v>47</v>
      </c>
      <c r="N4103">
        <v>304</v>
      </c>
      <c r="O4103">
        <v>122</v>
      </c>
      <c r="P4103">
        <v>150</v>
      </c>
      <c r="Q4103">
        <v>122</v>
      </c>
      <c r="S4103">
        <v>908</v>
      </c>
      <c r="T4103">
        <v>908</v>
      </c>
      <c r="U4103">
        <f>+SUM(Table1[[#This Row],[Latinos]:[Cemex]])</f>
        <v>1</v>
      </c>
      <c r="V4103" t="str">
        <f>+Table1[[#This Row],[id_destino]]&amp;" - "&amp;Table1[[#This Row],[id_origen]]</f>
        <v>47 - 304</v>
      </c>
    </row>
    <row r="4104" spans="1:22" hidden="1">
      <c r="A4104">
        <v>4544</v>
      </c>
      <c r="B4104">
        <v>4740</v>
      </c>
      <c r="C4104">
        <v>1612</v>
      </c>
      <c r="D4104">
        <v>8013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0</v>
      </c>
      <c r="K4104" t="s">
        <v>20</v>
      </c>
      <c r="L4104" s="1">
        <v>45610</v>
      </c>
      <c r="M4104">
        <v>47</v>
      </c>
      <c r="N4104">
        <v>306</v>
      </c>
      <c r="O4104">
        <v>98</v>
      </c>
      <c r="P4104">
        <v>150</v>
      </c>
      <c r="Q4104">
        <v>98</v>
      </c>
      <c r="S4104">
        <v>389</v>
      </c>
      <c r="T4104">
        <v>389</v>
      </c>
      <c r="U4104">
        <f>+SUM(Table1[[#This Row],[Latinos]:[Cemex]])</f>
        <v>1</v>
      </c>
      <c r="V4104" t="str">
        <f>+Table1[[#This Row],[id_destino]]&amp;" - "&amp;Table1[[#This Row],[id_origen]]</f>
        <v>47 - 306</v>
      </c>
    </row>
    <row r="4105" spans="1:22" hidden="1">
      <c r="A4105">
        <v>1431</v>
      </c>
      <c r="B4105">
        <v>2745</v>
      </c>
      <c r="C4105">
        <v>692</v>
      </c>
      <c r="D4105">
        <v>5762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0</v>
      </c>
      <c r="K4105" t="s">
        <v>20</v>
      </c>
      <c r="L4105" s="1">
        <v>43431</v>
      </c>
      <c r="M4105">
        <v>69</v>
      </c>
      <c r="N4105">
        <v>306</v>
      </c>
      <c r="O4105">
        <v>62</v>
      </c>
      <c r="P4105">
        <v>150</v>
      </c>
      <c r="Q4105">
        <v>62</v>
      </c>
      <c r="S4105">
        <v>0</v>
      </c>
      <c r="T4105">
        <v>0</v>
      </c>
      <c r="U4105">
        <f>+SUM(Table1[[#This Row],[Latinos]:[Cemex]])</f>
        <v>1</v>
      </c>
      <c r="V4105" t="str">
        <f>+Table1[[#This Row],[id_destino]]&amp;" - "&amp;Table1[[#This Row],[id_origen]]</f>
        <v>69 - 306</v>
      </c>
    </row>
    <row r="4106" spans="1:22" hidden="1">
      <c r="A4106">
        <v>3962</v>
      </c>
      <c r="B4106">
        <v>4324</v>
      </c>
      <c r="C4106">
        <v>1612</v>
      </c>
      <c r="D4106">
        <v>7497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 t="s">
        <v>20</v>
      </c>
      <c r="L4106" s="1">
        <v>45208</v>
      </c>
      <c r="M4106">
        <v>132</v>
      </c>
      <c r="N4106">
        <v>306</v>
      </c>
      <c r="O4106">
        <v>69</v>
      </c>
      <c r="P4106">
        <v>150</v>
      </c>
      <c r="Q4106">
        <v>69</v>
      </c>
      <c r="S4106">
        <v>288</v>
      </c>
      <c r="T4106">
        <v>288</v>
      </c>
      <c r="U4106">
        <f>+SUM(Table1[[#This Row],[Latinos]:[Cemex]])</f>
        <v>1</v>
      </c>
      <c r="V4106" t="str">
        <f>+Table1[[#This Row],[id_destino]]&amp;" - "&amp;Table1[[#This Row],[id_origen]]</f>
        <v>132 - 306</v>
      </c>
    </row>
    <row r="4107" spans="1:22" hidden="1">
      <c r="A4107">
        <v>4456</v>
      </c>
      <c r="B4107">
        <v>4324</v>
      </c>
      <c r="C4107">
        <v>1612</v>
      </c>
      <c r="D4107">
        <v>7497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 t="s">
        <v>20</v>
      </c>
      <c r="L4107" s="1">
        <v>45555</v>
      </c>
      <c r="M4107">
        <v>132</v>
      </c>
      <c r="N4107">
        <v>306</v>
      </c>
      <c r="O4107">
        <v>100</v>
      </c>
      <c r="P4107">
        <v>100</v>
      </c>
      <c r="Q4107">
        <v>100</v>
      </c>
      <c r="S4107">
        <v>288</v>
      </c>
      <c r="T4107">
        <v>288</v>
      </c>
      <c r="U4107">
        <f>+SUM(Table1[[#This Row],[Latinos]:[Cemex]])</f>
        <v>1</v>
      </c>
      <c r="V4107" t="str">
        <f>+Table1[[#This Row],[id_destino]]&amp;" - "&amp;Table1[[#This Row],[id_origen]]</f>
        <v>132 - 306</v>
      </c>
    </row>
    <row r="4108" spans="1:22" hidden="1">
      <c r="A4108">
        <v>1618</v>
      </c>
      <c r="B4108">
        <v>2843</v>
      </c>
      <c r="C4108">
        <v>2690</v>
      </c>
      <c r="D4108">
        <v>5846</v>
      </c>
      <c r="E4108">
        <v>0</v>
      </c>
      <c r="F4108">
        <v>1</v>
      </c>
      <c r="G4108">
        <v>0</v>
      </c>
      <c r="H4108">
        <v>0</v>
      </c>
      <c r="I4108">
        <v>0</v>
      </c>
      <c r="J4108">
        <v>0</v>
      </c>
      <c r="K4108" t="s">
        <v>20</v>
      </c>
      <c r="L4108" s="1">
        <v>43535</v>
      </c>
      <c r="M4108">
        <v>190</v>
      </c>
      <c r="N4108">
        <v>306</v>
      </c>
      <c r="O4108">
        <v>760</v>
      </c>
      <c r="P4108">
        <v>753</v>
      </c>
      <c r="Q4108">
        <v>760</v>
      </c>
      <c r="S4108">
        <v>1048</v>
      </c>
      <c r="T4108">
        <v>1065</v>
      </c>
      <c r="U4108">
        <f>+SUM(Table1[[#This Row],[Latinos]:[Cemex]])</f>
        <v>1</v>
      </c>
      <c r="V4108" t="str">
        <f>+Table1[[#This Row],[id_destino]]&amp;" - "&amp;Table1[[#This Row],[id_origen]]</f>
        <v>190 - 306</v>
      </c>
    </row>
    <row r="4109" spans="1:22">
      <c r="A4109">
        <v>472</v>
      </c>
      <c r="B4109">
        <v>2307</v>
      </c>
      <c r="C4109">
        <v>5372</v>
      </c>
      <c r="D4109">
        <v>5375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 t="s">
        <v>20</v>
      </c>
      <c r="L4109" s="1">
        <v>43073</v>
      </c>
      <c r="M4109">
        <v>254</v>
      </c>
      <c r="N4109">
        <v>306</v>
      </c>
      <c r="O4109">
        <v>40</v>
      </c>
      <c r="P4109">
        <v>150</v>
      </c>
      <c r="Q4109">
        <v>40</v>
      </c>
      <c r="S4109">
        <v>0</v>
      </c>
      <c r="T4109">
        <v>0</v>
      </c>
      <c r="U4109">
        <f>+SUM(Table1[[#This Row],[Latinos]:[Cemex]])</f>
        <v>1</v>
      </c>
      <c r="V4109" t="str">
        <f>+Table1[[#This Row],[id_destino]]&amp;" - "&amp;Table1[[#This Row],[id_origen]]</f>
        <v>254 - 306</v>
      </c>
    </row>
    <row r="4110" spans="1:22" hidden="1">
      <c r="A4110">
        <v>1309</v>
      </c>
      <c r="B4110">
        <v>2685</v>
      </c>
      <c r="C4110">
        <v>5651</v>
      </c>
      <c r="D4110">
        <v>5720</v>
      </c>
      <c r="E4110">
        <v>0</v>
      </c>
      <c r="F4110">
        <v>1</v>
      </c>
      <c r="G4110">
        <v>0</v>
      </c>
      <c r="H4110">
        <v>0</v>
      </c>
      <c r="I4110">
        <v>0</v>
      </c>
      <c r="J4110">
        <v>0</v>
      </c>
      <c r="K4110" t="s">
        <v>20</v>
      </c>
      <c r="L4110" s="1">
        <v>43377</v>
      </c>
      <c r="M4110">
        <v>290</v>
      </c>
      <c r="N4110">
        <v>306</v>
      </c>
      <c r="O4110">
        <v>88</v>
      </c>
      <c r="P4110">
        <v>150</v>
      </c>
      <c r="Q4110">
        <v>88</v>
      </c>
      <c r="S4110">
        <v>238</v>
      </c>
      <c r="T4110">
        <v>238</v>
      </c>
      <c r="U4110">
        <f>+SUM(Table1[[#This Row],[Latinos]:[Cemex]])</f>
        <v>1</v>
      </c>
      <c r="V4110" t="str">
        <f>+Table1[[#This Row],[id_destino]]&amp;" - "&amp;Table1[[#This Row],[id_origen]]</f>
        <v>290 - 306</v>
      </c>
    </row>
    <row r="4111" spans="1:22" hidden="1">
      <c r="A4111">
        <v>4560</v>
      </c>
      <c r="B4111">
        <v>4752</v>
      </c>
      <c r="C4111">
        <v>1612</v>
      </c>
      <c r="D4111">
        <v>1612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 t="s">
        <v>20</v>
      </c>
      <c r="L4111" s="1">
        <v>45653</v>
      </c>
      <c r="M4111">
        <v>306</v>
      </c>
      <c r="N4111">
        <v>306</v>
      </c>
      <c r="O4111">
        <v>0</v>
      </c>
      <c r="P4111">
        <v>150</v>
      </c>
      <c r="Q4111">
        <v>50</v>
      </c>
      <c r="S4111">
        <v>0</v>
      </c>
      <c r="T4111">
        <v>0</v>
      </c>
      <c r="U4111">
        <f>+SUM(Table1[[#This Row],[Latinos]:[Cemex]])</f>
        <v>1</v>
      </c>
      <c r="V4111" t="str">
        <f>+Table1[[#This Row],[id_destino]]&amp;" - "&amp;Table1[[#This Row],[id_origen]]</f>
        <v>306 - 306</v>
      </c>
    </row>
    <row r="4112" spans="1:22" hidden="1">
      <c r="A4112">
        <v>4593</v>
      </c>
      <c r="B4112">
        <v>4781</v>
      </c>
      <c r="C4112">
        <v>1612</v>
      </c>
      <c r="D4112">
        <v>8069</v>
      </c>
      <c r="E4112">
        <v>0</v>
      </c>
      <c r="F4112">
        <v>1</v>
      </c>
      <c r="G4112">
        <v>0</v>
      </c>
      <c r="H4112">
        <v>0</v>
      </c>
      <c r="I4112">
        <v>0</v>
      </c>
      <c r="J4112">
        <v>0</v>
      </c>
      <c r="K4112" t="s">
        <v>20</v>
      </c>
      <c r="L4112" s="1">
        <v>45649</v>
      </c>
      <c r="M4112">
        <v>800</v>
      </c>
      <c r="N4112">
        <v>306</v>
      </c>
      <c r="O4112">
        <v>138</v>
      </c>
      <c r="P4112">
        <v>138</v>
      </c>
      <c r="Q4112">
        <v>138</v>
      </c>
      <c r="S4112">
        <v>263</v>
      </c>
      <c r="T4112">
        <v>263</v>
      </c>
      <c r="U4112">
        <f>+SUM(Table1[[#This Row],[Latinos]:[Cemex]])</f>
        <v>1</v>
      </c>
      <c r="V4112" t="str">
        <f>+Table1[[#This Row],[id_destino]]&amp;" - "&amp;Table1[[#This Row],[id_origen]]</f>
        <v>800 - 306</v>
      </c>
    </row>
    <row r="4113" spans="1:22" hidden="1">
      <c r="A4113">
        <v>3856</v>
      </c>
      <c r="B4113">
        <v>4263</v>
      </c>
      <c r="C4113">
        <v>7427</v>
      </c>
      <c r="D4113">
        <v>63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 t="s">
        <v>20</v>
      </c>
      <c r="L4113" s="1">
        <v>45145</v>
      </c>
      <c r="M4113">
        <v>55</v>
      </c>
      <c r="N4113">
        <v>307</v>
      </c>
      <c r="O4113">
        <v>53</v>
      </c>
      <c r="P4113">
        <v>150</v>
      </c>
      <c r="Q4113">
        <v>53</v>
      </c>
      <c r="S4113">
        <v>95</v>
      </c>
      <c r="T4113">
        <v>95</v>
      </c>
      <c r="U4113">
        <f>+SUM(Table1[[#This Row],[Latinos]:[Cemex]])</f>
        <v>1</v>
      </c>
      <c r="V4113" t="str">
        <f>+Table1[[#This Row],[id_destino]]&amp;" - "&amp;Table1[[#This Row],[id_origen]]</f>
        <v>55 - 307</v>
      </c>
    </row>
    <row r="4114" spans="1:22" hidden="1">
      <c r="A4114">
        <v>2375</v>
      </c>
      <c r="B4114">
        <v>3306</v>
      </c>
      <c r="C4114">
        <v>6363</v>
      </c>
      <c r="D4114">
        <v>469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 t="s">
        <v>84</v>
      </c>
      <c r="L4114" s="1">
        <v>44002</v>
      </c>
      <c r="M4114">
        <v>2</v>
      </c>
      <c r="N4114">
        <v>308</v>
      </c>
      <c r="O4114">
        <v>220</v>
      </c>
      <c r="P4114">
        <v>236</v>
      </c>
      <c r="Q4114">
        <v>220</v>
      </c>
      <c r="S4114">
        <v>555</v>
      </c>
      <c r="T4114">
        <v>629</v>
      </c>
      <c r="U4114">
        <f>+SUM(Table1[[#This Row],[Latinos]:[Cemex]])</f>
        <v>1</v>
      </c>
      <c r="V4114" t="str">
        <f>+Table1[[#This Row],[id_destino]]&amp;" - "&amp;Table1[[#This Row],[id_origen]]</f>
        <v>2 - 308</v>
      </c>
    </row>
    <row r="4115" spans="1:22" hidden="1">
      <c r="A4115">
        <v>2376</v>
      </c>
      <c r="B4115">
        <v>3307</v>
      </c>
      <c r="C4115">
        <v>6363</v>
      </c>
      <c r="D4115">
        <v>468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 t="s">
        <v>84</v>
      </c>
      <c r="L4115" s="1">
        <v>44002</v>
      </c>
      <c r="M4115">
        <v>73</v>
      </c>
      <c r="N4115">
        <v>308</v>
      </c>
      <c r="O4115">
        <v>1067</v>
      </c>
      <c r="P4115">
        <v>1067</v>
      </c>
      <c r="Q4115">
        <v>1067</v>
      </c>
      <c r="S4115">
        <v>0</v>
      </c>
      <c r="T4115">
        <v>0</v>
      </c>
      <c r="U4115">
        <f>+SUM(Table1[[#This Row],[Latinos]:[Cemex]])</f>
        <v>1</v>
      </c>
      <c r="V4115" t="str">
        <f>+Table1[[#This Row],[id_destino]]&amp;" - "&amp;Table1[[#This Row],[id_origen]]</f>
        <v>73 - 308</v>
      </c>
    </row>
    <row r="4116" spans="1:22" hidden="1">
      <c r="A4116">
        <v>4332</v>
      </c>
      <c r="B4116">
        <v>4573</v>
      </c>
      <c r="C4116">
        <v>7496</v>
      </c>
      <c r="D4116">
        <v>7815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0</v>
      </c>
      <c r="K4116" t="s">
        <v>20</v>
      </c>
      <c r="L4116" s="1">
        <v>45464</v>
      </c>
      <c r="M4116">
        <v>15</v>
      </c>
      <c r="N4116">
        <v>314</v>
      </c>
      <c r="O4116">
        <v>1810</v>
      </c>
      <c r="P4116">
        <v>1781</v>
      </c>
      <c r="Q4116">
        <v>1810</v>
      </c>
      <c r="S4116">
        <v>4805</v>
      </c>
      <c r="T4116">
        <v>5435</v>
      </c>
      <c r="U4116">
        <f>+SUM(Table1[[#This Row],[Latinos]:[Cemex]])</f>
        <v>1</v>
      </c>
      <c r="V4116" t="str">
        <f>+Table1[[#This Row],[id_destino]]&amp;" - "&amp;Table1[[#This Row],[id_origen]]</f>
        <v>15 - 314</v>
      </c>
    </row>
    <row r="4117" spans="1:22" hidden="1">
      <c r="A4117">
        <v>4336</v>
      </c>
      <c r="B4117">
        <v>491</v>
      </c>
      <c r="C4117">
        <v>7824</v>
      </c>
      <c r="D4117">
        <v>22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 t="s">
        <v>20</v>
      </c>
      <c r="L4117" s="1">
        <v>45474</v>
      </c>
      <c r="M4117">
        <v>19</v>
      </c>
      <c r="N4117">
        <v>314</v>
      </c>
      <c r="O4117">
        <v>44</v>
      </c>
      <c r="P4117">
        <v>57</v>
      </c>
      <c r="Q4117">
        <v>44</v>
      </c>
      <c r="S4117">
        <v>88</v>
      </c>
      <c r="T4117">
        <v>88</v>
      </c>
      <c r="U4117">
        <f>+SUM(Table1[[#This Row],[Latinos]:[Cemex]])</f>
        <v>1</v>
      </c>
      <c r="V4117" t="str">
        <f>+Table1[[#This Row],[id_destino]]&amp;" - "&amp;Table1[[#This Row],[id_origen]]</f>
        <v>19 - 314</v>
      </c>
    </row>
    <row r="4118" spans="1:22" hidden="1">
      <c r="A4118">
        <v>3914</v>
      </c>
      <c r="B4118">
        <v>4298</v>
      </c>
      <c r="C4118">
        <v>5117</v>
      </c>
      <c r="D4118">
        <v>4455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 t="s">
        <v>20</v>
      </c>
      <c r="L4118" s="1">
        <v>45176</v>
      </c>
      <c r="M4118">
        <v>23</v>
      </c>
      <c r="N4118">
        <v>314</v>
      </c>
      <c r="O4118">
        <v>531</v>
      </c>
      <c r="P4118">
        <v>531</v>
      </c>
      <c r="Q4118">
        <v>531</v>
      </c>
      <c r="S4118">
        <v>2016</v>
      </c>
      <c r="T4118">
        <v>2016</v>
      </c>
      <c r="U4118">
        <f>+SUM(Table1[[#This Row],[Latinos]:[Cemex]])</f>
        <v>1</v>
      </c>
      <c r="V4118" t="str">
        <f>+Table1[[#This Row],[id_destino]]&amp;" - "&amp;Table1[[#This Row],[id_origen]]</f>
        <v>23 - 314</v>
      </c>
    </row>
    <row r="4119" spans="1:22" hidden="1">
      <c r="A4119">
        <v>2422</v>
      </c>
      <c r="B4119">
        <v>3332</v>
      </c>
      <c r="C4119">
        <v>6282</v>
      </c>
      <c r="D4119">
        <v>48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 t="s">
        <v>20</v>
      </c>
      <c r="L4119" s="1">
        <v>44061</v>
      </c>
      <c r="M4119">
        <v>42</v>
      </c>
      <c r="N4119">
        <v>314</v>
      </c>
      <c r="O4119">
        <v>298</v>
      </c>
      <c r="P4119">
        <v>301</v>
      </c>
      <c r="Q4119">
        <v>298</v>
      </c>
      <c r="S4119">
        <v>997</v>
      </c>
      <c r="T4119">
        <v>1071</v>
      </c>
      <c r="U4119">
        <f>+SUM(Table1[[#This Row],[Latinos]:[Cemex]])</f>
        <v>1</v>
      </c>
      <c r="V4119" t="str">
        <f>+Table1[[#This Row],[id_destino]]&amp;" - "&amp;Table1[[#This Row],[id_origen]]</f>
        <v>42 - 314</v>
      </c>
    </row>
    <row r="4120" spans="1:22" hidden="1">
      <c r="A4120">
        <v>2530</v>
      </c>
      <c r="B4120">
        <v>3400</v>
      </c>
      <c r="C4120">
        <v>5117</v>
      </c>
      <c r="D4120">
        <v>49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 t="s">
        <v>20</v>
      </c>
      <c r="L4120" s="1">
        <v>44158</v>
      </c>
      <c r="M4120">
        <v>43</v>
      </c>
      <c r="N4120">
        <v>314</v>
      </c>
      <c r="O4120">
        <v>628</v>
      </c>
      <c r="P4120">
        <v>634</v>
      </c>
      <c r="Q4120">
        <v>628</v>
      </c>
      <c r="S4120">
        <v>1773</v>
      </c>
      <c r="T4120">
        <v>1847</v>
      </c>
      <c r="U4120">
        <f>+SUM(Table1[[#This Row],[Latinos]:[Cemex]])</f>
        <v>1</v>
      </c>
      <c r="V4120" t="str">
        <f>+Table1[[#This Row],[id_destino]]&amp;" - "&amp;Table1[[#This Row],[id_origen]]</f>
        <v>43 - 314</v>
      </c>
    </row>
    <row r="4121" spans="1:22" hidden="1">
      <c r="A4121">
        <v>4541</v>
      </c>
      <c r="B4121">
        <v>4737</v>
      </c>
      <c r="C4121">
        <v>7496</v>
      </c>
      <c r="D4121">
        <v>3447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 t="s">
        <v>20</v>
      </c>
      <c r="L4121" s="1">
        <v>45608</v>
      </c>
      <c r="M4121">
        <v>46</v>
      </c>
      <c r="N4121">
        <v>314</v>
      </c>
      <c r="O4121">
        <v>237</v>
      </c>
      <c r="P4121">
        <v>247</v>
      </c>
      <c r="Q4121">
        <v>237</v>
      </c>
      <c r="S4121">
        <v>823</v>
      </c>
      <c r="T4121">
        <v>823</v>
      </c>
      <c r="U4121">
        <f>+SUM(Table1[[#This Row],[Latinos]:[Cemex]])</f>
        <v>1</v>
      </c>
      <c r="V4121" t="str">
        <f>+Table1[[#This Row],[id_destino]]&amp;" - "&amp;Table1[[#This Row],[id_origen]]</f>
        <v>46 - 314</v>
      </c>
    </row>
    <row r="4122" spans="1:22" hidden="1">
      <c r="A4122">
        <v>1907</v>
      </c>
      <c r="B4122">
        <v>1494</v>
      </c>
      <c r="C4122">
        <v>4629</v>
      </c>
      <c r="D4122">
        <v>63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 t="s">
        <v>20</v>
      </c>
      <c r="L4122" s="1">
        <v>43707</v>
      </c>
      <c r="M4122">
        <v>55</v>
      </c>
      <c r="N4122">
        <v>314</v>
      </c>
      <c r="O4122">
        <v>60</v>
      </c>
      <c r="P4122">
        <v>150</v>
      </c>
      <c r="Q4122">
        <v>60</v>
      </c>
      <c r="S4122">
        <v>0</v>
      </c>
      <c r="T4122">
        <v>0</v>
      </c>
      <c r="U4122">
        <f>+SUM(Table1[[#This Row],[Latinos]:[Cemex]])</f>
        <v>1</v>
      </c>
      <c r="V4122" t="str">
        <f>+Table1[[#This Row],[id_destino]]&amp;" - "&amp;Table1[[#This Row],[id_origen]]</f>
        <v>55 - 314</v>
      </c>
    </row>
    <row r="4123" spans="1:22" hidden="1">
      <c r="A4123">
        <v>2177</v>
      </c>
      <c r="B4123">
        <v>1494</v>
      </c>
      <c r="C4123">
        <v>2444</v>
      </c>
      <c r="D4123">
        <v>63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 t="s">
        <v>20</v>
      </c>
      <c r="L4123" s="1">
        <v>43840</v>
      </c>
      <c r="M4123">
        <v>55</v>
      </c>
      <c r="N4123">
        <v>314</v>
      </c>
      <c r="O4123">
        <v>100</v>
      </c>
      <c r="P4123">
        <v>150</v>
      </c>
      <c r="Q4123">
        <v>100</v>
      </c>
      <c r="S4123">
        <v>0</v>
      </c>
      <c r="T4123">
        <v>0</v>
      </c>
      <c r="U4123">
        <f>+SUM(Table1[[#This Row],[Latinos]:[Cemex]])</f>
        <v>1</v>
      </c>
      <c r="V4123" t="str">
        <f>+Table1[[#This Row],[id_destino]]&amp;" - "&amp;Table1[[#This Row],[id_origen]]</f>
        <v>55 - 314</v>
      </c>
    </row>
    <row r="4124" spans="1:22" hidden="1">
      <c r="A4124">
        <v>1908</v>
      </c>
      <c r="B4124">
        <v>3010</v>
      </c>
      <c r="C4124">
        <v>4629</v>
      </c>
      <c r="D4124">
        <v>65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 t="s">
        <v>20</v>
      </c>
      <c r="L4124" s="1">
        <v>43710</v>
      </c>
      <c r="M4124">
        <v>57</v>
      </c>
      <c r="N4124">
        <v>314</v>
      </c>
      <c r="O4124">
        <v>103</v>
      </c>
      <c r="P4124">
        <v>150</v>
      </c>
      <c r="Q4124">
        <v>103</v>
      </c>
      <c r="S4124">
        <v>0</v>
      </c>
      <c r="T4124">
        <v>0</v>
      </c>
      <c r="U4124">
        <f>+SUM(Table1[[#This Row],[Latinos]:[Cemex]])</f>
        <v>1</v>
      </c>
      <c r="V4124" t="str">
        <f>+Table1[[#This Row],[id_destino]]&amp;" - "&amp;Table1[[#This Row],[id_origen]]</f>
        <v>57 - 314</v>
      </c>
    </row>
    <row r="4125" spans="1:22" hidden="1">
      <c r="A4125">
        <v>2246</v>
      </c>
      <c r="B4125">
        <v>3227</v>
      </c>
      <c r="C4125">
        <v>6282</v>
      </c>
      <c r="D4125">
        <v>3237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 t="s">
        <v>20</v>
      </c>
      <c r="L4125" s="1">
        <v>43875</v>
      </c>
      <c r="M4125">
        <v>65</v>
      </c>
      <c r="N4125">
        <v>314</v>
      </c>
      <c r="O4125">
        <v>159</v>
      </c>
      <c r="P4125">
        <v>159</v>
      </c>
      <c r="Q4125">
        <v>159</v>
      </c>
      <c r="S4125">
        <v>492</v>
      </c>
      <c r="T4125">
        <v>492</v>
      </c>
      <c r="U4125">
        <f>+SUM(Table1[[#This Row],[Latinos]:[Cemex]])</f>
        <v>1</v>
      </c>
      <c r="V4125" t="str">
        <f>+Table1[[#This Row],[id_destino]]&amp;" - "&amp;Table1[[#This Row],[id_origen]]</f>
        <v>65 - 314</v>
      </c>
    </row>
    <row r="4126" spans="1:22" hidden="1">
      <c r="A4126">
        <v>3929</v>
      </c>
      <c r="B4126">
        <v>4310</v>
      </c>
      <c r="C4126">
        <v>7478</v>
      </c>
      <c r="D4126">
        <v>7479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  <c r="K4126" t="s">
        <v>20</v>
      </c>
      <c r="L4126" s="1">
        <v>45190</v>
      </c>
      <c r="M4126">
        <v>69</v>
      </c>
      <c r="N4126">
        <v>314</v>
      </c>
      <c r="O4126">
        <v>20</v>
      </c>
      <c r="P4126">
        <v>29</v>
      </c>
      <c r="Q4126">
        <v>51</v>
      </c>
      <c r="S4126">
        <v>88</v>
      </c>
      <c r="T4126">
        <v>88</v>
      </c>
      <c r="U4126">
        <f>+SUM(Table1[[#This Row],[Latinos]:[Cemex]])</f>
        <v>1</v>
      </c>
      <c r="V4126" t="str">
        <f>+Table1[[#This Row],[id_destino]]&amp;" - "&amp;Table1[[#This Row],[id_origen]]</f>
        <v>69 - 314</v>
      </c>
    </row>
    <row r="4127" spans="1:22" hidden="1">
      <c r="A4127">
        <v>1874</v>
      </c>
      <c r="B4127">
        <v>2988</v>
      </c>
      <c r="C4127">
        <v>6000</v>
      </c>
      <c r="D4127">
        <v>6004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 t="s">
        <v>20</v>
      </c>
      <c r="L4127" s="1">
        <v>43678</v>
      </c>
      <c r="M4127">
        <v>86</v>
      </c>
      <c r="N4127">
        <v>314</v>
      </c>
      <c r="O4127">
        <v>30</v>
      </c>
      <c r="P4127">
        <v>150</v>
      </c>
      <c r="Q4127">
        <v>30</v>
      </c>
      <c r="S4127">
        <v>0</v>
      </c>
      <c r="T4127">
        <v>0</v>
      </c>
      <c r="U4127">
        <f>+SUM(Table1[[#This Row],[Latinos]:[Cemex]])</f>
        <v>1</v>
      </c>
      <c r="V4127" t="str">
        <f>+Table1[[#This Row],[id_destino]]&amp;" - "&amp;Table1[[#This Row],[id_origen]]</f>
        <v>86 - 314</v>
      </c>
    </row>
    <row r="4128" spans="1:22" hidden="1">
      <c r="A4128">
        <v>2052</v>
      </c>
      <c r="B4128">
        <v>3104</v>
      </c>
      <c r="C4128">
        <v>6153</v>
      </c>
      <c r="D4128">
        <v>5777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0</v>
      </c>
      <c r="K4128" t="s">
        <v>20</v>
      </c>
      <c r="L4128" s="1">
        <v>43785</v>
      </c>
      <c r="M4128">
        <v>105</v>
      </c>
      <c r="N4128">
        <v>314</v>
      </c>
      <c r="O4128">
        <v>45</v>
      </c>
      <c r="P4128">
        <v>150</v>
      </c>
      <c r="Q4128">
        <v>45</v>
      </c>
      <c r="S4128">
        <v>339</v>
      </c>
      <c r="T4128">
        <v>339</v>
      </c>
      <c r="U4128">
        <f>+SUM(Table1[[#This Row],[Latinos]:[Cemex]])</f>
        <v>1</v>
      </c>
      <c r="V4128" t="str">
        <f>+Table1[[#This Row],[id_destino]]&amp;" - "&amp;Table1[[#This Row],[id_origen]]</f>
        <v>105 - 314</v>
      </c>
    </row>
    <row r="4129" spans="1:22" hidden="1">
      <c r="A4129">
        <v>2437</v>
      </c>
      <c r="B4129">
        <v>3104</v>
      </c>
      <c r="C4129">
        <v>6153</v>
      </c>
      <c r="D4129">
        <v>5777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 t="s">
        <v>20</v>
      </c>
      <c r="L4129" s="1">
        <v>44074</v>
      </c>
      <c r="M4129">
        <v>105</v>
      </c>
      <c r="N4129">
        <v>314</v>
      </c>
      <c r="O4129">
        <v>45</v>
      </c>
      <c r="P4129">
        <v>150</v>
      </c>
      <c r="Q4129">
        <v>45</v>
      </c>
      <c r="S4129">
        <v>0</v>
      </c>
      <c r="T4129">
        <v>0</v>
      </c>
      <c r="U4129">
        <f>+SUM(Table1[[#This Row],[Latinos]:[Cemex]])</f>
        <v>1</v>
      </c>
      <c r="V4129" t="str">
        <f>+Table1[[#This Row],[id_destino]]&amp;" - "&amp;Table1[[#This Row],[id_origen]]</f>
        <v>105 - 314</v>
      </c>
    </row>
    <row r="4130" spans="1:22" hidden="1">
      <c r="A4130">
        <v>4613</v>
      </c>
      <c r="B4130">
        <v>4795</v>
      </c>
      <c r="C4130">
        <v>7496</v>
      </c>
      <c r="D4130">
        <v>8085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 t="s">
        <v>20</v>
      </c>
      <c r="L4130" s="1">
        <v>45671</v>
      </c>
      <c r="M4130">
        <v>111</v>
      </c>
      <c r="N4130">
        <v>314</v>
      </c>
      <c r="O4130">
        <v>1670</v>
      </c>
      <c r="P4130">
        <v>1637</v>
      </c>
      <c r="Q4130">
        <v>1670</v>
      </c>
      <c r="S4130">
        <v>6809</v>
      </c>
      <c r="T4130">
        <v>6921</v>
      </c>
      <c r="U4130">
        <f>+SUM(Table1[[#This Row],[Latinos]:[Cemex]])</f>
        <v>1</v>
      </c>
      <c r="V4130" t="str">
        <f>+Table1[[#This Row],[id_destino]]&amp;" - "&amp;Table1[[#This Row],[id_origen]]</f>
        <v>111 - 314</v>
      </c>
    </row>
    <row r="4131" spans="1:22" hidden="1">
      <c r="A4131">
        <v>4345</v>
      </c>
      <c r="B4131">
        <v>4585</v>
      </c>
      <c r="C4131">
        <v>7496</v>
      </c>
      <c r="D4131">
        <v>7839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 t="s">
        <v>20</v>
      </c>
      <c r="L4131" s="1">
        <v>45484</v>
      </c>
      <c r="M4131">
        <v>119</v>
      </c>
      <c r="N4131">
        <v>314</v>
      </c>
      <c r="O4131">
        <v>1763</v>
      </c>
      <c r="P4131">
        <v>1764</v>
      </c>
      <c r="Q4131">
        <v>1763</v>
      </c>
      <c r="S4131">
        <v>7051</v>
      </c>
      <c r="T4131">
        <v>7163</v>
      </c>
      <c r="U4131">
        <f>+SUM(Table1[[#This Row],[Latinos]:[Cemex]])</f>
        <v>1</v>
      </c>
      <c r="V4131" t="str">
        <f>+Table1[[#This Row],[id_destino]]&amp;" - "&amp;Table1[[#This Row],[id_origen]]</f>
        <v>119 - 314</v>
      </c>
    </row>
    <row r="4132" spans="1:22" hidden="1">
      <c r="A4132">
        <v>4061</v>
      </c>
      <c r="B4132">
        <v>4393</v>
      </c>
      <c r="C4132">
        <v>7496</v>
      </c>
      <c r="D4132">
        <v>7576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 t="s">
        <v>20</v>
      </c>
      <c r="L4132" s="1">
        <v>45261</v>
      </c>
      <c r="M4132">
        <v>136</v>
      </c>
      <c r="N4132">
        <v>314</v>
      </c>
      <c r="O4132">
        <v>156</v>
      </c>
      <c r="P4132">
        <v>153</v>
      </c>
      <c r="Q4132">
        <v>156</v>
      </c>
      <c r="S4132">
        <v>591</v>
      </c>
      <c r="T4132">
        <v>591</v>
      </c>
      <c r="U4132">
        <f>+SUM(Table1[[#This Row],[Latinos]:[Cemex]])</f>
        <v>1</v>
      </c>
      <c r="V4132" t="str">
        <f>+Table1[[#This Row],[id_destino]]&amp;" - "&amp;Table1[[#This Row],[id_origen]]</f>
        <v>136 - 314</v>
      </c>
    </row>
    <row r="4133" spans="1:22" hidden="1">
      <c r="A4133">
        <v>2963</v>
      </c>
      <c r="B4133">
        <v>3685</v>
      </c>
      <c r="C4133">
        <v>6836</v>
      </c>
      <c r="D4133">
        <v>24</v>
      </c>
      <c r="E4133">
        <v>0</v>
      </c>
      <c r="F4133">
        <v>1</v>
      </c>
      <c r="G4133">
        <v>0</v>
      </c>
      <c r="H4133">
        <v>0</v>
      </c>
      <c r="I4133">
        <v>0</v>
      </c>
      <c r="J4133">
        <v>0</v>
      </c>
      <c r="K4133" t="s">
        <v>20</v>
      </c>
      <c r="L4133" s="1">
        <v>45300</v>
      </c>
      <c r="M4133">
        <v>179</v>
      </c>
      <c r="N4133">
        <v>314</v>
      </c>
      <c r="O4133">
        <v>1891</v>
      </c>
      <c r="P4133">
        <v>1904</v>
      </c>
      <c r="Q4133">
        <v>1891</v>
      </c>
      <c r="S4133">
        <v>7143</v>
      </c>
      <c r="T4133">
        <v>7255</v>
      </c>
      <c r="U4133">
        <f>+SUM(Table1[[#This Row],[Latinos]:[Cemex]])</f>
        <v>1</v>
      </c>
      <c r="V4133" t="str">
        <f>+Table1[[#This Row],[id_destino]]&amp;" - "&amp;Table1[[#This Row],[id_origen]]</f>
        <v>179 - 314</v>
      </c>
    </row>
    <row r="4134" spans="1:22" hidden="1">
      <c r="A4134">
        <v>4566</v>
      </c>
      <c r="B4134">
        <v>4758</v>
      </c>
      <c r="C4134">
        <v>7496</v>
      </c>
      <c r="D4134">
        <v>8037</v>
      </c>
      <c r="E4134">
        <v>0</v>
      </c>
      <c r="F4134">
        <v>1</v>
      </c>
      <c r="G4134">
        <v>0</v>
      </c>
      <c r="H4134">
        <v>0</v>
      </c>
      <c r="I4134">
        <v>0</v>
      </c>
      <c r="J4134">
        <v>0</v>
      </c>
      <c r="K4134" t="s">
        <v>20</v>
      </c>
      <c r="L4134" s="1">
        <v>45621</v>
      </c>
      <c r="M4134">
        <v>199</v>
      </c>
      <c r="N4134">
        <v>314</v>
      </c>
      <c r="O4134">
        <v>320</v>
      </c>
      <c r="P4134">
        <v>315</v>
      </c>
      <c r="Q4134">
        <v>320</v>
      </c>
      <c r="S4134">
        <v>1033</v>
      </c>
      <c r="T4134">
        <v>1033</v>
      </c>
      <c r="U4134">
        <f>+SUM(Table1[[#This Row],[Latinos]:[Cemex]])</f>
        <v>1</v>
      </c>
      <c r="V4134" t="str">
        <f>+Table1[[#This Row],[id_destino]]&amp;" - "&amp;Table1[[#This Row],[id_origen]]</f>
        <v>199 - 314</v>
      </c>
    </row>
    <row r="4135" spans="1:22" hidden="1">
      <c r="A4135">
        <v>2470</v>
      </c>
      <c r="B4135">
        <v>3364</v>
      </c>
      <c r="C4135">
        <v>5117</v>
      </c>
      <c r="D4135">
        <v>33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 t="s">
        <v>20</v>
      </c>
      <c r="L4135" s="1">
        <v>44109</v>
      </c>
      <c r="M4135">
        <v>260</v>
      </c>
      <c r="N4135">
        <v>314</v>
      </c>
      <c r="O4135">
        <v>1420</v>
      </c>
      <c r="P4135">
        <v>1420</v>
      </c>
      <c r="Q4135">
        <v>1420</v>
      </c>
      <c r="S4135">
        <v>3691</v>
      </c>
      <c r="T4135">
        <v>3765</v>
      </c>
      <c r="U4135">
        <f>+SUM(Table1[[#This Row],[Latinos]:[Cemex]])</f>
        <v>1</v>
      </c>
      <c r="V4135" t="str">
        <f>+Table1[[#This Row],[id_destino]]&amp;" - "&amp;Table1[[#This Row],[id_origen]]</f>
        <v>260 - 314</v>
      </c>
    </row>
    <row r="4136" spans="1:22" hidden="1">
      <c r="A4136">
        <v>4510</v>
      </c>
      <c r="B4136">
        <v>4715</v>
      </c>
      <c r="C4136">
        <v>7496</v>
      </c>
      <c r="D4136">
        <v>7852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0</v>
      </c>
      <c r="K4136" t="s">
        <v>20</v>
      </c>
      <c r="L4136" s="1">
        <v>45594</v>
      </c>
      <c r="M4136">
        <v>298</v>
      </c>
      <c r="N4136">
        <v>314</v>
      </c>
      <c r="O4136">
        <v>775</v>
      </c>
      <c r="P4136">
        <v>773</v>
      </c>
      <c r="Q4136">
        <v>775</v>
      </c>
      <c r="S4136">
        <v>2077</v>
      </c>
      <c r="T4136">
        <v>2077</v>
      </c>
      <c r="U4136">
        <f>+SUM(Table1[[#This Row],[Latinos]:[Cemex]])</f>
        <v>1</v>
      </c>
      <c r="V4136" t="str">
        <f>+Table1[[#This Row],[id_destino]]&amp;" - "&amp;Table1[[#This Row],[id_origen]]</f>
        <v>298 - 314</v>
      </c>
    </row>
    <row r="4137" spans="1:22" hidden="1">
      <c r="A4137">
        <v>1403</v>
      </c>
      <c r="B4137">
        <v>2726</v>
      </c>
      <c r="C4137">
        <v>3283</v>
      </c>
      <c r="D4137">
        <v>5378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0</v>
      </c>
      <c r="K4137" t="s">
        <v>20</v>
      </c>
      <c r="L4137" s="1">
        <v>43420</v>
      </c>
      <c r="M4137">
        <v>345</v>
      </c>
      <c r="N4137">
        <v>314</v>
      </c>
      <c r="O4137">
        <v>73</v>
      </c>
      <c r="P4137">
        <v>150</v>
      </c>
      <c r="Q4137">
        <v>73</v>
      </c>
      <c r="S4137">
        <v>58</v>
      </c>
      <c r="T4137">
        <v>58</v>
      </c>
      <c r="U4137">
        <f>+SUM(Table1[[#This Row],[Latinos]:[Cemex]])</f>
        <v>1</v>
      </c>
      <c r="V4137" t="str">
        <f>+Table1[[#This Row],[id_destino]]&amp;" - "&amp;Table1[[#This Row],[id_origen]]</f>
        <v>345 - 314</v>
      </c>
    </row>
    <row r="4138" spans="1:22" hidden="1">
      <c r="A4138">
        <v>4100</v>
      </c>
      <c r="B4138">
        <v>4419</v>
      </c>
      <c r="C4138">
        <v>7496</v>
      </c>
      <c r="D4138">
        <v>2941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 t="s">
        <v>20</v>
      </c>
      <c r="L4138" s="1">
        <v>45287</v>
      </c>
      <c r="M4138">
        <v>482</v>
      </c>
      <c r="N4138">
        <v>314</v>
      </c>
      <c r="O4138">
        <v>50</v>
      </c>
      <c r="P4138">
        <v>150</v>
      </c>
      <c r="Q4138">
        <v>50</v>
      </c>
      <c r="S4138">
        <v>152</v>
      </c>
      <c r="T4138">
        <v>228</v>
      </c>
      <c r="U4138">
        <f>+SUM(Table1[[#This Row],[Latinos]:[Cemex]])</f>
        <v>1</v>
      </c>
      <c r="V4138" t="str">
        <f>+Table1[[#This Row],[id_destino]]&amp;" - "&amp;Table1[[#This Row],[id_origen]]</f>
        <v>482 - 314</v>
      </c>
    </row>
    <row r="4139" spans="1:22" hidden="1">
      <c r="A4139">
        <v>4494</v>
      </c>
      <c r="B4139">
        <v>4702</v>
      </c>
      <c r="C4139">
        <v>7496</v>
      </c>
      <c r="D4139">
        <v>7968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0</v>
      </c>
      <c r="K4139" t="s">
        <v>20</v>
      </c>
      <c r="L4139" s="1">
        <v>45586</v>
      </c>
      <c r="M4139">
        <v>496</v>
      </c>
      <c r="N4139">
        <v>314</v>
      </c>
      <c r="O4139">
        <v>660</v>
      </c>
      <c r="P4139">
        <v>657</v>
      </c>
      <c r="Q4139">
        <v>660</v>
      </c>
      <c r="S4139">
        <v>1925</v>
      </c>
      <c r="T4139">
        <v>1925</v>
      </c>
      <c r="U4139">
        <f>+SUM(Table1[[#This Row],[Latinos]:[Cemex]])</f>
        <v>1</v>
      </c>
      <c r="V4139" t="str">
        <f>+Table1[[#This Row],[id_destino]]&amp;" - "&amp;Table1[[#This Row],[id_origen]]</f>
        <v>496 - 314</v>
      </c>
    </row>
    <row r="4140" spans="1:22" hidden="1">
      <c r="A4140">
        <v>4484</v>
      </c>
      <c r="B4140">
        <v>4694</v>
      </c>
      <c r="C4140">
        <v>7496</v>
      </c>
      <c r="D4140">
        <v>7956</v>
      </c>
      <c r="E4140">
        <v>0</v>
      </c>
      <c r="F4140">
        <v>1</v>
      </c>
      <c r="G4140">
        <v>0</v>
      </c>
      <c r="H4140">
        <v>0</v>
      </c>
      <c r="I4140">
        <v>0</v>
      </c>
      <c r="J4140">
        <v>0</v>
      </c>
      <c r="K4140" t="s">
        <v>20</v>
      </c>
      <c r="L4140" s="1">
        <v>45579</v>
      </c>
      <c r="M4140">
        <v>531</v>
      </c>
      <c r="N4140">
        <v>314</v>
      </c>
      <c r="O4140">
        <v>839</v>
      </c>
      <c r="P4140">
        <v>834</v>
      </c>
      <c r="Q4140">
        <v>839</v>
      </c>
      <c r="S4140">
        <v>2124</v>
      </c>
      <c r="T4140">
        <v>2124</v>
      </c>
      <c r="U4140">
        <f>+SUM(Table1[[#This Row],[Latinos]:[Cemex]])</f>
        <v>1</v>
      </c>
      <c r="V4140" t="str">
        <f>+Table1[[#This Row],[id_destino]]&amp;" - "&amp;Table1[[#This Row],[id_origen]]</f>
        <v>531 - 314</v>
      </c>
    </row>
    <row r="4141" spans="1:22" hidden="1">
      <c r="A4141">
        <v>4202</v>
      </c>
      <c r="B4141">
        <v>4486</v>
      </c>
      <c r="C4141">
        <v>6153</v>
      </c>
      <c r="D4141">
        <v>7011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0</v>
      </c>
      <c r="K4141" t="s">
        <v>20</v>
      </c>
      <c r="L4141" s="1">
        <v>45356</v>
      </c>
      <c r="M4141">
        <v>591</v>
      </c>
      <c r="N4141">
        <v>314</v>
      </c>
      <c r="O4141">
        <v>43</v>
      </c>
      <c r="P4141">
        <v>150</v>
      </c>
      <c r="Q4141">
        <v>43</v>
      </c>
      <c r="S4141">
        <v>513</v>
      </c>
      <c r="T4141">
        <v>513</v>
      </c>
      <c r="U4141">
        <f>+SUM(Table1[[#This Row],[Latinos]:[Cemex]])</f>
        <v>1</v>
      </c>
      <c r="V4141" t="str">
        <f>+Table1[[#This Row],[id_destino]]&amp;" - "&amp;Table1[[#This Row],[id_origen]]</f>
        <v>591 - 314</v>
      </c>
    </row>
    <row r="4142" spans="1:22" hidden="1">
      <c r="A4142">
        <v>4709</v>
      </c>
      <c r="B4142">
        <v>4860</v>
      </c>
      <c r="C4142">
        <v>7496</v>
      </c>
      <c r="D4142">
        <v>8187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 t="s">
        <v>20</v>
      </c>
      <c r="L4142" s="1">
        <v>45747</v>
      </c>
      <c r="M4142">
        <v>725</v>
      </c>
      <c r="N4142">
        <v>314</v>
      </c>
      <c r="O4142">
        <v>321</v>
      </c>
      <c r="P4142">
        <v>318</v>
      </c>
      <c r="Q4142">
        <v>321</v>
      </c>
      <c r="S4142">
        <v>1390</v>
      </c>
      <c r="T4142">
        <v>1390</v>
      </c>
      <c r="U4142">
        <f>+SUM(Table1[[#This Row],[Latinos]:[Cemex]])</f>
        <v>1</v>
      </c>
      <c r="V4142" t="str">
        <f>+Table1[[#This Row],[id_destino]]&amp;" - "&amp;Table1[[#This Row],[id_origen]]</f>
        <v>725 - 314</v>
      </c>
    </row>
    <row r="4143" spans="1:22" hidden="1">
      <c r="A4143">
        <v>2239</v>
      </c>
      <c r="B4143">
        <v>3224</v>
      </c>
      <c r="C4143">
        <v>6278</v>
      </c>
      <c r="D4143">
        <v>5956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 t="s">
        <v>20</v>
      </c>
      <c r="L4143" s="1">
        <v>43872</v>
      </c>
      <c r="M4143">
        <v>775</v>
      </c>
      <c r="N4143">
        <v>314</v>
      </c>
      <c r="O4143">
        <v>42</v>
      </c>
      <c r="P4143">
        <v>150</v>
      </c>
      <c r="Q4143">
        <v>42</v>
      </c>
      <c r="S4143">
        <v>239</v>
      </c>
      <c r="T4143">
        <v>239</v>
      </c>
      <c r="U4143">
        <f>+SUM(Table1[[#This Row],[Latinos]:[Cemex]])</f>
        <v>1</v>
      </c>
      <c r="V4143" t="str">
        <f>+Table1[[#This Row],[id_destino]]&amp;" - "&amp;Table1[[#This Row],[id_origen]]</f>
        <v>775 - 314</v>
      </c>
    </row>
    <row r="4144" spans="1:22" hidden="1">
      <c r="A4144">
        <v>2232</v>
      </c>
      <c r="B4144">
        <v>3217</v>
      </c>
      <c r="C4144">
        <v>5680</v>
      </c>
      <c r="D4144">
        <v>22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 t="s">
        <v>20</v>
      </c>
      <c r="L4144" s="1">
        <v>43867</v>
      </c>
      <c r="M4144">
        <v>19</v>
      </c>
      <c r="N4144">
        <v>315</v>
      </c>
      <c r="O4144">
        <v>43</v>
      </c>
      <c r="P4144">
        <v>150</v>
      </c>
      <c r="Q4144">
        <v>43</v>
      </c>
      <c r="S4144">
        <v>156</v>
      </c>
      <c r="T4144">
        <v>229</v>
      </c>
      <c r="U4144">
        <f>+SUM(Table1[[#This Row],[Latinos]:[Cemex]])</f>
        <v>1</v>
      </c>
      <c r="V4144" t="str">
        <f>+Table1[[#This Row],[id_destino]]&amp;" - "&amp;Table1[[#This Row],[id_origen]]</f>
        <v>19 - 315</v>
      </c>
    </row>
    <row r="4145" spans="1:22" hidden="1">
      <c r="A4145">
        <v>2064</v>
      </c>
      <c r="B4145">
        <v>3112</v>
      </c>
      <c r="C4145">
        <v>5680</v>
      </c>
      <c r="D4145">
        <v>6164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 t="s">
        <v>20</v>
      </c>
      <c r="L4145" s="1">
        <v>43794</v>
      </c>
      <c r="M4145">
        <v>120</v>
      </c>
      <c r="N4145">
        <v>315</v>
      </c>
      <c r="O4145">
        <v>952</v>
      </c>
      <c r="P4145">
        <v>940</v>
      </c>
      <c r="Q4145">
        <v>952</v>
      </c>
      <c r="S4145">
        <v>1637</v>
      </c>
      <c r="T4145">
        <v>1637</v>
      </c>
      <c r="U4145">
        <f>+SUM(Table1[[#This Row],[Latinos]:[Cemex]])</f>
        <v>1</v>
      </c>
      <c r="V4145" t="str">
        <f>+Table1[[#This Row],[id_destino]]&amp;" - "&amp;Table1[[#This Row],[id_origen]]</f>
        <v>120 - 315</v>
      </c>
    </row>
    <row r="4146" spans="1:22">
      <c r="A4146">
        <v>4479</v>
      </c>
      <c r="B4146">
        <v>4689</v>
      </c>
      <c r="C4146">
        <v>7701</v>
      </c>
      <c r="D4146">
        <v>2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0</v>
      </c>
      <c r="K4146" t="s">
        <v>20</v>
      </c>
      <c r="L4146" s="1">
        <v>45576</v>
      </c>
      <c r="M4146">
        <v>4</v>
      </c>
      <c r="N4146">
        <v>316</v>
      </c>
      <c r="O4146">
        <v>1370</v>
      </c>
      <c r="P4146">
        <v>1355</v>
      </c>
      <c r="Q4146">
        <v>1370</v>
      </c>
      <c r="S4146">
        <v>4723</v>
      </c>
      <c r="T4146">
        <v>4723</v>
      </c>
      <c r="U4146">
        <f>+SUM(Table1[[#This Row],[Latinos]:[Cemex]])</f>
        <v>1</v>
      </c>
      <c r="V4146" t="str">
        <f>+Table1[[#This Row],[id_destino]]&amp;" - "&amp;Table1[[#This Row],[id_origen]]</f>
        <v>4 - 316</v>
      </c>
    </row>
    <row r="4147" spans="1:22" hidden="1">
      <c r="A4147">
        <v>3441</v>
      </c>
      <c r="B4147">
        <v>3991</v>
      </c>
      <c r="C4147">
        <v>3079</v>
      </c>
      <c r="D4147">
        <v>5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 t="s">
        <v>20</v>
      </c>
      <c r="L4147" s="1">
        <v>44893</v>
      </c>
      <c r="M4147">
        <v>7</v>
      </c>
      <c r="N4147">
        <v>316</v>
      </c>
      <c r="O4147">
        <v>2188</v>
      </c>
      <c r="P4147">
        <v>2134</v>
      </c>
      <c r="Q4147">
        <v>2188</v>
      </c>
      <c r="S4147">
        <v>6353</v>
      </c>
      <c r="T4147">
        <v>6943</v>
      </c>
      <c r="U4147">
        <f>+SUM(Table1[[#This Row],[Latinos]:[Cemex]])</f>
        <v>1</v>
      </c>
      <c r="V4147" t="str">
        <f>+Table1[[#This Row],[id_destino]]&amp;" - "&amp;Table1[[#This Row],[id_origen]]</f>
        <v>7 - 316</v>
      </c>
    </row>
    <row r="4148" spans="1:22" hidden="1">
      <c r="A4148">
        <v>4716</v>
      </c>
      <c r="B4148">
        <v>4867</v>
      </c>
      <c r="C4148">
        <v>3079</v>
      </c>
      <c r="D4148">
        <v>15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 t="s">
        <v>20</v>
      </c>
      <c r="L4148" s="1">
        <v>45751</v>
      </c>
      <c r="M4148">
        <v>16</v>
      </c>
      <c r="N4148">
        <v>316</v>
      </c>
      <c r="O4148">
        <v>1183</v>
      </c>
      <c r="P4148">
        <v>1160</v>
      </c>
      <c r="Q4148">
        <v>1183</v>
      </c>
      <c r="S4148">
        <v>2889</v>
      </c>
      <c r="T4148">
        <v>3332</v>
      </c>
      <c r="U4148">
        <f>+SUM(Table1[[#This Row],[Latinos]:[Cemex]])</f>
        <v>1</v>
      </c>
      <c r="V4148" t="str">
        <f>+Table1[[#This Row],[id_destino]]&amp;" - "&amp;Table1[[#This Row],[id_origen]]</f>
        <v>16 - 316</v>
      </c>
    </row>
    <row r="4149" spans="1:22" hidden="1">
      <c r="A4149">
        <v>656</v>
      </c>
      <c r="B4149">
        <v>2391</v>
      </c>
      <c r="C4149">
        <v>3079</v>
      </c>
      <c r="D4149">
        <v>35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0</v>
      </c>
      <c r="K4149" t="s">
        <v>20</v>
      </c>
      <c r="L4149" s="1">
        <v>43123</v>
      </c>
      <c r="M4149">
        <v>31</v>
      </c>
      <c r="N4149">
        <v>316</v>
      </c>
      <c r="O4149">
        <v>714</v>
      </c>
      <c r="P4149">
        <v>716</v>
      </c>
      <c r="Q4149">
        <v>714</v>
      </c>
      <c r="S4149">
        <v>3220</v>
      </c>
      <c r="T4149">
        <v>3220</v>
      </c>
      <c r="U4149">
        <f>+SUM(Table1[[#This Row],[Latinos]:[Cemex]])</f>
        <v>1</v>
      </c>
      <c r="V4149" t="str">
        <f>+Table1[[#This Row],[id_destino]]&amp;" - "&amp;Table1[[#This Row],[id_origen]]</f>
        <v>31 - 316</v>
      </c>
    </row>
    <row r="4150" spans="1:22">
      <c r="A4150">
        <v>44</v>
      </c>
      <c r="B4150">
        <v>2223</v>
      </c>
      <c r="C4150">
        <v>4409</v>
      </c>
      <c r="D4150">
        <v>40</v>
      </c>
      <c r="E4150">
        <v>0</v>
      </c>
      <c r="F4150">
        <v>1</v>
      </c>
      <c r="G4150">
        <v>0</v>
      </c>
      <c r="H4150">
        <v>0</v>
      </c>
      <c r="I4150">
        <v>0</v>
      </c>
      <c r="J4150">
        <v>0</v>
      </c>
      <c r="K4150" t="s">
        <v>20</v>
      </c>
      <c r="L4150" s="1">
        <v>44707</v>
      </c>
      <c r="M4150">
        <v>34</v>
      </c>
      <c r="N4150">
        <v>316</v>
      </c>
      <c r="O4150">
        <v>744</v>
      </c>
      <c r="P4150">
        <v>703</v>
      </c>
      <c r="Q4150">
        <v>746</v>
      </c>
      <c r="S4150">
        <v>1760</v>
      </c>
      <c r="T4150">
        <v>1916</v>
      </c>
      <c r="U4150">
        <f>+SUM(Table1[[#This Row],[Latinos]:[Cemex]])</f>
        <v>1</v>
      </c>
      <c r="V4150" t="str">
        <f>+Table1[[#This Row],[id_destino]]&amp;" - "&amp;Table1[[#This Row],[id_origen]]</f>
        <v>34 - 316</v>
      </c>
    </row>
    <row r="4151" spans="1:22" hidden="1">
      <c r="A4151">
        <v>592</v>
      </c>
      <c r="B4151">
        <v>2356</v>
      </c>
      <c r="C4151">
        <v>5389</v>
      </c>
      <c r="D4151">
        <v>46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 t="s">
        <v>20</v>
      </c>
      <c r="L4151" s="1">
        <v>43110</v>
      </c>
      <c r="M4151">
        <v>40</v>
      </c>
      <c r="N4151">
        <v>316</v>
      </c>
      <c r="O4151">
        <v>155</v>
      </c>
      <c r="P4151">
        <v>155</v>
      </c>
      <c r="Q4151">
        <v>155</v>
      </c>
      <c r="S4151">
        <v>407</v>
      </c>
      <c r="T4151">
        <v>407</v>
      </c>
      <c r="U4151">
        <f>+SUM(Table1[[#This Row],[Latinos]:[Cemex]])</f>
        <v>1</v>
      </c>
      <c r="V4151" t="str">
        <f>+Table1[[#This Row],[id_destino]]&amp;" - "&amp;Table1[[#This Row],[id_origen]]</f>
        <v>40 - 316</v>
      </c>
    </row>
    <row r="4152" spans="1:22" hidden="1">
      <c r="A4152">
        <v>3496</v>
      </c>
      <c r="B4152">
        <v>4027</v>
      </c>
      <c r="C4152">
        <v>3079</v>
      </c>
      <c r="D4152">
        <v>3176</v>
      </c>
      <c r="E4152">
        <v>0</v>
      </c>
      <c r="F4152">
        <v>1</v>
      </c>
      <c r="G4152">
        <v>0</v>
      </c>
      <c r="H4152">
        <v>0</v>
      </c>
      <c r="I4152">
        <v>0</v>
      </c>
      <c r="J4152">
        <v>0</v>
      </c>
      <c r="K4152" t="s">
        <v>20</v>
      </c>
      <c r="L4152" s="1">
        <v>44929</v>
      </c>
      <c r="M4152">
        <v>136</v>
      </c>
      <c r="N4152">
        <v>316</v>
      </c>
      <c r="O4152">
        <v>644</v>
      </c>
      <c r="P4152">
        <v>649</v>
      </c>
      <c r="Q4152">
        <v>644</v>
      </c>
      <c r="S4152">
        <v>2957</v>
      </c>
      <c r="T4152">
        <v>2957</v>
      </c>
      <c r="U4152">
        <f>+SUM(Table1[[#This Row],[Latinos]:[Cemex]])</f>
        <v>1</v>
      </c>
      <c r="V4152" t="str">
        <f>+Table1[[#This Row],[id_destino]]&amp;" - "&amp;Table1[[#This Row],[id_origen]]</f>
        <v>136 - 316</v>
      </c>
    </row>
    <row r="4153" spans="1:22" hidden="1">
      <c r="A4153">
        <v>2495</v>
      </c>
      <c r="B4153">
        <v>3378</v>
      </c>
      <c r="C4153">
        <v>6442</v>
      </c>
      <c r="D4153">
        <v>6441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 t="s">
        <v>20</v>
      </c>
      <c r="L4153" s="1">
        <v>44130</v>
      </c>
      <c r="M4153">
        <v>820</v>
      </c>
      <c r="N4153">
        <v>316</v>
      </c>
      <c r="O4153">
        <v>38</v>
      </c>
      <c r="P4153">
        <v>150</v>
      </c>
      <c r="Q4153">
        <v>38</v>
      </c>
      <c r="S4153">
        <v>0</v>
      </c>
      <c r="T4153">
        <v>0</v>
      </c>
      <c r="U4153">
        <f>+SUM(Table1[[#This Row],[Latinos]:[Cemex]])</f>
        <v>1</v>
      </c>
      <c r="V4153" t="str">
        <f>+Table1[[#This Row],[id_destino]]&amp;" - "&amp;Table1[[#This Row],[id_origen]]</f>
        <v>820 - 316</v>
      </c>
    </row>
    <row r="4154" spans="1:22" hidden="1">
      <c r="A4154">
        <v>4454</v>
      </c>
      <c r="B4154">
        <v>586</v>
      </c>
      <c r="C4154">
        <v>5052</v>
      </c>
      <c r="D4154">
        <v>4190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0</v>
      </c>
      <c r="K4154" t="s">
        <v>20</v>
      </c>
      <c r="L4154" s="1">
        <v>45555</v>
      </c>
      <c r="M4154">
        <v>1</v>
      </c>
      <c r="N4154">
        <v>318</v>
      </c>
      <c r="O4154">
        <v>868</v>
      </c>
      <c r="P4154">
        <v>858</v>
      </c>
      <c r="Q4154">
        <v>868</v>
      </c>
      <c r="S4154">
        <v>981</v>
      </c>
      <c r="T4154">
        <v>981</v>
      </c>
      <c r="U4154">
        <f>+SUM(Table1[[#This Row],[Latinos]:[Cemex]])</f>
        <v>1</v>
      </c>
      <c r="V4154" t="str">
        <f>+Table1[[#This Row],[id_destino]]&amp;" - "&amp;Table1[[#This Row],[id_origen]]</f>
        <v>1 - 318</v>
      </c>
    </row>
    <row r="4155" spans="1:22" hidden="1">
      <c r="A4155">
        <v>3422</v>
      </c>
      <c r="B4155">
        <v>47</v>
      </c>
      <c r="C4155">
        <v>4545</v>
      </c>
      <c r="D4155">
        <v>6446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 t="s">
        <v>20</v>
      </c>
      <c r="L4155" s="1">
        <v>44883</v>
      </c>
      <c r="M4155">
        <v>3</v>
      </c>
      <c r="N4155">
        <v>318</v>
      </c>
      <c r="O4155">
        <v>801</v>
      </c>
      <c r="P4155">
        <v>820</v>
      </c>
      <c r="Q4155">
        <v>801</v>
      </c>
      <c r="S4155">
        <v>1982</v>
      </c>
      <c r="T4155">
        <v>2056</v>
      </c>
      <c r="U4155">
        <f>+SUM(Table1[[#This Row],[Latinos]:[Cemex]])</f>
        <v>1</v>
      </c>
      <c r="V4155" t="str">
        <f>+Table1[[#This Row],[id_destino]]&amp;" - "&amp;Table1[[#This Row],[id_origen]]</f>
        <v>3 - 318</v>
      </c>
    </row>
    <row r="4156" spans="1:22" hidden="1">
      <c r="A4156">
        <v>3616</v>
      </c>
      <c r="B4156">
        <v>4115</v>
      </c>
      <c r="C4156">
        <v>4545</v>
      </c>
      <c r="D4156">
        <v>7256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 t="s">
        <v>20</v>
      </c>
      <c r="L4156" s="1">
        <v>44987</v>
      </c>
      <c r="M4156">
        <v>11</v>
      </c>
      <c r="N4156">
        <v>318</v>
      </c>
      <c r="O4156">
        <v>178</v>
      </c>
      <c r="P4156">
        <v>170</v>
      </c>
      <c r="Q4156">
        <v>178</v>
      </c>
      <c r="S4156">
        <v>385</v>
      </c>
      <c r="T4156">
        <v>385</v>
      </c>
      <c r="U4156">
        <f>+SUM(Table1[[#This Row],[Latinos]:[Cemex]])</f>
        <v>1</v>
      </c>
      <c r="V4156" t="str">
        <f>+Table1[[#This Row],[id_destino]]&amp;" - "&amp;Table1[[#This Row],[id_origen]]</f>
        <v>11 - 318</v>
      </c>
    </row>
    <row r="4157" spans="1:22" hidden="1">
      <c r="A4157">
        <v>2914</v>
      </c>
      <c r="B4157">
        <v>3651</v>
      </c>
      <c r="C4157">
        <v>4545</v>
      </c>
      <c r="D4157">
        <v>6470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 t="s">
        <v>20</v>
      </c>
      <c r="L4157" s="1">
        <v>44608</v>
      </c>
      <c r="M4157">
        <v>15</v>
      </c>
      <c r="N4157">
        <v>318</v>
      </c>
      <c r="O4157">
        <v>1757</v>
      </c>
      <c r="P4157">
        <v>1743</v>
      </c>
      <c r="Q4157">
        <v>1757</v>
      </c>
      <c r="S4157">
        <v>2271</v>
      </c>
      <c r="T4157">
        <v>2771</v>
      </c>
      <c r="U4157">
        <f>+SUM(Table1[[#This Row],[Latinos]:[Cemex]])</f>
        <v>1</v>
      </c>
      <c r="V4157" t="str">
        <f>+Table1[[#This Row],[id_destino]]&amp;" - "&amp;Table1[[#This Row],[id_origen]]</f>
        <v>15 - 318</v>
      </c>
    </row>
    <row r="4158" spans="1:22" hidden="1">
      <c r="A4158">
        <v>3423</v>
      </c>
      <c r="B4158">
        <v>3979</v>
      </c>
      <c r="C4158">
        <v>4545</v>
      </c>
      <c r="D4158">
        <v>6402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 t="s">
        <v>20</v>
      </c>
      <c r="L4158" s="1">
        <v>44883</v>
      </c>
      <c r="M4158">
        <v>16</v>
      </c>
      <c r="N4158">
        <v>318</v>
      </c>
      <c r="O4158">
        <v>1415</v>
      </c>
      <c r="P4158">
        <v>1391</v>
      </c>
      <c r="Q4158">
        <v>1415</v>
      </c>
      <c r="S4158">
        <v>1859</v>
      </c>
      <c r="T4158">
        <v>2184</v>
      </c>
      <c r="U4158">
        <f>+SUM(Table1[[#This Row],[Latinos]:[Cemex]])</f>
        <v>1</v>
      </c>
      <c r="V4158" t="str">
        <f>+Table1[[#This Row],[id_destino]]&amp;" - "&amp;Table1[[#This Row],[id_origen]]</f>
        <v>16 - 318</v>
      </c>
    </row>
    <row r="4159" spans="1:22" hidden="1">
      <c r="A4159">
        <v>3417</v>
      </c>
      <c r="B4159">
        <v>3975</v>
      </c>
      <c r="C4159">
        <v>4545</v>
      </c>
      <c r="D4159">
        <v>6405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  <c r="K4159" t="s">
        <v>20</v>
      </c>
      <c r="L4159" s="1">
        <v>44881</v>
      </c>
      <c r="M4159">
        <v>17</v>
      </c>
      <c r="N4159">
        <v>318</v>
      </c>
      <c r="O4159">
        <v>854</v>
      </c>
      <c r="P4159">
        <v>859</v>
      </c>
      <c r="Q4159">
        <v>854</v>
      </c>
      <c r="S4159">
        <v>606</v>
      </c>
      <c r="T4159">
        <v>606</v>
      </c>
      <c r="U4159">
        <f>+SUM(Table1[[#This Row],[Latinos]:[Cemex]])</f>
        <v>1</v>
      </c>
      <c r="V4159" t="str">
        <f>+Table1[[#This Row],[id_destino]]&amp;" - "&amp;Table1[[#This Row],[id_origen]]</f>
        <v>17 - 318</v>
      </c>
    </row>
    <row r="4160" spans="1:22" hidden="1">
      <c r="A4160">
        <v>4101</v>
      </c>
      <c r="B4160">
        <v>1174</v>
      </c>
      <c r="C4160">
        <v>4545</v>
      </c>
      <c r="D4160">
        <v>22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 t="s">
        <v>20</v>
      </c>
      <c r="L4160" s="1">
        <v>45288</v>
      </c>
      <c r="M4160">
        <v>19</v>
      </c>
      <c r="N4160">
        <v>318</v>
      </c>
      <c r="O4160">
        <v>36</v>
      </c>
      <c r="P4160">
        <v>100</v>
      </c>
      <c r="Q4160">
        <v>36</v>
      </c>
      <c r="S4160">
        <v>0</v>
      </c>
      <c r="T4160">
        <v>0</v>
      </c>
      <c r="U4160">
        <f>+SUM(Table1[[#This Row],[Latinos]:[Cemex]])</f>
        <v>1</v>
      </c>
      <c r="V4160" t="str">
        <f>+Table1[[#This Row],[id_destino]]&amp;" - "&amp;Table1[[#This Row],[id_origen]]</f>
        <v>19 - 318</v>
      </c>
    </row>
    <row r="4161" spans="1:22" hidden="1">
      <c r="A4161">
        <v>1009</v>
      </c>
      <c r="B4161">
        <v>1175</v>
      </c>
      <c r="C4161">
        <v>4545</v>
      </c>
      <c r="D4161">
        <v>4792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  <c r="K4161" t="s">
        <v>20</v>
      </c>
      <c r="L4161" s="1">
        <v>43248</v>
      </c>
      <c r="M4161">
        <v>20</v>
      </c>
      <c r="N4161">
        <v>318</v>
      </c>
      <c r="O4161">
        <v>45</v>
      </c>
      <c r="P4161">
        <v>150</v>
      </c>
      <c r="Q4161">
        <v>45</v>
      </c>
      <c r="S4161">
        <v>0</v>
      </c>
      <c r="T4161">
        <v>0</v>
      </c>
      <c r="U4161">
        <f>+SUM(Table1[[#This Row],[Latinos]:[Cemex]])</f>
        <v>1</v>
      </c>
      <c r="V4161" t="str">
        <f>+Table1[[#This Row],[id_destino]]&amp;" - "&amp;Table1[[#This Row],[id_origen]]</f>
        <v>20 - 318</v>
      </c>
    </row>
    <row r="4162" spans="1:22" hidden="1">
      <c r="A4162">
        <v>1132</v>
      </c>
      <c r="B4162">
        <v>1561</v>
      </c>
      <c r="C4162">
        <v>5330</v>
      </c>
      <c r="D4162">
        <v>4455</v>
      </c>
      <c r="E4162">
        <v>0</v>
      </c>
      <c r="F4162">
        <v>1</v>
      </c>
      <c r="G4162">
        <v>0</v>
      </c>
      <c r="H4162">
        <v>0</v>
      </c>
      <c r="I4162">
        <v>0</v>
      </c>
      <c r="J4162">
        <v>0</v>
      </c>
      <c r="K4162" t="s">
        <v>20</v>
      </c>
      <c r="L4162" s="1">
        <v>43304</v>
      </c>
      <c r="M4162">
        <v>23</v>
      </c>
      <c r="N4162">
        <v>318</v>
      </c>
      <c r="O4162">
        <v>485</v>
      </c>
      <c r="P4162">
        <v>485</v>
      </c>
      <c r="Q4162">
        <v>485</v>
      </c>
      <c r="S4162">
        <v>1558</v>
      </c>
      <c r="T4162">
        <v>1558</v>
      </c>
      <c r="U4162">
        <f>+SUM(Table1[[#This Row],[Latinos]:[Cemex]])</f>
        <v>1</v>
      </c>
      <c r="V4162" t="str">
        <f>+Table1[[#This Row],[id_destino]]&amp;" - "&amp;Table1[[#This Row],[id_origen]]</f>
        <v>23 - 318</v>
      </c>
    </row>
    <row r="4163" spans="1:22" hidden="1">
      <c r="A4163">
        <v>2912</v>
      </c>
      <c r="B4163">
        <v>1561</v>
      </c>
      <c r="C4163">
        <v>4545</v>
      </c>
      <c r="D4163">
        <v>6499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 t="s">
        <v>20</v>
      </c>
      <c r="L4163" s="1">
        <v>44608</v>
      </c>
      <c r="M4163">
        <v>23</v>
      </c>
      <c r="N4163">
        <v>318</v>
      </c>
      <c r="O4163">
        <v>507</v>
      </c>
      <c r="P4163">
        <v>485</v>
      </c>
      <c r="Q4163">
        <v>507</v>
      </c>
      <c r="S4163">
        <v>1798</v>
      </c>
      <c r="T4163">
        <v>1798</v>
      </c>
      <c r="U4163">
        <f>+SUM(Table1[[#This Row],[Latinos]:[Cemex]])</f>
        <v>1</v>
      </c>
      <c r="V4163" t="str">
        <f>+Table1[[#This Row],[id_destino]]&amp;" - "&amp;Table1[[#This Row],[id_origen]]</f>
        <v>23 - 318</v>
      </c>
    </row>
    <row r="4164" spans="1:22" hidden="1">
      <c r="A4164">
        <v>2945</v>
      </c>
      <c r="B4164">
        <v>45</v>
      </c>
      <c r="C4164">
        <v>4545</v>
      </c>
      <c r="D4164">
        <v>6824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 t="s">
        <v>20</v>
      </c>
      <c r="L4164" s="1">
        <v>44631</v>
      </c>
      <c r="M4164">
        <v>31</v>
      </c>
      <c r="N4164">
        <v>318</v>
      </c>
      <c r="O4164">
        <v>1194</v>
      </c>
      <c r="P4164">
        <v>1182</v>
      </c>
      <c r="Q4164">
        <v>1194</v>
      </c>
      <c r="S4164">
        <v>3736</v>
      </c>
      <c r="T4164">
        <v>3736</v>
      </c>
      <c r="U4164">
        <f>+SUM(Table1[[#This Row],[Latinos]:[Cemex]])</f>
        <v>1</v>
      </c>
      <c r="V4164" t="str">
        <f>+Table1[[#This Row],[id_destino]]&amp;" - "&amp;Table1[[#This Row],[id_origen]]</f>
        <v>31 - 318</v>
      </c>
    </row>
    <row r="4165" spans="1:22" hidden="1">
      <c r="A4165">
        <v>4455</v>
      </c>
      <c r="B4165">
        <v>4671</v>
      </c>
      <c r="C4165">
        <v>5052</v>
      </c>
      <c r="D4165">
        <v>5155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0</v>
      </c>
      <c r="K4165" t="s">
        <v>20</v>
      </c>
      <c r="L4165" s="1">
        <v>45555</v>
      </c>
      <c r="M4165">
        <v>33</v>
      </c>
      <c r="N4165">
        <v>318</v>
      </c>
      <c r="O4165">
        <v>969</v>
      </c>
      <c r="P4165">
        <v>938</v>
      </c>
      <c r="Q4165">
        <v>969</v>
      </c>
      <c r="S4165">
        <v>2285</v>
      </c>
      <c r="T4165">
        <v>2441</v>
      </c>
      <c r="U4165">
        <f>+SUM(Table1[[#This Row],[Latinos]:[Cemex]])</f>
        <v>1</v>
      </c>
      <c r="V4165" t="str">
        <f>+Table1[[#This Row],[id_destino]]&amp;" - "&amp;Table1[[#This Row],[id_origen]]</f>
        <v>33 - 318</v>
      </c>
    </row>
    <row r="4166" spans="1:22">
      <c r="A4166">
        <v>1092</v>
      </c>
      <c r="B4166">
        <v>2582</v>
      </c>
      <c r="C4166">
        <v>5330</v>
      </c>
      <c r="D4166">
        <v>40</v>
      </c>
      <c r="E4166">
        <v>0</v>
      </c>
      <c r="F4166">
        <v>1</v>
      </c>
      <c r="G4166">
        <v>0</v>
      </c>
      <c r="H4166">
        <v>0</v>
      </c>
      <c r="I4166">
        <v>0</v>
      </c>
      <c r="J4166">
        <v>0</v>
      </c>
      <c r="K4166" t="s">
        <v>20</v>
      </c>
      <c r="L4166" s="1">
        <v>43285</v>
      </c>
      <c r="M4166">
        <v>34</v>
      </c>
      <c r="N4166">
        <v>318</v>
      </c>
      <c r="O4166">
        <v>953</v>
      </c>
      <c r="P4166">
        <v>953</v>
      </c>
      <c r="Q4166">
        <v>953</v>
      </c>
      <c r="S4166">
        <v>936</v>
      </c>
      <c r="T4166">
        <v>1050</v>
      </c>
      <c r="U4166">
        <f>+SUM(Table1[[#This Row],[Latinos]:[Cemex]])</f>
        <v>1</v>
      </c>
      <c r="V4166" t="str">
        <f>+Table1[[#This Row],[id_destino]]&amp;" - "&amp;Table1[[#This Row],[id_origen]]</f>
        <v>34 - 318</v>
      </c>
    </row>
    <row r="4167" spans="1:22">
      <c r="A4167">
        <v>2915</v>
      </c>
      <c r="B4167">
        <v>2582</v>
      </c>
      <c r="C4167">
        <v>4545</v>
      </c>
      <c r="D4167">
        <v>6398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 t="s">
        <v>20</v>
      </c>
      <c r="L4167" s="1">
        <v>44608</v>
      </c>
      <c r="M4167">
        <v>34</v>
      </c>
      <c r="N4167">
        <v>318</v>
      </c>
      <c r="O4167">
        <v>947</v>
      </c>
      <c r="P4167">
        <v>953</v>
      </c>
      <c r="Q4167">
        <v>947</v>
      </c>
      <c r="S4167">
        <v>1028</v>
      </c>
      <c r="T4167">
        <v>1150</v>
      </c>
      <c r="U4167">
        <f>+SUM(Table1[[#This Row],[Latinos]:[Cemex]])</f>
        <v>1</v>
      </c>
      <c r="V4167" t="str">
        <f>+Table1[[#This Row],[id_destino]]&amp;" - "&amp;Table1[[#This Row],[id_origen]]</f>
        <v>34 - 318</v>
      </c>
    </row>
    <row r="4168" spans="1:22" hidden="1">
      <c r="A4168">
        <v>2955</v>
      </c>
      <c r="B4168">
        <v>3679</v>
      </c>
      <c r="C4168">
        <v>2871</v>
      </c>
      <c r="D4168">
        <v>6506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 t="s">
        <v>20</v>
      </c>
      <c r="L4168" s="1">
        <v>44646</v>
      </c>
      <c r="M4168">
        <v>35</v>
      </c>
      <c r="N4168">
        <v>318</v>
      </c>
      <c r="O4168">
        <v>439</v>
      </c>
      <c r="P4168">
        <v>437</v>
      </c>
      <c r="Q4168">
        <v>439</v>
      </c>
      <c r="S4168">
        <v>1345</v>
      </c>
      <c r="T4168">
        <v>1345</v>
      </c>
      <c r="U4168">
        <f>+SUM(Table1[[#This Row],[Latinos]:[Cemex]])</f>
        <v>1</v>
      </c>
      <c r="V4168" t="str">
        <f>+Table1[[#This Row],[id_destino]]&amp;" - "&amp;Table1[[#This Row],[id_origen]]</f>
        <v>35 - 318</v>
      </c>
    </row>
    <row r="4169" spans="1:22" hidden="1">
      <c r="A4169">
        <v>2944</v>
      </c>
      <c r="B4169">
        <v>3671</v>
      </c>
      <c r="C4169">
        <v>4545</v>
      </c>
      <c r="D4169">
        <v>6823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 t="s">
        <v>20</v>
      </c>
      <c r="L4169" s="1">
        <v>44631</v>
      </c>
      <c r="M4169">
        <v>38</v>
      </c>
      <c r="N4169">
        <v>318</v>
      </c>
      <c r="O4169">
        <v>275</v>
      </c>
      <c r="P4169">
        <v>262</v>
      </c>
      <c r="Q4169">
        <v>275</v>
      </c>
      <c r="S4169">
        <v>879</v>
      </c>
      <c r="T4169">
        <v>879</v>
      </c>
      <c r="U4169">
        <f>+SUM(Table1[[#This Row],[Latinos]:[Cemex]])</f>
        <v>1</v>
      </c>
      <c r="V4169" t="str">
        <f>+Table1[[#This Row],[id_destino]]&amp;" - "&amp;Table1[[#This Row],[id_origen]]</f>
        <v>38 - 318</v>
      </c>
    </row>
    <row r="4170" spans="1:22" hidden="1">
      <c r="A4170">
        <v>1713</v>
      </c>
      <c r="B4170">
        <v>1071</v>
      </c>
      <c r="C4170">
        <v>5204</v>
      </c>
      <c r="D4170">
        <v>5892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 t="s">
        <v>20</v>
      </c>
      <c r="L4170" s="1">
        <v>43572</v>
      </c>
      <c r="M4170">
        <v>47</v>
      </c>
      <c r="N4170">
        <v>318</v>
      </c>
      <c r="O4170">
        <v>107</v>
      </c>
      <c r="P4170">
        <v>150</v>
      </c>
      <c r="Q4170">
        <v>107</v>
      </c>
      <c r="S4170">
        <v>287</v>
      </c>
      <c r="T4170">
        <v>339</v>
      </c>
      <c r="U4170">
        <f>+SUM(Table1[[#This Row],[Latinos]:[Cemex]])</f>
        <v>1</v>
      </c>
      <c r="V4170" t="str">
        <f>+Table1[[#This Row],[id_destino]]&amp;" - "&amp;Table1[[#This Row],[id_origen]]</f>
        <v>47 - 318</v>
      </c>
    </row>
    <row r="4171" spans="1:22" hidden="1">
      <c r="A4171">
        <v>2513</v>
      </c>
      <c r="B4171">
        <v>1071</v>
      </c>
      <c r="C4171">
        <v>2871</v>
      </c>
      <c r="D4171">
        <v>6283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0</v>
      </c>
      <c r="K4171" t="s">
        <v>20</v>
      </c>
      <c r="L4171" s="1">
        <v>45596</v>
      </c>
      <c r="M4171">
        <v>47</v>
      </c>
      <c r="N4171">
        <v>318</v>
      </c>
      <c r="O4171">
        <v>101</v>
      </c>
      <c r="P4171">
        <v>150</v>
      </c>
      <c r="Q4171">
        <v>101</v>
      </c>
      <c r="S4171">
        <v>526</v>
      </c>
      <c r="T4171">
        <v>526</v>
      </c>
      <c r="U4171">
        <f>+SUM(Table1[[#This Row],[Latinos]:[Cemex]])</f>
        <v>1</v>
      </c>
      <c r="V4171" t="str">
        <f>+Table1[[#This Row],[id_destino]]&amp;" - "&amp;Table1[[#This Row],[id_origen]]</f>
        <v>47 - 318</v>
      </c>
    </row>
    <row r="4172" spans="1:22" hidden="1">
      <c r="A4172">
        <v>2943</v>
      </c>
      <c r="B4172">
        <v>588</v>
      </c>
      <c r="C4172">
        <v>4545</v>
      </c>
      <c r="D4172">
        <v>6590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 t="s">
        <v>20</v>
      </c>
      <c r="L4172" s="1">
        <v>44631</v>
      </c>
      <c r="M4172">
        <v>60</v>
      </c>
      <c r="N4172">
        <v>318</v>
      </c>
      <c r="O4172">
        <v>2811</v>
      </c>
      <c r="P4172">
        <v>2793</v>
      </c>
      <c r="Q4172">
        <v>2811</v>
      </c>
      <c r="S4172">
        <v>3125</v>
      </c>
      <c r="T4172">
        <v>3633</v>
      </c>
      <c r="U4172">
        <f>+SUM(Table1[[#This Row],[Latinos]:[Cemex]])</f>
        <v>1</v>
      </c>
      <c r="V4172" t="str">
        <f>+Table1[[#This Row],[id_destino]]&amp;" - "&amp;Table1[[#This Row],[id_origen]]</f>
        <v>60 - 318</v>
      </c>
    </row>
    <row r="4173" spans="1:22" hidden="1">
      <c r="A4173">
        <v>2923</v>
      </c>
      <c r="B4173">
        <v>3658</v>
      </c>
      <c r="C4173">
        <v>4545</v>
      </c>
      <c r="D4173">
        <v>6799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 t="s">
        <v>20</v>
      </c>
      <c r="L4173" s="1">
        <v>44616</v>
      </c>
      <c r="M4173">
        <v>62</v>
      </c>
      <c r="N4173">
        <v>318</v>
      </c>
      <c r="O4173">
        <v>376</v>
      </c>
      <c r="P4173">
        <v>365</v>
      </c>
      <c r="Q4173">
        <v>376</v>
      </c>
      <c r="S4173">
        <v>471</v>
      </c>
      <c r="T4173">
        <v>471</v>
      </c>
      <c r="U4173">
        <f>+SUM(Table1[[#This Row],[Latinos]:[Cemex]])</f>
        <v>1</v>
      </c>
      <c r="V4173" t="str">
        <f>+Table1[[#This Row],[id_destino]]&amp;" - "&amp;Table1[[#This Row],[id_origen]]</f>
        <v>62 - 318</v>
      </c>
    </row>
    <row r="4174" spans="1:22" hidden="1">
      <c r="A4174">
        <v>1134</v>
      </c>
      <c r="B4174">
        <v>46</v>
      </c>
      <c r="C4174">
        <v>5330</v>
      </c>
      <c r="D4174">
        <v>3499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 t="s">
        <v>20</v>
      </c>
      <c r="L4174" s="1">
        <v>43304</v>
      </c>
      <c r="M4174">
        <v>71</v>
      </c>
      <c r="N4174">
        <v>318</v>
      </c>
      <c r="O4174">
        <v>515</v>
      </c>
      <c r="P4174">
        <v>499</v>
      </c>
      <c r="Q4174">
        <v>515</v>
      </c>
      <c r="S4174">
        <v>1558</v>
      </c>
      <c r="T4174">
        <v>1558</v>
      </c>
      <c r="U4174">
        <f>+SUM(Table1[[#This Row],[Latinos]:[Cemex]])</f>
        <v>1</v>
      </c>
      <c r="V4174" t="str">
        <f>+Table1[[#This Row],[id_destino]]&amp;" - "&amp;Table1[[#This Row],[id_origen]]</f>
        <v>71 - 318</v>
      </c>
    </row>
    <row r="4175" spans="1:22" hidden="1">
      <c r="A4175">
        <v>3377</v>
      </c>
      <c r="B4175">
        <v>111</v>
      </c>
      <c r="C4175">
        <v>7090</v>
      </c>
      <c r="D4175">
        <v>468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 t="s">
        <v>20</v>
      </c>
      <c r="L4175" s="1">
        <v>44862</v>
      </c>
      <c r="M4175">
        <v>73</v>
      </c>
      <c r="N4175">
        <v>318</v>
      </c>
      <c r="O4175">
        <v>881</v>
      </c>
      <c r="P4175">
        <v>877</v>
      </c>
      <c r="Q4175">
        <v>881</v>
      </c>
      <c r="S4175">
        <v>867</v>
      </c>
      <c r="T4175">
        <v>867</v>
      </c>
      <c r="U4175">
        <f>+SUM(Table1[[#This Row],[Latinos]:[Cemex]])</f>
        <v>1</v>
      </c>
      <c r="V4175" t="str">
        <f>+Table1[[#This Row],[id_destino]]&amp;" - "&amp;Table1[[#This Row],[id_origen]]</f>
        <v>73 - 318</v>
      </c>
    </row>
    <row r="4176" spans="1:22" hidden="1">
      <c r="A4176">
        <v>2680</v>
      </c>
      <c r="B4176">
        <v>3497</v>
      </c>
      <c r="C4176">
        <v>5963</v>
      </c>
      <c r="D4176">
        <v>4246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 t="s">
        <v>20</v>
      </c>
      <c r="L4176" s="1">
        <v>44337</v>
      </c>
      <c r="M4176">
        <v>79</v>
      </c>
      <c r="N4176">
        <v>318</v>
      </c>
      <c r="O4176">
        <v>286</v>
      </c>
      <c r="P4176">
        <v>305</v>
      </c>
      <c r="Q4176">
        <v>286</v>
      </c>
      <c r="S4176">
        <v>669</v>
      </c>
      <c r="T4176">
        <v>748</v>
      </c>
      <c r="U4176">
        <f>+SUM(Table1[[#This Row],[Latinos]:[Cemex]])</f>
        <v>1</v>
      </c>
      <c r="V4176" t="str">
        <f>+Table1[[#This Row],[id_destino]]&amp;" - "&amp;Table1[[#This Row],[id_origen]]</f>
        <v>79 - 318</v>
      </c>
    </row>
    <row r="4177" spans="1:22" hidden="1">
      <c r="A4177">
        <v>3460</v>
      </c>
      <c r="B4177">
        <v>4007</v>
      </c>
      <c r="C4177">
        <v>4545</v>
      </c>
      <c r="D4177">
        <v>7139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 t="s">
        <v>20</v>
      </c>
      <c r="L4177" s="1">
        <v>44904</v>
      </c>
      <c r="M4177">
        <v>120</v>
      </c>
      <c r="N4177">
        <v>318</v>
      </c>
      <c r="O4177">
        <v>786</v>
      </c>
      <c r="P4177">
        <v>1002</v>
      </c>
      <c r="Q4177">
        <v>786</v>
      </c>
      <c r="S4177">
        <v>1954</v>
      </c>
      <c r="T4177">
        <v>2028</v>
      </c>
      <c r="U4177">
        <f>+SUM(Table1[[#This Row],[Latinos]:[Cemex]])</f>
        <v>1</v>
      </c>
      <c r="V4177" t="str">
        <f>+Table1[[#This Row],[id_destino]]&amp;" - "&amp;Table1[[#This Row],[id_origen]]</f>
        <v>120 - 318</v>
      </c>
    </row>
    <row r="4178" spans="1:22" hidden="1">
      <c r="A4178">
        <v>3461</v>
      </c>
      <c r="B4178">
        <v>4008</v>
      </c>
      <c r="C4178">
        <v>4545</v>
      </c>
      <c r="D4178">
        <v>7140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 t="s">
        <v>20</v>
      </c>
      <c r="L4178" s="1">
        <v>44904</v>
      </c>
      <c r="M4178">
        <v>126</v>
      </c>
      <c r="N4178">
        <v>318</v>
      </c>
      <c r="O4178">
        <v>883</v>
      </c>
      <c r="P4178">
        <v>883</v>
      </c>
      <c r="Q4178">
        <v>883</v>
      </c>
      <c r="S4178">
        <v>1954</v>
      </c>
      <c r="T4178">
        <v>2028</v>
      </c>
      <c r="U4178">
        <f>+SUM(Table1[[#This Row],[Latinos]:[Cemex]])</f>
        <v>1</v>
      </c>
      <c r="V4178" t="str">
        <f>+Table1[[#This Row],[id_destino]]&amp;" - "&amp;Table1[[#This Row],[id_origen]]</f>
        <v>126 - 318</v>
      </c>
    </row>
    <row r="4179" spans="1:22" hidden="1">
      <c r="A4179">
        <v>1743</v>
      </c>
      <c r="B4179">
        <v>2596</v>
      </c>
      <c r="C4179">
        <v>5914</v>
      </c>
      <c r="D4179">
        <v>5915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0</v>
      </c>
      <c r="K4179" t="s">
        <v>20</v>
      </c>
      <c r="L4179" s="1">
        <v>43596</v>
      </c>
      <c r="M4179">
        <v>169</v>
      </c>
      <c r="N4179">
        <v>318</v>
      </c>
      <c r="O4179">
        <v>340</v>
      </c>
      <c r="P4179">
        <v>341</v>
      </c>
      <c r="Q4179">
        <v>340</v>
      </c>
      <c r="S4179">
        <v>688</v>
      </c>
      <c r="T4179">
        <v>688</v>
      </c>
      <c r="U4179">
        <f>+SUM(Table1[[#This Row],[Latinos]:[Cemex]])</f>
        <v>1</v>
      </c>
      <c r="V4179" t="str">
        <f>+Table1[[#This Row],[id_destino]]&amp;" - "&amp;Table1[[#This Row],[id_origen]]</f>
        <v>169 - 318</v>
      </c>
    </row>
    <row r="4180" spans="1:22" hidden="1">
      <c r="A4180">
        <v>3615</v>
      </c>
      <c r="B4180">
        <v>2596</v>
      </c>
      <c r="C4180">
        <v>4545</v>
      </c>
      <c r="D4180">
        <v>7255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 t="s">
        <v>20</v>
      </c>
      <c r="L4180" s="1">
        <v>44987</v>
      </c>
      <c r="M4180">
        <v>169</v>
      </c>
      <c r="N4180">
        <v>318</v>
      </c>
      <c r="O4180">
        <v>344</v>
      </c>
      <c r="P4180">
        <v>341</v>
      </c>
      <c r="Q4180">
        <v>344</v>
      </c>
      <c r="S4180">
        <v>730</v>
      </c>
      <c r="T4180">
        <v>730</v>
      </c>
      <c r="U4180">
        <f>+SUM(Table1[[#This Row],[Latinos]:[Cemex]])</f>
        <v>1</v>
      </c>
      <c r="V4180" t="str">
        <f>+Table1[[#This Row],[id_destino]]&amp;" - "&amp;Table1[[#This Row],[id_origen]]</f>
        <v>169 - 318</v>
      </c>
    </row>
    <row r="4181" spans="1:22" hidden="1">
      <c r="A4181">
        <v>3418</v>
      </c>
      <c r="B4181">
        <v>3976</v>
      </c>
      <c r="C4181">
        <v>4545</v>
      </c>
      <c r="D4181">
        <v>7114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 t="s">
        <v>20</v>
      </c>
      <c r="L4181" s="1">
        <v>44881</v>
      </c>
      <c r="M4181">
        <v>190</v>
      </c>
      <c r="N4181">
        <v>318</v>
      </c>
      <c r="O4181">
        <v>697</v>
      </c>
      <c r="P4181">
        <v>676</v>
      </c>
      <c r="Q4181">
        <v>697</v>
      </c>
      <c r="S4181">
        <v>795</v>
      </c>
      <c r="T4181">
        <v>812</v>
      </c>
      <c r="U4181">
        <f>+SUM(Table1[[#This Row],[Latinos]:[Cemex]])</f>
        <v>1</v>
      </c>
      <c r="V4181" t="str">
        <f>+Table1[[#This Row],[id_destino]]&amp;" - "&amp;Table1[[#This Row],[id_origen]]</f>
        <v>190 - 318</v>
      </c>
    </row>
    <row r="4182" spans="1:22">
      <c r="A4182">
        <v>3459</v>
      </c>
      <c r="B4182">
        <v>4006</v>
      </c>
      <c r="C4182">
        <v>4545</v>
      </c>
      <c r="D4182">
        <v>7138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 t="s">
        <v>20</v>
      </c>
      <c r="L4182" s="1">
        <v>44904</v>
      </c>
      <c r="M4182">
        <v>214</v>
      </c>
      <c r="N4182">
        <v>318</v>
      </c>
      <c r="O4182">
        <v>808</v>
      </c>
      <c r="P4182">
        <v>805</v>
      </c>
      <c r="Q4182">
        <v>808</v>
      </c>
      <c r="S4182">
        <v>1258</v>
      </c>
      <c r="T4182">
        <v>1332</v>
      </c>
      <c r="U4182">
        <f>+SUM(Table1[[#This Row],[Latinos]:[Cemex]])</f>
        <v>1</v>
      </c>
      <c r="V4182" t="str">
        <f>+Table1[[#This Row],[id_destino]]&amp;" - "&amp;Table1[[#This Row],[id_origen]]</f>
        <v>214 - 318</v>
      </c>
    </row>
    <row r="4183" spans="1:22" hidden="1">
      <c r="A4183">
        <v>3462</v>
      </c>
      <c r="B4183">
        <v>4009</v>
      </c>
      <c r="C4183">
        <v>4545</v>
      </c>
      <c r="D4183">
        <v>7141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 t="s">
        <v>20</v>
      </c>
      <c r="L4183" s="1">
        <v>44904</v>
      </c>
      <c r="M4183">
        <v>243</v>
      </c>
      <c r="N4183">
        <v>318</v>
      </c>
      <c r="O4183">
        <v>773</v>
      </c>
      <c r="P4183">
        <v>803</v>
      </c>
      <c r="Q4183">
        <v>773</v>
      </c>
      <c r="S4183">
        <v>1728</v>
      </c>
      <c r="T4183">
        <v>1802</v>
      </c>
      <c r="U4183">
        <f>+SUM(Table1[[#This Row],[Latinos]:[Cemex]])</f>
        <v>1</v>
      </c>
      <c r="V4183" t="str">
        <f>+Table1[[#This Row],[id_destino]]&amp;" - "&amp;Table1[[#This Row],[id_origen]]</f>
        <v>243 - 318</v>
      </c>
    </row>
    <row r="4184" spans="1:22">
      <c r="A4184">
        <v>4600</v>
      </c>
      <c r="B4184">
        <v>4785</v>
      </c>
      <c r="C4184">
        <v>4789</v>
      </c>
      <c r="D4184">
        <v>8076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 t="s">
        <v>20</v>
      </c>
      <c r="L4184" s="1">
        <v>45663</v>
      </c>
      <c r="M4184">
        <v>254</v>
      </c>
      <c r="N4184">
        <v>318</v>
      </c>
      <c r="O4184">
        <v>43</v>
      </c>
      <c r="P4184">
        <v>150</v>
      </c>
      <c r="Q4184">
        <v>43</v>
      </c>
      <c r="S4184">
        <v>305</v>
      </c>
      <c r="T4184">
        <v>305</v>
      </c>
      <c r="U4184">
        <f>+SUM(Table1[[#This Row],[Latinos]:[Cemex]])</f>
        <v>1</v>
      </c>
      <c r="V4184" t="str">
        <f>+Table1[[#This Row],[id_destino]]&amp;" - "&amp;Table1[[#This Row],[id_origen]]</f>
        <v>254 - 318</v>
      </c>
    </row>
    <row r="4185" spans="1:22" hidden="1">
      <c r="A4185">
        <v>4448</v>
      </c>
      <c r="B4185">
        <v>4666</v>
      </c>
      <c r="C4185">
        <v>7838</v>
      </c>
      <c r="D4185">
        <v>5963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 t="s">
        <v>20</v>
      </c>
      <c r="L4185" s="1">
        <v>45548</v>
      </c>
      <c r="M4185">
        <v>318</v>
      </c>
      <c r="N4185">
        <v>318</v>
      </c>
      <c r="O4185">
        <v>7</v>
      </c>
      <c r="P4185">
        <v>7</v>
      </c>
      <c r="Q4185">
        <v>7</v>
      </c>
      <c r="S4185">
        <v>0</v>
      </c>
      <c r="T4185">
        <v>0</v>
      </c>
      <c r="U4185">
        <f>+SUM(Table1[[#This Row],[Latinos]:[Cemex]])</f>
        <v>1</v>
      </c>
      <c r="V4185" t="str">
        <f>+Table1[[#This Row],[id_destino]]&amp;" - "&amp;Table1[[#This Row],[id_origen]]</f>
        <v>318 - 318</v>
      </c>
    </row>
    <row r="4186" spans="1:22" hidden="1">
      <c r="A4186">
        <v>2913</v>
      </c>
      <c r="B4186">
        <v>3650</v>
      </c>
      <c r="C4186">
        <v>4545</v>
      </c>
      <c r="D4186">
        <v>6401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 t="s">
        <v>20</v>
      </c>
      <c r="L4186" s="1">
        <v>44608</v>
      </c>
      <c r="M4186">
        <v>379</v>
      </c>
      <c r="N4186">
        <v>318</v>
      </c>
      <c r="O4186">
        <v>854</v>
      </c>
      <c r="P4186">
        <v>851</v>
      </c>
      <c r="Q4186">
        <v>854</v>
      </c>
      <c r="S4186">
        <v>806</v>
      </c>
      <c r="T4186">
        <v>806</v>
      </c>
      <c r="U4186">
        <f>+SUM(Table1[[#This Row],[Latinos]:[Cemex]])</f>
        <v>1</v>
      </c>
      <c r="V4186" t="str">
        <f>+Table1[[#This Row],[id_destino]]&amp;" - "&amp;Table1[[#This Row],[id_origen]]</f>
        <v>379 - 318</v>
      </c>
    </row>
    <row r="4187" spans="1:22" hidden="1">
      <c r="A4187">
        <v>2455</v>
      </c>
      <c r="B4187">
        <v>3514</v>
      </c>
      <c r="C4187">
        <v>4545</v>
      </c>
      <c r="D4187">
        <v>7587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 t="s">
        <v>20</v>
      </c>
      <c r="L4187" s="1">
        <v>45730</v>
      </c>
      <c r="M4187">
        <v>473</v>
      </c>
      <c r="N4187">
        <v>318</v>
      </c>
      <c r="O4187">
        <v>56</v>
      </c>
      <c r="P4187">
        <v>100</v>
      </c>
      <c r="Q4187">
        <v>56</v>
      </c>
      <c r="S4187">
        <v>389</v>
      </c>
      <c r="T4187">
        <v>389</v>
      </c>
      <c r="U4187">
        <f>+SUM(Table1[[#This Row],[Latinos]:[Cemex]])</f>
        <v>1</v>
      </c>
      <c r="V4187" t="str">
        <f>+Table1[[#This Row],[id_destino]]&amp;" - "&amp;Table1[[#This Row],[id_origen]]</f>
        <v>473 - 318</v>
      </c>
    </row>
    <row r="4188" spans="1:22">
      <c r="A4188">
        <v>1877</v>
      </c>
      <c r="B4188">
        <v>2990</v>
      </c>
      <c r="C4188">
        <v>5963</v>
      </c>
      <c r="D4188">
        <v>3489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 t="s">
        <v>60</v>
      </c>
      <c r="L4188" s="1">
        <v>43682</v>
      </c>
      <c r="M4188">
        <v>684</v>
      </c>
      <c r="N4188">
        <v>318</v>
      </c>
      <c r="O4188">
        <v>304</v>
      </c>
      <c r="P4188">
        <v>304</v>
      </c>
      <c r="Q4188">
        <v>304</v>
      </c>
      <c r="S4188">
        <v>609</v>
      </c>
      <c r="T4188">
        <v>685</v>
      </c>
      <c r="U4188">
        <f>+SUM(Table1[[#This Row],[Latinos]:[Cemex]])</f>
        <v>1</v>
      </c>
      <c r="V4188" t="str">
        <f>+Table1[[#This Row],[id_destino]]&amp;" - "&amp;Table1[[#This Row],[id_origen]]</f>
        <v>684 - 318</v>
      </c>
    </row>
    <row r="4189" spans="1:22" hidden="1">
      <c r="A4189">
        <v>2229</v>
      </c>
      <c r="B4189">
        <v>3214</v>
      </c>
      <c r="C4189">
        <v>5963</v>
      </c>
      <c r="D4189">
        <v>5412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 t="s">
        <v>20</v>
      </c>
      <c r="L4189" s="1">
        <v>43866</v>
      </c>
      <c r="M4189">
        <v>729</v>
      </c>
      <c r="N4189">
        <v>318</v>
      </c>
      <c r="O4189">
        <v>36</v>
      </c>
      <c r="P4189">
        <v>150</v>
      </c>
      <c r="Q4189">
        <v>36</v>
      </c>
      <c r="S4189">
        <v>0</v>
      </c>
      <c r="T4189">
        <v>0</v>
      </c>
      <c r="U4189">
        <f>+SUM(Table1[[#This Row],[Latinos]:[Cemex]])</f>
        <v>1</v>
      </c>
      <c r="V4189" t="str">
        <f>+Table1[[#This Row],[id_destino]]&amp;" - "&amp;Table1[[#This Row],[id_origen]]</f>
        <v>729 - 318</v>
      </c>
    </row>
    <row r="4190" spans="1:22" hidden="1">
      <c r="A4190">
        <v>2916</v>
      </c>
      <c r="B4190">
        <v>3652</v>
      </c>
      <c r="C4190">
        <v>4545</v>
      </c>
      <c r="D4190">
        <v>6505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 t="s">
        <v>20</v>
      </c>
      <c r="L4190" s="1">
        <v>44608</v>
      </c>
      <c r="M4190">
        <v>747</v>
      </c>
      <c r="N4190">
        <v>318</v>
      </c>
      <c r="O4190">
        <v>1395</v>
      </c>
      <c r="P4190">
        <v>1431</v>
      </c>
      <c r="Q4190">
        <v>1395</v>
      </c>
      <c r="S4190">
        <v>2194</v>
      </c>
      <c r="T4190">
        <v>2268</v>
      </c>
      <c r="U4190">
        <f>+SUM(Table1[[#This Row],[Latinos]:[Cemex]])</f>
        <v>1</v>
      </c>
      <c r="V4190" t="str">
        <f>+Table1[[#This Row],[id_destino]]&amp;" - "&amp;Table1[[#This Row],[id_origen]]</f>
        <v>747 - 318</v>
      </c>
    </row>
    <row r="4191" spans="1:22">
      <c r="A4191">
        <v>3458</v>
      </c>
      <c r="B4191">
        <v>4005</v>
      </c>
      <c r="C4191">
        <v>4545</v>
      </c>
      <c r="D4191">
        <v>7137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 t="s">
        <v>20</v>
      </c>
      <c r="L4191" s="1">
        <v>44904</v>
      </c>
      <c r="M4191">
        <v>864</v>
      </c>
      <c r="N4191">
        <v>318</v>
      </c>
      <c r="O4191">
        <v>894</v>
      </c>
      <c r="P4191">
        <v>890</v>
      </c>
      <c r="Q4191">
        <v>894</v>
      </c>
      <c r="S4191">
        <v>1469</v>
      </c>
      <c r="T4191">
        <v>1543</v>
      </c>
      <c r="U4191">
        <f>+SUM(Table1[[#This Row],[Latinos]:[Cemex]])</f>
        <v>1</v>
      </c>
      <c r="V4191" t="str">
        <f>+Table1[[#This Row],[id_destino]]&amp;" - "&amp;Table1[[#This Row],[id_origen]]</f>
        <v>864 - 318</v>
      </c>
    </row>
    <row r="4192" spans="1:22" hidden="1">
      <c r="A4192">
        <v>1498</v>
      </c>
      <c r="B4192">
        <v>1760</v>
      </c>
      <c r="C4192">
        <v>1291</v>
      </c>
      <c r="D4192">
        <v>4177</v>
      </c>
      <c r="E4192">
        <v>0</v>
      </c>
      <c r="F4192">
        <v>1</v>
      </c>
      <c r="G4192">
        <v>0</v>
      </c>
      <c r="H4192">
        <v>0</v>
      </c>
      <c r="I4192">
        <v>0</v>
      </c>
      <c r="J4192">
        <v>0</v>
      </c>
      <c r="K4192" t="s">
        <v>20</v>
      </c>
      <c r="L4192" s="1">
        <v>43473</v>
      </c>
      <c r="M4192">
        <v>18</v>
      </c>
      <c r="N4192">
        <v>330</v>
      </c>
      <c r="O4192">
        <v>485</v>
      </c>
      <c r="P4192">
        <v>485</v>
      </c>
      <c r="Q4192">
        <v>485</v>
      </c>
      <c r="S4192">
        <v>1561</v>
      </c>
      <c r="T4192">
        <v>1561</v>
      </c>
      <c r="U4192">
        <f>+SUM(Table1[[#This Row],[Latinos]:[Cemex]])</f>
        <v>1</v>
      </c>
      <c r="V4192" t="str">
        <f>+Table1[[#This Row],[id_destino]]&amp;" - "&amp;Table1[[#This Row],[id_origen]]</f>
        <v>18 - 330</v>
      </c>
    </row>
    <row r="4193" spans="1:22" hidden="1">
      <c r="A4193">
        <v>4473</v>
      </c>
      <c r="B4193">
        <v>4684</v>
      </c>
      <c r="C4193">
        <v>1291</v>
      </c>
      <c r="D4193">
        <v>7944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0</v>
      </c>
      <c r="K4193" t="s">
        <v>20</v>
      </c>
      <c r="L4193" s="1">
        <v>45572</v>
      </c>
      <c r="M4193">
        <v>55</v>
      </c>
      <c r="N4193">
        <v>330</v>
      </c>
      <c r="O4193">
        <v>546</v>
      </c>
      <c r="P4193">
        <v>553</v>
      </c>
      <c r="Q4193">
        <v>546</v>
      </c>
      <c r="S4193">
        <v>2366</v>
      </c>
      <c r="T4193">
        <v>2366</v>
      </c>
      <c r="U4193">
        <f>+SUM(Table1[[#This Row],[Latinos]:[Cemex]])</f>
        <v>1</v>
      </c>
      <c r="V4193" t="str">
        <f>+Table1[[#This Row],[id_destino]]&amp;" - "&amp;Table1[[#This Row],[id_origen]]</f>
        <v>55 - 330</v>
      </c>
    </row>
    <row r="4194" spans="1:22" hidden="1">
      <c r="A4194">
        <v>4174</v>
      </c>
      <c r="B4194">
        <v>4469</v>
      </c>
      <c r="C4194">
        <v>1291</v>
      </c>
      <c r="D4194">
        <v>7005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 t="s">
        <v>20</v>
      </c>
      <c r="L4194" s="1">
        <v>45338</v>
      </c>
      <c r="M4194">
        <v>136</v>
      </c>
      <c r="N4194">
        <v>330</v>
      </c>
      <c r="O4194">
        <v>658</v>
      </c>
      <c r="P4194">
        <v>649</v>
      </c>
      <c r="Q4194">
        <v>658</v>
      </c>
      <c r="S4194">
        <v>2957</v>
      </c>
      <c r="T4194">
        <v>2957</v>
      </c>
      <c r="U4194">
        <f>+SUM(Table1[[#This Row],[Latinos]:[Cemex]])</f>
        <v>1</v>
      </c>
      <c r="V4194" t="str">
        <f>+Table1[[#This Row],[id_destino]]&amp;" - "&amp;Table1[[#This Row],[id_origen]]</f>
        <v>136 - 330</v>
      </c>
    </row>
    <row r="4195" spans="1:22" hidden="1">
      <c r="A4195">
        <v>4742</v>
      </c>
      <c r="B4195">
        <v>4881</v>
      </c>
      <c r="C4195">
        <v>8214</v>
      </c>
      <c r="D4195">
        <v>8215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 t="s">
        <v>20</v>
      </c>
      <c r="L4195" s="1">
        <v>45777</v>
      </c>
      <c r="M4195">
        <v>65</v>
      </c>
      <c r="N4195">
        <v>331</v>
      </c>
      <c r="O4195">
        <v>331</v>
      </c>
      <c r="P4195">
        <v>331</v>
      </c>
      <c r="Q4195">
        <v>331</v>
      </c>
      <c r="S4195">
        <v>1231</v>
      </c>
      <c r="T4195">
        <v>1231</v>
      </c>
      <c r="U4195">
        <f>+SUM(Table1[[#This Row],[Latinos]:[Cemex]])</f>
        <v>1</v>
      </c>
      <c r="V4195" t="str">
        <f>+Table1[[#This Row],[id_destino]]&amp;" - "&amp;Table1[[#This Row],[id_origen]]</f>
        <v>65 - 331</v>
      </c>
    </row>
    <row r="4196" spans="1:22" hidden="1">
      <c r="A4196">
        <v>3504</v>
      </c>
      <c r="B4196">
        <v>4033</v>
      </c>
      <c r="C4196">
        <v>7164</v>
      </c>
      <c r="D4196">
        <v>7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 t="s">
        <v>20</v>
      </c>
      <c r="L4196" s="1">
        <v>44937</v>
      </c>
      <c r="M4196">
        <v>9</v>
      </c>
      <c r="N4196">
        <v>337</v>
      </c>
      <c r="O4196">
        <v>2294</v>
      </c>
      <c r="P4196">
        <v>2194</v>
      </c>
      <c r="Q4196">
        <v>2294</v>
      </c>
      <c r="S4196">
        <v>3346</v>
      </c>
      <c r="T4196">
        <v>3423</v>
      </c>
      <c r="U4196">
        <f>+SUM(Table1[[#This Row],[Latinos]:[Cemex]])</f>
        <v>1</v>
      </c>
      <c r="V4196" t="str">
        <f>+Table1[[#This Row],[id_destino]]&amp;" - "&amp;Table1[[#This Row],[id_origen]]</f>
        <v>9 - 337</v>
      </c>
    </row>
    <row r="4197" spans="1:22" hidden="1">
      <c r="A4197">
        <v>2595</v>
      </c>
      <c r="B4197">
        <v>3442</v>
      </c>
      <c r="C4197">
        <v>1791</v>
      </c>
      <c r="D4197">
        <v>4455</v>
      </c>
      <c r="E4197">
        <v>0</v>
      </c>
      <c r="F4197">
        <v>1</v>
      </c>
      <c r="G4197">
        <v>0</v>
      </c>
      <c r="H4197">
        <v>0</v>
      </c>
      <c r="I4197">
        <v>0</v>
      </c>
      <c r="J4197">
        <v>0</v>
      </c>
      <c r="K4197" t="s">
        <v>20</v>
      </c>
      <c r="L4197" s="1">
        <v>44229</v>
      </c>
      <c r="M4197">
        <v>23</v>
      </c>
      <c r="N4197">
        <v>337</v>
      </c>
      <c r="O4197">
        <v>868</v>
      </c>
      <c r="P4197">
        <v>868</v>
      </c>
      <c r="Q4197">
        <v>868</v>
      </c>
      <c r="S4197">
        <v>1259</v>
      </c>
      <c r="T4197">
        <v>1259</v>
      </c>
      <c r="U4197">
        <f>+SUM(Table1[[#This Row],[Latinos]:[Cemex]])</f>
        <v>1</v>
      </c>
      <c r="V4197" t="str">
        <f>+Table1[[#This Row],[id_destino]]&amp;" - "&amp;Table1[[#This Row],[id_origen]]</f>
        <v>23 - 337</v>
      </c>
    </row>
    <row r="4198" spans="1:22" hidden="1">
      <c r="A4198">
        <v>3973</v>
      </c>
      <c r="B4198">
        <v>4331</v>
      </c>
      <c r="C4198">
        <v>1791</v>
      </c>
      <c r="D4198">
        <v>24</v>
      </c>
      <c r="E4198">
        <v>0</v>
      </c>
      <c r="F4198">
        <v>1</v>
      </c>
      <c r="G4198">
        <v>0</v>
      </c>
      <c r="H4198">
        <v>0</v>
      </c>
      <c r="I4198">
        <v>0</v>
      </c>
      <c r="J4198">
        <v>0</v>
      </c>
      <c r="K4198" t="s">
        <v>20</v>
      </c>
      <c r="L4198" s="1">
        <v>45215</v>
      </c>
      <c r="M4198">
        <v>179</v>
      </c>
      <c r="N4198">
        <v>337</v>
      </c>
      <c r="O4198">
        <v>1717</v>
      </c>
      <c r="P4198">
        <v>1507</v>
      </c>
      <c r="Q4198">
        <v>1717</v>
      </c>
      <c r="S4198">
        <v>2172</v>
      </c>
      <c r="T4198">
        <v>2540</v>
      </c>
      <c r="U4198">
        <f>+SUM(Table1[[#This Row],[Latinos]:[Cemex]])</f>
        <v>1</v>
      </c>
      <c r="V4198" t="str">
        <f>+Table1[[#This Row],[id_destino]]&amp;" - "&amp;Table1[[#This Row],[id_origen]]</f>
        <v>179 - 337</v>
      </c>
    </row>
    <row r="4199" spans="1:22" hidden="1">
      <c r="A4199">
        <v>1771</v>
      </c>
      <c r="B4199">
        <v>2929</v>
      </c>
      <c r="C4199">
        <v>3336</v>
      </c>
      <c r="D4199">
        <v>3430</v>
      </c>
      <c r="E4199">
        <v>0</v>
      </c>
      <c r="F4199">
        <v>1</v>
      </c>
      <c r="G4199">
        <v>0</v>
      </c>
      <c r="H4199">
        <v>0</v>
      </c>
      <c r="I4199">
        <v>0</v>
      </c>
      <c r="J4199">
        <v>0</v>
      </c>
      <c r="K4199" t="s">
        <v>20</v>
      </c>
      <c r="L4199" s="1">
        <v>43616</v>
      </c>
      <c r="M4199">
        <v>180</v>
      </c>
      <c r="N4199">
        <v>337</v>
      </c>
      <c r="O4199">
        <v>237</v>
      </c>
      <c r="P4199">
        <v>242</v>
      </c>
      <c r="Q4199">
        <v>237</v>
      </c>
      <c r="S4199">
        <v>393</v>
      </c>
      <c r="T4199">
        <v>393</v>
      </c>
      <c r="U4199">
        <f>+SUM(Table1[[#This Row],[Latinos]:[Cemex]])</f>
        <v>1</v>
      </c>
      <c r="V4199" t="str">
        <f>+Table1[[#This Row],[id_destino]]&amp;" - "&amp;Table1[[#This Row],[id_origen]]</f>
        <v>180 - 337</v>
      </c>
    </row>
    <row r="4200" spans="1:22" hidden="1">
      <c r="A4200">
        <v>2451</v>
      </c>
      <c r="B4200">
        <v>2142</v>
      </c>
      <c r="C4200">
        <v>6388</v>
      </c>
      <c r="D4200">
        <v>3984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0</v>
      </c>
      <c r="K4200" t="s">
        <v>20</v>
      </c>
      <c r="L4200" s="1">
        <v>44081</v>
      </c>
      <c r="M4200">
        <v>59</v>
      </c>
      <c r="N4200">
        <v>338</v>
      </c>
      <c r="O4200">
        <v>447</v>
      </c>
      <c r="P4200">
        <v>400</v>
      </c>
      <c r="Q4200">
        <v>447</v>
      </c>
      <c r="S4200">
        <v>1236</v>
      </c>
      <c r="T4200">
        <v>1285</v>
      </c>
      <c r="U4200">
        <f>+SUM(Table1[[#This Row],[Latinos]:[Cemex]])</f>
        <v>1</v>
      </c>
      <c r="V4200" t="str">
        <f>+Table1[[#This Row],[id_destino]]&amp;" - "&amp;Table1[[#This Row],[id_origen]]</f>
        <v>59 - 338</v>
      </c>
    </row>
    <row r="4201" spans="1:22" hidden="1">
      <c r="A4201">
        <v>1774</v>
      </c>
      <c r="B4201">
        <v>2931</v>
      </c>
      <c r="C4201">
        <v>5928</v>
      </c>
      <c r="D4201">
        <v>63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 t="s">
        <v>20</v>
      </c>
      <c r="L4201" s="1">
        <v>43616</v>
      </c>
      <c r="M4201">
        <v>55</v>
      </c>
      <c r="N4201">
        <v>341</v>
      </c>
      <c r="O4201">
        <v>97</v>
      </c>
      <c r="P4201">
        <v>150</v>
      </c>
      <c r="Q4201">
        <v>97</v>
      </c>
      <c r="S4201">
        <v>0</v>
      </c>
      <c r="T4201">
        <v>0</v>
      </c>
      <c r="U4201">
        <f>+SUM(Table1[[#This Row],[Latinos]:[Cemex]])</f>
        <v>1</v>
      </c>
      <c r="V4201" t="str">
        <f>+Table1[[#This Row],[id_destino]]&amp;" - "&amp;Table1[[#This Row],[id_origen]]</f>
        <v>55 - 341</v>
      </c>
    </row>
    <row r="4202" spans="1:22" hidden="1">
      <c r="A4202">
        <v>1515</v>
      </c>
      <c r="B4202">
        <v>2788</v>
      </c>
      <c r="C4202">
        <v>5378</v>
      </c>
      <c r="D4202">
        <v>3865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 t="s">
        <v>20</v>
      </c>
      <c r="L4202" s="1">
        <v>43480</v>
      </c>
      <c r="M4202">
        <v>1</v>
      </c>
      <c r="N4202">
        <v>345</v>
      </c>
      <c r="O4202">
        <v>917</v>
      </c>
      <c r="P4202">
        <v>917</v>
      </c>
      <c r="Q4202">
        <v>917</v>
      </c>
      <c r="S4202">
        <v>1041</v>
      </c>
      <c r="T4202">
        <v>1041</v>
      </c>
      <c r="U4202">
        <f>+SUM(Table1[[#This Row],[Latinos]:[Cemex]])</f>
        <v>1</v>
      </c>
      <c r="V4202" t="str">
        <f>+Table1[[#This Row],[id_destino]]&amp;" - "&amp;Table1[[#This Row],[id_origen]]</f>
        <v>1 - 345</v>
      </c>
    </row>
    <row r="4203" spans="1:22" hidden="1">
      <c r="A4203">
        <v>2351</v>
      </c>
      <c r="B4203">
        <v>782</v>
      </c>
      <c r="C4203">
        <v>5378</v>
      </c>
      <c r="D4203">
        <v>469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 t="s">
        <v>20</v>
      </c>
      <c r="L4203" s="1">
        <v>43965</v>
      </c>
      <c r="M4203">
        <v>2</v>
      </c>
      <c r="N4203">
        <v>345</v>
      </c>
      <c r="O4203">
        <v>89</v>
      </c>
      <c r="P4203">
        <v>150</v>
      </c>
      <c r="Q4203">
        <v>89</v>
      </c>
      <c r="S4203">
        <v>40</v>
      </c>
      <c r="T4203">
        <v>40</v>
      </c>
      <c r="U4203">
        <f>+SUM(Table1[[#This Row],[Latinos]:[Cemex]])</f>
        <v>1</v>
      </c>
      <c r="V4203" t="str">
        <f>+Table1[[#This Row],[id_destino]]&amp;" - "&amp;Table1[[#This Row],[id_origen]]</f>
        <v>2 - 345</v>
      </c>
    </row>
    <row r="4204" spans="1:22" hidden="1">
      <c r="A4204">
        <v>2072</v>
      </c>
      <c r="B4204">
        <v>3118</v>
      </c>
      <c r="C4204">
        <v>160</v>
      </c>
      <c r="D4204">
        <v>3542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 t="s">
        <v>20</v>
      </c>
      <c r="L4204" s="1">
        <v>43796</v>
      </c>
      <c r="M4204">
        <v>3</v>
      </c>
      <c r="N4204">
        <v>345</v>
      </c>
      <c r="O4204">
        <v>732</v>
      </c>
      <c r="P4204">
        <v>732</v>
      </c>
      <c r="Q4204">
        <v>732</v>
      </c>
      <c r="S4204">
        <v>1682</v>
      </c>
      <c r="T4204">
        <v>1682</v>
      </c>
      <c r="U4204">
        <f>+SUM(Table1[[#This Row],[Latinos]:[Cemex]])</f>
        <v>1</v>
      </c>
      <c r="V4204" t="str">
        <f>+Table1[[#This Row],[id_destino]]&amp;" - "&amp;Table1[[#This Row],[id_origen]]</f>
        <v>3 - 345</v>
      </c>
    </row>
    <row r="4205" spans="1:22" hidden="1">
      <c r="A4205">
        <v>3281</v>
      </c>
      <c r="B4205">
        <v>3118</v>
      </c>
      <c r="C4205">
        <v>6186</v>
      </c>
      <c r="D4205">
        <v>3890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0</v>
      </c>
      <c r="K4205" t="s">
        <v>20</v>
      </c>
      <c r="L4205" s="1">
        <v>44802</v>
      </c>
      <c r="M4205">
        <v>3</v>
      </c>
      <c r="N4205">
        <v>345</v>
      </c>
      <c r="O4205">
        <v>750</v>
      </c>
      <c r="P4205">
        <v>752</v>
      </c>
      <c r="Q4205">
        <v>750</v>
      </c>
      <c r="S4205">
        <v>1885</v>
      </c>
      <c r="T4205">
        <v>1885</v>
      </c>
      <c r="U4205">
        <f>+SUM(Table1[[#This Row],[Latinos]:[Cemex]])</f>
        <v>1</v>
      </c>
      <c r="V4205" t="str">
        <f>+Table1[[#This Row],[id_destino]]&amp;" - "&amp;Table1[[#This Row],[id_origen]]</f>
        <v>3 - 345</v>
      </c>
    </row>
    <row r="4206" spans="1:22" hidden="1">
      <c r="A4206">
        <v>1024</v>
      </c>
      <c r="B4206">
        <v>2552</v>
      </c>
      <c r="C4206">
        <v>5378</v>
      </c>
      <c r="D4206">
        <v>4553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0</v>
      </c>
      <c r="K4206" t="s">
        <v>20</v>
      </c>
      <c r="L4206" s="1">
        <v>43252</v>
      </c>
      <c r="M4206">
        <v>5</v>
      </c>
      <c r="N4206">
        <v>345</v>
      </c>
      <c r="O4206">
        <v>1614</v>
      </c>
      <c r="P4206">
        <v>1560</v>
      </c>
      <c r="Q4206">
        <v>1614</v>
      </c>
      <c r="S4206">
        <v>2866</v>
      </c>
      <c r="T4206">
        <v>3289</v>
      </c>
      <c r="U4206">
        <f>+SUM(Table1[[#This Row],[Latinos]:[Cemex]])</f>
        <v>1</v>
      </c>
      <c r="V4206" t="str">
        <f>+Table1[[#This Row],[id_destino]]&amp;" - "&amp;Table1[[#This Row],[id_origen]]</f>
        <v>5 - 345</v>
      </c>
    </row>
    <row r="4207" spans="1:22" hidden="1">
      <c r="A4207">
        <v>3586</v>
      </c>
      <c r="B4207">
        <v>4091</v>
      </c>
      <c r="C4207">
        <v>6186</v>
      </c>
      <c r="D4207">
        <v>7232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 t="s">
        <v>20</v>
      </c>
      <c r="L4207" s="1">
        <v>44968</v>
      </c>
      <c r="M4207">
        <v>10</v>
      </c>
      <c r="N4207">
        <v>345</v>
      </c>
      <c r="O4207">
        <v>918</v>
      </c>
      <c r="P4207">
        <v>919</v>
      </c>
      <c r="Q4207">
        <v>918</v>
      </c>
      <c r="S4207">
        <v>1963</v>
      </c>
      <c r="T4207">
        <v>1963</v>
      </c>
      <c r="U4207">
        <f>+SUM(Table1[[#This Row],[Latinos]:[Cemex]])</f>
        <v>1</v>
      </c>
      <c r="V4207" t="str">
        <f>+Table1[[#This Row],[id_destino]]&amp;" - "&amp;Table1[[#This Row],[id_origen]]</f>
        <v>10 - 345</v>
      </c>
    </row>
    <row r="4208" spans="1:22" hidden="1">
      <c r="A4208">
        <v>2221</v>
      </c>
      <c r="B4208">
        <v>1152</v>
      </c>
      <c r="C4208">
        <v>5378</v>
      </c>
      <c r="D4208">
        <v>4035</v>
      </c>
      <c r="E4208">
        <v>0</v>
      </c>
      <c r="F4208">
        <v>1</v>
      </c>
      <c r="G4208">
        <v>0</v>
      </c>
      <c r="H4208">
        <v>0</v>
      </c>
      <c r="I4208">
        <v>0</v>
      </c>
      <c r="J4208">
        <v>0</v>
      </c>
      <c r="K4208" t="s">
        <v>20</v>
      </c>
      <c r="L4208" s="1">
        <v>43861</v>
      </c>
      <c r="M4208">
        <v>18</v>
      </c>
      <c r="N4208">
        <v>345</v>
      </c>
      <c r="O4208">
        <v>61</v>
      </c>
      <c r="P4208">
        <v>150</v>
      </c>
      <c r="Q4208">
        <v>61</v>
      </c>
      <c r="S4208">
        <v>0</v>
      </c>
      <c r="T4208">
        <v>0</v>
      </c>
      <c r="U4208">
        <f>+SUM(Table1[[#This Row],[Latinos]:[Cemex]])</f>
        <v>1</v>
      </c>
      <c r="V4208" t="str">
        <f>+Table1[[#This Row],[id_destino]]&amp;" - "&amp;Table1[[#This Row],[id_origen]]</f>
        <v>18 - 345</v>
      </c>
    </row>
    <row r="4209" spans="1:22" hidden="1">
      <c r="A4209">
        <v>4598</v>
      </c>
      <c r="B4209">
        <v>1320</v>
      </c>
      <c r="C4209">
        <v>1975</v>
      </c>
      <c r="D4209">
        <v>4537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 t="s">
        <v>20</v>
      </c>
      <c r="L4209" s="1">
        <v>45660</v>
      </c>
      <c r="M4209">
        <v>26</v>
      </c>
      <c r="N4209">
        <v>345</v>
      </c>
      <c r="O4209">
        <v>572</v>
      </c>
      <c r="P4209">
        <v>544</v>
      </c>
      <c r="Q4209">
        <v>572</v>
      </c>
      <c r="S4209">
        <v>2377</v>
      </c>
      <c r="T4209">
        <v>2491</v>
      </c>
      <c r="U4209">
        <f>+SUM(Table1[[#This Row],[Latinos]:[Cemex]])</f>
        <v>1</v>
      </c>
      <c r="V4209" t="str">
        <f>+Table1[[#This Row],[id_destino]]&amp;" - "&amp;Table1[[#This Row],[id_origen]]</f>
        <v>26 - 345</v>
      </c>
    </row>
    <row r="4210" spans="1:22" hidden="1">
      <c r="A4210">
        <v>4502</v>
      </c>
      <c r="B4210">
        <v>4707</v>
      </c>
      <c r="C4210">
        <v>7967</v>
      </c>
      <c r="D4210">
        <v>7898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 t="s">
        <v>20</v>
      </c>
      <c r="L4210" s="1">
        <v>45589</v>
      </c>
      <c r="M4210">
        <v>27</v>
      </c>
      <c r="N4210">
        <v>345</v>
      </c>
      <c r="O4210">
        <v>871</v>
      </c>
      <c r="P4210">
        <v>872</v>
      </c>
      <c r="Q4210">
        <v>871</v>
      </c>
      <c r="S4210">
        <v>2115</v>
      </c>
      <c r="T4210">
        <v>2115</v>
      </c>
      <c r="U4210">
        <f>+SUM(Table1[[#This Row],[Latinos]:[Cemex]])</f>
        <v>1</v>
      </c>
      <c r="V4210" t="str">
        <f>+Table1[[#This Row],[id_destino]]&amp;" - "&amp;Table1[[#This Row],[id_origen]]</f>
        <v>27 - 345</v>
      </c>
    </row>
    <row r="4211" spans="1:22" hidden="1">
      <c r="A4211">
        <v>1905</v>
      </c>
      <c r="B4211">
        <v>954</v>
      </c>
      <c r="C4211">
        <v>5378</v>
      </c>
      <c r="D4211">
        <v>6032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 t="s">
        <v>20</v>
      </c>
      <c r="L4211" s="1">
        <v>43705</v>
      </c>
      <c r="M4211">
        <v>31</v>
      </c>
      <c r="N4211">
        <v>345</v>
      </c>
      <c r="O4211">
        <v>1240</v>
      </c>
      <c r="P4211">
        <v>1225</v>
      </c>
      <c r="Q4211">
        <v>1240</v>
      </c>
      <c r="S4211">
        <v>3395</v>
      </c>
      <c r="T4211">
        <v>3395</v>
      </c>
      <c r="U4211">
        <f>+SUM(Table1[[#This Row],[Latinos]:[Cemex]])</f>
        <v>1</v>
      </c>
      <c r="V4211" t="str">
        <f>+Table1[[#This Row],[id_destino]]&amp;" - "&amp;Table1[[#This Row],[id_origen]]</f>
        <v>31 - 345</v>
      </c>
    </row>
    <row r="4212" spans="1:22" hidden="1">
      <c r="A4212">
        <v>1013</v>
      </c>
      <c r="B4212">
        <v>2546</v>
      </c>
      <c r="C4212">
        <v>5378</v>
      </c>
      <c r="D4212">
        <v>2413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0</v>
      </c>
      <c r="K4212" t="s">
        <v>20</v>
      </c>
      <c r="L4212" s="1">
        <v>43329</v>
      </c>
      <c r="M4212">
        <v>47</v>
      </c>
      <c r="N4212">
        <v>345</v>
      </c>
      <c r="O4212">
        <v>78</v>
      </c>
      <c r="P4212">
        <v>150</v>
      </c>
      <c r="Q4212">
        <v>78</v>
      </c>
      <c r="S4212">
        <v>543</v>
      </c>
      <c r="T4212">
        <v>543</v>
      </c>
      <c r="U4212">
        <f>+SUM(Table1[[#This Row],[Latinos]:[Cemex]])</f>
        <v>1</v>
      </c>
      <c r="V4212" t="str">
        <f>+Table1[[#This Row],[id_destino]]&amp;" - "&amp;Table1[[#This Row],[id_origen]]</f>
        <v>47 - 345</v>
      </c>
    </row>
    <row r="4213" spans="1:22" hidden="1">
      <c r="A4213">
        <v>1111</v>
      </c>
      <c r="B4213">
        <v>2587</v>
      </c>
      <c r="C4213">
        <v>160</v>
      </c>
      <c r="D4213">
        <v>3984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0</v>
      </c>
      <c r="K4213" t="s">
        <v>20</v>
      </c>
      <c r="L4213" s="1">
        <v>43293</v>
      </c>
      <c r="M4213">
        <v>59</v>
      </c>
      <c r="N4213">
        <v>345</v>
      </c>
      <c r="O4213">
        <v>392</v>
      </c>
      <c r="P4213">
        <v>392</v>
      </c>
      <c r="Q4213">
        <v>392</v>
      </c>
      <c r="S4213">
        <v>1139</v>
      </c>
      <c r="T4213">
        <v>1139</v>
      </c>
      <c r="U4213">
        <f>+SUM(Table1[[#This Row],[Latinos]:[Cemex]])</f>
        <v>1</v>
      </c>
      <c r="V4213" t="str">
        <f>+Table1[[#This Row],[id_destino]]&amp;" - "&amp;Table1[[#This Row],[id_origen]]</f>
        <v>59 - 345</v>
      </c>
    </row>
    <row r="4214" spans="1:22" hidden="1">
      <c r="A4214">
        <v>1461</v>
      </c>
      <c r="B4214">
        <v>2759</v>
      </c>
      <c r="C4214">
        <v>5378</v>
      </c>
      <c r="D4214">
        <v>2983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 t="s">
        <v>20</v>
      </c>
      <c r="L4214" s="1">
        <v>43449</v>
      </c>
      <c r="M4214">
        <v>65</v>
      </c>
      <c r="N4214">
        <v>345</v>
      </c>
      <c r="O4214">
        <v>119</v>
      </c>
      <c r="P4214">
        <v>150</v>
      </c>
      <c r="Q4214">
        <v>119</v>
      </c>
      <c r="S4214">
        <v>323</v>
      </c>
      <c r="T4214">
        <v>323</v>
      </c>
      <c r="U4214">
        <f>+SUM(Table1[[#This Row],[Latinos]:[Cemex]])</f>
        <v>1</v>
      </c>
      <c r="V4214" t="str">
        <f>+Table1[[#This Row],[id_destino]]&amp;" - "&amp;Table1[[#This Row],[id_origen]]</f>
        <v>65 - 345</v>
      </c>
    </row>
    <row r="4215" spans="1:22" hidden="1">
      <c r="A4215">
        <v>3360</v>
      </c>
      <c r="B4215">
        <v>1149</v>
      </c>
      <c r="C4215">
        <v>6186</v>
      </c>
      <c r="D4215">
        <v>7080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 t="s">
        <v>20</v>
      </c>
      <c r="L4215" s="1">
        <v>44848</v>
      </c>
      <c r="M4215">
        <v>71</v>
      </c>
      <c r="N4215">
        <v>345</v>
      </c>
      <c r="O4215">
        <v>553</v>
      </c>
      <c r="P4215">
        <v>549</v>
      </c>
      <c r="Q4215">
        <v>553</v>
      </c>
      <c r="S4215">
        <v>2377</v>
      </c>
      <c r="T4215">
        <v>2491</v>
      </c>
      <c r="U4215">
        <f>+SUM(Table1[[#This Row],[Latinos]:[Cemex]])</f>
        <v>1</v>
      </c>
      <c r="V4215" t="str">
        <f>+Table1[[#This Row],[id_destino]]&amp;" - "&amp;Table1[[#This Row],[id_origen]]</f>
        <v>71 - 345</v>
      </c>
    </row>
    <row r="4216" spans="1:22" hidden="1">
      <c r="A4216">
        <v>1001</v>
      </c>
      <c r="B4216">
        <v>2540</v>
      </c>
      <c r="C4216">
        <v>5378</v>
      </c>
      <c r="D4216">
        <v>105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 t="s">
        <v>20</v>
      </c>
      <c r="L4216" s="1">
        <v>43244</v>
      </c>
      <c r="M4216">
        <v>75</v>
      </c>
      <c r="N4216">
        <v>345</v>
      </c>
      <c r="O4216">
        <v>54</v>
      </c>
      <c r="P4216">
        <v>150</v>
      </c>
      <c r="Q4216">
        <v>54</v>
      </c>
      <c r="S4216">
        <v>199</v>
      </c>
      <c r="T4216">
        <v>251</v>
      </c>
      <c r="U4216">
        <f>+SUM(Table1[[#This Row],[Latinos]:[Cemex]])</f>
        <v>1</v>
      </c>
      <c r="V4216" t="str">
        <f>+Table1[[#This Row],[id_destino]]&amp;" - "&amp;Table1[[#This Row],[id_origen]]</f>
        <v>75 - 345</v>
      </c>
    </row>
    <row r="4217" spans="1:22" hidden="1">
      <c r="A4217">
        <v>783</v>
      </c>
      <c r="B4217">
        <v>2448</v>
      </c>
      <c r="C4217">
        <v>5484</v>
      </c>
      <c r="D4217">
        <v>146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 t="s">
        <v>20</v>
      </c>
      <c r="L4217" s="1">
        <v>43162</v>
      </c>
      <c r="M4217">
        <v>80</v>
      </c>
      <c r="N4217">
        <v>345</v>
      </c>
      <c r="O4217">
        <v>59</v>
      </c>
      <c r="P4217">
        <v>150</v>
      </c>
      <c r="Q4217">
        <v>59</v>
      </c>
      <c r="S4217">
        <v>0</v>
      </c>
      <c r="T4217">
        <v>0</v>
      </c>
      <c r="U4217">
        <f>+SUM(Table1[[#This Row],[Latinos]:[Cemex]])</f>
        <v>1</v>
      </c>
      <c r="V4217" t="str">
        <f>+Table1[[#This Row],[id_destino]]&amp;" - "&amp;Table1[[#This Row],[id_origen]]</f>
        <v>80 - 345</v>
      </c>
    </row>
    <row r="4218" spans="1:22" hidden="1">
      <c r="A4218">
        <v>1136</v>
      </c>
      <c r="B4218">
        <v>2597</v>
      </c>
      <c r="C4218">
        <v>5378</v>
      </c>
      <c r="D4218">
        <v>4946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  <c r="K4218" t="s">
        <v>20</v>
      </c>
      <c r="L4218" s="1">
        <v>43320</v>
      </c>
      <c r="M4218">
        <v>92</v>
      </c>
      <c r="N4218">
        <v>345</v>
      </c>
      <c r="O4218">
        <v>920</v>
      </c>
      <c r="P4218">
        <v>945</v>
      </c>
      <c r="Q4218">
        <v>920</v>
      </c>
      <c r="S4218">
        <v>1030</v>
      </c>
      <c r="T4218">
        <v>1030</v>
      </c>
      <c r="U4218">
        <f>+SUM(Table1[[#This Row],[Latinos]:[Cemex]])</f>
        <v>1</v>
      </c>
      <c r="V4218" t="str">
        <f>+Table1[[#This Row],[id_destino]]&amp;" - "&amp;Table1[[#This Row],[id_origen]]</f>
        <v>92 - 345</v>
      </c>
    </row>
    <row r="4219" spans="1:22">
      <c r="A4219">
        <v>878</v>
      </c>
      <c r="B4219">
        <v>2490</v>
      </c>
      <c r="C4219">
        <v>5505</v>
      </c>
      <c r="D4219">
        <v>5528</v>
      </c>
      <c r="E4219">
        <v>0</v>
      </c>
      <c r="F4219">
        <v>1</v>
      </c>
      <c r="G4219">
        <v>0</v>
      </c>
      <c r="H4219">
        <v>0</v>
      </c>
      <c r="I4219">
        <v>0</v>
      </c>
      <c r="J4219">
        <v>0</v>
      </c>
      <c r="K4219" t="s">
        <v>20</v>
      </c>
      <c r="L4219" s="1">
        <v>43200</v>
      </c>
      <c r="M4219">
        <v>124</v>
      </c>
      <c r="N4219">
        <v>345</v>
      </c>
      <c r="O4219">
        <v>452</v>
      </c>
      <c r="P4219">
        <v>452</v>
      </c>
      <c r="Q4219">
        <v>452</v>
      </c>
      <c r="S4219">
        <v>1297</v>
      </c>
      <c r="T4219">
        <v>1297</v>
      </c>
      <c r="U4219">
        <f>+SUM(Table1[[#This Row],[Latinos]:[Cemex]])</f>
        <v>1</v>
      </c>
      <c r="V4219" t="str">
        <f>+Table1[[#This Row],[id_destino]]&amp;" - "&amp;Table1[[#This Row],[id_origen]]</f>
        <v>124 - 345</v>
      </c>
    </row>
    <row r="4220" spans="1:22" hidden="1">
      <c r="A4220">
        <v>1002</v>
      </c>
      <c r="B4220">
        <v>2541</v>
      </c>
      <c r="C4220">
        <v>5378</v>
      </c>
      <c r="D4220">
        <v>47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 t="s">
        <v>20</v>
      </c>
      <c r="L4220" s="1">
        <v>43244</v>
      </c>
      <c r="M4220">
        <v>129</v>
      </c>
      <c r="N4220">
        <v>345</v>
      </c>
      <c r="O4220">
        <v>451</v>
      </c>
      <c r="P4220">
        <v>450</v>
      </c>
      <c r="Q4220">
        <v>451</v>
      </c>
      <c r="S4220">
        <v>2071</v>
      </c>
      <c r="T4220">
        <v>2071</v>
      </c>
      <c r="U4220">
        <f>+SUM(Table1[[#This Row],[Latinos]:[Cemex]])</f>
        <v>1</v>
      </c>
      <c r="V4220" t="str">
        <f>+Table1[[#This Row],[id_destino]]&amp;" - "&amp;Table1[[#This Row],[id_origen]]</f>
        <v>129 - 345</v>
      </c>
    </row>
    <row r="4221" spans="1:22" hidden="1">
      <c r="A4221">
        <v>1382</v>
      </c>
      <c r="B4221">
        <v>1289</v>
      </c>
      <c r="C4221">
        <v>5743</v>
      </c>
      <c r="D4221">
        <v>3176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 t="s">
        <v>20</v>
      </c>
      <c r="L4221" s="1">
        <v>43412</v>
      </c>
      <c r="M4221">
        <v>136</v>
      </c>
      <c r="N4221">
        <v>345</v>
      </c>
      <c r="O4221">
        <v>112</v>
      </c>
      <c r="P4221">
        <v>112</v>
      </c>
      <c r="Q4221">
        <v>112</v>
      </c>
      <c r="S4221">
        <v>323</v>
      </c>
      <c r="T4221">
        <v>323</v>
      </c>
      <c r="U4221">
        <f>+SUM(Table1[[#This Row],[Latinos]:[Cemex]])</f>
        <v>1</v>
      </c>
      <c r="V4221" t="str">
        <f>+Table1[[#This Row],[id_destino]]&amp;" - "&amp;Table1[[#This Row],[id_origen]]</f>
        <v>136 - 345</v>
      </c>
    </row>
    <row r="4222" spans="1:22" hidden="1">
      <c r="A4222">
        <v>4608</v>
      </c>
      <c r="B4222">
        <v>4790</v>
      </c>
      <c r="C4222">
        <v>7967</v>
      </c>
      <c r="D4222">
        <v>8079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 t="s">
        <v>20</v>
      </c>
      <c r="L4222" s="1">
        <v>45668</v>
      </c>
      <c r="M4222">
        <v>169</v>
      </c>
      <c r="N4222">
        <v>345</v>
      </c>
      <c r="O4222">
        <v>381</v>
      </c>
      <c r="P4222">
        <v>381</v>
      </c>
      <c r="Q4222">
        <v>381</v>
      </c>
      <c r="S4222">
        <v>1300</v>
      </c>
      <c r="T4222">
        <v>1300</v>
      </c>
      <c r="U4222">
        <f>+SUM(Table1[[#This Row],[Latinos]:[Cemex]])</f>
        <v>1</v>
      </c>
      <c r="V4222" t="str">
        <f>+Table1[[#This Row],[id_destino]]&amp;" - "&amp;Table1[[#This Row],[id_origen]]</f>
        <v>169 - 345</v>
      </c>
    </row>
    <row r="4223" spans="1:22">
      <c r="A4223">
        <v>2274</v>
      </c>
      <c r="B4223">
        <v>3246</v>
      </c>
      <c r="C4223">
        <v>6305</v>
      </c>
      <c r="D4223">
        <v>6307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 t="s">
        <v>20</v>
      </c>
      <c r="L4223" s="1">
        <v>43895</v>
      </c>
      <c r="M4223">
        <v>244</v>
      </c>
      <c r="N4223">
        <v>345</v>
      </c>
      <c r="O4223">
        <v>25</v>
      </c>
      <c r="P4223">
        <v>150</v>
      </c>
      <c r="Q4223">
        <v>25</v>
      </c>
      <c r="S4223">
        <v>0</v>
      </c>
      <c r="T4223">
        <v>0</v>
      </c>
      <c r="U4223">
        <f>+SUM(Table1[[#This Row],[Latinos]:[Cemex]])</f>
        <v>1</v>
      </c>
      <c r="V4223" t="str">
        <f>+Table1[[#This Row],[id_destino]]&amp;" - "&amp;Table1[[#This Row],[id_origen]]</f>
        <v>244 - 345</v>
      </c>
    </row>
    <row r="4224" spans="1:22">
      <c r="A4224">
        <v>1768</v>
      </c>
      <c r="B4224">
        <v>2927</v>
      </c>
      <c r="C4224">
        <v>5378</v>
      </c>
      <c r="D4224">
        <v>5925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 t="s">
        <v>20</v>
      </c>
      <c r="L4224" s="1">
        <v>43613</v>
      </c>
      <c r="M4224">
        <v>254</v>
      </c>
      <c r="N4224">
        <v>345</v>
      </c>
      <c r="O4224">
        <v>28</v>
      </c>
      <c r="P4224">
        <v>150</v>
      </c>
      <c r="Q4224">
        <v>28</v>
      </c>
      <c r="S4224">
        <v>0</v>
      </c>
      <c r="T4224">
        <v>0</v>
      </c>
      <c r="U4224">
        <f>+SUM(Table1[[#This Row],[Latinos]:[Cemex]])</f>
        <v>1</v>
      </c>
      <c r="V4224" t="str">
        <f>+Table1[[#This Row],[id_destino]]&amp;" - "&amp;Table1[[#This Row],[id_origen]]</f>
        <v>254 - 345</v>
      </c>
    </row>
    <row r="4225" spans="1:22" hidden="1">
      <c r="A4225">
        <v>1400</v>
      </c>
      <c r="B4225">
        <v>2723</v>
      </c>
      <c r="C4225">
        <v>7482</v>
      </c>
      <c r="D4225">
        <v>7310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0</v>
      </c>
      <c r="K4225" t="s">
        <v>20</v>
      </c>
      <c r="L4225" s="1">
        <v>45193</v>
      </c>
      <c r="M4225">
        <v>276</v>
      </c>
      <c r="N4225">
        <v>345</v>
      </c>
      <c r="O4225">
        <v>42</v>
      </c>
      <c r="P4225">
        <v>150</v>
      </c>
      <c r="Q4225">
        <v>42</v>
      </c>
      <c r="S4225">
        <v>502</v>
      </c>
      <c r="T4225">
        <v>502</v>
      </c>
      <c r="U4225">
        <f>+SUM(Table1[[#This Row],[Latinos]:[Cemex]])</f>
        <v>1</v>
      </c>
      <c r="V4225" t="str">
        <f>+Table1[[#This Row],[id_destino]]&amp;" - "&amp;Table1[[#This Row],[id_origen]]</f>
        <v>276 - 345</v>
      </c>
    </row>
    <row r="4226" spans="1:22" hidden="1">
      <c r="A4226">
        <v>2537</v>
      </c>
      <c r="B4226">
        <v>3404</v>
      </c>
      <c r="C4226">
        <v>160</v>
      </c>
      <c r="D4226">
        <v>6467</v>
      </c>
      <c r="E4226">
        <v>0</v>
      </c>
      <c r="F4226">
        <v>1</v>
      </c>
      <c r="G4226">
        <v>0</v>
      </c>
      <c r="H4226">
        <v>0</v>
      </c>
      <c r="I4226">
        <v>0</v>
      </c>
      <c r="J4226">
        <v>0</v>
      </c>
      <c r="K4226" t="s">
        <v>20</v>
      </c>
      <c r="L4226" s="1">
        <v>44163</v>
      </c>
      <c r="M4226">
        <v>278</v>
      </c>
      <c r="N4226">
        <v>345</v>
      </c>
      <c r="O4226">
        <v>450</v>
      </c>
      <c r="P4226">
        <v>475</v>
      </c>
      <c r="Q4226">
        <v>450</v>
      </c>
      <c r="S4226">
        <v>1379</v>
      </c>
      <c r="T4226">
        <v>1453</v>
      </c>
      <c r="U4226">
        <f>+SUM(Table1[[#This Row],[Latinos]:[Cemex]])</f>
        <v>1</v>
      </c>
      <c r="V4226" t="str">
        <f>+Table1[[#This Row],[id_destino]]&amp;" - "&amp;Table1[[#This Row],[id_origen]]</f>
        <v>278 - 345</v>
      </c>
    </row>
    <row r="4227" spans="1:22" hidden="1">
      <c r="A4227">
        <v>4338</v>
      </c>
      <c r="B4227">
        <v>4579</v>
      </c>
      <c r="C4227">
        <v>7827</v>
      </c>
      <c r="D4227">
        <v>7828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 t="s">
        <v>20</v>
      </c>
      <c r="L4227" s="1">
        <v>45478</v>
      </c>
      <c r="M4227">
        <v>288</v>
      </c>
      <c r="N4227">
        <v>345</v>
      </c>
      <c r="O4227">
        <v>904</v>
      </c>
      <c r="P4227">
        <v>904</v>
      </c>
      <c r="Q4227">
        <v>904</v>
      </c>
      <c r="S4227">
        <v>1053</v>
      </c>
      <c r="T4227">
        <v>1053</v>
      </c>
      <c r="U4227">
        <f>+SUM(Table1[[#This Row],[Latinos]:[Cemex]])</f>
        <v>1</v>
      </c>
      <c r="V4227" t="str">
        <f>+Table1[[#This Row],[id_destino]]&amp;" - "&amp;Table1[[#This Row],[id_origen]]</f>
        <v>288 - 345</v>
      </c>
    </row>
    <row r="4228" spans="1:22" hidden="1">
      <c r="A4228">
        <v>2277</v>
      </c>
      <c r="B4228">
        <v>1644</v>
      </c>
      <c r="C4228">
        <v>5378</v>
      </c>
      <c r="D4228">
        <v>1612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 t="s">
        <v>20</v>
      </c>
      <c r="L4228" s="1">
        <v>43899</v>
      </c>
      <c r="M4228">
        <v>306</v>
      </c>
      <c r="N4228">
        <v>345</v>
      </c>
      <c r="O4228">
        <v>29</v>
      </c>
      <c r="P4228">
        <v>100</v>
      </c>
      <c r="Q4228">
        <v>29</v>
      </c>
      <c r="S4228">
        <v>0</v>
      </c>
      <c r="T4228">
        <v>0</v>
      </c>
      <c r="U4228">
        <f>+SUM(Table1[[#This Row],[Latinos]:[Cemex]])</f>
        <v>1</v>
      </c>
      <c r="V4228" t="str">
        <f>+Table1[[#This Row],[id_destino]]&amp;" - "&amp;Table1[[#This Row],[id_origen]]</f>
        <v>306 - 345</v>
      </c>
    </row>
    <row r="4229" spans="1:22" hidden="1">
      <c r="A4229">
        <v>1147</v>
      </c>
      <c r="B4229">
        <v>2600</v>
      </c>
      <c r="C4229">
        <v>4235</v>
      </c>
      <c r="D4229">
        <v>5378</v>
      </c>
      <c r="E4229">
        <v>0</v>
      </c>
      <c r="F4229">
        <v>1</v>
      </c>
      <c r="G4229">
        <v>0</v>
      </c>
      <c r="H4229">
        <v>0</v>
      </c>
      <c r="I4229">
        <v>0</v>
      </c>
      <c r="J4229">
        <v>0</v>
      </c>
      <c r="K4229" t="s">
        <v>20</v>
      </c>
      <c r="L4229" s="1">
        <v>44838</v>
      </c>
      <c r="M4229">
        <v>345</v>
      </c>
      <c r="N4229">
        <v>345</v>
      </c>
      <c r="O4229">
        <v>25</v>
      </c>
      <c r="P4229">
        <v>150</v>
      </c>
      <c r="Q4229">
        <v>25</v>
      </c>
      <c r="S4229">
        <v>0</v>
      </c>
      <c r="T4229">
        <v>0</v>
      </c>
      <c r="U4229">
        <f>+SUM(Table1[[#This Row],[Latinos]:[Cemex]])</f>
        <v>1</v>
      </c>
      <c r="V4229" t="str">
        <f>+Table1[[#This Row],[id_destino]]&amp;" - "&amp;Table1[[#This Row],[id_origen]]</f>
        <v>345 - 345</v>
      </c>
    </row>
    <row r="4230" spans="1:22">
      <c r="A4230">
        <v>4597</v>
      </c>
      <c r="B4230">
        <v>1321</v>
      </c>
      <c r="C4230">
        <v>1975</v>
      </c>
      <c r="D4230">
        <v>4541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  <c r="K4230" t="s">
        <v>20</v>
      </c>
      <c r="L4230" s="1">
        <v>45660</v>
      </c>
      <c r="M4230">
        <v>384</v>
      </c>
      <c r="N4230">
        <v>345</v>
      </c>
      <c r="O4230">
        <v>226</v>
      </c>
      <c r="P4230">
        <v>218</v>
      </c>
      <c r="Q4230">
        <v>226</v>
      </c>
      <c r="S4230">
        <v>950</v>
      </c>
      <c r="T4230">
        <v>950</v>
      </c>
      <c r="U4230">
        <f>+SUM(Table1[[#This Row],[Latinos]:[Cemex]])</f>
        <v>1</v>
      </c>
      <c r="V4230" t="str">
        <f>+Table1[[#This Row],[id_destino]]&amp;" - "&amp;Table1[[#This Row],[id_origen]]</f>
        <v>384 - 345</v>
      </c>
    </row>
    <row r="4231" spans="1:22" hidden="1">
      <c r="A4231">
        <v>2733</v>
      </c>
      <c r="B4231">
        <v>3533</v>
      </c>
      <c r="C4231">
        <v>160</v>
      </c>
      <c r="D4231">
        <v>6623</v>
      </c>
      <c r="E4231">
        <v>0</v>
      </c>
      <c r="F4231">
        <v>1</v>
      </c>
      <c r="G4231">
        <v>0</v>
      </c>
      <c r="H4231">
        <v>0</v>
      </c>
      <c r="I4231">
        <v>0</v>
      </c>
      <c r="J4231">
        <v>0</v>
      </c>
      <c r="K4231" t="s">
        <v>20</v>
      </c>
      <c r="L4231" s="1">
        <v>44391</v>
      </c>
      <c r="M4231">
        <v>492</v>
      </c>
      <c r="N4231">
        <v>345</v>
      </c>
      <c r="O4231">
        <v>324</v>
      </c>
      <c r="P4231">
        <v>341</v>
      </c>
      <c r="Q4231">
        <v>324</v>
      </c>
      <c r="S4231">
        <v>940</v>
      </c>
      <c r="T4231">
        <v>1019</v>
      </c>
      <c r="U4231">
        <f>+SUM(Table1[[#This Row],[Latinos]:[Cemex]])</f>
        <v>1</v>
      </c>
      <c r="V4231" t="str">
        <f>+Table1[[#This Row],[id_destino]]&amp;" - "&amp;Table1[[#This Row],[id_origen]]</f>
        <v>492 - 345</v>
      </c>
    </row>
    <row r="4232" spans="1:22" hidden="1">
      <c r="A4232">
        <v>1434</v>
      </c>
      <c r="B4232">
        <v>2747</v>
      </c>
      <c r="C4232">
        <v>160</v>
      </c>
      <c r="D4232">
        <v>4394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 t="s">
        <v>20</v>
      </c>
      <c r="L4232" s="1">
        <v>43432</v>
      </c>
      <c r="M4232">
        <v>517</v>
      </c>
      <c r="N4232">
        <v>345</v>
      </c>
      <c r="O4232">
        <v>83</v>
      </c>
      <c r="P4232">
        <v>150</v>
      </c>
      <c r="Q4232">
        <v>150</v>
      </c>
      <c r="S4232">
        <v>199</v>
      </c>
      <c r="T4232">
        <v>251</v>
      </c>
      <c r="U4232">
        <f>+SUM(Table1[[#This Row],[Latinos]:[Cemex]])</f>
        <v>1</v>
      </c>
      <c r="V4232" t="str">
        <f>+Table1[[#This Row],[id_destino]]&amp;" - "&amp;Table1[[#This Row],[id_origen]]</f>
        <v>517 - 345</v>
      </c>
    </row>
    <row r="4233" spans="1:22" hidden="1">
      <c r="A4233">
        <v>159</v>
      </c>
      <c r="B4233">
        <v>2235</v>
      </c>
      <c r="C4233">
        <v>5293</v>
      </c>
      <c r="D4233">
        <v>4753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0</v>
      </c>
      <c r="K4233" t="s">
        <v>20</v>
      </c>
      <c r="L4233" s="1">
        <v>43003</v>
      </c>
      <c r="M4233">
        <v>658</v>
      </c>
      <c r="N4233">
        <v>345</v>
      </c>
      <c r="O4233">
        <v>420</v>
      </c>
      <c r="P4233">
        <v>420</v>
      </c>
      <c r="Q4233">
        <v>420</v>
      </c>
      <c r="S4233">
        <v>592</v>
      </c>
      <c r="T4233">
        <v>952</v>
      </c>
      <c r="U4233">
        <f>+SUM(Table1[[#This Row],[Latinos]:[Cemex]])</f>
        <v>1</v>
      </c>
      <c r="V4233" t="str">
        <f>+Table1[[#This Row],[id_destino]]&amp;" - "&amp;Table1[[#This Row],[id_origen]]</f>
        <v>658 - 345</v>
      </c>
    </row>
    <row r="4234" spans="1:22" hidden="1">
      <c r="A4234">
        <v>2224</v>
      </c>
      <c r="B4234">
        <v>3211</v>
      </c>
      <c r="C4234">
        <v>5378</v>
      </c>
      <c r="D4234">
        <v>72</v>
      </c>
      <c r="E4234">
        <v>0</v>
      </c>
      <c r="F4234">
        <v>1</v>
      </c>
      <c r="G4234">
        <v>0</v>
      </c>
      <c r="H4234">
        <v>0</v>
      </c>
      <c r="I4234">
        <v>0</v>
      </c>
      <c r="J4234">
        <v>0</v>
      </c>
      <c r="K4234" t="s">
        <v>20</v>
      </c>
      <c r="L4234" s="1">
        <v>43865</v>
      </c>
      <c r="M4234">
        <v>669</v>
      </c>
      <c r="N4234">
        <v>345</v>
      </c>
      <c r="O4234">
        <v>427</v>
      </c>
      <c r="P4234">
        <v>410</v>
      </c>
      <c r="Q4234">
        <v>427</v>
      </c>
      <c r="S4234">
        <v>1046</v>
      </c>
      <c r="T4234">
        <v>1046</v>
      </c>
      <c r="U4234">
        <f>+SUM(Table1[[#This Row],[Latinos]:[Cemex]])</f>
        <v>1</v>
      </c>
      <c r="V4234" t="str">
        <f>+Table1[[#This Row],[id_destino]]&amp;" - "&amp;Table1[[#This Row],[id_origen]]</f>
        <v>669 - 345</v>
      </c>
    </row>
    <row r="4235" spans="1:22" hidden="1">
      <c r="A4235">
        <v>2158</v>
      </c>
      <c r="B4235">
        <v>3173</v>
      </c>
      <c r="C4235">
        <v>5378</v>
      </c>
      <c r="D4235">
        <v>6213</v>
      </c>
      <c r="E4235">
        <v>0</v>
      </c>
      <c r="F4235">
        <v>1</v>
      </c>
      <c r="G4235">
        <v>0</v>
      </c>
      <c r="H4235">
        <v>0</v>
      </c>
      <c r="I4235">
        <v>0</v>
      </c>
      <c r="J4235">
        <v>0</v>
      </c>
      <c r="K4235" t="s">
        <v>20</v>
      </c>
      <c r="L4235" s="1">
        <v>43839</v>
      </c>
      <c r="M4235">
        <v>801</v>
      </c>
      <c r="N4235">
        <v>345</v>
      </c>
      <c r="O4235">
        <v>1129</v>
      </c>
      <c r="P4235">
        <v>1129</v>
      </c>
      <c r="Q4235">
        <v>1129</v>
      </c>
      <c r="S4235">
        <v>732</v>
      </c>
      <c r="T4235">
        <v>732</v>
      </c>
      <c r="U4235">
        <f>+SUM(Table1[[#This Row],[Latinos]:[Cemex]])</f>
        <v>1</v>
      </c>
      <c r="V4235" t="str">
        <f>+Table1[[#This Row],[id_destino]]&amp;" - "&amp;Table1[[#This Row],[id_origen]]</f>
        <v>801 - 345</v>
      </c>
    </row>
    <row r="4236" spans="1:22" hidden="1">
      <c r="A4236">
        <v>2802</v>
      </c>
      <c r="B4236">
        <v>3576</v>
      </c>
      <c r="C4236">
        <v>160</v>
      </c>
      <c r="D4236">
        <v>6684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0</v>
      </c>
      <c r="K4236" t="s">
        <v>20</v>
      </c>
      <c r="L4236" s="1">
        <v>44467</v>
      </c>
      <c r="M4236">
        <v>833</v>
      </c>
      <c r="N4236">
        <v>345</v>
      </c>
      <c r="O4236">
        <v>726</v>
      </c>
      <c r="P4236">
        <v>705</v>
      </c>
      <c r="Q4236">
        <v>726</v>
      </c>
      <c r="S4236">
        <v>1768</v>
      </c>
      <c r="T4236">
        <v>1768</v>
      </c>
      <c r="U4236">
        <f>+SUM(Table1[[#This Row],[Latinos]:[Cemex]])</f>
        <v>1</v>
      </c>
      <c r="V4236" t="str">
        <f>+Table1[[#This Row],[id_destino]]&amp;" - "&amp;Table1[[#This Row],[id_origen]]</f>
        <v>833 - 345</v>
      </c>
    </row>
    <row r="4237" spans="1:22" hidden="1">
      <c r="A4237">
        <v>3772</v>
      </c>
      <c r="B4237">
        <v>4212</v>
      </c>
      <c r="C4237">
        <v>1975</v>
      </c>
      <c r="D4237">
        <v>7369</v>
      </c>
      <c r="E4237">
        <v>0</v>
      </c>
      <c r="F4237">
        <v>1</v>
      </c>
      <c r="G4237">
        <v>0</v>
      </c>
      <c r="H4237">
        <v>0</v>
      </c>
      <c r="I4237">
        <v>0</v>
      </c>
      <c r="J4237">
        <v>0</v>
      </c>
      <c r="K4237" t="s">
        <v>20</v>
      </c>
      <c r="L4237" s="1">
        <v>45078</v>
      </c>
      <c r="M4237">
        <v>876</v>
      </c>
      <c r="N4237">
        <v>345</v>
      </c>
      <c r="O4237">
        <v>343</v>
      </c>
      <c r="P4237">
        <v>347</v>
      </c>
      <c r="Q4237">
        <v>343</v>
      </c>
      <c r="S4237">
        <v>1107</v>
      </c>
      <c r="T4237">
        <v>1107</v>
      </c>
      <c r="U4237">
        <f>+SUM(Table1[[#This Row],[Latinos]:[Cemex]])</f>
        <v>1</v>
      </c>
      <c r="V4237" t="str">
        <f>+Table1[[#This Row],[id_destino]]&amp;" - "&amp;Table1[[#This Row],[id_origen]]</f>
        <v>876 - 345</v>
      </c>
    </row>
    <row r="4238" spans="1:22" hidden="1">
      <c r="A4238">
        <v>841</v>
      </c>
      <c r="B4238">
        <v>2474</v>
      </c>
      <c r="C4238">
        <v>4145</v>
      </c>
      <c r="D4238">
        <v>5498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 t="s">
        <v>20</v>
      </c>
      <c r="L4238" s="1">
        <v>43185</v>
      </c>
      <c r="M4238">
        <v>118</v>
      </c>
      <c r="N4238">
        <v>353</v>
      </c>
      <c r="O4238">
        <v>2735</v>
      </c>
      <c r="P4238">
        <v>2735</v>
      </c>
      <c r="Q4238">
        <v>2735</v>
      </c>
      <c r="S4238">
        <v>0</v>
      </c>
      <c r="T4238">
        <v>0</v>
      </c>
      <c r="U4238">
        <f>+SUM(Table1[[#This Row],[Latinos]:[Cemex]])</f>
        <v>1</v>
      </c>
      <c r="V4238" t="str">
        <f>+Table1[[#This Row],[id_destino]]&amp;" - "&amp;Table1[[#This Row],[id_origen]]</f>
        <v>118 - 353</v>
      </c>
    </row>
    <row r="4239" spans="1:22" hidden="1">
      <c r="A4239">
        <v>4365</v>
      </c>
      <c r="B4239">
        <v>4602</v>
      </c>
      <c r="C4239">
        <v>7802</v>
      </c>
      <c r="D4239">
        <v>468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0</v>
      </c>
      <c r="K4239" t="s">
        <v>20</v>
      </c>
      <c r="L4239" s="1">
        <v>45495</v>
      </c>
      <c r="M4239">
        <v>73</v>
      </c>
      <c r="N4239">
        <v>356</v>
      </c>
      <c r="O4239">
        <v>50</v>
      </c>
      <c r="P4239">
        <v>150</v>
      </c>
      <c r="Q4239">
        <v>50</v>
      </c>
      <c r="S4239">
        <v>0</v>
      </c>
      <c r="T4239">
        <v>0</v>
      </c>
      <c r="U4239">
        <f>+SUM(Table1[[#This Row],[Latinos]:[Cemex]])</f>
        <v>1</v>
      </c>
      <c r="V4239" t="str">
        <f>+Table1[[#This Row],[id_destino]]&amp;" - "&amp;Table1[[#This Row],[id_origen]]</f>
        <v>73 - 356</v>
      </c>
    </row>
    <row r="4240" spans="1:22" hidden="1">
      <c r="A4240">
        <v>4772</v>
      </c>
      <c r="B4240">
        <v>4898</v>
      </c>
      <c r="C4240">
        <v>8210</v>
      </c>
      <c r="D4240">
        <v>5929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 t="s">
        <v>20</v>
      </c>
      <c r="L4240" s="1">
        <v>45803</v>
      </c>
      <c r="M4240">
        <v>1</v>
      </c>
      <c r="N4240">
        <v>360</v>
      </c>
      <c r="O4240">
        <v>860</v>
      </c>
      <c r="P4240">
        <v>860</v>
      </c>
      <c r="Q4240">
        <v>860</v>
      </c>
      <c r="S4240">
        <v>2241</v>
      </c>
      <c r="T4240">
        <v>2241</v>
      </c>
      <c r="U4240">
        <f>+SUM(Table1[[#This Row],[Latinos]:[Cemex]])</f>
        <v>1</v>
      </c>
      <c r="V4240" t="str">
        <f>+Table1[[#This Row],[id_destino]]&amp;" - "&amp;Table1[[#This Row],[id_origen]]</f>
        <v>1 - 360</v>
      </c>
    </row>
    <row r="4241" spans="1:22" hidden="1">
      <c r="A4241">
        <v>399</v>
      </c>
      <c r="B4241">
        <v>2279</v>
      </c>
      <c r="C4241">
        <v>5337</v>
      </c>
      <c r="D4241">
        <v>5348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 t="s">
        <v>20</v>
      </c>
      <c r="L4241" s="1">
        <v>43055</v>
      </c>
      <c r="M4241">
        <v>23</v>
      </c>
      <c r="N4241">
        <v>360</v>
      </c>
      <c r="O4241">
        <v>20</v>
      </c>
      <c r="P4241">
        <v>150</v>
      </c>
      <c r="Q4241">
        <v>20</v>
      </c>
      <c r="S4241">
        <v>0</v>
      </c>
      <c r="T4241">
        <v>0</v>
      </c>
      <c r="U4241">
        <f>+SUM(Table1[[#This Row],[Latinos]:[Cemex]])</f>
        <v>1</v>
      </c>
      <c r="V4241" t="str">
        <f>+Table1[[#This Row],[id_destino]]&amp;" - "&amp;Table1[[#This Row],[id_origen]]</f>
        <v>23 - 360</v>
      </c>
    </row>
    <row r="4242" spans="1:22" hidden="1">
      <c r="A4242">
        <v>378</v>
      </c>
      <c r="B4242">
        <v>2272</v>
      </c>
      <c r="C4242">
        <v>5337</v>
      </c>
      <c r="D4242">
        <v>1977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 t="s">
        <v>20</v>
      </c>
      <c r="L4242" s="1">
        <v>43049</v>
      </c>
      <c r="M4242">
        <v>71</v>
      </c>
      <c r="N4242">
        <v>360</v>
      </c>
      <c r="O4242">
        <v>20</v>
      </c>
      <c r="P4242">
        <v>150</v>
      </c>
      <c r="Q4242">
        <v>20</v>
      </c>
      <c r="S4242">
        <v>0</v>
      </c>
      <c r="T4242">
        <v>1500</v>
      </c>
      <c r="U4242">
        <f>+SUM(Table1[[#This Row],[Latinos]:[Cemex]])</f>
        <v>1</v>
      </c>
      <c r="V4242" t="str">
        <f>+Table1[[#This Row],[id_destino]]&amp;" - "&amp;Table1[[#This Row],[id_origen]]</f>
        <v>71 - 360</v>
      </c>
    </row>
    <row r="4243" spans="1:22" hidden="1">
      <c r="A4243">
        <v>455</v>
      </c>
      <c r="B4243">
        <v>2300</v>
      </c>
      <c r="C4243">
        <v>5337</v>
      </c>
      <c r="D4243">
        <v>5366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 t="s">
        <v>20</v>
      </c>
      <c r="L4243" s="1">
        <v>43069</v>
      </c>
      <c r="M4243">
        <v>83</v>
      </c>
      <c r="N4243">
        <v>360</v>
      </c>
      <c r="O4243">
        <v>853</v>
      </c>
      <c r="P4243">
        <v>853</v>
      </c>
      <c r="Q4243">
        <v>853</v>
      </c>
      <c r="S4243">
        <v>1098</v>
      </c>
      <c r="T4243">
        <v>1098</v>
      </c>
      <c r="U4243">
        <f>+SUM(Table1[[#This Row],[Latinos]:[Cemex]])</f>
        <v>1</v>
      </c>
      <c r="V4243" t="str">
        <f>+Table1[[#This Row],[id_destino]]&amp;" - "&amp;Table1[[#This Row],[id_origen]]</f>
        <v>83 - 360</v>
      </c>
    </row>
    <row r="4244" spans="1:22" hidden="1">
      <c r="A4244">
        <v>383</v>
      </c>
      <c r="B4244">
        <v>2275</v>
      </c>
      <c r="C4244">
        <v>5337</v>
      </c>
      <c r="D4244">
        <v>5341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 t="s">
        <v>20</v>
      </c>
      <c r="L4244" s="1">
        <v>43052</v>
      </c>
      <c r="M4244">
        <v>360</v>
      </c>
      <c r="N4244">
        <v>360</v>
      </c>
      <c r="O4244">
        <v>20</v>
      </c>
      <c r="P4244">
        <v>150</v>
      </c>
      <c r="Q4244">
        <v>20</v>
      </c>
      <c r="S4244">
        <v>0</v>
      </c>
      <c r="T4244">
        <v>0</v>
      </c>
      <c r="U4244">
        <f>+SUM(Table1[[#This Row],[Latinos]:[Cemex]])</f>
        <v>1</v>
      </c>
      <c r="V4244" t="str">
        <f>+Table1[[#This Row],[id_destino]]&amp;" - "&amp;Table1[[#This Row],[id_origen]]</f>
        <v>360 - 360</v>
      </c>
    </row>
    <row r="4245" spans="1:22" hidden="1">
      <c r="A4245">
        <v>4458</v>
      </c>
      <c r="B4245">
        <v>4673</v>
      </c>
      <c r="C4245">
        <v>7927</v>
      </c>
      <c r="D4245">
        <v>7926</v>
      </c>
      <c r="E4245">
        <v>0</v>
      </c>
      <c r="F4245">
        <v>1</v>
      </c>
      <c r="G4245">
        <v>0</v>
      </c>
      <c r="H4245">
        <v>0</v>
      </c>
      <c r="I4245">
        <v>0</v>
      </c>
      <c r="J4245">
        <v>0</v>
      </c>
      <c r="K4245" t="s">
        <v>20</v>
      </c>
      <c r="L4245" s="1">
        <v>45653</v>
      </c>
      <c r="M4245">
        <v>606</v>
      </c>
      <c r="N4245">
        <v>360</v>
      </c>
      <c r="O4245">
        <v>995</v>
      </c>
      <c r="P4245">
        <v>985</v>
      </c>
      <c r="Q4245">
        <v>1196</v>
      </c>
      <c r="S4245">
        <v>2587</v>
      </c>
      <c r="T4245">
        <v>2587</v>
      </c>
      <c r="U4245">
        <f>+SUM(Table1[[#This Row],[Latinos]:[Cemex]])</f>
        <v>1</v>
      </c>
      <c r="V4245" t="str">
        <f>+Table1[[#This Row],[id_destino]]&amp;" - "&amp;Table1[[#This Row],[id_origen]]</f>
        <v>606 - 360</v>
      </c>
    </row>
    <row r="4246" spans="1:22" hidden="1">
      <c r="A4246">
        <v>2860</v>
      </c>
      <c r="B4246">
        <v>3614</v>
      </c>
      <c r="C4246">
        <v>6289</v>
      </c>
      <c r="D4246">
        <v>6079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 t="s">
        <v>20</v>
      </c>
      <c r="L4246" s="1">
        <v>44558</v>
      </c>
      <c r="M4246">
        <v>3</v>
      </c>
      <c r="N4246">
        <v>379</v>
      </c>
      <c r="O4246">
        <v>1633</v>
      </c>
      <c r="P4246">
        <v>1633</v>
      </c>
      <c r="Q4246">
        <v>1633</v>
      </c>
      <c r="S4246">
        <v>0</v>
      </c>
      <c r="T4246">
        <v>0</v>
      </c>
      <c r="U4246">
        <f>+SUM(Table1[[#This Row],[Latinos]:[Cemex]])</f>
        <v>1</v>
      </c>
      <c r="V4246" t="str">
        <f>+Table1[[#This Row],[id_destino]]&amp;" - "&amp;Table1[[#This Row],[id_origen]]</f>
        <v>3 - 379</v>
      </c>
    </row>
    <row r="4247" spans="1:22" hidden="1">
      <c r="A4247">
        <v>2866</v>
      </c>
      <c r="B4247">
        <v>3620</v>
      </c>
      <c r="C4247">
        <v>6289</v>
      </c>
      <c r="D4247">
        <v>6079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 t="s">
        <v>20</v>
      </c>
      <c r="L4247" s="1">
        <v>44603</v>
      </c>
      <c r="M4247">
        <v>3</v>
      </c>
      <c r="N4247">
        <v>379</v>
      </c>
      <c r="O4247">
        <v>1633</v>
      </c>
      <c r="P4247">
        <v>1663</v>
      </c>
      <c r="Q4247">
        <v>1633</v>
      </c>
      <c r="S4247">
        <v>3255</v>
      </c>
      <c r="T4247">
        <v>3255</v>
      </c>
      <c r="U4247">
        <f>+SUM(Table1[[#This Row],[Latinos]:[Cemex]])</f>
        <v>1</v>
      </c>
      <c r="V4247" t="str">
        <f>+Table1[[#This Row],[id_destino]]&amp;" - "&amp;Table1[[#This Row],[id_origen]]</f>
        <v>3 - 379</v>
      </c>
    </row>
    <row r="4248" spans="1:22" hidden="1">
      <c r="A4248">
        <v>2352</v>
      </c>
      <c r="B4248">
        <v>3292</v>
      </c>
      <c r="C4248">
        <v>5894</v>
      </c>
      <c r="D4248">
        <v>4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 t="s">
        <v>20</v>
      </c>
      <c r="L4248" s="1">
        <v>43966</v>
      </c>
      <c r="M4248">
        <v>6</v>
      </c>
      <c r="N4248">
        <v>379</v>
      </c>
      <c r="O4248">
        <v>2081</v>
      </c>
      <c r="P4248">
        <v>2084</v>
      </c>
      <c r="Q4248">
        <v>2081</v>
      </c>
      <c r="S4248">
        <v>3035</v>
      </c>
      <c r="T4248">
        <v>3035</v>
      </c>
      <c r="U4248">
        <f>+SUM(Table1[[#This Row],[Latinos]:[Cemex]])</f>
        <v>1</v>
      </c>
      <c r="V4248" t="str">
        <f>+Table1[[#This Row],[id_destino]]&amp;" - "&amp;Table1[[#This Row],[id_origen]]</f>
        <v>6 - 379</v>
      </c>
    </row>
    <row r="4249" spans="1:22" hidden="1">
      <c r="A4249">
        <v>4811</v>
      </c>
      <c r="B4249">
        <v>4922</v>
      </c>
      <c r="C4249">
        <v>6289</v>
      </c>
      <c r="D4249">
        <v>7795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 t="s">
        <v>20</v>
      </c>
      <c r="L4249" s="1">
        <v>45855</v>
      </c>
      <c r="M4249">
        <v>7</v>
      </c>
      <c r="N4249">
        <v>379</v>
      </c>
      <c r="O4249">
        <v>2578</v>
      </c>
      <c r="P4249">
        <v>2513</v>
      </c>
      <c r="Q4249">
        <v>2578</v>
      </c>
      <c r="S4249">
        <v>5373</v>
      </c>
      <c r="T4249">
        <v>5898.99</v>
      </c>
      <c r="U4249">
        <f>+SUM(Table1[[#This Row],[Latinos]:[Cemex]])</f>
        <v>1</v>
      </c>
      <c r="V4249" t="str">
        <f>+Table1[[#This Row],[id_destino]]&amp;" - "&amp;Table1[[#This Row],[id_origen]]</f>
        <v>7 - 379</v>
      </c>
    </row>
    <row r="4250" spans="1:22" hidden="1">
      <c r="A4250">
        <v>3623</v>
      </c>
      <c r="B4250">
        <v>4119</v>
      </c>
      <c r="C4250">
        <v>6289</v>
      </c>
      <c r="D4250">
        <v>7269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 t="s">
        <v>20</v>
      </c>
      <c r="L4250" s="1">
        <v>45001</v>
      </c>
      <c r="M4250">
        <v>23</v>
      </c>
      <c r="N4250">
        <v>379</v>
      </c>
      <c r="O4250">
        <v>848</v>
      </c>
      <c r="P4250">
        <v>848</v>
      </c>
      <c r="Q4250">
        <v>848</v>
      </c>
      <c r="S4250">
        <v>0</v>
      </c>
      <c r="T4250">
        <v>0</v>
      </c>
      <c r="U4250">
        <f>+SUM(Table1[[#This Row],[Latinos]:[Cemex]])</f>
        <v>1</v>
      </c>
      <c r="V4250" t="str">
        <f>+Table1[[#This Row],[id_destino]]&amp;" - "&amp;Table1[[#This Row],[id_origen]]</f>
        <v>23 - 379</v>
      </c>
    </row>
    <row r="4251" spans="1:22" hidden="1">
      <c r="A4251">
        <v>4148</v>
      </c>
      <c r="B4251">
        <v>4450</v>
      </c>
      <c r="C4251">
        <v>6289</v>
      </c>
      <c r="D4251">
        <v>7378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  <c r="K4251" t="s">
        <v>20</v>
      </c>
      <c r="L4251" s="1">
        <v>45320</v>
      </c>
      <c r="M4251">
        <v>33</v>
      </c>
      <c r="N4251">
        <v>379</v>
      </c>
      <c r="O4251">
        <v>373</v>
      </c>
      <c r="P4251">
        <v>373</v>
      </c>
      <c r="Q4251">
        <v>373</v>
      </c>
      <c r="S4251">
        <v>637</v>
      </c>
      <c r="T4251">
        <v>698</v>
      </c>
      <c r="U4251">
        <f>+SUM(Table1[[#This Row],[Latinos]:[Cemex]])</f>
        <v>1</v>
      </c>
      <c r="V4251" t="str">
        <f>+Table1[[#This Row],[id_destino]]&amp;" - "&amp;Table1[[#This Row],[id_origen]]</f>
        <v>33 - 379</v>
      </c>
    </row>
    <row r="4252" spans="1:22">
      <c r="A4252">
        <v>2428</v>
      </c>
      <c r="B4252">
        <v>3336</v>
      </c>
      <c r="C4252">
        <v>5894</v>
      </c>
      <c r="D4252">
        <v>40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0</v>
      </c>
      <c r="K4252" t="s">
        <v>20</v>
      </c>
      <c r="L4252" s="1">
        <v>44068</v>
      </c>
      <c r="M4252">
        <v>34</v>
      </c>
      <c r="N4252">
        <v>379</v>
      </c>
      <c r="O4252">
        <v>364</v>
      </c>
      <c r="P4252">
        <v>380</v>
      </c>
      <c r="Q4252">
        <v>364</v>
      </c>
      <c r="S4252">
        <v>990</v>
      </c>
      <c r="T4252">
        <v>990</v>
      </c>
      <c r="U4252">
        <f>+SUM(Table1[[#This Row],[Latinos]:[Cemex]])</f>
        <v>1</v>
      </c>
      <c r="V4252" t="str">
        <f>+Table1[[#This Row],[id_destino]]&amp;" - "&amp;Table1[[#This Row],[id_origen]]</f>
        <v>34 - 379</v>
      </c>
    </row>
    <row r="4253" spans="1:22" hidden="1">
      <c r="A4253">
        <v>2321</v>
      </c>
      <c r="B4253">
        <v>3271</v>
      </c>
      <c r="C4253">
        <v>6289</v>
      </c>
      <c r="D4253">
        <v>5601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 t="s">
        <v>20</v>
      </c>
      <c r="L4253" s="1">
        <v>43939</v>
      </c>
      <c r="M4253">
        <v>43</v>
      </c>
      <c r="N4253">
        <v>379</v>
      </c>
      <c r="O4253">
        <v>1484</v>
      </c>
      <c r="P4253">
        <v>1484</v>
      </c>
      <c r="Q4253">
        <v>1484</v>
      </c>
      <c r="S4253">
        <v>0</v>
      </c>
      <c r="T4253">
        <v>0</v>
      </c>
      <c r="U4253">
        <f>+SUM(Table1[[#This Row],[Latinos]:[Cemex]])</f>
        <v>1</v>
      </c>
      <c r="V4253" t="str">
        <f>+Table1[[#This Row],[id_destino]]&amp;" - "&amp;Table1[[#This Row],[id_origen]]</f>
        <v>43 - 379</v>
      </c>
    </row>
    <row r="4254" spans="1:22" hidden="1">
      <c r="A4254">
        <v>3966</v>
      </c>
      <c r="B4254">
        <v>3271</v>
      </c>
      <c r="C4254">
        <v>7045</v>
      </c>
      <c r="D4254">
        <v>5601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 t="s">
        <v>20</v>
      </c>
      <c r="L4254" s="1">
        <v>45210</v>
      </c>
      <c r="M4254">
        <v>43</v>
      </c>
      <c r="N4254">
        <v>379</v>
      </c>
      <c r="O4254">
        <v>1469</v>
      </c>
      <c r="P4254">
        <v>1543</v>
      </c>
      <c r="Q4254">
        <v>1469</v>
      </c>
      <c r="S4254">
        <v>3247</v>
      </c>
      <c r="T4254">
        <v>3247</v>
      </c>
      <c r="U4254">
        <f>+SUM(Table1[[#This Row],[Latinos]:[Cemex]])</f>
        <v>1</v>
      </c>
      <c r="V4254" t="str">
        <f>+Table1[[#This Row],[id_destino]]&amp;" - "&amp;Table1[[#This Row],[id_origen]]</f>
        <v>43 - 379</v>
      </c>
    </row>
    <row r="4255" spans="1:22" hidden="1">
      <c r="A4255">
        <v>55</v>
      </c>
      <c r="B4255">
        <v>1625</v>
      </c>
      <c r="C4255">
        <v>2279</v>
      </c>
      <c r="D4255">
        <v>2413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0</v>
      </c>
      <c r="K4255" t="s">
        <v>20</v>
      </c>
      <c r="L4255" s="1">
        <v>42986</v>
      </c>
      <c r="M4255">
        <v>47</v>
      </c>
      <c r="N4255">
        <v>379</v>
      </c>
      <c r="O4255">
        <v>880</v>
      </c>
      <c r="P4255">
        <v>927</v>
      </c>
      <c r="Q4255">
        <v>880</v>
      </c>
      <c r="S4255">
        <v>1162</v>
      </c>
      <c r="T4255">
        <v>1276</v>
      </c>
      <c r="U4255">
        <f>+SUM(Table1[[#This Row],[Latinos]:[Cemex]])</f>
        <v>1</v>
      </c>
      <c r="V4255" t="str">
        <f>+Table1[[#This Row],[id_destino]]&amp;" - "&amp;Table1[[#This Row],[id_origen]]</f>
        <v>47 - 379</v>
      </c>
    </row>
    <row r="4256" spans="1:22" hidden="1">
      <c r="A4256">
        <v>4576</v>
      </c>
      <c r="B4256">
        <v>1625</v>
      </c>
      <c r="C4256">
        <v>6289</v>
      </c>
      <c r="D4256">
        <v>7159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 t="s">
        <v>20</v>
      </c>
      <c r="L4256" s="1">
        <v>45627</v>
      </c>
      <c r="M4256">
        <v>47</v>
      </c>
      <c r="N4256">
        <v>379</v>
      </c>
      <c r="O4256">
        <v>868</v>
      </c>
      <c r="P4256">
        <v>866</v>
      </c>
      <c r="Q4256">
        <v>800</v>
      </c>
      <c r="S4256">
        <v>843</v>
      </c>
      <c r="T4256">
        <v>843</v>
      </c>
      <c r="U4256">
        <f>+SUM(Table1[[#This Row],[Latinos]:[Cemex]])</f>
        <v>1</v>
      </c>
      <c r="V4256" t="str">
        <f>+Table1[[#This Row],[id_destino]]&amp;" - "&amp;Table1[[#This Row],[id_origen]]</f>
        <v>47 - 379</v>
      </c>
    </row>
    <row r="4257" spans="1:22" hidden="1">
      <c r="A4257">
        <v>2404</v>
      </c>
      <c r="B4257">
        <v>3322</v>
      </c>
      <c r="C4257">
        <v>6289</v>
      </c>
      <c r="D4257">
        <v>5116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 t="s">
        <v>20</v>
      </c>
      <c r="L4257" s="1">
        <v>44663</v>
      </c>
      <c r="M4257">
        <v>52</v>
      </c>
      <c r="N4257">
        <v>379</v>
      </c>
      <c r="O4257">
        <v>65</v>
      </c>
      <c r="P4257">
        <v>100</v>
      </c>
      <c r="Q4257">
        <v>65</v>
      </c>
      <c r="S4257">
        <v>0</v>
      </c>
      <c r="T4257">
        <v>0</v>
      </c>
      <c r="U4257">
        <f>+SUM(Table1[[#This Row],[Latinos]:[Cemex]])</f>
        <v>1</v>
      </c>
      <c r="V4257" t="str">
        <f>+Table1[[#This Row],[id_destino]]&amp;" - "&amp;Table1[[#This Row],[id_origen]]</f>
        <v>52 - 379</v>
      </c>
    </row>
    <row r="4258" spans="1:22">
      <c r="A4258">
        <v>4180</v>
      </c>
      <c r="B4258">
        <v>4472</v>
      </c>
      <c r="C4258">
        <v>7580</v>
      </c>
      <c r="D4258">
        <v>3460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0</v>
      </c>
      <c r="K4258" t="s">
        <v>20</v>
      </c>
      <c r="L4258" s="1">
        <v>45343</v>
      </c>
      <c r="M4258">
        <v>54</v>
      </c>
      <c r="N4258">
        <v>379</v>
      </c>
      <c r="O4258">
        <v>73</v>
      </c>
      <c r="P4258">
        <v>150</v>
      </c>
      <c r="Q4258">
        <v>73</v>
      </c>
      <c r="S4258">
        <v>465</v>
      </c>
      <c r="T4258">
        <v>465</v>
      </c>
      <c r="U4258">
        <f>+SUM(Table1[[#This Row],[Latinos]:[Cemex]])</f>
        <v>1</v>
      </c>
      <c r="V4258" t="str">
        <f>+Table1[[#This Row],[id_destino]]&amp;" - "&amp;Table1[[#This Row],[id_origen]]</f>
        <v>54 - 379</v>
      </c>
    </row>
    <row r="4259" spans="1:22" hidden="1">
      <c r="A4259">
        <v>4335</v>
      </c>
      <c r="B4259">
        <v>4577</v>
      </c>
      <c r="C4259">
        <v>7433</v>
      </c>
      <c r="D4259">
        <v>63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0</v>
      </c>
      <c r="K4259" t="s">
        <v>20</v>
      </c>
      <c r="L4259" s="1">
        <v>45469</v>
      </c>
      <c r="M4259">
        <v>55</v>
      </c>
      <c r="N4259">
        <v>379</v>
      </c>
      <c r="O4259">
        <v>904</v>
      </c>
      <c r="P4259">
        <v>898</v>
      </c>
      <c r="Q4259">
        <v>904</v>
      </c>
      <c r="S4259">
        <v>1097</v>
      </c>
      <c r="T4259">
        <v>1097</v>
      </c>
      <c r="U4259">
        <f>+SUM(Table1[[#This Row],[Latinos]:[Cemex]])</f>
        <v>1</v>
      </c>
      <c r="V4259" t="str">
        <f>+Table1[[#This Row],[id_destino]]&amp;" - "&amp;Table1[[#This Row],[id_origen]]</f>
        <v>55 - 379</v>
      </c>
    </row>
    <row r="4260" spans="1:22" hidden="1">
      <c r="A4260">
        <v>4432</v>
      </c>
      <c r="B4260">
        <v>4655</v>
      </c>
      <c r="C4260">
        <v>7900</v>
      </c>
      <c r="D4260">
        <v>7899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 t="s">
        <v>20</v>
      </c>
      <c r="L4260" s="1">
        <v>45537</v>
      </c>
      <c r="M4260">
        <v>62</v>
      </c>
      <c r="N4260">
        <v>379</v>
      </c>
      <c r="O4260">
        <v>481</v>
      </c>
      <c r="P4260">
        <v>541</v>
      </c>
      <c r="Q4260">
        <v>481</v>
      </c>
      <c r="S4260">
        <v>465</v>
      </c>
      <c r="T4260">
        <v>465</v>
      </c>
      <c r="U4260">
        <f>+SUM(Table1[[#This Row],[Latinos]:[Cemex]])</f>
        <v>1</v>
      </c>
      <c r="V4260" t="str">
        <f>+Table1[[#This Row],[id_destino]]&amp;" - "&amp;Table1[[#This Row],[id_origen]]</f>
        <v>62 - 379</v>
      </c>
    </row>
    <row r="4261" spans="1:22">
      <c r="A4261">
        <v>2472</v>
      </c>
      <c r="B4261">
        <v>3365</v>
      </c>
      <c r="C4261">
        <v>6839</v>
      </c>
      <c r="D4261">
        <v>6469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 t="s">
        <v>20</v>
      </c>
      <c r="L4261" s="1">
        <v>44670</v>
      </c>
      <c r="M4261">
        <v>84</v>
      </c>
      <c r="N4261">
        <v>379</v>
      </c>
      <c r="O4261">
        <v>76</v>
      </c>
      <c r="P4261">
        <v>151</v>
      </c>
      <c r="Q4261">
        <v>51</v>
      </c>
      <c r="S4261">
        <v>184</v>
      </c>
      <c r="T4261">
        <v>184</v>
      </c>
      <c r="U4261">
        <f>+SUM(Table1[[#This Row],[Latinos]:[Cemex]])</f>
        <v>1</v>
      </c>
      <c r="V4261" t="str">
        <f>+Table1[[#This Row],[id_destino]]&amp;" - "&amp;Table1[[#This Row],[id_origen]]</f>
        <v>84 - 379</v>
      </c>
    </row>
    <row r="4262" spans="1:22" hidden="1">
      <c r="A4262">
        <v>4739</v>
      </c>
      <c r="B4262">
        <v>4879</v>
      </c>
      <c r="C4262">
        <v>8051</v>
      </c>
      <c r="D4262">
        <v>7784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 t="s">
        <v>20</v>
      </c>
      <c r="L4262" s="1">
        <v>45777</v>
      </c>
      <c r="M4262">
        <v>92</v>
      </c>
      <c r="N4262">
        <v>379</v>
      </c>
      <c r="O4262">
        <v>12</v>
      </c>
      <c r="P4262">
        <v>12</v>
      </c>
      <c r="Q4262">
        <v>12</v>
      </c>
      <c r="S4262">
        <v>0</v>
      </c>
      <c r="T4262">
        <v>0</v>
      </c>
      <c r="U4262">
        <f>+SUM(Table1[[#This Row],[Latinos]:[Cemex]])</f>
        <v>1</v>
      </c>
      <c r="V4262" t="str">
        <f>+Table1[[#This Row],[id_destino]]&amp;" - "&amp;Table1[[#This Row],[id_origen]]</f>
        <v>92 - 379</v>
      </c>
    </row>
    <row r="4263" spans="1:22" hidden="1">
      <c r="A4263">
        <v>3833</v>
      </c>
      <c r="B4263">
        <v>4248</v>
      </c>
      <c r="C4263">
        <v>6289</v>
      </c>
      <c r="D4263">
        <v>4889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 t="s">
        <v>20</v>
      </c>
      <c r="L4263" s="1">
        <v>45132</v>
      </c>
      <c r="M4263">
        <v>105</v>
      </c>
      <c r="N4263">
        <v>379</v>
      </c>
      <c r="O4263">
        <v>860</v>
      </c>
      <c r="P4263">
        <v>860</v>
      </c>
      <c r="Q4263">
        <v>860</v>
      </c>
      <c r="S4263">
        <v>0</v>
      </c>
      <c r="T4263">
        <v>0</v>
      </c>
      <c r="U4263">
        <f>+SUM(Table1[[#This Row],[Latinos]:[Cemex]])</f>
        <v>1</v>
      </c>
      <c r="V4263" t="str">
        <f>+Table1[[#This Row],[id_destino]]&amp;" - "&amp;Table1[[#This Row],[id_origen]]</f>
        <v>105 - 379</v>
      </c>
    </row>
    <row r="4264" spans="1:22" hidden="1">
      <c r="A4264">
        <v>2605</v>
      </c>
      <c r="B4264">
        <v>3191</v>
      </c>
      <c r="C4264">
        <v>6289</v>
      </c>
      <c r="D4264">
        <v>6518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 t="s">
        <v>20</v>
      </c>
      <c r="L4264" s="1">
        <v>44236</v>
      </c>
      <c r="M4264">
        <v>107</v>
      </c>
      <c r="N4264">
        <v>379</v>
      </c>
      <c r="O4264">
        <v>556</v>
      </c>
      <c r="P4264">
        <v>556</v>
      </c>
      <c r="Q4264">
        <v>556</v>
      </c>
      <c r="S4264">
        <v>0</v>
      </c>
      <c r="T4264">
        <v>0</v>
      </c>
      <c r="U4264">
        <f>+SUM(Table1[[#This Row],[Latinos]:[Cemex]])</f>
        <v>1</v>
      </c>
      <c r="V4264" t="str">
        <f>+Table1[[#This Row],[id_destino]]&amp;" - "&amp;Table1[[#This Row],[id_origen]]</f>
        <v>107 - 379</v>
      </c>
    </row>
    <row r="4265" spans="1:22" hidden="1">
      <c r="A4265">
        <v>4256</v>
      </c>
      <c r="B4265">
        <v>4527</v>
      </c>
      <c r="C4265">
        <v>6289</v>
      </c>
      <c r="D4265">
        <v>7739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 t="s">
        <v>20</v>
      </c>
      <c r="L4265" s="1">
        <v>45404</v>
      </c>
      <c r="M4265">
        <v>125</v>
      </c>
      <c r="N4265">
        <v>379</v>
      </c>
      <c r="O4265">
        <v>671</v>
      </c>
      <c r="P4265">
        <v>640</v>
      </c>
      <c r="Q4265">
        <v>671</v>
      </c>
      <c r="S4265">
        <v>806</v>
      </c>
      <c r="T4265">
        <v>806</v>
      </c>
      <c r="U4265">
        <f>+SUM(Table1[[#This Row],[Latinos]:[Cemex]])</f>
        <v>1</v>
      </c>
      <c r="V4265" t="str">
        <f>+Table1[[#This Row],[id_destino]]&amp;" - "&amp;Table1[[#This Row],[id_origen]]</f>
        <v>125 - 379</v>
      </c>
    </row>
    <row r="4266" spans="1:22" hidden="1">
      <c r="A4266">
        <v>4153</v>
      </c>
      <c r="B4266">
        <v>4454</v>
      </c>
      <c r="C4266">
        <v>6289</v>
      </c>
      <c r="D4266">
        <v>6621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 t="s">
        <v>20</v>
      </c>
      <c r="L4266" s="1">
        <v>45323</v>
      </c>
      <c r="M4266">
        <v>179</v>
      </c>
      <c r="N4266">
        <v>379</v>
      </c>
      <c r="O4266">
        <v>1709</v>
      </c>
      <c r="P4266">
        <v>1709</v>
      </c>
      <c r="Q4266">
        <v>1709</v>
      </c>
      <c r="S4266">
        <v>2196</v>
      </c>
      <c r="T4266">
        <v>2196</v>
      </c>
      <c r="U4266">
        <f>+SUM(Table1[[#This Row],[Latinos]:[Cemex]])</f>
        <v>1</v>
      </c>
      <c r="V4266" t="str">
        <f>+Table1[[#This Row],[id_destino]]&amp;" - "&amp;Table1[[#This Row],[id_origen]]</f>
        <v>179 - 379</v>
      </c>
    </row>
    <row r="4267" spans="1:22" hidden="1">
      <c r="A4267">
        <v>2917</v>
      </c>
      <c r="B4267">
        <v>3653</v>
      </c>
      <c r="C4267">
        <v>6289</v>
      </c>
      <c r="D4267">
        <v>6791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 t="s">
        <v>20</v>
      </c>
      <c r="L4267" s="1">
        <v>44635</v>
      </c>
      <c r="M4267">
        <v>286</v>
      </c>
      <c r="N4267">
        <v>379</v>
      </c>
      <c r="O4267">
        <v>1133</v>
      </c>
      <c r="P4267">
        <v>1161</v>
      </c>
      <c r="Q4267">
        <v>1133</v>
      </c>
      <c r="S4267">
        <v>1494</v>
      </c>
      <c r="T4267">
        <v>1494</v>
      </c>
      <c r="U4267">
        <f>+SUM(Table1[[#This Row],[Latinos]:[Cemex]])</f>
        <v>1</v>
      </c>
      <c r="V4267" t="str">
        <f>+Table1[[#This Row],[id_destino]]&amp;" - "&amp;Table1[[#This Row],[id_origen]]</f>
        <v>286 - 379</v>
      </c>
    </row>
    <row r="4268" spans="1:22" hidden="1">
      <c r="A4268">
        <v>4074</v>
      </c>
      <c r="B4268">
        <v>4402</v>
      </c>
      <c r="C4268">
        <v>6289</v>
      </c>
      <c r="D4268">
        <v>7585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 t="s">
        <v>20</v>
      </c>
      <c r="L4268" s="1">
        <v>45267</v>
      </c>
      <c r="M4268">
        <v>331</v>
      </c>
      <c r="N4268">
        <v>379</v>
      </c>
      <c r="O4268">
        <v>696</v>
      </c>
      <c r="P4268">
        <v>717</v>
      </c>
      <c r="Q4268">
        <v>696</v>
      </c>
      <c r="S4268">
        <v>584</v>
      </c>
      <c r="T4268">
        <v>584</v>
      </c>
      <c r="U4268">
        <f>+SUM(Table1[[#This Row],[Latinos]:[Cemex]])</f>
        <v>1</v>
      </c>
      <c r="V4268" t="str">
        <f>+Table1[[#This Row],[id_destino]]&amp;" - "&amp;Table1[[#This Row],[id_origen]]</f>
        <v>331 - 379</v>
      </c>
    </row>
    <row r="4269" spans="1:22" hidden="1">
      <c r="A4269">
        <v>4144</v>
      </c>
      <c r="B4269">
        <v>4446</v>
      </c>
      <c r="C4269">
        <v>7645</v>
      </c>
      <c r="D4269">
        <v>7646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 t="s">
        <v>20</v>
      </c>
      <c r="L4269" s="1">
        <v>45316</v>
      </c>
      <c r="M4269">
        <v>393</v>
      </c>
      <c r="N4269">
        <v>379</v>
      </c>
      <c r="O4269">
        <v>54</v>
      </c>
      <c r="P4269">
        <v>100</v>
      </c>
      <c r="Q4269">
        <v>54</v>
      </c>
      <c r="S4269">
        <v>0</v>
      </c>
      <c r="T4269">
        <v>0</v>
      </c>
      <c r="U4269">
        <f>+SUM(Table1[[#This Row],[Latinos]:[Cemex]])</f>
        <v>1</v>
      </c>
      <c r="V4269" t="str">
        <f>+Table1[[#This Row],[id_destino]]&amp;" - "&amp;Table1[[#This Row],[id_origen]]</f>
        <v>393 - 379</v>
      </c>
    </row>
    <row r="4270" spans="1:22">
      <c r="A4270">
        <v>2654</v>
      </c>
      <c r="B4270">
        <v>3480</v>
      </c>
      <c r="C4270">
        <v>6289</v>
      </c>
      <c r="D4270">
        <v>5222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0</v>
      </c>
      <c r="K4270" t="s">
        <v>20</v>
      </c>
      <c r="L4270" s="1">
        <v>44294</v>
      </c>
      <c r="M4270">
        <v>684</v>
      </c>
      <c r="N4270">
        <v>379</v>
      </c>
      <c r="O4270">
        <v>1083</v>
      </c>
      <c r="P4270">
        <v>1195</v>
      </c>
      <c r="Q4270">
        <v>1083</v>
      </c>
      <c r="S4270">
        <v>1810</v>
      </c>
      <c r="T4270">
        <v>1810</v>
      </c>
      <c r="U4270">
        <f>+SUM(Table1[[#This Row],[Latinos]:[Cemex]])</f>
        <v>1</v>
      </c>
      <c r="V4270" t="str">
        <f>+Table1[[#This Row],[id_destino]]&amp;" - "&amp;Table1[[#This Row],[id_origen]]</f>
        <v>684 - 379</v>
      </c>
    </row>
    <row r="4271" spans="1:22" hidden="1">
      <c r="A4271">
        <v>4262</v>
      </c>
      <c r="B4271">
        <v>4531</v>
      </c>
      <c r="C4271">
        <v>6289</v>
      </c>
      <c r="D4271">
        <v>7747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 t="s">
        <v>20</v>
      </c>
      <c r="L4271" s="1">
        <v>45408</v>
      </c>
      <c r="M4271">
        <v>690</v>
      </c>
      <c r="N4271">
        <v>379</v>
      </c>
      <c r="O4271">
        <v>2487</v>
      </c>
      <c r="P4271">
        <v>2476</v>
      </c>
      <c r="Q4271">
        <v>2487</v>
      </c>
      <c r="S4271">
        <v>5055</v>
      </c>
      <c r="T4271">
        <v>5333</v>
      </c>
      <c r="U4271">
        <f>+SUM(Table1[[#This Row],[Latinos]:[Cemex]])</f>
        <v>1</v>
      </c>
      <c r="V4271" t="str">
        <f>+Table1[[#This Row],[id_destino]]&amp;" - "&amp;Table1[[#This Row],[id_origen]]</f>
        <v>690 - 379</v>
      </c>
    </row>
    <row r="4272" spans="1:22" hidden="1">
      <c r="A4272">
        <v>2940</v>
      </c>
      <c r="B4272">
        <v>3669</v>
      </c>
      <c r="C4272">
        <v>6289</v>
      </c>
      <c r="D4272">
        <v>6811</v>
      </c>
      <c r="E4272">
        <v>0</v>
      </c>
      <c r="F4272">
        <v>1</v>
      </c>
      <c r="G4272">
        <v>0</v>
      </c>
      <c r="H4272">
        <v>0</v>
      </c>
      <c r="I4272">
        <v>0</v>
      </c>
      <c r="J4272">
        <v>0</v>
      </c>
      <c r="K4272" t="s">
        <v>20</v>
      </c>
      <c r="L4272" s="1">
        <v>44628</v>
      </c>
      <c r="M4272">
        <v>767</v>
      </c>
      <c r="N4272">
        <v>379</v>
      </c>
      <c r="O4272">
        <v>717</v>
      </c>
      <c r="P4272">
        <v>717</v>
      </c>
      <c r="Q4272">
        <v>717</v>
      </c>
      <c r="S4272">
        <v>1169</v>
      </c>
      <c r="T4272">
        <v>1246</v>
      </c>
      <c r="U4272">
        <f>+SUM(Table1[[#This Row],[Latinos]:[Cemex]])</f>
        <v>1</v>
      </c>
      <c r="V4272" t="str">
        <f>+Table1[[#This Row],[id_destino]]&amp;" - "&amp;Table1[[#This Row],[id_origen]]</f>
        <v>767 - 379</v>
      </c>
    </row>
    <row r="4273" spans="1:22" hidden="1">
      <c r="A4273">
        <v>4112</v>
      </c>
      <c r="B4273">
        <v>3669</v>
      </c>
      <c r="C4273">
        <v>6289</v>
      </c>
      <c r="D4273">
        <v>6811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 t="s">
        <v>20</v>
      </c>
      <c r="L4273" s="1">
        <v>45299</v>
      </c>
      <c r="M4273">
        <v>767</v>
      </c>
      <c r="N4273">
        <v>379</v>
      </c>
      <c r="O4273">
        <v>643</v>
      </c>
      <c r="P4273">
        <v>643</v>
      </c>
      <c r="Q4273">
        <v>643</v>
      </c>
      <c r="S4273">
        <v>1107</v>
      </c>
      <c r="T4273">
        <v>1193</v>
      </c>
      <c r="U4273">
        <f>+SUM(Table1[[#This Row],[Latinos]:[Cemex]])</f>
        <v>1</v>
      </c>
      <c r="V4273" t="str">
        <f>+Table1[[#This Row],[id_destino]]&amp;" - "&amp;Table1[[#This Row],[id_origen]]</f>
        <v>767 - 379</v>
      </c>
    </row>
    <row r="4274" spans="1:22" hidden="1">
      <c r="A4274">
        <v>1725</v>
      </c>
      <c r="B4274">
        <v>2905</v>
      </c>
      <c r="C4274">
        <v>5894</v>
      </c>
      <c r="D4274">
        <v>5903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 t="s">
        <v>20</v>
      </c>
      <c r="L4274" s="1">
        <v>43588</v>
      </c>
      <c r="M4274">
        <v>770</v>
      </c>
      <c r="N4274">
        <v>379</v>
      </c>
      <c r="O4274">
        <v>294</v>
      </c>
      <c r="P4274">
        <v>294</v>
      </c>
      <c r="Q4274">
        <v>294</v>
      </c>
      <c r="S4274">
        <v>0</v>
      </c>
      <c r="T4274">
        <v>0</v>
      </c>
      <c r="U4274">
        <f>+SUM(Table1[[#This Row],[Latinos]:[Cemex]])</f>
        <v>1</v>
      </c>
      <c r="V4274" t="str">
        <f>+Table1[[#This Row],[id_destino]]&amp;" - "&amp;Table1[[#This Row],[id_origen]]</f>
        <v>770 - 379</v>
      </c>
    </row>
    <row r="4275" spans="1:22" hidden="1">
      <c r="A4275">
        <v>3950</v>
      </c>
      <c r="B4275">
        <v>1565</v>
      </c>
      <c r="C4275">
        <v>4905</v>
      </c>
      <c r="D4275">
        <v>3097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 t="s">
        <v>20</v>
      </c>
      <c r="L4275" s="1">
        <v>45204</v>
      </c>
      <c r="M4275">
        <v>2</v>
      </c>
      <c r="N4275">
        <v>384</v>
      </c>
      <c r="O4275">
        <v>238</v>
      </c>
      <c r="P4275">
        <v>236</v>
      </c>
      <c r="Q4275">
        <v>238</v>
      </c>
      <c r="S4275">
        <v>726</v>
      </c>
      <c r="T4275">
        <v>726</v>
      </c>
      <c r="U4275">
        <f>+SUM(Table1[[#This Row],[Latinos]:[Cemex]])</f>
        <v>1</v>
      </c>
      <c r="V4275" t="str">
        <f>+Table1[[#This Row],[id_destino]]&amp;" - "&amp;Table1[[#This Row],[id_origen]]</f>
        <v>2 - 384</v>
      </c>
    </row>
    <row r="4276" spans="1:22">
      <c r="A4276">
        <v>634</v>
      </c>
      <c r="B4276">
        <v>2377</v>
      </c>
      <c r="C4276">
        <v>5413</v>
      </c>
      <c r="D4276">
        <v>4632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0</v>
      </c>
      <c r="K4276" t="s">
        <v>20</v>
      </c>
      <c r="L4276" s="1">
        <v>43119</v>
      </c>
      <c r="M4276">
        <v>4</v>
      </c>
      <c r="N4276">
        <v>384</v>
      </c>
      <c r="O4276">
        <v>1039</v>
      </c>
      <c r="P4276">
        <v>1039</v>
      </c>
      <c r="Q4276">
        <v>1039</v>
      </c>
      <c r="S4276">
        <v>2231</v>
      </c>
      <c r="T4276">
        <v>2231</v>
      </c>
      <c r="U4276">
        <f>+SUM(Table1[[#This Row],[Latinos]:[Cemex]])</f>
        <v>1</v>
      </c>
      <c r="V4276" t="str">
        <f>+Table1[[#This Row],[id_destino]]&amp;" - "&amp;Table1[[#This Row],[id_origen]]</f>
        <v>4 - 384</v>
      </c>
    </row>
    <row r="4277" spans="1:22" hidden="1">
      <c r="A4277">
        <v>3735</v>
      </c>
      <c r="B4277">
        <v>1305</v>
      </c>
      <c r="C4277">
        <v>6807</v>
      </c>
      <c r="D4277">
        <v>5282</v>
      </c>
      <c r="E4277">
        <v>0</v>
      </c>
      <c r="F4277">
        <v>1</v>
      </c>
      <c r="G4277">
        <v>0</v>
      </c>
      <c r="H4277">
        <v>0</v>
      </c>
      <c r="I4277">
        <v>0</v>
      </c>
      <c r="J4277">
        <v>0</v>
      </c>
      <c r="K4277" t="s">
        <v>20</v>
      </c>
      <c r="L4277" s="1">
        <v>45061</v>
      </c>
      <c r="M4277">
        <v>11</v>
      </c>
      <c r="N4277">
        <v>384</v>
      </c>
      <c r="O4277">
        <v>43</v>
      </c>
      <c r="P4277">
        <v>150</v>
      </c>
      <c r="Q4277">
        <v>43</v>
      </c>
      <c r="S4277">
        <v>0</v>
      </c>
      <c r="T4277">
        <v>0</v>
      </c>
      <c r="U4277">
        <f>+SUM(Table1[[#This Row],[Latinos]:[Cemex]])</f>
        <v>1</v>
      </c>
      <c r="V4277" t="str">
        <f>+Table1[[#This Row],[id_destino]]&amp;" - "&amp;Table1[[#This Row],[id_origen]]</f>
        <v>11 - 384</v>
      </c>
    </row>
    <row r="4278" spans="1:22" hidden="1">
      <c r="A4278">
        <v>2931</v>
      </c>
      <c r="B4278">
        <v>1053</v>
      </c>
      <c r="C4278">
        <v>6807</v>
      </c>
      <c r="D4278">
        <v>6808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0</v>
      </c>
      <c r="K4278" t="s">
        <v>20</v>
      </c>
      <c r="L4278" s="1">
        <v>44624</v>
      </c>
      <c r="M4278">
        <v>16</v>
      </c>
      <c r="N4278">
        <v>384</v>
      </c>
      <c r="O4278">
        <v>1222</v>
      </c>
      <c r="P4278">
        <v>1224</v>
      </c>
      <c r="Q4278">
        <v>1222</v>
      </c>
      <c r="S4278">
        <v>2976</v>
      </c>
      <c r="T4278">
        <v>3398</v>
      </c>
      <c r="U4278">
        <f>+SUM(Table1[[#This Row],[Latinos]:[Cemex]])</f>
        <v>1</v>
      </c>
      <c r="V4278" t="str">
        <f>+Table1[[#This Row],[id_destino]]&amp;" - "&amp;Table1[[#This Row],[id_origen]]</f>
        <v>16 - 384</v>
      </c>
    </row>
    <row r="4279" spans="1:22" hidden="1">
      <c r="A4279">
        <v>836</v>
      </c>
      <c r="B4279">
        <v>276</v>
      </c>
      <c r="C4279">
        <v>1898</v>
      </c>
      <c r="D4279">
        <v>390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 t="s">
        <v>20</v>
      </c>
      <c r="L4279" s="1">
        <v>43181</v>
      </c>
      <c r="M4279">
        <v>19</v>
      </c>
      <c r="N4279">
        <v>384</v>
      </c>
      <c r="O4279">
        <v>213</v>
      </c>
      <c r="P4279">
        <v>213</v>
      </c>
      <c r="Q4279">
        <v>213</v>
      </c>
      <c r="S4279">
        <v>497</v>
      </c>
      <c r="T4279">
        <v>497</v>
      </c>
      <c r="U4279">
        <f>+SUM(Table1[[#This Row],[Latinos]:[Cemex]])</f>
        <v>1</v>
      </c>
      <c r="V4279" t="str">
        <f>+Table1[[#This Row],[id_destino]]&amp;" - "&amp;Table1[[#This Row],[id_origen]]</f>
        <v>19 - 384</v>
      </c>
    </row>
    <row r="4280" spans="1:22" hidden="1">
      <c r="A4280">
        <v>3189</v>
      </c>
      <c r="B4280">
        <v>1801</v>
      </c>
      <c r="C4280">
        <v>6983</v>
      </c>
      <c r="D4280">
        <v>6982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 t="s">
        <v>20</v>
      </c>
      <c r="L4280" s="1">
        <v>44764</v>
      </c>
      <c r="M4280">
        <v>20</v>
      </c>
      <c r="N4280">
        <v>384</v>
      </c>
      <c r="O4280">
        <v>195</v>
      </c>
      <c r="P4280">
        <v>191</v>
      </c>
      <c r="Q4280">
        <v>195</v>
      </c>
      <c r="S4280">
        <v>385</v>
      </c>
      <c r="T4280">
        <v>385</v>
      </c>
      <c r="U4280">
        <f>+SUM(Table1[[#This Row],[Latinos]:[Cemex]])</f>
        <v>1</v>
      </c>
      <c r="V4280" t="str">
        <f>+Table1[[#This Row],[id_destino]]&amp;" - "&amp;Table1[[#This Row],[id_origen]]</f>
        <v>20 - 384</v>
      </c>
    </row>
    <row r="4281" spans="1:22" hidden="1">
      <c r="A4281">
        <v>4401</v>
      </c>
      <c r="B4281">
        <v>1440</v>
      </c>
      <c r="C4281">
        <v>4905</v>
      </c>
      <c r="D4281">
        <v>7875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 t="s">
        <v>20</v>
      </c>
      <c r="L4281" s="1">
        <v>45521</v>
      </c>
      <c r="M4281">
        <v>35</v>
      </c>
      <c r="N4281">
        <v>384</v>
      </c>
      <c r="O4281">
        <v>556</v>
      </c>
      <c r="P4281">
        <v>605</v>
      </c>
      <c r="Q4281">
        <v>556</v>
      </c>
      <c r="S4281">
        <v>2096</v>
      </c>
      <c r="T4281">
        <v>2096</v>
      </c>
      <c r="U4281">
        <f>+SUM(Table1[[#This Row],[Latinos]:[Cemex]])</f>
        <v>1</v>
      </c>
      <c r="V4281" t="str">
        <f>+Table1[[#This Row],[id_destino]]&amp;" - "&amp;Table1[[#This Row],[id_origen]]</f>
        <v>35 - 384</v>
      </c>
    </row>
    <row r="4282" spans="1:22" hidden="1">
      <c r="A4282">
        <v>4254</v>
      </c>
      <c r="B4282">
        <v>2020</v>
      </c>
      <c r="C4282">
        <v>4905</v>
      </c>
      <c r="D4282">
        <v>6283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 t="s">
        <v>20</v>
      </c>
      <c r="L4282" s="1">
        <v>45402</v>
      </c>
      <c r="M4282">
        <v>47</v>
      </c>
      <c r="N4282">
        <v>384</v>
      </c>
      <c r="O4282">
        <v>199</v>
      </c>
      <c r="P4282">
        <v>188</v>
      </c>
      <c r="Q4282">
        <v>199</v>
      </c>
      <c r="S4282">
        <v>132</v>
      </c>
      <c r="T4282">
        <v>192</v>
      </c>
      <c r="U4282">
        <f>+SUM(Table1[[#This Row],[Latinos]:[Cemex]])</f>
        <v>1</v>
      </c>
      <c r="V4282" t="str">
        <f>+Table1[[#This Row],[id_destino]]&amp;" - "&amp;Table1[[#This Row],[id_origen]]</f>
        <v>47 - 384</v>
      </c>
    </row>
    <row r="4283" spans="1:22" hidden="1">
      <c r="A4283">
        <v>4399</v>
      </c>
      <c r="B4283">
        <v>1797</v>
      </c>
      <c r="C4283">
        <v>4905</v>
      </c>
      <c r="D4283">
        <v>7873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 t="s">
        <v>20</v>
      </c>
      <c r="L4283" s="1">
        <v>45519</v>
      </c>
      <c r="M4283">
        <v>62</v>
      </c>
      <c r="N4283">
        <v>384</v>
      </c>
      <c r="O4283">
        <v>203</v>
      </c>
      <c r="P4283">
        <v>204</v>
      </c>
      <c r="Q4283">
        <v>203</v>
      </c>
      <c r="S4283">
        <v>0</v>
      </c>
      <c r="T4283">
        <v>0</v>
      </c>
      <c r="U4283">
        <f>+SUM(Table1[[#This Row],[Latinos]:[Cemex]])</f>
        <v>1</v>
      </c>
      <c r="V4283" t="str">
        <f>+Table1[[#This Row],[id_destino]]&amp;" - "&amp;Table1[[#This Row],[id_origen]]</f>
        <v>62 - 384</v>
      </c>
    </row>
    <row r="4284" spans="1:22" hidden="1">
      <c r="A4284">
        <v>291</v>
      </c>
      <c r="B4284">
        <v>1739</v>
      </c>
      <c r="C4284">
        <v>5320</v>
      </c>
      <c r="D4284">
        <v>3172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  <c r="K4284" t="s">
        <v>20</v>
      </c>
      <c r="L4284" s="1">
        <v>43031</v>
      </c>
      <c r="M4284">
        <v>65</v>
      </c>
      <c r="N4284">
        <v>384</v>
      </c>
      <c r="O4284">
        <v>330</v>
      </c>
      <c r="P4284">
        <v>330</v>
      </c>
      <c r="Q4284">
        <v>330</v>
      </c>
      <c r="S4284">
        <v>811</v>
      </c>
      <c r="T4284">
        <v>811</v>
      </c>
      <c r="U4284">
        <f>+SUM(Table1[[#This Row],[Latinos]:[Cemex]])</f>
        <v>1</v>
      </c>
      <c r="V4284" t="str">
        <f>+Table1[[#This Row],[id_destino]]&amp;" - "&amp;Table1[[#This Row],[id_origen]]</f>
        <v>65 - 384</v>
      </c>
    </row>
    <row r="4285" spans="1:22" hidden="1">
      <c r="A4285">
        <v>4746</v>
      </c>
      <c r="B4285">
        <v>4883</v>
      </c>
      <c r="C4285">
        <v>4905</v>
      </c>
      <c r="D4285">
        <v>5690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 t="s">
        <v>20</v>
      </c>
      <c r="L4285" s="1">
        <v>45779</v>
      </c>
      <c r="M4285">
        <v>71</v>
      </c>
      <c r="N4285">
        <v>384</v>
      </c>
      <c r="O4285">
        <v>383</v>
      </c>
      <c r="P4285">
        <v>383</v>
      </c>
      <c r="Q4285">
        <v>383</v>
      </c>
      <c r="S4285">
        <v>1650</v>
      </c>
      <c r="T4285">
        <v>1650</v>
      </c>
      <c r="U4285">
        <f>+SUM(Table1[[#This Row],[Latinos]:[Cemex]])</f>
        <v>1</v>
      </c>
      <c r="V4285" t="str">
        <f>+Table1[[#This Row],[id_destino]]&amp;" - "&amp;Table1[[#This Row],[id_origen]]</f>
        <v>71 - 384</v>
      </c>
    </row>
    <row r="4286" spans="1:22" hidden="1">
      <c r="A4286">
        <v>3996</v>
      </c>
      <c r="B4286">
        <v>4343</v>
      </c>
      <c r="C4286">
        <v>4905</v>
      </c>
      <c r="D4286">
        <v>7524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 t="s">
        <v>20</v>
      </c>
      <c r="L4286" s="1">
        <v>45227</v>
      </c>
      <c r="M4286">
        <v>79</v>
      </c>
      <c r="N4286">
        <v>384</v>
      </c>
      <c r="O4286">
        <v>387</v>
      </c>
      <c r="P4286">
        <v>408</v>
      </c>
      <c r="Q4286">
        <v>387</v>
      </c>
      <c r="S4286">
        <v>1543</v>
      </c>
      <c r="T4286">
        <v>1553</v>
      </c>
      <c r="U4286">
        <f>+SUM(Table1[[#This Row],[Latinos]:[Cemex]])</f>
        <v>1</v>
      </c>
      <c r="V4286" t="str">
        <f>+Table1[[#This Row],[id_destino]]&amp;" - "&amp;Table1[[#This Row],[id_origen]]</f>
        <v>79 - 384</v>
      </c>
    </row>
    <row r="4287" spans="1:22" hidden="1">
      <c r="A4287">
        <v>668</v>
      </c>
      <c r="B4287">
        <v>245</v>
      </c>
      <c r="C4287">
        <v>1898</v>
      </c>
      <c r="D4287">
        <v>210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 t="s">
        <v>20</v>
      </c>
      <c r="L4287" s="1">
        <v>43167</v>
      </c>
      <c r="M4287">
        <v>81</v>
      </c>
      <c r="N4287">
        <v>384</v>
      </c>
      <c r="O4287">
        <v>326</v>
      </c>
      <c r="P4287">
        <v>326</v>
      </c>
      <c r="Q4287">
        <v>326</v>
      </c>
      <c r="S4287">
        <v>811</v>
      </c>
      <c r="T4287">
        <v>811</v>
      </c>
      <c r="U4287">
        <f>+SUM(Table1[[#This Row],[Latinos]:[Cemex]])</f>
        <v>1</v>
      </c>
      <c r="V4287" t="str">
        <f>+Table1[[#This Row],[id_destino]]&amp;" - "&amp;Table1[[#This Row],[id_origen]]</f>
        <v>81 - 384</v>
      </c>
    </row>
    <row r="4288" spans="1:22" hidden="1">
      <c r="A4288">
        <v>4053</v>
      </c>
      <c r="B4288">
        <v>1437</v>
      </c>
      <c r="C4288">
        <v>7568</v>
      </c>
      <c r="D4288">
        <v>7569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 t="s">
        <v>20</v>
      </c>
      <c r="L4288" s="1">
        <v>45255</v>
      </c>
      <c r="M4288">
        <v>99</v>
      </c>
      <c r="N4288">
        <v>384</v>
      </c>
      <c r="O4288">
        <v>1389</v>
      </c>
      <c r="P4288">
        <v>1389</v>
      </c>
      <c r="Q4288">
        <v>1389</v>
      </c>
      <c r="S4288">
        <v>3607</v>
      </c>
      <c r="T4288">
        <v>3607</v>
      </c>
      <c r="U4288">
        <f>+SUM(Table1[[#This Row],[Latinos]:[Cemex]])</f>
        <v>1</v>
      </c>
      <c r="V4288" t="str">
        <f>+Table1[[#This Row],[id_destino]]&amp;" - "&amp;Table1[[#This Row],[id_origen]]</f>
        <v>99 - 384</v>
      </c>
    </row>
    <row r="4289" spans="1:22">
      <c r="A4289">
        <v>4412</v>
      </c>
      <c r="B4289">
        <v>4637</v>
      </c>
      <c r="C4289">
        <v>4905</v>
      </c>
      <c r="D4289">
        <v>7886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 t="s">
        <v>20</v>
      </c>
      <c r="L4289" s="1">
        <v>45528</v>
      </c>
      <c r="M4289">
        <v>144</v>
      </c>
      <c r="N4289">
        <v>384</v>
      </c>
      <c r="O4289">
        <v>40</v>
      </c>
      <c r="P4289">
        <v>51</v>
      </c>
      <c r="Q4289">
        <v>40</v>
      </c>
      <c r="S4289">
        <v>0</v>
      </c>
      <c r="T4289">
        <v>0</v>
      </c>
      <c r="U4289">
        <f>+SUM(Table1[[#This Row],[Latinos]:[Cemex]])</f>
        <v>1</v>
      </c>
      <c r="V4289" t="str">
        <f>+Table1[[#This Row],[id_destino]]&amp;" - "&amp;Table1[[#This Row],[id_origen]]</f>
        <v>144 - 384</v>
      </c>
    </row>
    <row r="4290" spans="1:22" hidden="1">
      <c r="A4290">
        <v>4169</v>
      </c>
      <c r="B4290">
        <v>4465</v>
      </c>
      <c r="C4290">
        <v>4905</v>
      </c>
      <c r="D4290">
        <v>5604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 t="s">
        <v>20</v>
      </c>
      <c r="L4290" s="1">
        <v>45335</v>
      </c>
      <c r="M4290">
        <v>227</v>
      </c>
      <c r="N4290">
        <v>384</v>
      </c>
      <c r="O4290">
        <v>192</v>
      </c>
      <c r="P4290">
        <v>188</v>
      </c>
      <c r="Q4290">
        <v>192</v>
      </c>
      <c r="S4290">
        <v>132</v>
      </c>
      <c r="T4290">
        <v>192</v>
      </c>
      <c r="U4290">
        <f>+SUM(Table1[[#This Row],[Latinos]:[Cemex]])</f>
        <v>1</v>
      </c>
      <c r="V4290" t="str">
        <f>+Table1[[#This Row],[id_destino]]&amp;" - "&amp;Table1[[#This Row],[id_origen]]</f>
        <v>227 - 384</v>
      </c>
    </row>
    <row r="4291" spans="1:22" hidden="1">
      <c r="A4291">
        <v>4217</v>
      </c>
      <c r="B4291">
        <v>4497</v>
      </c>
      <c r="C4291">
        <v>4905</v>
      </c>
      <c r="D4291">
        <v>7703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 t="s">
        <v>20</v>
      </c>
      <c r="L4291" s="1">
        <v>45372</v>
      </c>
      <c r="M4291">
        <v>267</v>
      </c>
      <c r="N4291">
        <v>384</v>
      </c>
      <c r="O4291">
        <v>321</v>
      </c>
      <c r="P4291">
        <v>377</v>
      </c>
      <c r="Q4291">
        <v>321</v>
      </c>
      <c r="S4291">
        <v>806</v>
      </c>
      <c r="T4291">
        <v>855</v>
      </c>
      <c r="U4291">
        <f>+SUM(Table1[[#This Row],[Latinos]:[Cemex]])</f>
        <v>1</v>
      </c>
      <c r="V4291" t="str">
        <f>+Table1[[#This Row],[id_destino]]&amp;" - "&amp;Table1[[#This Row],[id_origen]]</f>
        <v>267 - 384</v>
      </c>
    </row>
    <row r="4292" spans="1:22" hidden="1">
      <c r="A4292">
        <v>3234</v>
      </c>
      <c r="B4292">
        <v>3854</v>
      </c>
      <c r="C4292">
        <v>7451</v>
      </c>
      <c r="D4292">
        <v>6909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 t="s">
        <v>20</v>
      </c>
      <c r="L4292" s="1">
        <v>45167</v>
      </c>
      <c r="M4292">
        <v>280</v>
      </c>
      <c r="N4292">
        <v>384</v>
      </c>
      <c r="O4292">
        <v>151</v>
      </c>
      <c r="P4292">
        <v>169</v>
      </c>
      <c r="Q4292">
        <v>151</v>
      </c>
      <c r="S4292">
        <v>346</v>
      </c>
      <c r="T4292">
        <v>346</v>
      </c>
      <c r="U4292">
        <f>+SUM(Table1[[#This Row],[Latinos]:[Cemex]])</f>
        <v>1</v>
      </c>
      <c r="V4292" t="str">
        <f>+Table1[[#This Row],[id_destino]]&amp;" - "&amp;Table1[[#This Row],[id_origen]]</f>
        <v>280 - 384</v>
      </c>
    </row>
    <row r="4293" spans="1:22">
      <c r="A4293">
        <v>3787</v>
      </c>
      <c r="B4293">
        <v>1325</v>
      </c>
      <c r="C4293">
        <v>7367</v>
      </c>
      <c r="D4293">
        <v>6983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  <c r="K4293" t="s">
        <v>20</v>
      </c>
      <c r="L4293" s="1">
        <v>45089</v>
      </c>
      <c r="M4293">
        <v>384</v>
      </c>
      <c r="N4293">
        <v>384</v>
      </c>
      <c r="O4293">
        <v>63</v>
      </c>
      <c r="P4293">
        <v>150</v>
      </c>
      <c r="Q4293">
        <v>63</v>
      </c>
      <c r="S4293">
        <v>0</v>
      </c>
      <c r="T4293">
        <v>0</v>
      </c>
      <c r="U4293">
        <f>+SUM(Table1[[#This Row],[Latinos]:[Cemex]])</f>
        <v>1</v>
      </c>
      <c r="V4293" t="str">
        <f>+Table1[[#This Row],[id_destino]]&amp;" - "&amp;Table1[[#This Row],[id_origen]]</f>
        <v>384 - 384</v>
      </c>
    </row>
    <row r="4294" spans="1:22" hidden="1">
      <c r="A4294">
        <v>4498</v>
      </c>
      <c r="B4294">
        <v>4706</v>
      </c>
      <c r="C4294">
        <v>4905</v>
      </c>
      <c r="D4294">
        <v>7970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  <c r="K4294" t="s">
        <v>20</v>
      </c>
      <c r="L4294" s="1">
        <v>45587</v>
      </c>
      <c r="M4294">
        <v>395</v>
      </c>
      <c r="N4294">
        <v>384</v>
      </c>
      <c r="O4294">
        <v>103</v>
      </c>
      <c r="P4294">
        <v>105</v>
      </c>
      <c r="Q4294">
        <v>103</v>
      </c>
      <c r="S4294">
        <v>0</v>
      </c>
      <c r="T4294">
        <v>0</v>
      </c>
      <c r="U4294">
        <f>+SUM(Table1[[#This Row],[Latinos]:[Cemex]])</f>
        <v>1</v>
      </c>
      <c r="V4294" t="str">
        <f>+Table1[[#This Row],[id_destino]]&amp;" - "&amp;Table1[[#This Row],[id_origen]]</f>
        <v>395 - 384</v>
      </c>
    </row>
    <row r="4295" spans="1:22" hidden="1">
      <c r="A4295">
        <v>4021</v>
      </c>
      <c r="B4295">
        <v>4363</v>
      </c>
      <c r="C4295">
        <v>4905</v>
      </c>
      <c r="D4295">
        <v>7506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 t="s">
        <v>20</v>
      </c>
      <c r="L4295" s="1">
        <v>45523</v>
      </c>
      <c r="M4295">
        <v>615</v>
      </c>
      <c r="N4295">
        <v>384</v>
      </c>
      <c r="O4295">
        <v>162</v>
      </c>
      <c r="P4295">
        <v>170</v>
      </c>
      <c r="Q4295">
        <v>162</v>
      </c>
      <c r="S4295">
        <v>384</v>
      </c>
      <c r="T4295">
        <v>384</v>
      </c>
      <c r="U4295">
        <f>+SUM(Table1[[#This Row],[Latinos]:[Cemex]])</f>
        <v>1</v>
      </c>
      <c r="V4295" t="str">
        <f>+Table1[[#This Row],[id_destino]]&amp;" - "&amp;Table1[[#This Row],[id_origen]]</f>
        <v>615 - 384</v>
      </c>
    </row>
    <row r="4296" spans="1:22" hidden="1">
      <c r="A4296">
        <v>4380</v>
      </c>
      <c r="B4296">
        <v>4612</v>
      </c>
      <c r="C4296">
        <v>4905</v>
      </c>
      <c r="D4296">
        <v>7545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 t="s">
        <v>20</v>
      </c>
      <c r="L4296" s="1">
        <v>45504</v>
      </c>
      <c r="M4296">
        <v>669</v>
      </c>
      <c r="N4296">
        <v>384</v>
      </c>
      <c r="O4296">
        <v>219</v>
      </c>
      <c r="P4296">
        <v>219</v>
      </c>
      <c r="Q4296">
        <v>219</v>
      </c>
      <c r="S4296">
        <v>0</v>
      </c>
      <c r="T4296">
        <v>0</v>
      </c>
      <c r="U4296">
        <f>+SUM(Table1[[#This Row],[Latinos]:[Cemex]])</f>
        <v>1</v>
      </c>
      <c r="V4296" t="str">
        <f>+Table1[[#This Row],[id_destino]]&amp;" - "&amp;Table1[[#This Row],[id_origen]]</f>
        <v>669 - 384</v>
      </c>
    </row>
    <row r="4297" spans="1:22" hidden="1">
      <c r="A4297">
        <v>3767</v>
      </c>
      <c r="B4297">
        <v>4208</v>
      </c>
      <c r="C4297">
        <v>7367</v>
      </c>
      <c r="D4297">
        <v>7136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 t="s">
        <v>20</v>
      </c>
      <c r="L4297" s="1">
        <v>45077</v>
      </c>
      <c r="M4297">
        <v>690</v>
      </c>
      <c r="N4297">
        <v>384</v>
      </c>
      <c r="O4297">
        <v>1815</v>
      </c>
      <c r="P4297">
        <v>1796</v>
      </c>
      <c r="Q4297">
        <v>1815</v>
      </c>
      <c r="S4297">
        <v>2758</v>
      </c>
      <c r="T4297">
        <v>2758</v>
      </c>
      <c r="U4297">
        <f>+SUM(Table1[[#This Row],[Latinos]:[Cemex]])</f>
        <v>1</v>
      </c>
      <c r="V4297" t="str">
        <f>+Table1[[#This Row],[id_destino]]&amp;" - "&amp;Table1[[#This Row],[id_origen]]</f>
        <v>690 - 384</v>
      </c>
    </row>
    <row r="4298" spans="1:22" hidden="1">
      <c r="A4298">
        <v>4791</v>
      </c>
      <c r="B4298">
        <v>4911</v>
      </c>
      <c r="C4298">
        <v>7324</v>
      </c>
      <c r="D4298">
        <v>7549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  <c r="K4298" t="s">
        <v>20</v>
      </c>
      <c r="L4298" s="1">
        <v>45831</v>
      </c>
      <c r="M4298">
        <v>20</v>
      </c>
      <c r="N4298">
        <v>385</v>
      </c>
      <c r="O4298">
        <v>100</v>
      </c>
      <c r="P4298">
        <v>100</v>
      </c>
      <c r="Q4298">
        <v>100</v>
      </c>
      <c r="S4298">
        <v>618</v>
      </c>
      <c r="T4298">
        <v>618</v>
      </c>
      <c r="U4298">
        <f>+SUM(Table1[[#This Row],[Latinos]:[Cemex]])</f>
        <v>1</v>
      </c>
      <c r="V4298" t="str">
        <f>+Table1[[#This Row],[id_destino]]&amp;" - "&amp;Table1[[#This Row],[id_origen]]</f>
        <v>20 - 385</v>
      </c>
    </row>
    <row r="4299" spans="1:22" hidden="1">
      <c r="A4299">
        <v>3877</v>
      </c>
      <c r="B4299">
        <v>4274</v>
      </c>
      <c r="C4299">
        <v>7324</v>
      </c>
      <c r="D4299">
        <v>1168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 t="s">
        <v>20</v>
      </c>
      <c r="L4299" s="1">
        <v>45159</v>
      </c>
      <c r="M4299">
        <v>26</v>
      </c>
      <c r="N4299">
        <v>385</v>
      </c>
      <c r="O4299">
        <v>586</v>
      </c>
      <c r="P4299">
        <v>580</v>
      </c>
      <c r="Q4299">
        <v>586</v>
      </c>
      <c r="S4299">
        <v>2415</v>
      </c>
      <c r="T4299">
        <v>2415</v>
      </c>
      <c r="U4299">
        <f>+SUM(Table1[[#This Row],[Latinos]:[Cemex]])</f>
        <v>1</v>
      </c>
      <c r="V4299" t="str">
        <f>+Table1[[#This Row],[id_destino]]&amp;" - "&amp;Table1[[#This Row],[id_origen]]</f>
        <v>26 - 385</v>
      </c>
    </row>
    <row r="4300" spans="1:22" hidden="1">
      <c r="A4300">
        <v>4773</v>
      </c>
      <c r="B4300">
        <v>4274</v>
      </c>
      <c r="C4300">
        <v>7324</v>
      </c>
      <c r="D4300">
        <v>1168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 t="s">
        <v>20</v>
      </c>
      <c r="L4300" s="1">
        <v>45805</v>
      </c>
      <c r="M4300">
        <v>26</v>
      </c>
      <c r="N4300">
        <v>385</v>
      </c>
      <c r="O4300">
        <v>583</v>
      </c>
      <c r="P4300">
        <v>583</v>
      </c>
      <c r="Q4300">
        <v>583</v>
      </c>
      <c r="S4300">
        <v>2558</v>
      </c>
      <c r="T4300">
        <v>2558</v>
      </c>
      <c r="U4300">
        <f>+SUM(Table1[[#This Row],[Latinos]:[Cemex]])</f>
        <v>1</v>
      </c>
      <c r="V4300" t="str">
        <f>+Table1[[#This Row],[id_destino]]&amp;" - "&amp;Table1[[#This Row],[id_origen]]</f>
        <v>26 - 385</v>
      </c>
    </row>
    <row r="4301" spans="1:22" hidden="1">
      <c r="A4301">
        <v>4751</v>
      </c>
      <c r="B4301">
        <v>4887</v>
      </c>
      <c r="C4301">
        <v>7324</v>
      </c>
      <c r="D4301">
        <v>5155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0</v>
      </c>
      <c r="K4301" t="s">
        <v>20</v>
      </c>
      <c r="L4301" s="1">
        <v>45786</v>
      </c>
      <c r="M4301">
        <v>33</v>
      </c>
      <c r="N4301">
        <v>385</v>
      </c>
      <c r="O4301">
        <v>1014</v>
      </c>
      <c r="P4301">
        <v>1007</v>
      </c>
      <c r="Q4301">
        <v>1014</v>
      </c>
      <c r="S4301">
        <v>2927</v>
      </c>
      <c r="T4301">
        <v>3091</v>
      </c>
      <c r="U4301">
        <f>+SUM(Table1[[#This Row],[Latinos]:[Cemex]])</f>
        <v>1</v>
      </c>
      <c r="V4301" t="str">
        <f>+Table1[[#This Row],[id_destino]]&amp;" - "&amp;Table1[[#This Row],[id_origen]]</f>
        <v>33 - 385</v>
      </c>
    </row>
    <row r="4302" spans="1:22" hidden="1">
      <c r="A4302">
        <v>4780</v>
      </c>
      <c r="B4302">
        <v>1825</v>
      </c>
      <c r="C4302">
        <v>7324</v>
      </c>
      <c r="D4302">
        <v>7904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 t="s">
        <v>20</v>
      </c>
      <c r="L4302" s="1">
        <v>45817</v>
      </c>
      <c r="M4302">
        <v>65</v>
      </c>
      <c r="N4302">
        <v>385</v>
      </c>
      <c r="O4302">
        <v>183</v>
      </c>
      <c r="P4302">
        <v>183</v>
      </c>
      <c r="Q4302">
        <v>183</v>
      </c>
      <c r="S4302">
        <v>159</v>
      </c>
      <c r="T4302">
        <v>159</v>
      </c>
      <c r="U4302">
        <f>+SUM(Table1[[#This Row],[Latinos]:[Cemex]])</f>
        <v>1</v>
      </c>
      <c r="V4302" t="str">
        <f>+Table1[[#This Row],[id_destino]]&amp;" - "&amp;Table1[[#This Row],[id_origen]]</f>
        <v>65 - 385</v>
      </c>
    </row>
    <row r="4303" spans="1:22" hidden="1">
      <c r="A4303">
        <v>2333</v>
      </c>
      <c r="B4303">
        <v>3280</v>
      </c>
      <c r="C4303">
        <v>6293</v>
      </c>
      <c r="D4303">
        <v>146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 t="s">
        <v>20</v>
      </c>
      <c r="L4303" s="1">
        <v>43951</v>
      </c>
      <c r="M4303">
        <v>80</v>
      </c>
      <c r="N4303">
        <v>385</v>
      </c>
      <c r="O4303">
        <v>58</v>
      </c>
      <c r="P4303">
        <v>150</v>
      </c>
      <c r="Q4303">
        <v>58</v>
      </c>
      <c r="S4303">
        <v>0</v>
      </c>
      <c r="T4303">
        <v>0</v>
      </c>
      <c r="U4303">
        <f>+SUM(Table1[[#This Row],[Latinos]:[Cemex]])</f>
        <v>1</v>
      </c>
      <c r="V4303" t="str">
        <f>+Table1[[#This Row],[id_destino]]&amp;" - "&amp;Table1[[#This Row],[id_origen]]</f>
        <v>80 - 385</v>
      </c>
    </row>
    <row r="4304" spans="1:22" hidden="1">
      <c r="A4304">
        <v>4803</v>
      </c>
      <c r="B4304">
        <v>4917</v>
      </c>
      <c r="C4304">
        <v>7324</v>
      </c>
      <c r="D4304">
        <v>8072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 t="s">
        <v>20</v>
      </c>
      <c r="L4304" s="1">
        <v>45841</v>
      </c>
      <c r="M4304">
        <v>242</v>
      </c>
      <c r="N4304">
        <v>385</v>
      </c>
      <c r="O4304">
        <v>53</v>
      </c>
      <c r="P4304">
        <v>53</v>
      </c>
      <c r="Q4304">
        <v>100</v>
      </c>
      <c r="S4304">
        <v>169</v>
      </c>
      <c r="T4304">
        <v>169</v>
      </c>
      <c r="U4304">
        <f>+SUM(Table1[[#This Row],[Latinos]:[Cemex]])</f>
        <v>1</v>
      </c>
      <c r="V4304" t="str">
        <f>+Table1[[#This Row],[id_destino]]&amp;" - "&amp;Table1[[#This Row],[id_origen]]</f>
        <v>242 - 385</v>
      </c>
    </row>
    <row r="4305" spans="1:22" hidden="1">
      <c r="A4305">
        <v>2642</v>
      </c>
      <c r="B4305">
        <v>3472</v>
      </c>
      <c r="C4305">
        <v>6550</v>
      </c>
      <c r="D4305">
        <v>6551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 t="s">
        <v>20</v>
      </c>
      <c r="L4305" s="1">
        <v>44279</v>
      </c>
      <c r="M4305">
        <v>491</v>
      </c>
      <c r="N4305">
        <v>385</v>
      </c>
      <c r="O4305">
        <v>135</v>
      </c>
      <c r="P4305">
        <v>116</v>
      </c>
      <c r="Q4305">
        <v>135</v>
      </c>
      <c r="S4305">
        <v>546</v>
      </c>
      <c r="T4305">
        <v>620</v>
      </c>
      <c r="U4305">
        <f>+SUM(Table1[[#This Row],[Latinos]:[Cemex]])</f>
        <v>1</v>
      </c>
      <c r="V4305" t="str">
        <f>+Table1[[#This Row],[id_destino]]&amp;" - "&amp;Table1[[#This Row],[id_origen]]</f>
        <v>491 - 385</v>
      </c>
    </row>
    <row r="4306" spans="1:22" hidden="1">
      <c r="A4306">
        <v>3831</v>
      </c>
      <c r="B4306">
        <v>3235</v>
      </c>
      <c r="C4306">
        <v>7324</v>
      </c>
      <c r="D4306">
        <v>4608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0</v>
      </c>
      <c r="K4306" t="s">
        <v>20</v>
      </c>
      <c r="L4306" s="1">
        <v>45131</v>
      </c>
      <c r="M4306">
        <v>602</v>
      </c>
      <c r="N4306">
        <v>385</v>
      </c>
      <c r="O4306">
        <v>107</v>
      </c>
      <c r="P4306">
        <v>150</v>
      </c>
      <c r="Q4306">
        <v>107</v>
      </c>
      <c r="S4306">
        <v>422</v>
      </c>
      <c r="T4306">
        <v>422</v>
      </c>
      <c r="U4306">
        <f>+SUM(Table1[[#This Row],[Latinos]:[Cemex]])</f>
        <v>1</v>
      </c>
      <c r="V4306" t="str">
        <f>+Table1[[#This Row],[id_destino]]&amp;" - "&amp;Table1[[#This Row],[id_origen]]</f>
        <v>602 - 385</v>
      </c>
    </row>
    <row r="4307" spans="1:22" hidden="1">
      <c r="A4307">
        <v>2001</v>
      </c>
      <c r="B4307">
        <v>3067</v>
      </c>
      <c r="C4307">
        <v>6103</v>
      </c>
      <c r="D4307">
        <v>3374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 t="s">
        <v>20</v>
      </c>
      <c r="L4307" s="1">
        <v>43759</v>
      </c>
      <c r="M4307">
        <v>51</v>
      </c>
      <c r="N4307">
        <v>393</v>
      </c>
      <c r="O4307">
        <v>58</v>
      </c>
      <c r="P4307">
        <v>58</v>
      </c>
      <c r="Q4307">
        <v>58</v>
      </c>
      <c r="S4307">
        <v>0</v>
      </c>
      <c r="T4307">
        <v>0</v>
      </c>
      <c r="U4307">
        <f>+SUM(Table1[[#This Row],[Latinos]:[Cemex]])</f>
        <v>1</v>
      </c>
      <c r="V4307" t="str">
        <f>+Table1[[#This Row],[id_destino]]&amp;" - "&amp;Table1[[#This Row],[id_origen]]</f>
        <v>51 - 393</v>
      </c>
    </row>
    <row r="4308" spans="1:22" hidden="1">
      <c r="A4308">
        <v>4551</v>
      </c>
      <c r="B4308">
        <v>4746</v>
      </c>
      <c r="C4308">
        <v>7970</v>
      </c>
      <c r="D4308">
        <v>8019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 t="s">
        <v>20</v>
      </c>
      <c r="L4308" s="1">
        <v>45612</v>
      </c>
      <c r="M4308">
        <v>11</v>
      </c>
      <c r="N4308">
        <v>395</v>
      </c>
      <c r="O4308">
        <v>97</v>
      </c>
      <c r="P4308">
        <v>100</v>
      </c>
      <c r="Q4308">
        <v>97</v>
      </c>
      <c r="S4308">
        <v>0</v>
      </c>
      <c r="T4308">
        <v>0</v>
      </c>
      <c r="U4308">
        <f>+SUM(Table1[[#This Row],[Latinos]:[Cemex]])</f>
        <v>1</v>
      </c>
      <c r="V4308" t="str">
        <f>+Table1[[#This Row],[id_destino]]&amp;" - "&amp;Table1[[#This Row],[id_origen]]</f>
        <v>11 - 395</v>
      </c>
    </row>
    <row r="4309" spans="1:22" hidden="1">
      <c r="A4309">
        <v>2679</v>
      </c>
      <c r="B4309">
        <v>3496</v>
      </c>
      <c r="C4309">
        <v>2051</v>
      </c>
      <c r="D4309">
        <v>5316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 t="s">
        <v>20</v>
      </c>
      <c r="L4309" s="1">
        <v>44336</v>
      </c>
      <c r="M4309">
        <v>591</v>
      </c>
      <c r="N4309">
        <v>400</v>
      </c>
      <c r="O4309">
        <v>954</v>
      </c>
      <c r="P4309">
        <v>970</v>
      </c>
      <c r="Q4309">
        <v>954</v>
      </c>
      <c r="S4309">
        <v>3245</v>
      </c>
      <c r="T4309">
        <v>3245</v>
      </c>
      <c r="U4309">
        <f>+SUM(Table1[[#This Row],[Latinos]:[Cemex]])</f>
        <v>1</v>
      </c>
      <c r="V4309" t="str">
        <f>+Table1[[#This Row],[id_destino]]&amp;" - "&amp;Table1[[#This Row],[id_origen]]</f>
        <v>591 - 400</v>
      </c>
    </row>
    <row r="4310" spans="1:22" hidden="1">
      <c r="A4310">
        <v>1203</v>
      </c>
      <c r="B4310">
        <v>1986</v>
      </c>
      <c r="C4310">
        <v>5610</v>
      </c>
      <c r="D4310">
        <v>5530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  <c r="K4310" t="s">
        <v>20</v>
      </c>
      <c r="L4310" s="1">
        <v>43340</v>
      </c>
      <c r="M4310">
        <v>23</v>
      </c>
      <c r="N4310">
        <v>407</v>
      </c>
      <c r="O4310">
        <v>554</v>
      </c>
      <c r="P4310">
        <v>554</v>
      </c>
      <c r="Q4310">
        <v>554</v>
      </c>
      <c r="S4310">
        <v>1642</v>
      </c>
      <c r="T4310">
        <v>1642</v>
      </c>
      <c r="U4310">
        <f>+SUM(Table1[[#This Row],[Latinos]:[Cemex]])</f>
        <v>1</v>
      </c>
      <c r="V4310" t="str">
        <f>+Table1[[#This Row],[id_destino]]&amp;" - "&amp;Table1[[#This Row],[id_origen]]</f>
        <v>23 - 407</v>
      </c>
    </row>
    <row r="4311" spans="1:22" hidden="1">
      <c r="A4311">
        <v>89</v>
      </c>
      <c r="B4311">
        <v>1621</v>
      </c>
      <c r="C4311">
        <v>3581</v>
      </c>
      <c r="D4311">
        <v>3176</v>
      </c>
      <c r="E4311">
        <v>0</v>
      </c>
      <c r="F4311">
        <v>1</v>
      </c>
      <c r="G4311">
        <v>0</v>
      </c>
      <c r="H4311">
        <v>0</v>
      </c>
      <c r="I4311">
        <v>1</v>
      </c>
      <c r="J4311">
        <v>0</v>
      </c>
      <c r="K4311" t="s">
        <v>20</v>
      </c>
      <c r="L4311" s="1">
        <v>42997</v>
      </c>
      <c r="M4311">
        <v>136</v>
      </c>
      <c r="N4311">
        <v>416</v>
      </c>
      <c r="O4311">
        <v>135</v>
      </c>
      <c r="P4311">
        <v>150</v>
      </c>
      <c r="Q4311">
        <v>112</v>
      </c>
      <c r="S4311">
        <v>625</v>
      </c>
      <c r="T4311">
        <v>639</v>
      </c>
      <c r="U4311">
        <f>+SUM(Table1[[#This Row],[Latinos]:[Cemex]])</f>
        <v>2</v>
      </c>
      <c r="V4311" t="str">
        <f>+Table1[[#This Row],[id_destino]]&amp;" - "&amp;Table1[[#This Row],[id_origen]]</f>
        <v>136 - 416</v>
      </c>
    </row>
    <row r="4312" spans="1:22" hidden="1">
      <c r="A4312">
        <v>2610</v>
      </c>
      <c r="B4312">
        <v>3451</v>
      </c>
      <c r="C4312">
        <v>6521</v>
      </c>
      <c r="D4312">
        <v>6524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0</v>
      </c>
      <c r="K4312" t="s">
        <v>20</v>
      </c>
      <c r="L4312" s="1">
        <v>44242</v>
      </c>
      <c r="M4312">
        <v>77</v>
      </c>
      <c r="N4312">
        <v>417</v>
      </c>
      <c r="O4312">
        <v>52</v>
      </c>
      <c r="P4312">
        <v>150</v>
      </c>
      <c r="Q4312">
        <v>52</v>
      </c>
      <c r="S4312">
        <v>44</v>
      </c>
      <c r="T4312">
        <v>44</v>
      </c>
      <c r="U4312">
        <f>+SUM(Table1[[#This Row],[Latinos]:[Cemex]])</f>
        <v>1</v>
      </c>
      <c r="V4312" t="str">
        <f>+Table1[[#This Row],[id_destino]]&amp;" - "&amp;Table1[[#This Row],[id_origen]]</f>
        <v>77 - 417</v>
      </c>
    </row>
    <row r="4313" spans="1:22" hidden="1">
      <c r="A4313">
        <v>2611</v>
      </c>
      <c r="B4313">
        <v>3451</v>
      </c>
      <c r="C4313">
        <v>6521</v>
      </c>
      <c r="D4313">
        <v>6524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 t="s">
        <v>20</v>
      </c>
      <c r="L4313" s="1">
        <v>44242</v>
      </c>
      <c r="M4313">
        <v>77</v>
      </c>
      <c r="N4313">
        <v>417</v>
      </c>
      <c r="O4313">
        <v>52</v>
      </c>
      <c r="P4313">
        <v>100</v>
      </c>
      <c r="Q4313">
        <v>52</v>
      </c>
      <c r="S4313">
        <v>0</v>
      </c>
      <c r="T4313">
        <v>0</v>
      </c>
      <c r="U4313">
        <f>+SUM(Table1[[#This Row],[Latinos]:[Cemex]])</f>
        <v>1</v>
      </c>
      <c r="V4313" t="str">
        <f>+Table1[[#This Row],[id_destino]]&amp;" - "&amp;Table1[[#This Row],[id_origen]]</f>
        <v>77 - 417</v>
      </c>
    </row>
    <row r="4314" spans="1:22" hidden="1">
      <c r="A4314">
        <v>4817</v>
      </c>
      <c r="B4314">
        <v>4927</v>
      </c>
      <c r="C4314">
        <v>8269</v>
      </c>
      <c r="D4314">
        <v>8273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 t="s">
        <v>20</v>
      </c>
      <c r="L4314" s="1">
        <v>45860</v>
      </c>
      <c r="M4314">
        <v>71</v>
      </c>
      <c r="N4314">
        <v>418</v>
      </c>
      <c r="O4314">
        <v>204</v>
      </c>
      <c r="P4314">
        <v>204</v>
      </c>
      <c r="Q4314">
        <v>204</v>
      </c>
      <c r="S4314">
        <v>835</v>
      </c>
      <c r="T4314">
        <v>835</v>
      </c>
      <c r="U4314">
        <f>+SUM(Table1[[#This Row],[Latinos]:[Cemex]])</f>
        <v>1</v>
      </c>
      <c r="V4314" t="str">
        <f>+Table1[[#This Row],[id_destino]]&amp;" - "&amp;Table1[[#This Row],[id_origen]]</f>
        <v>71 - 418</v>
      </c>
    </row>
    <row r="4315" spans="1:22" hidden="1">
      <c r="A4315">
        <v>2723</v>
      </c>
      <c r="B4315">
        <v>3525</v>
      </c>
      <c r="C4315">
        <v>6616</v>
      </c>
      <c r="D4315">
        <v>3237</v>
      </c>
      <c r="E4315">
        <v>0</v>
      </c>
      <c r="F4315">
        <v>1</v>
      </c>
      <c r="G4315">
        <v>0</v>
      </c>
      <c r="H4315">
        <v>0</v>
      </c>
      <c r="I4315">
        <v>0</v>
      </c>
      <c r="J4315">
        <v>0</v>
      </c>
      <c r="K4315" t="s">
        <v>20</v>
      </c>
      <c r="L4315" s="1">
        <v>44380</v>
      </c>
      <c r="M4315">
        <v>65</v>
      </c>
      <c r="N4315">
        <v>424</v>
      </c>
      <c r="O4315">
        <v>87</v>
      </c>
      <c r="P4315">
        <v>150</v>
      </c>
      <c r="Q4315">
        <v>87</v>
      </c>
      <c r="S4315">
        <v>0</v>
      </c>
      <c r="T4315">
        <v>0</v>
      </c>
      <c r="U4315">
        <f>+SUM(Table1[[#This Row],[Latinos]:[Cemex]])</f>
        <v>1</v>
      </c>
      <c r="V4315" t="str">
        <f>+Table1[[#This Row],[id_destino]]&amp;" - "&amp;Table1[[#This Row],[id_origen]]</f>
        <v>65 - 424</v>
      </c>
    </row>
    <row r="4316" spans="1:22" hidden="1">
      <c r="A4316">
        <v>3291</v>
      </c>
      <c r="B4316">
        <v>3890</v>
      </c>
      <c r="C4316">
        <v>6999</v>
      </c>
      <c r="D4316">
        <v>6169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 t="s">
        <v>20</v>
      </c>
      <c r="L4316" s="1">
        <v>44806</v>
      </c>
      <c r="M4316">
        <v>345</v>
      </c>
      <c r="N4316">
        <v>424</v>
      </c>
      <c r="O4316">
        <v>188</v>
      </c>
      <c r="P4316">
        <v>156</v>
      </c>
      <c r="Q4316">
        <v>188</v>
      </c>
      <c r="S4316">
        <v>432</v>
      </c>
      <c r="T4316">
        <v>432</v>
      </c>
      <c r="U4316">
        <f>+SUM(Table1[[#This Row],[Latinos]:[Cemex]])</f>
        <v>1</v>
      </c>
      <c r="V4316" t="str">
        <f>+Table1[[#This Row],[id_destino]]&amp;" - "&amp;Table1[[#This Row],[id_origen]]</f>
        <v>345 - 424</v>
      </c>
    </row>
    <row r="4317" spans="1:22" hidden="1">
      <c r="A4317">
        <v>2937</v>
      </c>
      <c r="B4317">
        <v>1135</v>
      </c>
      <c r="C4317">
        <v>6743</v>
      </c>
      <c r="D4317">
        <v>4177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 t="s">
        <v>20</v>
      </c>
      <c r="L4317" s="1">
        <v>44627</v>
      </c>
      <c r="M4317">
        <v>18</v>
      </c>
      <c r="N4317">
        <v>425</v>
      </c>
      <c r="O4317">
        <v>29</v>
      </c>
      <c r="P4317">
        <v>150</v>
      </c>
      <c r="Q4317">
        <v>29</v>
      </c>
      <c r="S4317">
        <v>0</v>
      </c>
      <c r="T4317">
        <v>0</v>
      </c>
      <c r="U4317">
        <f>+SUM(Table1[[#This Row],[Latinos]:[Cemex]])</f>
        <v>1</v>
      </c>
      <c r="V4317" t="str">
        <f>+Table1[[#This Row],[id_destino]]&amp;" - "&amp;Table1[[#This Row],[id_origen]]</f>
        <v>18 - 425</v>
      </c>
    </row>
    <row r="4318" spans="1:22" hidden="1">
      <c r="A4318">
        <v>1000</v>
      </c>
      <c r="B4318">
        <v>2539</v>
      </c>
      <c r="C4318">
        <v>5576</v>
      </c>
      <c r="D4318">
        <v>5577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  <c r="K4318" t="s">
        <v>20</v>
      </c>
      <c r="L4318" s="1">
        <v>43243</v>
      </c>
      <c r="M4318">
        <v>57</v>
      </c>
      <c r="N4318">
        <v>425</v>
      </c>
      <c r="O4318">
        <v>125</v>
      </c>
      <c r="P4318">
        <v>150</v>
      </c>
      <c r="Q4318">
        <v>125</v>
      </c>
      <c r="S4318">
        <v>148</v>
      </c>
      <c r="T4318">
        <v>217</v>
      </c>
      <c r="U4318">
        <f>+SUM(Table1[[#This Row],[Latinos]:[Cemex]])</f>
        <v>1</v>
      </c>
      <c r="V4318" t="str">
        <f>+Table1[[#This Row],[id_destino]]&amp;" - "&amp;Table1[[#This Row],[id_origen]]</f>
        <v>57 - 425</v>
      </c>
    </row>
    <row r="4319" spans="1:22" hidden="1">
      <c r="A4319">
        <v>2506</v>
      </c>
      <c r="B4319">
        <v>3387</v>
      </c>
      <c r="C4319">
        <v>6377</v>
      </c>
      <c r="D4319">
        <v>5378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0</v>
      </c>
      <c r="K4319" t="s">
        <v>20</v>
      </c>
      <c r="L4319" s="1">
        <v>44138</v>
      </c>
      <c r="M4319">
        <v>345</v>
      </c>
      <c r="N4319">
        <v>425</v>
      </c>
      <c r="O4319">
        <v>65</v>
      </c>
      <c r="P4319">
        <v>150</v>
      </c>
      <c r="Q4319">
        <v>65</v>
      </c>
      <c r="S4319">
        <v>0</v>
      </c>
      <c r="T4319">
        <v>0</v>
      </c>
      <c r="U4319">
        <f>+SUM(Table1[[#This Row],[Latinos]:[Cemex]])</f>
        <v>1</v>
      </c>
      <c r="V4319" t="str">
        <f>+Table1[[#This Row],[id_destino]]&amp;" - "&amp;Table1[[#This Row],[id_origen]]</f>
        <v>345 - 425</v>
      </c>
    </row>
    <row r="4320" spans="1:22" hidden="1">
      <c r="A4320">
        <v>1649</v>
      </c>
      <c r="B4320">
        <v>2861</v>
      </c>
      <c r="C4320">
        <v>5857</v>
      </c>
      <c r="D4320">
        <v>469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0</v>
      </c>
      <c r="K4320" t="s">
        <v>20</v>
      </c>
      <c r="L4320" s="1">
        <v>43549</v>
      </c>
      <c r="M4320">
        <v>2</v>
      </c>
      <c r="N4320">
        <v>428</v>
      </c>
      <c r="O4320">
        <v>866</v>
      </c>
      <c r="P4320">
        <v>881</v>
      </c>
      <c r="Q4320">
        <v>866</v>
      </c>
      <c r="S4320">
        <v>2151</v>
      </c>
      <c r="T4320">
        <v>2151</v>
      </c>
      <c r="U4320">
        <f>+SUM(Table1[[#This Row],[Latinos]:[Cemex]])</f>
        <v>1</v>
      </c>
      <c r="V4320" t="str">
        <f>+Table1[[#This Row],[id_destino]]&amp;" - "&amp;Table1[[#This Row],[id_origen]]</f>
        <v>2 - 428</v>
      </c>
    </row>
    <row r="4321" spans="1:22" hidden="1">
      <c r="A4321">
        <v>1641</v>
      </c>
      <c r="B4321">
        <v>2856</v>
      </c>
      <c r="C4321">
        <v>5857</v>
      </c>
      <c r="D4321">
        <v>5857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 t="s">
        <v>20</v>
      </c>
      <c r="L4321" s="1">
        <v>43546</v>
      </c>
      <c r="M4321">
        <v>428</v>
      </c>
      <c r="N4321">
        <v>428</v>
      </c>
      <c r="O4321">
        <v>5</v>
      </c>
      <c r="P4321">
        <v>150</v>
      </c>
      <c r="Q4321">
        <v>5</v>
      </c>
      <c r="S4321">
        <v>0</v>
      </c>
      <c r="T4321">
        <v>0</v>
      </c>
      <c r="U4321">
        <f>+SUM(Table1[[#This Row],[Latinos]:[Cemex]])</f>
        <v>1</v>
      </c>
      <c r="V4321" t="str">
        <f>+Table1[[#This Row],[id_destino]]&amp;" - "&amp;Table1[[#This Row],[id_origen]]</f>
        <v>428 - 428</v>
      </c>
    </row>
    <row r="4322" spans="1:22" hidden="1">
      <c r="A4322">
        <v>3442</v>
      </c>
      <c r="B4322">
        <v>3992</v>
      </c>
      <c r="C4322">
        <v>7124</v>
      </c>
      <c r="D4322">
        <v>7125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 t="s">
        <v>20</v>
      </c>
      <c r="L4322" s="1">
        <v>44895</v>
      </c>
      <c r="M4322">
        <v>225</v>
      </c>
      <c r="N4322">
        <v>432</v>
      </c>
      <c r="O4322">
        <v>862</v>
      </c>
      <c r="P4322">
        <v>810</v>
      </c>
      <c r="Q4322">
        <v>862</v>
      </c>
      <c r="S4322">
        <v>386</v>
      </c>
      <c r="T4322">
        <v>463</v>
      </c>
      <c r="U4322">
        <f>+SUM(Table1[[#This Row],[Latinos]:[Cemex]])</f>
        <v>1</v>
      </c>
      <c r="V4322" t="str">
        <f>+Table1[[#This Row],[id_destino]]&amp;" - "&amp;Table1[[#This Row],[id_origen]]</f>
        <v>225 - 432</v>
      </c>
    </row>
    <row r="4323" spans="1:22" hidden="1">
      <c r="A4323">
        <v>3444</v>
      </c>
      <c r="B4323">
        <v>3994</v>
      </c>
      <c r="C4323">
        <v>7124</v>
      </c>
      <c r="D4323">
        <v>7128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 t="s">
        <v>20</v>
      </c>
      <c r="L4323" s="1">
        <v>44896</v>
      </c>
      <c r="M4323">
        <v>432</v>
      </c>
      <c r="N4323">
        <v>432</v>
      </c>
      <c r="O4323">
        <v>120</v>
      </c>
      <c r="P4323">
        <v>120</v>
      </c>
      <c r="Q4323">
        <v>120</v>
      </c>
      <c r="S4323">
        <v>0</v>
      </c>
      <c r="T4323">
        <v>0</v>
      </c>
      <c r="U4323">
        <f>+SUM(Table1[[#This Row],[Latinos]:[Cemex]])</f>
        <v>1</v>
      </c>
      <c r="V4323" t="str">
        <f>+Table1[[#This Row],[id_destino]]&amp;" - "&amp;Table1[[#This Row],[id_origen]]</f>
        <v>432 - 432</v>
      </c>
    </row>
    <row r="4324" spans="1:22" hidden="1">
      <c r="A4324">
        <v>3699</v>
      </c>
      <c r="B4324">
        <v>4170</v>
      </c>
      <c r="C4324">
        <v>7124</v>
      </c>
      <c r="D4324">
        <v>7136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 t="s">
        <v>20</v>
      </c>
      <c r="L4324" s="1">
        <v>45036</v>
      </c>
      <c r="M4324">
        <v>690</v>
      </c>
      <c r="N4324">
        <v>432</v>
      </c>
      <c r="O4324">
        <v>917</v>
      </c>
      <c r="P4324">
        <v>872</v>
      </c>
      <c r="Q4324">
        <v>917</v>
      </c>
      <c r="S4324">
        <v>401</v>
      </c>
      <c r="T4324">
        <v>478</v>
      </c>
      <c r="U4324">
        <f>+SUM(Table1[[#This Row],[Latinos]:[Cemex]])</f>
        <v>1</v>
      </c>
      <c r="V4324" t="str">
        <f>+Table1[[#This Row],[id_destino]]&amp;" - "&amp;Table1[[#This Row],[id_origen]]</f>
        <v>690 - 432</v>
      </c>
    </row>
    <row r="4325" spans="1:22" hidden="1">
      <c r="A4325">
        <v>3642</v>
      </c>
      <c r="B4325">
        <v>4130</v>
      </c>
      <c r="C4325">
        <v>7124</v>
      </c>
      <c r="D4325">
        <v>7204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 t="s">
        <v>20</v>
      </c>
      <c r="L4325" s="1">
        <v>45012</v>
      </c>
      <c r="M4325">
        <v>848</v>
      </c>
      <c r="N4325">
        <v>432</v>
      </c>
      <c r="O4325">
        <v>1274</v>
      </c>
      <c r="P4325">
        <v>1408</v>
      </c>
      <c r="Q4325">
        <v>1274</v>
      </c>
      <c r="S4325">
        <v>4613</v>
      </c>
      <c r="T4325">
        <v>4613</v>
      </c>
      <c r="U4325">
        <f>+SUM(Table1[[#This Row],[Latinos]:[Cemex]])</f>
        <v>1</v>
      </c>
      <c r="V4325" t="str">
        <f>+Table1[[#This Row],[id_destino]]&amp;" - "&amp;Table1[[#This Row],[id_origen]]</f>
        <v>848 - 432</v>
      </c>
    </row>
    <row r="4326" spans="1:22" hidden="1">
      <c r="A4326">
        <v>2520</v>
      </c>
      <c r="B4326">
        <v>3394</v>
      </c>
      <c r="C4326">
        <v>6456</v>
      </c>
      <c r="D4326">
        <v>469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 t="s">
        <v>20</v>
      </c>
      <c r="L4326" s="1">
        <v>44148</v>
      </c>
      <c r="M4326">
        <v>2</v>
      </c>
      <c r="N4326">
        <v>462</v>
      </c>
      <c r="O4326">
        <v>163</v>
      </c>
      <c r="P4326">
        <v>157</v>
      </c>
      <c r="Q4326">
        <v>163</v>
      </c>
      <c r="S4326">
        <v>468</v>
      </c>
      <c r="T4326">
        <v>542</v>
      </c>
      <c r="U4326">
        <f>+SUM(Table1[[#This Row],[Latinos]:[Cemex]])</f>
        <v>1</v>
      </c>
      <c r="V4326" t="str">
        <f>+Table1[[#This Row],[id_destino]]&amp;" - "&amp;Table1[[#This Row],[id_origen]]</f>
        <v>2 - 462</v>
      </c>
    </row>
    <row r="4327" spans="1:22" hidden="1">
      <c r="A4327">
        <v>3229</v>
      </c>
      <c r="B4327">
        <v>3849</v>
      </c>
      <c r="C4327">
        <v>7003</v>
      </c>
      <c r="D4327">
        <v>4197</v>
      </c>
      <c r="E4327">
        <v>0</v>
      </c>
      <c r="F4327">
        <v>1</v>
      </c>
      <c r="G4327">
        <v>0</v>
      </c>
      <c r="H4327">
        <v>0</v>
      </c>
      <c r="I4327">
        <v>0</v>
      </c>
      <c r="J4327">
        <v>0</v>
      </c>
      <c r="K4327" t="s">
        <v>20</v>
      </c>
      <c r="L4327" s="1">
        <v>44778</v>
      </c>
      <c r="M4327">
        <v>71</v>
      </c>
      <c r="N4327">
        <v>464</v>
      </c>
      <c r="O4327">
        <v>563</v>
      </c>
      <c r="P4327">
        <v>537</v>
      </c>
      <c r="Q4327">
        <v>563</v>
      </c>
      <c r="S4327">
        <v>1996</v>
      </c>
      <c r="T4327">
        <v>2070</v>
      </c>
      <c r="U4327">
        <f>+SUM(Table1[[#This Row],[Latinos]:[Cemex]])</f>
        <v>1</v>
      </c>
      <c r="V4327" t="str">
        <f>+Table1[[#This Row],[id_destino]]&amp;" - "&amp;Table1[[#This Row],[id_origen]]</f>
        <v>71 - 464</v>
      </c>
    </row>
    <row r="4328" spans="1:22" hidden="1">
      <c r="A4328">
        <v>2910</v>
      </c>
      <c r="B4328">
        <v>3649</v>
      </c>
      <c r="C4328">
        <v>6787</v>
      </c>
      <c r="D4328">
        <v>6788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  <c r="K4328" t="s">
        <v>20</v>
      </c>
      <c r="L4328" s="1">
        <v>44606</v>
      </c>
      <c r="M4328">
        <v>425</v>
      </c>
      <c r="N4328">
        <v>467</v>
      </c>
      <c r="O4328">
        <v>143</v>
      </c>
      <c r="P4328">
        <v>150</v>
      </c>
      <c r="Q4328">
        <v>143</v>
      </c>
      <c r="S4328">
        <v>158</v>
      </c>
      <c r="T4328">
        <v>232</v>
      </c>
      <c r="U4328">
        <f>+SUM(Table1[[#This Row],[Latinos]:[Cemex]])</f>
        <v>1</v>
      </c>
      <c r="V4328" t="str">
        <f>+Table1[[#This Row],[id_destino]]&amp;" - "&amp;Table1[[#This Row],[id_origen]]</f>
        <v>425 - 467</v>
      </c>
    </row>
    <row r="4329" spans="1:22" hidden="1">
      <c r="A4329">
        <v>3591</v>
      </c>
      <c r="B4329">
        <v>4096</v>
      </c>
      <c r="C4329">
        <v>7111</v>
      </c>
      <c r="D4329">
        <v>7239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 t="s">
        <v>20</v>
      </c>
      <c r="L4329" s="1">
        <v>44973</v>
      </c>
      <c r="M4329">
        <v>3</v>
      </c>
      <c r="N4329">
        <v>473</v>
      </c>
      <c r="O4329">
        <v>801</v>
      </c>
      <c r="P4329">
        <v>783</v>
      </c>
      <c r="Q4329">
        <v>801</v>
      </c>
      <c r="S4329">
        <v>2073</v>
      </c>
      <c r="T4329">
        <v>2163</v>
      </c>
      <c r="U4329">
        <f>+SUM(Table1[[#This Row],[Latinos]:[Cemex]])</f>
        <v>1</v>
      </c>
      <c r="V4329" t="str">
        <f>+Table1[[#This Row],[id_destino]]&amp;" - "&amp;Table1[[#This Row],[id_origen]]</f>
        <v>3 - 473</v>
      </c>
    </row>
    <row r="4330" spans="1:22" hidden="1">
      <c r="A4330">
        <v>2688</v>
      </c>
      <c r="B4330">
        <v>3502</v>
      </c>
      <c r="C4330">
        <v>6407</v>
      </c>
      <c r="D4330">
        <v>6402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  <c r="K4330" t="s">
        <v>20</v>
      </c>
      <c r="L4330" s="1">
        <v>44347</v>
      </c>
      <c r="M4330">
        <v>16</v>
      </c>
      <c r="N4330">
        <v>473</v>
      </c>
      <c r="O4330">
        <v>1421</v>
      </c>
      <c r="P4330">
        <v>1434</v>
      </c>
      <c r="Q4330">
        <v>1421</v>
      </c>
      <c r="S4330">
        <v>0</v>
      </c>
      <c r="T4330">
        <v>0</v>
      </c>
      <c r="U4330">
        <f>+SUM(Table1[[#This Row],[Latinos]:[Cemex]])</f>
        <v>1</v>
      </c>
      <c r="V4330" t="str">
        <f>+Table1[[#This Row],[id_destino]]&amp;" - "&amp;Table1[[#This Row],[id_origen]]</f>
        <v>16 - 473</v>
      </c>
    </row>
    <row r="4331" spans="1:22" hidden="1">
      <c r="A4331">
        <v>2007</v>
      </c>
      <c r="B4331">
        <v>3072</v>
      </c>
      <c r="C4331">
        <v>3653</v>
      </c>
      <c r="D4331">
        <v>7551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0</v>
      </c>
      <c r="K4331" t="s">
        <v>20</v>
      </c>
      <c r="L4331" s="1">
        <v>45341</v>
      </c>
      <c r="M4331">
        <v>18</v>
      </c>
      <c r="N4331">
        <v>473</v>
      </c>
      <c r="O4331">
        <v>27</v>
      </c>
      <c r="P4331">
        <v>150</v>
      </c>
      <c r="Q4331">
        <v>27</v>
      </c>
      <c r="S4331">
        <v>301</v>
      </c>
      <c r="T4331">
        <v>301</v>
      </c>
      <c r="U4331">
        <f>+SUM(Table1[[#This Row],[Latinos]:[Cemex]])</f>
        <v>1</v>
      </c>
      <c r="V4331" t="str">
        <f>+Table1[[#This Row],[id_destino]]&amp;" - "&amp;Table1[[#This Row],[id_origen]]</f>
        <v>18 - 473</v>
      </c>
    </row>
    <row r="4332" spans="1:22" hidden="1">
      <c r="A4332">
        <v>2691</v>
      </c>
      <c r="B4332">
        <v>3505</v>
      </c>
      <c r="C4332">
        <v>6407</v>
      </c>
      <c r="D4332">
        <v>6499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 t="s">
        <v>20</v>
      </c>
      <c r="L4332" s="1">
        <v>44348</v>
      </c>
      <c r="M4332">
        <v>23</v>
      </c>
      <c r="N4332">
        <v>473</v>
      </c>
      <c r="O4332">
        <v>527</v>
      </c>
      <c r="P4332">
        <v>527</v>
      </c>
      <c r="Q4332">
        <v>527</v>
      </c>
      <c r="S4332">
        <v>0</v>
      </c>
      <c r="T4332">
        <v>0</v>
      </c>
      <c r="U4332">
        <f>+SUM(Table1[[#This Row],[Latinos]:[Cemex]])</f>
        <v>1</v>
      </c>
      <c r="V4332" t="str">
        <f>+Table1[[#This Row],[id_destino]]&amp;" - "&amp;Table1[[#This Row],[id_origen]]</f>
        <v>23 - 473</v>
      </c>
    </row>
    <row r="4333" spans="1:22" hidden="1">
      <c r="A4333">
        <v>4234</v>
      </c>
      <c r="B4333">
        <v>815</v>
      </c>
      <c r="C4333">
        <v>7717</v>
      </c>
      <c r="D4333">
        <v>6824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 t="s">
        <v>20</v>
      </c>
      <c r="L4333" s="1">
        <v>45387</v>
      </c>
      <c r="M4333">
        <v>31</v>
      </c>
      <c r="N4333">
        <v>473</v>
      </c>
      <c r="O4333">
        <v>1229</v>
      </c>
      <c r="P4333">
        <v>1229</v>
      </c>
      <c r="Q4333">
        <v>1229</v>
      </c>
      <c r="S4333">
        <v>5243</v>
      </c>
      <c r="T4333">
        <v>5243</v>
      </c>
      <c r="U4333">
        <f>+SUM(Table1[[#This Row],[Latinos]:[Cemex]])</f>
        <v>1</v>
      </c>
      <c r="V4333" t="str">
        <f>+Table1[[#This Row],[id_destino]]&amp;" - "&amp;Table1[[#This Row],[id_origen]]</f>
        <v>31 - 473</v>
      </c>
    </row>
    <row r="4334" spans="1:22" hidden="1">
      <c r="A4334">
        <v>2458</v>
      </c>
      <c r="B4334">
        <v>3358</v>
      </c>
      <c r="C4334">
        <v>6407</v>
      </c>
      <c r="D4334">
        <v>6398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 t="s">
        <v>20</v>
      </c>
      <c r="L4334" s="1">
        <v>44089</v>
      </c>
      <c r="M4334">
        <v>34</v>
      </c>
      <c r="N4334">
        <v>473</v>
      </c>
      <c r="O4334">
        <v>995</v>
      </c>
      <c r="P4334">
        <v>995</v>
      </c>
      <c r="Q4334">
        <v>995</v>
      </c>
      <c r="S4334">
        <v>0</v>
      </c>
      <c r="T4334">
        <v>0</v>
      </c>
      <c r="U4334">
        <f>+SUM(Table1[[#This Row],[Latinos]:[Cemex]])</f>
        <v>1</v>
      </c>
      <c r="V4334" t="str">
        <f>+Table1[[#This Row],[id_destino]]&amp;" - "&amp;Table1[[#This Row],[id_origen]]</f>
        <v>34 - 473</v>
      </c>
    </row>
    <row r="4335" spans="1:22" hidden="1">
      <c r="A4335">
        <v>2689</v>
      </c>
      <c r="B4335">
        <v>3503</v>
      </c>
      <c r="C4335">
        <v>6407</v>
      </c>
      <c r="D4335">
        <v>6506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  <c r="K4335" t="s">
        <v>20</v>
      </c>
      <c r="L4335" s="1">
        <v>44347</v>
      </c>
      <c r="M4335">
        <v>35</v>
      </c>
      <c r="N4335">
        <v>473</v>
      </c>
      <c r="O4335">
        <v>404</v>
      </c>
      <c r="P4335">
        <v>406</v>
      </c>
      <c r="Q4335">
        <v>404</v>
      </c>
      <c r="S4335">
        <v>0</v>
      </c>
      <c r="T4335">
        <v>0</v>
      </c>
      <c r="U4335">
        <f>+SUM(Table1[[#This Row],[Latinos]:[Cemex]])</f>
        <v>1</v>
      </c>
      <c r="V4335" t="str">
        <f>+Table1[[#This Row],[id_destino]]&amp;" - "&amp;Table1[[#This Row],[id_origen]]</f>
        <v>35 - 473</v>
      </c>
    </row>
    <row r="4336" spans="1:22" hidden="1">
      <c r="A4336">
        <v>3621</v>
      </c>
      <c r="B4336">
        <v>2030</v>
      </c>
      <c r="C4336">
        <v>7111</v>
      </c>
      <c r="D4336">
        <v>7266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 t="s">
        <v>20</v>
      </c>
      <c r="L4336" s="1">
        <v>44994</v>
      </c>
      <c r="M4336">
        <v>47</v>
      </c>
      <c r="N4336">
        <v>473</v>
      </c>
      <c r="O4336">
        <v>83</v>
      </c>
      <c r="P4336">
        <v>150</v>
      </c>
      <c r="Q4336">
        <v>83</v>
      </c>
      <c r="S4336">
        <v>210</v>
      </c>
      <c r="T4336">
        <v>210</v>
      </c>
      <c r="U4336">
        <f>+SUM(Table1[[#This Row],[Latinos]:[Cemex]])</f>
        <v>1</v>
      </c>
      <c r="V4336" t="str">
        <f>+Table1[[#This Row],[id_destino]]&amp;" - "&amp;Table1[[#This Row],[id_origen]]</f>
        <v>47 - 473</v>
      </c>
    </row>
    <row r="4337" spans="1:22" hidden="1">
      <c r="A4337">
        <v>4231</v>
      </c>
      <c r="B4337">
        <v>4509</v>
      </c>
      <c r="C4337">
        <v>7717</v>
      </c>
      <c r="D4337">
        <v>6397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  <c r="K4337" t="s">
        <v>20</v>
      </c>
      <c r="L4337" s="1">
        <v>45387</v>
      </c>
      <c r="M4337">
        <v>49</v>
      </c>
      <c r="N4337">
        <v>473</v>
      </c>
      <c r="O4337">
        <v>440</v>
      </c>
      <c r="P4337">
        <v>440</v>
      </c>
      <c r="Q4337">
        <v>440</v>
      </c>
      <c r="S4337">
        <v>1157</v>
      </c>
      <c r="T4337">
        <v>1157</v>
      </c>
      <c r="U4337">
        <f>+SUM(Table1[[#This Row],[Latinos]:[Cemex]])</f>
        <v>1</v>
      </c>
      <c r="V4337" t="str">
        <f>+Table1[[#This Row],[id_destino]]&amp;" - "&amp;Table1[[#This Row],[id_origen]]</f>
        <v>49 - 473</v>
      </c>
    </row>
    <row r="4338" spans="1:22" hidden="1">
      <c r="A4338">
        <v>4236</v>
      </c>
      <c r="B4338">
        <v>4513</v>
      </c>
      <c r="C4338">
        <v>7717</v>
      </c>
      <c r="D4338">
        <v>7719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  <c r="K4338" t="s">
        <v>20</v>
      </c>
      <c r="L4338" s="1">
        <v>45387</v>
      </c>
      <c r="M4338">
        <v>53</v>
      </c>
      <c r="N4338">
        <v>473</v>
      </c>
      <c r="O4338">
        <v>1096</v>
      </c>
      <c r="P4338">
        <v>1096</v>
      </c>
      <c r="Q4338">
        <v>1096</v>
      </c>
      <c r="S4338">
        <v>1469</v>
      </c>
      <c r="T4338">
        <v>1469</v>
      </c>
      <c r="U4338">
        <f>+SUM(Table1[[#This Row],[Latinos]:[Cemex]])</f>
        <v>1</v>
      </c>
      <c r="V4338" t="str">
        <f>+Table1[[#This Row],[id_destino]]&amp;" - "&amp;Table1[[#This Row],[id_origen]]</f>
        <v>53 - 473</v>
      </c>
    </row>
    <row r="4339" spans="1:22" hidden="1">
      <c r="A4339">
        <v>2127</v>
      </c>
      <c r="B4339">
        <v>3150</v>
      </c>
      <c r="C4339">
        <v>3653</v>
      </c>
      <c r="D4339">
        <v>1489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 t="s">
        <v>20</v>
      </c>
      <c r="L4339" s="1">
        <v>43820</v>
      </c>
      <c r="M4339">
        <v>56</v>
      </c>
      <c r="N4339">
        <v>473</v>
      </c>
      <c r="O4339">
        <v>88</v>
      </c>
      <c r="P4339">
        <v>150</v>
      </c>
      <c r="Q4339">
        <v>88</v>
      </c>
      <c r="S4339">
        <v>341</v>
      </c>
      <c r="T4339">
        <v>341</v>
      </c>
      <c r="U4339">
        <f>+SUM(Table1[[#This Row],[Latinos]:[Cemex]])</f>
        <v>1</v>
      </c>
      <c r="V4339" t="str">
        <f>+Table1[[#This Row],[id_destino]]&amp;" - "&amp;Table1[[#This Row],[id_origen]]</f>
        <v>56 - 473</v>
      </c>
    </row>
    <row r="4340" spans="1:22" hidden="1">
      <c r="A4340">
        <v>2687</v>
      </c>
      <c r="B4340">
        <v>3501</v>
      </c>
      <c r="C4340">
        <v>6407</v>
      </c>
      <c r="D4340">
        <v>6590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 t="s">
        <v>20</v>
      </c>
      <c r="L4340" s="1">
        <v>44347</v>
      </c>
      <c r="M4340">
        <v>60</v>
      </c>
      <c r="N4340">
        <v>473</v>
      </c>
      <c r="O4340">
        <v>2863</v>
      </c>
      <c r="P4340">
        <v>2836</v>
      </c>
      <c r="Q4340">
        <v>2863</v>
      </c>
      <c r="S4340">
        <v>0</v>
      </c>
      <c r="T4340">
        <v>0</v>
      </c>
      <c r="U4340">
        <f>+SUM(Table1[[#This Row],[Latinos]:[Cemex]])</f>
        <v>1</v>
      </c>
      <c r="V4340" t="str">
        <f>+Table1[[#This Row],[id_destino]]&amp;" - "&amp;Table1[[#This Row],[id_origen]]</f>
        <v>60 - 473</v>
      </c>
    </row>
    <row r="4341" spans="1:22" hidden="1">
      <c r="A4341">
        <v>2972</v>
      </c>
      <c r="B4341">
        <v>1959</v>
      </c>
      <c r="C4341">
        <v>6843</v>
      </c>
      <c r="D4341">
        <v>6844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  <c r="K4341" t="s">
        <v>20</v>
      </c>
      <c r="L4341" s="1">
        <v>44655</v>
      </c>
      <c r="M4341">
        <v>62</v>
      </c>
      <c r="N4341">
        <v>473</v>
      </c>
      <c r="O4341">
        <v>398</v>
      </c>
      <c r="P4341">
        <v>407</v>
      </c>
      <c r="Q4341">
        <v>398</v>
      </c>
      <c r="S4341">
        <v>620</v>
      </c>
      <c r="T4341">
        <v>620</v>
      </c>
      <c r="U4341">
        <f>+SUM(Table1[[#This Row],[Latinos]:[Cemex]])</f>
        <v>1</v>
      </c>
      <c r="V4341" t="str">
        <f>+Table1[[#This Row],[id_destino]]&amp;" - "&amp;Table1[[#This Row],[id_origen]]</f>
        <v>62 - 473</v>
      </c>
    </row>
    <row r="4342" spans="1:22" hidden="1">
      <c r="A4342">
        <v>4105</v>
      </c>
      <c r="B4342">
        <v>4423</v>
      </c>
      <c r="C4342">
        <v>3653</v>
      </c>
      <c r="D4342">
        <v>7612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 t="s">
        <v>20</v>
      </c>
      <c r="L4342" s="1">
        <v>45294</v>
      </c>
      <c r="M4342">
        <v>65</v>
      </c>
      <c r="N4342">
        <v>473</v>
      </c>
      <c r="O4342">
        <v>150</v>
      </c>
      <c r="P4342">
        <v>130</v>
      </c>
      <c r="Q4342">
        <v>150</v>
      </c>
      <c r="S4342">
        <v>399</v>
      </c>
      <c r="T4342">
        <v>399</v>
      </c>
      <c r="U4342">
        <f>+SUM(Table1[[#This Row],[Latinos]:[Cemex]])</f>
        <v>1</v>
      </c>
      <c r="V4342" t="str">
        <f>+Table1[[#This Row],[id_destino]]&amp;" - "&amp;Table1[[#This Row],[id_origen]]</f>
        <v>65 - 473</v>
      </c>
    </row>
    <row r="4343" spans="1:22" hidden="1">
      <c r="A4343">
        <v>4700</v>
      </c>
      <c r="B4343">
        <v>959</v>
      </c>
      <c r="C4343">
        <v>3653</v>
      </c>
      <c r="D4343">
        <v>8175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 t="s">
        <v>20</v>
      </c>
      <c r="L4343" s="1">
        <v>45740</v>
      </c>
      <c r="M4343">
        <v>69</v>
      </c>
      <c r="N4343">
        <v>473</v>
      </c>
      <c r="O4343">
        <v>100</v>
      </c>
      <c r="P4343">
        <v>100</v>
      </c>
      <c r="Q4343">
        <v>100</v>
      </c>
      <c r="S4343">
        <v>47</v>
      </c>
      <c r="T4343">
        <v>47</v>
      </c>
      <c r="U4343">
        <f>+SUM(Table1[[#This Row],[Latinos]:[Cemex]])</f>
        <v>1</v>
      </c>
      <c r="V4343" t="str">
        <f>+Table1[[#This Row],[id_destino]]&amp;" - "&amp;Table1[[#This Row],[id_origen]]</f>
        <v>69 - 473</v>
      </c>
    </row>
    <row r="4344" spans="1:22" hidden="1">
      <c r="A4344">
        <v>3337</v>
      </c>
      <c r="B4344">
        <v>3917</v>
      </c>
      <c r="C4344">
        <v>3653</v>
      </c>
      <c r="D4344">
        <v>7059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  <c r="K4344" t="s">
        <v>20</v>
      </c>
      <c r="L4344" s="1">
        <v>44837</v>
      </c>
      <c r="M4344">
        <v>75</v>
      </c>
      <c r="N4344">
        <v>473</v>
      </c>
      <c r="O4344">
        <v>50</v>
      </c>
      <c r="P4344">
        <v>100</v>
      </c>
      <c r="Q4344">
        <v>50</v>
      </c>
      <c r="S4344">
        <v>0</v>
      </c>
      <c r="T4344">
        <v>0</v>
      </c>
      <c r="U4344">
        <f>+SUM(Table1[[#This Row],[Latinos]:[Cemex]])</f>
        <v>1</v>
      </c>
      <c r="V4344" t="str">
        <f>+Table1[[#This Row],[id_destino]]&amp;" - "&amp;Table1[[#This Row],[id_origen]]</f>
        <v>75 - 473</v>
      </c>
    </row>
    <row r="4345" spans="1:22" hidden="1">
      <c r="A4345">
        <v>2845</v>
      </c>
      <c r="B4345">
        <v>3604</v>
      </c>
      <c r="C4345">
        <v>3653</v>
      </c>
      <c r="D4345">
        <v>6238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0</v>
      </c>
      <c r="K4345" t="s">
        <v>20</v>
      </c>
      <c r="L4345" s="1">
        <v>44532</v>
      </c>
      <c r="M4345">
        <v>76</v>
      </c>
      <c r="N4345">
        <v>473</v>
      </c>
      <c r="O4345">
        <v>55</v>
      </c>
      <c r="P4345">
        <v>150</v>
      </c>
      <c r="Q4345">
        <v>55</v>
      </c>
      <c r="S4345">
        <v>0</v>
      </c>
      <c r="T4345">
        <v>0</v>
      </c>
      <c r="U4345">
        <f>+SUM(Table1[[#This Row],[Latinos]:[Cemex]])</f>
        <v>1</v>
      </c>
      <c r="V4345" t="str">
        <f>+Table1[[#This Row],[id_destino]]&amp;" - "&amp;Table1[[#This Row],[id_origen]]</f>
        <v>76 - 473</v>
      </c>
    </row>
    <row r="4346" spans="1:22" hidden="1">
      <c r="A4346">
        <v>3980</v>
      </c>
      <c r="B4346">
        <v>556</v>
      </c>
      <c r="C4346">
        <v>3653</v>
      </c>
      <c r="D4346">
        <v>7509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  <c r="K4346" t="s">
        <v>20</v>
      </c>
      <c r="L4346" s="1">
        <v>45213</v>
      </c>
      <c r="M4346">
        <v>79</v>
      </c>
      <c r="N4346">
        <v>473</v>
      </c>
      <c r="O4346">
        <v>252</v>
      </c>
      <c r="P4346">
        <v>270</v>
      </c>
      <c r="Q4346">
        <v>252</v>
      </c>
      <c r="S4346">
        <v>1061</v>
      </c>
      <c r="T4346">
        <v>1161</v>
      </c>
      <c r="U4346">
        <f>+SUM(Table1[[#This Row],[Latinos]:[Cemex]])</f>
        <v>1</v>
      </c>
      <c r="V4346" t="str">
        <f>+Table1[[#This Row],[id_destino]]&amp;" - "&amp;Table1[[#This Row],[id_origen]]</f>
        <v>79 - 473</v>
      </c>
    </row>
    <row r="4347" spans="1:22" hidden="1">
      <c r="A4347">
        <v>4080</v>
      </c>
      <c r="B4347">
        <v>4407</v>
      </c>
      <c r="C4347">
        <v>3653</v>
      </c>
      <c r="D4347">
        <v>7614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 t="s">
        <v>20</v>
      </c>
      <c r="L4347" s="1">
        <v>45295</v>
      </c>
      <c r="M4347">
        <v>105</v>
      </c>
      <c r="N4347">
        <v>473</v>
      </c>
      <c r="O4347">
        <v>23</v>
      </c>
      <c r="P4347">
        <v>150</v>
      </c>
      <c r="Q4347">
        <v>23</v>
      </c>
      <c r="S4347">
        <v>0</v>
      </c>
      <c r="T4347">
        <v>0</v>
      </c>
      <c r="U4347">
        <f>+SUM(Table1[[#This Row],[Latinos]:[Cemex]])</f>
        <v>1</v>
      </c>
      <c r="V4347" t="str">
        <f>+Table1[[#This Row],[id_destino]]&amp;" - "&amp;Table1[[#This Row],[id_origen]]</f>
        <v>105 - 473</v>
      </c>
    </row>
    <row r="4348" spans="1:22" hidden="1">
      <c r="A4348">
        <v>4696</v>
      </c>
      <c r="B4348">
        <v>2803</v>
      </c>
      <c r="C4348">
        <v>3653</v>
      </c>
      <c r="D4348">
        <v>8171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  <c r="K4348" t="s">
        <v>20</v>
      </c>
      <c r="L4348" s="1">
        <v>45735</v>
      </c>
      <c r="M4348">
        <v>107</v>
      </c>
      <c r="N4348">
        <v>473</v>
      </c>
      <c r="O4348">
        <v>467</v>
      </c>
      <c r="P4348">
        <v>467</v>
      </c>
      <c r="Q4348">
        <v>467</v>
      </c>
      <c r="S4348">
        <v>2129</v>
      </c>
      <c r="T4348">
        <v>2129</v>
      </c>
      <c r="U4348">
        <f>+SUM(Table1[[#This Row],[Latinos]:[Cemex]])</f>
        <v>1</v>
      </c>
      <c r="V4348" t="str">
        <f>+Table1[[#This Row],[id_destino]]&amp;" - "&amp;Table1[[#This Row],[id_origen]]</f>
        <v>107 - 473</v>
      </c>
    </row>
    <row r="4349" spans="1:22" hidden="1">
      <c r="A4349">
        <v>1454</v>
      </c>
      <c r="B4349">
        <v>2755</v>
      </c>
      <c r="C4349">
        <v>3653</v>
      </c>
      <c r="D4349">
        <v>5775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  <c r="K4349" t="s">
        <v>20</v>
      </c>
      <c r="L4349" s="1">
        <v>43444</v>
      </c>
      <c r="M4349">
        <v>118</v>
      </c>
      <c r="N4349">
        <v>473</v>
      </c>
      <c r="O4349">
        <v>2849</v>
      </c>
      <c r="P4349">
        <v>2849</v>
      </c>
      <c r="Q4349">
        <v>2849</v>
      </c>
      <c r="S4349">
        <v>5123</v>
      </c>
      <c r="T4349">
        <v>5261</v>
      </c>
      <c r="U4349">
        <f>+SUM(Table1[[#This Row],[Latinos]:[Cemex]])</f>
        <v>1</v>
      </c>
      <c r="V4349" t="str">
        <f>+Table1[[#This Row],[id_destino]]&amp;" - "&amp;Table1[[#This Row],[id_origen]]</f>
        <v>118 - 473</v>
      </c>
    </row>
    <row r="4350" spans="1:22" hidden="1">
      <c r="A4350">
        <v>3593</v>
      </c>
      <c r="B4350">
        <v>4098</v>
      </c>
      <c r="C4350">
        <v>7111</v>
      </c>
      <c r="D4350">
        <v>7139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 t="s">
        <v>20</v>
      </c>
      <c r="L4350" s="1">
        <v>44973</v>
      </c>
      <c r="M4350">
        <v>120</v>
      </c>
      <c r="N4350">
        <v>473</v>
      </c>
      <c r="O4350">
        <v>737</v>
      </c>
      <c r="P4350">
        <v>766</v>
      </c>
      <c r="Q4350">
        <v>737</v>
      </c>
      <c r="S4350">
        <v>2123</v>
      </c>
      <c r="T4350">
        <v>2213</v>
      </c>
      <c r="U4350">
        <f>+SUM(Table1[[#This Row],[Latinos]:[Cemex]])</f>
        <v>1</v>
      </c>
      <c r="V4350" t="str">
        <f>+Table1[[#This Row],[id_destino]]&amp;" - "&amp;Table1[[#This Row],[id_origen]]</f>
        <v>120 - 473</v>
      </c>
    </row>
    <row r="4351" spans="1:22" hidden="1">
      <c r="A4351">
        <v>4026</v>
      </c>
      <c r="B4351">
        <v>4366</v>
      </c>
      <c r="C4351">
        <v>3653</v>
      </c>
      <c r="D4351">
        <v>7550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 t="s">
        <v>20</v>
      </c>
      <c r="L4351" s="1">
        <v>45240</v>
      </c>
      <c r="M4351">
        <v>144</v>
      </c>
      <c r="N4351">
        <v>473</v>
      </c>
      <c r="O4351">
        <v>169</v>
      </c>
      <c r="P4351">
        <v>162</v>
      </c>
      <c r="Q4351">
        <v>169</v>
      </c>
      <c r="S4351">
        <v>558</v>
      </c>
      <c r="T4351">
        <v>558</v>
      </c>
      <c r="U4351">
        <f>+SUM(Table1[[#This Row],[Latinos]:[Cemex]])</f>
        <v>1</v>
      </c>
      <c r="V4351" t="str">
        <f>+Table1[[#This Row],[id_destino]]&amp;" - "&amp;Table1[[#This Row],[id_origen]]</f>
        <v>144 - 473</v>
      </c>
    </row>
    <row r="4352" spans="1:22" hidden="1">
      <c r="A4352">
        <v>4309</v>
      </c>
      <c r="B4352">
        <v>4560</v>
      </c>
      <c r="C4352">
        <v>2397</v>
      </c>
      <c r="D4352">
        <v>7798</v>
      </c>
      <c r="E4352">
        <v>0</v>
      </c>
      <c r="F4352">
        <v>1</v>
      </c>
      <c r="G4352">
        <v>0</v>
      </c>
      <c r="H4352">
        <v>0</v>
      </c>
      <c r="I4352">
        <v>0</v>
      </c>
      <c r="J4352">
        <v>0</v>
      </c>
      <c r="K4352" t="s">
        <v>20</v>
      </c>
      <c r="L4352" s="1">
        <v>45451</v>
      </c>
      <c r="M4352">
        <v>167</v>
      </c>
      <c r="N4352">
        <v>473</v>
      </c>
      <c r="O4352">
        <v>587</v>
      </c>
      <c r="P4352">
        <v>573</v>
      </c>
      <c r="Q4352">
        <v>587</v>
      </c>
      <c r="S4352">
        <v>1736</v>
      </c>
      <c r="T4352">
        <v>1736</v>
      </c>
      <c r="U4352">
        <f>+SUM(Table1[[#This Row],[Latinos]:[Cemex]])</f>
        <v>1</v>
      </c>
      <c r="V4352" t="str">
        <f>+Table1[[#This Row],[id_destino]]&amp;" - "&amp;Table1[[#This Row],[id_origen]]</f>
        <v>167 - 473</v>
      </c>
    </row>
    <row r="4353" spans="1:22" hidden="1">
      <c r="A4353">
        <v>4235</v>
      </c>
      <c r="B4353">
        <v>4512</v>
      </c>
      <c r="C4353">
        <v>7717</v>
      </c>
      <c r="D4353">
        <v>7255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  <c r="K4353" t="s">
        <v>20</v>
      </c>
      <c r="L4353" s="1">
        <v>45387</v>
      </c>
      <c r="M4353">
        <v>169</v>
      </c>
      <c r="N4353">
        <v>473</v>
      </c>
      <c r="O4353">
        <v>343</v>
      </c>
      <c r="P4353">
        <v>343</v>
      </c>
      <c r="Q4353">
        <v>343</v>
      </c>
      <c r="S4353">
        <v>952</v>
      </c>
      <c r="T4353">
        <v>952</v>
      </c>
      <c r="U4353">
        <f>+SUM(Table1[[#This Row],[Latinos]:[Cemex]])</f>
        <v>1</v>
      </c>
      <c r="V4353" t="str">
        <f>+Table1[[#This Row],[id_destino]]&amp;" - "&amp;Table1[[#This Row],[id_origen]]</f>
        <v>169 - 473</v>
      </c>
    </row>
    <row r="4354" spans="1:22" hidden="1">
      <c r="A4354">
        <v>3589</v>
      </c>
      <c r="B4354">
        <v>4094</v>
      </c>
      <c r="C4354">
        <v>7111</v>
      </c>
      <c r="D4354">
        <v>7237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  <c r="K4354" t="s">
        <v>20</v>
      </c>
      <c r="L4354" s="1">
        <v>44973</v>
      </c>
      <c r="M4354">
        <v>179</v>
      </c>
      <c r="N4354">
        <v>473</v>
      </c>
      <c r="O4354">
        <v>1883</v>
      </c>
      <c r="P4354">
        <v>1890</v>
      </c>
      <c r="Q4354">
        <v>1883</v>
      </c>
      <c r="S4354">
        <v>5905</v>
      </c>
      <c r="T4354">
        <v>5993</v>
      </c>
      <c r="U4354">
        <f>+SUM(Table1[[#This Row],[Latinos]:[Cemex]])</f>
        <v>1</v>
      </c>
      <c r="V4354" t="str">
        <f>+Table1[[#This Row],[id_destino]]&amp;" - "&amp;Table1[[#This Row],[id_origen]]</f>
        <v>179 - 473</v>
      </c>
    </row>
    <row r="4355" spans="1:22" hidden="1">
      <c r="A4355">
        <v>3592</v>
      </c>
      <c r="B4355">
        <v>4097</v>
      </c>
      <c r="C4355">
        <v>7111</v>
      </c>
      <c r="D4355">
        <v>7138</v>
      </c>
      <c r="E4355">
        <v>0</v>
      </c>
      <c r="F4355">
        <v>0</v>
      </c>
      <c r="G4355">
        <v>0</v>
      </c>
      <c r="H4355">
        <v>1</v>
      </c>
      <c r="I4355">
        <v>0</v>
      </c>
      <c r="J4355">
        <v>0</v>
      </c>
      <c r="K4355" t="s">
        <v>20</v>
      </c>
      <c r="L4355" s="1">
        <v>44973</v>
      </c>
      <c r="M4355">
        <v>214</v>
      </c>
      <c r="N4355">
        <v>473</v>
      </c>
      <c r="O4355">
        <v>734</v>
      </c>
      <c r="P4355">
        <v>795</v>
      </c>
      <c r="Q4355">
        <v>734</v>
      </c>
      <c r="S4355">
        <v>1427</v>
      </c>
      <c r="T4355">
        <v>1517</v>
      </c>
      <c r="U4355">
        <f>+SUM(Table1[[#This Row],[Latinos]:[Cemex]])</f>
        <v>1</v>
      </c>
      <c r="V4355" t="str">
        <f>+Table1[[#This Row],[id_destino]]&amp;" - "&amp;Table1[[#This Row],[id_origen]]</f>
        <v>214 - 473</v>
      </c>
    </row>
    <row r="4356" spans="1:22" hidden="1">
      <c r="A4356">
        <v>4647</v>
      </c>
      <c r="B4356">
        <v>4818</v>
      </c>
      <c r="C4356">
        <v>3653</v>
      </c>
      <c r="D4356">
        <v>8072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  <c r="K4356" t="s">
        <v>20</v>
      </c>
      <c r="L4356" s="1">
        <v>45700</v>
      </c>
      <c r="M4356">
        <v>242</v>
      </c>
      <c r="N4356">
        <v>473</v>
      </c>
      <c r="O4356">
        <v>100</v>
      </c>
      <c r="P4356">
        <v>100</v>
      </c>
      <c r="Q4356">
        <v>100</v>
      </c>
      <c r="S4356">
        <v>137</v>
      </c>
      <c r="T4356">
        <v>137</v>
      </c>
      <c r="U4356">
        <f>+SUM(Table1[[#This Row],[Latinos]:[Cemex]])</f>
        <v>1</v>
      </c>
      <c r="V4356" t="str">
        <f>+Table1[[#This Row],[id_destino]]&amp;" - "&amp;Table1[[#This Row],[id_origen]]</f>
        <v>242 - 473</v>
      </c>
    </row>
    <row r="4357" spans="1:22" hidden="1">
      <c r="A4357">
        <v>2952</v>
      </c>
      <c r="B4357">
        <v>3677</v>
      </c>
      <c r="C4357">
        <v>3653</v>
      </c>
      <c r="D4357">
        <v>6832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0</v>
      </c>
      <c r="K4357" t="s">
        <v>20</v>
      </c>
      <c r="L4357" s="1">
        <v>44643</v>
      </c>
      <c r="M4357">
        <v>254</v>
      </c>
      <c r="N4357">
        <v>473</v>
      </c>
      <c r="O4357">
        <v>7</v>
      </c>
      <c r="P4357">
        <v>150</v>
      </c>
      <c r="Q4357">
        <v>7</v>
      </c>
      <c r="S4357">
        <v>0</v>
      </c>
      <c r="T4357">
        <v>0</v>
      </c>
      <c r="U4357">
        <f>+SUM(Table1[[#This Row],[Latinos]:[Cemex]])</f>
        <v>1</v>
      </c>
      <c r="V4357" t="str">
        <f>+Table1[[#This Row],[id_destino]]&amp;" - "&amp;Table1[[#This Row],[id_origen]]</f>
        <v>254 - 473</v>
      </c>
    </row>
    <row r="4358" spans="1:22" hidden="1">
      <c r="A4358">
        <v>2848</v>
      </c>
      <c r="B4358">
        <v>3606</v>
      </c>
      <c r="C4358">
        <v>3653</v>
      </c>
      <c r="D4358">
        <v>6737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  <c r="K4358" t="s">
        <v>20</v>
      </c>
      <c r="L4358" s="1">
        <v>44534</v>
      </c>
      <c r="M4358">
        <v>255</v>
      </c>
      <c r="N4358">
        <v>473</v>
      </c>
      <c r="O4358">
        <v>92</v>
      </c>
      <c r="P4358">
        <v>150</v>
      </c>
      <c r="Q4358">
        <v>92</v>
      </c>
      <c r="S4358">
        <v>0</v>
      </c>
      <c r="T4358">
        <v>0</v>
      </c>
      <c r="U4358">
        <f>+SUM(Table1[[#This Row],[Latinos]:[Cemex]])</f>
        <v>1</v>
      </c>
      <c r="V4358" t="str">
        <f>+Table1[[#This Row],[id_destino]]&amp;" - "&amp;Table1[[#This Row],[id_origen]]</f>
        <v>255 - 473</v>
      </c>
    </row>
    <row r="4359" spans="1:22" hidden="1">
      <c r="A4359">
        <v>3590</v>
      </c>
      <c r="B4359">
        <v>4095</v>
      </c>
      <c r="C4359">
        <v>7111</v>
      </c>
      <c r="D4359">
        <v>7238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 t="s">
        <v>20</v>
      </c>
      <c r="L4359" s="1">
        <v>44973</v>
      </c>
      <c r="M4359">
        <v>260</v>
      </c>
      <c r="N4359">
        <v>473</v>
      </c>
      <c r="O4359">
        <v>1429</v>
      </c>
      <c r="P4359">
        <v>1418</v>
      </c>
      <c r="Q4359">
        <v>1429</v>
      </c>
      <c r="S4359">
        <v>5223</v>
      </c>
      <c r="T4359">
        <v>5297</v>
      </c>
      <c r="U4359">
        <f>+SUM(Table1[[#This Row],[Latinos]:[Cemex]])</f>
        <v>1</v>
      </c>
      <c r="V4359" t="str">
        <f>+Table1[[#This Row],[id_destino]]&amp;" - "&amp;Table1[[#This Row],[id_origen]]</f>
        <v>260 - 473</v>
      </c>
    </row>
    <row r="4360" spans="1:22" hidden="1">
      <c r="A4360">
        <v>3998</v>
      </c>
      <c r="B4360">
        <v>4345</v>
      </c>
      <c r="C4360">
        <v>3341</v>
      </c>
      <c r="D4360">
        <v>4002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 t="s">
        <v>20</v>
      </c>
      <c r="L4360" s="1">
        <v>45229</v>
      </c>
      <c r="M4360">
        <v>273</v>
      </c>
      <c r="N4360">
        <v>473</v>
      </c>
      <c r="O4360">
        <v>63</v>
      </c>
      <c r="P4360">
        <v>150</v>
      </c>
      <c r="Q4360">
        <v>63</v>
      </c>
      <c r="S4360">
        <v>58</v>
      </c>
      <c r="T4360">
        <v>58</v>
      </c>
      <c r="U4360">
        <f>+SUM(Table1[[#This Row],[Latinos]:[Cemex]])</f>
        <v>1</v>
      </c>
      <c r="V4360" t="str">
        <f>+Table1[[#This Row],[id_destino]]&amp;" - "&amp;Table1[[#This Row],[id_origen]]</f>
        <v>273 - 473</v>
      </c>
    </row>
    <row r="4361" spans="1:22" hidden="1">
      <c r="A4361">
        <v>4079</v>
      </c>
      <c r="B4361">
        <v>4406</v>
      </c>
      <c r="C4361">
        <v>3653</v>
      </c>
      <c r="D4361">
        <v>6834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  <c r="K4361" t="s">
        <v>20</v>
      </c>
      <c r="L4361" s="1">
        <v>45428</v>
      </c>
      <c r="M4361">
        <v>276</v>
      </c>
      <c r="N4361">
        <v>473</v>
      </c>
      <c r="O4361">
        <v>34</v>
      </c>
      <c r="P4361">
        <v>150</v>
      </c>
      <c r="Q4361">
        <v>34</v>
      </c>
      <c r="S4361">
        <v>200</v>
      </c>
      <c r="T4361">
        <v>200</v>
      </c>
      <c r="U4361">
        <f>+SUM(Table1[[#This Row],[Latinos]:[Cemex]])</f>
        <v>1</v>
      </c>
      <c r="V4361" t="str">
        <f>+Table1[[#This Row],[id_destino]]&amp;" - "&amp;Table1[[#This Row],[id_origen]]</f>
        <v>276 - 473</v>
      </c>
    </row>
    <row r="4362" spans="1:22" hidden="1">
      <c r="A4362">
        <v>2856</v>
      </c>
      <c r="B4362">
        <v>3611</v>
      </c>
      <c r="C4362">
        <v>3653</v>
      </c>
      <c r="D4362">
        <v>6748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 t="s">
        <v>20</v>
      </c>
      <c r="L4362" s="1">
        <v>44546</v>
      </c>
      <c r="M4362">
        <v>280</v>
      </c>
      <c r="N4362">
        <v>473</v>
      </c>
      <c r="O4362">
        <v>106</v>
      </c>
      <c r="P4362">
        <v>150</v>
      </c>
      <c r="Q4362">
        <v>106</v>
      </c>
      <c r="S4362">
        <v>348</v>
      </c>
      <c r="T4362">
        <v>348</v>
      </c>
      <c r="U4362">
        <f>+SUM(Table1[[#This Row],[Latinos]:[Cemex]])</f>
        <v>1</v>
      </c>
      <c r="V4362" t="str">
        <f>+Table1[[#This Row],[id_destino]]&amp;" - "&amp;Table1[[#This Row],[id_origen]]</f>
        <v>280 - 473</v>
      </c>
    </row>
    <row r="4363" spans="1:22" hidden="1">
      <c r="A4363">
        <v>2238</v>
      </c>
      <c r="B4363">
        <v>3223</v>
      </c>
      <c r="C4363">
        <v>3653</v>
      </c>
      <c r="D4363">
        <v>6278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 t="s">
        <v>20</v>
      </c>
      <c r="L4363" s="1">
        <v>43872</v>
      </c>
      <c r="M4363">
        <v>314</v>
      </c>
      <c r="N4363">
        <v>473</v>
      </c>
      <c r="O4363">
        <v>37</v>
      </c>
      <c r="P4363">
        <v>150</v>
      </c>
      <c r="Q4363">
        <v>37</v>
      </c>
      <c r="S4363">
        <v>110</v>
      </c>
      <c r="T4363">
        <v>110</v>
      </c>
      <c r="U4363">
        <f>+SUM(Table1[[#This Row],[Latinos]:[Cemex]])</f>
        <v>1</v>
      </c>
      <c r="V4363" t="str">
        <f>+Table1[[#This Row],[id_destino]]&amp;" - "&amp;Table1[[#This Row],[id_origen]]</f>
        <v>314 - 473</v>
      </c>
    </row>
    <row r="4364" spans="1:22" hidden="1">
      <c r="A4364">
        <v>2766</v>
      </c>
      <c r="B4364">
        <v>3552</v>
      </c>
      <c r="C4364">
        <v>3653</v>
      </c>
      <c r="D4364">
        <v>6651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  <c r="K4364" t="s">
        <v>20</v>
      </c>
      <c r="L4364" s="1">
        <v>44428</v>
      </c>
      <c r="M4364">
        <v>315</v>
      </c>
      <c r="N4364">
        <v>473</v>
      </c>
      <c r="O4364">
        <v>97</v>
      </c>
      <c r="P4364">
        <v>150</v>
      </c>
      <c r="Q4364">
        <v>97</v>
      </c>
      <c r="S4364">
        <v>95</v>
      </c>
      <c r="T4364">
        <v>95</v>
      </c>
      <c r="U4364">
        <f>+SUM(Table1[[#This Row],[Latinos]:[Cemex]])</f>
        <v>1</v>
      </c>
      <c r="V4364" t="str">
        <f>+Table1[[#This Row],[id_destino]]&amp;" - "&amp;Table1[[#This Row],[id_origen]]</f>
        <v>315 - 473</v>
      </c>
    </row>
    <row r="4365" spans="1:22" hidden="1">
      <c r="A4365">
        <v>2707</v>
      </c>
      <c r="B4365">
        <v>3514</v>
      </c>
      <c r="C4365">
        <v>3653</v>
      </c>
      <c r="D4365">
        <v>2871</v>
      </c>
      <c r="E4365">
        <v>0</v>
      </c>
      <c r="F4365">
        <v>1</v>
      </c>
      <c r="G4365">
        <v>0</v>
      </c>
      <c r="H4365">
        <v>0</v>
      </c>
      <c r="I4365">
        <v>0</v>
      </c>
      <c r="J4365">
        <v>0</v>
      </c>
      <c r="K4365" t="s">
        <v>20</v>
      </c>
      <c r="L4365" s="1">
        <v>45267</v>
      </c>
      <c r="M4365">
        <v>318</v>
      </c>
      <c r="N4365">
        <v>473</v>
      </c>
      <c r="O4365">
        <v>79</v>
      </c>
      <c r="P4365">
        <v>150</v>
      </c>
      <c r="Q4365">
        <v>79</v>
      </c>
      <c r="S4365">
        <v>0</v>
      </c>
      <c r="T4365">
        <v>0</v>
      </c>
      <c r="U4365">
        <f>+SUM(Table1[[#This Row],[Latinos]:[Cemex]])</f>
        <v>1</v>
      </c>
      <c r="V4365" t="str">
        <f>+Table1[[#This Row],[id_destino]]&amp;" - "&amp;Table1[[#This Row],[id_origen]]</f>
        <v>318 - 473</v>
      </c>
    </row>
    <row r="4366" spans="1:22" hidden="1">
      <c r="A4366">
        <v>2410</v>
      </c>
      <c r="B4366">
        <v>3326</v>
      </c>
      <c r="C4366">
        <v>3653</v>
      </c>
      <c r="D4366">
        <v>6381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  <c r="K4366" t="s">
        <v>20</v>
      </c>
      <c r="L4366" s="1">
        <v>44053</v>
      </c>
      <c r="M4366">
        <v>345</v>
      </c>
      <c r="N4366">
        <v>473</v>
      </c>
      <c r="O4366">
        <v>50</v>
      </c>
      <c r="P4366">
        <v>150</v>
      </c>
      <c r="Q4366">
        <v>50</v>
      </c>
      <c r="S4366">
        <v>0</v>
      </c>
      <c r="T4366">
        <v>0</v>
      </c>
      <c r="U4366">
        <f>+SUM(Table1[[#This Row],[Latinos]:[Cemex]])</f>
        <v>1</v>
      </c>
      <c r="V4366" t="str">
        <f>+Table1[[#This Row],[id_destino]]&amp;" - "&amp;Table1[[#This Row],[id_origen]]</f>
        <v>345 - 473</v>
      </c>
    </row>
    <row r="4367" spans="1:22" hidden="1">
      <c r="A4367">
        <v>2686</v>
      </c>
      <c r="B4367">
        <v>3500</v>
      </c>
      <c r="C4367">
        <v>6407</v>
      </c>
      <c r="D4367">
        <v>6401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  <c r="K4367" t="s">
        <v>20</v>
      </c>
      <c r="L4367" s="1">
        <v>44347</v>
      </c>
      <c r="M4367">
        <v>379</v>
      </c>
      <c r="N4367">
        <v>473</v>
      </c>
      <c r="O4367">
        <v>885</v>
      </c>
      <c r="P4367">
        <v>893</v>
      </c>
      <c r="Q4367">
        <v>885</v>
      </c>
      <c r="S4367">
        <v>0</v>
      </c>
      <c r="T4367">
        <v>0</v>
      </c>
      <c r="U4367">
        <f>+SUM(Table1[[#This Row],[Latinos]:[Cemex]])</f>
        <v>1</v>
      </c>
      <c r="V4367" t="str">
        <f>+Table1[[#This Row],[id_destino]]&amp;" - "&amp;Table1[[#This Row],[id_origen]]</f>
        <v>379 - 473</v>
      </c>
    </row>
    <row r="4368" spans="1:22" hidden="1">
      <c r="A4368">
        <v>2391</v>
      </c>
      <c r="B4368">
        <v>3313</v>
      </c>
      <c r="C4368">
        <v>3653</v>
      </c>
      <c r="D4368">
        <v>6371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  <c r="K4368" t="s">
        <v>20</v>
      </c>
      <c r="L4368" s="1">
        <v>44025</v>
      </c>
      <c r="M4368">
        <v>473</v>
      </c>
      <c r="N4368">
        <v>473</v>
      </c>
      <c r="O4368">
        <v>10</v>
      </c>
      <c r="P4368">
        <v>150</v>
      </c>
      <c r="Q4368">
        <v>10</v>
      </c>
      <c r="S4368">
        <v>0</v>
      </c>
      <c r="T4368">
        <v>0</v>
      </c>
      <c r="U4368">
        <f>+SUM(Table1[[#This Row],[Latinos]:[Cemex]])</f>
        <v>1</v>
      </c>
      <c r="V4368" t="str">
        <f>+Table1[[#This Row],[id_destino]]&amp;" - "&amp;Table1[[#This Row],[id_origen]]</f>
        <v>473 - 473</v>
      </c>
    </row>
    <row r="4369" spans="1:22" hidden="1">
      <c r="A4369">
        <v>2871</v>
      </c>
      <c r="B4369">
        <v>3623</v>
      </c>
      <c r="C4369">
        <v>3653</v>
      </c>
      <c r="D4369">
        <v>6762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  <c r="K4369" t="s">
        <v>20</v>
      </c>
      <c r="L4369" s="1">
        <v>44573</v>
      </c>
      <c r="M4369">
        <v>485</v>
      </c>
      <c r="N4369">
        <v>473</v>
      </c>
      <c r="O4369">
        <v>53</v>
      </c>
      <c r="P4369">
        <v>150</v>
      </c>
      <c r="Q4369">
        <v>53</v>
      </c>
      <c r="S4369">
        <v>0</v>
      </c>
      <c r="T4369">
        <v>0</v>
      </c>
      <c r="U4369">
        <f>+SUM(Table1[[#This Row],[Latinos]:[Cemex]])</f>
        <v>1</v>
      </c>
      <c r="V4369" t="str">
        <f>+Table1[[#This Row],[id_destino]]&amp;" - "&amp;Table1[[#This Row],[id_origen]]</f>
        <v>485 - 473</v>
      </c>
    </row>
    <row r="4370" spans="1:22" hidden="1">
      <c r="A4370">
        <v>2731</v>
      </c>
      <c r="B4370">
        <v>3531</v>
      </c>
      <c r="C4370">
        <v>3653</v>
      </c>
      <c r="D4370">
        <v>6622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  <c r="K4370" t="s">
        <v>20</v>
      </c>
      <c r="L4370" s="1">
        <v>44390</v>
      </c>
      <c r="M4370">
        <v>506</v>
      </c>
      <c r="N4370">
        <v>473</v>
      </c>
      <c r="O4370">
        <v>94</v>
      </c>
      <c r="P4370">
        <v>150</v>
      </c>
      <c r="Q4370">
        <v>94</v>
      </c>
      <c r="S4370">
        <v>95</v>
      </c>
      <c r="T4370">
        <v>95</v>
      </c>
      <c r="U4370">
        <f>+SUM(Table1[[#This Row],[Latinos]:[Cemex]])</f>
        <v>1</v>
      </c>
      <c r="V4370" t="str">
        <f>+Table1[[#This Row],[id_destino]]&amp;" - "&amp;Table1[[#This Row],[id_origen]]</f>
        <v>506 - 473</v>
      </c>
    </row>
    <row r="4371" spans="1:22" hidden="1">
      <c r="A4371">
        <v>2764</v>
      </c>
      <c r="B4371">
        <v>3550</v>
      </c>
      <c r="C4371">
        <v>3653</v>
      </c>
      <c r="D4371">
        <v>6648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  <c r="K4371" t="s">
        <v>20</v>
      </c>
      <c r="L4371" s="1">
        <v>44427</v>
      </c>
      <c r="M4371">
        <v>559</v>
      </c>
      <c r="N4371">
        <v>473</v>
      </c>
      <c r="O4371">
        <v>54</v>
      </c>
      <c r="P4371">
        <v>150</v>
      </c>
      <c r="Q4371">
        <v>54</v>
      </c>
      <c r="S4371">
        <v>0</v>
      </c>
      <c r="T4371">
        <v>0</v>
      </c>
      <c r="U4371">
        <f>+SUM(Table1[[#This Row],[Latinos]:[Cemex]])</f>
        <v>1</v>
      </c>
      <c r="V4371" t="str">
        <f>+Table1[[#This Row],[id_destino]]&amp;" - "&amp;Table1[[#This Row],[id_origen]]</f>
        <v>559 - 473</v>
      </c>
    </row>
    <row r="4372" spans="1:22" hidden="1">
      <c r="A4372">
        <v>2245</v>
      </c>
      <c r="B4372">
        <v>3226</v>
      </c>
      <c r="C4372">
        <v>3653</v>
      </c>
      <c r="D4372">
        <v>5655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 t="s">
        <v>20</v>
      </c>
      <c r="L4372" s="1">
        <v>43874</v>
      </c>
      <c r="M4372">
        <v>589</v>
      </c>
      <c r="N4372">
        <v>473</v>
      </c>
      <c r="O4372">
        <v>40</v>
      </c>
      <c r="P4372">
        <v>150</v>
      </c>
      <c r="Q4372">
        <v>40</v>
      </c>
      <c r="S4372">
        <v>92</v>
      </c>
      <c r="T4372">
        <v>92</v>
      </c>
      <c r="U4372">
        <f>+SUM(Table1[[#This Row],[Latinos]:[Cemex]])</f>
        <v>1</v>
      </c>
      <c r="V4372" t="str">
        <f>+Table1[[#This Row],[id_destino]]&amp;" - "&amp;Table1[[#This Row],[id_origen]]</f>
        <v>589 - 473</v>
      </c>
    </row>
    <row r="4373" spans="1:22" hidden="1">
      <c r="A4373">
        <v>3949</v>
      </c>
      <c r="B4373">
        <v>4321</v>
      </c>
      <c r="C4373">
        <v>3653</v>
      </c>
      <c r="D4373">
        <v>7493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 t="s">
        <v>20</v>
      </c>
      <c r="L4373" s="1">
        <v>45203</v>
      </c>
      <c r="M4373">
        <v>678</v>
      </c>
      <c r="N4373">
        <v>473</v>
      </c>
      <c r="O4373">
        <v>68</v>
      </c>
      <c r="P4373">
        <v>68</v>
      </c>
      <c r="Q4373">
        <v>68</v>
      </c>
      <c r="S4373">
        <v>425</v>
      </c>
      <c r="T4373">
        <v>425</v>
      </c>
      <c r="U4373">
        <f>+SUM(Table1[[#This Row],[Latinos]:[Cemex]])</f>
        <v>1</v>
      </c>
      <c r="V4373" t="str">
        <f>+Table1[[#This Row],[id_destino]]&amp;" - "&amp;Table1[[#This Row],[id_origen]]</f>
        <v>678 - 473</v>
      </c>
    </row>
    <row r="4374" spans="1:22" hidden="1">
      <c r="A4374">
        <v>3319</v>
      </c>
      <c r="B4374">
        <v>3903</v>
      </c>
      <c r="C4374">
        <v>3653</v>
      </c>
      <c r="D4374">
        <v>6355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  <c r="K4374" t="s">
        <v>20</v>
      </c>
      <c r="L4374" s="1">
        <v>44828</v>
      </c>
      <c r="M4374">
        <v>684</v>
      </c>
      <c r="N4374">
        <v>473</v>
      </c>
      <c r="O4374">
        <v>251</v>
      </c>
      <c r="P4374">
        <v>254</v>
      </c>
      <c r="Q4374">
        <v>251</v>
      </c>
      <c r="S4374">
        <v>854</v>
      </c>
      <c r="T4374">
        <v>865</v>
      </c>
      <c r="U4374">
        <f>+SUM(Table1[[#This Row],[Latinos]:[Cemex]])</f>
        <v>1</v>
      </c>
      <c r="V4374" t="str">
        <f>+Table1[[#This Row],[id_destino]]&amp;" - "&amp;Table1[[#This Row],[id_origen]]</f>
        <v>684 - 473</v>
      </c>
    </row>
    <row r="4375" spans="1:22" hidden="1">
      <c r="A4375">
        <v>4638</v>
      </c>
      <c r="B4375">
        <v>4812</v>
      </c>
      <c r="C4375">
        <v>3653</v>
      </c>
      <c r="D4375">
        <v>8108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  <c r="K4375" t="s">
        <v>20</v>
      </c>
      <c r="L4375" s="1">
        <v>45693</v>
      </c>
      <c r="M4375">
        <v>723</v>
      </c>
      <c r="N4375">
        <v>473</v>
      </c>
      <c r="O4375">
        <v>41</v>
      </c>
      <c r="P4375">
        <v>41</v>
      </c>
      <c r="Q4375">
        <v>100</v>
      </c>
      <c r="S4375">
        <v>0</v>
      </c>
      <c r="T4375">
        <v>0</v>
      </c>
      <c r="U4375">
        <f>+SUM(Table1[[#This Row],[Latinos]:[Cemex]])</f>
        <v>1</v>
      </c>
      <c r="V4375" t="str">
        <f>+Table1[[#This Row],[id_destino]]&amp;" - "&amp;Table1[[#This Row],[id_origen]]</f>
        <v>723 - 473</v>
      </c>
    </row>
    <row r="4376" spans="1:22" hidden="1">
      <c r="A4376">
        <v>2690</v>
      </c>
      <c r="B4376">
        <v>3504</v>
      </c>
      <c r="C4376">
        <v>6407</v>
      </c>
      <c r="D4376">
        <v>6505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 t="s">
        <v>20</v>
      </c>
      <c r="L4376" s="1">
        <v>44347</v>
      </c>
      <c r="M4376">
        <v>747</v>
      </c>
      <c r="N4376">
        <v>473</v>
      </c>
      <c r="O4376">
        <v>1299</v>
      </c>
      <c r="P4376">
        <v>1271</v>
      </c>
      <c r="Q4376">
        <v>1299</v>
      </c>
      <c r="S4376">
        <v>0</v>
      </c>
      <c r="T4376">
        <v>0</v>
      </c>
      <c r="U4376">
        <f>+SUM(Table1[[#This Row],[Latinos]:[Cemex]])</f>
        <v>1</v>
      </c>
      <c r="V4376" t="str">
        <f>+Table1[[#This Row],[id_destino]]&amp;" - "&amp;Table1[[#This Row],[id_origen]]</f>
        <v>747 - 473</v>
      </c>
    </row>
    <row r="4377" spans="1:22" hidden="1">
      <c r="A4377">
        <v>3294</v>
      </c>
      <c r="B4377">
        <v>3891</v>
      </c>
      <c r="C4377">
        <v>3653</v>
      </c>
      <c r="D4377">
        <v>7035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  <c r="K4377" t="s">
        <v>20</v>
      </c>
      <c r="L4377" s="1">
        <v>44812</v>
      </c>
      <c r="M4377">
        <v>761</v>
      </c>
      <c r="N4377">
        <v>473</v>
      </c>
      <c r="O4377">
        <v>40</v>
      </c>
      <c r="P4377">
        <v>150</v>
      </c>
      <c r="Q4377">
        <v>40</v>
      </c>
      <c r="S4377">
        <v>0</v>
      </c>
      <c r="T4377">
        <v>0</v>
      </c>
      <c r="U4377">
        <f>+SUM(Table1[[#This Row],[Latinos]:[Cemex]])</f>
        <v>1</v>
      </c>
      <c r="V4377" t="str">
        <f>+Table1[[#This Row],[id_destino]]&amp;" - "&amp;Table1[[#This Row],[id_origen]]</f>
        <v>761 - 473</v>
      </c>
    </row>
    <row r="4378" spans="1:22" hidden="1">
      <c r="A4378">
        <v>3834</v>
      </c>
      <c r="B4378">
        <v>4249</v>
      </c>
      <c r="C4378">
        <v>7422</v>
      </c>
      <c r="D4378">
        <v>7423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  <c r="K4378" t="s">
        <v>20</v>
      </c>
      <c r="L4378" s="1">
        <v>45132</v>
      </c>
      <c r="M4378">
        <v>833</v>
      </c>
      <c r="N4378">
        <v>473</v>
      </c>
      <c r="O4378">
        <v>783</v>
      </c>
      <c r="P4378">
        <v>750</v>
      </c>
      <c r="Q4378">
        <v>783</v>
      </c>
      <c r="S4378">
        <v>1903</v>
      </c>
      <c r="T4378">
        <v>1903</v>
      </c>
      <c r="U4378">
        <f>+SUM(Table1[[#This Row],[Latinos]:[Cemex]])</f>
        <v>1</v>
      </c>
      <c r="V4378" t="str">
        <f>+Table1[[#This Row],[id_destino]]&amp;" - "&amp;Table1[[#This Row],[id_origen]]</f>
        <v>833 - 473</v>
      </c>
    </row>
    <row r="4379" spans="1:22" hidden="1">
      <c r="A4379">
        <v>710</v>
      </c>
      <c r="B4379">
        <v>2418</v>
      </c>
      <c r="C4379">
        <v>5463</v>
      </c>
      <c r="D4379">
        <v>146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  <c r="K4379" t="s">
        <v>20</v>
      </c>
      <c r="L4379" s="1">
        <v>43139</v>
      </c>
      <c r="M4379">
        <v>80</v>
      </c>
      <c r="N4379">
        <v>485</v>
      </c>
      <c r="O4379">
        <v>70</v>
      </c>
      <c r="P4379">
        <v>150</v>
      </c>
      <c r="Q4379">
        <v>70</v>
      </c>
      <c r="S4379">
        <v>58</v>
      </c>
      <c r="T4379">
        <v>58</v>
      </c>
      <c r="U4379">
        <f>+SUM(Table1[[#This Row],[Latinos]:[Cemex]])</f>
        <v>1</v>
      </c>
      <c r="V4379" t="str">
        <f>+Table1[[#This Row],[id_destino]]&amp;" - "&amp;Table1[[#This Row],[id_origen]]</f>
        <v>80 - 485</v>
      </c>
    </row>
    <row r="4380" spans="1:22" hidden="1">
      <c r="A4380">
        <v>4591</v>
      </c>
      <c r="B4380">
        <v>4780</v>
      </c>
      <c r="C4380">
        <v>6867</v>
      </c>
      <c r="D4380">
        <v>8065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0</v>
      </c>
      <c r="K4380" t="s">
        <v>20</v>
      </c>
      <c r="L4380" s="1">
        <v>45638</v>
      </c>
      <c r="M4380">
        <v>7</v>
      </c>
      <c r="N4380">
        <v>490</v>
      </c>
      <c r="O4380">
        <v>2148</v>
      </c>
      <c r="P4380">
        <v>2127</v>
      </c>
      <c r="Q4380">
        <v>2148</v>
      </c>
      <c r="S4380">
        <v>6236</v>
      </c>
      <c r="T4380">
        <v>6771</v>
      </c>
      <c r="U4380">
        <f>+SUM(Table1[[#This Row],[Latinos]:[Cemex]])</f>
        <v>1</v>
      </c>
      <c r="V4380" t="str">
        <f>+Table1[[#This Row],[id_destino]]&amp;" - "&amp;Table1[[#This Row],[id_origen]]</f>
        <v>7 - 490</v>
      </c>
    </row>
    <row r="4381" spans="1:22" hidden="1">
      <c r="A4381">
        <v>3780</v>
      </c>
      <c r="B4381">
        <v>4216</v>
      </c>
      <c r="C4381">
        <v>7375</v>
      </c>
      <c r="D4381">
        <v>353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  <c r="K4381" t="s">
        <v>20</v>
      </c>
      <c r="L4381" s="1">
        <v>45085</v>
      </c>
      <c r="M4381">
        <v>7</v>
      </c>
      <c r="N4381">
        <v>491</v>
      </c>
      <c r="O4381">
        <v>1748</v>
      </c>
      <c r="P4381">
        <v>1744</v>
      </c>
      <c r="Q4381">
        <v>1748</v>
      </c>
      <c r="S4381">
        <v>2633</v>
      </c>
      <c r="T4381">
        <v>2723</v>
      </c>
      <c r="U4381">
        <f>+SUM(Table1[[#This Row],[Latinos]:[Cemex]])</f>
        <v>1</v>
      </c>
      <c r="V4381" t="str">
        <f>+Table1[[#This Row],[id_destino]]&amp;" - "&amp;Table1[[#This Row],[id_origen]]</f>
        <v>7 - 491</v>
      </c>
    </row>
    <row r="4382" spans="1:22" hidden="1">
      <c r="A4382">
        <v>1198</v>
      </c>
      <c r="B4382">
        <v>2627</v>
      </c>
      <c r="C4382">
        <v>4134</v>
      </c>
      <c r="D4382">
        <v>5530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 t="s">
        <v>20</v>
      </c>
      <c r="L4382" s="1">
        <v>43340</v>
      </c>
      <c r="M4382">
        <v>23</v>
      </c>
      <c r="N4382">
        <v>491</v>
      </c>
      <c r="O4382">
        <v>468</v>
      </c>
      <c r="P4382">
        <v>468</v>
      </c>
      <c r="Q4382">
        <v>468</v>
      </c>
      <c r="S4382">
        <v>1382</v>
      </c>
      <c r="T4382">
        <v>1382</v>
      </c>
      <c r="U4382">
        <f>+SUM(Table1[[#This Row],[Latinos]:[Cemex]])</f>
        <v>1</v>
      </c>
      <c r="V4382" t="str">
        <f>+Table1[[#This Row],[id_destino]]&amp;" - "&amp;Table1[[#This Row],[id_origen]]</f>
        <v>23 - 491</v>
      </c>
    </row>
    <row r="4383" spans="1:22" hidden="1">
      <c r="A4383">
        <v>1197</v>
      </c>
      <c r="B4383">
        <v>2626</v>
      </c>
      <c r="C4383">
        <v>4134</v>
      </c>
      <c r="D4383">
        <v>2232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 t="s">
        <v>20</v>
      </c>
      <c r="L4383" s="1">
        <v>43340</v>
      </c>
      <c r="M4383">
        <v>71</v>
      </c>
      <c r="N4383">
        <v>491</v>
      </c>
      <c r="O4383">
        <v>468</v>
      </c>
      <c r="P4383">
        <v>468</v>
      </c>
      <c r="Q4383">
        <v>468</v>
      </c>
      <c r="S4383">
        <v>1382</v>
      </c>
      <c r="T4383">
        <v>1382</v>
      </c>
      <c r="U4383">
        <f>+SUM(Table1[[#This Row],[Latinos]:[Cemex]])</f>
        <v>1</v>
      </c>
      <c r="V4383" t="str">
        <f>+Table1[[#This Row],[id_destino]]&amp;" - "&amp;Table1[[#This Row],[id_origen]]</f>
        <v>71 - 491</v>
      </c>
    </row>
    <row r="4384" spans="1:22" hidden="1">
      <c r="A4384">
        <v>2490</v>
      </c>
      <c r="B4384">
        <v>1090</v>
      </c>
      <c r="C4384">
        <v>6438</v>
      </c>
      <c r="D4384">
        <v>468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  <c r="K4384" t="s">
        <v>20</v>
      </c>
      <c r="L4384" s="1">
        <v>44124</v>
      </c>
      <c r="M4384">
        <v>73</v>
      </c>
      <c r="N4384">
        <v>492</v>
      </c>
      <c r="O4384">
        <v>931</v>
      </c>
      <c r="P4384">
        <v>1032</v>
      </c>
      <c r="Q4384">
        <v>931</v>
      </c>
      <c r="S4384">
        <v>362</v>
      </c>
      <c r="T4384">
        <v>362</v>
      </c>
      <c r="U4384">
        <f>+SUM(Table1[[#This Row],[Latinos]:[Cemex]])</f>
        <v>1</v>
      </c>
      <c r="V4384" t="str">
        <f>+Table1[[#This Row],[id_destino]]&amp;" - "&amp;Table1[[#This Row],[id_origen]]</f>
        <v>73 - 492</v>
      </c>
    </row>
    <row r="4385" spans="1:22" hidden="1">
      <c r="A4385">
        <v>4602</v>
      </c>
      <c r="B4385">
        <v>4787</v>
      </c>
      <c r="C4385">
        <v>7894</v>
      </c>
      <c r="D4385">
        <v>47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</v>
      </c>
      <c r="K4385" t="s">
        <v>20</v>
      </c>
      <c r="L4385" s="1">
        <v>45664</v>
      </c>
      <c r="M4385">
        <v>129</v>
      </c>
      <c r="N4385">
        <v>492</v>
      </c>
      <c r="O4385">
        <v>431</v>
      </c>
      <c r="P4385">
        <v>438</v>
      </c>
      <c r="Q4385">
        <v>431</v>
      </c>
      <c r="S4385">
        <v>686</v>
      </c>
      <c r="T4385">
        <v>688</v>
      </c>
      <c r="U4385">
        <f>+SUM(Table1[[#This Row],[Latinos]:[Cemex]])</f>
        <v>1</v>
      </c>
      <c r="V4385" t="str">
        <f>+Table1[[#This Row],[id_destino]]&amp;" - "&amp;Table1[[#This Row],[id_origen]]</f>
        <v>129 - 492</v>
      </c>
    </row>
    <row r="4386" spans="1:22" hidden="1">
      <c r="A4386">
        <v>4495</v>
      </c>
      <c r="B4386">
        <v>4703</v>
      </c>
      <c r="C4386">
        <v>7894</v>
      </c>
      <c r="D4386">
        <v>4195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0</v>
      </c>
      <c r="K4386" t="s">
        <v>20</v>
      </c>
      <c r="L4386" s="1">
        <v>45586</v>
      </c>
      <c r="M4386">
        <v>276</v>
      </c>
      <c r="N4386">
        <v>492</v>
      </c>
      <c r="O4386">
        <v>312</v>
      </c>
      <c r="P4386">
        <v>256</v>
      </c>
      <c r="Q4386">
        <v>312</v>
      </c>
      <c r="S4386">
        <v>644</v>
      </c>
      <c r="T4386">
        <v>650</v>
      </c>
      <c r="U4386">
        <f>+SUM(Table1[[#This Row],[Latinos]:[Cemex]])</f>
        <v>1</v>
      </c>
      <c r="V4386" t="str">
        <f>+Table1[[#This Row],[id_destino]]&amp;" - "&amp;Table1[[#This Row],[id_origen]]</f>
        <v>276 - 492</v>
      </c>
    </row>
    <row r="4387" spans="1:22" hidden="1">
      <c r="A4387">
        <v>348</v>
      </c>
      <c r="B4387">
        <v>1292</v>
      </c>
      <c r="C4387">
        <v>5334</v>
      </c>
      <c r="D4387">
        <v>1645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0</v>
      </c>
      <c r="K4387" t="s">
        <v>20</v>
      </c>
      <c r="L4387" s="1">
        <v>43042</v>
      </c>
      <c r="M4387">
        <v>148</v>
      </c>
      <c r="N4387">
        <v>502</v>
      </c>
      <c r="O4387">
        <v>316</v>
      </c>
      <c r="P4387">
        <v>316</v>
      </c>
      <c r="Q4387">
        <v>316</v>
      </c>
      <c r="S4387">
        <v>351</v>
      </c>
      <c r="T4387">
        <v>351</v>
      </c>
      <c r="U4387">
        <f>+SUM(Table1[[#This Row],[Latinos]:[Cemex]])</f>
        <v>1</v>
      </c>
      <c r="V4387" t="str">
        <f>+Table1[[#This Row],[id_destino]]&amp;" - "&amp;Table1[[#This Row],[id_origen]]</f>
        <v>148 - 502</v>
      </c>
    </row>
    <row r="4388" spans="1:22" hidden="1">
      <c r="A4388">
        <v>3156</v>
      </c>
      <c r="B4388">
        <v>3806</v>
      </c>
      <c r="C4388">
        <v>6245</v>
      </c>
      <c r="D4388">
        <v>6964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 t="s">
        <v>20</v>
      </c>
      <c r="L4388" s="1">
        <v>44746</v>
      </c>
      <c r="M4388">
        <v>151</v>
      </c>
      <c r="N4388">
        <v>502</v>
      </c>
      <c r="O4388">
        <v>354</v>
      </c>
      <c r="P4388">
        <v>375</v>
      </c>
      <c r="Q4388">
        <v>354</v>
      </c>
      <c r="S4388">
        <v>483</v>
      </c>
      <c r="T4388">
        <v>483</v>
      </c>
      <c r="U4388">
        <f>+SUM(Table1[[#This Row],[Latinos]:[Cemex]])</f>
        <v>1</v>
      </c>
      <c r="V4388" t="str">
        <f>+Table1[[#This Row],[id_destino]]&amp;" - "&amp;Table1[[#This Row],[id_origen]]</f>
        <v>151 - 502</v>
      </c>
    </row>
    <row r="4389" spans="1:22" hidden="1">
      <c r="A4389">
        <v>3817</v>
      </c>
      <c r="B4389">
        <v>4237</v>
      </c>
      <c r="C4389">
        <v>6783</v>
      </c>
      <c r="D4389">
        <v>7403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0</v>
      </c>
      <c r="K4389" t="s">
        <v>104</v>
      </c>
      <c r="L4389" s="1">
        <v>45120</v>
      </c>
      <c r="M4389">
        <v>466</v>
      </c>
      <c r="N4389">
        <v>502</v>
      </c>
      <c r="O4389">
        <v>549</v>
      </c>
      <c r="P4389">
        <v>564</v>
      </c>
      <c r="Q4389">
        <v>549</v>
      </c>
      <c r="S4389">
        <v>1753</v>
      </c>
      <c r="T4389">
        <v>1910</v>
      </c>
      <c r="U4389">
        <f>+SUM(Table1[[#This Row],[Latinos]:[Cemex]])</f>
        <v>1</v>
      </c>
      <c r="V4389" t="str">
        <f>+Table1[[#This Row],[id_destino]]&amp;" - "&amp;Table1[[#This Row],[id_origen]]</f>
        <v>466 - 502</v>
      </c>
    </row>
    <row r="4390" spans="1:22" hidden="1">
      <c r="A4390">
        <v>4022</v>
      </c>
      <c r="B4390">
        <v>4364</v>
      </c>
      <c r="C4390">
        <v>3233</v>
      </c>
      <c r="D4390">
        <v>7548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 t="s">
        <v>20</v>
      </c>
      <c r="L4390" s="1">
        <v>45238</v>
      </c>
      <c r="M4390">
        <v>26</v>
      </c>
      <c r="N4390">
        <v>505</v>
      </c>
      <c r="O4390">
        <v>222</v>
      </c>
      <c r="P4390">
        <v>222</v>
      </c>
      <c r="Q4390">
        <v>222</v>
      </c>
      <c r="S4390">
        <v>803</v>
      </c>
      <c r="T4390">
        <v>803</v>
      </c>
      <c r="U4390">
        <f>+SUM(Table1[[#This Row],[Latinos]:[Cemex]])</f>
        <v>1</v>
      </c>
      <c r="V4390" t="str">
        <f>+Table1[[#This Row],[id_destino]]&amp;" - "&amp;Table1[[#This Row],[id_origen]]</f>
        <v>26 - 505</v>
      </c>
    </row>
    <row r="4391" spans="1:22" hidden="1">
      <c r="A4391">
        <v>392</v>
      </c>
      <c r="B4391">
        <v>2277</v>
      </c>
      <c r="C4391">
        <v>3233</v>
      </c>
      <c r="D4391">
        <v>43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 t="s">
        <v>20</v>
      </c>
      <c r="L4391" s="1">
        <v>45136</v>
      </c>
      <c r="M4391">
        <v>37</v>
      </c>
      <c r="N4391">
        <v>505</v>
      </c>
      <c r="O4391">
        <v>301</v>
      </c>
      <c r="P4391">
        <v>299</v>
      </c>
      <c r="Q4391">
        <v>301</v>
      </c>
      <c r="S4391">
        <v>1116</v>
      </c>
      <c r="T4391">
        <v>1116</v>
      </c>
      <c r="U4391">
        <f>+SUM(Table1[[#This Row],[Latinos]:[Cemex]])</f>
        <v>1</v>
      </c>
      <c r="V4391" t="str">
        <f>+Table1[[#This Row],[id_destino]]&amp;" - "&amp;Table1[[#This Row],[id_origen]]</f>
        <v>37 - 505</v>
      </c>
    </row>
    <row r="4392" spans="1:22" hidden="1">
      <c r="A4392">
        <v>1057</v>
      </c>
      <c r="B4392">
        <v>991</v>
      </c>
      <c r="C4392">
        <v>3279</v>
      </c>
      <c r="D4392">
        <v>44</v>
      </c>
      <c r="E4392">
        <v>0</v>
      </c>
      <c r="F4392">
        <v>1</v>
      </c>
      <c r="G4392">
        <v>0</v>
      </c>
      <c r="H4392">
        <v>0</v>
      </c>
      <c r="I4392">
        <v>0</v>
      </c>
      <c r="J4392">
        <v>0</v>
      </c>
      <c r="K4392" t="s">
        <v>20</v>
      </c>
      <c r="L4392" s="1">
        <v>45288</v>
      </c>
      <c r="M4392">
        <v>38</v>
      </c>
      <c r="N4392">
        <v>505</v>
      </c>
      <c r="O4392">
        <v>80</v>
      </c>
      <c r="P4392">
        <v>150</v>
      </c>
      <c r="Q4392">
        <v>80</v>
      </c>
      <c r="S4392">
        <v>0</v>
      </c>
      <c r="T4392">
        <v>0</v>
      </c>
      <c r="U4392">
        <f>+SUM(Table1[[#This Row],[Latinos]:[Cemex]])</f>
        <v>1</v>
      </c>
      <c r="V4392" t="str">
        <f>+Table1[[#This Row],[id_destino]]&amp;" - "&amp;Table1[[#This Row],[id_origen]]</f>
        <v>38 - 505</v>
      </c>
    </row>
    <row r="4393" spans="1:22" hidden="1">
      <c r="A4393">
        <v>97</v>
      </c>
      <c r="B4393">
        <v>664</v>
      </c>
      <c r="C4393">
        <v>3233</v>
      </c>
      <c r="D4393">
        <v>45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0</v>
      </c>
      <c r="K4393" t="s">
        <v>20</v>
      </c>
      <c r="L4393" s="1">
        <v>42997</v>
      </c>
      <c r="M4393">
        <v>39</v>
      </c>
      <c r="N4393">
        <v>505</v>
      </c>
      <c r="O4393">
        <v>107</v>
      </c>
      <c r="P4393">
        <v>150</v>
      </c>
      <c r="Q4393">
        <v>107</v>
      </c>
      <c r="S4393">
        <v>0</v>
      </c>
      <c r="T4393">
        <v>0</v>
      </c>
      <c r="U4393">
        <f>+SUM(Table1[[#This Row],[Latinos]:[Cemex]])</f>
        <v>1</v>
      </c>
      <c r="V4393" t="str">
        <f>+Table1[[#This Row],[id_destino]]&amp;" - "&amp;Table1[[#This Row],[id_origen]]</f>
        <v>39 - 505</v>
      </c>
    </row>
    <row r="4394" spans="1:22" hidden="1">
      <c r="A4394">
        <v>199</v>
      </c>
      <c r="B4394">
        <v>948</v>
      </c>
      <c r="C4394">
        <v>3233</v>
      </c>
      <c r="D4394">
        <v>46</v>
      </c>
      <c r="E4394">
        <v>0</v>
      </c>
      <c r="F4394">
        <v>1</v>
      </c>
      <c r="G4394">
        <v>0</v>
      </c>
      <c r="H4394">
        <v>0</v>
      </c>
      <c r="I4394">
        <v>0</v>
      </c>
      <c r="J4394">
        <v>0</v>
      </c>
      <c r="K4394" t="s">
        <v>20</v>
      </c>
      <c r="L4394" s="1">
        <v>43011</v>
      </c>
      <c r="M4394">
        <v>40</v>
      </c>
      <c r="N4394">
        <v>505</v>
      </c>
      <c r="O4394">
        <v>70</v>
      </c>
      <c r="P4394">
        <v>150</v>
      </c>
      <c r="Q4394">
        <v>70</v>
      </c>
      <c r="S4394">
        <v>0</v>
      </c>
      <c r="T4394">
        <v>0</v>
      </c>
      <c r="U4394">
        <f>+SUM(Table1[[#This Row],[Latinos]:[Cemex]])</f>
        <v>1</v>
      </c>
      <c r="V4394" t="str">
        <f>+Table1[[#This Row],[id_destino]]&amp;" - "&amp;Table1[[#This Row],[id_origen]]</f>
        <v>40 - 505</v>
      </c>
    </row>
    <row r="4395" spans="1:22" hidden="1">
      <c r="A4395">
        <v>4250</v>
      </c>
      <c r="B4395">
        <v>4522</v>
      </c>
      <c r="C4395">
        <v>3233</v>
      </c>
      <c r="D4395">
        <v>4838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0</v>
      </c>
      <c r="K4395" t="s">
        <v>20</v>
      </c>
      <c r="L4395" s="1">
        <v>45400</v>
      </c>
      <c r="M4395">
        <v>124</v>
      </c>
      <c r="N4395">
        <v>505</v>
      </c>
      <c r="O4395">
        <v>103</v>
      </c>
      <c r="P4395">
        <v>150</v>
      </c>
      <c r="Q4395">
        <v>150</v>
      </c>
      <c r="S4395">
        <v>157</v>
      </c>
      <c r="T4395">
        <v>157</v>
      </c>
      <c r="U4395">
        <f>+SUM(Table1[[#This Row],[Latinos]:[Cemex]])</f>
        <v>1</v>
      </c>
      <c r="V4395" t="str">
        <f>+Table1[[#This Row],[id_destino]]&amp;" - "&amp;Table1[[#This Row],[id_origen]]</f>
        <v>124 - 505</v>
      </c>
    </row>
    <row r="4396" spans="1:22" hidden="1">
      <c r="A4396">
        <v>3246</v>
      </c>
      <c r="B4396">
        <v>3863</v>
      </c>
      <c r="C4396">
        <v>3233</v>
      </c>
      <c r="D4396">
        <v>7016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  <c r="K4396" t="s">
        <v>20</v>
      </c>
      <c r="L4396" s="1">
        <v>44796</v>
      </c>
      <c r="M4396">
        <v>858</v>
      </c>
      <c r="N4396">
        <v>505</v>
      </c>
      <c r="O4396">
        <v>96</v>
      </c>
      <c r="P4396">
        <v>150</v>
      </c>
      <c r="Q4396">
        <v>96</v>
      </c>
      <c r="S4396">
        <v>0</v>
      </c>
      <c r="T4396">
        <v>0</v>
      </c>
      <c r="U4396">
        <f>+SUM(Table1[[#This Row],[Latinos]:[Cemex]])</f>
        <v>1</v>
      </c>
      <c r="V4396" t="str">
        <f>+Table1[[#This Row],[id_destino]]&amp;" - "&amp;Table1[[#This Row],[id_origen]]</f>
        <v>858 - 505</v>
      </c>
    </row>
    <row r="4397" spans="1:22" hidden="1">
      <c r="A4397">
        <v>157</v>
      </c>
      <c r="B4397">
        <v>1995</v>
      </c>
      <c r="C4397">
        <v>3253</v>
      </c>
      <c r="D4397">
        <v>5056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 t="s">
        <v>20</v>
      </c>
      <c r="L4397" s="1">
        <v>43003</v>
      </c>
      <c r="M4397">
        <v>16</v>
      </c>
      <c r="N4397">
        <v>506</v>
      </c>
      <c r="O4397">
        <v>1433</v>
      </c>
      <c r="P4397">
        <v>1433</v>
      </c>
      <c r="Q4397">
        <v>1433</v>
      </c>
      <c r="S4397">
        <v>1876</v>
      </c>
      <c r="T4397">
        <v>2148</v>
      </c>
      <c r="U4397">
        <f>+SUM(Table1[[#This Row],[Latinos]:[Cemex]])</f>
        <v>1</v>
      </c>
      <c r="V4397" t="str">
        <f>+Table1[[#This Row],[id_destino]]&amp;" - "&amp;Table1[[#This Row],[id_origen]]</f>
        <v>16 - 506</v>
      </c>
    </row>
    <row r="4398" spans="1:22" hidden="1">
      <c r="A4398">
        <v>3778</v>
      </c>
      <c r="B4398">
        <v>4215</v>
      </c>
      <c r="C4398">
        <v>7368</v>
      </c>
      <c r="D4398">
        <v>18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 t="s">
        <v>20</v>
      </c>
      <c r="L4398" s="1">
        <v>45084</v>
      </c>
      <c r="M4398">
        <v>17</v>
      </c>
      <c r="N4398">
        <v>506</v>
      </c>
      <c r="O4398">
        <v>902</v>
      </c>
      <c r="P4398">
        <v>899</v>
      </c>
      <c r="Q4398">
        <v>902</v>
      </c>
      <c r="S4398">
        <v>468</v>
      </c>
      <c r="T4398">
        <v>468</v>
      </c>
      <c r="U4398">
        <f>+SUM(Table1[[#This Row],[Latinos]:[Cemex]])</f>
        <v>1</v>
      </c>
      <c r="V4398" t="str">
        <f>+Table1[[#This Row],[id_destino]]&amp;" - "&amp;Table1[[#This Row],[id_origen]]</f>
        <v>17 - 506</v>
      </c>
    </row>
    <row r="4399" spans="1:22" hidden="1">
      <c r="A4399">
        <v>4601</v>
      </c>
      <c r="B4399">
        <v>4786</v>
      </c>
      <c r="C4399">
        <v>8075</v>
      </c>
      <c r="D4399">
        <v>3984</v>
      </c>
      <c r="E4399">
        <v>0</v>
      </c>
      <c r="F4399">
        <v>1</v>
      </c>
      <c r="G4399">
        <v>0</v>
      </c>
      <c r="H4399">
        <v>0</v>
      </c>
      <c r="I4399">
        <v>0</v>
      </c>
      <c r="J4399">
        <v>0</v>
      </c>
      <c r="K4399" t="s">
        <v>20</v>
      </c>
      <c r="L4399" s="1">
        <v>45665</v>
      </c>
      <c r="M4399">
        <v>59</v>
      </c>
      <c r="N4399">
        <v>506</v>
      </c>
      <c r="O4399">
        <v>413</v>
      </c>
      <c r="P4399">
        <v>368</v>
      </c>
      <c r="Q4399">
        <v>413</v>
      </c>
      <c r="S4399">
        <v>1085</v>
      </c>
      <c r="T4399">
        <v>1139</v>
      </c>
      <c r="U4399">
        <f>+SUM(Table1[[#This Row],[Latinos]:[Cemex]])</f>
        <v>1</v>
      </c>
      <c r="V4399" t="str">
        <f>+Table1[[#This Row],[id_destino]]&amp;" - "&amp;Table1[[#This Row],[id_origen]]</f>
        <v>59 - 506</v>
      </c>
    </row>
    <row r="4400" spans="1:22" hidden="1">
      <c r="A4400">
        <v>1012</v>
      </c>
      <c r="B4400">
        <v>2545</v>
      </c>
      <c r="C4400">
        <v>3253</v>
      </c>
      <c r="D4400">
        <v>5582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0</v>
      </c>
      <c r="K4400" t="s">
        <v>20</v>
      </c>
      <c r="L4400" s="1">
        <v>43249</v>
      </c>
      <c r="M4400">
        <v>105</v>
      </c>
      <c r="N4400">
        <v>506</v>
      </c>
      <c r="O4400">
        <v>50</v>
      </c>
      <c r="P4400">
        <v>150</v>
      </c>
      <c r="Q4400">
        <v>50</v>
      </c>
      <c r="S4400">
        <v>163</v>
      </c>
      <c r="T4400">
        <v>163</v>
      </c>
      <c r="U4400">
        <f>+SUM(Table1[[#This Row],[Latinos]:[Cemex]])</f>
        <v>1</v>
      </c>
      <c r="V4400" t="str">
        <f>+Table1[[#This Row],[id_destino]]&amp;" - "&amp;Table1[[#This Row],[id_origen]]</f>
        <v>105 - 506</v>
      </c>
    </row>
    <row r="4401" spans="1:22" hidden="1">
      <c r="A4401">
        <v>1020</v>
      </c>
      <c r="B4401">
        <v>2550</v>
      </c>
      <c r="C4401">
        <v>5587</v>
      </c>
      <c r="D4401">
        <v>5585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  <c r="K4401" t="s">
        <v>20</v>
      </c>
      <c r="L4401" s="1">
        <v>43251</v>
      </c>
      <c r="M4401">
        <v>142</v>
      </c>
      <c r="N4401">
        <v>506</v>
      </c>
      <c r="O4401">
        <v>286</v>
      </c>
      <c r="P4401">
        <v>286</v>
      </c>
      <c r="Q4401">
        <v>286</v>
      </c>
      <c r="S4401">
        <v>374</v>
      </c>
      <c r="T4401">
        <v>439</v>
      </c>
      <c r="U4401">
        <f>+SUM(Table1[[#This Row],[Latinos]:[Cemex]])</f>
        <v>1</v>
      </c>
      <c r="V4401" t="str">
        <f>+Table1[[#This Row],[id_destino]]&amp;" - "&amp;Table1[[#This Row],[id_origen]]</f>
        <v>142 - 506</v>
      </c>
    </row>
    <row r="4402" spans="1:22" hidden="1">
      <c r="A4402">
        <v>101</v>
      </c>
      <c r="B4402">
        <v>1940</v>
      </c>
      <c r="C4402">
        <v>3253</v>
      </c>
      <c r="D4402">
        <v>4995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 t="s">
        <v>20</v>
      </c>
      <c r="L4402" s="1">
        <v>42991</v>
      </c>
      <c r="M4402">
        <v>169</v>
      </c>
      <c r="N4402">
        <v>506</v>
      </c>
      <c r="O4402">
        <v>380</v>
      </c>
      <c r="P4402">
        <v>367</v>
      </c>
      <c r="Q4402">
        <v>380</v>
      </c>
      <c r="S4402">
        <v>918</v>
      </c>
      <c r="T4402">
        <v>985</v>
      </c>
      <c r="U4402">
        <f>+SUM(Table1[[#This Row],[Latinos]:[Cemex]])</f>
        <v>1</v>
      </c>
      <c r="V4402" t="str">
        <f>+Table1[[#This Row],[id_destino]]&amp;" - "&amp;Table1[[#This Row],[id_origen]]</f>
        <v>169 - 506</v>
      </c>
    </row>
    <row r="4403" spans="1:22" hidden="1">
      <c r="A4403">
        <v>2741</v>
      </c>
      <c r="B4403">
        <v>3535</v>
      </c>
      <c r="C4403">
        <v>3495</v>
      </c>
      <c r="D4403">
        <v>4</v>
      </c>
      <c r="E4403">
        <v>0</v>
      </c>
      <c r="F4403">
        <v>1</v>
      </c>
      <c r="G4403">
        <v>0</v>
      </c>
      <c r="H4403">
        <v>0</v>
      </c>
      <c r="I4403">
        <v>0</v>
      </c>
      <c r="J4403">
        <v>0</v>
      </c>
      <c r="K4403" t="s">
        <v>20</v>
      </c>
      <c r="L4403" s="1">
        <v>44403</v>
      </c>
      <c r="M4403">
        <v>6</v>
      </c>
      <c r="N4403">
        <v>517</v>
      </c>
      <c r="O4403">
        <v>1192</v>
      </c>
      <c r="P4403">
        <v>1205</v>
      </c>
      <c r="Q4403">
        <v>1192</v>
      </c>
      <c r="S4403">
        <v>1980</v>
      </c>
      <c r="T4403">
        <v>1980</v>
      </c>
      <c r="U4403">
        <f>+SUM(Table1[[#This Row],[Latinos]:[Cemex]])</f>
        <v>1</v>
      </c>
      <c r="V4403" t="str">
        <f>+Table1[[#This Row],[id_destino]]&amp;" - "&amp;Table1[[#This Row],[id_origen]]</f>
        <v>6 - 517</v>
      </c>
    </row>
    <row r="4404" spans="1:22" hidden="1">
      <c r="A4404">
        <v>2938</v>
      </c>
      <c r="B4404">
        <v>3668</v>
      </c>
      <c r="C4404">
        <v>6744</v>
      </c>
      <c r="D4404">
        <v>4211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 t="s">
        <v>20</v>
      </c>
      <c r="L4404" s="1">
        <v>44628</v>
      </c>
      <c r="M4404">
        <v>18</v>
      </c>
      <c r="N4404">
        <v>517</v>
      </c>
      <c r="O4404">
        <v>61</v>
      </c>
      <c r="P4404">
        <v>150</v>
      </c>
      <c r="Q4404">
        <v>61</v>
      </c>
      <c r="S4404">
        <v>0</v>
      </c>
      <c r="T4404">
        <v>0</v>
      </c>
      <c r="U4404">
        <f>+SUM(Table1[[#This Row],[Latinos]:[Cemex]])</f>
        <v>1</v>
      </c>
      <c r="V4404" t="str">
        <f>+Table1[[#This Row],[id_destino]]&amp;" - "&amp;Table1[[#This Row],[id_origen]]</f>
        <v>18 - 517</v>
      </c>
    </row>
    <row r="4405" spans="1:22" hidden="1">
      <c r="A4405">
        <v>3302</v>
      </c>
      <c r="B4405">
        <v>3895</v>
      </c>
      <c r="C4405">
        <v>6744</v>
      </c>
      <c r="D4405">
        <v>6743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  <c r="K4405" t="s">
        <v>20</v>
      </c>
      <c r="L4405" s="1">
        <v>44823</v>
      </c>
      <c r="M4405">
        <v>425</v>
      </c>
      <c r="N4405">
        <v>517</v>
      </c>
      <c r="O4405">
        <v>50</v>
      </c>
      <c r="P4405">
        <v>150</v>
      </c>
      <c r="Q4405">
        <v>50</v>
      </c>
      <c r="S4405">
        <v>0</v>
      </c>
      <c r="T4405">
        <v>0</v>
      </c>
      <c r="U4405">
        <f>+SUM(Table1[[#This Row],[Latinos]:[Cemex]])</f>
        <v>1</v>
      </c>
      <c r="V4405" t="str">
        <f>+Table1[[#This Row],[id_destino]]&amp;" - "&amp;Table1[[#This Row],[id_origen]]</f>
        <v>425 - 517</v>
      </c>
    </row>
    <row r="4406" spans="1:22" hidden="1">
      <c r="A4406">
        <v>3874</v>
      </c>
      <c r="B4406">
        <v>4273</v>
      </c>
      <c r="C4406">
        <v>7415</v>
      </c>
      <c r="D4406">
        <v>5776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0</v>
      </c>
      <c r="K4406" t="s">
        <v>20</v>
      </c>
      <c r="L4406" s="1">
        <v>45155</v>
      </c>
      <c r="M4406">
        <v>18</v>
      </c>
      <c r="N4406">
        <v>524</v>
      </c>
      <c r="O4406">
        <v>121</v>
      </c>
      <c r="P4406">
        <v>150</v>
      </c>
      <c r="Q4406">
        <v>121</v>
      </c>
      <c r="S4406">
        <v>245</v>
      </c>
      <c r="T4406">
        <v>245</v>
      </c>
      <c r="U4406">
        <f>+SUM(Table1[[#This Row],[Latinos]:[Cemex]])</f>
        <v>1</v>
      </c>
      <c r="V4406" t="str">
        <f>+Table1[[#This Row],[id_destino]]&amp;" - "&amp;Table1[[#This Row],[id_origen]]</f>
        <v>18 - 524</v>
      </c>
    </row>
    <row r="4407" spans="1:22" hidden="1">
      <c r="A4407">
        <v>4694</v>
      </c>
      <c r="B4407">
        <v>4851</v>
      </c>
      <c r="C4407">
        <v>8166</v>
      </c>
      <c r="D4407">
        <v>8149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 t="s">
        <v>20</v>
      </c>
      <c r="L4407" s="1">
        <v>45735</v>
      </c>
      <c r="M4407">
        <v>179</v>
      </c>
      <c r="N4407">
        <v>524</v>
      </c>
      <c r="O4407">
        <v>1755</v>
      </c>
      <c r="P4407">
        <v>1755</v>
      </c>
      <c r="Q4407">
        <v>1755</v>
      </c>
      <c r="S4407">
        <v>5643</v>
      </c>
      <c r="T4407">
        <v>5643</v>
      </c>
      <c r="U4407">
        <f>+SUM(Table1[[#This Row],[Latinos]:[Cemex]])</f>
        <v>1</v>
      </c>
      <c r="V4407" t="str">
        <f>+Table1[[#This Row],[id_destino]]&amp;" - "&amp;Table1[[#This Row],[id_origen]]</f>
        <v>179 - 524</v>
      </c>
    </row>
    <row r="4408" spans="1:22" hidden="1">
      <c r="A4408">
        <v>3938</v>
      </c>
      <c r="B4408">
        <v>4315</v>
      </c>
      <c r="C4408">
        <v>7415</v>
      </c>
      <c r="D4408">
        <v>7011</v>
      </c>
      <c r="E4408">
        <v>0</v>
      </c>
      <c r="F4408">
        <v>1</v>
      </c>
      <c r="G4408">
        <v>0</v>
      </c>
      <c r="H4408">
        <v>0</v>
      </c>
      <c r="I4408">
        <v>0</v>
      </c>
      <c r="J4408">
        <v>0</v>
      </c>
      <c r="K4408" t="s">
        <v>20</v>
      </c>
      <c r="L4408" s="1">
        <v>45197</v>
      </c>
      <c r="M4408">
        <v>591</v>
      </c>
      <c r="N4408">
        <v>524</v>
      </c>
      <c r="O4408">
        <v>108</v>
      </c>
      <c r="P4408">
        <v>150</v>
      </c>
      <c r="Q4408">
        <v>108</v>
      </c>
      <c r="S4408">
        <v>252</v>
      </c>
      <c r="T4408">
        <v>252</v>
      </c>
      <c r="U4408">
        <f>+SUM(Table1[[#This Row],[Latinos]:[Cemex]])</f>
        <v>1</v>
      </c>
      <c r="V4408" t="str">
        <f>+Table1[[#This Row],[id_destino]]&amp;" - "&amp;Table1[[#This Row],[id_origen]]</f>
        <v>591 - 524</v>
      </c>
    </row>
    <row r="4409" spans="1:22" hidden="1">
      <c r="A4409">
        <v>3896</v>
      </c>
      <c r="B4409">
        <v>4285</v>
      </c>
      <c r="C4409">
        <v>6566</v>
      </c>
      <c r="D4409">
        <v>394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 t="s">
        <v>20</v>
      </c>
      <c r="L4409" s="1">
        <v>45170</v>
      </c>
      <c r="M4409">
        <v>1</v>
      </c>
      <c r="N4409">
        <v>525</v>
      </c>
      <c r="O4409">
        <v>907</v>
      </c>
      <c r="P4409">
        <v>908</v>
      </c>
      <c r="Q4409">
        <v>907</v>
      </c>
      <c r="S4409">
        <v>1035</v>
      </c>
      <c r="T4409">
        <v>1035</v>
      </c>
      <c r="U4409">
        <f>+SUM(Table1[[#This Row],[Latinos]:[Cemex]])</f>
        <v>1</v>
      </c>
      <c r="V4409" t="str">
        <f>+Table1[[#This Row],[id_destino]]&amp;" - "&amp;Table1[[#This Row],[id_origen]]</f>
        <v>1 - 525</v>
      </c>
    </row>
    <row r="4410" spans="1:22" hidden="1">
      <c r="A4410">
        <v>3273</v>
      </c>
      <c r="B4410">
        <v>3881</v>
      </c>
      <c r="C4410">
        <v>6566</v>
      </c>
      <c r="D4410">
        <v>427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  <c r="K4410" t="s">
        <v>20</v>
      </c>
      <c r="L4410" s="1">
        <v>44799</v>
      </c>
      <c r="M4410">
        <v>3</v>
      </c>
      <c r="N4410">
        <v>525</v>
      </c>
      <c r="O4410">
        <v>778</v>
      </c>
      <c r="P4410">
        <v>751</v>
      </c>
      <c r="Q4410">
        <v>778</v>
      </c>
      <c r="S4410">
        <v>1768</v>
      </c>
      <c r="T4410">
        <v>1768</v>
      </c>
      <c r="U4410">
        <f>+SUM(Table1[[#This Row],[Latinos]:[Cemex]])</f>
        <v>1</v>
      </c>
      <c r="V4410" t="str">
        <f>+Table1[[#This Row],[id_destino]]&amp;" - "&amp;Table1[[#This Row],[id_origen]]</f>
        <v>3 - 525</v>
      </c>
    </row>
    <row r="4411" spans="1:22" hidden="1">
      <c r="A4411">
        <v>3406</v>
      </c>
      <c r="B4411">
        <v>3964</v>
      </c>
      <c r="C4411">
        <v>6566</v>
      </c>
      <c r="D4411">
        <v>7032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 t="s">
        <v>20</v>
      </c>
      <c r="L4411" s="1">
        <v>44873</v>
      </c>
      <c r="M4411">
        <v>6</v>
      </c>
      <c r="N4411">
        <v>525</v>
      </c>
      <c r="O4411">
        <v>1205</v>
      </c>
      <c r="P4411">
        <v>1223</v>
      </c>
      <c r="Q4411">
        <v>1205</v>
      </c>
      <c r="S4411">
        <v>1980</v>
      </c>
      <c r="T4411">
        <v>1980</v>
      </c>
      <c r="U4411">
        <f>+SUM(Table1[[#This Row],[Latinos]:[Cemex]])</f>
        <v>1</v>
      </c>
      <c r="V4411" t="str">
        <f>+Table1[[#This Row],[id_destino]]&amp;" - "&amp;Table1[[#This Row],[id_origen]]</f>
        <v>6 - 525</v>
      </c>
    </row>
    <row r="4412" spans="1:22" hidden="1">
      <c r="A4412">
        <v>1212</v>
      </c>
      <c r="B4412">
        <v>2639</v>
      </c>
      <c r="C4412">
        <v>6566</v>
      </c>
      <c r="D4412">
        <v>353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  <c r="K4412" t="s">
        <v>37</v>
      </c>
      <c r="L4412" s="1">
        <v>44994</v>
      </c>
      <c r="M4412">
        <v>7</v>
      </c>
      <c r="N4412">
        <v>525</v>
      </c>
      <c r="O4412">
        <v>1674</v>
      </c>
      <c r="P4412">
        <v>1665</v>
      </c>
      <c r="Q4412">
        <v>1674</v>
      </c>
      <c r="S4412">
        <v>1991</v>
      </c>
      <c r="T4412">
        <v>1991</v>
      </c>
      <c r="U4412">
        <f>+SUM(Table1[[#This Row],[Latinos]:[Cemex]])</f>
        <v>1</v>
      </c>
      <c r="V4412" t="str">
        <f>+Table1[[#This Row],[id_destino]]&amp;" - "&amp;Table1[[#This Row],[id_origen]]</f>
        <v>7 - 525</v>
      </c>
    </row>
    <row r="4413" spans="1:22" hidden="1">
      <c r="A4413">
        <v>2939</v>
      </c>
      <c r="B4413">
        <v>1563</v>
      </c>
      <c r="C4413">
        <v>6745</v>
      </c>
      <c r="D4413">
        <v>4211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  <c r="K4413" t="s">
        <v>20</v>
      </c>
      <c r="L4413" s="1">
        <v>44628</v>
      </c>
      <c r="M4413">
        <v>18</v>
      </c>
      <c r="N4413">
        <v>525</v>
      </c>
      <c r="O4413">
        <v>40</v>
      </c>
      <c r="P4413">
        <v>150</v>
      </c>
      <c r="Q4413">
        <v>40</v>
      </c>
      <c r="S4413">
        <v>0</v>
      </c>
      <c r="T4413">
        <v>0</v>
      </c>
      <c r="U4413">
        <f>+SUM(Table1[[#This Row],[Latinos]:[Cemex]])</f>
        <v>1</v>
      </c>
      <c r="V4413" t="str">
        <f>+Table1[[#This Row],[id_destino]]&amp;" - "&amp;Table1[[#This Row],[id_origen]]</f>
        <v>18 - 525</v>
      </c>
    </row>
    <row r="4414" spans="1:22" hidden="1">
      <c r="A4414">
        <v>2661</v>
      </c>
      <c r="B4414">
        <v>3484</v>
      </c>
      <c r="C4414">
        <v>6566</v>
      </c>
      <c r="D4414">
        <v>5530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 t="s">
        <v>20</v>
      </c>
      <c r="L4414" s="1">
        <v>44310</v>
      </c>
      <c r="M4414">
        <v>23</v>
      </c>
      <c r="N4414">
        <v>525</v>
      </c>
      <c r="O4414">
        <v>552</v>
      </c>
      <c r="P4414">
        <v>527</v>
      </c>
      <c r="Q4414">
        <v>552</v>
      </c>
      <c r="S4414">
        <v>1838</v>
      </c>
      <c r="T4414">
        <v>1838</v>
      </c>
      <c r="U4414">
        <f>+SUM(Table1[[#This Row],[Latinos]:[Cemex]])</f>
        <v>1</v>
      </c>
      <c r="V4414" t="str">
        <f>+Table1[[#This Row],[id_destino]]&amp;" - "&amp;Table1[[#This Row],[id_origen]]</f>
        <v>23 - 525</v>
      </c>
    </row>
    <row r="4415" spans="1:22" hidden="1">
      <c r="A4415">
        <v>3066</v>
      </c>
      <c r="B4415">
        <v>3753</v>
      </c>
      <c r="C4415">
        <v>6566</v>
      </c>
      <c r="D4415">
        <v>403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  <c r="K4415" t="s">
        <v>20</v>
      </c>
      <c r="L4415" s="1">
        <v>44713</v>
      </c>
      <c r="M4415">
        <v>27</v>
      </c>
      <c r="N4415">
        <v>525</v>
      </c>
      <c r="O4415">
        <v>893</v>
      </c>
      <c r="P4415">
        <v>871</v>
      </c>
      <c r="Q4415">
        <v>893</v>
      </c>
      <c r="S4415">
        <v>2229</v>
      </c>
      <c r="T4415">
        <v>2229</v>
      </c>
      <c r="U4415">
        <f>+SUM(Table1[[#This Row],[Latinos]:[Cemex]])</f>
        <v>1</v>
      </c>
      <c r="V4415" t="str">
        <f>+Table1[[#This Row],[id_destino]]&amp;" - "&amp;Table1[[#This Row],[id_origen]]</f>
        <v>27 - 525</v>
      </c>
    </row>
    <row r="4416" spans="1:22" hidden="1">
      <c r="A4416">
        <v>3295</v>
      </c>
      <c r="B4416">
        <v>3892</v>
      </c>
      <c r="C4416">
        <v>6566</v>
      </c>
      <c r="D4416">
        <v>7036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  <c r="K4416" t="s">
        <v>20</v>
      </c>
      <c r="L4416" s="1">
        <v>44813</v>
      </c>
      <c r="M4416">
        <v>35</v>
      </c>
      <c r="N4416">
        <v>525</v>
      </c>
      <c r="O4416">
        <v>498</v>
      </c>
      <c r="P4416">
        <v>442</v>
      </c>
      <c r="Q4416">
        <v>498</v>
      </c>
      <c r="S4416">
        <v>1307</v>
      </c>
      <c r="T4416">
        <v>1307</v>
      </c>
      <c r="U4416">
        <f>+SUM(Table1[[#This Row],[Latinos]:[Cemex]])</f>
        <v>1</v>
      </c>
      <c r="V4416" t="str">
        <f>+Table1[[#This Row],[id_destino]]&amp;" - "&amp;Table1[[#This Row],[id_origen]]</f>
        <v>35 - 525</v>
      </c>
    </row>
    <row r="4417" spans="1:22" hidden="1">
      <c r="A4417">
        <v>4239</v>
      </c>
      <c r="B4417">
        <v>4515</v>
      </c>
      <c r="C4417">
        <v>6566</v>
      </c>
      <c r="D4417">
        <v>429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  <c r="K4417" t="s">
        <v>20</v>
      </c>
      <c r="L4417" s="1">
        <v>45388</v>
      </c>
      <c r="M4417">
        <v>40</v>
      </c>
      <c r="N4417">
        <v>525</v>
      </c>
      <c r="O4417">
        <v>430</v>
      </c>
      <c r="P4417">
        <v>426</v>
      </c>
      <c r="Q4417">
        <v>430</v>
      </c>
      <c r="S4417">
        <v>1522</v>
      </c>
      <c r="T4417">
        <v>1522</v>
      </c>
      <c r="U4417">
        <f>+SUM(Table1[[#This Row],[Latinos]:[Cemex]])</f>
        <v>1</v>
      </c>
      <c r="V4417" t="str">
        <f>+Table1[[#This Row],[id_destino]]&amp;" - "&amp;Table1[[#This Row],[id_origen]]</f>
        <v>40 - 525</v>
      </c>
    </row>
    <row r="4418" spans="1:22" hidden="1">
      <c r="A4418">
        <v>3779</v>
      </c>
      <c r="B4418">
        <v>3956</v>
      </c>
      <c r="C4418">
        <v>6566</v>
      </c>
      <c r="D4418">
        <v>7374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  <c r="K4418" t="s">
        <v>20</v>
      </c>
      <c r="L4418" s="1">
        <v>45085</v>
      </c>
      <c r="M4418">
        <v>47</v>
      </c>
      <c r="N4418">
        <v>525</v>
      </c>
      <c r="O4418">
        <v>51</v>
      </c>
      <c r="P4418">
        <v>70</v>
      </c>
      <c r="Q4418">
        <v>51</v>
      </c>
      <c r="S4418">
        <v>210</v>
      </c>
      <c r="T4418">
        <v>210</v>
      </c>
      <c r="U4418">
        <f>+SUM(Table1[[#This Row],[Latinos]:[Cemex]])</f>
        <v>1</v>
      </c>
      <c r="V4418" t="str">
        <f>+Table1[[#This Row],[id_destino]]&amp;" - "&amp;Table1[[#This Row],[id_origen]]</f>
        <v>47 - 525</v>
      </c>
    </row>
    <row r="4419" spans="1:22" hidden="1">
      <c r="A4419">
        <v>3743</v>
      </c>
      <c r="B4419">
        <v>4196</v>
      </c>
      <c r="C4419">
        <v>6566</v>
      </c>
      <c r="D4419">
        <v>6962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 t="s">
        <v>20</v>
      </c>
      <c r="L4419" s="1">
        <v>45085</v>
      </c>
      <c r="M4419">
        <v>59</v>
      </c>
      <c r="N4419">
        <v>525</v>
      </c>
      <c r="O4419">
        <v>402</v>
      </c>
      <c r="P4419">
        <v>390</v>
      </c>
      <c r="Q4419">
        <v>402</v>
      </c>
      <c r="S4419">
        <v>1498</v>
      </c>
      <c r="T4419">
        <v>1498</v>
      </c>
      <c r="U4419">
        <f>+SUM(Table1[[#This Row],[Latinos]:[Cemex]])</f>
        <v>1</v>
      </c>
      <c r="V4419" t="str">
        <f>+Table1[[#This Row],[id_destino]]&amp;" - "&amp;Table1[[#This Row],[id_origen]]</f>
        <v>59 - 525</v>
      </c>
    </row>
    <row r="4420" spans="1:22" hidden="1">
      <c r="A4420">
        <v>1217</v>
      </c>
      <c r="B4420">
        <v>3969</v>
      </c>
      <c r="C4420">
        <v>6566</v>
      </c>
      <c r="D4420">
        <v>4835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 t="s">
        <v>20</v>
      </c>
      <c r="L4420" s="1">
        <v>45220</v>
      </c>
      <c r="M4420">
        <v>75</v>
      </c>
      <c r="N4420">
        <v>525</v>
      </c>
      <c r="O4420">
        <v>35</v>
      </c>
      <c r="P4420">
        <v>150</v>
      </c>
      <c r="Q4420">
        <v>50</v>
      </c>
      <c r="S4420">
        <v>0</v>
      </c>
      <c r="T4420">
        <v>0</v>
      </c>
      <c r="U4420">
        <f>+SUM(Table1[[#This Row],[Latinos]:[Cemex]])</f>
        <v>1</v>
      </c>
      <c r="V4420" t="str">
        <f>+Table1[[#This Row],[id_destino]]&amp;" - "&amp;Table1[[#This Row],[id_origen]]</f>
        <v>75 - 525</v>
      </c>
    </row>
    <row r="4421" spans="1:22" hidden="1">
      <c r="A4421">
        <v>3411</v>
      </c>
      <c r="B4421">
        <v>3969</v>
      </c>
      <c r="C4421">
        <v>6566</v>
      </c>
      <c r="D4421">
        <v>7110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  <c r="K4421" t="s">
        <v>20</v>
      </c>
      <c r="L4421" s="1">
        <v>44877</v>
      </c>
      <c r="M4421">
        <v>75</v>
      </c>
      <c r="N4421">
        <v>525</v>
      </c>
      <c r="O4421">
        <v>100</v>
      </c>
      <c r="P4421">
        <v>100</v>
      </c>
      <c r="Q4421">
        <v>100</v>
      </c>
      <c r="S4421">
        <v>39</v>
      </c>
      <c r="T4421">
        <v>39</v>
      </c>
      <c r="U4421">
        <f>+SUM(Table1[[#This Row],[Latinos]:[Cemex]])</f>
        <v>1</v>
      </c>
      <c r="V4421" t="str">
        <f>+Table1[[#This Row],[id_destino]]&amp;" - "&amp;Table1[[#This Row],[id_origen]]</f>
        <v>75 - 525</v>
      </c>
    </row>
    <row r="4422" spans="1:22" hidden="1">
      <c r="A4422">
        <v>3060</v>
      </c>
      <c r="B4422">
        <v>3749</v>
      </c>
      <c r="C4422">
        <v>6566</v>
      </c>
      <c r="D4422">
        <v>2596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  <c r="K4422" t="s">
        <v>20</v>
      </c>
      <c r="L4422" s="1">
        <v>44709</v>
      </c>
      <c r="M4422">
        <v>86</v>
      </c>
      <c r="N4422">
        <v>525</v>
      </c>
      <c r="O4422">
        <v>81</v>
      </c>
      <c r="P4422">
        <v>100</v>
      </c>
      <c r="Q4422">
        <v>81</v>
      </c>
      <c r="S4422">
        <v>0</v>
      </c>
      <c r="T4422">
        <v>0</v>
      </c>
      <c r="U4422">
        <f>+SUM(Table1[[#This Row],[Latinos]:[Cemex]])</f>
        <v>1</v>
      </c>
      <c r="V4422" t="str">
        <f>+Table1[[#This Row],[id_destino]]&amp;" - "&amp;Table1[[#This Row],[id_origen]]</f>
        <v>86 - 525</v>
      </c>
    </row>
    <row r="4423" spans="1:22" hidden="1">
      <c r="A4423">
        <v>3897</v>
      </c>
      <c r="B4423">
        <v>4286</v>
      </c>
      <c r="C4423">
        <v>6566</v>
      </c>
      <c r="D4423">
        <v>1637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0</v>
      </c>
      <c r="K4423" t="s">
        <v>20</v>
      </c>
      <c r="L4423" s="1">
        <v>45170</v>
      </c>
      <c r="M4423">
        <v>107</v>
      </c>
      <c r="N4423">
        <v>525</v>
      </c>
      <c r="O4423">
        <v>503</v>
      </c>
      <c r="P4423">
        <v>524</v>
      </c>
      <c r="Q4423">
        <v>503</v>
      </c>
      <c r="S4423">
        <v>1117</v>
      </c>
      <c r="T4423">
        <v>1207</v>
      </c>
      <c r="U4423">
        <f>+SUM(Table1[[#This Row],[Latinos]:[Cemex]])</f>
        <v>1</v>
      </c>
      <c r="V4423" t="str">
        <f>+Table1[[#This Row],[id_destino]]&amp;" - "&amp;Table1[[#This Row],[id_origen]]</f>
        <v>107 - 525</v>
      </c>
    </row>
    <row r="4424" spans="1:22" hidden="1">
      <c r="A4424">
        <v>3410</v>
      </c>
      <c r="B4424">
        <v>3968</v>
      </c>
      <c r="C4424">
        <v>6566</v>
      </c>
      <c r="D4424">
        <v>5384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0</v>
      </c>
      <c r="K4424" t="s">
        <v>20</v>
      </c>
      <c r="L4424" s="1">
        <v>44877</v>
      </c>
      <c r="M4424">
        <v>117</v>
      </c>
      <c r="N4424">
        <v>525</v>
      </c>
      <c r="O4424">
        <v>100</v>
      </c>
      <c r="P4424">
        <v>100</v>
      </c>
      <c r="Q4424">
        <v>100</v>
      </c>
      <c r="S4424">
        <v>225</v>
      </c>
      <c r="T4424">
        <v>225</v>
      </c>
      <c r="U4424">
        <f>+SUM(Table1[[#This Row],[Latinos]:[Cemex]])</f>
        <v>1</v>
      </c>
      <c r="V4424" t="str">
        <f>+Table1[[#This Row],[id_destino]]&amp;" - "&amp;Table1[[#This Row],[id_origen]]</f>
        <v>117 - 525</v>
      </c>
    </row>
    <row r="4425" spans="1:22" hidden="1">
      <c r="A4425">
        <v>4151</v>
      </c>
      <c r="B4425">
        <v>4452</v>
      </c>
      <c r="C4425">
        <v>6566</v>
      </c>
      <c r="D4425">
        <v>6909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 t="s">
        <v>20</v>
      </c>
      <c r="L4425" s="1">
        <v>45322</v>
      </c>
      <c r="M4425">
        <v>280</v>
      </c>
      <c r="N4425">
        <v>525</v>
      </c>
      <c r="O4425">
        <v>117</v>
      </c>
      <c r="P4425">
        <v>115</v>
      </c>
      <c r="Q4425">
        <v>117</v>
      </c>
      <c r="S4425">
        <v>222</v>
      </c>
      <c r="T4425">
        <v>222</v>
      </c>
      <c r="U4425">
        <f>+SUM(Table1[[#This Row],[Latinos]:[Cemex]])</f>
        <v>1</v>
      </c>
      <c r="V4425" t="str">
        <f>+Table1[[#This Row],[id_destino]]&amp;" - "&amp;Table1[[#This Row],[id_origen]]</f>
        <v>280 - 525</v>
      </c>
    </row>
    <row r="4426" spans="1:22" hidden="1">
      <c r="A4426">
        <v>3375</v>
      </c>
      <c r="B4426">
        <v>3946</v>
      </c>
      <c r="C4426">
        <v>6566</v>
      </c>
      <c r="D4426">
        <v>7089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  <c r="K4426" t="s">
        <v>20</v>
      </c>
      <c r="L4426" s="1">
        <v>44859</v>
      </c>
      <c r="M4426">
        <v>615</v>
      </c>
      <c r="N4426">
        <v>525</v>
      </c>
      <c r="O4426">
        <v>224</v>
      </c>
      <c r="P4426">
        <v>257</v>
      </c>
      <c r="Q4426">
        <v>224</v>
      </c>
      <c r="S4426">
        <v>761</v>
      </c>
      <c r="T4426">
        <v>813</v>
      </c>
      <c r="U4426">
        <f>+SUM(Table1[[#This Row],[Latinos]:[Cemex]])</f>
        <v>1</v>
      </c>
      <c r="V4426" t="str">
        <f>+Table1[[#This Row],[id_destino]]&amp;" - "&amp;Table1[[#This Row],[id_origen]]</f>
        <v>615 - 525</v>
      </c>
    </row>
    <row r="4427" spans="1:22" hidden="1">
      <c r="A4427">
        <v>4194</v>
      </c>
      <c r="B4427">
        <v>4481</v>
      </c>
      <c r="C4427">
        <v>6566</v>
      </c>
      <c r="D4427">
        <v>7678</v>
      </c>
      <c r="E4427">
        <v>0</v>
      </c>
      <c r="F4427">
        <v>0</v>
      </c>
      <c r="G4427">
        <v>0</v>
      </c>
      <c r="H4427">
        <v>1</v>
      </c>
      <c r="I4427">
        <v>0</v>
      </c>
      <c r="J4427">
        <v>0</v>
      </c>
      <c r="K4427" t="s">
        <v>20</v>
      </c>
      <c r="L4427" s="1">
        <v>45350</v>
      </c>
      <c r="M4427">
        <v>665</v>
      </c>
      <c r="N4427">
        <v>525</v>
      </c>
      <c r="O4427">
        <v>281</v>
      </c>
      <c r="P4427">
        <v>267</v>
      </c>
      <c r="Q4427">
        <v>281</v>
      </c>
      <c r="S4427">
        <v>664</v>
      </c>
      <c r="T4427">
        <v>664</v>
      </c>
      <c r="U4427">
        <f>+SUM(Table1[[#This Row],[Latinos]:[Cemex]])</f>
        <v>1</v>
      </c>
      <c r="V4427" t="str">
        <f>+Table1[[#This Row],[id_destino]]&amp;" - "&amp;Table1[[#This Row],[id_origen]]</f>
        <v>665 - 525</v>
      </c>
    </row>
    <row r="4428" spans="1:22" hidden="1">
      <c r="A4428">
        <v>3736</v>
      </c>
      <c r="B4428">
        <v>4192</v>
      </c>
      <c r="C4428">
        <v>6566</v>
      </c>
      <c r="D4428">
        <v>7136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  <c r="K4428" t="s">
        <v>20</v>
      </c>
      <c r="L4428" s="1">
        <v>45061</v>
      </c>
      <c r="M4428">
        <v>690</v>
      </c>
      <c r="N4428">
        <v>525</v>
      </c>
      <c r="O4428">
        <v>1619</v>
      </c>
      <c r="P4428">
        <v>1597</v>
      </c>
      <c r="Q4428">
        <v>1619</v>
      </c>
      <c r="S4428">
        <v>1991</v>
      </c>
      <c r="T4428">
        <v>1991</v>
      </c>
      <c r="U4428">
        <f>+SUM(Table1[[#This Row],[Latinos]:[Cemex]])</f>
        <v>1</v>
      </c>
      <c r="V4428" t="str">
        <f>+Table1[[#This Row],[id_destino]]&amp;" - "&amp;Table1[[#This Row],[id_origen]]</f>
        <v>690 - 525</v>
      </c>
    </row>
    <row r="4429" spans="1:22" hidden="1">
      <c r="A4429">
        <v>800</v>
      </c>
      <c r="B4429">
        <v>306</v>
      </c>
      <c r="C4429">
        <v>2819</v>
      </c>
      <c r="D4429">
        <v>469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 t="s">
        <v>20</v>
      </c>
      <c r="L4429" s="1">
        <v>43168</v>
      </c>
      <c r="M4429">
        <v>2</v>
      </c>
      <c r="N4429">
        <v>529</v>
      </c>
      <c r="O4429">
        <v>95</v>
      </c>
      <c r="P4429">
        <v>150</v>
      </c>
      <c r="Q4429">
        <v>95</v>
      </c>
      <c r="S4429">
        <v>250</v>
      </c>
      <c r="T4429">
        <v>343</v>
      </c>
      <c r="U4429">
        <f>+SUM(Table1[[#This Row],[Latinos]:[Cemex]])</f>
        <v>1</v>
      </c>
      <c r="V4429" t="str">
        <f>+Table1[[#This Row],[id_destino]]&amp;" - "&amp;Table1[[#This Row],[id_origen]]</f>
        <v>2 - 529</v>
      </c>
    </row>
    <row r="4430" spans="1:22" hidden="1">
      <c r="A4430">
        <v>781</v>
      </c>
      <c r="B4430">
        <v>1781</v>
      </c>
      <c r="C4430">
        <v>2819</v>
      </c>
      <c r="D4430">
        <v>861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0</v>
      </c>
      <c r="K4430" t="s">
        <v>20</v>
      </c>
      <c r="L4430" s="1">
        <v>43162</v>
      </c>
      <c r="M4430">
        <v>19</v>
      </c>
      <c r="N4430">
        <v>529</v>
      </c>
      <c r="O4430">
        <v>10</v>
      </c>
      <c r="P4430">
        <v>150</v>
      </c>
      <c r="Q4430">
        <v>10</v>
      </c>
      <c r="S4430">
        <v>0</v>
      </c>
      <c r="T4430">
        <v>0</v>
      </c>
      <c r="U4430">
        <f>+SUM(Table1[[#This Row],[Latinos]:[Cemex]])</f>
        <v>1</v>
      </c>
      <c r="V4430" t="str">
        <f>+Table1[[#This Row],[id_destino]]&amp;" - "&amp;Table1[[#This Row],[id_origen]]</f>
        <v>19 - 529</v>
      </c>
    </row>
    <row r="4431" spans="1:22" hidden="1">
      <c r="A4431">
        <v>4184</v>
      </c>
      <c r="B4431">
        <v>4474</v>
      </c>
      <c r="C4431">
        <v>7659</v>
      </c>
      <c r="D4431">
        <v>7670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 t="s">
        <v>20</v>
      </c>
      <c r="L4431" s="1">
        <v>45344</v>
      </c>
      <c r="M4431">
        <v>525</v>
      </c>
      <c r="N4431">
        <v>529</v>
      </c>
      <c r="O4431">
        <v>22</v>
      </c>
      <c r="P4431">
        <v>150</v>
      </c>
      <c r="Q4431">
        <v>22</v>
      </c>
      <c r="S4431">
        <v>0</v>
      </c>
      <c r="T4431">
        <v>0</v>
      </c>
      <c r="U4431">
        <f>+SUM(Table1[[#This Row],[Latinos]:[Cemex]])</f>
        <v>1</v>
      </c>
      <c r="V4431" t="str">
        <f>+Table1[[#This Row],[id_destino]]&amp;" - "&amp;Table1[[#This Row],[id_origen]]</f>
        <v>525 - 529</v>
      </c>
    </row>
    <row r="4432" spans="1:22" hidden="1">
      <c r="A4432">
        <v>3801</v>
      </c>
      <c r="B4432">
        <v>4228</v>
      </c>
      <c r="C4432">
        <v>7393</v>
      </c>
      <c r="D4432">
        <v>5384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  <c r="K4432" t="s">
        <v>20</v>
      </c>
      <c r="L4432" s="1">
        <v>45099</v>
      </c>
      <c r="M4432">
        <v>117</v>
      </c>
      <c r="N4432">
        <v>531</v>
      </c>
      <c r="O4432">
        <v>867</v>
      </c>
      <c r="P4432">
        <v>821</v>
      </c>
      <c r="Q4432">
        <v>867</v>
      </c>
      <c r="S4432">
        <v>1866</v>
      </c>
      <c r="T4432">
        <v>1983</v>
      </c>
      <c r="U4432">
        <f>+SUM(Table1[[#This Row],[Latinos]:[Cemex]])</f>
        <v>1</v>
      </c>
      <c r="V4432" t="str">
        <f>+Table1[[#This Row],[id_destino]]&amp;" - "&amp;Table1[[#This Row],[id_origen]]</f>
        <v>117 - 531</v>
      </c>
    </row>
    <row r="4433" spans="1:22" hidden="1">
      <c r="A4433">
        <v>4567</v>
      </c>
      <c r="B4433">
        <v>4759</v>
      </c>
      <c r="C4433">
        <v>8038</v>
      </c>
      <c r="D4433">
        <v>18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  <c r="K4433" t="s">
        <v>20</v>
      </c>
      <c r="L4433" s="1">
        <v>45622</v>
      </c>
      <c r="M4433">
        <v>17</v>
      </c>
      <c r="N4433">
        <v>535</v>
      </c>
      <c r="O4433">
        <v>644</v>
      </c>
      <c r="P4433">
        <v>667</v>
      </c>
      <c r="Q4433">
        <v>600</v>
      </c>
      <c r="S4433">
        <v>2585</v>
      </c>
      <c r="T4433">
        <v>3015</v>
      </c>
      <c r="U4433">
        <f>+SUM(Table1[[#This Row],[Latinos]:[Cemex]])</f>
        <v>1</v>
      </c>
      <c r="V4433" t="str">
        <f>+Table1[[#This Row],[id_destino]]&amp;" - "&amp;Table1[[#This Row],[id_origen]]</f>
        <v>17 - 535</v>
      </c>
    </row>
    <row r="4434" spans="1:22" hidden="1">
      <c r="A4434">
        <v>4819</v>
      </c>
      <c r="B4434">
        <v>4929</v>
      </c>
      <c r="C4434">
        <v>7518</v>
      </c>
      <c r="D4434">
        <v>4177</v>
      </c>
      <c r="E4434">
        <v>0</v>
      </c>
      <c r="F4434">
        <v>1</v>
      </c>
      <c r="G4434">
        <v>0</v>
      </c>
      <c r="H4434">
        <v>0</v>
      </c>
      <c r="I4434">
        <v>0</v>
      </c>
      <c r="J4434">
        <v>0</v>
      </c>
      <c r="K4434" t="s">
        <v>20</v>
      </c>
      <c r="L4434" s="1">
        <v>45862</v>
      </c>
      <c r="M4434">
        <v>18</v>
      </c>
      <c r="N4434">
        <v>535</v>
      </c>
      <c r="O4434">
        <v>925</v>
      </c>
      <c r="P4434">
        <v>844</v>
      </c>
      <c r="Q4434">
        <v>925</v>
      </c>
      <c r="S4434">
        <v>998</v>
      </c>
      <c r="T4434">
        <v>998</v>
      </c>
      <c r="U4434">
        <f>+SUM(Table1[[#This Row],[Latinos]:[Cemex]])</f>
        <v>1</v>
      </c>
      <c r="V4434" t="str">
        <f>+Table1[[#This Row],[id_destino]]&amp;" - "&amp;Table1[[#This Row],[id_origen]]</f>
        <v>18 - 535</v>
      </c>
    </row>
    <row r="4435" spans="1:22" hidden="1">
      <c r="A4435">
        <v>4116</v>
      </c>
      <c r="B4435">
        <v>4428</v>
      </c>
      <c r="C4435">
        <v>7246</v>
      </c>
      <c r="D4435">
        <v>3488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 t="s">
        <v>20</v>
      </c>
      <c r="L4435" s="1">
        <v>45301</v>
      </c>
      <c r="M4435">
        <v>68</v>
      </c>
      <c r="N4435">
        <v>535</v>
      </c>
      <c r="O4435">
        <v>867</v>
      </c>
      <c r="P4435">
        <v>867</v>
      </c>
      <c r="Q4435">
        <v>867</v>
      </c>
      <c r="S4435">
        <v>883</v>
      </c>
      <c r="T4435">
        <v>883</v>
      </c>
      <c r="U4435">
        <f>+SUM(Table1[[#This Row],[Latinos]:[Cemex]])</f>
        <v>1</v>
      </c>
      <c r="V4435" t="str">
        <f>+Table1[[#This Row],[id_destino]]&amp;" - "&amp;Table1[[#This Row],[id_origen]]</f>
        <v>68 - 535</v>
      </c>
    </row>
    <row r="4436" spans="1:22" hidden="1">
      <c r="A4436">
        <v>2226</v>
      </c>
      <c r="B4436">
        <v>1271</v>
      </c>
      <c r="C4436">
        <v>6222</v>
      </c>
      <c r="D4436">
        <v>6268</v>
      </c>
      <c r="E4436">
        <v>0</v>
      </c>
      <c r="F4436">
        <v>1</v>
      </c>
      <c r="G4436">
        <v>0</v>
      </c>
      <c r="H4436">
        <v>0</v>
      </c>
      <c r="I4436">
        <v>0</v>
      </c>
      <c r="J4436">
        <v>0</v>
      </c>
      <c r="K4436" t="s">
        <v>20</v>
      </c>
      <c r="L4436" s="1">
        <v>43865</v>
      </c>
      <c r="M4436">
        <v>337</v>
      </c>
      <c r="N4436">
        <v>535</v>
      </c>
      <c r="O4436">
        <v>98</v>
      </c>
      <c r="P4436">
        <v>150</v>
      </c>
      <c r="Q4436">
        <v>98</v>
      </c>
      <c r="S4436">
        <v>19</v>
      </c>
      <c r="T4436">
        <v>19</v>
      </c>
      <c r="U4436">
        <f>+SUM(Table1[[#This Row],[Latinos]:[Cemex]])</f>
        <v>1</v>
      </c>
      <c r="V4436" t="str">
        <f>+Table1[[#This Row],[id_destino]]&amp;" - "&amp;Table1[[#This Row],[id_origen]]</f>
        <v>337 - 535</v>
      </c>
    </row>
    <row r="4437" spans="1:22" hidden="1">
      <c r="A4437">
        <v>4820</v>
      </c>
      <c r="B4437">
        <v>4930</v>
      </c>
      <c r="C4437">
        <v>8276</v>
      </c>
      <c r="D4437">
        <v>4905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  <c r="K4437" t="s">
        <v>20</v>
      </c>
      <c r="L4437" s="1">
        <v>45862</v>
      </c>
      <c r="M4437">
        <v>384</v>
      </c>
      <c r="N4437">
        <v>535</v>
      </c>
      <c r="O4437">
        <v>694</v>
      </c>
      <c r="P4437">
        <v>694</v>
      </c>
      <c r="Q4437">
        <v>700</v>
      </c>
      <c r="S4437">
        <v>916</v>
      </c>
      <c r="T4437">
        <v>916</v>
      </c>
      <c r="U4437">
        <f>+SUM(Table1[[#This Row],[Latinos]:[Cemex]])</f>
        <v>1</v>
      </c>
      <c r="V4437" t="str">
        <f>+Table1[[#This Row],[id_destino]]&amp;" - "&amp;Table1[[#This Row],[id_origen]]</f>
        <v>384 - 535</v>
      </c>
    </row>
    <row r="4438" spans="1:22" hidden="1">
      <c r="A4438">
        <v>4554</v>
      </c>
      <c r="B4438">
        <v>4748</v>
      </c>
      <c r="C4438">
        <v>7518</v>
      </c>
      <c r="D4438">
        <v>7816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 t="s">
        <v>20</v>
      </c>
      <c r="L4438" s="1">
        <v>45612</v>
      </c>
      <c r="M4438">
        <v>905</v>
      </c>
      <c r="N4438">
        <v>535</v>
      </c>
      <c r="O4438">
        <v>582</v>
      </c>
      <c r="P4438">
        <v>605</v>
      </c>
      <c r="Q4438">
        <v>600</v>
      </c>
      <c r="S4438">
        <v>678</v>
      </c>
      <c r="T4438">
        <v>678</v>
      </c>
      <c r="U4438">
        <f>+SUM(Table1[[#This Row],[Latinos]:[Cemex]])</f>
        <v>1</v>
      </c>
      <c r="V4438" t="str">
        <f>+Table1[[#This Row],[id_destino]]&amp;" - "&amp;Table1[[#This Row],[id_origen]]</f>
        <v>905 - 535</v>
      </c>
    </row>
    <row r="4439" spans="1:22" hidden="1">
      <c r="A4439">
        <v>2786</v>
      </c>
      <c r="B4439">
        <v>3564</v>
      </c>
      <c r="C4439">
        <v>4921</v>
      </c>
      <c r="D4439">
        <v>5956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  <c r="K4439" t="s">
        <v>20</v>
      </c>
      <c r="L4439" s="1">
        <v>44441</v>
      </c>
      <c r="M4439">
        <v>775</v>
      </c>
      <c r="N4439">
        <v>539</v>
      </c>
      <c r="O4439">
        <v>91</v>
      </c>
      <c r="P4439">
        <v>150</v>
      </c>
      <c r="Q4439">
        <v>91</v>
      </c>
      <c r="S4439">
        <v>192</v>
      </c>
      <c r="T4439">
        <v>192</v>
      </c>
      <c r="U4439">
        <f>+SUM(Table1[[#This Row],[Latinos]:[Cemex]])</f>
        <v>1</v>
      </c>
      <c r="V4439" t="str">
        <f>+Table1[[#This Row],[id_destino]]&amp;" - "&amp;Table1[[#This Row],[id_origen]]</f>
        <v>775 - 539</v>
      </c>
    </row>
    <row r="4440" spans="1:22" hidden="1">
      <c r="A4440">
        <v>4201</v>
      </c>
      <c r="B4440">
        <v>4485</v>
      </c>
      <c r="C4440">
        <v>6825</v>
      </c>
      <c r="D4440">
        <v>3431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0</v>
      </c>
      <c r="K4440" t="s">
        <v>20</v>
      </c>
      <c r="L4440" s="1">
        <v>45355</v>
      </c>
      <c r="M4440">
        <v>52</v>
      </c>
      <c r="N4440">
        <v>544</v>
      </c>
      <c r="O4440">
        <v>50</v>
      </c>
      <c r="P4440">
        <v>150</v>
      </c>
      <c r="Q4440">
        <v>50</v>
      </c>
      <c r="S4440">
        <v>306</v>
      </c>
      <c r="T4440">
        <v>306</v>
      </c>
      <c r="U4440">
        <f>+SUM(Table1[[#This Row],[Latinos]:[Cemex]])</f>
        <v>1</v>
      </c>
      <c r="V4440" t="str">
        <f>+Table1[[#This Row],[id_destino]]&amp;" - "&amp;Table1[[#This Row],[id_origen]]</f>
        <v>52 - 544</v>
      </c>
    </row>
    <row r="4441" spans="1:22" hidden="1">
      <c r="A4441">
        <v>4170</v>
      </c>
      <c r="B4441">
        <v>4466</v>
      </c>
      <c r="C4441">
        <v>6825</v>
      </c>
      <c r="D4441">
        <v>7666</v>
      </c>
      <c r="E4441">
        <v>0</v>
      </c>
      <c r="F4441">
        <v>1</v>
      </c>
      <c r="G4441">
        <v>0</v>
      </c>
      <c r="H4441">
        <v>0</v>
      </c>
      <c r="I4441">
        <v>0</v>
      </c>
      <c r="J4441">
        <v>0</v>
      </c>
      <c r="K4441" t="s">
        <v>20</v>
      </c>
      <c r="L4441" s="1">
        <v>45336</v>
      </c>
      <c r="M4441">
        <v>379</v>
      </c>
      <c r="N4441">
        <v>544</v>
      </c>
      <c r="O4441">
        <v>50</v>
      </c>
      <c r="P4441">
        <v>150</v>
      </c>
      <c r="Q4441">
        <v>50</v>
      </c>
      <c r="S4441">
        <v>292</v>
      </c>
      <c r="T4441">
        <v>292</v>
      </c>
      <c r="U4441">
        <f>+SUM(Table1[[#This Row],[Latinos]:[Cemex]])</f>
        <v>1</v>
      </c>
      <c r="V4441" t="str">
        <f>+Table1[[#This Row],[id_destino]]&amp;" - "&amp;Table1[[#This Row],[id_origen]]</f>
        <v>379 - 544</v>
      </c>
    </row>
    <row r="4442" spans="1:22" hidden="1">
      <c r="A4442">
        <v>4152</v>
      </c>
      <c r="B4442">
        <v>4453</v>
      </c>
      <c r="C4442">
        <v>6825</v>
      </c>
      <c r="D4442">
        <v>6213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0</v>
      </c>
      <c r="K4442" t="s">
        <v>20</v>
      </c>
      <c r="L4442" s="1">
        <v>45323</v>
      </c>
      <c r="M4442">
        <v>801</v>
      </c>
      <c r="N4442">
        <v>544</v>
      </c>
      <c r="O4442">
        <v>839</v>
      </c>
      <c r="P4442">
        <v>850</v>
      </c>
      <c r="Q4442">
        <v>839</v>
      </c>
      <c r="S4442">
        <v>3860</v>
      </c>
      <c r="T4442">
        <v>3860</v>
      </c>
      <c r="U4442">
        <f>+SUM(Table1[[#This Row],[Latinos]:[Cemex]])</f>
        <v>1</v>
      </c>
      <c r="V4442" t="str">
        <f>+Table1[[#This Row],[id_destino]]&amp;" - "&amp;Table1[[#This Row],[id_origen]]</f>
        <v>801 - 544</v>
      </c>
    </row>
    <row r="4443" spans="1:22" hidden="1">
      <c r="A4443">
        <v>1754</v>
      </c>
      <c r="B4443">
        <v>2917</v>
      </c>
      <c r="C4443">
        <v>5917</v>
      </c>
      <c r="D4443">
        <v>5378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 t="s">
        <v>20</v>
      </c>
      <c r="L4443" s="1">
        <v>43945</v>
      </c>
      <c r="M4443">
        <v>345</v>
      </c>
      <c r="N4443">
        <v>547</v>
      </c>
      <c r="O4443">
        <v>234</v>
      </c>
      <c r="P4443">
        <v>222</v>
      </c>
      <c r="Q4443">
        <v>234</v>
      </c>
      <c r="S4443">
        <v>516</v>
      </c>
      <c r="T4443">
        <v>516</v>
      </c>
      <c r="U4443">
        <f>+SUM(Table1[[#This Row],[Latinos]:[Cemex]])</f>
        <v>1</v>
      </c>
      <c r="V4443" t="str">
        <f>+Table1[[#This Row],[id_destino]]&amp;" - "&amp;Table1[[#This Row],[id_origen]]</f>
        <v>345 - 547</v>
      </c>
    </row>
    <row r="4444" spans="1:22" hidden="1">
      <c r="A4444">
        <v>2702</v>
      </c>
      <c r="B4444">
        <v>3509</v>
      </c>
      <c r="C4444">
        <v>6556</v>
      </c>
      <c r="D4444">
        <v>6600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 t="s">
        <v>20</v>
      </c>
      <c r="L4444" s="1">
        <v>44359</v>
      </c>
      <c r="M4444">
        <v>11</v>
      </c>
      <c r="N4444">
        <v>559</v>
      </c>
      <c r="O4444">
        <v>241</v>
      </c>
      <c r="P4444">
        <v>213</v>
      </c>
      <c r="Q4444">
        <v>241</v>
      </c>
      <c r="S4444">
        <v>534</v>
      </c>
      <c r="T4444">
        <v>534</v>
      </c>
      <c r="U4444">
        <f>+SUM(Table1[[#This Row],[Latinos]:[Cemex]])</f>
        <v>1</v>
      </c>
      <c r="V4444" t="str">
        <f>+Table1[[#This Row],[id_destino]]&amp;" - "&amp;Table1[[#This Row],[id_origen]]</f>
        <v>11 - 559</v>
      </c>
    </row>
    <row r="4445" spans="1:22" hidden="1">
      <c r="A4445">
        <v>441</v>
      </c>
      <c r="B4445">
        <v>2293</v>
      </c>
      <c r="C4445">
        <v>5360</v>
      </c>
      <c r="D4445">
        <v>3074</v>
      </c>
      <c r="E4445">
        <v>0</v>
      </c>
      <c r="F4445">
        <v>0</v>
      </c>
      <c r="G4445">
        <v>0</v>
      </c>
      <c r="H4445">
        <v>1</v>
      </c>
      <c r="I4445">
        <v>0</v>
      </c>
      <c r="J4445">
        <v>0</v>
      </c>
      <c r="K4445" t="s">
        <v>20</v>
      </c>
      <c r="L4445" s="1">
        <v>43067</v>
      </c>
      <c r="M4445">
        <v>148</v>
      </c>
      <c r="N4445">
        <v>560</v>
      </c>
      <c r="O4445">
        <v>300</v>
      </c>
      <c r="P4445">
        <v>300</v>
      </c>
      <c r="Q4445">
        <v>300</v>
      </c>
      <c r="S4445">
        <v>0</v>
      </c>
      <c r="T4445">
        <v>0</v>
      </c>
      <c r="U4445">
        <f>+SUM(Table1[[#This Row],[Latinos]:[Cemex]])</f>
        <v>1</v>
      </c>
      <c r="V4445" t="str">
        <f>+Table1[[#This Row],[id_destino]]&amp;" - "&amp;Table1[[#This Row],[id_origen]]</f>
        <v>148 - 560</v>
      </c>
    </row>
    <row r="4446" spans="1:22" hidden="1">
      <c r="A4446">
        <v>3257</v>
      </c>
      <c r="B4446">
        <v>3869</v>
      </c>
      <c r="C4446">
        <v>4542</v>
      </c>
      <c r="D4446">
        <v>3176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0</v>
      </c>
      <c r="K4446" t="s">
        <v>20</v>
      </c>
      <c r="L4446" s="1">
        <v>44797</v>
      </c>
      <c r="M4446">
        <v>136</v>
      </c>
      <c r="N4446">
        <v>570</v>
      </c>
      <c r="O4446">
        <v>17</v>
      </c>
      <c r="P4446">
        <v>150</v>
      </c>
      <c r="Q4446">
        <v>17</v>
      </c>
      <c r="S4446">
        <v>0</v>
      </c>
      <c r="T4446">
        <v>0</v>
      </c>
      <c r="U4446">
        <f>+SUM(Table1[[#This Row],[Latinos]:[Cemex]])</f>
        <v>1</v>
      </c>
      <c r="V4446" t="str">
        <f>+Table1[[#This Row],[id_destino]]&amp;" - "&amp;Table1[[#This Row],[id_origen]]</f>
        <v>136 - 570</v>
      </c>
    </row>
    <row r="4447" spans="1:22" hidden="1">
      <c r="A4447">
        <v>2756</v>
      </c>
      <c r="B4447">
        <v>3548</v>
      </c>
      <c r="C4447">
        <v>4300</v>
      </c>
      <c r="D4447">
        <v>5691</v>
      </c>
      <c r="E4447">
        <v>0</v>
      </c>
      <c r="F4447">
        <v>1</v>
      </c>
      <c r="G4447">
        <v>0</v>
      </c>
      <c r="H4447">
        <v>0</v>
      </c>
      <c r="I4447">
        <v>0</v>
      </c>
      <c r="J4447">
        <v>0</v>
      </c>
      <c r="K4447" t="s">
        <v>20</v>
      </c>
      <c r="L4447" s="1">
        <v>44420</v>
      </c>
      <c r="M4447">
        <v>18</v>
      </c>
      <c r="N4447">
        <v>580</v>
      </c>
      <c r="O4447">
        <v>193</v>
      </c>
      <c r="P4447">
        <v>144</v>
      </c>
      <c r="Q4447">
        <v>193</v>
      </c>
      <c r="S4447">
        <v>385</v>
      </c>
      <c r="T4447">
        <v>385</v>
      </c>
      <c r="U4447">
        <f>+SUM(Table1[[#This Row],[Latinos]:[Cemex]])</f>
        <v>1</v>
      </c>
      <c r="V4447" t="str">
        <f>+Table1[[#This Row],[id_destino]]&amp;" - "&amp;Table1[[#This Row],[id_origen]]</f>
        <v>18 - 580</v>
      </c>
    </row>
    <row r="4448" spans="1:22" hidden="1">
      <c r="A4448">
        <v>1901</v>
      </c>
      <c r="B4448">
        <v>3007</v>
      </c>
      <c r="C4448">
        <v>4300</v>
      </c>
      <c r="D4448">
        <v>291</v>
      </c>
      <c r="E4448">
        <v>0</v>
      </c>
      <c r="F4448">
        <v>1</v>
      </c>
      <c r="G4448">
        <v>0</v>
      </c>
      <c r="H4448">
        <v>0</v>
      </c>
      <c r="I4448">
        <v>0</v>
      </c>
      <c r="J4448">
        <v>0</v>
      </c>
      <c r="K4448" t="s">
        <v>20</v>
      </c>
      <c r="L4448" s="1">
        <v>43703</v>
      </c>
      <c r="M4448">
        <v>62</v>
      </c>
      <c r="N4448">
        <v>580</v>
      </c>
      <c r="O4448">
        <v>211</v>
      </c>
      <c r="P4448">
        <v>223</v>
      </c>
      <c r="Q4448">
        <v>211</v>
      </c>
      <c r="S4448">
        <v>81</v>
      </c>
      <c r="T4448">
        <v>81</v>
      </c>
      <c r="U4448">
        <f>+SUM(Table1[[#This Row],[Latinos]:[Cemex]])</f>
        <v>1</v>
      </c>
      <c r="V4448" t="str">
        <f>+Table1[[#This Row],[id_destino]]&amp;" - "&amp;Table1[[#This Row],[id_origen]]</f>
        <v>62 - 580</v>
      </c>
    </row>
    <row r="4449" spans="1:22" hidden="1">
      <c r="A4449">
        <v>2516</v>
      </c>
      <c r="B4449">
        <v>1009</v>
      </c>
      <c r="C4449">
        <v>6454</v>
      </c>
      <c r="D4449">
        <v>209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 t="s">
        <v>20</v>
      </c>
      <c r="L4449" s="1">
        <v>44146</v>
      </c>
      <c r="M4449">
        <v>19</v>
      </c>
      <c r="N4449">
        <v>582</v>
      </c>
      <c r="O4449">
        <v>170</v>
      </c>
      <c r="P4449">
        <v>175</v>
      </c>
      <c r="Q4449">
        <v>170</v>
      </c>
      <c r="S4449">
        <v>273</v>
      </c>
      <c r="T4449">
        <v>273</v>
      </c>
      <c r="U4449">
        <f>+SUM(Table1[[#This Row],[Latinos]:[Cemex]])</f>
        <v>1</v>
      </c>
      <c r="V4449" t="str">
        <f>+Table1[[#This Row],[id_destino]]&amp;" - "&amp;Table1[[#This Row],[id_origen]]</f>
        <v>19 - 582</v>
      </c>
    </row>
    <row r="4450" spans="1:22" hidden="1">
      <c r="A4450">
        <v>4708</v>
      </c>
      <c r="B4450">
        <v>4859</v>
      </c>
      <c r="C4450">
        <v>8186</v>
      </c>
      <c r="D4450">
        <v>8185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  <c r="K4450" t="s">
        <v>20</v>
      </c>
      <c r="L4450" s="1">
        <v>45746</v>
      </c>
      <c r="M4450">
        <v>38</v>
      </c>
      <c r="N4450">
        <v>590</v>
      </c>
      <c r="O4450">
        <v>1223</v>
      </c>
      <c r="P4450">
        <v>1220</v>
      </c>
      <c r="Q4450">
        <v>1223</v>
      </c>
      <c r="S4450">
        <v>4232</v>
      </c>
      <c r="T4450">
        <v>4232</v>
      </c>
      <c r="U4450">
        <f>+SUM(Table1[[#This Row],[Latinos]:[Cemex]])</f>
        <v>1</v>
      </c>
      <c r="V4450" t="str">
        <f>+Table1[[#This Row],[id_destino]]&amp;" - "&amp;Table1[[#This Row],[id_origen]]</f>
        <v>38 - 590</v>
      </c>
    </row>
    <row r="4451" spans="1:22" hidden="1">
      <c r="A4451">
        <v>4019</v>
      </c>
      <c r="B4451">
        <v>4362</v>
      </c>
      <c r="C4451">
        <v>7011</v>
      </c>
      <c r="D4451">
        <v>7499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  <c r="K4451" t="s">
        <v>20</v>
      </c>
      <c r="L4451" s="1">
        <v>45238</v>
      </c>
      <c r="M4451">
        <v>9</v>
      </c>
      <c r="N4451">
        <v>591</v>
      </c>
      <c r="O4451">
        <v>1440</v>
      </c>
      <c r="P4451">
        <v>1360</v>
      </c>
      <c r="Q4451">
        <v>1440</v>
      </c>
      <c r="S4451">
        <v>3657</v>
      </c>
      <c r="T4451">
        <v>3740</v>
      </c>
      <c r="U4451">
        <f>+SUM(Table1[[#This Row],[Latinos]:[Cemex]])</f>
        <v>1</v>
      </c>
      <c r="V4451" t="str">
        <f>+Table1[[#This Row],[id_destino]]&amp;" - "&amp;Table1[[#This Row],[id_origen]]</f>
        <v>9 - 591</v>
      </c>
    </row>
    <row r="4452" spans="1:22" hidden="1">
      <c r="A4452">
        <v>4370</v>
      </c>
      <c r="B4452">
        <v>4605</v>
      </c>
      <c r="C4452">
        <v>7011</v>
      </c>
      <c r="D4452">
        <v>7840</v>
      </c>
      <c r="E4452">
        <v>0</v>
      </c>
      <c r="F4452">
        <v>1</v>
      </c>
      <c r="G4452">
        <v>0</v>
      </c>
      <c r="H4452">
        <v>0</v>
      </c>
      <c r="I4452">
        <v>0</v>
      </c>
      <c r="J4452">
        <v>0</v>
      </c>
      <c r="K4452" t="s">
        <v>20</v>
      </c>
      <c r="L4452" s="1">
        <v>45497</v>
      </c>
      <c r="M4452">
        <v>13</v>
      </c>
      <c r="N4452">
        <v>591</v>
      </c>
      <c r="O4452">
        <v>212</v>
      </c>
      <c r="P4452">
        <v>211</v>
      </c>
      <c r="Q4452">
        <v>212</v>
      </c>
      <c r="S4452">
        <v>790</v>
      </c>
      <c r="T4452">
        <v>790</v>
      </c>
      <c r="U4452">
        <f>+SUM(Table1[[#This Row],[Latinos]:[Cemex]])</f>
        <v>1</v>
      </c>
      <c r="V4452" t="str">
        <f>+Table1[[#This Row],[id_destino]]&amp;" - "&amp;Table1[[#This Row],[id_origen]]</f>
        <v>13 - 591</v>
      </c>
    </row>
    <row r="4453" spans="1:22" hidden="1">
      <c r="A4453">
        <v>3639</v>
      </c>
      <c r="B4453">
        <v>4128</v>
      </c>
      <c r="C4453">
        <v>7011</v>
      </c>
      <c r="D4453">
        <v>861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0</v>
      </c>
      <c r="K4453" t="s">
        <v>20</v>
      </c>
      <c r="L4453" s="1">
        <v>45010</v>
      </c>
      <c r="M4453">
        <v>19</v>
      </c>
      <c r="N4453">
        <v>591</v>
      </c>
      <c r="O4453">
        <v>56</v>
      </c>
      <c r="P4453">
        <v>150</v>
      </c>
      <c r="Q4453">
        <v>56</v>
      </c>
      <c r="S4453">
        <v>0</v>
      </c>
      <c r="T4453">
        <v>0</v>
      </c>
      <c r="U4453">
        <f>+SUM(Table1[[#This Row],[Latinos]:[Cemex]])</f>
        <v>1</v>
      </c>
      <c r="V4453" t="str">
        <f>+Table1[[#This Row],[id_destino]]&amp;" - "&amp;Table1[[#This Row],[id_origen]]</f>
        <v>19 - 591</v>
      </c>
    </row>
    <row r="4454" spans="1:22" hidden="1">
      <c r="A4454">
        <v>4449</v>
      </c>
      <c r="B4454">
        <v>4667</v>
      </c>
      <c r="C4454">
        <v>7918</v>
      </c>
      <c r="D4454">
        <v>7541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  <c r="K4454" t="s">
        <v>20</v>
      </c>
      <c r="L4454" s="1">
        <v>45548</v>
      </c>
      <c r="M4454">
        <v>20</v>
      </c>
      <c r="N4454">
        <v>591</v>
      </c>
      <c r="O4454">
        <v>33</v>
      </c>
      <c r="P4454">
        <v>33</v>
      </c>
      <c r="Q4454">
        <v>33</v>
      </c>
      <c r="S4454">
        <v>0</v>
      </c>
      <c r="T4454">
        <v>0</v>
      </c>
      <c r="U4454">
        <f>+SUM(Table1[[#This Row],[Latinos]:[Cemex]])</f>
        <v>1</v>
      </c>
      <c r="V4454" t="str">
        <f>+Table1[[#This Row],[id_destino]]&amp;" - "&amp;Table1[[#This Row],[id_origen]]</f>
        <v>20 - 591</v>
      </c>
    </row>
    <row r="4455" spans="1:22" hidden="1">
      <c r="A4455">
        <v>4150</v>
      </c>
      <c r="B4455">
        <v>4451</v>
      </c>
      <c r="C4455">
        <v>7011</v>
      </c>
      <c r="D4455">
        <v>7649</v>
      </c>
      <c r="E4455">
        <v>0</v>
      </c>
      <c r="F4455">
        <v>1</v>
      </c>
      <c r="G4455">
        <v>0</v>
      </c>
      <c r="H4455">
        <v>0</v>
      </c>
      <c r="I4455">
        <v>0</v>
      </c>
      <c r="J4455">
        <v>0</v>
      </c>
      <c r="K4455" t="s">
        <v>20</v>
      </c>
      <c r="L4455" s="1">
        <v>45322</v>
      </c>
      <c r="M4455">
        <v>26</v>
      </c>
      <c r="N4455">
        <v>591</v>
      </c>
      <c r="O4455">
        <v>535</v>
      </c>
      <c r="P4455">
        <v>514</v>
      </c>
      <c r="Q4455">
        <v>535</v>
      </c>
      <c r="S4455">
        <v>2112</v>
      </c>
      <c r="T4455">
        <v>2112</v>
      </c>
      <c r="U4455">
        <f>+SUM(Table1[[#This Row],[Latinos]:[Cemex]])</f>
        <v>1</v>
      </c>
      <c r="V4455" t="str">
        <f>+Table1[[#This Row],[id_destino]]&amp;" - "&amp;Table1[[#This Row],[id_origen]]</f>
        <v>26 - 591</v>
      </c>
    </row>
    <row r="4456" spans="1:22" hidden="1">
      <c r="A4456">
        <v>4057</v>
      </c>
      <c r="B4456">
        <v>4392</v>
      </c>
      <c r="C4456">
        <v>7011</v>
      </c>
      <c r="D4456">
        <v>3984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  <c r="K4456" t="s">
        <v>20</v>
      </c>
      <c r="L4456" s="1">
        <v>45259</v>
      </c>
      <c r="M4456">
        <v>59</v>
      </c>
      <c r="N4456">
        <v>591</v>
      </c>
      <c r="O4456">
        <v>431</v>
      </c>
      <c r="P4456">
        <v>424</v>
      </c>
      <c r="Q4456">
        <v>431</v>
      </c>
      <c r="S4456">
        <v>978</v>
      </c>
      <c r="T4456">
        <v>978</v>
      </c>
      <c r="U4456">
        <f>+SUM(Table1[[#This Row],[Latinos]:[Cemex]])</f>
        <v>1</v>
      </c>
      <c r="V4456" t="str">
        <f>+Table1[[#This Row],[id_destino]]&amp;" - "&amp;Table1[[#This Row],[id_origen]]</f>
        <v>59 - 591</v>
      </c>
    </row>
    <row r="4457" spans="1:22" hidden="1">
      <c r="A4457">
        <v>4557</v>
      </c>
      <c r="B4457">
        <v>1939</v>
      </c>
      <c r="C4457">
        <v>7011</v>
      </c>
      <c r="D4457">
        <v>2105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 t="s">
        <v>20</v>
      </c>
      <c r="L4457" s="1">
        <v>45617</v>
      </c>
      <c r="M4457">
        <v>69</v>
      </c>
      <c r="N4457">
        <v>591</v>
      </c>
      <c r="O4457">
        <v>42</v>
      </c>
      <c r="P4457">
        <v>150</v>
      </c>
      <c r="Q4457">
        <v>42</v>
      </c>
      <c r="S4457">
        <v>54</v>
      </c>
      <c r="T4457">
        <v>54</v>
      </c>
      <c r="U4457">
        <f>+SUM(Table1[[#This Row],[Latinos]:[Cemex]])</f>
        <v>1</v>
      </c>
      <c r="V4457" t="str">
        <f>+Table1[[#This Row],[id_destino]]&amp;" - "&amp;Table1[[#This Row],[id_origen]]</f>
        <v>69 - 591</v>
      </c>
    </row>
    <row r="4458" spans="1:22" hidden="1">
      <c r="A4458">
        <v>4419</v>
      </c>
      <c r="B4458">
        <v>4644</v>
      </c>
      <c r="C4458">
        <v>7011</v>
      </c>
      <c r="D4458">
        <v>4197</v>
      </c>
      <c r="E4458">
        <v>0</v>
      </c>
      <c r="F4458">
        <v>1</v>
      </c>
      <c r="G4458">
        <v>0</v>
      </c>
      <c r="H4458">
        <v>0</v>
      </c>
      <c r="I4458">
        <v>0</v>
      </c>
      <c r="J4458">
        <v>0</v>
      </c>
      <c r="K4458" t="s">
        <v>20</v>
      </c>
      <c r="L4458" s="1">
        <v>45531</v>
      </c>
      <c r="M4458">
        <v>71</v>
      </c>
      <c r="N4458">
        <v>591</v>
      </c>
      <c r="O4458">
        <v>506</v>
      </c>
      <c r="P4458">
        <v>507</v>
      </c>
      <c r="Q4458">
        <v>506</v>
      </c>
      <c r="S4458">
        <v>2112</v>
      </c>
      <c r="T4458">
        <v>2112</v>
      </c>
      <c r="U4458">
        <f>+SUM(Table1[[#This Row],[Latinos]:[Cemex]])</f>
        <v>1</v>
      </c>
      <c r="V4458" t="str">
        <f>+Table1[[#This Row],[id_destino]]&amp;" - "&amp;Table1[[#This Row],[id_origen]]</f>
        <v>71 - 591</v>
      </c>
    </row>
    <row r="4459" spans="1:22" hidden="1">
      <c r="A4459">
        <v>4462</v>
      </c>
      <c r="B4459">
        <v>4677</v>
      </c>
      <c r="C4459">
        <v>7011</v>
      </c>
      <c r="D4459">
        <v>7722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0</v>
      </c>
      <c r="K4459" t="s">
        <v>20</v>
      </c>
      <c r="L4459" s="1">
        <v>45562</v>
      </c>
      <c r="M4459">
        <v>79</v>
      </c>
      <c r="N4459">
        <v>591</v>
      </c>
      <c r="O4459">
        <v>285</v>
      </c>
      <c r="P4459">
        <v>280</v>
      </c>
      <c r="Q4459">
        <v>285</v>
      </c>
      <c r="S4459">
        <v>1558</v>
      </c>
      <c r="T4459">
        <v>1566</v>
      </c>
      <c r="U4459">
        <f>+SUM(Table1[[#This Row],[Latinos]:[Cemex]])</f>
        <v>1</v>
      </c>
      <c r="V4459" t="str">
        <f>+Table1[[#This Row],[id_destino]]&amp;" - "&amp;Table1[[#This Row],[id_origen]]</f>
        <v>79 - 591</v>
      </c>
    </row>
    <row r="4460" spans="1:22" hidden="1">
      <c r="A4460">
        <v>3933</v>
      </c>
      <c r="B4460">
        <v>4312</v>
      </c>
      <c r="C4460">
        <v>7011</v>
      </c>
      <c r="D4460">
        <v>7483</v>
      </c>
      <c r="E4460">
        <v>0</v>
      </c>
      <c r="F4460">
        <v>0</v>
      </c>
      <c r="G4460">
        <v>0</v>
      </c>
      <c r="H4460">
        <v>1</v>
      </c>
      <c r="I4460">
        <v>0</v>
      </c>
      <c r="J4460">
        <v>0</v>
      </c>
      <c r="K4460" t="s">
        <v>20</v>
      </c>
      <c r="L4460" s="1">
        <v>45194</v>
      </c>
      <c r="M4460">
        <v>83</v>
      </c>
      <c r="N4460">
        <v>591</v>
      </c>
      <c r="O4460">
        <v>879</v>
      </c>
      <c r="P4460">
        <v>881</v>
      </c>
      <c r="Q4460">
        <v>879</v>
      </c>
      <c r="S4460">
        <v>893</v>
      </c>
      <c r="T4460">
        <v>893</v>
      </c>
      <c r="U4460">
        <f>+SUM(Table1[[#This Row],[Latinos]:[Cemex]])</f>
        <v>1</v>
      </c>
      <c r="V4460" t="str">
        <f>+Table1[[#This Row],[id_destino]]&amp;" - "&amp;Table1[[#This Row],[id_origen]]</f>
        <v>83 - 591</v>
      </c>
    </row>
    <row r="4461" spans="1:22" hidden="1">
      <c r="A4461">
        <v>4410</v>
      </c>
      <c r="B4461">
        <v>4635</v>
      </c>
      <c r="C4461">
        <v>7011</v>
      </c>
      <c r="D4461">
        <v>7031</v>
      </c>
      <c r="E4461">
        <v>0</v>
      </c>
      <c r="F4461">
        <v>1</v>
      </c>
      <c r="G4461">
        <v>0</v>
      </c>
      <c r="H4461">
        <v>0</v>
      </c>
      <c r="I4461">
        <v>0</v>
      </c>
      <c r="J4461">
        <v>0</v>
      </c>
      <c r="K4461" t="s">
        <v>20</v>
      </c>
      <c r="L4461" s="1">
        <v>45526</v>
      </c>
      <c r="M4461">
        <v>144</v>
      </c>
      <c r="N4461">
        <v>591</v>
      </c>
      <c r="O4461">
        <v>122</v>
      </c>
      <c r="P4461">
        <v>150</v>
      </c>
      <c r="Q4461">
        <v>12</v>
      </c>
      <c r="S4461">
        <v>429</v>
      </c>
      <c r="T4461">
        <v>429</v>
      </c>
      <c r="U4461">
        <f>+SUM(Table1[[#This Row],[Latinos]:[Cemex]])</f>
        <v>1</v>
      </c>
      <c r="V4461" t="str">
        <f>+Table1[[#This Row],[id_destino]]&amp;" - "&amp;Table1[[#This Row],[id_origen]]</f>
        <v>144 - 591</v>
      </c>
    </row>
    <row r="4462" spans="1:22" hidden="1">
      <c r="A4462">
        <v>3974</v>
      </c>
      <c r="B4462">
        <v>2255</v>
      </c>
      <c r="C4462">
        <v>7011</v>
      </c>
      <c r="D4462">
        <v>24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0</v>
      </c>
      <c r="K4462" t="s">
        <v>20</v>
      </c>
      <c r="L4462" s="1">
        <v>45212</v>
      </c>
      <c r="M4462">
        <v>179</v>
      </c>
      <c r="N4462">
        <v>591</v>
      </c>
      <c r="O4462">
        <v>1863</v>
      </c>
      <c r="P4462">
        <v>1853</v>
      </c>
      <c r="Q4462">
        <v>1863</v>
      </c>
      <c r="S4462">
        <v>6550</v>
      </c>
      <c r="T4462">
        <v>6662</v>
      </c>
      <c r="U4462">
        <f>+SUM(Table1[[#This Row],[Latinos]:[Cemex]])</f>
        <v>1</v>
      </c>
      <c r="V4462" t="str">
        <f>+Table1[[#This Row],[id_destino]]&amp;" - "&amp;Table1[[#This Row],[id_origen]]</f>
        <v>179 - 591</v>
      </c>
    </row>
    <row r="4463" spans="1:22" hidden="1">
      <c r="A4463">
        <v>4679</v>
      </c>
      <c r="B4463">
        <v>4840</v>
      </c>
      <c r="C4463">
        <v>7011</v>
      </c>
      <c r="D4463">
        <v>6926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 t="s">
        <v>20</v>
      </c>
      <c r="L4463" s="1">
        <v>45724</v>
      </c>
      <c r="M4463">
        <v>254</v>
      </c>
      <c r="N4463">
        <v>591</v>
      </c>
      <c r="O4463">
        <v>43</v>
      </c>
      <c r="P4463">
        <v>150</v>
      </c>
      <c r="Q4463">
        <v>43</v>
      </c>
      <c r="S4463">
        <v>0</v>
      </c>
      <c r="T4463">
        <v>0</v>
      </c>
      <c r="U4463">
        <f>+SUM(Table1[[#This Row],[Latinos]:[Cemex]])</f>
        <v>1</v>
      </c>
      <c r="V4463" t="str">
        <f>+Table1[[#This Row],[id_destino]]&amp;" - "&amp;Table1[[#This Row],[id_origen]]</f>
        <v>254 - 591</v>
      </c>
    </row>
    <row r="4464" spans="1:22" hidden="1">
      <c r="A4464">
        <v>301</v>
      </c>
      <c r="B4464">
        <v>2258</v>
      </c>
      <c r="C4464">
        <v>5316</v>
      </c>
      <c r="D4464">
        <v>5323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  <c r="K4464" t="s">
        <v>20</v>
      </c>
      <c r="L4464" s="1">
        <v>43033</v>
      </c>
      <c r="M4464">
        <v>360</v>
      </c>
      <c r="N4464">
        <v>591</v>
      </c>
      <c r="O4464">
        <v>485</v>
      </c>
      <c r="P4464">
        <v>485</v>
      </c>
      <c r="Q4464">
        <v>485</v>
      </c>
      <c r="S4464">
        <v>1481</v>
      </c>
      <c r="T4464">
        <v>1481</v>
      </c>
      <c r="U4464">
        <f>+SUM(Table1[[#This Row],[Latinos]:[Cemex]])</f>
        <v>1</v>
      </c>
      <c r="V4464" t="str">
        <f>+Table1[[#This Row],[id_destino]]&amp;" - "&amp;Table1[[#This Row],[id_origen]]</f>
        <v>360 - 591</v>
      </c>
    </row>
    <row r="4465" spans="1:22" hidden="1">
      <c r="A4465">
        <v>4230</v>
      </c>
      <c r="B4465">
        <v>4508</v>
      </c>
      <c r="C4465">
        <v>7011</v>
      </c>
      <c r="D4465">
        <v>829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0</v>
      </c>
      <c r="K4465" t="s">
        <v>20</v>
      </c>
      <c r="L4465" s="1">
        <v>45387</v>
      </c>
      <c r="M4465">
        <v>425</v>
      </c>
      <c r="N4465">
        <v>591</v>
      </c>
      <c r="O4465">
        <v>35</v>
      </c>
      <c r="P4465">
        <v>150</v>
      </c>
      <c r="Q4465">
        <v>35</v>
      </c>
      <c r="S4465">
        <v>339</v>
      </c>
      <c r="T4465">
        <v>339</v>
      </c>
      <c r="U4465">
        <f>+SUM(Table1[[#This Row],[Latinos]:[Cemex]])</f>
        <v>1</v>
      </c>
      <c r="V4465" t="str">
        <f>+Table1[[#This Row],[id_destino]]&amp;" - "&amp;Table1[[#This Row],[id_origen]]</f>
        <v>425 - 591</v>
      </c>
    </row>
    <row r="4466" spans="1:22" hidden="1">
      <c r="A4466">
        <v>4078</v>
      </c>
      <c r="B4466">
        <v>4405</v>
      </c>
      <c r="C4466">
        <v>7011</v>
      </c>
      <c r="D4466">
        <v>7592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 t="s">
        <v>20</v>
      </c>
      <c r="L4466" s="1">
        <v>45271</v>
      </c>
      <c r="M4466">
        <v>535</v>
      </c>
      <c r="N4466">
        <v>591</v>
      </c>
      <c r="O4466">
        <v>851</v>
      </c>
      <c r="P4466">
        <v>850</v>
      </c>
      <c r="Q4466">
        <v>851</v>
      </c>
      <c r="S4466">
        <v>744</v>
      </c>
      <c r="T4466">
        <v>744</v>
      </c>
      <c r="U4466">
        <f>+SUM(Table1[[#This Row],[Latinos]:[Cemex]])</f>
        <v>1</v>
      </c>
      <c r="V4466" t="str">
        <f>+Table1[[#This Row],[id_destino]]&amp;" - "&amp;Table1[[#This Row],[id_origen]]</f>
        <v>535 - 591</v>
      </c>
    </row>
    <row r="4467" spans="1:22" hidden="1">
      <c r="A4467">
        <v>4371</v>
      </c>
      <c r="B4467">
        <v>4606</v>
      </c>
      <c r="C4467">
        <v>7011</v>
      </c>
      <c r="D4467">
        <v>7011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0</v>
      </c>
      <c r="K4467" t="s">
        <v>20</v>
      </c>
      <c r="L4467" s="1">
        <v>45497</v>
      </c>
      <c r="M4467">
        <v>591</v>
      </c>
      <c r="N4467">
        <v>591</v>
      </c>
      <c r="O4467">
        <v>0</v>
      </c>
      <c r="P4467">
        <v>150</v>
      </c>
      <c r="Q4467">
        <v>100</v>
      </c>
      <c r="S4467">
        <v>0</v>
      </c>
      <c r="T4467">
        <v>0</v>
      </c>
      <c r="U4467">
        <f>+SUM(Table1[[#This Row],[Latinos]:[Cemex]])</f>
        <v>1</v>
      </c>
      <c r="V4467" t="str">
        <f>+Table1[[#This Row],[id_destino]]&amp;" - "&amp;Table1[[#This Row],[id_origen]]</f>
        <v>591 - 591</v>
      </c>
    </row>
    <row r="4468" spans="1:22" hidden="1">
      <c r="A4468">
        <v>4782</v>
      </c>
      <c r="B4468">
        <v>4905</v>
      </c>
      <c r="C4468">
        <v>7011</v>
      </c>
      <c r="D4468">
        <v>5219</v>
      </c>
      <c r="E4468">
        <v>0</v>
      </c>
      <c r="F4468">
        <v>1</v>
      </c>
      <c r="G4468">
        <v>0</v>
      </c>
      <c r="H4468">
        <v>0</v>
      </c>
      <c r="I4468">
        <v>0</v>
      </c>
      <c r="J4468">
        <v>0</v>
      </c>
      <c r="K4468" t="s">
        <v>20</v>
      </c>
      <c r="L4468" s="1">
        <v>45819</v>
      </c>
      <c r="M4468">
        <v>690</v>
      </c>
      <c r="N4468">
        <v>591</v>
      </c>
      <c r="O4468">
        <v>1635</v>
      </c>
      <c r="P4468">
        <v>1634</v>
      </c>
      <c r="Q4468">
        <v>1635</v>
      </c>
      <c r="S4468">
        <v>4678</v>
      </c>
      <c r="T4468">
        <v>5152</v>
      </c>
      <c r="U4468">
        <f>+SUM(Table1[[#This Row],[Latinos]:[Cemex]])</f>
        <v>1</v>
      </c>
      <c r="V4468" t="str">
        <f>+Table1[[#This Row],[id_destino]]&amp;" - "&amp;Table1[[#This Row],[id_origen]]</f>
        <v>690 - 591</v>
      </c>
    </row>
    <row r="4469" spans="1:22" hidden="1">
      <c r="A4469">
        <v>4586</v>
      </c>
      <c r="B4469">
        <v>4776</v>
      </c>
      <c r="C4469">
        <v>7011</v>
      </c>
      <c r="D4469">
        <v>7716</v>
      </c>
      <c r="E4469">
        <v>0</v>
      </c>
      <c r="F4469">
        <v>1</v>
      </c>
      <c r="G4469">
        <v>0</v>
      </c>
      <c r="H4469">
        <v>0</v>
      </c>
      <c r="I4469">
        <v>0</v>
      </c>
      <c r="J4469">
        <v>0</v>
      </c>
      <c r="K4469" t="s">
        <v>20</v>
      </c>
      <c r="L4469" s="1">
        <v>45636</v>
      </c>
      <c r="M4469">
        <v>852</v>
      </c>
      <c r="N4469">
        <v>591</v>
      </c>
      <c r="O4469">
        <v>40</v>
      </c>
      <c r="P4469">
        <v>150</v>
      </c>
      <c r="Q4469">
        <v>40</v>
      </c>
      <c r="S4469">
        <v>0</v>
      </c>
      <c r="T4469">
        <v>0</v>
      </c>
      <c r="U4469">
        <f>+SUM(Table1[[#This Row],[Latinos]:[Cemex]])</f>
        <v>1</v>
      </c>
      <c r="V4469" t="str">
        <f>+Table1[[#This Row],[id_destino]]&amp;" - "&amp;Table1[[#This Row],[id_origen]]</f>
        <v>852 - 591</v>
      </c>
    </row>
    <row r="4470" spans="1:22" hidden="1">
      <c r="A4470">
        <v>2067</v>
      </c>
      <c r="B4470">
        <v>3114</v>
      </c>
      <c r="C4470">
        <v>601</v>
      </c>
      <c r="D4470">
        <v>15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0</v>
      </c>
      <c r="K4470" t="s">
        <v>20</v>
      </c>
      <c r="L4470" s="1">
        <v>43795</v>
      </c>
      <c r="M4470">
        <v>16</v>
      </c>
      <c r="N4470">
        <v>601</v>
      </c>
      <c r="O4470">
        <v>1421</v>
      </c>
      <c r="P4470">
        <v>1392</v>
      </c>
      <c r="Q4470">
        <v>1421</v>
      </c>
      <c r="S4470">
        <v>1751</v>
      </c>
      <c r="T4470">
        <v>2051</v>
      </c>
      <c r="U4470">
        <f>+SUM(Table1[[#This Row],[Latinos]:[Cemex]])</f>
        <v>1</v>
      </c>
      <c r="V4470" t="str">
        <f>+Table1[[#This Row],[id_destino]]&amp;" - "&amp;Table1[[#This Row],[id_origen]]</f>
        <v>16 - 601</v>
      </c>
    </row>
    <row r="4471" spans="1:22" hidden="1">
      <c r="A4471">
        <v>1792</v>
      </c>
      <c r="B4471">
        <v>2940</v>
      </c>
      <c r="C4471">
        <v>64</v>
      </c>
      <c r="D4471">
        <v>2653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 t="s">
        <v>20</v>
      </c>
      <c r="L4471" s="1">
        <v>43634</v>
      </c>
      <c r="M4471">
        <v>1</v>
      </c>
      <c r="N4471">
        <v>602</v>
      </c>
      <c r="O4471">
        <v>821</v>
      </c>
      <c r="P4471">
        <v>821</v>
      </c>
      <c r="Q4471">
        <v>821</v>
      </c>
      <c r="S4471">
        <v>647</v>
      </c>
      <c r="T4471">
        <v>647</v>
      </c>
      <c r="U4471">
        <f>+SUM(Table1[[#This Row],[Latinos]:[Cemex]])</f>
        <v>1</v>
      </c>
      <c r="V4471" t="str">
        <f>+Table1[[#This Row],[id_destino]]&amp;" - "&amp;Table1[[#This Row],[id_origen]]</f>
        <v>1 - 602</v>
      </c>
    </row>
    <row r="4472" spans="1:22" hidden="1">
      <c r="A4472">
        <v>4639</v>
      </c>
      <c r="B4472">
        <v>4813</v>
      </c>
      <c r="C4472">
        <v>4608</v>
      </c>
      <c r="D4472">
        <v>2</v>
      </c>
      <c r="E4472">
        <v>0</v>
      </c>
      <c r="F4472">
        <v>1</v>
      </c>
      <c r="G4472">
        <v>0</v>
      </c>
      <c r="H4472">
        <v>0</v>
      </c>
      <c r="I4472">
        <v>0</v>
      </c>
      <c r="J4472">
        <v>0</v>
      </c>
      <c r="K4472" t="s">
        <v>20</v>
      </c>
      <c r="L4472" s="1">
        <v>45694</v>
      </c>
      <c r="M4472">
        <v>4</v>
      </c>
      <c r="N4472">
        <v>602</v>
      </c>
      <c r="O4472">
        <v>877</v>
      </c>
      <c r="P4472">
        <v>872</v>
      </c>
      <c r="Q4472">
        <v>877</v>
      </c>
      <c r="S4472">
        <v>2647</v>
      </c>
      <c r="T4472">
        <v>2647</v>
      </c>
      <c r="U4472">
        <f>+SUM(Table1[[#This Row],[Latinos]:[Cemex]])</f>
        <v>1</v>
      </c>
      <c r="V4472" t="str">
        <f>+Table1[[#This Row],[id_destino]]&amp;" - "&amp;Table1[[#This Row],[id_origen]]</f>
        <v>4 - 602</v>
      </c>
    </row>
    <row r="4473" spans="1:22" hidden="1">
      <c r="A4473">
        <v>2577</v>
      </c>
      <c r="B4473">
        <v>3430</v>
      </c>
      <c r="C4473">
        <v>64</v>
      </c>
      <c r="D4473">
        <v>5282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 t="s">
        <v>20</v>
      </c>
      <c r="L4473" s="1">
        <v>44195</v>
      </c>
      <c r="M4473">
        <v>11</v>
      </c>
      <c r="N4473">
        <v>602</v>
      </c>
      <c r="O4473">
        <v>146</v>
      </c>
      <c r="P4473">
        <v>150</v>
      </c>
      <c r="Q4473">
        <v>146</v>
      </c>
      <c r="S4473">
        <v>255</v>
      </c>
      <c r="T4473">
        <v>255</v>
      </c>
      <c r="U4473">
        <f>+SUM(Table1[[#This Row],[Latinos]:[Cemex]])</f>
        <v>1</v>
      </c>
      <c r="V4473" t="str">
        <f>+Table1[[#This Row],[id_destino]]&amp;" - "&amp;Table1[[#This Row],[id_origen]]</f>
        <v>11 - 602</v>
      </c>
    </row>
    <row r="4474" spans="1:22" hidden="1">
      <c r="A4474">
        <v>934</v>
      </c>
      <c r="B4474">
        <v>2517</v>
      </c>
      <c r="C4474">
        <v>4608</v>
      </c>
      <c r="D4474">
        <v>5545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  <c r="K4474" t="s">
        <v>20</v>
      </c>
      <c r="L4474" s="1">
        <v>43218</v>
      </c>
      <c r="M4474">
        <v>15</v>
      </c>
      <c r="N4474">
        <v>602</v>
      </c>
      <c r="O4474">
        <v>1713</v>
      </c>
      <c r="P4474">
        <v>1713</v>
      </c>
      <c r="Q4474">
        <v>1713</v>
      </c>
      <c r="S4474">
        <v>1906</v>
      </c>
      <c r="T4474">
        <v>2348</v>
      </c>
      <c r="U4474">
        <f>+SUM(Table1[[#This Row],[Latinos]:[Cemex]])</f>
        <v>1</v>
      </c>
      <c r="V4474" t="str">
        <f>+Table1[[#This Row],[id_destino]]&amp;" - "&amp;Table1[[#This Row],[id_origen]]</f>
        <v>15 - 602</v>
      </c>
    </row>
    <row r="4475" spans="1:22" hidden="1">
      <c r="A4475">
        <v>3701</v>
      </c>
      <c r="B4475">
        <v>2517</v>
      </c>
      <c r="C4475">
        <v>64</v>
      </c>
      <c r="D4475">
        <v>14</v>
      </c>
      <c r="E4475">
        <v>0</v>
      </c>
      <c r="F4475">
        <v>1</v>
      </c>
      <c r="G4475">
        <v>0</v>
      </c>
      <c r="H4475">
        <v>0</v>
      </c>
      <c r="I4475">
        <v>0</v>
      </c>
      <c r="J4475">
        <v>0</v>
      </c>
      <c r="K4475" t="s">
        <v>20</v>
      </c>
      <c r="L4475" s="1">
        <v>45036</v>
      </c>
      <c r="M4475">
        <v>15</v>
      </c>
      <c r="N4475">
        <v>602</v>
      </c>
      <c r="O4475">
        <v>1749</v>
      </c>
      <c r="P4475">
        <v>1713</v>
      </c>
      <c r="Q4475">
        <v>1749</v>
      </c>
      <c r="S4475">
        <v>2381</v>
      </c>
      <c r="T4475">
        <v>2931</v>
      </c>
      <c r="U4475">
        <f>+SUM(Table1[[#This Row],[Latinos]:[Cemex]])</f>
        <v>1</v>
      </c>
      <c r="V4475" t="str">
        <f>+Table1[[#This Row],[id_destino]]&amp;" - "&amp;Table1[[#This Row],[id_origen]]</f>
        <v>15 - 602</v>
      </c>
    </row>
    <row r="4476" spans="1:22" hidden="1">
      <c r="A4476">
        <v>3062</v>
      </c>
      <c r="B4476">
        <v>3751</v>
      </c>
      <c r="C4476">
        <v>4608</v>
      </c>
      <c r="D4476">
        <v>6911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0</v>
      </c>
      <c r="K4476" t="s">
        <v>20</v>
      </c>
      <c r="L4476" s="1">
        <v>44711</v>
      </c>
      <c r="M4476">
        <v>17</v>
      </c>
      <c r="N4476">
        <v>602</v>
      </c>
      <c r="O4476">
        <v>824</v>
      </c>
      <c r="P4476">
        <v>829</v>
      </c>
      <c r="Q4476">
        <v>824</v>
      </c>
      <c r="S4476">
        <v>487</v>
      </c>
      <c r="T4476">
        <v>487</v>
      </c>
      <c r="U4476">
        <f>+SUM(Table1[[#This Row],[Latinos]:[Cemex]])</f>
        <v>1</v>
      </c>
      <c r="V4476" t="str">
        <f>+Table1[[#This Row],[id_destino]]&amp;" - "&amp;Table1[[#This Row],[id_origen]]</f>
        <v>17 - 602</v>
      </c>
    </row>
    <row r="4477" spans="1:22" hidden="1">
      <c r="A4477">
        <v>1854</v>
      </c>
      <c r="B4477">
        <v>2973</v>
      </c>
      <c r="C4477">
        <v>64</v>
      </c>
      <c r="D4477">
        <v>3969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0</v>
      </c>
      <c r="K4477" t="s">
        <v>20</v>
      </c>
      <c r="L4477" s="1">
        <v>43669</v>
      </c>
      <c r="M4477">
        <v>23</v>
      </c>
      <c r="N4477">
        <v>602</v>
      </c>
      <c r="O4477">
        <v>471</v>
      </c>
      <c r="P4477">
        <v>470</v>
      </c>
      <c r="Q4477">
        <v>471</v>
      </c>
      <c r="S4477">
        <v>2098</v>
      </c>
      <c r="T4477">
        <v>2098</v>
      </c>
      <c r="U4477">
        <f>+SUM(Table1[[#This Row],[Latinos]:[Cemex]])</f>
        <v>1</v>
      </c>
      <c r="V4477" t="str">
        <f>+Table1[[#This Row],[id_destino]]&amp;" - "&amp;Table1[[#This Row],[id_origen]]</f>
        <v>23 - 602</v>
      </c>
    </row>
    <row r="4478" spans="1:22" hidden="1">
      <c r="A4478">
        <v>855</v>
      </c>
      <c r="B4478">
        <v>2076</v>
      </c>
      <c r="C4478">
        <v>64</v>
      </c>
      <c r="D4478">
        <v>157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0</v>
      </c>
      <c r="K4478" t="s">
        <v>20</v>
      </c>
      <c r="L4478" s="1">
        <v>43194</v>
      </c>
      <c r="M4478">
        <v>33</v>
      </c>
      <c r="N4478">
        <v>602</v>
      </c>
      <c r="O4478">
        <v>915</v>
      </c>
      <c r="P4478">
        <v>915</v>
      </c>
      <c r="Q4478">
        <v>915</v>
      </c>
      <c r="S4478">
        <v>819</v>
      </c>
      <c r="T4478">
        <v>933</v>
      </c>
      <c r="U4478">
        <f>+SUM(Table1[[#This Row],[Latinos]:[Cemex]])</f>
        <v>1</v>
      </c>
      <c r="V4478" t="str">
        <f>+Table1[[#This Row],[id_destino]]&amp;" - "&amp;Table1[[#This Row],[id_origen]]</f>
        <v>33 - 602</v>
      </c>
    </row>
    <row r="4479" spans="1:22" hidden="1">
      <c r="A4479">
        <v>4750</v>
      </c>
      <c r="B4479">
        <v>4886</v>
      </c>
      <c r="C4479">
        <v>64</v>
      </c>
      <c r="D4479">
        <v>6311</v>
      </c>
      <c r="E4479">
        <v>0</v>
      </c>
      <c r="F4479">
        <v>1</v>
      </c>
      <c r="G4479">
        <v>0</v>
      </c>
      <c r="H4479">
        <v>0</v>
      </c>
      <c r="I4479">
        <v>0</v>
      </c>
      <c r="J4479">
        <v>0</v>
      </c>
      <c r="K4479" t="s">
        <v>20</v>
      </c>
      <c r="L4479" s="1">
        <v>45784</v>
      </c>
      <c r="M4479">
        <v>49</v>
      </c>
      <c r="N4479">
        <v>602</v>
      </c>
      <c r="O4479">
        <v>477</v>
      </c>
      <c r="P4479">
        <v>470</v>
      </c>
      <c r="Q4479">
        <v>477</v>
      </c>
      <c r="S4479">
        <v>2205</v>
      </c>
      <c r="T4479">
        <v>2205</v>
      </c>
      <c r="U4479">
        <f>+SUM(Table1[[#This Row],[Latinos]:[Cemex]])</f>
        <v>1</v>
      </c>
      <c r="V4479" t="str">
        <f>+Table1[[#This Row],[id_destino]]&amp;" - "&amp;Table1[[#This Row],[id_origen]]</f>
        <v>49 - 602</v>
      </c>
    </row>
    <row r="4480" spans="1:22" hidden="1">
      <c r="A4480">
        <v>581</v>
      </c>
      <c r="B4480">
        <v>1601</v>
      </c>
      <c r="C4480">
        <v>64</v>
      </c>
      <c r="D4480">
        <v>3431</v>
      </c>
      <c r="E4480">
        <v>0</v>
      </c>
      <c r="F4480">
        <v>1</v>
      </c>
      <c r="G4480">
        <v>0</v>
      </c>
      <c r="H4480">
        <v>0</v>
      </c>
      <c r="I4480">
        <v>0</v>
      </c>
      <c r="J4480">
        <v>0</v>
      </c>
      <c r="K4480" t="s">
        <v>20</v>
      </c>
      <c r="L4480" s="1">
        <v>43108</v>
      </c>
      <c r="M4480">
        <v>52</v>
      </c>
      <c r="N4480">
        <v>602</v>
      </c>
      <c r="O4480">
        <v>848</v>
      </c>
      <c r="P4480">
        <v>834</v>
      </c>
      <c r="Q4480">
        <v>848</v>
      </c>
      <c r="S4480">
        <v>1071</v>
      </c>
      <c r="T4480">
        <v>1071</v>
      </c>
      <c r="U4480">
        <f>+SUM(Table1[[#This Row],[Latinos]:[Cemex]])</f>
        <v>1</v>
      </c>
      <c r="V4480" t="str">
        <f>+Table1[[#This Row],[id_destino]]&amp;" - "&amp;Table1[[#This Row],[id_origen]]</f>
        <v>52 - 602</v>
      </c>
    </row>
    <row r="4481" spans="1:22" hidden="1">
      <c r="A4481">
        <v>4238</v>
      </c>
      <c r="B4481">
        <v>1300</v>
      </c>
      <c r="C4481">
        <v>64</v>
      </c>
      <c r="D4481">
        <v>63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0</v>
      </c>
      <c r="K4481" t="s">
        <v>20</v>
      </c>
      <c r="L4481" s="1">
        <v>45388</v>
      </c>
      <c r="M4481">
        <v>55</v>
      </c>
      <c r="N4481">
        <v>602</v>
      </c>
      <c r="O4481">
        <v>89</v>
      </c>
      <c r="P4481">
        <v>150</v>
      </c>
      <c r="Q4481">
        <v>89</v>
      </c>
      <c r="S4481">
        <v>220</v>
      </c>
      <c r="T4481">
        <v>220</v>
      </c>
      <c r="U4481">
        <f>+SUM(Table1[[#This Row],[Latinos]:[Cemex]])</f>
        <v>1</v>
      </c>
      <c r="V4481" t="str">
        <f>+Table1[[#This Row],[id_destino]]&amp;" - "&amp;Table1[[#This Row],[id_origen]]</f>
        <v>55 - 602</v>
      </c>
    </row>
    <row r="4482" spans="1:22" hidden="1">
      <c r="A4482">
        <v>4633</v>
      </c>
      <c r="B4482">
        <v>4809</v>
      </c>
      <c r="C4482">
        <v>64</v>
      </c>
      <c r="D4482">
        <v>5909</v>
      </c>
      <c r="E4482">
        <v>0</v>
      </c>
      <c r="F4482">
        <v>1</v>
      </c>
      <c r="G4482">
        <v>0</v>
      </c>
      <c r="H4482">
        <v>0</v>
      </c>
      <c r="I4482">
        <v>0</v>
      </c>
      <c r="J4482">
        <v>0</v>
      </c>
      <c r="K4482" t="s">
        <v>20</v>
      </c>
      <c r="L4482" s="1">
        <v>45686</v>
      </c>
      <c r="M4482">
        <v>67</v>
      </c>
      <c r="N4482">
        <v>602</v>
      </c>
      <c r="O4482">
        <v>315</v>
      </c>
      <c r="P4482">
        <v>313</v>
      </c>
      <c r="Q4482">
        <v>315</v>
      </c>
      <c r="S4482">
        <v>1153</v>
      </c>
      <c r="T4482">
        <v>1153</v>
      </c>
      <c r="U4482">
        <f>+SUM(Table1[[#This Row],[Latinos]:[Cemex]])</f>
        <v>1</v>
      </c>
      <c r="V4482" t="str">
        <f>+Table1[[#This Row],[id_destino]]&amp;" - "&amp;Table1[[#This Row],[id_origen]]</f>
        <v>67 - 602</v>
      </c>
    </row>
    <row r="4483" spans="1:22" hidden="1">
      <c r="A4483">
        <v>1422</v>
      </c>
      <c r="B4483">
        <v>2737</v>
      </c>
      <c r="C4483">
        <v>64</v>
      </c>
      <c r="D4483">
        <v>1367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  <c r="K4483" t="s">
        <v>20</v>
      </c>
      <c r="L4483" s="1">
        <v>43427</v>
      </c>
      <c r="M4483">
        <v>76</v>
      </c>
      <c r="N4483">
        <v>602</v>
      </c>
      <c r="O4483">
        <v>86</v>
      </c>
      <c r="P4483">
        <v>150</v>
      </c>
      <c r="Q4483">
        <v>86</v>
      </c>
      <c r="S4483">
        <v>179</v>
      </c>
      <c r="T4483">
        <v>179</v>
      </c>
      <c r="U4483">
        <f>+SUM(Table1[[#This Row],[Latinos]:[Cemex]])</f>
        <v>1</v>
      </c>
      <c r="V4483" t="str">
        <f>+Table1[[#This Row],[id_destino]]&amp;" - "&amp;Table1[[#This Row],[id_origen]]</f>
        <v>76 - 602</v>
      </c>
    </row>
    <row r="4484" spans="1:22" hidden="1">
      <c r="A4484">
        <v>832</v>
      </c>
      <c r="B4484">
        <v>1075</v>
      </c>
      <c r="C4484">
        <v>64</v>
      </c>
      <c r="D4484">
        <v>4246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  <c r="K4484" t="s">
        <v>20</v>
      </c>
      <c r="L4484" s="1">
        <v>43180</v>
      </c>
      <c r="M4484">
        <v>79</v>
      </c>
      <c r="N4484">
        <v>602</v>
      </c>
      <c r="O4484">
        <v>264</v>
      </c>
      <c r="P4484">
        <v>318</v>
      </c>
      <c r="Q4484">
        <v>264</v>
      </c>
      <c r="S4484">
        <v>1021</v>
      </c>
      <c r="T4484">
        <v>1028</v>
      </c>
      <c r="U4484">
        <f>+SUM(Table1[[#This Row],[Latinos]:[Cemex]])</f>
        <v>1</v>
      </c>
      <c r="V4484" t="str">
        <f>+Table1[[#This Row],[id_destino]]&amp;" - "&amp;Table1[[#This Row],[id_origen]]</f>
        <v>79 - 602</v>
      </c>
    </row>
    <row r="4485" spans="1:22" hidden="1">
      <c r="A4485">
        <v>4666</v>
      </c>
      <c r="B4485">
        <v>1075</v>
      </c>
      <c r="C4485">
        <v>64</v>
      </c>
      <c r="D4485">
        <v>8048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0</v>
      </c>
      <c r="K4485" t="s">
        <v>20</v>
      </c>
      <c r="L4485" s="1">
        <v>45713</v>
      </c>
      <c r="M4485">
        <v>79</v>
      </c>
      <c r="N4485">
        <v>602</v>
      </c>
      <c r="O4485">
        <v>264</v>
      </c>
      <c r="P4485">
        <v>264</v>
      </c>
      <c r="Q4485">
        <v>264</v>
      </c>
      <c r="S4485">
        <v>530</v>
      </c>
      <c r="T4485">
        <v>530</v>
      </c>
      <c r="U4485">
        <f>+SUM(Table1[[#This Row],[Latinos]:[Cemex]])</f>
        <v>1</v>
      </c>
      <c r="V4485" t="str">
        <f>+Table1[[#This Row],[id_destino]]&amp;" - "&amp;Table1[[#This Row],[id_origen]]</f>
        <v>79 - 602</v>
      </c>
    </row>
    <row r="4486" spans="1:22" hidden="1">
      <c r="A4486">
        <v>939</v>
      </c>
      <c r="B4486">
        <v>1918</v>
      </c>
      <c r="C4486">
        <v>4608</v>
      </c>
      <c r="D4486">
        <v>210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  <c r="K4486" t="s">
        <v>20</v>
      </c>
      <c r="L4486" s="1">
        <v>43220</v>
      </c>
      <c r="M4486">
        <v>81</v>
      </c>
      <c r="N4486">
        <v>602</v>
      </c>
      <c r="O4486">
        <v>190</v>
      </c>
      <c r="P4486">
        <v>190</v>
      </c>
      <c r="Q4486">
        <v>190</v>
      </c>
      <c r="S4486">
        <v>638</v>
      </c>
      <c r="T4486">
        <v>723</v>
      </c>
      <c r="U4486">
        <f>+SUM(Table1[[#This Row],[Latinos]:[Cemex]])</f>
        <v>1</v>
      </c>
      <c r="V4486" t="str">
        <f>+Table1[[#This Row],[id_destino]]&amp;" - "&amp;Table1[[#This Row],[id_origen]]</f>
        <v>81 - 602</v>
      </c>
    </row>
    <row r="4487" spans="1:22" hidden="1">
      <c r="A4487">
        <v>4683</v>
      </c>
      <c r="B4487">
        <v>4843</v>
      </c>
      <c r="C4487">
        <v>4608</v>
      </c>
      <c r="D4487">
        <v>8156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0</v>
      </c>
      <c r="K4487" t="s">
        <v>20</v>
      </c>
      <c r="L4487" s="1">
        <v>45726</v>
      </c>
      <c r="M4487">
        <v>88</v>
      </c>
      <c r="N4487">
        <v>602</v>
      </c>
      <c r="O4487">
        <v>131</v>
      </c>
      <c r="P4487">
        <v>153</v>
      </c>
      <c r="Q4487">
        <v>150</v>
      </c>
      <c r="S4487">
        <v>394.01</v>
      </c>
      <c r="T4487">
        <v>394.01</v>
      </c>
      <c r="U4487">
        <f>+SUM(Table1[[#This Row],[Latinos]:[Cemex]])</f>
        <v>1</v>
      </c>
      <c r="V4487" t="str">
        <f>+Table1[[#This Row],[id_destino]]&amp;" - "&amp;Table1[[#This Row],[id_origen]]</f>
        <v>88 - 602</v>
      </c>
    </row>
    <row r="4488" spans="1:22" hidden="1">
      <c r="A4488">
        <v>1225</v>
      </c>
      <c r="B4488">
        <v>2644</v>
      </c>
      <c r="C4488">
        <v>64</v>
      </c>
      <c r="D4488">
        <v>847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0</v>
      </c>
      <c r="K4488" t="s">
        <v>20</v>
      </c>
      <c r="L4488" s="1">
        <v>43347</v>
      </c>
      <c r="M4488">
        <v>89</v>
      </c>
      <c r="N4488">
        <v>602</v>
      </c>
      <c r="O4488">
        <v>946</v>
      </c>
      <c r="P4488">
        <v>946</v>
      </c>
      <c r="Q4488">
        <v>946</v>
      </c>
      <c r="S4488">
        <v>612</v>
      </c>
      <c r="T4488">
        <v>612</v>
      </c>
      <c r="U4488">
        <f>+SUM(Table1[[#This Row],[Latinos]:[Cemex]])</f>
        <v>1</v>
      </c>
      <c r="V4488" t="str">
        <f>+Table1[[#This Row],[id_destino]]&amp;" - "&amp;Table1[[#This Row],[id_origen]]</f>
        <v>89 - 602</v>
      </c>
    </row>
    <row r="4489" spans="1:22" hidden="1">
      <c r="A4489">
        <v>1480</v>
      </c>
      <c r="B4489">
        <v>2769</v>
      </c>
      <c r="C4489">
        <v>4107</v>
      </c>
      <c r="D4489">
        <v>464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  <c r="K4489" t="s">
        <v>20</v>
      </c>
      <c r="L4489" s="1">
        <v>43460</v>
      </c>
      <c r="M4489">
        <v>92</v>
      </c>
      <c r="N4489">
        <v>602</v>
      </c>
      <c r="O4489">
        <v>824</v>
      </c>
      <c r="P4489">
        <v>824</v>
      </c>
      <c r="Q4489">
        <v>824</v>
      </c>
      <c r="S4489">
        <v>619</v>
      </c>
      <c r="T4489">
        <v>619</v>
      </c>
      <c r="U4489">
        <f>+SUM(Table1[[#This Row],[Latinos]:[Cemex]])</f>
        <v>1</v>
      </c>
      <c r="V4489" t="str">
        <f>+Table1[[#This Row],[id_destino]]&amp;" - "&amp;Table1[[#This Row],[id_origen]]</f>
        <v>92 - 602</v>
      </c>
    </row>
    <row r="4490" spans="1:22" hidden="1">
      <c r="A4490">
        <v>4136</v>
      </c>
      <c r="B4490">
        <v>2769</v>
      </c>
      <c r="C4490">
        <v>64</v>
      </c>
      <c r="D4490">
        <v>4946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 t="s">
        <v>20</v>
      </c>
      <c r="L4490" s="1">
        <v>45311</v>
      </c>
      <c r="M4490">
        <v>92</v>
      </c>
      <c r="N4490">
        <v>602</v>
      </c>
      <c r="O4490">
        <v>820</v>
      </c>
      <c r="P4490">
        <v>848</v>
      </c>
      <c r="Q4490">
        <v>820</v>
      </c>
      <c r="S4490">
        <v>782</v>
      </c>
      <c r="T4490">
        <v>782</v>
      </c>
      <c r="U4490">
        <f>+SUM(Table1[[#This Row],[Latinos]:[Cemex]])</f>
        <v>1</v>
      </c>
      <c r="V4490" t="str">
        <f>+Table1[[#This Row],[id_destino]]&amp;" - "&amp;Table1[[#This Row],[id_origen]]</f>
        <v>92 - 602</v>
      </c>
    </row>
    <row r="4491" spans="1:22" hidden="1">
      <c r="A4491">
        <v>4774</v>
      </c>
      <c r="B4491">
        <v>4899</v>
      </c>
      <c r="C4491">
        <v>64</v>
      </c>
      <c r="D4491">
        <v>268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0</v>
      </c>
      <c r="K4491" t="s">
        <v>20</v>
      </c>
      <c r="L4491" s="1">
        <v>45810</v>
      </c>
      <c r="M4491">
        <v>99</v>
      </c>
      <c r="N4491">
        <v>602</v>
      </c>
      <c r="O4491">
        <v>1249</v>
      </c>
      <c r="P4491">
        <v>1249</v>
      </c>
      <c r="Q4491">
        <v>1249</v>
      </c>
      <c r="S4491">
        <v>3156</v>
      </c>
      <c r="T4491">
        <v>3156</v>
      </c>
      <c r="U4491">
        <f>+SUM(Table1[[#This Row],[Latinos]:[Cemex]])</f>
        <v>1</v>
      </c>
      <c r="V4491" t="str">
        <f>+Table1[[#This Row],[id_destino]]&amp;" - "&amp;Table1[[#This Row],[id_origen]]</f>
        <v>99 - 602</v>
      </c>
    </row>
    <row r="4492" spans="1:22" hidden="1">
      <c r="A4492">
        <v>4835</v>
      </c>
      <c r="B4492">
        <v>4899</v>
      </c>
      <c r="C4492">
        <v>64</v>
      </c>
      <c r="D4492">
        <v>268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 t="s">
        <v>20</v>
      </c>
      <c r="L4492" s="1">
        <v>45876</v>
      </c>
      <c r="M4492">
        <v>99</v>
      </c>
      <c r="N4492">
        <v>602</v>
      </c>
      <c r="O4492">
        <v>1249</v>
      </c>
      <c r="P4492">
        <v>1249</v>
      </c>
      <c r="Q4492">
        <v>1249</v>
      </c>
      <c r="S4492">
        <v>3156</v>
      </c>
      <c r="T4492">
        <v>3156</v>
      </c>
      <c r="U4492">
        <f>+SUM(Table1[[#This Row],[Latinos]:[Cemex]])</f>
        <v>1</v>
      </c>
      <c r="V4492" t="str">
        <f>+Table1[[#This Row],[id_destino]]&amp;" - "&amp;Table1[[#This Row],[id_origen]]</f>
        <v>99 - 602</v>
      </c>
    </row>
    <row r="4493" spans="1:22" hidden="1">
      <c r="A4493">
        <v>2863</v>
      </c>
      <c r="B4493">
        <v>3617</v>
      </c>
      <c r="C4493">
        <v>64</v>
      </c>
      <c r="D4493">
        <v>764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 t="s">
        <v>20</v>
      </c>
      <c r="L4493" s="1">
        <v>44558</v>
      </c>
      <c r="M4493">
        <v>144</v>
      </c>
      <c r="N4493">
        <v>602</v>
      </c>
      <c r="O4493">
        <v>145</v>
      </c>
      <c r="P4493">
        <v>150</v>
      </c>
      <c r="Q4493">
        <v>145</v>
      </c>
      <c r="S4493">
        <v>266</v>
      </c>
      <c r="T4493">
        <v>266</v>
      </c>
      <c r="U4493">
        <f>+SUM(Table1[[#This Row],[Latinos]:[Cemex]])</f>
        <v>1</v>
      </c>
      <c r="V4493" t="str">
        <f>+Table1[[#This Row],[id_destino]]&amp;" - "&amp;Table1[[#This Row],[id_origen]]</f>
        <v>144 - 602</v>
      </c>
    </row>
    <row r="4494" spans="1:22" hidden="1">
      <c r="A4494">
        <v>3471</v>
      </c>
      <c r="B4494">
        <v>2715</v>
      </c>
      <c r="C4494">
        <v>4608</v>
      </c>
      <c r="D4494">
        <v>12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0</v>
      </c>
      <c r="K4494" t="s">
        <v>20</v>
      </c>
      <c r="L4494" s="1">
        <v>44910</v>
      </c>
      <c r="M4494">
        <v>169</v>
      </c>
      <c r="N4494">
        <v>602</v>
      </c>
      <c r="O4494">
        <v>306</v>
      </c>
      <c r="P4494">
        <v>329</v>
      </c>
      <c r="Q4494">
        <v>306</v>
      </c>
      <c r="S4494">
        <v>1227</v>
      </c>
      <c r="T4494">
        <v>1227</v>
      </c>
      <c r="U4494">
        <f>+SUM(Table1[[#This Row],[Latinos]:[Cemex]])</f>
        <v>1</v>
      </c>
      <c r="V4494" t="str">
        <f>+Table1[[#This Row],[id_destino]]&amp;" - "&amp;Table1[[#This Row],[id_origen]]</f>
        <v>169 - 602</v>
      </c>
    </row>
    <row r="4495" spans="1:22" hidden="1">
      <c r="A4495">
        <v>807</v>
      </c>
      <c r="B4495">
        <v>2462</v>
      </c>
      <c r="C4495">
        <v>4608</v>
      </c>
      <c r="D4495">
        <v>3430</v>
      </c>
      <c r="E4495">
        <v>0</v>
      </c>
      <c r="F4495">
        <v>1</v>
      </c>
      <c r="G4495">
        <v>0</v>
      </c>
      <c r="H4495">
        <v>0</v>
      </c>
      <c r="I4495">
        <v>0</v>
      </c>
      <c r="J4495">
        <v>0</v>
      </c>
      <c r="K4495" t="s">
        <v>20</v>
      </c>
      <c r="L4495" s="1">
        <v>43171</v>
      </c>
      <c r="M4495">
        <v>180</v>
      </c>
      <c r="N4495">
        <v>602</v>
      </c>
      <c r="O4495">
        <v>1047</v>
      </c>
      <c r="P4495">
        <v>1047</v>
      </c>
      <c r="Q4495">
        <v>1047</v>
      </c>
      <c r="S4495">
        <v>920</v>
      </c>
      <c r="T4495">
        <v>920</v>
      </c>
      <c r="U4495">
        <f>+SUM(Table1[[#This Row],[Latinos]:[Cemex]])</f>
        <v>1</v>
      </c>
      <c r="V4495" t="str">
        <f>+Table1[[#This Row],[id_destino]]&amp;" - "&amp;Table1[[#This Row],[id_origen]]</f>
        <v>180 - 602</v>
      </c>
    </row>
    <row r="4496" spans="1:22" hidden="1">
      <c r="A4496">
        <v>1913</v>
      </c>
      <c r="B4496">
        <v>3013</v>
      </c>
      <c r="C4496">
        <v>64</v>
      </c>
      <c r="D4496">
        <v>3590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0</v>
      </c>
      <c r="K4496" t="s">
        <v>20</v>
      </c>
      <c r="L4496" s="1">
        <v>43712</v>
      </c>
      <c r="M4496">
        <v>243</v>
      </c>
      <c r="N4496">
        <v>602</v>
      </c>
      <c r="O4496">
        <v>790</v>
      </c>
      <c r="P4496">
        <v>796</v>
      </c>
      <c r="Q4496">
        <v>790</v>
      </c>
      <c r="S4496">
        <v>1766</v>
      </c>
      <c r="T4496">
        <v>1766</v>
      </c>
      <c r="U4496">
        <f>+SUM(Table1[[#This Row],[Latinos]:[Cemex]])</f>
        <v>1</v>
      </c>
      <c r="V4496" t="str">
        <f>+Table1[[#This Row],[id_destino]]&amp;" - "&amp;Table1[[#This Row],[id_origen]]</f>
        <v>243 - 602</v>
      </c>
    </row>
    <row r="4497" spans="1:22" hidden="1">
      <c r="A4497">
        <v>2761</v>
      </c>
      <c r="B4497">
        <v>3300</v>
      </c>
      <c r="C4497">
        <v>64</v>
      </c>
      <c r="D4497">
        <v>6644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 t="s">
        <v>20</v>
      </c>
      <c r="L4497" s="1">
        <v>44424</v>
      </c>
      <c r="M4497">
        <v>276</v>
      </c>
      <c r="N4497">
        <v>602</v>
      </c>
      <c r="O4497">
        <v>99</v>
      </c>
      <c r="P4497">
        <v>150</v>
      </c>
      <c r="Q4497">
        <v>99</v>
      </c>
      <c r="S4497">
        <v>506</v>
      </c>
      <c r="T4497">
        <v>580</v>
      </c>
      <c r="U4497">
        <f>+SUM(Table1[[#This Row],[Latinos]:[Cemex]])</f>
        <v>1</v>
      </c>
      <c r="V4497" t="str">
        <f>+Table1[[#This Row],[id_destino]]&amp;" - "&amp;Table1[[#This Row],[id_origen]]</f>
        <v>276 - 602</v>
      </c>
    </row>
    <row r="4498" spans="1:22" hidden="1">
      <c r="A4498">
        <v>2364</v>
      </c>
      <c r="B4498">
        <v>3299</v>
      </c>
      <c r="C4498">
        <v>64</v>
      </c>
      <c r="D4498">
        <v>6356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 t="s">
        <v>20</v>
      </c>
      <c r="L4498" s="1">
        <v>43987</v>
      </c>
      <c r="M4498">
        <v>290</v>
      </c>
      <c r="N4498">
        <v>602</v>
      </c>
      <c r="O4498">
        <v>52</v>
      </c>
      <c r="P4498">
        <v>100</v>
      </c>
      <c r="Q4498">
        <v>51</v>
      </c>
      <c r="S4498">
        <v>225</v>
      </c>
      <c r="T4498">
        <v>225</v>
      </c>
      <c r="U4498">
        <f>+SUM(Table1[[#This Row],[Latinos]:[Cemex]])</f>
        <v>1</v>
      </c>
      <c r="V4498" t="str">
        <f>+Table1[[#This Row],[id_destino]]&amp;" - "&amp;Table1[[#This Row],[id_origen]]</f>
        <v>290 - 602</v>
      </c>
    </row>
    <row r="4499" spans="1:22" hidden="1">
      <c r="A4499">
        <v>1373</v>
      </c>
      <c r="B4499">
        <v>2707</v>
      </c>
      <c r="C4499">
        <v>4608</v>
      </c>
      <c r="D4499">
        <v>5736</v>
      </c>
      <c r="E4499">
        <v>0</v>
      </c>
      <c r="F4499">
        <v>1</v>
      </c>
      <c r="G4499">
        <v>0</v>
      </c>
      <c r="H4499">
        <v>0</v>
      </c>
      <c r="I4499">
        <v>0</v>
      </c>
      <c r="J4499">
        <v>0</v>
      </c>
      <c r="K4499" t="s">
        <v>20</v>
      </c>
      <c r="L4499" s="1">
        <v>43409</v>
      </c>
      <c r="M4499">
        <v>384</v>
      </c>
      <c r="N4499">
        <v>602</v>
      </c>
      <c r="O4499">
        <v>140</v>
      </c>
      <c r="P4499">
        <v>150</v>
      </c>
      <c r="Q4499">
        <v>140</v>
      </c>
      <c r="S4499">
        <v>232</v>
      </c>
      <c r="T4499">
        <v>232</v>
      </c>
      <c r="U4499">
        <f>+SUM(Table1[[#This Row],[Latinos]:[Cemex]])</f>
        <v>1</v>
      </c>
      <c r="V4499" t="str">
        <f>+Table1[[#This Row],[id_destino]]&amp;" - "&amp;Table1[[#This Row],[id_origen]]</f>
        <v>384 - 602</v>
      </c>
    </row>
    <row r="4500" spans="1:22" hidden="1">
      <c r="A4500">
        <v>2257</v>
      </c>
      <c r="B4500">
        <v>3235</v>
      </c>
      <c r="C4500">
        <v>4608</v>
      </c>
      <c r="D4500">
        <v>6293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 t="s">
        <v>20</v>
      </c>
      <c r="L4500" s="1">
        <v>43882</v>
      </c>
      <c r="M4500">
        <v>385</v>
      </c>
      <c r="N4500">
        <v>602</v>
      </c>
      <c r="O4500">
        <v>114</v>
      </c>
      <c r="P4500">
        <v>150</v>
      </c>
      <c r="Q4500">
        <v>114</v>
      </c>
      <c r="S4500">
        <v>350</v>
      </c>
      <c r="T4500">
        <v>350</v>
      </c>
      <c r="U4500">
        <f>+SUM(Table1[[#This Row],[Latinos]:[Cemex]])</f>
        <v>1</v>
      </c>
      <c r="V4500" t="str">
        <f>+Table1[[#This Row],[id_destino]]&amp;" - "&amp;Table1[[#This Row],[id_origen]]</f>
        <v>385 - 602</v>
      </c>
    </row>
    <row r="4501" spans="1:22" hidden="1">
      <c r="A4501">
        <v>2798</v>
      </c>
      <c r="B4501">
        <v>3572</v>
      </c>
      <c r="C4501">
        <v>64</v>
      </c>
      <c r="D4501">
        <v>6675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  <c r="K4501" t="s">
        <v>20</v>
      </c>
      <c r="L4501" s="1">
        <v>44450</v>
      </c>
      <c r="M4501">
        <v>423</v>
      </c>
      <c r="N4501">
        <v>602</v>
      </c>
      <c r="O4501">
        <v>25</v>
      </c>
      <c r="P4501">
        <v>100</v>
      </c>
      <c r="Q4501">
        <v>25</v>
      </c>
      <c r="S4501">
        <v>20</v>
      </c>
      <c r="T4501">
        <v>20</v>
      </c>
      <c r="U4501">
        <f>+SUM(Table1[[#This Row],[Latinos]:[Cemex]])</f>
        <v>1</v>
      </c>
      <c r="V4501" t="str">
        <f>+Table1[[#This Row],[id_destino]]&amp;" - "&amp;Table1[[#This Row],[id_origen]]</f>
        <v>423 - 602</v>
      </c>
    </row>
    <row r="4502" spans="1:22" hidden="1">
      <c r="A4502">
        <v>2946</v>
      </c>
      <c r="B4502">
        <v>3672</v>
      </c>
      <c r="C4502">
        <v>64</v>
      </c>
      <c r="D4502">
        <v>6825</v>
      </c>
      <c r="E4502">
        <v>0</v>
      </c>
      <c r="F4502">
        <v>1</v>
      </c>
      <c r="G4502">
        <v>0</v>
      </c>
      <c r="H4502">
        <v>0</v>
      </c>
      <c r="I4502">
        <v>0</v>
      </c>
      <c r="J4502">
        <v>0</v>
      </c>
      <c r="K4502" t="s">
        <v>20</v>
      </c>
      <c r="L4502" s="1">
        <v>44632</v>
      </c>
      <c r="M4502">
        <v>544</v>
      </c>
      <c r="N4502">
        <v>602</v>
      </c>
      <c r="O4502">
        <v>877</v>
      </c>
      <c r="P4502">
        <v>899</v>
      </c>
      <c r="Q4502">
        <v>877</v>
      </c>
      <c r="S4502">
        <v>1330</v>
      </c>
      <c r="T4502">
        <v>1330</v>
      </c>
      <c r="U4502">
        <f>+SUM(Table1[[#This Row],[Latinos]:[Cemex]])</f>
        <v>1</v>
      </c>
      <c r="V4502" t="str">
        <f>+Table1[[#This Row],[id_destino]]&amp;" - "&amp;Table1[[#This Row],[id_origen]]</f>
        <v>544 - 602</v>
      </c>
    </row>
    <row r="4503" spans="1:22" hidden="1">
      <c r="A4503">
        <v>524</v>
      </c>
      <c r="B4503">
        <v>2331</v>
      </c>
      <c r="C4503">
        <v>4608</v>
      </c>
      <c r="D4503">
        <v>72</v>
      </c>
      <c r="E4503">
        <v>0</v>
      </c>
      <c r="F4503">
        <v>1</v>
      </c>
      <c r="G4503">
        <v>0</v>
      </c>
      <c r="H4503">
        <v>0</v>
      </c>
      <c r="I4503">
        <v>0</v>
      </c>
      <c r="J4503">
        <v>0</v>
      </c>
      <c r="K4503" t="s">
        <v>20</v>
      </c>
      <c r="L4503" s="1">
        <v>43088</v>
      </c>
      <c r="M4503">
        <v>669</v>
      </c>
      <c r="N4503">
        <v>602</v>
      </c>
      <c r="O4503">
        <v>334</v>
      </c>
      <c r="P4503">
        <v>334</v>
      </c>
      <c r="Q4503">
        <v>334</v>
      </c>
      <c r="S4503">
        <v>283</v>
      </c>
      <c r="T4503">
        <v>283</v>
      </c>
      <c r="U4503">
        <f>+SUM(Table1[[#This Row],[Latinos]:[Cemex]])</f>
        <v>1</v>
      </c>
      <c r="V4503" t="str">
        <f>+Table1[[#This Row],[id_destino]]&amp;" - "&amp;Table1[[#This Row],[id_origen]]</f>
        <v>669 - 602</v>
      </c>
    </row>
    <row r="4504" spans="1:22" hidden="1">
      <c r="A4504">
        <v>1748</v>
      </c>
      <c r="B4504">
        <v>2914</v>
      </c>
      <c r="C4504">
        <v>64</v>
      </c>
      <c r="D4504">
        <v>1548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 t="s">
        <v>20</v>
      </c>
      <c r="L4504" s="1">
        <v>43599</v>
      </c>
      <c r="M4504">
        <v>684</v>
      </c>
      <c r="N4504">
        <v>602</v>
      </c>
      <c r="O4504">
        <v>298</v>
      </c>
      <c r="P4504">
        <v>318</v>
      </c>
      <c r="Q4504">
        <v>298</v>
      </c>
      <c r="S4504">
        <v>743</v>
      </c>
      <c r="T4504">
        <v>743</v>
      </c>
      <c r="U4504">
        <f>+SUM(Table1[[#This Row],[Latinos]:[Cemex]])</f>
        <v>1</v>
      </c>
      <c r="V4504" t="str">
        <f>+Table1[[#This Row],[id_destino]]&amp;" - "&amp;Table1[[#This Row],[id_origen]]</f>
        <v>684 - 602</v>
      </c>
    </row>
    <row r="4505" spans="1:22" hidden="1">
      <c r="A4505">
        <v>4786</v>
      </c>
      <c r="B4505">
        <v>4906</v>
      </c>
      <c r="C4505">
        <v>64</v>
      </c>
      <c r="D4505">
        <v>6810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0</v>
      </c>
      <c r="K4505" t="s">
        <v>20</v>
      </c>
      <c r="L4505" s="1">
        <v>45825</v>
      </c>
      <c r="M4505">
        <v>843</v>
      </c>
      <c r="N4505">
        <v>602</v>
      </c>
      <c r="O4505">
        <v>1081</v>
      </c>
      <c r="P4505">
        <v>1042</v>
      </c>
      <c r="Q4505">
        <v>1081</v>
      </c>
      <c r="S4505">
        <v>1881</v>
      </c>
      <c r="T4505">
        <v>1881</v>
      </c>
      <c r="U4505">
        <f>+SUM(Table1[[#This Row],[Latinos]:[Cemex]])</f>
        <v>1</v>
      </c>
      <c r="V4505" t="str">
        <f>+Table1[[#This Row],[id_destino]]&amp;" - "&amp;Table1[[#This Row],[id_origen]]</f>
        <v>843 - 602</v>
      </c>
    </row>
    <row r="4506" spans="1:22" hidden="1">
      <c r="A4506">
        <v>2933</v>
      </c>
      <c r="B4506">
        <v>3665</v>
      </c>
      <c r="C4506">
        <v>6809</v>
      </c>
      <c r="D4506">
        <v>803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 t="s">
        <v>20</v>
      </c>
      <c r="L4506" s="1">
        <v>44625</v>
      </c>
      <c r="M4506">
        <v>1</v>
      </c>
      <c r="N4506">
        <v>612</v>
      </c>
      <c r="O4506">
        <v>50</v>
      </c>
      <c r="P4506">
        <v>150</v>
      </c>
      <c r="Q4506">
        <v>100</v>
      </c>
      <c r="S4506">
        <v>0</v>
      </c>
      <c r="T4506">
        <v>0</v>
      </c>
      <c r="U4506">
        <f>+SUM(Table1[[#This Row],[Latinos]:[Cemex]])</f>
        <v>1</v>
      </c>
      <c r="V4506" t="str">
        <f>+Table1[[#This Row],[id_destino]]&amp;" - "&amp;Table1[[#This Row],[id_origen]]</f>
        <v>1 - 612</v>
      </c>
    </row>
    <row r="4507" spans="1:22" hidden="1">
      <c r="A4507">
        <v>3416</v>
      </c>
      <c r="B4507">
        <v>3974</v>
      </c>
      <c r="C4507">
        <v>7089</v>
      </c>
      <c r="D4507">
        <v>6982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  <c r="K4507" t="s">
        <v>20</v>
      </c>
      <c r="L4507" s="1">
        <v>44881</v>
      </c>
      <c r="M4507">
        <v>20</v>
      </c>
      <c r="N4507">
        <v>615</v>
      </c>
      <c r="O4507">
        <v>222</v>
      </c>
      <c r="P4507">
        <v>227</v>
      </c>
      <c r="Q4507">
        <v>222</v>
      </c>
      <c r="S4507">
        <v>551</v>
      </c>
      <c r="T4507">
        <v>551</v>
      </c>
      <c r="U4507">
        <f>+SUM(Table1[[#This Row],[Latinos]:[Cemex]])</f>
        <v>1</v>
      </c>
      <c r="V4507" t="str">
        <f>+Table1[[#This Row],[id_destino]]&amp;" - "&amp;Table1[[#This Row],[id_origen]]</f>
        <v>20 - 615</v>
      </c>
    </row>
    <row r="4508" spans="1:22" hidden="1">
      <c r="A4508">
        <v>1258</v>
      </c>
      <c r="B4508">
        <v>984</v>
      </c>
      <c r="C4508">
        <v>5001</v>
      </c>
      <c r="D4508">
        <v>44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0</v>
      </c>
      <c r="K4508" t="s">
        <v>20</v>
      </c>
      <c r="L4508" s="1">
        <v>43355</v>
      </c>
      <c r="M4508">
        <v>38</v>
      </c>
      <c r="N4508">
        <v>615</v>
      </c>
      <c r="O4508">
        <v>166</v>
      </c>
      <c r="P4508">
        <v>156</v>
      </c>
      <c r="Q4508">
        <v>166</v>
      </c>
      <c r="S4508">
        <v>756</v>
      </c>
      <c r="T4508">
        <v>756</v>
      </c>
      <c r="U4508">
        <f>+SUM(Table1[[#This Row],[Latinos]:[Cemex]])</f>
        <v>1</v>
      </c>
      <c r="V4508" t="str">
        <f>+Table1[[#This Row],[id_destino]]&amp;" - "&amp;Table1[[#This Row],[id_origen]]</f>
        <v>38 - 615</v>
      </c>
    </row>
    <row r="4509" spans="1:22" hidden="1">
      <c r="A4509">
        <v>4390</v>
      </c>
      <c r="B4509">
        <v>4622</v>
      </c>
      <c r="C4509">
        <v>7506</v>
      </c>
      <c r="D4509">
        <v>7524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  <c r="K4509" t="s">
        <v>20</v>
      </c>
      <c r="L4509" s="1">
        <v>45513</v>
      </c>
      <c r="M4509">
        <v>79</v>
      </c>
      <c r="N4509">
        <v>615</v>
      </c>
      <c r="O4509">
        <v>448</v>
      </c>
      <c r="P4509">
        <v>468</v>
      </c>
      <c r="Q4509">
        <v>448</v>
      </c>
      <c r="S4509">
        <v>1761</v>
      </c>
      <c r="T4509">
        <v>1773</v>
      </c>
      <c r="U4509">
        <f>+SUM(Table1[[#This Row],[Latinos]:[Cemex]])</f>
        <v>1</v>
      </c>
      <c r="V4509" t="str">
        <f>+Table1[[#This Row],[id_destino]]&amp;" - "&amp;Table1[[#This Row],[id_origen]]</f>
        <v>79 - 615</v>
      </c>
    </row>
    <row r="4510" spans="1:22" hidden="1">
      <c r="A4510">
        <v>3992</v>
      </c>
      <c r="B4510">
        <v>4340</v>
      </c>
      <c r="C4510">
        <v>7506</v>
      </c>
      <c r="D4510">
        <v>764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 t="s">
        <v>20</v>
      </c>
      <c r="L4510" s="1">
        <v>45225</v>
      </c>
      <c r="M4510">
        <v>144</v>
      </c>
      <c r="N4510">
        <v>615</v>
      </c>
      <c r="O4510">
        <v>82</v>
      </c>
      <c r="P4510">
        <v>150</v>
      </c>
      <c r="Q4510">
        <v>82</v>
      </c>
      <c r="S4510">
        <v>179</v>
      </c>
      <c r="T4510">
        <v>179</v>
      </c>
      <c r="U4510">
        <f>+SUM(Table1[[#This Row],[Latinos]:[Cemex]])</f>
        <v>1</v>
      </c>
      <c r="V4510" t="str">
        <f>+Table1[[#This Row],[id_destino]]&amp;" - "&amp;Table1[[#This Row],[id_origen]]</f>
        <v>144 - 615</v>
      </c>
    </row>
    <row r="4511" spans="1:22" hidden="1">
      <c r="A4511">
        <v>3975</v>
      </c>
      <c r="B4511">
        <v>4332</v>
      </c>
      <c r="C4511">
        <v>7506</v>
      </c>
      <c r="D4511">
        <v>7507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0</v>
      </c>
      <c r="K4511" t="s">
        <v>20</v>
      </c>
      <c r="L4511" s="1">
        <v>45212</v>
      </c>
      <c r="M4511">
        <v>169</v>
      </c>
      <c r="N4511">
        <v>615</v>
      </c>
      <c r="O4511">
        <v>146</v>
      </c>
      <c r="P4511">
        <v>139</v>
      </c>
      <c r="Q4511">
        <v>146</v>
      </c>
      <c r="S4511">
        <v>193</v>
      </c>
      <c r="T4511">
        <v>193</v>
      </c>
      <c r="U4511">
        <f>+SUM(Table1[[#This Row],[Latinos]:[Cemex]])</f>
        <v>1</v>
      </c>
      <c r="V4511" t="str">
        <f>+Table1[[#This Row],[id_destino]]&amp;" - "&amp;Table1[[#This Row],[id_origen]]</f>
        <v>169 - 615</v>
      </c>
    </row>
    <row r="4512" spans="1:22" hidden="1">
      <c r="A4512">
        <v>4237</v>
      </c>
      <c r="B4512">
        <v>4514</v>
      </c>
      <c r="C4512">
        <v>2361</v>
      </c>
      <c r="D4512">
        <v>7720</v>
      </c>
      <c r="E4512">
        <v>0</v>
      </c>
      <c r="F4512">
        <v>1</v>
      </c>
      <c r="G4512">
        <v>0</v>
      </c>
      <c r="H4512">
        <v>0</v>
      </c>
      <c r="I4512">
        <v>0</v>
      </c>
      <c r="J4512">
        <v>0</v>
      </c>
      <c r="K4512" t="s">
        <v>20</v>
      </c>
      <c r="L4512" s="1">
        <v>45388</v>
      </c>
      <c r="M4512">
        <v>7</v>
      </c>
      <c r="N4512">
        <v>623</v>
      </c>
      <c r="O4512">
        <v>2161</v>
      </c>
      <c r="P4512">
        <v>2083</v>
      </c>
      <c r="Q4512">
        <v>2161</v>
      </c>
      <c r="S4512">
        <v>5909</v>
      </c>
      <c r="T4512">
        <v>6499</v>
      </c>
      <c r="U4512">
        <f>+SUM(Table1[[#This Row],[Latinos]:[Cemex]])</f>
        <v>1</v>
      </c>
      <c r="V4512" t="str">
        <f>+Table1[[#This Row],[id_destino]]&amp;" - "&amp;Table1[[#This Row],[id_origen]]</f>
        <v>7 - 623</v>
      </c>
    </row>
    <row r="4513" spans="1:22" hidden="1">
      <c r="A4513">
        <v>4590</v>
      </c>
      <c r="B4513">
        <v>4514</v>
      </c>
      <c r="C4513">
        <v>2361</v>
      </c>
      <c r="D4513">
        <v>6471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 t="s">
        <v>37</v>
      </c>
      <c r="L4513" s="1">
        <v>45637</v>
      </c>
      <c r="M4513">
        <v>7</v>
      </c>
      <c r="N4513">
        <v>623</v>
      </c>
      <c r="O4513">
        <v>2163</v>
      </c>
      <c r="P4513">
        <v>2163</v>
      </c>
      <c r="Q4513">
        <v>2163</v>
      </c>
      <c r="S4513">
        <v>3747</v>
      </c>
      <c r="T4513">
        <v>3747</v>
      </c>
      <c r="U4513">
        <f>+SUM(Table1[[#This Row],[Latinos]:[Cemex]])</f>
        <v>1</v>
      </c>
      <c r="V4513" t="str">
        <f>+Table1[[#This Row],[id_destino]]&amp;" - "&amp;Table1[[#This Row],[id_origen]]</f>
        <v>7 - 623</v>
      </c>
    </row>
    <row r="4514" spans="1:22" hidden="1">
      <c r="A4514">
        <v>1769</v>
      </c>
      <c r="B4514">
        <v>2928</v>
      </c>
      <c r="C4514">
        <v>2361</v>
      </c>
      <c r="D4514">
        <v>18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 t="s">
        <v>20</v>
      </c>
      <c r="L4514" s="1">
        <v>43614</v>
      </c>
      <c r="M4514">
        <v>17</v>
      </c>
      <c r="N4514">
        <v>623</v>
      </c>
      <c r="O4514">
        <v>400</v>
      </c>
      <c r="P4514">
        <v>400</v>
      </c>
      <c r="Q4514">
        <v>400</v>
      </c>
      <c r="S4514">
        <v>331</v>
      </c>
      <c r="T4514">
        <v>369</v>
      </c>
      <c r="U4514">
        <f>+SUM(Table1[[#This Row],[Latinos]:[Cemex]])</f>
        <v>1</v>
      </c>
      <c r="V4514" t="str">
        <f>+Table1[[#This Row],[id_destino]]&amp;" - "&amp;Table1[[#This Row],[id_origen]]</f>
        <v>17 - 623</v>
      </c>
    </row>
    <row r="4515" spans="1:22" hidden="1">
      <c r="A4515">
        <v>4629</v>
      </c>
      <c r="B4515">
        <v>4807</v>
      </c>
      <c r="C4515">
        <v>2361</v>
      </c>
      <c r="D4515">
        <v>7549</v>
      </c>
      <c r="E4515">
        <v>0</v>
      </c>
      <c r="F4515">
        <v>1</v>
      </c>
      <c r="G4515">
        <v>0</v>
      </c>
      <c r="H4515">
        <v>0</v>
      </c>
      <c r="I4515">
        <v>0</v>
      </c>
      <c r="J4515">
        <v>0</v>
      </c>
      <c r="K4515" t="s">
        <v>20</v>
      </c>
      <c r="L4515" s="1">
        <v>45684</v>
      </c>
      <c r="M4515">
        <v>20</v>
      </c>
      <c r="N4515">
        <v>623</v>
      </c>
      <c r="O4515">
        <v>487</v>
      </c>
      <c r="P4515">
        <v>466</v>
      </c>
      <c r="Q4515">
        <v>487</v>
      </c>
      <c r="S4515">
        <v>1779</v>
      </c>
      <c r="T4515">
        <v>1779</v>
      </c>
      <c r="U4515">
        <f>+SUM(Table1[[#This Row],[Latinos]:[Cemex]])</f>
        <v>1</v>
      </c>
      <c r="V4515" t="str">
        <f>+Table1[[#This Row],[id_destino]]&amp;" - "&amp;Table1[[#This Row],[id_origen]]</f>
        <v>20 - 623</v>
      </c>
    </row>
    <row r="4516" spans="1:22" hidden="1">
      <c r="A4516">
        <v>4630</v>
      </c>
      <c r="B4516">
        <v>2528</v>
      </c>
      <c r="C4516">
        <v>2361</v>
      </c>
      <c r="D4516">
        <v>8104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  <c r="K4516" t="s">
        <v>20</v>
      </c>
      <c r="L4516" s="1">
        <v>45684</v>
      </c>
      <c r="M4516">
        <v>23</v>
      </c>
      <c r="N4516">
        <v>623</v>
      </c>
      <c r="O4516">
        <v>473</v>
      </c>
      <c r="P4516">
        <v>1779</v>
      </c>
      <c r="Q4516">
        <v>473</v>
      </c>
      <c r="S4516">
        <v>1779</v>
      </c>
      <c r="T4516">
        <v>1779</v>
      </c>
      <c r="U4516">
        <f>+SUM(Table1[[#This Row],[Latinos]:[Cemex]])</f>
        <v>1</v>
      </c>
      <c r="V4516" t="str">
        <f>+Table1[[#This Row],[id_destino]]&amp;" - "&amp;Table1[[#This Row],[id_origen]]</f>
        <v>23 - 623</v>
      </c>
    </row>
    <row r="4517" spans="1:22" hidden="1">
      <c r="A4517">
        <v>2318</v>
      </c>
      <c r="B4517">
        <v>3269</v>
      </c>
      <c r="C4517">
        <v>2361</v>
      </c>
      <c r="D4517">
        <v>34</v>
      </c>
      <c r="E4517">
        <v>0</v>
      </c>
      <c r="F4517">
        <v>1</v>
      </c>
      <c r="G4517">
        <v>0</v>
      </c>
      <c r="H4517">
        <v>0</v>
      </c>
      <c r="I4517">
        <v>0</v>
      </c>
      <c r="J4517">
        <v>0</v>
      </c>
      <c r="K4517" t="s">
        <v>20</v>
      </c>
      <c r="L4517" s="1">
        <v>43927</v>
      </c>
      <c r="M4517">
        <v>30</v>
      </c>
      <c r="N4517">
        <v>623</v>
      </c>
      <c r="O4517">
        <v>652</v>
      </c>
      <c r="P4517">
        <v>699</v>
      </c>
      <c r="Q4517">
        <v>652</v>
      </c>
      <c r="S4517">
        <v>3520</v>
      </c>
      <c r="T4517">
        <v>3520</v>
      </c>
      <c r="U4517">
        <f>+SUM(Table1[[#This Row],[Latinos]:[Cemex]])</f>
        <v>1</v>
      </c>
      <c r="V4517" t="str">
        <f>+Table1[[#This Row],[id_destino]]&amp;" - "&amp;Table1[[#This Row],[id_origen]]</f>
        <v>30 - 623</v>
      </c>
    </row>
    <row r="4518" spans="1:22" hidden="1">
      <c r="A4518">
        <v>2053</v>
      </c>
      <c r="B4518">
        <v>1533</v>
      </c>
      <c r="C4518">
        <v>2361</v>
      </c>
      <c r="D4518">
        <v>35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  <c r="K4518" t="s">
        <v>20</v>
      </c>
      <c r="L4518" s="1">
        <v>43788</v>
      </c>
      <c r="M4518">
        <v>31</v>
      </c>
      <c r="N4518">
        <v>623</v>
      </c>
      <c r="O4518">
        <v>853</v>
      </c>
      <c r="P4518">
        <v>853</v>
      </c>
      <c r="Q4518">
        <v>853</v>
      </c>
      <c r="S4518">
        <v>1915</v>
      </c>
      <c r="T4518">
        <v>1915</v>
      </c>
      <c r="U4518">
        <f>+SUM(Table1[[#This Row],[Latinos]:[Cemex]])</f>
        <v>1</v>
      </c>
      <c r="V4518" t="str">
        <f>+Table1[[#This Row],[id_destino]]&amp;" - "&amp;Table1[[#This Row],[id_origen]]</f>
        <v>31 - 623</v>
      </c>
    </row>
    <row r="4519" spans="1:22" hidden="1">
      <c r="A4519">
        <v>1139</v>
      </c>
      <c r="B4519">
        <v>2598</v>
      </c>
      <c r="C4519">
        <v>2361</v>
      </c>
      <c r="D4519">
        <v>35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 t="s">
        <v>20</v>
      </c>
      <c r="L4519" s="1">
        <v>43308</v>
      </c>
      <c r="M4519">
        <v>31</v>
      </c>
      <c r="N4519">
        <v>623</v>
      </c>
      <c r="O4519">
        <v>853</v>
      </c>
      <c r="P4519">
        <v>902</v>
      </c>
      <c r="Q4519">
        <v>853</v>
      </c>
      <c r="S4519">
        <v>4153</v>
      </c>
      <c r="T4519">
        <v>4153</v>
      </c>
      <c r="U4519">
        <f>+SUM(Table1[[#This Row],[Latinos]:[Cemex]])</f>
        <v>1</v>
      </c>
      <c r="V4519" t="str">
        <f>+Table1[[#This Row],[id_destino]]&amp;" - "&amp;Table1[[#This Row],[id_origen]]</f>
        <v>31 - 623</v>
      </c>
    </row>
    <row r="4520" spans="1:22" hidden="1">
      <c r="A4520">
        <v>2817</v>
      </c>
      <c r="B4520">
        <v>3589</v>
      </c>
      <c r="C4520">
        <v>2361</v>
      </c>
      <c r="D4520">
        <v>40</v>
      </c>
      <c r="E4520">
        <v>0</v>
      </c>
      <c r="F4520">
        <v>1</v>
      </c>
      <c r="G4520">
        <v>0</v>
      </c>
      <c r="H4520">
        <v>0</v>
      </c>
      <c r="I4520">
        <v>0</v>
      </c>
      <c r="J4520">
        <v>0</v>
      </c>
      <c r="K4520" t="s">
        <v>20</v>
      </c>
      <c r="L4520" s="1">
        <v>44483</v>
      </c>
      <c r="M4520">
        <v>34</v>
      </c>
      <c r="N4520">
        <v>623</v>
      </c>
      <c r="O4520">
        <v>502</v>
      </c>
      <c r="P4520">
        <v>520</v>
      </c>
      <c r="Q4520">
        <v>502</v>
      </c>
      <c r="S4520">
        <v>616</v>
      </c>
      <c r="T4520">
        <v>738</v>
      </c>
      <c r="U4520">
        <f>+SUM(Table1[[#This Row],[Latinos]:[Cemex]])</f>
        <v>1</v>
      </c>
      <c r="V4520" t="str">
        <f>+Table1[[#This Row],[id_destino]]&amp;" - "&amp;Table1[[#This Row],[id_origen]]</f>
        <v>34 - 623</v>
      </c>
    </row>
    <row r="4521" spans="1:22" hidden="1">
      <c r="A4521">
        <v>901</v>
      </c>
      <c r="B4521">
        <v>1379</v>
      </c>
      <c r="C4521">
        <v>2361</v>
      </c>
      <c r="D4521">
        <v>3618</v>
      </c>
      <c r="E4521">
        <v>1</v>
      </c>
      <c r="F4521">
        <v>0</v>
      </c>
      <c r="G4521">
        <v>0</v>
      </c>
      <c r="H4521">
        <v>0</v>
      </c>
      <c r="I4521">
        <v>0</v>
      </c>
      <c r="J4521">
        <v>0</v>
      </c>
      <c r="K4521" t="s">
        <v>20</v>
      </c>
      <c r="L4521" s="1">
        <v>43768</v>
      </c>
      <c r="M4521">
        <v>35</v>
      </c>
      <c r="N4521">
        <v>623</v>
      </c>
      <c r="O4521">
        <v>883</v>
      </c>
      <c r="P4521">
        <v>910</v>
      </c>
      <c r="Q4521">
        <v>883</v>
      </c>
      <c r="S4521">
        <v>2046.55</v>
      </c>
      <c r="T4521">
        <v>2046.55</v>
      </c>
      <c r="U4521">
        <f>+SUM(Table1[[#This Row],[Latinos]:[Cemex]])</f>
        <v>1</v>
      </c>
      <c r="V4521" t="str">
        <f>+Table1[[#This Row],[id_destino]]&amp;" - "&amp;Table1[[#This Row],[id_origen]]</f>
        <v>35 - 623</v>
      </c>
    </row>
    <row r="4522" spans="1:22" hidden="1">
      <c r="A4522">
        <v>1110</v>
      </c>
      <c r="B4522">
        <v>1423</v>
      </c>
      <c r="C4522">
        <v>2361</v>
      </c>
      <c r="D4522">
        <v>949</v>
      </c>
      <c r="E4522">
        <v>0</v>
      </c>
      <c r="F4522">
        <v>1</v>
      </c>
      <c r="G4522">
        <v>0</v>
      </c>
      <c r="H4522">
        <v>0</v>
      </c>
      <c r="I4522">
        <v>0</v>
      </c>
      <c r="J4522">
        <v>0</v>
      </c>
      <c r="K4522" t="s">
        <v>20</v>
      </c>
      <c r="L4522" s="1">
        <v>43293</v>
      </c>
      <c r="M4522">
        <v>38</v>
      </c>
      <c r="N4522">
        <v>623</v>
      </c>
      <c r="O4522">
        <v>335</v>
      </c>
      <c r="P4522">
        <v>311</v>
      </c>
      <c r="Q4522">
        <v>335</v>
      </c>
      <c r="S4522">
        <v>1513</v>
      </c>
      <c r="T4522">
        <v>1513</v>
      </c>
      <c r="U4522">
        <f>+SUM(Table1[[#This Row],[Latinos]:[Cemex]])</f>
        <v>1</v>
      </c>
      <c r="V4522" t="str">
        <f>+Table1[[#This Row],[id_destino]]&amp;" - "&amp;Table1[[#This Row],[id_origen]]</f>
        <v>38 - 623</v>
      </c>
    </row>
    <row r="4523" spans="1:22" hidden="1">
      <c r="A4523">
        <v>1879</v>
      </c>
      <c r="B4523">
        <v>2992</v>
      </c>
      <c r="C4523">
        <v>2361</v>
      </c>
      <c r="D4523">
        <v>45</v>
      </c>
      <c r="E4523">
        <v>0</v>
      </c>
      <c r="F4523">
        <v>1</v>
      </c>
      <c r="G4523">
        <v>0</v>
      </c>
      <c r="H4523">
        <v>0</v>
      </c>
      <c r="I4523">
        <v>0</v>
      </c>
      <c r="J4523">
        <v>0</v>
      </c>
      <c r="K4523" t="s">
        <v>20</v>
      </c>
      <c r="L4523" s="1">
        <v>43686</v>
      </c>
      <c r="M4523">
        <v>39</v>
      </c>
      <c r="N4523">
        <v>623</v>
      </c>
      <c r="O4523">
        <v>416</v>
      </c>
      <c r="P4523">
        <v>416</v>
      </c>
      <c r="Q4523">
        <v>416</v>
      </c>
      <c r="S4523">
        <v>2179</v>
      </c>
      <c r="T4523">
        <v>2179</v>
      </c>
      <c r="U4523">
        <f>+SUM(Table1[[#This Row],[Latinos]:[Cemex]])</f>
        <v>1</v>
      </c>
      <c r="V4523" t="str">
        <f>+Table1[[#This Row],[id_destino]]&amp;" - "&amp;Table1[[#This Row],[id_origen]]</f>
        <v>39 - 623</v>
      </c>
    </row>
    <row r="4524" spans="1:22" hidden="1">
      <c r="A4524">
        <v>1181</v>
      </c>
      <c r="B4524">
        <v>1631</v>
      </c>
      <c r="C4524">
        <v>2361</v>
      </c>
      <c r="D4524">
        <v>5234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 t="s">
        <v>20</v>
      </c>
      <c r="L4524" s="1">
        <v>43333</v>
      </c>
      <c r="M4524">
        <v>61</v>
      </c>
      <c r="N4524">
        <v>623</v>
      </c>
      <c r="O4524">
        <v>2203</v>
      </c>
      <c r="P4524">
        <v>2228</v>
      </c>
      <c r="Q4524">
        <v>2203</v>
      </c>
      <c r="S4524">
        <v>4565</v>
      </c>
      <c r="T4524">
        <v>4715</v>
      </c>
      <c r="U4524">
        <f>+SUM(Table1[[#This Row],[Latinos]:[Cemex]])</f>
        <v>1</v>
      </c>
      <c r="V4524" t="str">
        <f>+Table1[[#This Row],[id_destino]]&amp;" - "&amp;Table1[[#This Row],[id_origen]]</f>
        <v>61 - 623</v>
      </c>
    </row>
    <row r="4525" spans="1:22" hidden="1">
      <c r="A4525">
        <v>4588</v>
      </c>
      <c r="B4525">
        <v>4778</v>
      </c>
      <c r="C4525">
        <v>2361</v>
      </c>
      <c r="D4525">
        <v>8062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  <c r="K4525" t="s">
        <v>20</v>
      </c>
      <c r="L4525" s="1">
        <v>45636</v>
      </c>
      <c r="M4525">
        <v>62</v>
      </c>
      <c r="N4525">
        <v>623</v>
      </c>
      <c r="O4525">
        <v>176</v>
      </c>
      <c r="P4525">
        <v>176</v>
      </c>
      <c r="Q4525">
        <v>176</v>
      </c>
      <c r="S4525">
        <v>155</v>
      </c>
      <c r="T4525">
        <v>155</v>
      </c>
      <c r="U4525">
        <f>+SUM(Table1[[#This Row],[Latinos]:[Cemex]])</f>
        <v>1</v>
      </c>
      <c r="V4525" t="str">
        <f>+Table1[[#This Row],[id_destino]]&amp;" - "&amp;Table1[[#This Row],[id_origen]]</f>
        <v>62 - 623</v>
      </c>
    </row>
    <row r="4526" spans="1:22" hidden="1">
      <c r="A4526">
        <v>3492</v>
      </c>
      <c r="B4526">
        <v>4024</v>
      </c>
      <c r="C4526">
        <v>2361</v>
      </c>
      <c r="D4526">
        <v>73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 t="s">
        <v>20</v>
      </c>
      <c r="L4526" s="1">
        <v>44925</v>
      </c>
      <c r="M4526">
        <v>63</v>
      </c>
      <c r="N4526">
        <v>623</v>
      </c>
      <c r="O4526">
        <v>472</v>
      </c>
      <c r="P4526">
        <v>495</v>
      </c>
      <c r="Q4526">
        <v>472</v>
      </c>
      <c r="S4526">
        <v>789</v>
      </c>
      <c r="T4526">
        <v>843</v>
      </c>
      <c r="U4526">
        <f>+SUM(Table1[[#This Row],[Latinos]:[Cemex]])</f>
        <v>1</v>
      </c>
      <c r="V4526" t="str">
        <f>+Table1[[#This Row],[id_destino]]&amp;" - "&amp;Table1[[#This Row],[id_origen]]</f>
        <v>63 - 623</v>
      </c>
    </row>
    <row r="4527" spans="1:22" hidden="1">
      <c r="A4527">
        <v>4062</v>
      </c>
      <c r="B4527">
        <v>4394</v>
      </c>
      <c r="C4527">
        <v>2361</v>
      </c>
      <c r="D4527">
        <v>2877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0</v>
      </c>
      <c r="K4527" t="s">
        <v>20</v>
      </c>
      <c r="L4527" s="1">
        <v>45271</v>
      </c>
      <c r="M4527">
        <v>65</v>
      </c>
      <c r="N4527">
        <v>623</v>
      </c>
      <c r="O4527">
        <v>625</v>
      </c>
      <c r="P4527">
        <v>617</v>
      </c>
      <c r="Q4527">
        <v>625</v>
      </c>
      <c r="S4527">
        <v>2513</v>
      </c>
      <c r="T4527">
        <v>2513</v>
      </c>
      <c r="U4527">
        <f>+SUM(Table1[[#This Row],[Latinos]:[Cemex]])</f>
        <v>1</v>
      </c>
      <c r="V4527" t="str">
        <f>+Table1[[#This Row],[id_destino]]&amp;" - "&amp;Table1[[#This Row],[id_origen]]</f>
        <v>65 - 623</v>
      </c>
    </row>
    <row r="4528" spans="1:22" hidden="1">
      <c r="A4528">
        <v>2789</v>
      </c>
      <c r="B4528">
        <v>1422</v>
      </c>
      <c r="C4528">
        <v>2361</v>
      </c>
      <c r="D4528">
        <v>268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  <c r="K4528" t="s">
        <v>20</v>
      </c>
      <c r="L4528" s="1">
        <v>44623</v>
      </c>
      <c r="M4528">
        <v>99</v>
      </c>
      <c r="N4528">
        <v>623</v>
      </c>
      <c r="O4528">
        <v>1684</v>
      </c>
      <c r="P4528">
        <v>1686</v>
      </c>
      <c r="Q4528">
        <v>1684</v>
      </c>
      <c r="S4528">
        <v>4570.3999999999996</v>
      </c>
      <c r="T4528">
        <v>4570.3999999999996</v>
      </c>
      <c r="U4528">
        <f>+SUM(Table1[[#This Row],[Latinos]:[Cemex]])</f>
        <v>1</v>
      </c>
      <c r="V4528" t="str">
        <f>+Table1[[#This Row],[id_destino]]&amp;" - "&amp;Table1[[#This Row],[id_origen]]</f>
        <v>99 - 623</v>
      </c>
    </row>
    <row r="4529" spans="1:22" hidden="1">
      <c r="A4529">
        <v>884</v>
      </c>
      <c r="B4529">
        <v>1274</v>
      </c>
      <c r="C4529">
        <v>2361</v>
      </c>
      <c r="D4529">
        <v>1555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 t="s">
        <v>20</v>
      </c>
      <c r="L4529" s="1">
        <v>45505</v>
      </c>
      <c r="M4529">
        <v>107</v>
      </c>
      <c r="N4529">
        <v>623</v>
      </c>
      <c r="O4529">
        <v>637</v>
      </c>
      <c r="P4529">
        <v>637</v>
      </c>
      <c r="Q4529">
        <v>637</v>
      </c>
      <c r="S4529">
        <v>1033</v>
      </c>
      <c r="T4529">
        <v>1033</v>
      </c>
      <c r="U4529">
        <f>+SUM(Table1[[#This Row],[Latinos]:[Cemex]])</f>
        <v>1</v>
      </c>
      <c r="V4529" t="str">
        <f>+Table1[[#This Row],[id_destino]]&amp;" - "&amp;Table1[[#This Row],[id_origen]]</f>
        <v>107 - 623</v>
      </c>
    </row>
    <row r="4530" spans="1:22" hidden="1">
      <c r="A4530">
        <v>890</v>
      </c>
      <c r="B4530">
        <v>1274</v>
      </c>
      <c r="C4530">
        <v>2361</v>
      </c>
      <c r="D4530">
        <v>1555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  <c r="K4530" t="s">
        <v>20</v>
      </c>
      <c r="L4530" s="1">
        <v>43206</v>
      </c>
      <c r="M4530">
        <v>107</v>
      </c>
      <c r="N4530">
        <v>623</v>
      </c>
      <c r="O4530">
        <v>637</v>
      </c>
      <c r="P4530">
        <v>637</v>
      </c>
      <c r="Q4530">
        <v>637</v>
      </c>
      <c r="S4530">
        <v>0</v>
      </c>
      <c r="T4530">
        <v>0</v>
      </c>
      <c r="U4530">
        <f>+SUM(Table1[[#This Row],[Latinos]:[Cemex]])</f>
        <v>1</v>
      </c>
      <c r="V4530" t="str">
        <f>+Table1[[#This Row],[id_destino]]&amp;" - "&amp;Table1[[#This Row],[id_origen]]</f>
        <v>107 - 623</v>
      </c>
    </row>
    <row r="4531" spans="1:22" hidden="1">
      <c r="A4531">
        <v>2441</v>
      </c>
      <c r="B4531">
        <v>3345</v>
      </c>
      <c r="C4531">
        <v>2361</v>
      </c>
      <c r="D4531">
        <v>1584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0</v>
      </c>
      <c r="K4531" t="s">
        <v>20</v>
      </c>
      <c r="L4531" s="1">
        <v>44079</v>
      </c>
      <c r="M4531">
        <v>118</v>
      </c>
      <c r="N4531">
        <v>623</v>
      </c>
      <c r="O4531">
        <v>2545</v>
      </c>
      <c r="P4531">
        <v>2556</v>
      </c>
      <c r="Q4531">
        <v>2545</v>
      </c>
      <c r="S4531">
        <v>4363</v>
      </c>
      <c r="T4531">
        <v>4505</v>
      </c>
      <c r="U4531">
        <f>+SUM(Table1[[#This Row],[Latinos]:[Cemex]])</f>
        <v>1</v>
      </c>
      <c r="V4531" t="str">
        <f>+Table1[[#This Row],[id_destino]]&amp;" - "&amp;Table1[[#This Row],[id_origen]]</f>
        <v>118 - 623</v>
      </c>
    </row>
    <row r="4532" spans="1:22" hidden="1">
      <c r="A4532">
        <v>2750</v>
      </c>
      <c r="B4532">
        <v>3543</v>
      </c>
      <c r="C4532">
        <v>2361</v>
      </c>
      <c r="D4532">
        <v>47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0</v>
      </c>
      <c r="K4532" t="s">
        <v>20</v>
      </c>
      <c r="L4532" s="1">
        <v>44410</v>
      </c>
      <c r="M4532">
        <v>129</v>
      </c>
      <c r="N4532">
        <v>623</v>
      </c>
      <c r="O4532">
        <v>958</v>
      </c>
      <c r="P4532">
        <v>972</v>
      </c>
      <c r="Q4532">
        <v>958</v>
      </c>
      <c r="S4532">
        <v>2521</v>
      </c>
      <c r="T4532">
        <v>2521</v>
      </c>
      <c r="U4532">
        <f>+SUM(Table1[[#This Row],[Latinos]:[Cemex]])</f>
        <v>1</v>
      </c>
      <c r="V4532" t="str">
        <f>+Table1[[#This Row],[id_destino]]&amp;" - "&amp;Table1[[#This Row],[id_origen]]</f>
        <v>129 - 623</v>
      </c>
    </row>
    <row r="4533" spans="1:22" hidden="1">
      <c r="A4533">
        <v>514</v>
      </c>
      <c r="B4533">
        <v>2328</v>
      </c>
      <c r="C4533">
        <v>2361</v>
      </c>
      <c r="D4533">
        <v>1645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0</v>
      </c>
      <c r="K4533" t="s">
        <v>20</v>
      </c>
      <c r="L4533" s="1">
        <v>43087</v>
      </c>
      <c r="M4533">
        <v>148</v>
      </c>
      <c r="N4533">
        <v>623</v>
      </c>
      <c r="O4533">
        <v>125</v>
      </c>
      <c r="P4533">
        <v>150</v>
      </c>
      <c r="Q4533">
        <v>125</v>
      </c>
      <c r="S4533">
        <v>64</v>
      </c>
      <c r="T4533">
        <v>64</v>
      </c>
      <c r="U4533">
        <f>+SUM(Table1[[#This Row],[Latinos]:[Cemex]])</f>
        <v>1</v>
      </c>
      <c r="V4533" t="str">
        <f>+Table1[[#This Row],[id_destino]]&amp;" - "&amp;Table1[[#This Row],[id_origen]]</f>
        <v>148 - 623</v>
      </c>
    </row>
    <row r="4534" spans="1:22" hidden="1">
      <c r="A4534">
        <v>1920</v>
      </c>
      <c r="B4534">
        <v>3017</v>
      </c>
      <c r="C4534">
        <v>2361</v>
      </c>
      <c r="D4534">
        <v>12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 t="s">
        <v>20</v>
      </c>
      <c r="L4534" s="1">
        <v>43717</v>
      </c>
      <c r="M4534">
        <v>169</v>
      </c>
      <c r="N4534">
        <v>623</v>
      </c>
      <c r="O4534">
        <v>171</v>
      </c>
      <c r="P4534">
        <v>177</v>
      </c>
      <c r="Q4534">
        <v>171</v>
      </c>
      <c r="S4534">
        <v>438</v>
      </c>
      <c r="T4534">
        <v>438</v>
      </c>
      <c r="U4534">
        <f>+SUM(Table1[[#This Row],[Latinos]:[Cemex]])</f>
        <v>1</v>
      </c>
      <c r="V4534" t="str">
        <f>+Table1[[#This Row],[id_destino]]&amp;" - "&amp;Table1[[#This Row],[id_origen]]</f>
        <v>169 - 623</v>
      </c>
    </row>
    <row r="4535" spans="1:22" hidden="1">
      <c r="A4535">
        <v>4065</v>
      </c>
      <c r="B4535">
        <v>4397</v>
      </c>
      <c r="C4535">
        <v>2361</v>
      </c>
      <c r="D4535">
        <v>7578</v>
      </c>
      <c r="E4535">
        <v>0</v>
      </c>
      <c r="F4535">
        <v>1</v>
      </c>
      <c r="G4535">
        <v>0</v>
      </c>
      <c r="H4535">
        <v>0</v>
      </c>
      <c r="I4535">
        <v>0</v>
      </c>
      <c r="J4535">
        <v>0</v>
      </c>
      <c r="K4535" t="s">
        <v>20</v>
      </c>
      <c r="L4535" s="1">
        <v>45262</v>
      </c>
      <c r="M4535">
        <v>173</v>
      </c>
      <c r="N4535">
        <v>623</v>
      </c>
      <c r="O4535">
        <v>231</v>
      </c>
      <c r="P4535">
        <v>277</v>
      </c>
      <c r="Q4535">
        <v>231</v>
      </c>
      <c r="S4535">
        <v>1172</v>
      </c>
      <c r="T4535">
        <v>1172</v>
      </c>
      <c r="U4535">
        <f>+SUM(Table1[[#This Row],[Latinos]:[Cemex]])</f>
        <v>1</v>
      </c>
      <c r="V4535" t="str">
        <f>+Table1[[#This Row],[id_destino]]&amp;" - "&amp;Table1[[#This Row],[id_origen]]</f>
        <v>173 - 623</v>
      </c>
    </row>
    <row r="4536" spans="1:22" hidden="1">
      <c r="A4536">
        <v>2711</v>
      </c>
      <c r="B4536">
        <v>3517</v>
      </c>
      <c r="C4536">
        <v>2361</v>
      </c>
      <c r="D4536">
        <v>24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 t="s">
        <v>20</v>
      </c>
      <c r="L4536" s="1">
        <v>44372</v>
      </c>
      <c r="M4536">
        <v>179</v>
      </c>
      <c r="N4536">
        <v>623</v>
      </c>
      <c r="O4536">
        <v>1598</v>
      </c>
      <c r="P4536">
        <v>1567</v>
      </c>
      <c r="Q4536">
        <v>1598</v>
      </c>
      <c r="S4536">
        <v>5371</v>
      </c>
      <c r="T4536">
        <v>5483</v>
      </c>
      <c r="U4536">
        <f>+SUM(Table1[[#This Row],[Latinos]:[Cemex]])</f>
        <v>1</v>
      </c>
      <c r="V4536" t="str">
        <f>+Table1[[#This Row],[id_destino]]&amp;" - "&amp;Table1[[#This Row],[id_origen]]</f>
        <v>179 - 623</v>
      </c>
    </row>
    <row r="4537" spans="1:22" hidden="1">
      <c r="A4537">
        <v>132</v>
      </c>
      <c r="B4537">
        <v>1533</v>
      </c>
      <c r="C4537">
        <v>2361</v>
      </c>
      <c r="D4537">
        <v>33</v>
      </c>
      <c r="E4537">
        <v>0</v>
      </c>
      <c r="F4537">
        <v>1</v>
      </c>
      <c r="G4537">
        <v>0</v>
      </c>
      <c r="H4537">
        <v>0</v>
      </c>
      <c r="I4537">
        <v>0</v>
      </c>
      <c r="J4537">
        <v>0</v>
      </c>
      <c r="K4537" t="s">
        <v>20</v>
      </c>
      <c r="L4537" s="1">
        <v>43340</v>
      </c>
      <c r="M4537">
        <v>260</v>
      </c>
      <c r="N4537">
        <v>623</v>
      </c>
      <c r="O4537">
        <v>1054</v>
      </c>
      <c r="P4537">
        <v>1078</v>
      </c>
      <c r="Q4537">
        <v>1054</v>
      </c>
      <c r="S4537">
        <v>1813</v>
      </c>
      <c r="T4537">
        <v>1887</v>
      </c>
      <c r="U4537">
        <f>+SUM(Table1[[#This Row],[Latinos]:[Cemex]])</f>
        <v>1</v>
      </c>
      <c r="V4537" t="str">
        <f>+Table1[[#This Row],[id_destino]]&amp;" - "&amp;Table1[[#This Row],[id_origen]]</f>
        <v>260 - 623</v>
      </c>
    </row>
    <row r="4538" spans="1:22" hidden="1">
      <c r="A4538">
        <v>4063</v>
      </c>
      <c r="B4538">
        <v>4395</v>
      </c>
      <c r="C4538">
        <v>2361</v>
      </c>
      <c r="D4538">
        <v>7577</v>
      </c>
      <c r="E4538">
        <v>0</v>
      </c>
      <c r="F4538">
        <v>1</v>
      </c>
      <c r="G4538">
        <v>0</v>
      </c>
      <c r="H4538">
        <v>0</v>
      </c>
      <c r="I4538">
        <v>0</v>
      </c>
      <c r="J4538">
        <v>0</v>
      </c>
      <c r="K4538" t="s">
        <v>20</v>
      </c>
      <c r="L4538" s="1">
        <v>45262</v>
      </c>
      <c r="M4538">
        <v>316</v>
      </c>
      <c r="N4538">
        <v>623</v>
      </c>
      <c r="O4538">
        <v>222</v>
      </c>
      <c r="P4538">
        <v>209</v>
      </c>
      <c r="Q4538">
        <v>222</v>
      </c>
      <c r="S4538">
        <v>1032</v>
      </c>
      <c r="T4538">
        <v>1032</v>
      </c>
      <c r="U4538">
        <f>+SUM(Table1[[#This Row],[Latinos]:[Cemex]])</f>
        <v>1</v>
      </c>
      <c r="V4538" t="str">
        <f>+Table1[[#This Row],[id_destino]]&amp;" - "&amp;Table1[[#This Row],[id_origen]]</f>
        <v>316 - 623</v>
      </c>
    </row>
    <row r="4539" spans="1:22" hidden="1">
      <c r="A4539">
        <v>4610</v>
      </c>
      <c r="B4539">
        <v>4792</v>
      </c>
      <c r="C4539">
        <v>2361</v>
      </c>
      <c r="D4539">
        <v>8083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 t="s">
        <v>20</v>
      </c>
      <c r="L4539" s="1">
        <v>45670</v>
      </c>
      <c r="M4539">
        <v>337</v>
      </c>
      <c r="N4539">
        <v>623</v>
      </c>
      <c r="O4539">
        <v>699</v>
      </c>
      <c r="P4539">
        <v>728</v>
      </c>
      <c r="Q4539">
        <v>699</v>
      </c>
      <c r="S4539">
        <v>511</v>
      </c>
      <c r="T4539">
        <v>511</v>
      </c>
      <c r="U4539">
        <f>+SUM(Table1[[#This Row],[Latinos]:[Cemex]])</f>
        <v>1</v>
      </c>
      <c r="V4539" t="str">
        <f>+Table1[[#This Row],[id_destino]]&amp;" - "&amp;Table1[[#This Row],[id_origen]]</f>
        <v>337 - 623</v>
      </c>
    </row>
    <row r="4540" spans="1:22" hidden="1">
      <c r="A4540">
        <v>2431</v>
      </c>
      <c r="B4540">
        <v>3339</v>
      </c>
      <c r="C4540">
        <v>2361</v>
      </c>
      <c r="D4540">
        <v>805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0</v>
      </c>
      <c r="K4540" t="s">
        <v>86</v>
      </c>
      <c r="L4540" s="1">
        <v>44069</v>
      </c>
      <c r="M4540">
        <v>451</v>
      </c>
      <c r="N4540">
        <v>623</v>
      </c>
      <c r="O4540">
        <v>1491</v>
      </c>
      <c r="P4540">
        <v>1487</v>
      </c>
      <c r="Q4540">
        <v>1491</v>
      </c>
      <c r="S4540">
        <v>2004</v>
      </c>
      <c r="T4540">
        <v>2004</v>
      </c>
      <c r="U4540">
        <f>+SUM(Table1[[#This Row],[Latinos]:[Cemex]])</f>
        <v>1</v>
      </c>
      <c r="V4540" t="str">
        <f>+Table1[[#This Row],[id_destino]]&amp;" - "&amp;Table1[[#This Row],[id_origen]]</f>
        <v>451 - 623</v>
      </c>
    </row>
    <row r="4541" spans="1:22" hidden="1">
      <c r="A4541">
        <v>3803</v>
      </c>
      <c r="B4541">
        <v>4230</v>
      </c>
      <c r="C4541">
        <v>2361</v>
      </c>
      <c r="D4541">
        <v>7933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0</v>
      </c>
      <c r="K4541" t="s">
        <v>20</v>
      </c>
      <c r="L4541" s="1">
        <v>45563</v>
      </c>
      <c r="M4541">
        <v>507</v>
      </c>
      <c r="N4541">
        <v>623</v>
      </c>
      <c r="O4541">
        <v>289</v>
      </c>
      <c r="P4541">
        <v>273</v>
      </c>
      <c r="Q4541">
        <v>289</v>
      </c>
      <c r="S4541">
        <v>331</v>
      </c>
      <c r="T4541">
        <v>369</v>
      </c>
      <c r="U4541">
        <f>+SUM(Table1[[#This Row],[Latinos]:[Cemex]])</f>
        <v>1</v>
      </c>
      <c r="V4541" t="str">
        <f>+Table1[[#This Row],[id_destino]]&amp;" - "&amp;Table1[[#This Row],[id_origen]]</f>
        <v>507 - 623</v>
      </c>
    </row>
    <row r="4542" spans="1:22" hidden="1">
      <c r="A4542">
        <v>4637</v>
      </c>
      <c r="B4542">
        <v>4811</v>
      </c>
      <c r="C4542">
        <v>2361</v>
      </c>
      <c r="D4542">
        <v>2361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 t="s">
        <v>20</v>
      </c>
      <c r="L4542" s="1">
        <v>45693</v>
      </c>
      <c r="M4542">
        <v>623</v>
      </c>
      <c r="N4542">
        <v>623</v>
      </c>
      <c r="O4542">
        <v>0</v>
      </c>
      <c r="P4542">
        <v>150</v>
      </c>
      <c r="Q4542">
        <v>50</v>
      </c>
      <c r="S4542">
        <v>0</v>
      </c>
      <c r="T4542">
        <v>0</v>
      </c>
      <c r="U4542">
        <f>+SUM(Table1[[#This Row],[Latinos]:[Cemex]])</f>
        <v>1</v>
      </c>
      <c r="V4542" t="str">
        <f>+Table1[[#This Row],[id_destino]]&amp;" - "&amp;Table1[[#This Row],[id_origen]]</f>
        <v>623 - 623</v>
      </c>
    </row>
    <row r="4543" spans="1:22" hidden="1">
      <c r="A4543">
        <v>2157</v>
      </c>
      <c r="B4543">
        <v>3172</v>
      </c>
      <c r="C4543">
        <v>2361</v>
      </c>
      <c r="D4543">
        <v>5222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0</v>
      </c>
      <c r="K4543" t="s">
        <v>20</v>
      </c>
      <c r="L4543" s="1">
        <v>43836</v>
      </c>
      <c r="M4543">
        <v>684</v>
      </c>
      <c r="N4543">
        <v>623</v>
      </c>
      <c r="O4543">
        <v>721</v>
      </c>
      <c r="P4543">
        <v>742</v>
      </c>
      <c r="Q4543">
        <v>721</v>
      </c>
      <c r="S4543">
        <v>1764</v>
      </c>
      <c r="T4543">
        <v>1767</v>
      </c>
      <c r="U4543">
        <f>+SUM(Table1[[#This Row],[Latinos]:[Cemex]])</f>
        <v>1</v>
      </c>
      <c r="V4543" t="str">
        <f>+Table1[[#This Row],[id_destino]]&amp;" - "&amp;Table1[[#This Row],[id_origen]]</f>
        <v>684 - 623</v>
      </c>
    </row>
    <row r="4544" spans="1:22" hidden="1">
      <c r="A4544">
        <v>3832</v>
      </c>
      <c r="B4544">
        <v>4247</v>
      </c>
      <c r="C4544">
        <v>2361</v>
      </c>
      <c r="D4544">
        <v>7420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 t="s">
        <v>20</v>
      </c>
      <c r="L4544" s="1">
        <v>45131</v>
      </c>
      <c r="M4544">
        <v>879</v>
      </c>
      <c r="N4544">
        <v>623</v>
      </c>
      <c r="O4544">
        <v>279</v>
      </c>
      <c r="P4544">
        <v>336</v>
      </c>
      <c r="Q4544">
        <v>279</v>
      </c>
      <c r="S4544">
        <v>1442</v>
      </c>
      <c r="T4544">
        <v>1442</v>
      </c>
      <c r="U4544">
        <f>+SUM(Table1[[#This Row],[Latinos]:[Cemex]])</f>
        <v>1</v>
      </c>
      <c r="V4544" t="str">
        <f>+Table1[[#This Row],[id_destino]]&amp;" - "&amp;Table1[[#This Row],[id_origen]]</f>
        <v>879 - 623</v>
      </c>
    </row>
    <row r="4545" spans="1:22" hidden="1">
      <c r="A4545">
        <v>2799</v>
      </c>
      <c r="B4545">
        <v>3573</v>
      </c>
      <c r="C4545">
        <v>6678</v>
      </c>
      <c r="D4545">
        <v>18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0</v>
      </c>
      <c r="K4545" t="s">
        <v>20</v>
      </c>
      <c r="L4545" s="1">
        <v>44461</v>
      </c>
      <c r="M4545">
        <v>17</v>
      </c>
      <c r="N4545">
        <v>625</v>
      </c>
      <c r="O4545">
        <v>389</v>
      </c>
      <c r="P4545">
        <v>406</v>
      </c>
      <c r="Q4545">
        <v>389</v>
      </c>
      <c r="S4545">
        <v>194</v>
      </c>
      <c r="T4545">
        <v>194</v>
      </c>
      <c r="U4545">
        <f>+SUM(Table1[[#This Row],[Latinos]:[Cemex]])</f>
        <v>1</v>
      </c>
      <c r="V4545" t="str">
        <f>+Table1[[#This Row],[id_destino]]&amp;" - "&amp;Table1[[#This Row],[id_origen]]</f>
        <v>17 - 625</v>
      </c>
    </row>
    <row r="4546" spans="1:22" hidden="1">
      <c r="A4546">
        <v>1944</v>
      </c>
      <c r="B4546">
        <v>1430</v>
      </c>
      <c r="C4546">
        <v>3558</v>
      </c>
      <c r="D4546">
        <v>4768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0</v>
      </c>
      <c r="K4546" t="s">
        <v>20</v>
      </c>
      <c r="L4546" s="1">
        <v>44594</v>
      </c>
      <c r="M4546">
        <v>24</v>
      </c>
      <c r="N4546">
        <v>629</v>
      </c>
      <c r="O4546">
        <v>1078</v>
      </c>
      <c r="P4546">
        <v>1078</v>
      </c>
      <c r="Q4546">
        <v>1078</v>
      </c>
      <c r="S4546">
        <v>2846.64</v>
      </c>
      <c r="T4546">
        <v>3162.16</v>
      </c>
      <c r="U4546">
        <f>+SUM(Table1[[#This Row],[Latinos]:[Cemex]])</f>
        <v>1</v>
      </c>
      <c r="V4546" t="str">
        <f>+Table1[[#This Row],[id_destino]]&amp;" - "&amp;Table1[[#This Row],[id_origen]]</f>
        <v>24 - 629</v>
      </c>
    </row>
    <row r="4547" spans="1:22" hidden="1">
      <c r="A4547">
        <v>1992</v>
      </c>
      <c r="B4547">
        <v>3065</v>
      </c>
      <c r="C4547">
        <v>3558</v>
      </c>
      <c r="D4547">
        <v>5978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  <c r="K4547" t="s">
        <v>20</v>
      </c>
      <c r="L4547" s="1">
        <v>44594</v>
      </c>
      <c r="M4547">
        <v>30</v>
      </c>
      <c r="N4547">
        <v>629</v>
      </c>
      <c r="O4547">
        <v>491</v>
      </c>
      <c r="P4547">
        <v>514</v>
      </c>
      <c r="Q4547">
        <v>491</v>
      </c>
      <c r="S4547">
        <v>2890.72</v>
      </c>
      <c r="T4547">
        <v>3306</v>
      </c>
      <c r="U4547">
        <f>+SUM(Table1[[#This Row],[Latinos]:[Cemex]])</f>
        <v>1</v>
      </c>
      <c r="V4547" t="str">
        <f>+Table1[[#This Row],[id_destino]]&amp;" - "&amp;Table1[[#This Row],[id_origen]]</f>
        <v>30 - 629</v>
      </c>
    </row>
    <row r="4548" spans="1:22" hidden="1">
      <c r="A4548">
        <v>1693</v>
      </c>
      <c r="B4548">
        <v>2890</v>
      </c>
      <c r="C4548">
        <v>3558</v>
      </c>
      <c r="D4548">
        <v>5876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0</v>
      </c>
      <c r="K4548" t="s">
        <v>20</v>
      </c>
      <c r="L4548" s="1">
        <v>43565</v>
      </c>
      <c r="M4548">
        <v>33</v>
      </c>
      <c r="N4548">
        <v>629</v>
      </c>
      <c r="O4548">
        <v>50</v>
      </c>
      <c r="P4548">
        <v>150</v>
      </c>
      <c r="Q4548">
        <v>50</v>
      </c>
      <c r="S4548">
        <v>318</v>
      </c>
      <c r="T4548">
        <v>318</v>
      </c>
      <c r="U4548">
        <f>+SUM(Table1[[#This Row],[Latinos]:[Cemex]])</f>
        <v>1</v>
      </c>
      <c r="V4548" t="str">
        <f>+Table1[[#This Row],[id_destino]]&amp;" - "&amp;Table1[[#This Row],[id_origen]]</f>
        <v>33 - 629</v>
      </c>
    </row>
    <row r="4549" spans="1:22" hidden="1">
      <c r="A4549">
        <v>1702</v>
      </c>
      <c r="B4549">
        <v>2890</v>
      </c>
      <c r="C4549">
        <v>3558</v>
      </c>
      <c r="D4549">
        <v>5876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 t="s">
        <v>20</v>
      </c>
      <c r="L4549" s="1">
        <v>43568</v>
      </c>
      <c r="M4549">
        <v>33</v>
      </c>
      <c r="N4549">
        <v>629</v>
      </c>
      <c r="O4549">
        <v>50</v>
      </c>
      <c r="P4549">
        <v>150</v>
      </c>
      <c r="Q4549">
        <v>50</v>
      </c>
      <c r="S4549">
        <v>0</v>
      </c>
      <c r="T4549">
        <v>0</v>
      </c>
      <c r="U4549">
        <f>+SUM(Table1[[#This Row],[Latinos]:[Cemex]])</f>
        <v>1</v>
      </c>
      <c r="V4549" t="str">
        <f>+Table1[[#This Row],[id_destino]]&amp;" - "&amp;Table1[[#This Row],[id_origen]]</f>
        <v>33 - 629</v>
      </c>
    </row>
    <row r="4550" spans="1:22" hidden="1">
      <c r="A4550">
        <v>2302</v>
      </c>
      <c r="B4550">
        <v>3258</v>
      </c>
      <c r="C4550">
        <v>3558</v>
      </c>
      <c r="D4550">
        <v>1522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 t="s">
        <v>20</v>
      </c>
      <c r="L4550" s="1">
        <v>43923</v>
      </c>
      <c r="M4550">
        <v>52</v>
      </c>
      <c r="N4550">
        <v>629</v>
      </c>
      <c r="O4550">
        <v>392</v>
      </c>
      <c r="P4550">
        <v>392</v>
      </c>
      <c r="Q4550">
        <v>392</v>
      </c>
      <c r="S4550">
        <v>0</v>
      </c>
      <c r="T4550">
        <v>0</v>
      </c>
      <c r="U4550">
        <f>+SUM(Table1[[#This Row],[Latinos]:[Cemex]])</f>
        <v>1</v>
      </c>
      <c r="V4550" t="str">
        <f>+Table1[[#This Row],[id_destino]]&amp;" - "&amp;Table1[[#This Row],[id_origen]]</f>
        <v>52 - 629</v>
      </c>
    </row>
    <row r="4551" spans="1:22" hidden="1">
      <c r="A4551">
        <v>2303</v>
      </c>
      <c r="B4551">
        <v>3258</v>
      </c>
      <c r="C4551">
        <v>3558</v>
      </c>
      <c r="D4551">
        <v>1522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  <c r="K4551" t="s">
        <v>20</v>
      </c>
      <c r="L4551" s="1">
        <v>43917</v>
      </c>
      <c r="M4551">
        <v>52</v>
      </c>
      <c r="N4551">
        <v>629</v>
      </c>
      <c r="O4551">
        <v>392</v>
      </c>
      <c r="P4551">
        <v>392</v>
      </c>
      <c r="Q4551">
        <v>392</v>
      </c>
      <c r="S4551">
        <v>490</v>
      </c>
      <c r="T4551">
        <v>542</v>
      </c>
      <c r="U4551">
        <f>+SUM(Table1[[#This Row],[Latinos]:[Cemex]])</f>
        <v>1</v>
      </c>
      <c r="V4551" t="str">
        <f>+Table1[[#This Row],[id_destino]]&amp;" - "&amp;Table1[[#This Row],[id_origen]]</f>
        <v>52 - 629</v>
      </c>
    </row>
    <row r="4552" spans="1:22" hidden="1">
      <c r="A4552">
        <v>3605</v>
      </c>
      <c r="B4552">
        <v>4106</v>
      </c>
      <c r="C4552">
        <v>3558</v>
      </c>
      <c r="D4552">
        <v>6888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 t="s">
        <v>20</v>
      </c>
      <c r="L4552" s="1">
        <v>44982</v>
      </c>
      <c r="M4552">
        <v>55</v>
      </c>
      <c r="N4552">
        <v>629</v>
      </c>
      <c r="O4552">
        <v>1005</v>
      </c>
      <c r="P4552">
        <v>1008</v>
      </c>
      <c r="Q4552">
        <v>1005</v>
      </c>
      <c r="S4552">
        <v>0</v>
      </c>
      <c r="T4552">
        <v>0</v>
      </c>
      <c r="U4552">
        <f>+SUM(Table1[[#This Row],[Latinos]:[Cemex]])</f>
        <v>1</v>
      </c>
      <c r="V4552" t="str">
        <f>+Table1[[#This Row],[id_destino]]&amp;" - "&amp;Table1[[#This Row],[id_origen]]</f>
        <v>55 - 629</v>
      </c>
    </row>
    <row r="4553" spans="1:22" hidden="1">
      <c r="A4553">
        <v>2898</v>
      </c>
      <c r="B4553">
        <v>3640</v>
      </c>
      <c r="C4553">
        <v>3558</v>
      </c>
      <c r="D4553">
        <v>6768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  <c r="K4553" t="s">
        <v>20</v>
      </c>
      <c r="L4553" s="1">
        <v>44595</v>
      </c>
      <c r="M4553">
        <v>83</v>
      </c>
      <c r="N4553">
        <v>629</v>
      </c>
      <c r="O4553">
        <v>383</v>
      </c>
      <c r="P4553">
        <v>383</v>
      </c>
      <c r="Q4553">
        <v>383</v>
      </c>
      <c r="S4553">
        <v>0</v>
      </c>
      <c r="T4553">
        <v>0</v>
      </c>
      <c r="U4553">
        <f>+SUM(Table1[[#This Row],[Latinos]:[Cemex]])</f>
        <v>1</v>
      </c>
      <c r="V4553" t="str">
        <f>+Table1[[#This Row],[id_destino]]&amp;" - "&amp;Table1[[#This Row],[id_origen]]</f>
        <v>83 - 629</v>
      </c>
    </row>
    <row r="4554" spans="1:22" hidden="1">
      <c r="A4554">
        <v>629</v>
      </c>
      <c r="B4554">
        <v>1309</v>
      </c>
      <c r="C4554">
        <v>3558</v>
      </c>
      <c r="D4554">
        <v>268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 t="s">
        <v>20</v>
      </c>
      <c r="L4554" s="1">
        <v>45365</v>
      </c>
      <c r="M4554">
        <v>99</v>
      </c>
      <c r="N4554">
        <v>629</v>
      </c>
      <c r="O4554">
        <v>2170</v>
      </c>
      <c r="P4554">
        <v>2190</v>
      </c>
      <c r="Q4554">
        <v>2170</v>
      </c>
      <c r="S4554">
        <v>5633</v>
      </c>
      <c r="T4554">
        <v>5879</v>
      </c>
      <c r="U4554">
        <f>+SUM(Table1[[#This Row],[Latinos]:[Cemex]])</f>
        <v>1</v>
      </c>
      <c r="V4554" t="str">
        <f>+Table1[[#This Row],[id_destino]]&amp;" - "&amp;Table1[[#This Row],[id_origen]]</f>
        <v>99 - 629</v>
      </c>
    </row>
    <row r="4555" spans="1:22" hidden="1">
      <c r="A4555">
        <v>149</v>
      </c>
      <c r="B4555">
        <v>1428</v>
      </c>
      <c r="C4555">
        <v>3558</v>
      </c>
      <c r="D4555">
        <v>1555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 t="s">
        <v>20</v>
      </c>
      <c r="L4555" s="1">
        <v>44594</v>
      </c>
      <c r="M4555">
        <v>107</v>
      </c>
      <c r="N4555">
        <v>629</v>
      </c>
      <c r="O4555">
        <v>801</v>
      </c>
      <c r="P4555">
        <v>873</v>
      </c>
      <c r="Q4555">
        <v>801</v>
      </c>
      <c r="S4555">
        <v>382.8</v>
      </c>
      <c r="T4555">
        <v>382.8</v>
      </c>
      <c r="U4555">
        <f>+SUM(Table1[[#This Row],[Latinos]:[Cemex]])</f>
        <v>1</v>
      </c>
      <c r="V4555" t="str">
        <f>+Table1[[#This Row],[id_destino]]&amp;" - "&amp;Table1[[#This Row],[id_origen]]</f>
        <v>107 - 629</v>
      </c>
    </row>
    <row r="4556" spans="1:22" hidden="1">
      <c r="A4556">
        <v>4350</v>
      </c>
      <c r="B4556">
        <v>4589</v>
      </c>
      <c r="C4556">
        <v>7810</v>
      </c>
      <c r="D4556">
        <v>7842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  <c r="K4556" t="s">
        <v>20</v>
      </c>
      <c r="L4556" s="1">
        <v>45489</v>
      </c>
      <c r="M4556">
        <v>169</v>
      </c>
      <c r="N4556">
        <v>629</v>
      </c>
      <c r="O4556">
        <v>665</v>
      </c>
      <c r="P4556">
        <v>665</v>
      </c>
      <c r="Q4556">
        <v>665</v>
      </c>
      <c r="S4556">
        <v>1485</v>
      </c>
      <c r="T4556">
        <v>1663</v>
      </c>
      <c r="U4556">
        <f>+SUM(Table1[[#This Row],[Latinos]:[Cemex]])</f>
        <v>1</v>
      </c>
      <c r="V4556" t="str">
        <f>+Table1[[#This Row],[id_destino]]&amp;" - "&amp;Table1[[#This Row],[id_origen]]</f>
        <v>169 - 629</v>
      </c>
    </row>
    <row r="4557" spans="1:22" hidden="1">
      <c r="A4557">
        <v>2901</v>
      </c>
      <c r="B4557">
        <v>3642</v>
      </c>
      <c r="C4557">
        <v>3558</v>
      </c>
      <c r="D4557">
        <v>6743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 t="s">
        <v>20</v>
      </c>
      <c r="L4557" s="1">
        <v>44599</v>
      </c>
      <c r="M4557">
        <v>425</v>
      </c>
      <c r="N4557">
        <v>629</v>
      </c>
      <c r="O4557">
        <v>912</v>
      </c>
      <c r="P4557">
        <v>1030</v>
      </c>
      <c r="Q4557">
        <v>912</v>
      </c>
      <c r="S4557">
        <v>3296</v>
      </c>
      <c r="T4557">
        <v>3542</v>
      </c>
      <c r="U4557">
        <f>+SUM(Table1[[#This Row],[Latinos]:[Cemex]])</f>
        <v>1</v>
      </c>
      <c r="V4557" t="str">
        <f>+Table1[[#This Row],[id_destino]]&amp;" - "&amp;Table1[[#This Row],[id_origen]]</f>
        <v>425 - 629</v>
      </c>
    </row>
    <row r="4558" spans="1:22" hidden="1">
      <c r="A4558">
        <v>3872</v>
      </c>
      <c r="B4558">
        <v>4272</v>
      </c>
      <c r="C4558">
        <v>3558</v>
      </c>
      <c r="D4558">
        <v>3275</v>
      </c>
      <c r="E4558">
        <v>0</v>
      </c>
      <c r="F4558">
        <v>1</v>
      </c>
      <c r="G4558">
        <v>0</v>
      </c>
      <c r="H4558">
        <v>0</v>
      </c>
      <c r="I4558">
        <v>0</v>
      </c>
      <c r="J4558">
        <v>0</v>
      </c>
      <c r="K4558" t="s">
        <v>20</v>
      </c>
      <c r="L4558" s="1">
        <v>45155</v>
      </c>
      <c r="M4558">
        <v>507</v>
      </c>
      <c r="N4558">
        <v>629</v>
      </c>
      <c r="O4558">
        <v>317</v>
      </c>
      <c r="P4558">
        <v>386</v>
      </c>
      <c r="Q4558">
        <v>317</v>
      </c>
      <c r="S4558">
        <v>1403</v>
      </c>
      <c r="T4558">
        <v>1403</v>
      </c>
      <c r="U4558">
        <f>+SUM(Table1[[#This Row],[Latinos]:[Cemex]])</f>
        <v>1</v>
      </c>
      <c r="V4558" t="str">
        <f>+Table1[[#This Row],[id_destino]]&amp;" - "&amp;Table1[[#This Row],[id_origen]]</f>
        <v>507 - 629</v>
      </c>
    </row>
    <row r="4559" spans="1:22" hidden="1">
      <c r="A4559">
        <v>4329</v>
      </c>
      <c r="B4559">
        <v>4570</v>
      </c>
      <c r="C4559">
        <v>7810</v>
      </c>
      <c r="D4559">
        <v>7811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  <c r="K4559" t="s">
        <v>20</v>
      </c>
      <c r="L4559" s="1">
        <v>45463</v>
      </c>
      <c r="M4559">
        <v>904</v>
      </c>
      <c r="N4559">
        <v>629</v>
      </c>
      <c r="O4559">
        <v>396</v>
      </c>
      <c r="P4559">
        <v>396</v>
      </c>
      <c r="Q4559">
        <v>396</v>
      </c>
      <c r="S4559">
        <v>670</v>
      </c>
      <c r="T4559">
        <v>817</v>
      </c>
      <c r="U4559">
        <f>+SUM(Table1[[#This Row],[Latinos]:[Cemex]])</f>
        <v>1</v>
      </c>
      <c r="V4559" t="str">
        <f>+Table1[[#This Row],[id_destino]]&amp;" - "&amp;Table1[[#This Row],[id_origen]]</f>
        <v>904 - 629</v>
      </c>
    </row>
    <row r="4560" spans="1:22" hidden="1">
      <c r="A4560">
        <v>3902</v>
      </c>
      <c r="B4560">
        <v>4288</v>
      </c>
      <c r="C4560">
        <v>6895</v>
      </c>
      <c r="D4560">
        <v>2413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 t="s">
        <v>20</v>
      </c>
      <c r="L4560" s="1">
        <v>45173</v>
      </c>
      <c r="M4560">
        <v>47</v>
      </c>
      <c r="N4560">
        <v>633</v>
      </c>
      <c r="O4560">
        <v>229</v>
      </c>
      <c r="P4560">
        <v>208</v>
      </c>
      <c r="Q4560">
        <v>229</v>
      </c>
      <c r="S4560">
        <v>930</v>
      </c>
      <c r="T4560">
        <v>930</v>
      </c>
      <c r="U4560">
        <f>+SUM(Table1[[#This Row],[Latinos]:[Cemex]])</f>
        <v>1</v>
      </c>
      <c r="V4560" t="str">
        <f>+Table1[[#This Row],[id_destino]]&amp;" - "&amp;Table1[[#This Row],[id_origen]]</f>
        <v>47 - 633</v>
      </c>
    </row>
    <row r="4561" spans="1:22" hidden="1">
      <c r="A4561">
        <v>3091</v>
      </c>
      <c r="B4561">
        <v>3769</v>
      </c>
      <c r="C4561">
        <v>6895</v>
      </c>
      <c r="D4561">
        <v>4607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 t="s">
        <v>20</v>
      </c>
      <c r="L4561" s="1">
        <v>44721</v>
      </c>
      <c r="M4561">
        <v>117</v>
      </c>
      <c r="N4561">
        <v>633</v>
      </c>
      <c r="O4561">
        <v>147</v>
      </c>
      <c r="P4561">
        <v>150</v>
      </c>
      <c r="Q4561">
        <v>147</v>
      </c>
      <c r="S4561">
        <v>420</v>
      </c>
      <c r="T4561">
        <v>629</v>
      </c>
      <c r="U4561">
        <f>+SUM(Table1[[#This Row],[Latinos]:[Cemex]])</f>
        <v>1</v>
      </c>
      <c r="V4561" t="str">
        <f>+Table1[[#This Row],[id_destino]]&amp;" - "&amp;Table1[[#This Row],[id_origen]]</f>
        <v>117 - 633</v>
      </c>
    </row>
    <row r="4562" spans="1:22" hidden="1">
      <c r="A4562">
        <v>2811</v>
      </c>
      <c r="B4562">
        <v>3584</v>
      </c>
      <c r="C4562">
        <v>6634</v>
      </c>
      <c r="D4562">
        <v>6696</v>
      </c>
      <c r="E4562">
        <v>0</v>
      </c>
      <c r="F4562">
        <v>1</v>
      </c>
      <c r="G4562">
        <v>0</v>
      </c>
      <c r="H4562">
        <v>0</v>
      </c>
      <c r="I4562">
        <v>0</v>
      </c>
      <c r="J4562">
        <v>0</v>
      </c>
      <c r="K4562" t="s">
        <v>20</v>
      </c>
      <c r="L4562" s="1">
        <v>44480</v>
      </c>
      <c r="M4562">
        <v>384</v>
      </c>
      <c r="N4562">
        <v>633</v>
      </c>
      <c r="O4562">
        <v>340</v>
      </c>
      <c r="P4562">
        <v>326</v>
      </c>
      <c r="Q4562">
        <v>340</v>
      </c>
      <c r="S4562">
        <v>1006</v>
      </c>
      <c r="T4562">
        <v>1006</v>
      </c>
      <c r="U4562">
        <f>+SUM(Table1[[#This Row],[Latinos]:[Cemex]])</f>
        <v>1</v>
      </c>
      <c r="V4562" t="str">
        <f>+Table1[[#This Row],[id_destino]]&amp;" - "&amp;Table1[[#This Row],[id_origen]]</f>
        <v>384 - 633</v>
      </c>
    </row>
    <row r="4563" spans="1:22" hidden="1">
      <c r="A4563">
        <v>107</v>
      </c>
      <c r="B4563">
        <v>1475</v>
      </c>
      <c r="C4563">
        <v>4572</v>
      </c>
      <c r="D4563">
        <v>18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 t="s">
        <v>20</v>
      </c>
      <c r="L4563" s="1">
        <v>42992</v>
      </c>
      <c r="M4563">
        <v>17</v>
      </c>
      <c r="N4563">
        <v>640</v>
      </c>
      <c r="O4563">
        <v>162</v>
      </c>
      <c r="P4563">
        <v>162</v>
      </c>
      <c r="Q4563">
        <v>162</v>
      </c>
      <c r="S4563">
        <v>180</v>
      </c>
      <c r="T4563">
        <v>234</v>
      </c>
      <c r="U4563">
        <f>+SUM(Table1[[#This Row],[Latinos]:[Cemex]])</f>
        <v>1</v>
      </c>
      <c r="V4563" t="str">
        <f>+Table1[[#This Row],[id_destino]]&amp;" - "&amp;Table1[[#This Row],[id_origen]]</f>
        <v>17 - 640</v>
      </c>
    </row>
    <row r="4564" spans="1:22" hidden="1">
      <c r="A4564">
        <v>1539</v>
      </c>
      <c r="B4564">
        <v>2801</v>
      </c>
      <c r="C4564">
        <v>4572</v>
      </c>
      <c r="D4564">
        <v>40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 t="s">
        <v>20</v>
      </c>
      <c r="L4564" s="1">
        <v>43498</v>
      </c>
      <c r="M4564">
        <v>34</v>
      </c>
      <c r="N4564">
        <v>640</v>
      </c>
      <c r="O4564">
        <v>187</v>
      </c>
      <c r="P4564">
        <v>187</v>
      </c>
      <c r="Q4564">
        <v>187</v>
      </c>
      <c r="S4564">
        <v>410</v>
      </c>
      <c r="T4564">
        <v>529</v>
      </c>
      <c r="U4564">
        <f>+SUM(Table1[[#This Row],[Latinos]:[Cemex]])</f>
        <v>1</v>
      </c>
      <c r="V4564" t="str">
        <f>+Table1[[#This Row],[id_destino]]&amp;" - "&amp;Table1[[#This Row],[id_origen]]</f>
        <v>34 - 640</v>
      </c>
    </row>
    <row r="4565" spans="1:22" hidden="1">
      <c r="A4565">
        <v>257</v>
      </c>
      <c r="B4565">
        <v>2248</v>
      </c>
      <c r="C4565">
        <v>4572</v>
      </c>
      <c r="D4565">
        <v>1645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0</v>
      </c>
      <c r="K4565" t="s">
        <v>20</v>
      </c>
      <c r="L4565" s="1">
        <v>43026</v>
      </c>
      <c r="M4565">
        <v>148</v>
      </c>
      <c r="N4565">
        <v>640</v>
      </c>
      <c r="O4565">
        <v>209</v>
      </c>
      <c r="P4565">
        <v>209</v>
      </c>
      <c r="Q4565">
        <v>209</v>
      </c>
      <c r="S4565">
        <v>105.17</v>
      </c>
      <c r="T4565">
        <v>105.17</v>
      </c>
      <c r="U4565">
        <f>+SUM(Table1[[#This Row],[Latinos]:[Cemex]])</f>
        <v>1</v>
      </c>
      <c r="V4565" t="str">
        <f>+Table1[[#This Row],[id_destino]]&amp;" - "&amp;Table1[[#This Row],[id_origen]]</f>
        <v>148 - 640</v>
      </c>
    </row>
    <row r="4566" spans="1:22" hidden="1">
      <c r="A4566">
        <v>1118</v>
      </c>
      <c r="B4566">
        <v>2218</v>
      </c>
      <c r="C4566">
        <v>5251</v>
      </c>
      <c r="D4566">
        <v>23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 t="s">
        <v>20</v>
      </c>
      <c r="L4566" s="1">
        <v>43298</v>
      </c>
      <c r="M4566">
        <v>21</v>
      </c>
      <c r="N4566">
        <v>645</v>
      </c>
      <c r="O4566">
        <v>1520</v>
      </c>
      <c r="P4566">
        <v>1575</v>
      </c>
      <c r="Q4566">
        <v>1520</v>
      </c>
      <c r="S4566">
        <v>1441</v>
      </c>
      <c r="T4566">
        <v>1740</v>
      </c>
      <c r="U4566">
        <f>+SUM(Table1[[#This Row],[Latinos]:[Cemex]])</f>
        <v>1</v>
      </c>
      <c r="V4566" t="str">
        <f>+Table1[[#This Row],[id_destino]]&amp;" - "&amp;Table1[[#This Row],[id_origen]]</f>
        <v>21 - 645</v>
      </c>
    </row>
    <row r="4567" spans="1:22" hidden="1">
      <c r="A4567">
        <v>806</v>
      </c>
      <c r="B4567">
        <v>2461</v>
      </c>
      <c r="C4567">
        <v>5251</v>
      </c>
      <c r="D4567">
        <v>34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0</v>
      </c>
      <c r="K4567" t="s">
        <v>20</v>
      </c>
      <c r="L4567" s="1">
        <v>43171</v>
      </c>
      <c r="M4567">
        <v>30</v>
      </c>
      <c r="N4567">
        <v>645</v>
      </c>
      <c r="O4567">
        <v>855</v>
      </c>
      <c r="P4567">
        <v>863</v>
      </c>
      <c r="Q4567">
        <v>855</v>
      </c>
      <c r="S4567">
        <v>2556</v>
      </c>
      <c r="T4567">
        <v>2888</v>
      </c>
      <c r="U4567">
        <f>+SUM(Table1[[#This Row],[Latinos]:[Cemex]])</f>
        <v>1</v>
      </c>
      <c r="V4567" t="str">
        <f>+Table1[[#This Row],[id_destino]]&amp;" - "&amp;Table1[[#This Row],[id_origen]]</f>
        <v>30 - 645</v>
      </c>
    </row>
    <row r="4568" spans="1:22" hidden="1">
      <c r="A4568">
        <v>2820</v>
      </c>
      <c r="B4568">
        <v>1497</v>
      </c>
      <c r="C4568">
        <v>6700</v>
      </c>
      <c r="D4568">
        <v>566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 t="s">
        <v>20</v>
      </c>
      <c r="L4568" s="1">
        <v>44485</v>
      </c>
      <c r="M4568">
        <v>73</v>
      </c>
      <c r="N4568">
        <v>645</v>
      </c>
      <c r="O4568">
        <v>1</v>
      </c>
      <c r="P4568">
        <v>150</v>
      </c>
      <c r="Q4568">
        <v>50</v>
      </c>
      <c r="S4568">
        <v>0</v>
      </c>
      <c r="T4568">
        <v>0</v>
      </c>
      <c r="U4568">
        <f>+SUM(Table1[[#This Row],[Latinos]:[Cemex]])</f>
        <v>1</v>
      </c>
      <c r="V4568" t="str">
        <f>+Table1[[#This Row],[id_destino]]&amp;" - "&amp;Table1[[#This Row],[id_origen]]</f>
        <v>73 - 645</v>
      </c>
    </row>
    <row r="4569" spans="1:22" hidden="1">
      <c r="A4569">
        <v>4320</v>
      </c>
      <c r="B4569">
        <v>1497</v>
      </c>
      <c r="C4569">
        <v>7804</v>
      </c>
      <c r="D4569">
        <v>6089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 t="s">
        <v>20</v>
      </c>
      <c r="L4569" s="1">
        <v>45455</v>
      </c>
      <c r="M4569">
        <v>73</v>
      </c>
      <c r="N4569">
        <v>645</v>
      </c>
      <c r="O4569">
        <v>14</v>
      </c>
      <c r="P4569">
        <v>14</v>
      </c>
      <c r="Q4569">
        <v>50</v>
      </c>
      <c r="S4569">
        <v>0</v>
      </c>
      <c r="T4569">
        <v>0</v>
      </c>
      <c r="U4569">
        <f>+SUM(Table1[[#This Row],[Latinos]:[Cemex]])</f>
        <v>1</v>
      </c>
      <c r="V4569" t="str">
        <f>+Table1[[#This Row],[id_destino]]&amp;" - "&amp;Table1[[#This Row],[id_origen]]</f>
        <v>73 - 645</v>
      </c>
    </row>
    <row r="4570" spans="1:22" hidden="1">
      <c r="A4570">
        <v>4368</v>
      </c>
      <c r="B4570">
        <v>1497</v>
      </c>
      <c r="C4570">
        <v>7804</v>
      </c>
      <c r="D4570">
        <v>468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0</v>
      </c>
      <c r="K4570" t="s">
        <v>20</v>
      </c>
      <c r="L4570" s="1">
        <v>45496</v>
      </c>
      <c r="M4570">
        <v>73</v>
      </c>
      <c r="N4570">
        <v>645</v>
      </c>
      <c r="O4570">
        <v>50</v>
      </c>
      <c r="P4570">
        <v>150</v>
      </c>
      <c r="Q4570">
        <v>50</v>
      </c>
      <c r="S4570">
        <v>0</v>
      </c>
      <c r="T4570">
        <v>0</v>
      </c>
      <c r="U4570">
        <f>+SUM(Table1[[#This Row],[Latinos]:[Cemex]])</f>
        <v>1</v>
      </c>
      <c r="V4570" t="str">
        <f>+Table1[[#This Row],[id_destino]]&amp;" - "&amp;Table1[[#This Row],[id_origen]]</f>
        <v>73 - 645</v>
      </c>
    </row>
    <row r="4571" spans="1:22" hidden="1">
      <c r="A4571">
        <v>3555</v>
      </c>
      <c r="B4571">
        <v>4066</v>
      </c>
      <c r="C4571">
        <v>7099</v>
      </c>
      <c r="D4571">
        <v>1645</v>
      </c>
      <c r="E4571">
        <v>0</v>
      </c>
      <c r="F4571">
        <v>1</v>
      </c>
      <c r="G4571">
        <v>0</v>
      </c>
      <c r="H4571">
        <v>0</v>
      </c>
      <c r="I4571">
        <v>0</v>
      </c>
      <c r="J4571">
        <v>0</v>
      </c>
      <c r="K4571" t="s">
        <v>20</v>
      </c>
      <c r="L4571" s="1">
        <v>44956</v>
      </c>
      <c r="M4571">
        <v>148</v>
      </c>
      <c r="N4571">
        <v>645</v>
      </c>
      <c r="O4571">
        <v>463</v>
      </c>
      <c r="P4571">
        <v>699</v>
      </c>
      <c r="Q4571">
        <v>463</v>
      </c>
      <c r="S4571">
        <v>513</v>
      </c>
      <c r="T4571">
        <v>640</v>
      </c>
      <c r="U4571">
        <f>+SUM(Table1[[#This Row],[Latinos]:[Cemex]])</f>
        <v>1</v>
      </c>
      <c r="V4571" t="str">
        <f>+Table1[[#This Row],[id_destino]]&amp;" - "&amp;Table1[[#This Row],[id_origen]]</f>
        <v>148 - 645</v>
      </c>
    </row>
    <row r="4572" spans="1:22" hidden="1">
      <c r="A4572">
        <v>2636</v>
      </c>
      <c r="B4572">
        <v>3467</v>
      </c>
      <c r="C4572">
        <v>6542</v>
      </c>
      <c r="D4572">
        <v>1366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  <c r="K4572" t="s">
        <v>20</v>
      </c>
      <c r="L4572" s="1">
        <v>44267</v>
      </c>
      <c r="M4572">
        <v>107</v>
      </c>
      <c r="N4572">
        <v>649</v>
      </c>
      <c r="O4572">
        <v>487</v>
      </c>
      <c r="P4572">
        <v>493</v>
      </c>
      <c r="Q4572">
        <v>487</v>
      </c>
      <c r="S4572">
        <v>999</v>
      </c>
      <c r="T4572">
        <v>999</v>
      </c>
      <c r="U4572">
        <f>+SUM(Table1[[#This Row],[Latinos]:[Cemex]])</f>
        <v>1</v>
      </c>
      <c r="V4572" t="str">
        <f>+Table1[[#This Row],[id_destino]]&amp;" - "&amp;Table1[[#This Row],[id_origen]]</f>
        <v>107 - 649</v>
      </c>
    </row>
    <row r="4573" spans="1:22" hidden="1">
      <c r="A4573">
        <v>2864</v>
      </c>
      <c r="B4573">
        <v>3618</v>
      </c>
      <c r="C4573">
        <v>5102</v>
      </c>
      <c r="D4573">
        <v>6752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0</v>
      </c>
      <c r="K4573" t="s">
        <v>20</v>
      </c>
      <c r="L4573" s="1">
        <v>44559</v>
      </c>
      <c r="M4573">
        <v>296</v>
      </c>
      <c r="N4573">
        <v>649</v>
      </c>
      <c r="O4573">
        <v>221</v>
      </c>
      <c r="P4573">
        <v>226</v>
      </c>
      <c r="Q4573">
        <v>221</v>
      </c>
      <c r="S4573">
        <v>666</v>
      </c>
      <c r="T4573">
        <v>740</v>
      </c>
      <c r="U4573">
        <f>+SUM(Table1[[#This Row],[Latinos]:[Cemex]])</f>
        <v>1</v>
      </c>
      <c r="V4573" t="str">
        <f>+Table1[[#This Row],[id_destino]]&amp;" - "&amp;Table1[[#This Row],[id_origen]]</f>
        <v>296 - 649</v>
      </c>
    </row>
    <row r="4574" spans="1:22" hidden="1">
      <c r="A4574">
        <v>913</v>
      </c>
      <c r="B4574">
        <v>2508</v>
      </c>
      <c r="C4574">
        <v>5538</v>
      </c>
      <c r="D4574">
        <v>5540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  <c r="K4574" t="s">
        <v>20</v>
      </c>
      <c r="L4574" s="1">
        <v>43211</v>
      </c>
      <c r="M4574">
        <v>646</v>
      </c>
      <c r="N4574">
        <v>654</v>
      </c>
      <c r="O4574">
        <v>514</v>
      </c>
      <c r="P4574">
        <v>514</v>
      </c>
      <c r="Q4574">
        <v>514</v>
      </c>
      <c r="S4574">
        <v>1180</v>
      </c>
      <c r="T4574">
        <v>1180</v>
      </c>
      <c r="U4574">
        <f>+SUM(Table1[[#This Row],[Latinos]:[Cemex]])</f>
        <v>1</v>
      </c>
      <c r="V4574" t="str">
        <f>+Table1[[#This Row],[id_destino]]&amp;" - "&amp;Table1[[#This Row],[id_origen]]</f>
        <v>646 - 654</v>
      </c>
    </row>
    <row r="4575" spans="1:22" hidden="1">
      <c r="A4575">
        <v>1772</v>
      </c>
      <c r="B4575">
        <v>1692</v>
      </c>
      <c r="C4575">
        <v>4753</v>
      </c>
      <c r="D4575">
        <v>3984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0</v>
      </c>
      <c r="K4575" t="s">
        <v>20</v>
      </c>
      <c r="L4575" s="1">
        <v>43628</v>
      </c>
      <c r="M4575">
        <v>59</v>
      </c>
      <c r="N4575">
        <v>658</v>
      </c>
      <c r="O4575">
        <v>35</v>
      </c>
      <c r="P4575">
        <v>150</v>
      </c>
      <c r="Q4575">
        <v>35</v>
      </c>
      <c r="S4575">
        <v>0</v>
      </c>
      <c r="T4575">
        <v>0</v>
      </c>
      <c r="U4575">
        <f>+SUM(Table1[[#This Row],[Latinos]:[Cemex]])</f>
        <v>1</v>
      </c>
      <c r="V4575" t="str">
        <f>+Table1[[#This Row],[id_destino]]&amp;" - "&amp;Table1[[#This Row],[id_origen]]</f>
        <v>59 - 658</v>
      </c>
    </row>
    <row r="4576" spans="1:22" hidden="1">
      <c r="A4576">
        <v>3007</v>
      </c>
      <c r="B4576">
        <v>3717</v>
      </c>
      <c r="C4576">
        <v>6850</v>
      </c>
      <c r="D4576">
        <v>6850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  <c r="K4576" t="s">
        <v>96</v>
      </c>
      <c r="L4576" s="1">
        <v>44686</v>
      </c>
      <c r="M4576">
        <v>662</v>
      </c>
      <c r="N4576">
        <v>662</v>
      </c>
      <c r="O4576">
        <v>50</v>
      </c>
      <c r="P4576">
        <v>150</v>
      </c>
      <c r="Q4576">
        <v>50</v>
      </c>
      <c r="S4576">
        <v>0</v>
      </c>
      <c r="T4576">
        <v>0</v>
      </c>
      <c r="U4576">
        <f>+SUM(Table1[[#This Row],[Latinos]:[Cemex]])</f>
        <v>1</v>
      </c>
      <c r="V4576" t="str">
        <f>+Table1[[#This Row],[id_destino]]&amp;" - "&amp;Table1[[#This Row],[id_origen]]</f>
        <v>662 - 662</v>
      </c>
    </row>
    <row r="4577" spans="1:22" hidden="1">
      <c r="A4577">
        <v>2324</v>
      </c>
      <c r="B4577">
        <v>3272</v>
      </c>
      <c r="C4577">
        <v>72</v>
      </c>
      <c r="D4577">
        <v>6327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0</v>
      </c>
      <c r="K4577" t="s">
        <v>20</v>
      </c>
      <c r="L4577" s="1">
        <v>43942</v>
      </c>
      <c r="M4577">
        <v>3</v>
      </c>
      <c r="N4577">
        <v>669</v>
      </c>
      <c r="O4577">
        <v>1150</v>
      </c>
      <c r="P4577">
        <v>1144</v>
      </c>
      <c r="Q4577">
        <v>1150</v>
      </c>
      <c r="S4577">
        <v>2433</v>
      </c>
      <c r="T4577">
        <v>2433</v>
      </c>
      <c r="U4577">
        <f>+SUM(Table1[[#This Row],[Latinos]:[Cemex]])</f>
        <v>1</v>
      </c>
      <c r="V4577" t="str">
        <f>+Table1[[#This Row],[id_destino]]&amp;" - "&amp;Table1[[#This Row],[id_origen]]</f>
        <v>3 - 669</v>
      </c>
    </row>
    <row r="4578" spans="1:22" hidden="1">
      <c r="A4578">
        <v>2009</v>
      </c>
      <c r="B4578">
        <v>3074</v>
      </c>
      <c r="C4578">
        <v>72</v>
      </c>
      <c r="D4578">
        <v>7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0</v>
      </c>
      <c r="K4578" t="s">
        <v>20</v>
      </c>
      <c r="L4578" s="1">
        <v>43764</v>
      </c>
      <c r="M4578">
        <v>9</v>
      </c>
      <c r="N4578">
        <v>669</v>
      </c>
      <c r="O4578">
        <v>1712</v>
      </c>
      <c r="P4578">
        <v>1684</v>
      </c>
      <c r="Q4578">
        <v>1712</v>
      </c>
      <c r="S4578">
        <v>2839</v>
      </c>
      <c r="T4578">
        <v>2916</v>
      </c>
      <c r="U4578">
        <f>+SUM(Table1[[#This Row],[Latinos]:[Cemex]])</f>
        <v>1</v>
      </c>
      <c r="V4578" t="str">
        <f>+Table1[[#This Row],[id_destino]]&amp;" - "&amp;Table1[[#This Row],[id_origen]]</f>
        <v>9 - 669</v>
      </c>
    </row>
    <row r="4579" spans="1:22" hidden="1">
      <c r="A4579">
        <v>1527</v>
      </c>
      <c r="B4579">
        <v>2796</v>
      </c>
      <c r="C4579">
        <v>72</v>
      </c>
      <c r="D4579">
        <v>4518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0</v>
      </c>
      <c r="K4579" t="s">
        <v>20</v>
      </c>
      <c r="L4579" s="1">
        <v>43489</v>
      </c>
      <c r="M4579">
        <v>11</v>
      </c>
      <c r="N4579">
        <v>669</v>
      </c>
      <c r="O4579">
        <v>215</v>
      </c>
      <c r="P4579">
        <v>204</v>
      </c>
      <c r="Q4579">
        <v>215</v>
      </c>
      <c r="S4579">
        <v>0</v>
      </c>
      <c r="T4579">
        <v>0</v>
      </c>
      <c r="U4579">
        <f>+SUM(Table1[[#This Row],[Latinos]:[Cemex]])</f>
        <v>1</v>
      </c>
      <c r="V4579" t="str">
        <f>+Table1[[#This Row],[id_destino]]&amp;" - "&amp;Table1[[#This Row],[id_origen]]</f>
        <v>11 - 669</v>
      </c>
    </row>
    <row r="4580" spans="1:22" hidden="1">
      <c r="A4580">
        <v>1619</v>
      </c>
      <c r="B4580">
        <v>2681</v>
      </c>
      <c r="C4580">
        <v>72</v>
      </c>
      <c r="D4580">
        <v>5691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 t="s">
        <v>20</v>
      </c>
      <c r="L4580" s="1">
        <v>43535</v>
      </c>
      <c r="M4580">
        <v>18</v>
      </c>
      <c r="N4580">
        <v>669</v>
      </c>
      <c r="O4580">
        <v>382</v>
      </c>
      <c r="P4580">
        <v>368</v>
      </c>
      <c r="Q4580">
        <v>382</v>
      </c>
      <c r="S4580">
        <v>525</v>
      </c>
      <c r="T4580">
        <v>525</v>
      </c>
      <c r="U4580">
        <f>+SUM(Table1[[#This Row],[Latinos]:[Cemex]])</f>
        <v>1</v>
      </c>
      <c r="V4580" t="str">
        <f>+Table1[[#This Row],[id_destino]]&amp;" - "&amp;Table1[[#This Row],[id_origen]]</f>
        <v>18 - 669</v>
      </c>
    </row>
    <row r="4581" spans="1:22" hidden="1">
      <c r="A4581">
        <v>4023</v>
      </c>
      <c r="B4581">
        <v>4365</v>
      </c>
      <c r="C4581">
        <v>72</v>
      </c>
      <c r="D4581">
        <v>7549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 t="s">
        <v>20</v>
      </c>
      <c r="L4581" s="1">
        <v>45239</v>
      </c>
      <c r="M4581">
        <v>20</v>
      </c>
      <c r="N4581">
        <v>669</v>
      </c>
      <c r="O4581">
        <v>569</v>
      </c>
      <c r="P4581">
        <v>390</v>
      </c>
      <c r="Q4581">
        <v>569</v>
      </c>
      <c r="S4581">
        <v>525</v>
      </c>
      <c r="T4581">
        <v>525</v>
      </c>
      <c r="U4581">
        <f>+SUM(Table1[[#This Row],[Latinos]:[Cemex]])</f>
        <v>1</v>
      </c>
      <c r="V4581" t="str">
        <f>+Table1[[#This Row],[id_destino]]&amp;" - "&amp;Table1[[#This Row],[id_origen]]</f>
        <v>20 - 669</v>
      </c>
    </row>
    <row r="4582" spans="1:22" hidden="1">
      <c r="A4582">
        <v>4027</v>
      </c>
      <c r="B4582">
        <v>4367</v>
      </c>
      <c r="C4582">
        <v>72</v>
      </c>
      <c r="D4582">
        <v>3738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 t="s">
        <v>20</v>
      </c>
      <c r="L4582" s="1">
        <v>45241</v>
      </c>
      <c r="M4582">
        <v>24</v>
      </c>
      <c r="N4582">
        <v>669</v>
      </c>
      <c r="O4582">
        <v>589</v>
      </c>
      <c r="P4582">
        <v>606</v>
      </c>
      <c r="Q4582">
        <v>589</v>
      </c>
      <c r="S4582">
        <v>1599</v>
      </c>
      <c r="T4582">
        <v>1599</v>
      </c>
      <c r="U4582">
        <f>+SUM(Table1[[#This Row],[Latinos]:[Cemex]])</f>
        <v>1</v>
      </c>
      <c r="V4582" t="str">
        <f>+Table1[[#This Row],[id_destino]]&amp;" - "&amp;Table1[[#This Row],[id_origen]]</f>
        <v>24 - 669</v>
      </c>
    </row>
    <row r="4583" spans="1:22" hidden="1">
      <c r="A4583">
        <v>1757</v>
      </c>
      <c r="B4583">
        <v>2919</v>
      </c>
      <c r="C4583">
        <v>72</v>
      </c>
      <c r="D4583">
        <v>5155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 t="s">
        <v>20</v>
      </c>
      <c r="L4583" s="1">
        <v>45674</v>
      </c>
      <c r="M4583">
        <v>33</v>
      </c>
      <c r="N4583">
        <v>669</v>
      </c>
      <c r="O4583">
        <v>575</v>
      </c>
      <c r="P4583">
        <v>565</v>
      </c>
      <c r="Q4583">
        <v>575</v>
      </c>
      <c r="S4583">
        <v>664</v>
      </c>
      <c r="T4583">
        <v>820</v>
      </c>
      <c r="U4583">
        <f>+SUM(Table1[[#This Row],[Latinos]:[Cemex]])</f>
        <v>1</v>
      </c>
      <c r="V4583" t="str">
        <f>+Table1[[#This Row],[id_destino]]&amp;" - "&amp;Table1[[#This Row],[id_origen]]</f>
        <v>33 - 669</v>
      </c>
    </row>
    <row r="4584" spans="1:22" hidden="1">
      <c r="A4584">
        <v>1031</v>
      </c>
      <c r="B4584">
        <v>2554</v>
      </c>
      <c r="C4584">
        <v>72</v>
      </c>
      <c r="D4584">
        <v>43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 t="s">
        <v>20</v>
      </c>
      <c r="L4584" s="1">
        <v>43256</v>
      </c>
      <c r="M4584">
        <v>37</v>
      </c>
      <c r="N4584">
        <v>669</v>
      </c>
      <c r="O4584">
        <v>642</v>
      </c>
      <c r="P4584">
        <v>677</v>
      </c>
      <c r="Q4584">
        <v>642</v>
      </c>
      <c r="S4584">
        <v>1285</v>
      </c>
      <c r="T4584">
        <v>1285</v>
      </c>
      <c r="U4584">
        <f>+SUM(Table1[[#This Row],[Latinos]:[Cemex]])</f>
        <v>1</v>
      </c>
      <c r="V4584" t="str">
        <f>+Table1[[#This Row],[id_destino]]&amp;" - "&amp;Table1[[#This Row],[id_origen]]</f>
        <v>37 - 669</v>
      </c>
    </row>
    <row r="4585" spans="1:22" hidden="1">
      <c r="A4585">
        <v>1238</v>
      </c>
      <c r="B4585">
        <v>2649</v>
      </c>
      <c r="C4585">
        <v>72</v>
      </c>
      <c r="D4585">
        <v>7117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  <c r="K4585" t="s">
        <v>20</v>
      </c>
      <c r="L4585" s="1">
        <v>45825</v>
      </c>
      <c r="M4585">
        <v>52</v>
      </c>
      <c r="N4585">
        <v>669</v>
      </c>
      <c r="O4585">
        <v>512</v>
      </c>
      <c r="P4585">
        <v>505</v>
      </c>
      <c r="Q4585">
        <v>512</v>
      </c>
      <c r="S4585">
        <v>739</v>
      </c>
      <c r="T4585">
        <v>739</v>
      </c>
      <c r="U4585">
        <f>+SUM(Table1[[#This Row],[Latinos]:[Cemex]])</f>
        <v>1</v>
      </c>
      <c r="V4585" t="str">
        <f>+Table1[[#This Row],[id_destino]]&amp;" - "&amp;Table1[[#This Row],[id_origen]]</f>
        <v>52 - 669</v>
      </c>
    </row>
    <row r="4586" spans="1:22" hidden="1">
      <c r="A4586">
        <v>2201</v>
      </c>
      <c r="B4586">
        <v>2649</v>
      </c>
      <c r="C4586">
        <v>72</v>
      </c>
      <c r="D4586">
        <v>3431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 t="s">
        <v>20</v>
      </c>
      <c r="L4586" s="1">
        <v>43854</v>
      </c>
      <c r="M4586">
        <v>52</v>
      </c>
      <c r="N4586">
        <v>669</v>
      </c>
      <c r="O4586">
        <v>521</v>
      </c>
      <c r="P4586">
        <v>521</v>
      </c>
      <c r="Q4586">
        <v>521</v>
      </c>
      <c r="S4586">
        <v>190</v>
      </c>
      <c r="T4586">
        <v>190</v>
      </c>
      <c r="U4586">
        <f>+SUM(Table1[[#This Row],[Latinos]:[Cemex]])</f>
        <v>1</v>
      </c>
      <c r="V4586" t="str">
        <f>+Table1[[#This Row],[id_destino]]&amp;" - "&amp;Table1[[#This Row],[id_origen]]</f>
        <v>52 - 669</v>
      </c>
    </row>
    <row r="4587" spans="1:22" hidden="1">
      <c r="A4587">
        <v>1860</v>
      </c>
      <c r="B4587">
        <v>2978</v>
      </c>
      <c r="C4587">
        <v>72</v>
      </c>
      <c r="D4587">
        <v>63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 t="s">
        <v>20</v>
      </c>
      <c r="L4587" s="1">
        <v>43671</v>
      </c>
      <c r="M4587">
        <v>55</v>
      </c>
      <c r="N4587">
        <v>669</v>
      </c>
      <c r="O4587">
        <v>432</v>
      </c>
      <c r="P4587">
        <v>419</v>
      </c>
      <c r="Q4587">
        <v>432</v>
      </c>
      <c r="S4587">
        <v>536</v>
      </c>
      <c r="T4587">
        <v>536</v>
      </c>
      <c r="U4587">
        <f>+SUM(Table1[[#This Row],[Latinos]:[Cemex]])</f>
        <v>1</v>
      </c>
      <c r="V4587" t="str">
        <f>+Table1[[#This Row],[id_destino]]&amp;" - "&amp;Table1[[#This Row],[id_origen]]</f>
        <v>55 - 669</v>
      </c>
    </row>
    <row r="4588" spans="1:22" hidden="1">
      <c r="A4588">
        <v>1417</v>
      </c>
      <c r="B4588">
        <v>2734</v>
      </c>
      <c r="C4588">
        <v>72</v>
      </c>
      <c r="D4588">
        <v>65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0</v>
      </c>
      <c r="K4588" t="s">
        <v>20</v>
      </c>
      <c r="L4588" s="1">
        <v>43427</v>
      </c>
      <c r="M4588">
        <v>57</v>
      </c>
      <c r="N4588">
        <v>669</v>
      </c>
      <c r="O4588">
        <v>549</v>
      </c>
      <c r="P4588">
        <v>492</v>
      </c>
      <c r="Q4588">
        <v>549</v>
      </c>
      <c r="S4588">
        <v>707</v>
      </c>
      <c r="T4588">
        <v>707</v>
      </c>
      <c r="U4588">
        <f>+SUM(Table1[[#This Row],[Latinos]:[Cemex]])</f>
        <v>1</v>
      </c>
      <c r="V4588" t="str">
        <f>+Table1[[#This Row],[id_destino]]&amp;" - "&amp;Table1[[#This Row],[id_origen]]</f>
        <v>57 - 669</v>
      </c>
    </row>
    <row r="4589" spans="1:22" hidden="1">
      <c r="A4589">
        <v>3289</v>
      </c>
      <c r="B4589">
        <v>3889</v>
      </c>
      <c r="C4589">
        <v>72</v>
      </c>
      <c r="D4589">
        <v>70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0</v>
      </c>
      <c r="K4589" t="s">
        <v>20</v>
      </c>
      <c r="L4589" s="1">
        <v>44806</v>
      </c>
      <c r="M4589">
        <v>60</v>
      </c>
      <c r="N4589">
        <v>669</v>
      </c>
      <c r="O4589">
        <v>2411</v>
      </c>
      <c r="P4589">
        <v>2474</v>
      </c>
      <c r="Q4589">
        <v>2411</v>
      </c>
      <c r="S4589">
        <v>5143</v>
      </c>
      <c r="T4589">
        <v>5360</v>
      </c>
      <c r="U4589">
        <f>+SUM(Table1[[#This Row],[Latinos]:[Cemex]])</f>
        <v>1</v>
      </c>
      <c r="V4589" t="str">
        <f>+Table1[[#This Row],[id_destino]]&amp;" - "&amp;Table1[[#This Row],[id_origen]]</f>
        <v>60 - 669</v>
      </c>
    </row>
    <row r="4590" spans="1:22" hidden="1">
      <c r="A4590">
        <v>3001</v>
      </c>
      <c r="B4590">
        <v>3714</v>
      </c>
      <c r="C4590">
        <v>72</v>
      </c>
      <c r="D4590">
        <v>71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0</v>
      </c>
      <c r="K4590" t="s">
        <v>20</v>
      </c>
      <c r="L4590" s="1">
        <v>44679</v>
      </c>
      <c r="M4590">
        <v>61</v>
      </c>
      <c r="N4590">
        <v>669</v>
      </c>
      <c r="O4590">
        <v>2267</v>
      </c>
      <c r="P4590">
        <v>2258</v>
      </c>
      <c r="Q4590">
        <v>2267</v>
      </c>
      <c r="S4590">
        <v>1967</v>
      </c>
      <c r="T4590">
        <v>2381</v>
      </c>
      <c r="U4590">
        <f>+SUM(Table1[[#This Row],[Latinos]:[Cemex]])</f>
        <v>1</v>
      </c>
      <c r="V4590" t="str">
        <f>+Table1[[#This Row],[id_destino]]&amp;" - "&amp;Table1[[#This Row],[id_origen]]</f>
        <v>61 - 669</v>
      </c>
    </row>
    <row r="4591" spans="1:22" hidden="1">
      <c r="A4591">
        <v>3529</v>
      </c>
      <c r="B4591">
        <v>4050</v>
      </c>
      <c r="C4591">
        <v>72</v>
      </c>
      <c r="D4591">
        <v>7085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 t="s">
        <v>20</v>
      </c>
      <c r="L4591" s="1">
        <v>44949</v>
      </c>
      <c r="M4591">
        <v>64</v>
      </c>
      <c r="N4591">
        <v>669</v>
      </c>
      <c r="O4591">
        <v>189</v>
      </c>
      <c r="P4591">
        <v>193</v>
      </c>
      <c r="Q4591">
        <v>189</v>
      </c>
      <c r="S4591">
        <v>0</v>
      </c>
      <c r="T4591">
        <v>0</v>
      </c>
      <c r="U4591">
        <f>+SUM(Table1[[#This Row],[Latinos]:[Cemex]])</f>
        <v>1</v>
      </c>
      <c r="V4591" t="str">
        <f>+Table1[[#This Row],[id_destino]]&amp;" - "&amp;Table1[[#This Row],[id_origen]]</f>
        <v>64 - 669</v>
      </c>
    </row>
    <row r="4592" spans="1:22" hidden="1">
      <c r="A4592">
        <v>1443</v>
      </c>
      <c r="B4592">
        <v>2601</v>
      </c>
      <c r="C4592">
        <v>72</v>
      </c>
      <c r="D4592">
        <v>105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0</v>
      </c>
      <c r="K4592" t="s">
        <v>20</v>
      </c>
      <c r="L4592" s="1">
        <v>43437</v>
      </c>
      <c r="M4592">
        <v>75</v>
      </c>
      <c r="N4592">
        <v>669</v>
      </c>
      <c r="O4592">
        <v>395</v>
      </c>
      <c r="P4592">
        <v>382</v>
      </c>
      <c r="Q4592">
        <v>395</v>
      </c>
      <c r="S4592">
        <v>582</v>
      </c>
      <c r="T4592">
        <v>582</v>
      </c>
      <c r="U4592">
        <f>+SUM(Table1[[#This Row],[Latinos]:[Cemex]])</f>
        <v>1</v>
      </c>
      <c r="V4592" t="str">
        <f>+Table1[[#This Row],[id_destino]]&amp;" - "&amp;Table1[[#This Row],[id_origen]]</f>
        <v>75 - 669</v>
      </c>
    </row>
    <row r="4593" spans="1:22" hidden="1">
      <c r="A4593">
        <v>4145</v>
      </c>
      <c r="B4593">
        <v>4447</v>
      </c>
      <c r="C4593">
        <v>72</v>
      </c>
      <c r="D4593">
        <v>268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0</v>
      </c>
      <c r="K4593" t="s">
        <v>20</v>
      </c>
      <c r="L4593" s="1">
        <v>45317</v>
      </c>
      <c r="M4593">
        <v>99</v>
      </c>
      <c r="N4593">
        <v>669</v>
      </c>
      <c r="O4593">
        <v>1576</v>
      </c>
      <c r="P4593">
        <v>1576</v>
      </c>
      <c r="Q4593">
        <v>1576</v>
      </c>
      <c r="S4593">
        <v>3483</v>
      </c>
      <c r="T4593">
        <v>3483</v>
      </c>
      <c r="U4593">
        <f>+SUM(Table1[[#This Row],[Latinos]:[Cemex]])</f>
        <v>1</v>
      </c>
      <c r="V4593" t="str">
        <f>+Table1[[#This Row],[id_destino]]&amp;" - "&amp;Table1[[#This Row],[id_origen]]</f>
        <v>99 - 669</v>
      </c>
    </row>
    <row r="4594" spans="1:22" hidden="1">
      <c r="A4594">
        <v>2519</v>
      </c>
      <c r="B4594">
        <v>3393</v>
      </c>
      <c r="C4594">
        <v>72</v>
      </c>
      <c r="D4594">
        <v>1584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  <c r="K4594" t="s">
        <v>20</v>
      </c>
      <c r="L4594" s="1">
        <v>44148</v>
      </c>
      <c r="M4594">
        <v>118</v>
      </c>
      <c r="N4594">
        <v>669</v>
      </c>
      <c r="O4594">
        <v>2523</v>
      </c>
      <c r="P4594">
        <v>2523</v>
      </c>
      <c r="Q4594">
        <v>2523</v>
      </c>
      <c r="S4594">
        <v>0</v>
      </c>
      <c r="T4594">
        <v>0</v>
      </c>
      <c r="U4594">
        <f>+SUM(Table1[[#This Row],[Latinos]:[Cemex]])</f>
        <v>1</v>
      </c>
      <c r="V4594" t="str">
        <f>+Table1[[#This Row],[id_destino]]&amp;" - "&amp;Table1[[#This Row],[id_origen]]</f>
        <v>118 - 669</v>
      </c>
    </row>
    <row r="4595" spans="1:22" hidden="1">
      <c r="A4595">
        <v>3003</v>
      </c>
      <c r="B4595">
        <v>3715</v>
      </c>
      <c r="C4595">
        <v>72</v>
      </c>
      <c r="D4595">
        <v>1645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 t="s">
        <v>20</v>
      </c>
      <c r="L4595" s="1">
        <v>44748</v>
      </c>
      <c r="M4595">
        <v>148</v>
      </c>
      <c r="N4595">
        <v>669</v>
      </c>
      <c r="O4595">
        <v>190</v>
      </c>
      <c r="P4595">
        <v>193</v>
      </c>
      <c r="Q4595">
        <v>190</v>
      </c>
      <c r="S4595">
        <v>0</v>
      </c>
      <c r="T4595">
        <v>0</v>
      </c>
      <c r="U4595">
        <f>+SUM(Table1[[#This Row],[Latinos]:[Cemex]])</f>
        <v>1</v>
      </c>
      <c r="V4595" t="str">
        <f>+Table1[[#This Row],[id_destino]]&amp;" - "&amp;Table1[[#This Row],[id_origen]]</f>
        <v>148 - 669</v>
      </c>
    </row>
    <row r="4596" spans="1:22" hidden="1">
      <c r="A4596">
        <v>1285</v>
      </c>
      <c r="B4596">
        <v>2500</v>
      </c>
      <c r="C4596">
        <v>72</v>
      </c>
      <c r="D4596">
        <v>12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 t="s">
        <v>20</v>
      </c>
      <c r="L4596" s="1">
        <v>43367</v>
      </c>
      <c r="M4596">
        <v>169</v>
      </c>
      <c r="N4596">
        <v>669</v>
      </c>
      <c r="O4596">
        <v>186</v>
      </c>
      <c r="P4596">
        <v>182</v>
      </c>
      <c r="Q4596">
        <v>186</v>
      </c>
      <c r="S4596">
        <v>337</v>
      </c>
      <c r="T4596">
        <v>337</v>
      </c>
      <c r="U4596">
        <f>+SUM(Table1[[#This Row],[Latinos]:[Cemex]])</f>
        <v>1</v>
      </c>
      <c r="V4596" t="str">
        <f>+Table1[[#This Row],[id_destino]]&amp;" - "&amp;Table1[[#This Row],[id_origen]]</f>
        <v>169 - 669</v>
      </c>
    </row>
    <row r="4597" spans="1:22" hidden="1">
      <c r="A4597">
        <v>2861</v>
      </c>
      <c r="B4597">
        <v>3615</v>
      </c>
      <c r="C4597">
        <v>72</v>
      </c>
      <c r="D4597">
        <v>3393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 t="s">
        <v>20</v>
      </c>
      <c r="L4597" s="1">
        <v>44558</v>
      </c>
      <c r="M4597">
        <v>183</v>
      </c>
      <c r="N4597">
        <v>669</v>
      </c>
      <c r="O4597">
        <v>316</v>
      </c>
      <c r="P4597">
        <v>316</v>
      </c>
      <c r="Q4597">
        <v>322</v>
      </c>
      <c r="S4597">
        <v>712</v>
      </c>
      <c r="T4597">
        <v>712</v>
      </c>
      <c r="U4597">
        <f>+SUM(Table1[[#This Row],[Latinos]:[Cemex]])</f>
        <v>1</v>
      </c>
      <c r="V4597" t="str">
        <f>+Table1[[#This Row],[id_destino]]&amp;" - "&amp;Table1[[#This Row],[id_origen]]</f>
        <v>183 - 669</v>
      </c>
    </row>
    <row r="4598" spans="1:22" hidden="1">
      <c r="A4598">
        <v>3301</v>
      </c>
      <c r="B4598">
        <v>3615</v>
      </c>
      <c r="C4598">
        <v>72</v>
      </c>
      <c r="D4598">
        <v>116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 t="s">
        <v>20</v>
      </c>
      <c r="L4598" s="1">
        <v>44823</v>
      </c>
      <c r="M4598">
        <v>183</v>
      </c>
      <c r="N4598">
        <v>669</v>
      </c>
      <c r="O4598">
        <v>322</v>
      </c>
      <c r="P4598">
        <v>322</v>
      </c>
      <c r="Q4598">
        <v>322</v>
      </c>
      <c r="S4598">
        <v>712</v>
      </c>
      <c r="T4598">
        <v>712</v>
      </c>
      <c r="U4598">
        <f>+SUM(Table1[[#This Row],[Latinos]:[Cemex]])</f>
        <v>1</v>
      </c>
      <c r="V4598" t="str">
        <f>+Table1[[#This Row],[id_destino]]&amp;" - "&amp;Table1[[#This Row],[id_origen]]</f>
        <v>183 - 669</v>
      </c>
    </row>
    <row r="4599" spans="1:22" hidden="1">
      <c r="A4599">
        <v>4689</v>
      </c>
      <c r="B4599">
        <v>4848</v>
      </c>
      <c r="C4599">
        <v>72</v>
      </c>
      <c r="D4599">
        <v>6926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0</v>
      </c>
      <c r="K4599" t="s">
        <v>20</v>
      </c>
      <c r="L4599" s="1">
        <v>45729</v>
      </c>
      <c r="M4599">
        <v>254</v>
      </c>
      <c r="N4599">
        <v>669</v>
      </c>
      <c r="O4599">
        <v>414</v>
      </c>
      <c r="P4599">
        <v>410</v>
      </c>
      <c r="Q4599">
        <v>414</v>
      </c>
      <c r="S4599">
        <v>1046</v>
      </c>
      <c r="T4599">
        <v>1046</v>
      </c>
      <c r="U4599">
        <f>+SUM(Table1[[#This Row],[Latinos]:[Cemex]])</f>
        <v>1</v>
      </c>
      <c r="V4599" t="str">
        <f>+Table1[[#This Row],[id_destino]]&amp;" - "&amp;Table1[[#This Row],[id_origen]]</f>
        <v>254 - 669</v>
      </c>
    </row>
    <row r="4600" spans="1:22" hidden="1">
      <c r="A4600">
        <v>4511</v>
      </c>
      <c r="B4600">
        <v>4716</v>
      </c>
      <c r="C4600">
        <v>72</v>
      </c>
      <c r="D4600">
        <v>7011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0</v>
      </c>
      <c r="K4600" t="s">
        <v>20</v>
      </c>
      <c r="L4600" s="1">
        <v>45594</v>
      </c>
      <c r="M4600">
        <v>591</v>
      </c>
      <c r="N4600">
        <v>669</v>
      </c>
      <c r="O4600">
        <v>371</v>
      </c>
      <c r="P4600">
        <v>368</v>
      </c>
      <c r="Q4600">
        <v>371</v>
      </c>
      <c r="S4600">
        <v>525</v>
      </c>
      <c r="T4600">
        <v>525</v>
      </c>
      <c r="U4600">
        <f>+SUM(Table1[[#This Row],[Latinos]:[Cemex]])</f>
        <v>1</v>
      </c>
      <c r="V4600" t="str">
        <f>+Table1[[#This Row],[id_destino]]&amp;" - "&amp;Table1[[#This Row],[id_origen]]</f>
        <v>591 - 669</v>
      </c>
    </row>
    <row r="4601" spans="1:22" hidden="1">
      <c r="A4601">
        <v>4376</v>
      </c>
      <c r="B4601">
        <v>4608</v>
      </c>
      <c r="C4601">
        <v>5222</v>
      </c>
      <c r="D4601">
        <v>7857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0</v>
      </c>
      <c r="K4601" t="s">
        <v>20</v>
      </c>
      <c r="L4601" s="1">
        <v>45502</v>
      </c>
      <c r="M4601">
        <v>1</v>
      </c>
      <c r="N4601">
        <v>684</v>
      </c>
      <c r="O4601">
        <v>1083</v>
      </c>
      <c r="P4601">
        <v>1101</v>
      </c>
      <c r="Q4601">
        <v>1083</v>
      </c>
      <c r="S4601">
        <v>1715</v>
      </c>
      <c r="T4601">
        <v>1719</v>
      </c>
      <c r="U4601">
        <f>+SUM(Table1[[#This Row],[Latinos]:[Cemex]])</f>
        <v>1</v>
      </c>
      <c r="V4601" t="str">
        <f>+Table1[[#This Row],[id_destino]]&amp;" - "&amp;Table1[[#This Row],[id_origen]]</f>
        <v>1 - 684</v>
      </c>
    </row>
    <row r="4602" spans="1:22" hidden="1">
      <c r="A4602">
        <v>3566</v>
      </c>
      <c r="B4602">
        <v>4076</v>
      </c>
      <c r="C4602">
        <v>1548</v>
      </c>
      <c r="D4602">
        <v>1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 t="s">
        <v>20</v>
      </c>
      <c r="L4602" s="1">
        <v>44961</v>
      </c>
      <c r="M4602">
        <v>3</v>
      </c>
      <c r="N4602">
        <v>684</v>
      </c>
      <c r="O4602">
        <v>613</v>
      </c>
      <c r="P4602">
        <v>632</v>
      </c>
      <c r="Q4602">
        <v>613</v>
      </c>
      <c r="S4602">
        <v>1122</v>
      </c>
      <c r="T4602">
        <v>1122</v>
      </c>
      <c r="U4602">
        <f>+SUM(Table1[[#This Row],[Latinos]:[Cemex]])</f>
        <v>1</v>
      </c>
      <c r="V4602" t="str">
        <f>+Table1[[#This Row],[id_destino]]&amp;" - "&amp;Table1[[#This Row],[id_origen]]</f>
        <v>3 - 684</v>
      </c>
    </row>
    <row r="4603" spans="1:22" hidden="1">
      <c r="A4603">
        <v>4518</v>
      </c>
      <c r="B4603">
        <v>4721</v>
      </c>
      <c r="C4603">
        <v>7952</v>
      </c>
      <c r="D4603">
        <v>2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 t="s">
        <v>20</v>
      </c>
      <c r="L4603" s="1">
        <v>45597</v>
      </c>
      <c r="M4603">
        <v>4</v>
      </c>
      <c r="N4603">
        <v>684</v>
      </c>
      <c r="O4603">
        <v>726</v>
      </c>
      <c r="P4603">
        <v>722</v>
      </c>
      <c r="Q4603">
        <v>726</v>
      </c>
      <c r="S4603">
        <v>2249</v>
      </c>
      <c r="T4603">
        <v>2251</v>
      </c>
      <c r="U4603">
        <f>+SUM(Table1[[#This Row],[Latinos]:[Cemex]])</f>
        <v>1</v>
      </c>
      <c r="V4603" t="str">
        <f>+Table1[[#This Row],[id_destino]]&amp;" - "&amp;Table1[[#This Row],[id_origen]]</f>
        <v>4 - 684</v>
      </c>
    </row>
    <row r="4604" spans="1:22" hidden="1">
      <c r="A4604">
        <v>2902</v>
      </c>
      <c r="B4604">
        <v>3643</v>
      </c>
      <c r="C4604">
        <v>4681</v>
      </c>
      <c r="D4604">
        <v>5</v>
      </c>
      <c r="E4604">
        <v>0</v>
      </c>
      <c r="F4604">
        <v>1</v>
      </c>
      <c r="G4604">
        <v>0</v>
      </c>
      <c r="H4604">
        <v>0</v>
      </c>
      <c r="I4604">
        <v>0</v>
      </c>
      <c r="J4604">
        <v>0</v>
      </c>
      <c r="K4604" t="s">
        <v>20</v>
      </c>
      <c r="L4604" s="1">
        <v>44748</v>
      </c>
      <c r="M4604">
        <v>7</v>
      </c>
      <c r="N4604">
        <v>684</v>
      </c>
      <c r="O4604">
        <v>1528</v>
      </c>
      <c r="P4604">
        <v>1500</v>
      </c>
      <c r="Q4604">
        <v>1528</v>
      </c>
      <c r="S4604">
        <v>3879</v>
      </c>
      <c r="T4604">
        <v>4471</v>
      </c>
      <c r="U4604">
        <f>+SUM(Table1[[#This Row],[Latinos]:[Cemex]])</f>
        <v>1</v>
      </c>
      <c r="V4604" t="str">
        <f>+Table1[[#This Row],[id_destino]]&amp;" - "&amp;Table1[[#This Row],[id_origen]]</f>
        <v>7 - 684</v>
      </c>
    </row>
    <row r="4605" spans="1:22" hidden="1">
      <c r="A4605">
        <v>2137</v>
      </c>
      <c r="B4605">
        <v>3157</v>
      </c>
      <c r="C4605">
        <v>6157</v>
      </c>
      <c r="D4605">
        <v>1498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  <c r="K4605" t="s">
        <v>80</v>
      </c>
      <c r="L4605" s="1">
        <v>43846</v>
      </c>
      <c r="M4605">
        <v>11</v>
      </c>
      <c r="N4605">
        <v>684</v>
      </c>
      <c r="O4605">
        <v>434</v>
      </c>
      <c r="P4605">
        <v>434</v>
      </c>
      <c r="Q4605">
        <v>434</v>
      </c>
      <c r="S4605">
        <v>998</v>
      </c>
      <c r="T4605">
        <v>991</v>
      </c>
      <c r="U4605">
        <f>+SUM(Table1[[#This Row],[Latinos]:[Cemex]])</f>
        <v>1</v>
      </c>
      <c r="V4605" t="str">
        <f>+Table1[[#This Row],[id_destino]]&amp;" - "&amp;Table1[[#This Row],[id_origen]]</f>
        <v>11 - 684</v>
      </c>
    </row>
    <row r="4606" spans="1:22" hidden="1">
      <c r="A4606">
        <v>2206</v>
      </c>
      <c r="B4606">
        <v>3157</v>
      </c>
      <c r="C4606">
        <v>3489</v>
      </c>
      <c r="D4606">
        <v>5282</v>
      </c>
      <c r="E4606">
        <v>0</v>
      </c>
      <c r="F4606">
        <v>1</v>
      </c>
      <c r="G4606">
        <v>0</v>
      </c>
      <c r="H4606">
        <v>0</v>
      </c>
      <c r="I4606">
        <v>0</v>
      </c>
      <c r="J4606">
        <v>0</v>
      </c>
      <c r="K4606" t="s">
        <v>20</v>
      </c>
      <c r="L4606" s="1">
        <v>43859</v>
      </c>
      <c r="M4606">
        <v>11</v>
      </c>
      <c r="N4606">
        <v>684</v>
      </c>
      <c r="O4606">
        <v>421</v>
      </c>
      <c r="P4606">
        <v>390</v>
      </c>
      <c r="Q4606">
        <v>421</v>
      </c>
      <c r="S4606">
        <v>1110</v>
      </c>
      <c r="T4606">
        <v>1114</v>
      </c>
      <c r="U4606">
        <f>+SUM(Table1[[#This Row],[Latinos]:[Cemex]])</f>
        <v>1</v>
      </c>
      <c r="V4606" t="str">
        <f>+Table1[[#This Row],[id_destino]]&amp;" - "&amp;Table1[[#This Row],[id_origen]]</f>
        <v>11 - 684</v>
      </c>
    </row>
    <row r="4607" spans="1:22" hidden="1">
      <c r="A4607">
        <v>1919</v>
      </c>
      <c r="B4607">
        <v>3016</v>
      </c>
      <c r="C4607">
        <v>5222</v>
      </c>
      <c r="D4607">
        <v>10</v>
      </c>
      <c r="E4607">
        <v>0</v>
      </c>
      <c r="F4607">
        <v>1</v>
      </c>
      <c r="G4607">
        <v>0</v>
      </c>
      <c r="H4607">
        <v>0</v>
      </c>
      <c r="I4607">
        <v>0</v>
      </c>
      <c r="J4607">
        <v>0</v>
      </c>
      <c r="K4607" t="s">
        <v>20</v>
      </c>
      <c r="L4607" s="1">
        <v>43717</v>
      </c>
      <c r="M4607">
        <v>12</v>
      </c>
      <c r="N4607">
        <v>684</v>
      </c>
      <c r="O4607">
        <v>730</v>
      </c>
      <c r="P4607">
        <v>665</v>
      </c>
      <c r="Q4607">
        <v>730</v>
      </c>
      <c r="S4607">
        <v>2460</v>
      </c>
      <c r="T4607">
        <v>2464</v>
      </c>
      <c r="U4607">
        <f>+SUM(Table1[[#This Row],[Latinos]:[Cemex]])</f>
        <v>1</v>
      </c>
      <c r="V4607" t="str">
        <f>+Table1[[#This Row],[id_destino]]&amp;" - "&amp;Table1[[#This Row],[id_origen]]</f>
        <v>12 - 684</v>
      </c>
    </row>
    <row r="4608" spans="1:22" hidden="1">
      <c r="A4608">
        <v>1861</v>
      </c>
      <c r="B4608">
        <v>2979</v>
      </c>
      <c r="C4608">
        <v>3489</v>
      </c>
      <c r="D4608">
        <v>5256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  <c r="K4608" t="s">
        <v>20</v>
      </c>
      <c r="L4608" s="1">
        <v>43671</v>
      </c>
      <c r="M4608">
        <v>13</v>
      </c>
      <c r="N4608">
        <v>684</v>
      </c>
      <c r="O4608">
        <v>500</v>
      </c>
      <c r="P4608">
        <v>504</v>
      </c>
      <c r="Q4608">
        <v>500</v>
      </c>
      <c r="S4608">
        <v>1505</v>
      </c>
      <c r="T4608">
        <v>1512</v>
      </c>
      <c r="U4608">
        <f>+SUM(Table1[[#This Row],[Latinos]:[Cemex]])</f>
        <v>1</v>
      </c>
      <c r="V4608" t="str">
        <f>+Table1[[#This Row],[id_destino]]&amp;" - "&amp;Table1[[#This Row],[id_origen]]</f>
        <v>13 - 684</v>
      </c>
    </row>
    <row r="4609" spans="1:22" hidden="1">
      <c r="A4609">
        <v>960</v>
      </c>
      <c r="B4609">
        <v>2525</v>
      </c>
      <c r="C4609">
        <v>1548</v>
      </c>
      <c r="D4609">
        <v>18</v>
      </c>
      <c r="E4609">
        <v>0</v>
      </c>
      <c r="F4609">
        <v>1</v>
      </c>
      <c r="G4609">
        <v>0</v>
      </c>
      <c r="H4609">
        <v>0</v>
      </c>
      <c r="I4609">
        <v>0</v>
      </c>
      <c r="J4609">
        <v>0</v>
      </c>
      <c r="K4609" t="s">
        <v>20</v>
      </c>
      <c r="L4609" s="1">
        <v>43228</v>
      </c>
      <c r="M4609">
        <v>17</v>
      </c>
      <c r="N4609">
        <v>684</v>
      </c>
      <c r="O4609">
        <v>1082</v>
      </c>
      <c r="P4609">
        <v>1143</v>
      </c>
      <c r="Q4609">
        <v>1082</v>
      </c>
      <c r="S4609">
        <v>1449</v>
      </c>
      <c r="T4609">
        <v>1456</v>
      </c>
      <c r="U4609">
        <f>+SUM(Table1[[#This Row],[Latinos]:[Cemex]])</f>
        <v>1</v>
      </c>
      <c r="V4609" t="str">
        <f>+Table1[[#This Row],[id_destino]]&amp;" - "&amp;Table1[[#This Row],[id_origen]]</f>
        <v>17 - 684</v>
      </c>
    </row>
    <row r="4610" spans="1:22" hidden="1">
      <c r="A4610">
        <v>1476</v>
      </c>
      <c r="B4610">
        <v>2766</v>
      </c>
      <c r="C4610">
        <v>3888</v>
      </c>
      <c r="D4610">
        <v>4177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0</v>
      </c>
      <c r="K4610" t="s">
        <v>20</v>
      </c>
      <c r="L4610" s="1">
        <v>43455</v>
      </c>
      <c r="M4610">
        <v>18</v>
      </c>
      <c r="N4610">
        <v>684</v>
      </c>
      <c r="O4610">
        <v>242</v>
      </c>
      <c r="P4610">
        <v>270</v>
      </c>
      <c r="Q4610">
        <v>242</v>
      </c>
      <c r="S4610">
        <v>1823</v>
      </c>
      <c r="T4610">
        <v>1835</v>
      </c>
      <c r="U4610">
        <f>+SUM(Table1[[#This Row],[Latinos]:[Cemex]])</f>
        <v>1</v>
      </c>
      <c r="V4610" t="str">
        <f>+Table1[[#This Row],[id_destino]]&amp;" - "&amp;Table1[[#This Row],[id_origen]]</f>
        <v>18 - 684</v>
      </c>
    </row>
    <row r="4611" spans="1:22" hidden="1">
      <c r="A4611">
        <v>1831</v>
      </c>
      <c r="B4611">
        <v>2910</v>
      </c>
      <c r="C4611">
        <v>3489</v>
      </c>
      <c r="D4611">
        <v>22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  <c r="K4611" t="s">
        <v>77</v>
      </c>
      <c r="L4611" s="1">
        <v>43655</v>
      </c>
      <c r="M4611">
        <v>19</v>
      </c>
      <c r="N4611">
        <v>684</v>
      </c>
      <c r="O4611">
        <v>265</v>
      </c>
      <c r="P4611">
        <v>265</v>
      </c>
      <c r="Q4611">
        <v>265</v>
      </c>
      <c r="S4611">
        <v>720</v>
      </c>
      <c r="T4611">
        <v>726</v>
      </c>
      <c r="U4611">
        <f>+SUM(Table1[[#This Row],[Latinos]:[Cemex]])</f>
        <v>1</v>
      </c>
      <c r="V4611" t="str">
        <f>+Table1[[#This Row],[id_destino]]&amp;" - "&amp;Table1[[#This Row],[id_origen]]</f>
        <v>19 - 684</v>
      </c>
    </row>
    <row r="4612" spans="1:22" hidden="1">
      <c r="A4612">
        <v>1513</v>
      </c>
      <c r="B4612">
        <v>2786</v>
      </c>
      <c r="C4612">
        <v>1548</v>
      </c>
      <c r="D4612">
        <v>5475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 t="s">
        <v>20</v>
      </c>
      <c r="L4612" s="1">
        <v>43480</v>
      </c>
      <c r="M4612">
        <v>20</v>
      </c>
      <c r="N4612">
        <v>684</v>
      </c>
      <c r="O4612">
        <v>258</v>
      </c>
      <c r="P4612">
        <v>253</v>
      </c>
      <c r="Q4612">
        <v>258</v>
      </c>
      <c r="S4612">
        <v>1656</v>
      </c>
      <c r="T4612">
        <v>1668</v>
      </c>
      <c r="U4612">
        <f>+SUM(Table1[[#This Row],[Latinos]:[Cemex]])</f>
        <v>1</v>
      </c>
      <c r="V4612" t="str">
        <f>+Table1[[#This Row],[id_destino]]&amp;" - "&amp;Table1[[#This Row],[id_origen]]</f>
        <v>20 - 684</v>
      </c>
    </row>
    <row r="4613" spans="1:22" hidden="1">
      <c r="A4613">
        <v>3565</v>
      </c>
      <c r="B4613">
        <v>4075</v>
      </c>
      <c r="C4613">
        <v>7043</v>
      </c>
      <c r="D4613">
        <v>299</v>
      </c>
      <c r="E4613">
        <v>0</v>
      </c>
      <c r="F4613">
        <v>1</v>
      </c>
      <c r="G4613">
        <v>0</v>
      </c>
      <c r="H4613">
        <v>0</v>
      </c>
      <c r="I4613">
        <v>0</v>
      </c>
      <c r="J4613">
        <v>0</v>
      </c>
      <c r="K4613" t="s">
        <v>20</v>
      </c>
      <c r="L4613" s="1">
        <v>45821</v>
      </c>
      <c r="M4613">
        <v>23</v>
      </c>
      <c r="N4613">
        <v>684</v>
      </c>
      <c r="O4613">
        <v>734</v>
      </c>
      <c r="P4613">
        <v>718</v>
      </c>
      <c r="Q4613">
        <v>734</v>
      </c>
      <c r="S4613">
        <v>2955</v>
      </c>
      <c r="T4613">
        <v>2960</v>
      </c>
      <c r="U4613">
        <f>+SUM(Table1[[#This Row],[Latinos]:[Cemex]])</f>
        <v>1</v>
      </c>
      <c r="V4613" t="str">
        <f>+Table1[[#This Row],[id_destino]]&amp;" - "&amp;Table1[[#This Row],[id_origen]]</f>
        <v>23 - 684</v>
      </c>
    </row>
    <row r="4614" spans="1:22" hidden="1">
      <c r="A4614">
        <v>877</v>
      </c>
      <c r="B4614">
        <v>2489</v>
      </c>
      <c r="C4614">
        <v>3489</v>
      </c>
      <c r="D4614">
        <v>53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0</v>
      </c>
      <c r="K4614" t="s">
        <v>20</v>
      </c>
      <c r="L4614" s="1">
        <v>43734</v>
      </c>
      <c r="M4614">
        <v>35</v>
      </c>
      <c r="N4614">
        <v>684</v>
      </c>
      <c r="O4614">
        <v>154</v>
      </c>
      <c r="P4614">
        <v>182</v>
      </c>
      <c r="Q4614">
        <v>154</v>
      </c>
      <c r="S4614">
        <v>990</v>
      </c>
      <c r="T4614">
        <v>992</v>
      </c>
      <c r="U4614">
        <f>+SUM(Table1[[#This Row],[Latinos]:[Cemex]])</f>
        <v>1</v>
      </c>
      <c r="V4614" t="str">
        <f>+Table1[[#This Row],[id_destino]]&amp;" - "&amp;Table1[[#This Row],[id_origen]]</f>
        <v>35 - 684</v>
      </c>
    </row>
    <row r="4615" spans="1:22" hidden="1">
      <c r="A4615">
        <v>798</v>
      </c>
      <c r="B4615">
        <v>2457</v>
      </c>
      <c r="C4615">
        <v>3489</v>
      </c>
      <c r="D4615">
        <v>556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 t="s">
        <v>20</v>
      </c>
      <c r="L4615" s="1">
        <v>43168</v>
      </c>
      <c r="M4615">
        <v>36</v>
      </c>
      <c r="N4615">
        <v>684</v>
      </c>
      <c r="O4615">
        <v>75</v>
      </c>
      <c r="P4615">
        <v>150</v>
      </c>
      <c r="Q4615">
        <v>75</v>
      </c>
      <c r="S4615">
        <v>321</v>
      </c>
      <c r="T4615">
        <v>323</v>
      </c>
      <c r="U4615">
        <f>+SUM(Table1[[#This Row],[Latinos]:[Cemex]])</f>
        <v>1</v>
      </c>
      <c r="V4615" t="str">
        <f>+Table1[[#This Row],[id_destino]]&amp;" - "&amp;Table1[[#This Row],[id_origen]]</f>
        <v>36 - 684</v>
      </c>
    </row>
    <row r="4616" spans="1:22" hidden="1">
      <c r="A4616">
        <v>1830</v>
      </c>
      <c r="B4616">
        <v>2457</v>
      </c>
      <c r="C4616">
        <v>3489</v>
      </c>
      <c r="D4616">
        <v>556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  <c r="K4616" t="s">
        <v>20</v>
      </c>
      <c r="L4616" s="1">
        <v>43655</v>
      </c>
      <c r="M4616">
        <v>36</v>
      </c>
      <c r="N4616">
        <v>684</v>
      </c>
      <c r="O4616">
        <v>59</v>
      </c>
      <c r="P4616">
        <v>150</v>
      </c>
      <c r="Q4616">
        <v>59</v>
      </c>
      <c r="S4616">
        <v>182</v>
      </c>
      <c r="T4616">
        <v>182</v>
      </c>
      <c r="U4616">
        <f>+SUM(Table1[[#This Row],[Latinos]:[Cemex]])</f>
        <v>1</v>
      </c>
      <c r="V4616" t="str">
        <f>+Table1[[#This Row],[id_destino]]&amp;" - "&amp;Table1[[#This Row],[id_origen]]</f>
        <v>36 - 684</v>
      </c>
    </row>
    <row r="4617" spans="1:22" hidden="1">
      <c r="A4617">
        <v>3507</v>
      </c>
      <c r="B4617">
        <v>4036</v>
      </c>
      <c r="C4617">
        <v>3489</v>
      </c>
      <c r="D4617">
        <v>44</v>
      </c>
      <c r="E4617">
        <v>0</v>
      </c>
      <c r="F4617">
        <v>1</v>
      </c>
      <c r="G4617">
        <v>0</v>
      </c>
      <c r="H4617">
        <v>0</v>
      </c>
      <c r="I4617">
        <v>0</v>
      </c>
      <c r="J4617">
        <v>0</v>
      </c>
      <c r="K4617" t="s">
        <v>20</v>
      </c>
      <c r="L4617" s="1">
        <v>44937</v>
      </c>
      <c r="M4617">
        <v>38</v>
      </c>
      <c r="N4617">
        <v>684</v>
      </c>
      <c r="O4617">
        <v>482</v>
      </c>
      <c r="P4617">
        <v>479</v>
      </c>
      <c r="Q4617">
        <v>482</v>
      </c>
      <c r="S4617">
        <v>1913</v>
      </c>
      <c r="T4617">
        <v>1917</v>
      </c>
      <c r="U4617">
        <f>+SUM(Table1[[#This Row],[Latinos]:[Cemex]])</f>
        <v>1</v>
      </c>
      <c r="V4617" t="str">
        <f>+Table1[[#This Row],[id_destino]]&amp;" - "&amp;Table1[[#This Row],[id_origen]]</f>
        <v>38 - 684</v>
      </c>
    </row>
    <row r="4618" spans="1:22" hidden="1">
      <c r="A4618">
        <v>2715</v>
      </c>
      <c r="B4618">
        <v>3520</v>
      </c>
      <c r="C4618">
        <v>5222</v>
      </c>
      <c r="D4618">
        <v>46</v>
      </c>
      <c r="E4618">
        <v>0</v>
      </c>
      <c r="F4618">
        <v>1</v>
      </c>
      <c r="G4618">
        <v>0</v>
      </c>
      <c r="H4618">
        <v>0</v>
      </c>
      <c r="I4618">
        <v>0</v>
      </c>
      <c r="J4618">
        <v>0</v>
      </c>
      <c r="K4618" t="s">
        <v>20</v>
      </c>
      <c r="L4618" s="1">
        <v>44370</v>
      </c>
      <c r="M4618">
        <v>40</v>
      </c>
      <c r="N4618">
        <v>684</v>
      </c>
      <c r="O4618">
        <v>652</v>
      </c>
      <c r="P4618">
        <v>702</v>
      </c>
      <c r="Q4618">
        <v>652</v>
      </c>
      <c r="S4618">
        <v>2011</v>
      </c>
      <c r="T4618">
        <v>2016</v>
      </c>
      <c r="U4618">
        <f>+SUM(Table1[[#This Row],[Latinos]:[Cemex]])</f>
        <v>1</v>
      </c>
      <c r="V4618" t="str">
        <f>+Table1[[#This Row],[id_destino]]&amp;" - "&amp;Table1[[#This Row],[id_origen]]</f>
        <v>40 - 684</v>
      </c>
    </row>
    <row r="4619" spans="1:22" hidden="1">
      <c r="A4619">
        <v>691</v>
      </c>
      <c r="B4619">
        <v>2409</v>
      </c>
      <c r="C4619">
        <v>3489</v>
      </c>
      <c r="D4619">
        <v>48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 t="s">
        <v>20</v>
      </c>
      <c r="L4619" s="1">
        <v>43132</v>
      </c>
      <c r="M4619">
        <v>42</v>
      </c>
      <c r="N4619">
        <v>684</v>
      </c>
      <c r="O4619">
        <v>173</v>
      </c>
      <c r="P4619">
        <v>150</v>
      </c>
      <c r="Q4619">
        <v>173</v>
      </c>
      <c r="S4619">
        <v>175</v>
      </c>
      <c r="T4619">
        <v>175</v>
      </c>
      <c r="U4619">
        <f>+SUM(Table1[[#This Row],[Latinos]:[Cemex]])</f>
        <v>1</v>
      </c>
      <c r="V4619" t="str">
        <f>+Table1[[#This Row],[id_destino]]&amp;" - "&amp;Table1[[#This Row],[id_origen]]</f>
        <v>42 - 684</v>
      </c>
    </row>
    <row r="4620" spans="1:22" hidden="1">
      <c r="A4620">
        <v>995</v>
      </c>
      <c r="B4620">
        <v>2410</v>
      </c>
      <c r="C4620">
        <v>3489</v>
      </c>
      <c r="D4620">
        <v>48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  <c r="K4620" t="s">
        <v>20</v>
      </c>
      <c r="L4620" s="1">
        <v>43241</v>
      </c>
      <c r="M4620">
        <v>42</v>
      </c>
      <c r="N4620">
        <v>684</v>
      </c>
      <c r="O4620">
        <v>173</v>
      </c>
      <c r="P4620">
        <v>173</v>
      </c>
      <c r="Q4620">
        <v>173</v>
      </c>
      <c r="S4620">
        <v>137</v>
      </c>
      <c r="T4620">
        <v>137</v>
      </c>
      <c r="U4620">
        <f>+SUM(Table1[[#This Row],[Latinos]:[Cemex]])</f>
        <v>1</v>
      </c>
      <c r="V4620" t="str">
        <f>+Table1[[#This Row],[id_destino]]&amp;" - "&amp;Table1[[#This Row],[id_origen]]</f>
        <v>42 - 684</v>
      </c>
    </row>
    <row r="4621" spans="1:22" hidden="1">
      <c r="A4621">
        <v>945</v>
      </c>
      <c r="B4621">
        <v>2520</v>
      </c>
      <c r="C4621">
        <v>3489</v>
      </c>
      <c r="D4621">
        <v>49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 t="s">
        <v>52</v>
      </c>
      <c r="L4621" s="1">
        <v>43223</v>
      </c>
      <c r="M4621">
        <v>43</v>
      </c>
      <c r="N4621">
        <v>684</v>
      </c>
      <c r="O4621">
        <v>488</v>
      </c>
      <c r="P4621">
        <v>466</v>
      </c>
      <c r="Q4621">
        <v>488</v>
      </c>
      <c r="S4621">
        <v>1193</v>
      </c>
      <c r="T4621">
        <v>1193</v>
      </c>
      <c r="U4621">
        <f>+SUM(Table1[[#This Row],[Latinos]:[Cemex]])</f>
        <v>1</v>
      </c>
      <c r="V4621" t="str">
        <f>+Table1[[#This Row],[id_destino]]&amp;" - "&amp;Table1[[#This Row],[id_origen]]</f>
        <v>43 - 684</v>
      </c>
    </row>
    <row r="4622" spans="1:22" hidden="1">
      <c r="A4622">
        <v>946</v>
      </c>
      <c r="B4622">
        <v>2520</v>
      </c>
      <c r="C4622">
        <v>3489</v>
      </c>
      <c r="D4622">
        <v>49</v>
      </c>
      <c r="E4622">
        <v>0</v>
      </c>
      <c r="F4622">
        <v>1</v>
      </c>
      <c r="G4622">
        <v>0</v>
      </c>
      <c r="H4622">
        <v>0</v>
      </c>
      <c r="I4622">
        <v>1</v>
      </c>
      <c r="J4622">
        <v>0</v>
      </c>
      <c r="K4622" t="s">
        <v>20</v>
      </c>
      <c r="L4622" s="1">
        <v>43223</v>
      </c>
      <c r="M4622">
        <v>43</v>
      </c>
      <c r="N4622">
        <v>684</v>
      </c>
      <c r="O4622">
        <v>479</v>
      </c>
      <c r="P4622">
        <v>506</v>
      </c>
      <c r="Q4622">
        <v>479</v>
      </c>
      <c r="S4622">
        <v>871</v>
      </c>
      <c r="T4622">
        <v>871</v>
      </c>
      <c r="U4622">
        <f>+SUM(Table1[[#This Row],[Latinos]:[Cemex]])</f>
        <v>2</v>
      </c>
      <c r="V4622" t="str">
        <f>+Table1[[#This Row],[id_destino]]&amp;" - "&amp;Table1[[#This Row],[id_origen]]</f>
        <v>43 - 684</v>
      </c>
    </row>
    <row r="4623" spans="1:22" hidden="1">
      <c r="A4623">
        <v>1829</v>
      </c>
      <c r="B4623">
        <v>2520</v>
      </c>
      <c r="C4623">
        <v>3489</v>
      </c>
      <c r="D4623">
        <v>49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 t="s">
        <v>20</v>
      </c>
      <c r="L4623" s="1">
        <v>43655</v>
      </c>
      <c r="M4623">
        <v>43</v>
      </c>
      <c r="N4623">
        <v>684</v>
      </c>
      <c r="O4623">
        <v>466</v>
      </c>
      <c r="P4623">
        <v>466</v>
      </c>
      <c r="Q4623">
        <v>466</v>
      </c>
      <c r="S4623">
        <v>1286</v>
      </c>
      <c r="T4623">
        <v>1286</v>
      </c>
      <c r="U4623">
        <f>+SUM(Table1[[#This Row],[Latinos]:[Cemex]])</f>
        <v>1</v>
      </c>
      <c r="V4623" t="str">
        <f>+Table1[[#This Row],[id_destino]]&amp;" - "&amp;Table1[[#This Row],[id_origen]]</f>
        <v>43 - 684</v>
      </c>
    </row>
    <row r="4624" spans="1:22" hidden="1">
      <c r="A4624">
        <v>1659</v>
      </c>
      <c r="B4624">
        <v>2871</v>
      </c>
      <c r="C4624">
        <v>3489</v>
      </c>
      <c r="D4624">
        <v>52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</v>
      </c>
      <c r="K4624" t="s">
        <v>20</v>
      </c>
      <c r="L4624" s="1">
        <v>44579</v>
      </c>
      <c r="M4624">
        <v>46</v>
      </c>
      <c r="N4624">
        <v>684</v>
      </c>
      <c r="O4624">
        <v>296</v>
      </c>
      <c r="P4624">
        <v>309</v>
      </c>
      <c r="Q4624">
        <v>296</v>
      </c>
      <c r="S4624">
        <v>744</v>
      </c>
      <c r="T4624">
        <v>942</v>
      </c>
      <c r="U4624">
        <f>+SUM(Table1[[#This Row],[Latinos]:[Cemex]])</f>
        <v>1</v>
      </c>
      <c r="V4624" t="str">
        <f>+Table1[[#This Row],[id_destino]]&amp;" - "&amp;Table1[[#This Row],[id_origen]]</f>
        <v>46 - 684</v>
      </c>
    </row>
    <row r="4625" spans="1:22" hidden="1">
      <c r="A4625">
        <v>2732</v>
      </c>
      <c r="B4625">
        <v>3532</v>
      </c>
      <c r="C4625">
        <v>5222</v>
      </c>
      <c r="D4625">
        <v>6283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0</v>
      </c>
      <c r="K4625" t="s">
        <v>20</v>
      </c>
      <c r="L4625" s="1">
        <v>45755</v>
      </c>
      <c r="M4625">
        <v>47</v>
      </c>
      <c r="N4625">
        <v>684</v>
      </c>
      <c r="O4625">
        <v>416</v>
      </c>
      <c r="P4625">
        <v>281</v>
      </c>
      <c r="Q4625">
        <v>416</v>
      </c>
      <c r="S4625">
        <v>1188</v>
      </c>
      <c r="T4625">
        <v>1200</v>
      </c>
      <c r="U4625">
        <f>+SUM(Table1[[#This Row],[Latinos]:[Cemex]])</f>
        <v>1</v>
      </c>
      <c r="V4625" t="str">
        <f>+Table1[[#This Row],[id_destino]]&amp;" - "&amp;Table1[[#This Row],[id_origen]]</f>
        <v>47 - 684</v>
      </c>
    </row>
    <row r="4626" spans="1:22" hidden="1">
      <c r="A4626">
        <v>1473</v>
      </c>
      <c r="B4626">
        <v>2765</v>
      </c>
      <c r="C4626">
        <v>1548</v>
      </c>
      <c r="D4626">
        <v>63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 t="s">
        <v>20</v>
      </c>
      <c r="L4626" s="1">
        <v>43454</v>
      </c>
      <c r="M4626">
        <v>55</v>
      </c>
      <c r="N4626">
        <v>684</v>
      </c>
      <c r="O4626">
        <v>219</v>
      </c>
      <c r="P4626">
        <v>206</v>
      </c>
      <c r="Q4626">
        <v>219</v>
      </c>
      <c r="S4626">
        <v>428</v>
      </c>
      <c r="T4626">
        <v>432</v>
      </c>
      <c r="U4626">
        <f>+SUM(Table1[[#This Row],[Latinos]:[Cemex]])</f>
        <v>1</v>
      </c>
      <c r="V4626" t="str">
        <f>+Table1[[#This Row],[id_destino]]&amp;" - "&amp;Table1[[#This Row],[id_origen]]</f>
        <v>55 - 684</v>
      </c>
    </row>
    <row r="4627" spans="1:22" hidden="1">
      <c r="A4627">
        <v>3823</v>
      </c>
      <c r="B4627">
        <v>2765</v>
      </c>
      <c r="C4627">
        <v>7043</v>
      </c>
      <c r="D4627">
        <v>63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  <c r="K4627" t="s">
        <v>20</v>
      </c>
      <c r="L4627" s="1">
        <v>45119</v>
      </c>
      <c r="M4627">
        <v>55</v>
      </c>
      <c r="N4627">
        <v>684</v>
      </c>
      <c r="O4627">
        <v>216</v>
      </c>
      <c r="P4627">
        <v>221</v>
      </c>
      <c r="Q4627">
        <v>216</v>
      </c>
      <c r="S4627">
        <v>867</v>
      </c>
      <c r="T4627">
        <v>877</v>
      </c>
      <c r="U4627">
        <f>+SUM(Table1[[#This Row],[Latinos]:[Cemex]])</f>
        <v>1</v>
      </c>
      <c r="V4627" t="str">
        <f>+Table1[[#This Row],[id_destino]]&amp;" - "&amp;Table1[[#This Row],[id_origen]]</f>
        <v>55 - 684</v>
      </c>
    </row>
    <row r="4628" spans="1:22" hidden="1">
      <c r="A4628">
        <v>4713</v>
      </c>
      <c r="B4628">
        <v>4864</v>
      </c>
      <c r="C4628">
        <v>5222</v>
      </c>
      <c r="D4628">
        <v>65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0</v>
      </c>
      <c r="K4628" t="s">
        <v>20</v>
      </c>
      <c r="L4628" s="1">
        <v>45749</v>
      </c>
      <c r="M4628">
        <v>57</v>
      </c>
      <c r="N4628">
        <v>684</v>
      </c>
      <c r="O4628">
        <v>214</v>
      </c>
      <c r="P4628">
        <v>197</v>
      </c>
      <c r="Q4628">
        <v>214</v>
      </c>
      <c r="S4628">
        <v>608</v>
      </c>
      <c r="T4628">
        <v>793</v>
      </c>
      <c r="U4628">
        <f>+SUM(Table1[[#This Row],[Latinos]:[Cemex]])</f>
        <v>1</v>
      </c>
      <c r="V4628" t="str">
        <f>+Table1[[#This Row],[id_destino]]&amp;" - "&amp;Table1[[#This Row],[id_origen]]</f>
        <v>57 - 684</v>
      </c>
    </row>
    <row r="4629" spans="1:22" hidden="1">
      <c r="A4629">
        <v>2973</v>
      </c>
      <c r="B4629">
        <v>3693</v>
      </c>
      <c r="C4629">
        <v>6730</v>
      </c>
      <c r="D4629">
        <v>71</v>
      </c>
      <c r="E4629">
        <v>0</v>
      </c>
      <c r="F4629">
        <v>1</v>
      </c>
      <c r="G4629">
        <v>0</v>
      </c>
      <c r="H4629">
        <v>0</v>
      </c>
      <c r="I4629">
        <v>0</v>
      </c>
      <c r="J4629">
        <v>0</v>
      </c>
      <c r="K4629" t="s">
        <v>20</v>
      </c>
      <c r="L4629" s="1">
        <v>44683</v>
      </c>
      <c r="M4629">
        <v>61</v>
      </c>
      <c r="N4629">
        <v>684</v>
      </c>
      <c r="O4629">
        <v>2952</v>
      </c>
      <c r="P4629">
        <v>2779</v>
      </c>
      <c r="Q4629">
        <v>2952</v>
      </c>
      <c r="S4629">
        <v>5906</v>
      </c>
      <c r="T4629">
        <v>6002</v>
      </c>
      <c r="U4629">
        <f>+SUM(Table1[[#This Row],[Latinos]:[Cemex]])</f>
        <v>1</v>
      </c>
      <c r="V4629" t="str">
        <f>+Table1[[#This Row],[id_destino]]&amp;" - "&amp;Table1[[#This Row],[id_origen]]</f>
        <v>61 - 684</v>
      </c>
    </row>
    <row r="4630" spans="1:22" hidden="1">
      <c r="A4630">
        <v>2891</v>
      </c>
      <c r="B4630">
        <v>2351</v>
      </c>
      <c r="C4630">
        <v>3489</v>
      </c>
      <c r="D4630">
        <v>3237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0</v>
      </c>
      <c r="K4630" t="s">
        <v>20</v>
      </c>
      <c r="L4630" s="1">
        <v>44614</v>
      </c>
      <c r="M4630">
        <v>65</v>
      </c>
      <c r="N4630">
        <v>684</v>
      </c>
      <c r="O4630">
        <v>154</v>
      </c>
      <c r="P4630">
        <v>190</v>
      </c>
      <c r="Q4630">
        <v>154</v>
      </c>
      <c r="S4630">
        <v>1535</v>
      </c>
      <c r="T4630">
        <v>1535</v>
      </c>
      <c r="U4630">
        <f>+SUM(Table1[[#This Row],[Latinos]:[Cemex]])</f>
        <v>1</v>
      </c>
      <c r="V4630" t="str">
        <f>+Table1[[#This Row],[id_destino]]&amp;" - "&amp;Table1[[#This Row],[id_origen]]</f>
        <v>65 - 684</v>
      </c>
    </row>
    <row r="4631" spans="1:22" hidden="1">
      <c r="A4631">
        <v>4839</v>
      </c>
      <c r="B4631">
        <v>4945</v>
      </c>
      <c r="C4631">
        <v>8289</v>
      </c>
      <c r="D4631">
        <v>6294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 t="s">
        <v>20</v>
      </c>
      <c r="L4631" s="1">
        <v>45881</v>
      </c>
      <c r="M4631">
        <v>66</v>
      </c>
      <c r="N4631">
        <v>684</v>
      </c>
      <c r="O4631">
        <v>83</v>
      </c>
      <c r="P4631">
        <v>150</v>
      </c>
      <c r="Q4631">
        <v>83</v>
      </c>
      <c r="S4631">
        <v>238</v>
      </c>
      <c r="T4631">
        <v>243</v>
      </c>
      <c r="U4631">
        <f>+SUM(Table1[[#This Row],[Latinos]:[Cemex]])</f>
        <v>1</v>
      </c>
      <c r="V4631" t="str">
        <f>+Table1[[#This Row],[id_destino]]&amp;" - "&amp;Table1[[#This Row],[id_origen]]</f>
        <v>66 - 684</v>
      </c>
    </row>
    <row r="4632" spans="1:22" hidden="1">
      <c r="A4632">
        <v>3991</v>
      </c>
      <c r="B4632">
        <v>4339</v>
      </c>
      <c r="C4632">
        <v>7043</v>
      </c>
      <c r="D4632">
        <v>5909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 t="s">
        <v>20</v>
      </c>
      <c r="L4632" s="1">
        <v>45225</v>
      </c>
      <c r="M4632">
        <v>67</v>
      </c>
      <c r="N4632">
        <v>684</v>
      </c>
      <c r="O4632">
        <v>162</v>
      </c>
      <c r="P4632">
        <v>198</v>
      </c>
      <c r="Q4632">
        <v>162</v>
      </c>
      <c r="S4632">
        <v>723</v>
      </c>
      <c r="T4632">
        <v>735</v>
      </c>
      <c r="U4632">
        <f>+SUM(Table1[[#This Row],[Latinos]:[Cemex]])</f>
        <v>1</v>
      </c>
      <c r="V4632" t="str">
        <f>+Table1[[#This Row],[id_destino]]&amp;" - "&amp;Table1[[#This Row],[id_origen]]</f>
        <v>67 - 684</v>
      </c>
    </row>
    <row r="4633" spans="1:22" hidden="1">
      <c r="A4633">
        <v>3306</v>
      </c>
      <c r="B4633">
        <v>3898</v>
      </c>
      <c r="C4633">
        <v>7043</v>
      </c>
      <c r="D4633">
        <v>7044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 t="s">
        <v>20</v>
      </c>
      <c r="L4633" s="1">
        <v>44824</v>
      </c>
      <c r="M4633">
        <v>69</v>
      </c>
      <c r="N4633">
        <v>684</v>
      </c>
      <c r="O4633">
        <v>231</v>
      </c>
      <c r="P4633">
        <v>222</v>
      </c>
      <c r="Q4633">
        <v>231</v>
      </c>
      <c r="S4633">
        <v>672</v>
      </c>
      <c r="T4633">
        <v>769</v>
      </c>
      <c r="U4633">
        <f>+SUM(Table1[[#This Row],[Latinos]:[Cemex]])</f>
        <v>1</v>
      </c>
      <c r="V4633" t="str">
        <f>+Table1[[#This Row],[id_destino]]&amp;" - "&amp;Table1[[#This Row],[id_origen]]</f>
        <v>69 - 684</v>
      </c>
    </row>
    <row r="4634" spans="1:22" hidden="1">
      <c r="A4634">
        <v>1317</v>
      </c>
      <c r="B4634">
        <v>2688</v>
      </c>
      <c r="C4634">
        <v>5639</v>
      </c>
      <c r="D4634">
        <v>5723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 t="s">
        <v>20</v>
      </c>
      <c r="L4634" s="1">
        <v>43396</v>
      </c>
      <c r="M4634">
        <v>76</v>
      </c>
      <c r="N4634">
        <v>684</v>
      </c>
      <c r="O4634">
        <v>274</v>
      </c>
      <c r="P4634">
        <v>304</v>
      </c>
      <c r="Q4634">
        <v>274</v>
      </c>
      <c r="S4634">
        <v>565</v>
      </c>
      <c r="T4634">
        <v>638</v>
      </c>
      <c r="U4634">
        <f>+SUM(Table1[[#This Row],[Latinos]:[Cemex]])</f>
        <v>1</v>
      </c>
      <c r="V4634" t="str">
        <f>+Table1[[#This Row],[id_destino]]&amp;" - "&amp;Table1[[#This Row],[id_origen]]</f>
        <v>76 - 684</v>
      </c>
    </row>
    <row r="4635" spans="1:22" hidden="1">
      <c r="A4635">
        <v>2253</v>
      </c>
      <c r="B4635">
        <v>3231</v>
      </c>
      <c r="C4635">
        <v>3489</v>
      </c>
      <c r="D4635">
        <v>4246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  <c r="K4635" t="s">
        <v>20</v>
      </c>
      <c r="L4635" s="1">
        <v>43879</v>
      </c>
      <c r="M4635">
        <v>79</v>
      </c>
      <c r="N4635">
        <v>684</v>
      </c>
      <c r="O4635">
        <v>50</v>
      </c>
      <c r="P4635">
        <v>50</v>
      </c>
      <c r="Q4635">
        <v>50</v>
      </c>
      <c r="S4635">
        <v>0</v>
      </c>
      <c r="T4635">
        <v>0</v>
      </c>
      <c r="U4635">
        <f>+SUM(Table1[[#This Row],[Latinos]:[Cemex]])</f>
        <v>1</v>
      </c>
      <c r="V4635" t="str">
        <f>+Table1[[#This Row],[id_destino]]&amp;" - "&amp;Table1[[#This Row],[id_origen]]</f>
        <v>79 - 684</v>
      </c>
    </row>
    <row r="4636" spans="1:22" hidden="1">
      <c r="A4636">
        <v>2855</v>
      </c>
      <c r="B4636">
        <v>3231</v>
      </c>
      <c r="C4636">
        <v>5222</v>
      </c>
      <c r="D4636">
        <v>6746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  <c r="K4636" t="s">
        <v>20</v>
      </c>
      <c r="L4636" s="1">
        <v>44544</v>
      </c>
      <c r="M4636">
        <v>79</v>
      </c>
      <c r="N4636">
        <v>684</v>
      </c>
      <c r="O4636">
        <v>214</v>
      </c>
      <c r="P4636">
        <v>214</v>
      </c>
      <c r="Q4636">
        <v>214</v>
      </c>
      <c r="S4636">
        <v>0</v>
      </c>
      <c r="T4636">
        <v>0</v>
      </c>
      <c r="U4636">
        <f>+SUM(Table1[[#This Row],[Latinos]:[Cemex]])</f>
        <v>1</v>
      </c>
      <c r="V4636" t="str">
        <f>+Table1[[#This Row],[id_destino]]&amp;" - "&amp;Table1[[#This Row],[id_origen]]</f>
        <v>79 - 684</v>
      </c>
    </row>
    <row r="4637" spans="1:22" hidden="1">
      <c r="A4637">
        <v>2606</v>
      </c>
      <c r="B4637">
        <v>3447</v>
      </c>
      <c r="C4637">
        <v>3489</v>
      </c>
      <c r="D4637">
        <v>210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0</v>
      </c>
      <c r="K4637" t="s">
        <v>20</v>
      </c>
      <c r="L4637" s="1">
        <v>44237</v>
      </c>
      <c r="M4637">
        <v>81</v>
      </c>
      <c r="N4637">
        <v>684</v>
      </c>
      <c r="O4637">
        <v>117</v>
      </c>
      <c r="P4637">
        <v>150</v>
      </c>
      <c r="Q4637">
        <v>117</v>
      </c>
      <c r="S4637">
        <v>495</v>
      </c>
      <c r="T4637">
        <v>506</v>
      </c>
      <c r="U4637">
        <f>+SUM(Table1[[#This Row],[Latinos]:[Cemex]])</f>
        <v>1</v>
      </c>
      <c r="V4637" t="str">
        <f>+Table1[[#This Row],[id_destino]]&amp;" - "&amp;Table1[[#This Row],[id_origen]]</f>
        <v>81 - 684</v>
      </c>
    </row>
    <row r="4638" spans="1:22" hidden="1">
      <c r="A4638">
        <v>1121</v>
      </c>
      <c r="B4638">
        <v>2594</v>
      </c>
      <c r="C4638">
        <v>4681</v>
      </c>
      <c r="D4638">
        <v>4982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0</v>
      </c>
      <c r="K4638" t="s">
        <v>20</v>
      </c>
      <c r="L4638" s="1">
        <v>43298</v>
      </c>
      <c r="M4638">
        <v>92</v>
      </c>
      <c r="N4638">
        <v>684</v>
      </c>
      <c r="O4638">
        <v>1179</v>
      </c>
      <c r="P4638">
        <v>1179</v>
      </c>
      <c r="Q4638">
        <v>1179</v>
      </c>
      <c r="S4638">
        <v>1379</v>
      </c>
      <c r="T4638">
        <v>1379</v>
      </c>
      <c r="U4638">
        <f>+SUM(Table1[[#This Row],[Latinos]:[Cemex]])</f>
        <v>1</v>
      </c>
      <c r="V4638" t="str">
        <f>+Table1[[#This Row],[id_destino]]&amp;" - "&amp;Table1[[#This Row],[id_origen]]</f>
        <v>92 - 684</v>
      </c>
    </row>
    <row r="4639" spans="1:22" hidden="1">
      <c r="A4639">
        <v>1427</v>
      </c>
      <c r="B4639">
        <v>2741</v>
      </c>
      <c r="C4639">
        <v>3489</v>
      </c>
      <c r="D4639">
        <v>4181</v>
      </c>
      <c r="E4639">
        <v>0</v>
      </c>
      <c r="F4639">
        <v>1</v>
      </c>
      <c r="G4639">
        <v>0</v>
      </c>
      <c r="H4639">
        <v>0</v>
      </c>
      <c r="I4639">
        <v>0</v>
      </c>
      <c r="J4639">
        <v>0</v>
      </c>
      <c r="K4639" t="s">
        <v>20</v>
      </c>
      <c r="L4639" s="1">
        <v>43431</v>
      </c>
      <c r="M4639">
        <v>105</v>
      </c>
      <c r="N4639">
        <v>684</v>
      </c>
      <c r="O4639">
        <v>304</v>
      </c>
      <c r="P4639">
        <v>262</v>
      </c>
      <c r="Q4639">
        <v>304</v>
      </c>
      <c r="S4639">
        <v>916</v>
      </c>
      <c r="T4639">
        <v>1000</v>
      </c>
      <c r="U4639">
        <f>+SUM(Table1[[#This Row],[Latinos]:[Cemex]])</f>
        <v>1</v>
      </c>
      <c r="V4639" t="str">
        <f>+Table1[[#This Row],[id_destino]]&amp;" - "&amp;Table1[[#This Row],[id_origen]]</f>
        <v>105 - 684</v>
      </c>
    </row>
    <row r="4640" spans="1:22" hidden="1">
      <c r="A4640">
        <v>4546</v>
      </c>
      <c r="B4640">
        <v>4742</v>
      </c>
      <c r="C4640">
        <v>7917</v>
      </c>
      <c r="D4640">
        <v>8015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0</v>
      </c>
      <c r="K4640" t="s">
        <v>20</v>
      </c>
      <c r="L4640" s="1">
        <v>45611</v>
      </c>
      <c r="M4640">
        <v>114</v>
      </c>
      <c r="N4640">
        <v>684</v>
      </c>
      <c r="O4640">
        <v>386</v>
      </c>
      <c r="P4640">
        <v>380</v>
      </c>
      <c r="Q4640">
        <v>386</v>
      </c>
      <c r="S4640">
        <v>1819</v>
      </c>
      <c r="T4640">
        <v>2040</v>
      </c>
      <c r="U4640">
        <f>+SUM(Table1[[#This Row],[Latinos]:[Cemex]])</f>
        <v>1</v>
      </c>
      <c r="V4640" t="str">
        <f>+Table1[[#This Row],[id_destino]]&amp;" - "&amp;Table1[[#This Row],[id_origen]]</f>
        <v>114 - 684</v>
      </c>
    </row>
    <row r="4641" spans="1:22" hidden="1">
      <c r="A4641">
        <v>2545</v>
      </c>
      <c r="B4641">
        <v>3409</v>
      </c>
      <c r="C4641">
        <v>5222</v>
      </c>
      <c r="D4641">
        <v>623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0</v>
      </c>
      <c r="K4641" t="s">
        <v>20</v>
      </c>
      <c r="L4641" s="1">
        <v>44170</v>
      </c>
      <c r="M4641">
        <v>121</v>
      </c>
      <c r="N4641">
        <v>684</v>
      </c>
      <c r="O4641">
        <v>522</v>
      </c>
      <c r="P4641">
        <v>538</v>
      </c>
      <c r="Q4641">
        <v>522</v>
      </c>
      <c r="S4641">
        <v>1386</v>
      </c>
      <c r="T4641">
        <v>1391</v>
      </c>
      <c r="U4641">
        <f>+SUM(Table1[[#This Row],[Latinos]:[Cemex]])</f>
        <v>1</v>
      </c>
      <c r="V4641" t="str">
        <f>+Table1[[#This Row],[id_destino]]&amp;" - "&amp;Table1[[#This Row],[id_origen]]</f>
        <v>121 - 684</v>
      </c>
    </row>
    <row r="4642" spans="1:22" hidden="1">
      <c r="A4642">
        <v>958</v>
      </c>
      <c r="B4642">
        <v>2523</v>
      </c>
      <c r="C4642">
        <v>1548</v>
      </c>
      <c r="D4642">
        <v>47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0</v>
      </c>
      <c r="K4642" t="s">
        <v>20</v>
      </c>
      <c r="L4642" s="1">
        <v>43228</v>
      </c>
      <c r="M4642">
        <v>129</v>
      </c>
      <c r="N4642">
        <v>684</v>
      </c>
      <c r="O4642">
        <v>402</v>
      </c>
      <c r="P4642">
        <v>402</v>
      </c>
      <c r="Q4642">
        <v>402</v>
      </c>
      <c r="S4642">
        <v>597</v>
      </c>
      <c r="T4642">
        <v>597</v>
      </c>
      <c r="U4642">
        <f>+SUM(Table1[[#This Row],[Latinos]:[Cemex]])</f>
        <v>1</v>
      </c>
      <c r="V4642" t="str">
        <f>+Table1[[#This Row],[id_destino]]&amp;" - "&amp;Table1[[#This Row],[id_origen]]</f>
        <v>129 - 684</v>
      </c>
    </row>
    <row r="4643" spans="1:22" hidden="1">
      <c r="A4643">
        <v>2509</v>
      </c>
      <c r="B4643">
        <v>3389</v>
      </c>
      <c r="C4643">
        <v>3489</v>
      </c>
      <c r="D4643">
        <v>6452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0</v>
      </c>
      <c r="K4643" t="s">
        <v>20</v>
      </c>
      <c r="L4643" s="1">
        <v>44142</v>
      </c>
      <c r="M4643">
        <v>134</v>
      </c>
      <c r="N4643">
        <v>684</v>
      </c>
      <c r="O4643">
        <v>1010</v>
      </c>
      <c r="P4643">
        <v>1050</v>
      </c>
      <c r="Q4643">
        <v>1010</v>
      </c>
      <c r="S4643">
        <v>1730</v>
      </c>
      <c r="T4643">
        <v>1730</v>
      </c>
      <c r="U4643">
        <f>+SUM(Table1[[#This Row],[Latinos]:[Cemex]])</f>
        <v>1</v>
      </c>
      <c r="V4643" t="str">
        <f>+Table1[[#This Row],[id_destino]]&amp;" - "&amp;Table1[[#This Row],[id_origen]]</f>
        <v>134 - 684</v>
      </c>
    </row>
    <row r="4644" spans="1:22" hidden="1">
      <c r="A4644">
        <v>1956</v>
      </c>
      <c r="B4644">
        <v>3044</v>
      </c>
      <c r="C4644">
        <v>4681</v>
      </c>
      <c r="D4644">
        <v>3176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0</v>
      </c>
      <c r="K4644" t="s">
        <v>20</v>
      </c>
      <c r="L4644" s="1">
        <v>44179</v>
      </c>
      <c r="M4644">
        <v>136</v>
      </c>
      <c r="N4644">
        <v>684</v>
      </c>
      <c r="O4644">
        <v>113</v>
      </c>
      <c r="P4644">
        <v>150</v>
      </c>
      <c r="Q4644">
        <v>113</v>
      </c>
      <c r="S4644">
        <v>443</v>
      </c>
      <c r="T4644">
        <v>455</v>
      </c>
      <c r="U4644">
        <f>+SUM(Table1[[#This Row],[Latinos]:[Cemex]])</f>
        <v>1</v>
      </c>
      <c r="V4644" t="str">
        <f>+Table1[[#This Row],[id_destino]]&amp;" - "&amp;Table1[[#This Row],[id_origen]]</f>
        <v>136 - 684</v>
      </c>
    </row>
    <row r="4645" spans="1:22" hidden="1">
      <c r="A4645">
        <v>1873</v>
      </c>
      <c r="B4645">
        <v>2987</v>
      </c>
      <c r="C4645">
        <v>3489</v>
      </c>
      <c r="D4645">
        <v>6002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  <c r="K4645" t="s">
        <v>20</v>
      </c>
      <c r="L4645" s="1">
        <v>43678</v>
      </c>
      <c r="M4645">
        <v>144</v>
      </c>
      <c r="N4645">
        <v>684</v>
      </c>
      <c r="O4645">
        <v>352</v>
      </c>
      <c r="P4645">
        <v>402</v>
      </c>
      <c r="Q4645">
        <v>352</v>
      </c>
      <c r="S4645">
        <v>1349</v>
      </c>
      <c r="T4645">
        <v>1356</v>
      </c>
      <c r="U4645">
        <f>+SUM(Table1[[#This Row],[Latinos]:[Cemex]])</f>
        <v>1</v>
      </c>
      <c r="V4645" t="str">
        <f>+Table1[[#This Row],[id_destino]]&amp;" - "&amp;Table1[[#This Row],[id_origen]]</f>
        <v>144 - 684</v>
      </c>
    </row>
    <row r="4646" spans="1:22" hidden="1">
      <c r="A4646">
        <v>992</v>
      </c>
      <c r="B4646">
        <v>2535</v>
      </c>
      <c r="C4646">
        <v>5222</v>
      </c>
      <c r="D4646">
        <v>2111</v>
      </c>
      <c r="E4646">
        <v>0</v>
      </c>
      <c r="F4646">
        <v>1</v>
      </c>
      <c r="G4646">
        <v>0</v>
      </c>
      <c r="H4646">
        <v>0</v>
      </c>
      <c r="I4646">
        <v>1</v>
      </c>
      <c r="J4646">
        <v>0</v>
      </c>
      <c r="K4646" t="s">
        <v>53</v>
      </c>
      <c r="L4646" s="1">
        <v>43239</v>
      </c>
      <c r="M4646">
        <v>155</v>
      </c>
      <c r="N4646">
        <v>684</v>
      </c>
      <c r="O4646">
        <v>1636</v>
      </c>
      <c r="P4646">
        <v>1747</v>
      </c>
      <c r="Q4646">
        <v>1636</v>
      </c>
      <c r="S4646">
        <v>4240</v>
      </c>
      <c r="T4646">
        <v>4315</v>
      </c>
      <c r="U4646">
        <f>+SUM(Table1[[#This Row],[Latinos]:[Cemex]])</f>
        <v>2</v>
      </c>
      <c r="V4646" t="str">
        <f>+Table1[[#This Row],[id_destino]]&amp;" - "&amp;Table1[[#This Row],[id_origen]]</f>
        <v>155 - 684</v>
      </c>
    </row>
    <row r="4647" spans="1:22" hidden="1">
      <c r="A4647">
        <v>993</v>
      </c>
      <c r="B4647">
        <v>2535</v>
      </c>
      <c r="C4647">
        <v>5222</v>
      </c>
      <c r="D4647">
        <v>2111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 t="s">
        <v>53</v>
      </c>
      <c r="L4647" s="1">
        <v>43239</v>
      </c>
      <c r="M4647">
        <v>155</v>
      </c>
      <c r="N4647">
        <v>684</v>
      </c>
      <c r="O4647">
        <v>1636</v>
      </c>
      <c r="P4647">
        <v>1747</v>
      </c>
      <c r="Q4647">
        <v>1636</v>
      </c>
      <c r="S4647">
        <v>4240</v>
      </c>
      <c r="T4647">
        <v>4315</v>
      </c>
      <c r="U4647">
        <f>+SUM(Table1[[#This Row],[Latinos]:[Cemex]])</f>
        <v>1</v>
      </c>
      <c r="V4647" t="str">
        <f>+Table1[[#This Row],[id_destino]]&amp;" - "&amp;Table1[[#This Row],[id_origen]]</f>
        <v>155 - 684</v>
      </c>
    </row>
    <row r="4648" spans="1:22" hidden="1">
      <c r="A4648">
        <v>1778</v>
      </c>
      <c r="B4648">
        <v>2535</v>
      </c>
      <c r="C4648">
        <v>5222</v>
      </c>
      <c r="D4648">
        <v>2111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0</v>
      </c>
      <c r="K4648" t="s">
        <v>20</v>
      </c>
      <c r="L4648" s="1">
        <v>43621</v>
      </c>
      <c r="M4648">
        <v>155</v>
      </c>
      <c r="N4648">
        <v>684</v>
      </c>
      <c r="O4648">
        <v>1212</v>
      </c>
      <c r="P4648">
        <v>1253</v>
      </c>
      <c r="Q4648">
        <v>1212</v>
      </c>
      <c r="S4648">
        <v>6412</v>
      </c>
      <c r="T4648">
        <v>5356</v>
      </c>
      <c r="U4648">
        <f>+SUM(Table1[[#This Row],[Latinos]:[Cemex]])</f>
        <v>1</v>
      </c>
      <c r="V4648" t="str">
        <f>+Table1[[#This Row],[id_destino]]&amp;" - "&amp;Table1[[#This Row],[id_origen]]</f>
        <v>155 - 684</v>
      </c>
    </row>
    <row r="4649" spans="1:22" hidden="1">
      <c r="A4649">
        <v>1082</v>
      </c>
      <c r="B4649">
        <v>2577</v>
      </c>
      <c r="C4649">
        <v>5222</v>
      </c>
      <c r="D4649">
        <v>12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  <c r="K4649" t="s">
        <v>20</v>
      </c>
      <c r="L4649" s="1">
        <v>43278</v>
      </c>
      <c r="M4649">
        <v>169</v>
      </c>
      <c r="N4649">
        <v>684</v>
      </c>
      <c r="O4649">
        <v>624</v>
      </c>
      <c r="P4649">
        <v>551</v>
      </c>
      <c r="Q4649">
        <v>624</v>
      </c>
      <c r="S4649">
        <v>1965</v>
      </c>
      <c r="T4649">
        <v>1969</v>
      </c>
      <c r="U4649">
        <f>+SUM(Table1[[#This Row],[Latinos]:[Cemex]])</f>
        <v>1</v>
      </c>
      <c r="V4649" t="str">
        <f>+Table1[[#This Row],[id_destino]]&amp;" - "&amp;Table1[[#This Row],[id_origen]]</f>
        <v>169 - 684</v>
      </c>
    </row>
    <row r="4650" spans="1:22" hidden="1">
      <c r="A4650">
        <v>2115</v>
      </c>
      <c r="B4650">
        <v>2577</v>
      </c>
      <c r="C4650">
        <v>5222</v>
      </c>
      <c r="D4650">
        <v>12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  <c r="K4650" t="s">
        <v>20</v>
      </c>
      <c r="L4650" s="1">
        <v>43817</v>
      </c>
      <c r="M4650">
        <v>169</v>
      </c>
      <c r="N4650">
        <v>684</v>
      </c>
      <c r="O4650">
        <v>624</v>
      </c>
      <c r="P4650">
        <v>624</v>
      </c>
      <c r="Q4650">
        <v>624</v>
      </c>
      <c r="S4650">
        <v>1564</v>
      </c>
      <c r="T4650">
        <v>1564</v>
      </c>
      <c r="U4650">
        <f>+SUM(Table1[[#This Row],[Latinos]:[Cemex]])</f>
        <v>1</v>
      </c>
      <c r="V4650" t="str">
        <f>+Table1[[#This Row],[id_destino]]&amp;" - "&amp;Table1[[#This Row],[id_origen]]</f>
        <v>169 - 684</v>
      </c>
    </row>
    <row r="4651" spans="1:22" hidden="1">
      <c r="A4651">
        <v>4381</v>
      </c>
      <c r="B4651">
        <v>4613</v>
      </c>
      <c r="C4651">
        <v>5222</v>
      </c>
      <c r="D4651">
        <v>7860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0</v>
      </c>
      <c r="K4651" t="s">
        <v>20</v>
      </c>
      <c r="L4651" s="1">
        <v>45504</v>
      </c>
      <c r="M4651">
        <v>180</v>
      </c>
      <c r="N4651">
        <v>684</v>
      </c>
      <c r="O4651">
        <v>1304</v>
      </c>
      <c r="P4651">
        <v>1324</v>
      </c>
      <c r="Q4651">
        <v>1304</v>
      </c>
      <c r="S4651">
        <v>2592</v>
      </c>
      <c r="T4651">
        <v>2592</v>
      </c>
      <c r="U4651">
        <f>+SUM(Table1[[#This Row],[Latinos]:[Cemex]])</f>
        <v>1</v>
      </c>
      <c r="V4651" t="str">
        <f>+Table1[[#This Row],[id_destino]]&amp;" - "&amp;Table1[[#This Row],[id_origen]]</f>
        <v>180 - 684</v>
      </c>
    </row>
    <row r="4652" spans="1:22" hidden="1">
      <c r="A4652">
        <v>2869</v>
      </c>
      <c r="B4652">
        <v>3622</v>
      </c>
      <c r="C4652">
        <v>3489</v>
      </c>
      <c r="D4652">
        <v>6759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 t="s">
        <v>20</v>
      </c>
      <c r="L4652" s="1">
        <v>44571</v>
      </c>
      <c r="M4652">
        <v>189</v>
      </c>
      <c r="N4652">
        <v>684</v>
      </c>
      <c r="O4652">
        <v>1379</v>
      </c>
      <c r="P4652">
        <v>1502</v>
      </c>
      <c r="Q4652">
        <v>1379</v>
      </c>
      <c r="S4652">
        <v>4012</v>
      </c>
      <c r="T4652">
        <v>4012</v>
      </c>
      <c r="U4652">
        <f>+SUM(Table1[[#This Row],[Latinos]:[Cemex]])</f>
        <v>1</v>
      </c>
      <c r="V4652" t="str">
        <f>+Table1[[#This Row],[id_destino]]&amp;" - "&amp;Table1[[#This Row],[id_origen]]</f>
        <v>189 - 684</v>
      </c>
    </row>
    <row r="4653" spans="1:22" hidden="1">
      <c r="A4653">
        <v>2225</v>
      </c>
      <c r="B4653">
        <v>3212</v>
      </c>
      <c r="C4653">
        <v>3489</v>
      </c>
      <c r="D4653">
        <v>6267</v>
      </c>
      <c r="E4653">
        <v>0</v>
      </c>
      <c r="F4653">
        <v>1</v>
      </c>
      <c r="G4653">
        <v>0</v>
      </c>
      <c r="H4653">
        <v>0</v>
      </c>
      <c r="I4653">
        <v>0</v>
      </c>
      <c r="J4653">
        <v>0</v>
      </c>
      <c r="K4653" t="s">
        <v>20</v>
      </c>
      <c r="L4653" s="1">
        <v>43865</v>
      </c>
      <c r="M4653">
        <v>244</v>
      </c>
      <c r="N4653">
        <v>684</v>
      </c>
      <c r="O4653">
        <v>276</v>
      </c>
      <c r="P4653">
        <v>255</v>
      </c>
      <c r="Q4653">
        <v>276</v>
      </c>
      <c r="S4653">
        <v>763</v>
      </c>
      <c r="T4653">
        <v>770</v>
      </c>
      <c r="U4653">
        <f>+SUM(Table1[[#This Row],[Latinos]:[Cemex]])</f>
        <v>1</v>
      </c>
      <c r="V4653" t="str">
        <f>+Table1[[#This Row],[id_destino]]&amp;" - "&amp;Table1[[#This Row],[id_origen]]</f>
        <v>244 - 684</v>
      </c>
    </row>
    <row r="4654" spans="1:22" hidden="1">
      <c r="A4654">
        <v>4255</v>
      </c>
      <c r="B4654">
        <v>4526</v>
      </c>
      <c r="C4654">
        <v>5222</v>
      </c>
      <c r="D4654">
        <v>7738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0</v>
      </c>
      <c r="K4654" t="s">
        <v>20</v>
      </c>
      <c r="L4654" s="1">
        <v>45402</v>
      </c>
      <c r="M4654">
        <v>338</v>
      </c>
      <c r="N4654">
        <v>684</v>
      </c>
      <c r="O4654">
        <v>294</v>
      </c>
      <c r="P4654">
        <v>296</v>
      </c>
      <c r="Q4654">
        <v>294</v>
      </c>
      <c r="S4654">
        <v>1389</v>
      </c>
      <c r="T4654">
        <v>1502</v>
      </c>
      <c r="U4654">
        <f>+SUM(Table1[[#This Row],[Latinos]:[Cemex]])</f>
        <v>1</v>
      </c>
      <c r="V4654" t="str">
        <f>+Table1[[#This Row],[id_destino]]&amp;" - "&amp;Table1[[#This Row],[id_origen]]</f>
        <v>338 - 684</v>
      </c>
    </row>
    <row r="4655" spans="1:22" hidden="1">
      <c r="A4655">
        <v>610</v>
      </c>
      <c r="B4655">
        <v>2361</v>
      </c>
      <c r="C4655">
        <v>1548</v>
      </c>
      <c r="D4655">
        <v>5378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  <c r="K4655" t="s">
        <v>20</v>
      </c>
      <c r="L4655" s="1">
        <v>43113</v>
      </c>
      <c r="M4655">
        <v>345</v>
      </c>
      <c r="N4655">
        <v>684</v>
      </c>
      <c r="O4655">
        <v>236</v>
      </c>
      <c r="P4655">
        <v>236</v>
      </c>
      <c r="Q4655">
        <v>236</v>
      </c>
      <c r="S4655">
        <v>637</v>
      </c>
      <c r="T4655">
        <v>644</v>
      </c>
      <c r="U4655">
        <f>+SUM(Table1[[#This Row],[Latinos]:[Cemex]])</f>
        <v>1</v>
      </c>
      <c r="V4655" t="str">
        <f>+Table1[[#This Row],[id_destino]]&amp;" - "&amp;Table1[[#This Row],[id_origen]]</f>
        <v>345 - 684</v>
      </c>
    </row>
    <row r="4656" spans="1:22" hidden="1">
      <c r="A4656">
        <v>1807</v>
      </c>
      <c r="B4656">
        <v>2361</v>
      </c>
      <c r="C4656">
        <v>3489</v>
      </c>
      <c r="D4656">
        <v>5378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  <c r="K4656" t="s">
        <v>20</v>
      </c>
      <c r="L4656" s="1">
        <v>43641</v>
      </c>
      <c r="M4656">
        <v>345</v>
      </c>
      <c r="N4656">
        <v>684</v>
      </c>
      <c r="O4656">
        <v>246</v>
      </c>
      <c r="P4656">
        <v>246</v>
      </c>
      <c r="Q4656">
        <v>246</v>
      </c>
      <c r="S4656">
        <v>763</v>
      </c>
      <c r="T4656">
        <v>770</v>
      </c>
      <c r="U4656">
        <f>+SUM(Table1[[#This Row],[Latinos]:[Cemex]])</f>
        <v>1</v>
      </c>
      <c r="V4656" t="str">
        <f>+Table1[[#This Row],[id_destino]]&amp;" - "&amp;Table1[[#This Row],[id_origen]]</f>
        <v>345 - 684</v>
      </c>
    </row>
    <row r="4657" spans="1:22" hidden="1">
      <c r="A4657">
        <v>1888</v>
      </c>
      <c r="B4657">
        <v>2999</v>
      </c>
      <c r="C4657">
        <v>1548</v>
      </c>
      <c r="D4657">
        <v>6023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0</v>
      </c>
      <c r="K4657" t="s">
        <v>20</v>
      </c>
      <c r="L4657" s="1">
        <v>43698</v>
      </c>
      <c r="M4657">
        <v>474</v>
      </c>
      <c r="N4657">
        <v>684</v>
      </c>
      <c r="O4657">
        <v>300</v>
      </c>
      <c r="P4657">
        <v>300</v>
      </c>
      <c r="Q4657">
        <v>300</v>
      </c>
      <c r="S4657">
        <v>1044</v>
      </c>
      <c r="T4657">
        <v>1051</v>
      </c>
      <c r="U4657">
        <f>+SUM(Table1[[#This Row],[Latinos]:[Cemex]])</f>
        <v>1</v>
      </c>
      <c r="V4657" t="str">
        <f>+Table1[[#This Row],[id_destino]]&amp;" - "&amp;Table1[[#This Row],[id_origen]]</f>
        <v>474 - 684</v>
      </c>
    </row>
    <row r="4658" spans="1:22" hidden="1">
      <c r="A4658">
        <v>2168</v>
      </c>
      <c r="B4658">
        <v>3180</v>
      </c>
      <c r="C4658">
        <v>6157</v>
      </c>
      <c r="D4658">
        <v>6231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 t="s">
        <v>20</v>
      </c>
      <c r="L4658" s="1">
        <v>43846</v>
      </c>
      <c r="M4658">
        <v>539</v>
      </c>
      <c r="N4658">
        <v>684</v>
      </c>
      <c r="O4658">
        <v>218</v>
      </c>
      <c r="P4658">
        <v>253</v>
      </c>
      <c r="Q4658">
        <v>218</v>
      </c>
      <c r="S4658">
        <v>677</v>
      </c>
      <c r="T4658">
        <v>706</v>
      </c>
      <c r="U4658">
        <f>+SUM(Table1[[#This Row],[Latinos]:[Cemex]])</f>
        <v>1</v>
      </c>
      <c r="V4658" t="str">
        <f>+Table1[[#This Row],[id_destino]]&amp;" - "&amp;Table1[[#This Row],[id_origen]]</f>
        <v>539 - 684</v>
      </c>
    </row>
    <row r="4659" spans="1:22" hidden="1">
      <c r="A4659">
        <v>4269</v>
      </c>
      <c r="B4659">
        <v>2914</v>
      </c>
      <c r="C4659">
        <v>7043</v>
      </c>
      <c r="D4659">
        <v>64</v>
      </c>
      <c r="E4659">
        <v>0</v>
      </c>
      <c r="F4659">
        <v>1</v>
      </c>
      <c r="G4659">
        <v>0</v>
      </c>
      <c r="H4659">
        <v>0</v>
      </c>
      <c r="I4659">
        <v>0</v>
      </c>
      <c r="J4659">
        <v>0</v>
      </c>
      <c r="K4659" t="s">
        <v>20</v>
      </c>
      <c r="L4659" s="1">
        <v>45412</v>
      </c>
      <c r="M4659">
        <v>602</v>
      </c>
      <c r="N4659">
        <v>684</v>
      </c>
      <c r="O4659">
        <v>258</v>
      </c>
      <c r="P4659">
        <v>251</v>
      </c>
      <c r="Q4659">
        <v>258</v>
      </c>
      <c r="S4659">
        <v>758</v>
      </c>
      <c r="T4659">
        <v>762</v>
      </c>
      <c r="U4659">
        <f>+SUM(Table1[[#This Row],[Latinos]:[Cemex]])</f>
        <v>1</v>
      </c>
      <c r="V4659" t="str">
        <f>+Table1[[#This Row],[id_destino]]&amp;" - "&amp;Table1[[#This Row],[id_origen]]</f>
        <v>602 - 684</v>
      </c>
    </row>
    <row r="4660" spans="1:22" hidden="1">
      <c r="A4660">
        <v>4667</v>
      </c>
      <c r="B4660">
        <v>4833</v>
      </c>
      <c r="C4660">
        <v>5222</v>
      </c>
      <c r="D4660">
        <v>72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</v>
      </c>
      <c r="K4660" t="s">
        <v>20</v>
      </c>
      <c r="L4660" s="1">
        <v>45713</v>
      </c>
      <c r="M4660">
        <v>669</v>
      </c>
      <c r="N4660">
        <v>684</v>
      </c>
      <c r="O4660">
        <v>596</v>
      </c>
      <c r="P4660">
        <v>586</v>
      </c>
      <c r="Q4660">
        <v>596</v>
      </c>
      <c r="S4660">
        <v>1274</v>
      </c>
      <c r="T4660">
        <v>1279</v>
      </c>
      <c r="U4660">
        <f>+SUM(Table1[[#This Row],[Latinos]:[Cemex]])</f>
        <v>1</v>
      </c>
      <c r="V4660" t="str">
        <f>+Table1[[#This Row],[id_destino]]&amp;" - "&amp;Table1[[#This Row],[id_origen]]</f>
        <v>669 - 684</v>
      </c>
    </row>
    <row r="4661" spans="1:22" hidden="1">
      <c r="A4661">
        <v>981</v>
      </c>
      <c r="B4661">
        <v>2530</v>
      </c>
      <c r="C4661">
        <v>1548</v>
      </c>
      <c r="D4661">
        <v>4681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0</v>
      </c>
      <c r="K4661" t="s">
        <v>20</v>
      </c>
      <c r="L4661" s="1">
        <v>43237</v>
      </c>
      <c r="M4661">
        <v>684</v>
      </c>
      <c r="N4661">
        <v>684</v>
      </c>
      <c r="O4661">
        <v>20</v>
      </c>
      <c r="P4661">
        <v>150</v>
      </c>
      <c r="Q4661">
        <v>20</v>
      </c>
      <c r="S4661">
        <v>0</v>
      </c>
      <c r="T4661">
        <v>0</v>
      </c>
      <c r="U4661">
        <f>+SUM(Table1[[#This Row],[Latinos]:[Cemex]])</f>
        <v>1</v>
      </c>
      <c r="V4661" t="str">
        <f>+Table1[[#This Row],[id_destino]]&amp;" - "&amp;Table1[[#This Row],[id_origen]]</f>
        <v>684 - 684</v>
      </c>
    </row>
    <row r="4662" spans="1:22" hidden="1">
      <c r="A4662">
        <v>1101</v>
      </c>
      <c r="B4662">
        <v>2530</v>
      </c>
      <c r="C4662">
        <v>1548</v>
      </c>
      <c r="D4662">
        <v>4681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  <c r="K4662" t="s">
        <v>20</v>
      </c>
      <c r="L4662" s="1">
        <v>43290</v>
      </c>
      <c r="M4662">
        <v>684</v>
      </c>
      <c r="N4662">
        <v>684</v>
      </c>
      <c r="O4662">
        <v>20</v>
      </c>
      <c r="P4662">
        <v>100</v>
      </c>
      <c r="Q4662">
        <v>20</v>
      </c>
      <c r="S4662">
        <v>0</v>
      </c>
      <c r="T4662">
        <v>0</v>
      </c>
      <c r="U4662">
        <f>+SUM(Table1[[#This Row],[Latinos]:[Cemex]])</f>
        <v>1</v>
      </c>
      <c r="V4662" t="str">
        <f>+Table1[[#This Row],[id_destino]]&amp;" - "&amp;Table1[[#This Row],[id_origen]]</f>
        <v>684 - 684</v>
      </c>
    </row>
    <row r="4663" spans="1:22" hidden="1">
      <c r="A4663">
        <v>1803</v>
      </c>
      <c r="B4663">
        <v>2945</v>
      </c>
      <c r="C4663">
        <v>3489</v>
      </c>
      <c r="D4663">
        <v>5946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  <c r="K4663" t="s">
        <v>20</v>
      </c>
      <c r="L4663" s="1">
        <v>43640</v>
      </c>
      <c r="M4663">
        <v>773</v>
      </c>
      <c r="N4663">
        <v>684</v>
      </c>
      <c r="O4663">
        <v>162</v>
      </c>
      <c r="P4663">
        <v>162</v>
      </c>
      <c r="Q4663">
        <v>162</v>
      </c>
      <c r="S4663">
        <v>0</v>
      </c>
      <c r="T4663">
        <v>0</v>
      </c>
      <c r="U4663">
        <f>+SUM(Table1[[#This Row],[Latinos]:[Cemex]])</f>
        <v>1</v>
      </c>
      <c r="V4663" t="str">
        <f>+Table1[[#This Row],[id_destino]]&amp;" - "&amp;Table1[[#This Row],[id_origen]]</f>
        <v>773 - 684</v>
      </c>
    </row>
    <row r="4664" spans="1:22" hidden="1">
      <c r="A4664">
        <v>2059</v>
      </c>
      <c r="B4664">
        <v>3107</v>
      </c>
      <c r="C4664">
        <v>6157</v>
      </c>
      <c r="D4664">
        <v>6154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0</v>
      </c>
      <c r="K4664" t="s">
        <v>20</v>
      </c>
      <c r="L4664" s="1">
        <v>43789</v>
      </c>
      <c r="M4664">
        <v>792</v>
      </c>
      <c r="N4664">
        <v>684</v>
      </c>
      <c r="O4664">
        <v>368</v>
      </c>
      <c r="P4664">
        <v>402</v>
      </c>
      <c r="Q4664">
        <v>368</v>
      </c>
      <c r="S4664">
        <v>654</v>
      </c>
      <c r="T4664">
        <v>654</v>
      </c>
      <c r="U4664">
        <f>+SUM(Table1[[#This Row],[Latinos]:[Cemex]])</f>
        <v>1</v>
      </c>
      <c r="V4664" t="str">
        <f>+Table1[[#This Row],[id_destino]]&amp;" - "&amp;Table1[[#This Row],[id_origen]]</f>
        <v>792 - 684</v>
      </c>
    </row>
    <row r="4665" spans="1:22" hidden="1">
      <c r="A4665">
        <v>2078</v>
      </c>
      <c r="B4665">
        <v>3120</v>
      </c>
      <c r="C4665">
        <v>6157</v>
      </c>
      <c r="D4665">
        <v>6171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 t="s">
        <v>20</v>
      </c>
      <c r="L4665" s="1">
        <v>43801</v>
      </c>
      <c r="M4665">
        <v>795</v>
      </c>
      <c r="N4665">
        <v>684</v>
      </c>
      <c r="O4665">
        <v>642</v>
      </c>
      <c r="P4665">
        <v>599</v>
      </c>
      <c r="Q4665">
        <v>642</v>
      </c>
      <c r="S4665">
        <v>1194</v>
      </c>
      <c r="T4665">
        <v>1194</v>
      </c>
      <c r="U4665">
        <f>+SUM(Table1[[#This Row],[Latinos]:[Cemex]])</f>
        <v>1</v>
      </c>
      <c r="V4665" t="str">
        <f>+Table1[[#This Row],[id_destino]]&amp;" - "&amp;Table1[[#This Row],[id_origen]]</f>
        <v>795 - 684</v>
      </c>
    </row>
    <row r="4666" spans="1:22" hidden="1">
      <c r="A4666">
        <v>2136</v>
      </c>
      <c r="B4666">
        <v>3120</v>
      </c>
      <c r="C4666">
        <v>6157</v>
      </c>
      <c r="D4666">
        <v>6210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 t="s">
        <v>79</v>
      </c>
      <c r="L4666" s="1">
        <v>43832</v>
      </c>
      <c r="M4666">
        <v>795</v>
      </c>
      <c r="N4666">
        <v>684</v>
      </c>
      <c r="O4666">
        <v>643</v>
      </c>
      <c r="P4666">
        <v>643</v>
      </c>
      <c r="Q4666">
        <v>643</v>
      </c>
      <c r="S4666">
        <v>818</v>
      </c>
      <c r="T4666">
        <v>818</v>
      </c>
      <c r="U4666">
        <f>+SUM(Table1[[#This Row],[Latinos]:[Cemex]])</f>
        <v>1</v>
      </c>
      <c r="V4666" t="str">
        <f>+Table1[[#This Row],[id_destino]]&amp;" - "&amp;Table1[[#This Row],[id_origen]]</f>
        <v>795 - 684</v>
      </c>
    </row>
    <row r="4667" spans="1:22" hidden="1">
      <c r="A4667">
        <v>2587</v>
      </c>
      <c r="B4667">
        <v>3437</v>
      </c>
      <c r="C4667">
        <v>3489</v>
      </c>
      <c r="D4667">
        <v>6502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0</v>
      </c>
      <c r="K4667" t="s">
        <v>20</v>
      </c>
      <c r="L4667" s="1">
        <v>44211</v>
      </c>
      <c r="M4667">
        <v>824</v>
      </c>
      <c r="N4667">
        <v>684</v>
      </c>
      <c r="O4667">
        <v>670</v>
      </c>
      <c r="P4667">
        <v>678</v>
      </c>
      <c r="Q4667">
        <v>670</v>
      </c>
      <c r="S4667">
        <v>988</v>
      </c>
      <c r="T4667">
        <v>988</v>
      </c>
      <c r="U4667">
        <f>+SUM(Table1[[#This Row],[Latinos]:[Cemex]])</f>
        <v>1</v>
      </c>
      <c r="V4667" t="str">
        <f>+Table1[[#This Row],[id_destino]]&amp;" - "&amp;Table1[[#This Row],[id_origen]]</f>
        <v>824 - 684</v>
      </c>
    </row>
    <row r="4668" spans="1:22" hidden="1">
      <c r="A4668">
        <v>2903</v>
      </c>
      <c r="B4668">
        <v>3644</v>
      </c>
      <c r="C4668">
        <v>3489</v>
      </c>
      <c r="D4668">
        <v>6780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 t="s">
        <v>20</v>
      </c>
      <c r="L4668" s="1">
        <v>44600</v>
      </c>
      <c r="M4668">
        <v>840</v>
      </c>
      <c r="N4668">
        <v>684</v>
      </c>
      <c r="O4668">
        <v>280</v>
      </c>
      <c r="P4668">
        <v>231</v>
      </c>
      <c r="Q4668">
        <v>280</v>
      </c>
      <c r="S4668">
        <v>762</v>
      </c>
      <c r="T4668">
        <v>941</v>
      </c>
      <c r="U4668">
        <f>+SUM(Table1[[#This Row],[Latinos]:[Cemex]])</f>
        <v>1</v>
      </c>
      <c r="V4668" t="str">
        <f>+Table1[[#This Row],[id_destino]]&amp;" - "&amp;Table1[[#This Row],[id_origen]]</f>
        <v>840 - 684</v>
      </c>
    </row>
    <row r="4669" spans="1:22" hidden="1">
      <c r="A4669">
        <v>1682</v>
      </c>
      <c r="B4669">
        <v>2885</v>
      </c>
      <c r="C4669">
        <v>5037</v>
      </c>
      <c r="D4669">
        <v>822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  <c r="K4669" t="s">
        <v>20</v>
      </c>
      <c r="L4669" s="1">
        <v>43563</v>
      </c>
      <c r="M4669">
        <v>20</v>
      </c>
      <c r="N4669">
        <v>685</v>
      </c>
      <c r="O4669">
        <v>202</v>
      </c>
      <c r="P4669">
        <v>202</v>
      </c>
      <c r="Q4669">
        <v>202</v>
      </c>
      <c r="S4669">
        <v>602</v>
      </c>
      <c r="T4669">
        <v>672</v>
      </c>
      <c r="U4669">
        <f>+SUM(Table1[[#This Row],[Latinos]:[Cemex]])</f>
        <v>1</v>
      </c>
      <c r="V4669" t="str">
        <f>+Table1[[#This Row],[id_destino]]&amp;" - "&amp;Table1[[#This Row],[id_origen]]</f>
        <v>20 - 685</v>
      </c>
    </row>
    <row r="4670" spans="1:22" hidden="1">
      <c r="A4670">
        <v>4325</v>
      </c>
      <c r="B4670">
        <v>4569</v>
      </c>
      <c r="C4670">
        <v>7298</v>
      </c>
      <c r="D4670">
        <v>387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  <c r="K4670" t="s">
        <v>20</v>
      </c>
      <c r="L4670" s="1">
        <v>45460</v>
      </c>
      <c r="M4670">
        <v>30</v>
      </c>
      <c r="N4670">
        <v>685</v>
      </c>
      <c r="O4670">
        <v>1195</v>
      </c>
      <c r="P4670">
        <v>1195</v>
      </c>
      <c r="Q4670">
        <v>1195</v>
      </c>
      <c r="S4670">
        <v>4961</v>
      </c>
      <c r="T4670">
        <v>4961</v>
      </c>
      <c r="U4670">
        <f>+SUM(Table1[[#This Row],[Latinos]:[Cemex]])</f>
        <v>1</v>
      </c>
      <c r="V4670" t="str">
        <f>+Table1[[#This Row],[id_destino]]&amp;" - "&amp;Table1[[#This Row],[id_origen]]</f>
        <v>30 - 685</v>
      </c>
    </row>
    <row r="4671" spans="1:22" hidden="1">
      <c r="A4671">
        <v>1780</v>
      </c>
      <c r="B4671">
        <v>2933</v>
      </c>
      <c r="C4671">
        <v>5037</v>
      </c>
      <c r="D4671">
        <v>5931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 t="s">
        <v>20</v>
      </c>
      <c r="L4671" s="1">
        <v>43621</v>
      </c>
      <c r="M4671">
        <v>296</v>
      </c>
      <c r="N4671">
        <v>685</v>
      </c>
      <c r="O4671">
        <v>182</v>
      </c>
      <c r="P4671">
        <v>182</v>
      </c>
      <c r="Q4671">
        <v>182</v>
      </c>
      <c r="S4671">
        <v>570</v>
      </c>
      <c r="T4671">
        <v>570</v>
      </c>
      <c r="U4671">
        <f>+SUM(Table1[[#This Row],[Latinos]:[Cemex]])</f>
        <v>1</v>
      </c>
      <c r="V4671" t="str">
        <f>+Table1[[#This Row],[id_destino]]&amp;" - "&amp;Table1[[#This Row],[id_origen]]</f>
        <v>296 - 685</v>
      </c>
    </row>
    <row r="4672" spans="1:22" hidden="1">
      <c r="A4672">
        <v>4333</v>
      </c>
      <c r="B4672">
        <v>4575</v>
      </c>
      <c r="C4672">
        <v>7298</v>
      </c>
      <c r="D4672">
        <v>6566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 t="s">
        <v>20</v>
      </c>
      <c r="L4672" s="1">
        <v>45465</v>
      </c>
      <c r="M4672">
        <v>525</v>
      </c>
      <c r="N4672">
        <v>685</v>
      </c>
      <c r="O4672">
        <v>149</v>
      </c>
      <c r="P4672">
        <v>149</v>
      </c>
      <c r="Q4672">
        <v>149</v>
      </c>
      <c r="S4672">
        <v>480</v>
      </c>
      <c r="T4672">
        <v>480</v>
      </c>
      <c r="U4672">
        <f>+SUM(Table1[[#This Row],[Latinos]:[Cemex]])</f>
        <v>1</v>
      </c>
      <c r="V4672" t="str">
        <f>+Table1[[#This Row],[id_destino]]&amp;" - "&amp;Table1[[#This Row],[id_origen]]</f>
        <v>525 - 685</v>
      </c>
    </row>
    <row r="4673" spans="1:22" hidden="1">
      <c r="A4673">
        <v>3427</v>
      </c>
      <c r="B4673">
        <v>3982</v>
      </c>
      <c r="C4673">
        <v>7106</v>
      </c>
      <c r="D4673">
        <v>33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0</v>
      </c>
      <c r="K4673" t="s">
        <v>20</v>
      </c>
      <c r="L4673" s="1">
        <v>44884</v>
      </c>
      <c r="M4673">
        <v>260</v>
      </c>
      <c r="N4673">
        <v>688</v>
      </c>
      <c r="O4673">
        <v>1431</v>
      </c>
      <c r="P4673">
        <v>1435</v>
      </c>
      <c r="Q4673">
        <v>1431</v>
      </c>
      <c r="S4673">
        <v>6449</v>
      </c>
      <c r="T4673">
        <v>6547</v>
      </c>
      <c r="U4673">
        <f>+SUM(Table1[[#This Row],[Latinos]:[Cemex]])</f>
        <v>1</v>
      </c>
      <c r="V4673" t="str">
        <f>+Table1[[#This Row],[id_destino]]&amp;" - "&amp;Table1[[#This Row],[id_origen]]</f>
        <v>260 - 688</v>
      </c>
    </row>
    <row r="4674" spans="1:22" hidden="1">
      <c r="A4674">
        <v>4127</v>
      </c>
      <c r="B4674">
        <v>4435</v>
      </c>
      <c r="C4674">
        <v>7136</v>
      </c>
      <c r="D4674">
        <v>7634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 t="s">
        <v>20</v>
      </c>
      <c r="L4674" s="1">
        <v>45313</v>
      </c>
      <c r="M4674">
        <v>144</v>
      </c>
      <c r="N4674">
        <v>690</v>
      </c>
      <c r="O4674">
        <v>1805</v>
      </c>
      <c r="P4674">
        <v>1768</v>
      </c>
      <c r="Q4674">
        <v>1805</v>
      </c>
      <c r="S4674">
        <v>2813</v>
      </c>
      <c r="T4674">
        <v>2813</v>
      </c>
      <c r="U4674">
        <f>+SUM(Table1[[#This Row],[Latinos]:[Cemex]])</f>
        <v>1</v>
      </c>
      <c r="V4674" t="str">
        <f>+Table1[[#This Row],[id_destino]]&amp;" - "&amp;Table1[[#This Row],[id_origen]]</f>
        <v>144 - 690</v>
      </c>
    </row>
    <row r="4675" spans="1:22" hidden="1">
      <c r="A4675">
        <v>3313</v>
      </c>
      <c r="B4675">
        <v>3901</v>
      </c>
      <c r="C4675">
        <v>7049</v>
      </c>
      <c r="D4675">
        <v>33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0</v>
      </c>
      <c r="K4675" t="s">
        <v>20</v>
      </c>
      <c r="L4675" s="1">
        <v>44827</v>
      </c>
      <c r="M4675">
        <v>260</v>
      </c>
      <c r="N4675">
        <v>707</v>
      </c>
      <c r="O4675">
        <v>1103</v>
      </c>
      <c r="P4675">
        <v>903</v>
      </c>
      <c r="Q4675">
        <v>1103</v>
      </c>
      <c r="S4675">
        <v>2132</v>
      </c>
      <c r="T4675">
        <v>2206</v>
      </c>
      <c r="U4675">
        <f>+SUM(Table1[[#This Row],[Latinos]:[Cemex]])</f>
        <v>1</v>
      </c>
      <c r="V4675" t="str">
        <f>+Table1[[#This Row],[id_destino]]&amp;" - "&amp;Table1[[#This Row],[id_origen]]</f>
        <v>260 - 707</v>
      </c>
    </row>
    <row r="4676" spans="1:22" hidden="1">
      <c r="A4676">
        <v>1922</v>
      </c>
      <c r="B4676">
        <v>4266</v>
      </c>
      <c r="C4676">
        <v>4728</v>
      </c>
      <c r="D4676">
        <v>15</v>
      </c>
      <c r="E4676">
        <v>0</v>
      </c>
      <c r="F4676">
        <v>1</v>
      </c>
      <c r="G4676">
        <v>0</v>
      </c>
      <c r="H4676">
        <v>0</v>
      </c>
      <c r="I4676">
        <v>0</v>
      </c>
      <c r="J4676">
        <v>0</v>
      </c>
      <c r="K4676" t="s">
        <v>20</v>
      </c>
      <c r="L4676" s="1">
        <v>45147</v>
      </c>
      <c r="M4676">
        <v>16</v>
      </c>
      <c r="N4676">
        <v>713</v>
      </c>
      <c r="O4676">
        <v>1458</v>
      </c>
      <c r="P4676">
        <v>1430</v>
      </c>
      <c r="Q4676">
        <v>1458</v>
      </c>
      <c r="S4676">
        <v>3637</v>
      </c>
      <c r="T4676">
        <v>4028</v>
      </c>
      <c r="U4676">
        <f>+SUM(Table1[[#This Row],[Latinos]:[Cemex]])</f>
        <v>1</v>
      </c>
      <c r="V4676" t="str">
        <f>+Table1[[#This Row],[id_destino]]&amp;" - "&amp;Table1[[#This Row],[id_origen]]</f>
        <v>16 - 713</v>
      </c>
    </row>
    <row r="4677" spans="1:22" hidden="1">
      <c r="A4677">
        <v>268</v>
      </c>
      <c r="B4677">
        <v>2251</v>
      </c>
      <c r="C4677">
        <v>5272</v>
      </c>
      <c r="D4677">
        <v>4455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0</v>
      </c>
      <c r="K4677" t="s">
        <v>20</v>
      </c>
      <c r="L4677" s="1">
        <v>43028</v>
      </c>
      <c r="M4677">
        <v>23</v>
      </c>
      <c r="N4677">
        <v>713</v>
      </c>
      <c r="O4677">
        <v>527</v>
      </c>
      <c r="P4677">
        <v>527</v>
      </c>
      <c r="Q4677">
        <v>527</v>
      </c>
      <c r="S4677">
        <v>1555</v>
      </c>
      <c r="T4677">
        <v>1555</v>
      </c>
      <c r="U4677">
        <f>+SUM(Table1[[#This Row],[Latinos]:[Cemex]])</f>
        <v>1</v>
      </c>
      <c r="V4677" t="str">
        <f>+Table1[[#This Row],[id_destino]]&amp;" - "&amp;Table1[[#This Row],[id_origen]]</f>
        <v>23 - 713</v>
      </c>
    </row>
    <row r="4678" spans="1:22" hidden="1">
      <c r="A4678">
        <v>1706</v>
      </c>
      <c r="B4678">
        <v>2895</v>
      </c>
      <c r="C4678">
        <v>255</v>
      </c>
      <c r="D4678">
        <v>4190</v>
      </c>
      <c r="E4678">
        <v>0</v>
      </c>
      <c r="F4678">
        <v>1</v>
      </c>
      <c r="G4678">
        <v>0</v>
      </c>
      <c r="H4678">
        <v>0</v>
      </c>
      <c r="I4678">
        <v>0</v>
      </c>
      <c r="J4678">
        <v>0</v>
      </c>
      <c r="K4678" t="s">
        <v>20</v>
      </c>
      <c r="L4678" s="1">
        <v>43570</v>
      </c>
      <c r="M4678">
        <v>1</v>
      </c>
      <c r="N4678">
        <v>714</v>
      </c>
      <c r="O4678">
        <v>903</v>
      </c>
      <c r="P4678">
        <v>893</v>
      </c>
      <c r="Q4678">
        <v>903</v>
      </c>
      <c r="S4678">
        <v>918</v>
      </c>
      <c r="T4678">
        <v>918</v>
      </c>
      <c r="U4678">
        <f>+SUM(Table1[[#This Row],[Latinos]:[Cemex]])</f>
        <v>1</v>
      </c>
      <c r="V4678" t="str">
        <f>+Table1[[#This Row],[id_destino]]&amp;" - "&amp;Table1[[#This Row],[id_origen]]</f>
        <v>1 - 714</v>
      </c>
    </row>
    <row r="4679" spans="1:22" hidden="1">
      <c r="A4679">
        <v>1816</v>
      </c>
      <c r="B4679">
        <v>2895</v>
      </c>
      <c r="C4679">
        <v>255</v>
      </c>
      <c r="D4679">
        <v>4190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 t="s">
        <v>20</v>
      </c>
      <c r="L4679" s="1">
        <v>43644</v>
      </c>
      <c r="M4679">
        <v>1</v>
      </c>
      <c r="N4679">
        <v>714</v>
      </c>
      <c r="O4679">
        <v>901</v>
      </c>
      <c r="P4679">
        <v>894</v>
      </c>
      <c r="Q4679">
        <v>901</v>
      </c>
      <c r="S4679">
        <v>918</v>
      </c>
      <c r="T4679">
        <v>918</v>
      </c>
      <c r="U4679">
        <f>+SUM(Table1[[#This Row],[Latinos]:[Cemex]])</f>
        <v>1</v>
      </c>
      <c r="V4679" t="str">
        <f>+Table1[[#This Row],[id_destino]]&amp;" - "&amp;Table1[[#This Row],[id_origen]]</f>
        <v>1 - 714</v>
      </c>
    </row>
    <row r="4680" spans="1:22" hidden="1">
      <c r="A4680">
        <v>1791</v>
      </c>
      <c r="B4680">
        <v>2282</v>
      </c>
      <c r="C4680">
        <v>255</v>
      </c>
      <c r="D4680">
        <v>469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 t="s">
        <v>20</v>
      </c>
      <c r="L4680" s="1">
        <v>43649</v>
      </c>
      <c r="M4680">
        <v>2</v>
      </c>
      <c r="N4680">
        <v>714</v>
      </c>
      <c r="O4680">
        <v>95</v>
      </c>
      <c r="P4680">
        <v>150</v>
      </c>
      <c r="Q4680">
        <v>95</v>
      </c>
      <c r="S4680">
        <v>196</v>
      </c>
      <c r="T4680">
        <v>269</v>
      </c>
      <c r="U4680">
        <f>+SUM(Table1[[#This Row],[Latinos]:[Cemex]])</f>
        <v>1</v>
      </c>
      <c r="V4680" t="str">
        <f>+Table1[[#This Row],[id_destino]]&amp;" - "&amp;Table1[[#This Row],[id_origen]]</f>
        <v>2 - 714</v>
      </c>
    </row>
    <row r="4681" spans="1:22" hidden="1">
      <c r="A4681">
        <v>39</v>
      </c>
      <c r="B4681">
        <v>2222</v>
      </c>
      <c r="C4681">
        <v>255</v>
      </c>
      <c r="D4681">
        <v>5280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0</v>
      </c>
      <c r="K4681" t="s">
        <v>20</v>
      </c>
      <c r="L4681" s="1">
        <v>42984</v>
      </c>
      <c r="M4681">
        <v>3</v>
      </c>
      <c r="N4681">
        <v>714</v>
      </c>
      <c r="O4681">
        <v>750</v>
      </c>
      <c r="P4681">
        <v>750</v>
      </c>
      <c r="Q4681">
        <v>758</v>
      </c>
      <c r="S4681">
        <v>1315</v>
      </c>
      <c r="T4681">
        <v>1315</v>
      </c>
      <c r="U4681">
        <f>+SUM(Table1[[#This Row],[Latinos]:[Cemex]])</f>
        <v>1</v>
      </c>
      <c r="V4681" t="str">
        <f>+Table1[[#This Row],[id_destino]]&amp;" - "&amp;Table1[[#This Row],[id_origen]]</f>
        <v>3 - 714</v>
      </c>
    </row>
    <row r="4682" spans="1:22" hidden="1">
      <c r="A4682">
        <v>761</v>
      </c>
      <c r="B4682">
        <v>2441</v>
      </c>
      <c r="C4682">
        <v>255</v>
      </c>
      <c r="D4682">
        <v>3696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 t="s">
        <v>20</v>
      </c>
      <c r="L4682" s="1">
        <v>43157</v>
      </c>
      <c r="M4682">
        <v>7</v>
      </c>
      <c r="N4682">
        <v>714</v>
      </c>
      <c r="O4682">
        <v>1791</v>
      </c>
      <c r="P4682">
        <v>1791</v>
      </c>
      <c r="Q4682">
        <v>1791</v>
      </c>
      <c r="S4682">
        <v>1804</v>
      </c>
      <c r="T4682">
        <v>1804</v>
      </c>
      <c r="U4682">
        <f>+SUM(Table1[[#This Row],[Latinos]:[Cemex]])</f>
        <v>1</v>
      </c>
      <c r="V4682" t="str">
        <f>+Table1[[#This Row],[id_destino]]&amp;" - "&amp;Table1[[#This Row],[id_origen]]</f>
        <v>7 - 714</v>
      </c>
    </row>
    <row r="4683" spans="1:22" hidden="1">
      <c r="A4683">
        <v>2035</v>
      </c>
      <c r="B4683">
        <v>3091</v>
      </c>
      <c r="C4683">
        <v>255</v>
      </c>
      <c r="D4683">
        <v>6136</v>
      </c>
      <c r="E4683">
        <v>0</v>
      </c>
      <c r="F4683">
        <v>1</v>
      </c>
      <c r="G4683">
        <v>0</v>
      </c>
      <c r="H4683">
        <v>0</v>
      </c>
      <c r="I4683">
        <v>0</v>
      </c>
      <c r="J4683">
        <v>0</v>
      </c>
      <c r="K4683" t="s">
        <v>20</v>
      </c>
      <c r="L4683" s="1">
        <v>43774</v>
      </c>
      <c r="M4683">
        <v>12</v>
      </c>
      <c r="N4683">
        <v>714</v>
      </c>
      <c r="O4683">
        <v>496</v>
      </c>
      <c r="P4683">
        <v>491</v>
      </c>
      <c r="Q4683">
        <v>496</v>
      </c>
      <c r="S4683">
        <v>2300</v>
      </c>
      <c r="T4683">
        <v>2300</v>
      </c>
      <c r="U4683">
        <f>+SUM(Table1[[#This Row],[Latinos]:[Cemex]])</f>
        <v>1</v>
      </c>
      <c r="V4683" t="str">
        <f>+Table1[[#This Row],[id_destino]]&amp;" - "&amp;Table1[[#This Row],[id_origen]]</f>
        <v>12 - 714</v>
      </c>
    </row>
    <row r="4684" spans="1:22" hidden="1">
      <c r="A4684">
        <v>2029</v>
      </c>
      <c r="B4684">
        <v>3086</v>
      </c>
      <c r="C4684">
        <v>255</v>
      </c>
      <c r="D4684">
        <v>6131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0</v>
      </c>
      <c r="K4684" t="s">
        <v>20</v>
      </c>
      <c r="L4684" s="1">
        <v>43773</v>
      </c>
      <c r="M4684">
        <v>15</v>
      </c>
      <c r="N4684">
        <v>714</v>
      </c>
      <c r="O4684">
        <v>1785</v>
      </c>
      <c r="P4684">
        <v>1785</v>
      </c>
      <c r="Q4684">
        <v>1785</v>
      </c>
      <c r="S4684">
        <v>2274</v>
      </c>
      <c r="T4684">
        <v>2733</v>
      </c>
      <c r="U4684">
        <f>+SUM(Table1[[#This Row],[Latinos]:[Cemex]])</f>
        <v>1</v>
      </c>
      <c r="V4684" t="str">
        <f>+Table1[[#This Row],[id_destino]]&amp;" - "&amp;Table1[[#This Row],[id_origen]]</f>
        <v>15 - 714</v>
      </c>
    </row>
    <row r="4685" spans="1:22" hidden="1">
      <c r="A4685">
        <v>2627</v>
      </c>
      <c r="B4685">
        <v>3461</v>
      </c>
      <c r="C4685">
        <v>255</v>
      </c>
      <c r="D4685">
        <v>15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0</v>
      </c>
      <c r="K4685" t="s">
        <v>20</v>
      </c>
      <c r="L4685" s="1">
        <v>44256</v>
      </c>
      <c r="M4685">
        <v>16</v>
      </c>
      <c r="N4685">
        <v>714</v>
      </c>
      <c r="O4685">
        <v>1430</v>
      </c>
      <c r="P4685">
        <v>1434</v>
      </c>
      <c r="Q4685">
        <v>1430</v>
      </c>
      <c r="S4685">
        <v>1969</v>
      </c>
      <c r="T4685">
        <v>2276</v>
      </c>
      <c r="U4685">
        <f>+SUM(Table1[[#This Row],[Latinos]:[Cemex]])</f>
        <v>1</v>
      </c>
      <c r="V4685" t="str">
        <f>+Table1[[#This Row],[id_destino]]&amp;" - "&amp;Table1[[#This Row],[id_origen]]</f>
        <v>16 - 714</v>
      </c>
    </row>
    <row r="4686" spans="1:22" hidden="1">
      <c r="A4686">
        <v>2034</v>
      </c>
      <c r="B4686">
        <v>3090</v>
      </c>
      <c r="C4686">
        <v>255</v>
      </c>
      <c r="D4686">
        <v>6135</v>
      </c>
      <c r="E4686">
        <v>0</v>
      </c>
      <c r="F4686">
        <v>1</v>
      </c>
      <c r="G4686">
        <v>0</v>
      </c>
      <c r="H4686">
        <v>0</v>
      </c>
      <c r="I4686">
        <v>0</v>
      </c>
      <c r="J4686">
        <v>0</v>
      </c>
      <c r="K4686" t="s">
        <v>20</v>
      </c>
      <c r="L4686" s="1">
        <v>43774</v>
      </c>
      <c r="M4686">
        <v>17</v>
      </c>
      <c r="N4686">
        <v>714</v>
      </c>
      <c r="O4686">
        <v>892</v>
      </c>
      <c r="P4686">
        <v>902</v>
      </c>
      <c r="Q4686">
        <v>892</v>
      </c>
      <c r="S4686">
        <v>732</v>
      </c>
      <c r="T4686">
        <v>732</v>
      </c>
      <c r="U4686">
        <f>+SUM(Table1[[#This Row],[Latinos]:[Cemex]])</f>
        <v>1</v>
      </c>
      <c r="V4686" t="str">
        <f>+Table1[[#This Row],[id_destino]]&amp;" - "&amp;Table1[[#This Row],[id_origen]]</f>
        <v>17 - 714</v>
      </c>
    </row>
    <row r="4687" spans="1:22" hidden="1">
      <c r="A4687">
        <v>467</v>
      </c>
      <c r="B4687">
        <v>2303</v>
      </c>
      <c r="C4687">
        <v>255</v>
      </c>
      <c r="D4687">
        <v>1869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0</v>
      </c>
      <c r="K4687" t="s">
        <v>20</v>
      </c>
      <c r="L4687" s="1">
        <v>43071</v>
      </c>
      <c r="M4687">
        <v>19</v>
      </c>
      <c r="N4687">
        <v>714</v>
      </c>
      <c r="O4687">
        <v>30</v>
      </c>
      <c r="P4687">
        <v>150</v>
      </c>
      <c r="Q4687">
        <v>30</v>
      </c>
      <c r="S4687">
        <v>0</v>
      </c>
      <c r="T4687">
        <v>0</v>
      </c>
      <c r="U4687">
        <f>+SUM(Table1[[#This Row],[Latinos]:[Cemex]])</f>
        <v>1</v>
      </c>
      <c r="V4687" t="str">
        <f>+Table1[[#This Row],[id_destino]]&amp;" - "&amp;Table1[[#This Row],[id_origen]]</f>
        <v>19 - 714</v>
      </c>
    </row>
    <row r="4688" spans="1:22" hidden="1">
      <c r="A4688">
        <v>696</v>
      </c>
      <c r="B4688">
        <v>2412</v>
      </c>
      <c r="C4688">
        <v>255</v>
      </c>
      <c r="D4688">
        <v>23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 t="s">
        <v>20</v>
      </c>
      <c r="L4688" s="1">
        <v>43132</v>
      </c>
      <c r="M4688">
        <v>21</v>
      </c>
      <c r="N4688">
        <v>714</v>
      </c>
      <c r="O4688">
        <v>2166</v>
      </c>
      <c r="P4688">
        <v>2166</v>
      </c>
      <c r="Q4688">
        <v>2166</v>
      </c>
      <c r="S4688">
        <v>2219</v>
      </c>
      <c r="T4688">
        <v>2635</v>
      </c>
      <c r="U4688">
        <f>+SUM(Table1[[#This Row],[Latinos]:[Cemex]])</f>
        <v>1</v>
      </c>
      <c r="V4688" t="str">
        <f>+Table1[[#This Row],[id_destino]]&amp;" - "&amp;Table1[[#This Row],[id_origen]]</f>
        <v>21 - 714</v>
      </c>
    </row>
    <row r="4689" spans="1:22" hidden="1">
      <c r="A4689">
        <v>875</v>
      </c>
      <c r="B4689">
        <v>2488</v>
      </c>
      <c r="C4689">
        <v>255</v>
      </c>
      <c r="D4689">
        <v>4768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0</v>
      </c>
      <c r="K4689" t="s">
        <v>20</v>
      </c>
      <c r="L4689" s="1">
        <v>43278</v>
      </c>
      <c r="M4689">
        <v>24</v>
      </c>
      <c r="N4689">
        <v>714</v>
      </c>
      <c r="O4689">
        <v>836</v>
      </c>
      <c r="P4689">
        <v>836</v>
      </c>
      <c r="Q4689">
        <v>836</v>
      </c>
      <c r="S4689">
        <v>1958.62</v>
      </c>
      <c r="T4689">
        <v>2014.65</v>
      </c>
      <c r="U4689">
        <f>+SUM(Table1[[#This Row],[Latinos]:[Cemex]])</f>
        <v>1</v>
      </c>
      <c r="V4689" t="str">
        <f>+Table1[[#This Row],[id_destino]]&amp;" - "&amp;Table1[[#This Row],[id_origen]]</f>
        <v>24 - 714</v>
      </c>
    </row>
    <row r="4690" spans="1:22" hidden="1">
      <c r="A4690">
        <v>2020</v>
      </c>
      <c r="B4690">
        <v>3080</v>
      </c>
      <c r="C4690">
        <v>255</v>
      </c>
      <c r="D4690">
        <v>6121</v>
      </c>
      <c r="E4690">
        <v>0</v>
      </c>
      <c r="F4690">
        <v>1</v>
      </c>
      <c r="G4690">
        <v>0</v>
      </c>
      <c r="H4690">
        <v>0</v>
      </c>
      <c r="I4690">
        <v>0</v>
      </c>
      <c r="J4690">
        <v>0</v>
      </c>
      <c r="K4690" t="s">
        <v>20</v>
      </c>
      <c r="L4690" s="1">
        <v>43773</v>
      </c>
      <c r="M4690">
        <v>27</v>
      </c>
      <c r="N4690">
        <v>714</v>
      </c>
      <c r="O4690">
        <v>891</v>
      </c>
      <c r="P4690">
        <v>871</v>
      </c>
      <c r="Q4690">
        <v>891</v>
      </c>
      <c r="S4690">
        <v>2122</v>
      </c>
      <c r="T4690">
        <v>2122</v>
      </c>
      <c r="U4690">
        <f>+SUM(Table1[[#This Row],[Latinos]:[Cemex]])</f>
        <v>1</v>
      </c>
      <c r="V4690" t="str">
        <f>+Table1[[#This Row],[id_destino]]&amp;" - "&amp;Table1[[#This Row],[id_origen]]</f>
        <v>27 - 714</v>
      </c>
    </row>
    <row r="4691" spans="1:22" hidden="1">
      <c r="A4691">
        <v>2028</v>
      </c>
      <c r="B4691">
        <v>3085</v>
      </c>
      <c r="C4691">
        <v>255</v>
      </c>
      <c r="D4691">
        <v>6130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0</v>
      </c>
      <c r="K4691" t="s">
        <v>20</v>
      </c>
      <c r="L4691" s="1">
        <v>43773</v>
      </c>
      <c r="M4691">
        <v>30</v>
      </c>
      <c r="N4691">
        <v>714</v>
      </c>
      <c r="O4691">
        <v>1016</v>
      </c>
      <c r="P4691">
        <v>1012</v>
      </c>
      <c r="Q4691">
        <v>1016</v>
      </c>
      <c r="S4691">
        <v>2948</v>
      </c>
      <c r="T4691">
        <v>2948</v>
      </c>
      <c r="U4691">
        <f>+SUM(Table1[[#This Row],[Latinos]:[Cemex]])</f>
        <v>1</v>
      </c>
      <c r="V4691" t="str">
        <f>+Table1[[#This Row],[id_destino]]&amp;" - "&amp;Table1[[#This Row],[id_origen]]</f>
        <v>30 - 714</v>
      </c>
    </row>
    <row r="4692" spans="1:22" hidden="1">
      <c r="A4692">
        <v>417</v>
      </c>
      <c r="B4692">
        <v>2285</v>
      </c>
      <c r="C4692">
        <v>255</v>
      </c>
      <c r="D4692">
        <v>637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0</v>
      </c>
      <c r="K4692" t="s">
        <v>20</v>
      </c>
      <c r="L4692" s="1">
        <v>43768</v>
      </c>
      <c r="M4692">
        <v>33</v>
      </c>
      <c r="N4692">
        <v>714</v>
      </c>
      <c r="O4692">
        <v>988</v>
      </c>
      <c r="P4692">
        <v>988</v>
      </c>
      <c r="Q4692">
        <v>988</v>
      </c>
      <c r="S4692">
        <v>984.48</v>
      </c>
      <c r="T4692">
        <v>1087.06</v>
      </c>
      <c r="U4692">
        <f>+SUM(Table1[[#This Row],[Latinos]:[Cemex]])</f>
        <v>1</v>
      </c>
      <c r="V4692" t="str">
        <f>+Table1[[#This Row],[id_destino]]&amp;" - "&amp;Table1[[#This Row],[id_origen]]</f>
        <v>33 - 714</v>
      </c>
    </row>
    <row r="4693" spans="1:22" hidden="1">
      <c r="A4693">
        <v>1157</v>
      </c>
      <c r="B4693">
        <v>2607</v>
      </c>
      <c r="C4693">
        <v>255</v>
      </c>
      <c r="D4693">
        <v>3397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0</v>
      </c>
      <c r="K4693" t="s">
        <v>20</v>
      </c>
      <c r="L4693" s="1">
        <v>43319</v>
      </c>
      <c r="M4693">
        <v>37</v>
      </c>
      <c r="N4693">
        <v>714</v>
      </c>
      <c r="O4693">
        <v>656</v>
      </c>
      <c r="P4693">
        <v>656</v>
      </c>
      <c r="Q4693">
        <v>656</v>
      </c>
      <c r="S4693">
        <v>1644</v>
      </c>
      <c r="T4693">
        <v>1644</v>
      </c>
      <c r="U4693">
        <f>+SUM(Table1[[#This Row],[Latinos]:[Cemex]])</f>
        <v>1</v>
      </c>
      <c r="V4693" t="str">
        <f>+Table1[[#This Row],[id_destino]]&amp;" - "&amp;Table1[[#This Row],[id_origen]]</f>
        <v>37 - 714</v>
      </c>
    </row>
    <row r="4694" spans="1:22" hidden="1">
      <c r="A4694">
        <v>2032</v>
      </c>
      <c r="B4694">
        <v>3088</v>
      </c>
      <c r="C4694">
        <v>255</v>
      </c>
      <c r="D4694">
        <v>6133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0</v>
      </c>
      <c r="K4694" t="s">
        <v>20</v>
      </c>
      <c r="L4694" s="1">
        <v>43780</v>
      </c>
      <c r="M4694">
        <v>38</v>
      </c>
      <c r="N4694">
        <v>714</v>
      </c>
      <c r="O4694">
        <v>304</v>
      </c>
      <c r="P4694">
        <v>305</v>
      </c>
      <c r="Q4694">
        <v>304</v>
      </c>
      <c r="S4694">
        <v>876</v>
      </c>
      <c r="T4694">
        <v>876</v>
      </c>
      <c r="U4694">
        <f>+SUM(Table1[[#This Row],[Latinos]:[Cemex]])</f>
        <v>1</v>
      </c>
      <c r="V4694" t="str">
        <f>+Table1[[#This Row],[id_destino]]&amp;" - "&amp;Table1[[#This Row],[id_origen]]</f>
        <v>38 - 714</v>
      </c>
    </row>
    <row r="4695" spans="1:22" hidden="1">
      <c r="A4695">
        <v>2031</v>
      </c>
      <c r="B4695">
        <v>3087</v>
      </c>
      <c r="C4695">
        <v>255</v>
      </c>
      <c r="D4695">
        <v>6132</v>
      </c>
      <c r="E4695">
        <v>0</v>
      </c>
      <c r="F4695">
        <v>1</v>
      </c>
      <c r="G4695">
        <v>0</v>
      </c>
      <c r="H4695">
        <v>0</v>
      </c>
      <c r="I4695">
        <v>0</v>
      </c>
      <c r="J4695">
        <v>0</v>
      </c>
      <c r="K4695" t="s">
        <v>20</v>
      </c>
      <c r="L4695" s="1">
        <v>43774</v>
      </c>
      <c r="M4695">
        <v>43</v>
      </c>
      <c r="N4695">
        <v>714</v>
      </c>
      <c r="O4695">
        <v>592</v>
      </c>
      <c r="P4695">
        <v>601</v>
      </c>
      <c r="Q4695">
        <v>592</v>
      </c>
      <c r="S4695">
        <v>1517</v>
      </c>
      <c r="T4695">
        <v>1517</v>
      </c>
      <c r="U4695">
        <f>+SUM(Table1[[#This Row],[Latinos]:[Cemex]])</f>
        <v>1</v>
      </c>
      <c r="V4695" t="str">
        <f>+Table1[[#This Row],[id_destino]]&amp;" - "&amp;Table1[[#This Row],[id_origen]]</f>
        <v>43 - 714</v>
      </c>
    </row>
    <row r="4696" spans="1:22" hidden="1">
      <c r="A4696">
        <v>2022</v>
      </c>
      <c r="B4696">
        <v>3082</v>
      </c>
      <c r="C4696">
        <v>255</v>
      </c>
      <c r="D4696">
        <v>6125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0</v>
      </c>
      <c r="K4696" t="s">
        <v>20</v>
      </c>
      <c r="L4696" s="1">
        <v>43773</v>
      </c>
      <c r="M4696">
        <v>46</v>
      </c>
      <c r="N4696">
        <v>714</v>
      </c>
      <c r="O4696">
        <v>270</v>
      </c>
      <c r="P4696">
        <v>264</v>
      </c>
      <c r="Q4696">
        <v>270</v>
      </c>
      <c r="S4696">
        <v>264</v>
      </c>
      <c r="T4696">
        <v>337</v>
      </c>
      <c r="U4696">
        <f>+SUM(Table1[[#This Row],[Latinos]:[Cemex]])</f>
        <v>1</v>
      </c>
      <c r="V4696" t="str">
        <f>+Table1[[#This Row],[id_destino]]&amp;" - "&amp;Table1[[#This Row],[id_origen]]</f>
        <v>46 - 714</v>
      </c>
    </row>
    <row r="4697" spans="1:22" hidden="1">
      <c r="A4697">
        <v>1421</v>
      </c>
      <c r="B4697">
        <v>2480</v>
      </c>
      <c r="C4697">
        <v>255</v>
      </c>
      <c r="D4697">
        <v>4312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 t="s">
        <v>20</v>
      </c>
      <c r="L4697" s="1">
        <v>43427</v>
      </c>
      <c r="M4697">
        <v>52</v>
      </c>
      <c r="N4697">
        <v>714</v>
      </c>
      <c r="O4697">
        <v>920</v>
      </c>
      <c r="P4697">
        <v>920</v>
      </c>
      <c r="Q4697">
        <v>920</v>
      </c>
      <c r="S4697">
        <v>756.03</v>
      </c>
      <c r="T4697">
        <v>756.03</v>
      </c>
      <c r="U4697">
        <f>+SUM(Table1[[#This Row],[Latinos]:[Cemex]])</f>
        <v>1</v>
      </c>
      <c r="V4697" t="str">
        <f>+Table1[[#This Row],[id_destino]]&amp;" - "&amp;Table1[[#This Row],[id_origen]]</f>
        <v>52 - 714</v>
      </c>
    </row>
    <row r="4698" spans="1:22" hidden="1">
      <c r="A4698">
        <v>3405</v>
      </c>
      <c r="B4698">
        <v>3963</v>
      </c>
      <c r="C4698">
        <v>255</v>
      </c>
      <c r="D4698">
        <v>7104</v>
      </c>
      <c r="E4698">
        <v>0</v>
      </c>
      <c r="F4698">
        <v>1</v>
      </c>
      <c r="G4698">
        <v>0</v>
      </c>
      <c r="H4698">
        <v>0</v>
      </c>
      <c r="I4698">
        <v>0</v>
      </c>
      <c r="J4698">
        <v>0</v>
      </c>
      <c r="K4698" t="s">
        <v>20</v>
      </c>
      <c r="L4698" s="1">
        <v>44873</v>
      </c>
      <c r="M4698">
        <v>53</v>
      </c>
      <c r="N4698">
        <v>714</v>
      </c>
      <c r="O4698">
        <v>1129</v>
      </c>
      <c r="P4698">
        <v>1114</v>
      </c>
      <c r="Q4698">
        <v>1129</v>
      </c>
      <c r="S4698">
        <v>1329</v>
      </c>
      <c r="T4698">
        <v>1329</v>
      </c>
      <c r="U4698">
        <f>+SUM(Table1[[#This Row],[Latinos]:[Cemex]])</f>
        <v>1</v>
      </c>
      <c r="V4698" t="str">
        <f>+Table1[[#This Row],[id_destino]]&amp;" - "&amp;Table1[[#This Row],[id_origen]]</f>
        <v>53 - 714</v>
      </c>
    </row>
    <row r="4699" spans="1:22" hidden="1">
      <c r="A4699">
        <v>2033</v>
      </c>
      <c r="B4699">
        <v>3089</v>
      </c>
      <c r="C4699">
        <v>255</v>
      </c>
      <c r="D4699">
        <v>6134</v>
      </c>
      <c r="E4699">
        <v>0</v>
      </c>
      <c r="F4699">
        <v>1</v>
      </c>
      <c r="G4699">
        <v>0</v>
      </c>
      <c r="H4699">
        <v>0</v>
      </c>
      <c r="I4699">
        <v>0</v>
      </c>
      <c r="J4699">
        <v>0</v>
      </c>
      <c r="K4699" t="s">
        <v>20</v>
      </c>
      <c r="L4699" s="1">
        <v>43774</v>
      </c>
      <c r="M4699">
        <v>58</v>
      </c>
      <c r="N4699">
        <v>714</v>
      </c>
      <c r="O4699">
        <v>100</v>
      </c>
      <c r="P4699">
        <v>150</v>
      </c>
      <c r="Q4699">
        <v>100</v>
      </c>
      <c r="S4699">
        <v>200</v>
      </c>
      <c r="T4699">
        <v>200</v>
      </c>
      <c r="U4699">
        <f>+SUM(Table1[[#This Row],[Latinos]:[Cemex]])</f>
        <v>1</v>
      </c>
      <c r="V4699" t="str">
        <f>+Table1[[#This Row],[id_destino]]&amp;" - "&amp;Table1[[#This Row],[id_origen]]</f>
        <v>58 - 714</v>
      </c>
    </row>
    <row r="4700" spans="1:22" hidden="1">
      <c r="A4700">
        <v>2036</v>
      </c>
      <c r="B4700">
        <v>3092</v>
      </c>
      <c r="C4700">
        <v>255</v>
      </c>
      <c r="D4700">
        <v>6137</v>
      </c>
      <c r="E4700">
        <v>0</v>
      </c>
      <c r="F4700">
        <v>1</v>
      </c>
      <c r="G4700">
        <v>0</v>
      </c>
      <c r="H4700">
        <v>0</v>
      </c>
      <c r="I4700">
        <v>0</v>
      </c>
      <c r="J4700">
        <v>0</v>
      </c>
      <c r="K4700" t="s">
        <v>20</v>
      </c>
      <c r="L4700" s="1">
        <v>43774</v>
      </c>
      <c r="M4700">
        <v>62</v>
      </c>
      <c r="N4700">
        <v>714</v>
      </c>
      <c r="O4700">
        <v>408</v>
      </c>
      <c r="P4700">
        <v>407</v>
      </c>
      <c r="Q4700">
        <v>408</v>
      </c>
      <c r="S4700">
        <v>597</v>
      </c>
      <c r="T4700">
        <v>597</v>
      </c>
      <c r="U4700">
        <f>+SUM(Table1[[#This Row],[Latinos]:[Cemex]])</f>
        <v>1</v>
      </c>
      <c r="V4700" t="str">
        <f>+Table1[[#This Row],[id_destino]]&amp;" - "&amp;Table1[[#This Row],[id_origen]]</f>
        <v>62 - 714</v>
      </c>
    </row>
    <row r="4701" spans="1:22" hidden="1">
      <c r="A4701">
        <v>1359</v>
      </c>
      <c r="B4701">
        <v>2704</v>
      </c>
      <c r="C4701">
        <v>255</v>
      </c>
      <c r="D4701">
        <v>846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 t="s">
        <v>20</v>
      </c>
      <c r="L4701" s="1">
        <v>43402</v>
      </c>
      <c r="M4701">
        <v>72</v>
      </c>
      <c r="N4701">
        <v>714</v>
      </c>
      <c r="O4701">
        <v>30</v>
      </c>
      <c r="P4701">
        <v>150</v>
      </c>
      <c r="Q4701">
        <v>30</v>
      </c>
      <c r="S4701">
        <v>151</v>
      </c>
      <c r="T4701">
        <v>221</v>
      </c>
      <c r="U4701">
        <f>+SUM(Table1[[#This Row],[Latinos]:[Cemex]])</f>
        <v>1</v>
      </c>
      <c r="V4701" t="str">
        <f>+Table1[[#This Row],[id_destino]]&amp;" - "&amp;Table1[[#This Row],[id_origen]]</f>
        <v>72 - 714</v>
      </c>
    </row>
    <row r="4702" spans="1:22" hidden="1">
      <c r="A4702">
        <v>54</v>
      </c>
      <c r="B4702">
        <v>2225</v>
      </c>
      <c r="C4702">
        <v>255</v>
      </c>
      <c r="D4702">
        <v>105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0</v>
      </c>
      <c r="K4702" t="s">
        <v>20</v>
      </c>
      <c r="L4702" s="1">
        <v>43246</v>
      </c>
      <c r="M4702">
        <v>75</v>
      </c>
      <c r="N4702">
        <v>714</v>
      </c>
      <c r="O4702">
        <v>46</v>
      </c>
      <c r="P4702">
        <v>150</v>
      </c>
      <c r="Q4702">
        <v>46</v>
      </c>
      <c r="S4702">
        <v>0</v>
      </c>
      <c r="T4702">
        <v>0</v>
      </c>
      <c r="U4702">
        <f>+SUM(Table1[[#This Row],[Latinos]:[Cemex]])</f>
        <v>1</v>
      </c>
      <c r="V4702" t="str">
        <f>+Table1[[#This Row],[id_destino]]&amp;" - "&amp;Table1[[#This Row],[id_origen]]</f>
        <v>75 - 714</v>
      </c>
    </row>
    <row r="4703" spans="1:22" hidden="1">
      <c r="A4703">
        <v>202</v>
      </c>
      <c r="B4703">
        <v>2240</v>
      </c>
      <c r="C4703">
        <v>255</v>
      </c>
      <c r="D4703">
        <v>210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0</v>
      </c>
      <c r="K4703" t="s">
        <v>20</v>
      </c>
      <c r="L4703" s="1">
        <v>43748</v>
      </c>
      <c r="M4703">
        <v>81</v>
      </c>
      <c r="N4703">
        <v>714</v>
      </c>
      <c r="O4703">
        <v>125</v>
      </c>
      <c r="P4703">
        <v>150</v>
      </c>
      <c r="Q4703">
        <v>125</v>
      </c>
      <c r="S4703">
        <v>291.37</v>
      </c>
      <c r="T4703">
        <v>291.37</v>
      </c>
      <c r="U4703">
        <f>+SUM(Table1[[#This Row],[Latinos]:[Cemex]])</f>
        <v>1</v>
      </c>
      <c r="V4703" t="str">
        <f>+Table1[[#This Row],[id_destino]]&amp;" - "&amp;Table1[[#This Row],[id_origen]]</f>
        <v>81 - 714</v>
      </c>
    </row>
    <row r="4704" spans="1:22" hidden="1">
      <c r="A4704">
        <v>2154</v>
      </c>
      <c r="B4704">
        <v>3169</v>
      </c>
      <c r="C4704">
        <v>255</v>
      </c>
      <c r="D4704">
        <v>5642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 t="s">
        <v>20</v>
      </c>
      <c r="L4704" s="1">
        <v>43834</v>
      </c>
      <c r="M4704">
        <v>88</v>
      </c>
      <c r="N4704">
        <v>714</v>
      </c>
      <c r="O4704">
        <v>233</v>
      </c>
      <c r="P4704">
        <v>212</v>
      </c>
      <c r="Q4704">
        <v>233</v>
      </c>
      <c r="S4704">
        <v>516</v>
      </c>
      <c r="T4704">
        <v>516</v>
      </c>
      <c r="U4704">
        <f>+SUM(Table1[[#This Row],[Latinos]:[Cemex]])</f>
        <v>1</v>
      </c>
      <c r="V4704" t="str">
        <f>+Table1[[#This Row],[id_destino]]&amp;" - "&amp;Table1[[#This Row],[id_origen]]</f>
        <v>88 - 714</v>
      </c>
    </row>
    <row r="4705" spans="1:22" hidden="1">
      <c r="A4705">
        <v>944</v>
      </c>
      <c r="B4705">
        <v>2284</v>
      </c>
      <c r="C4705">
        <v>255</v>
      </c>
      <c r="D4705">
        <v>4946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0</v>
      </c>
      <c r="K4705" t="s">
        <v>20</v>
      </c>
      <c r="L4705" s="1">
        <v>43306</v>
      </c>
      <c r="M4705">
        <v>92</v>
      </c>
      <c r="N4705">
        <v>714</v>
      </c>
      <c r="O4705">
        <v>894</v>
      </c>
      <c r="P4705">
        <v>920</v>
      </c>
      <c r="Q4705">
        <v>894</v>
      </c>
      <c r="S4705">
        <v>756.03</v>
      </c>
      <c r="T4705">
        <v>756.03</v>
      </c>
      <c r="U4705">
        <f>+SUM(Table1[[#This Row],[Latinos]:[Cemex]])</f>
        <v>1</v>
      </c>
      <c r="V4705" t="str">
        <f>+Table1[[#This Row],[id_destino]]&amp;" - "&amp;Table1[[#This Row],[id_origen]]</f>
        <v>92 - 714</v>
      </c>
    </row>
    <row r="4706" spans="1:22" hidden="1">
      <c r="A4706">
        <v>143</v>
      </c>
      <c r="B4706">
        <v>2232</v>
      </c>
      <c r="C4706">
        <v>255</v>
      </c>
      <c r="D4706">
        <v>4024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0</v>
      </c>
      <c r="K4706" t="s">
        <v>20</v>
      </c>
      <c r="L4706" s="1">
        <v>43320</v>
      </c>
      <c r="M4706">
        <v>95</v>
      </c>
      <c r="N4706">
        <v>714</v>
      </c>
      <c r="O4706">
        <v>920</v>
      </c>
      <c r="P4706">
        <v>920</v>
      </c>
      <c r="Q4706">
        <v>920</v>
      </c>
      <c r="S4706">
        <v>756.03</v>
      </c>
      <c r="T4706">
        <v>756.03</v>
      </c>
      <c r="U4706">
        <f>+SUM(Table1[[#This Row],[Latinos]:[Cemex]])</f>
        <v>1</v>
      </c>
      <c r="V4706" t="str">
        <f>+Table1[[#This Row],[id_destino]]&amp;" - "&amp;Table1[[#This Row],[id_origen]]</f>
        <v>95 - 714</v>
      </c>
    </row>
    <row r="4707" spans="1:22" hidden="1">
      <c r="A4707">
        <v>2023</v>
      </c>
      <c r="B4707">
        <v>2278</v>
      </c>
      <c r="C4707">
        <v>255</v>
      </c>
      <c r="D4707">
        <v>6124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0</v>
      </c>
      <c r="K4707" t="s">
        <v>20</v>
      </c>
      <c r="L4707" s="1">
        <v>43773</v>
      </c>
      <c r="M4707">
        <v>107</v>
      </c>
      <c r="N4707">
        <v>714</v>
      </c>
      <c r="O4707">
        <v>524</v>
      </c>
      <c r="P4707">
        <v>524</v>
      </c>
      <c r="Q4707">
        <v>524</v>
      </c>
      <c r="S4707">
        <v>965</v>
      </c>
      <c r="T4707">
        <v>1038</v>
      </c>
      <c r="U4707">
        <f>+SUM(Table1[[#This Row],[Latinos]:[Cemex]])</f>
        <v>1</v>
      </c>
      <c r="V4707" t="str">
        <f>+Table1[[#This Row],[id_destino]]&amp;" - "&amp;Table1[[#This Row],[id_origen]]</f>
        <v>107 - 714</v>
      </c>
    </row>
    <row r="4708" spans="1:22" hidden="1">
      <c r="A4708">
        <v>2024</v>
      </c>
      <c r="B4708">
        <v>3083</v>
      </c>
      <c r="C4708">
        <v>255</v>
      </c>
      <c r="D4708">
        <v>6122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 t="s">
        <v>20</v>
      </c>
      <c r="L4708" s="1">
        <v>43773</v>
      </c>
      <c r="M4708">
        <v>129</v>
      </c>
      <c r="N4708">
        <v>714</v>
      </c>
      <c r="O4708">
        <v>456</v>
      </c>
      <c r="P4708">
        <v>460</v>
      </c>
      <c r="Q4708">
        <v>456</v>
      </c>
      <c r="S4708">
        <v>980</v>
      </c>
      <c r="T4708">
        <v>980</v>
      </c>
      <c r="U4708">
        <f>+SUM(Table1[[#This Row],[Latinos]:[Cemex]])</f>
        <v>1</v>
      </c>
      <c r="V4708" t="str">
        <f>+Table1[[#This Row],[id_destino]]&amp;" - "&amp;Table1[[#This Row],[id_origen]]</f>
        <v>129 - 714</v>
      </c>
    </row>
    <row r="4709" spans="1:22" hidden="1">
      <c r="A4709">
        <v>2113</v>
      </c>
      <c r="B4709">
        <v>3138</v>
      </c>
      <c r="C4709">
        <v>255</v>
      </c>
      <c r="D4709">
        <v>6194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 t="s">
        <v>20</v>
      </c>
      <c r="L4709" s="1">
        <v>43817</v>
      </c>
      <c r="M4709">
        <v>276</v>
      </c>
      <c r="N4709">
        <v>714</v>
      </c>
      <c r="O4709">
        <v>52</v>
      </c>
      <c r="P4709">
        <v>150</v>
      </c>
      <c r="Q4709">
        <v>52</v>
      </c>
      <c r="S4709">
        <v>88</v>
      </c>
      <c r="T4709">
        <v>88</v>
      </c>
      <c r="U4709">
        <f>+SUM(Table1[[#This Row],[Latinos]:[Cemex]])</f>
        <v>1</v>
      </c>
      <c r="V4709" t="str">
        <f>+Table1[[#This Row],[id_destino]]&amp;" - "&amp;Table1[[#This Row],[id_origen]]</f>
        <v>276 - 714</v>
      </c>
    </row>
    <row r="4710" spans="1:22" hidden="1">
      <c r="A4710">
        <v>2593</v>
      </c>
      <c r="B4710">
        <v>3441</v>
      </c>
      <c r="C4710">
        <v>255</v>
      </c>
      <c r="D4710">
        <v>6372</v>
      </c>
      <c r="E4710">
        <v>0</v>
      </c>
      <c r="F4710">
        <v>1</v>
      </c>
      <c r="G4710">
        <v>0</v>
      </c>
      <c r="H4710">
        <v>0</v>
      </c>
      <c r="I4710">
        <v>0</v>
      </c>
      <c r="J4710">
        <v>0</v>
      </c>
      <c r="K4710" t="s">
        <v>20</v>
      </c>
      <c r="L4710" s="1">
        <v>44224</v>
      </c>
      <c r="M4710">
        <v>280</v>
      </c>
      <c r="N4710">
        <v>714</v>
      </c>
      <c r="O4710">
        <v>110</v>
      </c>
      <c r="P4710">
        <v>150</v>
      </c>
      <c r="Q4710">
        <v>110</v>
      </c>
      <c r="S4710">
        <v>344</v>
      </c>
      <c r="T4710">
        <v>344</v>
      </c>
      <c r="U4710">
        <f>+SUM(Table1[[#This Row],[Latinos]:[Cemex]])</f>
        <v>1</v>
      </c>
      <c r="V4710" t="str">
        <f>+Table1[[#This Row],[id_destino]]&amp;" - "&amp;Table1[[#This Row],[id_origen]]</f>
        <v>280 - 714</v>
      </c>
    </row>
    <row r="4711" spans="1:22" hidden="1">
      <c r="A4711">
        <v>2478</v>
      </c>
      <c r="B4711">
        <v>3369</v>
      </c>
      <c r="C4711">
        <v>255</v>
      </c>
      <c r="D4711">
        <v>6424</v>
      </c>
      <c r="E4711">
        <v>0</v>
      </c>
      <c r="F4711">
        <v>1</v>
      </c>
      <c r="G4711">
        <v>0</v>
      </c>
      <c r="H4711">
        <v>0</v>
      </c>
      <c r="I4711">
        <v>0</v>
      </c>
      <c r="J4711">
        <v>0</v>
      </c>
      <c r="K4711" t="s">
        <v>20</v>
      </c>
      <c r="L4711" s="1">
        <v>44113</v>
      </c>
      <c r="M4711">
        <v>285</v>
      </c>
      <c r="N4711">
        <v>714</v>
      </c>
      <c r="O4711">
        <v>348</v>
      </c>
      <c r="P4711">
        <v>355</v>
      </c>
      <c r="Q4711">
        <v>348</v>
      </c>
      <c r="S4711">
        <v>113</v>
      </c>
      <c r="T4711">
        <v>113</v>
      </c>
      <c r="U4711">
        <f>+SUM(Table1[[#This Row],[Latinos]:[Cemex]])</f>
        <v>1</v>
      </c>
      <c r="V4711" t="str">
        <f>+Table1[[#This Row],[id_destino]]&amp;" - "&amp;Table1[[#This Row],[id_origen]]</f>
        <v>285 - 714</v>
      </c>
    </row>
    <row r="4712" spans="1:22" hidden="1">
      <c r="A4712">
        <v>663</v>
      </c>
      <c r="B4712">
        <v>2396</v>
      </c>
      <c r="C4712">
        <v>255</v>
      </c>
      <c r="D4712">
        <v>5378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0</v>
      </c>
      <c r="K4712" t="s">
        <v>20</v>
      </c>
      <c r="L4712" s="1">
        <v>43124</v>
      </c>
      <c r="M4712">
        <v>345</v>
      </c>
      <c r="N4712">
        <v>714</v>
      </c>
      <c r="O4712">
        <v>30</v>
      </c>
      <c r="P4712">
        <v>150</v>
      </c>
      <c r="Q4712">
        <v>30</v>
      </c>
      <c r="S4712">
        <v>0</v>
      </c>
      <c r="T4712">
        <v>0</v>
      </c>
      <c r="U4712">
        <f>+SUM(Table1[[#This Row],[Latinos]:[Cemex]])</f>
        <v>1</v>
      </c>
      <c r="V4712" t="str">
        <f>+Table1[[#This Row],[id_destino]]&amp;" - "&amp;Table1[[#This Row],[id_origen]]</f>
        <v>345 - 714</v>
      </c>
    </row>
    <row r="4713" spans="1:22" hidden="1">
      <c r="A4713">
        <v>2755</v>
      </c>
      <c r="B4713">
        <v>3547</v>
      </c>
      <c r="C4713">
        <v>6636</v>
      </c>
      <c r="D4713">
        <v>6637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0</v>
      </c>
      <c r="K4713" t="s">
        <v>20</v>
      </c>
      <c r="L4713" s="1">
        <v>44417</v>
      </c>
      <c r="M4713">
        <v>385</v>
      </c>
      <c r="N4713">
        <v>714</v>
      </c>
      <c r="O4713">
        <v>105</v>
      </c>
      <c r="P4713">
        <v>150</v>
      </c>
      <c r="Q4713">
        <v>105</v>
      </c>
      <c r="S4713">
        <v>198</v>
      </c>
      <c r="T4713">
        <v>272</v>
      </c>
      <c r="U4713">
        <f>+SUM(Table1[[#This Row],[Latinos]:[Cemex]])</f>
        <v>1</v>
      </c>
      <c r="V4713" t="str">
        <f>+Table1[[#This Row],[id_destino]]&amp;" - "&amp;Table1[[#This Row],[id_origen]]</f>
        <v>385 - 714</v>
      </c>
    </row>
    <row r="4714" spans="1:22" hidden="1">
      <c r="A4714">
        <v>2021</v>
      </c>
      <c r="B4714">
        <v>3081</v>
      </c>
      <c r="C4714">
        <v>255</v>
      </c>
      <c r="D4714">
        <v>6123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0</v>
      </c>
      <c r="K4714" t="s">
        <v>20</v>
      </c>
      <c r="L4714" s="1">
        <v>43773</v>
      </c>
      <c r="M4714">
        <v>577</v>
      </c>
      <c r="N4714">
        <v>714</v>
      </c>
      <c r="O4714">
        <v>1662</v>
      </c>
      <c r="P4714">
        <v>1641</v>
      </c>
      <c r="Q4714">
        <v>1662</v>
      </c>
      <c r="S4714">
        <v>4017</v>
      </c>
      <c r="T4714">
        <v>4103</v>
      </c>
      <c r="U4714">
        <f>+SUM(Table1[[#This Row],[Latinos]:[Cemex]])</f>
        <v>1</v>
      </c>
      <c r="V4714" t="str">
        <f>+Table1[[#This Row],[id_destino]]&amp;" - "&amp;Table1[[#This Row],[id_origen]]</f>
        <v>577 - 714</v>
      </c>
    </row>
    <row r="4715" spans="1:22" hidden="1">
      <c r="A4715">
        <v>2025</v>
      </c>
      <c r="B4715">
        <v>3084</v>
      </c>
      <c r="C4715">
        <v>255</v>
      </c>
      <c r="D4715">
        <v>6127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 t="s">
        <v>20</v>
      </c>
      <c r="L4715" s="1">
        <v>43773</v>
      </c>
      <c r="M4715">
        <v>586</v>
      </c>
      <c r="N4715">
        <v>714</v>
      </c>
      <c r="O4715">
        <v>293</v>
      </c>
      <c r="P4715">
        <v>294</v>
      </c>
      <c r="Q4715">
        <v>293</v>
      </c>
      <c r="S4715">
        <v>823</v>
      </c>
      <c r="T4715">
        <v>823</v>
      </c>
      <c r="U4715">
        <f>+SUM(Table1[[#This Row],[Latinos]:[Cemex]])</f>
        <v>1</v>
      </c>
      <c r="V4715" t="str">
        <f>+Table1[[#This Row],[id_destino]]&amp;" - "&amp;Table1[[#This Row],[id_origen]]</f>
        <v>586 - 714</v>
      </c>
    </row>
    <row r="4716" spans="1:22" hidden="1">
      <c r="A4716">
        <v>765</v>
      </c>
      <c r="B4716">
        <v>2443</v>
      </c>
      <c r="C4716">
        <v>255</v>
      </c>
      <c r="D4716">
        <v>4608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 t="s">
        <v>20</v>
      </c>
      <c r="L4716" s="1">
        <v>43158</v>
      </c>
      <c r="M4716">
        <v>602</v>
      </c>
      <c r="N4716">
        <v>714</v>
      </c>
      <c r="O4716">
        <v>93</v>
      </c>
      <c r="P4716">
        <v>150</v>
      </c>
      <c r="Q4716">
        <v>93</v>
      </c>
      <c r="S4716">
        <v>333</v>
      </c>
      <c r="T4716">
        <v>333</v>
      </c>
      <c r="U4716">
        <f>+SUM(Table1[[#This Row],[Latinos]:[Cemex]])</f>
        <v>1</v>
      </c>
      <c r="V4716" t="str">
        <f>+Table1[[#This Row],[id_destino]]&amp;" - "&amp;Table1[[#This Row],[id_origen]]</f>
        <v>602 - 714</v>
      </c>
    </row>
    <row r="4717" spans="1:22" hidden="1">
      <c r="A4717">
        <v>1811</v>
      </c>
      <c r="B4717">
        <v>2950</v>
      </c>
      <c r="C4717">
        <v>5283</v>
      </c>
      <c r="D4717">
        <v>5953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0</v>
      </c>
      <c r="K4717" t="s">
        <v>20</v>
      </c>
      <c r="L4717" s="1">
        <v>43642</v>
      </c>
      <c r="M4717">
        <v>13</v>
      </c>
      <c r="N4717">
        <v>716</v>
      </c>
      <c r="O4717">
        <v>258</v>
      </c>
      <c r="P4717">
        <v>246</v>
      </c>
      <c r="Q4717">
        <v>258</v>
      </c>
      <c r="S4717">
        <v>519</v>
      </c>
      <c r="T4717">
        <v>519</v>
      </c>
      <c r="U4717">
        <f>+SUM(Table1[[#This Row],[Latinos]:[Cemex]])</f>
        <v>1</v>
      </c>
      <c r="V4717" t="str">
        <f>+Table1[[#This Row],[id_destino]]&amp;" - "&amp;Table1[[#This Row],[id_origen]]</f>
        <v>13 - 716</v>
      </c>
    </row>
    <row r="4718" spans="1:22" hidden="1">
      <c r="A4718">
        <v>3467</v>
      </c>
      <c r="B4718">
        <v>4012</v>
      </c>
      <c r="C4718">
        <v>5283</v>
      </c>
      <c r="D4718">
        <v>7145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 t="s">
        <v>20</v>
      </c>
      <c r="L4718" s="1">
        <v>44908</v>
      </c>
      <c r="M4718">
        <v>60</v>
      </c>
      <c r="N4718">
        <v>716</v>
      </c>
      <c r="O4718">
        <v>2761</v>
      </c>
      <c r="P4718">
        <v>2750</v>
      </c>
      <c r="Q4718">
        <v>2761</v>
      </c>
      <c r="S4718">
        <v>8331</v>
      </c>
      <c r="T4718">
        <v>8624</v>
      </c>
      <c r="U4718">
        <f>+SUM(Table1[[#This Row],[Latinos]:[Cemex]])</f>
        <v>1</v>
      </c>
      <c r="V4718" t="str">
        <f>+Table1[[#This Row],[id_destino]]&amp;" - "&amp;Table1[[#This Row],[id_origen]]</f>
        <v>60 - 716</v>
      </c>
    </row>
    <row r="4719" spans="1:22" hidden="1">
      <c r="A4719">
        <v>3473</v>
      </c>
      <c r="B4719">
        <v>4012</v>
      </c>
      <c r="C4719">
        <v>5283</v>
      </c>
      <c r="D4719">
        <v>7145</v>
      </c>
      <c r="E4719">
        <v>0</v>
      </c>
      <c r="F4719">
        <v>1</v>
      </c>
      <c r="G4719">
        <v>0</v>
      </c>
      <c r="H4719">
        <v>0</v>
      </c>
      <c r="I4719">
        <v>1</v>
      </c>
      <c r="J4719">
        <v>0</v>
      </c>
      <c r="K4719" t="s">
        <v>20</v>
      </c>
      <c r="L4719" s="1">
        <v>44910</v>
      </c>
      <c r="M4719">
        <v>60</v>
      </c>
      <c r="N4719">
        <v>716</v>
      </c>
      <c r="O4719">
        <v>2750</v>
      </c>
      <c r="P4719">
        <v>2754</v>
      </c>
      <c r="Q4719">
        <v>2750</v>
      </c>
      <c r="S4719">
        <v>5590</v>
      </c>
      <c r="T4719">
        <v>5732</v>
      </c>
      <c r="U4719">
        <f>+SUM(Table1[[#This Row],[Latinos]:[Cemex]])</f>
        <v>2</v>
      </c>
      <c r="V4719" t="str">
        <f>+Table1[[#This Row],[id_destino]]&amp;" - "&amp;Table1[[#This Row],[id_origen]]</f>
        <v>60 - 716</v>
      </c>
    </row>
    <row r="4720" spans="1:22" hidden="1">
      <c r="A4720">
        <v>79</v>
      </c>
      <c r="B4720">
        <v>2227</v>
      </c>
      <c r="C4720">
        <v>5283</v>
      </c>
      <c r="D4720">
        <v>5284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</v>
      </c>
      <c r="K4720" t="s">
        <v>20</v>
      </c>
      <c r="L4720" s="1">
        <v>42998</v>
      </c>
      <c r="M4720">
        <v>255</v>
      </c>
      <c r="N4720">
        <v>716</v>
      </c>
      <c r="O4720">
        <v>24</v>
      </c>
      <c r="P4720">
        <v>150</v>
      </c>
      <c r="Q4720">
        <v>25</v>
      </c>
      <c r="S4720">
        <v>0</v>
      </c>
      <c r="T4720">
        <v>0</v>
      </c>
      <c r="U4720">
        <f>+SUM(Table1[[#This Row],[Latinos]:[Cemex]])</f>
        <v>1</v>
      </c>
      <c r="V4720" t="str">
        <f>+Table1[[#This Row],[id_destino]]&amp;" - "&amp;Table1[[#This Row],[id_origen]]</f>
        <v>255 - 716</v>
      </c>
    </row>
    <row r="4721" spans="1:22" hidden="1">
      <c r="A4721">
        <v>215</v>
      </c>
      <c r="B4721">
        <v>2243</v>
      </c>
      <c r="C4721">
        <v>5301</v>
      </c>
      <c r="D4721">
        <v>4455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</v>
      </c>
      <c r="K4721" t="s">
        <v>20</v>
      </c>
      <c r="L4721" s="1">
        <v>43014</v>
      </c>
      <c r="M4721">
        <v>23</v>
      </c>
      <c r="N4721">
        <v>721</v>
      </c>
      <c r="O4721">
        <v>331</v>
      </c>
      <c r="P4721">
        <v>331</v>
      </c>
      <c r="Q4721">
        <v>331</v>
      </c>
      <c r="S4721">
        <v>447</v>
      </c>
      <c r="T4721">
        <v>447</v>
      </c>
      <c r="U4721">
        <f>+SUM(Table1[[#This Row],[Latinos]:[Cemex]])</f>
        <v>1</v>
      </c>
      <c r="V4721" t="str">
        <f>+Table1[[#This Row],[id_destino]]&amp;" - "&amp;Table1[[#This Row],[id_origen]]</f>
        <v>23 - 721</v>
      </c>
    </row>
    <row r="4722" spans="1:22" hidden="1">
      <c r="A4722">
        <v>4317</v>
      </c>
      <c r="B4722">
        <v>3565</v>
      </c>
      <c r="C4722">
        <v>6669</v>
      </c>
      <c r="D4722">
        <v>6089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 t="s">
        <v>20</v>
      </c>
      <c r="L4722" s="1">
        <v>45454</v>
      </c>
      <c r="M4722">
        <v>73</v>
      </c>
      <c r="N4722">
        <v>724</v>
      </c>
      <c r="O4722">
        <v>26</v>
      </c>
      <c r="P4722">
        <v>26</v>
      </c>
      <c r="Q4722">
        <v>50</v>
      </c>
      <c r="S4722">
        <v>0</v>
      </c>
      <c r="T4722">
        <v>0</v>
      </c>
      <c r="U4722">
        <f>+SUM(Table1[[#This Row],[Latinos]:[Cemex]])</f>
        <v>1</v>
      </c>
      <c r="V4722" t="str">
        <f>+Table1[[#This Row],[id_destino]]&amp;" - "&amp;Table1[[#This Row],[id_origen]]</f>
        <v>73 - 724</v>
      </c>
    </row>
    <row r="4723" spans="1:22" hidden="1">
      <c r="A4723">
        <v>4369</v>
      </c>
      <c r="B4723">
        <v>3565</v>
      </c>
      <c r="C4723">
        <v>6669</v>
      </c>
      <c r="D4723">
        <v>468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  <c r="K4723" t="s">
        <v>20</v>
      </c>
      <c r="L4723" s="1">
        <v>45497</v>
      </c>
      <c r="M4723">
        <v>73</v>
      </c>
      <c r="N4723">
        <v>724</v>
      </c>
      <c r="O4723">
        <v>50</v>
      </c>
      <c r="P4723">
        <v>150</v>
      </c>
      <c r="Q4723">
        <v>50</v>
      </c>
      <c r="S4723">
        <v>0</v>
      </c>
      <c r="T4723">
        <v>0</v>
      </c>
      <c r="U4723">
        <f>+SUM(Table1[[#This Row],[Latinos]:[Cemex]])</f>
        <v>1</v>
      </c>
      <c r="V4723" t="str">
        <f>+Table1[[#This Row],[id_destino]]&amp;" - "&amp;Table1[[#This Row],[id_origen]]</f>
        <v>73 - 724</v>
      </c>
    </row>
    <row r="4724" spans="1:22" hidden="1">
      <c r="A4724">
        <v>4389</v>
      </c>
      <c r="B4724">
        <v>3565</v>
      </c>
      <c r="C4724">
        <v>6669</v>
      </c>
      <c r="D4724">
        <v>7869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0</v>
      </c>
      <c r="K4724" t="s">
        <v>20</v>
      </c>
      <c r="L4724" s="1">
        <v>45513</v>
      </c>
      <c r="M4724">
        <v>73</v>
      </c>
      <c r="N4724">
        <v>724</v>
      </c>
      <c r="O4724">
        <v>31</v>
      </c>
      <c r="P4724">
        <v>150</v>
      </c>
      <c r="Q4724">
        <v>50</v>
      </c>
      <c r="S4724">
        <v>0</v>
      </c>
      <c r="T4724">
        <v>0</v>
      </c>
      <c r="U4724">
        <f>+SUM(Table1[[#This Row],[Latinos]:[Cemex]])</f>
        <v>1</v>
      </c>
      <c r="V4724" t="str">
        <f>+Table1[[#This Row],[id_destino]]&amp;" - "&amp;Table1[[#This Row],[id_origen]]</f>
        <v>73 - 724</v>
      </c>
    </row>
    <row r="4725" spans="1:22" hidden="1">
      <c r="A4725">
        <v>2934</v>
      </c>
      <c r="B4725">
        <v>3565</v>
      </c>
      <c r="C4725">
        <v>6669</v>
      </c>
      <c r="D4725">
        <v>6700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 t="s">
        <v>20</v>
      </c>
      <c r="L4725" s="1">
        <v>44627</v>
      </c>
      <c r="M4725">
        <v>645</v>
      </c>
      <c r="N4725">
        <v>724</v>
      </c>
      <c r="O4725">
        <v>50</v>
      </c>
      <c r="P4725">
        <v>150</v>
      </c>
      <c r="Q4725">
        <v>50</v>
      </c>
      <c r="S4725">
        <v>0</v>
      </c>
      <c r="T4725">
        <v>0</v>
      </c>
      <c r="U4725">
        <f>+SUM(Table1[[#This Row],[Latinos]:[Cemex]])</f>
        <v>1</v>
      </c>
      <c r="V4725" t="str">
        <f>+Table1[[#This Row],[id_destino]]&amp;" - "&amp;Table1[[#This Row],[id_origen]]</f>
        <v>645 - 724</v>
      </c>
    </row>
    <row r="4726" spans="1:22" hidden="1">
      <c r="A4726">
        <v>1205</v>
      </c>
      <c r="B4726">
        <v>2632</v>
      </c>
      <c r="C4726">
        <v>5377</v>
      </c>
      <c r="D4726">
        <v>5199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 t="s">
        <v>20</v>
      </c>
      <c r="L4726" s="1">
        <v>43341</v>
      </c>
      <c r="M4726">
        <v>1</v>
      </c>
      <c r="N4726">
        <v>725</v>
      </c>
      <c r="O4726">
        <v>663</v>
      </c>
      <c r="P4726">
        <v>695</v>
      </c>
      <c r="Q4726">
        <v>663</v>
      </c>
      <c r="S4726">
        <v>119</v>
      </c>
      <c r="T4726">
        <v>119</v>
      </c>
      <c r="U4726">
        <f>+SUM(Table1[[#This Row],[Latinos]:[Cemex]])</f>
        <v>1</v>
      </c>
      <c r="V4726" t="str">
        <f>+Table1[[#This Row],[id_destino]]&amp;" - "&amp;Table1[[#This Row],[id_origen]]</f>
        <v>1 - 725</v>
      </c>
    </row>
    <row r="4727" spans="1:22" hidden="1">
      <c r="A4727">
        <v>477</v>
      </c>
      <c r="B4727">
        <v>2309</v>
      </c>
      <c r="C4727">
        <v>5377</v>
      </c>
      <c r="D4727">
        <v>405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  <c r="K4727" t="s">
        <v>20</v>
      </c>
      <c r="L4727" s="1">
        <v>43075</v>
      </c>
      <c r="M4727">
        <v>180</v>
      </c>
      <c r="N4727">
        <v>725</v>
      </c>
      <c r="O4727">
        <v>606</v>
      </c>
      <c r="P4727">
        <v>606</v>
      </c>
      <c r="Q4727">
        <v>606</v>
      </c>
      <c r="S4727">
        <v>116</v>
      </c>
      <c r="T4727">
        <v>116</v>
      </c>
      <c r="U4727">
        <f>+SUM(Table1[[#This Row],[Latinos]:[Cemex]])</f>
        <v>1</v>
      </c>
      <c r="V4727" t="str">
        <f>+Table1[[#This Row],[id_destino]]&amp;" - "&amp;Table1[[#This Row],[id_origen]]</f>
        <v>180 - 725</v>
      </c>
    </row>
    <row r="4728" spans="1:22" hidden="1">
      <c r="A4728">
        <v>1898</v>
      </c>
      <c r="B4728">
        <v>3005</v>
      </c>
      <c r="C4728">
        <v>5412</v>
      </c>
      <c r="D4728">
        <v>4625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 t="s">
        <v>20</v>
      </c>
      <c r="L4728" s="1">
        <v>43701</v>
      </c>
      <c r="M4728">
        <v>18</v>
      </c>
      <c r="N4728">
        <v>729</v>
      </c>
      <c r="O4728">
        <v>55</v>
      </c>
      <c r="P4728">
        <v>150</v>
      </c>
      <c r="Q4728">
        <v>55</v>
      </c>
      <c r="S4728">
        <v>150</v>
      </c>
      <c r="T4728">
        <v>150</v>
      </c>
      <c r="U4728">
        <f>+SUM(Table1[[#This Row],[Latinos]:[Cemex]])</f>
        <v>1</v>
      </c>
      <c r="V4728" t="str">
        <f>+Table1[[#This Row],[id_destino]]&amp;" - "&amp;Table1[[#This Row],[id_origen]]</f>
        <v>18 - 729</v>
      </c>
    </row>
    <row r="4729" spans="1:22" hidden="1">
      <c r="A4729">
        <v>577</v>
      </c>
      <c r="B4729">
        <v>2352</v>
      </c>
      <c r="C4729">
        <v>5412</v>
      </c>
      <c r="D4729">
        <v>22</v>
      </c>
      <c r="E4729">
        <v>0</v>
      </c>
      <c r="F4729">
        <v>0</v>
      </c>
      <c r="G4729">
        <v>0</v>
      </c>
      <c r="H4729">
        <v>1</v>
      </c>
      <c r="I4729">
        <v>0</v>
      </c>
      <c r="J4729">
        <v>0</v>
      </c>
      <c r="K4729" t="s">
        <v>20</v>
      </c>
      <c r="L4729" s="1">
        <v>43105</v>
      </c>
      <c r="M4729">
        <v>19</v>
      </c>
      <c r="N4729">
        <v>729</v>
      </c>
      <c r="O4729">
        <v>40</v>
      </c>
      <c r="P4729">
        <v>150</v>
      </c>
      <c r="Q4729">
        <v>40</v>
      </c>
      <c r="S4729">
        <v>35</v>
      </c>
      <c r="T4729">
        <v>35</v>
      </c>
      <c r="U4729">
        <f>+SUM(Table1[[#This Row],[Latinos]:[Cemex]])</f>
        <v>1</v>
      </c>
      <c r="V4729" t="str">
        <f>+Table1[[#This Row],[id_destino]]&amp;" - "&amp;Table1[[#This Row],[id_origen]]</f>
        <v>19 - 729</v>
      </c>
    </row>
    <row r="4730" spans="1:22" hidden="1">
      <c r="A4730">
        <v>3848</v>
      </c>
      <c r="B4730">
        <v>4257</v>
      </c>
      <c r="C4730">
        <v>5412</v>
      </c>
      <c r="D4730">
        <v>7434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  <c r="K4730" t="s">
        <v>20</v>
      </c>
      <c r="L4730" s="1">
        <v>45142</v>
      </c>
      <c r="M4730">
        <v>407</v>
      </c>
      <c r="N4730">
        <v>729</v>
      </c>
      <c r="O4730">
        <v>150</v>
      </c>
      <c r="P4730">
        <v>150</v>
      </c>
      <c r="Q4730">
        <v>150</v>
      </c>
      <c r="S4730">
        <v>76</v>
      </c>
      <c r="T4730">
        <v>76</v>
      </c>
      <c r="U4730">
        <f>+SUM(Table1[[#This Row],[Latinos]:[Cemex]])</f>
        <v>1</v>
      </c>
      <c r="V4730" t="str">
        <f>+Table1[[#This Row],[id_destino]]&amp;" - "&amp;Table1[[#This Row],[id_origen]]</f>
        <v>407 - 729</v>
      </c>
    </row>
    <row r="4731" spans="1:22" hidden="1">
      <c r="A4731">
        <v>2244</v>
      </c>
      <c r="B4731">
        <v>3225</v>
      </c>
      <c r="C4731">
        <v>5425</v>
      </c>
      <c r="D4731">
        <v>3612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  <c r="K4731" t="s">
        <v>20</v>
      </c>
      <c r="L4731" s="1">
        <v>43874</v>
      </c>
      <c r="M4731">
        <v>18</v>
      </c>
      <c r="N4731">
        <v>733</v>
      </c>
      <c r="O4731">
        <v>136</v>
      </c>
      <c r="P4731">
        <v>150</v>
      </c>
      <c r="Q4731">
        <v>136</v>
      </c>
      <c r="S4731">
        <v>150</v>
      </c>
      <c r="T4731">
        <v>232</v>
      </c>
      <c r="U4731">
        <f>+SUM(Table1[[#This Row],[Latinos]:[Cemex]])</f>
        <v>1</v>
      </c>
      <c r="V4731" t="str">
        <f>+Table1[[#This Row],[id_destino]]&amp;" - "&amp;Table1[[#This Row],[id_origen]]</f>
        <v>18 - 733</v>
      </c>
    </row>
    <row r="4732" spans="1:22" hidden="1">
      <c r="A4732">
        <v>635</v>
      </c>
      <c r="B4732">
        <v>2378</v>
      </c>
      <c r="C4732">
        <v>5432</v>
      </c>
      <c r="D4732">
        <v>394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  <c r="K4732" t="s">
        <v>20</v>
      </c>
      <c r="L4732" s="1">
        <v>43119</v>
      </c>
      <c r="M4732">
        <v>1</v>
      </c>
      <c r="N4732">
        <v>735</v>
      </c>
      <c r="O4732">
        <v>50</v>
      </c>
      <c r="P4732">
        <v>150</v>
      </c>
      <c r="Q4732">
        <v>50</v>
      </c>
      <c r="S4732">
        <v>0</v>
      </c>
      <c r="T4732">
        <v>0</v>
      </c>
      <c r="U4732">
        <f>+SUM(Table1[[#This Row],[Latinos]:[Cemex]])</f>
        <v>1</v>
      </c>
      <c r="V4732" t="str">
        <f>+Table1[[#This Row],[id_destino]]&amp;" - "&amp;Table1[[#This Row],[id_origen]]</f>
        <v>1 - 735</v>
      </c>
    </row>
    <row r="4733" spans="1:22" hidden="1">
      <c r="A4733">
        <v>1616</v>
      </c>
      <c r="B4733">
        <v>2842</v>
      </c>
      <c r="C4733">
        <v>5724</v>
      </c>
      <c r="D4733">
        <v>5844</v>
      </c>
      <c r="E4733">
        <v>0</v>
      </c>
      <c r="F4733">
        <v>1</v>
      </c>
      <c r="G4733">
        <v>0</v>
      </c>
      <c r="H4733">
        <v>0</v>
      </c>
      <c r="I4733">
        <v>0</v>
      </c>
      <c r="J4733">
        <v>0</v>
      </c>
      <c r="K4733" t="s">
        <v>20</v>
      </c>
      <c r="L4733" s="1">
        <v>43532</v>
      </c>
      <c r="M4733">
        <v>767</v>
      </c>
      <c r="N4733">
        <v>735</v>
      </c>
      <c r="O4733">
        <v>679</v>
      </c>
      <c r="P4733">
        <v>701</v>
      </c>
      <c r="Q4733">
        <v>679</v>
      </c>
      <c r="S4733">
        <v>860</v>
      </c>
      <c r="T4733">
        <v>935</v>
      </c>
      <c r="U4733">
        <f>+SUM(Table1[[#This Row],[Latinos]:[Cemex]])</f>
        <v>1</v>
      </c>
      <c r="V4733" t="str">
        <f>+Table1[[#This Row],[id_destino]]&amp;" - "&amp;Table1[[#This Row],[id_origen]]</f>
        <v>767 - 735</v>
      </c>
    </row>
    <row r="4734" spans="1:22" hidden="1">
      <c r="A4734">
        <v>664</v>
      </c>
      <c r="B4734">
        <v>2397</v>
      </c>
      <c r="C4734">
        <v>5441</v>
      </c>
      <c r="D4734">
        <v>426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  <c r="K4734" t="s">
        <v>20</v>
      </c>
      <c r="L4734" s="1">
        <v>43124</v>
      </c>
      <c r="M4734">
        <v>35</v>
      </c>
      <c r="N4734">
        <v>737</v>
      </c>
      <c r="O4734">
        <v>153</v>
      </c>
      <c r="P4734">
        <v>153</v>
      </c>
      <c r="Q4734">
        <v>153</v>
      </c>
      <c r="S4734">
        <v>84</v>
      </c>
      <c r="T4734">
        <v>84</v>
      </c>
      <c r="U4734">
        <f>+SUM(Table1[[#This Row],[Latinos]:[Cemex]])</f>
        <v>1</v>
      </c>
      <c r="V4734" t="str">
        <f>+Table1[[#This Row],[id_destino]]&amp;" - "&amp;Table1[[#This Row],[id_origen]]</f>
        <v>35 - 737</v>
      </c>
    </row>
    <row r="4735" spans="1:22" hidden="1">
      <c r="A4735">
        <v>666</v>
      </c>
      <c r="B4735">
        <v>2398</v>
      </c>
      <c r="C4735">
        <v>5441</v>
      </c>
      <c r="D4735">
        <v>2569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 t="s">
        <v>20</v>
      </c>
      <c r="L4735" s="1">
        <v>43126</v>
      </c>
      <c r="M4735">
        <v>44</v>
      </c>
      <c r="N4735">
        <v>737</v>
      </c>
      <c r="O4735">
        <v>138</v>
      </c>
      <c r="P4735">
        <v>150</v>
      </c>
      <c r="Q4735">
        <v>138</v>
      </c>
      <c r="S4735">
        <v>40</v>
      </c>
      <c r="T4735">
        <v>40</v>
      </c>
      <c r="U4735">
        <f>+SUM(Table1[[#This Row],[Latinos]:[Cemex]])</f>
        <v>1</v>
      </c>
      <c r="V4735" t="str">
        <f>+Table1[[#This Row],[id_destino]]&amp;" - "&amp;Table1[[#This Row],[id_origen]]</f>
        <v>44 - 737</v>
      </c>
    </row>
    <row r="4736" spans="1:22" hidden="1">
      <c r="A4736">
        <v>1506</v>
      </c>
      <c r="B4736">
        <v>2784</v>
      </c>
      <c r="C4736">
        <v>5797</v>
      </c>
      <c r="D4736">
        <v>46</v>
      </c>
      <c r="E4736">
        <v>0</v>
      </c>
      <c r="F4736">
        <v>0</v>
      </c>
      <c r="G4736">
        <v>0</v>
      </c>
      <c r="H4736">
        <v>1</v>
      </c>
      <c r="I4736">
        <v>0</v>
      </c>
      <c r="J4736">
        <v>0</v>
      </c>
      <c r="K4736" t="s">
        <v>20</v>
      </c>
      <c r="L4736" s="1">
        <v>43475</v>
      </c>
      <c r="M4736">
        <v>40</v>
      </c>
      <c r="N4736">
        <v>742</v>
      </c>
      <c r="O4736">
        <v>231</v>
      </c>
      <c r="P4736">
        <v>231</v>
      </c>
      <c r="Q4736">
        <v>231</v>
      </c>
      <c r="S4736">
        <v>581</v>
      </c>
      <c r="T4736">
        <v>581</v>
      </c>
      <c r="U4736">
        <f>+SUM(Table1[[#This Row],[Latinos]:[Cemex]])</f>
        <v>1</v>
      </c>
      <c r="V4736" t="str">
        <f>+Table1[[#This Row],[id_destino]]&amp;" - "&amp;Table1[[#This Row],[id_origen]]</f>
        <v>40 - 742</v>
      </c>
    </row>
    <row r="4737" spans="1:22" hidden="1">
      <c r="A4737">
        <v>2315</v>
      </c>
      <c r="B4737">
        <v>3267</v>
      </c>
      <c r="C4737">
        <v>6330</v>
      </c>
      <c r="D4737">
        <v>34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 t="s">
        <v>20</v>
      </c>
      <c r="L4737" s="1">
        <v>43997</v>
      </c>
      <c r="M4737">
        <v>30</v>
      </c>
      <c r="N4737">
        <v>746</v>
      </c>
      <c r="O4737">
        <v>879</v>
      </c>
      <c r="P4737">
        <v>879</v>
      </c>
      <c r="Q4737">
        <v>879</v>
      </c>
      <c r="S4737">
        <v>3009</v>
      </c>
      <c r="T4737">
        <v>3367</v>
      </c>
      <c r="U4737">
        <f>+SUM(Table1[[#This Row],[Latinos]:[Cemex]])</f>
        <v>1</v>
      </c>
      <c r="V4737" t="str">
        <f>+Table1[[#This Row],[id_destino]]&amp;" - "&amp;Table1[[#This Row],[id_origen]]</f>
        <v>30 - 746</v>
      </c>
    </row>
    <row r="4738" spans="1:22" hidden="1">
      <c r="A4738">
        <v>2814</v>
      </c>
      <c r="B4738">
        <v>3587</v>
      </c>
      <c r="C4738">
        <v>6330</v>
      </c>
      <c r="D4738">
        <v>35</v>
      </c>
      <c r="E4738">
        <v>0</v>
      </c>
      <c r="F4738">
        <v>1</v>
      </c>
      <c r="G4738">
        <v>0</v>
      </c>
      <c r="H4738">
        <v>0</v>
      </c>
      <c r="I4738">
        <v>0</v>
      </c>
      <c r="J4738">
        <v>0</v>
      </c>
      <c r="K4738" t="s">
        <v>20</v>
      </c>
      <c r="L4738" s="1">
        <v>44482</v>
      </c>
      <c r="M4738">
        <v>31</v>
      </c>
      <c r="N4738">
        <v>746</v>
      </c>
      <c r="O4738">
        <v>1092</v>
      </c>
      <c r="P4738">
        <v>1083</v>
      </c>
      <c r="Q4738">
        <v>1092</v>
      </c>
      <c r="S4738">
        <v>4788</v>
      </c>
      <c r="T4738">
        <v>5218</v>
      </c>
      <c r="U4738">
        <f>+SUM(Table1[[#This Row],[Latinos]:[Cemex]])</f>
        <v>1</v>
      </c>
      <c r="V4738" t="str">
        <f>+Table1[[#This Row],[id_destino]]&amp;" - "&amp;Table1[[#This Row],[id_origen]]</f>
        <v>31 - 746</v>
      </c>
    </row>
    <row r="4739" spans="1:22" hidden="1">
      <c r="A4739">
        <v>4397</v>
      </c>
      <c r="B4739">
        <v>4628</v>
      </c>
      <c r="C4739">
        <v>7697</v>
      </c>
      <c r="D4739">
        <v>3431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0</v>
      </c>
      <c r="K4739" t="s">
        <v>20</v>
      </c>
      <c r="L4739" s="1">
        <v>45518</v>
      </c>
      <c r="M4739">
        <v>52</v>
      </c>
      <c r="N4739">
        <v>746</v>
      </c>
      <c r="O4739">
        <v>50</v>
      </c>
      <c r="P4739">
        <v>150</v>
      </c>
      <c r="Q4739">
        <v>50</v>
      </c>
      <c r="S4739">
        <v>128</v>
      </c>
      <c r="T4739">
        <v>128</v>
      </c>
      <c r="U4739">
        <f>+SUM(Table1[[#This Row],[Latinos]:[Cemex]])</f>
        <v>1</v>
      </c>
      <c r="V4739" t="str">
        <f>+Table1[[#This Row],[id_destino]]&amp;" - "&amp;Table1[[#This Row],[id_origen]]</f>
        <v>52 - 746</v>
      </c>
    </row>
    <row r="4740" spans="1:22" hidden="1">
      <c r="A4740">
        <v>2527</v>
      </c>
      <c r="B4740">
        <v>3397</v>
      </c>
      <c r="C4740">
        <v>5734</v>
      </c>
      <c r="D4740">
        <v>71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 t="s">
        <v>20</v>
      </c>
      <c r="L4740" s="1">
        <v>44155</v>
      </c>
      <c r="M4740">
        <v>61</v>
      </c>
      <c r="N4740">
        <v>746</v>
      </c>
      <c r="O4740">
        <v>2173</v>
      </c>
      <c r="P4740">
        <v>2173</v>
      </c>
      <c r="Q4740">
        <v>2173</v>
      </c>
      <c r="S4740">
        <v>2086</v>
      </c>
      <c r="T4740">
        <v>2412</v>
      </c>
      <c r="U4740">
        <f>+SUM(Table1[[#This Row],[Latinos]:[Cemex]])</f>
        <v>1</v>
      </c>
      <c r="V4740" t="str">
        <f>+Table1[[#This Row],[id_destino]]&amp;" - "&amp;Table1[[#This Row],[id_origen]]</f>
        <v>61 - 746</v>
      </c>
    </row>
    <row r="4741" spans="1:22" hidden="1">
      <c r="A4741">
        <v>2716</v>
      </c>
      <c r="B4741">
        <v>2705</v>
      </c>
      <c r="C4741">
        <v>6609</v>
      </c>
      <c r="D4741">
        <v>1780</v>
      </c>
      <c r="E4741">
        <v>0</v>
      </c>
      <c r="F4741">
        <v>0</v>
      </c>
      <c r="G4741">
        <v>0</v>
      </c>
      <c r="H4741">
        <v>1</v>
      </c>
      <c r="I4741">
        <v>0</v>
      </c>
      <c r="J4741">
        <v>0</v>
      </c>
      <c r="K4741" t="s">
        <v>20</v>
      </c>
      <c r="L4741" s="1">
        <v>44371</v>
      </c>
      <c r="M4741">
        <v>73</v>
      </c>
      <c r="N4741">
        <v>746</v>
      </c>
      <c r="O4741">
        <v>55</v>
      </c>
      <c r="P4741">
        <v>100</v>
      </c>
      <c r="Q4741">
        <v>55</v>
      </c>
      <c r="S4741">
        <v>0</v>
      </c>
      <c r="T4741">
        <v>0</v>
      </c>
      <c r="U4741">
        <f>+SUM(Table1[[#This Row],[Latinos]:[Cemex]])</f>
        <v>1</v>
      </c>
      <c r="V4741" t="str">
        <f>+Table1[[#This Row],[id_destino]]&amp;" - "&amp;Table1[[#This Row],[id_origen]]</f>
        <v>73 - 746</v>
      </c>
    </row>
    <row r="4742" spans="1:22" hidden="1">
      <c r="A4742">
        <v>2414</v>
      </c>
      <c r="B4742">
        <v>3329</v>
      </c>
      <c r="C4742">
        <v>6139</v>
      </c>
      <c r="D4742">
        <v>4607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0</v>
      </c>
      <c r="K4742" t="s">
        <v>20</v>
      </c>
      <c r="L4742" s="1">
        <v>44055</v>
      </c>
      <c r="M4742">
        <v>117</v>
      </c>
      <c r="N4742">
        <v>746</v>
      </c>
      <c r="O4742">
        <v>1024</v>
      </c>
      <c r="P4742">
        <v>1018</v>
      </c>
      <c r="Q4742">
        <v>1024</v>
      </c>
      <c r="S4742">
        <v>1236</v>
      </c>
      <c r="T4742">
        <v>1236</v>
      </c>
      <c r="U4742">
        <f>+SUM(Table1[[#This Row],[Latinos]:[Cemex]])</f>
        <v>1</v>
      </c>
      <c r="V4742" t="str">
        <f>+Table1[[#This Row],[id_destino]]&amp;" - "&amp;Table1[[#This Row],[id_origen]]</f>
        <v>117 - 746</v>
      </c>
    </row>
    <row r="4743" spans="1:22" hidden="1">
      <c r="A4743">
        <v>3685</v>
      </c>
      <c r="B4743">
        <v>4163</v>
      </c>
      <c r="C4743">
        <v>7308</v>
      </c>
      <c r="D4743">
        <v>7305</v>
      </c>
      <c r="E4743">
        <v>0</v>
      </c>
      <c r="F4743">
        <v>0</v>
      </c>
      <c r="G4743">
        <v>0</v>
      </c>
      <c r="H4743">
        <v>1</v>
      </c>
      <c r="I4743">
        <v>0</v>
      </c>
      <c r="J4743">
        <v>0</v>
      </c>
      <c r="K4743" t="s">
        <v>20</v>
      </c>
      <c r="L4743" s="1">
        <v>45029</v>
      </c>
      <c r="M4743">
        <v>728</v>
      </c>
      <c r="N4743">
        <v>746</v>
      </c>
      <c r="O4743">
        <v>624</v>
      </c>
      <c r="P4743">
        <v>654</v>
      </c>
      <c r="Q4743">
        <v>624</v>
      </c>
      <c r="S4743">
        <v>621</v>
      </c>
      <c r="T4743">
        <v>621</v>
      </c>
      <c r="U4743">
        <f>+SUM(Table1[[#This Row],[Latinos]:[Cemex]])</f>
        <v>1</v>
      </c>
      <c r="V4743" t="str">
        <f>+Table1[[#This Row],[id_destino]]&amp;" - "&amp;Table1[[#This Row],[id_origen]]</f>
        <v>728 - 746</v>
      </c>
    </row>
    <row r="4744" spans="1:22" hidden="1">
      <c r="A4744">
        <v>948</v>
      </c>
      <c r="B4744">
        <v>2521</v>
      </c>
      <c r="C4744">
        <v>5555</v>
      </c>
      <c r="D4744">
        <v>353</v>
      </c>
      <c r="E4744">
        <v>0</v>
      </c>
      <c r="F4744">
        <v>0</v>
      </c>
      <c r="G4744">
        <v>0</v>
      </c>
      <c r="H4744">
        <v>1</v>
      </c>
      <c r="I4744">
        <v>0</v>
      </c>
      <c r="J4744">
        <v>0</v>
      </c>
      <c r="K4744" t="s">
        <v>20</v>
      </c>
      <c r="L4744" s="1">
        <v>43223</v>
      </c>
      <c r="M4744">
        <v>7</v>
      </c>
      <c r="N4744">
        <v>747</v>
      </c>
      <c r="O4744">
        <v>331</v>
      </c>
      <c r="P4744">
        <v>331</v>
      </c>
      <c r="Q4744">
        <v>331</v>
      </c>
      <c r="S4744">
        <v>898</v>
      </c>
      <c r="T4744">
        <v>1286</v>
      </c>
      <c r="U4744">
        <f>+SUM(Table1[[#This Row],[Latinos]:[Cemex]])</f>
        <v>1</v>
      </c>
      <c r="V4744" t="str">
        <f>+Table1[[#This Row],[id_destino]]&amp;" - "&amp;Table1[[#This Row],[id_origen]]</f>
        <v>7 - 747</v>
      </c>
    </row>
    <row r="4745" spans="1:22" hidden="1">
      <c r="A4745">
        <v>1108</v>
      </c>
      <c r="B4745">
        <v>2586</v>
      </c>
      <c r="C4745">
        <v>5620</v>
      </c>
      <c r="D4745">
        <v>3696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 t="s">
        <v>20</v>
      </c>
      <c r="L4745" s="1">
        <v>43292</v>
      </c>
      <c r="M4745">
        <v>7</v>
      </c>
      <c r="N4745">
        <v>753</v>
      </c>
      <c r="O4745">
        <v>316</v>
      </c>
      <c r="P4745">
        <v>316</v>
      </c>
      <c r="Q4745">
        <v>316</v>
      </c>
      <c r="S4745">
        <v>898</v>
      </c>
      <c r="T4745">
        <v>1286</v>
      </c>
      <c r="U4745">
        <f>+SUM(Table1[[#This Row],[Latinos]:[Cemex]])</f>
        <v>1</v>
      </c>
      <c r="V4745" t="str">
        <f>+Table1[[#This Row],[id_destino]]&amp;" - "&amp;Table1[[#This Row],[id_origen]]</f>
        <v>7 - 753</v>
      </c>
    </row>
    <row r="4746" spans="1:22" hidden="1">
      <c r="A4746">
        <v>1589</v>
      </c>
      <c r="B4746">
        <v>2827</v>
      </c>
      <c r="C4746">
        <v>5781</v>
      </c>
      <c r="D4746">
        <v>469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 t="s">
        <v>20</v>
      </c>
      <c r="L4746" s="1">
        <v>43517</v>
      </c>
      <c r="M4746">
        <v>2</v>
      </c>
      <c r="N4746">
        <v>765</v>
      </c>
      <c r="O4746">
        <v>191</v>
      </c>
      <c r="P4746">
        <v>191</v>
      </c>
      <c r="Q4746">
        <v>191</v>
      </c>
      <c r="S4746">
        <v>618</v>
      </c>
      <c r="T4746">
        <v>618</v>
      </c>
      <c r="U4746">
        <f>+SUM(Table1[[#This Row],[Latinos]:[Cemex]])</f>
        <v>1</v>
      </c>
      <c r="V4746" t="str">
        <f>+Table1[[#This Row],[id_destino]]&amp;" - "&amp;Table1[[#This Row],[id_origen]]</f>
        <v>2 - 765</v>
      </c>
    </row>
    <row r="4747" spans="1:22" hidden="1">
      <c r="A4747">
        <v>2652</v>
      </c>
      <c r="B4747">
        <v>3479</v>
      </c>
      <c r="C4747">
        <v>5781</v>
      </c>
      <c r="D4747">
        <v>34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0</v>
      </c>
      <c r="K4747" t="s">
        <v>20</v>
      </c>
      <c r="L4747" s="1">
        <v>44292</v>
      </c>
      <c r="M4747">
        <v>30</v>
      </c>
      <c r="N4747">
        <v>765</v>
      </c>
      <c r="O4747">
        <v>1256</v>
      </c>
      <c r="P4747">
        <v>1233</v>
      </c>
      <c r="Q4747">
        <v>1256</v>
      </c>
      <c r="S4747">
        <v>4170</v>
      </c>
      <c r="T4747">
        <v>4170</v>
      </c>
      <c r="U4747">
        <f>+SUM(Table1[[#This Row],[Latinos]:[Cemex]])</f>
        <v>1</v>
      </c>
      <c r="V4747" t="str">
        <f>+Table1[[#This Row],[id_destino]]&amp;" - "&amp;Table1[[#This Row],[id_origen]]</f>
        <v>30 - 765</v>
      </c>
    </row>
    <row r="4748" spans="1:22" hidden="1">
      <c r="A4748">
        <v>2416</v>
      </c>
      <c r="B4748">
        <v>3330</v>
      </c>
      <c r="C4748">
        <v>5781</v>
      </c>
      <c r="D4748">
        <v>48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 t="s">
        <v>20</v>
      </c>
      <c r="L4748" s="1">
        <v>44056</v>
      </c>
      <c r="M4748">
        <v>42</v>
      </c>
      <c r="N4748">
        <v>765</v>
      </c>
      <c r="O4748">
        <v>90</v>
      </c>
      <c r="P4748">
        <v>150</v>
      </c>
      <c r="Q4748">
        <v>90</v>
      </c>
      <c r="S4748">
        <v>153</v>
      </c>
      <c r="T4748">
        <v>153</v>
      </c>
      <c r="U4748">
        <f>+SUM(Table1[[#This Row],[Latinos]:[Cemex]])</f>
        <v>1</v>
      </c>
      <c r="V4748" t="str">
        <f>+Table1[[#This Row],[id_destino]]&amp;" - "&amp;Table1[[#This Row],[id_origen]]</f>
        <v>42 - 765</v>
      </c>
    </row>
    <row r="4749" spans="1:22" hidden="1">
      <c r="A4749">
        <v>2329</v>
      </c>
      <c r="B4749">
        <v>3275</v>
      </c>
      <c r="C4749">
        <v>5781</v>
      </c>
      <c r="D4749">
        <v>3237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0</v>
      </c>
      <c r="K4749" t="s">
        <v>20</v>
      </c>
      <c r="L4749" s="1">
        <v>43949</v>
      </c>
      <c r="M4749">
        <v>65</v>
      </c>
      <c r="N4749">
        <v>765</v>
      </c>
      <c r="O4749">
        <v>132</v>
      </c>
      <c r="P4749">
        <v>150</v>
      </c>
      <c r="Q4749">
        <v>132</v>
      </c>
      <c r="S4749">
        <v>295</v>
      </c>
      <c r="T4749">
        <v>295</v>
      </c>
      <c r="U4749">
        <f>+SUM(Table1[[#This Row],[Latinos]:[Cemex]])</f>
        <v>1</v>
      </c>
      <c r="V4749" t="str">
        <f>+Table1[[#This Row],[id_destino]]&amp;" - "&amp;Table1[[#This Row],[id_origen]]</f>
        <v>65 - 765</v>
      </c>
    </row>
    <row r="4750" spans="1:22" hidden="1">
      <c r="A4750">
        <v>1478</v>
      </c>
      <c r="B4750">
        <v>2768</v>
      </c>
      <c r="C4750">
        <v>5781</v>
      </c>
      <c r="D4750">
        <v>47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0</v>
      </c>
      <c r="K4750" t="s">
        <v>20</v>
      </c>
      <c r="L4750" s="1">
        <v>43455</v>
      </c>
      <c r="M4750">
        <v>129</v>
      </c>
      <c r="N4750">
        <v>765</v>
      </c>
      <c r="O4750">
        <v>285</v>
      </c>
      <c r="P4750">
        <v>326</v>
      </c>
      <c r="Q4750">
        <v>285</v>
      </c>
      <c r="S4750">
        <v>626</v>
      </c>
      <c r="T4750">
        <v>626</v>
      </c>
      <c r="U4750">
        <f>+SUM(Table1[[#This Row],[Latinos]:[Cemex]])</f>
        <v>1</v>
      </c>
      <c r="V4750" t="str">
        <f>+Table1[[#This Row],[id_destino]]&amp;" - "&amp;Table1[[#This Row],[id_origen]]</f>
        <v>129 - 765</v>
      </c>
    </row>
    <row r="4751" spans="1:22" hidden="1">
      <c r="A4751">
        <v>1715</v>
      </c>
      <c r="B4751">
        <v>2900</v>
      </c>
      <c r="C4751">
        <v>5781</v>
      </c>
      <c r="D4751">
        <v>3176</v>
      </c>
      <c r="E4751">
        <v>0</v>
      </c>
      <c r="F4751">
        <v>1</v>
      </c>
      <c r="G4751">
        <v>0</v>
      </c>
      <c r="H4751">
        <v>0</v>
      </c>
      <c r="I4751">
        <v>0</v>
      </c>
      <c r="J4751">
        <v>0</v>
      </c>
      <c r="K4751" t="s">
        <v>20</v>
      </c>
      <c r="L4751" s="1">
        <v>43577</v>
      </c>
      <c r="M4751">
        <v>136</v>
      </c>
      <c r="N4751">
        <v>765</v>
      </c>
      <c r="O4751">
        <v>127</v>
      </c>
      <c r="P4751">
        <v>150</v>
      </c>
      <c r="Q4751">
        <v>127</v>
      </c>
      <c r="S4751">
        <v>286</v>
      </c>
      <c r="T4751">
        <v>286</v>
      </c>
      <c r="U4751">
        <f>+SUM(Table1[[#This Row],[Latinos]:[Cemex]])</f>
        <v>1</v>
      </c>
      <c r="V4751" t="str">
        <f>+Table1[[#This Row],[id_destino]]&amp;" - "&amp;Table1[[#This Row],[id_origen]]</f>
        <v>136 - 765</v>
      </c>
    </row>
    <row r="4752" spans="1:22" hidden="1">
      <c r="A4752">
        <v>3004</v>
      </c>
      <c r="B4752">
        <v>3716</v>
      </c>
      <c r="C4752">
        <v>6830</v>
      </c>
      <c r="D4752">
        <v>40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0</v>
      </c>
      <c r="K4752" t="s">
        <v>20</v>
      </c>
      <c r="L4752" s="1">
        <v>44683</v>
      </c>
      <c r="M4752">
        <v>34</v>
      </c>
      <c r="N4752">
        <v>767</v>
      </c>
      <c r="O4752">
        <v>326</v>
      </c>
      <c r="P4752">
        <v>322</v>
      </c>
      <c r="Q4752">
        <v>326</v>
      </c>
      <c r="S4752">
        <v>535</v>
      </c>
      <c r="T4752">
        <v>580</v>
      </c>
      <c r="U4752">
        <f>+SUM(Table1[[#This Row],[Latinos]:[Cemex]])</f>
        <v>1</v>
      </c>
      <c r="V4752" t="str">
        <f>+Table1[[#This Row],[id_destino]]&amp;" - "&amp;Table1[[#This Row],[id_origen]]</f>
        <v>34 - 767</v>
      </c>
    </row>
    <row r="4753" spans="1:22" hidden="1">
      <c r="A4753">
        <v>2942</v>
      </c>
      <c r="B4753">
        <v>3670</v>
      </c>
      <c r="C4753">
        <v>6811</v>
      </c>
      <c r="D4753">
        <v>6821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  <c r="K4753" t="s">
        <v>20</v>
      </c>
      <c r="L4753" s="1">
        <v>44630</v>
      </c>
      <c r="M4753">
        <v>844</v>
      </c>
      <c r="N4753">
        <v>767</v>
      </c>
      <c r="O4753">
        <v>146</v>
      </c>
      <c r="P4753">
        <v>146</v>
      </c>
      <c r="Q4753">
        <v>146</v>
      </c>
      <c r="S4753">
        <v>0</v>
      </c>
      <c r="T4753">
        <v>0</v>
      </c>
      <c r="U4753">
        <f>+SUM(Table1[[#This Row],[Latinos]:[Cemex]])</f>
        <v>1</v>
      </c>
      <c r="V4753" t="str">
        <f>+Table1[[#This Row],[id_destino]]&amp;" - "&amp;Table1[[#This Row],[id_origen]]</f>
        <v>844 - 767</v>
      </c>
    </row>
    <row r="4754" spans="1:22" hidden="1">
      <c r="A4754">
        <v>1805</v>
      </c>
      <c r="B4754">
        <v>2947</v>
      </c>
      <c r="C4754">
        <v>5947</v>
      </c>
      <c r="D4754">
        <v>5378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  <c r="K4754" t="s">
        <v>20</v>
      </c>
      <c r="L4754" s="1">
        <v>43641</v>
      </c>
      <c r="M4754">
        <v>345</v>
      </c>
      <c r="N4754">
        <v>774</v>
      </c>
      <c r="O4754">
        <v>43</v>
      </c>
      <c r="P4754">
        <v>150</v>
      </c>
      <c r="Q4754">
        <v>43</v>
      </c>
      <c r="S4754">
        <v>0</v>
      </c>
      <c r="T4754">
        <v>0</v>
      </c>
      <c r="U4754">
        <f>+SUM(Table1[[#This Row],[Latinos]:[Cemex]])</f>
        <v>1</v>
      </c>
      <c r="V4754" t="str">
        <f>+Table1[[#This Row],[id_destino]]&amp;" - "&amp;Table1[[#This Row],[id_origen]]</f>
        <v>345 - 774</v>
      </c>
    </row>
    <row r="4755" spans="1:22" hidden="1">
      <c r="A4755">
        <v>1804</v>
      </c>
      <c r="B4755">
        <v>2946</v>
      </c>
      <c r="C4755">
        <v>5947</v>
      </c>
      <c r="D4755">
        <v>5946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 t="s">
        <v>20</v>
      </c>
      <c r="L4755" s="1">
        <v>43640</v>
      </c>
      <c r="M4755">
        <v>773</v>
      </c>
      <c r="N4755">
        <v>774</v>
      </c>
      <c r="O4755">
        <v>228</v>
      </c>
      <c r="P4755">
        <v>228</v>
      </c>
      <c r="Q4755">
        <v>228</v>
      </c>
      <c r="S4755">
        <v>108</v>
      </c>
      <c r="T4755">
        <v>108</v>
      </c>
      <c r="U4755">
        <f>+SUM(Table1[[#This Row],[Latinos]:[Cemex]])</f>
        <v>1</v>
      </c>
      <c r="V4755" t="str">
        <f>+Table1[[#This Row],[id_destino]]&amp;" - "&amp;Table1[[#This Row],[id_origen]]</f>
        <v>773 - 774</v>
      </c>
    </row>
    <row r="4756" spans="1:22" hidden="1">
      <c r="A4756">
        <v>1969</v>
      </c>
      <c r="B4756">
        <v>3054</v>
      </c>
      <c r="C4756">
        <v>5956</v>
      </c>
      <c r="D4756">
        <v>469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  <c r="K4756" t="s">
        <v>20</v>
      </c>
      <c r="L4756" s="1">
        <v>43743</v>
      </c>
      <c r="M4756">
        <v>2</v>
      </c>
      <c r="N4756">
        <v>775</v>
      </c>
      <c r="O4756">
        <v>110</v>
      </c>
      <c r="P4756">
        <v>150</v>
      </c>
      <c r="Q4756">
        <v>110</v>
      </c>
      <c r="S4756">
        <v>196</v>
      </c>
      <c r="T4756">
        <v>269</v>
      </c>
      <c r="U4756">
        <f>+SUM(Table1[[#This Row],[Latinos]:[Cemex]])</f>
        <v>1</v>
      </c>
      <c r="V4756" t="str">
        <f>+Table1[[#This Row],[id_destino]]&amp;" - "&amp;Table1[[#This Row],[id_origen]]</f>
        <v>2 - 775</v>
      </c>
    </row>
    <row r="4757" spans="1:22" hidden="1">
      <c r="A4757">
        <v>1899</v>
      </c>
      <c r="B4757">
        <v>3006</v>
      </c>
      <c r="C4757">
        <v>5956</v>
      </c>
      <c r="D4757">
        <v>4625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  <c r="K4757" t="s">
        <v>20</v>
      </c>
      <c r="L4757" s="1">
        <v>43701</v>
      </c>
      <c r="M4757">
        <v>18</v>
      </c>
      <c r="N4757">
        <v>775</v>
      </c>
      <c r="O4757">
        <v>10</v>
      </c>
      <c r="P4757">
        <v>150</v>
      </c>
      <c r="Q4757">
        <v>10</v>
      </c>
      <c r="S4757">
        <v>0</v>
      </c>
      <c r="T4757">
        <v>0</v>
      </c>
      <c r="U4757">
        <f>+SUM(Table1[[#This Row],[Latinos]:[Cemex]])</f>
        <v>1</v>
      </c>
      <c r="V4757" t="str">
        <f>+Table1[[#This Row],[id_destino]]&amp;" - "&amp;Table1[[#This Row],[id_origen]]</f>
        <v>18 - 775</v>
      </c>
    </row>
    <row r="4758" spans="1:22" hidden="1">
      <c r="A4758">
        <v>1865</v>
      </c>
      <c r="B4758">
        <v>2982</v>
      </c>
      <c r="C4758">
        <v>5956</v>
      </c>
      <c r="D4758">
        <v>22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  <c r="K4758" t="s">
        <v>20</v>
      </c>
      <c r="L4758" s="1">
        <v>43672</v>
      </c>
      <c r="M4758">
        <v>19</v>
      </c>
      <c r="N4758">
        <v>775</v>
      </c>
      <c r="O4758">
        <v>35</v>
      </c>
      <c r="P4758">
        <v>150</v>
      </c>
      <c r="Q4758">
        <v>35</v>
      </c>
      <c r="S4758">
        <v>88</v>
      </c>
      <c r="T4758">
        <v>88</v>
      </c>
      <c r="U4758">
        <f>+SUM(Table1[[#This Row],[Latinos]:[Cemex]])</f>
        <v>1</v>
      </c>
      <c r="V4758" t="str">
        <f>+Table1[[#This Row],[id_destino]]&amp;" - "&amp;Table1[[#This Row],[id_origen]]</f>
        <v>19 - 775</v>
      </c>
    </row>
    <row r="4759" spans="1:22" hidden="1">
      <c r="A4759">
        <v>1828</v>
      </c>
      <c r="B4759">
        <v>2960</v>
      </c>
      <c r="C4759">
        <v>5956</v>
      </c>
      <c r="D4759">
        <v>230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  <c r="K4759" t="s">
        <v>20</v>
      </c>
      <c r="L4759" s="1">
        <v>43651</v>
      </c>
      <c r="M4759">
        <v>47</v>
      </c>
      <c r="N4759">
        <v>775</v>
      </c>
      <c r="O4759">
        <v>123</v>
      </c>
      <c r="P4759">
        <v>150</v>
      </c>
      <c r="Q4759">
        <v>123</v>
      </c>
      <c r="S4759">
        <v>443</v>
      </c>
      <c r="T4759">
        <v>568</v>
      </c>
      <c r="U4759">
        <f>+SUM(Table1[[#This Row],[Latinos]:[Cemex]])</f>
        <v>1</v>
      </c>
      <c r="V4759" t="str">
        <f>+Table1[[#This Row],[id_destino]]&amp;" - "&amp;Table1[[#This Row],[id_origen]]</f>
        <v>47 - 775</v>
      </c>
    </row>
    <row r="4760" spans="1:22" hidden="1">
      <c r="A4760">
        <v>1826</v>
      </c>
      <c r="B4760">
        <v>2959</v>
      </c>
      <c r="C4760">
        <v>5956</v>
      </c>
      <c r="D4760">
        <v>846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 t="s">
        <v>20</v>
      </c>
      <c r="L4760" s="1">
        <v>43650</v>
      </c>
      <c r="M4760">
        <v>72</v>
      </c>
      <c r="N4760">
        <v>775</v>
      </c>
      <c r="O4760">
        <v>48</v>
      </c>
      <c r="P4760">
        <v>150</v>
      </c>
      <c r="Q4760">
        <v>48</v>
      </c>
      <c r="S4760">
        <v>156</v>
      </c>
      <c r="T4760">
        <v>229</v>
      </c>
      <c r="U4760">
        <f>+SUM(Table1[[#This Row],[Latinos]:[Cemex]])</f>
        <v>1</v>
      </c>
      <c r="V4760" t="str">
        <f>+Table1[[#This Row],[id_destino]]&amp;" - "&amp;Table1[[#This Row],[id_origen]]</f>
        <v>72 - 775</v>
      </c>
    </row>
    <row r="4761" spans="1:22" hidden="1">
      <c r="A4761">
        <v>1818</v>
      </c>
      <c r="B4761">
        <v>2954</v>
      </c>
      <c r="C4761">
        <v>5956</v>
      </c>
      <c r="D4761">
        <v>2989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  <c r="K4761" t="s">
        <v>20</v>
      </c>
      <c r="L4761" s="1">
        <v>43645</v>
      </c>
      <c r="M4761">
        <v>77</v>
      </c>
      <c r="N4761">
        <v>775</v>
      </c>
      <c r="O4761">
        <v>66</v>
      </c>
      <c r="P4761">
        <v>150</v>
      </c>
      <c r="Q4761">
        <v>66</v>
      </c>
      <c r="S4761">
        <v>150</v>
      </c>
      <c r="T4761">
        <v>150</v>
      </c>
      <c r="U4761">
        <f>+SUM(Table1[[#This Row],[Latinos]:[Cemex]])</f>
        <v>1</v>
      </c>
      <c r="V4761" t="str">
        <f>+Table1[[#This Row],[id_destino]]&amp;" - "&amp;Table1[[#This Row],[id_origen]]</f>
        <v>77 - 775</v>
      </c>
    </row>
    <row r="4762" spans="1:22" hidden="1">
      <c r="A4762">
        <v>2549</v>
      </c>
      <c r="B4762">
        <v>3411</v>
      </c>
      <c r="C4762">
        <v>5956</v>
      </c>
      <c r="D4762">
        <v>6474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0</v>
      </c>
      <c r="K4762" t="s">
        <v>20</v>
      </c>
      <c r="L4762" s="1">
        <v>44172</v>
      </c>
      <c r="M4762">
        <v>105</v>
      </c>
      <c r="N4762">
        <v>775</v>
      </c>
      <c r="O4762">
        <v>30</v>
      </c>
      <c r="P4762">
        <v>150</v>
      </c>
      <c r="Q4762">
        <v>30</v>
      </c>
      <c r="S4762">
        <v>0</v>
      </c>
      <c r="T4762">
        <v>0</v>
      </c>
      <c r="U4762">
        <f>+SUM(Table1[[#This Row],[Latinos]:[Cemex]])</f>
        <v>1</v>
      </c>
      <c r="V4762" t="str">
        <f>+Table1[[#This Row],[id_destino]]&amp;" - "&amp;Table1[[#This Row],[id_origen]]</f>
        <v>105 - 775</v>
      </c>
    </row>
    <row r="4763" spans="1:22" hidden="1">
      <c r="A4763">
        <v>2179</v>
      </c>
      <c r="B4763">
        <v>3187</v>
      </c>
      <c r="C4763">
        <v>5956</v>
      </c>
      <c r="D4763">
        <v>4073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  <c r="K4763" t="s">
        <v>20</v>
      </c>
      <c r="L4763" s="1">
        <v>43843</v>
      </c>
      <c r="M4763">
        <v>227</v>
      </c>
      <c r="N4763">
        <v>775</v>
      </c>
      <c r="O4763">
        <v>105</v>
      </c>
      <c r="P4763">
        <v>150</v>
      </c>
      <c r="Q4763">
        <v>105</v>
      </c>
      <c r="S4763">
        <v>150</v>
      </c>
      <c r="T4763">
        <v>150</v>
      </c>
      <c r="U4763">
        <f>+SUM(Table1[[#This Row],[Latinos]:[Cemex]])</f>
        <v>1</v>
      </c>
      <c r="V4763" t="str">
        <f>+Table1[[#This Row],[id_destino]]&amp;" - "&amp;Table1[[#This Row],[id_origen]]</f>
        <v>227 - 775</v>
      </c>
    </row>
    <row r="4764" spans="1:22" hidden="1">
      <c r="A4764">
        <v>2216</v>
      </c>
      <c r="B4764">
        <v>3205</v>
      </c>
      <c r="C4764">
        <v>5956</v>
      </c>
      <c r="D4764">
        <v>5225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 t="s">
        <v>20</v>
      </c>
      <c r="L4764" s="1">
        <v>43860</v>
      </c>
      <c r="M4764">
        <v>276</v>
      </c>
      <c r="N4764">
        <v>775</v>
      </c>
      <c r="O4764">
        <v>50</v>
      </c>
      <c r="P4764">
        <v>150</v>
      </c>
      <c r="Q4764">
        <v>50</v>
      </c>
      <c r="S4764">
        <v>285</v>
      </c>
      <c r="T4764">
        <v>358</v>
      </c>
      <c r="U4764">
        <f>+SUM(Table1[[#This Row],[Latinos]:[Cemex]])</f>
        <v>1</v>
      </c>
      <c r="V4764" t="str">
        <f>+Table1[[#This Row],[id_destino]]&amp;" - "&amp;Table1[[#This Row],[id_origen]]</f>
        <v>276 - 775</v>
      </c>
    </row>
    <row r="4765" spans="1:22" hidden="1">
      <c r="A4765">
        <v>1933</v>
      </c>
      <c r="B4765">
        <v>3027</v>
      </c>
      <c r="C4765">
        <v>5956</v>
      </c>
      <c r="D4765">
        <v>692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 t="s">
        <v>20</v>
      </c>
      <c r="L4765" s="1">
        <v>43725</v>
      </c>
      <c r="M4765">
        <v>306</v>
      </c>
      <c r="N4765">
        <v>775</v>
      </c>
      <c r="O4765">
        <v>85</v>
      </c>
      <c r="P4765">
        <v>150</v>
      </c>
      <c r="Q4765">
        <v>85</v>
      </c>
      <c r="S4765">
        <v>58</v>
      </c>
      <c r="T4765">
        <v>58</v>
      </c>
      <c r="U4765">
        <f>+SUM(Table1[[#This Row],[Latinos]:[Cemex]])</f>
        <v>1</v>
      </c>
      <c r="V4765" t="str">
        <f>+Table1[[#This Row],[id_destino]]&amp;" - "&amp;Table1[[#This Row],[id_origen]]</f>
        <v>306 - 775</v>
      </c>
    </row>
    <row r="4766" spans="1:22" hidden="1">
      <c r="A4766">
        <v>2155</v>
      </c>
      <c r="B4766">
        <v>3170</v>
      </c>
      <c r="C4766">
        <v>5956</v>
      </c>
      <c r="D4766">
        <v>5680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 t="s">
        <v>20</v>
      </c>
      <c r="L4766" s="1">
        <v>43834</v>
      </c>
      <c r="M4766">
        <v>315</v>
      </c>
      <c r="N4766">
        <v>775</v>
      </c>
      <c r="O4766">
        <v>50</v>
      </c>
      <c r="P4766">
        <v>150</v>
      </c>
      <c r="Q4766">
        <v>50</v>
      </c>
      <c r="S4766">
        <v>0</v>
      </c>
      <c r="T4766">
        <v>0</v>
      </c>
      <c r="U4766">
        <f>+SUM(Table1[[#This Row],[Latinos]:[Cemex]])</f>
        <v>1</v>
      </c>
      <c r="V4766" t="str">
        <f>+Table1[[#This Row],[id_destino]]&amp;" - "&amp;Table1[[#This Row],[id_origen]]</f>
        <v>315 - 775</v>
      </c>
    </row>
    <row r="4767" spans="1:22" hidden="1">
      <c r="A4767">
        <v>1938</v>
      </c>
      <c r="B4767">
        <v>3032</v>
      </c>
      <c r="C4767">
        <v>5956</v>
      </c>
      <c r="D4767">
        <v>6065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0</v>
      </c>
      <c r="K4767" t="s">
        <v>20</v>
      </c>
      <c r="L4767" s="1">
        <v>43728</v>
      </c>
      <c r="M4767">
        <v>318</v>
      </c>
      <c r="N4767">
        <v>775</v>
      </c>
      <c r="O4767">
        <v>15</v>
      </c>
      <c r="P4767">
        <v>150</v>
      </c>
      <c r="Q4767">
        <v>15</v>
      </c>
      <c r="S4767">
        <v>0</v>
      </c>
      <c r="T4767">
        <v>0</v>
      </c>
      <c r="U4767">
        <f>+SUM(Table1[[#This Row],[Latinos]:[Cemex]])</f>
        <v>1</v>
      </c>
      <c r="V4767" t="str">
        <f>+Table1[[#This Row],[id_destino]]&amp;" - "&amp;Table1[[#This Row],[id_origen]]</f>
        <v>318 - 775</v>
      </c>
    </row>
    <row r="4768" spans="1:22" hidden="1">
      <c r="A4768">
        <v>1942</v>
      </c>
      <c r="B4768">
        <v>3031</v>
      </c>
      <c r="C4768">
        <v>5956</v>
      </c>
      <c r="D4768">
        <v>6064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 t="s">
        <v>20</v>
      </c>
      <c r="L4768" s="1">
        <v>43731</v>
      </c>
      <c r="M4768">
        <v>319</v>
      </c>
      <c r="N4768">
        <v>775</v>
      </c>
      <c r="O4768">
        <v>76</v>
      </c>
      <c r="P4768">
        <v>150</v>
      </c>
      <c r="Q4768">
        <v>76</v>
      </c>
      <c r="S4768">
        <v>0</v>
      </c>
      <c r="T4768">
        <v>0</v>
      </c>
      <c r="U4768">
        <f>+SUM(Table1[[#This Row],[Latinos]:[Cemex]])</f>
        <v>1</v>
      </c>
      <c r="V4768" t="str">
        <f>+Table1[[#This Row],[id_destino]]&amp;" - "&amp;Table1[[#This Row],[id_origen]]</f>
        <v>319 - 775</v>
      </c>
    </row>
    <row r="4769" spans="1:22" hidden="1">
      <c r="A4769">
        <v>1978</v>
      </c>
      <c r="B4769">
        <v>3057</v>
      </c>
      <c r="C4769">
        <v>5956</v>
      </c>
      <c r="D4769">
        <v>6085</v>
      </c>
      <c r="E4769">
        <v>0</v>
      </c>
      <c r="F4769">
        <v>0</v>
      </c>
      <c r="G4769">
        <v>0</v>
      </c>
      <c r="H4769">
        <v>1</v>
      </c>
      <c r="I4769">
        <v>0</v>
      </c>
      <c r="J4769">
        <v>0</v>
      </c>
      <c r="K4769" t="s">
        <v>20</v>
      </c>
      <c r="L4769" s="1">
        <v>43747</v>
      </c>
      <c r="M4769">
        <v>345</v>
      </c>
      <c r="N4769">
        <v>775</v>
      </c>
      <c r="O4769">
        <v>73</v>
      </c>
      <c r="P4769">
        <v>150</v>
      </c>
      <c r="Q4769">
        <v>73</v>
      </c>
      <c r="S4769">
        <v>58</v>
      </c>
      <c r="T4769">
        <v>58</v>
      </c>
      <c r="U4769">
        <f>+SUM(Table1[[#This Row],[Latinos]:[Cemex]])</f>
        <v>1</v>
      </c>
      <c r="V4769" t="str">
        <f>+Table1[[#This Row],[id_destino]]&amp;" - "&amp;Table1[[#This Row],[id_origen]]</f>
        <v>345 - 775</v>
      </c>
    </row>
    <row r="4770" spans="1:22" hidden="1">
      <c r="A4770">
        <v>2012</v>
      </c>
      <c r="B4770">
        <v>3075</v>
      </c>
      <c r="C4770">
        <v>5956</v>
      </c>
      <c r="D4770">
        <v>3653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  <c r="K4770" t="s">
        <v>20</v>
      </c>
      <c r="L4770" s="1">
        <v>43768</v>
      </c>
      <c r="M4770">
        <v>473</v>
      </c>
      <c r="N4770">
        <v>775</v>
      </c>
      <c r="O4770">
        <v>40</v>
      </c>
      <c r="P4770">
        <v>150</v>
      </c>
      <c r="Q4770">
        <v>40</v>
      </c>
      <c r="S4770">
        <v>88</v>
      </c>
      <c r="T4770">
        <v>88</v>
      </c>
      <c r="U4770">
        <f>+SUM(Table1[[#This Row],[Latinos]:[Cemex]])</f>
        <v>1</v>
      </c>
      <c r="V4770" t="str">
        <f>+Table1[[#This Row],[id_destino]]&amp;" - "&amp;Table1[[#This Row],[id_origen]]</f>
        <v>473 - 775</v>
      </c>
    </row>
    <row r="4771" spans="1:22" hidden="1">
      <c r="A4771">
        <v>2366</v>
      </c>
      <c r="B4771">
        <v>3301</v>
      </c>
      <c r="C4771">
        <v>5956</v>
      </c>
      <c r="D4771">
        <v>4728</v>
      </c>
      <c r="E4771">
        <v>0</v>
      </c>
      <c r="F4771">
        <v>0</v>
      </c>
      <c r="G4771">
        <v>0</v>
      </c>
      <c r="H4771">
        <v>1</v>
      </c>
      <c r="I4771">
        <v>0</v>
      </c>
      <c r="J4771">
        <v>0</v>
      </c>
      <c r="K4771" t="s">
        <v>20</v>
      </c>
      <c r="L4771" s="1">
        <v>43991</v>
      </c>
      <c r="M4771">
        <v>713</v>
      </c>
      <c r="N4771">
        <v>775</v>
      </c>
      <c r="O4771">
        <v>35</v>
      </c>
      <c r="P4771">
        <v>100</v>
      </c>
      <c r="Q4771">
        <v>35</v>
      </c>
      <c r="S4771">
        <v>0</v>
      </c>
      <c r="T4771">
        <v>0</v>
      </c>
      <c r="U4771">
        <f>+SUM(Table1[[#This Row],[Latinos]:[Cemex]])</f>
        <v>1</v>
      </c>
      <c r="V4771" t="str">
        <f>+Table1[[#This Row],[id_destino]]&amp;" - "&amp;Table1[[#This Row],[id_origen]]</f>
        <v>713 - 775</v>
      </c>
    </row>
    <row r="4772" spans="1:22" hidden="1">
      <c r="A4772">
        <v>2266</v>
      </c>
      <c r="B4772">
        <v>3242</v>
      </c>
      <c r="C4772">
        <v>5956</v>
      </c>
      <c r="D4772">
        <v>6302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  <c r="K4772" t="s">
        <v>20</v>
      </c>
      <c r="L4772" s="1">
        <v>43888</v>
      </c>
      <c r="M4772">
        <v>714</v>
      </c>
      <c r="N4772">
        <v>775</v>
      </c>
      <c r="O4772">
        <v>46</v>
      </c>
      <c r="P4772">
        <v>150</v>
      </c>
      <c r="Q4772">
        <v>46</v>
      </c>
      <c r="S4772">
        <v>0</v>
      </c>
      <c r="T4772">
        <v>0</v>
      </c>
      <c r="U4772">
        <f>+SUM(Table1[[#This Row],[Latinos]:[Cemex]])</f>
        <v>1</v>
      </c>
      <c r="V4772" t="str">
        <f>+Table1[[#This Row],[id_destino]]&amp;" - "&amp;Table1[[#This Row],[id_origen]]</f>
        <v>714 - 775</v>
      </c>
    </row>
    <row r="4773" spans="1:22" hidden="1">
      <c r="A4773">
        <v>2887</v>
      </c>
      <c r="B4773">
        <v>3634</v>
      </c>
      <c r="C4773">
        <v>5956</v>
      </c>
      <c r="D4773">
        <v>5412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 t="s">
        <v>20</v>
      </c>
      <c r="L4773" s="1">
        <v>44588</v>
      </c>
      <c r="M4773">
        <v>729</v>
      </c>
      <c r="N4773">
        <v>775</v>
      </c>
      <c r="O4773">
        <v>64</v>
      </c>
      <c r="P4773">
        <v>150</v>
      </c>
      <c r="Q4773">
        <v>64</v>
      </c>
      <c r="S4773">
        <v>158</v>
      </c>
      <c r="T4773">
        <v>232</v>
      </c>
      <c r="U4773">
        <f>+SUM(Table1[[#This Row],[Latinos]:[Cemex]])</f>
        <v>1</v>
      </c>
      <c r="V4773" t="str">
        <f>+Table1[[#This Row],[id_destino]]&amp;" - "&amp;Table1[[#This Row],[id_origen]]</f>
        <v>729 - 775</v>
      </c>
    </row>
    <row r="4774" spans="1:22" hidden="1">
      <c r="A4774">
        <v>2139</v>
      </c>
      <c r="B4774">
        <v>3159</v>
      </c>
      <c r="C4774">
        <v>6210</v>
      </c>
      <c r="D4774">
        <v>469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  <c r="K4774" t="s">
        <v>20</v>
      </c>
      <c r="L4774" s="1">
        <v>43829</v>
      </c>
      <c r="M4774">
        <v>2</v>
      </c>
      <c r="N4774">
        <v>795</v>
      </c>
      <c r="O4774">
        <v>706</v>
      </c>
      <c r="P4774">
        <v>706</v>
      </c>
      <c r="Q4774">
        <v>706</v>
      </c>
      <c r="S4774">
        <v>1436</v>
      </c>
      <c r="T4774">
        <v>1436</v>
      </c>
      <c r="U4774">
        <f>+SUM(Table1[[#This Row],[Latinos]:[Cemex]])</f>
        <v>1</v>
      </c>
      <c r="V4774" t="str">
        <f>+Table1[[#This Row],[id_destino]]&amp;" - "&amp;Table1[[#This Row],[id_origen]]</f>
        <v>2 - 795</v>
      </c>
    </row>
    <row r="4775" spans="1:22" hidden="1">
      <c r="A4775">
        <v>2237</v>
      </c>
      <c r="B4775">
        <v>3222</v>
      </c>
      <c r="C4775">
        <v>6255</v>
      </c>
      <c r="D4775">
        <v>1486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 t="s">
        <v>20</v>
      </c>
      <c r="L4775" s="1">
        <v>43872</v>
      </c>
      <c r="M4775">
        <v>346</v>
      </c>
      <c r="N4775">
        <v>795</v>
      </c>
      <c r="O4775">
        <v>451</v>
      </c>
      <c r="P4775">
        <v>451</v>
      </c>
      <c r="Q4775">
        <v>451</v>
      </c>
      <c r="S4775">
        <v>204</v>
      </c>
      <c r="T4775">
        <v>204</v>
      </c>
      <c r="U4775">
        <f>+SUM(Table1[[#This Row],[Latinos]:[Cemex]])</f>
        <v>1</v>
      </c>
      <c r="V4775" t="str">
        <f>+Table1[[#This Row],[id_destino]]&amp;" - "&amp;Table1[[#This Row],[id_origen]]</f>
        <v>346 - 795</v>
      </c>
    </row>
    <row r="4776" spans="1:22" hidden="1">
      <c r="A4776">
        <v>2184</v>
      </c>
      <c r="B4776">
        <v>3190</v>
      </c>
      <c r="C4776">
        <v>6242</v>
      </c>
      <c r="D4776">
        <v>4752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  <c r="K4776" t="s">
        <v>20</v>
      </c>
      <c r="L4776" s="1">
        <v>43846</v>
      </c>
      <c r="M4776">
        <v>2</v>
      </c>
      <c r="N4776">
        <v>808</v>
      </c>
      <c r="O4776">
        <v>183</v>
      </c>
      <c r="P4776">
        <v>183</v>
      </c>
      <c r="Q4776">
        <v>183</v>
      </c>
      <c r="S4776">
        <v>384</v>
      </c>
      <c r="T4776">
        <v>445</v>
      </c>
      <c r="U4776">
        <f>+SUM(Table1[[#This Row],[Latinos]:[Cemex]])</f>
        <v>1</v>
      </c>
      <c r="V4776" t="str">
        <f>+Table1[[#This Row],[id_destino]]&amp;" - "&amp;Table1[[#This Row],[id_origen]]</f>
        <v>2 - 808</v>
      </c>
    </row>
    <row r="4777" spans="1:22" hidden="1">
      <c r="A4777">
        <v>3688</v>
      </c>
      <c r="B4777">
        <v>4165</v>
      </c>
      <c r="C4777">
        <v>6297</v>
      </c>
      <c r="D4777">
        <v>353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 t="s">
        <v>20</v>
      </c>
      <c r="L4777" s="1">
        <v>45030</v>
      </c>
      <c r="M4777">
        <v>7</v>
      </c>
      <c r="N4777">
        <v>810</v>
      </c>
      <c r="O4777">
        <v>1444</v>
      </c>
      <c r="P4777">
        <v>1478</v>
      </c>
      <c r="Q4777">
        <v>1444</v>
      </c>
      <c r="S4777">
        <v>1191</v>
      </c>
      <c r="T4777">
        <v>1191</v>
      </c>
      <c r="U4777">
        <f>+SUM(Table1[[#This Row],[Latinos]:[Cemex]])</f>
        <v>1</v>
      </c>
      <c r="V4777" t="str">
        <f>+Table1[[#This Row],[id_destino]]&amp;" - "&amp;Table1[[#This Row],[id_origen]]</f>
        <v>7 - 810</v>
      </c>
    </row>
    <row r="4778" spans="1:22" hidden="1">
      <c r="A4778">
        <v>2264</v>
      </c>
      <c r="B4778">
        <v>3240</v>
      </c>
      <c r="C4778">
        <v>6297</v>
      </c>
      <c r="D4778">
        <v>6298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 t="s">
        <v>20</v>
      </c>
      <c r="L4778" s="1">
        <v>43886</v>
      </c>
      <c r="M4778">
        <v>536</v>
      </c>
      <c r="N4778">
        <v>810</v>
      </c>
      <c r="O4778">
        <v>1453</v>
      </c>
      <c r="P4778">
        <v>1442</v>
      </c>
      <c r="Q4778">
        <v>1453</v>
      </c>
      <c r="S4778">
        <v>983</v>
      </c>
      <c r="T4778">
        <v>983</v>
      </c>
      <c r="U4778">
        <f>+SUM(Table1[[#This Row],[Latinos]:[Cemex]])</f>
        <v>1</v>
      </c>
      <c r="V4778" t="str">
        <f>+Table1[[#This Row],[id_destino]]&amp;" - "&amp;Table1[[#This Row],[id_origen]]</f>
        <v>536 - 810</v>
      </c>
    </row>
    <row r="4779" spans="1:22" hidden="1">
      <c r="A4779">
        <v>3036</v>
      </c>
      <c r="B4779">
        <v>3735</v>
      </c>
      <c r="C4779">
        <v>6826</v>
      </c>
      <c r="D4779">
        <v>33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0</v>
      </c>
      <c r="K4779" t="s">
        <v>20</v>
      </c>
      <c r="L4779" s="1">
        <v>44702</v>
      </c>
      <c r="M4779">
        <v>260</v>
      </c>
      <c r="N4779">
        <v>821</v>
      </c>
      <c r="O4779">
        <v>907</v>
      </c>
      <c r="P4779">
        <v>903</v>
      </c>
      <c r="Q4779">
        <v>907</v>
      </c>
      <c r="S4779">
        <v>2132</v>
      </c>
      <c r="T4779">
        <v>2206</v>
      </c>
      <c r="U4779">
        <f>+SUM(Table1[[#This Row],[Latinos]:[Cemex]])</f>
        <v>1</v>
      </c>
      <c r="V4779" t="str">
        <f>+Table1[[#This Row],[id_destino]]&amp;" - "&amp;Table1[[#This Row],[id_origen]]</f>
        <v>260 - 821</v>
      </c>
    </row>
    <row r="4780" spans="1:22" hidden="1">
      <c r="A4780">
        <v>4609</v>
      </c>
      <c r="B4780">
        <v>4791</v>
      </c>
      <c r="C4780">
        <v>8006</v>
      </c>
      <c r="D4780">
        <v>7011</v>
      </c>
      <c r="E4780">
        <v>0</v>
      </c>
      <c r="F4780">
        <v>1</v>
      </c>
      <c r="G4780">
        <v>0</v>
      </c>
      <c r="H4780">
        <v>0</v>
      </c>
      <c r="I4780">
        <v>0</v>
      </c>
      <c r="J4780">
        <v>0</v>
      </c>
      <c r="K4780" t="s">
        <v>20</v>
      </c>
      <c r="L4780" s="1">
        <v>45670</v>
      </c>
      <c r="M4780">
        <v>591</v>
      </c>
      <c r="N4780">
        <v>821</v>
      </c>
      <c r="O4780">
        <v>510</v>
      </c>
      <c r="P4780">
        <v>506</v>
      </c>
      <c r="Q4780">
        <v>510</v>
      </c>
      <c r="S4780">
        <v>2112</v>
      </c>
      <c r="T4780">
        <v>2112</v>
      </c>
      <c r="U4780">
        <f>+SUM(Table1[[#This Row],[Latinos]:[Cemex]])</f>
        <v>1</v>
      </c>
      <c r="V4780" t="str">
        <f>+Table1[[#This Row],[id_destino]]&amp;" - "&amp;Table1[[#This Row],[id_origen]]</f>
        <v>591 - 821</v>
      </c>
    </row>
    <row r="4781" spans="1:22" hidden="1">
      <c r="A4781">
        <v>3039</v>
      </c>
      <c r="B4781">
        <v>3738</v>
      </c>
      <c r="C4781">
        <v>6826</v>
      </c>
      <c r="D4781">
        <v>6900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0</v>
      </c>
      <c r="K4781" t="s">
        <v>20</v>
      </c>
      <c r="L4781" s="1">
        <v>44702</v>
      </c>
      <c r="M4781">
        <v>814</v>
      </c>
      <c r="N4781">
        <v>821</v>
      </c>
      <c r="O4781">
        <v>1363</v>
      </c>
      <c r="P4781">
        <v>1124</v>
      </c>
      <c r="Q4781">
        <v>1363</v>
      </c>
      <c r="S4781">
        <v>4104</v>
      </c>
      <c r="T4781">
        <v>4216</v>
      </c>
      <c r="U4781">
        <f>+SUM(Table1[[#This Row],[Latinos]:[Cemex]])</f>
        <v>1</v>
      </c>
      <c r="V4781" t="str">
        <f>+Table1[[#This Row],[id_destino]]&amp;" - "&amp;Table1[[#This Row],[id_origen]]</f>
        <v>814 - 821</v>
      </c>
    </row>
    <row r="4782" spans="1:22" hidden="1">
      <c r="A4782">
        <v>2600</v>
      </c>
      <c r="B4782">
        <v>3444</v>
      </c>
      <c r="C4782">
        <v>6516</v>
      </c>
      <c r="D4782">
        <v>5116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  <c r="K4782" t="s">
        <v>20</v>
      </c>
      <c r="L4782" s="1">
        <v>44232</v>
      </c>
      <c r="M4782">
        <v>52</v>
      </c>
      <c r="N4782">
        <v>825</v>
      </c>
      <c r="O4782">
        <v>838</v>
      </c>
      <c r="P4782">
        <v>838</v>
      </c>
      <c r="Q4782">
        <v>838</v>
      </c>
      <c r="S4782">
        <v>0</v>
      </c>
      <c r="T4782">
        <v>0</v>
      </c>
      <c r="U4782">
        <f>+SUM(Table1[[#This Row],[Latinos]:[Cemex]])</f>
        <v>1</v>
      </c>
      <c r="V4782" t="str">
        <f>+Table1[[#This Row],[id_destino]]&amp;" - "&amp;Table1[[#This Row],[id_origen]]</f>
        <v>52 - 825</v>
      </c>
    </row>
    <row r="4783" spans="1:22" hidden="1">
      <c r="A4783">
        <v>2730</v>
      </c>
      <c r="B4783">
        <v>3530</v>
      </c>
      <c r="C4783">
        <v>6516</v>
      </c>
      <c r="D4783">
        <v>6621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  <c r="K4783" t="s">
        <v>20</v>
      </c>
      <c r="L4783" s="1">
        <v>44389</v>
      </c>
      <c r="M4783">
        <v>179</v>
      </c>
      <c r="N4783">
        <v>825</v>
      </c>
      <c r="O4783">
        <v>891</v>
      </c>
      <c r="P4783">
        <v>891</v>
      </c>
      <c r="Q4783">
        <v>891</v>
      </c>
      <c r="S4783">
        <v>0</v>
      </c>
      <c r="T4783">
        <v>0</v>
      </c>
      <c r="U4783">
        <f>+SUM(Table1[[#This Row],[Latinos]:[Cemex]])</f>
        <v>1</v>
      </c>
      <c r="V4783" t="str">
        <f>+Table1[[#This Row],[id_destino]]&amp;" - "&amp;Table1[[#This Row],[id_origen]]</f>
        <v>179 - 825</v>
      </c>
    </row>
    <row r="4784" spans="1:22" hidden="1">
      <c r="A4784">
        <v>3381</v>
      </c>
      <c r="B4784">
        <v>3949</v>
      </c>
      <c r="C4784">
        <v>6516</v>
      </c>
      <c r="D4784">
        <v>6112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  <c r="K4784" t="s">
        <v>20</v>
      </c>
      <c r="L4784" s="1">
        <v>44865</v>
      </c>
      <c r="M4784">
        <v>790</v>
      </c>
      <c r="N4784">
        <v>825</v>
      </c>
      <c r="O4784">
        <v>1695</v>
      </c>
      <c r="P4784">
        <v>1713</v>
      </c>
      <c r="Q4784">
        <v>1695</v>
      </c>
      <c r="S4784">
        <v>3553</v>
      </c>
      <c r="T4784">
        <v>4061</v>
      </c>
      <c r="U4784">
        <f>+SUM(Table1[[#This Row],[Latinos]:[Cemex]])</f>
        <v>1</v>
      </c>
      <c r="V4784" t="str">
        <f>+Table1[[#This Row],[id_destino]]&amp;" - "&amp;Table1[[#This Row],[id_origen]]</f>
        <v>790 - 825</v>
      </c>
    </row>
    <row r="4785" spans="1:22" hidden="1">
      <c r="A4785">
        <v>3412</v>
      </c>
      <c r="B4785">
        <v>3970</v>
      </c>
      <c r="C4785">
        <v>6516</v>
      </c>
      <c r="D4785">
        <v>7109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 t="s">
        <v>20</v>
      </c>
      <c r="L4785" s="1">
        <v>44879</v>
      </c>
      <c r="M4785">
        <v>862</v>
      </c>
      <c r="N4785">
        <v>825</v>
      </c>
      <c r="O4785">
        <v>1682</v>
      </c>
      <c r="P4785">
        <v>1647</v>
      </c>
      <c r="Q4785">
        <v>1682</v>
      </c>
      <c r="S4785">
        <v>2105</v>
      </c>
      <c r="T4785">
        <v>2613</v>
      </c>
      <c r="U4785">
        <f>+SUM(Table1[[#This Row],[Latinos]:[Cemex]])</f>
        <v>1</v>
      </c>
      <c r="V4785" t="str">
        <f>+Table1[[#This Row],[id_destino]]&amp;" - "&amp;Table1[[#This Row],[id_origen]]</f>
        <v>862 - 825</v>
      </c>
    </row>
    <row r="4786" spans="1:22" hidden="1">
      <c r="A4786">
        <v>2633</v>
      </c>
      <c r="B4786">
        <v>3466</v>
      </c>
      <c r="C4786">
        <v>6527</v>
      </c>
      <c r="D4786">
        <v>4607</v>
      </c>
      <c r="E4786">
        <v>0</v>
      </c>
      <c r="F4786">
        <v>1</v>
      </c>
      <c r="G4786">
        <v>0</v>
      </c>
      <c r="H4786">
        <v>0</v>
      </c>
      <c r="I4786">
        <v>0</v>
      </c>
      <c r="J4786">
        <v>0</v>
      </c>
      <c r="K4786" t="s">
        <v>20</v>
      </c>
      <c r="L4786" s="1">
        <v>44264</v>
      </c>
      <c r="M4786">
        <v>117</v>
      </c>
      <c r="N4786">
        <v>826</v>
      </c>
      <c r="O4786">
        <v>56</v>
      </c>
      <c r="P4786">
        <v>150</v>
      </c>
      <c r="Q4786">
        <v>56</v>
      </c>
      <c r="S4786">
        <v>132</v>
      </c>
      <c r="T4786">
        <v>132</v>
      </c>
      <c r="U4786">
        <f>+SUM(Table1[[#This Row],[Latinos]:[Cemex]])</f>
        <v>1</v>
      </c>
      <c r="V4786" t="str">
        <f>+Table1[[#This Row],[id_destino]]&amp;" - "&amp;Table1[[#This Row],[id_origen]]</f>
        <v>117 - 826</v>
      </c>
    </row>
    <row r="4787" spans="1:22" hidden="1">
      <c r="A4787">
        <v>2920</v>
      </c>
      <c r="B4787">
        <v>3655</v>
      </c>
      <c r="C4787">
        <v>6795</v>
      </c>
      <c r="D4787">
        <v>6794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0</v>
      </c>
      <c r="K4787" t="s">
        <v>20</v>
      </c>
      <c r="L4787" s="1">
        <v>44748</v>
      </c>
      <c r="M4787">
        <v>432</v>
      </c>
      <c r="N4787">
        <v>841</v>
      </c>
      <c r="O4787">
        <v>654</v>
      </c>
      <c r="P4787">
        <v>665</v>
      </c>
      <c r="Q4787">
        <v>654</v>
      </c>
      <c r="S4787">
        <v>1409</v>
      </c>
      <c r="T4787">
        <v>1409</v>
      </c>
      <c r="U4787">
        <f>+SUM(Table1[[#This Row],[Latinos]:[Cemex]])</f>
        <v>1</v>
      </c>
      <c r="V4787" t="str">
        <f>+Table1[[#This Row],[id_destino]]&amp;" - "&amp;Table1[[#This Row],[id_origen]]</f>
        <v>432 - 841</v>
      </c>
    </row>
    <row r="4788" spans="1:22" hidden="1">
      <c r="A4788">
        <v>4406</v>
      </c>
      <c r="B4788">
        <v>4632</v>
      </c>
      <c r="C4788">
        <v>6810</v>
      </c>
      <c r="D4788">
        <v>4014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 t="s">
        <v>20</v>
      </c>
      <c r="L4788" s="1">
        <v>45525</v>
      </c>
      <c r="M4788">
        <v>7</v>
      </c>
      <c r="N4788">
        <v>843</v>
      </c>
      <c r="O4788">
        <v>2856</v>
      </c>
      <c r="P4788">
        <v>2774</v>
      </c>
      <c r="Q4788">
        <v>2856</v>
      </c>
      <c r="S4788">
        <v>5727</v>
      </c>
      <c r="T4788">
        <v>6317</v>
      </c>
      <c r="U4788">
        <f>+SUM(Table1[[#This Row],[Latinos]:[Cemex]])</f>
        <v>1</v>
      </c>
      <c r="V4788" t="str">
        <f>+Table1[[#This Row],[id_destino]]&amp;" - "&amp;Table1[[#This Row],[id_origen]]</f>
        <v>7 - 843</v>
      </c>
    </row>
    <row r="4789" spans="1:22" hidden="1">
      <c r="A4789">
        <v>4272</v>
      </c>
      <c r="B4789">
        <v>4536</v>
      </c>
      <c r="C4789">
        <v>6810</v>
      </c>
      <c r="D4789">
        <v>5282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 t="s">
        <v>20</v>
      </c>
      <c r="L4789" s="1">
        <v>45415</v>
      </c>
      <c r="M4789">
        <v>11</v>
      </c>
      <c r="N4789">
        <v>843</v>
      </c>
      <c r="O4789">
        <v>953</v>
      </c>
      <c r="P4789">
        <v>963</v>
      </c>
      <c r="Q4789">
        <v>963</v>
      </c>
      <c r="S4789">
        <v>1241</v>
      </c>
      <c r="T4789">
        <v>1241</v>
      </c>
      <c r="U4789">
        <f>+SUM(Table1[[#This Row],[Latinos]:[Cemex]])</f>
        <v>1</v>
      </c>
      <c r="V4789" t="str">
        <f>+Table1[[#This Row],[id_destino]]&amp;" - "&amp;Table1[[#This Row],[id_origen]]</f>
        <v>11 - 843</v>
      </c>
    </row>
    <row r="4790" spans="1:22" hidden="1">
      <c r="A4790">
        <v>3759</v>
      </c>
      <c r="B4790">
        <v>4201</v>
      </c>
      <c r="C4790">
        <v>6810</v>
      </c>
      <c r="D4790">
        <v>6778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0</v>
      </c>
      <c r="K4790" t="s">
        <v>20</v>
      </c>
      <c r="L4790" s="1">
        <v>45075</v>
      </c>
      <c r="M4790">
        <v>15</v>
      </c>
      <c r="N4790">
        <v>843</v>
      </c>
      <c r="O4790">
        <v>1410</v>
      </c>
      <c r="P4790">
        <v>1473</v>
      </c>
      <c r="Q4790">
        <v>1410</v>
      </c>
      <c r="S4790">
        <v>3808.99</v>
      </c>
      <c r="T4790">
        <v>4340</v>
      </c>
      <c r="U4790">
        <f>+SUM(Table1[[#This Row],[Latinos]:[Cemex]])</f>
        <v>1</v>
      </c>
      <c r="V4790" t="str">
        <f>+Table1[[#This Row],[id_destino]]&amp;" - "&amp;Table1[[#This Row],[id_origen]]</f>
        <v>15 - 843</v>
      </c>
    </row>
    <row r="4791" spans="1:22" hidden="1">
      <c r="A4791">
        <v>3846</v>
      </c>
      <c r="B4791">
        <v>4256</v>
      </c>
      <c r="C4791">
        <v>6810</v>
      </c>
      <c r="D4791">
        <v>3348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0</v>
      </c>
      <c r="K4791" t="s">
        <v>20</v>
      </c>
      <c r="L4791" s="1">
        <v>45141</v>
      </c>
      <c r="M4791">
        <v>16</v>
      </c>
      <c r="N4791">
        <v>843</v>
      </c>
      <c r="O4791">
        <v>1043</v>
      </c>
      <c r="P4791">
        <v>1165</v>
      </c>
      <c r="Q4791">
        <v>1043</v>
      </c>
      <c r="S4791">
        <v>2541</v>
      </c>
      <c r="T4791">
        <v>3505</v>
      </c>
      <c r="U4791">
        <f>+SUM(Table1[[#This Row],[Latinos]:[Cemex]])</f>
        <v>1</v>
      </c>
      <c r="V4791" t="str">
        <f>+Table1[[#This Row],[id_destino]]&amp;" - "&amp;Table1[[#This Row],[id_origen]]</f>
        <v>16 - 843</v>
      </c>
    </row>
    <row r="4792" spans="1:22" hidden="1">
      <c r="A4792">
        <v>4216</v>
      </c>
      <c r="B4792">
        <v>4496</v>
      </c>
      <c r="C4792">
        <v>6810</v>
      </c>
      <c r="D4792">
        <v>35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 t="s">
        <v>20</v>
      </c>
      <c r="L4792" s="1">
        <v>45372</v>
      </c>
      <c r="M4792">
        <v>31</v>
      </c>
      <c r="N4792">
        <v>843</v>
      </c>
      <c r="O4792">
        <v>1284</v>
      </c>
      <c r="P4792">
        <v>1254</v>
      </c>
      <c r="Q4792">
        <v>1284</v>
      </c>
      <c r="S4792">
        <v>5253</v>
      </c>
      <c r="T4792">
        <v>5704</v>
      </c>
      <c r="U4792">
        <f>+SUM(Table1[[#This Row],[Latinos]:[Cemex]])</f>
        <v>1</v>
      </c>
      <c r="V4792" t="str">
        <f>+Table1[[#This Row],[id_destino]]&amp;" - "&amp;Table1[[#This Row],[id_origen]]</f>
        <v>31 - 843</v>
      </c>
    </row>
    <row r="4793" spans="1:22" hidden="1">
      <c r="A4793">
        <v>3782</v>
      </c>
      <c r="B4793">
        <v>4218</v>
      </c>
      <c r="C4793">
        <v>6810</v>
      </c>
      <c r="D4793">
        <v>157</v>
      </c>
      <c r="E4793">
        <v>0</v>
      </c>
      <c r="F4793">
        <v>1</v>
      </c>
      <c r="G4793">
        <v>0</v>
      </c>
      <c r="H4793">
        <v>0</v>
      </c>
      <c r="I4793">
        <v>0</v>
      </c>
      <c r="J4793">
        <v>0</v>
      </c>
      <c r="K4793" t="s">
        <v>20</v>
      </c>
      <c r="L4793" s="1">
        <v>45087</v>
      </c>
      <c r="M4793">
        <v>33</v>
      </c>
      <c r="N4793">
        <v>843</v>
      </c>
      <c r="O4793">
        <v>590</v>
      </c>
      <c r="P4793">
        <v>622</v>
      </c>
      <c r="Q4793">
        <v>590</v>
      </c>
      <c r="S4793">
        <v>1575</v>
      </c>
      <c r="T4793">
        <v>1636</v>
      </c>
      <c r="U4793">
        <f>+SUM(Table1[[#This Row],[Latinos]:[Cemex]])</f>
        <v>1</v>
      </c>
      <c r="V4793" t="str">
        <f>+Table1[[#This Row],[id_destino]]&amp;" - "&amp;Table1[[#This Row],[id_origen]]</f>
        <v>33 - 843</v>
      </c>
    </row>
    <row r="4794" spans="1:22" hidden="1">
      <c r="A4794">
        <v>4196</v>
      </c>
      <c r="B4794">
        <v>4482</v>
      </c>
      <c r="C4794">
        <v>6810</v>
      </c>
      <c r="D4794">
        <v>7484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 t="s">
        <v>20</v>
      </c>
      <c r="L4794" s="1">
        <v>45351</v>
      </c>
      <c r="M4794">
        <v>34</v>
      </c>
      <c r="N4794">
        <v>843</v>
      </c>
      <c r="O4794">
        <v>577</v>
      </c>
      <c r="P4794">
        <v>701</v>
      </c>
      <c r="Q4794">
        <v>577</v>
      </c>
      <c r="S4794">
        <v>1369</v>
      </c>
      <c r="T4794">
        <v>2035</v>
      </c>
      <c r="U4794">
        <f>+SUM(Table1[[#This Row],[Latinos]:[Cemex]])</f>
        <v>1</v>
      </c>
      <c r="V4794" t="str">
        <f>+Table1[[#This Row],[id_destino]]&amp;" - "&amp;Table1[[#This Row],[id_origen]]</f>
        <v>34 - 843</v>
      </c>
    </row>
    <row r="4795" spans="1:22" hidden="1">
      <c r="A4795">
        <v>4102</v>
      </c>
      <c r="B4795">
        <v>4420</v>
      </c>
      <c r="C4795">
        <v>6810</v>
      </c>
      <c r="D4795">
        <v>230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0</v>
      </c>
      <c r="K4795" t="s">
        <v>20</v>
      </c>
      <c r="L4795" s="1">
        <v>45293</v>
      </c>
      <c r="M4795">
        <v>47</v>
      </c>
      <c r="N4795">
        <v>843</v>
      </c>
      <c r="O4795">
        <v>1134</v>
      </c>
      <c r="P4795">
        <v>1146</v>
      </c>
      <c r="Q4795">
        <v>1134</v>
      </c>
      <c r="S4795">
        <v>1541</v>
      </c>
      <c r="T4795">
        <v>1655</v>
      </c>
      <c r="U4795">
        <f>+SUM(Table1[[#This Row],[Latinos]:[Cemex]])</f>
        <v>1</v>
      </c>
      <c r="V4795" t="str">
        <f>+Table1[[#This Row],[id_destino]]&amp;" - "&amp;Table1[[#This Row],[id_origen]]</f>
        <v>47 - 843</v>
      </c>
    </row>
    <row r="4796" spans="1:22" hidden="1">
      <c r="A4796">
        <v>3810</v>
      </c>
      <c r="B4796">
        <v>4233</v>
      </c>
      <c r="C4796">
        <v>6810</v>
      </c>
      <c r="D4796">
        <v>3282</v>
      </c>
      <c r="E4796">
        <v>0</v>
      </c>
      <c r="F4796">
        <v>1</v>
      </c>
      <c r="G4796">
        <v>0</v>
      </c>
      <c r="H4796">
        <v>0</v>
      </c>
      <c r="I4796">
        <v>0</v>
      </c>
      <c r="J4796">
        <v>0</v>
      </c>
      <c r="K4796" t="s">
        <v>20</v>
      </c>
      <c r="L4796" s="1">
        <v>45105</v>
      </c>
      <c r="M4796">
        <v>52</v>
      </c>
      <c r="N4796">
        <v>843</v>
      </c>
      <c r="O4796">
        <v>267</v>
      </c>
      <c r="P4796">
        <v>227</v>
      </c>
      <c r="Q4796">
        <v>267</v>
      </c>
      <c r="S4796">
        <v>440</v>
      </c>
      <c r="T4796">
        <v>440</v>
      </c>
      <c r="U4796">
        <f>+SUM(Table1[[#This Row],[Latinos]:[Cemex]])</f>
        <v>1</v>
      </c>
      <c r="V4796" t="str">
        <f>+Table1[[#This Row],[id_destino]]&amp;" - "&amp;Table1[[#This Row],[id_origen]]</f>
        <v>52 - 843</v>
      </c>
    </row>
    <row r="4797" spans="1:22" hidden="1">
      <c r="A4797">
        <v>3783</v>
      </c>
      <c r="B4797">
        <v>4219</v>
      </c>
      <c r="C4797">
        <v>6810</v>
      </c>
      <c r="D4797">
        <v>3458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0</v>
      </c>
      <c r="K4797" t="s">
        <v>20</v>
      </c>
      <c r="L4797" s="1">
        <v>45087</v>
      </c>
      <c r="M4797">
        <v>53</v>
      </c>
      <c r="N4797">
        <v>843</v>
      </c>
      <c r="O4797">
        <v>50</v>
      </c>
      <c r="P4797">
        <v>150</v>
      </c>
      <c r="Q4797">
        <v>50</v>
      </c>
      <c r="S4797">
        <v>0</v>
      </c>
      <c r="T4797">
        <v>0</v>
      </c>
      <c r="U4797">
        <f>+SUM(Table1[[#This Row],[Latinos]:[Cemex]])</f>
        <v>1</v>
      </c>
      <c r="V4797" t="str">
        <f>+Table1[[#This Row],[id_destino]]&amp;" - "&amp;Table1[[#This Row],[id_origen]]</f>
        <v>53 - 843</v>
      </c>
    </row>
    <row r="4798" spans="1:22" hidden="1">
      <c r="A4798">
        <v>2932</v>
      </c>
      <c r="B4798">
        <v>3664</v>
      </c>
      <c r="C4798">
        <v>6810</v>
      </c>
      <c r="D4798">
        <v>70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0</v>
      </c>
      <c r="K4798" t="s">
        <v>20</v>
      </c>
      <c r="L4798" s="1">
        <v>44625</v>
      </c>
      <c r="M4798">
        <v>60</v>
      </c>
      <c r="N4798">
        <v>843</v>
      </c>
      <c r="O4798">
        <v>2433</v>
      </c>
      <c r="P4798">
        <v>2540</v>
      </c>
      <c r="Q4798">
        <v>2433</v>
      </c>
      <c r="S4798">
        <v>5008</v>
      </c>
      <c r="T4798">
        <v>5478</v>
      </c>
      <c r="U4798">
        <f>+SUM(Table1[[#This Row],[Latinos]:[Cemex]])</f>
        <v>1</v>
      </c>
      <c r="V4798" t="str">
        <f>+Table1[[#This Row],[id_destino]]&amp;" - "&amp;Table1[[#This Row],[id_origen]]</f>
        <v>60 - 843</v>
      </c>
    </row>
    <row r="4799" spans="1:22" hidden="1">
      <c r="A4799">
        <v>3720</v>
      </c>
      <c r="B4799">
        <v>4184</v>
      </c>
      <c r="C4799">
        <v>6810</v>
      </c>
      <c r="D4799">
        <v>71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0</v>
      </c>
      <c r="K4799" t="s">
        <v>20</v>
      </c>
      <c r="L4799" s="1">
        <v>45108</v>
      </c>
      <c r="M4799">
        <v>61</v>
      </c>
      <c r="N4799">
        <v>843</v>
      </c>
      <c r="O4799">
        <v>2322</v>
      </c>
      <c r="P4799">
        <v>2374</v>
      </c>
      <c r="Q4799">
        <v>2322</v>
      </c>
      <c r="S4799">
        <v>4233</v>
      </c>
      <c r="T4799">
        <v>4703</v>
      </c>
      <c r="U4799">
        <f>+SUM(Table1[[#This Row],[Latinos]:[Cemex]])</f>
        <v>1</v>
      </c>
      <c r="V4799" t="str">
        <f>+Table1[[#This Row],[id_destino]]&amp;" - "&amp;Table1[[#This Row],[id_origen]]</f>
        <v>61 - 843</v>
      </c>
    </row>
    <row r="4800" spans="1:22" hidden="1">
      <c r="A4800">
        <v>4710</v>
      </c>
      <c r="B4800">
        <v>4861</v>
      </c>
      <c r="C4800">
        <v>6810</v>
      </c>
      <c r="D4800">
        <v>206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 t="s">
        <v>20</v>
      </c>
      <c r="L4800" s="1">
        <v>45748</v>
      </c>
      <c r="M4800">
        <v>69</v>
      </c>
      <c r="N4800">
        <v>843</v>
      </c>
      <c r="O4800">
        <v>1096</v>
      </c>
      <c r="P4800">
        <v>1096</v>
      </c>
      <c r="Q4800">
        <v>1096</v>
      </c>
      <c r="S4800">
        <v>2216</v>
      </c>
      <c r="T4800">
        <v>2216</v>
      </c>
      <c r="U4800">
        <f>+SUM(Table1[[#This Row],[Latinos]:[Cemex]])</f>
        <v>1</v>
      </c>
      <c r="V4800" t="str">
        <f>+Table1[[#This Row],[id_destino]]&amp;" - "&amp;Table1[[#This Row],[id_origen]]</f>
        <v>69 - 843</v>
      </c>
    </row>
    <row r="4801" spans="1:22" hidden="1">
      <c r="A4801">
        <v>4225</v>
      </c>
      <c r="B4801">
        <v>4505</v>
      </c>
      <c r="C4801">
        <v>6810</v>
      </c>
      <c r="D4801">
        <v>4197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0</v>
      </c>
      <c r="K4801" t="s">
        <v>20</v>
      </c>
      <c r="L4801" s="1">
        <v>45386</v>
      </c>
      <c r="M4801">
        <v>71</v>
      </c>
      <c r="N4801">
        <v>843</v>
      </c>
      <c r="O4801">
        <v>1089</v>
      </c>
      <c r="P4801">
        <v>1053</v>
      </c>
      <c r="Q4801">
        <v>1089</v>
      </c>
      <c r="S4801">
        <v>2250</v>
      </c>
      <c r="T4801">
        <v>2250</v>
      </c>
      <c r="U4801">
        <f>+SUM(Table1[[#This Row],[Latinos]:[Cemex]])</f>
        <v>1</v>
      </c>
      <c r="V4801" t="str">
        <f>+Table1[[#This Row],[id_destino]]&amp;" - "&amp;Table1[[#This Row],[id_origen]]</f>
        <v>71 - 843</v>
      </c>
    </row>
    <row r="4802" spans="1:22" hidden="1">
      <c r="A4802">
        <v>3336</v>
      </c>
      <c r="B4802">
        <v>3916</v>
      </c>
      <c r="C4802">
        <v>7056</v>
      </c>
      <c r="D4802">
        <v>6913</v>
      </c>
      <c r="E4802">
        <v>0</v>
      </c>
      <c r="F4802">
        <v>0</v>
      </c>
      <c r="G4802">
        <v>0</v>
      </c>
      <c r="H4802">
        <v>1</v>
      </c>
      <c r="I4802">
        <v>0</v>
      </c>
      <c r="J4802">
        <v>0</v>
      </c>
      <c r="K4802" t="s">
        <v>20</v>
      </c>
      <c r="L4802" s="1">
        <v>44835</v>
      </c>
      <c r="M4802">
        <v>84</v>
      </c>
      <c r="N4802">
        <v>843</v>
      </c>
      <c r="O4802">
        <v>179</v>
      </c>
      <c r="P4802">
        <v>216</v>
      </c>
      <c r="Q4802">
        <v>179</v>
      </c>
      <c r="S4802">
        <v>393</v>
      </c>
      <c r="T4802">
        <v>393</v>
      </c>
      <c r="U4802">
        <f>+SUM(Table1[[#This Row],[Latinos]:[Cemex]])</f>
        <v>1</v>
      </c>
      <c r="V4802" t="str">
        <f>+Table1[[#This Row],[id_destino]]&amp;" - "&amp;Table1[[#This Row],[id_origen]]</f>
        <v>84 - 843</v>
      </c>
    </row>
    <row r="4803" spans="1:22" hidden="1">
      <c r="A4803">
        <v>3733</v>
      </c>
      <c r="B4803">
        <v>4190</v>
      </c>
      <c r="C4803">
        <v>6810</v>
      </c>
      <c r="D4803">
        <v>1584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  <c r="K4803" t="s">
        <v>20</v>
      </c>
      <c r="L4803" s="1">
        <v>45061</v>
      </c>
      <c r="M4803">
        <v>118</v>
      </c>
      <c r="N4803">
        <v>843</v>
      </c>
      <c r="O4803">
        <v>2500</v>
      </c>
      <c r="P4803">
        <v>2555</v>
      </c>
      <c r="Q4803">
        <v>2500</v>
      </c>
      <c r="S4803">
        <v>4020</v>
      </c>
      <c r="T4803">
        <v>4481</v>
      </c>
      <c r="U4803">
        <f>+SUM(Table1[[#This Row],[Latinos]:[Cemex]])</f>
        <v>1</v>
      </c>
      <c r="V4803" t="str">
        <f>+Table1[[#This Row],[id_destino]]&amp;" - "&amp;Table1[[#This Row],[id_origen]]</f>
        <v>118 - 843</v>
      </c>
    </row>
    <row r="4804" spans="1:22" hidden="1">
      <c r="A4804">
        <v>4688</v>
      </c>
      <c r="B4804">
        <v>4847</v>
      </c>
      <c r="C4804">
        <v>6810</v>
      </c>
      <c r="D4804">
        <v>3430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0</v>
      </c>
      <c r="K4804" t="s">
        <v>20</v>
      </c>
      <c r="L4804" s="1">
        <v>45729</v>
      </c>
      <c r="M4804">
        <v>180</v>
      </c>
      <c r="N4804">
        <v>843</v>
      </c>
      <c r="O4804">
        <v>482</v>
      </c>
      <c r="P4804">
        <v>450</v>
      </c>
      <c r="Q4804">
        <v>482</v>
      </c>
      <c r="S4804">
        <v>1173</v>
      </c>
      <c r="T4804">
        <v>1173</v>
      </c>
      <c r="U4804">
        <f>+SUM(Table1[[#This Row],[Latinos]:[Cemex]])</f>
        <v>1</v>
      </c>
      <c r="V4804" t="str">
        <f>+Table1[[#This Row],[id_destino]]&amp;" - "&amp;Table1[[#This Row],[id_origen]]</f>
        <v>180 - 843</v>
      </c>
    </row>
    <row r="4805" spans="1:22" hidden="1">
      <c r="A4805">
        <v>4731</v>
      </c>
      <c r="B4805">
        <v>4872</v>
      </c>
      <c r="C4805">
        <v>6810</v>
      </c>
      <c r="D4805">
        <v>7324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0</v>
      </c>
      <c r="K4805" t="s">
        <v>20</v>
      </c>
      <c r="L4805" s="1">
        <v>45771</v>
      </c>
      <c r="M4805">
        <v>385</v>
      </c>
      <c r="N4805">
        <v>843</v>
      </c>
      <c r="O4805">
        <v>1189</v>
      </c>
      <c r="P4805">
        <v>1137</v>
      </c>
      <c r="Q4805">
        <v>1189</v>
      </c>
      <c r="S4805">
        <v>2342.0100000000002</v>
      </c>
      <c r="T4805">
        <v>2342.0100000000002</v>
      </c>
      <c r="U4805">
        <f>+SUM(Table1[[#This Row],[Latinos]:[Cemex]])</f>
        <v>1</v>
      </c>
      <c r="V4805" t="str">
        <f>+Table1[[#This Row],[id_destino]]&amp;" - "&amp;Table1[[#This Row],[id_origen]]</f>
        <v>385 - 843</v>
      </c>
    </row>
    <row r="4806" spans="1:22" hidden="1">
      <c r="A4806">
        <v>4575</v>
      </c>
      <c r="B4806">
        <v>4769</v>
      </c>
      <c r="C4806">
        <v>6810</v>
      </c>
      <c r="D4806">
        <v>7011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 t="s">
        <v>20</v>
      </c>
      <c r="L4806" s="1">
        <v>45625</v>
      </c>
      <c r="M4806">
        <v>591</v>
      </c>
      <c r="N4806">
        <v>843</v>
      </c>
      <c r="O4806">
        <v>1061</v>
      </c>
      <c r="P4806">
        <v>1130</v>
      </c>
      <c r="Q4806">
        <v>1061</v>
      </c>
      <c r="S4806">
        <v>1766</v>
      </c>
      <c r="T4806">
        <v>1766</v>
      </c>
      <c r="U4806">
        <f>+SUM(Table1[[#This Row],[Latinos]:[Cemex]])</f>
        <v>1</v>
      </c>
      <c r="V4806" t="str">
        <f>+Table1[[#This Row],[id_destino]]&amp;" - "&amp;Table1[[#This Row],[id_origen]]</f>
        <v>591 - 843</v>
      </c>
    </row>
    <row r="4807" spans="1:22" hidden="1">
      <c r="A4807">
        <v>3556</v>
      </c>
      <c r="B4807">
        <v>4067</v>
      </c>
      <c r="C4807">
        <v>6898</v>
      </c>
      <c r="D4807">
        <v>7209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 t="s">
        <v>20</v>
      </c>
      <c r="L4807" s="1">
        <v>44957</v>
      </c>
      <c r="M4807">
        <v>11</v>
      </c>
      <c r="N4807">
        <v>847</v>
      </c>
      <c r="O4807">
        <v>443</v>
      </c>
      <c r="P4807">
        <v>419</v>
      </c>
      <c r="Q4807">
        <v>443</v>
      </c>
      <c r="S4807">
        <v>889</v>
      </c>
      <c r="T4807">
        <v>889</v>
      </c>
      <c r="U4807">
        <f>+SUM(Table1[[#This Row],[Latinos]:[Cemex]])</f>
        <v>1</v>
      </c>
      <c r="V4807" t="str">
        <f>+Table1[[#This Row],[id_destino]]&amp;" - "&amp;Table1[[#This Row],[id_origen]]</f>
        <v>11 - 847</v>
      </c>
    </row>
    <row r="4808" spans="1:22" hidden="1">
      <c r="A4808">
        <v>3734</v>
      </c>
      <c r="B4808">
        <v>4191</v>
      </c>
      <c r="C4808">
        <v>7204</v>
      </c>
      <c r="D4808">
        <v>7342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  <c r="K4808" t="s">
        <v>20</v>
      </c>
      <c r="L4808" s="1">
        <v>45061</v>
      </c>
      <c r="M4808">
        <v>17</v>
      </c>
      <c r="N4808">
        <v>848</v>
      </c>
      <c r="O4808">
        <v>565</v>
      </c>
      <c r="P4808">
        <v>549</v>
      </c>
      <c r="Q4808">
        <v>565</v>
      </c>
      <c r="S4808">
        <v>224</v>
      </c>
      <c r="T4808">
        <v>224</v>
      </c>
      <c r="U4808">
        <f>+SUM(Table1[[#This Row],[Latinos]:[Cemex]])</f>
        <v>1</v>
      </c>
      <c r="V4808" t="str">
        <f>+Table1[[#This Row],[id_destino]]&amp;" - "&amp;Table1[[#This Row],[id_origen]]</f>
        <v>17 - 848</v>
      </c>
    </row>
    <row r="4809" spans="1:22" hidden="1">
      <c r="A4809">
        <v>3548</v>
      </c>
      <c r="B4809">
        <v>4063</v>
      </c>
      <c r="C4809">
        <v>7204</v>
      </c>
      <c r="D4809">
        <v>2506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  <c r="K4809" t="s">
        <v>20</v>
      </c>
      <c r="L4809" s="1">
        <v>44953</v>
      </c>
      <c r="M4809">
        <v>225</v>
      </c>
      <c r="N4809">
        <v>848</v>
      </c>
      <c r="O4809">
        <v>2061</v>
      </c>
      <c r="P4809">
        <v>2135</v>
      </c>
      <c r="Q4809">
        <v>2061</v>
      </c>
      <c r="S4809">
        <v>3367</v>
      </c>
      <c r="T4809">
        <v>3367</v>
      </c>
      <c r="U4809">
        <f>+SUM(Table1[[#This Row],[Latinos]:[Cemex]])</f>
        <v>1</v>
      </c>
      <c r="V4809" t="str">
        <f>+Table1[[#This Row],[id_destino]]&amp;" - "&amp;Table1[[#This Row],[id_origen]]</f>
        <v>225 - 848</v>
      </c>
    </row>
    <row r="4810" spans="1:22" hidden="1">
      <c r="A4810">
        <v>3159</v>
      </c>
      <c r="B4810">
        <v>3809</v>
      </c>
      <c r="C4810">
        <v>6960</v>
      </c>
      <c r="D4810">
        <v>5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 t="s">
        <v>20</v>
      </c>
      <c r="L4810" s="1">
        <v>44749</v>
      </c>
      <c r="M4810">
        <v>7</v>
      </c>
      <c r="N4810">
        <v>851</v>
      </c>
      <c r="O4810">
        <v>1582</v>
      </c>
      <c r="P4810">
        <v>1523</v>
      </c>
      <c r="Q4810">
        <v>1582</v>
      </c>
      <c r="S4810">
        <v>2887</v>
      </c>
      <c r="T4810">
        <v>3381</v>
      </c>
      <c r="U4810">
        <f>+SUM(Table1[[#This Row],[Latinos]:[Cemex]])</f>
        <v>1</v>
      </c>
      <c r="V4810" t="str">
        <f>+Table1[[#This Row],[id_destino]]&amp;" - "&amp;Table1[[#This Row],[id_origen]]</f>
        <v>7 - 851</v>
      </c>
    </row>
    <row r="4811" spans="1:22" hidden="1">
      <c r="A4811">
        <v>4589</v>
      </c>
      <c r="B4811">
        <v>4779</v>
      </c>
      <c r="C4811">
        <v>7716</v>
      </c>
      <c r="D4811">
        <v>7971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 t="s">
        <v>20</v>
      </c>
      <c r="L4811" s="1">
        <v>45637</v>
      </c>
      <c r="M4811">
        <v>12</v>
      </c>
      <c r="N4811">
        <v>852</v>
      </c>
      <c r="O4811">
        <v>483</v>
      </c>
      <c r="P4811">
        <v>491</v>
      </c>
      <c r="Q4811">
        <v>483</v>
      </c>
      <c r="S4811">
        <v>2300</v>
      </c>
      <c r="T4811">
        <v>2300</v>
      </c>
      <c r="U4811">
        <f>+SUM(Table1[[#This Row],[Latinos]:[Cemex]])</f>
        <v>1</v>
      </c>
      <c r="V4811" t="str">
        <f>+Table1[[#This Row],[id_destino]]&amp;" - "&amp;Table1[[#This Row],[id_origen]]</f>
        <v>12 - 852</v>
      </c>
    </row>
    <row r="4812" spans="1:22" hidden="1">
      <c r="A4812">
        <v>3218</v>
      </c>
      <c r="B4812">
        <v>3844</v>
      </c>
      <c r="C4812">
        <v>6995</v>
      </c>
      <c r="D4812">
        <v>5667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  <c r="K4812" t="s">
        <v>20</v>
      </c>
      <c r="L4812" s="1">
        <v>44776</v>
      </c>
      <c r="M4812">
        <v>53</v>
      </c>
      <c r="N4812">
        <v>857</v>
      </c>
      <c r="O4812">
        <v>1012</v>
      </c>
      <c r="P4812">
        <v>1055</v>
      </c>
      <c r="Q4812">
        <v>1012</v>
      </c>
      <c r="S4812">
        <v>1421</v>
      </c>
      <c r="T4812">
        <v>1421</v>
      </c>
      <c r="U4812">
        <f>+SUM(Table1[[#This Row],[Latinos]:[Cemex]])</f>
        <v>1</v>
      </c>
      <c r="V4812" t="str">
        <f>+Table1[[#This Row],[id_destino]]&amp;" - "&amp;Table1[[#This Row],[id_origen]]</f>
        <v>53 - 857</v>
      </c>
    </row>
    <row r="4813" spans="1:22" hidden="1">
      <c r="A4813">
        <v>3922</v>
      </c>
      <c r="B4813">
        <v>4304</v>
      </c>
      <c r="C4813">
        <v>7303</v>
      </c>
      <c r="D4813">
        <v>5290</v>
      </c>
      <c r="E4813">
        <v>0</v>
      </c>
      <c r="F4813">
        <v>0</v>
      </c>
      <c r="G4813">
        <v>0</v>
      </c>
      <c r="H4813">
        <v>1</v>
      </c>
      <c r="I4813">
        <v>0</v>
      </c>
      <c r="J4813">
        <v>0</v>
      </c>
      <c r="K4813" t="s">
        <v>20</v>
      </c>
      <c r="L4813" s="1">
        <v>45187</v>
      </c>
      <c r="M4813">
        <v>88</v>
      </c>
      <c r="N4813">
        <v>875</v>
      </c>
      <c r="O4813">
        <v>17</v>
      </c>
      <c r="P4813">
        <v>17</v>
      </c>
      <c r="Q4813">
        <v>51</v>
      </c>
      <c r="S4813">
        <v>0</v>
      </c>
      <c r="T4813">
        <v>0</v>
      </c>
      <c r="U4813">
        <f>+SUM(Table1[[#This Row],[Latinos]:[Cemex]])</f>
        <v>1</v>
      </c>
      <c r="V4813" t="str">
        <f>+Table1[[#This Row],[id_destino]]&amp;" - "&amp;Table1[[#This Row],[id_origen]]</f>
        <v>88 - 875</v>
      </c>
    </row>
    <row r="4814" spans="1:22" hidden="1">
      <c r="A4814">
        <v>4048</v>
      </c>
      <c r="B4814">
        <v>4385</v>
      </c>
      <c r="C4814">
        <v>7564</v>
      </c>
      <c r="D4814">
        <v>1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  <c r="K4814" t="s">
        <v>20</v>
      </c>
      <c r="L4814" s="1">
        <v>45251</v>
      </c>
      <c r="M4814">
        <v>3</v>
      </c>
      <c r="N4814">
        <v>889</v>
      </c>
      <c r="O4814">
        <v>344</v>
      </c>
      <c r="P4814">
        <v>343</v>
      </c>
      <c r="Q4814">
        <v>344</v>
      </c>
      <c r="S4814">
        <v>227</v>
      </c>
      <c r="T4814">
        <v>227</v>
      </c>
      <c r="U4814">
        <f>+SUM(Table1[[#This Row],[Latinos]:[Cemex]])</f>
        <v>1</v>
      </c>
      <c r="V4814" t="str">
        <f>+Table1[[#This Row],[id_destino]]&amp;" - "&amp;Table1[[#This Row],[id_origen]]</f>
        <v>3 - 889</v>
      </c>
    </row>
    <row r="4815" spans="1:22" hidden="1">
      <c r="A4815">
        <v>4571</v>
      </c>
      <c r="B4815">
        <v>4766</v>
      </c>
      <c r="C4815">
        <v>8042</v>
      </c>
      <c r="D4815">
        <v>4145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 t="s">
        <v>120</v>
      </c>
      <c r="L4815" s="1">
        <v>45772</v>
      </c>
      <c r="M4815">
        <v>353</v>
      </c>
      <c r="N4815">
        <v>923</v>
      </c>
      <c r="O4815">
        <v>403</v>
      </c>
      <c r="P4815">
        <v>403</v>
      </c>
      <c r="Q4815">
        <v>403</v>
      </c>
      <c r="S4815">
        <v>1474</v>
      </c>
      <c r="T4815">
        <v>1474</v>
      </c>
      <c r="U4815">
        <f>+SUM(Table1[[#This Row],[Latinos]:[Cemex]])</f>
        <v>1</v>
      </c>
      <c r="V4815" t="str">
        <f>+Table1[[#This Row],[id_destino]]&amp;" - "&amp;Table1[[#This Row],[id_origen]]</f>
        <v>353 - 923</v>
      </c>
    </row>
    <row r="4822" spans="22:23">
      <c r="V4822" t="s">
        <v>93</v>
      </c>
      <c r="W4822" t="s">
        <v>761</v>
      </c>
    </row>
    <row r="4823" spans="22:23">
      <c r="V4823" t="s">
        <v>539</v>
      </c>
      <c r="W4823">
        <f>+COUNTIF(Table1[Column2],V4823)</f>
        <v>5</v>
      </c>
    </row>
    <row r="4824" spans="22:23">
      <c r="V4824" t="s">
        <v>556</v>
      </c>
      <c r="W4824">
        <f>+COUNTIF(Table1[Column2],V4824)</f>
        <v>5</v>
      </c>
    </row>
    <row r="4825" spans="22:23">
      <c r="V4825" t="s">
        <v>146</v>
      </c>
      <c r="W4825">
        <f>+COUNTIF(Table1[Column2],V4825)</f>
        <v>4</v>
      </c>
    </row>
    <row r="4826" spans="22:23">
      <c r="V4826" t="s">
        <v>130</v>
      </c>
      <c r="W4826">
        <f>+COUNTIF(Table1[Column2],V4826)</f>
        <v>3</v>
      </c>
    </row>
    <row r="4827" spans="22:23">
      <c r="V4827" t="s">
        <v>132</v>
      </c>
      <c r="W4827">
        <f>+COUNTIF(Table1[Column2],V4827)</f>
        <v>3</v>
      </c>
    </row>
    <row r="4828" spans="22:23">
      <c r="V4828" t="s">
        <v>140</v>
      </c>
      <c r="W4828">
        <f>+COUNTIF(Table1[Column2],V4828)</f>
        <v>3</v>
      </c>
    </row>
    <row r="4829" spans="22:23">
      <c r="V4829" t="s">
        <v>143</v>
      </c>
      <c r="W4829">
        <f>+COUNTIF(Table1[Column2],V4829)</f>
        <v>3</v>
      </c>
    </row>
    <row r="4830" spans="22:23">
      <c r="V4830" t="s">
        <v>147</v>
      </c>
      <c r="W4830">
        <f>+COUNTIF(Table1[Column2],V4830)</f>
        <v>3</v>
      </c>
    </row>
    <row r="4831" spans="22:23">
      <c r="V4831" t="s">
        <v>162</v>
      </c>
      <c r="W4831">
        <f>+COUNTIF(Table1[Column2],V4831)</f>
        <v>3</v>
      </c>
    </row>
    <row r="4832" spans="22:23">
      <c r="V4832" t="s">
        <v>164</v>
      </c>
      <c r="W4832">
        <f>+COUNTIF(Table1[Column2],V4832)</f>
        <v>3</v>
      </c>
    </row>
    <row r="4833" spans="22:23">
      <c r="V4833" t="s">
        <v>166</v>
      </c>
      <c r="W4833">
        <f>+COUNTIF(Table1[Column2],V4833)</f>
        <v>3</v>
      </c>
    </row>
    <row r="4834" spans="22:23">
      <c r="V4834" t="s">
        <v>168</v>
      </c>
      <c r="W4834">
        <f>+COUNTIF(Table1[Column2],V4834)</f>
        <v>3</v>
      </c>
    </row>
    <row r="4835" spans="22:23">
      <c r="V4835" t="s">
        <v>190</v>
      </c>
      <c r="W4835">
        <f>+COUNTIF(Table1[Column2],V4835)</f>
        <v>3</v>
      </c>
    </row>
    <row r="4836" spans="22:23">
      <c r="V4836" t="s">
        <v>197</v>
      </c>
      <c r="W4836">
        <f>+COUNTIF(Table1[Column2],V4836)</f>
        <v>3</v>
      </c>
    </row>
    <row r="4837" spans="22:23">
      <c r="V4837" t="s">
        <v>211</v>
      </c>
      <c r="W4837">
        <f>+COUNTIF(Table1[Column2],V4837)</f>
        <v>3</v>
      </c>
    </row>
    <row r="4838" spans="22:23">
      <c r="V4838" t="s">
        <v>212</v>
      </c>
      <c r="W4838">
        <f>+COUNTIF(Table1[Column2],V4838)</f>
        <v>3</v>
      </c>
    </row>
    <row r="4839" spans="22:23">
      <c r="V4839" t="s">
        <v>230</v>
      </c>
      <c r="W4839">
        <f>+COUNTIF(Table1[Column2],V4839)</f>
        <v>3</v>
      </c>
    </row>
    <row r="4840" spans="22:23">
      <c r="V4840" t="s">
        <v>241</v>
      </c>
      <c r="W4840">
        <f>+COUNTIF(Table1[Column2],V4840)</f>
        <v>3</v>
      </c>
    </row>
    <row r="4841" spans="22:23">
      <c r="V4841" t="s">
        <v>267</v>
      </c>
      <c r="W4841">
        <f>+COUNTIF(Table1[Column2],V4841)</f>
        <v>3</v>
      </c>
    </row>
    <row r="4842" spans="22:23">
      <c r="V4842" t="s">
        <v>275</v>
      </c>
      <c r="W4842">
        <f>+COUNTIF(Table1[Column2],V4842)</f>
        <v>3</v>
      </c>
    </row>
    <row r="4843" spans="22:23">
      <c r="V4843" t="s">
        <v>277</v>
      </c>
      <c r="W4843">
        <f>+COUNTIF(Table1[Column2],V4843)</f>
        <v>3</v>
      </c>
    </row>
    <row r="4844" spans="22:23">
      <c r="V4844" t="s">
        <v>296</v>
      </c>
      <c r="W4844">
        <f>+COUNTIF(Table1[Column2],V4844)</f>
        <v>3</v>
      </c>
    </row>
    <row r="4845" spans="22:23">
      <c r="V4845" t="s">
        <v>297</v>
      </c>
      <c r="W4845">
        <f>+COUNTIF(Table1[Column2],V4845)</f>
        <v>3</v>
      </c>
    </row>
    <row r="4846" spans="22:23">
      <c r="V4846" t="s">
        <v>301</v>
      </c>
      <c r="W4846">
        <f>+COUNTIF(Table1[Column2],V4846)</f>
        <v>3</v>
      </c>
    </row>
    <row r="4847" spans="22:23">
      <c r="V4847" t="s">
        <v>317</v>
      </c>
      <c r="W4847">
        <f>+COUNTIF(Table1[Column2],V4847)</f>
        <v>3</v>
      </c>
    </row>
    <row r="4848" spans="22:23">
      <c r="V4848" t="s">
        <v>319</v>
      </c>
      <c r="W4848">
        <f>+COUNTIF(Table1[Column2],V4848)</f>
        <v>3</v>
      </c>
    </row>
    <row r="4849" spans="22:23">
      <c r="V4849" t="s">
        <v>365</v>
      </c>
      <c r="W4849">
        <f>+COUNTIF(Table1[Column2],V4849)</f>
        <v>3</v>
      </c>
    </row>
    <row r="4850" spans="22:23">
      <c r="V4850" t="s">
        <v>369</v>
      </c>
      <c r="W4850">
        <f>+COUNTIF(Table1[Column2],V4850)</f>
        <v>3</v>
      </c>
    </row>
    <row r="4851" spans="22:23">
      <c r="V4851" t="s">
        <v>372</v>
      </c>
      <c r="W4851">
        <f>+COUNTIF(Table1[Column2],V4851)</f>
        <v>3</v>
      </c>
    </row>
    <row r="4852" spans="22:23">
      <c r="V4852" t="s">
        <v>375</v>
      </c>
      <c r="W4852">
        <f>+COUNTIF(Table1[Column2],V4852)</f>
        <v>3</v>
      </c>
    </row>
    <row r="4853" spans="22:23">
      <c r="V4853" t="s">
        <v>389</v>
      </c>
      <c r="W4853">
        <f>+COUNTIF(Table1[Column2],V4853)</f>
        <v>3</v>
      </c>
    </row>
    <row r="4854" spans="22:23">
      <c r="V4854" t="s">
        <v>405</v>
      </c>
      <c r="W4854">
        <f>+COUNTIF(Table1[Column2],V4854)</f>
        <v>3</v>
      </c>
    </row>
    <row r="4855" spans="22:23">
      <c r="V4855" t="s">
        <v>413</v>
      </c>
      <c r="W4855">
        <f>+COUNTIF(Table1[Column2],V4855)</f>
        <v>3</v>
      </c>
    </row>
    <row r="4856" spans="22:23">
      <c r="V4856" t="s">
        <v>418</v>
      </c>
      <c r="W4856">
        <f>+COUNTIF(Table1[Column2],V4856)</f>
        <v>3</v>
      </c>
    </row>
    <row r="4857" spans="22:23">
      <c r="V4857" t="s">
        <v>419</v>
      </c>
      <c r="W4857">
        <f>+COUNTIF(Table1[Column2],V4857)</f>
        <v>3</v>
      </c>
    </row>
    <row r="4858" spans="22:23">
      <c r="V4858" t="s">
        <v>434</v>
      </c>
      <c r="W4858">
        <f>+COUNTIF(Table1[Column2],V4858)</f>
        <v>3</v>
      </c>
    </row>
    <row r="4859" spans="22:23">
      <c r="V4859" t="s">
        <v>435</v>
      </c>
      <c r="W4859">
        <f>+COUNTIF(Table1[Column2],V4859)</f>
        <v>3</v>
      </c>
    </row>
    <row r="4860" spans="22:23">
      <c r="V4860" t="s">
        <v>438</v>
      </c>
      <c r="W4860">
        <f>+COUNTIF(Table1[Column2],V4860)</f>
        <v>3</v>
      </c>
    </row>
    <row r="4861" spans="22:23">
      <c r="V4861" t="s">
        <v>444</v>
      </c>
      <c r="W4861">
        <f>+COUNTIF(Table1[Column2],V4861)</f>
        <v>3</v>
      </c>
    </row>
    <row r="4862" spans="22:23">
      <c r="V4862" t="s">
        <v>477</v>
      </c>
      <c r="W4862">
        <f>+COUNTIF(Table1[Column2],V4862)</f>
        <v>3</v>
      </c>
    </row>
    <row r="4863" spans="22:23">
      <c r="V4863" t="s">
        <v>478</v>
      </c>
      <c r="W4863">
        <f>+COUNTIF(Table1[Column2],V4863)</f>
        <v>3</v>
      </c>
    </row>
    <row r="4864" spans="22:23">
      <c r="V4864" t="s">
        <v>495</v>
      </c>
      <c r="W4864">
        <f>+COUNTIF(Table1[Column2],V4864)</f>
        <v>3</v>
      </c>
    </row>
    <row r="4865" spans="22:23">
      <c r="V4865" t="s">
        <v>520</v>
      </c>
      <c r="W4865">
        <f>+COUNTIF(Table1[Column2],V4865)</f>
        <v>3</v>
      </c>
    </row>
    <row r="4866" spans="22:23">
      <c r="V4866" t="s">
        <v>524</v>
      </c>
      <c r="W4866">
        <f>+COUNTIF(Table1[Column2],V4866)</f>
        <v>3</v>
      </c>
    </row>
    <row r="4867" spans="22:23">
      <c r="V4867" t="s">
        <v>525</v>
      </c>
      <c r="W4867">
        <f>+COUNTIF(Table1[Column2],V4867)</f>
        <v>3</v>
      </c>
    </row>
    <row r="4868" spans="22:23">
      <c r="V4868" t="s">
        <v>526</v>
      </c>
      <c r="W4868">
        <f>+COUNTIF(Table1[Column2],V4868)</f>
        <v>3</v>
      </c>
    </row>
    <row r="4869" spans="22:23">
      <c r="V4869" t="s">
        <v>528</v>
      </c>
      <c r="W4869">
        <f>+COUNTIF(Table1[Column2],V4869)</f>
        <v>3</v>
      </c>
    </row>
    <row r="4870" spans="22:23">
      <c r="V4870" t="s">
        <v>535</v>
      </c>
      <c r="W4870">
        <f>+COUNTIF(Table1[Column2],V4870)</f>
        <v>3</v>
      </c>
    </row>
    <row r="4871" spans="22:23">
      <c r="V4871" t="s">
        <v>536</v>
      </c>
      <c r="W4871">
        <f>+COUNTIF(Table1[Column2],V4871)</f>
        <v>3</v>
      </c>
    </row>
    <row r="4872" spans="22:23">
      <c r="V4872" t="s">
        <v>537</v>
      </c>
      <c r="W4872">
        <f>+COUNTIF(Table1[Column2],V4872)</f>
        <v>3</v>
      </c>
    </row>
    <row r="4873" spans="22:23">
      <c r="V4873" t="s">
        <v>538</v>
      </c>
      <c r="W4873">
        <f>+COUNTIF(Table1[Column2],V4873)</f>
        <v>3</v>
      </c>
    </row>
    <row r="4874" spans="22:23">
      <c r="V4874" t="s">
        <v>540</v>
      </c>
      <c r="W4874">
        <f>+COUNTIF(Table1[Column2],V4874)</f>
        <v>3</v>
      </c>
    </row>
    <row r="4875" spans="22:23">
      <c r="V4875" t="s">
        <v>544</v>
      </c>
      <c r="W4875">
        <f>+COUNTIF(Table1[Column2],V4875)</f>
        <v>3</v>
      </c>
    </row>
    <row r="4876" spans="22:23">
      <c r="V4876" t="s">
        <v>546</v>
      </c>
      <c r="W4876">
        <f>+COUNTIF(Table1[Column2],V4876)</f>
        <v>3</v>
      </c>
    </row>
    <row r="4877" spans="22:23">
      <c r="V4877" t="s">
        <v>552</v>
      </c>
      <c r="W4877">
        <f>+COUNTIF(Table1[Column2],V4877)</f>
        <v>3</v>
      </c>
    </row>
    <row r="4878" spans="22:23">
      <c r="V4878" t="s">
        <v>553</v>
      </c>
      <c r="W4878">
        <f>+COUNTIF(Table1[Column2],V4878)</f>
        <v>3</v>
      </c>
    </row>
    <row r="4879" spans="22:23">
      <c r="V4879" t="s">
        <v>554</v>
      </c>
      <c r="W4879">
        <f>+COUNTIF(Table1[Column2],V4879)</f>
        <v>3</v>
      </c>
    </row>
    <row r="4880" spans="22:23">
      <c r="V4880" t="s">
        <v>555</v>
      </c>
      <c r="W4880">
        <f>+COUNTIF(Table1[Column2],V4880)</f>
        <v>3</v>
      </c>
    </row>
    <row r="4881" spans="22:23">
      <c r="V4881" t="s">
        <v>558</v>
      </c>
      <c r="W4881">
        <f>+COUNTIF(Table1[Column2],V4881)</f>
        <v>3</v>
      </c>
    </row>
    <row r="4882" spans="22:23">
      <c r="V4882" t="s">
        <v>559</v>
      </c>
      <c r="W4882">
        <f>+COUNTIF(Table1[Column2],V4882)</f>
        <v>3</v>
      </c>
    </row>
    <row r="4883" spans="22:23">
      <c r="V4883" t="s">
        <v>564</v>
      </c>
      <c r="W4883">
        <f>+COUNTIF(Table1[Column2],V4883)</f>
        <v>3</v>
      </c>
    </row>
    <row r="4884" spans="22:23">
      <c r="V4884" t="s">
        <v>566</v>
      </c>
      <c r="W4884">
        <f>+COUNTIF(Table1[Column2],V4884)</f>
        <v>3</v>
      </c>
    </row>
    <row r="4885" spans="22:23">
      <c r="V4885" t="s">
        <v>567</v>
      </c>
      <c r="W4885">
        <f>+COUNTIF(Table1[Column2],V4885)</f>
        <v>3</v>
      </c>
    </row>
    <row r="4886" spans="22:23">
      <c r="V4886" t="s">
        <v>568</v>
      </c>
      <c r="W4886">
        <f>+COUNTIF(Table1[Column2],V4886)</f>
        <v>3</v>
      </c>
    </row>
    <row r="4887" spans="22:23">
      <c r="V4887" t="s">
        <v>592</v>
      </c>
      <c r="W4887">
        <f>+COUNTIF(Table1[Column2],V4887)</f>
        <v>3</v>
      </c>
    </row>
    <row r="4888" spans="22:23">
      <c r="V4888" t="s">
        <v>593</v>
      </c>
      <c r="W4888">
        <f>+COUNTIF(Table1[Column2],V4888)</f>
        <v>3</v>
      </c>
    </row>
    <row r="4889" spans="22:23">
      <c r="V4889" t="s">
        <v>596</v>
      </c>
      <c r="W4889">
        <f>+COUNTIF(Table1[Column2],V4889)</f>
        <v>3</v>
      </c>
    </row>
    <row r="4890" spans="22:23">
      <c r="V4890" t="s">
        <v>608</v>
      </c>
      <c r="W4890">
        <f>+COUNTIF(Table1[Column2],V4890)</f>
        <v>3</v>
      </c>
    </row>
    <row r="4891" spans="22:23">
      <c r="V4891" t="s">
        <v>617</v>
      </c>
      <c r="W4891">
        <f>+COUNTIF(Table1[Column2],V4891)</f>
        <v>3</v>
      </c>
    </row>
    <row r="4892" spans="22:23">
      <c r="V4892" t="s">
        <v>619</v>
      </c>
      <c r="W4892">
        <f>+COUNTIF(Table1[Column2],V4892)</f>
        <v>3</v>
      </c>
    </row>
    <row r="4893" spans="22:23">
      <c r="V4893" t="s">
        <v>665</v>
      </c>
      <c r="W4893">
        <f>+COUNTIF(Table1[Column2],V4893)</f>
        <v>3</v>
      </c>
    </row>
    <row r="4894" spans="22:23">
      <c r="V4894" t="s">
        <v>683</v>
      </c>
      <c r="W4894">
        <f>+COUNTIF(Table1[Column2],V4894)</f>
        <v>3</v>
      </c>
    </row>
    <row r="4895" spans="22:23">
      <c r="V4895" t="s">
        <v>709</v>
      </c>
      <c r="W4895">
        <f>+COUNTIF(Table1[Column2],V4895)</f>
        <v>3</v>
      </c>
    </row>
    <row r="4896" spans="22:23">
      <c r="V4896" t="s">
        <v>744</v>
      </c>
      <c r="W4896">
        <f>+COUNTIF(Table1[Column2],V4896)</f>
        <v>3</v>
      </c>
    </row>
    <row r="4897" spans="22:23">
      <c r="V4897" t="s">
        <v>750</v>
      </c>
      <c r="W4897">
        <f>+COUNTIF(Table1[Column2],V4897)</f>
        <v>3</v>
      </c>
    </row>
    <row r="4898" spans="22:23">
      <c r="V4898" t="s">
        <v>753</v>
      </c>
      <c r="W4898">
        <f>+COUNTIF(Table1[Column2],V4898)</f>
        <v>3</v>
      </c>
    </row>
    <row r="4899" spans="22:23">
      <c r="V4899" t="s">
        <v>760</v>
      </c>
      <c r="W4899">
        <f>+COUNTIF(Table1[Column2],V4899)</f>
        <v>3</v>
      </c>
    </row>
    <row r="4900" spans="22:23">
      <c r="V4900" t="s">
        <v>126</v>
      </c>
      <c r="W4900">
        <f>+COUNTIF(Table1[Column2],V4900)</f>
        <v>2</v>
      </c>
    </row>
    <row r="4901" spans="22:23">
      <c r="V4901" t="s">
        <v>127</v>
      </c>
      <c r="W4901">
        <f>+COUNTIF(Table1[Column2],V4901)</f>
        <v>2</v>
      </c>
    </row>
    <row r="4902" spans="22:23">
      <c r="V4902" t="s">
        <v>128</v>
      </c>
      <c r="W4902">
        <f>+COUNTIF(Table1[Column2],V4902)</f>
        <v>2</v>
      </c>
    </row>
    <row r="4903" spans="22:23">
      <c r="V4903" t="s">
        <v>129</v>
      </c>
      <c r="W4903">
        <f>+COUNTIF(Table1[Column2],V4903)</f>
        <v>2</v>
      </c>
    </row>
    <row r="4904" spans="22:23">
      <c r="V4904" t="s">
        <v>131</v>
      </c>
      <c r="W4904">
        <f>+COUNTIF(Table1[Column2],V4904)</f>
        <v>2</v>
      </c>
    </row>
    <row r="4905" spans="22:23">
      <c r="V4905" t="s">
        <v>133</v>
      </c>
      <c r="W4905">
        <f>+COUNTIF(Table1[Column2],V4905)</f>
        <v>2</v>
      </c>
    </row>
    <row r="4906" spans="22:23">
      <c r="V4906" t="s">
        <v>134</v>
      </c>
      <c r="W4906">
        <f>+COUNTIF(Table1[Column2],V4906)</f>
        <v>2</v>
      </c>
    </row>
    <row r="4907" spans="22:23">
      <c r="V4907" t="s">
        <v>135</v>
      </c>
      <c r="W4907">
        <f>+COUNTIF(Table1[Column2],V4907)</f>
        <v>2</v>
      </c>
    </row>
    <row r="4908" spans="22:23">
      <c r="V4908" t="s">
        <v>136</v>
      </c>
      <c r="W4908">
        <f>+COUNTIF(Table1[Column2],V4908)</f>
        <v>2</v>
      </c>
    </row>
    <row r="4909" spans="22:23">
      <c r="V4909" t="s">
        <v>137</v>
      </c>
      <c r="W4909">
        <f>+COUNTIF(Table1[Column2],V4909)</f>
        <v>2</v>
      </c>
    </row>
    <row r="4910" spans="22:23">
      <c r="V4910" t="s">
        <v>138</v>
      </c>
      <c r="W4910">
        <f>+COUNTIF(Table1[Column2],V4910)</f>
        <v>2</v>
      </c>
    </row>
    <row r="4911" spans="22:23">
      <c r="V4911" t="s">
        <v>139</v>
      </c>
      <c r="W4911">
        <f>+COUNTIF(Table1[Column2],V4911)</f>
        <v>2</v>
      </c>
    </row>
    <row r="4912" spans="22:23">
      <c r="V4912" t="s">
        <v>141</v>
      </c>
      <c r="W4912">
        <f>+COUNTIF(Table1[Column2],V4912)</f>
        <v>2</v>
      </c>
    </row>
    <row r="4913" spans="22:23">
      <c r="V4913" t="s">
        <v>142</v>
      </c>
      <c r="W4913">
        <f>+COUNTIF(Table1[Column2],V4913)</f>
        <v>2</v>
      </c>
    </row>
    <row r="4914" spans="22:23">
      <c r="V4914" t="s">
        <v>144</v>
      </c>
      <c r="W4914">
        <f>+COUNTIF(Table1[Column2],V4914)</f>
        <v>2</v>
      </c>
    </row>
    <row r="4915" spans="22:23">
      <c r="V4915" t="s">
        <v>145</v>
      </c>
      <c r="W4915">
        <f>+COUNTIF(Table1[Column2],V4915)</f>
        <v>2</v>
      </c>
    </row>
    <row r="4916" spans="22:23">
      <c r="V4916" t="s">
        <v>148</v>
      </c>
      <c r="W4916">
        <f>+COUNTIF(Table1[Column2],V4916)</f>
        <v>2</v>
      </c>
    </row>
    <row r="4917" spans="22:23">
      <c r="V4917" t="s">
        <v>149</v>
      </c>
      <c r="W4917">
        <f>+COUNTIF(Table1[Column2],V4917)</f>
        <v>2</v>
      </c>
    </row>
    <row r="4918" spans="22:23">
      <c r="V4918" t="s">
        <v>150</v>
      </c>
      <c r="W4918">
        <f>+COUNTIF(Table1[Column2],V4918)</f>
        <v>2</v>
      </c>
    </row>
    <row r="4919" spans="22:23">
      <c r="V4919" t="s">
        <v>151</v>
      </c>
      <c r="W4919">
        <f>+COUNTIF(Table1[Column2],V4919)</f>
        <v>2</v>
      </c>
    </row>
    <row r="4920" spans="22:23">
      <c r="V4920" t="s">
        <v>152</v>
      </c>
      <c r="W4920">
        <f>+COUNTIF(Table1[Column2],V4920)</f>
        <v>2</v>
      </c>
    </row>
    <row r="4921" spans="22:23">
      <c r="V4921" t="s">
        <v>153</v>
      </c>
      <c r="W4921">
        <f>+COUNTIF(Table1[Column2],V4921)</f>
        <v>2</v>
      </c>
    </row>
    <row r="4922" spans="22:23">
      <c r="V4922" t="s">
        <v>154</v>
      </c>
      <c r="W4922">
        <f>+COUNTIF(Table1[Column2],V4922)</f>
        <v>2</v>
      </c>
    </row>
    <row r="4923" spans="22:23">
      <c r="V4923" t="s">
        <v>155</v>
      </c>
      <c r="W4923">
        <f>+COUNTIF(Table1[Column2],V4923)</f>
        <v>2</v>
      </c>
    </row>
    <row r="4924" spans="22:23">
      <c r="V4924" t="s">
        <v>156</v>
      </c>
      <c r="W4924">
        <f>+COUNTIF(Table1[Column2],V4924)</f>
        <v>2</v>
      </c>
    </row>
    <row r="4925" spans="22:23">
      <c r="V4925" t="s">
        <v>157</v>
      </c>
      <c r="W4925">
        <f>+COUNTIF(Table1[Column2],V4925)</f>
        <v>2</v>
      </c>
    </row>
    <row r="4926" spans="22:23">
      <c r="V4926" t="s">
        <v>158</v>
      </c>
      <c r="W4926">
        <f>+COUNTIF(Table1[Column2],V4926)</f>
        <v>2</v>
      </c>
    </row>
    <row r="4927" spans="22:23">
      <c r="V4927" t="s">
        <v>159</v>
      </c>
      <c r="W4927">
        <f>+COUNTIF(Table1[Column2],V4927)</f>
        <v>2</v>
      </c>
    </row>
    <row r="4928" spans="22:23">
      <c r="V4928" t="s">
        <v>160</v>
      </c>
      <c r="W4928">
        <f>+COUNTIF(Table1[Column2],V4928)</f>
        <v>2</v>
      </c>
    </row>
    <row r="4929" spans="22:23">
      <c r="V4929" t="s">
        <v>161</v>
      </c>
      <c r="W4929">
        <f>+COUNTIF(Table1[Column2],V4929)</f>
        <v>2</v>
      </c>
    </row>
    <row r="4930" spans="22:23">
      <c r="V4930" t="s">
        <v>163</v>
      </c>
      <c r="W4930">
        <f>+COUNTIF(Table1[Column2],V4930)</f>
        <v>2</v>
      </c>
    </row>
    <row r="4931" spans="22:23">
      <c r="V4931" t="s">
        <v>165</v>
      </c>
      <c r="W4931">
        <f>+COUNTIF(Table1[Column2],V4931)</f>
        <v>2</v>
      </c>
    </row>
    <row r="4932" spans="22:23">
      <c r="V4932" t="s">
        <v>167</v>
      </c>
      <c r="W4932">
        <f>+COUNTIF(Table1[Column2],V4932)</f>
        <v>2</v>
      </c>
    </row>
    <row r="4933" spans="22:23">
      <c r="V4933" t="s">
        <v>169</v>
      </c>
      <c r="W4933">
        <f>+COUNTIF(Table1[Column2],V4933)</f>
        <v>2</v>
      </c>
    </row>
    <row r="4934" spans="22:23">
      <c r="V4934" t="s">
        <v>170</v>
      </c>
      <c r="W4934">
        <f>+COUNTIF(Table1[Column2],V4934)</f>
        <v>2</v>
      </c>
    </row>
    <row r="4935" spans="22:23">
      <c r="V4935" t="s">
        <v>171</v>
      </c>
      <c r="W4935">
        <f>+COUNTIF(Table1[Column2],V4935)</f>
        <v>2</v>
      </c>
    </row>
    <row r="4936" spans="22:23">
      <c r="V4936" t="s">
        <v>172</v>
      </c>
      <c r="W4936">
        <f>+COUNTIF(Table1[Column2],V4936)</f>
        <v>2</v>
      </c>
    </row>
    <row r="4937" spans="22:23">
      <c r="V4937" t="s">
        <v>173</v>
      </c>
      <c r="W4937">
        <f>+COUNTIF(Table1[Column2],V4937)</f>
        <v>2</v>
      </c>
    </row>
    <row r="4938" spans="22:23">
      <c r="V4938" t="s">
        <v>174</v>
      </c>
      <c r="W4938">
        <f>+COUNTIF(Table1[Column2],V4938)</f>
        <v>2</v>
      </c>
    </row>
    <row r="4939" spans="22:23">
      <c r="V4939" t="s">
        <v>175</v>
      </c>
      <c r="W4939">
        <f>+COUNTIF(Table1[Column2],V4939)</f>
        <v>2</v>
      </c>
    </row>
    <row r="4940" spans="22:23">
      <c r="V4940" t="s">
        <v>176</v>
      </c>
      <c r="W4940">
        <f>+COUNTIF(Table1[Column2],V4940)</f>
        <v>2</v>
      </c>
    </row>
    <row r="4941" spans="22:23">
      <c r="V4941" t="s">
        <v>177</v>
      </c>
      <c r="W4941">
        <f>+COUNTIF(Table1[Column2],V4941)</f>
        <v>2</v>
      </c>
    </row>
    <row r="4942" spans="22:23">
      <c r="V4942" t="s">
        <v>178</v>
      </c>
      <c r="W4942">
        <f>+COUNTIF(Table1[Column2],V4942)</f>
        <v>2</v>
      </c>
    </row>
    <row r="4943" spans="22:23">
      <c r="V4943" t="s">
        <v>179</v>
      </c>
      <c r="W4943">
        <f>+COUNTIF(Table1[Column2],V4943)</f>
        <v>2</v>
      </c>
    </row>
    <row r="4944" spans="22:23">
      <c r="V4944" t="s">
        <v>180</v>
      </c>
      <c r="W4944">
        <f>+COUNTIF(Table1[Column2],V4944)</f>
        <v>2</v>
      </c>
    </row>
    <row r="4945" spans="22:23">
      <c r="V4945" t="s">
        <v>181</v>
      </c>
      <c r="W4945">
        <f>+COUNTIF(Table1[Column2],V4945)</f>
        <v>2</v>
      </c>
    </row>
    <row r="4946" spans="22:23">
      <c r="V4946" t="s">
        <v>182</v>
      </c>
      <c r="W4946">
        <f>+COUNTIF(Table1[Column2],V4946)</f>
        <v>2</v>
      </c>
    </row>
    <row r="4947" spans="22:23">
      <c r="V4947" t="s">
        <v>183</v>
      </c>
      <c r="W4947">
        <f>+COUNTIF(Table1[Column2],V4947)</f>
        <v>2</v>
      </c>
    </row>
    <row r="4948" spans="22:23">
      <c r="V4948" t="s">
        <v>184</v>
      </c>
      <c r="W4948">
        <f>+COUNTIF(Table1[Column2],V4948)</f>
        <v>2</v>
      </c>
    </row>
    <row r="4949" spans="22:23">
      <c r="V4949" t="s">
        <v>185</v>
      </c>
      <c r="W4949">
        <f>+COUNTIF(Table1[Column2],V4949)</f>
        <v>2</v>
      </c>
    </row>
    <row r="4950" spans="22:23">
      <c r="V4950" t="s">
        <v>186</v>
      </c>
      <c r="W4950">
        <f>+COUNTIF(Table1[Column2],V4950)</f>
        <v>2</v>
      </c>
    </row>
    <row r="4951" spans="22:23">
      <c r="V4951" t="s">
        <v>187</v>
      </c>
      <c r="W4951">
        <f>+COUNTIF(Table1[Column2],V4951)</f>
        <v>2</v>
      </c>
    </row>
    <row r="4952" spans="22:23">
      <c r="V4952" t="s">
        <v>188</v>
      </c>
      <c r="W4952">
        <f>+COUNTIF(Table1[Column2],V4952)</f>
        <v>2</v>
      </c>
    </row>
    <row r="4953" spans="22:23">
      <c r="V4953" t="s">
        <v>189</v>
      </c>
      <c r="W4953">
        <f>+COUNTIF(Table1[Column2],V4953)</f>
        <v>2</v>
      </c>
    </row>
    <row r="4954" spans="22:23">
      <c r="V4954" t="s">
        <v>191</v>
      </c>
      <c r="W4954">
        <f>+COUNTIF(Table1[Column2],V4954)</f>
        <v>2</v>
      </c>
    </row>
    <row r="4955" spans="22:23">
      <c r="V4955" t="s">
        <v>192</v>
      </c>
      <c r="W4955">
        <f>+COUNTIF(Table1[Column2],V4955)</f>
        <v>2</v>
      </c>
    </row>
    <row r="4956" spans="22:23">
      <c r="V4956" t="s">
        <v>193</v>
      </c>
      <c r="W4956">
        <f>+COUNTIF(Table1[Column2],V4956)</f>
        <v>2</v>
      </c>
    </row>
    <row r="4957" spans="22:23">
      <c r="V4957" t="s">
        <v>194</v>
      </c>
      <c r="W4957">
        <f>+COUNTIF(Table1[Column2],V4957)</f>
        <v>2</v>
      </c>
    </row>
    <row r="4958" spans="22:23">
      <c r="V4958" t="s">
        <v>195</v>
      </c>
      <c r="W4958">
        <f>+COUNTIF(Table1[Column2],V4958)</f>
        <v>2</v>
      </c>
    </row>
    <row r="4959" spans="22:23">
      <c r="V4959" t="s">
        <v>196</v>
      </c>
      <c r="W4959">
        <f>+COUNTIF(Table1[Column2],V4959)</f>
        <v>2</v>
      </c>
    </row>
    <row r="4960" spans="22:23">
      <c r="V4960" t="s">
        <v>198</v>
      </c>
      <c r="W4960">
        <f>+COUNTIF(Table1[Column2],V4960)</f>
        <v>2</v>
      </c>
    </row>
    <row r="4961" spans="22:23">
      <c r="V4961" t="s">
        <v>199</v>
      </c>
      <c r="W4961">
        <f>+COUNTIF(Table1[Column2],V4961)</f>
        <v>2</v>
      </c>
    </row>
    <row r="4962" spans="22:23">
      <c r="V4962" t="s">
        <v>200</v>
      </c>
      <c r="W4962">
        <f>+COUNTIF(Table1[Column2],V4962)</f>
        <v>2</v>
      </c>
    </row>
    <row r="4963" spans="22:23">
      <c r="V4963" t="s">
        <v>201</v>
      </c>
      <c r="W4963">
        <f>+COUNTIF(Table1[Column2],V4963)</f>
        <v>2</v>
      </c>
    </row>
    <row r="4964" spans="22:23">
      <c r="V4964" t="s">
        <v>202</v>
      </c>
      <c r="W4964">
        <f>+COUNTIF(Table1[Column2],V4964)</f>
        <v>2</v>
      </c>
    </row>
    <row r="4965" spans="22:23">
      <c r="V4965" t="s">
        <v>203</v>
      </c>
      <c r="W4965">
        <f>+COUNTIF(Table1[Column2],V4965)</f>
        <v>2</v>
      </c>
    </row>
    <row r="4966" spans="22:23">
      <c r="V4966" t="s">
        <v>204</v>
      </c>
      <c r="W4966">
        <f>+COUNTIF(Table1[Column2],V4966)</f>
        <v>2</v>
      </c>
    </row>
    <row r="4967" spans="22:23">
      <c r="V4967" t="s">
        <v>205</v>
      </c>
      <c r="W4967">
        <f>+COUNTIF(Table1[Column2],V4967)</f>
        <v>2</v>
      </c>
    </row>
    <row r="4968" spans="22:23">
      <c r="V4968" t="s">
        <v>206</v>
      </c>
      <c r="W4968">
        <f>+COUNTIF(Table1[Column2],V4968)</f>
        <v>2</v>
      </c>
    </row>
    <row r="4969" spans="22:23">
      <c r="V4969" t="s">
        <v>207</v>
      </c>
      <c r="W4969">
        <f>+COUNTIF(Table1[Column2],V4969)</f>
        <v>2</v>
      </c>
    </row>
    <row r="4970" spans="22:23">
      <c r="V4970" t="s">
        <v>208</v>
      </c>
      <c r="W4970">
        <f>+COUNTIF(Table1[Column2],V4970)</f>
        <v>2</v>
      </c>
    </row>
    <row r="4971" spans="22:23">
      <c r="V4971" t="s">
        <v>209</v>
      </c>
      <c r="W4971">
        <f>+COUNTIF(Table1[Column2],V4971)</f>
        <v>2</v>
      </c>
    </row>
    <row r="4972" spans="22:23">
      <c r="V4972" t="s">
        <v>210</v>
      </c>
      <c r="W4972">
        <f>+COUNTIF(Table1[Column2],V4972)</f>
        <v>2</v>
      </c>
    </row>
    <row r="4973" spans="22:23">
      <c r="V4973" t="s">
        <v>213</v>
      </c>
      <c r="W4973">
        <f>+COUNTIF(Table1[Column2],V4973)</f>
        <v>2</v>
      </c>
    </row>
    <row r="4974" spans="22:23">
      <c r="V4974" t="s">
        <v>214</v>
      </c>
      <c r="W4974">
        <f>+COUNTIF(Table1[Column2],V4974)</f>
        <v>2</v>
      </c>
    </row>
    <row r="4975" spans="22:23">
      <c r="V4975" t="s">
        <v>215</v>
      </c>
      <c r="W4975">
        <f>+COUNTIF(Table1[Column2],V4975)</f>
        <v>2</v>
      </c>
    </row>
    <row r="4976" spans="22:23">
      <c r="V4976" t="s">
        <v>216</v>
      </c>
      <c r="W4976">
        <f>+COUNTIF(Table1[Column2],V4976)</f>
        <v>2</v>
      </c>
    </row>
    <row r="4977" spans="22:23">
      <c r="V4977" t="s">
        <v>217</v>
      </c>
      <c r="W4977">
        <f>+COUNTIF(Table1[Column2],V4977)</f>
        <v>2</v>
      </c>
    </row>
    <row r="4978" spans="22:23">
      <c r="V4978" t="s">
        <v>218</v>
      </c>
      <c r="W4978">
        <f>+COUNTIF(Table1[Column2],V4978)</f>
        <v>2</v>
      </c>
    </row>
    <row r="4979" spans="22:23">
      <c r="V4979" t="s">
        <v>219</v>
      </c>
      <c r="W4979">
        <f>+COUNTIF(Table1[Column2],V4979)</f>
        <v>2</v>
      </c>
    </row>
    <row r="4980" spans="22:23">
      <c r="V4980" t="s">
        <v>220</v>
      </c>
      <c r="W4980">
        <f>+COUNTIF(Table1[Column2],V4980)</f>
        <v>2</v>
      </c>
    </row>
    <row r="4981" spans="22:23">
      <c r="V4981" t="s">
        <v>221</v>
      </c>
      <c r="W4981">
        <f>+COUNTIF(Table1[Column2],V4981)</f>
        <v>2</v>
      </c>
    </row>
    <row r="4982" spans="22:23">
      <c r="V4982" t="s">
        <v>222</v>
      </c>
      <c r="W4982">
        <f>+COUNTIF(Table1[Column2],V4982)</f>
        <v>2</v>
      </c>
    </row>
    <row r="4983" spans="22:23">
      <c r="V4983" t="s">
        <v>223</v>
      </c>
      <c r="W4983">
        <f>+COUNTIF(Table1[Column2],V4983)</f>
        <v>2</v>
      </c>
    </row>
    <row r="4984" spans="22:23">
      <c r="V4984" t="s">
        <v>224</v>
      </c>
      <c r="W4984">
        <f>+COUNTIF(Table1[Column2],V4984)</f>
        <v>2</v>
      </c>
    </row>
    <row r="4985" spans="22:23">
      <c r="V4985" t="s">
        <v>225</v>
      </c>
      <c r="W4985">
        <f>+COUNTIF(Table1[Column2],V4985)</f>
        <v>2</v>
      </c>
    </row>
    <row r="4986" spans="22:23">
      <c r="V4986" t="s">
        <v>226</v>
      </c>
      <c r="W4986">
        <f>+COUNTIF(Table1[Column2],V4986)</f>
        <v>2</v>
      </c>
    </row>
    <row r="4987" spans="22:23">
      <c r="V4987" t="s">
        <v>227</v>
      </c>
      <c r="W4987">
        <f>+COUNTIF(Table1[Column2],V4987)</f>
        <v>2</v>
      </c>
    </row>
    <row r="4988" spans="22:23">
      <c r="V4988" t="s">
        <v>228</v>
      </c>
      <c r="W4988">
        <f>+COUNTIF(Table1[Column2],V4988)</f>
        <v>2</v>
      </c>
    </row>
    <row r="4989" spans="22:23">
      <c r="V4989" t="s">
        <v>229</v>
      </c>
      <c r="W4989">
        <f>+COUNTIF(Table1[Column2],V4989)</f>
        <v>2</v>
      </c>
    </row>
    <row r="4990" spans="22:23">
      <c r="V4990" t="s">
        <v>231</v>
      </c>
      <c r="W4990">
        <f>+COUNTIF(Table1[Column2],V4990)</f>
        <v>2</v>
      </c>
    </row>
    <row r="4991" spans="22:23">
      <c r="V4991" t="s">
        <v>232</v>
      </c>
      <c r="W4991">
        <f>+COUNTIF(Table1[Column2],V4991)</f>
        <v>2</v>
      </c>
    </row>
    <row r="4992" spans="22:23">
      <c r="V4992" t="s">
        <v>233</v>
      </c>
      <c r="W4992">
        <f>+COUNTIF(Table1[Column2],V4992)</f>
        <v>2</v>
      </c>
    </row>
    <row r="4993" spans="22:23">
      <c r="V4993" t="s">
        <v>234</v>
      </c>
      <c r="W4993">
        <f>+COUNTIF(Table1[Column2],V4993)</f>
        <v>2</v>
      </c>
    </row>
    <row r="4994" spans="22:23">
      <c r="V4994" t="s">
        <v>235</v>
      </c>
      <c r="W4994">
        <f>+COUNTIF(Table1[Column2],V4994)</f>
        <v>2</v>
      </c>
    </row>
    <row r="4995" spans="22:23">
      <c r="V4995" t="s">
        <v>236</v>
      </c>
      <c r="W4995">
        <f>+COUNTIF(Table1[Column2],V4995)</f>
        <v>2</v>
      </c>
    </row>
    <row r="4996" spans="22:23">
      <c r="V4996" t="s">
        <v>237</v>
      </c>
      <c r="W4996">
        <f>+COUNTIF(Table1[Column2],V4996)</f>
        <v>2</v>
      </c>
    </row>
    <row r="4997" spans="22:23">
      <c r="V4997" t="s">
        <v>238</v>
      </c>
      <c r="W4997">
        <f>+COUNTIF(Table1[Column2],V4997)</f>
        <v>2</v>
      </c>
    </row>
    <row r="4998" spans="22:23">
      <c r="V4998" t="s">
        <v>239</v>
      </c>
      <c r="W4998">
        <f>+COUNTIF(Table1[Column2],V4998)</f>
        <v>2</v>
      </c>
    </row>
    <row r="4999" spans="22:23">
      <c r="V4999" t="s">
        <v>240</v>
      </c>
      <c r="W4999">
        <f>+COUNTIF(Table1[Column2],V4999)</f>
        <v>2</v>
      </c>
    </row>
    <row r="5000" spans="22:23">
      <c r="V5000" t="s">
        <v>242</v>
      </c>
      <c r="W5000">
        <f>+COUNTIF(Table1[Column2],V5000)</f>
        <v>2</v>
      </c>
    </row>
    <row r="5001" spans="22:23">
      <c r="V5001" t="s">
        <v>243</v>
      </c>
      <c r="W5001">
        <f>+COUNTIF(Table1[Column2],V5001)</f>
        <v>2</v>
      </c>
    </row>
    <row r="5002" spans="22:23">
      <c r="V5002" t="s">
        <v>244</v>
      </c>
      <c r="W5002">
        <f>+COUNTIF(Table1[Column2],V5002)</f>
        <v>2</v>
      </c>
    </row>
    <row r="5003" spans="22:23">
      <c r="V5003" t="s">
        <v>245</v>
      </c>
      <c r="W5003">
        <f>+COUNTIF(Table1[Column2],V5003)</f>
        <v>2</v>
      </c>
    </row>
    <row r="5004" spans="22:23">
      <c r="V5004" t="s">
        <v>246</v>
      </c>
      <c r="W5004">
        <f>+COUNTIF(Table1[Column2],V5004)</f>
        <v>2</v>
      </c>
    </row>
    <row r="5005" spans="22:23">
      <c r="V5005" t="s">
        <v>247</v>
      </c>
      <c r="W5005">
        <f>+COUNTIF(Table1[Column2],V5005)</f>
        <v>2</v>
      </c>
    </row>
    <row r="5006" spans="22:23">
      <c r="V5006" t="s">
        <v>248</v>
      </c>
      <c r="W5006">
        <f>+COUNTIF(Table1[Column2],V5006)</f>
        <v>2</v>
      </c>
    </row>
    <row r="5007" spans="22:23">
      <c r="V5007" t="s">
        <v>249</v>
      </c>
      <c r="W5007">
        <f>+COUNTIF(Table1[Column2],V5007)</f>
        <v>2</v>
      </c>
    </row>
    <row r="5008" spans="22:23">
      <c r="V5008" t="s">
        <v>250</v>
      </c>
      <c r="W5008">
        <f>+COUNTIF(Table1[Column2],V5008)</f>
        <v>2</v>
      </c>
    </row>
    <row r="5009" spans="22:23">
      <c r="V5009" t="s">
        <v>251</v>
      </c>
      <c r="W5009">
        <f>+COUNTIF(Table1[Column2],V5009)</f>
        <v>2</v>
      </c>
    </row>
    <row r="5010" spans="22:23">
      <c r="V5010" t="s">
        <v>252</v>
      </c>
      <c r="W5010">
        <f>+COUNTIF(Table1[Column2],V5010)</f>
        <v>2</v>
      </c>
    </row>
    <row r="5011" spans="22:23">
      <c r="V5011" t="s">
        <v>253</v>
      </c>
      <c r="W5011">
        <f>+COUNTIF(Table1[Column2],V5011)</f>
        <v>2</v>
      </c>
    </row>
    <row r="5012" spans="22:23">
      <c r="V5012" t="s">
        <v>254</v>
      </c>
      <c r="W5012">
        <f>+COUNTIF(Table1[Column2],V5012)</f>
        <v>2</v>
      </c>
    </row>
    <row r="5013" spans="22:23">
      <c r="V5013" t="s">
        <v>255</v>
      </c>
      <c r="W5013">
        <f>+COUNTIF(Table1[Column2],V5013)</f>
        <v>2</v>
      </c>
    </row>
    <row r="5014" spans="22:23">
      <c r="V5014" t="s">
        <v>256</v>
      </c>
      <c r="W5014">
        <f>+COUNTIF(Table1[Column2],V5014)</f>
        <v>2</v>
      </c>
    </row>
    <row r="5015" spans="22:23">
      <c r="V5015" t="s">
        <v>257</v>
      </c>
      <c r="W5015">
        <f>+COUNTIF(Table1[Column2],V5015)</f>
        <v>2</v>
      </c>
    </row>
    <row r="5016" spans="22:23">
      <c r="V5016" t="s">
        <v>258</v>
      </c>
      <c r="W5016">
        <f>+COUNTIF(Table1[Column2],V5016)</f>
        <v>2</v>
      </c>
    </row>
    <row r="5017" spans="22:23">
      <c r="V5017" t="s">
        <v>259</v>
      </c>
      <c r="W5017">
        <f>+COUNTIF(Table1[Column2],V5017)</f>
        <v>2</v>
      </c>
    </row>
    <row r="5018" spans="22:23">
      <c r="V5018" t="s">
        <v>260</v>
      </c>
      <c r="W5018">
        <f>+COUNTIF(Table1[Column2],V5018)</f>
        <v>2</v>
      </c>
    </row>
    <row r="5019" spans="22:23">
      <c r="V5019" t="s">
        <v>261</v>
      </c>
      <c r="W5019">
        <f>+COUNTIF(Table1[Column2],V5019)</f>
        <v>2</v>
      </c>
    </row>
    <row r="5020" spans="22:23">
      <c r="V5020" t="s">
        <v>262</v>
      </c>
      <c r="W5020">
        <f>+COUNTIF(Table1[Column2],V5020)</f>
        <v>2</v>
      </c>
    </row>
    <row r="5021" spans="22:23">
      <c r="V5021" t="s">
        <v>263</v>
      </c>
      <c r="W5021">
        <f>+COUNTIF(Table1[Column2],V5021)</f>
        <v>2</v>
      </c>
    </row>
    <row r="5022" spans="22:23">
      <c r="V5022" t="s">
        <v>264</v>
      </c>
      <c r="W5022">
        <f>+COUNTIF(Table1[Column2],V5022)</f>
        <v>2</v>
      </c>
    </row>
    <row r="5023" spans="22:23">
      <c r="V5023" t="s">
        <v>265</v>
      </c>
      <c r="W5023">
        <f>+COUNTIF(Table1[Column2],V5023)</f>
        <v>2</v>
      </c>
    </row>
    <row r="5024" spans="22:23">
      <c r="V5024" t="s">
        <v>266</v>
      </c>
      <c r="W5024">
        <f>+COUNTIF(Table1[Column2],V5024)</f>
        <v>2</v>
      </c>
    </row>
    <row r="5025" spans="22:23">
      <c r="V5025" t="s">
        <v>268</v>
      </c>
      <c r="W5025">
        <f>+COUNTIF(Table1[Column2],V5025)</f>
        <v>2</v>
      </c>
    </row>
    <row r="5026" spans="22:23">
      <c r="V5026" t="s">
        <v>269</v>
      </c>
      <c r="W5026">
        <f>+COUNTIF(Table1[Column2],V5026)</f>
        <v>2</v>
      </c>
    </row>
    <row r="5027" spans="22:23">
      <c r="V5027" t="s">
        <v>270</v>
      </c>
      <c r="W5027">
        <f>+COUNTIF(Table1[Column2],V5027)</f>
        <v>2</v>
      </c>
    </row>
    <row r="5028" spans="22:23">
      <c r="V5028" t="s">
        <v>271</v>
      </c>
      <c r="W5028">
        <f>+COUNTIF(Table1[Column2],V5028)</f>
        <v>2</v>
      </c>
    </row>
    <row r="5029" spans="22:23">
      <c r="V5029" t="s">
        <v>272</v>
      </c>
      <c r="W5029">
        <f>+COUNTIF(Table1[Column2],V5029)</f>
        <v>2</v>
      </c>
    </row>
    <row r="5030" spans="22:23">
      <c r="V5030" t="s">
        <v>273</v>
      </c>
      <c r="W5030">
        <f>+COUNTIF(Table1[Column2],V5030)</f>
        <v>2</v>
      </c>
    </row>
    <row r="5031" spans="22:23">
      <c r="V5031" t="s">
        <v>274</v>
      </c>
      <c r="W5031">
        <f>+COUNTIF(Table1[Column2],V5031)</f>
        <v>2</v>
      </c>
    </row>
    <row r="5032" spans="22:23">
      <c r="V5032" t="s">
        <v>276</v>
      </c>
      <c r="W5032">
        <f>+COUNTIF(Table1[Column2],V5032)</f>
        <v>2</v>
      </c>
    </row>
    <row r="5033" spans="22:23">
      <c r="V5033" t="s">
        <v>278</v>
      </c>
      <c r="W5033">
        <f>+COUNTIF(Table1[Column2],V5033)</f>
        <v>2</v>
      </c>
    </row>
    <row r="5034" spans="22:23">
      <c r="V5034" t="s">
        <v>279</v>
      </c>
      <c r="W5034">
        <f>+COUNTIF(Table1[Column2],V5034)</f>
        <v>2</v>
      </c>
    </row>
    <row r="5035" spans="22:23">
      <c r="V5035" t="s">
        <v>280</v>
      </c>
      <c r="W5035">
        <f>+COUNTIF(Table1[Column2],V5035)</f>
        <v>2</v>
      </c>
    </row>
    <row r="5036" spans="22:23">
      <c r="V5036" t="s">
        <v>281</v>
      </c>
      <c r="W5036">
        <f>+COUNTIF(Table1[Column2],V5036)</f>
        <v>2</v>
      </c>
    </row>
    <row r="5037" spans="22:23">
      <c r="V5037" t="s">
        <v>282</v>
      </c>
      <c r="W5037">
        <f>+COUNTIF(Table1[Column2],V5037)</f>
        <v>2</v>
      </c>
    </row>
    <row r="5038" spans="22:23">
      <c r="V5038" t="s">
        <v>283</v>
      </c>
      <c r="W5038">
        <f>+COUNTIF(Table1[Column2],V5038)</f>
        <v>2</v>
      </c>
    </row>
    <row r="5039" spans="22:23">
      <c r="V5039" t="s">
        <v>284</v>
      </c>
      <c r="W5039">
        <f>+COUNTIF(Table1[Column2],V5039)</f>
        <v>2</v>
      </c>
    </row>
    <row r="5040" spans="22:23">
      <c r="V5040" t="s">
        <v>285</v>
      </c>
      <c r="W5040">
        <f>+COUNTIF(Table1[Column2],V5040)</f>
        <v>2</v>
      </c>
    </row>
    <row r="5041" spans="22:23">
      <c r="V5041" t="s">
        <v>286</v>
      </c>
      <c r="W5041">
        <f>+COUNTIF(Table1[Column2],V5041)</f>
        <v>2</v>
      </c>
    </row>
    <row r="5042" spans="22:23">
      <c r="V5042" t="s">
        <v>287</v>
      </c>
      <c r="W5042">
        <f>+COUNTIF(Table1[Column2],V5042)</f>
        <v>2</v>
      </c>
    </row>
    <row r="5043" spans="22:23">
      <c r="V5043" t="s">
        <v>288</v>
      </c>
      <c r="W5043">
        <f>+COUNTIF(Table1[Column2],V5043)</f>
        <v>2</v>
      </c>
    </row>
    <row r="5044" spans="22:23">
      <c r="V5044" t="s">
        <v>289</v>
      </c>
      <c r="W5044">
        <f>+COUNTIF(Table1[Column2],V5044)</f>
        <v>2</v>
      </c>
    </row>
    <row r="5045" spans="22:23">
      <c r="V5045" t="s">
        <v>290</v>
      </c>
      <c r="W5045">
        <f>+COUNTIF(Table1[Column2],V5045)</f>
        <v>2</v>
      </c>
    </row>
    <row r="5046" spans="22:23">
      <c r="V5046" t="s">
        <v>291</v>
      </c>
      <c r="W5046">
        <f>+COUNTIF(Table1[Column2],V5046)</f>
        <v>2</v>
      </c>
    </row>
    <row r="5047" spans="22:23">
      <c r="V5047" t="s">
        <v>292</v>
      </c>
      <c r="W5047">
        <f>+COUNTIF(Table1[Column2],V5047)</f>
        <v>2</v>
      </c>
    </row>
    <row r="5048" spans="22:23">
      <c r="V5048" t="s">
        <v>293</v>
      </c>
      <c r="W5048">
        <f>+COUNTIF(Table1[Column2],V5048)</f>
        <v>2</v>
      </c>
    </row>
    <row r="5049" spans="22:23">
      <c r="V5049" t="s">
        <v>294</v>
      </c>
      <c r="W5049">
        <f>+COUNTIF(Table1[Column2],V5049)</f>
        <v>2</v>
      </c>
    </row>
    <row r="5050" spans="22:23">
      <c r="V5050" t="s">
        <v>295</v>
      </c>
      <c r="W5050">
        <f>+COUNTIF(Table1[Column2],V5050)</f>
        <v>2</v>
      </c>
    </row>
    <row r="5051" spans="22:23">
      <c r="V5051" t="s">
        <v>298</v>
      </c>
      <c r="W5051">
        <f>+COUNTIF(Table1[Column2],V5051)</f>
        <v>2</v>
      </c>
    </row>
    <row r="5052" spans="22:23">
      <c r="V5052" t="s">
        <v>299</v>
      </c>
      <c r="W5052">
        <f>+COUNTIF(Table1[Column2],V5052)</f>
        <v>2</v>
      </c>
    </row>
    <row r="5053" spans="22:23">
      <c r="V5053" t="s">
        <v>300</v>
      </c>
      <c r="W5053">
        <f>+COUNTIF(Table1[Column2],V5053)</f>
        <v>2</v>
      </c>
    </row>
    <row r="5054" spans="22:23">
      <c r="V5054" t="s">
        <v>302</v>
      </c>
      <c r="W5054">
        <f>+COUNTIF(Table1[Column2],V5054)</f>
        <v>2</v>
      </c>
    </row>
    <row r="5055" spans="22:23">
      <c r="V5055" t="s">
        <v>303</v>
      </c>
      <c r="W5055">
        <f>+COUNTIF(Table1[Column2],V5055)</f>
        <v>2</v>
      </c>
    </row>
    <row r="5056" spans="22:23">
      <c r="V5056" t="s">
        <v>304</v>
      </c>
      <c r="W5056">
        <f>+COUNTIF(Table1[Column2],V5056)</f>
        <v>2</v>
      </c>
    </row>
    <row r="5057" spans="22:23">
      <c r="V5057" t="s">
        <v>305</v>
      </c>
      <c r="W5057">
        <f>+COUNTIF(Table1[Column2],V5057)</f>
        <v>2</v>
      </c>
    </row>
    <row r="5058" spans="22:23">
      <c r="V5058" t="s">
        <v>306</v>
      </c>
      <c r="W5058">
        <f>+COUNTIF(Table1[Column2],V5058)</f>
        <v>2</v>
      </c>
    </row>
    <row r="5059" spans="22:23">
      <c r="V5059" t="s">
        <v>307</v>
      </c>
      <c r="W5059">
        <f>+COUNTIF(Table1[Column2],V5059)</f>
        <v>2</v>
      </c>
    </row>
    <row r="5060" spans="22:23">
      <c r="V5060" t="s">
        <v>308</v>
      </c>
      <c r="W5060">
        <f>+COUNTIF(Table1[Column2],V5060)</f>
        <v>2</v>
      </c>
    </row>
    <row r="5061" spans="22:23">
      <c r="V5061" t="s">
        <v>309</v>
      </c>
      <c r="W5061">
        <f>+COUNTIF(Table1[Column2],V5061)</f>
        <v>2</v>
      </c>
    </row>
    <row r="5062" spans="22:23">
      <c r="V5062" t="s">
        <v>310</v>
      </c>
      <c r="W5062">
        <f>+COUNTIF(Table1[Column2],V5062)</f>
        <v>2</v>
      </c>
    </row>
    <row r="5063" spans="22:23">
      <c r="V5063" t="s">
        <v>311</v>
      </c>
      <c r="W5063">
        <f>+COUNTIF(Table1[Column2],V5063)</f>
        <v>2</v>
      </c>
    </row>
    <row r="5064" spans="22:23">
      <c r="V5064" t="s">
        <v>312</v>
      </c>
      <c r="W5064">
        <f>+COUNTIF(Table1[Column2],V5064)</f>
        <v>2</v>
      </c>
    </row>
    <row r="5065" spans="22:23">
      <c r="V5065" t="s">
        <v>313</v>
      </c>
      <c r="W5065">
        <f>+COUNTIF(Table1[Column2],V5065)</f>
        <v>2</v>
      </c>
    </row>
    <row r="5066" spans="22:23">
      <c r="V5066" t="s">
        <v>314</v>
      </c>
      <c r="W5066">
        <f>+COUNTIF(Table1[Column2],V5066)</f>
        <v>2</v>
      </c>
    </row>
    <row r="5067" spans="22:23">
      <c r="V5067" t="s">
        <v>315</v>
      </c>
      <c r="W5067">
        <f>+COUNTIF(Table1[Column2],V5067)</f>
        <v>2</v>
      </c>
    </row>
    <row r="5068" spans="22:23">
      <c r="V5068" t="s">
        <v>316</v>
      </c>
      <c r="W5068">
        <f>+COUNTIF(Table1[Column2],V5068)</f>
        <v>2</v>
      </c>
    </row>
    <row r="5069" spans="22:23">
      <c r="V5069" t="s">
        <v>318</v>
      </c>
      <c r="W5069">
        <f>+COUNTIF(Table1[Column2],V5069)</f>
        <v>2</v>
      </c>
    </row>
    <row r="5070" spans="22:23">
      <c r="V5070" t="s">
        <v>320</v>
      </c>
      <c r="W5070">
        <f>+COUNTIF(Table1[Column2],V5070)</f>
        <v>2</v>
      </c>
    </row>
    <row r="5071" spans="22:23">
      <c r="V5071" t="s">
        <v>321</v>
      </c>
      <c r="W5071">
        <f>+COUNTIF(Table1[Column2],V5071)</f>
        <v>2</v>
      </c>
    </row>
    <row r="5072" spans="22:23">
      <c r="V5072" t="s">
        <v>322</v>
      </c>
      <c r="W5072">
        <f>+COUNTIF(Table1[Column2],V5072)</f>
        <v>2</v>
      </c>
    </row>
    <row r="5073" spans="22:23">
      <c r="V5073" t="s">
        <v>323</v>
      </c>
      <c r="W5073">
        <f>+COUNTIF(Table1[Column2],V5073)</f>
        <v>2</v>
      </c>
    </row>
    <row r="5074" spans="22:23">
      <c r="V5074" t="s">
        <v>324</v>
      </c>
      <c r="W5074">
        <f>+COUNTIF(Table1[Column2],V5074)</f>
        <v>2</v>
      </c>
    </row>
    <row r="5075" spans="22:23">
      <c r="V5075" t="s">
        <v>325</v>
      </c>
      <c r="W5075">
        <f>+COUNTIF(Table1[Column2],V5075)</f>
        <v>2</v>
      </c>
    </row>
    <row r="5076" spans="22:23">
      <c r="V5076" t="s">
        <v>326</v>
      </c>
      <c r="W5076">
        <f>+COUNTIF(Table1[Column2],V5076)</f>
        <v>2</v>
      </c>
    </row>
    <row r="5077" spans="22:23">
      <c r="V5077" t="s">
        <v>327</v>
      </c>
      <c r="W5077">
        <f>+COUNTIF(Table1[Column2],V5077)</f>
        <v>2</v>
      </c>
    </row>
    <row r="5078" spans="22:23">
      <c r="V5078" t="s">
        <v>328</v>
      </c>
      <c r="W5078">
        <f>+COUNTIF(Table1[Column2],V5078)</f>
        <v>2</v>
      </c>
    </row>
    <row r="5079" spans="22:23">
      <c r="V5079" t="s">
        <v>329</v>
      </c>
      <c r="W5079">
        <f>+COUNTIF(Table1[Column2],V5079)</f>
        <v>2</v>
      </c>
    </row>
    <row r="5080" spans="22:23">
      <c r="V5080" t="s">
        <v>330</v>
      </c>
      <c r="W5080">
        <f>+COUNTIF(Table1[Column2],V5080)</f>
        <v>2</v>
      </c>
    </row>
    <row r="5081" spans="22:23">
      <c r="V5081" t="s">
        <v>331</v>
      </c>
      <c r="W5081">
        <f>+COUNTIF(Table1[Column2],V5081)</f>
        <v>2</v>
      </c>
    </row>
    <row r="5082" spans="22:23">
      <c r="V5082" t="s">
        <v>332</v>
      </c>
      <c r="W5082">
        <f>+COUNTIF(Table1[Column2],V5082)</f>
        <v>2</v>
      </c>
    </row>
    <row r="5083" spans="22:23">
      <c r="V5083" t="s">
        <v>333</v>
      </c>
      <c r="W5083">
        <f>+COUNTIF(Table1[Column2],V5083)</f>
        <v>2</v>
      </c>
    </row>
    <row r="5084" spans="22:23">
      <c r="V5084" t="s">
        <v>334</v>
      </c>
      <c r="W5084">
        <f>+COUNTIF(Table1[Column2],V5084)</f>
        <v>2</v>
      </c>
    </row>
    <row r="5085" spans="22:23">
      <c r="V5085" t="s">
        <v>335</v>
      </c>
      <c r="W5085">
        <f>+COUNTIF(Table1[Column2],V5085)</f>
        <v>2</v>
      </c>
    </row>
    <row r="5086" spans="22:23">
      <c r="V5086" t="s">
        <v>336</v>
      </c>
      <c r="W5086">
        <f>+COUNTIF(Table1[Column2],V5086)</f>
        <v>2</v>
      </c>
    </row>
    <row r="5087" spans="22:23">
      <c r="V5087" t="s">
        <v>337</v>
      </c>
      <c r="W5087">
        <f>+COUNTIF(Table1[Column2],V5087)</f>
        <v>2</v>
      </c>
    </row>
    <row r="5088" spans="22:23">
      <c r="V5088" t="s">
        <v>338</v>
      </c>
      <c r="W5088">
        <f>+COUNTIF(Table1[Column2],V5088)</f>
        <v>2</v>
      </c>
    </row>
    <row r="5089" spans="22:23">
      <c r="V5089" t="s">
        <v>339</v>
      </c>
      <c r="W5089">
        <f>+COUNTIF(Table1[Column2],V5089)</f>
        <v>2</v>
      </c>
    </row>
    <row r="5090" spans="22:23">
      <c r="V5090" t="s">
        <v>340</v>
      </c>
      <c r="W5090">
        <f>+COUNTIF(Table1[Column2],V5090)</f>
        <v>2</v>
      </c>
    </row>
    <row r="5091" spans="22:23">
      <c r="V5091" t="s">
        <v>341</v>
      </c>
      <c r="W5091">
        <f>+COUNTIF(Table1[Column2],V5091)</f>
        <v>2</v>
      </c>
    </row>
    <row r="5092" spans="22:23">
      <c r="V5092" t="s">
        <v>342</v>
      </c>
      <c r="W5092">
        <f>+COUNTIF(Table1[Column2],V5092)</f>
        <v>2</v>
      </c>
    </row>
    <row r="5093" spans="22:23">
      <c r="V5093" t="s">
        <v>343</v>
      </c>
      <c r="W5093">
        <f>+COUNTIF(Table1[Column2],V5093)</f>
        <v>2</v>
      </c>
    </row>
    <row r="5094" spans="22:23">
      <c r="V5094" t="s">
        <v>344</v>
      </c>
      <c r="W5094">
        <f>+COUNTIF(Table1[Column2],V5094)</f>
        <v>2</v>
      </c>
    </row>
    <row r="5095" spans="22:23">
      <c r="V5095" t="s">
        <v>345</v>
      </c>
      <c r="W5095">
        <f>+COUNTIF(Table1[Column2],V5095)</f>
        <v>2</v>
      </c>
    </row>
    <row r="5096" spans="22:23">
      <c r="V5096" t="s">
        <v>346</v>
      </c>
      <c r="W5096">
        <f>+COUNTIF(Table1[Column2],V5096)</f>
        <v>2</v>
      </c>
    </row>
    <row r="5097" spans="22:23">
      <c r="V5097" t="s">
        <v>347</v>
      </c>
      <c r="W5097">
        <f>+COUNTIF(Table1[Column2],V5097)</f>
        <v>2</v>
      </c>
    </row>
    <row r="5098" spans="22:23">
      <c r="V5098" t="s">
        <v>348</v>
      </c>
      <c r="W5098">
        <f>+COUNTIF(Table1[Column2],V5098)</f>
        <v>2</v>
      </c>
    </row>
    <row r="5099" spans="22:23">
      <c r="V5099" t="s">
        <v>349</v>
      </c>
      <c r="W5099">
        <f>+COUNTIF(Table1[Column2],V5099)</f>
        <v>2</v>
      </c>
    </row>
    <row r="5100" spans="22:23">
      <c r="V5100" t="s">
        <v>350</v>
      </c>
      <c r="W5100">
        <f>+COUNTIF(Table1[Column2],V5100)</f>
        <v>2</v>
      </c>
    </row>
    <row r="5101" spans="22:23">
      <c r="V5101" t="s">
        <v>351</v>
      </c>
      <c r="W5101">
        <f>+COUNTIF(Table1[Column2],V5101)</f>
        <v>2</v>
      </c>
    </row>
    <row r="5102" spans="22:23">
      <c r="V5102" t="s">
        <v>352</v>
      </c>
      <c r="W5102">
        <f>+COUNTIF(Table1[Column2],V5102)</f>
        <v>2</v>
      </c>
    </row>
    <row r="5103" spans="22:23">
      <c r="V5103" t="s">
        <v>353</v>
      </c>
      <c r="W5103">
        <f>+COUNTIF(Table1[Column2],V5103)</f>
        <v>2</v>
      </c>
    </row>
    <row r="5104" spans="22:23">
      <c r="V5104" t="s">
        <v>354</v>
      </c>
      <c r="W5104">
        <f>+COUNTIF(Table1[Column2],V5104)</f>
        <v>2</v>
      </c>
    </row>
    <row r="5105" spans="22:23">
      <c r="V5105" t="s">
        <v>355</v>
      </c>
      <c r="W5105">
        <f>+COUNTIF(Table1[Column2],V5105)</f>
        <v>2</v>
      </c>
    </row>
    <row r="5106" spans="22:23">
      <c r="V5106" t="s">
        <v>356</v>
      </c>
      <c r="W5106">
        <f>+COUNTIF(Table1[Column2],V5106)</f>
        <v>2</v>
      </c>
    </row>
    <row r="5107" spans="22:23">
      <c r="V5107" t="s">
        <v>357</v>
      </c>
      <c r="W5107">
        <f>+COUNTIF(Table1[Column2],V5107)</f>
        <v>2</v>
      </c>
    </row>
    <row r="5108" spans="22:23">
      <c r="V5108" t="s">
        <v>358</v>
      </c>
      <c r="W5108">
        <f>+COUNTIF(Table1[Column2],V5108)</f>
        <v>2</v>
      </c>
    </row>
    <row r="5109" spans="22:23">
      <c r="V5109" t="s">
        <v>359</v>
      </c>
      <c r="W5109">
        <f>+COUNTIF(Table1[Column2],V5109)</f>
        <v>2</v>
      </c>
    </row>
    <row r="5110" spans="22:23">
      <c r="V5110" t="s">
        <v>360</v>
      </c>
      <c r="W5110">
        <f>+COUNTIF(Table1[Column2],V5110)</f>
        <v>2</v>
      </c>
    </row>
    <row r="5111" spans="22:23">
      <c r="V5111" t="s">
        <v>361</v>
      </c>
      <c r="W5111">
        <f>+COUNTIF(Table1[Column2],V5111)</f>
        <v>2</v>
      </c>
    </row>
    <row r="5112" spans="22:23">
      <c r="V5112" t="s">
        <v>362</v>
      </c>
      <c r="W5112">
        <f>+COUNTIF(Table1[Column2],V5112)</f>
        <v>2</v>
      </c>
    </row>
    <row r="5113" spans="22:23">
      <c r="V5113" t="s">
        <v>363</v>
      </c>
      <c r="W5113">
        <f>+COUNTIF(Table1[Column2],V5113)</f>
        <v>2</v>
      </c>
    </row>
    <row r="5114" spans="22:23">
      <c r="V5114" t="s">
        <v>364</v>
      </c>
      <c r="W5114">
        <f>+COUNTIF(Table1[Column2],V5114)</f>
        <v>2</v>
      </c>
    </row>
    <row r="5115" spans="22:23">
      <c r="V5115" t="s">
        <v>366</v>
      </c>
      <c r="W5115">
        <f>+COUNTIF(Table1[Column2],V5115)</f>
        <v>2</v>
      </c>
    </row>
    <row r="5116" spans="22:23">
      <c r="V5116" t="s">
        <v>367</v>
      </c>
      <c r="W5116">
        <f>+COUNTIF(Table1[Column2],V5116)</f>
        <v>2</v>
      </c>
    </row>
    <row r="5117" spans="22:23">
      <c r="V5117" t="s">
        <v>368</v>
      </c>
      <c r="W5117">
        <f>+COUNTIF(Table1[Column2],V5117)</f>
        <v>2</v>
      </c>
    </row>
    <row r="5118" spans="22:23">
      <c r="V5118" t="s">
        <v>370</v>
      </c>
      <c r="W5118">
        <f>+COUNTIF(Table1[Column2],V5118)</f>
        <v>2</v>
      </c>
    </row>
    <row r="5119" spans="22:23">
      <c r="V5119" t="s">
        <v>371</v>
      </c>
      <c r="W5119">
        <f>+COUNTIF(Table1[Column2],V5119)</f>
        <v>2</v>
      </c>
    </row>
    <row r="5120" spans="22:23">
      <c r="V5120" t="s">
        <v>373</v>
      </c>
      <c r="W5120">
        <f>+COUNTIF(Table1[Column2],V5120)</f>
        <v>2</v>
      </c>
    </row>
    <row r="5121" spans="22:23">
      <c r="V5121" t="s">
        <v>374</v>
      </c>
      <c r="W5121">
        <f>+COUNTIF(Table1[Column2],V5121)</f>
        <v>2</v>
      </c>
    </row>
    <row r="5122" spans="22:23">
      <c r="V5122" t="s">
        <v>376</v>
      </c>
      <c r="W5122">
        <f>+COUNTIF(Table1[Column2],V5122)</f>
        <v>2</v>
      </c>
    </row>
    <row r="5123" spans="22:23">
      <c r="V5123" t="s">
        <v>377</v>
      </c>
      <c r="W5123">
        <f>+COUNTIF(Table1[Column2],V5123)</f>
        <v>2</v>
      </c>
    </row>
    <row r="5124" spans="22:23">
      <c r="V5124" t="s">
        <v>378</v>
      </c>
      <c r="W5124">
        <f>+COUNTIF(Table1[Column2],V5124)</f>
        <v>2</v>
      </c>
    </row>
    <row r="5125" spans="22:23">
      <c r="V5125" t="s">
        <v>379</v>
      </c>
      <c r="W5125">
        <f>+COUNTIF(Table1[Column2],V5125)</f>
        <v>2</v>
      </c>
    </row>
    <row r="5126" spans="22:23">
      <c r="V5126" t="s">
        <v>380</v>
      </c>
      <c r="W5126">
        <f>+COUNTIF(Table1[Column2],V5126)</f>
        <v>2</v>
      </c>
    </row>
    <row r="5127" spans="22:23">
      <c r="V5127" t="s">
        <v>381</v>
      </c>
      <c r="W5127">
        <f>+COUNTIF(Table1[Column2],V5127)</f>
        <v>2</v>
      </c>
    </row>
    <row r="5128" spans="22:23">
      <c r="V5128" t="s">
        <v>382</v>
      </c>
      <c r="W5128">
        <f>+COUNTIF(Table1[Column2],V5128)</f>
        <v>2</v>
      </c>
    </row>
    <row r="5129" spans="22:23">
      <c r="V5129" t="s">
        <v>383</v>
      </c>
      <c r="W5129">
        <f>+COUNTIF(Table1[Column2],V5129)</f>
        <v>2</v>
      </c>
    </row>
    <row r="5130" spans="22:23">
      <c r="V5130" t="s">
        <v>384</v>
      </c>
      <c r="W5130">
        <f>+COUNTIF(Table1[Column2],V5130)</f>
        <v>2</v>
      </c>
    </row>
    <row r="5131" spans="22:23">
      <c r="V5131" t="s">
        <v>385</v>
      </c>
      <c r="W5131">
        <f>+COUNTIF(Table1[Column2],V5131)</f>
        <v>2</v>
      </c>
    </row>
    <row r="5132" spans="22:23">
      <c r="V5132" t="s">
        <v>386</v>
      </c>
      <c r="W5132">
        <f>+COUNTIF(Table1[Column2],V5132)</f>
        <v>2</v>
      </c>
    </row>
    <row r="5133" spans="22:23">
      <c r="V5133" t="s">
        <v>387</v>
      </c>
      <c r="W5133">
        <f>+COUNTIF(Table1[Column2],V5133)</f>
        <v>2</v>
      </c>
    </row>
    <row r="5134" spans="22:23">
      <c r="V5134" t="s">
        <v>388</v>
      </c>
      <c r="W5134">
        <f>+COUNTIF(Table1[Column2],V5134)</f>
        <v>2</v>
      </c>
    </row>
    <row r="5135" spans="22:23">
      <c r="V5135" t="s">
        <v>390</v>
      </c>
      <c r="W5135">
        <f>+COUNTIF(Table1[Column2],V5135)</f>
        <v>2</v>
      </c>
    </row>
    <row r="5136" spans="22:23">
      <c r="V5136" t="s">
        <v>391</v>
      </c>
      <c r="W5136">
        <f>+COUNTIF(Table1[Column2],V5136)</f>
        <v>2</v>
      </c>
    </row>
    <row r="5137" spans="22:23">
      <c r="V5137" t="s">
        <v>392</v>
      </c>
      <c r="W5137">
        <f>+COUNTIF(Table1[Column2],V5137)</f>
        <v>2</v>
      </c>
    </row>
    <row r="5138" spans="22:23">
      <c r="V5138" t="s">
        <v>393</v>
      </c>
      <c r="W5138">
        <f>+COUNTIF(Table1[Column2],V5138)</f>
        <v>2</v>
      </c>
    </row>
    <row r="5139" spans="22:23">
      <c r="V5139" t="s">
        <v>394</v>
      </c>
      <c r="W5139">
        <f>+COUNTIF(Table1[Column2],V5139)</f>
        <v>2</v>
      </c>
    </row>
    <row r="5140" spans="22:23">
      <c r="V5140" t="s">
        <v>395</v>
      </c>
      <c r="W5140">
        <f>+COUNTIF(Table1[Column2],V5140)</f>
        <v>2</v>
      </c>
    </row>
    <row r="5141" spans="22:23">
      <c r="V5141" t="s">
        <v>396</v>
      </c>
      <c r="W5141">
        <f>+COUNTIF(Table1[Column2],V5141)</f>
        <v>2</v>
      </c>
    </row>
    <row r="5142" spans="22:23">
      <c r="V5142" t="s">
        <v>397</v>
      </c>
      <c r="W5142">
        <f>+COUNTIF(Table1[Column2],V5142)</f>
        <v>2</v>
      </c>
    </row>
    <row r="5143" spans="22:23">
      <c r="V5143" t="s">
        <v>398</v>
      </c>
      <c r="W5143">
        <f>+COUNTIF(Table1[Column2],V5143)</f>
        <v>2</v>
      </c>
    </row>
    <row r="5144" spans="22:23">
      <c r="V5144" t="s">
        <v>399</v>
      </c>
      <c r="W5144">
        <f>+COUNTIF(Table1[Column2],V5144)</f>
        <v>2</v>
      </c>
    </row>
    <row r="5145" spans="22:23">
      <c r="V5145" t="s">
        <v>400</v>
      </c>
      <c r="W5145">
        <f>+COUNTIF(Table1[Column2],V5145)</f>
        <v>2</v>
      </c>
    </row>
    <row r="5146" spans="22:23">
      <c r="V5146" t="s">
        <v>401</v>
      </c>
      <c r="W5146">
        <f>+COUNTIF(Table1[Column2],V5146)</f>
        <v>2</v>
      </c>
    </row>
    <row r="5147" spans="22:23">
      <c r="V5147" t="s">
        <v>402</v>
      </c>
      <c r="W5147">
        <f>+COUNTIF(Table1[Column2],V5147)</f>
        <v>2</v>
      </c>
    </row>
    <row r="5148" spans="22:23">
      <c r="V5148" t="s">
        <v>403</v>
      </c>
      <c r="W5148">
        <f>+COUNTIF(Table1[Column2],V5148)</f>
        <v>2</v>
      </c>
    </row>
    <row r="5149" spans="22:23">
      <c r="V5149" t="s">
        <v>404</v>
      </c>
      <c r="W5149">
        <f>+COUNTIF(Table1[Column2],V5149)</f>
        <v>2</v>
      </c>
    </row>
    <row r="5150" spans="22:23">
      <c r="V5150" t="s">
        <v>406</v>
      </c>
      <c r="W5150">
        <f>+COUNTIF(Table1[Column2],V5150)</f>
        <v>2</v>
      </c>
    </row>
    <row r="5151" spans="22:23">
      <c r="V5151" t="s">
        <v>407</v>
      </c>
      <c r="W5151">
        <f>+COUNTIF(Table1[Column2],V5151)</f>
        <v>2</v>
      </c>
    </row>
    <row r="5152" spans="22:23">
      <c r="V5152" t="s">
        <v>408</v>
      </c>
      <c r="W5152">
        <f>+COUNTIF(Table1[Column2],V5152)</f>
        <v>2</v>
      </c>
    </row>
    <row r="5153" spans="22:23">
      <c r="V5153" t="s">
        <v>409</v>
      </c>
      <c r="W5153">
        <f>+COUNTIF(Table1[Column2],V5153)</f>
        <v>2</v>
      </c>
    </row>
    <row r="5154" spans="22:23">
      <c r="V5154" t="s">
        <v>410</v>
      </c>
      <c r="W5154">
        <f>+COUNTIF(Table1[Column2],V5154)</f>
        <v>2</v>
      </c>
    </row>
    <row r="5155" spans="22:23">
      <c r="V5155" t="s">
        <v>411</v>
      </c>
      <c r="W5155">
        <f>+COUNTIF(Table1[Column2],V5155)</f>
        <v>2</v>
      </c>
    </row>
    <row r="5156" spans="22:23">
      <c r="V5156" t="s">
        <v>412</v>
      </c>
      <c r="W5156">
        <f>+COUNTIF(Table1[Column2],V5156)</f>
        <v>2</v>
      </c>
    </row>
    <row r="5157" spans="22:23">
      <c r="V5157" t="s">
        <v>414</v>
      </c>
      <c r="W5157">
        <f>+COUNTIF(Table1[Column2],V5157)</f>
        <v>2</v>
      </c>
    </row>
    <row r="5158" spans="22:23">
      <c r="V5158" t="s">
        <v>415</v>
      </c>
      <c r="W5158">
        <f>+COUNTIF(Table1[Column2],V5158)</f>
        <v>2</v>
      </c>
    </row>
    <row r="5159" spans="22:23">
      <c r="V5159" t="s">
        <v>416</v>
      </c>
      <c r="W5159">
        <f>+COUNTIF(Table1[Column2],V5159)</f>
        <v>2</v>
      </c>
    </row>
    <row r="5160" spans="22:23">
      <c r="V5160" t="s">
        <v>417</v>
      </c>
      <c r="W5160">
        <f>+COUNTIF(Table1[Column2],V5160)</f>
        <v>2</v>
      </c>
    </row>
    <row r="5161" spans="22:23">
      <c r="V5161" t="s">
        <v>420</v>
      </c>
      <c r="W5161">
        <f>+COUNTIF(Table1[Column2],V5161)</f>
        <v>2</v>
      </c>
    </row>
    <row r="5162" spans="22:23">
      <c r="V5162" t="s">
        <v>421</v>
      </c>
      <c r="W5162">
        <f>+COUNTIF(Table1[Column2],V5162)</f>
        <v>2</v>
      </c>
    </row>
    <row r="5163" spans="22:23">
      <c r="V5163" t="s">
        <v>422</v>
      </c>
      <c r="W5163">
        <f>+COUNTIF(Table1[Column2],V5163)</f>
        <v>2</v>
      </c>
    </row>
    <row r="5164" spans="22:23">
      <c r="V5164" t="s">
        <v>423</v>
      </c>
      <c r="W5164">
        <f>+COUNTIF(Table1[Column2],V5164)</f>
        <v>2</v>
      </c>
    </row>
    <row r="5165" spans="22:23">
      <c r="V5165" t="s">
        <v>424</v>
      </c>
      <c r="W5165">
        <f>+COUNTIF(Table1[Column2],V5165)</f>
        <v>2</v>
      </c>
    </row>
    <row r="5166" spans="22:23">
      <c r="V5166" t="s">
        <v>425</v>
      </c>
      <c r="W5166">
        <f>+COUNTIF(Table1[Column2],V5166)</f>
        <v>2</v>
      </c>
    </row>
    <row r="5167" spans="22:23">
      <c r="V5167" t="s">
        <v>426</v>
      </c>
      <c r="W5167">
        <f>+COUNTIF(Table1[Column2],V5167)</f>
        <v>2</v>
      </c>
    </row>
    <row r="5168" spans="22:23">
      <c r="V5168" t="s">
        <v>427</v>
      </c>
      <c r="W5168">
        <f>+COUNTIF(Table1[Column2],V5168)</f>
        <v>2</v>
      </c>
    </row>
    <row r="5169" spans="22:23">
      <c r="V5169" t="s">
        <v>428</v>
      </c>
      <c r="W5169">
        <f>+COUNTIF(Table1[Column2],V5169)</f>
        <v>2</v>
      </c>
    </row>
    <row r="5170" spans="22:23">
      <c r="V5170" t="s">
        <v>429</v>
      </c>
      <c r="W5170">
        <f>+COUNTIF(Table1[Column2],V5170)</f>
        <v>2</v>
      </c>
    </row>
    <row r="5171" spans="22:23">
      <c r="V5171" t="s">
        <v>430</v>
      </c>
      <c r="W5171">
        <f>+COUNTIF(Table1[Column2],V5171)</f>
        <v>2</v>
      </c>
    </row>
    <row r="5172" spans="22:23">
      <c r="V5172" t="s">
        <v>431</v>
      </c>
      <c r="W5172">
        <f>+COUNTIF(Table1[Column2],V5172)</f>
        <v>2</v>
      </c>
    </row>
    <row r="5173" spans="22:23">
      <c r="V5173" t="s">
        <v>432</v>
      </c>
      <c r="W5173">
        <f>+COUNTIF(Table1[Column2],V5173)</f>
        <v>2</v>
      </c>
    </row>
    <row r="5174" spans="22:23">
      <c r="V5174" t="s">
        <v>433</v>
      </c>
      <c r="W5174">
        <f>+COUNTIF(Table1[Column2],V5174)</f>
        <v>2</v>
      </c>
    </row>
    <row r="5175" spans="22:23">
      <c r="V5175" t="s">
        <v>436</v>
      </c>
      <c r="W5175">
        <f>+COUNTIF(Table1[Column2],V5175)</f>
        <v>2</v>
      </c>
    </row>
    <row r="5176" spans="22:23">
      <c r="V5176" t="s">
        <v>437</v>
      </c>
      <c r="W5176">
        <f>+COUNTIF(Table1[Column2],V5176)</f>
        <v>2</v>
      </c>
    </row>
    <row r="5177" spans="22:23">
      <c r="V5177" t="s">
        <v>439</v>
      </c>
      <c r="W5177">
        <f>+COUNTIF(Table1[Column2],V5177)</f>
        <v>2</v>
      </c>
    </row>
    <row r="5178" spans="22:23">
      <c r="V5178" t="s">
        <v>440</v>
      </c>
      <c r="W5178">
        <f>+COUNTIF(Table1[Column2],V5178)</f>
        <v>2</v>
      </c>
    </row>
    <row r="5179" spans="22:23">
      <c r="V5179" t="s">
        <v>441</v>
      </c>
      <c r="W5179">
        <f>+COUNTIF(Table1[Column2],V5179)</f>
        <v>2</v>
      </c>
    </row>
    <row r="5180" spans="22:23">
      <c r="V5180" t="s">
        <v>442</v>
      </c>
      <c r="W5180">
        <f>+COUNTIF(Table1[Column2],V5180)</f>
        <v>2</v>
      </c>
    </row>
    <row r="5181" spans="22:23">
      <c r="V5181" t="s">
        <v>443</v>
      </c>
      <c r="W5181">
        <f>+COUNTIF(Table1[Column2],V5181)</f>
        <v>2</v>
      </c>
    </row>
    <row r="5182" spans="22:23">
      <c r="V5182" t="s">
        <v>445</v>
      </c>
      <c r="W5182">
        <f>+COUNTIF(Table1[Column2],V5182)</f>
        <v>2</v>
      </c>
    </row>
    <row r="5183" spans="22:23">
      <c r="V5183" t="s">
        <v>446</v>
      </c>
      <c r="W5183">
        <f>+COUNTIF(Table1[Column2],V5183)</f>
        <v>2</v>
      </c>
    </row>
    <row r="5184" spans="22:23">
      <c r="V5184" t="s">
        <v>447</v>
      </c>
      <c r="W5184">
        <f>+COUNTIF(Table1[Column2],V5184)</f>
        <v>2</v>
      </c>
    </row>
    <row r="5185" spans="22:23">
      <c r="V5185" t="s">
        <v>448</v>
      </c>
      <c r="W5185">
        <f>+COUNTIF(Table1[Column2],V5185)</f>
        <v>2</v>
      </c>
    </row>
    <row r="5186" spans="22:23">
      <c r="V5186" t="s">
        <v>449</v>
      </c>
      <c r="W5186">
        <f>+COUNTIF(Table1[Column2],V5186)</f>
        <v>2</v>
      </c>
    </row>
    <row r="5187" spans="22:23">
      <c r="V5187" t="s">
        <v>450</v>
      </c>
      <c r="W5187">
        <f>+COUNTIF(Table1[Column2],V5187)</f>
        <v>2</v>
      </c>
    </row>
    <row r="5188" spans="22:23">
      <c r="V5188" t="s">
        <v>451</v>
      </c>
      <c r="W5188">
        <f>+COUNTIF(Table1[Column2],V5188)</f>
        <v>2</v>
      </c>
    </row>
    <row r="5189" spans="22:23">
      <c r="V5189" t="s">
        <v>452</v>
      </c>
      <c r="W5189">
        <f>+COUNTIF(Table1[Column2],V5189)</f>
        <v>2</v>
      </c>
    </row>
    <row r="5190" spans="22:23">
      <c r="V5190" t="s">
        <v>453</v>
      </c>
      <c r="W5190">
        <f>+COUNTIF(Table1[Column2],V5190)</f>
        <v>2</v>
      </c>
    </row>
    <row r="5191" spans="22:23">
      <c r="V5191" t="s">
        <v>454</v>
      </c>
      <c r="W5191">
        <f>+COUNTIF(Table1[Column2],V5191)</f>
        <v>2</v>
      </c>
    </row>
    <row r="5192" spans="22:23">
      <c r="V5192" t="s">
        <v>455</v>
      </c>
      <c r="W5192">
        <f>+COUNTIF(Table1[Column2],V5192)</f>
        <v>2</v>
      </c>
    </row>
    <row r="5193" spans="22:23">
      <c r="V5193" t="s">
        <v>456</v>
      </c>
      <c r="W5193">
        <f>+COUNTIF(Table1[Column2],V5193)</f>
        <v>2</v>
      </c>
    </row>
    <row r="5194" spans="22:23">
      <c r="V5194" t="s">
        <v>457</v>
      </c>
      <c r="W5194">
        <f>+COUNTIF(Table1[Column2],V5194)</f>
        <v>2</v>
      </c>
    </row>
    <row r="5195" spans="22:23">
      <c r="V5195" t="s">
        <v>458</v>
      </c>
      <c r="W5195">
        <f>+COUNTIF(Table1[Column2],V5195)</f>
        <v>2</v>
      </c>
    </row>
    <row r="5196" spans="22:23">
      <c r="V5196" t="s">
        <v>459</v>
      </c>
      <c r="W5196">
        <f>+COUNTIF(Table1[Column2],V5196)</f>
        <v>2</v>
      </c>
    </row>
    <row r="5197" spans="22:23">
      <c r="V5197" t="s">
        <v>460</v>
      </c>
      <c r="W5197">
        <f>+COUNTIF(Table1[Column2],V5197)</f>
        <v>2</v>
      </c>
    </row>
    <row r="5198" spans="22:23">
      <c r="V5198" t="s">
        <v>461</v>
      </c>
      <c r="W5198">
        <f>+COUNTIF(Table1[Column2],V5198)</f>
        <v>2</v>
      </c>
    </row>
    <row r="5199" spans="22:23">
      <c r="V5199" t="s">
        <v>462</v>
      </c>
      <c r="W5199">
        <f>+COUNTIF(Table1[Column2],V5199)</f>
        <v>2</v>
      </c>
    </row>
    <row r="5200" spans="22:23">
      <c r="V5200" t="s">
        <v>463</v>
      </c>
      <c r="W5200">
        <f>+COUNTIF(Table1[Column2],V5200)</f>
        <v>2</v>
      </c>
    </row>
    <row r="5201" spans="22:23">
      <c r="V5201" t="s">
        <v>464</v>
      </c>
      <c r="W5201">
        <f>+COUNTIF(Table1[Column2],V5201)</f>
        <v>2</v>
      </c>
    </row>
    <row r="5202" spans="22:23">
      <c r="V5202" t="s">
        <v>465</v>
      </c>
      <c r="W5202">
        <f>+COUNTIF(Table1[Column2],V5202)</f>
        <v>2</v>
      </c>
    </row>
    <row r="5203" spans="22:23">
      <c r="V5203" t="s">
        <v>466</v>
      </c>
      <c r="W5203">
        <f>+COUNTIF(Table1[Column2],V5203)</f>
        <v>2</v>
      </c>
    </row>
    <row r="5204" spans="22:23">
      <c r="V5204" t="s">
        <v>467</v>
      </c>
      <c r="W5204">
        <f>+COUNTIF(Table1[Column2],V5204)</f>
        <v>2</v>
      </c>
    </row>
    <row r="5205" spans="22:23">
      <c r="V5205" t="s">
        <v>468</v>
      </c>
      <c r="W5205">
        <f>+COUNTIF(Table1[Column2],V5205)</f>
        <v>2</v>
      </c>
    </row>
    <row r="5206" spans="22:23">
      <c r="V5206" t="s">
        <v>469</v>
      </c>
      <c r="W5206">
        <f>+COUNTIF(Table1[Column2],V5206)</f>
        <v>2</v>
      </c>
    </row>
    <row r="5207" spans="22:23">
      <c r="V5207" t="s">
        <v>470</v>
      </c>
      <c r="W5207">
        <f>+COUNTIF(Table1[Column2],V5207)</f>
        <v>2</v>
      </c>
    </row>
    <row r="5208" spans="22:23">
      <c r="V5208" t="s">
        <v>471</v>
      </c>
      <c r="W5208">
        <f>+COUNTIF(Table1[Column2],V5208)</f>
        <v>2</v>
      </c>
    </row>
    <row r="5209" spans="22:23">
      <c r="V5209" t="s">
        <v>472</v>
      </c>
      <c r="W5209">
        <f>+COUNTIF(Table1[Column2],V5209)</f>
        <v>2</v>
      </c>
    </row>
    <row r="5210" spans="22:23">
      <c r="V5210" t="s">
        <v>473</v>
      </c>
      <c r="W5210">
        <f>+COUNTIF(Table1[Column2],V5210)</f>
        <v>2</v>
      </c>
    </row>
    <row r="5211" spans="22:23">
      <c r="V5211" t="s">
        <v>474</v>
      </c>
      <c r="W5211">
        <f>+COUNTIF(Table1[Column2],V5211)</f>
        <v>2</v>
      </c>
    </row>
    <row r="5212" spans="22:23">
      <c r="V5212" t="s">
        <v>475</v>
      </c>
      <c r="W5212">
        <f>+COUNTIF(Table1[Column2],V5212)</f>
        <v>2</v>
      </c>
    </row>
    <row r="5213" spans="22:23">
      <c r="V5213" t="s">
        <v>476</v>
      </c>
      <c r="W5213">
        <f>+COUNTIF(Table1[Column2],V5213)</f>
        <v>2</v>
      </c>
    </row>
    <row r="5214" spans="22:23">
      <c r="V5214" t="s">
        <v>479</v>
      </c>
      <c r="W5214">
        <f>+COUNTIF(Table1[Column2],V5214)</f>
        <v>2</v>
      </c>
    </row>
    <row r="5215" spans="22:23">
      <c r="V5215" t="s">
        <v>480</v>
      </c>
      <c r="W5215">
        <f>+COUNTIF(Table1[Column2],V5215)</f>
        <v>2</v>
      </c>
    </row>
    <row r="5216" spans="22:23">
      <c r="V5216" t="s">
        <v>481</v>
      </c>
      <c r="W5216">
        <f>+COUNTIF(Table1[Column2],V5216)</f>
        <v>2</v>
      </c>
    </row>
    <row r="5217" spans="22:23">
      <c r="V5217" t="s">
        <v>482</v>
      </c>
      <c r="W5217">
        <f>+COUNTIF(Table1[Column2],V5217)</f>
        <v>2</v>
      </c>
    </row>
    <row r="5218" spans="22:23">
      <c r="V5218" t="s">
        <v>483</v>
      </c>
      <c r="W5218">
        <f>+COUNTIF(Table1[Column2],V5218)</f>
        <v>2</v>
      </c>
    </row>
    <row r="5219" spans="22:23">
      <c r="V5219" t="s">
        <v>484</v>
      </c>
      <c r="W5219">
        <f>+COUNTIF(Table1[Column2],V5219)</f>
        <v>2</v>
      </c>
    </row>
    <row r="5220" spans="22:23">
      <c r="V5220" t="s">
        <v>485</v>
      </c>
      <c r="W5220">
        <f>+COUNTIF(Table1[Column2],V5220)</f>
        <v>2</v>
      </c>
    </row>
    <row r="5221" spans="22:23">
      <c r="V5221" t="s">
        <v>486</v>
      </c>
      <c r="W5221">
        <f>+COUNTIF(Table1[Column2],V5221)</f>
        <v>2</v>
      </c>
    </row>
    <row r="5222" spans="22:23">
      <c r="V5222" t="s">
        <v>487</v>
      </c>
      <c r="W5222">
        <f>+COUNTIF(Table1[Column2],V5222)</f>
        <v>2</v>
      </c>
    </row>
    <row r="5223" spans="22:23">
      <c r="V5223" t="s">
        <v>488</v>
      </c>
      <c r="W5223">
        <f>+COUNTIF(Table1[Column2],V5223)</f>
        <v>2</v>
      </c>
    </row>
    <row r="5224" spans="22:23">
      <c r="V5224" t="s">
        <v>489</v>
      </c>
      <c r="W5224">
        <f>+COUNTIF(Table1[Column2],V5224)</f>
        <v>2</v>
      </c>
    </row>
    <row r="5225" spans="22:23">
      <c r="V5225" t="s">
        <v>490</v>
      </c>
      <c r="W5225">
        <f>+COUNTIF(Table1[Column2],V5225)</f>
        <v>2</v>
      </c>
    </row>
    <row r="5226" spans="22:23">
      <c r="V5226" t="s">
        <v>491</v>
      </c>
      <c r="W5226">
        <f>+COUNTIF(Table1[Column2],V5226)</f>
        <v>2</v>
      </c>
    </row>
    <row r="5227" spans="22:23">
      <c r="V5227" t="s">
        <v>492</v>
      </c>
      <c r="W5227">
        <f>+COUNTIF(Table1[Column2],V5227)</f>
        <v>2</v>
      </c>
    </row>
    <row r="5228" spans="22:23">
      <c r="V5228" t="s">
        <v>493</v>
      </c>
      <c r="W5228">
        <f>+COUNTIF(Table1[Column2],V5228)</f>
        <v>2</v>
      </c>
    </row>
    <row r="5229" spans="22:23">
      <c r="V5229" t="s">
        <v>494</v>
      </c>
      <c r="W5229">
        <f>+COUNTIF(Table1[Column2],V5229)</f>
        <v>2</v>
      </c>
    </row>
    <row r="5230" spans="22:23">
      <c r="V5230" t="s">
        <v>496</v>
      </c>
      <c r="W5230">
        <f>+COUNTIF(Table1[Column2],V5230)</f>
        <v>2</v>
      </c>
    </row>
    <row r="5231" spans="22:23">
      <c r="V5231" t="s">
        <v>497</v>
      </c>
      <c r="W5231">
        <f>+COUNTIF(Table1[Column2],V5231)</f>
        <v>2</v>
      </c>
    </row>
    <row r="5232" spans="22:23">
      <c r="V5232" t="s">
        <v>498</v>
      </c>
      <c r="W5232">
        <f>+COUNTIF(Table1[Column2],V5232)</f>
        <v>2</v>
      </c>
    </row>
    <row r="5233" spans="22:23">
      <c r="V5233" t="s">
        <v>499</v>
      </c>
      <c r="W5233">
        <f>+COUNTIF(Table1[Column2],V5233)</f>
        <v>2</v>
      </c>
    </row>
    <row r="5234" spans="22:23">
      <c r="V5234" t="s">
        <v>500</v>
      </c>
      <c r="W5234">
        <f>+COUNTIF(Table1[Column2],V5234)</f>
        <v>2</v>
      </c>
    </row>
    <row r="5235" spans="22:23">
      <c r="V5235" t="s">
        <v>501</v>
      </c>
      <c r="W5235">
        <f>+COUNTIF(Table1[Column2],V5235)</f>
        <v>2</v>
      </c>
    </row>
    <row r="5236" spans="22:23">
      <c r="V5236" t="s">
        <v>502</v>
      </c>
      <c r="W5236">
        <f>+COUNTIF(Table1[Column2],V5236)</f>
        <v>2</v>
      </c>
    </row>
    <row r="5237" spans="22:23">
      <c r="V5237" t="s">
        <v>503</v>
      </c>
      <c r="W5237">
        <f>+COUNTIF(Table1[Column2],V5237)</f>
        <v>2</v>
      </c>
    </row>
    <row r="5238" spans="22:23">
      <c r="V5238" t="s">
        <v>504</v>
      </c>
      <c r="W5238">
        <f>+COUNTIF(Table1[Column2],V5238)</f>
        <v>2</v>
      </c>
    </row>
    <row r="5239" spans="22:23">
      <c r="V5239" t="s">
        <v>505</v>
      </c>
      <c r="W5239">
        <f>+COUNTIF(Table1[Column2],V5239)</f>
        <v>2</v>
      </c>
    </row>
    <row r="5240" spans="22:23">
      <c r="V5240" t="s">
        <v>506</v>
      </c>
      <c r="W5240">
        <f>+COUNTIF(Table1[Column2],V5240)</f>
        <v>2</v>
      </c>
    </row>
    <row r="5241" spans="22:23">
      <c r="V5241" t="s">
        <v>507</v>
      </c>
      <c r="W5241">
        <f>+COUNTIF(Table1[Column2],V5241)</f>
        <v>2</v>
      </c>
    </row>
    <row r="5242" spans="22:23">
      <c r="V5242" t="s">
        <v>508</v>
      </c>
      <c r="W5242">
        <f>+COUNTIF(Table1[Column2],V5242)</f>
        <v>2</v>
      </c>
    </row>
    <row r="5243" spans="22:23">
      <c r="V5243" t="s">
        <v>509</v>
      </c>
      <c r="W5243">
        <f>+COUNTIF(Table1[Column2],V5243)</f>
        <v>2</v>
      </c>
    </row>
    <row r="5244" spans="22:23">
      <c r="V5244" t="s">
        <v>510</v>
      </c>
      <c r="W5244">
        <f>+COUNTIF(Table1[Column2],V5244)</f>
        <v>2</v>
      </c>
    </row>
    <row r="5245" spans="22:23">
      <c r="V5245" t="s">
        <v>511</v>
      </c>
      <c r="W5245">
        <f>+COUNTIF(Table1[Column2],V5245)</f>
        <v>2</v>
      </c>
    </row>
    <row r="5246" spans="22:23">
      <c r="V5246" t="s">
        <v>512</v>
      </c>
      <c r="W5246">
        <f>+COUNTIF(Table1[Column2],V5246)</f>
        <v>2</v>
      </c>
    </row>
    <row r="5247" spans="22:23">
      <c r="V5247" t="s">
        <v>513</v>
      </c>
      <c r="W5247">
        <f>+COUNTIF(Table1[Column2],V5247)</f>
        <v>2</v>
      </c>
    </row>
    <row r="5248" spans="22:23">
      <c r="V5248" t="s">
        <v>514</v>
      </c>
      <c r="W5248">
        <f>+COUNTIF(Table1[Column2],V5248)</f>
        <v>2</v>
      </c>
    </row>
    <row r="5249" spans="22:23">
      <c r="V5249" t="s">
        <v>515</v>
      </c>
      <c r="W5249">
        <f>+COUNTIF(Table1[Column2],V5249)</f>
        <v>2</v>
      </c>
    </row>
    <row r="5250" spans="22:23">
      <c r="V5250" t="s">
        <v>516</v>
      </c>
      <c r="W5250">
        <f>+COUNTIF(Table1[Column2],V5250)</f>
        <v>2</v>
      </c>
    </row>
    <row r="5251" spans="22:23">
      <c r="V5251" t="s">
        <v>517</v>
      </c>
      <c r="W5251">
        <f>+COUNTIF(Table1[Column2],V5251)</f>
        <v>2</v>
      </c>
    </row>
    <row r="5252" spans="22:23">
      <c r="V5252" t="s">
        <v>518</v>
      </c>
      <c r="W5252">
        <f>+COUNTIF(Table1[Column2],V5252)</f>
        <v>2</v>
      </c>
    </row>
    <row r="5253" spans="22:23">
      <c r="V5253" t="s">
        <v>519</v>
      </c>
      <c r="W5253">
        <f>+COUNTIF(Table1[Column2],V5253)</f>
        <v>2</v>
      </c>
    </row>
    <row r="5254" spans="22:23">
      <c r="V5254" t="s">
        <v>521</v>
      </c>
      <c r="W5254">
        <f>+COUNTIF(Table1[Column2],V5254)</f>
        <v>2</v>
      </c>
    </row>
    <row r="5255" spans="22:23">
      <c r="V5255" t="s">
        <v>522</v>
      </c>
      <c r="W5255">
        <f>+COUNTIF(Table1[Column2],V5255)</f>
        <v>2</v>
      </c>
    </row>
    <row r="5256" spans="22:23">
      <c r="V5256" t="s">
        <v>523</v>
      </c>
      <c r="W5256">
        <f>+COUNTIF(Table1[Column2],V5256)</f>
        <v>2</v>
      </c>
    </row>
    <row r="5257" spans="22:23">
      <c r="V5257" t="s">
        <v>527</v>
      </c>
      <c r="W5257">
        <f>+COUNTIF(Table1[Column2],V5257)</f>
        <v>2</v>
      </c>
    </row>
    <row r="5258" spans="22:23">
      <c r="V5258" t="s">
        <v>529</v>
      </c>
      <c r="W5258">
        <f>+COUNTIF(Table1[Column2],V5258)</f>
        <v>2</v>
      </c>
    </row>
    <row r="5259" spans="22:23">
      <c r="V5259" t="s">
        <v>530</v>
      </c>
      <c r="W5259">
        <f>+COUNTIF(Table1[Column2],V5259)</f>
        <v>2</v>
      </c>
    </row>
    <row r="5260" spans="22:23">
      <c r="V5260" t="s">
        <v>531</v>
      </c>
      <c r="W5260">
        <f>+COUNTIF(Table1[Column2],V5260)</f>
        <v>2</v>
      </c>
    </row>
    <row r="5261" spans="22:23">
      <c r="V5261" t="s">
        <v>532</v>
      </c>
      <c r="W5261">
        <f>+COUNTIF(Table1[Column2],V5261)</f>
        <v>2</v>
      </c>
    </row>
    <row r="5262" spans="22:23">
      <c r="V5262" t="s">
        <v>533</v>
      </c>
      <c r="W5262">
        <f>+COUNTIF(Table1[Column2],V5262)</f>
        <v>2</v>
      </c>
    </row>
    <row r="5263" spans="22:23">
      <c r="V5263" t="s">
        <v>534</v>
      </c>
      <c r="W5263">
        <f>+COUNTIF(Table1[Column2],V5263)</f>
        <v>2</v>
      </c>
    </row>
    <row r="5264" spans="22:23">
      <c r="V5264" t="s">
        <v>541</v>
      </c>
      <c r="W5264">
        <f>+COUNTIF(Table1[Column2],V5264)</f>
        <v>2</v>
      </c>
    </row>
    <row r="5265" spans="22:23">
      <c r="V5265" t="s">
        <v>542</v>
      </c>
      <c r="W5265">
        <f>+COUNTIF(Table1[Column2],V5265)</f>
        <v>2</v>
      </c>
    </row>
    <row r="5266" spans="22:23">
      <c r="V5266" t="s">
        <v>543</v>
      </c>
      <c r="W5266">
        <f>+COUNTIF(Table1[Column2],V5266)</f>
        <v>2</v>
      </c>
    </row>
    <row r="5267" spans="22:23">
      <c r="V5267" t="s">
        <v>545</v>
      </c>
      <c r="W5267">
        <f>+COUNTIF(Table1[Column2],V5267)</f>
        <v>2</v>
      </c>
    </row>
    <row r="5268" spans="22:23">
      <c r="V5268" t="s">
        <v>547</v>
      </c>
      <c r="W5268">
        <f>+COUNTIF(Table1[Column2],V5268)</f>
        <v>2</v>
      </c>
    </row>
    <row r="5269" spans="22:23">
      <c r="V5269" t="s">
        <v>548</v>
      </c>
      <c r="W5269">
        <f>+COUNTIF(Table1[Column2],V5269)</f>
        <v>2</v>
      </c>
    </row>
    <row r="5270" spans="22:23">
      <c r="V5270" t="s">
        <v>549</v>
      </c>
      <c r="W5270">
        <f>+COUNTIF(Table1[Column2],V5270)</f>
        <v>2</v>
      </c>
    </row>
    <row r="5271" spans="22:23">
      <c r="V5271" t="s">
        <v>550</v>
      </c>
      <c r="W5271">
        <f>+COUNTIF(Table1[Column2],V5271)</f>
        <v>2</v>
      </c>
    </row>
    <row r="5272" spans="22:23">
      <c r="V5272" t="s">
        <v>551</v>
      </c>
      <c r="W5272">
        <f>+COUNTIF(Table1[Column2],V5272)</f>
        <v>2</v>
      </c>
    </row>
    <row r="5273" spans="22:23">
      <c r="V5273" t="s">
        <v>557</v>
      </c>
      <c r="W5273">
        <f>+COUNTIF(Table1[Column2],V5273)</f>
        <v>2</v>
      </c>
    </row>
    <row r="5274" spans="22:23">
      <c r="V5274" t="s">
        <v>560</v>
      </c>
      <c r="W5274">
        <f>+COUNTIF(Table1[Column2],V5274)</f>
        <v>2</v>
      </c>
    </row>
    <row r="5275" spans="22:23">
      <c r="V5275" t="s">
        <v>561</v>
      </c>
      <c r="W5275">
        <f>+COUNTIF(Table1[Column2],V5275)</f>
        <v>2</v>
      </c>
    </row>
    <row r="5276" spans="22:23">
      <c r="V5276" t="s">
        <v>562</v>
      </c>
      <c r="W5276">
        <f>+COUNTIF(Table1[Column2],V5276)</f>
        <v>2</v>
      </c>
    </row>
    <row r="5277" spans="22:23">
      <c r="V5277" t="s">
        <v>563</v>
      </c>
      <c r="W5277">
        <f>+COUNTIF(Table1[Column2],V5277)</f>
        <v>2</v>
      </c>
    </row>
    <row r="5278" spans="22:23">
      <c r="V5278" t="s">
        <v>565</v>
      </c>
      <c r="W5278">
        <f>+COUNTIF(Table1[Column2],V5278)</f>
        <v>2</v>
      </c>
    </row>
    <row r="5279" spans="22:23">
      <c r="V5279" t="s">
        <v>569</v>
      </c>
      <c r="W5279">
        <f>+COUNTIF(Table1[Column2],V5279)</f>
        <v>2</v>
      </c>
    </row>
    <row r="5280" spans="22:23">
      <c r="V5280" t="s">
        <v>570</v>
      </c>
      <c r="W5280">
        <f>+COUNTIF(Table1[Column2],V5280)</f>
        <v>2</v>
      </c>
    </row>
    <row r="5281" spans="22:23">
      <c r="V5281" t="s">
        <v>571</v>
      </c>
      <c r="W5281">
        <f>+COUNTIF(Table1[Column2],V5281)</f>
        <v>2</v>
      </c>
    </row>
    <row r="5282" spans="22:23">
      <c r="V5282" t="s">
        <v>572</v>
      </c>
      <c r="W5282">
        <f>+COUNTIF(Table1[Column2],V5282)</f>
        <v>2</v>
      </c>
    </row>
    <row r="5283" spans="22:23">
      <c r="V5283" t="s">
        <v>573</v>
      </c>
      <c r="W5283">
        <f>+COUNTIF(Table1[Column2],V5283)</f>
        <v>2</v>
      </c>
    </row>
    <row r="5284" spans="22:23">
      <c r="V5284" t="s">
        <v>574</v>
      </c>
      <c r="W5284">
        <f>+COUNTIF(Table1[Column2],V5284)</f>
        <v>2</v>
      </c>
    </row>
    <row r="5285" spans="22:23">
      <c r="V5285" t="s">
        <v>575</v>
      </c>
      <c r="W5285">
        <f>+COUNTIF(Table1[Column2],V5285)</f>
        <v>2</v>
      </c>
    </row>
    <row r="5286" spans="22:23">
      <c r="V5286" t="s">
        <v>576</v>
      </c>
      <c r="W5286">
        <f>+COUNTIF(Table1[Column2],V5286)</f>
        <v>2</v>
      </c>
    </row>
    <row r="5287" spans="22:23">
      <c r="V5287" t="s">
        <v>577</v>
      </c>
      <c r="W5287">
        <f>+COUNTIF(Table1[Column2],V5287)</f>
        <v>2</v>
      </c>
    </row>
    <row r="5288" spans="22:23">
      <c r="V5288" t="s">
        <v>578</v>
      </c>
      <c r="W5288">
        <f>+COUNTIF(Table1[Column2],V5288)</f>
        <v>2</v>
      </c>
    </row>
    <row r="5289" spans="22:23">
      <c r="V5289" t="s">
        <v>579</v>
      </c>
      <c r="W5289">
        <f>+COUNTIF(Table1[Column2],V5289)</f>
        <v>2</v>
      </c>
    </row>
    <row r="5290" spans="22:23">
      <c r="V5290" t="s">
        <v>580</v>
      </c>
      <c r="W5290">
        <f>+COUNTIF(Table1[Column2],V5290)</f>
        <v>2</v>
      </c>
    </row>
    <row r="5291" spans="22:23">
      <c r="V5291" t="s">
        <v>581</v>
      </c>
      <c r="W5291">
        <f>+COUNTIF(Table1[Column2],V5291)</f>
        <v>2</v>
      </c>
    </row>
    <row r="5292" spans="22:23">
      <c r="V5292" t="s">
        <v>582</v>
      </c>
      <c r="W5292">
        <f>+COUNTIF(Table1[Column2],V5292)</f>
        <v>2</v>
      </c>
    </row>
    <row r="5293" spans="22:23">
      <c r="V5293" t="s">
        <v>583</v>
      </c>
      <c r="W5293">
        <f>+COUNTIF(Table1[Column2],V5293)</f>
        <v>2</v>
      </c>
    </row>
    <row r="5294" spans="22:23">
      <c r="V5294" t="s">
        <v>584</v>
      </c>
      <c r="W5294">
        <f>+COUNTIF(Table1[Column2],V5294)</f>
        <v>2</v>
      </c>
    </row>
    <row r="5295" spans="22:23">
      <c r="V5295" t="s">
        <v>585</v>
      </c>
      <c r="W5295">
        <f>+COUNTIF(Table1[Column2],V5295)</f>
        <v>2</v>
      </c>
    </row>
    <row r="5296" spans="22:23">
      <c r="V5296" t="s">
        <v>586</v>
      </c>
      <c r="W5296">
        <f>+COUNTIF(Table1[Column2],V5296)</f>
        <v>2</v>
      </c>
    </row>
    <row r="5297" spans="22:23">
      <c r="V5297" t="s">
        <v>587</v>
      </c>
      <c r="W5297">
        <f>+COUNTIF(Table1[Column2],V5297)</f>
        <v>2</v>
      </c>
    </row>
    <row r="5298" spans="22:23">
      <c r="V5298" t="s">
        <v>588</v>
      </c>
      <c r="W5298">
        <f>+COUNTIF(Table1[Column2],V5298)</f>
        <v>2</v>
      </c>
    </row>
    <row r="5299" spans="22:23">
      <c r="V5299" t="s">
        <v>589</v>
      </c>
      <c r="W5299">
        <f>+COUNTIF(Table1[Column2],V5299)</f>
        <v>2</v>
      </c>
    </row>
    <row r="5300" spans="22:23">
      <c r="V5300" t="s">
        <v>590</v>
      </c>
      <c r="W5300">
        <f>+COUNTIF(Table1[Column2],V5300)</f>
        <v>2</v>
      </c>
    </row>
    <row r="5301" spans="22:23">
      <c r="V5301" t="s">
        <v>591</v>
      </c>
      <c r="W5301">
        <f>+COUNTIF(Table1[Column2],V5301)</f>
        <v>2</v>
      </c>
    </row>
    <row r="5302" spans="22:23">
      <c r="V5302" t="s">
        <v>594</v>
      </c>
      <c r="W5302">
        <f>+COUNTIF(Table1[Column2],V5302)</f>
        <v>2</v>
      </c>
    </row>
    <row r="5303" spans="22:23">
      <c r="V5303" t="s">
        <v>595</v>
      </c>
      <c r="W5303">
        <f>+COUNTIF(Table1[Column2],V5303)</f>
        <v>2</v>
      </c>
    </row>
    <row r="5304" spans="22:23">
      <c r="V5304" t="s">
        <v>597</v>
      </c>
      <c r="W5304">
        <f>+COUNTIF(Table1[Column2],V5304)</f>
        <v>2</v>
      </c>
    </row>
    <row r="5305" spans="22:23">
      <c r="V5305" t="s">
        <v>598</v>
      </c>
      <c r="W5305">
        <f>+COUNTIF(Table1[Column2],V5305)</f>
        <v>2</v>
      </c>
    </row>
    <row r="5306" spans="22:23">
      <c r="V5306" t="s">
        <v>599</v>
      </c>
      <c r="W5306">
        <f>+COUNTIF(Table1[Column2],V5306)</f>
        <v>2</v>
      </c>
    </row>
    <row r="5307" spans="22:23">
      <c r="V5307" t="s">
        <v>600</v>
      </c>
      <c r="W5307">
        <f>+COUNTIF(Table1[Column2],V5307)</f>
        <v>2</v>
      </c>
    </row>
    <row r="5308" spans="22:23">
      <c r="V5308" t="s">
        <v>601</v>
      </c>
      <c r="W5308">
        <f>+COUNTIF(Table1[Column2],V5308)</f>
        <v>2</v>
      </c>
    </row>
    <row r="5309" spans="22:23">
      <c r="V5309" t="s">
        <v>602</v>
      </c>
      <c r="W5309">
        <f>+COUNTIF(Table1[Column2],V5309)</f>
        <v>2</v>
      </c>
    </row>
    <row r="5310" spans="22:23">
      <c r="V5310" t="s">
        <v>603</v>
      </c>
      <c r="W5310">
        <f>+COUNTIF(Table1[Column2],V5310)</f>
        <v>2</v>
      </c>
    </row>
    <row r="5311" spans="22:23">
      <c r="V5311" t="s">
        <v>604</v>
      </c>
      <c r="W5311">
        <f>+COUNTIF(Table1[Column2],V5311)</f>
        <v>2</v>
      </c>
    </row>
    <row r="5312" spans="22:23">
      <c r="V5312" t="s">
        <v>605</v>
      </c>
      <c r="W5312">
        <f>+COUNTIF(Table1[Column2],V5312)</f>
        <v>2</v>
      </c>
    </row>
    <row r="5313" spans="22:23">
      <c r="V5313" t="s">
        <v>606</v>
      </c>
      <c r="W5313">
        <f>+COUNTIF(Table1[Column2],V5313)</f>
        <v>2</v>
      </c>
    </row>
    <row r="5314" spans="22:23">
      <c r="V5314" t="s">
        <v>607</v>
      </c>
      <c r="W5314">
        <f>+COUNTIF(Table1[Column2],V5314)</f>
        <v>2</v>
      </c>
    </row>
    <row r="5315" spans="22:23">
      <c r="V5315" t="s">
        <v>609</v>
      </c>
      <c r="W5315">
        <f>+COUNTIF(Table1[Column2],V5315)</f>
        <v>2</v>
      </c>
    </row>
    <row r="5316" spans="22:23">
      <c r="V5316" t="s">
        <v>610</v>
      </c>
      <c r="W5316">
        <f>+COUNTIF(Table1[Column2],V5316)</f>
        <v>2</v>
      </c>
    </row>
    <row r="5317" spans="22:23">
      <c r="V5317" t="s">
        <v>611</v>
      </c>
      <c r="W5317">
        <f>+COUNTIF(Table1[Column2],V5317)</f>
        <v>2</v>
      </c>
    </row>
    <row r="5318" spans="22:23">
      <c r="V5318" t="s">
        <v>612</v>
      </c>
      <c r="W5318">
        <f>+COUNTIF(Table1[Column2],V5318)</f>
        <v>2</v>
      </c>
    </row>
    <row r="5319" spans="22:23">
      <c r="V5319" t="s">
        <v>613</v>
      </c>
      <c r="W5319">
        <f>+COUNTIF(Table1[Column2],V5319)</f>
        <v>2</v>
      </c>
    </row>
    <row r="5320" spans="22:23">
      <c r="V5320" t="s">
        <v>614</v>
      </c>
      <c r="W5320">
        <f>+COUNTIF(Table1[Column2],V5320)</f>
        <v>2</v>
      </c>
    </row>
    <row r="5321" spans="22:23">
      <c r="V5321" t="s">
        <v>615</v>
      </c>
      <c r="W5321">
        <f>+COUNTIF(Table1[Column2],V5321)</f>
        <v>2</v>
      </c>
    </row>
    <row r="5322" spans="22:23">
      <c r="V5322" t="s">
        <v>616</v>
      </c>
      <c r="W5322">
        <f>+COUNTIF(Table1[Column2],V5322)</f>
        <v>2</v>
      </c>
    </row>
    <row r="5323" spans="22:23">
      <c r="V5323" t="s">
        <v>618</v>
      </c>
      <c r="W5323">
        <f>+COUNTIF(Table1[Column2],V5323)</f>
        <v>2</v>
      </c>
    </row>
    <row r="5324" spans="22:23">
      <c r="V5324" t="s">
        <v>620</v>
      </c>
      <c r="W5324">
        <f>+COUNTIF(Table1[Column2],V5324)</f>
        <v>2</v>
      </c>
    </row>
    <row r="5325" spans="22:23">
      <c r="V5325" t="s">
        <v>621</v>
      </c>
      <c r="W5325">
        <f>+COUNTIF(Table1[Column2],V5325)</f>
        <v>2</v>
      </c>
    </row>
    <row r="5326" spans="22:23">
      <c r="V5326" t="s">
        <v>622</v>
      </c>
      <c r="W5326">
        <f>+COUNTIF(Table1[Column2],V5326)</f>
        <v>2</v>
      </c>
    </row>
    <row r="5327" spans="22:23">
      <c r="V5327" t="s">
        <v>623</v>
      </c>
      <c r="W5327">
        <f>+COUNTIF(Table1[Column2],V5327)</f>
        <v>2</v>
      </c>
    </row>
    <row r="5328" spans="22:23">
      <c r="V5328" t="s">
        <v>624</v>
      </c>
      <c r="W5328">
        <f>+COUNTIF(Table1[Column2],V5328)</f>
        <v>2</v>
      </c>
    </row>
    <row r="5329" spans="22:23">
      <c r="V5329" t="s">
        <v>625</v>
      </c>
      <c r="W5329">
        <f>+COUNTIF(Table1[Column2],V5329)</f>
        <v>2</v>
      </c>
    </row>
    <row r="5330" spans="22:23">
      <c r="V5330" t="s">
        <v>626</v>
      </c>
      <c r="W5330">
        <f>+COUNTIF(Table1[Column2],V5330)</f>
        <v>2</v>
      </c>
    </row>
    <row r="5331" spans="22:23">
      <c r="V5331" t="s">
        <v>627</v>
      </c>
      <c r="W5331">
        <f>+COUNTIF(Table1[Column2],V5331)</f>
        <v>2</v>
      </c>
    </row>
    <row r="5332" spans="22:23">
      <c r="V5332" t="s">
        <v>628</v>
      </c>
      <c r="W5332">
        <f>+COUNTIF(Table1[Column2],V5332)</f>
        <v>2</v>
      </c>
    </row>
    <row r="5333" spans="22:23">
      <c r="V5333" t="s">
        <v>629</v>
      </c>
      <c r="W5333">
        <f>+COUNTIF(Table1[Column2],V5333)</f>
        <v>2</v>
      </c>
    </row>
    <row r="5334" spans="22:23">
      <c r="V5334" t="s">
        <v>630</v>
      </c>
      <c r="W5334">
        <f>+COUNTIF(Table1[Column2],V5334)</f>
        <v>2</v>
      </c>
    </row>
    <row r="5335" spans="22:23">
      <c r="V5335" t="s">
        <v>631</v>
      </c>
      <c r="W5335">
        <f>+COUNTIF(Table1[Column2],V5335)</f>
        <v>2</v>
      </c>
    </row>
    <row r="5336" spans="22:23">
      <c r="V5336" t="s">
        <v>632</v>
      </c>
      <c r="W5336">
        <f>+COUNTIF(Table1[Column2],V5336)</f>
        <v>2</v>
      </c>
    </row>
    <row r="5337" spans="22:23">
      <c r="V5337" t="s">
        <v>633</v>
      </c>
      <c r="W5337">
        <f>+COUNTIF(Table1[Column2],V5337)</f>
        <v>2</v>
      </c>
    </row>
    <row r="5338" spans="22:23">
      <c r="V5338" t="s">
        <v>634</v>
      </c>
      <c r="W5338">
        <f>+COUNTIF(Table1[Column2],V5338)</f>
        <v>2</v>
      </c>
    </row>
    <row r="5339" spans="22:23">
      <c r="V5339" t="s">
        <v>635</v>
      </c>
      <c r="W5339">
        <f>+COUNTIF(Table1[Column2],V5339)</f>
        <v>2</v>
      </c>
    </row>
    <row r="5340" spans="22:23">
      <c r="V5340" t="s">
        <v>636</v>
      </c>
      <c r="W5340">
        <f>+COUNTIF(Table1[Column2],V5340)</f>
        <v>2</v>
      </c>
    </row>
    <row r="5341" spans="22:23">
      <c r="V5341" t="s">
        <v>637</v>
      </c>
      <c r="W5341">
        <f>+COUNTIF(Table1[Column2],V5341)</f>
        <v>2</v>
      </c>
    </row>
    <row r="5342" spans="22:23">
      <c r="V5342" t="s">
        <v>638</v>
      </c>
      <c r="W5342">
        <f>+COUNTIF(Table1[Column2],V5342)</f>
        <v>2</v>
      </c>
    </row>
    <row r="5343" spans="22:23">
      <c r="V5343" t="s">
        <v>639</v>
      </c>
      <c r="W5343">
        <f>+COUNTIF(Table1[Column2],V5343)</f>
        <v>2</v>
      </c>
    </row>
    <row r="5344" spans="22:23">
      <c r="V5344" t="s">
        <v>640</v>
      </c>
      <c r="W5344">
        <f>+COUNTIF(Table1[Column2],V5344)</f>
        <v>2</v>
      </c>
    </row>
    <row r="5345" spans="22:23">
      <c r="V5345" t="s">
        <v>641</v>
      </c>
      <c r="W5345">
        <f>+COUNTIF(Table1[Column2],V5345)</f>
        <v>2</v>
      </c>
    </row>
    <row r="5346" spans="22:23">
      <c r="V5346" t="s">
        <v>642</v>
      </c>
      <c r="W5346">
        <f>+COUNTIF(Table1[Column2],V5346)</f>
        <v>2</v>
      </c>
    </row>
    <row r="5347" spans="22:23">
      <c r="V5347" t="s">
        <v>643</v>
      </c>
      <c r="W5347">
        <f>+COUNTIF(Table1[Column2],V5347)</f>
        <v>2</v>
      </c>
    </row>
    <row r="5348" spans="22:23">
      <c r="V5348" t="s">
        <v>644</v>
      </c>
      <c r="W5348">
        <f>+COUNTIF(Table1[Column2],V5348)</f>
        <v>2</v>
      </c>
    </row>
    <row r="5349" spans="22:23">
      <c r="V5349" t="s">
        <v>645</v>
      </c>
      <c r="W5349">
        <f>+COUNTIF(Table1[Column2],V5349)</f>
        <v>2</v>
      </c>
    </row>
    <row r="5350" spans="22:23">
      <c r="V5350" t="s">
        <v>646</v>
      </c>
      <c r="W5350">
        <f>+COUNTIF(Table1[Column2],V5350)</f>
        <v>2</v>
      </c>
    </row>
    <row r="5351" spans="22:23">
      <c r="V5351" t="s">
        <v>647</v>
      </c>
      <c r="W5351">
        <f>+COUNTIF(Table1[Column2],V5351)</f>
        <v>2</v>
      </c>
    </row>
    <row r="5352" spans="22:23">
      <c r="V5352" t="s">
        <v>648</v>
      </c>
      <c r="W5352">
        <f>+COUNTIF(Table1[Column2],V5352)</f>
        <v>2</v>
      </c>
    </row>
    <row r="5353" spans="22:23">
      <c r="V5353" t="s">
        <v>649</v>
      </c>
      <c r="W5353">
        <f>+COUNTIF(Table1[Column2],V5353)</f>
        <v>2</v>
      </c>
    </row>
    <row r="5354" spans="22:23">
      <c r="V5354" t="s">
        <v>650</v>
      </c>
      <c r="W5354">
        <f>+COUNTIF(Table1[Column2],V5354)</f>
        <v>2</v>
      </c>
    </row>
    <row r="5355" spans="22:23">
      <c r="V5355" t="s">
        <v>651</v>
      </c>
      <c r="W5355">
        <f>+COUNTIF(Table1[Column2],V5355)</f>
        <v>2</v>
      </c>
    </row>
    <row r="5356" spans="22:23">
      <c r="V5356" t="s">
        <v>652</v>
      </c>
      <c r="W5356">
        <f>+COUNTIF(Table1[Column2],V5356)</f>
        <v>2</v>
      </c>
    </row>
    <row r="5357" spans="22:23">
      <c r="V5357" t="s">
        <v>653</v>
      </c>
      <c r="W5357">
        <f>+COUNTIF(Table1[Column2],V5357)</f>
        <v>2</v>
      </c>
    </row>
    <row r="5358" spans="22:23">
      <c r="V5358" t="s">
        <v>654</v>
      </c>
      <c r="W5358">
        <f>+COUNTIF(Table1[Column2],V5358)</f>
        <v>2</v>
      </c>
    </row>
    <row r="5359" spans="22:23">
      <c r="V5359" t="s">
        <v>655</v>
      </c>
      <c r="W5359">
        <f>+COUNTIF(Table1[Column2],V5359)</f>
        <v>2</v>
      </c>
    </row>
    <row r="5360" spans="22:23">
      <c r="V5360" t="s">
        <v>656</v>
      </c>
      <c r="W5360">
        <f>+COUNTIF(Table1[Column2],V5360)</f>
        <v>2</v>
      </c>
    </row>
    <row r="5361" spans="22:23">
      <c r="V5361" t="s">
        <v>657</v>
      </c>
      <c r="W5361">
        <f>+COUNTIF(Table1[Column2],V5361)</f>
        <v>2</v>
      </c>
    </row>
    <row r="5362" spans="22:23">
      <c r="V5362" t="s">
        <v>658</v>
      </c>
      <c r="W5362">
        <f>+COUNTIF(Table1[Column2],V5362)</f>
        <v>2</v>
      </c>
    </row>
    <row r="5363" spans="22:23">
      <c r="V5363" t="s">
        <v>659</v>
      </c>
      <c r="W5363">
        <f>+COUNTIF(Table1[Column2],V5363)</f>
        <v>2</v>
      </c>
    </row>
    <row r="5364" spans="22:23">
      <c r="V5364" t="s">
        <v>660</v>
      </c>
      <c r="W5364">
        <f>+COUNTIF(Table1[Column2],V5364)</f>
        <v>2</v>
      </c>
    </row>
    <row r="5365" spans="22:23">
      <c r="V5365" t="s">
        <v>661</v>
      </c>
      <c r="W5365">
        <f>+COUNTIF(Table1[Column2],V5365)</f>
        <v>2</v>
      </c>
    </row>
    <row r="5366" spans="22:23">
      <c r="V5366" t="s">
        <v>662</v>
      </c>
      <c r="W5366">
        <f>+COUNTIF(Table1[Column2],V5366)</f>
        <v>2</v>
      </c>
    </row>
    <row r="5367" spans="22:23">
      <c r="V5367" t="s">
        <v>663</v>
      </c>
      <c r="W5367">
        <f>+COUNTIF(Table1[Column2],V5367)</f>
        <v>2</v>
      </c>
    </row>
    <row r="5368" spans="22:23">
      <c r="V5368" t="s">
        <v>664</v>
      </c>
      <c r="W5368">
        <f>+COUNTIF(Table1[Column2],V5368)</f>
        <v>2</v>
      </c>
    </row>
    <row r="5369" spans="22:23">
      <c r="V5369" t="s">
        <v>666</v>
      </c>
      <c r="W5369">
        <f>+COUNTIF(Table1[Column2],V5369)</f>
        <v>2</v>
      </c>
    </row>
    <row r="5370" spans="22:23">
      <c r="V5370" t="s">
        <v>667</v>
      </c>
      <c r="W5370">
        <f>+COUNTIF(Table1[Column2],V5370)</f>
        <v>2</v>
      </c>
    </row>
    <row r="5371" spans="22:23">
      <c r="V5371" t="s">
        <v>668</v>
      </c>
      <c r="W5371">
        <f>+COUNTIF(Table1[Column2],V5371)</f>
        <v>2</v>
      </c>
    </row>
    <row r="5372" spans="22:23">
      <c r="V5372" t="s">
        <v>669</v>
      </c>
      <c r="W5372">
        <f>+COUNTIF(Table1[Column2],V5372)</f>
        <v>2</v>
      </c>
    </row>
    <row r="5373" spans="22:23">
      <c r="V5373" t="s">
        <v>670</v>
      </c>
      <c r="W5373">
        <f>+COUNTIF(Table1[Column2],V5373)</f>
        <v>2</v>
      </c>
    </row>
    <row r="5374" spans="22:23">
      <c r="V5374" t="s">
        <v>671</v>
      </c>
      <c r="W5374">
        <f>+COUNTIF(Table1[Column2],V5374)</f>
        <v>2</v>
      </c>
    </row>
    <row r="5375" spans="22:23">
      <c r="V5375" t="s">
        <v>672</v>
      </c>
      <c r="W5375">
        <f>+COUNTIF(Table1[Column2],V5375)</f>
        <v>2</v>
      </c>
    </row>
    <row r="5376" spans="22:23">
      <c r="V5376" t="s">
        <v>673</v>
      </c>
      <c r="W5376">
        <f>+COUNTIF(Table1[Column2],V5376)</f>
        <v>2</v>
      </c>
    </row>
    <row r="5377" spans="22:23">
      <c r="V5377" t="s">
        <v>674</v>
      </c>
      <c r="W5377">
        <f>+COUNTIF(Table1[Column2],V5377)</f>
        <v>2</v>
      </c>
    </row>
    <row r="5378" spans="22:23">
      <c r="V5378" t="s">
        <v>675</v>
      </c>
      <c r="W5378">
        <f>+COUNTIF(Table1[Column2],V5378)</f>
        <v>2</v>
      </c>
    </row>
    <row r="5379" spans="22:23">
      <c r="V5379" t="s">
        <v>676</v>
      </c>
      <c r="W5379">
        <f>+COUNTIF(Table1[Column2],V5379)</f>
        <v>2</v>
      </c>
    </row>
    <row r="5380" spans="22:23">
      <c r="V5380" t="s">
        <v>677</v>
      </c>
      <c r="W5380">
        <f>+COUNTIF(Table1[Column2],V5380)</f>
        <v>2</v>
      </c>
    </row>
    <row r="5381" spans="22:23">
      <c r="V5381" t="s">
        <v>678</v>
      </c>
      <c r="W5381">
        <f>+COUNTIF(Table1[Column2],V5381)</f>
        <v>2</v>
      </c>
    </row>
    <row r="5382" spans="22:23">
      <c r="V5382" t="s">
        <v>679</v>
      </c>
      <c r="W5382">
        <f>+COUNTIF(Table1[Column2],V5382)</f>
        <v>2</v>
      </c>
    </row>
    <row r="5383" spans="22:23">
      <c r="V5383" t="s">
        <v>680</v>
      </c>
      <c r="W5383">
        <f>+COUNTIF(Table1[Column2],V5383)</f>
        <v>2</v>
      </c>
    </row>
    <row r="5384" spans="22:23">
      <c r="V5384" t="s">
        <v>681</v>
      </c>
      <c r="W5384">
        <f>+COUNTIF(Table1[Column2],V5384)</f>
        <v>2</v>
      </c>
    </row>
    <row r="5385" spans="22:23">
      <c r="V5385" t="s">
        <v>682</v>
      </c>
      <c r="W5385">
        <f>+COUNTIF(Table1[Column2],V5385)</f>
        <v>2</v>
      </c>
    </row>
    <row r="5386" spans="22:23">
      <c r="V5386" t="s">
        <v>684</v>
      </c>
      <c r="W5386">
        <f>+COUNTIF(Table1[Column2],V5386)</f>
        <v>2</v>
      </c>
    </row>
    <row r="5387" spans="22:23">
      <c r="V5387" t="s">
        <v>685</v>
      </c>
      <c r="W5387">
        <f>+COUNTIF(Table1[Column2],V5387)</f>
        <v>2</v>
      </c>
    </row>
    <row r="5388" spans="22:23">
      <c r="V5388" t="s">
        <v>686</v>
      </c>
      <c r="W5388">
        <f>+COUNTIF(Table1[Column2],V5388)</f>
        <v>2</v>
      </c>
    </row>
    <row r="5389" spans="22:23">
      <c r="V5389" t="s">
        <v>687</v>
      </c>
      <c r="W5389">
        <f>+COUNTIF(Table1[Column2],V5389)</f>
        <v>2</v>
      </c>
    </row>
    <row r="5390" spans="22:23">
      <c r="V5390" t="s">
        <v>688</v>
      </c>
      <c r="W5390">
        <f>+COUNTIF(Table1[Column2],V5390)</f>
        <v>2</v>
      </c>
    </row>
    <row r="5391" spans="22:23">
      <c r="V5391" t="s">
        <v>689</v>
      </c>
      <c r="W5391">
        <f>+COUNTIF(Table1[Column2],V5391)</f>
        <v>2</v>
      </c>
    </row>
    <row r="5392" spans="22:23">
      <c r="V5392" t="s">
        <v>690</v>
      </c>
      <c r="W5392">
        <f>+COUNTIF(Table1[Column2],V5392)</f>
        <v>2</v>
      </c>
    </row>
    <row r="5393" spans="22:23">
      <c r="V5393" t="s">
        <v>691</v>
      </c>
      <c r="W5393">
        <f>+COUNTIF(Table1[Column2],V5393)</f>
        <v>2</v>
      </c>
    </row>
    <row r="5394" spans="22:23">
      <c r="V5394" t="s">
        <v>692</v>
      </c>
      <c r="W5394">
        <f>+COUNTIF(Table1[Column2],V5394)</f>
        <v>2</v>
      </c>
    </row>
    <row r="5395" spans="22:23">
      <c r="V5395" t="s">
        <v>693</v>
      </c>
      <c r="W5395">
        <f>+COUNTIF(Table1[Column2],V5395)</f>
        <v>2</v>
      </c>
    </row>
    <row r="5396" spans="22:23">
      <c r="V5396" t="s">
        <v>694</v>
      </c>
      <c r="W5396">
        <f>+COUNTIF(Table1[Column2],V5396)</f>
        <v>2</v>
      </c>
    </row>
    <row r="5397" spans="22:23">
      <c r="V5397" t="s">
        <v>695</v>
      </c>
      <c r="W5397">
        <f>+COUNTIF(Table1[Column2],V5397)</f>
        <v>2</v>
      </c>
    </row>
    <row r="5398" spans="22:23">
      <c r="V5398" t="s">
        <v>696</v>
      </c>
      <c r="W5398">
        <f>+COUNTIF(Table1[Column2],V5398)</f>
        <v>2</v>
      </c>
    </row>
    <row r="5399" spans="22:23">
      <c r="V5399" t="s">
        <v>697</v>
      </c>
      <c r="W5399">
        <f>+COUNTIF(Table1[Column2],V5399)</f>
        <v>2</v>
      </c>
    </row>
    <row r="5400" spans="22:23">
      <c r="V5400" t="s">
        <v>698</v>
      </c>
      <c r="W5400">
        <f>+COUNTIF(Table1[Column2],V5400)</f>
        <v>2</v>
      </c>
    </row>
    <row r="5401" spans="22:23">
      <c r="V5401" t="s">
        <v>699</v>
      </c>
      <c r="W5401">
        <f>+COUNTIF(Table1[Column2],V5401)</f>
        <v>2</v>
      </c>
    </row>
    <row r="5402" spans="22:23">
      <c r="V5402" t="s">
        <v>700</v>
      </c>
      <c r="W5402">
        <f>+COUNTIF(Table1[Column2],V5402)</f>
        <v>2</v>
      </c>
    </row>
    <row r="5403" spans="22:23">
      <c r="V5403" t="s">
        <v>701</v>
      </c>
      <c r="W5403">
        <f>+COUNTIF(Table1[Column2],V5403)</f>
        <v>2</v>
      </c>
    </row>
    <row r="5404" spans="22:23">
      <c r="V5404" t="s">
        <v>702</v>
      </c>
      <c r="W5404">
        <f>+COUNTIF(Table1[Column2],V5404)</f>
        <v>2</v>
      </c>
    </row>
    <row r="5405" spans="22:23">
      <c r="V5405" t="s">
        <v>703</v>
      </c>
      <c r="W5405">
        <f>+COUNTIF(Table1[Column2],V5405)</f>
        <v>2</v>
      </c>
    </row>
    <row r="5406" spans="22:23">
      <c r="V5406" t="s">
        <v>704</v>
      </c>
      <c r="W5406">
        <f>+COUNTIF(Table1[Column2],V5406)</f>
        <v>2</v>
      </c>
    </row>
    <row r="5407" spans="22:23">
      <c r="V5407" t="s">
        <v>705</v>
      </c>
      <c r="W5407">
        <f>+COUNTIF(Table1[Column2],V5407)</f>
        <v>2</v>
      </c>
    </row>
    <row r="5408" spans="22:23">
      <c r="V5408" t="s">
        <v>706</v>
      </c>
      <c r="W5408">
        <f>+COUNTIF(Table1[Column2],V5408)</f>
        <v>2</v>
      </c>
    </row>
    <row r="5409" spans="22:23">
      <c r="V5409" t="s">
        <v>707</v>
      </c>
      <c r="W5409">
        <f>+COUNTIF(Table1[Column2],V5409)</f>
        <v>2</v>
      </c>
    </row>
    <row r="5410" spans="22:23">
      <c r="V5410" t="s">
        <v>708</v>
      </c>
      <c r="W5410">
        <f>+COUNTIF(Table1[Column2],V5410)</f>
        <v>2</v>
      </c>
    </row>
    <row r="5411" spans="22:23">
      <c r="V5411" t="s">
        <v>710</v>
      </c>
      <c r="W5411">
        <f>+COUNTIF(Table1[Column2],V5411)</f>
        <v>2</v>
      </c>
    </row>
    <row r="5412" spans="22:23">
      <c r="V5412" t="s">
        <v>711</v>
      </c>
      <c r="W5412">
        <f>+COUNTIF(Table1[Column2],V5412)</f>
        <v>2</v>
      </c>
    </row>
    <row r="5413" spans="22:23">
      <c r="V5413" t="s">
        <v>712</v>
      </c>
      <c r="W5413">
        <f>+COUNTIF(Table1[Column2],V5413)</f>
        <v>2</v>
      </c>
    </row>
    <row r="5414" spans="22:23">
      <c r="V5414" t="s">
        <v>713</v>
      </c>
      <c r="W5414">
        <f>+COUNTIF(Table1[Column2],V5414)</f>
        <v>2</v>
      </c>
    </row>
    <row r="5415" spans="22:23">
      <c r="V5415" t="s">
        <v>714</v>
      </c>
      <c r="W5415">
        <f>+COUNTIF(Table1[Column2],V5415)</f>
        <v>2</v>
      </c>
    </row>
    <row r="5416" spans="22:23">
      <c r="V5416" t="s">
        <v>715</v>
      </c>
      <c r="W5416">
        <f>+COUNTIF(Table1[Column2],V5416)</f>
        <v>2</v>
      </c>
    </row>
    <row r="5417" spans="22:23">
      <c r="V5417" t="s">
        <v>716</v>
      </c>
      <c r="W5417">
        <f>+COUNTIF(Table1[Column2],V5417)</f>
        <v>2</v>
      </c>
    </row>
    <row r="5418" spans="22:23">
      <c r="V5418" t="s">
        <v>717</v>
      </c>
      <c r="W5418">
        <f>+COUNTIF(Table1[Column2],V5418)</f>
        <v>2</v>
      </c>
    </row>
    <row r="5419" spans="22:23">
      <c r="V5419" t="s">
        <v>718</v>
      </c>
      <c r="W5419">
        <f>+COUNTIF(Table1[Column2],V5419)</f>
        <v>2</v>
      </c>
    </row>
    <row r="5420" spans="22:23">
      <c r="V5420" t="s">
        <v>719</v>
      </c>
      <c r="W5420">
        <f>+COUNTIF(Table1[Column2],V5420)</f>
        <v>2</v>
      </c>
    </row>
    <row r="5421" spans="22:23">
      <c r="V5421" t="s">
        <v>720</v>
      </c>
      <c r="W5421">
        <f>+COUNTIF(Table1[Column2],V5421)</f>
        <v>2</v>
      </c>
    </row>
    <row r="5422" spans="22:23">
      <c r="V5422" t="s">
        <v>721</v>
      </c>
      <c r="W5422">
        <f>+COUNTIF(Table1[Column2],V5422)</f>
        <v>2</v>
      </c>
    </row>
    <row r="5423" spans="22:23">
      <c r="V5423" t="s">
        <v>722</v>
      </c>
      <c r="W5423">
        <f>+COUNTIF(Table1[Column2],V5423)</f>
        <v>2</v>
      </c>
    </row>
    <row r="5424" spans="22:23">
      <c r="V5424" t="s">
        <v>723</v>
      </c>
      <c r="W5424">
        <f>+COUNTIF(Table1[Column2],V5424)</f>
        <v>2</v>
      </c>
    </row>
    <row r="5425" spans="22:23">
      <c r="V5425" t="s">
        <v>724</v>
      </c>
      <c r="W5425">
        <f>+COUNTIF(Table1[Column2],V5425)</f>
        <v>2</v>
      </c>
    </row>
    <row r="5426" spans="22:23">
      <c r="V5426" t="s">
        <v>725</v>
      </c>
      <c r="W5426">
        <f>+COUNTIF(Table1[Column2],V5426)</f>
        <v>2</v>
      </c>
    </row>
    <row r="5427" spans="22:23">
      <c r="V5427" t="s">
        <v>726</v>
      </c>
      <c r="W5427">
        <f>+COUNTIF(Table1[Column2],V5427)</f>
        <v>2</v>
      </c>
    </row>
    <row r="5428" spans="22:23">
      <c r="V5428" t="s">
        <v>727</v>
      </c>
      <c r="W5428">
        <f>+COUNTIF(Table1[Column2],V5428)</f>
        <v>2</v>
      </c>
    </row>
    <row r="5429" spans="22:23">
      <c r="V5429" t="s">
        <v>728</v>
      </c>
      <c r="W5429">
        <f>+COUNTIF(Table1[Column2],V5429)</f>
        <v>2</v>
      </c>
    </row>
    <row r="5430" spans="22:23">
      <c r="V5430" t="s">
        <v>729</v>
      </c>
      <c r="W5430">
        <f>+COUNTIF(Table1[Column2],V5430)</f>
        <v>2</v>
      </c>
    </row>
    <row r="5431" spans="22:23">
      <c r="V5431" t="s">
        <v>730</v>
      </c>
      <c r="W5431">
        <f>+COUNTIF(Table1[Column2],V5431)</f>
        <v>2</v>
      </c>
    </row>
    <row r="5432" spans="22:23">
      <c r="V5432" t="s">
        <v>731</v>
      </c>
      <c r="W5432">
        <f>+COUNTIF(Table1[Column2],V5432)</f>
        <v>2</v>
      </c>
    </row>
    <row r="5433" spans="22:23">
      <c r="V5433" t="s">
        <v>732</v>
      </c>
      <c r="W5433">
        <f>+COUNTIF(Table1[Column2],V5433)</f>
        <v>2</v>
      </c>
    </row>
    <row r="5434" spans="22:23">
      <c r="V5434" t="s">
        <v>733</v>
      </c>
      <c r="W5434">
        <f>+COUNTIF(Table1[Column2],V5434)</f>
        <v>2</v>
      </c>
    </row>
    <row r="5435" spans="22:23">
      <c r="V5435" t="s">
        <v>734</v>
      </c>
      <c r="W5435">
        <f>+COUNTIF(Table1[Column2],V5435)</f>
        <v>2</v>
      </c>
    </row>
    <row r="5436" spans="22:23">
      <c r="V5436" t="s">
        <v>735</v>
      </c>
      <c r="W5436">
        <f>+COUNTIF(Table1[Column2],V5436)</f>
        <v>2</v>
      </c>
    </row>
    <row r="5437" spans="22:23">
      <c r="V5437" t="s">
        <v>736</v>
      </c>
      <c r="W5437">
        <f>+COUNTIF(Table1[Column2],V5437)</f>
        <v>2</v>
      </c>
    </row>
    <row r="5438" spans="22:23">
      <c r="V5438" t="s">
        <v>737</v>
      </c>
      <c r="W5438">
        <f>+COUNTIF(Table1[Column2],V5438)</f>
        <v>2</v>
      </c>
    </row>
    <row r="5439" spans="22:23">
      <c r="V5439" t="s">
        <v>738</v>
      </c>
      <c r="W5439">
        <f>+COUNTIF(Table1[Column2],V5439)</f>
        <v>2</v>
      </c>
    </row>
    <row r="5440" spans="22:23">
      <c r="V5440" t="s">
        <v>739</v>
      </c>
      <c r="W5440">
        <f>+COUNTIF(Table1[Column2],V5440)</f>
        <v>2</v>
      </c>
    </row>
    <row r="5441" spans="22:23">
      <c r="V5441" t="s">
        <v>740</v>
      </c>
      <c r="W5441">
        <f>+COUNTIF(Table1[Column2],V5441)</f>
        <v>2</v>
      </c>
    </row>
    <row r="5442" spans="22:23">
      <c r="V5442" t="s">
        <v>741</v>
      </c>
      <c r="W5442">
        <f>+COUNTIF(Table1[Column2],V5442)</f>
        <v>2</v>
      </c>
    </row>
    <row r="5443" spans="22:23">
      <c r="V5443" t="s">
        <v>742</v>
      </c>
      <c r="W5443">
        <f>+COUNTIF(Table1[Column2],V5443)</f>
        <v>2</v>
      </c>
    </row>
    <row r="5444" spans="22:23">
      <c r="V5444" t="s">
        <v>743</v>
      </c>
      <c r="W5444">
        <f>+COUNTIF(Table1[Column2],V5444)</f>
        <v>2</v>
      </c>
    </row>
    <row r="5445" spans="22:23">
      <c r="V5445" t="s">
        <v>745</v>
      </c>
      <c r="W5445">
        <f>+COUNTIF(Table1[Column2],V5445)</f>
        <v>2</v>
      </c>
    </row>
    <row r="5446" spans="22:23">
      <c r="V5446" t="s">
        <v>746</v>
      </c>
      <c r="W5446">
        <f>+COUNTIF(Table1[Column2],V5446)</f>
        <v>2</v>
      </c>
    </row>
    <row r="5447" spans="22:23">
      <c r="V5447" t="s">
        <v>747</v>
      </c>
      <c r="W5447">
        <f>+COUNTIF(Table1[Column2],V5447)</f>
        <v>2</v>
      </c>
    </row>
    <row r="5448" spans="22:23">
      <c r="V5448" t="s">
        <v>748</v>
      </c>
      <c r="W5448">
        <f>+COUNTIF(Table1[Column2],V5448)</f>
        <v>2</v>
      </c>
    </row>
    <row r="5449" spans="22:23">
      <c r="V5449" t="s">
        <v>749</v>
      </c>
      <c r="W5449">
        <f>+COUNTIF(Table1[Column2],V5449)</f>
        <v>2</v>
      </c>
    </row>
    <row r="5450" spans="22:23">
      <c r="V5450" t="s">
        <v>751</v>
      </c>
      <c r="W5450">
        <f>+COUNTIF(Table1[Column2],V5450)</f>
        <v>2</v>
      </c>
    </row>
    <row r="5451" spans="22:23">
      <c r="V5451" t="s">
        <v>752</v>
      </c>
      <c r="W5451">
        <f>+COUNTIF(Table1[Column2],V5451)</f>
        <v>2</v>
      </c>
    </row>
    <row r="5452" spans="22:23">
      <c r="V5452" t="s">
        <v>754</v>
      </c>
      <c r="W5452">
        <f>+COUNTIF(Table1[Column2],V5452)</f>
        <v>2</v>
      </c>
    </row>
    <row r="5453" spans="22:23">
      <c r="V5453" t="s">
        <v>755</v>
      </c>
      <c r="W5453">
        <f>+COUNTIF(Table1[Column2],V5453)</f>
        <v>2</v>
      </c>
    </row>
    <row r="5454" spans="22:23">
      <c r="V5454" t="s">
        <v>756</v>
      </c>
      <c r="W5454">
        <f>+COUNTIF(Table1[Column2],V5454)</f>
        <v>2</v>
      </c>
    </row>
    <row r="5455" spans="22:23">
      <c r="V5455" t="s">
        <v>757</v>
      </c>
      <c r="W5455">
        <f>+COUNTIF(Table1[Column2],V5455)</f>
        <v>2</v>
      </c>
    </row>
    <row r="5456" spans="22:23">
      <c r="V5456" t="s">
        <v>758</v>
      </c>
      <c r="W5456">
        <f>+COUNTIF(Table1[Column2],V5456)</f>
        <v>2</v>
      </c>
    </row>
    <row r="5457" spans="22:23">
      <c r="V5457" t="s">
        <v>759</v>
      </c>
      <c r="W5457">
        <f>+COUNTIF(Table1[Column2],V5457)</f>
        <v>2</v>
      </c>
    </row>
  </sheetData>
  <conditionalFormatting sqref="V1:V5457 V6175:V1048576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IAVE</cp:lastModifiedBy>
  <dcterms:modified xsi:type="dcterms:W3CDTF">2025-11-19T00:58:07Z</dcterms:modified>
</cp:coreProperties>
</file>