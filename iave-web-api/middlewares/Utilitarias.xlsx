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IAVE\Documents\Proyecto IAVE WEB\iave-web-api\middlewares\"/>
    </mc:Choice>
  </mc:AlternateContent>
  <bookViews>
    <workbookView xWindow="0" yWindow="0" windowWidth="28800" windowHeight="12915"/>
  </bookViews>
  <sheets>
    <sheet name="Sheet2" sheetId="2" r:id="rId1"/>
    <sheet name="sheet1" sheetId="1" r:id="rId2"/>
  </sheets>
  <definedNames>
    <definedName name="Slicer_Enganchado_porc">#N/A</definedName>
    <definedName name="Slicer_Mes_traslado">#N/A</definedName>
  </definedNames>
  <calcPr calcId="162913"/>
  <pivotCaches>
    <pivotCache cacheId="2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G466" i="1" l="1"/>
  <c r="AG532" i="1"/>
  <c r="AG533" i="1"/>
  <c r="AG529" i="1"/>
  <c r="AG531" i="1"/>
  <c r="AG7" i="1"/>
  <c r="AG8" i="1"/>
  <c r="AG535" i="1"/>
  <c r="AG521" i="1"/>
  <c r="AG530" i="1"/>
  <c r="AG471" i="1"/>
  <c r="AG438" i="1"/>
  <c r="AG444" i="1"/>
  <c r="AG513" i="1"/>
  <c r="AG516" i="1"/>
  <c r="AG517" i="1"/>
  <c r="AG522" i="1"/>
  <c r="AG523" i="1"/>
  <c r="AG506" i="1"/>
  <c r="AG525" i="1"/>
  <c r="AG447" i="1"/>
  <c r="AG508" i="1"/>
  <c r="AG494" i="1"/>
  <c r="AG495" i="1"/>
  <c r="AG496" i="1"/>
  <c r="AG497" i="1"/>
  <c r="AG498" i="1"/>
  <c r="AG534" i="1"/>
  <c r="AG499" i="1"/>
  <c r="AG446" i="1"/>
  <c r="AG480" i="1"/>
  <c r="AG463" i="1"/>
  <c r="AG467" i="1"/>
  <c r="AG468" i="1"/>
  <c r="AG475" i="1"/>
  <c r="AG432" i="1"/>
  <c r="AG433" i="1"/>
  <c r="AG500" i="1"/>
  <c r="AG501" i="1"/>
  <c r="AG502" i="1"/>
  <c r="AG512" i="1"/>
  <c r="AG515" i="1"/>
  <c r="AG519" i="1"/>
  <c r="AG524" i="1"/>
  <c r="AG528" i="1"/>
  <c r="AG476" i="1"/>
  <c r="AG482" i="1"/>
  <c r="AG479" i="1"/>
  <c r="AG493" i="1"/>
  <c r="AG487" i="1"/>
  <c r="AG484" i="1"/>
  <c r="AG469" i="1"/>
  <c r="AG462" i="1"/>
  <c r="AG459" i="1"/>
  <c r="AG451" i="1"/>
  <c r="AG452" i="1"/>
  <c r="AG456" i="1"/>
  <c r="AG449" i="1"/>
  <c r="AG435" i="1"/>
  <c r="AG439" i="1"/>
  <c r="AG442" i="1"/>
  <c r="AG443" i="1"/>
  <c r="AG448" i="1"/>
  <c r="AG434" i="1"/>
  <c r="AG445" i="1"/>
  <c r="AG436" i="1"/>
  <c r="AG437" i="1"/>
  <c r="AG440" i="1"/>
  <c r="AG441" i="1"/>
  <c r="AG472" i="1"/>
  <c r="AG473" i="1"/>
  <c r="AG474" i="1"/>
  <c r="AG477" i="1"/>
  <c r="AG478" i="1"/>
  <c r="AG481" i="1"/>
  <c r="AG483" i="1"/>
  <c r="AG485" i="1"/>
  <c r="AG486" i="1"/>
  <c r="AG488" i="1"/>
  <c r="AG489" i="1"/>
  <c r="AG490" i="1"/>
  <c r="AG491" i="1"/>
  <c r="AG492" i="1"/>
  <c r="AG453" i="1"/>
  <c r="AG454" i="1"/>
  <c r="AG455" i="1"/>
  <c r="AG450" i="1"/>
  <c r="AG457" i="1"/>
  <c r="AG458" i="1"/>
  <c r="AG460" i="1"/>
  <c r="AG461" i="1"/>
  <c r="AG464" i="1"/>
  <c r="AG465" i="1"/>
  <c r="AG470" i="1"/>
  <c r="AG503" i="1"/>
  <c r="AG504" i="1"/>
  <c r="AG505" i="1"/>
  <c r="AG509" i="1"/>
  <c r="AG510" i="1"/>
  <c r="AG511" i="1"/>
  <c r="AG507" i="1"/>
  <c r="AG514" i="1"/>
  <c r="AG518" i="1"/>
  <c r="AG520" i="1"/>
  <c r="AG526" i="1"/>
  <c r="AG527" i="1"/>
  <c r="AG910" i="1"/>
  <c r="AG911" i="1"/>
  <c r="AG912" i="1"/>
  <c r="AG34" i="1"/>
  <c r="AG33" i="1"/>
  <c r="AG844" i="1"/>
  <c r="AG840" i="1"/>
  <c r="AG825" i="1"/>
  <c r="AG908" i="1"/>
  <c r="AG836" i="1"/>
  <c r="AG813" i="1"/>
  <c r="AG861" i="1"/>
  <c r="AG882" i="1"/>
  <c r="AG32" i="1"/>
  <c r="AG913" i="1"/>
  <c r="AG909" i="1"/>
  <c r="AG905" i="1"/>
  <c r="AG895" i="1"/>
  <c r="AG892" i="1"/>
  <c r="AG893" i="1"/>
  <c r="AG828" i="1"/>
  <c r="AG822" i="1"/>
  <c r="AG803" i="1"/>
  <c r="AG829" i="1"/>
  <c r="AG830" i="1"/>
  <c r="AG835" i="1"/>
  <c r="AG848" i="1"/>
  <c r="AG849" i="1"/>
  <c r="AG850" i="1"/>
  <c r="AG851" i="1"/>
  <c r="AG852" i="1"/>
  <c r="AG853" i="1"/>
  <c r="AG854" i="1"/>
  <c r="AG826" i="1"/>
  <c r="AG837" i="1"/>
  <c r="AG870" i="1"/>
  <c r="AG871" i="1"/>
  <c r="AG872" i="1"/>
  <c r="AG873" i="1"/>
  <c r="AG874" i="1"/>
  <c r="AG860" i="1"/>
  <c r="AG876" i="1"/>
  <c r="AG877" i="1"/>
  <c r="AG878" i="1"/>
  <c r="AG879" i="1"/>
  <c r="AG880" i="1"/>
  <c r="AG881" i="1"/>
  <c r="AG864" i="1"/>
  <c r="AG888" i="1"/>
  <c r="AG866" i="1"/>
  <c r="AG883" i="1"/>
  <c r="AG896" i="1"/>
  <c r="AG904" i="1"/>
  <c r="AG891" i="1"/>
  <c r="AG899" i="1"/>
  <c r="AG900" i="1"/>
  <c r="AG901" i="1"/>
  <c r="AG902" i="1"/>
  <c r="AG907" i="1"/>
  <c r="AG31" i="1"/>
  <c r="AG846" i="1"/>
  <c r="AG841" i="1"/>
  <c r="AG842" i="1"/>
  <c r="AG843" i="1"/>
  <c r="AG847" i="1"/>
  <c r="AG823" i="1"/>
  <c r="AG824" i="1"/>
  <c r="AG800" i="1"/>
  <c r="AG801" i="1"/>
  <c r="AG802" i="1"/>
  <c r="AG827" i="1"/>
  <c r="AG831" i="1"/>
  <c r="AG832" i="1"/>
  <c r="AG833" i="1"/>
  <c r="AG834" i="1"/>
  <c r="AG865" i="1"/>
  <c r="AG884" i="1"/>
  <c r="AG885" i="1"/>
  <c r="AG886" i="1"/>
  <c r="AG887" i="1"/>
  <c r="AG862" i="1"/>
  <c r="AG863" i="1"/>
  <c r="AG875" i="1"/>
  <c r="AG838" i="1"/>
  <c r="AG839" i="1"/>
  <c r="AG845" i="1"/>
  <c r="AG855" i="1"/>
  <c r="AG856" i="1"/>
  <c r="AG857" i="1"/>
  <c r="AG858" i="1"/>
  <c r="AG859" i="1"/>
  <c r="AG867" i="1"/>
  <c r="AG868" i="1"/>
  <c r="AG869" i="1"/>
  <c r="AG894" i="1"/>
  <c r="AG903" i="1"/>
  <c r="AG889" i="1"/>
  <c r="AG890" i="1"/>
  <c r="AG897" i="1"/>
  <c r="AG898" i="1"/>
  <c r="AG906" i="1"/>
  <c r="AG814" i="1"/>
  <c r="AG815" i="1"/>
  <c r="AG816" i="1"/>
  <c r="AG817" i="1"/>
  <c r="AG818" i="1"/>
  <c r="AG819" i="1"/>
  <c r="AG820" i="1"/>
  <c r="AG821" i="1"/>
  <c r="AG804" i="1"/>
  <c r="AG805" i="1"/>
  <c r="AG806" i="1"/>
  <c r="AG807" i="1"/>
  <c r="AG808" i="1"/>
  <c r="AG809" i="1"/>
  <c r="AG810" i="1"/>
  <c r="AG811" i="1"/>
  <c r="AG812" i="1"/>
  <c r="AG52" i="1"/>
  <c r="AG1153" i="1"/>
  <c r="AG1156" i="1"/>
  <c r="AG1144" i="1"/>
  <c r="AG1145" i="1"/>
  <c r="AG1146" i="1"/>
  <c r="AG1147" i="1"/>
  <c r="AG1154" i="1"/>
  <c r="AG1150" i="1"/>
  <c r="AG1152" i="1"/>
  <c r="AG1066" i="1"/>
  <c r="AG1076" i="1"/>
  <c r="AG43" i="1"/>
  <c r="AG44" i="1"/>
  <c r="AG45" i="1"/>
  <c r="AG46" i="1"/>
  <c r="AG48" i="1"/>
  <c r="AG1135" i="1"/>
  <c r="AG1140" i="1"/>
  <c r="AG49" i="1"/>
  <c r="AG1148" i="1"/>
  <c r="AG1149" i="1"/>
  <c r="AG47" i="1"/>
  <c r="AG1116" i="1"/>
  <c r="AG1084" i="1"/>
  <c r="AG1085" i="1"/>
  <c r="AG1061" i="1"/>
  <c r="AG1062" i="1"/>
  <c r="AG1063" i="1"/>
  <c r="AG1064" i="1"/>
  <c r="AG1065" i="1"/>
  <c r="AG1067" i="1"/>
  <c r="AG1068" i="1"/>
  <c r="AG1069" i="1"/>
  <c r="AG1070" i="1"/>
  <c r="AG1071" i="1"/>
  <c r="AG1072" i="1"/>
  <c r="AG1073" i="1"/>
  <c r="AG1074" i="1"/>
  <c r="AG1075" i="1"/>
  <c r="AG1102" i="1"/>
  <c r="AG1103" i="1"/>
  <c r="AG1104" i="1"/>
  <c r="AG1105" i="1"/>
  <c r="AG1106" i="1"/>
  <c r="AG1107" i="1"/>
  <c r="AG1108" i="1"/>
  <c r="AG1109" i="1"/>
  <c r="AG1077" i="1"/>
  <c r="AG1078" i="1"/>
  <c r="AG1079" i="1"/>
  <c r="AG1080" i="1"/>
  <c r="AG1081" i="1"/>
  <c r="AG1082" i="1"/>
  <c r="AG1083" i="1"/>
  <c r="AG1086" i="1"/>
  <c r="AG1087" i="1"/>
  <c r="AG1088" i="1"/>
  <c r="AG1089" i="1"/>
  <c r="AG1090" i="1"/>
  <c r="AG1091" i="1"/>
  <c r="AG1092" i="1"/>
  <c r="AG1093" i="1"/>
  <c r="AG1094" i="1"/>
  <c r="AG1095" i="1"/>
  <c r="AG1096" i="1"/>
  <c r="AG1097" i="1"/>
  <c r="AG1098" i="1"/>
  <c r="AG1099" i="1"/>
  <c r="AG1100" i="1"/>
  <c r="AG1101" i="1"/>
  <c r="AG1111" i="1"/>
  <c r="AG1112" i="1"/>
  <c r="AG1113" i="1"/>
  <c r="AG1141" i="1"/>
  <c r="AG1142" i="1"/>
  <c r="AG1143" i="1"/>
  <c r="AG1136" i="1"/>
  <c r="AG1137" i="1"/>
  <c r="AG1138" i="1"/>
  <c r="AG1139" i="1"/>
  <c r="AG1114" i="1"/>
  <c r="AG1115" i="1"/>
  <c r="AG1110" i="1"/>
  <c r="AG1117" i="1"/>
  <c r="AG1118" i="1"/>
  <c r="AG1119" i="1"/>
  <c r="AG1120" i="1"/>
  <c r="AG1121" i="1"/>
  <c r="AG1122" i="1"/>
  <c r="AG1123" i="1"/>
  <c r="AG1124" i="1"/>
  <c r="AG1125" i="1"/>
  <c r="AG1126" i="1"/>
  <c r="AG1127" i="1"/>
  <c r="AG1128" i="1"/>
  <c r="AG1129" i="1"/>
  <c r="AG1130" i="1"/>
  <c r="AG1131" i="1"/>
  <c r="AG1132" i="1"/>
  <c r="AG1133" i="1"/>
  <c r="AG1134" i="1"/>
  <c r="AG1155" i="1"/>
  <c r="AG1157" i="1"/>
  <c r="AG1151" i="1"/>
  <c r="AG1158" i="1"/>
  <c r="AG172" i="1"/>
  <c r="AG178" i="1"/>
  <c r="AG174" i="1"/>
  <c r="AG175" i="1"/>
  <c r="AG176" i="1"/>
  <c r="AG171" i="1"/>
  <c r="AG173" i="1"/>
  <c r="AG164" i="1"/>
  <c r="AG53" i="1"/>
  <c r="AG177" i="1"/>
  <c r="AG165" i="1"/>
  <c r="AG166" i="1"/>
  <c r="AG167" i="1"/>
  <c r="AG168" i="1"/>
  <c r="AG169" i="1"/>
  <c r="AG170" i="1"/>
  <c r="AG140" i="1"/>
  <c r="AG57" i="1"/>
  <c r="AG54" i="1"/>
  <c r="AG96" i="1"/>
  <c r="AG107" i="1"/>
  <c r="AG117" i="1"/>
  <c r="AG55" i="1"/>
  <c r="AG108" i="1"/>
  <c r="AG109" i="1"/>
  <c r="AG110" i="1"/>
  <c r="AG111" i="1"/>
  <c r="AG112" i="1"/>
  <c r="AG137" i="1"/>
  <c r="AG138" i="1"/>
  <c r="AG139" i="1"/>
  <c r="AG56" i="1"/>
  <c r="AG70" i="1"/>
  <c r="AG71" i="1"/>
  <c r="AG72" i="1"/>
  <c r="AG73" i="1"/>
  <c r="AG58" i="1"/>
  <c r="AG59" i="1"/>
  <c r="AG60" i="1"/>
  <c r="AG61" i="1"/>
  <c r="AG62" i="1"/>
  <c r="AG63" i="1"/>
  <c r="AG64" i="1"/>
  <c r="AG65" i="1"/>
  <c r="AG66" i="1"/>
  <c r="AG88" i="1"/>
  <c r="AG89" i="1"/>
  <c r="AG68" i="1"/>
  <c r="AG82" i="1"/>
  <c r="AG83" i="1"/>
  <c r="AG84" i="1"/>
  <c r="AG85" i="1"/>
  <c r="AG86" i="1"/>
  <c r="AG76" i="1"/>
  <c r="AG77" i="1"/>
  <c r="AG78" i="1"/>
  <c r="AG79" i="1"/>
  <c r="AG80" i="1"/>
  <c r="AG113" i="1"/>
  <c r="AG114" i="1"/>
  <c r="AG115" i="1"/>
  <c r="AG102" i="1"/>
  <c r="AG103" i="1"/>
  <c r="AG104" i="1"/>
  <c r="AG105" i="1"/>
  <c r="AG97" i="1"/>
  <c r="AG98" i="1"/>
  <c r="AG99" i="1"/>
  <c r="AG131" i="1"/>
  <c r="AG132" i="1"/>
  <c r="AG129" i="1"/>
  <c r="AG126" i="1"/>
  <c r="AG127" i="1"/>
  <c r="AG124" i="1"/>
  <c r="AG91" i="1"/>
  <c r="AG122" i="1"/>
  <c r="AG118" i="1"/>
  <c r="AG119" i="1"/>
  <c r="AG152" i="1"/>
  <c r="AG156" i="1"/>
  <c r="AG148" i="1"/>
  <c r="AG149" i="1"/>
  <c r="AG150" i="1"/>
  <c r="AG136" i="1"/>
  <c r="AG141" i="1"/>
  <c r="AG142" i="1"/>
  <c r="AG143" i="1"/>
  <c r="AG144" i="1"/>
  <c r="AG145" i="1"/>
  <c r="AG2" i="1"/>
  <c r="AG3" i="1"/>
  <c r="AG133" i="1"/>
  <c r="AG134" i="1"/>
  <c r="AG135" i="1"/>
  <c r="AG146" i="1"/>
  <c r="AG147" i="1"/>
  <c r="AG151" i="1"/>
  <c r="AG153" i="1"/>
  <c r="AG154" i="1"/>
  <c r="AG155" i="1"/>
  <c r="AG157" i="1"/>
  <c r="AG158" i="1"/>
  <c r="AG159" i="1"/>
  <c r="AG160" i="1"/>
  <c r="AG161" i="1"/>
  <c r="AG162" i="1"/>
  <c r="AG163" i="1"/>
  <c r="AG120" i="1"/>
  <c r="AG121" i="1"/>
  <c r="AG90" i="1"/>
  <c r="AG106" i="1"/>
  <c r="AG116" i="1"/>
  <c r="AG123" i="1"/>
  <c r="AG125" i="1"/>
  <c r="AG128" i="1"/>
  <c r="AG130" i="1"/>
  <c r="AG100" i="1"/>
  <c r="AG101" i="1"/>
  <c r="AG69" i="1"/>
  <c r="AG74" i="1"/>
  <c r="AG75" i="1"/>
  <c r="AG81" i="1"/>
  <c r="AG67" i="1"/>
  <c r="AG87" i="1"/>
  <c r="AG92" i="1"/>
  <c r="AG93" i="1"/>
  <c r="AG94" i="1"/>
  <c r="AG95" i="1"/>
  <c r="AG1164" i="1"/>
  <c r="AG1165" i="1"/>
  <c r="AG1159" i="1"/>
  <c r="AG1160" i="1"/>
  <c r="AG1161" i="1"/>
  <c r="AG1162" i="1"/>
  <c r="AG1163" i="1"/>
  <c r="AG50" i="1"/>
  <c r="AG51" i="1"/>
  <c r="AG1166" i="1"/>
  <c r="AG1167" i="1"/>
  <c r="AG303" i="1"/>
  <c r="AG301" i="1"/>
  <c r="AG275" i="1"/>
  <c r="AG266" i="1"/>
  <c r="AG247" i="1"/>
  <c r="AG239" i="1"/>
  <c r="AG300" i="1"/>
  <c r="AG302" i="1"/>
  <c r="AG262" i="1"/>
  <c r="AG249" i="1"/>
  <c r="AG259" i="1"/>
  <c r="AG260" i="1"/>
  <c r="AG274" i="1"/>
  <c r="AG271" i="1"/>
  <c r="AG264" i="1"/>
  <c r="AG268" i="1"/>
  <c r="AG293" i="1"/>
  <c r="AG294" i="1"/>
  <c r="AG287" i="1"/>
  <c r="AG291" i="1"/>
  <c r="AG285" i="1"/>
  <c r="AG278" i="1"/>
  <c r="AG279" i="1"/>
  <c r="AG276" i="1"/>
  <c r="AG232" i="1"/>
  <c r="AG233" i="1"/>
  <c r="AG229" i="1"/>
  <c r="AG224" i="1"/>
  <c r="AG221" i="1"/>
  <c r="AG253" i="1"/>
  <c r="AG254" i="1"/>
  <c r="AG215" i="1"/>
  <c r="AG245" i="1"/>
  <c r="AG236" i="1"/>
  <c r="AG242" i="1"/>
  <c r="AG298" i="1"/>
  <c r="AG299" i="1"/>
  <c r="AG188" i="1"/>
  <c r="AG184" i="1"/>
  <c r="AG185" i="1"/>
  <c r="AG210" i="1"/>
  <c r="AG211" i="1"/>
  <c r="AG203" i="1"/>
  <c r="AG205" i="1"/>
  <c r="AG206" i="1"/>
  <c r="AG207" i="1"/>
  <c r="AG200" i="1"/>
  <c r="AG201" i="1"/>
  <c r="AG197" i="1"/>
  <c r="AG198" i="1"/>
  <c r="AG194" i="1"/>
  <c r="AG195" i="1"/>
  <c r="AG214" i="1"/>
  <c r="AG226" i="1"/>
  <c r="AG204" i="1"/>
  <c r="AG277" i="1"/>
  <c r="AG280" i="1"/>
  <c r="AG281" i="1"/>
  <c r="AG282" i="1"/>
  <c r="AG283" i="1"/>
  <c r="AG284" i="1"/>
  <c r="AG288" i="1"/>
  <c r="AG289" i="1"/>
  <c r="AG290" i="1"/>
  <c r="AG286" i="1"/>
  <c r="AG292" i="1"/>
  <c r="AG248" i="1"/>
  <c r="AG261" i="1"/>
  <c r="AG255" i="1"/>
  <c r="AG256" i="1"/>
  <c r="AG257" i="1"/>
  <c r="AG258" i="1"/>
  <c r="AG267" i="1"/>
  <c r="AG263" i="1"/>
  <c r="AG269" i="1"/>
  <c r="AG270" i="1"/>
  <c r="AG272" i="1"/>
  <c r="AG273" i="1"/>
  <c r="AG240" i="1"/>
  <c r="AG241" i="1"/>
  <c r="AG234" i="1"/>
  <c r="AG235" i="1"/>
  <c r="AG237" i="1"/>
  <c r="AG238" i="1"/>
  <c r="AG243" i="1"/>
  <c r="AG244" i="1"/>
  <c r="AG246" i="1"/>
  <c r="AG250" i="1"/>
  <c r="AG251" i="1"/>
  <c r="AG252" i="1"/>
  <c r="AG216" i="1"/>
  <c r="AG217" i="1"/>
  <c r="AG218" i="1"/>
  <c r="AG219" i="1"/>
  <c r="AG220" i="1"/>
  <c r="AG212" i="1"/>
  <c r="AG213" i="1"/>
  <c r="AG222" i="1"/>
  <c r="AG223" i="1"/>
  <c r="AG225" i="1"/>
  <c r="AG227" i="1"/>
  <c r="AG228" i="1"/>
  <c r="AG230" i="1"/>
  <c r="AG231" i="1"/>
  <c r="AG265" i="1"/>
  <c r="AG295" i="1"/>
  <c r="AG296" i="1"/>
  <c r="AG297" i="1"/>
  <c r="AG186" i="1"/>
  <c r="AG187" i="1"/>
  <c r="AG179" i="1"/>
  <c r="AG180" i="1"/>
  <c r="AG181" i="1"/>
  <c r="AG182" i="1"/>
  <c r="AG183" i="1"/>
  <c r="AG189" i="1"/>
  <c r="AG190" i="1"/>
  <c r="AG191" i="1"/>
  <c r="AG192" i="1"/>
  <c r="AG193" i="1"/>
  <c r="AG196" i="1"/>
  <c r="AG199" i="1"/>
  <c r="AG202" i="1"/>
  <c r="AG208" i="1"/>
  <c r="AG209" i="1"/>
  <c r="AG29" i="1"/>
  <c r="AG799" i="1"/>
  <c r="AG797" i="1"/>
  <c r="AG22" i="1"/>
  <c r="AG27" i="1"/>
  <c r="AG30" i="1"/>
  <c r="AG28" i="1"/>
  <c r="AG23" i="1"/>
  <c r="AG24" i="1"/>
  <c r="AG25" i="1"/>
  <c r="AG19" i="1"/>
  <c r="AG17" i="1"/>
  <c r="AG18" i="1"/>
  <c r="AG771" i="1"/>
  <c r="AG798" i="1"/>
  <c r="AG769" i="1"/>
  <c r="AG738" i="1"/>
  <c r="AG739" i="1"/>
  <c r="AG752" i="1"/>
  <c r="AG741" i="1"/>
  <c r="AG761" i="1"/>
  <c r="AG755" i="1"/>
  <c r="AG772" i="1"/>
  <c r="AG20" i="1"/>
  <c r="AG779" i="1"/>
  <c r="AG756" i="1"/>
  <c r="AG770" i="1"/>
  <c r="AG778" i="1"/>
  <c r="AG775" i="1"/>
  <c r="AG791" i="1"/>
  <c r="AG785" i="1"/>
  <c r="AG793" i="1"/>
  <c r="AG750" i="1"/>
  <c r="AG747" i="1"/>
  <c r="AG744" i="1"/>
  <c r="AG21" i="1"/>
  <c r="AG792" i="1"/>
  <c r="AG794" i="1"/>
  <c r="AG795" i="1"/>
  <c r="AG796" i="1"/>
  <c r="AG773" i="1"/>
  <c r="AG774" i="1"/>
  <c r="AG776" i="1"/>
  <c r="AG777" i="1"/>
  <c r="AG780" i="1"/>
  <c r="AG781" i="1"/>
  <c r="AG782" i="1"/>
  <c r="AG783" i="1"/>
  <c r="AG784" i="1"/>
  <c r="AG786" i="1"/>
  <c r="AG787" i="1"/>
  <c r="AG788" i="1"/>
  <c r="AG789" i="1"/>
  <c r="AG790" i="1"/>
  <c r="AG757" i="1"/>
  <c r="AG758" i="1"/>
  <c r="AG759" i="1"/>
  <c r="AG754" i="1"/>
  <c r="AG760" i="1"/>
  <c r="AG762" i="1"/>
  <c r="AG763" i="1"/>
  <c r="AG764" i="1"/>
  <c r="AG765" i="1"/>
  <c r="AG766" i="1"/>
  <c r="AG767" i="1"/>
  <c r="AG768" i="1"/>
  <c r="AG740" i="1"/>
  <c r="AG742" i="1"/>
  <c r="AG743" i="1"/>
  <c r="AG745" i="1"/>
  <c r="AG746" i="1"/>
  <c r="AG748" i="1"/>
  <c r="AG749" i="1"/>
  <c r="AG751" i="1"/>
  <c r="AG753" i="1"/>
  <c r="AG736" i="1"/>
  <c r="AG737" i="1"/>
  <c r="AG26" i="1"/>
  <c r="AG15" i="1"/>
  <c r="AG730" i="1"/>
  <c r="AG732" i="1"/>
  <c r="AG16" i="1"/>
  <c r="AG734" i="1"/>
  <c r="AG735" i="1"/>
  <c r="AG686" i="1"/>
  <c r="AG729" i="1"/>
  <c r="AG731" i="1"/>
  <c r="AG13" i="1"/>
  <c r="AG14" i="1"/>
  <c r="AG679" i="1"/>
  <c r="AG12" i="1"/>
  <c r="AG723" i="1"/>
  <c r="AG687" i="1"/>
  <c r="AG724" i="1"/>
  <c r="AG699" i="1"/>
  <c r="AG696" i="1"/>
  <c r="AG694" i="1"/>
  <c r="AG720" i="1"/>
  <c r="AG716" i="1"/>
  <c r="AG701" i="1"/>
  <c r="AG712" i="1"/>
  <c r="AG680" i="1"/>
  <c r="AG681" i="1"/>
  <c r="AG682" i="1"/>
  <c r="AG683" i="1"/>
  <c r="AG684" i="1"/>
  <c r="AG685" i="1"/>
  <c r="AG721" i="1"/>
  <c r="AG722" i="1"/>
  <c r="AG725" i="1"/>
  <c r="AG726" i="1"/>
  <c r="AG727" i="1"/>
  <c r="AG728" i="1"/>
  <c r="AG711" i="1"/>
  <c r="AG700" i="1"/>
  <c r="AG708" i="1"/>
  <c r="AG709" i="1"/>
  <c r="AG710" i="1"/>
  <c r="AG713" i="1"/>
  <c r="AG714" i="1"/>
  <c r="AG715" i="1"/>
  <c r="AG717" i="1"/>
  <c r="AG718" i="1"/>
  <c r="AG719" i="1"/>
  <c r="AG678" i="1"/>
  <c r="AG688" i="1"/>
  <c r="AG689" i="1"/>
  <c r="AG690" i="1"/>
  <c r="AG691" i="1"/>
  <c r="AG692" i="1"/>
  <c r="AG693" i="1"/>
  <c r="AG695" i="1"/>
  <c r="AG697" i="1"/>
  <c r="AG698" i="1"/>
  <c r="AG702" i="1"/>
  <c r="AG703" i="1"/>
  <c r="AG704" i="1"/>
  <c r="AG705" i="1"/>
  <c r="AG706" i="1"/>
  <c r="AG707" i="1"/>
  <c r="AG733" i="1"/>
  <c r="AG317" i="1"/>
  <c r="AG430" i="1"/>
  <c r="AG357" i="1"/>
  <c r="AG418" i="1"/>
  <c r="AG364" i="1"/>
  <c r="AG365" i="1"/>
  <c r="AG371" i="1"/>
  <c r="AG372" i="1"/>
  <c r="AG352" i="1"/>
  <c r="AG353" i="1"/>
  <c r="AG345" i="1"/>
  <c r="AG346" i="1"/>
  <c r="AG407" i="1"/>
  <c r="AG408" i="1"/>
  <c r="AG402" i="1"/>
  <c r="AG397" i="1"/>
  <c r="AG391" i="1"/>
  <c r="AG392" i="1"/>
  <c r="AG385" i="1"/>
  <c r="AG386" i="1"/>
  <c r="AG355" i="1"/>
  <c r="AG427" i="1"/>
  <c r="AG428" i="1"/>
  <c r="AG429" i="1"/>
  <c r="AG431" i="1"/>
  <c r="AG304" i="1"/>
  <c r="AG323" i="1"/>
  <c r="AG347" i="1"/>
  <c r="AG362" i="1"/>
  <c r="AG419" i="1"/>
  <c r="AG426" i="1"/>
  <c r="AG417" i="1"/>
  <c r="AG378" i="1"/>
  <c r="AG393" i="1"/>
  <c r="AG389" i="1"/>
  <c r="AG380" i="1"/>
  <c r="AG381" i="1"/>
  <c r="AG399" i="1"/>
  <c r="AG400" i="1"/>
  <c r="AG409" i="1"/>
  <c r="AG412" i="1"/>
  <c r="AG404" i="1"/>
  <c r="AG405" i="1"/>
  <c r="AG311" i="1"/>
  <c r="AG305" i="1"/>
  <c r="AG306" i="1"/>
  <c r="AG307" i="1"/>
  <c r="AG332" i="1"/>
  <c r="AG328" i="1"/>
  <c r="AG316" i="1"/>
  <c r="AG314" i="1"/>
  <c r="AG320" i="1"/>
  <c r="AG350" i="1"/>
  <c r="AG340" i="1"/>
  <c r="AG336" i="1"/>
  <c r="AG337" i="1"/>
  <c r="AG361" i="1"/>
  <c r="AG413" i="1"/>
  <c r="AG414" i="1"/>
  <c r="AG415" i="1"/>
  <c r="AG416" i="1"/>
  <c r="AG420" i="1"/>
  <c r="AG421" i="1"/>
  <c r="AG422" i="1"/>
  <c r="AG423" i="1"/>
  <c r="AG424" i="1"/>
  <c r="AG425" i="1"/>
  <c r="AG373" i="1"/>
  <c r="AG374" i="1"/>
  <c r="AG375" i="1"/>
  <c r="AG376" i="1"/>
  <c r="AG377" i="1"/>
  <c r="AG382" i="1"/>
  <c r="AG383" i="1"/>
  <c r="AG384" i="1"/>
  <c r="AG379" i="1"/>
  <c r="AG387" i="1"/>
  <c r="AG388" i="1"/>
  <c r="AG390" i="1"/>
  <c r="AG394" i="1"/>
  <c r="AG395" i="1"/>
  <c r="AG396" i="1"/>
  <c r="AG398" i="1"/>
  <c r="AG401" i="1"/>
  <c r="AG406" i="1"/>
  <c r="AG403" i="1"/>
  <c r="AG410" i="1"/>
  <c r="AG411" i="1"/>
  <c r="AG358" i="1"/>
  <c r="AG359" i="1"/>
  <c r="AG360" i="1"/>
  <c r="AG351" i="1"/>
  <c r="AG354" i="1"/>
  <c r="AG356" i="1"/>
  <c r="AG363" i="1"/>
  <c r="AG366" i="1"/>
  <c r="AG367" i="1"/>
  <c r="AG368" i="1"/>
  <c r="AG369" i="1"/>
  <c r="AG370" i="1"/>
  <c r="AG333" i="1"/>
  <c r="AG334" i="1"/>
  <c r="AG335" i="1"/>
  <c r="AG321" i="1"/>
  <c r="AG322" i="1"/>
  <c r="AG338" i="1"/>
  <c r="AG339" i="1"/>
  <c r="AG341" i="1"/>
  <c r="AG342" i="1"/>
  <c r="AG343" i="1"/>
  <c r="AG344" i="1"/>
  <c r="AG348" i="1"/>
  <c r="AG349" i="1"/>
  <c r="AG318" i="1"/>
  <c r="AG319" i="1"/>
  <c r="AG312" i="1"/>
  <c r="AG313" i="1"/>
  <c r="AG315" i="1"/>
  <c r="AG324" i="1"/>
  <c r="AG325" i="1"/>
  <c r="AG326" i="1"/>
  <c r="AG327" i="1"/>
  <c r="AG329" i="1"/>
  <c r="AG330" i="1"/>
  <c r="AG331" i="1"/>
  <c r="AG308" i="1"/>
  <c r="AG309" i="1"/>
  <c r="AG310" i="1"/>
  <c r="AG673" i="1"/>
  <c r="AG601" i="1"/>
  <c r="AG540" i="1"/>
  <c r="AG635" i="1"/>
  <c r="AG648" i="1"/>
  <c r="AG649" i="1"/>
  <c r="AG677" i="1"/>
  <c r="AG546" i="1"/>
  <c r="AG668" i="1"/>
  <c r="AG11" i="1"/>
  <c r="AG567" i="1"/>
  <c r="AG10" i="1"/>
  <c r="AG541" i="1"/>
  <c r="AG672" i="1"/>
  <c r="AG674" i="1"/>
  <c r="AG675" i="1"/>
  <c r="AG676" i="1"/>
  <c r="AG536" i="1"/>
  <c r="AG9" i="1"/>
  <c r="AG667" i="1"/>
  <c r="AG622" i="1"/>
  <c r="AG631" i="1"/>
  <c r="AG632" i="1"/>
  <c r="AG633" i="1"/>
  <c r="AG666" i="1"/>
  <c r="AG658" i="1"/>
  <c r="AG647" i="1"/>
  <c r="AG566" i="1"/>
  <c r="AG588" i="1"/>
  <c r="AG539" i="1"/>
  <c r="AG537" i="1"/>
  <c r="AG554" i="1"/>
  <c r="AG558" i="1"/>
  <c r="AG551" i="1"/>
  <c r="AG552" i="1"/>
  <c r="AG549" i="1"/>
  <c r="AG544" i="1"/>
  <c r="AG545" i="1"/>
  <c r="AG585" i="1"/>
  <c r="AG606" i="1"/>
  <c r="AG599" i="1"/>
  <c r="AG562" i="1"/>
  <c r="AG563" i="1"/>
  <c r="AG570" i="1"/>
  <c r="AG571" i="1"/>
  <c r="AG568" i="1"/>
  <c r="AG580" i="1"/>
  <c r="AG582" i="1"/>
  <c r="AG573" i="1"/>
  <c r="AG659" i="1"/>
  <c r="AG654" i="1"/>
  <c r="AG661" i="1"/>
  <c r="AG670" i="1"/>
  <c r="AG627" i="1"/>
  <c r="AG624" i="1"/>
  <c r="AG625" i="1"/>
  <c r="AG642" i="1"/>
  <c r="AG637" i="1"/>
  <c r="AG608" i="1"/>
  <c r="AG612" i="1"/>
  <c r="AG650" i="1"/>
  <c r="AG651" i="1"/>
  <c r="AG652" i="1"/>
  <c r="AG653" i="1"/>
  <c r="AG643" i="1"/>
  <c r="AG644" i="1"/>
  <c r="AG645" i="1"/>
  <c r="AG646" i="1"/>
  <c r="AG655" i="1"/>
  <c r="AG656" i="1"/>
  <c r="AG657" i="1"/>
  <c r="AG662" i="1"/>
  <c r="AG663" i="1"/>
  <c r="AG664" i="1"/>
  <c r="AG665" i="1"/>
  <c r="AG669" i="1"/>
  <c r="AG660" i="1"/>
  <c r="AG636" i="1"/>
  <c r="AG638" i="1"/>
  <c r="AG639" i="1"/>
  <c r="AG640" i="1"/>
  <c r="AG641" i="1"/>
  <c r="AG623" i="1"/>
  <c r="AG626" i="1"/>
  <c r="AG628" i="1"/>
  <c r="AG629" i="1"/>
  <c r="AG630" i="1"/>
  <c r="AG600" i="1"/>
  <c r="AG607" i="1"/>
  <c r="AG609" i="1"/>
  <c r="AG610" i="1"/>
  <c r="AG611" i="1"/>
  <c r="AG613" i="1"/>
  <c r="AG614" i="1"/>
  <c r="AG615" i="1"/>
  <c r="AG616" i="1"/>
  <c r="AG617" i="1"/>
  <c r="AG618" i="1"/>
  <c r="AG619" i="1"/>
  <c r="AG620" i="1"/>
  <c r="AG621" i="1"/>
  <c r="AG538" i="1"/>
  <c r="AG542" i="1"/>
  <c r="AG543" i="1"/>
  <c r="AG547" i="1"/>
  <c r="AG548" i="1"/>
  <c r="AG550" i="1"/>
  <c r="AG555" i="1"/>
  <c r="AG556" i="1"/>
  <c r="AG557" i="1"/>
  <c r="AG553" i="1"/>
  <c r="AG559" i="1"/>
  <c r="AG560" i="1"/>
  <c r="AG561" i="1"/>
  <c r="AG602" i="1"/>
  <c r="AG603" i="1"/>
  <c r="AG604" i="1"/>
  <c r="AG605" i="1"/>
  <c r="AG583" i="1"/>
  <c r="AG584" i="1"/>
  <c r="AG586" i="1"/>
  <c r="AG587" i="1"/>
  <c r="AG589" i="1"/>
  <c r="AG590" i="1"/>
  <c r="AG591" i="1"/>
  <c r="AG592" i="1"/>
  <c r="AG593" i="1"/>
  <c r="AG594" i="1"/>
  <c r="AG595" i="1"/>
  <c r="AG596" i="1"/>
  <c r="AG597" i="1"/>
  <c r="AG598" i="1"/>
  <c r="AG572" i="1"/>
  <c r="AG581" i="1"/>
  <c r="AG574" i="1"/>
  <c r="AG575" i="1"/>
  <c r="AG576" i="1"/>
  <c r="AG577" i="1"/>
  <c r="AG578" i="1"/>
  <c r="AG579" i="1"/>
  <c r="AG569" i="1"/>
  <c r="AG564" i="1"/>
  <c r="AG565" i="1"/>
  <c r="AG634" i="1"/>
  <c r="AG671" i="1"/>
  <c r="AG1060" i="1"/>
  <c r="AG1053" i="1"/>
  <c r="AG999" i="1"/>
  <c r="AG41" i="1"/>
  <c r="AG1008" i="1"/>
  <c r="AG1050" i="1"/>
  <c r="AG1052" i="1"/>
  <c r="AG1059" i="1"/>
  <c r="AG1056" i="1"/>
  <c r="AG1040" i="1"/>
  <c r="AG1000" i="1"/>
  <c r="AG40" i="1"/>
  <c r="AG1051" i="1"/>
  <c r="AG1055" i="1"/>
  <c r="AG1057" i="1"/>
  <c r="AG1058" i="1"/>
  <c r="AG1026" i="1"/>
  <c r="AG1039" i="1"/>
  <c r="AG1048" i="1"/>
  <c r="AG1025" i="1"/>
  <c r="AG993" i="1"/>
  <c r="AG42" i="1"/>
  <c r="AG1001" i="1"/>
  <c r="AG1002" i="1"/>
  <c r="AG1003" i="1"/>
  <c r="AG1004" i="1"/>
  <c r="AG1005" i="1"/>
  <c r="AG1006" i="1"/>
  <c r="AG1007" i="1"/>
  <c r="AG974" i="1"/>
  <c r="AG975" i="1"/>
  <c r="AG976" i="1"/>
  <c r="AG977" i="1"/>
  <c r="AG978" i="1"/>
  <c r="AG979" i="1"/>
  <c r="AG980" i="1"/>
  <c r="AG981" i="1"/>
  <c r="AG982" i="1"/>
  <c r="AG983" i="1"/>
  <c r="AG984" i="1"/>
  <c r="AG985" i="1"/>
  <c r="AG986" i="1"/>
  <c r="AG987" i="1"/>
  <c r="AG988" i="1"/>
  <c r="AG989" i="1"/>
  <c r="AG990" i="1"/>
  <c r="AG991" i="1"/>
  <c r="AG992" i="1"/>
  <c r="AG1027" i="1"/>
  <c r="AG1028" i="1"/>
  <c r="AG1029" i="1"/>
  <c r="AG1030" i="1"/>
  <c r="AG1031" i="1"/>
  <c r="AG1032" i="1"/>
  <c r="AG1033" i="1"/>
  <c r="AG1034" i="1"/>
  <c r="AG994" i="1"/>
  <c r="AG995" i="1"/>
  <c r="AG996" i="1"/>
  <c r="AG997" i="1"/>
  <c r="AG998" i="1"/>
  <c r="AG1035" i="1"/>
  <c r="AG1036" i="1"/>
  <c r="AG1037" i="1"/>
  <c r="AG1038" i="1"/>
  <c r="AG1009" i="1"/>
  <c r="AG1010" i="1"/>
  <c r="AG1011" i="1"/>
  <c r="AG1012" i="1"/>
  <c r="AG1013" i="1"/>
  <c r="AG1014" i="1"/>
  <c r="AG1015" i="1"/>
  <c r="AG1016" i="1"/>
  <c r="AG1017" i="1"/>
  <c r="AG1018" i="1"/>
  <c r="AG1019" i="1"/>
  <c r="AG1020" i="1"/>
  <c r="AG1021" i="1"/>
  <c r="AG1022" i="1"/>
  <c r="AG1023" i="1"/>
  <c r="AG1024" i="1"/>
  <c r="AG1041" i="1"/>
  <c r="AG1042" i="1"/>
  <c r="AG1043" i="1"/>
  <c r="AG1044" i="1"/>
  <c r="AG1045" i="1"/>
  <c r="AG1046" i="1"/>
  <c r="AG1047" i="1"/>
  <c r="AG1049" i="1"/>
  <c r="AG1054" i="1"/>
  <c r="AG973" i="1"/>
  <c r="AG968" i="1"/>
  <c r="AG969" i="1"/>
  <c r="AG970" i="1"/>
  <c r="AG971" i="1"/>
  <c r="AG972" i="1"/>
  <c r="AG965" i="1"/>
  <c r="AG966" i="1"/>
  <c r="AG967" i="1"/>
  <c r="AG38" i="1"/>
  <c r="AG37" i="1"/>
  <c r="AG957" i="1"/>
  <c r="AG36" i="1"/>
  <c r="AG926" i="1"/>
  <c r="AG962" i="1"/>
  <c r="AG35" i="1"/>
  <c r="AG934" i="1"/>
  <c r="AG921" i="1"/>
  <c r="AG922" i="1"/>
  <c r="AG923" i="1"/>
  <c r="AG924" i="1"/>
  <c r="AG925" i="1"/>
  <c r="AG914" i="1"/>
  <c r="AG915" i="1"/>
  <c r="AG916" i="1"/>
  <c r="AG917" i="1"/>
  <c r="AG918" i="1"/>
  <c r="AG919" i="1"/>
  <c r="AG920" i="1"/>
  <c r="AG927" i="1"/>
  <c r="AG928" i="1"/>
  <c r="AG929" i="1"/>
  <c r="AG930" i="1"/>
  <c r="AG931" i="1"/>
  <c r="AG932" i="1"/>
  <c r="AG933" i="1"/>
  <c r="AG935" i="1"/>
  <c r="AG958" i="1"/>
  <c r="AG959" i="1"/>
  <c r="AG960" i="1"/>
  <c r="AG961" i="1"/>
  <c r="AG936" i="1"/>
  <c r="AG937" i="1"/>
  <c r="AG938" i="1"/>
  <c r="AG939" i="1"/>
  <c r="AG940" i="1"/>
  <c r="AG941" i="1"/>
  <c r="AG942" i="1"/>
  <c r="AG943" i="1"/>
  <c r="AG944" i="1"/>
  <c r="AG945" i="1"/>
  <c r="AG946" i="1"/>
  <c r="AG947" i="1"/>
  <c r="AG948" i="1"/>
  <c r="AG949" i="1"/>
  <c r="AG950" i="1"/>
  <c r="AG951" i="1"/>
  <c r="AG952" i="1"/>
  <c r="AG953" i="1"/>
  <c r="AG954" i="1"/>
  <c r="AG955" i="1"/>
  <c r="AG956" i="1"/>
  <c r="AG4" i="1"/>
  <c r="AG39" i="1"/>
  <c r="AG963" i="1"/>
  <c r="AG964" i="1"/>
  <c r="AG5" i="1"/>
  <c r="AG6" i="1"/>
  <c r="AD466" i="1"/>
  <c r="AD1153" i="1"/>
  <c r="AD1156" i="1"/>
  <c r="AD1144" i="1"/>
  <c r="AD1145" i="1"/>
  <c r="AD1146" i="1"/>
  <c r="AD1147" i="1"/>
  <c r="AD532" i="1"/>
  <c r="AD533" i="1"/>
  <c r="AD529" i="1"/>
  <c r="AD531" i="1"/>
  <c r="AD7" i="1"/>
  <c r="AD8" i="1"/>
  <c r="AD1060" i="1"/>
  <c r="AD973" i="1"/>
  <c r="AD15" i="1"/>
  <c r="AD29" i="1"/>
  <c r="AD317" i="1"/>
  <c r="AD172" i="1"/>
  <c r="AD799" i="1"/>
  <c r="AD797" i="1"/>
  <c r="AD910" i="1"/>
  <c r="AD911" i="1"/>
  <c r="AD912" i="1"/>
  <c r="AD1053" i="1"/>
  <c r="AD22" i="1"/>
  <c r="AD1154" i="1"/>
  <c r="AD1150" i="1"/>
  <c r="AD1164" i="1"/>
  <c r="AD1165" i="1"/>
  <c r="AD303" i="1"/>
  <c r="AD535" i="1"/>
  <c r="AD521" i="1"/>
  <c r="AD430" i="1"/>
  <c r="AD178" i="1"/>
  <c r="AD52" i="1"/>
  <c r="AD34" i="1"/>
  <c r="AD33" i="1"/>
  <c r="AD844" i="1"/>
  <c r="AD530" i="1"/>
  <c r="AD38" i="1"/>
  <c r="AD37" i="1"/>
  <c r="AD174" i="1"/>
  <c r="AD175" i="1"/>
  <c r="AD176" i="1"/>
  <c r="AD171" i="1"/>
  <c r="AD673" i="1"/>
  <c r="AD730" i="1"/>
  <c r="AD732" i="1"/>
  <c r="AD16" i="1"/>
  <c r="AD734" i="1"/>
  <c r="AD27" i="1"/>
  <c r="AD999" i="1"/>
  <c r="AD41" i="1"/>
  <c r="AD1008" i="1"/>
  <c r="AD735" i="1"/>
  <c r="AD686" i="1"/>
  <c r="AD301" i="1"/>
  <c r="AD173" i="1"/>
  <c r="AD1050" i="1"/>
  <c r="AD1052" i="1"/>
  <c r="AD1059" i="1"/>
  <c r="AD1056" i="1"/>
  <c r="AD840" i="1"/>
  <c r="AD1040" i="1"/>
  <c r="AD957" i="1"/>
  <c r="AD357" i="1"/>
  <c r="AD275" i="1"/>
  <c r="AD601" i="1"/>
  <c r="AD540" i="1"/>
  <c r="AD635" i="1"/>
  <c r="AD648" i="1"/>
  <c r="AD649" i="1"/>
  <c r="AD471" i="1"/>
  <c r="AD418" i="1"/>
  <c r="AD677" i="1"/>
  <c r="AD546" i="1"/>
  <c r="AD364" i="1"/>
  <c r="AD365" i="1"/>
  <c r="AD371" i="1"/>
  <c r="AD372" i="1"/>
  <c r="AD352" i="1"/>
  <c r="AD353" i="1"/>
  <c r="AD345" i="1"/>
  <c r="AD346" i="1"/>
  <c r="AD438" i="1"/>
  <c r="AD444" i="1"/>
  <c r="AD407" i="1"/>
  <c r="AD408" i="1"/>
  <c r="AD402" i="1"/>
  <c r="AD397" i="1"/>
  <c r="AD391" i="1"/>
  <c r="AD392" i="1"/>
  <c r="AD385" i="1"/>
  <c r="AD386" i="1"/>
  <c r="AD513" i="1"/>
  <c r="AD516" i="1"/>
  <c r="AD517" i="1"/>
  <c r="AD522" i="1"/>
  <c r="AD523" i="1"/>
  <c r="AD506" i="1"/>
  <c r="AD266" i="1"/>
  <c r="AD825" i="1"/>
  <c r="AD355" i="1"/>
  <c r="AD164" i="1"/>
  <c r="AD908" i="1"/>
  <c r="AD1000" i="1"/>
  <c r="AD668" i="1"/>
  <c r="AD11" i="1"/>
  <c r="AD567" i="1"/>
  <c r="AD10" i="1"/>
  <c r="AD836" i="1"/>
  <c r="AD968" i="1"/>
  <c r="AD36" i="1"/>
  <c r="AD247" i="1"/>
  <c r="AD239" i="1"/>
  <c r="AD30" i="1"/>
  <c r="AD28" i="1"/>
  <c r="AD23" i="1"/>
  <c r="AD24" i="1"/>
  <c r="AD25" i="1"/>
  <c r="AD1152" i="1"/>
  <c r="AD541" i="1"/>
  <c r="AD53" i="1"/>
  <c r="AD19" i="1"/>
  <c r="AD17" i="1"/>
  <c r="AD18" i="1"/>
  <c r="AD525" i="1"/>
  <c r="AD447" i="1"/>
  <c r="AD508" i="1"/>
  <c r="AD494" i="1"/>
  <c r="AD495" i="1"/>
  <c r="AD496" i="1"/>
  <c r="AD497" i="1"/>
  <c r="AD498" i="1"/>
  <c r="AD729" i="1"/>
  <c r="AD813" i="1"/>
  <c r="AD771" i="1"/>
  <c r="AD731" i="1"/>
  <c r="AD672" i="1"/>
  <c r="AD13" i="1"/>
  <c r="AD14" i="1"/>
  <c r="AD798" i="1"/>
  <c r="AD861" i="1"/>
  <c r="AD882" i="1"/>
  <c r="AD32" i="1"/>
  <c r="AD913" i="1"/>
  <c r="AD909" i="1"/>
  <c r="AD926" i="1"/>
  <c r="AD969" i="1"/>
  <c r="AD970" i="1"/>
  <c r="AD971" i="1"/>
  <c r="AD972" i="1"/>
  <c r="AD962" i="1"/>
  <c r="AD40" i="1"/>
  <c r="AD1051" i="1"/>
  <c r="AD1055" i="1"/>
  <c r="AD1057" i="1"/>
  <c r="AD1058" i="1"/>
  <c r="AD1066" i="1"/>
  <c r="AD1076" i="1"/>
  <c r="AD43" i="1"/>
  <c r="AD44" i="1"/>
  <c r="AD45" i="1"/>
  <c r="AD46" i="1"/>
  <c r="AD48" i="1"/>
  <c r="AD1135" i="1"/>
  <c r="AD1140" i="1"/>
  <c r="AD49" i="1"/>
  <c r="AD1148" i="1"/>
  <c r="AD1149" i="1"/>
  <c r="AD674" i="1"/>
  <c r="AD675" i="1"/>
  <c r="AD676" i="1"/>
  <c r="AD679" i="1"/>
  <c r="AD534" i="1"/>
  <c r="AD536" i="1"/>
  <c r="AD9" i="1"/>
  <c r="AD427" i="1"/>
  <c r="AD428" i="1"/>
  <c r="AD429" i="1"/>
  <c r="AD431" i="1"/>
  <c r="AD499" i="1"/>
  <c r="AD177" i="1"/>
  <c r="AD165" i="1"/>
  <c r="AD166" i="1"/>
  <c r="AD167" i="1"/>
  <c r="AD168" i="1"/>
  <c r="AD169" i="1"/>
  <c r="AD170" i="1"/>
  <c r="AD140" i="1"/>
  <c r="AD57" i="1"/>
  <c r="AD54" i="1"/>
  <c r="AD96" i="1"/>
  <c r="AD107" i="1"/>
  <c r="AD117" i="1"/>
  <c r="AD300" i="1"/>
  <c r="AD302" i="1"/>
  <c r="AD304" i="1"/>
  <c r="AD323" i="1"/>
  <c r="AD769" i="1"/>
  <c r="AD965" i="1"/>
  <c r="AD966" i="1"/>
  <c r="AD967" i="1"/>
  <c r="AD1026" i="1"/>
  <c r="AD1039" i="1"/>
  <c r="AD47" i="1"/>
  <c r="AD1116" i="1"/>
  <c r="AD55" i="1"/>
  <c r="AD262" i="1"/>
  <c r="AD667" i="1"/>
  <c r="AD446" i="1"/>
  <c r="AD35" i="1"/>
  <c r="AD12" i="1"/>
  <c r="AD905" i="1"/>
  <c r="AD895" i="1"/>
  <c r="AD892" i="1"/>
  <c r="AD893" i="1"/>
  <c r="AD934" i="1"/>
  <c r="AD828" i="1"/>
  <c r="AD723" i="1"/>
  <c r="AD738" i="1"/>
  <c r="AD739" i="1"/>
  <c r="AD752" i="1"/>
  <c r="AD741" i="1"/>
  <c r="AD761" i="1"/>
  <c r="AD755" i="1"/>
  <c r="AD772" i="1"/>
  <c r="AD20" i="1"/>
  <c r="AD779" i="1"/>
  <c r="AD1084" i="1"/>
  <c r="AD1085" i="1"/>
  <c r="AD1048" i="1"/>
  <c r="AD1025" i="1"/>
  <c r="AD993" i="1"/>
  <c r="AD622" i="1"/>
  <c r="AD631" i="1"/>
  <c r="AD632" i="1"/>
  <c r="AD633" i="1"/>
  <c r="AD666" i="1"/>
  <c r="AD658" i="1"/>
  <c r="AD647" i="1"/>
  <c r="AD566" i="1"/>
  <c r="AD588" i="1"/>
  <c r="AD480" i="1"/>
  <c r="AD463" i="1"/>
  <c r="AD467" i="1"/>
  <c r="AD468" i="1"/>
  <c r="AD475" i="1"/>
  <c r="AD432" i="1"/>
  <c r="AD433" i="1"/>
  <c r="AD108" i="1"/>
  <c r="AD109" i="1"/>
  <c r="AD110" i="1"/>
  <c r="AD111" i="1"/>
  <c r="AD112" i="1"/>
  <c r="AD137" i="1"/>
  <c r="AD138" i="1"/>
  <c r="AD139" i="1"/>
  <c r="AD347" i="1"/>
  <c r="AD362" i="1"/>
  <c r="AD500" i="1"/>
  <c r="AD501" i="1"/>
  <c r="AD502" i="1"/>
  <c r="AD512" i="1"/>
  <c r="AD515" i="1"/>
  <c r="AD519" i="1"/>
  <c r="AD524" i="1"/>
  <c r="AD528" i="1"/>
  <c r="AD476" i="1"/>
  <c r="AD482" i="1"/>
  <c r="AD479" i="1"/>
  <c r="AD493" i="1"/>
  <c r="AD487" i="1"/>
  <c r="AD484" i="1"/>
  <c r="AD469" i="1"/>
  <c r="AD462" i="1"/>
  <c r="AD459" i="1"/>
  <c r="AD451" i="1"/>
  <c r="AD452" i="1"/>
  <c r="AD456" i="1"/>
  <c r="AD449" i="1"/>
  <c r="AD435" i="1"/>
  <c r="AD439" i="1"/>
  <c r="AD442" i="1"/>
  <c r="AD443" i="1"/>
  <c r="AD419" i="1"/>
  <c r="AD426" i="1"/>
  <c r="AD417" i="1"/>
  <c r="AD378" i="1"/>
  <c r="AD393" i="1"/>
  <c r="AD389" i="1"/>
  <c r="AD380" i="1"/>
  <c r="AD381" i="1"/>
  <c r="AD399" i="1"/>
  <c r="AD400" i="1"/>
  <c r="AD409" i="1"/>
  <c r="AD412" i="1"/>
  <c r="AD404" i="1"/>
  <c r="AD405" i="1"/>
  <c r="AD539" i="1"/>
  <c r="AD537" i="1"/>
  <c r="AD554" i="1"/>
  <c r="AD558" i="1"/>
  <c r="AD551" i="1"/>
  <c r="AD552" i="1"/>
  <c r="AD549" i="1"/>
  <c r="AD544" i="1"/>
  <c r="AD545" i="1"/>
  <c r="AD585" i="1"/>
  <c r="AD606" i="1"/>
  <c r="AD599" i="1"/>
  <c r="AD562" i="1"/>
  <c r="AD563" i="1"/>
  <c r="AD570" i="1"/>
  <c r="AD571" i="1"/>
  <c r="AD568" i="1"/>
  <c r="AD580" i="1"/>
  <c r="AD582" i="1"/>
  <c r="AD573" i="1"/>
  <c r="AD659" i="1"/>
  <c r="AD654" i="1"/>
  <c r="AD687" i="1"/>
  <c r="AD661" i="1"/>
  <c r="AD670" i="1"/>
  <c r="AD627" i="1"/>
  <c r="AD624" i="1"/>
  <c r="AD625" i="1"/>
  <c r="AD642" i="1"/>
  <c r="AD637" i="1"/>
  <c r="AD608" i="1"/>
  <c r="AD612" i="1"/>
  <c r="AD249" i="1"/>
  <c r="AD259" i="1"/>
  <c r="AD260" i="1"/>
  <c r="AD274" i="1"/>
  <c r="AD271" i="1"/>
  <c r="AD264" i="1"/>
  <c r="AD268" i="1"/>
  <c r="AD293" i="1"/>
  <c r="AD294" i="1"/>
  <c r="AD287" i="1"/>
  <c r="AD291" i="1"/>
  <c r="AD285" i="1"/>
  <c r="AD278" i="1"/>
  <c r="AD279" i="1"/>
  <c r="AD276" i="1"/>
  <c r="AD232" i="1"/>
  <c r="AD233" i="1"/>
  <c r="AD229" i="1"/>
  <c r="AD224" i="1"/>
  <c r="AD221" i="1"/>
  <c r="AD253" i="1"/>
  <c r="AD254" i="1"/>
  <c r="AD215" i="1"/>
  <c r="AD245" i="1"/>
  <c r="AD236" i="1"/>
  <c r="AD242" i="1"/>
  <c r="AD298" i="1"/>
  <c r="AD299" i="1"/>
  <c r="AD311" i="1"/>
  <c r="AD305" i="1"/>
  <c r="AD306" i="1"/>
  <c r="AD307" i="1"/>
  <c r="AD332" i="1"/>
  <c r="AD328" i="1"/>
  <c r="AD316" i="1"/>
  <c r="AD314" i="1"/>
  <c r="AD320" i="1"/>
  <c r="AD350" i="1"/>
  <c r="AD340" i="1"/>
  <c r="AD336" i="1"/>
  <c r="AD337" i="1"/>
  <c r="AD361" i="1"/>
  <c r="AD56" i="1"/>
  <c r="AD70" i="1"/>
  <c r="AD71" i="1"/>
  <c r="AD72" i="1"/>
  <c r="AD73" i="1"/>
  <c r="AD58" i="1"/>
  <c r="AD59" i="1"/>
  <c r="AD60" i="1"/>
  <c r="AD61" i="1"/>
  <c r="AD62" i="1"/>
  <c r="AD63" i="1"/>
  <c r="AD64" i="1"/>
  <c r="AD65" i="1"/>
  <c r="AD66" i="1"/>
  <c r="AD88" i="1"/>
  <c r="AD89" i="1"/>
  <c r="AD68" i="1"/>
  <c r="AD82" i="1"/>
  <c r="AD83" i="1"/>
  <c r="AD84" i="1"/>
  <c r="AD85" i="1"/>
  <c r="AD86" i="1"/>
  <c r="AD76" i="1"/>
  <c r="AD77" i="1"/>
  <c r="AD78" i="1"/>
  <c r="AD79" i="1"/>
  <c r="AD80" i="1"/>
  <c r="AD113" i="1"/>
  <c r="AD114" i="1"/>
  <c r="AD115" i="1"/>
  <c r="AD102" i="1"/>
  <c r="AD103" i="1"/>
  <c r="AD104" i="1"/>
  <c r="AD105" i="1"/>
  <c r="AD97" i="1"/>
  <c r="AD98" i="1"/>
  <c r="AD99" i="1"/>
  <c r="AD131" i="1"/>
  <c r="AD132" i="1"/>
  <c r="AD129" i="1"/>
  <c r="AD126" i="1"/>
  <c r="AD127" i="1"/>
  <c r="AD124" i="1"/>
  <c r="AD91" i="1"/>
  <c r="AD122" i="1"/>
  <c r="AD118" i="1"/>
  <c r="AD119" i="1"/>
  <c r="AD188" i="1"/>
  <c r="AD184" i="1"/>
  <c r="AD185" i="1"/>
  <c r="AD210" i="1"/>
  <c r="AD211" i="1"/>
  <c r="AD203" i="1"/>
  <c r="AD205" i="1"/>
  <c r="AD206" i="1"/>
  <c r="AD207" i="1"/>
  <c r="AD200" i="1"/>
  <c r="AD201" i="1"/>
  <c r="AD197" i="1"/>
  <c r="AD198" i="1"/>
  <c r="AD194" i="1"/>
  <c r="AD195" i="1"/>
  <c r="AD152" i="1"/>
  <c r="AD156" i="1"/>
  <c r="AD148" i="1"/>
  <c r="AD149" i="1"/>
  <c r="AD150" i="1"/>
  <c r="AD136" i="1"/>
  <c r="AD141" i="1"/>
  <c r="AD142" i="1"/>
  <c r="AD143" i="1"/>
  <c r="AD144" i="1"/>
  <c r="AD145" i="1"/>
  <c r="AD756" i="1"/>
  <c r="AD770" i="1"/>
  <c r="AD778" i="1"/>
  <c r="AD775" i="1"/>
  <c r="AD791" i="1"/>
  <c r="AD785" i="1"/>
  <c r="AD793" i="1"/>
  <c r="AD822" i="1"/>
  <c r="AD750" i="1"/>
  <c r="AD747" i="1"/>
  <c r="AD744" i="1"/>
  <c r="AD724" i="1"/>
  <c r="AD699" i="1"/>
  <c r="AD696" i="1"/>
  <c r="AD694" i="1"/>
  <c r="AD720" i="1"/>
  <c r="AD716" i="1"/>
  <c r="AD701" i="1"/>
  <c r="AD712" i="1"/>
  <c r="AD803" i="1"/>
  <c r="AD829" i="1"/>
  <c r="AD830" i="1"/>
  <c r="AD835" i="1"/>
  <c r="AD848" i="1"/>
  <c r="AD849" i="1"/>
  <c r="AD850" i="1"/>
  <c r="AD851" i="1"/>
  <c r="AD852" i="1"/>
  <c r="AD853" i="1"/>
  <c r="AD854" i="1"/>
  <c r="AD826" i="1"/>
  <c r="AD837" i="1"/>
  <c r="AD870" i="1"/>
  <c r="AD871" i="1"/>
  <c r="AD872" i="1"/>
  <c r="AD873" i="1"/>
  <c r="AD874" i="1"/>
  <c r="AD860" i="1"/>
  <c r="AD876" i="1"/>
  <c r="AD877" i="1"/>
  <c r="AD878" i="1"/>
  <c r="AD879" i="1"/>
  <c r="AD880" i="1"/>
  <c r="AD881" i="1"/>
  <c r="AD864" i="1"/>
  <c r="AD888" i="1"/>
  <c r="AD866" i="1"/>
  <c r="AD883" i="1"/>
  <c r="AD896" i="1"/>
  <c r="AD904" i="1"/>
  <c r="AD891" i="1"/>
  <c r="AD899" i="1"/>
  <c r="AD900" i="1"/>
  <c r="AD901" i="1"/>
  <c r="AD902" i="1"/>
  <c r="AD907" i="1"/>
  <c r="AD31" i="1"/>
  <c r="AD846" i="1"/>
  <c r="AD21" i="1"/>
  <c r="AD42" i="1"/>
  <c r="AD214" i="1"/>
  <c r="AD226" i="1"/>
  <c r="AD204" i="1"/>
  <c r="AD448" i="1"/>
  <c r="AD434" i="1"/>
  <c r="AD445" i="1"/>
  <c r="AD436" i="1"/>
  <c r="AD437" i="1"/>
  <c r="AD440" i="1"/>
  <c r="AD441" i="1"/>
  <c r="AD413" i="1"/>
  <c r="AD414" i="1"/>
  <c r="AD415" i="1"/>
  <c r="AD416" i="1"/>
  <c r="AD420" i="1"/>
  <c r="AD421" i="1"/>
  <c r="AD422" i="1"/>
  <c r="AD423" i="1"/>
  <c r="AD424" i="1"/>
  <c r="AD425" i="1"/>
  <c r="AD373" i="1"/>
  <c r="AD374" i="1"/>
  <c r="AD375" i="1"/>
  <c r="AD376" i="1"/>
  <c r="AD377" i="1"/>
  <c r="AD382" i="1"/>
  <c r="AD383" i="1"/>
  <c r="AD384" i="1"/>
  <c r="AD379" i="1"/>
  <c r="AD387" i="1"/>
  <c r="AD388" i="1"/>
  <c r="AD390" i="1"/>
  <c r="AD394" i="1"/>
  <c r="AD395" i="1"/>
  <c r="AD396" i="1"/>
  <c r="AD398" i="1"/>
  <c r="AD401" i="1"/>
  <c r="AD406" i="1"/>
  <c r="AD403" i="1"/>
  <c r="AD410" i="1"/>
  <c r="AD411" i="1"/>
  <c r="AD472" i="1"/>
  <c r="AD473" i="1"/>
  <c r="AD474" i="1"/>
  <c r="AD477" i="1"/>
  <c r="AD478" i="1"/>
  <c r="AD481" i="1"/>
  <c r="AD483" i="1"/>
  <c r="AD485" i="1"/>
  <c r="AD486" i="1"/>
  <c r="AD488" i="1"/>
  <c r="AD489" i="1"/>
  <c r="AD490" i="1"/>
  <c r="AD491" i="1"/>
  <c r="AD492" i="1"/>
  <c r="AD453" i="1"/>
  <c r="AD454" i="1"/>
  <c r="AD455" i="1"/>
  <c r="AD450" i="1"/>
  <c r="AD457" i="1"/>
  <c r="AD458" i="1"/>
  <c r="AD460" i="1"/>
  <c r="AD461" i="1"/>
  <c r="AD464" i="1"/>
  <c r="AD465" i="1"/>
  <c r="AD470" i="1"/>
  <c r="AD503" i="1"/>
  <c r="AD504" i="1"/>
  <c r="AD505" i="1"/>
  <c r="AD509" i="1"/>
  <c r="AD510" i="1"/>
  <c r="AD511" i="1"/>
  <c r="AD507" i="1"/>
  <c r="AD514" i="1"/>
  <c r="AD518" i="1"/>
  <c r="AD520" i="1"/>
  <c r="AD526" i="1"/>
  <c r="AD527" i="1"/>
  <c r="AD650" i="1"/>
  <c r="AD651" i="1"/>
  <c r="AD652" i="1"/>
  <c r="AD653" i="1"/>
  <c r="AD643" i="1"/>
  <c r="AD644" i="1"/>
  <c r="AD645" i="1"/>
  <c r="AD646" i="1"/>
  <c r="AD655" i="1"/>
  <c r="AD656" i="1"/>
  <c r="AD657" i="1"/>
  <c r="AD662" i="1"/>
  <c r="AD663" i="1"/>
  <c r="AD664" i="1"/>
  <c r="AD665" i="1"/>
  <c r="AD669" i="1"/>
  <c r="AD660" i="1"/>
  <c r="AD680" i="1"/>
  <c r="AD681" i="1"/>
  <c r="AD682" i="1"/>
  <c r="AD683" i="1"/>
  <c r="AD684" i="1"/>
  <c r="AD685" i="1"/>
  <c r="AD636" i="1"/>
  <c r="AD638" i="1"/>
  <c r="AD639" i="1"/>
  <c r="AD640" i="1"/>
  <c r="AD641" i="1"/>
  <c r="AD623" i="1"/>
  <c r="AD626" i="1"/>
  <c r="AD628" i="1"/>
  <c r="AD629" i="1"/>
  <c r="AD630" i="1"/>
  <c r="AD600" i="1"/>
  <c r="AD607" i="1"/>
  <c r="AD609" i="1"/>
  <c r="AD610" i="1"/>
  <c r="AD611" i="1"/>
  <c r="AD613" i="1"/>
  <c r="AD614" i="1"/>
  <c r="AD615" i="1"/>
  <c r="AD616" i="1"/>
  <c r="AD617" i="1"/>
  <c r="AD618" i="1"/>
  <c r="AD619" i="1"/>
  <c r="AD620" i="1"/>
  <c r="AD621" i="1"/>
  <c r="AD538" i="1"/>
  <c r="AD542" i="1"/>
  <c r="AD543" i="1"/>
  <c r="AD547" i="1"/>
  <c r="AD548" i="1"/>
  <c r="AD550" i="1"/>
  <c r="AD555" i="1"/>
  <c r="AD556" i="1"/>
  <c r="AD557" i="1"/>
  <c r="AD553" i="1"/>
  <c r="AD559" i="1"/>
  <c r="AD560" i="1"/>
  <c r="AD561" i="1"/>
  <c r="AD602" i="1"/>
  <c r="AD603" i="1"/>
  <c r="AD604" i="1"/>
  <c r="AD605" i="1"/>
  <c r="AD583" i="1"/>
  <c r="AD584" i="1"/>
  <c r="AD586" i="1"/>
  <c r="AD587" i="1"/>
  <c r="AD589" i="1"/>
  <c r="AD590" i="1"/>
  <c r="AD591" i="1"/>
  <c r="AD592" i="1"/>
  <c r="AD593" i="1"/>
  <c r="AD594" i="1"/>
  <c r="AD595" i="1"/>
  <c r="AD596" i="1"/>
  <c r="AD597" i="1"/>
  <c r="AD598" i="1"/>
  <c r="AD572" i="1"/>
  <c r="AD581" i="1"/>
  <c r="AD574" i="1"/>
  <c r="AD575" i="1"/>
  <c r="AD576" i="1"/>
  <c r="AD577" i="1"/>
  <c r="AD578" i="1"/>
  <c r="AD579" i="1"/>
  <c r="AD569" i="1"/>
  <c r="AD564" i="1"/>
  <c r="AD565" i="1"/>
  <c r="AD277" i="1"/>
  <c r="AD280" i="1"/>
  <c r="AD281" i="1"/>
  <c r="AD282" i="1"/>
  <c r="AD283" i="1"/>
  <c r="AD284" i="1"/>
  <c r="AD288" i="1"/>
  <c r="AD289" i="1"/>
  <c r="AD290" i="1"/>
  <c r="AD286" i="1"/>
  <c r="AD292" i="1"/>
  <c r="AD248" i="1"/>
  <c r="AD261" i="1"/>
  <c r="AD255" i="1"/>
  <c r="AD256" i="1"/>
  <c r="AD257" i="1"/>
  <c r="AD258" i="1"/>
  <c r="AD267" i="1"/>
  <c r="AD263" i="1"/>
  <c r="AD269" i="1"/>
  <c r="AD270" i="1"/>
  <c r="AD272" i="1"/>
  <c r="AD273" i="1"/>
  <c r="AD240" i="1"/>
  <c r="AD241" i="1"/>
  <c r="AD234" i="1"/>
  <c r="AD235" i="1"/>
  <c r="AD237" i="1"/>
  <c r="AD238" i="1"/>
  <c r="AD243" i="1"/>
  <c r="AD244" i="1"/>
  <c r="AD246" i="1"/>
  <c r="AD250" i="1"/>
  <c r="AD251" i="1"/>
  <c r="AD252" i="1"/>
  <c r="AD216" i="1"/>
  <c r="AD217" i="1"/>
  <c r="AD218" i="1"/>
  <c r="AD219" i="1"/>
  <c r="AD220" i="1"/>
  <c r="AD212" i="1"/>
  <c r="AD213" i="1"/>
  <c r="AD222" i="1"/>
  <c r="AD223" i="1"/>
  <c r="AD225" i="1"/>
  <c r="AD227" i="1"/>
  <c r="AD228" i="1"/>
  <c r="AD230" i="1"/>
  <c r="AD231" i="1"/>
  <c r="AD358" i="1"/>
  <c r="AD359" i="1"/>
  <c r="AD360" i="1"/>
  <c r="AD351" i="1"/>
  <c r="AD354" i="1"/>
  <c r="AD356" i="1"/>
  <c r="AD363" i="1"/>
  <c r="AD366" i="1"/>
  <c r="AD367" i="1"/>
  <c r="AD368" i="1"/>
  <c r="AD369" i="1"/>
  <c r="AD370" i="1"/>
  <c r="AD333" i="1"/>
  <c r="AD334" i="1"/>
  <c r="AD335" i="1"/>
  <c r="AD321" i="1"/>
  <c r="AD322" i="1"/>
  <c r="AD338" i="1"/>
  <c r="AD339" i="1"/>
  <c r="AD341" i="1"/>
  <c r="AD342" i="1"/>
  <c r="AD343" i="1"/>
  <c r="AD344" i="1"/>
  <c r="AD265" i="1"/>
  <c r="AD348" i="1"/>
  <c r="AD349" i="1"/>
  <c r="AD318" i="1"/>
  <c r="AD319" i="1"/>
  <c r="AD312" i="1"/>
  <c r="AD313" i="1"/>
  <c r="AD315" i="1"/>
  <c r="AD324" i="1"/>
  <c r="AD325" i="1"/>
  <c r="AD326" i="1"/>
  <c r="AD327" i="1"/>
  <c r="AD329" i="1"/>
  <c r="AD330" i="1"/>
  <c r="AD331" i="1"/>
  <c r="AD308" i="1"/>
  <c r="AD309" i="1"/>
  <c r="AD310" i="1"/>
  <c r="AD295" i="1"/>
  <c r="AD296" i="1"/>
  <c r="AD297" i="1"/>
  <c r="AD186" i="1"/>
  <c r="AD187" i="1"/>
  <c r="AD179" i="1"/>
  <c r="AD180" i="1"/>
  <c r="AD181" i="1"/>
  <c r="AD182" i="1"/>
  <c r="AD183" i="1"/>
  <c r="AD189" i="1"/>
  <c r="AD190" i="1"/>
  <c r="AD191" i="1"/>
  <c r="AD192" i="1"/>
  <c r="AD193" i="1"/>
  <c r="AD196" i="1"/>
  <c r="AD199" i="1"/>
  <c r="AD202" i="1"/>
  <c r="AD208" i="1"/>
  <c r="AD209" i="1"/>
  <c r="AD2" i="1"/>
  <c r="AD3" i="1"/>
  <c r="AD133" i="1"/>
  <c r="AD134" i="1"/>
  <c r="AD135" i="1"/>
  <c r="AD146" i="1"/>
  <c r="AD147" i="1"/>
  <c r="AD151" i="1"/>
  <c r="AD153" i="1"/>
  <c r="AD154" i="1"/>
  <c r="AD155" i="1"/>
  <c r="AD157" i="1"/>
  <c r="AD158" i="1"/>
  <c r="AD159" i="1"/>
  <c r="AD160" i="1"/>
  <c r="AD161" i="1"/>
  <c r="AD162" i="1"/>
  <c r="AD163" i="1"/>
  <c r="AD120" i="1"/>
  <c r="AD121" i="1"/>
  <c r="AD90" i="1"/>
  <c r="AD106" i="1"/>
  <c r="AD116" i="1"/>
  <c r="AD123" i="1"/>
  <c r="AD125" i="1"/>
  <c r="AD128" i="1"/>
  <c r="AD130" i="1"/>
  <c r="AD100" i="1"/>
  <c r="AD101" i="1"/>
  <c r="AD69" i="1"/>
  <c r="AD74" i="1"/>
  <c r="AD75" i="1"/>
  <c r="AD81" i="1"/>
  <c r="AD67" i="1"/>
  <c r="AD87" i="1"/>
  <c r="AD92" i="1"/>
  <c r="AD93" i="1"/>
  <c r="AD94" i="1"/>
  <c r="AD95" i="1"/>
  <c r="AD1001" i="1"/>
  <c r="AD1002" i="1"/>
  <c r="AD1003" i="1"/>
  <c r="AD1004" i="1"/>
  <c r="AD1005" i="1"/>
  <c r="AD1006" i="1"/>
  <c r="AD1007" i="1"/>
  <c r="AD974" i="1"/>
  <c r="AD975" i="1"/>
  <c r="AD976" i="1"/>
  <c r="AD977" i="1"/>
  <c r="AD978" i="1"/>
  <c r="AD979" i="1"/>
  <c r="AD980" i="1"/>
  <c r="AD981" i="1"/>
  <c r="AD982" i="1"/>
  <c r="AD983" i="1"/>
  <c r="AD984" i="1"/>
  <c r="AD985" i="1"/>
  <c r="AD986" i="1"/>
  <c r="AD987" i="1"/>
  <c r="AD988" i="1"/>
  <c r="AD989" i="1"/>
  <c r="AD990" i="1"/>
  <c r="AD991" i="1"/>
  <c r="AD992" i="1"/>
  <c r="AD1027" i="1"/>
  <c r="AD1028" i="1"/>
  <c r="AD1029" i="1"/>
  <c r="AD1030" i="1"/>
  <c r="AD1031" i="1"/>
  <c r="AD1032" i="1"/>
  <c r="AD1033" i="1"/>
  <c r="AD1034" i="1"/>
  <c r="AD994" i="1"/>
  <c r="AD995" i="1"/>
  <c r="AD996" i="1"/>
  <c r="AD997" i="1"/>
  <c r="AD998" i="1"/>
  <c r="AD1035" i="1"/>
  <c r="AD1036" i="1"/>
  <c r="AD1037" i="1"/>
  <c r="AD1038" i="1"/>
  <c r="AD1009" i="1"/>
  <c r="AD1010" i="1"/>
  <c r="AD1011" i="1"/>
  <c r="AD1012" i="1"/>
  <c r="AD1013" i="1"/>
  <c r="AD1014" i="1"/>
  <c r="AD1015" i="1"/>
  <c r="AD1016" i="1"/>
  <c r="AD1017" i="1"/>
  <c r="AD1018" i="1"/>
  <c r="AD1019" i="1"/>
  <c r="AD1020" i="1"/>
  <c r="AD1021" i="1"/>
  <c r="AD1022" i="1"/>
  <c r="AD1023" i="1"/>
  <c r="AD1024" i="1"/>
  <c r="AD1041" i="1"/>
  <c r="AD1042" i="1"/>
  <c r="AD1043" i="1"/>
  <c r="AD1044" i="1"/>
  <c r="AD1045" i="1"/>
  <c r="AD1046" i="1"/>
  <c r="AD1047" i="1"/>
  <c r="AD1049" i="1"/>
  <c r="AD1061" i="1"/>
  <c r="AD1062" i="1"/>
  <c r="AD1063" i="1"/>
  <c r="AD1064" i="1"/>
  <c r="AD1065" i="1"/>
  <c r="AD1067" i="1"/>
  <c r="AD1068" i="1"/>
  <c r="AD1069" i="1"/>
  <c r="AD1070" i="1"/>
  <c r="AD1071" i="1"/>
  <c r="AD1072" i="1"/>
  <c r="AD1073" i="1"/>
  <c r="AD1074" i="1"/>
  <c r="AD1075" i="1"/>
  <c r="AD1102" i="1"/>
  <c r="AD1103" i="1"/>
  <c r="AD1104" i="1"/>
  <c r="AD1105" i="1"/>
  <c r="AD1106" i="1"/>
  <c r="AD1107" i="1"/>
  <c r="AD1108" i="1"/>
  <c r="AD1109" i="1"/>
  <c r="AD1077" i="1"/>
  <c r="AD1078" i="1"/>
  <c r="AD1079" i="1"/>
  <c r="AD1080" i="1"/>
  <c r="AD1081" i="1"/>
  <c r="AD1082" i="1"/>
  <c r="AD1083" i="1"/>
  <c r="AD1086" i="1"/>
  <c r="AD1087" i="1"/>
  <c r="AD1088" i="1"/>
  <c r="AD1089" i="1"/>
  <c r="AD1090" i="1"/>
  <c r="AD1091" i="1"/>
  <c r="AD1092" i="1"/>
  <c r="AD1093" i="1"/>
  <c r="AD1094" i="1"/>
  <c r="AD1095" i="1"/>
  <c r="AD1096" i="1"/>
  <c r="AD1097" i="1"/>
  <c r="AD1098" i="1"/>
  <c r="AD1099" i="1"/>
  <c r="AD1100" i="1"/>
  <c r="AD1101" i="1"/>
  <c r="AD1111" i="1"/>
  <c r="AD1112" i="1"/>
  <c r="AD1113" i="1"/>
  <c r="AD1159" i="1"/>
  <c r="AD1160" i="1"/>
  <c r="AD1161" i="1"/>
  <c r="AD1162" i="1"/>
  <c r="AD1163" i="1"/>
  <c r="AD1141" i="1"/>
  <c r="AD1142" i="1"/>
  <c r="AD1143" i="1"/>
  <c r="AD1136" i="1"/>
  <c r="AD1137" i="1"/>
  <c r="AD1138" i="1"/>
  <c r="AD1139" i="1"/>
  <c r="AD1114" i="1"/>
  <c r="AD1115" i="1"/>
  <c r="AD1110" i="1"/>
  <c r="AD1117" i="1"/>
  <c r="AD1118" i="1"/>
  <c r="AD1119" i="1"/>
  <c r="AD1120" i="1"/>
  <c r="AD1121" i="1"/>
  <c r="AD1122" i="1"/>
  <c r="AD1123" i="1"/>
  <c r="AD1124" i="1"/>
  <c r="AD1125" i="1"/>
  <c r="AD1126" i="1"/>
  <c r="AD1127" i="1"/>
  <c r="AD1128" i="1"/>
  <c r="AD1129" i="1"/>
  <c r="AD1130" i="1"/>
  <c r="AD1131" i="1"/>
  <c r="AD1132" i="1"/>
  <c r="AD1133" i="1"/>
  <c r="AD1134" i="1"/>
  <c r="AD841" i="1"/>
  <c r="AD842" i="1"/>
  <c r="AD843" i="1"/>
  <c r="AD847" i="1"/>
  <c r="AD823" i="1"/>
  <c r="AD824" i="1"/>
  <c r="AD800" i="1"/>
  <c r="AD801" i="1"/>
  <c r="AD802" i="1"/>
  <c r="AD827" i="1"/>
  <c r="AD831" i="1"/>
  <c r="AD832" i="1"/>
  <c r="AD833" i="1"/>
  <c r="AD834" i="1"/>
  <c r="AD865" i="1"/>
  <c r="AD884" i="1"/>
  <c r="AD885" i="1"/>
  <c r="AD886" i="1"/>
  <c r="AD887" i="1"/>
  <c r="AD862" i="1"/>
  <c r="AD863" i="1"/>
  <c r="AD875" i="1"/>
  <c r="AD838" i="1"/>
  <c r="AD839" i="1"/>
  <c r="AD845" i="1"/>
  <c r="AD855" i="1"/>
  <c r="AD856" i="1"/>
  <c r="AD857" i="1"/>
  <c r="AD858" i="1"/>
  <c r="AD859" i="1"/>
  <c r="AD867" i="1"/>
  <c r="AD868" i="1"/>
  <c r="AD869" i="1"/>
  <c r="AD921" i="1"/>
  <c r="AD922" i="1"/>
  <c r="AD923" i="1"/>
  <c r="AD924" i="1"/>
  <c r="AD925" i="1"/>
  <c r="AD914" i="1"/>
  <c r="AD915" i="1"/>
  <c r="AD916" i="1"/>
  <c r="AD917" i="1"/>
  <c r="AD918" i="1"/>
  <c r="AD919" i="1"/>
  <c r="AD920" i="1"/>
  <c r="AD894" i="1"/>
  <c r="AD903" i="1"/>
  <c r="AD889" i="1"/>
  <c r="AD890" i="1"/>
  <c r="AD897" i="1"/>
  <c r="AD898" i="1"/>
  <c r="AD927" i="1"/>
  <c r="AD928" i="1"/>
  <c r="AD929" i="1"/>
  <c r="AD930" i="1"/>
  <c r="AD931" i="1"/>
  <c r="AD932" i="1"/>
  <c r="AD933" i="1"/>
  <c r="AD906" i="1"/>
  <c r="AD935" i="1"/>
  <c r="AD958" i="1"/>
  <c r="AD959" i="1"/>
  <c r="AD960" i="1"/>
  <c r="AD961" i="1"/>
  <c r="AD936" i="1"/>
  <c r="AD937" i="1"/>
  <c r="AD938" i="1"/>
  <c r="AD939" i="1"/>
  <c r="AD940" i="1"/>
  <c r="AD941" i="1"/>
  <c r="AD942" i="1"/>
  <c r="AD943" i="1"/>
  <c r="AD944" i="1"/>
  <c r="AD945" i="1"/>
  <c r="AD946" i="1"/>
  <c r="AD947" i="1"/>
  <c r="AD948" i="1"/>
  <c r="AD949" i="1"/>
  <c r="AD950" i="1"/>
  <c r="AD951" i="1"/>
  <c r="AD952" i="1"/>
  <c r="AD953" i="1"/>
  <c r="AD954" i="1"/>
  <c r="AD955" i="1"/>
  <c r="AD956" i="1"/>
  <c r="AD792" i="1"/>
  <c r="AD794" i="1"/>
  <c r="AD795" i="1"/>
  <c r="AD796" i="1"/>
  <c r="AD814" i="1"/>
  <c r="AD815" i="1"/>
  <c r="AD816" i="1"/>
  <c r="AD817" i="1"/>
  <c r="AD818" i="1"/>
  <c r="AD819" i="1"/>
  <c r="AD820" i="1"/>
  <c r="AD821" i="1"/>
  <c r="AD804" i="1"/>
  <c r="AD805" i="1"/>
  <c r="AD806" i="1"/>
  <c r="AD807" i="1"/>
  <c r="AD808" i="1"/>
  <c r="AD809" i="1"/>
  <c r="AD810" i="1"/>
  <c r="AD811" i="1"/>
  <c r="AD812" i="1"/>
  <c r="AD773" i="1"/>
  <c r="AD774" i="1"/>
  <c r="AD776" i="1"/>
  <c r="AD777" i="1"/>
  <c r="AD780" i="1"/>
  <c r="AD781" i="1"/>
  <c r="AD782" i="1"/>
  <c r="AD783" i="1"/>
  <c r="AD784" i="1"/>
  <c r="AD786" i="1"/>
  <c r="AD787" i="1"/>
  <c r="AD788" i="1"/>
  <c r="AD789" i="1"/>
  <c r="AD790" i="1"/>
  <c r="AD757" i="1"/>
  <c r="AD758" i="1"/>
  <c r="AD759" i="1"/>
  <c r="AD754" i="1"/>
  <c r="AD760" i="1"/>
  <c r="AD762" i="1"/>
  <c r="AD763" i="1"/>
  <c r="AD764" i="1"/>
  <c r="AD765" i="1"/>
  <c r="AD766" i="1"/>
  <c r="AD767" i="1"/>
  <c r="AD768" i="1"/>
  <c r="AD740" i="1"/>
  <c r="AD742" i="1"/>
  <c r="AD743" i="1"/>
  <c r="AD745" i="1"/>
  <c r="AD746" i="1"/>
  <c r="AD748" i="1"/>
  <c r="AD749" i="1"/>
  <c r="AD751" i="1"/>
  <c r="AD753" i="1"/>
  <c r="AD736" i="1"/>
  <c r="AD737" i="1"/>
  <c r="AD721" i="1"/>
  <c r="AD722" i="1"/>
  <c r="AD725" i="1"/>
  <c r="AD726" i="1"/>
  <c r="AD727" i="1"/>
  <c r="AD728" i="1"/>
  <c r="AD711" i="1"/>
  <c r="AD700" i="1"/>
  <c r="AD708" i="1"/>
  <c r="AD709" i="1"/>
  <c r="AD710" i="1"/>
  <c r="AD713" i="1"/>
  <c r="AD714" i="1"/>
  <c r="AD715" i="1"/>
  <c r="AD717" i="1"/>
  <c r="AD718" i="1"/>
  <c r="AD719" i="1"/>
  <c r="AD678" i="1"/>
  <c r="AD634" i="1"/>
  <c r="AD671" i="1"/>
  <c r="AD688" i="1"/>
  <c r="AD689" i="1"/>
  <c r="AD690" i="1"/>
  <c r="AD691" i="1"/>
  <c r="AD692" i="1"/>
  <c r="AD693" i="1"/>
  <c r="AD695" i="1"/>
  <c r="AD697" i="1"/>
  <c r="AD698" i="1"/>
  <c r="AD702" i="1"/>
  <c r="AD703" i="1"/>
  <c r="AD704" i="1"/>
  <c r="AD705" i="1"/>
  <c r="AD706" i="1"/>
  <c r="AD707" i="1"/>
  <c r="AD1054" i="1"/>
  <c r="AD1155" i="1"/>
  <c r="AD1157" i="1"/>
  <c r="AD733" i="1"/>
  <c r="AD1151" i="1"/>
  <c r="AD4" i="1"/>
  <c r="AD39" i="1"/>
  <c r="AD50" i="1"/>
  <c r="AD51" i="1"/>
  <c r="AD1166" i="1"/>
  <c r="AD1167" i="1"/>
  <c r="AD963" i="1"/>
  <c r="AD964" i="1"/>
  <c r="AD5" i="1"/>
  <c r="AD6" i="1"/>
  <c r="AD26" i="1"/>
  <c r="AD1158" i="1"/>
</calcChain>
</file>

<file path=xl/sharedStrings.xml><?xml version="1.0" encoding="utf-8"?>
<sst xmlns="http://schemas.openxmlformats.org/spreadsheetml/2006/main" count="11715" uniqueCount="1369">
  <si>
    <t>ID_orden</t>
  </si>
  <si>
    <t>Anio_ot</t>
  </si>
  <si>
    <t>Mes_ot</t>
  </si>
  <si>
    <t>Fecha_solicitud_cte</t>
  </si>
  <si>
    <t>Fecha_salida_planta</t>
  </si>
  <si>
    <t>Fecha_confirmacion</t>
  </si>
  <si>
    <t>Fecha_traslado</t>
  </si>
  <si>
    <t>Fecha_entrega</t>
  </si>
  <si>
    <t>ID_matricula</t>
  </si>
  <si>
    <t>No_chasis</t>
  </si>
  <si>
    <t>Modelo</t>
  </si>
  <si>
    <t>Km_reales</t>
  </si>
  <si>
    <t>Km_de_pago</t>
  </si>
  <si>
    <t>No_placa</t>
  </si>
  <si>
    <t>ID_clsueldo</t>
  </si>
  <si>
    <t>Km_oficiales</t>
  </si>
  <si>
    <t>Traslado_local</t>
  </si>
  <si>
    <t>Traslado_cancelado</t>
  </si>
  <si>
    <t>Traslado_en_falso</t>
  </si>
  <si>
    <t>Sueldo</t>
  </si>
  <si>
    <t>Costo_por_km</t>
  </si>
  <si>
    <t>Observaciones</t>
  </si>
  <si>
    <t>Instrucciones_operador</t>
  </si>
  <si>
    <t>Km_tabulados</t>
  </si>
  <si>
    <t>Id_tipo_ruta</t>
  </si>
  <si>
    <t>ID_usuario</t>
  </si>
  <si>
    <t>Tipo_Ruta</t>
  </si>
  <si>
    <t>Origen</t>
  </si>
  <si>
    <t>Destino</t>
  </si>
  <si>
    <t>OT-5040198</t>
  </si>
  <si>
    <t>610429</t>
  </si>
  <si>
    <t>Sprinter</t>
  </si>
  <si>
    <t>4366XC</t>
  </si>
  <si>
    <t/>
  </si>
  <si>
    <t>MiguelO</t>
  </si>
  <si>
    <t>Monterrey</t>
  </si>
  <si>
    <t>OT-512154</t>
  </si>
  <si>
    <t>6552XC</t>
  </si>
  <si>
    <t>Ariadna</t>
  </si>
  <si>
    <t>Villahermosa</t>
  </si>
  <si>
    <t>OT-512185</t>
  </si>
  <si>
    <t>775908</t>
  </si>
  <si>
    <t>4700*175*195</t>
  </si>
  <si>
    <t>3727XC</t>
  </si>
  <si>
    <t>NallelySosa</t>
  </si>
  <si>
    <t>OT-5121100</t>
  </si>
  <si>
    <t>LE28920</t>
  </si>
  <si>
    <t>Presentarse en base 30 min antes de la salida para revisón de unidad.
Cita de operadores 4:00 pm</t>
  </si>
  <si>
    <t>OT-5121132</t>
  </si>
  <si>
    <t>OT-5121146</t>
  </si>
  <si>
    <t>5408XC</t>
  </si>
  <si>
    <t>Cita en patio para transferencia 4:00 pm.
Favor de presentarse 30 kin para revisión de unidad.</t>
  </si>
  <si>
    <t>OT-5121158</t>
  </si>
  <si>
    <t>OT-5041272</t>
  </si>
  <si>
    <t>626955</t>
  </si>
  <si>
    <t>6551XC</t>
  </si>
  <si>
    <t>Cd Sahagún</t>
  </si>
  <si>
    <t>Cuautitlan</t>
  </si>
  <si>
    <t>OT-5041308</t>
  </si>
  <si>
    <t>LE28923</t>
  </si>
  <si>
    <t>Culiacan</t>
  </si>
  <si>
    <t>OT-5041181</t>
  </si>
  <si>
    <t>3645XC</t>
  </si>
  <si>
    <t>OT-5041264</t>
  </si>
  <si>
    <t>OT-5041388</t>
  </si>
  <si>
    <t>OT-504186</t>
  </si>
  <si>
    <t>FAVOR DE SALIR A LAS 16:00 HRS PUNTUAL Y LLEVAR A SUS COMPAÑEROS AL DESTINO INDICADO.</t>
  </si>
  <si>
    <t>Tonantzin</t>
  </si>
  <si>
    <t>OT-511179</t>
  </si>
  <si>
    <t>OT-510190</t>
  </si>
  <si>
    <t>OT-5061295</t>
  </si>
  <si>
    <t>MarianaNV</t>
  </si>
  <si>
    <t>OT-507117</t>
  </si>
  <si>
    <t>OT-5030124</t>
  </si>
  <si>
    <t>MiguelR</t>
  </si>
  <si>
    <t>Morelia</t>
  </si>
  <si>
    <t>OT-5011211</t>
  </si>
  <si>
    <t>4663XC</t>
  </si>
  <si>
    <t>BrendaRM</t>
  </si>
  <si>
    <t>Texcoco</t>
  </si>
  <si>
    <t>OT-507157</t>
  </si>
  <si>
    <t>Tulancingo</t>
  </si>
  <si>
    <t>OT-507119</t>
  </si>
  <si>
    <t>OT-5081192</t>
  </si>
  <si>
    <t>Retirar unidad 25 de agosto, 9:00 am</t>
  </si>
  <si>
    <t>Cd Hidalgo</t>
  </si>
  <si>
    <t>OT-5081254</t>
  </si>
  <si>
    <t>OT-5081256</t>
  </si>
  <si>
    <t>OT-5111200</t>
  </si>
  <si>
    <t>Calpulalpan</t>
  </si>
  <si>
    <t>OT-5071103</t>
  </si>
  <si>
    <t>Guerrero</t>
  </si>
  <si>
    <t>OT-512159</t>
  </si>
  <si>
    <t>Salida de base Sahagun 8:00 am, por favor</t>
  </si>
  <si>
    <t>OT-5121195</t>
  </si>
  <si>
    <t>Cita en patio 9:00 am, por favor
26 de diciembre</t>
  </si>
  <si>
    <t>OT-60111</t>
  </si>
  <si>
    <t>OT-60112</t>
  </si>
  <si>
    <t>PazD</t>
  </si>
  <si>
    <t>OT-502137</t>
  </si>
  <si>
    <t>Salida domingo 09 febrero a las 14:00hrs</t>
  </si>
  <si>
    <t>Tequixquiac</t>
  </si>
  <si>
    <t>OT-5041358</t>
  </si>
  <si>
    <t>4544XC</t>
  </si>
  <si>
    <t>Azcapotzalco</t>
  </si>
  <si>
    <t>OT-504065</t>
  </si>
  <si>
    <t>AbrahamV</t>
  </si>
  <si>
    <t>OT-5031243</t>
  </si>
  <si>
    <t>7247XC</t>
  </si>
  <si>
    <t>OT-501197</t>
  </si>
  <si>
    <t>2621XC</t>
  </si>
  <si>
    <t>Retirar unidad a las 8:00am</t>
  </si>
  <si>
    <t>Ever</t>
  </si>
  <si>
    <t>Tula de Allende</t>
  </si>
  <si>
    <t>OT-4121341</t>
  </si>
  <si>
    <t>4364XC</t>
  </si>
  <si>
    <t>Papantla</t>
  </si>
  <si>
    <t>OT-508072</t>
  </si>
  <si>
    <t>3729XC</t>
  </si>
  <si>
    <t>Ecatepec</t>
  </si>
  <si>
    <t>OT-508071</t>
  </si>
  <si>
    <t>Escobedo</t>
  </si>
  <si>
    <t>OT-508029</t>
  </si>
  <si>
    <t>Arturo</t>
  </si>
  <si>
    <t>OT-5041212</t>
  </si>
  <si>
    <t>Tlaquepaque</t>
  </si>
  <si>
    <t>Tepic</t>
  </si>
  <si>
    <t>OT-5090332</t>
  </si>
  <si>
    <t>Zapopan</t>
  </si>
  <si>
    <t>OT-5090229</t>
  </si>
  <si>
    <t>OT-5011269</t>
  </si>
  <si>
    <t>OT-501156</t>
  </si>
  <si>
    <t>Retirarse a las 18:30hrs, por favor</t>
  </si>
  <si>
    <t>OT-501168</t>
  </si>
  <si>
    <t>3654XC</t>
  </si>
  <si>
    <t>Subida 4:00pm, se autoriza 1 cena por operador</t>
  </si>
  <si>
    <t>OT-5011194</t>
  </si>
  <si>
    <t>4598XC</t>
  </si>
  <si>
    <t>Retirar de patio 8:30am</t>
  </si>
  <si>
    <t>OT-5051134</t>
  </si>
  <si>
    <t>Cita en Patio Sahagún 12:00 pm.</t>
  </si>
  <si>
    <t>OT-506115</t>
  </si>
  <si>
    <t>*Antes de iniciar traslado a las 16:00 hrs informar si faltan algun op por llegar.</t>
  </si>
  <si>
    <t>OT-5061239</t>
  </si>
  <si>
    <t>Cita en Patio Sahagún 24 de junio 9:00 pm
Cita en Patio Kaiser 25 de junio 8:00 am</t>
  </si>
  <si>
    <t>OT-506189</t>
  </si>
  <si>
    <t>OT-5061241</t>
  </si>
  <si>
    <t>OT-5071156</t>
  </si>
  <si>
    <t>OT-5110261</t>
  </si>
  <si>
    <t>GonzaloHP</t>
  </si>
  <si>
    <t>Tlajomulco</t>
  </si>
  <si>
    <t>OT-5110481</t>
  </si>
  <si>
    <t>OT-5110276</t>
  </si>
  <si>
    <t>OT-506151</t>
  </si>
  <si>
    <t>Pachuca</t>
  </si>
  <si>
    <t>OT-5060132</t>
  </si>
  <si>
    <t>AlbertoVD</t>
  </si>
  <si>
    <t>Gomez Palacio</t>
  </si>
  <si>
    <t>OT-5021210</t>
  </si>
  <si>
    <t>Retirar Bus despues de las 9:00 am</t>
  </si>
  <si>
    <t>OT-5011241</t>
  </si>
  <si>
    <t>3736XC</t>
  </si>
  <si>
    <t>Se lleva el autobus a reparación. 
Retirar e patio 8:30</t>
  </si>
  <si>
    <t>OT-5111110</t>
  </si>
  <si>
    <t>San Luis Potosi</t>
  </si>
  <si>
    <t>Aguascalientes</t>
  </si>
  <si>
    <t>OT-5111151</t>
  </si>
  <si>
    <t>OT-511157</t>
  </si>
  <si>
    <t>LE28915</t>
  </si>
  <si>
    <t>Cita en patio 4:00 pm.</t>
  </si>
  <si>
    <t>OT-5111223</t>
  </si>
  <si>
    <t>4596XC</t>
  </si>
  <si>
    <t>Retirar unidad a las 9:00 am</t>
  </si>
  <si>
    <t>OT-508027</t>
  </si>
  <si>
    <t>Guadalupe</t>
  </si>
  <si>
    <t>OT-5110527</t>
  </si>
  <si>
    <t>OT-5090320</t>
  </si>
  <si>
    <t>OT-5030263</t>
  </si>
  <si>
    <t>Airamyllen</t>
  </si>
  <si>
    <t>OT-5020522</t>
  </si>
  <si>
    <t>OT-5050315</t>
  </si>
  <si>
    <t>OT-5050113</t>
  </si>
  <si>
    <t>OT-5050442</t>
  </si>
  <si>
    <t>OT-5050484</t>
  </si>
  <si>
    <t>OT-5050485</t>
  </si>
  <si>
    <t>OT-5040221</t>
  </si>
  <si>
    <t>OT-503079</t>
  </si>
  <si>
    <t>OT-505187</t>
  </si>
  <si>
    <t>Apodaca</t>
  </si>
  <si>
    <t>OT-5050133</t>
  </si>
  <si>
    <t>Cadereyta Jiménez</t>
  </si>
  <si>
    <t>OT-5030276</t>
  </si>
  <si>
    <t>Cienega de Flores</t>
  </si>
  <si>
    <t>OT-5030277</t>
  </si>
  <si>
    <t>OT-5030283</t>
  </si>
  <si>
    <t>2619XC</t>
  </si>
  <si>
    <t>OT-5030285</t>
  </si>
  <si>
    <t>OT-5030258</t>
  </si>
  <si>
    <t>OT-5030259</t>
  </si>
  <si>
    <t>OT-5030242</t>
  </si>
  <si>
    <t>OT-5030244</t>
  </si>
  <si>
    <t>OT-504012</t>
  </si>
  <si>
    <t>OT-504013</t>
  </si>
  <si>
    <t>OT-5030443</t>
  </si>
  <si>
    <t>OT-5030444</t>
  </si>
  <si>
    <t>OT-5030423</t>
  </si>
  <si>
    <t>OT-5030417</t>
  </si>
  <si>
    <t>OT-5030396</t>
  </si>
  <si>
    <t>OT-5030397</t>
  </si>
  <si>
    <t>OT-5030389</t>
  </si>
  <si>
    <t>OT-5030390</t>
  </si>
  <si>
    <t>OT-504039</t>
  </si>
  <si>
    <t>OT-504048</t>
  </si>
  <si>
    <t>OT-504049</t>
  </si>
  <si>
    <t>OT-504075</t>
  </si>
  <si>
    <t>OT-504076</t>
  </si>
  <si>
    <t>OT-504038</t>
  </si>
  <si>
    <t>OT-5020483</t>
  </si>
  <si>
    <t>OT-5080214</t>
  </si>
  <si>
    <t>Favor de recoger  a 9 operadores que estran llegando a SN Reynosa el 13/08/2025, favor de llevarlos por sus unidaddes al patio ATM a las 5 am.</t>
  </si>
  <si>
    <t>Reynosa</t>
  </si>
  <si>
    <t>OT-5030261</t>
  </si>
  <si>
    <t>Santa Catarina</t>
  </si>
  <si>
    <t>OT-501081</t>
  </si>
  <si>
    <t>Recoger a 14 operadores</t>
  </si>
  <si>
    <t>Queretaro</t>
  </si>
  <si>
    <t>OT-508075</t>
  </si>
  <si>
    <t>OT-5110262</t>
  </si>
  <si>
    <t>OT-505064</t>
  </si>
  <si>
    <t>OT-5050447</t>
  </si>
  <si>
    <t>OT-5050192</t>
  </si>
  <si>
    <t>OT-5050212</t>
  </si>
  <si>
    <t>OT-508025</t>
  </si>
  <si>
    <t>OT-5100518</t>
  </si>
  <si>
    <t>LLevarse a Jorge Arturo Rocillo</t>
  </si>
  <si>
    <t>OT-5090164</t>
  </si>
  <si>
    <t>Recoger a los 10 compañeros que entregan en el Puerto de Amports</t>
  </si>
  <si>
    <t>AndresM</t>
  </si>
  <si>
    <t>Altamira</t>
  </si>
  <si>
    <t>OT-5020391</t>
  </si>
  <si>
    <t>OT-5020363</t>
  </si>
  <si>
    <t>OT-5071268</t>
  </si>
  <si>
    <t>*Iniciar traslado 16:00 hr</t>
  </si>
  <si>
    <t>Matehuala</t>
  </si>
  <si>
    <t>OT-5071157</t>
  </si>
  <si>
    <t>OT-5071152</t>
  </si>
  <si>
    <t>*Recoger operadores en el aeropuerto a las 17:30 hrs.</t>
  </si>
  <si>
    <t>OT-5071153</t>
  </si>
  <si>
    <t>*Recoger operadores a las 18:00 hrs</t>
  </si>
  <si>
    <t>OT-5071154</t>
  </si>
  <si>
    <t>OT-5121221</t>
  </si>
  <si>
    <t>Soledad de Gracianos Sanchez</t>
  </si>
  <si>
    <t>OT-5050119</t>
  </si>
  <si>
    <t>Allende</t>
  </si>
  <si>
    <t>OT-5010145</t>
  </si>
  <si>
    <t>4603XC</t>
  </si>
  <si>
    <t>FernandoG</t>
  </si>
  <si>
    <t>OT-5070218</t>
  </si>
  <si>
    <t>OT-5070173</t>
  </si>
  <si>
    <t>OT-5070203</t>
  </si>
  <si>
    <t>OT-504085</t>
  </si>
  <si>
    <t>WendyV</t>
  </si>
  <si>
    <t>Tepotzotlan</t>
  </si>
  <si>
    <t>OT-5040137</t>
  </si>
  <si>
    <t>OT-5040381</t>
  </si>
  <si>
    <t>OT-5040304</t>
  </si>
  <si>
    <t>OT-5040305</t>
  </si>
  <si>
    <t>OT-5040306</t>
  </si>
  <si>
    <t>OT-5040308</t>
  </si>
  <si>
    <t>OT-5040329</t>
  </si>
  <si>
    <t>OT-506114</t>
  </si>
  <si>
    <t>*A las 16:00 hrs antes de inciar traslado, informar si falta algun op de llegar.</t>
  </si>
  <si>
    <t>OT-5080175</t>
  </si>
  <si>
    <t>OT-5070359</t>
  </si>
  <si>
    <t>OT-5061196</t>
  </si>
  <si>
    <t>OT-505074</t>
  </si>
  <si>
    <t>OT-506028</t>
  </si>
  <si>
    <t>OT-5060307</t>
  </si>
  <si>
    <t>OT-5071287</t>
  </si>
  <si>
    <t>OT-5080429</t>
  </si>
  <si>
    <t>OT-508058</t>
  </si>
  <si>
    <t>OT-5080686</t>
  </si>
  <si>
    <t>OT-508159</t>
  </si>
  <si>
    <t>OT-5081122</t>
  </si>
  <si>
    <t>Cita en Base Sahagún 4:00 pm</t>
  </si>
  <si>
    <t>OT-5090190</t>
  </si>
  <si>
    <t>OT-510073</t>
  </si>
  <si>
    <t>OT-5101128</t>
  </si>
  <si>
    <t>OT-510125</t>
  </si>
  <si>
    <t>OT-5101326</t>
  </si>
  <si>
    <t>OT-5091179</t>
  </si>
  <si>
    <t>SALIDA DE PATIO 18:00 HRS PUNTUALES</t>
  </si>
  <si>
    <t>OT-5110442</t>
  </si>
  <si>
    <t>OT-5111127</t>
  </si>
  <si>
    <t>OT-5111211</t>
  </si>
  <si>
    <t>Favor de estar 30 min antes de la salida para la revisión de unidad y salir 4.00 pm.</t>
  </si>
  <si>
    <t>OT-5111273</t>
  </si>
  <si>
    <t>Presentarse 30 min antes de la salida para revisión de la unidad.</t>
  </si>
  <si>
    <t>OT-5111275</t>
  </si>
  <si>
    <t>Favor de presentarse 30 min antes, para revisión de unidad.
Cita de operadores para transferencia 4:00 pm</t>
  </si>
  <si>
    <t>OT-5120108</t>
  </si>
  <si>
    <t>2628XC</t>
  </si>
  <si>
    <t>OT-5120118</t>
  </si>
  <si>
    <t>OT-5120251</t>
  </si>
  <si>
    <t>Cargar urea 20 lts</t>
  </si>
  <si>
    <t>OT-5120252</t>
  </si>
  <si>
    <t>OT-5120284</t>
  </si>
  <si>
    <t>OT-5120285</t>
  </si>
  <si>
    <t>OT-5120328</t>
  </si>
  <si>
    <t>OT-5120464</t>
  </si>
  <si>
    <t>OT-5120547</t>
  </si>
  <si>
    <t>Carga 100 lts de DIESEL</t>
  </si>
  <si>
    <t>OT-512082</t>
  </si>
  <si>
    <t>OT-5121189</t>
  </si>
  <si>
    <t>Presentarse 3:30 pm para la revisión de unidad.
Cita de operadores 4:00 pm. Por favor</t>
  </si>
  <si>
    <t>OT-5121194</t>
  </si>
  <si>
    <t>Transferencia 6:00 pm, jueves 25 de diciembre
Favor de llegar antes para revisión de la unidad</t>
  </si>
  <si>
    <t>OT-505114</t>
  </si>
  <si>
    <t>OT-505116</t>
  </si>
  <si>
    <t>Cita en Patio Sahagún 16:00 hrs, 04 de mayo</t>
  </si>
  <si>
    <t>OT-505167</t>
  </si>
  <si>
    <t>Cita para trasnferencia 16:00 hrs</t>
  </si>
  <si>
    <t>OT-5060118</t>
  </si>
  <si>
    <t>OT-5041328</t>
  </si>
  <si>
    <t>Salida de Patio Sahagún, 2:00 pm. Por favor.</t>
  </si>
  <si>
    <t>OT-5050104</t>
  </si>
  <si>
    <t>SALIDA 5PM</t>
  </si>
  <si>
    <t>OT-5050179</t>
  </si>
  <si>
    <t>OT-5031101</t>
  </si>
  <si>
    <t>OT-5031195</t>
  </si>
  <si>
    <t>FAVOR DE PAGAR 1 ESTANCIA SABADO 15 DE MARZO</t>
  </si>
  <si>
    <t>OT-5031239</t>
  </si>
  <si>
    <t>FAVOR DE PAGAR 1 ESTANCIA DOMINGO 16 DE MARZO</t>
  </si>
  <si>
    <t>OT-5031344</t>
  </si>
  <si>
    <t>Cita en base, 2:00 pm 30 de marzo</t>
  </si>
  <si>
    <t>OT-5040370</t>
  </si>
  <si>
    <t>OT-501193</t>
  </si>
  <si>
    <t>Retirarse 16:30
Cualquier cosa reportar a Brenda, por favor.</t>
  </si>
  <si>
    <t>OT-501099</t>
  </si>
  <si>
    <t>OT-501114</t>
  </si>
  <si>
    <t>OT-5011161</t>
  </si>
  <si>
    <t>Retirarse 16:30
Cualquier tema reportar a BRENDA, por favor</t>
  </si>
  <si>
    <t>OT-5011162</t>
  </si>
  <si>
    <t>Retirarse a las 14:30
Cualquier tema notificar a BRENDA, por favor</t>
  </si>
  <si>
    <t>OT-501119</t>
  </si>
  <si>
    <t>Retirarse a las 16:00hrs, por favor</t>
  </si>
  <si>
    <t>OT-5011190</t>
  </si>
  <si>
    <t>Transferencia a Mty a las 18:00hrs</t>
  </si>
  <si>
    <t>OT-5010619</t>
  </si>
  <si>
    <t>OT-5010264</t>
  </si>
  <si>
    <t>RicardoB</t>
  </si>
  <si>
    <t>OT-5010175</t>
  </si>
  <si>
    <t>10 litros de urea</t>
  </si>
  <si>
    <t>OT-5010448</t>
  </si>
  <si>
    <t>OT-5010487</t>
  </si>
  <si>
    <t>3663XC</t>
  </si>
  <si>
    <t>OT-5010508</t>
  </si>
  <si>
    <t>OT-502095</t>
  </si>
  <si>
    <t>OT-5021334</t>
  </si>
  <si>
    <t>OT-50301</t>
  </si>
  <si>
    <t>OT-5030156</t>
  </si>
  <si>
    <t>OT-5070248</t>
  </si>
  <si>
    <t>3698XC</t>
  </si>
  <si>
    <t>Recoger a 14 operadores y retornarlos a Mty, favor de hablarle a Adrian Rodrigo para que te entregue la camioneta</t>
  </si>
  <si>
    <t>Mazatlan</t>
  </si>
  <si>
    <t>OT-5100302</t>
  </si>
  <si>
    <t>OT-5100363</t>
  </si>
  <si>
    <t>OT-5100416</t>
  </si>
  <si>
    <t>OT-5110398</t>
  </si>
  <si>
    <t>OT-5110526</t>
  </si>
  <si>
    <t>OT-5120307</t>
  </si>
  <si>
    <t>OT-512037</t>
  </si>
  <si>
    <t>OT-5010181</t>
  </si>
  <si>
    <t>FAVOR DE PASAR POR SUS COMPAÑEROS AL PUERTO DE MAZATLAN EL DIA VIERNES</t>
  </si>
  <si>
    <t>Lucy</t>
  </si>
  <si>
    <t>OT-5020462</t>
  </si>
  <si>
    <t>OT-505063</t>
  </si>
  <si>
    <t>OT-5040136</t>
  </si>
  <si>
    <t>OT-5090146</t>
  </si>
  <si>
    <t>Pasar a Saltillo por los operadores que vienen de transferencia de Sahagun.</t>
  </si>
  <si>
    <t>OT-5060122</t>
  </si>
  <si>
    <t>OT-5080672</t>
  </si>
  <si>
    <t>OT-5080647</t>
  </si>
  <si>
    <t>OT-5080644</t>
  </si>
  <si>
    <t>OT-5080645</t>
  </si>
  <si>
    <t>OT-5090227</t>
  </si>
  <si>
    <t>OT-508023</t>
  </si>
  <si>
    <t>OT-506072</t>
  </si>
  <si>
    <t>OT-5070121</t>
  </si>
  <si>
    <t>OT-5070122</t>
  </si>
  <si>
    <t>OT-5070194</t>
  </si>
  <si>
    <t>OT-5070131</t>
  </si>
  <si>
    <t>Presentarse 2 AM en destino para recoger a 3 compañeros operadores.</t>
  </si>
  <si>
    <t>OT-5070223</t>
  </si>
  <si>
    <t>OT-5070209</t>
  </si>
  <si>
    <t>OT-507037</t>
  </si>
  <si>
    <t>OT-5070296</t>
  </si>
  <si>
    <t>OT-5070396</t>
  </si>
  <si>
    <t>OT-5120148</t>
  </si>
  <si>
    <t>OT-5120149</t>
  </si>
  <si>
    <t>OT-511073</t>
  </si>
  <si>
    <t>OT-5110375</t>
  </si>
  <si>
    <t>OT-5110181</t>
  </si>
  <si>
    <t>OT-5050393</t>
  </si>
  <si>
    <t>3721XC</t>
  </si>
  <si>
    <t>OT-5050404</t>
  </si>
  <si>
    <t>OT-5050410</t>
  </si>
  <si>
    <t>OT-5050427</t>
  </si>
  <si>
    <t>OT-5050530</t>
  </si>
  <si>
    <t>OT-5050516</t>
  </si>
  <si>
    <t>OT-5050475</t>
  </si>
  <si>
    <t>4549XC</t>
  </si>
  <si>
    <t>OT-5050184</t>
  </si>
  <si>
    <t>OT-5050277</t>
  </si>
  <si>
    <t>OT-5040247</t>
  </si>
  <si>
    <t>OT-5040194</t>
  </si>
  <si>
    <t>OT-5040199</t>
  </si>
  <si>
    <t>OT-5040200</t>
  </si>
  <si>
    <t>OT-5040226</t>
  </si>
  <si>
    <t>OT-5040113</t>
  </si>
  <si>
    <t>OT-5040114</t>
  </si>
  <si>
    <t>OT-5010495</t>
  </si>
  <si>
    <t>OT-5010496</t>
  </si>
  <si>
    <t>OT-5010497</t>
  </si>
  <si>
    <t>OT-5010498</t>
  </si>
  <si>
    <t>OT-5010499</t>
  </si>
  <si>
    <t>OT-5010615</t>
  </si>
  <si>
    <t>OT-5010617</t>
  </si>
  <si>
    <t>OT-5010618</t>
  </si>
  <si>
    <t>OT-5030245</t>
  </si>
  <si>
    <t>OT-5030274</t>
  </si>
  <si>
    <t>OT-5040374</t>
  </si>
  <si>
    <t>Hidalgo</t>
  </si>
  <si>
    <t>OT-5040375</t>
  </si>
  <si>
    <t>OT-5040376</t>
  </si>
  <si>
    <t>OT-5040385</t>
  </si>
  <si>
    <t>OT-504041</t>
  </si>
  <si>
    <t>OT-504051</t>
  </si>
  <si>
    <t>OT-504077</t>
  </si>
  <si>
    <t>OT-504090</t>
  </si>
  <si>
    <t>OT-5040238</t>
  </si>
  <si>
    <t>OT-5040249</t>
  </si>
  <si>
    <t>OT-5040246</t>
  </si>
  <si>
    <t>OT-5040303</t>
  </si>
  <si>
    <t>OT-5040268</t>
  </si>
  <si>
    <t>OT-5040265</t>
  </si>
  <si>
    <t>OT-5040201</t>
  </si>
  <si>
    <t>OT-5040193</t>
  </si>
  <si>
    <t>OT-5040190</t>
  </si>
  <si>
    <t>OT-5040147</t>
  </si>
  <si>
    <t>OT-504015</t>
  </si>
  <si>
    <t>OT-5040174</t>
  </si>
  <si>
    <t>OT-5040144</t>
  </si>
  <si>
    <t>OT-5040116</t>
  </si>
  <si>
    <t>OT-5040120</t>
  </si>
  <si>
    <t>OT-5040127</t>
  </si>
  <si>
    <t>OT-5040128</t>
  </si>
  <si>
    <t>OT-503081</t>
  </si>
  <si>
    <t>OT-503096</t>
  </si>
  <si>
    <t>OT-503068</t>
  </si>
  <si>
    <t>OT-503031</t>
  </si>
  <si>
    <t>OT-5030398</t>
  </si>
  <si>
    <t>OT-5030394</t>
  </si>
  <si>
    <t>OT-503033</t>
  </si>
  <si>
    <t>OT-5030353</t>
  </si>
  <si>
    <t>OT-5030419</t>
  </si>
  <si>
    <t>OT-503042</t>
  </si>
  <si>
    <t>OT-5030445</t>
  </si>
  <si>
    <t>OT-503063</t>
  </si>
  <si>
    <t>OT-5030425</t>
  </si>
  <si>
    <t>OT-5030432</t>
  </si>
  <si>
    <t>OT-5050112</t>
  </si>
  <si>
    <t>OT-5050110</t>
  </si>
  <si>
    <t>OT-5050161</t>
  </si>
  <si>
    <t>OT-505017</t>
  </si>
  <si>
    <t>OT-5050159</t>
  </si>
  <si>
    <t>OT-505016</t>
  </si>
  <si>
    <t>OT-505015</t>
  </si>
  <si>
    <t>OT-5050131</t>
  </si>
  <si>
    <t>OT-5050132</t>
  </si>
  <si>
    <t>OT-5050273</t>
  </si>
  <si>
    <t>OT-5050341</t>
  </si>
  <si>
    <t>OT-5050313</t>
  </si>
  <si>
    <t>OT-5050180</t>
  </si>
  <si>
    <t>OT-5050181</t>
  </si>
  <si>
    <t>OT-5050195</t>
  </si>
  <si>
    <t>OT-5050197</t>
  </si>
  <si>
    <t>OT-5050193</t>
  </si>
  <si>
    <t>OT-5050225</t>
  </si>
  <si>
    <t>OT-5050264</t>
  </si>
  <si>
    <t>OT-5050215</t>
  </si>
  <si>
    <t>OT-5050518</t>
  </si>
  <si>
    <t>OT-5050490</t>
  </si>
  <si>
    <t>OT-5060137</t>
  </si>
  <si>
    <t>OT-5050520</t>
  </si>
  <si>
    <t>OT-505066</t>
  </si>
  <si>
    <t>OT-5050398</t>
  </si>
  <si>
    <t>OT-5050395</t>
  </si>
  <si>
    <t>OT-5050396</t>
  </si>
  <si>
    <t>OT-5050464</t>
  </si>
  <si>
    <t>OT-5050444</t>
  </si>
  <si>
    <t>OT-5050343</t>
  </si>
  <si>
    <t>OT-5050347</t>
  </si>
  <si>
    <t>OT-5020405</t>
  </si>
  <si>
    <t>4376XC</t>
  </si>
  <si>
    <t>OT-5020431</t>
  </si>
  <si>
    <t>3662XC</t>
  </si>
  <si>
    <t>OT-5020434</t>
  </si>
  <si>
    <t>OT-5020507</t>
  </si>
  <si>
    <t>OT-5020503</t>
  </si>
  <si>
    <t>OT-5020471</t>
  </si>
  <si>
    <t>OT-5020485</t>
  </si>
  <si>
    <t>OT-50207</t>
  </si>
  <si>
    <t>OT-502078</t>
  </si>
  <si>
    <t>OT-502058</t>
  </si>
  <si>
    <t>OT-502061</t>
  </si>
  <si>
    <t>OT-502056</t>
  </si>
  <si>
    <t>OT-5020547</t>
  </si>
  <si>
    <t>OT-5020548</t>
  </si>
  <si>
    <t>OT-5020531</t>
  </si>
  <si>
    <t>OT-5020290</t>
  </si>
  <si>
    <t>OT-50203</t>
  </si>
  <si>
    <t>OT-5020286</t>
  </si>
  <si>
    <t>OT-5020257</t>
  </si>
  <si>
    <t>OT-5020214</t>
  </si>
  <si>
    <t>OT-5020409</t>
  </si>
  <si>
    <t>OT-5020410</t>
  </si>
  <si>
    <t>OT-5020207</t>
  </si>
  <si>
    <t>OT-5020370</t>
  </si>
  <si>
    <t>OT-5020320</t>
  </si>
  <si>
    <t>OT-5020367</t>
  </si>
  <si>
    <t>OT-502081</t>
  </si>
  <si>
    <t>OT-50209</t>
  </si>
  <si>
    <t>OT-5030113</t>
  </si>
  <si>
    <t>OT-503010</t>
  </si>
  <si>
    <t>6559XC</t>
  </si>
  <si>
    <t>OT-5030109</t>
  </si>
  <si>
    <t>OT-503011</t>
  </si>
  <si>
    <t>4600XC</t>
  </si>
  <si>
    <t>OT-5030191</t>
  </si>
  <si>
    <t>OT-5030166</t>
  </si>
  <si>
    <t>OT-5030122</t>
  </si>
  <si>
    <t>Splendor XML</t>
  </si>
  <si>
    <t>OT-5030120</t>
  </si>
  <si>
    <t>OT-5030134</t>
  </si>
  <si>
    <t>OT-5030248</t>
  </si>
  <si>
    <t>OT-5030221</t>
  </si>
  <si>
    <t>OT-5030216</t>
  </si>
  <si>
    <t>OT-5030217</t>
  </si>
  <si>
    <t>OT-5030267</t>
  </si>
  <si>
    <t>OT-5010215</t>
  </si>
  <si>
    <t>JesusRamos</t>
  </si>
  <si>
    <t>OT-5010372</t>
  </si>
  <si>
    <t>OT-5010374</t>
  </si>
  <si>
    <t>OT-5010375</t>
  </si>
  <si>
    <t>OT-5010376</t>
  </si>
  <si>
    <t>OT-5010307</t>
  </si>
  <si>
    <t>OT-5010308</t>
  </si>
  <si>
    <t>OT-5010326</t>
  </si>
  <si>
    <t>OT-5010327</t>
  </si>
  <si>
    <t>OT-5010331</t>
  </si>
  <si>
    <t>OT-5010342</t>
  </si>
  <si>
    <t>OT-5010366</t>
  </si>
  <si>
    <t>OT-5010367</t>
  </si>
  <si>
    <t>OT-5010368</t>
  </si>
  <si>
    <t>OT-5010440</t>
  </si>
  <si>
    <t>OT-5010441</t>
  </si>
  <si>
    <t>OT-5010370</t>
  </si>
  <si>
    <t>OT-5010386</t>
  </si>
  <si>
    <t>OT-5010387</t>
  </si>
  <si>
    <t>OT-5010423</t>
  </si>
  <si>
    <t>OT-5010424</t>
  </si>
  <si>
    <t>OT-5010425</t>
  </si>
  <si>
    <t>OT-5010380</t>
  </si>
  <si>
    <t>OT-5010381</t>
  </si>
  <si>
    <t>OT-5010382</t>
  </si>
  <si>
    <t>OT-5010383</t>
  </si>
  <si>
    <t>OT-5010384</t>
  </si>
  <si>
    <t>OT-5010504</t>
  </si>
  <si>
    <t>OT-5010505</t>
  </si>
  <si>
    <t>OT-5010506</t>
  </si>
  <si>
    <t>OT-5010482</t>
  </si>
  <si>
    <t>OT-5010483</t>
  </si>
  <si>
    <t>OT-5010484</t>
  </si>
  <si>
    <t>OT-5010485</t>
  </si>
  <si>
    <t>OT-5010460</t>
  </si>
  <si>
    <t>OT-5010465</t>
  </si>
  <si>
    <t>OT-5010468</t>
  </si>
  <si>
    <t>OT-5010598</t>
  </si>
  <si>
    <t>OT-5010599</t>
  </si>
  <si>
    <t>OT-5010596</t>
  </si>
  <si>
    <t>OT-5010567</t>
  </si>
  <si>
    <t>OT-5010568</t>
  </si>
  <si>
    <t>OT-5010553</t>
  </si>
  <si>
    <t>OT-5010443</t>
  </si>
  <si>
    <t>OT-5010551</t>
  </si>
  <si>
    <t>OT-5010529</t>
  </si>
  <si>
    <t>OT-5010530</t>
  </si>
  <si>
    <t>OT-5020110</t>
  </si>
  <si>
    <t>OT-5020106</t>
  </si>
  <si>
    <t>OT-5020107</t>
  </si>
  <si>
    <t>OT-5020186</t>
  </si>
  <si>
    <t>OT-5020187</t>
  </si>
  <si>
    <t>OT-502017</t>
  </si>
  <si>
    <t>OT-5020181</t>
  </si>
  <si>
    <t>OT-5020182</t>
  </si>
  <si>
    <t>OT-5020183</t>
  </si>
  <si>
    <t>OT-5020158</t>
  </si>
  <si>
    <t>OT-5020159</t>
  </si>
  <si>
    <t>OT-5020140</t>
  </si>
  <si>
    <t>OT-502015</t>
  </si>
  <si>
    <t>OT-5020126</t>
  </si>
  <si>
    <t>OT-5020134</t>
  </si>
  <si>
    <t>OT-5010707</t>
  </si>
  <si>
    <t>OT-5010711</t>
  </si>
  <si>
    <t>OT-5010671</t>
  </si>
  <si>
    <t>OT-5010672</t>
  </si>
  <si>
    <t>OT-5010673</t>
  </si>
  <si>
    <t>OT-5010603</t>
  </si>
  <si>
    <t>OT-5010629</t>
  </si>
  <si>
    <t>OT-5010630</t>
  </si>
  <si>
    <t>OT-5010666</t>
  </si>
  <si>
    <t>OT-5010667</t>
  </si>
  <si>
    <t>OT-5010668</t>
  </si>
  <si>
    <t>OT-507021</t>
  </si>
  <si>
    <t>OT-5070339</t>
  </si>
  <si>
    <t>OT-5070395</t>
  </si>
  <si>
    <t>OT-5070391</t>
  </si>
  <si>
    <t>OT-507062</t>
  </si>
  <si>
    <t>OT-507054</t>
  </si>
  <si>
    <t>OT-507064</t>
  </si>
  <si>
    <t>OT-5080199</t>
  </si>
  <si>
    <t>OT-5070185</t>
  </si>
  <si>
    <t>OT-5070180</t>
  </si>
  <si>
    <t>OT-5070171</t>
  </si>
  <si>
    <t>OT-50608</t>
  </si>
  <si>
    <t>OT-5060202</t>
  </si>
  <si>
    <t>OT-5060183</t>
  </si>
  <si>
    <t>OT-5060162</t>
  </si>
  <si>
    <t>OT-506069</t>
  </si>
  <si>
    <t>OT-50605</t>
  </si>
  <si>
    <t>OT-5060212</t>
  </si>
  <si>
    <t>OT-506032</t>
  </si>
  <si>
    <t>OT-5080116</t>
  </si>
  <si>
    <t>OT-5080230</t>
  </si>
  <si>
    <t>OT-5080231</t>
  </si>
  <si>
    <t>OT-5080248</t>
  </si>
  <si>
    <t>OT-5080378</t>
  </si>
  <si>
    <t>OT-5080379</t>
  </si>
  <si>
    <t>OT-5080380</t>
  </si>
  <si>
    <t>OT-5080382</t>
  </si>
  <si>
    <t>OT-5080390</t>
  </si>
  <si>
    <t>OT-5080391</t>
  </si>
  <si>
    <t>OT-5080392</t>
  </si>
  <si>
    <t>OT-5080228</t>
  </si>
  <si>
    <t>OT-5080256</t>
  </si>
  <si>
    <t>OT-5080457</t>
  </si>
  <si>
    <t>OT-5080488</t>
  </si>
  <si>
    <t>OT-5080489</t>
  </si>
  <si>
    <t>OT-5080490</t>
  </si>
  <si>
    <t>OT-5080504</t>
  </si>
  <si>
    <t>OT-5080428</t>
  </si>
  <si>
    <t>OT-5080506</t>
  </si>
  <si>
    <t>OT-5080538</t>
  </si>
  <si>
    <t>OT-5080539</t>
  </si>
  <si>
    <t>OT-5080540</t>
  </si>
  <si>
    <t>OT-5080578</t>
  </si>
  <si>
    <t>OT-5080579</t>
  </si>
  <si>
    <t>OT-5080451</t>
  </si>
  <si>
    <t>OT-5080640</t>
  </si>
  <si>
    <t>OT-5080453</t>
  </si>
  <si>
    <t>OT-5080580</t>
  </si>
  <si>
    <t>OT-5080657</t>
  </si>
  <si>
    <t>OT-5080671</t>
  </si>
  <si>
    <t>OT-5080643</t>
  </si>
  <si>
    <t>OT-5080660</t>
  </si>
  <si>
    <t>OT-5080661</t>
  </si>
  <si>
    <t>OT-5080668</t>
  </si>
  <si>
    <t>OT-5080669</t>
  </si>
  <si>
    <t>OT-508074</t>
  </si>
  <si>
    <t>OT-5080287</t>
  </si>
  <si>
    <t>Anáhuac</t>
  </si>
  <si>
    <t>OT-5080300</t>
  </si>
  <si>
    <t>OT-507079</t>
  </si>
  <si>
    <t>OT-5110483</t>
  </si>
  <si>
    <t>OT-5020195</t>
  </si>
  <si>
    <t>OT-5020260</t>
  </si>
  <si>
    <t>OT-5020180</t>
  </si>
  <si>
    <t>OT-504014</t>
  </si>
  <si>
    <t>OT-5040115</t>
  </si>
  <si>
    <t>OT-5040133</t>
  </si>
  <si>
    <t>OT-5040118</t>
  </si>
  <si>
    <t>OT-5040119</t>
  </si>
  <si>
    <t>OT-5040125</t>
  </si>
  <si>
    <t>OT-5040126</t>
  </si>
  <si>
    <t>OT-503064</t>
  </si>
  <si>
    <t>OT-503065</t>
  </si>
  <si>
    <t>OT-503066</t>
  </si>
  <si>
    <t>OT-503067</t>
  </si>
  <si>
    <t>OT-503082</t>
  </si>
  <si>
    <t>OT-503083</t>
  </si>
  <si>
    <t>OT-503084</t>
  </si>
  <si>
    <t>OT-503093</t>
  </si>
  <si>
    <t>OT-503094</t>
  </si>
  <si>
    <t>OT-503095</t>
  </si>
  <si>
    <t>OT-5030286</t>
  </si>
  <si>
    <t>OT-5030289</t>
  </si>
  <si>
    <t>OT-503029</t>
  </si>
  <si>
    <t>OT-5030293</t>
  </si>
  <si>
    <t>OT-503030</t>
  </si>
  <si>
    <t>OT-5030354</t>
  </si>
  <si>
    <t>OT-5030355</t>
  </si>
  <si>
    <t>OT-5030356</t>
  </si>
  <si>
    <t>OT-503032</t>
  </si>
  <si>
    <t>OT-5030391</t>
  </si>
  <si>
    <t>OT-5030392</t>
  </si>
  <si>
    <t>OT-5030395</t>
  </si>
  <si>
    <t>OT-5030399</t>
  </si>
  <si>
    <t>OT-5030400</t>
  </si>
  <si>
    <t>OT-5030401</t>
  </si>
  <si>
    <t>OT-5030418</t>
  </si>
  <si>
    <t>OT-5030420</t>
  </si>
  <si>
    <t>OT-503044</t>
  </si>
  <si>
    <t>OT-5030424</t>
  </si>
  <si>
    <t>OT-5030446</t>
  </si>
  <si>
    <t>OT-5030447</t>
  </si>
  <si>
    <t>OT-5040222</t>
  </si>
  <si>
    <t>OT-5040223</t>
  </si>
  <si>
    <t>OT-5040224</t>
  </si>
  <si>
    <t>OT-5040242</t>
  </si>
  <si>
    <t>OT-5040245</t>
  </si>
  <si>
    <t>OT-5040248</t>
  </si>
  <si>
    <t>OT-5040250</t>
  </si>
  <si>
    <t>OT-5040266</t>
  </si>
  <si>
    <t>OT-5040267</t>
  </si>
  <si>
    <t>OT-5040269</t>
  </si>
  <si>
    <t>OT-5040270</t>
  </si>
  <si>
    <t>OT-5040271</t>
  </si>
  <si>
    <t>OT-5040272</t>
  </si>
  <si>
    <t>OT-5040302</t>
  </si>
  <si>
    <t>OT-5040171</t>
  </si>
  <si>
    <t>OT-5040172</t>
  </si>
  <si>
    <t>OT-5040173</t>
  </si>
  <si>
    <t>OT-5040146</t>
  </si>
  <si>
    <t>OT-5040175</t>
  </si>
  <si>
    <t>OT-5040176</t>
  </si>
  <si>
    <t>OT-5040191</t>
  </si>
  <si>
    <t>OT-5040192</t>
  </si>
  <si>
    <t>OT-5040195</t>
  </si>
  <si>
    <t>OT-5040196</t>
  </si>
  <si>
    <t>OT-5040220</t>
  </si>
  <si>
    <t>OT-5040377</t>
  </si>
  <si>
    <t>OT-5040378</t>
  </si>
  <si>
    <t>OT-5040379</t>
  </si>
  <si>
    <t>OT-5040382</t>
  </si>
  <si>
    <t>OT-5040383</t>
  </si>
  <si>
    <t>OT-5040384</t>
  </si>
  <si>
    <t>OT-5040380</t>
  </si>
  <si>
    <t>OT-504040</t>
  </si>
  <si>
    <t>OT-504050</t>
  </si>
  <si>
    <t>OT-504052</t>
  </si>
  <si>
    <t>OT-504088</t>
  </si>
  <si>
    <t>OT-504089</t>
  </si>
  <si>
    <t>OT-5050486</t>
  </si>
  <si>
    <t>OT-5050487</t>
  </si>
  <si>
    <t>OT-5050488</t>
  </si>
  <si>
    <t>OT-5050489</t>
  </si>
  <si>
    <t>OT-5050465</t>
  </si>
  <si>
    <t>OT-5050466</t>
  </si>
  <si>
    <t>OT-5050467</t>
  </si>
  <si>
    <t>OT-5050468</t>
  </si>
  <si>
    <t>OT-5050512</t>
  </si>
  <si>
    <t>OT-5050513</t>
  </si>
  <si>
    <t>OT-5050515</t>
  </si>
  <si>
    <t>OT-5050526</t>
  </si>
  <si>
    <t>OT-5050527</t>
  </si>
  <si>
    <t>OT-5050528</t>
  </si>
  <si>
    <t>OT-5050529</t>
  </si>
  <si>
    <t>OT-505065</t>
  </si>
  <si>
    <t>OT-5050519</t>
  </si>
  <si>
    <t>OT-5060123</t>
  </si>
  <si>
    <t>OT-5060124</t>
  </si>
  <si>
    <t>OT-5060125</t>
  </si>
  <si>
    <t>OT-5060126</t>
  </si>
  <si>
    <t>OT-5060127</t>
  </si>
  <si>
    <t>OT-5060128</t>
  </si>
  <si>
    <t>OT-5050443</t>
  </si>
  <si>
    <t>OT-5050445</t>
  </si>
  <si>
    <t>OT-5050446</t>
  </si>
  <si>
    <t>OT-5050462</t>
  </si>
  <si>
    <t>OT-5050463</t>
  </si>
  <si>
    <t>OT-5050394</t>
  </si>
  <si>
    <t>OT-5050397</t>
  </si>
  <si>
    <t>OT-5050399</t>
  </si>
  <si>
    <t>OT-5050400</t>
  </si>
  <si>
    <t>OT-5050403</t>
  </si>
  <si>
    <t>OT-5050314</t>
  </si>
  <si>
    <t>OT-5050342</t>
  </si>
  <si>
    <t>OT-5050344</t>
  </si>
  <si>
    <t>OT-5050345</t>
  </si>
  <si>
    <t>OT-5050346</t>
  </si>
  <si>
    <t>OT-5050348</t>
  </si>
  <si>
    <t>OT-5050349</t>
  </si>
  <si>
    <t>OT-5050351</t>
  </si>
  <si>
    <t>OT-5050352</t>
  </si>
  <si>
    <t>OT-5050353</t>
  </si>
  <si>
    <t>OT-5050354</t>
  </si>
  <si>
    <t>OT-5050377</t>
  </si>
  <si>
    <t>OT-5050378</t>
  </si>
  <si>
    <t>OT-5050382</t>
  </si>
  <si>
    <t>OT-5050111</t>
  </si>
  <si>
    <t>OT-505013</t>
  </si>
  <si>
    <t>OT-5050130</t>
  </si>
  <si>
    <t>OT-5050134</t>
  </si>
  <si>
    <t>OT-505014</t>
  </si>
  <si>
    <t>OT-5050158</t>
  </si>
  <si>
    <t>OT-5050162</t>
  </si>
  <si>
    <t>OT-5050163</t>
  </si>
  <si>
    <t>OT-5050169</t>
  </si>
  <si>
    <t>OT-5050160</t>
  </si>
  <si>
    <t>OT-5050176</t>
  </si>
  <si>
    <t>OT-5050177</t>
  </si>
  <si>
    <t>OT-5050178</t>
  </si>
  <si>
    <t>OT-5050316</t>
  </si>
  <si>
    <t>OT-5050317</t>
  </si>
  <si>
    <t>OT-5050318</t>
  </si>
  <si>
    <t>OT-5050340</t>
  </si>
  <si>
    <t>OT-5050265</t>
  </si>
  <si>
    <t>OT-5050266</t>
  </si>
  <si>
    <t>OT-5050274</t>
  </si>
  <si>
    <t>OT-5050276</t>
  </si>
  <si>
    <t>OT-5050278</t>
  </si>
  <si>
    <t>OT-5050279</t>
  </si>
  <si>
    <t>OT-5050280</t>
  </si>
  <si>
    <t>OT-5050281</t>
  </si>
  <si>
    <t>OT-5050282</t>
  </si>
  <si>
    <t>OT-5050288</t>
  </si>
  <si>
    <t>OT-5050309</t>
  </si>
  <si>
    <t>OT-5050310</t>
  </si>
  <si>
    <t>OT-5050311</t>
  </si>
  <si>
    <t>OT-5050312</t>
  </si>
  <si>
    <t>OT-5050214</t>
  </si>
  <si>
    <t>OT-5050263</t>
  </si>
  <si>
    <t>OT-5050216</t>
  </si>
  <si>
    <t>OT-5050217</t>
  </si>
  <si>
    <t>OT-5050218</t>
  </si>
  <si>
    <t>OT-5050219</t>
  </si>
  <si>
    <t>OT-5050220</t>
  </si>
  <si>
    <t>OT-5050221</t>
  </si>
  <si>
    <t>OT-5050194</t>
  </si>
  <si>
    <t>OT-5050182</t>
  </si>
  <si>
    <t>OT-5050183</t>
  </si>
  <si>
    <t>OT-502054</t>
  </si>
  <si>
    <t>OT-5020549</t>
  </si>
  <si>
    <t>OT-502055</t>
  </si>
  <si>
    <t>OT-5020550</t>
  </si>
  <si>
    <t>OT-5020551</t>
  </si>
  <si>
    <t>OT-5020552</t>
  </si>
  <si>
    <t>OT-502059</t>
  </si>
  <si>
    <t>OT-50206</t>
  </si>
  <si>
    <t>OT-502060</t>
  </si>
  <si>
    <t>OT-502057</t>
  </si>
  <si>
    <t>OT-502063</t>
  </si>
  <si>
    <t>OT-50204</t>
  </si>
  <si>
    <t>OT-5020435</t>
  </si>
  <si>
    <t>OT-5020411</t>
  </si>
  <si>
    <t>OT-5020412</t>
  </si>
  <si>
    <t>OT-5020429</t>
  </si>
  <si>
    <t>OT-5020430</t>
  </si>
  <si>
    <t>OT-5020484</t>
  </si>
  <si>
    <t>OT-5020470</t>
  </si>
  <si>
    <t>OT-50205</t>
  </si>
  <si>
    <t>OT-5020502</t>
  </si>
  <si>
    <t>OT-5020504</t>
  </si>
  <si>
    <t>OT-5020505</t>
  </si>
  <si>
    <t>OT-5020365</t>
  </si>
  <si>
    <t>OT-5020366</t>
  </si>
  <si>
    <t>OT-5020318</t>
  </si>
  <si>
    <t>OT-5020319</t>
  </si>
  <si>
    <t>OT-5020321</t>
  </si>
  <si>
    <t>OT-5020322</t>
  </si>
  <si>
    <t>OT-5020368</t>
  </si>
  <si>
    <t>OT-5020369</t>
  </si>
  <si>
    <t>OT-5020375</t>
  </si>
  <si>
    <t>OT-5020406</t>
  </si>
  <si>
    <t>OT-5020407</t>
  </si>
  <si>
    <t>OT-5020408</t>
  </si>
  <si>
    <t>OT-5020208</t>
  </si>
  <si>
    <t>OT-5020209</t>
  </si>
  <si>
    <t>OT-5020210</t>
  </si>
  <si>
    <t>OT-5020211</t>
  </si>
  <si>
    <t>OT-5020212</t>
  </si>
  <si>
    <t>OT-5020188</t>
  </si>
  <si>
    <t>OT-5020189</t>
  </si>
  <si>
    <t>OT-5020254</t>
  </si>
  <si>
    <t>OT-5020255</t>
  </si>
  <si>
    <t>OT-5020259</t>
  </si>
  <si>
    <t>OT-5020284</t>
  </si>
  <si>
    <t>OT-5020285</t>
  </si>
  <si>
    <t>OT-5020288</t>
  </si>
  <si>
    <t>OT-5020289</t>
  </si>
  <si>
    <t>OT-5030264</t>
  </si>
  <si>
    <t>OT-5030265</t>
  </si>
  <si>
    <t>OT-5030266</t>
  </si>
  <si>
    <t>OT-5030249</t>
  </si>
  <si>
    <t>OT-5030260</t>
  </si>
  <si>
    <t>OT-5030262</t>
  </si>
  <si>
    <t>OT-5030275</t>
  </si>
  <si>
    <t>OT-5030278</t>
  </si>
  <si>
    <t>OT-5030279</t>
  </si>
  <si>
    <t>OT-5030280</t>
  </si>
  <si>
    <t>OT-5030281</t>
  </si>
  <si>
    <t>OT-5030282</t>
  </si>
  <si>
    <t>OT-5030193</t>
  </si>
  <si>
    <t>OT-5030214</t>
  </si>
  <si>
    <t>OT-5030215</t>
  </si>
  <si>
    <t>OT-5030148</t>
  </si>
  <si>
    <t>OT-5030149</t>
  </si>
  <si>
    <t>OT-5030219</t>
  </si>
  <si>
    <t>OT-5030220</t>
  </si>
  <si>
    <t>OT-5030222</t>
  </si>
  <si>
    <t>OT-5030223</t>
  </si>
  <si>
    <t>OT-5030224</t>
  </si>
  <si>
    <t>OT-5030229</t>
  </si>
  <si>
    <t>OT-5020472</t>
  </si>
  <si>
    <t>OT-5030246</t>
  </si>
  <si>
    <t>OT-5030247</t>
  </si>
  <si>
    <t>OT-5030132</t>
  </si>
  <si>
    <t>OT-5030133</t>
  </si>
  <si>
    <t>OT-5030119</t>
  </si>
  <si>
    <t>OT-503012</t>
  </si>
  <si>
    <t>6557XC</t>
  </si>
  <si>
    <t>OT-5030121</t>
  </si>
  <si>
    <t>OT-5030158</t>
  </si>
  <si>
    <t>OT-5030159</t>
  </si>
  <si>
    <t>OT-5030160</t>
  </si>
  <si>
    <t>OT-5030161</t>
  </si>
  <si>
    <t>OT-5030167</t>
  </si>
  <si>
    <t>OT-5030168</t>
  </si>
  <si>
    <t>OT-5030169</t>
  </si>
  <si>
    <t>OT-5030110</t>
  </si>
  <si>
    <t>OT-5030111</t>
  </si>
  <si>
    <t>OT-5030112</t>
  </si>
  <si>
    <t>OT-502079</t>
  </si>
  <si>
    <t>OT-50208</t>
  </si>
  <si>
    <t>OT-502080</t>
  </si>
  <si>
    <t>OT-5020108</t>
  </si>
  <si>
    <t>OT-5020109</t>
  </si>
  <si>
    <t>OT-502010</t>
  </si>
  <si>
    <t>OT-5020102</t>
  </si>
  <si>
    <t>OT-5020103</t>
  </si>
  <si>
    <t>OT-5020104</t>
  </si>
  <si>
    <t>OT-5020105</t>
  </si>
  <si>
    <t>OT-5020119</t>
  </si>
  <si>
    <t>OT-5020120</t>
  </si>
  <si>
    <t>OT-5020121</t>
  </si>
  <si>
    <t>OT-5020122</t>
  </si>
  <si>
    <t>OT-5020123</t>
  </si>
  <si>
    <t>OT-5020139</t>
  </si>
  <si>
    <t>OT-5020157</t>
  </si>
  <si>
    <t>OT-502016</t>
  </si>
  <si>
    <t>OT-5020184</t>
  </si>
  <si>
    <t>OT-5020185</t>
  </si>
  <si>
    <t>OT-5010625</t>
  </si>
  <si>
    <t>OT-5010626</t>
  </si>
  <si>
    <t>OT-5010600</t>
  </si>
  <si>
    <t>OT-5010601</t>
  </si>
  <si>
    <t>OT-5010602</t>
  </si>
  <si>
    <t>OT-5010669</t>
  </si>
  <si>
    <t>OT-5010670</t>
  </si>
  <si>
    <t>OT-5010706</t>
  </si>
  <si>
    <t>OT-5010708</t>
  </si>
  <si>
    <t>OT-5010709</t>
  </si>
  <si>
    <t>OT-5010710</t>
  </si>
  <si>
    <t>OT-5010712</t>
  </si>
  <si>
    <t>OT-5010713</t>
  </si>
  <si>
    <t>OT-5010753</t>
  </si>
  <si>
    <t>OT-5010754</t>
  </si>
  <si>
    <t>OT-5010755</t>
  </si>
  <si>
    <t>OT-5010756</t>
  </si>
  <si>
    <t>OT-5010758</t>
  </si>
  <si>
    <t>OT-5010531</t>
  </si>
  <si>
    <t>OT-5010532</t>
  </si>
  <si>
    <t>OT-5010442</t>
  </si>
  <si>
    <t>OT-5010486</t>
  </si>
  <si>
    <t>OT-5010507</t>
  </si>
  <si>
    <t>OT-5010552</t>
  </si>
  <si>
    <t>OT-5010554</t>
  </si>
  <si>
    <t>OT-5010593</t>
  </si>
  <si>
    <t>OT-5010597</t>
  </si>
  <si>
    <t>OT-5010469</t>
  </si>
  <si>
    <t>OT-5010470</t>
  </si>
  <si>
    <t>OT-5010371</t>
  </si>
  <si>
    <t>OT-5010377</t>
  </si>
  <si>
    <t>OT-5010379</t>
  </si>
  <si>
    <t>OT-5010385</t>
  </si>
  <si>
    <t>OT-5010369</t>
  </si>
  <si>
    <t>OT-5010439</t>
  </si>
  <si>
    <t>OT-5010444</t>
  </si>
  <si>
    <t>OT-5010445</t>
  </si>
  <si>
    <t>OT-5010446</t>
  </si>
  <si>
    <t>OT-5010447</t>
  </si>
  <si>
    <t>OT-5110266</t>
  </si>
  <si>
    <t>OT-5110267</t>
  </si>
  <si>
    <t>OT-5110268</t>
  </si>
  <si>
    <t>OT-5110269</t>
  </si>
  <si>
    <t>OT-5110270</t>
  </si>
  <si>
    <t>OT-5110271</t>
  </si>
  <si>
    <t>OT-5110272</t>
  </si>
  <si>
    <t>OT-5110112</t>
  </si>
  <si>
    <t>OT-5110113</t>
  </si>
  <si>
    <t>OT-5110114</t>
  </si>
  <si>
    <t>OT-5110115</t>
  </si>
  <si>
    <t>OT-5110116</t>
  </si>
  <si>
    <t>OT-5110129</t>
  </si>
  <si>
    <t>OT-5110130</t>
  </si>
  <si>
    <t>OT-5110131</t>
  </si>
  <si>
    <t>OT-5110132</t>
  </si>
  <si>
    <t>OT-5110133</t>
  </si>
  <si>
    <t>OT-5110150</t>
  </si>
  <si>
    <t>OT-5110151</t>
  </si>
  <si>
    <t>OT-5110161</t>
  </si>
  <si>
    <t>OT-5110175</t>
  </si>
  <si>
    <t>OT-5110176</t>
  </si>
  <si>
    <t>OT-5110177</t>
  </si>
  <si>
    <t>OT-5110178</t>
  </si>
  <si>
    <t>OT-5110179</t>
  </si>
  <si>
    <t>OT-5110180</t>
  </si>
  <si>
    <t>OT-5110456</t>
  </si>
  <si>
    <t>OT-5110458</t>
  </si>
  <si>
    <t>OT-5110459</t>
  </si>
  <si>
    <t>OT-5110465</t>
  </si>
  <si>
    <t>OT-5110476</t>
  </si>
  <si>
    <t>OT-5110477</t>
  </si>
  <si>
    <t>OT-5110478</t>
  </si>
  <si>
    <t>OT-5110479</t>
  </si>
  <si>
    <t>OT-5110202</t>
  </si>
  <si>
    <t>OT-5110203</t>
  </si>
  <si>
    <t>OT-5110204</t>
  </si>
  <si>
    <t>OT-5110238</t>
  </si>
  <si>
    <t>OT-5110239</t>
  </si>
  <si>
    <t>OT-5110497</t>
  </si>
  <si>
    <t>OT-5110498</t>
  </si>
  <si>
    <t>OT-5110499</t>
  </si>
  <si>
    <t>OT-511051</t>
  </si>
  <si>
    <t>OT-5110278</t>
  </si>
  <si>
    <t>OT-5110281</t>
  </si>
  <si>
    <t>OT-5110296</t>
  </si>
  <si>
    <t>OT-511030</t>
  </si>
  <si>
    <t>OT-5110332</t>
  </si>
  <si>
    <t>OT-5110333</t>
  </si>
  <si>
    <t>OT-5110334</t>
  </si>
  <si>
    <t>OT-5110335</t>
  </si>
  <si>
    <t>OT-5110336</t>
  </si>
  <si>
    <t>OT-5110368</t>
  </si>
  <si>
    <t>OT-5110369</t>
  </si>
  <si>
    <t>OT-5110370</t>
  </si>
  <si>
    <t>OT-5110371</t>
  </si>
  <si>
    <t>OT-5110372</t>
  </si>
  <si>
    <t>OT-5110373</t>
  </si>
  <si>
    <t>OT-5110374</t>
  </si>
  <si>
    <t>OT-5110528</t>
  </si>
  <si>
    <t>OT-5110538</t>
  </si>
  <si>
    <t>OT-5110539</t>
  </si>
  <si>
    <t>OT-5110540</t>
  </si>
  <si>
    <t>OT-511069</t>
  </si>
  <si>
    <t>OT-511070</t>
  </si>
  <si>
    <t>OT-511072</t>
  </si>
  <si>
    <t>OT-511081</t>
  </si>
  <si>
    <t>OT-51201</t>
  </si>
  <si>
    <t>OT-5120101</t>
  </si>
  <si>
    <t>OT-5120102</t>
  </si>
  <si>
    <t>OT-5120103</t>
  </si>
  <si>
    <t>OT-5120104</t>
  </si>
  <si>
    <t>OT-5120109</t>
  </si>
  <si>
    <t>OT-5120110</t>
  </si>
  <si>
    <t>OT-5120111</t>
  </si>
  <si>
    <t>OT-5120112</t>
  </si>
  <si>
    <t>OT-5120113</t>
  </si>
  <si>
    <t>OT-5120114</t>
  </si>
  <si>
    <t>OT-5120115</t>
  </si>
  <si>
    <t>OT-5120116</t>
  </si>
  <si>
    <t>OT-5120117</t>
  </si>
  <si>
    <t>OT-5120253</t>
  </si>
  <si>
    <t>OT-5120254</t>
  </si>
  <si>
    <t>OT-5120255</t>
  </si>
  <si>
    <t>OT-5120256</t>
  </si>
  <si>
    <t>OT-5120257</t>
  </si>
  <si>
    <t>OT-5120258</t>
  </si>
  <si>
    <t>OT-5120282</t>
  </si>
  <si>
    <t>OT-5120283</t>
  </si>
  <si>
    <t>OT-5120131</t>
  </si>
  <si>
    <t>OT-5120139</t>
  </si>
  <si>
    <t>OT-5120140</t>
  </si>
  <si>
    <t>OT-5120141</t>
  </si>
  <si>
    <t>OT-5120142</t>
  </si>
  <si>
    <t>OT-5120143</t>
  </si>
  <si>
    <t>OT-5120147</t>
  </si>
  <si>
    <t>OT-5120154</t>
  </si>
  <si>
    <t>OT-5120167</t>
  </si>
  <si>
    <t>OT-5120184</t>
  </si>
  <si>
    <t>OT-5120185</t>
  </si>
  <si>
    <t>OT-5120186</t>
  </si>
  <si>
    <t>OT-5120187</t>
  </si>
  <si>
    <t>OT-5120188</t>
  </si>
  <si>
    <t>OT-5120191</t>
  </si>
  <si>
    <t>OT-5120204</t>
  </si>
  <si>
    <t>OT-5120205</t>
  </si>
  <si>
    <t>OT-5120207</t>
  </si>
  <si>
    <t>OT-5120225</t>
  </si>
  <si>
    <t>OT-5120226</t>
  </si>
  <si>
    <t>OT-5120227</t>
  </si>
  <si>
    <t>OT-5120228</t>
  </si>
  <si>
    <t>OT-5120229</t>
  </si>
  <si>
    <t>OT-5120310</t>
  </si>
  <si>
    <t>3678XC</t>
  </si>
  <si>
    <t>OT-5120311</t>
  </si>
  <si>
    <t>6568XC</t>
  </si>
  <si>
    <t>OT-5120312</t>
  </si>
  <si>
    <t>OT-601018</t>
  </si>
  <si>
    <t>5410XC</t>
  </si>
  <si>
    <t>OT-601019</t>
  </si>
  <si>
    <t>Se le deposito 3500 al operador para pagar a transito por circular en sentido contrario, se levanto pnc y el operador es responsable de dicho monto.</t>
  </si>
  <si>
    <t>TaniaTC</t>
  </si>
  <si>
    <t>OT-60105</t>
  </si>
  <si>
    <t>OT-60106</t>
  </si>
  <si>
    <t>OT-60107</t>
  </si>
  <si>
    <t>OT-512066</t>
  </si>
  <si>
    <t>OT-512067</t>
  </si>
  <si>
    <t>OT-512080</t>
  </si>
  <si>
    <t>OT-5120502</t>
  </si>
  <si>
    <t>OT-5120514</t>
  </si>
  <si>
    <t>OT-5120545</t>
  </si>
  <si>
    <t>OT-5120546</t>
  </si>
  <si>
    <t>OT-5120345</t>
  </si>
  <si>
    <t>OT-5120346</t>
  </si>
  <si>
    <t>OT-5120289</t>
  </si>
  <si>
    <t>OT-5120380</t>
  </si>
  <si>
    <t>OT-5120381</t>
  </si>
  <si>
    <t>OT-5120382</t>
  </si>
  <si>
    <t>OT-5120383</t>
  </si>
  <si>
    <t>OT-5120384</t>
  </si>
  <si>
    <t>OT-5120385</t>
  </si>
  <si>
    <t>OT-5120386</t>
  </si>
  <si>
    <t>OT-5120387</t>
  </si>
  <si>
    <t>OT-5120388</t>
  </si>
  <si>
    <t>OT-5120389</t>
  </si>
  <si>
    <t>OT-5120403</t>
  </si>
  <si>
    <t>OT-5120432</t>
  </si>
  <si>
    <t>OT-5120433</t>
  </si>
  <si>
    <t>OT-5120434</t>
  </si>
  <si>
    <t>OT-5120435</t>
  </si>
  <si>
    <t>OT-5120436</t>
  </si>
  <si>
    <t>OT-5120437</t>
  </si>
  <si>
    <t>OT-512045</t>
  </si>
  <si>
    <t>OT-5080270</t>
  </si>
  <si>
    <t>OT-5080274</t>
  </si>
  <si>
    <t>OT-508028</t>
  </si>
  <si>
    <t>OT-5080324</t>
  </si>
  <si>
    <t>OT-508020</t>
  </si>
  <si>
    <t>OT-5080213</t>
  </si>
  <si>
    <t>OT-5080113</t>
  </si>
  <si>
    <t>OT-5080114</t>
  </si>
  <si>
    <t>OT-5080115</t>
  </si>
  <si>
    <t>OT-5080229</t>
  </si>
  <si>
    <t>OT-5080232</t>
  </si>
  <si>
    <t>OT-508024</t>
  </si>
  <si>
    <t>OT-5080246</t>
  </si>
  <si>
    <t>OT-5080247</t>
  </si>
  <si>
    <t>OT-5080452</t>
  </si>
  <si>
    <t>OT-508061</t>
  </si>
  <si>
    <t>OT-508062</t>
  </si>
  <si>
    <t>OT-5080638</t>
  </si>
  <si>
    <t>OT-5080639</t>
  </si>
  <si>
    <t>OT-5080430</t>
  </si>
  <si>
    <t>OT-5080431</t>
  </si>
  <si>
    <t>OT-5080505</t>
  </si>
  <si>
    <t>OT-5080257</t>
  </si>
  <si>
    <t>OT-508026</t>
  </si>
  <si>
    <t>OT-508030</t>
  </si>
  <si>
    <t>OT-5080417</t>
  </si>
  <si>
    <t>OT-5080424</t>
  </si>
  <si>
    <t>OT-5080425</t>
  </si>
  <si>
    <t>OT-5080426</t>
  </si>
  <si>
    <t>OT-5080427</t>
  </si>
  <si>
    <t>OT-5080454</t>
  </si>
  <si>
    <t>OT-5080455</t>
  </si>
  <si>
    <t>OT-5080456</t>
  </si>
  <si>
    <t>OT-5090175</t>
  </si>
  <si>
    <t>OT-5090176</t>
  </si>
  <si>
    <t>OT-5090177</t>
  </si>
  <si>
    <t>OT-5090188</t>
  </si>
  <si>
    <t>OT-5090189</t>
  </si>
  <si>
    <t>OT-5090123</t>
  </si>
  <si>
    <t>OT-5090124</t>
  </si>
  <si>
    <t>OT-5090125</t>
  </si>
  <si>
    <t>OT-5090126</t>
  </si>
  <si>
    <t>OT-5090127</t>
  </si>
  <si>
    <t>OT-5090133</t>
  </si>
  <si>
    <t>OT-5090134</t>
  </si>
  <si>
    <t>OT-5080646</t>
  </si>
  <si>
    <t>OT-5080670</t>
  </si>
  <si>
    <t>OT-5080641</t>
  </si>
  <si>
    <t>OT-5080642</t>
  </si>
  <si>
    <t>OT-5080658</t>
  </si>
  <si>
    <t>OT-508066</t>
  </si>
  <si>
    <t>OT-5090220</t>
  </si>
  <si>
    <t>OT-5090221</t>
  </si>
  <si>
    <t>OT-5090222</t>
  </si>
  <si>
    <t>OT-5090223</t>
  </si>
  <si>
    <t>OT-5090224</t>
  </si>
  <si>
    <t>OT-5090225</t>
  </si>
  <si>
    <t>OT-5090226</t>
  </si>
  <si>
    <t>OT-508073</t>
  </si>
  <si>
    <t>OT-5090228</t>
  </si>
  <si>
    <t>OT-5090333</t>
  </si>
  <si>
    <t>OT-5090334</t>
  </si>
  <si>
    <t>OT-5090335</t>
  </si>
  <si>
    <t>OT-5090336</t>
  </si>
  <si>
    <t>OT-5090244</t>
  </si>
  <si>
    <t>OT-5090245</t>
  </si>
  <si>
    <t>OT-5090246</t>
  </si>
  <si>
    <t>OT-5090247</t>
  </si>
  <si>
    <t>OT-5090248</t>
  </si>
  <si>
    <t>OT-5090255</t>
  </si>
  <si>
    <t>OT-5090256</t>
  </si>
  <si>
    <t>OT-5090257</t>
  </si>
  <si>
    <t>OT-5090264</t>
  </si>
  <si>
    <t>OT-5090265</t>
  </si>
  <si>
    <t>OT-5090284</t>
  </si>
  <si>
    <t>OT-5090285</t>
  </si>
  <si>
    <t>OT-5090286</t>
  </si>
  <si>
    <t>OT-5090294</t>
  </si>
  <si>
    <t>OT-5090295</t>
  </si>
  <si>
    <t>OT-5090296</t>
  </si>
  <si>
    <t>OT-5090297</t>
  </si>
  <si>
    <t>OT-5090307</t>
  </si>
  <si>
    <t>OT-5090308</t>
  </si>
  <si>
    <t>OT-5090309</t>
  </si>
  <si>
    <t>OT-5090310</t>
  </si>
  <si>
    <t>OT-507063</t>
  </si>
  <si>
    <t>OT-507065</t>
  </si>
  <si>
    <t>OT-507066</t>
  </si>
  <si>
    <t>OT-507080</t>
  </si>
  <si>
    <t>OT-5080177</t>
  </si>
  <si>
    <t>OT-5080178</t>
  </si>
  <si>
    <t>OT-5080179</t>
  </si>
  <si>
    <t>OT-508018</t>
  </si>
  <si>
    <t>OT-5080180</t>
  </si>
  <si>
    <t>OT-5080181</t>
  </si>
  <si>
    <t>OT-508019</t>
  </si>
  <si>
    <t>OT-5080198</t>
  </si>
  <si>
    <t>OT-5080129</t>
  </si>
  <si>
    <t>OT-5080139</t>
  </si>
  <si>
    <t>OT-5080140</t>
  </si>
  <si>
    <t>OT-5080141</t>
  </si>
  <si>
    <t>OT-5080142</t>
  </si>
  <si>
    <t>OT-5080143</t>
  </si>
  <si>
    <t>OT-5080159</t>
  </si>
  <si>
    <t>OT-5080160</t>
  </si>
  <si>
    <t>OT-5080161</t>
  </si>
  <si>
    <t>OT-507038</t>
  </si>
  <si>
    <t>OT-507039</t>
  </si>
  <si>
    <t>OT-5070392</t>
  </si>
  <si>
    <t>OT-5070394</t>
  </si>
  <si>
    <t>OT-507040</t>
  </si>
  <si>
    <t>OT-507041</t>
  </si>
  <si>
    <t>OT-507042</t>
  </si>
  <si>
    <t>OT-507043</t>
  </si>
  <si>
    <t>OT-507053</t>
  </si>
  <si>
    <t>OT-507055</t>
  </si>
  <si>
    <t>OT-507056</t>
  </si>
  <si>
    <t>OT-507057</t>
  </si>
  <si>
    <t>OT-507059</t>
  </si>
  <si>
    <t>OT-507060</t>
  </si>
  <si>
    <t>OT-5070210</t>
  </si>
  <si>
    <t>OT-5070211</t>
  </si>
  <si>
    <t>OT-5070212</t>
  </si>
  <si>
    <t>OT-5070204</t>
  </si>
  <si>
    <t>OT-507022</t>
  </si>
  <si>
    <t>OT-5070224</t>
  </si>
  <si>
    <t>OT-5070225</t>
  </si>
  <si>
    <t>OT-5070226</t>
  </si>
  <si>
    <t>OT-507023</t>
  </si>
  <si>
    <t>OT-5070231</t>
  </si>
  <si>
    <t>OT-5070232</t>
  </si>
  <si>
    <t>OT-507024</t>
  </si>
  <si>
    <t>OT-5070123</t>
  </si>
  <si>
    <t>OT-5070169</t>
  </si>
  <si>
    <t>OT-5070170</t>
  </si>
  <si>
    <t>OT-5070172</t>
  </si>
  <si>
    <t>OT-5070175</t>
  </si>
  <si>
    <t>OT-5070183</t>
  </si>
  <si>
    <t>OT-5070184</t>
  </si>
  <si>
    <t>OT-5070189</t>
  </si>
  <si>
    <t>OT-507020</t>
  </si>
  <si>
    <t>OT-5070106</t>
  </si>
  <si>
    <t>OT-5070120</t>
  </si>
  <si>
    <t>OT-506070</t>
  </si>
  <si>
    <t>OT-506071</t>
  </si>
  <si>
    <t>OT-506082</t>
  </si>
  <si>
    <t>OT-506083</t>
  </si>
  <si>
    <t>OT-506084</t>
  </si>
  <si>
    <t>OT-50609</t>
  </si>
  <si>
    <t>OT-506031</t>
  </si>
  <si>
    <t>OT-5060211</t>
  </si>
  <si>
    <t>OT-5060296</t>
  </si>
  <si>
    <t>OT-5060297</t>
  </si>
  <si>
    <t>OT-50603</t>
  </si>
  <si>
    <t>OT-506033</t>
  </si>
  <si>
    <t>OT-506034</t>
  </si>
  <si>
    <t>OT-50604</t>
  </si>
  <si>
    <t>OT-506066</t>
  </si>
  <si>
    <t>OT-506067</t>
  </si>
  <si>
    <t>OT-506068</t>
  </si>
  <si>
    <t>OT-50601</t>
  </si>
  <si>
    <t>OT-5050441</t>
  </si>
  <si>
    <t>OT-505067</t>
  </si>
  <si>
    <t>OT-5060138</t>
  </si>
  <si>
    <t>OT-5060139</t>
  </si>
  <si>
    <t>OT-5060140</t>
  </si>
  <si>
    <t>OT-5060159</t>
  </si>
  <si>
    <t>OT-5060160</t>
  </si>
  <si>
    <t>OT-5060161</t>
  </si>
  <si>
    <t>OT-5060182</t>
  </si>
  <si>
    <t>OT-50602</t>
  </si>
  <si>
    <t>OT-5060201</t>
  </si>
  <si>
    <t>OT-5060220</t>
  </si>
  <si>
    <t>OT-5060222</t>
  </si>
  <si>
    <t>OT-5060223</t>
  </si>
  <si>
    <t>OT-5060269</t>
  </si>
  <si>
    <t>OT-5060275</t>
  </si>
  <si>
    <t>OT-5060276</t>
  </si>
  <si>
    <t>OT-5111201</t>
  </si>
  <si>
    <t>OT-512162</t>
  </si>
  <si>
    <t>OT-512198</t>
  </si>
  <si>
    <t>OT-5061240</t>
  </si>
  <si>
    <t>Traslado a Querétaro para esperarlos, entregan y se regresan a Patio Sahagún.</t>
  </si>
  <si>
    <t>OT-5121220</t>
  </si>
  <si>
    <t>OT-5091120</t>
  </si>
  <si>
    <t>Veracruz</t>
  </si>
  <si>
    <t>OT-5091169</t>
  </si>
  <si>
    <t>FAVOR DE RECOGER A SUS COMPAÑEROS LUNES A LAS 10:00 HR EN DESTINO. LLENAR TANQUES DE COMBUSTIBLE</t>
  </si>
  <si>
    <t>OT-601143</t>
  </si>
  <si>
    <t>OT-601144</t>
  </si>
  <si>
    <t>OT-601145</t>
  </si>
  <si>
    <t>OT-601146</t>
  </si>
  <si>
    <t>OT-5091216</t>
  </si>
  <si>
    <t>OT-5091301</t>
  </si>
  <si>
    <t>Cita en Base Sahagún 2:00 pm</t>
  </si>
  <si>
    <t>OT-509139</t>
  </si>
  <si>
    <t>OT-509181</t>
  </si>
  <si>
    <t>OT-5071155</t>
  </si>
  <si>
    <t>Campeche</t>
  </si>
  <si>
    <t>OT-512199</t>
  </si>
  <si>
    <t>Ruta</t>
  </si>
  <si>
    <t>Unidad</t>
  </si>
  <si>
    <t>Sprinter 1</t>
  </si>
  <si>
    <t>Sprinter 2</t>
  </si>
  <si>
    <t>Bus Gris</t>
  </si>
  <si>
    <t>Escobedo → Escobedo</t>
  </si>
  <si>
    <t>Fecha</t>
  </si>
  <si>
    <t>Mes traslado</t>
  </si>
  <si>
    <t>2025 - 01-ENE</t>
  </si>
  <si>
    <t>Traslados realizados</t>
  </si>
  <si>
    <t>Sueldo pagado</t>
  </si>
  <si>
    <t>Enganchado_porc</t>
  </si>
  <si>
    <t>Values</t>
  </si>
  <si>
    <t>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</si>
</sst>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dd\ hh:mm:ss"/>
    <numFmt numFmtId="166" formatCode="&quot;$&quot;#,##0.00"/>
  </numFmts>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0" fillId="0" borderId="0" xfId="0" pivotButton="1"/>
    <xf numFmtId="14" fontId="0" fillId="0" borderId="0" xfId="0" applyNumberFormat="1"/>
    <xf numFmtId="0" fontId="0" fillId="0" borderId="0" xfId="0" applyNumberFormat="1"/>
    <xf numFmtId="0" fontId="0" fillId="0" borderId="2" xfId="0" applyNumberFormat="1" applyBorder="1"/>
    <xf numFmtId="0" fontId="0" fillId="0" borderId="3" xfId="0" applyBorder="1"/>
    <xf numFmtId="0" fontId="0" fillId="0" borderId="1" xfId="0" applyNumberFormat="1" applyBorder="1"/>
    <xf numFmtId="0" fontId="0" fillId="0" borderId="4" xfId="0" applyBorder="1"/>
    <xf numFmtId="166" fontId="0" fillId="0" borderId="5" xfId="0" applyNumberFormat="1" applyBorder="1"/>
    <xf numFmtId="166" fontId="0" fillId="0" borderId="6" xfId="0" applyNumberFormat="1" applyBorder="1"/>
  </cellXfs>
  <cellStyles count="1">
    <cellStyle name="Normal" xfId="0" builtinId="0"/>
  </cellStyles>
  <dxfs count="6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4" formatCode="yyyy\-mm\-dd"/>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13</xdr:col>
      <xdr:colOff>246289</xdr:colOff>
      <xdr:row>1</xdr:row>
      <xdr:rowOff>12246</xdr:rowOff>
    </xdr:from>
    <xdr:to>
      <xdr:col>16</xdr:col>
      <xdr:colOff>236764</xdr:colOff>
      <xdr:row>14</xdr:row>
      <xdr:rowOff>23132</xdr:rowOff>
    </xdr:to>
    <mc:AlternateContent xmlns:mc="http://schemas.openxmlformats.org/markup-compatibility/2006" xmlns:a14="http://schemas.microsoft.com/office/drawing/2010/main">
      <mc:Choice Requires="a14">
        <xdr:graphicFrame macro="">
          <xdr:nvGraphicFramePr>
            <xdr:cNvPr id="2" name="Mes traslado"/>
            <xdr:cNvGraphicFramePr/>
          </xdr:nvGraphicFramePr>
          <xdr:xfrm>
            <a:off x="0" y="0"/>
            <a:ext cx="0" cy="0"/>
          </xdr:xfrm>
          <a:graphic>
            <a:graphicData uri="http://schemas.microsoft.com/office/drawing/2010/slicer">
              <sle:slicer xmlns:sle="http://schemas.microsoft.com/office/drawing/2010/slicer" name="Mes traslado"/>
            </a:graphicData>
          </a:graphic>
        </xdr:graphicFrame>
      </mc:Choice>
      <mc:Fallback xmlns="">
        <xdr:sp macro="" textlink="">
          <xdr:nvSpPr>
            <xdr:cNvPr id="0" name=""/>
            <xdr:cNvSpPr>
              <a:spLocks noTextEdit="1"/>
            </xdr:cNvSpPr>
          </xdr:nvSpPr>
          <xdr:spPr>
            <a:xfrm>
              <a:off x="19791589" y="212271"/>
              <a:ext cx="1819274" cy="2515961"/>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514350</xdr:colOff>
      <xdr:row>13</xdr:row>
      <xdr:rowOff>114300</xdr:rowOff>
    </xdr:from>
    <xdr:to>
      <xdr:col>7</xdr:col>
      <xdr:colOff>1076324</xdr:colOff>
      <xdr:row>26</xdr:row>
      <xdr:rowOff>161925</xdr:rowOff>
    </xdr:to>
    <mc:AlternateContent xmlns:mc="http://schemas.openxmlformats.org/markup-compatibility/2006">
      <mc:Choice xmlns:a14="http://schemas.microsoft.com/office/drawing/2010/main" Requires="a14">
        <xdr:graphicFrame macro="">
          <xdr:nvGraphicFramePr>
            <xdr:cNvPr id="3" name="Enganchado_porc"/>
            <xdr:cNvGraphicFramePr/>
          </xdr:nvGraphicFramePr>
          <xdr:xfrm>
            <a:off x="0" y="0"/>
            <a:ext cx="0" cy="0"/>
          </xdr:xfrm>
          <a:graphic>
            <a:graphicData uri="http://schemas.microsoft.com/office/drawing/2010/slicer">
              <sle:slicer xmlns:sle="http://schemas.microsoft.com/office/drawing/2010/slicer" name="Enganchado_porc"/>
            </a:graphicData>
          </a:graphic>
        </xdr:graphicFrame>
      </mc:Choice>
      <mc:Fallback>
        <xdr:sp macro="" textlink="">
          <xdr:nvSpPr>
            <xdr:cNvPr id="0" name=""/>
            <xdr:cNvSpPr>
              <a:spLocks noTextEdit="1"/>
            </xdr:cNvSpPr>
          </xdr:nvSpPr>
          <xdr:spPr>
            <a:xfrm>
              <a:off x="10332427" y="2620108"/>
              <a:ext cx="1829532"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AVE" refreshedDate="46160.751740856482" createdVersion="6" refreshedVersion="6" minRefreshableVersion="3" recordCount="1166">
  <cacheSource type="worksheet">
    <worksheetSource name="Table1"/>
  </cacheSource>
  <cacheFields count="34">
    <cacheField name="ID_orden" numFmtId="0">
      <sharedItems count="1166">
        <s v="OT-5010625"/>
        <s v="OT-5010626"/>
        <s v="OT-5091120"/>
        <s v="OT-509139"/>
        <s v="OT-509181"/>
        <s v="OT-5041388"/>
        <s v="OT-504186"/>
        <s v="OT-5050179"/>
        <s v="OT-5050212"/>
        <s v="OT-5050447"/>
        <s v="OT-5060122"/>
        <s v="OT-506028"/>
        <s v="OT-5060307"/>
        <s v="OT-5061295"/>
        <s v="OT-506189"/>
        <s v="OT-5070173"/>
        <s v="OT-5070203"/>
        <s v="OT-5070218"/>
        <s v="OT-5070296"/>
        <s v="OT-507079"/>
        <s v="OT-5071103"/>
        <s v="OT-5071152"/>
        <s v="OT-5071153"/>
        <s v="OT-5071154"/>
        <s v="OT-5071155"/>
        <s v="OT-5071156"/>
        <s v="OT-5071157"/>
        <s v="OT-507117"/>
        <s v="OT-5071268"/>
        <s v="OT-5080287"/>
        <s v="OT-5080686"/>
        <s v="OT-508071"/>
        <s v="OT-508072"/>
        <s v="OT-5090146"/>
        <s v="OT-5090164"/>
        <s v="OT-5090229"/>
        <s v="OT-5090332"/>
        <s v="OT-5091169"/>
        <s v="OT-5110442"/>
        <s v="OT-5110481"/>
        <s v="OT-5110483"/>
        <s v="OT-5120251"/>
        <s v="OT-5120252"/>
        <s v="OT-5120284"/>
        <s v="OT-5120285"/>
        <s v="OT-5120307"/>
        <s v="OT-5120328"/>
        <s v="OT-512082"/>
        <s v="OT-601143"/>
        <s v="OT-601144"/>
        <s v="OT-4121341"/>
        <s v="OT-5010145"/>
        <s v="OT-5010175"/>
        <s v="OT-5010181"/>
        <s v="OT-5010215"/>
        <s v="OT-5010264"/>
        <s v="OT-5010307"/>
        <s v="OT-5010308"/>
        <s v="OT-5010326"/>
        <s v="OT-5010327"/>
        <s v="OT-5010331"/>
        <s v="OT-5010342"/>
        <s v="OT-5010366"/>
        <s v="OT-5010367"/>
        <s v="OT-5010368"/>
        <s v="OT-5010369"/>
        <s v="OT-5010370"/>
        <s v="OT-5010371"/>
        <s v="OT-5010372"/>
        <s v="OT-5010374"/>
        <s v="OT-5010375"/>
        <s v="OT-5010376"/>
        <s v="OT-5010377"/>
        <s v="OT-5010379"/>
        <s v="OT-5010380"/>
        <s v="OT-5010381"/>
        <s v="OT-5010382"/>
        <s v="OT-5010383"/>
        <s v="OT-5010384"/>
        <s v="OT-5010385"/>
        <s v="OT-5010386"/>
        <s v="OT-5010387"/>
        <s v="OT-5010423"/>
        <s v="OT-5010424"/>
        <s v="OT-5010425"/>
        <s v="OT-5010439"/>
        <s v="OT-5010440"/>
        <s v="OT-5010441"/>
        <s v="OT-5010442"/>
        <s v="OT-5010443"/>
        <s v="OT-5010444"/>
        <s v="OT-5010445"/>
        <s v="OT-5010446"/>
        <s v="OT-5010447"/>
        <s v="OT-5010448"/>
        <s v="OT-5010460"/>
        <s v="OT-5010465"/>
        <s v="OT-5010468"/>
        <s v="OT-5010469"/>
        <s v="OT-5010470"/>
        <s v="OT-5010482"/>
        <s v="OT-5010483"/>
        <s v="OT-5010484"/>
        <s v="OT-5010485"/>
        <s v="OT-5010486"/>
        <s v="OT-5010487"/>
        <s v="OT-5010495"/>
        <s v="OT-5010496"/>
        <s v="OT-5010497"/>
        <s v="OT-5010498"/>
        <s v="OT-5010499"/>
        <s v="OT-5010504"/>
        <s v="OT-5010505"/>
        <s v="OT-5010506"/>
        <s v="OT-5010507"/>
        <s v="OT-5010508"/>
        <s v="OT-5010529"/>
        <s v="OT-5010530"/>
        <s v="OT-5010531"/>
        <s v="OT-5010532"/>
        <s v="OT-5010551"/>
        <s v="OT-5010552"/>
        <s v="OT-5010553"/>
        <s v="OT-5010554"/>
        <s v="OT-5010567"/>
        <s v="OT-5010568"/>
        <s v="OT-5010593"/>
        <s v="OT-5010596"/>
        <s v="OT-5010597"/>
        <s v="OT-5010598"/>
        <s v="OT-5010599"/>
        <s v="OT-5010600"/>
        <s v="OT-5010601"/>
        <s v="OT-5010602"/>
        <s v="OT-5010603"/>
        <s v="OT-5010615"/>
        <s v="OT-5010617"/>
        <s v="OT-5010618"/>
        <s v="OT-5010619"/>
        <s v="OT-5010629"/>
        <s v="OT-5010630"/>
        <s v="OT-5010666"/>
        <s v="OT-5010667"/>
        <s v="OT-5010668"/>
        <s v="OT-5010669"/>
        <s v="OT-5010670"/>
        <s v="OT-5010671"/>
        <s v="OT-5010672"/>
        <s v="OT-5010673"/>
        <s v="OT-5010706"/>
        <s v="OT-5010707"/>
        <s v="OT-5010708"/>
        <s v="OT-5010709"/>
        <s v="OT-5010710"/>
        <s v="OT-5010711"/>
        <s v="OT-5010712"/>
        <s v="OT-5010713"/>
        <s v="OT-5010753"/>
        <s v="OT-5010754"/>
        <s v="OT-5010755"/>
        <s v="OT-5010756"/>
        <s v="OT-5010758"/>
        <s v="OT-501081"/>
        <s v="OT-501099"/>
        <s v="OT-501114"/>
        <s v="OT-5011161"/>
        <s v="OT-5011162"/>
        <s v="OT-501119"/>
        <s v="OT-5011190"/>
        <s v="OT-5011194"/>
        <s v="OT-5011211"/>
        <s v="OT-5011241"/>
        <s v="OT-5011269"/>
        <s v="OT-501156"/>
        <s v="OT-501168"/>
        <s v="OT-501193"/>
        <s v="OT-501197"/>
        <s v="OT-502010"/>
        <s v="OT-5020102"/>
        <s v="OT-5020103"/>
        <s v="OT-5020104"/>
        <s v="OT-5020105"/>
        <s v="OT-5020106"/>
        <s v="OT-5020107"/>
        <s v="OT-5020108"/>
        <s v="OT-5020109"/>
        <s v="OT-5020110"/>
        <s v="OT-5020119"/>
        <s v="OT-5020120"/>
        <s v="OT-5020121"/>
        <s v="OT-5020122"/>
        <s v="OT-5020123"/>
        <s v="OT-5020126"/>
        <s v="OT-5020134"/>
        <s v="OT-5020139"/>
        <s v="OT-5020140"/>
        <s v="OT-502015"/>
        <s v="OT-5020157"/>
        <s v="OT-5020158"/>
        <s v="OT-5020159"/>
        <s v="OT-502016"/>
        <s v="OT-502017"/>
        <s v="OT-5020180"/>
        <s v="OT-5020181"/>
        <s v="OT-5020182"/>
        <s v="OT-5020183"/>
        <s v="OT-5020184"/>
        <s v="OT-5020185"/>
        <s v="OT-5020186"/>
        <s v="OT-5020187"/>
        <s v="OT-5020188"/>
        <s v="OT-5020189"/>
        <s v="OT-5020195"/>
        <s v="OT-5020207"/>
        <s v="OT-5020208"/>
        <s v="OT-5020209"/>
        <s v="OT-5020210"/>
        <s v="OT-5020211"/>
        <s v="OT-5020212"/>
        <s v="OT-5020214"/>
        <s v="OT-5020254"/>
        <s v="OT-5020255"/>
        <s v="OT-5020257"/>
        <s v="OT-5020259"/>
        <s v="OT-5020260"/>
        <s v="OT-5020284"/>
        <s v="OT-5020285"/>
        <s v="OT-5020286"/>
        <s v="OT-5020288"/>
        <s v="OT-5020289"/>
        <s v="OT-5020290"/>
        <s v="OT-50203"/>
        <s v="OT-5020318"/>
        <s v="OT-5020319"/>
        <s v="OT-5020320"/>
        <s v="OT-5020321"/>
        <s v="OT-5020322"/>
        <s v="OT-5020363"/>
        <s v="OT-5020365"/>
        <s v="OT-5020366"/>
        <s v="OT-5020367"/>
        <s v="OT-5020368"/>
        <s v="OT-5020369"/>
        <s v="OT-5020370"/>
        <s v="OT-5020375"/>
        <s v="OT-5020391"/>
        <s v="OT-50204"/>
        <s v="OT-5020405"/>
        <s v="OT-5020406"/>
        <s v="OT-5020407"/>
        <s v="OT-5020408"/>
        <s v="OT-5020409"/>
        <s v="OT-5020410"/>
        <s v="OT-5020411"/>
        <s v="OT-5020412"/>
        <s v="OT-5020429"/>
        <s v="OT-5020430"/>
        <s v="OT-5020431"/>
        <s v="OT-5020434"/>
        <s v="OT-5020435"/>
        <s v="OT-5020462"/>
        <s v="OT-5020470"/>
        <s v="OT-5020471"/>
        <s v="OT-5020472"/>
        <s v="OT-5020483"/>
        <s v="OT-5020484"/>
        <s v="OT-5020485"/>
        <s v="OT-50205"/>
        <s v="OT-5020502"/>
        <s v="OT-5020503"/>
        <s v="OT-5020504"/>
        <s v="OT-5020505"/>
        <s v="OT-5020507"/>
        <s v="OT-5020522"/>
        <s v="OT-5020531"/>
        <s v="OT-502054"/>
        <s v="OT-5020547"/>
        <s v="OT-5020548"/>
        <s v="OT-5020549"/>
        <s v="OT-502055"/>
        <s v="OT-5020550"/>
        <s v="OT-5020551"/>
        <s v="OT-5020552"/>
        <s v="OT-502056"/>
        <s v="OT-502057"/>
        <s v="OT-502058"/>
        <s v="OT-502059"/>
        <s v="OT-50206"/>
        <s v="OT-502060"/>
        <s v="OT-502061"/>
        <s v="OT-502063"/>
        <s v="OT-50207"/>
        <s v="OT-502078"/>
        <s v="OT-502079"/>
        <s v="OT-50208"/>
        <s v="OT-502080"/>
        <s v="OT-502081"/>
        <s v="OT-50209"/>
        <s v="OT-502095"/>
        <s v="OT-5021210"/>
        <s v="OT-5021334"/>
        <s v="OT-502137"/>
        <s v="OT-50301"/>
        <s v="OT-503010"/>
        <s v="OT-5030109"/>
        <s v="OT-503011"/>
        <s v="OT-5030110"/>
        <s v="OT-5030111"/>
        <s v="OT-5030112"/>
        <s v="OT-5030113"/>
        <s v="OT-5030119"/>
        <s v="OT-503012"/>
        <s v="OT-5030120"/>
        <s v="OT-5030121"/>
        <s v="OT-5030122"/>
        <s v="OT-5030124"/>
        <s v="OT-5030132"/>
        <s v="OT-5030133"/>
        <s v="OT-5030134"/>
        <s v="OT-5030148"/>
        <s v="OT-5030149"/>
        <s v="OT-5030156"/>
        <s v="OT-5030158"/>
        <s v="OT-5030159"/>
        <s v="OT-5030160"/>
        <s v="OT-5030161"/>
        <s v="OT-5030166"/>
        <s v="OT-5030167"/>
        <s v="OT-5030168"/>
        <s v="OT-5030169"/>
        <s v="OT-5030191"/>
        <s v="OT-5030193"/>
        <s v="OT-5030214"/>
        <s v="OT-5030215"/>
        <s v="OT-5030216"/>
        <s v="OT-5030217"/>
        <s v="OT-5030219"/>
        <s v="OT-5030220"/>
        <s v="OT-5030221"/>
        <s v="OT-5030222"/>
        <s v="OT-5030223"/>
        <s v="OT-5030224"/>
        <s v="OT-5030229"/>
        <s v="OT-5030242"/>
        <s v="OT-5030244"/>
        <s v="OT-5030245"/>
        <s v="OT-5030246"/>
        <s v="OT-5030247"/>
        <s v="OT-5030248"/>
        <s v="OT-5030249"/>
        <s v="OT-5030258"/>
        <s v="OT-5030259"/>
        <s v="OT-5030260"/>
        <s v="OT-5030261"/>
        <s v="OT-5030262"/>
        <s v="OT-5030263"/>
        <s v="OT-5030264"/>
        <s v="OT-5030265"/>
        <s v="OT-5030266"/>
        <s v="OT-5030267"/>
        <s v="OT-5030274"/>
        <s v="OT-5030275"/>
        <s v="OT-5030276"/>
        <s v="OT-5030277"/>
        <s v="OT-5030278"/>
        <s v="OT-5030279"/>
        <s v="OT-5030280"/>
        <s v="OT-5030281"/>
        <s v="OT-5030282"/>
        <s v="OT-5030283"/>
        <s v="OT-5030285"/>
        <s v="OT-5030286"/>
        <s v="OT-5030289"/>
        <s v="OT-503029"/>
        <s v="OT-5030293"/>
        <s v="OT-503030"/>
        <s v="OT-503031"/>
        <s v="OT-503032"/>
        <s v="OT-503033"/>
        <s v="OT-5030353"/>
        <s v="OT-5030354"/>
        <s v="OT-5030355"/>
        <s v="OT-5030356"/>
        <s v="OT-5030389"/>
        <s v="OT-5030390"/>
        <s v="OT-5030391"/>
        <s v="OT-5030392"/>
        <s v="OT-5030394"/>
        <s v="OT-5030395"/>
        <s v="OT-5030396"/>
        <s v="OT-5030397"/>
        <s v="OT-5030398"/>
        <s v="OT-5030399"/>
        <s v="OT-5030400"/>
        <s v="OT-5030401"/>
        <s v="OT-5030417"/>
        <s v="OT-5030418"/>
        <s v="OT-5030419"/>
        <s v="OT-503042"/>
        <s v="OT-5030420"/>
        <s v="OT-5030423"/>
        <s v="OT-5030424"/>
        <s v="OT-5030425"/>
        <s v="OT-5030432"/>
        <s v="OT-503044"/>
        <s v="OT-5030443"/>
        <s v="OT-5030444"/>
        <s v="OT-5030445"/>
        <s v="OT-5030446"/>
        <s v="OT-5030447"/>
        <s v="OT-503063"/>
        <s v="OT-503064"/>
        <s v="OT-503065"/>
        <s v="OT-503066"/>
        <s v="OT-503067"/>
        <s v="OT-503068"/>
        <s v="OT-503079"/>
        <s v="OT-503081"/>
        <s v="OT-503082"/>
        <s v="OT-503083"/>
        <s v="OT-503084"/>
        <s v="OT-503093"/>
        <s v="OT-503094"/>
        <s v="OT-503095"/>
        <s v="OT-503096"/>
        <s v="OT-5031101"/>
        <s v="OT-5031195"/>
        <s v="OT-5031239"/>
        <s v="OT-5031243"/>
        <s v="OT-5031344"/>
        <s v="OT-5040113"/>
        <s v="OT-5040114"/>
        <s v="OT-5040115"/>
        <s v="OT-5040116"/>
        <s v="OT-5040118"/>
        <s v="OT-5040119"/>
        <s v="OT-504012"/>
        <s v="OT-5040120"/>
        <s v="OT-5040125"/>
        <s v="OT-5040126"/>
        <s v="OT-5040127"/>
        <s v="OT-5040128"/>
        <s v="OT-504013"/>
        <s v="OT-5040133"/>
        <s v="OT-5040136"/>
        <s v="OT-5040137"/>
        <s v="OT-504014"/>
        <s v="OT-5040144"/>
        <s v="OT-5040146"/>
        <s v="OT-5040147"/>
        <s v="OT-504015"/>
        <s v="OT-5040171"/>
        <s v="OT-5040172"/>
        <s v="OT-5040173"/>
        <s v="OT-5040174"/>
        <s v="OT-5040175"/>
        <s v="OT-5040176"/>
        <s v="OT-5040190"/>
        <s v="OT-5040191"/>
        <s v="OT-5040192"/>
        <s v="OT-5040193"/>
        <s v="OT-5040194"/>
        <s v="OT-5040195"/>
        <s v="OT-5040196"/>
        <s v="OT-5040198"/>
        <s v="OT-5040199"/>
        <s v="OT-5040200"/>
        <s v="OT-5040201"/>
        <s v="OT-5040220"/>
        <s v="OT-5040221"/>
        <s v="OT-5040222"/>
        <s v="OT-5040223"/>
        <s v="OT-5040224"/>
        <s v="OT-5040226"/>
        <s v="OT-5040238"/>
        <s v="OT-5040242"/>
        <s v="OT-5040245"/>
        <s v="OT-5040246"/>
        <s v="OT-5040247"/>
        <s v="OT-5040248"/>
        <s v="OT-5040249"/>
        <s v="OT-5040250"/>
        <s v="OT-5040265"/>
        <s v="OT-5040266"/>
        <s v="OT-5040267"/>
        <s v="OT-5040268"/>
        <s v="OT-5040269"/>
        <s v="OT-5040270"/>
        <s v="OT-5040271"/>
        <s v="OT-5040272"/>
        <s v="OT-5040302"/>
        <s v="OT-5040303"/>
        <s v="OT-5040304"/>
        <s v="OT-5040305"/>
        <s v="OT-5040306"/>
        <s v="OT-5040308"/>
        <s v="OT-5040329"/>
        <s v="OT-5040370"/>
        <s v="OT-5040374"/>
        <s v="OT-5040375"/>
        <s v="OT-5040376"/>
        <s v="OT-5040377"/>
        <s v="OT-5040378"/>
        <s v="OT-5040379"/>
        <s v="OT-504038"/>
        <s v="OT-5040380"/>
        <s v="OT-5040381"/>
        <s v="OT-5040382"/>
        <s v="OT-5040383"/>
        <s v="OT-5040384"/>
        <s v="OT-5040385"/>
        <s v="OT-504039"/>
        <s v="OT-504040"/>
        <s v="OT-504041"/>
        <s v="OT-504048"/>
        <s v="OT-504049"/>
        <s v="OT-504050"/>
        <s v="OT-504051"/>
        <s v="OT-504052"/>
        <s v="OT-504065"/>
        <s v="OT-504075"/>
        <s v="OT-504076"/>
        <s v="OT-504077"/>
        <s v="OT-504085"/>
        <s v="OT-504088"/>
        <s v="OT-504089"/>
        <s v="OT-504090"/>
        <s v="OT-5041181"/>
        <s v="OT-5041212"/>
        <s v="OT-5041264"/>
        <s v="OT-5041272"/>
        <s v="OT-5041308"/>
        <s v="OT-5041328"/>
        <s v="OT-5041358"/>
        <s v="OT-5050104"/>
        <s v="OT-5050110"/>
        <s v="OT-5050111"/>
        <s v="OT-5050112"/>
        <s v="OT-5050113"/>
        <s v="OT-5050119"/>
        <s v="OT-505013"/>
        <s v="OT-5050130"/>
        <s v="OT-5050131"/>
        <s v="OT-5050132"/>
        <s v="OT-5050133"/>
        <s v="OT-5050134"/>
        <s v="OT-505014"/>
        <s v="OT-505015"/>
        <s v="OT-5050158"/>
        <s v="OT-5050159"/>
        <s v="OT-505016"/>
        <s v="OT-5050160"/>
        <s v="OT-5050161"/>
        <s v="OT-5050162"/>
        <s v="OT-5050163"/>
        <s v="OT-5050169"/>
        <s v="OT-505017"/>
        <s v="OT-5050176"/>
        <s v="OT-5050177"/>
        <s v="OT-5050178"/>
        <s v="OT-5050180"/>
        <s v="OT-5050181"/>
        <s v="OT-5050182"/>
        <s v="OT-5050183"/>
        <s v="OT-5050184"/>
        <s v="OT-5050192"/>
        <s v="OT-5050193"/>
        <s v="OT-5050194"/>
        <s v="OT-5050195"/>
        <s v="OT-5050197"/>
        <s v="OT-5050214"/>
        <s v="OT-5050215"/>
        <s v="OT-5050216"/>
        <s v="OT-5050217"/>
        <s v="OT-5050218"/>
        <s v="OT-5050219"/>
        <s v="OT-5050220"/>
        <s v="OT-5050221"/>
        <s v="OT-5050225"/>
        <s v="OT-5050263"/>
        <s v="OT-5050264"/>
        <s v="OT-5050265"/>
        <s v="OT-5050266"/>
        <s v="OT-5050273"/>
        <s v="OT-5050274"/>
        <s v="OT-5050276"/>
        <s v="OT-5050277"/>
        <s v="OT-5050278"/>
        <s v="OT-5050279"/>
        <s v="OT-5050280"/>
        <s v="OT-5050281"/>
        <s v="OT-5050282"/>
        <s v="OT-5050288"/>
        <s v="OT-5050309"/>
        <s v="OT-5050310"/>
        <s v="OT-5050311"/>
        <s v="OT-5050312"/>
        <s v="OT-5050313"/>
        <s v="OT-5050314"/>
        <s v="OT-5050315"/>
        <s v="OT-5050316"/>
        <s v="OT-5050317"/>
        <s v="OT-5050318"/>
        <s v="OT-5050340"/>
        <s v="OT-5050341"/>
        <s v="OT-5050342"/>
        <s v="OT-5050343"/>
        <s v="OT-5050344"/>
        <s v="OT-5050345"/>
        <s v="OT-5050346"/>
        <s v="OT-5050347"/>
        <s v="OT-5050348"/>
        <s v="OT-5050349"/>
        <s v="OT-5050351"/>
        <s v="OT-5050352"/>
        <s v="OT-5050353"/>
        <s v="OT-5050354"/>
        <s v="OT-5050377"/>
        <s v="OT-5050378"/>
        <s v="OT-5050382"/>
        <s v="OT-5050393"/>
        <s v="OT-5050394"/>
        <s v="OT-5050395"/>
        <s v="OT-5050396"/>
        <s v="OT-5050397"/>
        <s v="OT-5050398"/>
        <s v="OT-5050399"/>
        <s v="OT-5050400"/>
        <s v="OT-5050403"/>
        <s v="OT-5050404"/>
        <s v="OT-5050410"/>
        <s v="OT-5050427"/>
        <s v="OT-5050441"/>
        <s v="OT-5050442"/>
        <s v="OT-5050443"/>
        <s v="OT-5050444"/>
        <s v="OT-5050445"/>
        <s v="OT-5050446"/>
        <s v="OT-5050462"/>
        <s v="OT-5050463"/>
        <s v="OT-5050464"/>
        <s v="OT-5050465"/>
        <s v="OT-5050466"/>
        <s v="OT-5050467"/>
        <s v="OT-5050468"/>
        <s v="OT-5050475"/>
        <s v="OT-5050484"/>
        <s v="OT-5050485"/>
        <s v="OT-5050486"/>
        <s v="OT-5050487"/>
        <s v="OT-5050488"/>
        <s v="OT-5050489"/>
        <s v="OT-5050490"/>
        <s v="OT-5050512"/>
        <s v="OT-5050513"/>
        <s v="OT-5050515"/>
        <s v="OT-5050516"/>
        <s v="OT-5050518"/>
        <s v="OT-5050519"/>
        <s v="OT-5050520"/>
        <s v="OT-5050526"/>
        <s v="OT-5050527"/>
        <s v="OT-5050528"/>
        <s v="OT-5050529"/>
        <s v="OT-5050530"/>
        <s v="OT-505063"/>
        <s v="OT-505064"/>
        <s v="OT-505065"/>
        <s v="OT-505066"/>
        <s v="OT-505067"/>
        <s v="OT-505074"/>
        <s v="OT-5051134"/>
        <s v="OT-505114"/>
        <s v="OT-505116"/>
        <s v="OT-505167"/>
        <s v="OT-505187"/>
        <s v="OT-50601"/>
        <s v="OT-5060118"/>
        <s v="OT-5060123"/>
        <s v="OT-5060124"/>
        <s v="OT-5060125"/>
        <s v="OT-5060126"/>
        <s v="OT-5060127"/>
        <s v="OT-5060128"/>
        <s v="OT-5060132"/>
        <s v="OT-5060137"/>
        <s v="OT-5060138"/>
        <s v="OT-5060139"/>
        <s v="OT-5060140"/>
        <s v="OT-5060159"/>
        <s v="OT-5060160"/>
        <s v="OT-5060161"/>
        <s v="OT-5060162"/>
        <s v="OT-5060182"/>
        <s v="OT-5060183"/>
        <s v="OT-50602"/>
        <s v="OT-5060201"/>
        <s v="OT-5060202"/>
        <s v="OT-5060211"/>
        <s v="OT-5060212"/>
        <s v="OT-5060220"/>
        <s v="OT-5060222"/>
        <s v="OT-5060223"/>
        <s v="OT-5060269"/>
        <s v="OT-5060275"/>
        <s v="OT-5060276"/>
        <s v="OT-5060296"/>
        <s v="OT-5060297"/>
        <s v="OT-50603"/>
        <s v="OT-506031"/>
        <s v="OT-506032"/>
        <s v="OT-506033"/>
        <s v="OT-506034"/>
        <s v="OT-50604"/>
        <s v="OT-50605"/>
        <s v="OT-506066"/>
        <s v="OT-506067"/>
        <s v="OT-506068"/>
        <s v="OT-506069"/>
        <s v="OT-506070"/>
        <s v="OT-506071"/>
        <s v="OT-506072"/>
        <s v="OT-50608"/>
        <s v="OT-506082"/>
        <s v="OT-506083"/>
        <s v="OT-506084"/>
        <s v="OT-50609"/>
        <s v="OT-506114"/>
        <s v="OT-506115"/>
        <s v="OT-5061196"/>
        <s v="OT-5061239"/>
        <s v="OT-5061240"/>
        <s v="OT-5061241"/>
        <s v="OT-506151"/>
        <s v="OT-5070106"/>
        <s v="OT-5070120"/>
        <s v="OT-5070121"/>
        <s v="OT-5070122"/>
        <s v="OT-5070123"/>
        <s v="OT-5070131"/>
        <s v="OT-5070169"/>
        <s v="OT-5070170"/>
        <s v="OT-5070171"/>
        <s v="OT-5070172"/>
        <s v="OT-5070175"/>
        <s v="OT-5070180"/>
        <s v="OT-5070183"/>
        <s v="OT-5070184"/>
        <s v="OT-5070185"/>
        <s v="OT-5070189"/>
        <s v="OT-5070194"/>
        <s v="OT-507020"/>
        <s v="OT-5070204"/>
        <s v="OT-5070209"/>
        <s v="OT-507021"/>
        <s v="OT-5070210"/>
        <s v="OT-5070211"/>
        <s v="OT-5070212"/>
        <s v="OT-507022"/>
        <s v="OT-5070223"/>
        <s v="OT-5070224"/>
        <s v="OT-5070225"/>
        <s v="OT-5070226"/>
        <s v="OT-507023"/>
        <s v="OT-5070231"/>
        <s v="OT-5070232"/>
        <s v="OT-507024"/>
        <s v="OT-5070248"/>
        <s v="OT-5070339"/>
        <s v="OT-5070359"/>
        <s v="OT-507037"/>
        <s v="OT-507038"/>
        <s v="OT-507039"/>
        <s v="OT-5070391"/>
        <s v="OT-5070392"/>
        <s v="OT-5070394"/>
        <s v="OT-5070395"/>
        <s v="OT-5070396"/>
        <s v="OT-507040"/>
        <s v="OT-507041"/>
        <s v="OT-507042"/>
        <s v="OT-507043"/>
        <s v="OT-507053"/>
        <s v="OT-507054"/>
        <s v="OT-507055"/>
        <s v="OT-507056"/>
        <s v="OT-507057"/>
        <s v="OT-507059"/>
        <s v="OT-507060"/>
        <s v="OT-507062"/>
        <s v="OT-507063"/>
        <s v="OT-507064"/>
        <s v="OT-507065"/>
        <s v="OT-507066"/>
        <s v="OT-507080"/>
        <s v="OT-507119"/>
        <s v="OT-5071287"/>
        <s v="OT-507157"/>
        <s v="OT-5080113"/>
        <s v="OT-5080114"/>
        <s v="OT-5080115"/>
        <s v="OT-5080116"/>
        <s v="OT-5080129"/>
        <s v="OT-5080139"/>
        <s v="OT-5080140"/>
        <s v="OT-5080141"/>
        <s v="OT-5080142"/>
        <s v="OT-5080143"/>
        <s v="OT-5080159"/>
        <s v="OT-5080160"/>
        <s v="OT-5080161"/>
        <s v="OT-5080175"/>
        <s v="OT-5080177"/>
        <s v="OT-5080178"/>
        <s v="OT-5080179"/>
        <s v="OT-508018"/>
        <s v="OT-5080180"/>
        <s v="OT-5080181"/>
        <s v="OT-508019"/>
        <s v="OT-5080198"/>
        <s v="OT-5080199"/>
        <s v="OT-508020"/>
        <s v="OT-5080213"/>
        <s v="OT-5080214"/>
        <s v="OT-5080228"/>
        <s v="OT-5080229"/>
        <s v="OT-508023"/>
        <s v="OT-5080230"/>
        <s v="OT-5080231"/>
        <s v="OT-5080232"/>
        <s v="OT-508024"/>
        <s v="OT-5080246"/>
        <s v="OT-5080247"/>
        <s v="OT-5080248"/>
        <s v="OT-508025"/>
        <s v="OT-5080256"/>
        <s v="OT-5080257"/>
        <s v="OT-508026"/>
        <s v="OT-508027"/>
        <s v="OT-5080270"/>
        <s v="OT-5080274"/>
        <s v="OT-508028"/>
        <s v="OT-508029"/>
        <s v="OT-508030"/>
        <s v="OT-5080300"/>
        <s v="OT-5080324"/>
        <s v="OT-5080378"/>
        <s v="OT-5080379"/>
        <s v="OT-5080380"/>
        <s v="OT-5080382"/>
        <s v="OT-5080390"/>
        <s v="OT-5080391"/>
        <s v="OT-5080392"/>
        <s v="OT-5080417"/>
        <s v="OT-5080424"/>
        <s v="OT-5080425"/>
        <s v="OT-5080426"/>
        <s v="OT-5080427"/>
        <s v="OT-5080428"/>
        <s v="OT-5080429"/>
        <s v="OT-5080430"/>
        <s v="OT-5080431"/>
        <s v="OT-5080451"/>
        <s v="OT-5080452"/>
        <s v="OT-5080453"/>
        <s v="OT-5080454"/>
        <s v="OT-5080455"/>
        <s v="OT-5080456"/>
        <s v="OT-5080457"/>
        <s v="OT-5080488"/>
        <s v="OT-5080489"/>
        <s v="OT-5080490"/>
        <s v="OT-5080504"/>
        <s v="OT-5080505"/>
        <s v="OT-5080506"/>
        <s v="OT-5080538"/>
        <s v="OT-5080539"/>
        <s v="OT-5080540"/>
        <s v="OT-5080578"/>
        <s v="OT-5080579"/>
        <s v="OT-508058"/>
        <s v="OT-5080580"/>
        <s v="OT-508061"/>
        <s v="OT-508062"/>
        <s v="OT-5080638"/>
        <s v="OT-5080639"/>
        <s v="OT-5080640"/>
        <s v="OT-5080641"/>
        <s v="OT-5080642"/>
        <s v="OT-5080643"/>
        <s v="OT-5080644"/>
        <s v="OT-5080645"/>
        <s v="OT-5080646"/>
        <s v="OT-5080647"/>
        <s v="OT-5080657"/>
        <s v="OT-5080658"/>
        <s v="OT-508066"/>
        <s v="OT-5080660"/>
        <s v="OT-5080661"/>
        <s v="OT-5080668"/>
        <s v="OT-5080669"/>
        <s v="OT-5080670"/>
        <s v="OT-5080671"/>
        <s v="OT-5080672"/>
        <s v="OT-508073"/>
        <s v="OT-508074"/>
        <s v="OT-508075"/>
        <s v="OT-5081122"/>
        <s v="OT-5081192"/>
        <s v="OT-5081254"/>
        <s v="OT-5081256"/>
        <s v="OT-508159"/>
        <s v="OT-5090123"/>
        <s v="OT-5090124"/>
        <s v="OT-5090125"/>
        <s v="OT-5090126"/>
        <s v="OT-5090127"/>
        <s v="OT-5090133"/>
        <s v="OT-5090134"/>
        <s v="OT-5090175"/>
        <s v="OT-5090176"/>
        <s v="OT-5090177"/>
        <s v="OT-5090188"/>
        <s v="OT-5090189"/>
        <s v="OT-5090190"/>
        <s v="OT-5090220"/>
        <s v="OT-5090221"/>
        <s v="OT-5090222"/>
        <s v="OT-5090223"/>
        <s v="OT-5090224"/>
        <s v="OT-5090225"/>
        <s v="OT-5090226"/>
        <s v="OT-5090227"/>
        <s v="OT-5090228"/>
        <s v="OT-5090244"/>
        <s v="OT-5090245"/>
        <s v="OT-5090246"/>
        <s v="OT-5090247"/>
        <s v="OT-5090248"/>
        <s v="OT-5090255"/>
        <s v="OT-5090256"/>
        <s v="OT-5090257"/>
        <s v="OT-5090264"/>
        <s v="OT-5090265"/>
        <s v="OT-5090284"/>
        <s v="OT-5090285"/>
        <s v="OT-5090286"/>
        <s v="OT-5090294"/>
        <s v="OT-5090295"/>
        <s v="OT-5090296"/>
        <s v="OT-5090297"/>
        <s v="OT-5090307"/>
        <s v="OT-5090308"/>
        <s v="OT-5090309"/>
        <s v="OT-5090310"/>
        <s v="OT-5090320"/>
        <s v="OT-5090333"/>
        <s v="OT-5090334"/>
        <s v="OT-5090335"/>
        <s v="OT-5090336"/>
        <s v="OT-5091179"/>
        <s v="OT-5091216"/>
        <s v="OT-5091301"/>
        <s v="OT-5100302"/>
        <s v="OT-5100363"/>
        <s v="OT-5100416"/>
        <s v="OT-5100518"/>
        <s v="OT-510073"/>
        <s v="OT-5101128"/>
        <s v="OT-510125"/>
        <s v="OT-5101326"/>
        <s v="OT-510190"/>
        <s v="OT-5110112"/>
        <s v="OT-5110113"/>
        <s v="OT-5110114"/>
        <s v="OT-5110115"/>
        <s v="OT-5110116"/>
        <s v="OT-5110129"/>
        <s v="OT-5110130"/>
        <s v="OT-5110131"/>
        <s v="OT-5110132"/>
        <s v="OT-5110133"/>
        <s v="OT-5110150"/>
        <s v="OT-5110151"/>
        <s v="OT-5110161"/>
        <s v="OT-5110175"/>
        <s v="OT-5110176"/>
        <s v="OT-5110177"/>
        <s v="OT-5110178"/>
        <s v="OT-5110179"/>
        <s v="OT-5110180"/>
        <s v="OT-5110181"/>
        <s v="OT-5110202"/>
        <s v="OT-5110203"/>
        <s v="OT-5110204"/>
        <s v="OT-5110238"/>
        <s v="OT-5110239"/>
        <s v="OT-5110261"/>
        <s v="OT-5110262"/>
        <s v="OT-5110266"/>
        <s v="OT-5110267"/>
        <s v="OT-5110268"/>
        <s v="OT-5110269"/>
        <s v="OT-5110270"/>
        <s v="OT-5110271"/>
        <s v="OT-5110272"/>
        <s v="OT-5110276"/>
        <s v="OT-5110278"/>
        <s v="OT-5110281"/>
        <s v="OT-5110296"/>
        <s v="OT-511030"/>
        <s v="OT-5110332"/>
        <s v="OT-5110333"/>
        <s v="OT-5110334"/>
        <s v="OT-5110335"/>
        <s v="OT-5110336"/>
        <s v="OT-5110368"/>
        <s v="OT-5110369"/>
        <s v="OT-5110370"/>
        <s v="OT-5110371"/>
        <s v="OT-5110372"/>
        <s v="OT-5110373"/>
        <s v="OT-5110374"/>
        <s v="OT-5110375"/>
        <s v="OT-5110398"/>
        <s v="OT-5110456"/>
        <s v="OT-5110458"/>
        <s v="OT-5110459"/>
        <s v="OT-5110465"/>
        <s v="OT-5110476"/>
        <s v="OT-5110477"/>
        <s v="OT-5110478"/>
        <s v="OT-5110479"/>
        <s v="OT-5110497"/>
        <s v="OT-5110498"/>
        <s v="OT-5110499"/>
        <s v="OT-511051"/>
        <s v="OT-5110526"/>
        <s v="OT-5110527"/>
        <s v="OT-5110528"/>
        <s v="OT-5110538"/>
        <s v="OT-5110539"/>
        <s v="OT-5110540"/>
        <s v="OT-511069"/>
        <s v="OT-511070"/>
        <s v="OT-511072"/>
        <s v="OT-511073"/>
        <s v="OT-511081"/>
        <s v="OT-5111110"/>
        <s v="OT-5111127"/>
        <s v="OT-5111151"/>
        <s v="OT-5111200"/>
        <s v="OT-5111201"/>
        <s v="OT-5111211"/>
        <s v="OT-5111223"/>
        <s v="OT-5111273"/>
        <s v="OT-5111275"/>
        <s v="OT-511157"/>
        <s v="OT-511179"/>
        <s v="OT-51201"/>
        <s v="OT-5120101"/>
        <s v="OT-5120102"/>
        <s v="OT-5120103"/>
        <s v="OT-5120104"/>
        <s v="OT-5120108"/>
        <s v="OT-5120109"/>
        <s v="OT-5120110"/>
        <s v="OT-5120111"/>
        <s v="OT-5120112"/>
        <s v="OT-5120113"/>
        <s v="OT-5120114"/>
        <s v="OT-5120115"/>
        <s v="OT-5120116"/>
        <s v="OT-5120117"/>
        <s v="OT-5120118"/>
        <s v="OT-5120131"/>
        <s v="OT-5120139"/>
        <s v="OT-5120140"/>
        <s v="OT-5120141"/>
        <s v="OT-5120142"/>
        <s v="OT-5120143"/>
        <s v="OT-5120147"/>
        <s v="OT-5120148"/>
        <s v="OT-5120149"/>
        <s v="OT-5120154"/>
        <s v="OT-5120167"/>
        <s v="OT-5120184"/>
        <s v="OT-5120185"/>
        <s v="OT-5120186"/>
        <s v="OT-5120187"/>
        <s v="OT-5120188"/>
        <s v="OT-5120191"/>
        <s v="OT-5120204"/>
        <s v="OT-5120205"/>
        <s v="OT-5120207"/>
        <s v="OT-5120225"/>
        <s v="OT-5120226"/>
        <s v="OT-5120227"/>
        <s v="OT-5120228"/>
        <s v="OT-5120229"/>
        <s v="OT-5120253"/>
        <s v="OT-5120254"/>
        <s v="OT-5120255"/>
        <s v="OT-5120256"/>
        <s v="OT-5120257"/>
        <s v="OT-5120258"/>
        <s v="OT-5120282"/>
        <s v="OT-5120283"/>
        <s v="OT-5120289"/>
        <s v="OT-5120310"/>
        <s v="OT-5120311"/>
        <s v="OT-5120312"/>
        <s v="OT-5120345"/>
        <s v="OT-5120346"/>
        <s v="OT-512037"/>
        <s v="OT-5120380"/>
        <s v="OT-5120381"/>
        <s v="OT-5120382"/>
        <s v="OT-5120383"/>
        <s v="OT-5120384"/>
        <s v="OT-5120385"/>
        <s v="OT-5120386"/>
        <s v="OT-5120387"/>
        <s v="OT-5120388"/>
        <s v="OT-5120389"/>
        <s v="OT-5120403"/>
        <s v="OT-5120432"/>
        <s v="OT-5120433"/>
        <s v="OT-5120434"/>
        <s v="OT-5120435"/>
        <s v="OT-5120436"/>
        <s v="OT-5120437"/>
        <s v="OT-512045"/>
        <s v="OT-5120464"/>
        <s v="OT-5120502"/>
        <s v="OT-5120514"/>
        <s v="OT-5120545"/>
        <s v="OT-5120546"/>
        <s v="OT-5120547"/>
        <s v="OT-512066"/>
        <s v="OT-512067"/>
        <s v="OT-512080"/>
        <s v="OT-5121100"/>
        <s v="OT-5121132"/>
        <s v="OT-5121146"/>
        <s v="OT-5121158"/>
        <s v="OT-5121189"/>
        <s v="OT-5121194"/>
        <s v="OT-5121195"/>
        <s v="OT-5121220"/>
        <s v="OT-5121221"/>
        <s v="OT-512154"/>
        <s v="OT-512159"/>
        <s v="OT-512162"/>
        <s v="OT-512185"/>
        <s v="OT-512198"/>
        <s v="OT-512199"/>
        <s v="OT-601018"/>
        <s v="OT-601019"/>
        <s v="OT-60105"/>
        <s v="OT-60106"/>
        <s v="OT-60107"/>
        <s v="OT-60111"/>
        <s v="OT-60112"/>
        <s v="OT-601145"/>
        <s v="OT-601146"/>
      </sharedItems>
    </cacheField>
    <cacheField name="Anio_ot" numFmtId="0">
      <sharedItems containsSemiMixedTypes="0" containsString="0" containsNumber="1" containsInteger="1" minValue="2024" maxValue="2026" count="3">
        <n v="2025"/>
        <n v="2026"/>
        <n v="2024"/>
      </sharedItems>
    </cacheField>
    <cacheField name="Mes_ot" numFmtId="0">
      <sharedItems containsSemiMixedTypes="0" containsString="0" containsNumber="1" containsInteger="1" minValue="1" maxValue="12"/>
    </cacheField>
    <cacheField name="Fecha_solicitud_cte" numFmtId="164">
      <sharedItems containsSemiMixedTypes="0" containsNonDate="0" containsDate="1" containsString="0" minDate="2024-10-05T00:00:00" maxDate="2026-01-06T00:00:00"/>
    </cacheField>
    <cacheField name="Fecha_salida_planta" numFmtId="164">
      <sharedItems containsSemiMixedTypes="0" containsNonDate="0" containsDate="1" containsString="0" minDate="2023-09-16T00:00:00" maxDate="2026-01-06T00:00:00"/>
    </cacheField>
    <cacheField name="Fecha_confirmacion" numFmtId="164">
      <sharedItems containsSemiMixedTypes="0" containsNonDate="0" containsDate="1" containsString="0" minDate="2025-01-04T00:00:00" maxDate="2026-01-07T00:00:00"/>
    </cacheField>
    <cacheField name="Fecha_traslado" numFmtId="164">
      <sharedItems containsSemiMixedTypes="0" containsNonDate="0" containsDate="1" containsString="0" minDate="2025-01-02T00:00:00" maxDate="2026-01-06T00:00:00"/>
    </cacheField>
    <cacheField name="Fecha_entrega" numFmtId="0">
      <sharedItems containsNonDate="0" containsDate="1" containsString="0" containsBlank="1" minDate="2025-01-04T00:00:00" maxDate="2026-01-07T00:00:00"/>
    </cacheField>
    <cacheField name="ID_matricula" numFmtId="0">
      <sharedItems containsSemiMixedTypes="0" containsString="0" containsNumber="1" containsInteger="1" minValue="216" maxValue="2423"/>
    </cacheField>
    <cacheField name="No_chasis" numFmtId="0">
      <sharedItems/>
    </cacheField>
    <cacheField name="Modelo" numFmtId="0">
      <sharedItems/>
    </cacheField>
    <cacheField name="Km_reales" numFmtId="0">
      <sharedItems containsSemiMixedTypes="0" containsString="0" containsNumber="1" containsInteger="1" minValue="0" maxValue="2544"/>
    </cacheField>
    <cacheField name="Km_de_pago" numFmtId="0">
      <sharedItems containsSemiMixedTypes="0" containsString="0" containsNumber="1" containsInteger="1" minValue="0" maxValue="1272"/>
    </cacheField>
    <cacheField name="No_placa" numFmtId="0">
      <sharedItems/>
    </cacheField>
    <cacheField name="ID_clsueldo" numFmtId="0">
      <sharedItems containsSemiMixedTypes="0" containsString="0" containsNumber="1" containsInteger="1" minValue="1" maxValue="2"/>
    </cacheField>
    <cacheField name="Km_oficiales" numFmtId="0">
      <sharedItems containsSemiMixedTypes="0" containsString="0" containsNumber="1" containsInteger="1" minValue="0" maxValue="2528"/>
    </cacheField>
    <cacheField name="Traslado_local" numFmtId="0">
      <sharedItems/>
    </cacheField>
    <cacheField name="Traslado_cancelado" numFmtId="0">
      <sharedItems/>
    </cacheField>
    <cacheField name="Traslado_en_falso" numFmtId="0">
      <sharedItems/>
    </cacheField>
    <cacheField name="Sueldo" numFmtId="0">
      <sharedItems containsSemiMixedTypes="0" containsString="0" containsNumber="1" minValue="0" maxValue="2390"/>
    </cacheField>
    <cacheField name="Costo_por_km" numFmtId="0">
      <sharedItems containsSemiMixedTypes="0" containsString="0" containsNumber="1" minValue="0" maxValue="15.7"/>
    </cacheField>
    <cacheField name="Observaciones" numFmtId="0">
      <sharedItems/>
    </cacheField>
    <cacheField name="Instrucciones_operador" numFmtId="0">
      <sharedItems/>
    </cacheField>
    <cacheField name="Km_tabulados" numFmtId="0">
      <sharedItems containsSemiMixedTypes="0" containsString="0" containsNumber="1" containsInteger="1" minValue="0" maxValue="1300"/>
    </cacheField>
    <cacheField name="Id_tipo_ruta" numFmtId="0">
      <sharedItems containsSemiMixedTypes="0" containsString="0" containsNumber="1" containsInteger="1" minValue="3" maxValue="4993"/>
    </cacheField>
    <cacheField name="ID_usuario" numFmtId="0">
      <sharedItems count="21">
        <s v="WendyV"/>
        <s v="Ariadna"/>
        <s v="Tonantzin"/>
        <s v="AbrahamV"/>
        <s v="MiguelR"/>
        <s v="MarianaNV"/>
        <s v="MiguelO"/>
        <s v="Arturo"/>
        <s v="GonzaloHP"/>
        <s v="AndresM"/>
        <s v="AlbertoVD"/>
        <s v="NallelySosa"/>
        <s v="FernandoG"/>
        <s v="Lucy"/>
        <s v="JesusRamos"/>
        <s v="RicardoB"/>
        <s v="Ever"/>
        <s v="BrendaRM"/>
        <s v="Airamyllen"/>
        <s v="TaniaTC"/>
        <s v="PazD"/>
      </sharedItems>
    </cacheField>
    <cacheField name="Tipo_Ruta" numFmtId="0">
      <sharedItems containsSemiMixedTypes="0" containsString="0" containsNumber="1" containsInteger="1" minValue="3" maxValue="4993"/>
    </cacheField>
    <cacheField name="Origen" numFmtId="0">
      <sharedItems/>
    </cacheField>
    <cacheField name="Destino" numFmtId="0">
      <sharedItems/>
    </cacheField>
    <cacheField name="Ruta" numFmtId="0">
      <sharedItems count="51">
        <s v="Escobedo → Escobedo"/>
        <s v="Guerrero → Veracruz"/>
        <s v="Cd Sahagún → Culiacan"/>
        <s v="Escobedo → Cd Sahagún"/>
        <s v="Escobedo → Gomez Palacio"/>
        <s v="Culiacan → Cd Sahagún"/>
        <s v="Escobedo → Allende"/>
        <s v="Escobedo → Monterrey"/>
        <s v="Escobedo → Anáhuac"/>
        <s v="Cd Sahagún → Guerrero"/>
        <s v="Escobedo → Matehuala"/>
        <s v="Guerrero → Campeche"/>
        <s v="Cuautitlan → Escobedo"/>
        <s v="Cuautitlan → Ecatepec"/>
        <s v="Escobedo → Altamira"/>
        <s v="Zapopan → Monterrey"/>
        <s v="Culiacan → Tlajomulco"/>
        <s v="Escobedo → Mazatlan"/>
        <s v="Cuautitlan → Papantla"/>
        <s v="Escobedo → Hidalgo"/>
        <s v="Escobedo → Queretaro"/>
        <s v="Cd Sahagún → Texcoco"/>
        <s v="Pachuca → Cd Sahagún"/>
        <s v="Cd Sahagún → Tula de Allende"/>
        <s v="Escobedo → Culiacan"/>
        <s v="Escobedo → Guadalupe"/>
        <s v="Cd Sahagún → Tequixquiac"/>
        <s v="Cd Sahagún → Morelia"/>
        <s v="Escobedo → Cienega de Flores"/>
        <s v="Escobedo → Santa Catarina"/>
        <s v="Cd Sahagún → Azcapotzalco"/>
        <s v="Escobedo → Tepotzotlan"/>
        <s v="Monterrey → Monterrey"/>
        <s v="Tlaquepaque → Tepic"/>
        <s v="Cd Sahagún → Cuautitlan"/>
        <s v="Escobedo → Cadereyta Jiménez"/>
        <s v="Escobedo → Apodaca"/>
        <s v="Gomez Palacio → Culiacan"/>
        <s v="Guerrero → Queretaro"/>
        <s v="Culiacan → Pachuca"/>
        <s v="Cd Sahagún → Tulancingo"/>
        <s v="Escobedo → Reynosa"/>
        <s v="Escobedo → Ecatepec"/>
        <s v="Cd Sahagún → Cd Hidalgo"/>
        <s v="San Luis Potosi → Aguascalientes"/>
        <s v="Cd Sahagún → Calpulalpan"/>
        <s v="Calpulalpan → Culiacan"/>
        <s v="Monterrey → Villahermosa"/>
        <s v="Guerrero → Soledad de Gracianos Sanchez"/>
        <s v="Escobedo → Soledad de Gracianos Sanchez"/>
        <s v="Queretaro → Cd Sahagún"/>
      </sharedItems>
    </cacheField>
    <cacheField name="Unidad" numFmtId="0">
      <sharedItems count="3">
        <s v="Sprinter 2"/>
        <s v="Bus Gris"/>
        <s v="Sprinter 1"/>
      </sharedItems>
    </cacheField>
    <cacheField name="Fecha" numFmtId="14">
      <sharedItems containsSemiMixedTypes="0" containsNonDate="0" containsDate="1" containsString="0" minDate="2024-12-01T00:00:00" maxDate="2026-01-02T00:00:00"/>
    </cacheField>
    <cacheField name="Mes traslado" numFmtId="0">
      <sharedItems count="14">
        <s v="2025 - 01-ENE"/>
        <s v="2025 - 09-SEP"/>
        <s v="2025 - 04-ABR"/>
        <s v="2025 - 05-MAY"/>
        <s v="2025 - 06-JUN"/>
        <s v="2025 - 07-JUL"/>
        <s v="2025 - 08-AGO"/>
        <s v="2025 - 11-NOV"/>
        <s v="2025 - 12-DIC"/>
        <s v="2026 - 01-ENE"/>
        <s v="2024 - 12-DIC"/>
        <s v="2025 - 02-FEB"/>
        <s v="2025 - 03-MAR"/>
        <s v="2025 - 10-OCT"/>
      </sharedItems>
    </cacheField>
    <cacheField name="Enganchado_porc" numFmtId="0">
      <sharedItems containsSemiMixedTypes="0" containsString="0" containsNumber="1" containsInteger="1" minValue="0" maxValue="178" count="4">
        <n v="178"/>
        <n v="60"/>
        <n v="20"/>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66">
  <r>
    <x v="0"/>
    <x v="0"/>
    <n v="1"/>
    <d v="2025-01-27T00:00:00"/>
    <d v="2025-01-27T00:00:00"/>
    <d v="2025-01-27T00:00:00"/>
    <d v="2025-01-27T00:00:00"/>
    <d v="2025-01-27T00:00:00"/>
    <n v="2050"/>
    <s v="626955"/>
    <s v="Sprinter"/>
    <n v="50"/>
    <n v="50"/>
    <s v="6551XC"/>
    <n v="1"/>
    <n v="150"/>
    <b v="1"/>
    <b v="0"/>
    <b v="0"/>
    <n v="600"/>
    <n v="0"/>
    <s v=""/>
    <s v=""/>
    <n v="50"/>
    <n v="359"/>
    <x v="0"/>
    <n v="359"/>
    <s v="Escobedo"/>
    <s v="Escobedo"/>
    <x v="0"/>
    <x v="0"/>
    <d v="2025-01-01T00:00:00"/>
    <x v="0"/>
    <x v="0"/>
  </r>
  <r>
    <x v="1"/>
    <x v="0"/>
    <n v="1"/>
    <d v="2025-01-27T00:00:00"/>
    <d v="2025-01-27T00:00:00"/>
    <d v="2025-01-27T00:00:00"/>
    <d v="2025-01-27T00:00:00"/>
    <d v="2025-01-27T00:00:00"/>
    <n v="2050"/>
    <s v="626955"/>
    <s v="Sprinter"/>
    <n v="50"/>
    <n v="50"/>
    <s v="6551XC"/>
    <n v="1"/>
    <n v="150"/>
    <b v="1"/>
    <b v="0"/>
    <b v="0"/>
    <n v="600"/>
    <n v="0"/>
    <s v=""/>
    <s v=""/>
    <n v="50"/>
    <n v="359"/>
    <x v="0"/>
    <n v="359"/>
    <s v="Escobedo"/>
    <s v="Escobedo"/>
    <x v="0"/>
    <x v="0"/>
    <d v="2025-01-01T00:00:00"/>
    <x v="0"/>
    <x v="0"/>
  </r>
  <r>
    <x v="2"/>
    <x v="0"/>
    <n v="9"/>
    <d v="2025-09-08T00:00:00"/>
    <d v="2025-09-08T00:00:00"/>
    <d v="2025-09-10T00:00:00"/>
    <d v="2025-09-09T00:00:00"/>
    <d v="2025-09-10T00:00:00"/>
    <n v="2244"/>
    <s v="775908"/>
    <s v="4700*175*195"/>
    <n v="1356"/>
    <n v="1008"/>
    <s v="3727XC"/>
    <n v="1"/>
    <n v="1008"/>
    <b v="1"/>
    <b v="0"/>
    <b v="0"/>
    <n v="2390"/>
    <n v="0"/>
    <s v=""/>
    <s v=""/>
    <n v="1100"/>
    <n v="4852"/>
    <x v="1"/>
    <n v="4852"/>
    <s v="Guerrero"/>
    <s v="Veracruz"/>
    <x v="1"/>
    <x v="1"/>
    <d v="2025-09-01T00:00:00"/>
    <x v="1"/>
    <x v="1"/>
  </r>
  <r>
    <x v="3"/>
    <x v="0"/>
    <n v="9"/>
    <d v="2025-09-02T00:00:00"/>
    <d v="2025-09-02T00:00:00"/>
    <d v="2025-09-04T00:00:00"/>
    <d v="2025-09-03T00:00:00"/>
    <d v="2025-09-04T00:00:00"/>
    <n v="2244"/>
    <s v="775908"/>
    <s v="4700*175*195"/>
    <n v="2016"/>
    <n v="1008"/>
    <s v="3727XC"/>
    <n v="1"/>
    <n v="1008"/>
    <b v="1"/>
    <b v="0"/>
    <b v="0"/>
    <n v="2390"/>
    <n v="0"/>
    <s v=""/>
    <s v=""/>
    <n v="1100"/>
    <n v="4852"/>
    <x v="1"/>
    <n v="4852"/>
    <s v="Guerrero"/>
    <s v="Veracruz"/>
    <x v="1"/>
    <x v="1"/>
    <d v="2025-09-01T00:00:00"/>
    <x v="1"/>
    <x v="1"/>
  </r>
  <r>
    <x v="4"/>
    <x v="0"/>
    <n v="9"/>
    <d v="2025-09-05T00:00:00"/>
    <d v="2025-09-05T00:00:00"/>
    <d v="2025-09-07T00:00:00"/>
    <d v="2025-09-06T00:00:00"/>
    <d v="2025-09-07T00:00:00"/>
    <n v="2244"/>
    <s v="775908"/>
    <s v="4700*175*195"/>
    <n v="2016"/>
    <n v="1008"/>
    <s v="3727XC"/>
    <n v="1"/>
    <n v="1008"/>
    <b v="1"/>
    <b v="0"/>
    <b v="0"/>
    <n v="2390"/>
    <n v="0"/>
    <s v=""/>
    <s v=""/>
    <n v="1100"/>
    <n v="4852"/>
    <x v="1"/>
    <n v="4852"/>
    <s v="Guerrero"/>
    <s v="Veracruz"/>
    <x v="1"/>
    <x v="1"/>
    <d v="2025-09-01T00:00:00"/>
    <x v="1"/>
    <x v="1"/>
  </r>
  <r>
    <x v="5"/>
    <x v="0"/>
    <n v="4"/>
    <d v="2025-04-30T00:00:00"/>
    <d v="2025-04-30T00:00:00"/>
    <d v="2025-05-03T00:00:00"/>
    <d v="2025-05-01T00:00:00"/>
    <d v="2025-05-02T00:00:00"/>
    <n v="2050"/>
    <s v="626955"/>
    <s v="Sprinter"/>
    <n v="2528"/>
    <n v="1264"/>
    <s v="6551XC"/>
    <n v="1"/>
    <n v="2528"/>
    <b v="1"/>
    <b v="0"/>
    <b v="0"/>
    <n v="2095.1999999999998"/>
    <n v="0"/>
    <s v=""/>
    <s v=""/>
    <n v="50"/>
    <n v="98"/>
    <x v="1"/>
    <n v="98"/>
    <s v="Cd Sahagún"/>
    <s v="Culiacan"/>
    <x v="2"/>
    <x v="0"/>
    <d v="2025-04-01T00:00:00"/>
    <x v="2"/>
    <x v="2"/>
  </r>
  <r>
    <x v="6"/>
    <x v="0"/>
    <n v="4"/>
    <d v="2025-04-04T00:00:00"/>
    <d v="2025-04-04T00:00:00"/>
    <d v="2025-04-07T00:00:00"/>
    <d v="2025-04-06T00:00:00"/>
    <d v="2025-04-07T00:00:00"/>
    <n v="2050"/>
    <s v="626955"/>
    <s v="Sprinter"/>
    <n v="1264"/>
    <n v="1264"/>
    <s v="6551XC"/>
    <n v="1"/>
    <n v="1264"/>
    <b v="1"/>
    <b v="0"/>
    <b v="0"/>
    <n v="2095"/>
    <n v="0"/>
    <s v=""/>
    <s v="FAVOR DE SALIR A LAS 16:00 HRS PUNTUAL Y LLEVAR A SUS COMPAÑEROS AL DESTINO INDICADO."/>
    <n v="1300"/>
    <n v="98"/>
    <x v="2"/>
    <n v="98"/>
    <s v="Cd Sahagún"/>
    <s v="Culiacan"/>
    <x v="2"/>
    <x v="0"/>
    <d v="2025-04-01T00:00:00"/>
    <x v="2"/>
    <x v="2"/>
  </r>
  <r>
    <x v="7"/>
    <x v="0"/>
    <n v="5"/>
    <d v="2025-05-12T00:00:00"/>
    <d v="2025-05-12T00:00:00"/>
    <d v="2025-05-12T00:00:00"/>
    <d v="2025-05-12T00:00:00"/>
    <d v="2025-05-13T00:00:00"/>
    <n v="2050"/>
    <s v="626955"/>
    <s v="Sprinter"/>
    <n v="961"/>
    <n v="1059"/>
    <s v="6551XC"/>
    <n v="1"/>
    <n v="964"/>
    <b v="1"/>
    <b v="0"/>
    <b v="0"/>
    <n v="1793"/>
    <n v="0"/>
    <s v=""/>
    <s v=""/>
    <n v="1100"/>
    <n v="8"/>
    <x v="3"/>
    <n v="8"/>
    <s v="Escobedo"/>
    <s v="Cd Sahagún"/>
    <x v="3"/>
    <x v="0"/>
    <d v="2025-05-01T00:00:00"/>
    <x v="3"/>
    <x v="2"/>
  </r>
  <r>
    <x v="8"/>
    <x v="0"/>
    <n v="5"/>
    <d v="2025-05-14T00:00:00"/>
    <d v="2025-05-14T00:00:00"/>
    <d v="2025-05-15T00:00:00"/>
    <d v="2025-05-14T00:00:00"/>
    <d v="2025-05-15T00:00:00"/>
    <n v="2050"/>
    <s v="626955"/>
    <s v="Sprinter"/>
    <n v="961"/>
    <n v="1059"/>
    <s v="6551XC"/>
    <n v="1"/>
    <n v="964"/>
    <b v="1"/>
    <b v="0"/>
    <b v="0"/>
    <n v="1793"/>
    <n v="0"/>
    <s v=""/>
    <s v=""/>
    <n v="1100"/>
    <n v="229"/>
    <x v="4"/>
    <n v="229"/>
    <s v="Escobedo"/>
    <s v="Escobedo"/>
    <x v="0"/>
    <x v="0"/>
    <d v="2025-05-01T00:00:00"/>
    <x v="3"/>
    <x v="2"/>
  </r>
  <r>
    <x v="9"/>
    <x v="0"/>
    <n v="5"/>
    <d v="2025-05-27T00:00:00"/>
    <d v="2025-05-27T00:00:00"/>
    <d v="2025-05-27T00:00:00"/>
    <d v="2025-05-27T00:00:00"/>
    <m/>
    <n v="2050"/>
    <s v="626955"/>
    <s v="Sprinter"/>
    <n v="1052"/>
    <n v="1076"/>
    <s v="6551XC"/>
    <n v="1"/>
    <n v="1076"/>
    <b v="1"/>
    <b v="1"/>
    <b v="0"/>
    <n v="1793"/>
    <n v="0"/>
    <s v=""/>
    <s v=""/>
    <n v="1100"/>
    <n v="229"/>
    <x v="3"/>
    <n v="229"/>
    <s v="Escobedo"/>
    <s v="Escobedo"/>
    <x v="0"/>
    <x v="0"/>
    <d v="2025-05-01T00:00:00"/>
    <x v="3"/>
    <x v="2"/>
  </r>
  <r>
    <x v="10"/>
    <x v="0"/>
    <n v="6"/>
    <d v="2025-06-09T00:00:00"/>
    <d v="2025-06-09T00:00:00"/>
    <d v="2025-06-10T00:00:00"/>
    <d v="2025-06-10T00:00:00"/>
    <d v="2025-06-10T00:00:00"/>
    <n v="2050"/>
    <s v="626955"/>
    <s v="Sprinter"/>
    <n v="736"/>
    <n v="368"/>
    <s v="6551XC"/>
    <n v="1"/>
    <n v="397"/>
    <b v="1"/>
    <b v="0"/>
    <b v="0"/>
    <n v="876"/>
    <n v="0"/>
    <s v=""/>
    <s v=""/>
    <n v="400"/>
    <n v="227"/>
    <x v="4"/>
    <n v="227"/>
    <s v="Escobedo"/>
    <s v="Gomez Palacio"/>
    <x v="4"/>
    <x v="0"/>
    <d v="2025-06-01T00:00:00"/>
    <x v="4"/>
    <x v="2"/>
  </r>
  <r>
    <x v="11"/>
    <x v="0"/>
    <n v="6"/>
    <d v="2025-06-03T00:00:00"/>
    <d v="2025-06-03T00:00:00"/>
    <d v="2025-06-04T00:00:00"/>
    <d v="2025-06-03T00:00:00"/>
    <d v="2025-06-04T00:00:00"/>
    <n v="2039"/>
    <s v="610429"/>
    <s v="Sprinter"/>
    <n v="961"/>
    <n v="1059"/>
    <s v="4366XC"/>
    <n v="1"/>
    <n v="964"/>
    <b v="1"/>
    <b v="0"/>
    <b v="0"/>
    <n v="1793"/>
    <n v="0"/>
    <s v=""/>
    <s v=""/>
    <n v="1100"/>
    <n v="8"/>
    <x v="4"/>
    <n v="8"/>
    <s v="Escobedo"/>
    <s v="Cd Sahagún"/>
    <x v="3"/>
    <x v="2"/>
    <d v="2025-06-01T00:00:00"/>
    <x v="4"/>
    <x v="2"/>
  </r>
  <r>
    <x v="12"/>
    <x v="0"/>
    <n v="6"/>
    <d v="2025-06-21T00:00:00"/>
    <d v="2025-06-21T00:00:00"/>
    <d v="2025-06-23T00:00:00"/>
    <d v="2025-06-22T00:00:00"/>
    <d v="2025-06-22T00:00:00"/>
    <n v="2050"/>
    <s v="626955"/>
    <s v="Sprinter"/>
    <n v="961"/>
    <n v="1059"/>
    <s v="6551XC"/>
    <n v="1"/>
    <n v="964"/>
    <b v="1"/>
    <b v="0"/>
    <b v="0"/>
    <n v="1793"/>
    <n v="0"/>
    <s v=""/>
    <s v=""/>
    <n v="1100"/>
    <n v="8"/>
    <x v="4"/>
    <n v="8"/>
    <s v="Escobedo"/>
    <s v="Cd Sahagún"/>
    <x v="3"/>
    <x v="0"/>
    <d v="2025-06-01T00:00:00"/>
    <x v="4"/>
    <x v="2"/>
  </r>
  <r>
    <x v="13"/>
    <x v="0"/>
    <n v="6"/>
    <d v="2025-06-27T00:00:00"/>
    <d v="2025-03-23T00:00:00"/>
    <d v="2025-06-30T00:00:00"/>
    <d v="2025-06-29T00:00:00"/>
    <d v="2025-06-30T00:00:00"/>
    <n v="2244"/>
    <s v="775908"/>
    <s v="4700*175*195"/>
    <n v="2528"/>
    <n v="1264"/>
    <s v="3727XC"/>
    <n v="1"/>
    <n v="1264"/>
    <b v="1"/>
    <b v="0"/>
    <b v="0"/>
    <n v="2095"/>
    <n v="0"/>
    <s v=""/>
    <s v=""/>
    <n v="1300"/>
    <n v="98"/>
    <x v="5"/>
    <n v="98"/>
    <s v="Cd Sahagún"/>
    <s v="Culiacan"/>
    <x v="2"/>
    <x v="1"/>
    <d v="2025-06-01T00:00:00"/>
    <x v="4"/>
    <x v="2"/>
  </r>
  <r>
    <x v="14"/>
    <x v="0"/>
    <n v="6"/>
    <d v="2025-06-10T00:00:00"/>
    <d v="2025-06-10T00:00:00"/>
    <d v="2025-06-12T00:00:00"/>
    <d v="2025-06-11T00:00:00"/>
    <d v="2025-06-12T00:00:00"/>
    <n v="2050"/>
    <s v="626955"/>
    <s v="Sprinter"/>
    <n v="1264"/>
    <n v="1264"/>
    <s v="6551XC"/>
    <n v="1"/>
    <n v="1264"/>
    <b v="1"/>
    <b v="0"/>
    <b v="0"/>
    <n v="2095"/>
    <n v="0"/>
    <s v=""/>
    <s v=""/>
    <n v="1300"/>
    <n v="3"/>
    <x v="5"/>
    <n v="3"/>
    <s v="Culiacan"/>
    <s v="Cd Sahagún"/>
    <x v="5"/>
    <x v="0"/>
    <d v="2025-06-01T00:00:00"/>
    <x v="4"/>
    <x v="2"/>
  </r>
  <r>
    <x v="15"/>
    <x v="0"/>
    <n v="7"/>
    <d v="2025-07-09T00:00:00"/>
    <d v="2025-07-09T00:00:00"/>
    <d v="2025-07-09T00:00:00"/>
    <d v="2025-07-09T00:00:00"/>
    <d v="2025-07-09T22:18:16"/>
    <n v="2039"/>
    <s v="610429"/>
    <s v="Sprinter"/>
    <n v="86"/>
    <n v="150"/>
    <s v="4366XC"/>
    <n v="1"/>
    <n v="88"/>
    <b v="1"/>
    <b v="0"/>
    <b v="0"/>
    <n v="643"/>
    <n v="0"/>
    <s v=""/>
    <s v=""/>
    <n v="200"/>
    <n v="1766"/>
    <x v="6"/>
    <n v="1766"/>
    <s v="Escobedo"/>
    <s v="Allende"/>
    <x v="6"/>
    <x v="2"/>
    <d v="2025-07-01T00:00:00"/>
    <x v="5"/>
    <x v="2"/>
  </r>
  <r>
    <x v="16"/>
    <x v="0"/>
    <n v="7"/>
    <d v="2025-07-15T00:00:00"/>
    <d v="2025-07-15T00:00:00"/>
    <d v="2025-07-15T00:00:00"/>
    <d v="2025-07-15T00:00:00"/>
    <d v="2025-07-15T18:18:01"/>
    <n v="2039"/>
    <s v="610429"/>
    <s v="Sprinter"/>
    <n v="86"/>
    <n v="150"/>
    <s v="4366XC"/>
    <n v="1"/>
    <n v="88"/>
    <b v="1"/>
    <b v="0"/>
    <b v="0"/>
    <n v="643"/>
    <n v="0"/>
    <s v=""/>
    <s v=""/>
    <n v="200"/>
    <n v="1766"/>
    <x v="4"/>
    <n v="1766"/>
    <s v="Escobedo"/>
    <s v="Allende"/>
    <x v="6"/>
    <x v="2"/>
    <d v="2025-07-01T00:00:00"/>
    <x v="5"/>
    <x v="2"/>
  </r>
  <r>
    <x v="17"/>
    <x v="0"/>
    <n v="7"/>
    <d v="2025-07-17T00:00:00"/>
    <d v="2025-07-17T00:00:00"/>
    <d v="2025-07-17T00:00:00"/>
    <d v="2025-07-17T00:00:00"/>
    <d v="2025-07-17T18:40:03"/>
    <n v="2039"/>
    <s v="610429"/>
    <s v="Sprinter"/>
    <n v="86"/>
    <n v="150"/>
    <s v="4366XC"/>
    <n v="1"/>
    <n v="88"/>
    <b v="1"/>
    <b v="0"/>
    <b v="0"/>
    <n v="643"/>
    <n v="0"/>
    <s v=""/>
    <s v=""/>
    <n v="200"/>
    <n v="1766"/>
    <x v="7"/>
    <n v="1766"/>
    <s v="Escobedo"/>
    <s v="Allende"/>
    <x v="6"/>
    <x v="2"/>
    <d v="2025-07-01T00:00:00"/>
    <x v="5"/>
    <x v="2"/>
  </r>
  <r>
    <x v="18"/>
    <x v="0"/>
    <n v="7"/>
    <d v="2025-07-22T00:00:00"/>
    <d v="2025-07-22T00:00:00"/>
    <d v="2025-07-18T00:00:00"/>
    <d v="2025-07-18T00:00:00"/>
    <d v="2025-07-22T13:55:09"/>
    <n v="2039"/>
    <s v="610429"/>
    <s v="Sprinter"/>
    <n v="50"/>
    <n v="50"/>
    <s v="4366XC"/>
    <n v="1"/>
    <n v="150"/>
    <b v="1"/>
    <b v="0"/>
    <b v="0"/>
    <n v="277"/>
    <n v="0"/>
    <s v=""/>
    <s v=""/>
    <n v="50"/>
    <n v="461"/>
    <x v="7"/>
    <n v="461"/>
    <s v="Escobedo"/>
    <s v="Monterrey"/>
    <x v="7"/>
    <x v="2"/>
    <d v="2025-07-01T00:00:00"/>
    <x v="5"/>
    <x v="2"/>
  </r>
  <r>
    <x v="19"/>
    <x v="0"/>
    <n v="7"/>
    <d v="2025-07-07T00:00:00"/>
    <d v="2025-07-07T00:00:00"/>
    <d v="2025-07-07T00:00:00"/>
    <d v="2025-07-07T00:00:00"/>
    <d v="2025-07-07T00:00:00"/>
    <n v="2039"/>
    <s v="610429"/>
    <s v="Sprinter"/>
    <n v="243"/>
    <n v="243"/>
    <s v="4366XC"/>
    <n v="1"/>
    <n v="269"/>
    <b v="1"/>
    <b v="0"/>
    <b v="0"/>
    <n v="749"/>
    <n v="0"/>
    <s v=""/>
    <s v=""/>
    <n v="300"/>
    <n v="3875"/>
    <x v="3"/>
    <n v="3875"/>
    <s v="Escobedo"/>
    <s v="Anáhuac"/>
    <x v="8"/>
    <x v="2"/>
    <d v="2025-07-01T00:00:00"/>
    <x v="5"/>
    <x v="2"/>
  </r>
  <r>
    <x v="20"/>
    <x v="0"/>
    <n v="7"/>
    <d v="2025-07-11T00:00:00"/>
    <d v="2025-07-11T00:00:00"/>
    <d v="2025-07-12T00:00:00"/>
    <d v="2025-07-11T00:00:00"/>
    <d v="2025-07-12T00:00:00"/>
    <n v="2244"/>
    <s v="775908"/>
    <s v="4700*175*195"/>
    <n v="640"/>
    <n v="0"/>
    <s v="3727XC"/>
    <n v="1"/>
    <n v="640"/>
    <b v="1"/>
    <b v="0"/>
    <b v="0"/>
    <n v="0"/>
    <n v="0"/>
    <s v=""/>
    <s v=""/>
    <n v="0"/>
    <n v="4793"/>
    <x v="1"/>
    <n v="4793"/>
    <s v="Cd Sahagún"/>
    <s v="Guerrero"/>
    <x v="9"/>
    <x v="1"/>
    <d v="2025-07-01T00:00:00"/>
    <x v="5"/>
    <x v="2"/>
  </r>
  <r>
    <x v="21"/>
    <x v="0"/>
    <n v="7"/>
    <d v="2025-07-14T00:00:00"/>
    <d v="2025-07-14T00:00:00"/>
    <d v="2025-07-15T00:00:00"/>
    <d v="2025-07-15T00:00:00"/>
    <d v="2025-07-16T00:00:00"/>
    <n v="2050"/>
    <s v="626955"/>
    <s v="Sprinter"/>
    <n v="92"/>
    <n v="92"/>
    <s v="6551XC"/>
    <n v="1"/>
    <n v="95"/>
    <b v="1"/>
    <b v="0"/>
    <b v="0"/>
    <n v="427"/>
    <n v="0"/>
    <s v=""/>
    <s v="*Recoger operadores en el aeropuerto a las 17:30 hrs."/>
    <n v="100"/>
    <n v="238"/>
    <x v="5"/>
    <n v="238"/>
    <s v="Escobedo"/>
    <s v="Matehuala"/>
    <x v="10"/>
    <x v="0"/>
    <d v="2025-07-01T00:00:00"/>
    <x v="5"/>
    <x v="2"/>
  </r>
  <r>
    <x v="22"/>
    <x v="0"/>
    <n v="7"/>
    <d v="2025-07-14T00:00:00"/>
    <d v="2025-07-14T00:00:00"/>
    <d v="2025-07-15T00:00:00"/>
    <d v="2025-07-15T00:00:00"/>
    <d v="2025-07-17T20:41:13"/>
    <n v="2244"/>
    <s v="775908"/>
    <s v="4700*175*195"/>
    <n v="100"/>
    <n v="71"/>
    <s v="3727XC"/>
    <n v="1"/>
    <n v="71"/>
    <b v="1"/>
    <b v="0"/>
    <b v="0"/>
    <n v="427"/>
    <n v="0"/>
    <s v=""/>
    <s v="*Recoger operadores a las 18:00 hrs"/>
    <n v="100"/>
    <n v="238"/>
    <x v="5"/>
    <n v="238"/>
    <s v="Escobedo"/>
    <s v="Matehuala"/>
    <x v="10"/>
    <x v="1"/>
    <d v="2025-07-01T00:00:00"/>
    <x v="5"/>
    <x v="2"/>
  </r>
  <r>
    <x v="23"/>
    <x v="0"/>
    <n v="7"/>
    <d v="2025-07-14T00:00:00"/>
    <d v="2025-07-14T00:00:00"/>
    <d v="2025-07-15T00:00:00"/>
    <d v="2025-07-15T00:00:00"/>
    <d v="2025-07-17T09:10:41"/>
    <n v="2244"/>
    <s v="775908"/>
    <s v="4700*175*195"/>
    <n v="598"/>
    <n v="0"/>
    <s v="3727XC"/>
    <n v="1"/>
    <n v="590"/>
    <b v="1"/>
    <b v="0"/>
    <b v="0"/>
    <n v="0"/>
    <n v="0"/>
    <s v=""/>
    <s v=""/>
    <n v="0"/>
    <n v="238"/>
    <x v="5"/>
    <n v="238"/>
    <s v="Escobedo"/>
    <s v="Matehuala"/>
    <x v="10"/>
    <x v="1"/>
    <d v="2025-07-01T00:00:00"/>
    <x v="5"/>
    <x v="2"/>
  </r>
  <r>
    <x v="24"/>
    <x v="0"/>
    <n v="7"/>
    <d v="2025-07-14T00:00:00"/>
    <d v="2025-07-14T00:00:00"/>
    <d v="2025-07-15T00:00:00"/>
    <d v="2025-07-15T00:00:00"/>
    <d v="2025-07-17T00:00:00"/>
    <n v="2244"/>
    <s v="626955"/>
    <s v="4700*175*195"/>
    <n v="640"/>
    <n v="640"/>
    <s v="3727XC"/>
    <n v="1"/>
    <n v="640"/>
    <b v="1"/>
    <b v="0"/>
    <b v="0"/>
    <n v="1216"/>
    <n v="0"/>
    <s v=""/>
    <s v=""/>
    <n v="700"/>
    <n v="4807"/>
    <x v="5"/>
    <n v="4807"/>
    <s v="Guerrero"/>
    <s v="Campeche"/>
    <x v="11"/>
    <x v="0"/>
    <d v="2025-07-01T00:00:00"/>
    <x v="5"/>
    <x v="2"/>
  </r>
  <r>
    <x v="25"/>
    <x v="0"/>
    <n v="7"/>
    <d v="2025-07-14T00:00:00"/>
    <d v="2025-07-14T00:00:00"/>
    <d v="2025-07-15T00:00:00"/>
    <d v="2025-07-15T00:00:00"/>
    <d v="2025-08-13T18:18:15"/>
    <n v="2050"/>
    <s v="626955"/>
    <s v="Sprinter"/>
    <n v="626"/>
    <n v="0"/>
    <s v="6551XC"/>
    <n v="1"/>
    <n v="617"/>
    <b v="1"/>
    <b v="0"/>
    <b v="0"/>
    <n v="0"/>
    <n v="0"/>
    <s v=""/>
    <s v=""/>
    <n v="0"/>
    <n v="3"/>
    <x v="5"/>
    <n v="3"/>
    <s v="Culiacan"/>
    <s v="Cd Sahagún"/>
    <x v="5"/>
    <x v="0"/>
    <d v="2025-07-01T00:00:00"/>
    <x v="5"/>
    <x v="2"/>
  </r>
  <r>
    <x v="26"/>
    <x v="0"/>
    <n v="7"/>
    <d v="2025-07-14T00:00:00"/>
    <d v="2025-07-14T00:00:00"/>
    <d v="2025-07-16T00:00:00"/>
    <d v="2025-07-16T00:00:00"/>
    <d v="2025-07-17T00:00:00"/>
    <n v="2050"/>
    <s v="626955"/>
    <s v="Sprinter"/>
    <n v="640"/>
    <n v="640"/>
    <s v="6551XC"/>
    <n v="1"/>
    <n v="640"/>
    <b v="1"/>
    <b v="0"/>
    <b v="0"/>
    <n v="1216"/>
    <n v="0"/>
    <s v=""/>
    <s v=""/>
    <n v="700"/>
    <n v="238"/>
    <x v="5"/>
    <n v="238"/>
    <s v="Escobedo"/>
    <s v="Matehuala"/>
    <x v="10"/>
    <x v="0"/>
    <d v="2025-07-01T00:00:00"/>
    <x v="5"/>
    <x v="2"/>
  </r>
  <r>
    <x v="27"/>
    <x v="0"/>
    <n v="7"/>
    <d v="2025-07-01T00:00:00"/>
    <d v="2025-07-01T00:00:00"/>
    <d v="2025-07-03T00:00:00"/>
    <d v="2025-07-02T00:00:00"/>
    <d v="2025-07-04T00:00:00"/>
    <n v="2050"/>
    <s v="626955"/>
    <s v="Sprinter"/>
    <n v="1961"/>
    <n v="697"/>
    <s v="6551XC"/>
    <n v="1"/>
    <n v="1264"/>
    <b v="1"/>
    <b v="0"/>
    <b v="0"/>
    <n v="1216"/>
    <n v="0"/>
    <s v=""/>
    <s v=""/>
    <n v="700"/>
    <n v="98"/>
    <x v="5"/>
    <n v="98"/>
    <s v="Cd Sahagún"/>
    <s v="Culiacan"/>
    <x v="2"/>
    <x v="0"/>
    <d v="2025-07-01T00:00:00"/>
    <x v="5"/>
    <x v="2"/>
  </r>
  <r>
    <x v="28"/>
    <x v="0"/>
    <n v="7"/>
    <d v="2025-07-26T00:00:00"/>
    <d v="2025-07-26T00:00:00"/>
    <d v="2025-07-27T00:00:00"/>
    <d v="2025-07-27T00:00:00"/>
    <d v="2025-07-28T00:00:00"/>
    <n v="2244"/>
    <s v="775908"/>
    <s v="4700*175*195"/>
    <n v="961"/>
    <n v="0"/>
    <s v="3727XC"/>
    <n v="1"/>
    <n v="964"/>
    <b v="1"/>
    <b v="0"/>
    <b v="0"/>
    <n v="0"/>
    <n v="0"/>
    <s v=""/>
    <s v="*Iniciar traslado 16:00 hr"/>
    <n v="0"/>
    <n v="238"/>
    <x v="5"/>
    <n v="238"/>
    <s v="Escobedo"/>
    <s v="Matehuala"/>
    <x v="10"/>
    <x v="1"/>
    <d v="2025-07-01T00:00:00"/>
    <x v="5"/>
    <x v="2"/>
  </r>
  <r>
    <x v="29"/>
    <x v="0"/>
    <n v="8"/>
    <d v="2025-08-14T00:00:00"/>
    <d v="2025-08-14T00:00:00"/>
    <d v="2025-08-15T00:00:00"/>
    <d v="2025-08-15T00:00:00"/>
    <d v="2025-08-15T00:00:00"/>
    <n v="2039"/>
    <s v="610429"/>
    <s v="Sprinter"/>
    <n v="243"/>
    <n v="243"/>
    <s v="4366XC"/>
    <n v="1"/>
    <n v="269"/>
    <b v="1"/>
    <b v="0"/>
    <b v="0"/>
    <n v="749"/>
    <n v="0"/>
    <s v=""/>
    <s v=""/>
    <n v="300"/>
    <n v="3875"/>
    <x v="4"/>
    <n v="3875"/>
    <s v="Escobedo"/>
    <s v="Anáhuac"/>
    <x v="8"/>
    <x v="2"/>
    <d v="2025-08-01T00:00:00"/>
    <x v="6"/>
    <x v="2"/>
  </r>
  <r>
    <x v="30"/>
    <x v="0"/>
    <n v="8"/>
    <d v="2025-08-30T00:00:00"/>
    <d v="2025-08-30T00:00:00"/>
    <d v="2025-08-31T00:00:00"/>
    <d v="2025-08-30T00:00:00"/>
    <d v="2025-08-31T00:00:00"/>
    <n v="2039"/>
    <s v="626955"/>
    <s v="Sprinter"/>
    <n v="961"/>
    <n v="1059"/>
    <s v="4366XC"/>
    <n v="1"/>
    <n v="964"/>
    <b v="1"/>
    <b v="0"/>
    <b v="0"/>
    <n v="1793"/>
    <n v="0"/>
    <s v=""/>
    <s v=""/>
    <n v="1100"/>
    <n v="8"/>
    <x v="8"/>
    <n v="8"/>
    <s v="Escobedo"/>
    <s v="Cd Sahagún"/>
    <x v="3"/>
    <x v="0"/>
    <d v="2025-08-01T00:00:00"/>
    <x v="6"/>
    <x v="2"/>
  </r>
  <r>
    <x v="31"/>
    <x v="0"/>
    <n v="8"/>
    <d v="2025-08-03T00:00:00"/>
    <d v="2025-08-03T00:00:00"/>
    <d v="2025-08-03T00:00:00"/>
    <d v="2025-08-03T00:00:00"/>
    <d v="2025-08-04T00:00:00"/>
    <n v="1902"/>
    <s v="610429"/>
    <s v="Sprinter"/>
    <n v="878"/>
    <n v="878"/>
    <s v="3729XC"/>
    <n v="1"/>
    <n v="878"/>
    <b v="1"/>
    <b v="0"/>
    <b v="0"/>
    <n v="1456"/>
    <n v="0"/>
    <s v=""/>
    <s v=""/>
    <n v="900"/>
    <n v="372"/>
    <x v="6"/>
    <n v="372"/>
    <s v="Cuautitlan"/>
    <s v="Escobedo"/>
    <x v="12"/>
    <x v="2"/>
    <d v="2025-08-01T00:00:00"/>
    <x v="6"/>
    <x v="2"/>
  </r>
  <r>
    <x v="32"/>
    <x v="0"/>
    <n v="8"/>
    <d v="2025-08-03T00:00:00"/>
    <d v="2025-08-03T00:00:00"/>
    <d v="2025-08-03T00:00:00"/>
    <d v="2025-08-03T00:00:00"/>
    <d v="2025-08-04T13:56:26"/>
    <n v="1902"/>
    <s v="610429"/>
    <s v="Sprinter"/>
    <n v="37"/>
    <n v="37"/>
    <s v="3729XC"/>
    <n v="1"/>
    <n v="150"/>
    <b v="1"/>
    <b v="0"/>
    <b v="0"/>
    <n v="277"/>
    <n v="0"/>
    <s v=""/>
    <s v=""/>
    <n v="50"/>
    <n v="675"/>
    <x v="6"/>
    <n v="675"/>
    <s v="Cuautitlan"/>
    <s v="Ecatepec"/>
    <x v="13"/>
    <x v="2"/>
    <d v="2025-08-01T00:00:00"/>
    <x v="6"/>
    <x v="2"/>
  </r>
  <r>
    <x v="33"/>
    <x v="0"/>
    <n v="9"/>
    <d v="2025-09-15T00:00:00"/>
    <d v="2025-09-15T00:00:00"/>
    <d v="2025-09-17T00:00:00"/>
    <d v="2025-09-17T00:00:00"/>
    <d v="2025-09-17T00:00:00"/>
    <n v="2039"/>
    <s v="610429"/>
    <s v="Sprinter"/>
    <n v="736"/>
    <n v="368"/>
    <s v="4366XC"/>
    <n v="1"/>
    <n v="397"/>
    <b v="1"/>
    <b v="0"/>
    <b v="0"/>
    <n v="876"/>
    <n v="0"/>
    <s v=""/>
    <s v="Pasar a Saltillo por los operadores que vienen de transferencia de Sahagun."/>
    <n v="400"/>
    <n v="227"/>
    <x v="9"/>
    <n v="227"/>
    <s v="Escobedo"/>
    <s v="Gomez Palacio"/>
    <x v="4"/>
    <x v="2"/>
    <d v="2025-09-01T00:00:00"/>
    <x v="1"/>
    <x v="2"/>
  </r>
  <r>
    <x v="34"/>
    <x v="0"/>
    <n v="9"/>
    <d v="2025-09-17T00:00:00"/>
    <d v="2025-09-17T00:00:00"/>
    <d v="2025-09-19T00:00:00"/>
    <d v="2025-09-18T00:00:00"/>
    <d v="2025-09-18T00:00:00"/>
    <n v="2039"/>
    <s v="610429"/>
    <s v="Sprinter"/>
    <n v="504"/>
    <n v="504"/>
    <s v="4366XC"/>
    <n v="1"/>
    <n v="504"/>
    <b v="1"/>
    <b v="0"/>
    <b v="0"/>
    <n v="1130"/>
    <n v="0"/>
    <s v=""/>
    <s v="Recoger a los 10 compañeros que entregan en el Puerto de Amports"/>
    <n v="600"/>
    <n v="119"/>
    <x v="9"/>
    <n v="119"/>
    <s v="Escobedo"/>
    <s v="Altamira"/>
    <x v="14"/>
    <x v="2"/>
    <d v="2025-09-01T00:00:00"/>
    <x v="1"/>
    <x v="2"/>
  </r>
  <r>
    <x v="35"/>
    <x v="0"/>
    <n v="9"/>
    <d v="2025-09-22T00:00:00"/>
    <d v="2025-09-22T00:00:00"/>
    <d v="2025-09-23T00:00:00"/>
    <d v="2025-09-22T00:00:00"/>
    <d v="2025-09-23T00:00:00"/>
    <n v="2050"/>
    <s v="775908"/>
    <s v="4700*175*195"/>
    <n v="961"/>
    <n v="1059"/>
    <s v="6551XC"/>
    <n v="1"/>
    <n v="964"/>
    <b v="1"/>
    <b v="0"/>
    <b v="0"/>
    <n v="1793"/>
    <n v="0"/>
    <s v=""/>
    <s v=""/>
    <n v="1100"/>
    <n v="3580"/>
    <x v="7"/>
    <n v="3580"/>
    <s v="Zapopan"/>
    <s v="Monterrey"/>
    <x v="15"/>
    <x v="1"/>
    <d v="2025-09-01T00:00:00"/>
    <x v="1"/>
    <x v="2"/>
  </r>
  <r>
    <x v="36"/>
    <x v="0"/>
    <n v="9"/>
    <d v="2025-09-29T00:00:00"/>
    <d v="2025-09-29T00:00:00"/>
    <d v="2025-09-30T00:00:00"/>
    <d v="2025-09-29T00:00:00"/>
    <d v="2025-09-30T00:00:00"/>
    <n v="2039"/>
    <s v="610429"/>
    <s v="Sprinter"/>
    <n v="878"/>
    <n v="878"/>
    <s v="4366XC"/>
    <n v="1"/>
    <n v="878"/>
    <b v="1"/>
    <b v="0"/>
    <b v="0"/>
    <n v="1456"/>
    <n v="0"/>
    <s v=""/>
    <s v=""/>
    <n v="900"/>
    <n v="3580"/>
    <x v="7"/>
    <n v="3580"/>
    <s v="Zapopan"/>
    <s v="Monterrey"/>
    <x v="15"/>
    <x v="2"/>
    <d v="2025-09-01T00:00:00"/>
    <x v="1"/>
    <x v="2"/>
  </r>
  <r>
    <x v="37"/>
    <x v="0"/>
    <n v="9"/>
    <d v="2025-09-12T00:00:00"/>
    <d v="2025-09-12T00:00:00"/>
    <d v="2025-09-15T00:00:00"/>
    <d v="2025-09-15T00:00:00"/>
    <d v="2025-09-15T00:00:00"/>
    <n v="2244"/>
    <s v="775908"/>
    <s v="4700*175*195"/>
    <n v="360"/>
    <n v="180"/>
    <s v="3727XC"/>
    <n v="1"/>
    <n v="208"/>
    <b v="1"/>
    <b v="0"/>
    <b v="0"/>
    <n v="643"/>
    <n v="0"/>
    <s v=""/>
    <s v="FAVOR DE RECOGER A SUS COMPAÑEROS LUNES A LAS 10:00 HR EN DESTINO. LLENAR TANQUES DE COMBUSTIBLE"/>
    <n v="200"/>
    <n v="4852"/>
    <x v="2"/>
    <n v="4852"/>
    <s v="Guerrero"/>
    <s v="Veracruz"/>
    <x v="1"/>
    <x v="1"/>
    <d v="2025-09-01T00:00:00"/>
    <x v="1"/>
    <x v="2"/>
  </r>
  <r>
    <x v="38"/>
    <x v="0"/>
    <n v="11"/>
    <d v="2025-11-25T00:00:00"/>
    <d v="2025-11-25T00:00:00"/>
    <d v="2025-11-26T00:00:00"/>
    <d v="2025-11-25T00:00:00"/>
    <d v="2025-11-26T00:00:00"/>
    <n v="2244"/>
    <s v="775908"/>
    <s v="4700*175*195"/>
    <n v="961"/>
    <n v="1059"/>
    <s v="3727XC"/>
    <n v="1"/>
    <n v="964"/>
    <b v="1"/>
    <b v="0"/>
    <b v="0"/>
    <n v="1793"/>
    <n v="0"/>
    <s v=""/>
    <s v=""/>
    <n v="1100"/>
    <n v="8"/>
    <x v="10"/>
    <n v="8"/>
    <s v="Escobedo"/>
    <s v="Cd Sahagún"/>
    <x v="3"/>
    <x v="1"/>
    <d v="2025-11-01T00:00:00"/>
    <x v="7"/>
    <x v="2"/>
  </r>
  <r>
    <x v="39"/>
    <x v="0"/>
    <n v="11"/>
    <d v="2025-11-27T00:00:00"/>
    <d v="2025-11-27T00:00:00"/>
    <d v="2025-11-28T00:00:00"/>
    <d v="2025-11-28T00:00:00"/>
    <d v="2025-11-27T18:50:35"/>
    <n v="2039"/>
    <s v="626955"/>
    <s v="Sprinter"/>
    <n v="243"/>
    <n v="243"/>
    <s v="4366XC"/>
    <n v="1"/>
    <n v="269"/>
    <b v="1"/>
    <b v="0"/>
    <b v="0"/>
    <n v="749"/>
    <n v="0"/>
    <s v=""/>
    <s v=""/>
    <n v="300"/>
    <n v="3415"/>
    <x v="8"/>
    <n v="3415"/>
    <s v="Culiacan"/>
    <s v="Tlajomulco"/>
    <x v="16"/>
    <x v="0"/>
    <d v="2025-11-01T00:00:00"/>
    <x v="7"/>
    <x v="2"/>
  </r>
  <r>
    <x v="40"/>
    <x v="0"/>
    <n v="11"/>
    <d v="2025-11-27T00:00:00"/>
    <d v="2025-11-27T00:00:00"/>
    <d v="2025-11-28T00:00:00"/>
    <d v="2025-11-28T00:00:00"/>
    <d v="2025-11-28T14:26:06"/>
    <n v="2039"/>
    <s v="626955"/>
    <s v="Sprinter"/>
    <n v="243"/>
    <n v="243"/>
    <s v="4366XC"/>
    <n v="1"/>
    <n v="269"/>
    <b v="1"/>
    <b v="0"/>
    <b v="0"/>
    <n v="749"/>
    <n v="0"/>
    <s v=""/>
    <s v=""/>
    <n v="300"/>
    <n v="3875"/>
    <x v="8"/>
    <n v="3875"/>
    <s v="Escobedo"/>
    <s v="Anáhuac"/>
    <x v="8"/>
    <x v="0"/>
    <d v="2025-11-01T00:00:00"/>
    <x v="7"/>
    <x v="2"/>
  </r>
  <r>
    <x v="41"/>
    <x v="0"/>
    <n v="12"/>
    <d v="2025-12-15T00:00:00"/>
    <d v="2025-12-15T00:00:00"/>
    <d v="2025-12-16T00:00:00"/>
    <d v="2025-12-15T00:00:00"/>
    <d v="2025-12-16T00:00:00"/>
    <n v="2151"/>
    <s v="775908"/>
    <s v="4700*175*195"/>
    <n v="961"/>
    <n v="1059"/>
    <s v="5408XC"/>
    <n v="2"/>
    <n v="964"/>
    <b v="1"/>
    <b v="0"/>
    <b v="0"/>
    <n v="1831"/>
    <n v="0"/>
    <s v=""/>
    <s v="Cargar urea 20 lts"/>
    <n v="1100"/>
    <n v="8"/>
    <x v="8"/>
    <n v="8"/>
    <s v="Escobedo"/>
    <s v="Cd Sahagún"/>
    <x v="3"/>
    <x v="1"/>
    <d v="2025-12-01T00:00:00"/>
    <x v="8"/>
    <x v="2"/>
  </r>
  <r>
    <x v="42"/>
    <x v="0"/>
    <n v="12"/>
    <d v="2025-12-15T00:00:00"/>
    <d v="2025-12-15T00:00:00"/>
    <d v="2025-12-16T00:00:00"/>
    <d v="2025-12-15T00:00:00"/>
    <d v="2025-12-16T00:00:00"/>
    <n v="2039"/>
    <s v="610429"/>
    <s v="Sprinter"/>
    <n v="961"/>
    <n v="1059"/>
    <s v="4366XC"/>
    <n v="1"/>
    <n v="964"/>
    <b v="1"/>
    <b v="0"/>
    <b v="0"/>
    <n v="1793"/>
    <n v="0"/>
    <s v=""/>
    <s v=""/>
    <n v="1100"/>
    <n v="8"/>
    <x v="8"/>
    <n v="8"/>
    <s v="Escobedo"/>
    <s v="Cd Sahagún"/>
    <x v="3"/>
    <x v="2"/>
    <d v="2025-12-01T00:00:00"/>
    <x v="8"/>
    <x v="2"/>
  </r>
  <r>
    <x v="43"/>
    <x v="0"/>
    <n v="12"/>
    <d v="2025-12-18T00:00:00"/>
    <d v="2025-12-18T00:00:00"/>
    <d v="2025-12-19T00:00:00"/>
    <d v="2025-12-18T00:00:00"/>
    <d v="2025-12-18T10:53:23"/>
    <n v="2039"/>
    <s v="626955"/>
    <s v="Sprinter"/>
    <n v="961"/>
    <n v="1059"/>
    <s v="4366XC"/>
    <n v="2"/>
    <n v="964"/>
    <b v="1"/>
    <b v="0"/>
    <b v="0"/>
    <n v="1831"/>
    <n v="0"/>
    <s v=""/>
    <s v=""/>
    <n v="1100"/>
    <n v="8"/>
    <x v="8"/>
    <n v="8"/>
    <s v="Escobedo"/>
    <s v="Cd Sahagún"/>
    <x v="3"/>
    <x v="0"/>
    <d v="2025-12-01T00:00:00"/>
    <x v="8"/>
    <x v="2"/>
  </r>
  <r>
    <x v="44"/>
    <x v="0"/>
    <n v="12"/>
    <d v="2025-12-18T00:00:00"/>
    <d v="2025-12-18T00:00:00"/>
    <d v="2025-12-22T00:00:00"/>
    <d v="2025-12-21T00:00:00"/>
    <d v="2025-12-19T00:00:00"/>
    <n v="2039"/>
    <s v="626955"/>
    <s v="Sprinter"/>
    <n v="961"/>
    <n v="1059"/>
    <s v="4366XC"/>
    <n v="1"/>
    <n v="964"/>
    <b v="1"/>
    <b v="0"/>
    <b v="0"/>
    <n v="1793"/>
    <n v="0"/>
    <s v=""/>
    <s v=""/>
    <n v="1100"/>
    <n v="8"/>
    <x v="8"/>
    <n v="8"/>
    <s v="Escobedo"/>
    <s v="Cd Sahagún"/>
    <x v="3"/>
    <x v="0"/>
    <d v="2025-12-01T00:00:00"/>
    <x v="8"/>
    <x v="2"/>
  </r>
  <r>
    <x v="45"/>
    <x v="0"/>
    <n v="12"/>
    <d v="2025-12-20T00:00:00"/>
    <d v="2025-12-20T00:00:00"/>
    <d v="2025-12-23T00:00:00"/>
    <d v="2025-12-22T00:00:00"/>
    <d v="2025-12-23T00:00:00"/>
    <n v="2244"/>
    <s v="775908"/>
    <s v="4700*175*195"/>
    <n v="842"/>
    <n v="842"/>
    <s v="3727XC"/>
    <n v="1"/>
    <n v="863"/>
    <b v="1"/>
    <b v="0"/>
    <b v="0"/>
    <n v="1456"/>
    <n v="0"/>
    <s v=""/>
    <s v=""/>
    <n v="900"/>
    <n v="1843"/>
    <x v="7"/>
    <n v="1843"/>
    <s v="Escobedo"/>
    <s v="Mazatlan"/>
    <x v="17"/>
    <x v="1"/>
    <d v="2025-12-01T00:00:00"/>
    <x v="8"/>
    <x v="2"/>
  </r>
  <r>
    <x v="46"/>
    <x v="0"/>
    <n v="12"/>
    <d v="2025-12-23T00:00:00"/>
    <d v="2025-12-23T00:00:00"/>
    <d v="2025-12-24T00:00:00"/>
    <d v="2025-12-24T00:00:00"/>
    <d v="2025-12-24T00:00:00"/>
    <n v="2039"/>
    <s v="610429"/>
    <s v="Sprinter"/>
    <n v="961"/>
    <n v="1059"/>
    <s v="4366XC"/>
    <n v="1"/>
    <n v="964"/>
    <b v="1"/>
    <b v="0"/>
    <b v="0"/>
    <n v="1793"/>
    <n v="0"/>
    <s v=""/>
    <s v=""/>
    <n v="1100"/>
    <n v="8"/>
    <x v="7"/>
    <n v="8"/>
    <s v="Escobedo"/>
    <s v="Cd Sahagún"/>
    <x v="3"/>
    <x v="2"/>
    <d v="2025-12-01T00:00:00"/>
    <x v="8"/>
    <x v="2"/>
  </r>
  <r>
    <x v="47"/>
    <x v="0"/>
    <n v="12"/>
    <d v="2025-12-04T00:00:00"/>
    <d v="2025-12-04T00:00:00"/>
    <d v="2025-12-04T00:00:00"/>
    <d v="2025-12-04T00:00:00"/>
    <d v="2025-12-05T00:00:00"/>
    <n v="2244"/>
    <s v="775908"/>
    <s v="4700*175*195"/>
    <n v="961"/>
    <n v="1059"/>
    <s v="3727XC"/>
    <n v="1"/>
    <n v="964"/>
    <b v="1"/>
    <b v="0"/>
    <b v="0"/>
    <n v="1793"/>
    <n v="0"/>
    <s v=""/>
    <s v=""/>
    <n v="1100"/>
    <n v="8"/>
    <x v="10"/>
    <n v="8"/>
    <s v="Escobedo"/>
    <s v="Cd Sahagún"/>
    <x v="3"/>
    <x v="1"/>
    <d v="2025-12-01T00:00:00"/>
    <x v="8"/>
    <x v="2"/>
  </r>
  <r>
    <x v="48"/>
    <x v="1"/>
    <n v="1"/>
    <d v="2026-01-03T00:00:00"/>
    <d v="2026-01-03T00:00:00"/>
    <d v="2026-01-05T00:00:00"/>
    <d v="2026-01-04T00:00:00"/>
    <d v="2026-01-05T00:00:00"/>
    <n v="2244"/>
    <s v="775908"/>
    <s v="4700*175*195"/>
    <n v="1008"/>
    <n v="1008"/>
    <s v="3727XC"/>
    <n v="1"/>
    <n v="1008"/>
    <b v="1"/>
    <b v="0"/>
    <b v="0"/>
    <n v="1793"/>
    <n v="0"/>
    <s v=""/>
    <s v=""/>
    <n v="1100"/>
    <n v="4852"/>
    <x v="11"/>
    <n v="4852"/>
    <s v="Guerrero"/>
    <s v="Veracruz"/>
    <x v="1"/>
    <x v="1"/>
    <d v="2026-01-01T00:00:00"/>
    <x v="9"/>
    <x v="2"/>
  </r>
  <r>
    <x v="49"/>
    <x v="1"/>
    <n v="1"/>
    <d v="2026-01-03T00:00:00"/>
    <d v="2026-01-03T00:00:00"/>
    <d v="2026-01-05T00:00:00"/>
    <d v="2026-01-04T00:00:00"/>
    <d v="2026-01-05T00:00:00"/>
    <n v="2039"/>
    <s v="626955"/>
    <s v="Sprinter"/>
    <n v="1008"/>
    <n v="1008"/>
    <s v="4366XC"/>
    <n v="1"/>
    <n v="1008"/>
    <b v="1"/>
    <b v="0"/>
    <b v="0"/>
    <n v="1793"/>
    <n v="0"/>
    <s v=""/>
    <s v=""/>
    <n v="1100"/>
    <n v="4852"/>
    <x v="11"/>
    <n v="4852"/>
    <s v="Guerrero"/>
    <s v="Veracruz"/>
    <x v="1"/>
    <x v="0"/>
    <d v="2026-01-01T00:00:00"/>
    <x v="9"/>
    <x v="2"/>
  </r>
  <r>
    <x v="50"/>
    <x v="2"/>
    <n v="12"/>
    <d v="2024-12-30T00:00:00"/>
    <d v="2024-12-30T00:00:00"/>
    <d v="2025-01-04T00:00:00"/>
    <d v="2025-01-02T00:00:00"/>
    <d v="2025-01-04T00:00:00"/>
    <n v="2024"/>
    <s v="775908"/>
    <s v="4700*175*195"/>
    <n v="2528"/>
    <n v="1264"/>
    <s v="4364XC"/>
    <n v="1"/>
    <n v="1264"/>
    <b v="1"/>
    <b v="0"/>
    <b v="0"/>
    <n v="1632"/>
    <n v="0"/>
    <s v=""/>
    <s v=""/>
    <n v="1300"/>
    <n v="4521"/>
    <x v="1"/>
    <n v="4521"/>
    <s v="Cuautitlan"/>
    <s v="Papantla"/>
    <x v="18"/>
    <x v="1"/>
    <d v="2024-12-01T00:00:00"/>
    <x v="10"/>
    <x v="3"/>
  </r>
  <r>
    <x v="51"/>
    <x v="0"/>
    <n v="1"/>
    <d v="2025-01-08T00:00:00"/>
    <d v="2025-01-08T00:00:00"/>
    <d v="2025-01-08T00:00:00"/>
    <d v="2025-01-08T00:00:00"/>
    <d v="2025-01-08T00:00:00"/>
    <n v="2087"/>
    <s v="610429"/>
    <s v="Sprinter"/>
    <n v="176"/>
    <n v="88"/>
    <s v="4603XC"/>
    <n v="1"/>
    <n v="88"/>
    <b v="1"/>
    <b v="0"/>
    <b v="0"/>
    <n v="333"/>
    <n v="0"/>
    <s v=""/>
    <s v=""/>
    <n v="100"/>
    <n v="1766"/>
    <x v="12"/>
    <n v="1766"/>
    <s v="Escobedo"/>
    <s v="Allende"/>
    <x v="6"/>
    <x v="2"/>
    <d v="2025-01-01T00:00:00"/>
    <x v="0"/>
    <x v="3"/>
  </r>
  <r>
    <x v="52"/>
    <x v="0"/>
    <n v="1"/>
    <d v="2025-01-08T00:00:00"/>
    <d v="2025-01-08T00:00:00"/>
    <d v="2025-01-09T00:00:00"/>
    <d v="2025-01-08T00:00:00"/>
    <d v="2025-01-09T00:00:00"/>
    <n v="2024"/>
    <s v="775908"/>
    <s v="4700*175*195"/>
    <n v="961"/>
    <n v="1059"/>
    <s v="4364XC"/>
    <n v="1"/>
    <n v="964"/>
    <b v="1"/>
    <b v="0"/>
    <b v="0"/>
    <n v="1396"/>
    <n v="0"/>
    <s v=""/>
    <s v="10 litros de urea"/>
    <n v="1100"/>
    <n v="8"/>
    <x v="12"/>
    <n v="8"/>
    <s v="Escobedo"/>
    <s v="Cd Sahagún"/>
    <x v="3"/>
    <x v="1"/>
    <d v="2025-01-01T00:00:00"/>
    <x v="0"/>
    <x v="3"/>
  </r>
  <r>
    <x v="53"/>
    <x v="0"/>
    <n v="1"/>
    <d v="2025-01-08T00:00:00"/>
    <d v="2025-01-08T00:00:00"/>
    <d v="2025-01-10T00:00:00"/>
    <d v="2025-01-09T00:00:00"/>
    <d v="2025-01-10T00:00:00"/>
    <n v="2087"/>
    <s v="610429"/>
    <s v="Sprinter"/>
    <n v="842"/>
    <n v="842"/>
    <s v="4603XC"/>
    <n v="1"/>
    <n v="863"/>
    <b v="1"/>
    <b v="0"/>
    <b v="0"/>
    <n v="1134"/>
    <n v="0"/>
    <s v=""/>
    <s v="FAVOR DE PASAR POR SUS COMPAÑEROS AL PUERTO DE MAZATLAN EL DIA VIERNES"/>
    <n v="900"/>
    <n v="1843"/>
    <x v="13"/>
    <n v="1843"/>
    <s v="Escobedo"/>
    <s v="Mazatlan"/>
    <x v="17"/>
    <x v="2"/>
    <d v="2025-01-01T00:00:00"/>
    <x v="0"/>
    <x v="3"/>
  </r>
  <r>
    <x v="54"/>
    <x v="0"/>
    <n v="1"/>
    <d v="2025-01-10T00:00:00"/>
    <d v="2025-01-10T00:00:00"/>
    <d v="2025-01-10T00:00:00"/>
    <d v="2025-01-10T00:00:00"/>
    <d v="2025-01-10T00:00:00"/>
    <n v="2019"/>
    <s v="626955"/>
    <s v="Sprinter"/>
    <n v="50"/>
    <n v="50"/>
    <s v="3654XC"/>
    <n v="1"/>
    <n v="150"/>
    <b v="1"/>
    <b v="0"/>
    <b v="0"/>
    <n v="216"/>
    <n v="0"/>
    <s v=""/>
    <s v=""/>
    <n v="50"/>
    <n v="2936"/>
    <x v="14"/>
    <n v="2936"/>
    <s v="Escobedo"/>
    <s v="Hidalgo"/>
    <x v="19"/>
    <x v="0"/>
    <d v="2025-01-01T00:00:00"/>
    <x v="0"/>
    <x v="3"/>
  </r>
  <r>
    <x v="55"/>
    <x v="0"/>
    <n v="1"/>
    <d v="2025-01-11T00:00:00"/>
    <d v="2025-01-11T00:00:00"/>
    <d v="2025-01-11T00:00:00"/>
    <d v="2025-01-11T00:00:00"/>
    <d v="2025-01-12T00:00:00"/>
    <n v="2087"/>
    <s v="610429"/>
    <s v="Sprinter"/>
    <n v="961"/>
    <n v="1059"/>
    <s v="4603XC"/>
    <n v="1"/>
    <n v="964"/>
    <b v="1"/>
    <b v="0"/>
    <b v="0"/>
    <n v="1396"/>
    <n v="0"/>
    <s v=""/>
    <s v=""/>
    <n v="1100"/>
    <n v="8"/>
    <x v="15"/>
    <n v="8"/>
    <s v="Escobedo"/>
    <s v="Cd Sahagún"/>
    <x v="3"/>
    <x v="2"/>
    <d v="2025-01-01T00:00:00"/>
    <x v="0"/>
    <x v="3"/>
  </r>
  <r>
    <x v="56"/>
    <x v="0"/>
    <n v="1"/>
    <d v="2025-01-13T00:00:00"/>
    <d v="2025-01-13T00:00:00"/>
    <d v="2025-01-13T00:00:00"/>
    <d v="2025-01-13T00:00:00"/>
    <d v="2025-01-14T00:00:00"/>
    <n v="2050"/>
    <s v="626955"/>
    <s v="Sprinter"/>
    <n v="50"/>
    <n v="50"/>
    <s v="6551XC"/>
    <n v="1"/>
    <n v="150"/>
    <b v="1"/>
    <b v="0"/>
    <b v="0"/>
    <n v="216"/>
    <n v="0"/>
    <s v=""/>
    <s v=""/>
    <n v="50"/>
    <n v="2936"/>
    <x v="14"/>
    <n v="2936"/>
    <s v="Escobedo"/>
    <s v="Hidalgo"/>
    <x v="19"/>
    <x v="0"/>
    <d v="2025-01-01T00:00:00"/>
    <x v="0"/>
    <x v="3"/>
  </r>
  <r>
    <x v="57"/>
    <x v="0"/>
    <n v="1"/>
    <d v="2025-01-13T00:00:00"/>
    <d v="2025-01-13T00:00:00"/>
    <d v="2025-01-13T00:00:00"/>
    <d v="2025-01-13T00:00:00"/>
    <d v="2025-01-14T09:26:08"/>
    <n v="2039"/>
    <s v="626955"/>
    <s v="Sprinter"/>
    <n v="50"/>
    <n v="50"/>
    <s v="4366XC"/>
    <n v="1"/>
    <n v="150"/>
    <b v="1"/>
    <b v="0"/>
    <b v="0"/>
    <n v="216"/>
    <n v="0"/>
    <s v=""/>
    <s v=""/>
    <n v="50"/>
    <n v="2936"/>
    <x v="14"/>
    <n v="2936"/>
    <s v="Escobedo"/>
    <s v="Hidalgo"/>
    <x v="19"/>
    <x v="0"/>
    <d v="2025-01-01T00:00:00"/>
    <x v="0"/>
    <x v="3"/>
  </r>
  <r>
    <x v="58"/>
    <x v="0"/>
    <n v="1"/>
    <d v="2025-01-14T00:00:00"/>
    <d v="2025-01-14T00:00:00"/>
    <d v="2025-01-14T00:00:00"/>
    <d v="2025-01-14T00:00:00"/>
    <d v="2025-01-14T00:00:00"/>
    <n v="2050"/>
    <s v="626955"/>
    <s v="Sprinter"/>
    <n v="50"/>
    <n v="50"/>
    <s v="6551XC"/>
    <n v="1"/>
    <n v="150"/>
    <b v="1"/>
    <b v="0"/>
    <b v="0"/>
    <n v="216"/>
    <n v="0"/>
    <s v=""/>
    <s v=""/>
    <n v="50"/>
    <n v="2936"/>
    <x v="14"/>
    <n v="2936"/>
    <s v="Escobedo"/>
    <s v="Hidalgo"/>
    <x v="19"/>
    <x v="0"/>
    <d v="2025-01-01T00:00:00"/>
    <x v="0"/>
    <x v="3"/>
  </r>
  <r>
    <x v="59"/>
    <x v="0"/>
    <n v="1"/>
    <d v="2025-01-14T00:00:00"/>
    <d v="2025-01-14T00:00:00"/>
    <d v="2025-01-14T00:00:00"/>
    <d v="2025-01-14T00:00:00"/>
    <d v="2025-01-14T00:00:00"/>
    <n v="2039"/>
    <s v="626955"/>
    <s v="Sprinter"/>
    <n v="50"/>
    <n v="50"/>
    <s v="4366XC"/>
    <n v="1"/>
    <n v="150"/>
    <b v="1"/>
    <b v="0"/>
    <b v="0"/>
    <n v="216"/>
    <n v="0"/>
    <s v=""/>
    <s v=""/>
    <n v="50"/>
    <n v="2936"/>
    <x v="14"/>
    <n v="2936"/>
    <s v="Escobedo"/>
    <s v="Hidalgo"/>
    <x v="19"/>
    <x v="0"/>
    <d v="2025-01-01T00:00:00"/>
    <x v="0"/>
    <x v="3"/>
  </r>
  <r>
    <x v="60"/>
    <x v="0"/>
    <n v="1"/>
    <d v="2025-01-14T00:00:00"/>
    <d v="2025-01-14T00:00:00"/>
    <d v="2025-01-14T00:00:00"/>
    <d v="2025-01-14T00:00:00"/>
    <d v="2025-01-14T14:16:45"/>
    <n v="2039"/>
    <s v="610429"/>
    <s v="Sprinter"/>
    <n v="50"/>
    <n v="50"/>
    <s v="4366XC"/>
    <n v="1"/>
    <n v="150"/>
    <b v="1"/>
    <b v="0"/>
    <b v="0"/>
    <n v="216"/>
    <n v="0"/>
    <s v=""/>
    <s v=""/>
    <n v="50"/>
    <n v="2936"/>
    <x v="14"/>
    <n v="2936"/>
    <s v="Escobedo"/>
    <s v="Hidalgo"/>
    <x v="19"/>
    <x v="2"/>
    <d v="2025-01-01T00:00:00"/>
    <x v="0"/>
    <x v="3"/>
  </r>
  <r>
    <x v="61"/>
    <x v="0"/>
    <n v="1"/>
    <d v="2025-01-14T00:00:00"/>
    <d v="2025-01-14T00:00:00"/>
    <d v="2025-01-14T00:00:00"/>
    <d v="2025-01-14T00:00:00"/>
    <d v="2025-01-15T00:00:00"/>
    <n v="2050"/>
    <s v="610429"/>
    <s v="Sprinter"/>
    <n v="50"/>
    <n v="50"/>
    <s v="6551XC"/>
    <n v="1"/>
    <n v="150"/>
    <b v="1"/>
    <b v="0"/>
    <b v="0"/>
    <n v="216"/>
    <n v="0"/>
    <s v=""/>
    <s v=""/>
    <n v="50"/>
    <n v="2936"/>
    <x v="14"/>
    <n v="2936"/>
    <s v="Escobedo"/>
    <s v="Hidalgo"/>
    <x v="19"/>
    <x v="2"/>
    <d v="2025-01-01T00:00:00"/>
    <x v="0"/>
    <x v="3"/>
  </r>
  <r>
    <x v="62"/>
    <x v="0"/>
    <n v="1"/>
    <d v="2025-01-16T00:00:00"/>
    <d v="2025-01-16T00:00:00"/>
    <d v="2025-01-16T00:00:00"/>
    <d v="2025-01-16T00:00:00"/>
    <d v="2025-01-16T10:28:06"/>
    <n v="2039"/>
    <s v="610429"/>
    <s v="Sprinter"/>
    <n v="50"/>
    <n v="50"/>
    <s v="4366XC"/>
    <n v="1"/>
    <n v="150"/>
    <b v="1"/>
    <b v="0"/>
    <b v="0"/>
    <n v="216"/>
    <n v="0"/>
    <s v=""/>
    <s v=""/>
    <n v="50"/>
    <n v="2936"/>
    <x v="14"/>
    <n v="2936"/>
    <s v="Escobedo"/>
    <s v="Hidalgo"/>
    <x v="19"/>
    <x v="2"/>
    <d v="2025-01-01T00:00:00"/>
    <x v="0"/>
    <x v="3"/>
  </r>
  <r>
    <x v="63"/>
    <x v="0"/>
    <n v="1"/>
    <d v="2025-01-16T00:00:00"/>
    <d v="2025-01-16T00:00:00"/>
    <d v="2025-01-16T00:00:00"/>
    <d v="2025-01-16T00:00:00"/>
    <d v="2025-01-16T10:28:38"/>
    <n v="2039"/>
    <s v="610429"/>
    <s v="Sprinter"/>
    <n v="50"/>
    <n v="50"/>
    <s v="4366XC"/>
    <n v="1"/>
    <n v="150"/>
    <b v="1"/>
    <b v="0"/>
    <b v="0"/>
    <n v="216"/>
    <n v="0"/>
    <s v=""/>
    <s v=""/>
    <n v="50"/>
    <n v="2936"/>
    <x v="14"/>
    <n v="2936"/>
    <s v="Escobedo"/>
    <s v="Hidalgo"/>
    <x v="19"/>
    <x v="2"/>
    <d v="2025-01-01T00:00:00"/>
    <x v="0"/>
    <x v="3"/>
  </r>
  <r>
    <x v="64"/>
    <x v="0"/>
    <n v="1"/>
    <d v="2025-01-16T00:00:00"/>
    <d v="2025-01-16T00:00:00"/>
    <d v="2025-01-16T00:00:00"/>
    <d v="2025-01-16T00:00:00"/>
    <d v="2025-01-16T10:29:05"/>
    <n v="2039"/>
    <s v="610429"/>
    <s v="Sprinter"/>
    <n v="50"/>
    <n v="50"/>
    <s v="4366XC"/>
    <n v="1"/>
    <n v="150"/>
    <b v="1"/>
    <b v="0"/>
    <b v="0"/>
    <n v="216"/>
    <n v="0"/>
    <s v=""/>
    <s v=""/>
    <n v="50"/>
    <n v="2936"/>
    <x v="14"/>
    <n v="2936"/>
    <s v="Escobedo"/>
    <s v="Hidalgo"/>
    <x v="19"/>
    <x v="2"/>
    <d v="2025-01-01T00:00:00"/>
    <x v="0"/>
    <x v="3"/>
  </r>
  <r>
    <x v="65"/>
    <x v="0"/>
    <n v="1"/>
    <d v="2025-01-16T00:00:00"/>
    <d v="2025-01-16T00:00:00"/>
    <d v="2025-01-16T00:00:00"/>
    <d v="2025-01-16T00:00:00"/>
    <d v="2025-01-16T10:30:14"/>
    <n v="2039"/>
    <s v="610429"/>
    <s v="Sprinter"/>
    <n v="50"/>
    <n v="50"/>
    <s v="4366XC"/>
    <n v="1"/>
    <n v="150"/>
    <b v="1"/>
    <b v="0"/>
    <b v="0"/>
    <n v="216"/>
    <n v="0"/>
    <s v=""/>
    <s v=""/>
    <n v="50"/>
    <n v="359"/>
    <x v="14"/>
    <n v="359"/>
    <s v="Escobedo"/>
    <s v="Escobedo"/>
    <x v="0"/>
    <x v="2"/>
    <d v="2025-01-01T00:00:00"/>
    <x v="0"/>
    <x v="3"/>
  </r>
  <r>
    <x v="66"/>
    <x v="0"/>
    <n v="1"/>
    <d v="2025-01-16T00:00:00"/>
    <d v="2025-01-16T00:00:00"/>
    <d v="2025-01-16T00:00:00"/>
    <d v="2025-01-16T00:00:00"/>
    <d v="2025-01-16T10:30:58"/>
    <n v="2039"/>
    <s v="610429"/>
    <s v="Sprinter"/>
    <n v="50"/>
    <n v="50"/>
    <s v="4366XC"/>
    <n v="1"/>
    <n v="150"/>
    <b v="1"/>
    <b v="0"/>
    <b v="0"/>
    <n v="216"/>
    <n v="0"/>
    <s v=""/>
    <s v=""/>
    <n v="50"/>
    <n v="2936"/>
    <x v="14"/>
    <n v="2936"/>
    <s v="Escobedo"/>
    <s v="Hidalgo"/>
    <x v="19"/>
    <x v="2"/>
    <d v="2025-01-01T00:00:00"/>
    <x v="0"/>
    <x v="3"/>
  </r>
  <r>
    <x v="67"/>
    <x v="0"/>
    <n v="1"/>
    <d v="2025-01-16T00:00:00"/>
    <d v="2025-01-16T00:00:00"/>
    <d v="2025-01-16T00:00:00"/>
    <d v="2025-01-16T00:00:00"/>
    <d v="2025-01-16T10:31:24"/>
    <n v="2039"/>
    <s v="610429"/>
    <s v="Sprinter"/>
    <n v="50"/>
    <n v="50"/>
    <s v="4366XC"/>
    <n v="1"/>
    <n v="150"/>
    <b v="1"/>
    <b v="0"/>
    <b v="0"/>
    <n v="216"/>
    <n v="0"/>
    <s v=""/>
    <s v=""/>
    <n v="50"/>
    <n v="359"/>
    <x v="14"/>
    <n v="359"/>
    <s v="Escobedo"/>
    <s v="Escobedo"/>
    <x v="0"/>
    <x v="2"/>
    <d v="2025-01-01T00:00:00"/>
    <x v="0"/>
    <x v="3"/>
  </r>
  <r>
    <x v="68"/>
    <x v="0"/>
    <n v="1"/>
    <d v="2025-01-16T00:00:00"/>
    <d v="2025-01-16T00:00:00"/>
    <d v="2025-01-16T00:00:00"/>
    <d v="2025-01-16T00:00:00"/>
    <d v="2025-01-16T10:31:52"/>
    <n v="2039"/>
    <s v="610429"/>
    <s v="Sprinter"/>
    <n v="50"/>
    <n v="50"/>
    <s v="4366XC"/>
    <n v="1"/>
    <n v="150"/>
    <b v="1"/>
    <b v="0"/>
    <b v="0"/>
    <n v="216"/>
    <n v="0"/>
    <s v=""/>
    <s v=""/>
    <n v="50"/>
    <n v="2936"/>
    <x v="14"/>
    <n v="2936"/>
    <s v="Escobedo"/>
    <s v="Hidalgo"/>
    <x v="19"/>
    <x v="2"/>
    <d v="2025-01-01T00:00:00"/>
    <x v="0"/>
    <x v="3"/>
  </r>
  <r>
    <x v="69"/>
    <x v="0"/>
    <n v="1"/>
    <d v="2025-01-16T00:00:00"/>
    <d v="2025-01-16T00:00:00"/>
    <d v="2025-01-16T00:00:00"/>
    <d v="2025-01-16T00:00:00"/>
    <d v="2025-01-16T11:12:07"/>
    <n v="2050"/>
    <s v="626955"/>
    <s v="Sprinter"/>
    <n v="50"/>
    <n v="50"/>
    <s v="6551XC"/>
    <n v="1"/>
    <n v="150"/>
    <b v="1"/>
    <b v="0"/>
    <b v="0"/>
    <n v="216"/>
    <n v="0"/>
    <s v=""/>
    <s v=""/>
    <n v="50"/>
    <n v="2936"/>
    <x v="14"/>
    <n v="2936"/>
    <s v="Escobedo"/>
    <s v="Hidalgo"/>
    <x v="19"/>
    <x v="0"/>
    <d v="2025-01-01T00:00:00"/>
    <x v="0"/>
    <x v="3"/>
  </r>
  <r>
    <x v="70"/>
    <x v="0"/>
    <n v="1"/>
    <d v="2025-01-16T00:00:00"/>
    <d v="2025-01-16T00:00:00"/>
    <d v="2025-01-16T00:00:00"/>
    <d v="2025-01-16T00:00:00"/>
    <d v="2025-01-16T11:12:08"/>
    <n v="2050"/>
    <s v="626955"/>
    <s v="Sprinter"/>
    <n v="50"/>
    <n v="50"/>
    <s v="6551XC"/>
    <n v="1"/>
    <n v="150"/>
    <b v="1"/>
    <b v="0"/>
    <b v="0"/>
    <n v="216"/>
    <n v="0"/>
    <s v=""/>
    <s v=""/>
    <n v="50"/>
    <n v="2936"/>
    <x v="14"/>
    <n v="2936"/>
    <s v="Escobedo"/>
    <s v="Hidalgo"/>
    <x v="19"/>
    <x v="0"/>
    <d v="2025-01-01T00:00:00"/>
    <x v="0"/>
    <x v="3"/>
  </r>
  <r>
    <x v="71"/>
    <x v="0"/>
    <n v="1"/>
    <d v="2025-01-16T00:00:00"/>
    <d v="2025-01-16T00:00:00"/>
    <d v="2025-01-16T00:00:00"/>
    <d v="2025-01-16T00:00:00"/>
    <d v="2025-01-16T11:12:08"/>
    <n v="2050"/>
    <s v="626955"/>
    <s v="Sprinter"/>
    <n v="50"/>
    <n v="50"/>
    <s v="6551XC"/>
    <n v="1"/>
    <n v="150"/>
    <b v="1"/>
    <b v="0"/>
    <b v="0"/>
    <n v="216"/>
    <n v="0"/>
    <s v=""/>
    <s v=""/>
    <n v="50"/>
    <n v="2936"/>
    <x v="14"/>
    <n v="2936"/>
    <s v="Escobedo"/>
    <s v="Hidalgo"/>
    <x v="19"/>
    <x v="0"/>
    <d v="2025-01-01T00:00:00"/>
    <x v="0"/>
    <x v="3"/>
  </r>
  <r>
    <x v="72"/>
    <x v="0"/>
    <n v="1"/>
    <d v="2025-01-16T00:00:00"/>
    <d v="2025-01-16T00:00:00"/>
    <d v="2025-01-16T00:00:00"/>
    <d v="2025-01-16T00:00:00"/>
    <d v="2025-01-16T10:32:18"/>
    <n v="2039"/>
    <s v="610429"/>
    <s v="Sprinter"/>
    <n v="50"/>
    <n v="50"/>
    <s v="4366XC"/>
    <n v="1"/>
    <n v="150"/>
    <b v="1"/>
    <b v="0"/>
    <b v="0"/>
    <n v="216"/>
    <n v="0"/>
    <s v=""/>
    <s v=""/>
    <n v="50"/>
    <n v="359"/>
    <x v="14"/>
    <n v="359"/>
    <s v="Escobedo"/>
    <s v="Escobedo"/>
    <x v="0"/>
    <x v="2"/>
    <d v="2025-01-01T00:00:00"/>
    <x v="0"/>
    <x v="3"/>
  </r>
  <r>
    <x v="73"/>
    <x v="0"/>
    <n v="1"/>
    <d v="2025-01-16T00:00:00"/>
    <d v="2025-01-16T00:00:00"/>
    <d v="2025-01-16T00:00:00"/>
    <d v="2025-01-16T00:00:00"/>
    <d v="2025-01-16T11:04:44"/>
    <n v="2039"/>
    <s v="610429"/>
    <s v="Sprinter"/>
    <n v="50"/>
    <n v="50"/>
    <s v="4366XC"/>
    <n v="1"/>
    <n v="150"/>
    <b v="1"/>
    <b v="0"/>
    <b v="0"/>
    <n v="216"/>
    <n v="0"/>
    <s v=""/>
    <s v=""/>
    <n v="50"/>
    <n v="359"/>
    <x v="14"/>
    <n v="359"/>
    <s v="Escobedo"/>
    <s v="Escobedo"/>
    <x v="0"/>
    <x v="2"/>
    <d v="2025-01-01T00:00:00"/>
    <x v="0"/>
    <x v="3"/>
  </r>
  <r>
    <x v="74"/>
    <x v="0"/>
    <n v="1"/>
    <d v="2025-01-16T00:00:00"/>
    <d v="2025-01-16T00:00:00"/>
    <d v="2025-01-16T00:00:00"/>
    <d v="2025-01-16T00:00:00"/>
    <d v="2025-01-16T11:05:37"/>
    <n v="2039"/>
    <s v="610429"/>
    <s v="Sprinter"/>
    <n v="50"/>
    <n v="50"/>
    <s v="4366XC"/>
    <n v="1"/>
    <n v="150"/>
    <b v="1"/>
    <b v="0"/>
    <b v="0"/>
    <n v="216"/>
    <n v="0"/>
    <s v=""/>
    <s v=""/>
    <n v="50"/>
    <n v="2936"/>
    <x v="14"/>
    <n v="2936"/>
    <s v="Escobedo"/>
    <s v="Hidalgo"/>
    <x v="19"/>
    <x v="2"/>
    <d v="2025-01-01T00:00:00"/>
    <x v="0"/>
    <x v="3"/>
  </r>
  <r>
    <x v="75"/>
    <x v="0"/>
    <n v="1"/>
    <d v="2025-01-16T00:00:00"/>
    <d v="2025-01-16T00:00:00"/>
    <d v="2025-01-16T00:00:00"/>
    <d v="2025-01-16T00:00:00"/>
    <d v="2025-01-16T11:06:06"/>
    <n v="2039"/>
    <s v="610429"/>
    <s v="Sprinter"/>
    <n v="50"/>
    <n v="50"/>
    <s v="4366XC"/>
    <n v="1"/>
    <n v="150"/>
    <b v="1"/>
    <b v="0"/>
    <b v="0"/>
    <n v="216"/>
    <n v="0"/>
    <s v=""/>
    <s v=""/>
    <n v="50"/>
    <n v="2936"/>
    <x v="14"/>
    <n v="2936"/>
    <s v="Escobedo"/>
    <s v="Hidalgo"/>
    <x v="19"/>
    <x v="2"/>
    <d v="2025-01-01T00:00:00"/>
    <x v="0"/>
    <x v="3"/>
  </r>
  <r>
    <x v="76"/>
    <x v="0"/>
    <n v="1"/>
    <d v="2025-01-16T00:00:00"/>
    <d v="2025-01-16T00:00:00"/>
    <d v="2025-01-16T00:00:00"/>
    <d v="2025-01-16T00:00:00"/>
    <d v="2025-01-16T11:06:45"/>
    <n v="2039"/>
    <s v="610429"/>
    <s v="Sprinter"/>
    <n v="50"/>
    <n v="50"/>
    <s v="4366XC"/>
    <n v="1"/>
    <n v="150"/>
    <b v="1"/>
    <b v="0"/>
    <b v="0"/>
    <n v="216"/>
    <n v="0"/>
    <s v=""/>
    <s v=""/>
    <n v="50"/>
    <n v="2936"/>
    <x v="14"/>
    <n v="2936"/>
    <s v="Escobedo"/>
    <s v="Hidalgo"/>
    <x v="19"/>
    <x v="2"/>
    <d v="2025-01-01T00:00:00"/>
    <x v="0"/>
    <x v="3"/>
  </r>
  <r>
    <x v="77"/>
    <x v="0"/>
    <n v="1"/>
    <d v="2025-01-16T00:00:00"/>
    <d v="2025-01-16T00:00:00"/>
    <d v="2025-01-16T00:00:00"/>
    <d v="2025-01-16T00:00:00"/>
    <d v="2025-01-16T11:07:25"/>
    <n v="2039"/>
    <s v="610429"/>
    <s v="Sprinter"/>
    <n v="50"/>
    <n v="50"/>
    <s v="4366XC"/>
    <n v="1"/>
    <n v="150"/>
    <b v="1"/>
    <b v="0"/>
    <b v="0"/>
    <n v="216"/>
    <n v="0"/>
    <s v=""/>
    <s v=""/>
    <n v="50"/>
    <n v="2936"/>
    <x v="14"/>
    <n v="2936"/>
    <s v="Escobedo"/>
    <s v="Hidalgo"/>
    <x v="19"/>
    <x v="2"/>
    <d v="2025-01-01T00:00:00"/>
    <x v="0"/>
    <x v="3"/>
  </r>
  <r>
    <x v="78"/>
    <x v="0"/>
    <n v="1"/>
    <d v="2025-01-16T00:00:00"/>
    <d v="2025-01-16T00:00:00"/>
    <d v="2025-01-16T00:00:00"/>
    <d v="2025-01-16T00:00:00"/>
    <d v="2025-01-16T11:08:10"/>
    <n v="2039"/>
    <s v="610429"/>
    <s v="Sprinter"/>
    <n v="50"/>
    <n v="50"/>
    <s v="4366XC"/>
    <n v="1"/>
    <n v="150"/>
    <b v="1"/>
    <b v="0"/>
    <b v="0"/>
    <n v="216"/>
    <n v="0"/>
    <s v=""/>
    <s v=""/>
    <n v="50"/>
    <n v="2936"/>
    <x v="14"/>
    <n v="2936"/>
    <s v="Escobedo"/>
    <s v="Hidalgo"/>
    <x v="19"/>
    <x v="2"/>
    <d v="2025-01-01T00:00:00"/>
    <x v="0"/>
    <x v="3"/>
  </r>
  <r>
    <x v="79"/>
    <x v="0"/>
    <n v="1"/>
    <d v="2025-01-16T00:00:00"/>
    <d v="2025-01-16T00:00:00"/>
    <d v="2025-01-16T00:00:00"/>
    <d v="2025-01-16T00:00:00"/>
    <d v="2025-01-16T11:08:51"/>
    <n v="2039"/>
    <s v="610429"/>
    <s v="Sprinter"/>
    <n v="50"/>
    <n v="50"/>
    <s v="4366XC"/>
    <n v="1"/>
    <n v="150"/>
    <b v="1"/>
    <b v="0"/>
    <b v="0"/>
    <n v="216"/>
    <n v="0"/>
    <s v=""/>
    <s v=""/>
    <n v="50"/>
    <n v="359"/>
    <x v="14"/>
    <n v="359"/>
    <s v="Escobedo"/>
    <s v="Escobedo"/>
    <x v="0"/>
    <x v="2"/>
    <d v="2025-01-01T00:00:00"/>
    <x v="0"/>
    <x v="3"/>
  </r>
  <r>
    <x v="80"/>
    <x v="0"/>
    <n v="1"/>
    <d v="2025-01-16T00:00:00"/>
    <d v="2025-01-16T00:00:00"/>
    <d v="2025-01-16T00:00:00"/>
    <d v="2025-01-16T00:00:00"/>
    <d v="2025-01-16T11:09:42"/>
    <n v="2039"/>
    <s v="610429"/>
    <s v="Sprinter"/>
    <n v="50"/>
    <n v="50"/>
    <s v="4366XC"/>
    <n v="1"/>
    <n v="150"/>
    <b v="1"/>
    <b v="0"/>
    <b v="0"/>
    <n v="216"/>
    <n v="0"/>
    <s v=""/>
    <s v=""/>
    <n v="50"/>
    <n v="2936"/>
    <x v="14"/>
    <n v="2936"/>
    <s v="Escobedo"/>
    <s v="Hidalgo"/>
    <x v="19"/>
    <x v="2"/>
    <d v="2025-01-01T00:00:00"/>
    <x v="0"/>
    <x v="3"/>
  </r>
  <r>
    <x v="81"/>
    <x v="0"/>
    <n v="1"/>
    <d v="2025-01-16T00:00:00"/>
    <d v="2025-01-16T00:00:00"/>
    <d v="2025-01-16T00:00:00"/>
    <d v="2025-01-16T00:00:00"/>
    <d v="2025-01-16T11:12:05"/>
    <n v="2050"/>
    <s v="626955"/>
    <s v="Sprinter"/>
    <n v="50"/>
    <n v="50"/>
    <s v="6551XC"/>
    <n v="1"/>
    <n v="150"/>
    <b v="1"/>
    <b v="0"/>
    <b v="0"/>
    <n v="216"/>
    <n v="0"/>
    <s v=""/>
    <s v=""/>
    <n v="50"/>
    <n v="2936"/>
    <x v="14"/>
    <n v="2936"/>
    <s v="Escobedo"/>
    <s v="Hidalgo"/>
    <x v="19"/>
    <x v="0"/>
    <d v="2025-01-01T00:00:00"/>
    <x v="0"/>
    <x v="3"/>
  </r>
  <r>
    <x v="82"/>
    <x v="0"/>
    <n v="1"/>
    <d v="2025-01-17T00:00:00"/>
    <d v="2025-01-17T00:00:00"/>
    <d v="2025-01-17T00:00:00"/>
    <d v="2025-01-17T00:00:00"/>
    <d v="2025-01-17T17:16:15"/>
    <n v="2039"/>
    <s v="610429"/>
    <s v="Sprinter"/>
    <n v="50"/>
    <n v="50"/>
    <s v="4366XC"/>
    <n v="1"/>
    <n v="150"/>
    <b v="1"/>
    <b v="0"/>
    <b v="0"/>
    <n v="216"/>
    <n v="0"/>
    <s v=""/>
    <s v=""/>
    <n v="50"/>
    <n v="2936"/>
    <x v="6"/>
    <n v="2936"/>
    <s v="Escobedo"/>
    <s v="Hidalgo"/>
    <x v="19"/>
    <x v="2"/>
    <d v="2025-01-01T00:00:00"/>
    <x v="0"/>
    <x v="3"/>
  </r>
  <r>
    <x v="83"/>
    <x v="0"/>
    <n v="1"/>
    <d v="2025-01-17T00:00:00"/>
    <d v="2025-01-17T00:00:00"/>
    <d v="2025-01-17T00:00:00"/>
    <d v="2025-01-17T00:00:00"/>
    <d v="2025-01-17T17:16:42"/>
    <n v="2039"/>
    <s v="610429"/>
    <s v="Sprinter"/>
    <n v="50"/>
    <n v="50"/>
    <s v="4366XC"/>
    <n v="1"/>
    <n v="150"/>
    <b v="1"/>
    <b v="0"/>
    <b v="0"/>
    <n v="216"/>
    <n v="0"/>
    <s v=""/>
    <s v=""/>
    <n v="50"/>
    <n v="2936"/>
    <x v="6"/>
    <n v="2936"/>
    <s v="Escobedo"/>
    <s v="Hidalgo"/>
    <x v="19"/>
    <x v="2"/>
    <d v="2025-01-01T00:00:00"/>
    <x v="0"/>
    <x v="3"/>
  </r>
  <r>
    <x v="84"/>
    <x v="0"/>
    <n v="1"/>
    <d v="2025-01-17T00:00:00"/>
    <d v="2025-01-17T00:00:00"/>
    <d v="2025-01-17T00:00:00"/>
    <d v="2025-01-17T00:00:00"/>
    <d v="2025-01-17T20:23:16"/>
    <n v="2039"/>
    <s v="610429"/>
    <s v="Sprinter"/>
    <n v="50"/>
    <n v="50"/>
    <s v="4366XC"/>
    <n v="1"/>
    <n v="150"/>
    <b v="1"/>
    <b v="0"/>
    <b v="0"/>
    <n v="216"/>
    <n v="0"/>
    <s v=""/>
    <s v=""/>
    <n v="50"/>
    <n v="2936"/>
    <x v="6"/>
    <n v="2936"/>
    <s v="Escobedo"/>
    <s v="Hidalgo"/>
    <x v="19"/>
    <x v="2"/>
    <d v="2025-01-01T00:00:00"/>
    <x v="0"/>
    <x v="3"/>
  </r>
  <r>
    <x v="85"/>
    <x v="0"/>
    <n v="1"/>
    <d v="2025-01-18T00:00:00"/>
    <d v="2025-01-18T00:00:00"/>
    <d v="2025-01-18T00:00:00"/>
    <d v="2025-01-18T00:00:00"/>
    <d v="2025-01-18T12:39:33"/>
    <n v="2039"/>
    <s v="610429"/>
    <s v="Sprinter"/>
    <n v="50"/>
    <n v="50"/>
    <s v="4366XC"/>
    <n v="1"/>
    <n v="150"/>
    <b v="1"/>
    <b v="0"/>
    <b v="0"/>
    <n v="216"/>
    <n v="0"/>
    <s v=""/>
    <s v=""/>
    <n v="50"/>
    <n v="359"/>
    <x v="6"/>
    <n v="359"/>
    <s v="Escobedo"/>
    <s v="Escobedo"/>
    <x v="0"/>
    <x v="2"/>
    <d v="2025-01-01T00:00:00"/>
    <x v="0"/>
    <x v="3"/>
  </r>
  <r>
    <x v="86"/>
    <x v="0"/>
    <n v="1"/>
    <d v="2025-01-18T00:00:00"/>
    <d v="2025-01-18T00:00:00"/>
    <d v="2025-01-18T00:00:00"/>
    <d v="2025-01-18T00:00:00"/>
    <d v="2025-01-18T12:45:03"/>
    <n v="2039"/>
    <s v="610429"/>
    <s v="Sprinter"/>
    <n v="50"/>
    <n v="50"/>
    <s v="4366XC"/>
    <n v="1"/>
    <n v="150"/>
    <b v="1"/>
    <b v="0"/>
    <b v="0"/>
    <n v="216"/>
    <n v="0"/>
    <s v=""/>
    <s v=""/>
    <n v="50"/>
    <n v="2936"/>
    <x v="6"/>
    <n v="2936"/>
    <s v="Escobedo"/>
    <s v="Hidalgo"/>
    <x v="19"/>
    <x v="2"/>
    <d v="2025-01-01T00:00:00"/>
    <x v="0"/>
    <x v="3"/>
  </r>
  <r>
    <x v="87"/>
    <x v="0"/>
    <n v="1"/>
    <d v="2025-01-18T00:00:00"/>
    <d v="2025-01-18T00:00:00"/>
    <d v="2025-01-18T00:00:00"/>
    <d v="2025-01-18T00:00:00"/>
    <d v="2025-01-18T12:50:47"/>
    <n v="2039"/>
    <s v="610429"/>
    <s v="Sprinter"/>
    <n v="50"/>
    <n v="50"/>
    <s v="4366XC"/>
    <n v="1"/>
    <n v="150"/>
    <b v="1"/>
    <b v="0"/>
    <b v="0"/>
    <n v="216"/>
    <n v="0"/>
    <s v=""/>
    <s v=""/>
    <n v="50"/>
    <n v="2936"/>
    <x v="6"/>
    <n v="2936"/>
    <s v="Escobedo"/>
    <s v="Hidalgo"/>
    <x v="19"/>
    <x v="2"/>
    <d v="2025-01-01T00:00:00"/>
    <x v="0"/>
    <x v="3"/>
  </r>
  <r>
    <x v="88"/>
    <x v="0"/>
    <n v="1"/>
    <d v="2025-01-18T00:00:00"/>
    <d v="2025-01-18T00:00:00"/>
    <d v="2025-01-18T00:00:00"/>
    <d v="2025-01-18T00:00:00"/>
    <d v="2025-01-18T12:52:47"/>
    <n v="2039"/>
    <s v="610429"/>
    <s v="Sprinter"/>
    <n v="50"/>
    <n v="50"/>
    <s v="4366XC"/>
    <n v="1"/>
    <n v="150"/>
    <b v="1"/>
    <b v="0"/>
    <b v="0"/>
    <n v="216"/>
    <n v="0"/>
    <s v=""/>
    <s v=""/>
    <n v="50"/>
    <n v="359"/>
    <x v="6"/>
    <n v="359"/>
    <s v="Escobedo"/>
    <s v="Escobedo"/>
    <x v="0"/>
    <x v="2"/>
    <d v="2025-01-01T00:00:00"/>
    <x v="0"/>
    <x v="3"/>
  </r>
  <r>
    <x v="89"/>
    <x v="0"/>
    <n v="1"/>
    <d v="2025-01-18T00:00:00"/>
    <d v="2025-01-18T00:00:00"/>
    <d v="2025-01-18T00:00:00"/>
    <d v="2025-01-18T00:00:00"/>
    <d v="2025-01-18T12:53:13"/>
    <n v="2039"/>
    <s v="610429"/>
    <s v="Sprinter"/>
    <n v="50"/>
    <n v="50"/>
    <s v="4366XC"/>
    <n v="1"/>
    <n v="150"/>
    <b v="1"/>
    <b v="0"/>
    <b v="0"/>
    <n v="216"/>
    <n v="0"/>
    <s v=""/>
    <s v=""/>
    <n v="50"/>
    <n v="2936"/>
    <x v="6"/>
    <n v="2936"/>
    <s v="Escobedo"/>
    <s v="Hidalgo"/>
    <x v="19"/>
    <x v="2"/>
    <d v="2025-01-01T00:00:00"/>
    <x v="0"/>
    <x v="3"/>
  </r>
  <r>
    <x v="90"/>
    <x v="0"/>
    <n v="1"/>
    <d v="2025-01-18T00:00:00"/>
    <d v="2025-01-18T00:00:00"/>
    <d v="2025-01-18T00:00:00"/>
    <d v="2025-01-18T00:00:00"/>
    <d v="2025-01-18T12:53:46"/>
    <n v="2039"/>
    <s v="610429"/>
    <s v="Sprinter"/>
    <n v="50"/>
    <n v="50"/>
    <s v="4366XC"/>
    <n v="1"/>
    <n v="150"/>
    <b v="1"/>
    <b v="0"/>
    <b v="0"/>
    <n v="216"/>
    <n v="0"/>
    <s v=""/>
    <s v=""/>
    <n v="50"/>
    <n v="359"/>
    <x v="6"/>
    <n v="359"/>
    <s v="Escobedo"/>
    <s v="Escobedo"/>
    <x v="0"/>
    <x v="2"/>
    <d v="2025-01-01T00:00:00"/>
    <x v="0"/>
    <x v="3"/>
  </r>
  <r>
    <x v="91"/>
    <x v="0"/>
    <n v="1"/>
    <d v="2025-01-18T00:00:00"/>
    <d v="2025-01-18T00:00:00"/>
    <d v="2025-01-18T00:00:00"/>
    <d v="2025-01-18T00:00:00"/>
    <d v="2025-01-18T12:54:15"/>
    <n v="2039"/>
    <s v="610429"/>
    <s v="Sprinter"/>
    <n v="50"/>
    <n v="50"/>
    <s v="4366XC"/>
    <n v="1"/>
    <n v="150"/>
    <b v="1"/>
    <b v="0"/>
    <b v="0"/>
    <n v="216"/>
    <n v="0"/>
    <s v=""/>
    <s v=""/>
    <n v="50"/>
    <n v="359"/>
    <x v="6"/>
    <n v="359"/>
    <s v="Escobedo"/>
    <s v="Escobedo"/>
    <x v="0"/>
    <x v="2"/>
    <d v="2025-01-01T00:00:00"/>
    <x v="0"/>
    <x v="3"/>
  </r>
  <r>
    <x v="92"/>
    <x v="0"/>
    <n v="1"/>
    <d v="2025-01-18T00:00:00"/>
    <d v="2025-01-18T00:00:00"/>
    <d v="2025-01-18T00:00:00"/>
    <d v="2025-01-18T00:00:00"/>
    <d v="2025-01-18T12:55:11"/>
    <n v="2039"/>
    <s v="610429"/>
    <s v="Sprinter"/>
    <n v="50"/>
    <n v="50"/>
    <s v="4366XC"/>
    <n v="1"/>
    <n v="150"/>
    <b v="1"/>
    <b v="0"/>
    <b v="0"/>
    <n v="216"/>
    <n v="0"/>
    <s v=""/>
    <s v=""/>
    <n v="50"/>
    <n v="359"/>
    <x v="6"/>
    <n v="359"/>
    <s v="Escobedo"/>
    <s v="Escobedo"/>
    <x v="0"/>
    <x v="2"/>
    <d v="2025-01-01T00:00:00"/>
    <x v="0"/>
    <x v="3"/>
  </r>
  <r>
    <x v="93"/>
    <x v="0"/>
    <n v="1"/>
    <d v="2025-01-18T00:00:00"/>
    <d v="2025-01-18T00:00:00"/>
    <d v="2025-01-18T00:00:00"/>
    <d v="2025-01-18T00:00:00"/>
    <d v="2025-01-18T12:56:18"/>
    <n v="2039"/>
    <s v="610429"/>
    <s v="Sprinter"/>
    <n v="50"/>
    <n v="50"/>
    <s v="4366XC"/>
    <n v="1"/>
    <n v="150"/>
    <b v="1"/>
    <b v="0"/>
    <b v="0"/>
    <n v="216"/>
    <n v="0"/>
    <s v=""/>
    <s v=""/>
    <n v="50"/>
    <n v="359"/>
    <x v="6"/>
    <n v="359"/>
    <s v="Escobedo"/>
    <s v="Escobedo"/>
    <x v="0"/>
    <x v="2"/>
    <d v="2025-01-01T00:00:00"/>
    <x v="0"/>
    <x v="3"/>
  </r>
  <r>
    <x v="94"/>
    <x v="0"/>
    <n v="1"/>
    <d v="2025-01-18T00:00:00"/>
    <d v="2024-06-20T00:00:00"/>
    <d v="2025-01-18T00:00:00"/>
    <d v="2025-01-18T00:00:00"/>
    <d v="2025-01-19T00:00:00"/>
    <n v="2050"/>
    <s v="626955"/>
    <s v="Sprinter"/>
    <n v="961"/>
    <n v="1059"/>
    <s v="6551XC"/>
    <n v="1"/>
    <n v="964"/>
    <b v="1"/>
    <b v="0"/>
    <b v="0"/>
    <n v="1396"/>
    <n v="0"/>
    <s v=""/>
    <s v=""/>
    <n v="1100"/>
    <n v="8"/>
    <x v="15"/>
    <n v="8"/>
    <s v="Escobedo"/>
    <s v="Cd Sahagún"/>
    <x v="3"/>
    <x v="0"/>
    <d v="2025-01-01T00:00:00"/>
    <x v="0"/>
    <x v="3"/>
  </r>
  <r>
    <x v="95"/>
    <x v="0"/>
    <n v="1"/>
    <d v="2025-01-20T00:00:00"/>
    <d v="2025-01-20T00:00:00"/>
    <d v="2025-01-20T00:00:00"/>
    <d v="2025-01-20T00:00:00"/>
    <d v="2025-01-20T16:21:20"/>
    <n v="2039"/>
    <s v="610429"/>
    <s v="Sprinter"/>
    <n v="50"/>
    <n v="50"/>
    <s v="4366XC"/>
    <n v="1"/>
    <n v="150"/>
    <b v="1"/>
    <b v="0"/>
    <b v="0"/>
    <n v="216"/>
    <n v="0"/>
    <s v=""/>
    <s v=""/>
    <n v="50"/>
    <n v="2936"/>
    <x v="6"/>
    <n v="2936"/>
    <s v="Escobedo"/>
    <s v="Hidalgo"/>
    <x v="19"/>
    <x v="2"/>
    <d v="2025-01-01T00:00:00"/>
    <x v="0"/>
    <x v="3"/>
  </r>
  <r>
    <x v="96"/>
    <x v="0"/>
    <n v="1"/>
    <d v="2025-01-20T00:00:00"/>
    <d v="2025-01-20T00:00:00"/>
    <d v="2025-01-20T00:00:00"/>
    <d v="2025-01-20T00:00:00"/>
    <d v="2025-01-20T16:20:19"/>
    <n v="2050"/>
    <s v="626955"/>
    <s v="Sprinter"/>
    <n v="50"/>
    <n v="50"/>
    <s v="6551XC"/>
    <n v="1"/>
    <n v="150"/>
    <b v="1"/>
    <b v="0"/>
    <b v="0"/>
    <n v="216"/>
    <n v="0"/>
    <s v=""/>
    <s v=""/>
    <n v="50"/>
    <n v="2936"/>
    <x v="6"/>
    <n v="2936"/>
    <s v="Escobedo"/>
    <s v="Hidalgo"/>
    <x v="19"/>
    <x v="0"/>
    <d v="2025-01-01T00:00:00"/>
    <x v="0"/>
    <x v="3"/>
  </r>
  <r>
    <x v="97"/>
    <x v="0"/>
    <n v="1"/>
    <d v="2025-01-20T00:00:00"/>
    <d v="2025-01-20T00:00:00"/>
    <d v="2025-01-20T00:00:00"/>
    <d v="2025-01-20T00:00:00"/>
    <d v="2025-01-20T17:47:23"/>
    <n v="2050"/>
    <s v="626955"/>
    <s v="Sprinter"/>
    <n v="50"/>
    <n v="50"/>
    <s v="6551XC"/>
    <n v="1"/>
    <n v="150"/>
    <b v="1"/>
    <b v="0"/>
    <b v="0"/>
    <n v="216"/>
    <n v="0"/>
    <s v=""/>
    <s v=""/>
    <n v="50"/>
    <n v="2936"/>
    <x v="6"/>
    <n v="2936"/>
    <s v="Escobedo"/>
    <s v="Hidalgo"/>
    <x v="19"/>
    <x v="0"/>
    <d v="2025-01-01T00:00:00"/>
    <x v="0"/>
    <x v="3"/>
  </r>
  <r>
    <x v="98"/>
    <x v="0"/>
    <n v="1"/>
    <d v="2025-01-20T00:00:00"/>
    <d v="2025-01-20T00:00:00"/>
    <d v="2025-01-20T00:00:00"/>
    <d v="2025-01-20T00:00:00"/>
    <d v="2025-01-20T17:47:21"/>
    <n v="2050"/>
    <s v="626955"/>
    <s v="Sprinter"/>
    <n v="50"/>
    <n v="50"/>
    <s v="6551XC"/>
    <n v="1"/>
    <n v="150"/>
    <b v="1"/>
    <b v="0"/>
    <b v="0"/>
    <n v="216"/>
    <n v="0"/>
    <s v=""/>
    <s v=""/>
    <n v="50"/>
    <n v="359"/>
    <x v="6"/>
    <n v="359"/>
    <s v="Escobedo"/>
    <s v="Escobedo"/>
    <x v="0"/>
    <x v="0"/>
    <d v="2025-01-01T00:00:00"/>
    <x v="0"/>
    <x v="3"/>
  </r>
  <r>
    <x v="99"/>
    <x v="0"/>
    <n v="1"/>
    <d v="2025-01-20T00:00:00"/>
    <d v="2025-01-20T00:00:00"/>
    <d v="2025-01-20T00:00:00"/>
    <d v="2025-01-20T00:00:00"/>
    <d v="2025-01-20T17:47:22"/>
    <n v="2050"/>
    <s v="626955"/>
    <s v="Sprinter"/>
    <n v="50"/>
    <n v="50"/>
    <s v="6551XC"/>
    <n v="1"/>
    <n v="150"/>
    <b v="1"/>
    <b v="0"/>
    <b v="0"/>
    <n v="216"/>
    <n v="0"/>
    <s v=""/>
    <s v=""/>
    <n v="50"/>
    <n v="359"/>
    <x v="6"/>
    <n v="359"/>
    <s v="Escobedo"/>
    <s v="Escobedo"/>
    <x v="0"/>
    <x v="0"/>
    <d v="2025-01-01T00:00:00"/>
    <x v="0"/>
    <x v="3"/>
  </r>
  <r>
    <x v="100"/>
    <x v="0"/>
    <n v="1"/>
    <d v="2025-01-20T00:00:00"/>
    <d v="2025-01-20T00:00:00"/>
    <d v="2025-01-20T00:00:00"/>
    <d v="2025-01-20T00:00:00"/>
    <d v="2025-01-20T18:47:52"/>
    <n v="2039"/>
    <s v="610429"/>
    <s v="Sprinter"/>
    <n v="50"/>
    <n v="50"/>
    <s v="4366XC"/>
    <n v="1"/>
    <n v="150"/>
    <b v="1"/>
    <b v="0"/>
    <b v="0"/>
    <n v="216"/>
    <n v="0"/>
    <s v=""/>
    <s v=""/>
    <n v="50"/>
    <n v="2936"/>
    <x v="6"/>
    <n v="2936"/>
    <s v="Escobedo"/>
    <s v="Hidalgo"/>
    <x v="19"/>
    <x v="2"/>
    <d v="2025-01-01T00:00:00"/>
    <x v="0"/>
    <x v="3"/>
  </r>
  <r>
    <x v="101"/>
    <x v="0"/>
    <n v="1"/>
    <d v="2025-01-20T00:00:00"/>
    <d v="2025-01-20T00:00:00"/>
    <d v="2025-01-20T00:00:00"/>
    <d v="2025-01-20T00:00:00"/>
    <d v="2025-01-20T18:48:34"/>
    <n v="2039"/>
    <s v="610429"/>
    <s v="Sprinter"/>
    <n v="50"/>
    <n v="50"/>
    <s v="4366XC"/>
    <n v="1"/>
    <n v="150"/>
    <b v="1"/>
    <b v="0"/>
    <b v="0"/>
    <n v="216"/>
    <n v="0"/>
    <s v=""/>
    <s v=""/>
    <n v="50"/>
    <n v="2936"/>
    <x v="6"/>
    <n v="2936"/>
    <s v="Escobedo"/>
    <s v="Hidalgo"/>
    <x v="19"/>
    <x v="2"/>
    <d v="2025-01-01T00:00:00"/>
    <x v="0"/>
    <x v="3"/>
  </r>
  <r>
    <x v="102"/>
    <x v="0"/>
    <n v="1"/>
    <d v="2025-01-20T00:00:00"/>
    <d v="2025-01-20T00:00:00"/>
    <d v="2025-01-20T00:00:00"/>
    <d v="2025-01-20T00:00:00"/>
    <d v="2025-01-20T18:49:03"/>
    <n v="2039"/>
    <s v="610429"/>
    <s v="Sprinter"/>
    <n v="50"/>
    <n v="50"/>
    <s v="4366XC"/>
    <n v="1"/>
    <n v="150"/>
    <b v="1"/>
    <b v="0"/>
    <b v="0"/>
    <n v="216"/>
    <n v="0"/>
    <s v=""/>
    <s v=""/>
    <n v="50"/>
    <n v="2936"/>
    <x v="6"/>
    <n v="2936"/>
    <s v="Escobedo"/>
    <s v="Hidalgo"/>
    <x v="19"/>
    <x v="2"/>
    <d v="2025-01-01T00:00:00"/>
    <x v="0"/>
    <x v="3"/>
  </r>
  <r>
    <x v="103"/>
    <x v="0"/>
    <n v="1"/>
    <d v="2025-01-20T00:00:00"/>
    <d v="2025-01-20T00:00:00"/>
    <d v="2025-01-20T00:00:00"/>
    <d v="2025-01-20T00:00:00"/>
    <d v="2025-01-20T18:49:34"/>
    <n v="2039"/>
    <s v="610429"/>
    <s v="Sprinter"/>
    <n v="50"/>
    <n v="50"/>
    <s v="4366XC"/>
    <n v="1"/>
    <n v="150"/>
    <b v="1"/>
    <b v="0"/>
    <b v="0"/>
    <n v="216"/>
    <n v="0"/>
    <s v=""/>
    <s v=""/>
    <n v="50"/>
    <n v="2936"/>
    <x v="6"/>
    <n v="2936"/>
    <s v="Escobedo"/>
    <s v="Hidalgo"/>
    <x v="19"/>
    <x v="2"/>
    <d v="2025-01-01T00:00:00"/>
    <x v="0"/>
    <x v="3"/>
  </r>
  <r>
    <x v="104"/>
    <x v="0"/>
    <n v="1"/>
    <d v="2025-01-20T00:00:00"/>
    <d v="2025-01-20T00:00:00"/>
    <d v="2025-01-20T00:00:00"/>
    <d v="2025-01-20T00:00:00"/>
    <d v="2025-01-20T18:59:47"/>
    <n v="2039"/>
    <s v="610429"/>
    <s v="Sprinter"/>
    <n v="50"/>
    <n v="50"/>
    <s v="4366XC"/>
    <n v="1"/>
    <n v="150"/>
    <b v="1"/>
    <b v="0"/>
    <b v="0"/>
    <n v="216"/>
    <n v="0"/>
    <s v=""/>
    <s v=""/>
    <n v="50"/>
    <n v="359"/>
    <x v="6"/>
    <n v="359"/>
    <s v="Escobedo"/>
    <s v="Escobedo"/>
    <x v="0"/>
    <x v="2"/>
    <d v="2025-01-01T00:00:00"/>
    <x v="0"/>
    <x v="3"/>
  </r>
  <r>
    <x v="105"/>
    <x v="0"/>
    <n v="1"/>
    <d v="2025-01-20T00:00:00"/>
    <d v="2025-01-20T00:00:00"/>
    <d v="2025-01-21T00:00:00"/>
    <d v="2025-01-20T00:00:00"/>
    <d v="2025-01-21T00:00:00"/>
    <n v="1990"/>
    <s v="775908"/>
    <s v="4700*175*195"/>
    <n v="961"/>
    <n v="1059"/>
    <s v="3663XC"/>
    <n v="1"/>
    <n v="964"/>
    <b v="1"/>
    <b v="0"/>
    <b v="0"/>
    <n v="1396"/>
    <n v="0"/>
    <s v=""/>
    <s v=""/>
    <n v="1100"/>
    <n v="8"/>
    <x v="7"/>
    <n v="8"/>
    <s v="Escobedo"/>
    <s v="Cd Sahagún"/>
    <x v="3"/>
    <x v="1"/>
    <d v="2025-01-01T00:00:00"/>
    <x v="0"/>
    <x v="3"/>
  </r>
  <r>
    <x v="106"/>
    <x v="0"/>
    <n v="1"/>
    <d v="2025-01-14T00:00:00"/>
    <d v="2025-01-14T00:00:00"/>
    <d v="2025-01-14T00:00:00"/>
    <d v="2025-01-14T00:00:00"/>
    <d v="2025-01-21T11:17:05"/>
    <n v="2050"/>
    <s v="626955"/>
    <s v="Sprinter"/>
    <n v="50"/>
    <n v="50"/>
    <s v="6551XC"/>
    <n v="1"/>
    <n v="150"/>
    <b v="1"/>
    <b v="0"/>
    <b v="0"/>
    <n v="216"/>
    <n v="0"/>
    <s v=""/>
    <s v=""/>
    <n v="50"/>
    <n v="461"/>
    <x v="15"/>
    <n v="461"/>
    <s v="Escobedo"/>
    <s v="Monterrey"/>
    <x v="7"/>
    <x v="0"/>
    <d v="2025-01-01T00:00:00"/>
    <x v="0"/>
    <x v="3"/>
  </r>
  <r>
    <x v="107"/>
    <x v="0"/>
    <n v="1"/>
    <d v="2025-01-15T00:00:00"/>
    <d v="2025-01-15T00:00:00"/>
    <d v="2025-01-15T00:00:00"/>
    <d v="2025-01-15T00:00:00"/>
    <d v="2025-01-21T11:17:05"/>
    <n v="2050"/>
    <s v="626955"/>
    <s v="Sprinter"/>
    <n v="50"/>
    <n v="50"/>
    <s v="6551XC"/>
    <n v="1"/>
    <n v="150"/>
    <b v="1"/>
    <b v="0"/>
    <b v="0"/>
    <n v="216"/>
    <n v="0"/>
    <s v=""/>
    <s v=""/>
    <n v="50"/>
    <n v="461"/>
    <x v="15"/>
    <n v="461"/>
    <s v="Escobedo"/>
    <s v="Monterrey"/>
    <x v="7"/>
    <x v="0"/>
    <d v="2025-01-01T00:00:00"/>
    <x v="0"/>
    <x v="3"/>
  </r>
  <r>
    <x v="108"/>
    <x v="0"/>
    <n v="1"/>
    <d v="2025-01-16T00:00:00"/>
    <d v="2025-01-16T00:00:00"/>
    <d v="2025-01-16T00:00:00"/>
    <d v="2025-01-16T00:00:00"/>
    <d v="2025-01-21T11:17:06"/>
    <n v="2050"/>
    <s v="626955"/>
    <s v="Sprinter"/>
    <n v="50"/>
    <n v="50"/>
    <s v="6551XC"/>
    <n v="1"/>
    <n v="150"/>
    <b v="1"/>
    <b v="0"/>
    <b v="0"/>
    <n v="216"/>
    <n v="0"/>
    <s v=""/>
    <s v=""/>
    <n v="50"/>
    <n v="461"/>
    <x v="15"/>
    <n v="461"/>
    <s v="Escobedo"/>
    <s v="Monterrey"/>
    <x v="7"/>
    <x v="0"/>
    <d v="2025-01-01T00:00:00"/>
    <x v="0"/>
    <x v="3"/>
  </r>
  <r>
    <x v="109"/>
    <x v="0"/>
    <n v="1"/>
    <d v="2025-01-16T00:00:00"/>
    <d v="2025-01-16T00:00:00"/>
    <d v="2025-01-16T00:00:00"/>
    <d v="2025-01-16T00:00:00"/>
    <d v="2025-01-21T11:17:06"/>
    <n v="2050"/>
    <s v="626955"/>
    <s v="Sprinter"/>
    <n v="50"/>
    <n v="50"/>
    <s v="6551XC"/>
    <n v="1"/>
    <n v="150"/>
    <b v="1"/>
    <b v="0"/>
    <b v="0"/>
    <n v="216"/>
    <n v="0"/>
    <s v=""/>
    <s v=""/>
    <n v="50"/>
    <n v="461"/>
    <x v="15"/>
    <n v="461"/>
    <s v="Escobedo"/>
    <s v="Monterrey"/>
    <x v="7"/>
    <x v="0"/>
    <d v="2025-01-01T00:00:00"/>
    <x v="0"/>
    <x v="3"/>
  </r>
  <r>
    <x v="110"/>
    <x v="0"/>
    <n v="1"/>
    <d v="2025-01-21T00:00:00"/>
    <d v="2025-01-21T00:00:00"/>
    <d v="2025-01-22T00:00:00"/>
    <d v="2025-01-22T00:00:00"/>
    <d v="2025-01-21T11:17:04"/>
    <n v="2050"/>
    <s v="626955"/>
    <s v="Sprinter"/>
    <n v="50"/>
    <n v="50"/>
    <s v="6551XC"/>
    <n v="1"/>
    <n v="150"/>
    <b v="1"/>
    <b v="0"/>
    <b v="0"/>
    <n v="216"/>
    <n v="0"/>
    <s v=""/>
    <s v=""/>
    <n v="50"/>
    <n v="461"/>
    <x v="15"/>
    <n v="461"/>
    <s v="Escobedo"/>
    <s v="Monterrey"/>
    <x v="7"/>
    <x v="0"/>
    <d v="2025-01-01T00:00:00"/>
    <x v="0"/>
    <x v="3"/>
  </r>
  <r>
    <x v="111"/>
    <x v="0"/>
    <n v="1"/>
    <d v="2025-01-21T00:00:00"/>
    <d v="2025-01-21T00:00:00"/>
    <d v="2025-01-21T00:00:00"/>
    <d v="2025-01-21T00:00:00"/>
    <d v="2025-01-21T18:41:13"/>
    <n v="2039"/>
    <s v="610429"/>
    <s v="Sprinter"/>
    <n v="50"/>
    <n v="50"/>
    <s v="4366XC"/>
    <n v="1"/>
    <n v="150"/>
    <b v="1"/>
    <b v="0"/>
    <b v="0"/>
    <n v="216"/>
    <n v="0"/>
    <s v=""/>
    <s v=""/>
    <n v="50"/>
    <n v="2936"/>
    <x v="6"/>
    <n v="2936"/>
    <s v="Escobedo"/>
    <s v="Hidalgo"/>
    <x v="19"/>
    <x v="2"/>
    <d v="2025-01-01T00:00:00"/>
    <x v="0"/>
    <x v="3"/>
  </r>
  <r>
    <x v="112"/>
    <x v="0"/>
    <n v="1"/>
    <d v="2025-01-21T00:00:00"/>
    <d v="2025-01-21T00:00:00"/>
    <d v="2025-01-21T00:00:00"/>
    <d v="2025-01-21T00:00:00"/>
    <d v="2025-01-21T18:41:13"/>
    <n v="2039"/>
    <s v="610429"/>
    <s v="Sprinter"/>
    <n v="50"/>
    <n v="50"/>
    <s v="4366XC"/>
    <n v="1"/>
    <n v="150"/>
    <b v="1"/>
    <b v="0"/>
    <b v="0"/>
    <n v="216"/>
    <n v="0"/>
    <s v=""/>
    <s v=""/>
    <n v="50"/>
    <n v="2936"/>
    <x v="6"/>
    <n v="2936"/>
    <s v="Escobedo"/>
    <s v="Hidalgo"/>
    <x v="19"/>
    <x v="2"/>
    <d v="2025-01-01T00:00:00"/>
    <x v="0"/>
    <x v="3"/>
  </r>
  <r>
    <x v="113"/>
    <x v="0"/>
    <n v="1"/>
    <d v="2025-01-21T00:00:00"/>
    <d v="2025-01-21T00:00:00"/>
    <d v="2025-01-21T00:00:00"/>
    <d v="2025-01-21T00:00:00"/>
    <d v="2025-01-21T18:41:14"/>
    <n v="2039"/>
    <s v="610429"/>
    <s v="Sprinter"/>
    <n v="50"/>
    <n v="50"/>
    <s v="4366XC"/>
    <n v="1"/>
    <n v="150"/>
    <b v="1"/>
    <b v="0"/>
    <b v="0"/>
    <n v="216"/>
    <n v="0"/>
    <s v=""/>
    <s v=""/>
    <n v="50"/>
    <n v="2936"/>
    <x v="6"/>
    <n v="2936"/>
    <s v="Escobedo"/>
    <s v="Hidalgo"/>
    <x v="19"/>
    <x v="2"/>
    <d v="2025-01-01T00:00:00"/>
    <x v="0"/>
    <x v="3"/>
  </r>
  <r>
    <x v="114"/>
    <x v="0"/>
    <n v="1"/>
    <d v="2025-01-21T00:00:00"/>
    <d v="2025-01-21T00:00:00"/>
    <d v="2025-01-21T00:00:00"/>
    <d v="2025-01-21T00:00:00"/>
    <d v="2025-01-21T18:41:14"/>
    <n v="2039"/>
    <s v="610429"/>
    <s v="Sprinter"/>
    <n v="50"/>
    <n v="50"/>
    <s v="4366XC"/>
    <n v="1"/>
    <n v="150"/>
    <b v="1"/>
    <b v="0"/>
    <b v="0"/>
    <n v="216"/>
    <n v="0"/>
    <s v=""/>
    <s v=""/>
    <n v="50"/>
    <n v="359"/>
    <x v="6"/>
    <n v="359"/>
    <s v="Escobedo"/>
    <s v="Escobedo"/>
    <x v="0"/>
    <x v="2"/>
    <d v="2025-01-01T00:00:00"/>
    <x v="0"/>
    <x v="3"/>
  </r>
  <r>
    <x v="115"/>
    <x v="0"/>
    <n v="1"/>
    <d v="2025-01-21T00:00:00"/>
    <d v="2025-01-21T00:00:00"/>
    <d v="2025-01-22T00:00:00"/>
    <d v="2025-01-21T00:00:00"/>
    <d v="2025-01-22T00:00:00"/>
    <n v="2050"/>
    <s v="626955"/>
    <s v="Sprinter"/>
    <n v="961"/>
    <n v="1059"/>
    <s v="6551XC"/>
    <n v="1"/>
    <n v="964"/>
    <b v="1"/>
    <b v="0"/>
    <b v="0"/>
    <n v="1396"/>
    <n v="0"/>
    <s v=""/>
    <s v=""/>
    <n v="1100"/>
    <n v="8"/>
    <x v="7"/>
    <n v="8"/>
    <s v="Escobedo"/>
    <s v="Cd Sahagún"/>
    <x v="3"/>
    <x v="0"/>
    <d v="2025-01-01T00:00:00"/>
    <x v="0"/>
    <x v="3"/>
  </r>
  <r>
    <x v="116"/>
    <x v="0"/>
    <n v="1"/>
    <d v="2025-01-22T00:00:00"/>
    <d v="2025-01-22T00:00:00"/>
    <d v="2025-01-22T00:00:00"/>
    <d v="2025-01-22T00:00:00"/>
    <d v="2025-01-22T18:37:54"/>
    <n v="2039"/>
    <s v="610429"/>
    <s v="Sprinter"/>
    <n v="50"/>
    <n v="50"/>
    <s v="4366XC"/>
    <n v="1"/>
    <n v="150"/>
    <b v="1"/>
    <b v="0"/>
    <b v="0"/>
    <n v="216"/>
    <n v="0"/>
    <s v=""/>
    <s v=""/>
    <n v="50"/>
    <n v="2936"/>
    <x v="6"/>
    <n v="2936"/>
    <s v="Escobedo"/>
    <s v="Hidalgo"/>
    <x v="19"/>
    <x v="2"/>
    <d v="2025-01-01T00:00:00"/>
    <x v="0"/>
    <x v="3"/>
  </r>
  <r>
    <x v="117"/>
    <x v="0"/>
    <n v="1"/>
    <d v="2025-01-22T00:00:00"/>
    <d v="2025-01-22T00:00:00"/>
    <d v="2025-01-22T00:00:00"/>
    <d v="2025-01-22T00:00:00"/>
    <d v="2025-01-22T18:37:54"/>
    <n v="2039"/>
    <s v="610429"/>
    <s v="Sprinter"/>
    <n v="50"/>
    <n v="50"/>
    <s v="4366XC"/>
    <n v="1"/>
    <n v="150"/>
    <b v="1"/>
    <b v="0"/>
    <b v="0"/>
    <n v="216"/>
    <n v="0"/>
    <s v=""/>
    <s v=""/>
    <n v="50"/>
    <n v="2936"/>
    <x v="6"/>
    <n v="2936"/>
    <s v="Escobedo"/>
    <s v="Hidalgo"/>
    <x v="19"/>
    <x v="2"/>
    <d v="2025-01-01T00:00:00"/>
    <x v="0"/>
    <x v="3"/>
  </r>
  <r>
    <x v="118"/>
    <x v="0"/>
    <n v="1"/>
    <d v="2025-01-22T00:00:00"/>
    <d v="2025-01-22T00:00:00"/>
    <d v="2025-01-22T00:00:00"/>
    <d v="2025-01-22T00:00:00"/>
    <d v="2025-01-22T18:37:53"/>
    <n v="2039"/>
    <s v="610429"/>
    <s v="Sprinter"/>
    <n v="50"/>
    <n v="50"/>
    <s v="4366XC"/>
    <n v="1"/>
    <n v="150"/>
    <b v="1"/>
    <b v="0"/>
    <b v="0"/>
    <n v="216"/>
    <n v="0"/>
    <s v=""/>
    <s v=""/>
    <n v="50"/>
    <n v="359"/>
    <x v="6"/>
    <n v="359"/>
    <s v="Escobedo"/>
    <s v="Escobedo"/>
    <x v="0"/>
    <x v="2"/>
    <d v="2025-01-01T00:00:00"/>
    <x v="0"/>
    <x v="3"/>
  </r>
  <r>
    <x v="119"/>
    <x v="0"/>
    <n v="1"/>
    <d v="2025-01-22T00:00:00"/>
    <d v="2025-01-22T00:00:00"/>
    <d v="2025-01-22T00:00:00"/>
    <d v="2025-01-22T00:00:00"/>
    <d v="2025-01-22T18:37:52"/>
    <n v="2039"/>
    <s v="610429"/>
    <s v="Sprinter"/>
    <n v="50"/>
    <n v="50"/>
    <s v="4366XC"/>
    <n v="1"/>
    <n v="150"/>
    <b v="1"/>
    <b v="0"/>
    <b v="0"/>
    <n v="216"/>
    <n v="0"/>
    <s v=""/>
    <s v=""/>
    <n v="50"/>
    <n v="359"/>
    <x v="6"/>
    <n v="359"/>
    <s v="Escobedo"/>
    <s v="Escobedo"/>
    <x v="0"/>
    <x v="2"/>
    <d v="2025-01-01T00:00:00"/>
    <x v="0"/>
    <x v="3"/>
  </r>
  <r>
    <x v="120"/>
    <x v="0"/>
    <n v="1"/>
    <d v="2025-01-23T00:00:00"/>
    <d v="2025-01-23T00:00:00"/>
    <d v="2025-01-23T00:00:00"/>
    <d v="2025-01-23T00:00:00"/>
    <d v="2025-01-23T12:50:52"/>
    <n v="2039"/>
    <s v="610429"/>
    <s v="Sprinter"/>
    <n v="50"/>
    <n v="50"/>
    <s v="4366XC"/>
    <n v="1"/>
    <n v="150"/>
    <b v="1"/>
    <b v="0"/>
    <b v="0"/>
    <n v="216"/>
    <n v="0"/>
    <s v=""/>
    <s v=""/>
    <n v="50"/>
    <n v="2936"/>
    <x v="6"/>
    <n v="2936"/>
    <s v="Escobedo"/>
    <s v="Hidalgo"/>
    <x v="19"/>
    <x v="2"/>
    <d v="2025-01-01T00:00:00"/>
    <x v="0"/>
    <x v="3"/>
  </r>
  <r>
    <x v="121"/>
    <x v="0"/>
    <n v="1"/>
    <d v="2025-01-23T00:00:00"/>
    <d v="2025-01-23T00:00:00"/>
    <d v="2025-01-23T00:00:00"/>
    <d v="2025-01-23T00:00:00"/>
    <d v="2025-01-23T12:51:31"/>
    <n v="2039"/>
    <s v="610429"/>
    <s v="Sprinter"/>
    <n v="50"/>
    <n v="50"/>
    <s v="4366XC"/>
    <n v="1"/>
    <n v="150"/>
    <b v="1"/>
    <b v="0"/>
    <b v="0"/>
    <n v="216"/>
    <n v="0"/>
    <s v=""/>
    <s v=""/>
    <n v="50"/>
    <n v="359"/>
    <x v="6"/>
    <n v="359"/>
    <s v="Escobedo"/>
    <s v="Escobedo"/>
    <x v="0"/>
    <x v="2"/>
    <d v="2025-01-01T00:00:00"/>
    <x v="0"/>
    <x v="3"/>
  </r>
  <r>
    <x v="122"/>
    <x v="0"/>
    <n v="1"/>
    <d v="2025-01-23T00:00:00"/>
    <d v="2025-01-23T00:00:00"/>
    <d v="2025-01-23T00:00:00"/>
    <d v="2025-01-23T00:00:00"/>
    <d v="2025-01-23T12:52:03"/>
    <n v="2039"/>
    <s v="610429"/>
    <s v="Sprinter"/>
    <n v="50"/>
    <n v="50"/>
    <s v="4366XC"/>
    <n v="1"/>
    <n v="150"/>
    <b v="1"/>
    <b v="0"/>
    <b v="0"/>
    <n v="216"/>
    <n v="0"/>
    <s v=""/>
    <s v=""/>
    <n v="50"/>
    <n v="2936"/>
    <x v="6"/>
    <n v="2936"/>
    <s v="Escobedo"/>
    <s v="Hidalgo"/>
    <x v="19"/>
    <x v="2"/>
    <d v="2025-01-01T00:00:00"/>
    <x v="0"/>
    <x v="3"/>
  </r>
  <r>
    <x v="123"/>
    <x v="0"/>
    <n v="1"/>
    <d v="2025-01-23T00:00:00"/>
    <d v="2025-01-23T00:00:00"/>
    <d v="2025-01-23T00:00:00"/>
    <d v="2025-01-23T00:00:00"/>
    <d v="2025-01-23T12:52:37"/>
    <n v="2039"/>
    <s v="610429"/>
    <s v="Sprinter"/>
    <n v="50"/>
    <n v="50"/>
    <s v="4366XC"/>
    <n v="1"/>
    <n v="150"/>
    <b v="1"/>
    <b v="0"/>
    <b v="0"/>
    <n v="216"/>
    <n v="0"/>
    <s v=""/>
    <s v=""/>
    <n v="50"/>
    <n v="359"/>
    <x v="6"/>
    <n v="359"/>
    <s v="Escobedo"/>
    <s v="Escobedo"/>
    <x v="0"/>
    <x v="2"/>
    <d v="2025-01-01T00:00:00"/>
    <x v="0"/>
    <x v="3"/>
  </r>
  <r>
    <x v="124"/>
    <x v="0"/>
    <n v="1"/>
    <d v="2025-01-23T00:00:00"/>
    <d v="2025-01-23T00:00:00"/>
    <d v="2025-01-23T00:00:00"/>
    <d v="2025-01-23T00:00:00"/>
    <d v="2025-01-24T09:06:02"/>
    <n v="2039"/>
    <s v="610429"/>
    <s v="Sprinter"/>
    <n v="50"/>
    <n v="50"/>
    <s v="4366XC"/>
    <n v="1"/>
    <n v="150"/>
    <b v="1"/>
    <b v="0"/>
    <b v="0"/>
    <n v="216"/>
    <n v="0"/>
    <s v=""/>
    <s v=""/>
    <n v="50"/>
    <n v="2936"/>
    <x v="6"/>
    <n v="2936"/>
    <s v="Escobedo"/>
    <s v="Hidalgo"/>
    <x v="19"/>
    <x v="2"/>
    <d v="2025-01-01T00:00:00"/>
    <x v="0"/>
    <x v="3"/>
  </r>
  <r>
    <x v="125"/>
    <x v="0"/>
    <n v="1"/>
    <d v="2025-01-23T00:00:00"/>
    <d v="2025-01-23T00:00:00"/>
    <d v="2025-01-23T00:00:00"/>
    <d v="2025-01-23T00:00:00"/>
    <d v="2025-01-24T09:06:01"/>
    <n v="2039"/>
    <s v="610429"/>
    <s v="Sprinter"/>
    <n v="50"/>
    <n v="50"/>
    <s v="4366XC"/>
    <n v="1"/>
    <n v="150"/>
    <b v="1"/>
    <b v="0"/>
    <b v="0"/>
    <n v="216"/>
    <n v="0"/>
    <s v=""/>
    <s v=""/>
    <n v="50"/>
    <n v="2936"/>
    <x v="6"/>
    <n v="2936"/>
    <s v="Escobedo"/>
    <s v="Hidalgo"/>
    <x v="19"/>
    <x v="2"/>
    <d v="2025-01-01T00:00:00"/>
    <x v="0"/>
    <x v="3"/>
  </r>
  <r>
    <x v="126"/>
    <x v="0"/>
    <n v="1"/>
    <d v="2025-01-24T00:00:00"/>
    <d v="2025-01-24T00:00:00"/>
    <d v="2025-01-24T00:00:00"/>
    <d v="2025-01-24T00:00:00"/>
    <d v="2025-01-25T00:00:00"/>
    <n v="2050"/>
    <s v="626955"/>
    <s v="Sprinter"/>
    <n v="0"/>
    <n v="0"/>
    <s v="6551XC"/>
    <n v="1"/>
    <n v="0"/>
    <b v="1"/>
    <b v="1"/>
    <b v="0"/>
    <n v="0"/>
    <n v="0"/>
    <s v=""/>
    <s v=""/>
    <n v="0"/>
    <n v="359"/>
    <x v="8"/>
    <n v="359"/>
    <s v="Escobedo"/>
    <s v="Escobedo"/>
    <x v="0"/>
    <x v="0"/>
    <d v="2025-01-01T00:00:00"/>
    <x v="0"/>
    <x v="3"/>
  </r>
  <r>
    <x v="127"/>
    <x v="0"/>
    <n v="1"/>
    <d v="2025-01-24T00:00:00"/>
    <d v="2025-01-24T00:00:00"/>
    <d v="2025-01-24T00:00:00"/>
    <d v="2025-01-24T00:00:00"/>
    <d v="2025-01-24T19:46:35"/>
    <n v="2039"/>
    <s v="610429"/>
    <s v="Sprinter"/>
    <n v="50"/>
    <n v="50"/>
    <s v="4366XC"/>
    <n v="1"/>
    <n v="150"/>
    <b v="1"/>
    <b v="0"/>
    <b v="0"/>
    <n v="216"/>
    <n v="0"/>
    <s v=""/>
    <s v=""/>
    <n v="50"/>
    <n v="2936"/>
    <x v="6"/>
    <n v="2936"/>
    <s v="Escobedo"/>
    <s v="Hidalgo"/>
    <x v="19"/>
    <x v="2"/>
    <d v="2025-01-01T00:00:00"/>
    <x v="0"/>
    <x v="3"/>
  </r>
  <r>
    <x v="128"/>
    <x v="0"/>
    <n v="1"/>
    <d v="2025-01-24T00:00:00"/>
    <d v="2025-01-24T00:00:00"/>
    <d v="2025-01-24T00:00:00"/>
    <d v="2025-01-24T00:00:00"/>
    <d v="2025-01-24T19:47:11"/>
    <n v="2039"/>
    <s v="610429"/>
    <s v="Sprinter"/>
    <n v="50"/>
    <n v="50"/>
    <s v="4366XC"/>
    <n v="1"/>
    <n v="150"/>
    <b v="1"/>
    <b v="0"/>
    <b v="0"/>
    <n v="216"/>
    <n v="0"/>
    <s v=""/>
    <s v=""/>
    <n v="50"/>
    <n v="359"/>
    <x v="6"/>
    <n v="359"/>
    <s v="Escobedo"/>
    <s v="Escobedo"/>
    <x v="0"/>
    <x v="2"/>
    <d v="2025-01-01T00:00:00"/>
    <x v="0"/>
    <x v="3"/>
  </r>
  <r>
    <x v="129"/>
    <x v="0"/>
    <n v="1"/>
    <d v="2025-01-24T00:00:00"/>
    <d v="2025-01-24T00:00:00"/>
    <d v="2025-01-24T00:00:00"/>
    <d v="2025-01-24T00:00:00"/>
    <d v="2025-01-24T19:47:47"/>
    <n v="2039"/>
    <s v="610429"/>
    <s v="Sprinter"/>
    <n v="50"/>
    <n v="50"/>
    <s v="4366XC"/>
    <n v="1"/>
    <n v="150"/>
    <b v="1"/>
    <b v="0"/>
    <b v="0"/>
    <n v="216"/>
    <n v="0"/>
    <s v=""/>
    <s v=""/>
    <n v="50"/>
    <n v="2936"/>
    <x v="6"/>
    <n v="2936"/>
    <s v="Escobedo"/>
    <s v="Hidalgo"/>
    <x v="19"/>
    <x v="2"/>
    <d v="2025-01-01T00:00:00"/>
    <x v="0"/>
    <x v="3"/>
  </r>
  <r>
    <x v="130"/>
    <x v="0"/>
    <n v="1"/>
    <d v="2025-01-24T00:00:00"/>
    <d v="2025-01-24T00:00:00"/>
    <d v="2025-01-24T00:00:00"/>
    <d v="2025-01-24T00:00:00"/>
    <d v="2025-01-24T19:48:24"/>
    <n v="2039"/>
    <s v="610429"/>
    <s v="Sprinter"/>
    <n v="50"/>
    <n v="50"/>
    <s v="4366XC"/>
    <n v="1"/>
    <n v="150"/>
    <b v="1"/>
    <b v="0"/>
    <b v="0"/>
    <n v="216"/>
    <n v="0"/>
    <s v=""/>
    <s v=""/>
    <n v="50"/>
    <n v="2936"/>
    <x v="6"/>
    <n v="2936"/>
    <s v="Escobedo"/>
    <s v="Hidalgo"/>
    <x v="19"/>
    <x v="2"/>
    <d v="2025-01-01T00:00:00"/>
    <x v="0"/>
    <x v="3"/>
  </r>
  <r>
    <x v="131"/>
    <x v="0"/>
    <n v="1"/>
    <d v="2025-01-24T00:00:00"/>
    <d v="2025-01-24T00:00:00"/>
    <d v="2025-01-24T00:00:00"/>
    <d v="2025-01-24T00:00:00"/>
    <d v="2025-01-24T19:48:53"/>
    <n v="2039"/>
    <s v="610429"/>
    <s v="Sprinter"/>
    <n v="50"/>
    <n v="50"/>
    <s v="4366XC"/>
    <n v="1"/>
    <n v="150"/>
    <b v="1"/>
    <b v="0"/>
    <b v="0"/>
    <n v="216"/>
    <n v="0"/>
    <s v=""/>
    <s v=""/>
    <n v="50"/>
    <n v="359"/>
    <x v="6"/>
    <n v="359"/>
    <s v="Escobedo"/>
    <s v="Escobedo"/>
    <x v="0"/>
    <x v="2"/>
    <d v="2025-01-01T00:00:00"/>
    <x v="0"/>
    <x v="3"/>
  </r>
  <r>
    <x v="132"/>
    <x v="0"/>
    <n v="1"/>
    <d v="2025-01-24T00:00:00"/>
    <d v="2025-01-24T00:00:00"/>
    <d v="2025-01-24T00:00:00"/>
    <d v="2025-01-24T00:00:00"/>
    <d v="2025-01-24T19:49:25"/>
    <n v="2039"/>
    <s v="610429"/>
    <s v="Sprinter"/>
    <n v="50"/>
    <n v="50"/>
    <s v="4366XC"/>
    <n v="1"/>
    <n v="150"/>
    <b v="1"/>
    <b v="0"/>
    <b v="0"/>
    <n v="216"/>
    <n v="0"/>
    <s v=""/>
    <s v=""/>
    <n v="50"/>
    <n v="359"/>
    <x v="6"/>
    <n v="359"/>
    <s v="Escobedo"/>
    <s v="Escobedo"/>
    <x v="0"/>
    <x v="2"/>
    <d v="2025-01-01T00:00:00"/>
    <x v="0"/>
    <x v="3"/>
  </r>
  <r>
    <x v="133"/>
    <x v="0"/>
    <n v="1"/>
    <d v="2025-01-24T00:00:00"/>
    <d v="2025-01-24T00:00:00"/>
    <d v="2025-01-24T00:00:00"/>
    <d v="2025-01-24T00:00:00"/>
    <d v="2025-01-24T19:49:57"/>
    <n v="2039"/>
    <s v="610429"/>
    <s v="Sprinter"/>
    <n v="50"/>
    <n v="50"/>
    <s v="4366XC"/>
    <n v="1"/>
    <n v="150"/>
    <b v="1"/>
    <b v="0"/>
    <b v="0"/>
    <n v="216"/>
    <n v="0"/>
    <s v=""/>
    <s v=""/>
    <n v="50"/>
    <n v="359"/>
    <x v="6"/>
    <n v="359"/>
    <s v="Escobedo"/>
    <s v="Escobedo"/>
    <x v="0"/>
    <x v="2"/>
    <d v="2025-01-01T00:00:00"/>
    <x v="0"/>
    <x v="3"/>
  </r>
  <r>
    <x v="134"/>
    <x v="0"/>
    <n v="1"/>
    <d v="2025-01-24T00:00:00"/>
    <d v="2025-01-24T00:00:00"/>
    <d v="2025-01-24T00:00:00"/>
    <d v="2025-01-24T00:00:00"/>
    <d v="2025-01-24T19:50:25"/>
    <n v="2039"/>
    <s v="610429"/>
    <s v="Sprinter"/>
    <n v="50"/>
    <n v="50"/>
    <s v="4366XC"/>
    <n v="1"/>
    <n v="150"/>
    <b v="1"/>
    <b v="0"/>
    <b v="0"/>
    <n v="216"/>
    <n v="0"/>
    <s v=""/>
    <s v=""/>
    <n v="50"/>
    <n v="2936"/>
    <x v="6"/>
    <n v="2936"/>
    <s v="Escobedo"/>
    <s v="Hidalgo"/>
    <x v="19"/>
    <x v="2"/>
    <d v="2025-01-01T00:00:00"/>
    <x v="0"/>
    <x v="3"/>
  </r>
  <r>
    <x v="135"/>
    <x v="0"/>
    <n v="1"/>
    <d v="2025-01-25T00:00:00"/>
    <d v="2025-01-25T00:00:00"/>
    <d v="2025-01-25T00:00:00"/>
    <d v="2025-01-25T00:00:00"/>
    <d v="2025-01-25T11:33:30"/>
    <n v="2039"/>
    <s v="610429"/>
    <s v="Sprinter"/>
    <n v="50"/>
    <n v="50"/>
    <s v="4366XC"/>
    <n v="1"/>
    <n v="150"/>
    <b v="1"/>
    <b v="0"/>
    <b v="0"/>
    <n v="216"/>
    <n v="0"/>
    <s v=""/>
    <s v=""/>
    <n v="50"/>
    <n v="461"/>
    <x v="6"/>
    <n v="461"/>
    <s v="Escobedo"/>
    <s v="Monterrey"/>
    <x v="7"/>
    <x v="2"/>
    <d v="2025-01-01T00:00:00"/>
    <x v="0"/>
    <x v="3"/>
  </r>
  <r>
    <x v="136"/>
    <x v="0"/>
    <n v="1"/>
    <d v="2025-01-25T00:00:00"/>
    <d v="2025-01-25T00:00:00"/>
    <d v="2025-01-25T00:00:00"/>
    <d v="2025-01-25T00:00:00"/>
    <d v="2025-01-25T11:35:34"/>
    <n v="2039"/>
    <s v="610429"/>
    <s v="Sprinter"/>
    <n v="50"/>
    <n v="50"/>
    <s v="4366XC"/>
    <n v="1"/>
    <n v="150"/>
    <b v="1"/>
    <b v="0"/>
    <b v="0"/>
    <n v="216"/>
    <n v="0"/>
    <s v=""/>
    <s v=""/>
    <n v="50"/>
    <n v="461"/>
    <x v="6"/>
    <n v="461"/>
    <s v="Escobedo"/>
    <s v="Monterrey"/>
    <x v="7"/>
    <x v="2"/>
    <d v="2025-01-01T00:00:00"/>
    <x v="0"/>
    <x v="3"/>
  </r>
  <r>
    <x v="137"/>
    <x v="0"/>
    <n v="1"/>
    <d v="2025-01-25T00:00:00"/>
    <d v="2025-01-25T00:00:00"/>
    <d v="2025-01-25T00:00:00"/>
    <d v="2025-01-25T00:00:00"/>
    <d v="2025-01-25T11:36:09"/>
    <n v="2039"/>
    <s v="610429"/>
    <s v="Sprinter"/>
    <n v="50"/>
    <n v="50"/>
    <s v="4366XC"/>
    <n v="1"/>
    <n v="150"/>
    <b v="1"/>
    <b v="0"/>
    <b v="0"/>
    <n v="216"/>
    <n v="0"/>
    <s v=""/>
    <s v=""/>
    <n v="50"/>
    <n v="461"/>
    <x v="6"/>
    <n v="461"/>
    <s v="Escobedo"/>
    <s v="Monterrey"/>
    <x v="7"/>
    <x v="2"/>
    <d v="2025-01-01T00:00:00"/>
    <x v="0"/>
    <x v="3"/>
  </r>
  <r>
    <x v="138"/>
    <x v="0"/>
    <n v="1"/>
    <d v="2025-01-25T00:00:00"/>
    <d v="2025-01-25T00:00:00"/>
    <d v="2025-01-26T00:00:00"/>
    <d v="2025-01-25T00:00:00"/>
    <d v="2025-01-26T00:00:00"/>
    <n v="2050"/>
    <s v="626955"/>
    <s v="Sprinter"/>
    <n v="961"/>
    <n v="1059"/>
    <s v="6551XC"/>
    <n v="1"/>
    <n v="964"/>
    <b v="1"/>
    <b v="0"/>
    <b v="0"/>
    <n v="1396"/>
    <n v="0"/>
    <s v=""/>
    <s v=""/>
    <n v="1100"/>
    <n v="8"/>
    <x v="7"/>
    <n v="8"/>
    <s v="Escobedo"/>
    <s v="Cd Sahagún"/>
    <x v="3"/>
    <x v="0"/>
    <d v="2025-01-01T00:00:00"/>
    <x v="0"/>
    <x v="3"/>
  </r>
  <r>
    <x v="139"/>
    <x v="0"/>
    <n v="1"/>
    <d v="2025-01-27T00:00:00"/>
    <d v="2025-01-27T00:00:00"/>
    <d v="2025-01-27T00:00:00"/>
    <d v="2025-01-27T00:00:00"/>
    <d v="2025-01-27T15:02:20"/>
    <n v="2039"/>
    <s v="610429"/>
    <s v="Sprinter"/>
    <n v="50"/>
    <n v="50"/>
    <s v="4366XC"/>
    <n v="1"/>
    <n v="150"/>
    <b v="1"/>
    <b v="0"/>
    <b v="0"/>
    <n v="216"/>
    <n v="0"/>
    <s v=""/>
    <s v=""/>
    <n v="50"/>
    <n v="2936"/>
    <x v="6"/>
    <n v="2936"/>
    <s v="Escobedo"/>
    <s v="Hidalgo"/>
    <x v="19"/>
    <x v="2"/>
    <d v="2025-01-01T00:00:00"/>
    <x v="0"/>
    <x v="3"/>
  </r>
  <r>
    <x v="140"/>
    <x v="0"/>
    <n v="1"/>
    <d v="2025-01-27T00:00:00"/>
    <d v="2025-01-27T00:00:00"/>
    <d v="2025-01-27T00:00:00"/>
    <d v="2025-01-27T00:00:00"/>
    <d v="2025-01-27T15:07:22"/>
    <n v="2039"/>
    <s v="610429"/>
    <s v="Sprinter"/>
    <n v="50"/>
    <n v="50"/>
    <s v="4366XC"/>
    <n v="1"/>
    <n v="150"/>
    <b v="1"/>
    <b v="0"/>
    <b v="0"/>
    <n v="216"/>
    <n v="0"/>
    <s v=""/>
    <s v=""/>
    <n v="50"/>
    <n v="2936"/>
    <x v="6"/>
    <n v="2936"/>
    <s v="Escobedo"/>
    <s v="Hidalgo"/>
    <x v="19"/>
    <x v="2"/>
    <d v="2025-01-01T00:00:00"/>
    <x v="0"/>
    <x v="3"/>
  </r>
  <r>
    <x v="141"/>
    <x v="0"/>
    <n v="1"/>
    <d v="2025-01-29T00:00:00"/>
    <d v="2025-01-29T00:00:00"/>
    <d v="2025-01-29T00:00:00"/>
    <d v="2025-01-29T00:00:00"/>
    <d v="2025-01-29T18:40:46"/>
    <n v="2039"/>
    <s v="610429"/>
    <s v="Sprinter"/>
    <n v="50"/>
    <n v="50"/>
    <s v="4366XC"/>
    <n v="1"/>
    <n v="150"/>
    <b v="1"/>
    <b v="0"/>
    <b v="0"/>
    <n v="216"/>
    <n v="0"/>
    <s v=""/>
    <s v=""/>
    <n v="50"/>
    <n v="2936"/>
    <x v="6"/>
    <n v="2936"/>
    <s v="Escobedo"/>
    <s v="Hidalgo"/>
    <x v="19"/>
    <x v="2"/>
    <d v="2025-01-01T00:00:00"/>
    <x v="0"/>
    <x v="3"/>
  </r>
  <r>
    <x v="142"/>
    <x v="0"/>
    <n v="1"/>
    <d v="2025-01-29T00:00:00"/>
    <d v="2025-01-29T00:00:00"/>
    <d v="2025-01-29T00:00:00"/>
    <d v="2025-01-29T00:00:00"/>
    <d v="2025-01-29T18:40:45"/>
    <n v="2039"/>
    <s v="610429"/>
    <s v="Sprinter"/>
    <n v="50"/>
    <n v="50"/>
    <s v="4366XC"/>
    <n v="1"/>
    <n v="150"/>
    <b v="1"/>
    <b v="0"/>
    <b v="0"/>
    <n v="216"/>
    <n v="0"/>
    <s v=""/>
    <s v=""/>
    <n v="50"/>
    <n v="2936"/>
    <x v="6"/>
    <n v="2936"/>
    <s v="Escobedo"/>
    <s v="Hidalgo"/>
    <x v="19"/>
    <x v="2"/>
    <d v="2025-01-01T00:00:00"/>
    <x v="0"/>
    <x v="3"/>
  </r>
  <r>
    <x v="143"/>
    <x v="0"/>
    <n v="1"/>
    <d v="2025-01-29T00:00:00"/>
    <d v="2025-01-29T00:00:00"/>
    <d v="2025-01-29T00:00:00"/>
    <d v="2025-01-29T00:00:00"/>
    <d v="2025-01-29T18:40:45"/>
    <n v="2039"/>
    <s v="610429"/>
    <s v="Sprinter"/>
    <n v="50"/>
    <n v="50"/>
    <s v="4366XC"/>
    <n v="1"/>
    <n v="150"/>
    <b v="1"/>
    <b v="0"/>
    <b v="0"/>
    <n v="216"/>
    <n v="0"/>
    <s v=""/>
    <s v=""/>
    <n v="50"/>
    <n v="2936"/>
    <x v="6"/>
    <n v="2936"/>
    <s v="Escobedo"/>
    <s v="Hidalgo"/>
    <x v="19"/>
    <x v="2"/>
    <d v="2025-01-01T00:00:00"/>
    <x v="0"/>
    <x v="3"/>
  </r>
  <r>
    <x v="144"/>
    <x v="0"/>
    <n v="1"/>
    <d v="2025-01-29T00:00:00"/>
    <d v="2025-01-29T00:00:00"/>
    <d v="2025-01-29T00:00:00"/>
    <d v="2025-01-29T00:00:00"/>
    <d v="2025-01-29T18:41:13"/>
    <n v="2039"/>
    <s v="610429"/>
    <s v="Sprinter"/>
    <n v="50"/>
    <n v="50"/>
    <s v="4366XC"/>
    <n v="1"/>
    <n v="150"/>
    <b v="1"/>
    <b v="0"/>
    <b v="0"/>
    <n v="216"/>
    <n v="0"/>
    <s v=""/>
    <s v=""/>
    <n v="50"/>
    <n v="359"/>
    <x v="6"/>
    <n v="359"/>
    <s v="Escobedo"/>
    <s v="Escobedo"/>
    <x v="0"/>
    <x v="2"/>
    <d v="2025-01-01T00:00:00"/>
    <x v="0"/>
    <x v="3"/>
  </r>
  <r>
    <x v="145"/>
    <x v="0"/>
    <n v="1"/>
    <d v="2025-01-29T00:00:00"/>
    <d v="2025-01-29T00:00:00"/>
    <d v="2025-01-29T00:00:00"/>
    <d v="2025-01-29T00:00:00"/>
    <d v="2025-01-29T18:40:44"/>
    <n v="2039"/>
    <s v="610429"/>
    <s v="Sprinter"/>
    <n v="50"/>
    <n v="50"/>
    <s v="4366XC"/>
    <n v="1"/>
    <n v="150"/>
    <b v="1"/>
    <b v="0"/>
    <b v="0"/>
    <n v="216"/>
    <n v="0"/>
    <s v=""/>
    <s v=""/>
    <n v="50"/>
    <n v="359"/>
    <x v="6"/>
    <n v="359"/>
    <s v="Escobedo"/>
    <s v="Escobedo"/>
    <x v="0"/>
    <x v="2"/>
    <d v="2025-01-01T00:00:00"/>
    <x v="0"/>
    <x v="3"/>
  </r>
  <r>
    <x v="146"/>
    <x v="0"/>
    <n v="1"/>
    <d v="2025-01-29T00:00:00"/>
    <d v="2025-01-29T00:00:00"/>
    <d v="2025-01-29T00:00:00"/>
    <d v="2025-01-29T00:00:00"/>
    <d v="2025-01-29T18:40:44"/>
    <n v="2039"/>
    <s v="610429"/>
    <s v="Sprinter"/>
    <n v="50"/>
    <n v="50"/>
    <s v="4366XC"/>
    <n v="1"/>
    <n v="150"/>
    <b v="1"/>
    <b v="0"/>
    <b v="0"/>
    <n v="216"/>
    <n v="0"/>
    <s v=""/>
    <s v=""/>
    <n v="50"/>
    <n v="2936"/>
    <x v="6"/>
    <n v="2936"/>
    <s v="Escobedo"/>
    <s v="Hidalgo"/>
    <x v="19"/>
    <x v="2"/>
    <d v="2025-01-01T00:00:00"/>
    <x v="0"/>
    <x v="3"/>
  </r>
  <r>
    <x v="147"/>
    <x v="0"/>
    <n v="1"/>
    <d v="2025-01-29T00:00:00"/>
    <d v="2025-01-29T00:00:00"/>
    <d v="2025-01-29T00:00:00"/>
    <d v="2025-01-29T00:00:00"/>
    <d v="2025-01-29T18:43:39"/>
    <n v="2039"/>
    <s v="610429"/>
    <s v="Sprinter"/>
    <n v="50"/>
    <n v="50"/>
    <s v="4366XC"/>
    <n v="1"/>
    <n v="150"/>
    <b v="1"/>
    <b v="0"/>
    <b v="0"/>
    <n v="216"/>
    <n v="0"/>
    <s v=""/>
    <s v=""/>
    <n v="50"/>
    <n v="2936"/>
    <x v="6"/>
    <n v="2936"/>
    <s v="Escobedo"/>
    <s v="Hidalgo"/>
    <x v="19"/>
    <x v="2"/>
    <d v="2025-01-01T00:00:00"/>
    <x v="0"/>
    <x v="3"/>
  </r>
  <r>
    <x v="148"/>
    <x v="0"/>
    <n v="1"/>
    <d v="2025-01-29T00:00:00"/>
    <d v="2025-01-29T00:00:00"/>
    <d v="2025-01-29T00:00:00"/>
    <d v="2025-01-29T00:00:00"/>
    <d v="2025-01-29T18:45:18"/>
    <n v="2039"/>
    <s v="610429"/>
    <s v="Sprinter"/>
    <n v="50"/>
    <n v="50"/>
    <s v="4366XC"/>
    <n v="1"/>
    <n v="150"/>
    <b v="1"/>
    <b v="0"/>
    <b v="0"/>
    <n v="216"/>
    <n v="0"/>
    <s v=""/>
    <s v=""/>
    <n v="50"/>
    <n v="2936"/>
    <x v="6"/>
    <n v="2936"/>
    <s v="Escobedo"/>
    <s v="Hidalgo"/>
    <x v="19"/>
    <x v="2"/>
    <d v="2025-01-01T00:00:00"/>
    <x v="0"/>
    <x v="3"/>
  </r>
  <r>
    <x v="149"/>
    <x v="0"/>
    <n v="1"/>
    <d v="2025-01-30T00:00:00"/>
    <d v="2025-01-30T00:00:00"/>
    <d v="2025-01-30T00:00:00"/>
    <d v="2025-01-30T00:00:00"/>
    <d v="2025-01-30T17:58:56"/>
    <n v="2039"/>
    <s v="610429"/>
    <s v="Sprinter"/>
    <n v="50"/>
    <n v="50"/>
    <s v="4366XC"/>
    <n v="1"/>
    <n v="150"/>
    <b v="1"/>
    <b v="0"/>
    <b v="0"/>
    <n v="216"/>
    <n v="0"/>
    <s v=""/>
    <s v=""/>
    <n v="50"/>
    <n v="359"/>
    <x v="6"/>
    <n v="359"/>
    <s v="Escobedo"/>
    <s v="Escobedo"/>
    <x v="0"/>
    <x v="2"/>
    <d v="2025-01-01T00:00:00"/>
    <x v="0"/>
    <x v="3"/>
  </r>
  <r>
    <x v="150"/>
    <x v="0"/>
    <n v="1"/>
    <d v="2025-01-30T00:00:00"/>
    <d v="2025-01-30T00:00:00"/>
    <d v="2025-01-30T00:00:00"/>
    <d v="2025-01-30T00:00:00"/>
    <d v="2025-01-30T17:59:43"/>
    <n v="2039"/>
    <s v="610429"/>
    <s v="Sprinter"/>
    <n v="50"/>
    <n v="50"/>
    <s v="4366XC"/>
    <n v="1"/>
    <n v="150"/>
    <b v="1"/>
    <b v="0"/>
    <b v="0"/>
    <n v="216"/>
    <n v="0"/>
    <s v=""/>
    <s v=""/>
    <n v="50"/>
    <n v="2936"/>
    <x v="6"/>
    <n v="2936"/>
    <s v="Escobedo"/>
    <s v="Hidalgo"/>
    <x v="19"/>
    <x v="2"/>
    <d v="2025-01-01T00:00:00"/>
    <x v="0"/>
    <x v="3"/>
  </r>
  <r>
    <x v="151"/>
    <x v="0"/>
    <n v="1"/>
    <d v="2025-01-30T00:00:00"/>
    <d v="2025-01-30T00:00:00"/>
    <d v="2025-01-30T00:00:00"/>
    <d v="2025-01-30T00:00:00"/>
    <d v="2025-01-30T18:00:14"/>
    <n v="2039"/>
    <s v="610429"/>
    <s v="Sprinter"/>
    <n v="50"/>
    <n v="50"/>
    <s v="4366XC"/>
    <n v="1"/>
    <n v="150"/>
    <b v="1"/>
    <b v="0"/>
    <b v="0"/>
    <n v="216"/>
    <n v="0"/>
    <s v=""/>
    <s v=""/>
    <n v="50"/>
    <n v="359"/>
    <x v="6"/>
    <n v="359"/>
    <s v="Escobedo"/>
    <s v="Escobedo"/>
    <x v="0"/>
    <x v="2"/>
    <d v="2025-01-01T00:00:00"/>
    <x v="0"/>
    <x v="3"/>
  </r>
  <r>
    <x v="152"/>
    <x v="0"/>
    <n v="1"/>
    <d v="2025-01-30T00:00:00"/>
    <d v="2025-01-30T00:00:00"/>
    <d v="2025-01-30T00:00:00"/>
    <d v="2025-01-30T00:00:00"/>
    <d v="2025-01-30T18:01:02"/>
    <n v="2039"/>
    <s v="610429"/>
    <s v="Sprinter"/>
    <n v="50"/>
    <n v="50"/>
    <s v="4366XC"/>
    <n v="1"/>
    <n v="150"/>
    <b v="1"/>
    <b v="0"/>
    <b v="0"/>
    <n v="216"/>
    <n v="0"/>
    <s v=""/>
    <s v=""/>
    <n v="50"/>
    <n v="359"/>
    <x v="6"/>
    <n v="359"/>
    <s v="Escobedo"/>
    <s v="Escobedo"/>
    <x v="0"/>
    <x v="2"/>
    <d v="2025-01-01T00:00:00"/>
    <x v="0"/>
    <x v="3"/>
  </r>
  <r>
    <x v="153"/>
    <x v="0"/>
    <n v="1"/>
    <d v="2025-01-30T00:00:00"/>
    <d v="2025-01-30T00:00:00"/>
    <d v="2025-01-30T00:00:00"/>
    <d v="2025-01-30T00:00:00"/>
    <d v="2025-01-30T18:01:48"/>
    <n v="2039"/>
    <s v="610429"/>
    <s v="Sprinter"/>
    <n v="50"/>
    <n v="50"/>
    <s v="4366XC"/>
    <n v="1"/>
    <n v="150"/>
    <b v="1"/>
    <b v="0"/>
    <b v="0"/>
    <n v="216"/>
    <n v="0"/>
    <s v=""/>
    <s v=""/>
    <n v="50"/>
    <n v="359"/>
    <x v="6"/>
    <n v="359"/>
    <s v="Escobedo"/>
    <s v="Escobedo"/>
    <x v="0"/>
    <x v="2"/>
    <d v="2025-01-01T00:00:00"/>
    <x v="0"/>
    <x v="3"/>
  </r>
  <r>
    <x v="154"/>
    <x v="0"/>
    <n v="1"/>
    <d v="2025-01-30T00:00:00"/>
    <d v="2025-01-30T00:00:00"/>
    <d v="2025-01-30T00:00:00"/>
    <d v="2025-01-30T00:00:00"/>
    <d v="2025-01-30T18:02:15"/>
    <n v="2039"/>
    <s v="610429"/>
    <s v="Sprinter"/>
    <n v="50"/>
    <n v="50"/>
    <s v="4366XC"/>
    <n v="1"/>
    <n v="150"/>
    <b v="1"/>
    <b v="0"/>
    <b v="0"/>
    <n v="216"/>
    <n v="0"/>
    <s v=""/>
    <s v=""/>
    <n v="50"/>
    <n v="2936"/>
    <x v="6"/>
    <n v="2936"/>
    <s v="Escobedo"/>
    <s v="Hidalgo"/>
    <x v="19"/>
    <x v="2"/>
    <d v="2025-01-01T00:00:00"/>
    <x v="0"/>
    <x v="3"/>
  </r>
  <r>
    <x v="155"/>
    <x v="0"/>
    <n v="1"/>
    <d v="2025-01-30T00:00:00"/>
    <d v="2025-01-30T00:00:00"/>
    <d v="2025-01-30T00:00:00"/>
    <d v="2025-01-30T00:00:00"/>
    <d v="2025-01-30T18:03:00"/>
    <n v="2039"/>
    <s v="610429"/>
    <s v="Sprinter"/>
    <n v="50"/>
    <n v="50"/>
    <s v="4366XC"/>
    <n v="1"/>
    <n v="150"/>
    <b v="1"/>
    <b v="0"/>
    <b v="0"/>
    <n v="216"/>
    <n v="0"/>
    <s v=""/>
    <s v=""/>
    <n v="50"/>
    <n v="359"/>
    <x v="6"/>
    <n v="359"/>
    <s v="Escobedo"/>
    <s v="Escobedo"/>
    <x v="0"/>
    <x v="2"/>
    <d v="2025-01-01T00:00:00"/>
    <x v="0"/>
    <x v="3"/>
  </r>
  <r>
    <x v="156"/>
    <x v="0"/>
    <n v="1"/>
    <d v="2025-01-30T00:00:00"/>
    <d v="2025-01-30T00:00:00"/>
    <d v="2025-01-30T00:00:00"/>
    <d v="2025-01-30T00:00:00"/>
    <d v="2025-01-30T18:03:31"/>
    <n v="2039"/>
    <s v="610429"/>
    <s v="Sprinter"/>
    <n v="50"/>
    <n v="50"/>
    <s v="4366XC"/>
    <n v="1"/>
    <n v="150"/>
    <b v="1"/>
    <b v="0"/>
    <b v="0"/>
    <n v="216"/>
    <n v="0"/>
    <s v=""/>
    <s v=""/>
    <n v="50"/>
    <n v="359"/>
    <x v="6"/>
    <n v="359"/>
    <s v="Escobedo"/>
    <s v="Escobedo"/>
    <x v="0"/>
    <x v="2"/>
    <d v="2025-01-01T00:00:00"/>
    <x v="0"/>
    <x v="3"/>
  </r>
  <r>
    <x v="157"/>
    <x v="0"/>
    <n v="1"/>
    <d v="2025-01-31T00:00:00"/>
    <d v="2025-01-31T00:00:00"/>
    <d v="2025-01-31T00:00:00"/>
    <d v="2025-01-31T00:00:00"/>
    <d v="2025-01-31T19:44:10"/>
    <n v="2039"/>
    <s v="610429"/>
    <s v="Sprinter"/>
    <n v="50"/>
    <n v="50"/>
    <s v="4366XC"/>
    <n v="1"/>
    <n v="150"/>
    <b v="1"/>
    <b v="0"/>
    <b v="0"/>
    <n v="216"/>
    <n v="0"/>
    <s v=""/>
    <s v=""/>
    <n v="50"/>
    <n v="359"/>
    <x v="6"/>
    <n v="359"/>
    <s v="Escobedo"/>
    <s v="Escobedo"/>
    <x v="0"/>
    <x v="2"/>
    <d v="2025-01-01T00:00:00"/>
    <x v="0"/>
    <x v="3"/>
  </r>
  <r>
    <x v="158"/>
    <x v="0"/>
    <n v="1"/>
    <d v="2025-01-31T00:00:00"/>
    <d v="2025-01-31T00:00:00"/>
    <d v="2025-01-31T00:00:00"/>
    <d v="2025-01-31T00:00:00"/>
    <d v="2025-01-31T19:45:05"/>
    <n v="2039"/>
    <s v="610429"/>
    <s v="Sprinter"/>
    <n v="50"/>
    <n v="50"/>
    <s v="4366XC"/>
    <n v="1"/>
    <n v="150"/>
    <b v="1"/>
    <b v="0"/>
    <b v="0"/>
    <n v="216"/>
    <n v="0"/>
    <s v=""/>
    <s v=""/>
    <n v="50"/>
    <n v="359"/>
    <x v="6"/>
    <n v="359"/>
    <s v="Escobedo"/>
    <s v="Escobedo"/>
    <x v="0"/>
    <x v="2"/>
    <d v="2025-01-01T00:00:00"/>
    <x v="0"/>
    <x v="3"/>
  </r>
  <r>
    <x v="159"/>
    <x v="0"/>
    <n v="1"/>
    <d v="2025-01-31T00:00:00"/>
    <d v="2025-01-31T00:00:00"/>
    <d v="2025-01-31T00:00:00"/>
    <d v="2025-01-31T00:00:00"/>
    <d v="2025-01-31T19:45:53"/>
    <n v="2039"/>
    <s v="610429"/>
    <s v="Sprinter"/>
    <n v="50"/>
    <n v="50"/>
    <s v="4366XC"/>
    <n v="1"/>
    <n v="150"/>
    <b v="1"/>
    <b v="0"/>
    <b v="0"/>
    <n v="216"/>
    <n v="0"/>
    <s v=""/>
    <s v=""/>
    <n v="50"/>
    <n v="359"/>
    <x v="6"/>
    <n v="359"/>
    <s v="Escobedo"/>
    <s v="Escobedo"/>
    <x v="0"/>
    <x v="2"/>
    <d v="2025-01-01T00:00:00"/>
    <x v="0"/>
    <x v="3"/>
  </r>
  <r>
    <x v="160"/>
    <x v="0"/>
    <n v="1"/>
    <d v="2025-01-31T00:00:00"/>
    <d v="2025-01-31T00:00:00"/>
    <d v="2025-01-31T00:00:00"/>
    <d v="2025-01-31T00:00:00"/>
    <d v="2025-01-31T19:46:49"/>
    <n v="2039"/>
    <s v="610429"/>
    <s v="Sprinter"/>
    <n v="50"/>
    <n v="50"/>
    <s v="4366XC"/>
    <n v="1"/>
    <n v="150"/>
    <b v="1"/>
    <b v="0"/>
    <b v="0"/>
    <n v="216"/>
    <n v="0"/>
    <s v=""/>
    <s v=""/>
    <n v="50"/>
    <n v="359"/>
    <x v="6"/>
    <n v="359"/>
    <s v="Escobedo"/>
    <s v="Escobedo"/>
    <x v="0"/>
    <x v="2"/>
    <d v="2025-01-01T00:00:00"/>
    <x v="0"/>
    <x v="3"/>
  </r>
  <r>
    <x v="161"/>
    <x v="0"/>
    <n v="1"/>
    <d v="2025-01-31T00:00:00"/>
    <d v="2025-01-31T00:00:00"/>
    <d v="2025-01-31T00:00:00"/>
    <d v="2025-01-31T00:00:00"/>
    <d v="2025-01-31T19:47:27"/>
    <n v="2039"/>
    <s v="610429"/>
    <s v="Sprinter"/>
    <n v="50"/>
    <n v="50"/>
    <s v="4366XC"/>
    <n v="1"/>
    <n v="150"/>
    <b v="1"/>
    <b v="0"/>
    <b v="0"/>
    <n v="216"/>
    <n v="0"/>
    <s v=""/>
    <s v=""/>
    <n v="50"/>
    <n v="359"/>
    <x v="6"/>
    <n v="359"/>
    <s v="Escobedo"/>
    <s v="Escobedo"/>
    <x v="0"/>
    <x v="2"/>
    <d v="2025-01-01T00:00:00"/>
    <x v="0"/>
    <x v="3"/>
  </r>
  <r>
    <x v="162"/>
    <x v="0"/>
    <n v="1"/>
    <d v="2025-01-06T00:00:00"/>
    <d v="2025-01-06T00:00:00"/>
    <d v="2025-01-06T00:00:00"/>
    <d v="2025-01-06T00:00:00"/>
    <d v="2025-01-08T00:00:00"/>
    <n v="2024"/>
    <s v="775908"/>
    <s v="4700*175*195"/>
    <n v="701"/>
    <n v="717"/>
    <s v="4364XC"/>
    <n v="1"/>
    <n v="703"/>
    <b v="1"/>
    <b v="0"/>
    <b v="0"/>
    <n v="1023"/>
    <n v="0"/>
    <s v=""/>
    <s v="Recoger a 14 operadores"/>
    <n v="800"/>
    <n v="4599"/>
    <x v="7"/>
    <n v="4599"/>
    <s v="Escobedo"/>
    <s v="Queretaro"/>
    <x v="20"/>
    <x v="1"/>
    <d v="2025-01-01T00:00:00"/>
    <x v="0"/>
    <x v="3"/>
  </r>
  <r>
    <x v="163"/>
    <x v="0"/>
    <n v="1"/>
    <d v="2025-01-06T00:00:00"/>
    <d v="2025-01-06T00:00:00"/>
    <d v="2025-01-07T00:00:00"/>
    <d v="2025-01-06T00:00:00"/>
    <d v="2025-01-09T00:00:00"/>
    <n v="2050"/>
    <s v="610429"/>
    <s v="Sprinter"/>
    <n v="961"/>
    <n v="1059"/>
    <s v="6551XC"/>
    <n v="1"/>
    <n v="964"/>
    <b v="1"/>
    <b v="0"/>
    <b v="0"/>
    <n v="1396"/>
    <n v="0"/>
    <s v=""/>
    <s v=""/>
    <n v="1100"/>
    <n v="8"/>
    <x v="12"/>
    <n v="8"/>
    <s v="Escobedo"/>
    <s v="Cd Sahagún"/>
    <x v="3"/>
    <x v="2"/>
    <d v="2025-01-01T00:00:00"/>
    <x v="0"/>
    <x v="3"/>
  </r>
  <r>
    <x v="164"/>
    <x v="0"/>
    <n v="1"/>
    <d v="2025-01-03T00:00:00"/>
    <d v="2025-01-03T00:00:00"/>
    <d v="2025-01-06T00:00:00"/>
    <d v="2025-01-05T00:00:00"/>
    <d v="2025-01-06T00:00:00"/>
    <n v="2024"/>
    <s v="775908"/>
    <s v="4700*175*195"/>
    <n v="961"/>
    <n v="0"/>
    <s v="4364XC"/>
    <n v="1"/>
    <n v="964"/>
    <b v="1"/>
    <b v="0"/>
    <b v="0"/>
    <n v="0"/>
    <n v="0"/>
    <s v=""/>
    <s v=""/>
    <n v="0"/>
    <n v="8"/>
    <x v="1"/>
    <n v="8"/>
    <s v="Escobedo"/>
    <s v="Cd Sahagún"/>
    <x v="3"/>
    <x v="1"/>
    <d v="2025-01-01T00:00:00"/>
    <x v="0"/>
    <x v="3"/>
  </r>
  <r>
    <x v="165"/>
    <x v="0"/>
    <n v="1"/>
    <d v="2025-01-18T00:00:00"/>
    <d v="2025-01-18T00:00:00"/>
    <d v="2025-01-20T00:00:00"/>
    <d v="2025-01-19T00:00:00"/>
    <d v="2025-01-20T00:00:00"/>
    <n v="2050"/>
    <s v="626955"/>
    <s v="Sprinter"/>
    <n v="961"/>
    <n v="0"/>
    <s v="6551XC"/>
    <n v="1"/>
    <n v="964"/>
    <b v="1"/>
    <b v="0"/>
    <b v="0"/>
    <n v="0"/>
    <n v="0"/>
    <s v=""/>
    <s v="Retirarse 16:30_x000a_Cualquier tema reportar a BRENDA, por favor"/>
    <n v="0"/>
    <n v="8"/>
    <x v="16"/>
    <n v="8"/>
    <s v="Escobedo"/>
    <s v="Cd Sahagún"/>
    <x v="3"/>
    <x v="0"/>
    <d v="2025-01-01T00:00:00"/>
    <x v="0"/>
    <x v="3"/>
  </r>
  <r>
    <x v="166"/>
    <x v="0"/>
    <n v="1"/>
    <d v="2025-01-18T00:00:00"/>
    <d v="2025-01-18T00:00:00"/>
    <d v="2025-01-20T00:00:00"/>
    <d v="2025-01-19T00:00:00"/>
    <d v="2025-01-20T00:00:00"/>
    <n v="2024"/>
    <s v="775908"/>
    <s v="4700*175*195"/>
    <n v="961"/>
    <n v="961"/>
    <s v="LE28923"/>
    <n v="1"/>
    <n v="964"/>
    <b v="1"/>
    <b v="0"/>
    <b v="0"/>
    <n v="1259"/>
    <n v="0"/>
    <s v=""/>
    <s v="Retirarse a las 14:30_x000a_Cualquier tema notificar a BRENDA, por favor"/>
    <n v="1000"/>
    <n v="8"/>
    <x v="16"/>
    <n v="8"/>
    <s v="Escobedo"/>
    <s v="Cd Sahagún"/>
    <x v="3"/>
    <x v="1"/>
    <d v="2025-01-01T00:00:00"/>
    <x v="0"/>
    <x v="3"/>
  </r>
  <r>
    <x v="167"/>
    <x v="0"/>
    <n v="1"/>
    <d v="2024-11-26T00:00:00"/>
    <d v="2025-01-03T00:00:00"/>
    <d v="2025-01-04T00:00:00"/>
    <d v="2025-01-03T00:00:00"/>
    <d v="2025-01-04T00:00:00"/>
    <n v="2181"/>
    <s v="610429"/>
    <s v="Sprinter"/>
    <n v="961"/>
    <n v="0"/>
    <s v="LE28920"/>
    <n v="1"/>
    <n v="964"/>
    <b v="1"/>
    <b v="0"/>
    <b v="0"/>
    <n v="0"/>
    <n v="0"/>
    <s v=""/>
    <s v="Retirarse a las 16:00hrs, por favor"/>
    <n v="0"/>
    <n v="8"/>
    <x v="17"/>
    <n v="8"/>
    <s v="Escobedo"/>
    <s v="Cd Sahagún"/>
    <x v="3"/>
    <x v="2"/>
    <d v="2025-01-01T00:00:00"/>
    <x v="0"/>
    <x v="3"/>
  </r>
  <r>
    <x v="168"/>
    <x v="0"/>
    <n v="1"/>
    <d v="2024-10-05T00:00:00"/>
    <d v="2025-01-22T00:00:00"/>
    <d v="2025-01-23T00:00:00"/>
    <d v="2025-01-22T00:00:00"/>
    <d v="2025-01-23T00:00:00"/>
    <n v="2050"/>
    <s v="626955"/>
    <s v="Sprinter"/>
    <n v="961"/>
    <n v="0"/>
    <s v="6551XC"/>
    <n v="1"/>
    <n v="964"/>
    <b v="1"/>
    <b v="0"/>
    <b v="0"/>
    <n v="0"/>
    <n v="0"/>
    <s v=""/>
    <s v="Transferencia a Mty a las 18:00hrs"/>
    <n v="0"/>
    <n v="8"/>
    <x v="17"/>
    <n v="8"/>
    <s v="Escobedo"/>
    <s v="Cd Sahagún"/>
    <x v="3"/>
    <x v="0"/>
    <d v="2025-01-01T00:00:00"/>
    <x v="0"/>
    <x v="3"/>
  </r>
  <r>
    <x v="169"/>
    <x v="0"/>
    <n v="1"/>
    <d v="2025-01-22T00:00:00"/>
    <d v="2025-01-22T00:00:00"/>
    <d v="2025-01-23T00:00:00"/>
    <d v="2025-01-23T00:00:00"/>
    <d v="2025-01-23T00:00:00"/>
    <n v="2077"/>
    <s v="775908"/>
    <s v="4700*175*195"/>
    <n v="64"/>
    <n v="64"/>
    <s v="4598XC"/>
    <n v="1"/>
    <n v="100"/>
    <b v="1"/>
    <b v="0"/>
    <b v="0"/>
    <n v="333"/>
    <n v="0"/>
    <s v=""/>
    <s v="Retirar de patio 8:30am"/>
    <n v="100"/>
    <n v="3"/>
    <x v="17"/>
    <n v="3"/>
    <s v="Culiacan"/>
    <s v="Cd Sahagún"/>
    <x v="5"/>
    <x v="1"/>
    <d v="2025-01-01T00:00:00"/>
    <x v="0"/>
    <x v="3"/>
  </r>
  <r>
    <x v="170"/>
    <x v="0"/>
    <n v="1"/>
    <d v="2025-01-24T00:00:00"/>
    <d v="2025-01-24T00:00:00"/>
    <d v="2025-01-24T00:00:00"/>
    <d v="2025-01-24T00:00:00"/>
    <d v="2025-01-24T00:00:00"/>
    <n v="1753"/>
    <s v="775908"/>
    <s v="4700*175*195"/>
    <n v="64"/>
    <n v="64"/>
    <s v="4663XC"/>
    <n v="1"/>
    <n v="100"/>
    <b v="1"/>
    <b v="0"/>
    <b v="0"/>
    <n v="333"/>
    <n v="0"/>
    <s v=""/>
    <s v=""/>
    <n v="100"/>
    <n v="145"/>
    <x v="17"/>
    <n v="145"/>
    <s v="Cd Sahagún"/>
    <s v="Texcoco"/>
    <x v="21"/>
    <x v="1"/>
    <d v="2025-01-01T00:00:00"/>
    <x v="0"/>
    <x v="3"/>
  </r>
  <r>
    <x v="171"/>
    <x v="0"/>
    <n v="1"/>
    <d v="2025-01-25T00:00:00"/>
    <d v="2025-01-25T00:00:00"/>
    <d v="2025-01-27T00:00:00"/>
    <d v="2025-01-27T00:00:00"/>
    <d v="2025-01-27T00:00:00"/>
    <n v="383"/>
    <s v="775908"/>
    <s v="4700*175*195"/>
    <n v="49"/>
    <n v="49"/>
    <s v="3736XC"/>
    <n v="1"/>
    <n v="150"/>
    <b v="1"/>
    <b v="0"/>
    <b v="0"/>
    <n v="216"/>
    <n v="0"/>
    <s v=""/>
    <s v="Se lleva el autobus a reparación. _x000a_Retirar e patio 8:30"/>
    <n v="50"/>
    <n v="694"/>
    <x v="17"/>
    <n v="694"/>
    <s v="Pachuca"/>
    <s v="Cd Sahagún"/>
    <x v="22"/>
    <x v="1"/>
    <d v="2025-01-01T00:00:00"/>
    <x v="0"/>
    <x v="3"/>
  </r>
  <r>
    <x v="172"/>
    <x v="0"/>
    <n v="1"/>
    <d v="2025-01-29T00:00:00"/>
    <d v="2025-01-29T00:00:00"/>
    <d v="2025-01-30T00:00:00"/>
    <d v="2025-01-29T00:00:00"/>
    <d v="2025-02-01T00:00:00"/>
    <n v="2050"/>
    <s v="626955"/>
    <s v="Sprinter"/>
    <n v="814"/>
    <n v="407"/>
    <s v="6551XC"/>
    <n v="1"/>
    <n v="407"/>
    <b v="1"/>
    <b v="0"/>
    <b v="0"/>
    <n v="801"/>
    <n v="0"/>
    <s v=""/>
    <s v=""/>
    <n v="500"/>
    <n v="3"/>
    <x v="11"/>
    <n v="3"/>
    <s v="Culiacan"/>
    <s v="Cd Sahagún"/>
    <x v="5"/>
    <x v="0"/>
    <d v="2025-01-01T00:00:00"/>
    <x v="0"/>
    <x v="3"/>
  </r>
  <r>
    <x v="173"/>
    <x v="0"/>
    <n v="1"/>
    <d v="2024-11-26T00:00:00"/>
    <d v="2025-01-07T00:00:00"/>
    <d v="2025-01-08T00:00:00"/>
    <d v="2025-01-07T00:00:00"/>
    <d v="2025-01-08T00:00:00"/>
    <n v="2087"/>
    <s v="610429"/>
    <s v="Sprinter"/>
    <n v="961"/>
    <n v="0"/>
    <s v="LE28920"/>
    <n v="1"/>
    <n v="964"/>
    <b v="1"/>
    <b v="0"/>
    <b v="0"/>
    <n v="0"/>
    <n v="0"/>
    <s v=""/>
    <s v="Retirarse a las 18:30hrs, por favor"/>
    <n v="0"/>
    <n v="3"/>
    <x v="17"/>
    <n v="3"/>
    <s v="Culiacan"/>
    <s v="Cd Sahagún"/>
    <x v="5"/>
    <x v="2"/>
    <d v="2025-01-01T00:00:00"/>
    <x v="0"/>
    <x v="3"/>
  </r>
  <r>
    <x v="174"/>
    <x v="0"/>
    <n v="1"/>
    <d v="2024-11-26T00:00:00"/>
    <d v="2025-01-09T00:00:00"/>
    <d v="2025-01-10T00:00:00"/>
    <d v="2025-01-09T00:00:00"/>
    <d v="2025-01-10T00:00:00"/>
    <n v="2019"/>
    <s v="610429"/>
    <s v="Sprinter"/>
    <n v="961"/>
    <n v="0"/>
    <s v="3654XC"/>
    <n v="1"/>
    <n v="964"/>
    <b v="1"/>
    <b v="0"/>
    <b v="0"/>
    <n v="0"/>
    <n v="0"/>
    <s v=""/>
    <s v="Subida 4:00pm, se autoriza 1 cena por operador"/>
    <n v="0"/>
    <n v="3"/>
    <x v="17"/>
    <n v="3"/>
    <s v="Culiacan"/>
    <s v="Cd Sahagún"/>
    <x v="5"/>
    <x v="2"/>
    <d v="2025-01-01T00:00:00"/>
    <x v="0"/>
    <x v="3"/>
  </r>
  <r>
    <x v="175"/>
    <x v="0"/>
    <n v="1"/>
    <d v="2025-01-11T00:00:00"/>
    <d v="2025-01-11T00:00:00"/>
    <d v="2025-01-13T00:00:00"/>
    <d v="2025-01-12T00:00:00"/>
    <d v="2025-01-13T00:00:00"/>
    <n v="2039"/>
    <s v="610429"/>
    <s v="Sprinter"/>
    <n v="961"/>
    <n v="0"/>
    <s v="LE28920"/>
    <n v="1"/>
    <n v="964"/>
    <b v="1"/>
    <b v="0"/>
    <b v="0"/>
    <n v="0"/>
    <n v="0"/>
    <s v=""/>
    <s v="Retirarse 16:30_x000a_Cualquier cosa reportar a Brenda, por favor."/>
    <n v="0"/>
    <n v="8"/>
    <x v="16"/>
    <n v="8"/>
    <s v="Escobedo"/>
    <s v="Cd Sahagún"/>
    <x v="3"/>
    <x v="2"/>
    <d v="2025-01-01T00:00:00"/>
    <x v="0"/>
    <x v="3"/>
  </r>
  <r>
    <x v="176"/>
    <x v="0"/>
    <n v="1"/>
    <d v="2025-01-11T00:00:00"/>
    <d v="2025-01-11T00:00:00"/>
    <d v="2025-01-13T00:00:00"/>
    <d v="2025-01-13T00:00:00"/>
    <d v="2025-01-13T00:00:00"/>
    <n v="2275"/>
    <s v="775908"/>
    <s v="4700*175*195"/>
    <n v="101"/>
    <n v="202"/>
    <s v="2621XC"/>
    <n v="1"/>
    <n v="150"/>
    <b v="1"/>
    <b v="0"/>
    <b v="0"/>
    <n v="583"/>
    <n v="0"/>
    <s v=""/>
    <s v="Retirar unidad a las 8:00am"/>
    <n v="300"/>
    <n v="1378"/>
    <x v="16"/>
    <n v="1378"/>
    <s v="Cd Sahagún"/>
    <s v="Tula de Allende"/>
    <x v="23"/>
    <x v="1"/>
    <d v="2025-01-01T00:00:00"/>
    <x v="0"/>
    <x v="3"/>
  </r>
  <r>
    <x v="177"/>
    <x v="0"/>
    <n v="2"/>
    <d v="2025-02-03T00:00:00"/>
    <d v="2025-02-03T00:00:00"/>
    <d v="2025-02-03T00:00:00"/>
    <d v="2025-02-03T00:00:00"/>
    <d v="2025-02-03T12:21:18"/>
    <n v="2039"/>
    <s v="610429"/>
    <s v="Sprinter"/>
    <n v="50"/>
    <n v="50"/>
    <s v="4366XC"/>
    <n v="1"/>
    <n v="150"/>
    <b v="1"/>
    <b v="0"/>
    <b v="0"/>
    <n v="216"/>
    <n v="0"/>
    <s v=""/>
    <s v=""/>
    <n v="50"/>
    <n v="359"/>
    <x v="6"/>
    <n v="359"/>
    <s v="Escobedo"/>
    <s v="Escobedo"/>
    <x v="0"/>
    <x v="2"/>
    <d v="2025-02-01T00:00:00"/>
    <x v="11"/>
    <x v="3"/>
  </r>
  <r>
    <x v="178"/>
    <x v="0"/>
    <n v="2"/>
    <d v="2025-02-07T00:00:00"/>
    <d v="2025-02-07T00:00:00"/>
    <d v="2025-02-07T00:00:00"/>
    <d v="2025-02-07T00:00:00"/>
    <d v="2025-02-07T19:12:58"/>
    <n v="2039"/>
    <s v="610429"/>
    <s v="Sprinter"/>
    <n v="50"/>
    <n v="50"/>
    <s v="4366XC"/>
    <n v="1"/>
    <n v="150"/>
    <b v="1"/>
    <b v="0"/>
    <b v="0"/>
    <n v="216"/>
    <n v="0"/>
    <s v=""/>
    <s v=""/>
    <n v="50"/>
    <n v="359"/>
    <x v="6"/>
    <n v="359"/>
    <s v="Escobedo"/>
    <s v="Escobedo"/>
    <x v="0"/>
    <x v="2"/>
    <d v="2025-02-01T00:00:00"/>
    <x v="11"/>
    <x v="3"/>
  </r>
  <r>
    <x v="179"/>
    <x v="0"/>
    <n v="2"/>
    <d v="2025-02-07T00:00:00"/>
    <d v="2025-02-07T00:00:00"/>
    <d v="2025-02-07T00:00:00"/>
    <d v="2025-02-07T00:00:00"/>
    <d v="2025-02-07T19:50:54"/>
    <n v="2039"/>
    <s v="610429"/>
    <s v="Sprinter"/>
    <n v="50"/>
    <n v="50"/>
    <s v="4366XC"/>
    <n v="1"/>
    <n v="150"/>
    <b v="1"/>
    <b v="0"/>
    <b v="0"/>
    <n v="216"/>
    <n v="0"/>
    <s v=""/>
    <s v=""/>
    <n v="50"/>
    <n v="359"/>
    <x v="6"/>
    <n v="359"/>
    <s v="Escobedo"/>
    <s v="Escobedo"/>
    <x v="0"/>
    <x v="2"/>
    <d v="2025-02-01T00:00:00"/>
    <x v="11"/>
    <x v="3"/>
  </r>
  <r>
    <x v="180"/>
    <x v="0"/>
    <n v="2"/>
    <d v="2025-02-07T00:00:00"/>
    <d v="2025-02-07T00:00:00"/>
    <d v="2025-02-07T00:00:00"/>
    <d v="2025-02-07T00:00:00"/>
    <d v="2025-02-07T19:51:56"/>
    <n v="2039"/>
    <s v="610429"/>
    <s v="Sprinter"/>
    <n v="50"/>
    <n v="50"/>
    <s v="4366XC"/>
    <n v="1"/>
    <n v="150"/>
    <b v="1"/>
    <b v="0"/>
    <b v="0"/>
    <n v="216"/>
    <n v="0"/>
    <s v=""/>
    <s v=""/>
    <n v="50"/>
    <n v="359"/>
    <x v="6"/>
    <n v="359"/>
    <s v="Escobedo"/>
    <s v="Escobedo"/>
    <x v="0"/>
    <x v="2"/>
    <d v="2025-02-01T00:00:00"/>
    <x v="11"/>
    <x v="3"/>
  </r>
  <r>
    <x v="181"/>
    <x v="0"/>
    <n v="2"/>
    <d v="2025-02-07T00:00:00"/>
    <d v="2025-02-07T00:00:00"/>
    <d v="2025-02-07T00:00:00"/>
    <d v="2025-02-07T00:00:00"/>
    <d v="2025-02-07T19:52:26"/>
    <n v="2039"/>
    <s v="610429"/>
    <s v="Sprinter"/>
    <n v="50"/>
    <n v="50"/>
    <s v="4366XC"/>
    <n v="1"/>
    <n v="150"/>
    <b v="1"/>
    <b v="0"/>
    <b v="0"/>
    <n v="216"/>
    <n v="0"/>
    <s v=""/>
    <s v=""/>
    <n v="50"/>
    <n v="359"/>
    <x v="6"/>
    <n v="359"/>
    <s v="Escobedo"/>
    <s v="Escobedo"/>
    <x v="0"/>
    <x v="2"/>
    <d v="2025-02-01T00:00:00"/>
    <x v="11"/>
    <x v="3"/>
  </r>
  <r>
    <x v="182"/>
    <x v="0"/>
    <n v="2"/>
    <d v="2025-02-07T00:00:00"/>
    <d v="2025-02-07T00:00:00"/>
    <d v="2025-02-07T00:00:00"/>
    <d v="2025-02-07T00:00:00"/>
    <d v="2025-02-07T19:52:53"/>
    <n v="2039"/>
    <s v="610429"/>
    <s v="Sprinter"/>
    <n v="50"/>
    <n v="50"/>
    <s v="4366XC"/>
    <n v="1"/>
    <n v="150"/>
    <b v="1"/>
    <b v="0"/>
    <b v="0"/>
    <n v="216"/>
    <n v="0"/>
    <s v=""/>
    <s v=""/>
    <n v="50"/>
    <n v="2936"/>
    <x v="6"/>
    <n v="2936"/>
    <s v="Escobedo"/>
    <s v="Hidalgo"/>
    <x v="19"/>
    <x v="2"/>
    <d v="2025-02-01T00:00:00"/>
    <x v="11"/>
    <x v="3"/>
  </r>
  <r>
    <x v="183"/>
    <x v="0"/>
    <n v="2"/>
    <d v="2025-02-07T00:00:00"/>
    <d v="2025-02-07T00:00:00"/>
    <d v="2025-02-07T00:00:00"/>
    <d v="2025-02-07T00:00:00"/>
    <d v="2025-02-07T19:53:18"/>
    <n v="2039"/>
    <s v="610429"/>
    <s v="Sprinter"/>
    <n v="50"/>
    <n v="50"/>
    <s v="4366XC"/>
    <n v="1"/>
    <n v="150"/>
    <b v="1"/>
    <b v="0"/>
    <b v="0"/>
    <n v="216"/>
    <n v="0"/>
    <s v=""/>
    <s v=""/>
    <n v="50"/>
    <n v="2936"/>
    <x v="6"/>
    <n v="2936"/>
    <s v="Escobedo"/>
    <s v="Hidalgo"/>
    <x v="19"/>
    <x v="2"/>
    <d v="2025-02-01T00:00:00"/>
    <x v="11"/>
    <x v="3"/>
  </r>
  <r>
    <x v="184"/>
    <x v="0"/>
    <n v="2"/>
    <d v="2025-02-07T00:00:00"/>
    <d v="2025-02-07T00:00:00"/>
    <d v="2025-02-07T00:00:00"/>
    <d v="2025-02-07T00:00:00"/>
    <d v="2025-02-08T00:00:00"/>
    <n v="2050"/>
    <s v="626955"/>
    <s v="Sprinter"/>
    <n v="50"/>
    <n v="50"/>
    <s v="6551XC"/>
    <n v="1"/>
    <n v="150"/>
    <b v="1"/>
    <b v="0"/>
    <b v="0"/>
    <n v="216"/>
    <n v="0"/>
    <s v=""/>
    <s v=""/>
    <n v="50"/>
    <n v="359"/>
    <x v="6"/>
    <n v="359"/>
    <s v="Escobedo"/>
    <s v="Escobedo"/>
    <x v="0"/>
    <x v="0"/>
    <d v="2025-02-01T00:00:00"/>
    <x v="11"/>
    <x v="3"/>
  </r>
  <r>
    <x v="185"/>
    <x v="0"/>
    <n v="2"/>
    <d v="2025-02-07T00:00:00"/>
    <d v="2025-02-07T00:00:00"/>
    <d v="2025-02-07T00:00:00"/>
    <d v="2025-02-07T00:00:00"/>
    <d v="2025-02-08T00:00:00"/>
    <n v="2050"/>
    <s v="626955"/>
    <s v="Sprinter"/>
    <n v="50"/>
    <n v="50"/>
    <s v="6551XC"/>
    <n v="1"/>
    <n v="150"/>
    <b v="1"/>
    <b v="0"/>
    <b v="0"/>
    <n v="216"/>
    <n v="0"/>
    <s v=""/>
    <s v=""/>
    <n v="50"/>
    <n v="359"/>
    <x v="6"/>
    <n v="359"/>
    <s v="Escobedo"/>
    <s v="Escobedo"/>
    <x v="0"/>
    <x v="0"/>
    <d v="2025-02-01T00:00:00"/>
    <x v="11"/>
    <x v="3"/>
  </r>
  <r>
    <x v="186"/>
    <x v="0"/>
    <n v="2"/>
    <d v="2025-02-07T00:00:00"/>
    <d v="2025-02-07T00:00:00"/>
    <d v="2025-02-07T00:00:00"/>
    <d v="2025-02-07T00:00:00"/>
    <d v="2025-02-08T00:00:00"/>
    <n v="2050"/>
    <s v="626955"/>
    <s v="Sprinter"/>
    <n v="50"/>
    <n v="50"/>
    <s v="6551XC"/>
    <n v="1"/>
    <n v="150"/>
    <b v="1"/>
    <b v="0"/>
    <b v="0"/>
    <n v="216"/>
    <n v="0"/>
    <s v=""/>
    <s v=""/>
    <n v="50"/>
    <n v="2936"/>
    <x v="6"/>
    <n v="2936"/>
    <s v="Escobedo"/>
    <s v="Hidalgo"/>
    <x v="19"/>
    <x v="0"/>
    <d v="2025-02-01T00:00:00"/>
    <x v="11"/>
    <x v="3"/>
  </r>
  <r>
    <x v="187"/>
    <x v="0"/>
    <n v="2"/>
    <d v="2025-02-08T00:00:00"/>
    <d v="2025-02-08T00:00:00"/>
    <d v="2025-02-08T00:00:00"/>
    <d v="2025-02-08T00:00:00"/>
    <d v="2025-02-08T15:46:54"/>
    <n v="2039"/>
    <s v="610429"/>
    <s v="Sprinter"/>
    <n v="50"/>
    <n v="50"/>
    <s v="4366XC"/>
    <n v="1"/>
    <n v="150"/>
    <b v="1"/>
    <b v="0"/>
    <b v="0"/>
    <n v="216"/>
    <n v="0"/>
    <s v=""/>
    <s v=""/>
    <n v="50"/>
    <n v="359"/>
    <x v="6"/>
    <n v="359"/>
    <s v="Escobedo"/>
    <s v="Escobedo"/>
    <x v="0"/>
    <x v="2"/>
    <d v="2025-02-01T00:00:00"/>
    <x v="11"/>
    <x v="3"/>
  </r>
  <r>
    <x v="188"/>
    <x v="0"/>
    <n v="2"/>
    <d v="2025-02-08T00:00:00"/>
    <d v="2025-02-08T00:00:00"/>
    <d v="2025-02-08T00:00:00"/>
    <d v="2025-02-08T00:00:00"/>
    <d v="2025-02-08T15:47:26"/>
    <n v="2039"/>
    <s v="610429"/>
    <s v="Sprinter"/>
    <n v="50"/>
    <n v="50"/>
    <s v="4366XC"/>
    <n v="1"/>
    <n v="150"/>
    <b v="1"/>
    <b v="0"/>
    <b v="0"/>
    <n v="216"/>
    <n v="0"/>
    <s v=""/>
    <s v=""/>
    <n v="50"/>
    <n v="359"/>
    <x v="6"/>
    <n v="359"/>
    <s v="Escobedo"/>
    <s v="Escobedo"/>
    <x v="0"/>
    <x v="2"/>
    <d v="2025-02-01T00:00:00"/>
    <x v="11"/>
    <x v="3"/>
  </r>
  <r>
    <x v="189"/>
    <x v="0"/>
    <n v="2"/>
    <d v="2025-02-08T00:00:00"/>
    <d v="2025-02-08T00:00:00"/>
    <d v="2025-02-08T00:00:00"/>
    <d v="2025-02-08T00:00:00"/>
    <d v="2025-02-08T15:48:00"/>
    <n v="2039"/>
    <s v="610429"/>
    <s v="Sprinter"/>
    <n v="50"/>
    <n v="50"/>
    <s v="4366XC"/>
    <n v="1"/>
    <n v="150"/>
    <b v="1"/>
    <b v="0"/>
    <b v="0"/>
    <n v="216"/>
    <n v="0"/>
    <s v=""/>
    <s v=""/>
    <n v="50"/>
    <n v="359"/>
    <x v="6"/>
    <n v="359"/>
    <s v="Escobedo"/>
    <s v="Escobedo"/>
    <x v="0"/>
    <x v="2"/>
    <d v="2025-02-01T00:00:00"/>
    <x v="11"/>
    <x v="3"/>
  </r>
  <r>
    <x v="190"/>
    <x v="0"/>
    <n v="2"/>
    <d v="2025-02-08T00:00:00"/>
    <d v="2025-02-08T00:00:00"/>
    <d v="2025-02-08T00:00:00"/>
    <d v="2025-02-08T00:00:00"/>
    <d v="2025-02-08T15:48:26"/>
    <n v="2039"/>
    <s v="610429"/>
    <s v="Sprinter"/>
    <n v="50"/>
    <n v="50"/>
    <s v="4366XC"/>
    <n v="1"/>
    <n v="150"/>
    <b v="1"/>
    <b v="0"/>
    <b v="0"/>
    <n v="216"/>
    <n v="0"/>
    <s v=""/>
    <s v=""/>
    <n v="50"/>
    <n v="359"/>
    <x v="6"/>
    <n v="359"/>
    <s v="Escobedo"/>
    <s v="Escobedo"/>
    <x v="0"/>
    <x v="2"/>
    <d v="2025-02-01T00:00:00"/>
    <x v="11"/>
    <x v="3"/>
  </r>
  <r>
    <x v="191"/>
    <x v="0"/>
    <n v="2"/>
    <d v="2025-02-08T00:00:00"/>
    <d v="2025-02-08T00:00:00"/>
    <d v="2025-02-08T00:00:00"/>
    <d v="2025-02-08T00:00:00"/>
    <d v="2025-02-08T15:48:57"/>
    <n v="2039"/>
    <s v="610429"/>
    <s v="Sprinter"/>
    <n v="50"/>
    <n v="50"/>
    <s v="4366XC"/>
    <n v="1"/>
    <n v="150"/>
    <b v="1"/>
    <b v="0"/>
    <b v="0"/>
    <n v="216"/>
    <n v="0"/>
    <s v=""/>
    <s v=""/>
    <n v="50"/>
    <n v="359"/>
    <x v="6"/>
    <n v="359"/>
    <s v="Escobedo"/>
    <s v="Escobedo"/>
    <x v="0"/>
    <x v="2"/>
    <d v="2025-02-01T00:00:00"/>
    <x v="11"/>
    <x v="3"/>
  </r>
  <r>
    <x v="192"/>
    <x v="0"/>
    <n v="2"/>
    <d v="2025-02-10T00:00:00"/>
    <d v="2024-06-20T00:00:00"/>
    <d v="2025-02-10T00:00:00"/>
    <d v="2025-02-10T00:00:00"/>
    <d v="2025-02-10T15:56:21"/>
    <n v="2039"/>
    <s v="610429"/>
    <s v="Sprinter"/>
    <n v="50"/>
    <n v="50"/>
    <s v="4366XC"/>
    <n v="1"/>
    <n v="150"/>
    <b v="1"/>
    <b v="0"/>
    <b v="0"/>
    <n v="216"/>
    <n v="0"/>
    <s v=""/>
    <s v=""/>
    <n v="50"/>
    <n v="2936"/>
    <x v="6"/>
    <n v="2936"/>
    <s v="Escobedo"/>
    <s v="Hidalgo"/>
    <x v="19"/>
    <x v="2"/>
    <d v="2025-02-01T00:00:00"/>
    <x v="11"/>
    <x v="3"/>
  </r>
  <r>
    <x v="193"/>
    <x v="0"/>
    <n v="2"/>
    <d v="2025-02-10T00:00:00"/>
    <d v="2025-02-10T00:00:00"/>
    <d v="2025-02-10T00:00:00"/>
    <d v="2025-02-10T00:00:00"/>
    <d v="2025-02-10T00:00:00"/>
    <n v="2050"/>
    <s v="626955"/>
    <s v="Sprinter"/>
    <n v="50"/>
    <n v="50"/>
    <s v="6551XC"/>
    <n v="1"/>
    <n v="150"/>
    <b v="1"/>
    <b v="0"/>
    <b v="0"/>
    <n v="216"/>
    <n v="0"/>
    <s v=""/>
    <s v=""/>
    <n v="50"/>
    <n v="2936"/>
    <x v="6"/>
    <n v="2936"/>
    <s v="Escobedo"/>
    <s v="Hidalgo"/>
    <x v="19"/>
    <x v="0"/>
    <d v="2025-02-01T00:00:00"/>
    <x v="11"/>
    <x v="3"/>
  </r>
  <r>
    <x v="194"/>
    <x v="0"/>
    <n v="2"/>
    <d v="2025-02-10T00:00:00"/>
    <d v="2025-02-10T00:00:00"/>
    <d v="2025-02-10T00:00:00"/>
    <d v="2025-02-10T00:00:00"/>
    <d v="2025-02-10T15:56:49"/>
    <n v="2039"/>
    <s v="610429"/>
    <s v="Sprinter"/>
    <n v="50"/>
    <n v="50"/>
    <s v="4366XC"/>
    <n v="1"/>
    <n v="150"/>
    <b v="1"/>
    <b v="0"/>
    <b v="0"/>
    <n v="216"/>
    <n v="0"/>
    <s v=""/>
    <s v=""/>
    <n v="50"/>
    <n v="359"/>
    <x v="6"/>
    <n v="359"/>
    <s v="Escobedo"/>
    <s v="Escobedo"/>
    <x v="0"/>
    <x v="2"/>
    <d v="2025-02-01T00:00:00"/>
    <x v="11"/>
    <x v="3"/>
  </r>
  <r>
    <x v="195"/>
    <x v="0"/>
    <n v="2"/>
    <d v="2025-02-10T00:00:00"/>
    <d v="2025-02-10T00:00:00"/>
    <d v="2025-02-10T00:00:00"/>
    <d v="2025-02-10T00:00:00"/>
    <d v="2025-02-10T15:57:16"/>
    <n v="2039"/>
    <s v="610429"/>
    <s v="Sprinter"/>
    <n v="50"/>
    <n v="50"/>
    <s v="4366XC"/>
    <n v="1"/>
    <n v="150"/>
    <b v="1"/>
    <b v="0"/>
    <b v="0"/>
    <n v="216"/>
    <n v="0"/>
    <s v=""/>
    <s v=""/>
    <n v="50"/>
    <n v="2936"/>
    <x v="6"/>
    <n v="2936"/>
    <s v="Escobedo"/>
    <s v="Hidalgo"/>
    <x v="19"/>
    <x v="2"/>
    <d v="2025-02-01T00:00:00"/>
    <x v="11"/>
    <x v="3"/>
  </r>
  <r>
    <x v="196"/>
    <x v="0"/>
    <n v="2"/>
    <d v="2025-02-04T00:00:00"/>
    <d v="2025-02-04T00:00:00"/>
    <d v="2025-02-04T00:00:00"/>
    <d v="2025-02-04T00:00:00"/>
    <d v="2025-02-04T13:52:20"/>
    <n v="2039"/>
    <s v="610429"/>
    <s v="Sprinter"/>
    <n v="50"/>
    <n v="50"/>
    <s v="4366XC"/>
    <n v="1"/>
    <n v="150"/>
    <b v="1"/>
    <b v="0"/>
    <b v="0"/>
    <n v="216"/>
    <n v="0"/>
    <s v=""/>
    <s v=""/>
    <n v="50"/>
    <n v="2936"/>
    <x v="6"/>
    <n v="2936"/>
    <s v="Escobedo"/>
    <s v="Hidalgo"/>
    <x v="19"/>
    <x v="2"/>
    <d v="2025-02-01T00:00:00"/>
    <x v="11"/>
    <x v="3"/>
  </r>
  <r>
    <x v="197"/>
    <x v="0"/>
    <n v="2"/>
    <d v="2025-02-11T00:00:00"/>
    <d v="2025-02-11T00:00:00"/>
    <d v="2025-02-11T00:00:00"/>
    <d v="2025-02-11T00:00:00"/>
    <d v="2025-02-11T12:14:19"/>
    <n v="2039"/>
    <s v="610429"/>
    <s v="Sprinter"/>
    <n v="50"/>
    <n v="50"/>
    <s v="4366XC"/>
    <n v="1"/>
    <n v="150"/>
    <b v="1"/>
    <b v="0"/>
    <b v="0"/>
    <n v="216"/>
    <n v="0"/>
    <s v=""/>
    <s v=""/>
    <n v="50"/>
    <n v="359"/>
    <x v="6"/>
    <n v="359"/>
    <s v="Escobedo"/>
    <s v="Escobedo"/>
    <x v="0"/>
    <x v="2"/>
    <d v="2025-02-01T00:00:00"/>
    <x v="11"/>
    <x v="3"/>
  </r>
  <r>
    <x v="198"/>
    <x v="0"/>
    <n v="2"/>
    <d v="2025-02-11T00:00:00"/>
    <d v="2025-02-11T00:00:00"/>
    <d v="2025-02-11T00:00:00"/>
    <d v="2025-02-11T00:00:00"/>
    <d v="2025-02-11T12:14:20"/>
    <n v="2039"/>
    <s v="610429"/>
    <s v="Sprinter"/>
    <n v="50"/>
    <n v="50"/>
    <s v="4366XC"/>
    <n v="1"/>
    <n v="150"/>
    <b v="1"/>
    <b v="0"/>
    <b v="0"/>
    <n v="216"/>
    <n v="0"/>
    <s v=""/>
    <s v=""/>
    <n v="50"/>
    <n v="2936"/>
    <x v="6"/>
    <n v="2936"/>
    <s v="Escobedo"/>
    <s v="Hidalgo"/>
    <x v="19"/>
    <x v="2"/>
    <d v="2025-02-01T00:00:00"/>
    <x v="11"/>
    <x v="3"/>
  </r>
  <r>
    <x v="199"/>
    <x v="0"/>
    <n v="2"/>
    <d v="2025-02-11T00:00:00"/>
    <d v="2025-02-11T00:00:00"/>
    <d v="2025-02-11T00:00:00"/>
    <d v="2025-02-11T00:00:00"/>
    <d v="2025-02-11T00:00:00"/>
    <n v="2050"/>
    <s v="626955"/>
    <s v="Sprinter"/>
    <n v="50"/>
    <n v="50"/>
    <s v="6551XC"/>
    <n v="1"/>
    <n v="150"/>
    <b v="1"/>
    <b v="0"/>
    <b v="0"/>
    <n v="216"/>
    <n v="0"/>
    <s v=""/>
    <s v=""/>
    <n v="50"/>
    <n v="2936"/>
    <x v="6"/>
    <n v="2936"/>
    <s v="Escobedo"/>
    <s v="Hidalgo"/>
    <x v="19"/>
    <x v="0"/>
    <d v="2025-02-01T00:00:00"/>
    <x v="11"/>
    <x v="3"/>
  </r>
  <r>
    <x v="200"/>
    <x v="0"/>
    <n v="2"/>
    <d v="2025-02-04T00:00:00"/>
    <d v="2025-02-04T00:00:00"/>
    <d v="2025-02-04T00:00:00"/>
    <d v="2025-02-04T00:00:00"/>
    <d v="2025-02-04T13:52:19"/>
    <n v="2039"/>
    <s v="610429"/>
    <s v="Sprinter"/>
    <n v="50"/>
    <n v="50"/>
    <s v="4366XC"/>
    <n v="1"/>
    <n v="150"/>
    <b v="1"/>
    <b v="0"/>
    <b v="0"/>
    <n v="216"/>
    <n v="0"/>
    <s v=""/>
    <s v=""/>
    <n v="50"/>
    <n v="359"/>
    <x v="6"/>
    <n v="359"/>
    <s v="Escobedo"/>
    <s v="Escobedo"/>
    <x v="0"/>
    <x v="2"/>
    <d v="2025-02-01T00:00:00"/>
    <x v="11"/>
    <x v="3"/>
  </r>
  <r>
    <x v="201"/>
    <x v="0"/>
    <n v="2"/>
    <d v="2025-02-04T00:00:00"/>
    <d v="2025-02-04T00:00:00"/>
    <d v="2025-02-04T00:00:00"/>
    <d v="2025-02-04T00:00:00"/>
    <d v="2025-02-04T13:53:25"/>
    <n v="2039"/>
    <s v="610429"/>
    <s v="Sprinter"/>
    <n v="50"/>
    <n v="50"/>
    <s v="4366XC"/>
    <n v="1"/>
    <n v="150"/>
    <b v="1"/>
    <b v="0"/>
    <b v="0"/>
    <n v="216"/>
    <n v="0"/>
    <s v=""/>
    <s v=""/>
    <n v="50"/>
    <n v="2936"/>
    <x v="6"/>
    <n v="2936"/>
    <s v="Escobedo"/>
    <s v="Hidalgo"/>
    <x v="19"/>
    <x v="2"/>
    <d v="2025-02-01T00:00:00"/>
    <x v="11"/>
    <x v="3"/>
  </r>
  <r>
    <x v="202"/>
    <x v="0"/>
    <n v="2"/>
    <d v="2025-02-11T00:00:00"/>
    <d v="2025-02-11T00:00:00"/>
    <d v="2025-02-12T00:00:00"/>
    <d v="2025-02-12T00:00:00"/>
    <d v="2025-02-12T10:43:02"/>
    <n v="2039"/>
    <s v="610429"/>
    <s v="Sprinter"/>
    <n v="243"/>
    <n v="243"/>
    <s v="4366XC"/>
    <n v="1"/>
    <n v="269"/>
    <b v="1"/>
    <b v="0"/>
    <b v="0"/>
    <n v="583"/>
    <n v="0"/>
    <s v=""/>
    <s v=""/>
    <n v="300"/>
    <n v="3875"/>
    <x v="0"/>
    <n v="3875"/>
    <s v="Escobedo"/>
    <s v="Anáhuac"/>
    <x v="8"/>
    <x v="2"/>
    <d v="2025-02-01T00:00:00"/>
    <x v="11"/>
    <x v="3"/>
  </r>
  <r>
    <x v="203"/>
    <x v="0"/>
    <n v="2"/>
    <d v="2025-02-11T00:00:00"/>
    <d v="2025-02-11T00:00:00"/>
    <d v="2025-02-11T00:00:00"/>
    <d v="2025-02-11T00:00:00"/>
    <d v="2025-02-12T06:21:43"/>
    <n v="2039"/>
    <s v="610429"/>
    <s v="Sprinter"/>
    <n v="50"/>
    <n v="50"/>
    <s v="4366XC"/>
    <n v="1"/>
    <n v="150"/>
    <b v="1"/>
    <b v="0"/>
    <b v="0"/>
    <n v="216"/>
    <n v="0"/>
    <s v=""/>
    <s v=""/>
    <n v="50"/>
    <n v="2936"/>
    <x v="6"/>
    <n v="2936"/>
    <s v="Escobedo"/>
    <s v="Hidalgo"/>
    <x v="19"/>
    <x v="2"/>
    <d v="2025-02-01T00:00:00"/>
    <x v="11"/>
    <x v="3"/>
  </r>
  <r>
    <x v="204"/>
    <x v="0"/>
    <n v="2"/>
    <d v="2025-02-11T00:00:00"/>
    <d v="2025-02-11T00:00:00"/>
    <d v="2025-02-11T00:00:00"/>
    <d v="2025-02-11T00:00:00"/>
    <d v="2025-02-12T06:23:15"/>
    <n v="2039"/>
    <s v="610429"/>
    <s v="Sprinter"/>
    <n v="50"/>
    <n v="50"/>
    <s v="4366XC"/>
    <n v="1"/>
    <n v="150"/>
    <b v="1"/>
    <b v="0"/>
    <b v="0"/>
    <n v="216"/>
    <n v="0"/>
    <s v=""/>
    <s v=""/>
    <n v="50"/>
    <n v="2936"/>
    <x v="6"/>
    <n v="2936"/>
    <s v="Escobedo"/>
    <s v="Hidalgo"/>
    <x v="19"/>
    <x v="2"/>
    <d v="2025-02-01T00:00:00"/>
    <x v="11"/>
    <x v="3"/>
  </r>
  <r>
    <x v="205"/>
    <x v="0"/>
    <n v="2"/>
    <d v="2025-02-11T00:00:00"/>
    <d v="2025-02-11T00:00:00"/>
    <d v="2025-02-11T00:00:00"/>
    <d v="2025-02-11T00:00:00"/>
    <d v="2025-02-12T06:24:04"/>
    <n v="2039"/>
    <s v="610429"/>
    <s v="Sprinter"/>
    <n v="50"/>
    <n v="50"/>
    <s v="4366XC"/>
    <n v="1"/>
    <n v="150"/>
    <b v="1"/>
    <b v="0"/>
    <b v="0"/>
    <n v="216"/>
    <n v="0"/>
    <s v=""/>
    <s v=""/>
    <n v="50"/>
    <n v="2936"/>
    <x v="6"/>
    <n v="2936"/>
    <s v="Escobedo"/>
    <s v="Hidalgo"/>
    <x v="19"/>
    <x v="2"/>
    <d v="2025-02-01T00:00:00"/>
    <x v="11"/>
    <x v="3"/>
  </r>
  <r>
    <x v="206"/>
    <x v="0"/>
    <n v="2"/>
    <d v="2025-02-11T00:00:00"/>
    <d v="2025-02-11T00:00:00"/>
    <d v="2025-02-11T00:00:00"/>
    <d v="2025-02-11T00:00:00"/>
    <d v="2025-02-12T06:24:51"/>
    <n v="2039"/>
    <s v="610429"/>
    <s v="Sprinter"/>
    <n v="50"/>
    <n v="50"/>
    <s v="4366XC"/>
    <n v="1"/>
    <n v="150"/>
    <b v="1"/>
    <b v="0"/>
    <b v="0"/>
    <n v="216"/>
    <n v="0"/>
    <s v=""/>
    <s v=""/>
    <n v="50"/>
    <n v="359"/>
    <x v="6"/>
    <n v="359"/>
    <s v="Escobedo"/>
    <s v="Escobedo"/>
    <x v="0"/>
    <x v="2"/>
    <d v="2025-02-01T00:00:00"/>
    <x v="11"/>
    <x v="3"/>
  </r>
  <r>
    <x v="207"/>
    <x v="0"/>
    <n v="2"/>
    <d v="2025-02-11T00:00:00"/>
    <d v="2025-02-11T00:00:00"/>
    <d v="2025-02-11T00:00:00"/>
    <d v="2025-02-11T00:00:00"/>
    <d v="2025-02-12T06:25:21"/>
    <n v="2039"/>
    <s v="610429"/>
    <s v="Sprinter"/>
    <n v="50"/>
    <n v="50"/>
    <s v="4366XC"/>
    <n v="1"/>
    <n v="150"/>
    <b v="1"/>
    <b v="0"/>
    <b v="0"/>
    <n v="216"/>
    <n v="0"/>
    <s v=""/>
    <s v=""/>
    <n v="50"/>
    <n v="359"/>
    <x v="6"/>
    <n v="359"/>
    <s v="Escobedo"/>
    <s v="Escobedo"/>
    <x v="0"/>
    <x v="2"/>
    <d v="2025-02-01T00:00:00"/>
    <x v="11"/>
    <x v="3"/>
  </r>
  <r>
    <x v="208"/>
    <x v="0"/>
    <n v="2"/>
    <d v="2025-02-11T00:00:00"/>
    <d v="2025-02-11T00:00:00"/>
    <d v="2025-02-11T00:00:00"/>
    <d v="2025-02-11T00:00:00"/>
    <d v="2025-02-11T00:00:00"/>
    <n v="2050"/>
    <s v="626955"/>
    <s v="Sprinter"/>
    <n v="50"/>
    <n v="50"/>
    <s v="6551XC"/>
    <n v="1"/>
    <n v="150"/>
    <b v="1"/>
    <b v="0"/>
    <b v="0"/>
    <n v="216"/>
    <n v="0"/>
    <s v=""/>
    <s v=""/>
    <n v="50"/>
    <n v="2936"/>
    <x v="6"/>
    <n v="2936"/>
    <s v="Escobedo"/>
    <s v="Hidalgo"/>
    <x v="19"/>
    <x v="0"/>
    <d v="2025-02-01T00:00:00"/>
    <x v="11"/>
    <x v="3"/>
  </r>
  <r>
    <x v="209"/>
    <x v="0"/>
    <n v="2"/>
    <d v="2025-02-11T00:00:00"/>
    <d v="2025-02-11T00:00:00"/>
    <d v="2025-02-11T00:00:00"/>
    <d v="2025-02-11T00:00:00"/>
    <d v="2025-02-11T00:00:00"/>
    <n v="2050"/>
    <s v="626955"/>
    <s v="Sprinter"/>
    <n v="50"/>
    <n v="50"/>
    <s v="6551XC"/>
    <n v="1"/>
    <n v="150"/>
    <b v="1"/>
    <b v="0"/>
    <b v="0"/>
    <n v="216"/>
    <n v="0"/>
    <s v=""/>
    <s v=""/>
    <n v="50"/>
    <n v="2936"/>
    <x v="6"/>
    <n v="2936"/>
    <s v="Escobedo"/>
    <s v="Hidalgo"/>
    <x v="19"/>
    <x v="0"/>
    <d v="2025-02-01T00:00:00"/>
    <x v="11"/>
    <x v="3"/>
  </r>
  <r>
    <x v="210"/>
    <x v="0"/>
    <n v="2"/>
    <d v="2025-02-11T00:00:00"/>
    <d v="2025-02-11T00:00:00"/>
    <d v="2025-02-11T00:00:00"/>
    <d v="2025-02-11T00:00:00"/>
    <d v="2025-02-11T21:12:51"/>
    <n v="2050"/>
    <s v="626955"/>
    <s v="Sprinter"/>
    <n v="50"/>
    <n v="50"/>
    <s v="6551XC"/>
    <n v="1"/>
    <n v="150"/>
    <b v="1"/>
    <b v="0"/>
    <b v="0"/>
    <n v="216"/>
    <n v="0"/>
    <s v=""/>
    <s v=""/>
    <n v="50"/>
    <n v="359"/>
    <x v="6"/>
    <n v="359"/>
    <s v="Escobedo"/>
    <s v="Escobedo"/>
    <x v="0"/>
    <x v="0"/>
    <d v="2025-02-01T00:00:00"/>
    <x v="11"/>
    <x v="3"/>
  </r>
  <r>
    <x v="211"/>
    <x v="0"/>
    <n v="2"/>
    <d v="2025-02-11T00:00:00"/>
    <d v="2025-02-11T00:00:00"/>
    <d v="2025-02-11T00:00:00"/>
    <d v="2025-02-11T00:00:00"/>
    <d v="2025-02-11T21:14:04"/>
    <n v="2050"/>
    <s v="626955"/>
    <s v="Sprinter"/>
    <n v="50"/>
    <n v="50"/>
    <s v="6551XC"/>
    <n v="1"/>
    <n v="150"/>
    <b v="1"/>
    <b v="0"/>
    <b v="0"/>
    <n v="216"/>
    <n v="0"/>
    <s v=""/>
    <s v=""/>
    <n v="50"/>
    <n v="359"/>
    <x v="6"/>
    <n v="359"/>
    <s v="Escobedo"/>
    <s v="Escobedo"/>
    <x v="0"/>
    <x v="0"/>
    <d v="2025-02-01T00:00:00"/>
    <x v="11"/>
    <x v="3"/>
  </r>
  <r>
    <x v="212"/>
    <x v="0"/>
    <n v="2"/>
    <d v="2025-02-12T00:00:00"/>
    <d v="2025-02-12T00:00:00"/>
    <d v="2025-02-13T00:00:00"/>
    <d v="2025-02-13T00:00:00"/>
    <d v="2025-02-13T13:12:10"/>
    <n v="2039"/>
    <s v="610429"/>
    <s v="Sprinter"/>
    <n v="243"/>
    <n v="243"/>
    <s v="4366XC"/>
    <n v="1"/>
    <n v="269"/>
    <b v="1"/>
    <b v="0"/>
    <b v="0"/>
    <n v="583"/>
    <n v="0"/>
    <s v=""/>
    <s v=""/>
    <n v="300"/>
    <n v="3875"/>
    <x v="3"/>
    <n v="3875"/>
    <s v="Escobedo"/>
    <s v="Anáhuac"/>
    <x v="8"/>
    <x v="2"/>
    <d v="2025-02-01T00:00:00"/>
    <x v="11"/>
    <x v="3"/>
  </r>
  <r>
    <x v="213"/>
    <x v="0"/>
    <n v="2"/>
    <d v="2025-02-13T00:00:00"/>
    <d v="2025-02-13T00:00:00"/>
    <d v="2025-02-13T00:00:00"/>
    <d v="2025-02-13T00:00:00"/>
    <d v="2025-02-13T18:15:48"/>
    <n v="2050"/>
    <s v="626955"/>
    <s v="Sprinter"/>
    <n v="50"/>
    <n v="50"/>
    <s v="6551XC"/>
    <n v="1"/>
    <n v="150"/>
    <b v="1"/>
    <b v="0"/>
    <b v="0"/>
    <n v="216"/>
    <n v="0"/>
    <s v=""/>
    <s v=""/>
    <n v="50"/>
    <n v="2936"/>
    <x v="6"/>
    <n v="2936"/>
    <s v="Escobedo"/>
    <s v="Hidalgo"/>
    <x v="19"/>
    <x v="0"/>
    <d v="2025-02-01T00:00:00"/>
    <x v="11"/>
    <x v="3"/>
  </r>
  <r>
    <x v="214"/>
    <x v="0"/>
    <n v="2"/>
    <d v="2025-02-13T00:00:00"/>
    <d v="2025-02-13T00:00:00"/>
    <d v="2025-02-13T00:00:00"/>
    <d v="2025-02-13T00:00:00"/>
    <d v="2025-02-13T20:03:58"/>
    <n v="2050"/>
    <s v="626955"/>
    <s v="Sprinter"/>
    <n v="50"/>
    <n v="50"/>
    <s v="6551XC"/>
    <n v="1"/>
    <n v="150"/>
    <b v="1"/>
    <b v="0"/>
    <b v="0"/>
    <n v="216"/>
    <n v="0"/>
    <s v=""/>
    <s v=""/>
    <n v="50"/>
    <n v="359"/>
    <x v="6"/>
    <n v="359"/>
    <s v="Escobedo"/>
    <s v="Escobedo"/>
    <x v="0"/>
    <x v="0"/>
    <d v="2025-02-01T00:00:00"/>
    <x v="11"/>
    <x v="3"/>
  </r>
  <r>
    <x v="215"/>
    <x v="0"/>
    <n v="2"/>
    <d v="2025-02-13T00:00:00"/>
    <d v="2025-02-13T00:00:00"/>
    <d v="2025-02-13T00:00:00"/>
    <d v="2025-02-13T00:00:00"/>
    <d v="2025-02-13T20:05:30"/>
    <n v="2050"/>
    <s v="626955"/>
    <s v="Sprinter"/>
    <n v="50"/>
    <n v="50"/>
    <s v="6551XC"/>
    <n v="1"/>
    <n v="150"/>
    <b v="1"/>
    <b v="0"/>
    <b v="0"/>
    <n v="216"/>
    <n v="0"/>
    <s v=""/>
    <s v=""/>
    <n v="50"/>
    <n v="359"/>
    <x v="6"/>
    <n v="359"/>
    <s v="Escobedo"/>
    <s v="Escobedo"/>
    <x v="0"/>
    <x v="0"/>
    <d v="2025-02-01T00:00:00"/>
    <x v="11"/>
    <x v="3"/>
  </r>
  <r>
    <x v="216"/>
    <x v="0"/>
    <n v="2"/>
    <d v="2025-02-13T00:00:00"/>
    <d v="2025-02-13T00:00:00"/>
    <d v="2025-02-13T00:00:00"/>
    <d v="2025-02-13T00:00:00"/>
    <d v="2025-02-13T20:07:56"/>
    <n v="2050"/>
    <s v="626955"/>
    <s v="Sprinter"/>
    <n v="50"/>
    <n v="50"/>
    <s v="6551XC"/>
    <n v="1"/>
    <n v="150"/>
    <b v="1"/>
    <b v="0"/>
    <b v="0"/>
    <n v="216"/>
    <n v="0"/>
    <s v=""/>
    <s v=""/>
    <n v="50"/>
    <n v="359"/>
    <x v="6"/>
    <n v="359"/>
    <s v="Escobedo"/>
    <s v="Escobedo"/>
    <x v="0"/>
    <x v="0"/>
    <d v="2025-02-01T00:00:00"/>
    <x v="11"/>
    <x v="3"/>
  </r>
  <r>
    <x v="217"/>
    <x v="0"/>
    <n v="2"/>
    <d v="2025-02-13T00:00:00"/>
    <d v="2025-02-13T00:00:00"/>
    <d v="2025-02-13T00:00:00"/>
    <d v="2025-02-13T00:00:00"/>
    <d v="2025-02-13T20:09:20"/>
    <n v="2050"/>
    <s v="626955"/>
    <s v="Sprinter"/>
    <n v="50"/>
    <n v="50"/>
    <s v="6551XC"/>
    <n v="1"/>
    <n v="150"/>
    <b v="1"/>
    <b v="0"/>
    <b v="0"/>
    <n v="216"/>
    <n v="0"/>
    <s v=""/>
    <s v=""/>
    <n v="50"/>
    <n v="359"/>
    <x v="6"/>
    <n v="359"/>
    <s v="Escobedo"/>
    <s v="Escobedo"/>
    <x v="0"/>
    <x v="0"/>
    <d v="2025-02-01T00:00:00"/>
    <x v="11"/>
    <x v="3"/>
  </r>
  <r>
    <x v="218"/>
    <x v="0"/>
    <n v="2"/>
    <d v="2025-02-13T00:00:00"/>
    <d v="2025-02-13T00:00:00"/>
    <d v="2025-02-13T00:00:00"/>
    <d v="2025-02-13T00:00:00"/>
    <d v="2025-02-13T20:11:07"/>
    <n v="2050"/>
    <s v="626955"/>
    <s v="Sprinter"/>
    <n v="50"/>
    <n v="50"/>
    <s v="6551XC"/>
    <n v="1"/>
    <n v="150"/>
    <b v="1"/>
    <b v="0"/>
    <b v="0"/>
    <n v="216"/>
    <n v="0"/>
    <s v=""/>
    <s v=""/>
    <n v="50"/>
    <n v="359"/>
    <x v="6"/>
    <n v="359"/>
    <s v="Escobedo"/>
    <s v="Escobedo"/>
    <x v="0"/>
    <x v="0"/>
    <d v="2025-02-01T00:00:00"/>
    <x v="11"/>
    <x v="3"/>
  </r>
  <r>
    <x v="219"/>
    <x v="0"/>
    <n v="2"/>
    <d v="2025-02-13T00:00:00"/>
    <d v="2025-02-13T00:00:00"/>
    <d v="2025-02-13T00:00:00"/>
    <d v="2025-02-13T00:00:00"/>
    <d v="2025-02-14T10:15:05"/>
    <n v="2050"/>
    <s v="626955"/>
    <s v="Sprinter"/>
    <n v="50"/>
    <n v="50"/>
    <s v="6551XC"/>
    <n v="1"/>
    <n v="150"/>
    <b v="1"/>
    <b v="0"/>
    <b v="0"/>
    <n v="216"/>
    <n v="0"/>
    <s v=""/>
    <s v=""/>
    <n v="50"/>
    <n v="2936"/>
    <x v="6"/>
    <n v="2936"/>
    <s v="Escobedo"/>
    <s v="Hidalgo"/>
    <x v="19"/>
    <x v="0"/>
    <d v="2025-02-01T00:00:00"/>
    <x v="11"/>
    <x v="3"/>
  </r>
  <r>
    <x v="220"/>
    <x v="0"/>
    <n v="2"/>
    <d v="2025-02-13T00:00:00"/>
    <d v="2025-02-13T00:00:00"/>
    <d v="2025-02-13T00:00:00"/>
    <d v="2025-02-13T00:00:00"/>
    <d v="2025-02-14T10:16:04"/>
    <n v="2050"/>
    <s v="626955"/>
    <s v="Sprinter"/>
    <n v="50"/>
    <n v="50"/>
    <s v="6551XC"/>
    <n v="1"/>
    <n v="150"/>
    <b v="1"/>
    <b v="0"/>
    <b v="0"/>
    <n v="216"/>
    <n v="0"/>
    <s v=""/>
    <s v=""/>
    <n v="50"/>
    <n v="359"/>
    <x v="6"/>
    <n v="359"/>
    <s v="Escobedo"/>
    <s v="Escobedo"/>
    <x v="0"/>
    <x v="0"/>
    <d v="2025-02-01T00:00:00"/>
    <x v="11"/>
    <x v="3"/>
  </r>
  <r>
    <x v="221"/>
    <x v="0"/>
    <n v="2"/>
    <d v="2025-02-13T00:00:00"/>
    <d v="2025-02-13T00:00:00"/>
    <d v="2025-02-13T00:00:00"/>
    <d v="2025-02-13T00:00:00"/>
    <d v="2025-02-14T10:16:41"/>
    <n v="2050"/>
    <s v="626955"/>
    <s v="Sprinter"/>
    <n v="50"/>
    <n v="50"/>
    <s v="6551XC"/>
    <n v="1"/>
    <n v="150"/>
    <b v="1"/>
    <b v="0"/>
    <b v="0"/>
    <n v="216"/>
    <n v="0"/>
    <s v=""/>
    <s v=""/>
    <n v="50"/>
    <n v="359"/>
    <x v="6"/>
    <n v="359"/>
    <s v="Escobedo"/>
    <s v="Escobedo"/>
    <x v="0"/>
    <x v="0"/>
    <d v="2025-02-01T00:00:00"/>
    <x v="11"/>
    <x v="3"/>
  </r>
  <r>
    <x v="222"/>
    <x v="0"/>
    <n v="2"/>
    <d v="2025-02-13T00:00:00"/>
    <d v="2025-02-13T00:00:00"/>
    <d v="2025-02-13T00:00:00"/>
    <d v="2025-02-13T00:00:00"/>
    <d v="2025-02-14T10:18:18"/>
    <n v="2050"/>
    <s v="626955"/>
    <s v="Sprinter"/>
    <n v="50"/>
    <n v="50"/>
    <s v="6551XC"/>
    <n v="1"/>
    <n v="150"/>
    <b v="1"/>
    <b v="0"/>
    <b v="0"/>
    <n v="216"/>
    <n v="0"/>
    <s v=""/>
    <s v=""/>
    <n v="50"/>
    <n v="2936"/>
    <x v="6"/>
    <n v="2936"/>
    <s v="Escobedo"/>
    <s v="Hidalgo"/>
    <x v="19"/>
    <x v="0"/>
    <d v="2025-02-01T00:00:00"/>
    <x v="11"/>
    <x v="3"/>
  </r>
  <r>
    <x v="223"/>
    <x v="0"/>
    <n v="2"/>
    <d v="2025-02-14T00:00:00"/>
    <d v="2025-02-14T00:00:00"/>
    <d v="2025-02-14T00:00:00"/>
    <d v="2025-02-14T00:00:00"/>
    <d v="2025-02-14T11:25:25"/>
    <n v="2039"/>
    <s v="610429"/>
    <s v="Sprinter"/>
    <n v="50"/>
    <n v="50"/>
    <s v="4366XC"/>
    <n v="1"/>
    <n v="150"/>
    <b v="1"/>
    <b v="0"/>
    <b v="0"/>
    <n v="216"/>
    <n v="0"/>
    <s v=""/>
    <s v=""/>
    <n v="50"/>
    <n v="359"/>
    <x v="6"/>
    <n v="359"/>
    <s v="Escobedo"/>
    <s v="Escobedo"/>
    <x v="0"/>
    <x v="2"/>
    <d v="2025-02-01T00:00:00"/>
    <x v="11"/>
    <x v="3"/>
  </r>
  <r>
    <x v="224"/>
    <x v="0"/>
    <n v="2"/>
    <d v="2025-02-14T00:00:00"/>
    <d v="2025-02-14T00:00:00"/>
    <d v="2025-02-14T00:00:00"/>
    <d v="2025-02-14T00:00:00"/>
    <d v="2025-02-14T13:35:12"/>
    <n v="2039"/>
    <s v="610429"/>
    <s v="Sprinter"/>
    <n v="243"/>
    <n v="243"/>
    <s v="4366XC"/>
    <n v="1"/>
    <n v="269"/>
    <b v="1"/>
    <b v="0"/>
    <b v="0"/>
    <n v="583"/>
    <n v="0"/>
    <s v=""/>
    <s v=""/>
    <n v="300"/>
    <n v="3875"/>
    <x v="3"/>
    <n v="3875"/>
    <s v="Escobedo"/>
    <s v="Anáhuac"/>
    <x v="8"/>
    <x v="2"/>
    <d v="2025-02-01T00:00:00"/>
    <x v="11"/>
    <x v="3"/>
  </r>
  <r>
    <x v="225"/>
    <x v="0"/>
    <n v="2"/>
    <d v="2025-02-14T00:00:00"/>
    <d v="2025-02-14T00:00:00"/>
    <d v="2025-02-14T00:00:00"/>
    <d v="2025-02-14T00:00:00"/>
    <d v="2025-02-15T14:02:02"/>
    <n v="2050"/>
    <s v="626955"/>
    <s v="Sprinter"/>
    <n v="50"/>
    <n v="50"/>
    <s v="6551XC"/>
    <n v="1"/>
    <n v="150"/>
    <b v="1"/>
    <b v="0"/>
    <b v="0"/>
    <n v="216"/>
    <n v="0"/>
    <s v=""/>
    <s v=""/>
    <n v="50"/>
    <n v="359"/>
    <x v="6"/>
    <n v="359"/>
    <s v="Escobedo"/>
    <s v="Escobedo"/>
    <x v="0"/>
    <x v="0"/>
    <d v="2025-02-01T00:00:00"/>
    <x v="11"/>
    <x v="3"/>
  </r>
  <r>
    <x v="226"/>
    <x v="0"/>
    <n v="2"/>
    <d v="2025-02-14T00:00:00"/>
    <d v="2025-02-14T00:00:00"/>
    <d v="2025-02-14T00:00:00"/>
    <d v="2025-02-14T00:00:00"/>
    <d v="2025-02-15T14:03:06"/>
    <n v="2050"/>
    <s v="626955"/>
    <s v="Sprinter"/>
    <n v="50"/>
    <n v="50"/>
    <s v="6551XC"/>
    <n v="1"/>
    <n v="150"/>
    <b v="1"/>
    <b v="0"/>
    <b v="0"/>
    <n v="216"/>
    <n v="0"/>
    <s v=""/>
    <s v=""/>
    <n v="50"/>
    <n v="359"/>
    <x v="6"/>
    <n v="359"/>
    <s v="Escobedo"/>
    <s v="Escobedo"/>
    <x v="0"/>
    <x v="0"/>
    <d v="2025-02-01T00:00:00"/>
    <x v="11"/>
    <x v="3"/>
  </r>
  <r>
    <x v="227"/>
    <x v="0"/>
    <n v="2"/>
    <d v="2025-02-14T00:00:00"/>
    <d v="2025-02-14T00:00:00"/>
    <d v="2025-02-14T00:00:00"/>
    <d v="2025-02-14T00:00:00"/>
    <d v="2025-02-15T14:04:09"/>
    <n v="2050"/>
    <s v="626955"/>
    <s v="Sprinter"/>
    <n v="50"/>
    <n v="50"/>
    <s v="6551XC"/>
    <n v="1"/>
    <n v="150"/>
    <b v="1"/>
    <b v="0"/>
    <b v="0"/>
    <n v="216"/>
    <n v="0"/>
    <s v=""/>
    <s v=""/>
    <n v="50"/>
    <n v="2936"/>
    <x v="6"/>
    <n v="2936"/>
    <s v="Escobedo"/>
    <s v="Hidalgo"/>
    <x v="19"/>
    <x v="0"/>
    <d v="2025-02-01T00:00:00"/>
    <x v="11"/>
    <x v="3"/>
  </r>
  <r>
    <x v="228"/>
    <x v="0"/>
    <n v="2"/>
    <d v="2025-02-14T00:00:00"/>
    <d v="2025-02-14T00:00:00"/>
    <d v="2025-02-14T00:00:00"/>
    <d v="2025-02-14T00:00:00"/>
    <d v="2025-02-15T14:05:19"/>
    <n v="2050"/>
    <s v="626955"/>
    <s v="Sprinter"/>
    <n v="50"/>
    <n v="50"/>
    <s v="6551XC"/>
    <n v="1"/>
    <n v="150"/>
    <b v="1"/>
    <b v="0"/>
    <b v="0"/>
    <n v="216"/>
    <n v="0"/>
    <s v=""/>
    <s v=""/>
    <n v="50"/>
    <n v="359"/>
    <x v="6"/>
    <n v="359"/>
    <s v="Escobedo"/>
    <s v="Escobedo"/>
    <x v="0"/>
    <x v="0"/>
    <d v="2025-02-01T00:00:00"/>
    <x v="11"/>
    <x v="3"/>
  </r>
  <r>
    <x v="229"/>
    <x v="0"/>
    <n v="2"/>
    <d v="2025-02-14T00:00:00"/>
    <d v="2025-02-14T00:00:00"/>
    <d v="2025-02-14T00:00:00"/>
    <d v="2025-02-14T00:00:00"/>
    <d v="2025-02-15T14:06:38"/>
    <n v="2050"/>
    <s v="626955"/>
    <s v="Sprinter"/>
    <n v="50"/>
    <n v="50"/>
    <s v="6551XC"/>
    <n v="1"/>
    <n v="150"/>
    <b v="1"/>
    <b v="0"/>
    <b v="0"/>
    <n v="216"/>
    <n v="0"/>
    <s v=""/>
    <s v=""/>
    <n v="50"/>
    <n v="359"/>
    <x v="6"/>
    <n v="359"/>
    <s v="Escobedo"/>
    <s v="Escobedo"/>
    <x v="0"/>
    <x v="0"/>
    <d v="2025-02-01T00:00:00"/>
    <x v="11"/>
    <x v="3"/>
  </r>
  <r>
    <x v="230"/>
    <x v="0"/>
    <n v="2"/>
    <d v="2025-02-14T00:00:00"/>
    <d v="2025-02-14T00:00:00"/>
    <d v="2025-02-14T00:00:00"/>
    <d v="2025-02-14T00:00:00"/>
    <d v="2025-02-15T05:29:41"/>
    <n v="2050"/>
    <s v="626955"/>
    <s v="Sprinter"/>
    <n v="50"/>
    <n v="50"/>
    <s v="6551XC"/>
    <n v="1"/>
    <n v="150"/>
    <b v="1"/>
    <b v="0"/>
    <b v="0"/>
    <n v="216"/>
    <n v="0"/>
    <s v=""/>
    <s v=""/>
    <n v="50"/>
    <n v="2936"/>
    <x v="6"/>
    <n v="2936"/>
    <s v="Escobedo"/>
    <s v="Hidalgo"/>
    <x v="19"/>
    <x v="0"/>
    <d v="2025-02-01T00:00:00"/>
    <x v="11"/>
    <x v="3"/>
  </r>
  <r>
    <x v="231"/>
    <x v="0"/>
    <n v="2"/>
    <d v="2025-02-01T00:00:00"/>
    <d v="2025-02-01T00:00:00"/>
    <d v="2025-02-01T00:00:00"/>
    <d v="2025-02-01T00:00:00"/>
    <d v="2025-02-02T16:40:08"/>
    <n v="2039"/>
    <s v="610429"/>
    <s v="Sprinter"/>
    <n v="50"/>
    <n v="50"/>
    <s v="4366XC"/>
    <n v="1"/>
    <n v="150"/>
    <b v="1"/>
    <b v="0"/>
    <b v="0"/>
    <n v="216"/>
    <n v="0"/>
    <s v=""/>
    <s v=""/>
    <n v="50"/>
    <n v="2936"/>
    <x v="6"/>
    <n v="2936"/>
    <s v="Escobedo"/>
    <s v="Hidalgo"/>
    <x v="19"/>
    <x v="2"/>
    <d v="2025-02-01T00:00:00"/>
    <x v="11"/>
    <x v="3"/>
  </r>
  <r>
    <x v="232"/>
    <x v="0"/>
    <n v="2"/>
    <d v="2025-02-15T00:00:00"/>
    <d v="2025-02-15T00:00:00"/>
    <d v="2025-02-15T00:00:00"/>
    <d v="2025-02-15T00:00:00"/>
    <d v="2025-02-17T08:03:36"/>
    <n v="2039"/>
    <s v="610429"/>
    <s v="Sprinter"/>
    <n v="50"/>
    <n v="50"/>
    <s v="4366XC"/>
    <n v="1"/>
    <n v="150"/>
    <b v="1"/>
    <b v="0"/>
    <b v="0"/>
    <n v="216"/>
    <n v="0"/>
    <s v=""/>
    <s v=""/>
    <n v="50"/>
    <n v="359"/>
    <x v="6"/>
    <n v="359"/>
    <s v="Escobedo"/>
    <s v="Escobedo"/>
    <x v="0"/>
    <x v="2"/>
    <d v="2025-02-01T00:00:00"/>
    <x v="11"/>
    <x v="3"/>
  </r>
  <r>
    <x v="233"/>
    <x v="0"/>
    <n v="2"/>
    <d v="2025-02-15T00:00:00"/>
    <d v="2025-02-15T00:00:00"/>
    <d v="2025-02-15T00:00:00"/>
    <d v="2025-02-15T00:00:00"/>
    <d v="2025-02-17T08:03:40"/>
    <n v="2039"/>
    <s v="610429"/>
    <s v="Sprinter"/>
    <n v="50"/>
    <n v="50"/>
    <s v="4366XC"/>
    <n v="1"/>
    <n v="150"/>
    <b v="1"/>
    <b v="0"/>
    <b v="0"/>
    <n v="216"/>
    <n v="0"/>
    <s v=""/>
    <s v=""/>
    <n v="50"/>
    <n v="359"/>
    <x v="6"/>
    <n v="359"/>
    <s v="Escobedo"/>
    <s v="Escobedo"/>
    <x v="0"/>
    <x v="2"/>
    <d v="2025-02-01T00:00:00"/>
    <x v="11"/>
    <x v="3"/>
  </r>
  <r>
    <x v="234"/>
    <x v="0"/>
    <n v="2"/>
    <d v="2025-02-15T00:00:00"/>
    <d v="2025-02-15T00:00:00"/>
    <d v="2025-02-15T00:00:00"/>
    <d v="2025-02-15T00:00:00"/>
    <d v="2025-02-17T08:03:39"/>
    <n v="2039"/>
    <s v="610429"/>
    <s v="Sprinter"/>
    <n v="50"/>
    <n v="50"/>
    <s v="4366XC"/>
    <n v="1"/>
    <n v="150"/>
    <b v="1"/>
    <b v="0"/>
    <b v="0"/>
    <n v="216"/>
    <n v="0"/>
    <s v=""/>
    <s v=""/>
    <n v="50"/>
    <n v="2936"/>
    <x v="6"/>
    <n v="2936"/>
    <s v="Escobedo"/>
    <s v="Hidalgo"/>
    <x v="19"/>
    <x v="2"/>
    <d v="2025-02-01T00:00:00"/>
    <x v="11"/>
    <x v="3"/>
  </r>
  <r>
    <x v="235"/>
    <x v="0"/>
    <n v="2"/>
    <d v="2025-02-15T00:00:00"/>
    <d v="2025-02-15T00:00:00"/>
    <d v="2025-02-15T00:00:00"/>
    <d v="2025-02-15T00:00:00"/>
    <d v="2025-02-15T18:46:33"/>
    <n v="2050"/>
    <s v="626955"/>
    <s v="Sprinter"/>
    <n v="50"/>
    <n v="50"/>
    <s v="6551XC"/>
    <n v="1"/>
    <n v="150"/>
    <b v="1"/>
    <b v="0"/>
    <b v="0"/>
    <n v="216"/>
    <n v="0"/>
    <s v=""/>
    <s v=""/>
    <n v="50"/>
    <n v="359"/>
    <x v="6"/>
    <n v="359"/>
    <s v="Escobedo"/>
    <s v="Escobedo"/>
    <x v="0"/>
    <x v="0"/>
    <d v="2025-02-01T00:00:00"/>
    <x v="11"/>
    <x v="3"/>
  </r>
  <r>
    <x v="236"/>
    <x v="0"/>
    <n v="2"/>
    <d v="2025-02-15T00:00:00"/>
    <d v="2025-02-15T00:00:00"/>
    <d v="2025-02-15T00:00:00"/>
    <d v="2025-02-15T00:00:00"/>
    <d v="2025-02-16T00:28:46"/>
    <n v="2050"/>
    <s v="626955"/>
    <s v="Sprinter"/>
    <n v="50"/>
    <n v="50"/>
    <s v="6551XC"/>
    <n v="1"/>
    <n v="150"/>
    <b v="1"/>
    <b v="0"/>
    <b v="0"/>
    <n v="216"/>
    <n v="0"/>
    <s v=""/>
    <s v=""/>
    <n v="50"/>
    <n v="359"/>
    <x v="6"/>
    <n v="359"/>
    <s v="Escobedo"/>
    <s v="Escobedo"/>
    <x v="0"/>
    <x v="0"/>
    <d v="2025-02-01T00:00:00"/>
    <x v="11"/>
    <x v="3"/>
  </r>
  <r>
    <x v="237"/>
    <x v="0"/>
    <n v="2"/>
    <d v="2025-02-17T00:00:00"/>
    <d v="2025-02-17T00:00:00"/>
    <d v="2025-02-18T00:00:00"/>
    <d v="2025-02-17T00:00:00"/>
    <d v="2025-02-19T00:00:00"/>
    <n v="2050"/>
    <s v="626955"/>
    <s v="Sprinter"/>
    <n v="504"/>
    <n v="504"/>
    <s v="6551XC"/>
    <n v="1"/>
    <n v="504"/>
    <b v="1"/>
    <b v="0"/>
    <b v="0"/>
    <n v="880"/>
    <n v="0"/>
    <s v=""/>
    <s v=""/>
    <n v="600"/>
    <n v="119"/>
    <x v="4"/>
    <n v="119"/>
    <s v="Escobedo"/>
    <s v="Altamira"/>
    <x v="14"/>
    <x v="0"/>
    <d v="2025-02-01T00:00:00"/>
    <x v="11"/>
    <x v="3"/>
  </r>
  <r>
    <x v="238"/>
    <x v="0"/>
    <n v="2"/>
    <d v="2025-02-17T00:00:00"/>
    <d v="2025-02-17T00:00:00"/>
    <d v="2025-02-17T00:00:00"/>
    <d v="2025-02-17T00:00:00"/>
    <d v="2025-02-17T20:55:09"/>
    <n v="2039"/>
    <s v="610429"/>
    <s v="Sprinter"/>
    <n v="50"/>
    <n v="50"/>
    <s v="4366XC"/>
    <n v="1"/>
    <n v="150"/>
    <b v="1"/>
    <b v="0"/>
    <b v="0"/>
    <n v="216"/>
    <n v="0"/>
    <s v=""/>
    <s v=""/>
    <n v="50"/>
    <n v="359"/>
    <x v="6"/>
    <n v="359"/>
    <s v="Escobedo"/>
    <s v="Escobedo"/>
    <x v="0"/>
    <x v="2"/>
    <d v="2025-02-01T00:00:00"/>
    <x v="11"/>
    <x v="3"/>
  </r>
  <r>
    <x v="239"/>
    <x v="0"/>
    <n v="2"/>
    <d v="2025-02-17T00:00:00"/>
    <d v="2025-02-17T00:00:00"/>
    <d v="2025-02-17T00:00:00"/>
    <d v="2025-02-17T00:00:00"/>
    <d v="2025-02-17T20:55:44"/>
    <n v="2039"/>
    <s v="610429"/>
    <s v="Sprinter"/>
    <n v="50"/>
    <n v="50"/>
    <s v="4366XC"/>
    <n v="1"/>
    <n v="150"/>
    <b v="1"/>
    <b v="0"/>
    <b v="0"/>
    <n v="216"/>
    <n v="0"/>
    <s v=""/>
    <s v=""/>
    <n v="50"/>
    <n v="359"/>
    <x v="6"/>
    <n v="359"/>
    <s v="Escobedo"/>
    <s v="Escobedo"/>
    <x v="0"/>
    <x v="2"/>
    <d v="2025-02-01T00:00:00"/>
    <x v="11"/>
    <x v="3"/>
  </r>
  <r>
    <x v="240"/>
    <x v="0"/>
    <n v="2"/>
    <d v="2025-02-17T00:00:00"/>
    <d v="2025-02-17T00:00:00"/>
    <d v="2025-02-17T00:00:00"/>
    <d v="2025-02-17T00:00:00"/>
    <d v="2025-02-19T00:00:00"/>
    <n v="2039"/>
    <s v="610429"/>
    <s v="Sprinter"/>
    <n v="50"/>
    <n v="50"/>
    <s v="4366XC"/>
    <n v="1"/>
    <n v="150"/>
    <b v="1"/>
    <b v="0"/>
    <b v="0"/>
    <n v="216"/>
    <n v="0"/>
    <s v=""/>
    <s v=""/>
    <n v="50"/>
    <n v="2936"/>
    <x v="6"/>
    <n v="2936"/>
    <s v="Escobedo"/>
    <s v="Hidalgo"/>
    <x v="19"/>
    <x v="2"/>
    <d v="2025-02-01T00:00:00"/>
    <x v="11"/>
    <x v="3"/>
  </r>
  <r>
    <x v="241"/>
    <x v="0"/>
    <n v="2"/>
    <d v="2025-02-17T00:00:00"/>
    <d v="2025-02-17T00:00:00"/>
    <d v="2025-02-17T00:00:00"/>
    <d v="2025-02-17T00:00:00"/>
    <d v="2025-02-19T09:55:23"/>
    <n v="2050"/>
    <s v="626955"/>
    <s v="Sprinter"/>
    <n v="50"/>
    <n v="50"/>
    <s v="6551XC"/>
    <n v="1"/>
    <n v="150"/>
    <b v="1"/>
    <b v="0"/>
    <b v="0"/>
    <n v="216"/>
    <n v="0"/>
    <s v=""/>
    <s v=""/>
    <n v="50"/>
    <n v="359"/>
    <x v="6"/>
    <n v="359"/>
    <s v="Escobedo"/>
    <s v="Escobedo"/>
    <x v="0"/>
    <x v="0"/>
    <d v="2025-02-01T00:00:00"/>
    <x v="11"/>
    <x v="3"/>
  </r>
  <r>
    <x v="242"/>
    <x v="0"/>
    <n v="2"/>
    <d v="2025-02-17T00:00:00"/>
    <d v="2025-02-17T00:00:00"/>
    <d v="2025-02-17T00:00:00"/>
    <d v="2025-02-17T00:00:00"/>
    <d v="2025-02-19T10:29:53"/>
    <n v="2050"/>
    <s v="626955"/>
    <s v="Sprinter"/>
    <n v="50"/>
    <n v="50"/>
    <s v="6551XC"/>
    <n v="1"/>
    <n v="150"/>
    <b v="1"/>
    <b v="0"/>
    <b v="0"/>
    <n v="216"/>
    <n v="0"/>
    <s v=""/>
    <s v=""/>
    <n v="50"/>
    <n v="359"/>
    <x v="6"/>
    <n v="359"/>
    <s v="Escobedo"/>
    <s v="Escobedo"/>
    <x v="0"/>
    <x v="0"/>
    <d v="2025-02-01T00:00:00"/>
    <x v="11"/>
    <x v="3"/>
  </r>
  <r>
    <x v="243"/>
    <x v="0"/>
    <n v="2"/>
    <d v="2025-02-17T00:00:00"/>
    <d v="2025-02-17T00:00:00"/>
    <d v="2025-02-17T00:00:00"/>
    <d v="2025-02-17T00:00:00"/>
    <d v="2025-02-19T00:00:00"/>
    <n v="2050"/>
    <s v="626955"/>
    <s v="Sprinter"/>
    <n v="50"/>
    <n v="50"/>
    <s v="6551XC"/>
    <n v="1"/>
    <n v="150"/>
    <b v="1"/>
    <b v="0"/>
    <b v="0"/>
    <n v="216"/>
    <n v="0"/>
    <s v=""/>
    <s v=""/>
    <n v="50"/>
    <n v="2936"/>
    <x v="6"/>
    <n v="2936"/>
    <s v="Escobedo"/>
    <s v="Hidalgo"/>
    <x v="19"/>
    <x v="0"/>
    <d v="2025-02-01T00:00:00"/>
    <x v="11"/>
    <x v="3"/>
  </r>
  <r>
    <x v="244"/>
    <x v="0"/>
    <n v="2"/>
    <d v="2025-02-18T00:00:00"/>
    <d v="2025-02-18T00:00:00"/>
    <d v="2025-02-18T00:00:00"/>
    <d v="2025-02-18T00:00:00"/>
    <d v="2025-02-18T00:00:00"/>
    <n v="2246"/>
    <s v="610429"/>
    <s v="Sprinter"/>
    <n v="50"/>
    <n v="50"/>
    <s v="4376XC"/>
    <n v="1"/>
    <n v="150"/>
    <b v="1"/>
    <b v="0"/>
    <b v="0"/>
    <n v="216"/>
    <n v="0"/>
    <s v=""/>
    <s v=""/>
    <n v="50"/>
    <n v="359"/>
    <x v="6"/>
    <n v="359"/>
    <s v="Escobedo"/>
    <s v="Escobedo"/>
    <x v="0"/>
    <x v="2"/>
    <d v="2025-02-01T00:00:00"/>
    <x v="11"/>
    <x v="3"/>
  </r>
  <r>
    <x v="245"/>
    <x v="0"/>
    <n v="2"/>
    <d v="2025-02-19T00:00:00"/>
    <d v="2025-02-19T00:00:00"/>
    <d v="2025-02-19T00:00:00"/>
    <d v="2025-02-19T00:00:00"/>
    <d v="2025-02-21T00:00:00"/>
    <n v="2050"/>
    <s v="626955"/>
    <s v="Sprinter"/>
    <n v="504"/>
    <n v="504"/>
    <s v="6551XC"/>
    <n v="1"/>
    <n v="504"/>
    <b v="1"/>
    <b v="0"/>
    <b v="0"/>
    <n v="880"/>
    <n v="0"/>
    <s v=""/>
    <s v=""/>
    <n v="600"/>
    <n v="119"/>
    <x v="7"/>
    <n v="119"/>
    <s v="Escobedo"/>
    <s v="Altamira"/>
    <x v="14"/>
    <x v="0"/>
    <d v="2025-02-01T00:00:00"/>
    <x v="11"/>
    <x v="3"/>
  </r>
  <r>
    <x v="246"/>
    <x v="0"/>
    <n v="2"/>
    <d v="2025-02-01T00:00:00"/>
    <d v="2025-02-01T00:00:00"/>
    <d v="2025-02-01T00:00:00"/>
    <d v="2025-02-01T00:00:00"/>
    <d v="2025-02-02T16:40:39"/>
    <n v="2039"/>
    <s v="610429"/>
    <s v="Sprinter"/>
    <n v="50"/>
    <n v="50"/>
    <s v="4366XC"/>
    <n v="1"/>
    <n v="150"/>
    <b v="1"/>
    <b v="0"/>
    <b v="0"/>
    <n v="216"/>
    <n v="0"/>
    <s v=""/>
    <s v=""/>
    <n v="50"/>
    <n v="359"/>
    <x v="6"/>
    <n v="359"/>
    <s v="Escobedo"/>
    <s v="Escobedo"/>
    <x v="0"/>
    <x v="2"/>
    <d v="2025-02-01T00:00:00"/>
    <x v="11"/>
    <x v="3"/>
  </r>
  <r>
    <x v="247"/>
    <x v="0"/>
    <n v="2"/>
    <d v="2025-02-19T00:00:00"/>
    <d v="2025-02-19T00:00:00"/>
    <d v="2025-02-19T00:00:00"/>
    <d v="2025-02-19T00:00:00"/>
    <d v="2025-02-20T00:00:00"/>
    <n v="2246"/>
    <s v="610429"/>
    <s v="Sprinter"/>
    <n v="50"/>
    <n v="50"/>
    <s v="4376XC"/>
    <n v="1"/>
    <n v="150"/>
    <b v="1"/>
    <b v="0"/>
    <b v="0"/>
    <n v="216"/>
    <n v="0"/>
    <s v=""/>
    <s v=""/>
    <n v="50"/>
    <n v="2936"/>
    <x v="6"/>
    <n v="2936"/>
    <s v="Escobedo"/>
    <s v="Hidalgo"/>
    <x v="19"/>
    <x v="2"/>
    <d v="2025-02-01T00:00:00"/>
    <x v="11"/>
    <x v="3"/>
  </r>
  <r>
    <x v="248"/>
    <x v="0"/>
    <n v="2"/>
    <d v="2025-02-19T00:00:00"/>
    <d v="2025-02-19T00:00:00"/>
    <d v="2025-02-19T00:00:00"/>
    <d v="2025-02-19T00:00:00"/>
    <d v="2025-02-20T12:09:17"/>
    <n v="2246"/>
    <s v="610429"/>
    <s v="Sprinter"/>
    <n v="50"/>
    <n v="50"/>
    <s v="4376XC"/>
    <n v="1"/>
    <n v="150"/>
    <b v="1"/>
    <b v="0"/>
    <b v="0"/>
    <n v="216"/>
    <n v="0"/>
    <s v=""/>
    <s v=""/>
    <n v="50"/>
    <n v="359"/>
    <x v="6"/>
    <n v="359"/>
    <s v="Escobedo"/>
    <s v="Escobedo"/>
    <x v="0"/>
    <x v="2"/>
    <d v="2025-02-01T00:00:00"/>
    <x v="11"/>
    <x v="3"/>
  </r>
  <r>
    <x v="249"/>
    <x v="0"/>
    <n v="2"/>
    <d v="2025-02-19T00:00:00"/>
    <d v="2025-02-19T00:00:00"/>
    <d v="2025-02-19T00:00:00"/>
    <d v="2025-02-19T00:00:00"/>
    <d v="2025-02-20T11:16:45"/>
    <n v="2050"/>
    <s v="626955"/>
    <s v="Sprinter"/>
    <n v="50"/>
    <n v="50"/>
    <s v="6551XC"/>
    <n v="1"/>
    <n v="150"/>
    <b v="1"/>
    <b v="0"/>
    <b v="0"/>
    <n v="216"/>
    <n v="0"/>
    <s v=""/>
    <s v=""/>
    <n v="50"/>
    <n v="359"/>
    <x v="6"/>
    <n v="359"/>
    <s v="Escobedo"/>
    <s v="Escobedo"/>
    <x v="0"/>
    <x v="0"/>
    <d v="2025-02-01T00:00:00"/>
    <x v="11"/>
    <x v="3"/>
  </r>
  <r>
    <x v="250"/>
    <x v="0"/>
    <n v="2"/>
    <d v="2025-02-19T00:00:00"/>
    <d v="2025-02-19T00:00:00"/>
    <d v="2025-02-19T00:00:00"/>
    <d v="2025-02-19T00:00:00"/>
    <d v="2025-02-20T11:16:07"/>
    <n v="2050"/>
    <s v="626955"/>
    <s v="Sprinter"/>
    <n v="50"/>
    <n v="50"/>
    <s v="6551XC"/>
    <n v="1"/>
    <n v="150"/>
    <b v="1"/>
    <b v="0"/>
    <b v="0"/>
    <n v="216"/>
    <n v="0"/>
    <s v=""/>
    <s v=""/>
    <n v="50"/>
    <n v="359"/>
    <x v="6"/>
    <n v="359"/>
    <s v="Escobedo"/>
    <s v="Escobedo"/>
    <x v="0"/>
    <x v="0"/>
    <d v="2025-02-01T00:00:00"/>
    <x v="11"/>
    <x v="3"/>
  </r>
  <r>
    <x v="251"/>
    <x v="0"/>
    <n v="2"/>
    <d v="2025-02-19T00:00:00"/>
    <d v="2025-02-19T00:00:00"/>
    <d v="2025-02-19T00:00:00"/>
    <d v="2025-02-19T00:00:00"/>
    <d v="2025-02-21T09:42:24"/>
    <n v="2050"/>
    <s v="626955"/>
    <s v="Sprinter"/>
    <n v="50"/>
    <n v="50"/>
    <s v="6551XC"/>
    <n v="1"/>
    <n v="150"/>
    <b v="1"/>
    <b v="0"/>
    <b v="0"/>
    <n v="216"/>
    <n v="0"/>
    <s v=""/>
    <s v=""/>
    <n v="50"/>
    <n v="2936"/>
    <x v="6"/>
    <n v="2936"/>
    <s v="Escobedo"/>
    <s v="Hidalgo"/>
    <x v="19"/>
    <x v="0"/>
    <d v="2025-02-01T00:00:00"/>
    <x v="11"/>
    <x v="3"/>
  </r>
  <r>
    <x v="252"/>
    <x v="0"/>
    <n v="2"/>
    <d v="2025-02-19T00:00:00"/>
    <d v="2025-02-19T00:00:00"/>
    <d v="2025-02-19T00:00:00"/>
    <d v="2025-02-19T00:00:00"/>
    <d v="2025-02-21T20:26:08"/>
    <n v="2050"/>
    <s v="626955"/>
    <s v="Sprinter"/>
    <n v="50"/>
    <n v="50"/>
    <s v="6551XC"/>
    <n v="1"/>
    <n v="150"/>
    <b v="1"/>
    <b v="0"/>
    <b v="0"/>
    <n v="216"/>
    <n v="0"/>
    <s v=""/>
    <s v=""/>
    <n v="50"/>
    <n v="2936"/>
    <x v="6"/>
    <n v="2936"/>
    <s v="Escobedo"/>
    <s v="Hidalgo"/>
    <x v="19"/>
    <x v="0"/>
    <d v="2025-02-01T00:00:00"/>
    <x v="11"/>
    <x v="3"/>
  </r>
  <r>
    <x v="253"/>
    <x v="0"/>
    <n v="2"/>
    <d v="2025-02-19T00:00:00"/>
    <d v="2025-02-19T00:00:00"/>
    <d v="2025-02-19T00:00:00"/>
    <d v="2025-02-19T00:00:00"/>
    <d v="2025-02-21T23:00:58"/>
    <n v="2050"/>
    <s v="626955"/>
    <s v="Sprinter"/>
    <n v="50"/>
    <n v="50"/>
    <s v="6551XC"/>
    <n v="1"/>
    <n v="150"/>
    <b v="1"/>
    <b v="0"/>
    <b v="0"/>
    <n v="216"/>
    <n v="0"/>
    <s v=""/>
    <s v=""/>
    <n v="50"/>
    <n v="359"/>
    <x v="6"/>
    <n v="359"/>
    <s v="Escobedo"/>
    <s v="Escobedo"/>
    <x v="0"/>
    <x v="0"/>
    <d v="2025-02-01T00:00:00"/>
    <x v="11"/>
    <x v="3"/>
  </r>
  <r>
    <x v="254"/>
    <x v="0"/>
    <n v="2"/>
    <d v="2025-02-19T00:00:00"/>
    <d v="2025-02-19T00:00:00"/>
    <d v="2025-02-19T00:00:00"/>
    <d v="2025-02-19T00:00:00"/>
    <d v="2025-02-20T11:16:05"/>
    <n v="2050"/>
    <s v="626955"/>
    <s v="Sprinter"/>
    <n v="50"/>
    <n v="50"/>
    <s v="6551XC"/>
    <n v="1"/>
    <n v="150"/>
    <b v="1"/>
    <b v="0"/>
    <b v="0"/>
    <n v="216"/>
    <n v="0"/>
    <s v=""/>
    <s v=""/>
    <n v="50"/>
    <n v="359"/>
    <x v="6"/>
    <n v="359"/>
    <s v="Escobedo"/>
    <s v="Escobedo"/>
    <x v="0"/>
    <x v="0"/>
    <d v="2025-02-01T00:00:00"/>
    <x v="11"/>
    <x v="3"/>
  </r>
  <r>
    <x v="255"/>
    <x v="0"/>
    <n v="2"/>
    <d v="2025-02-20T00:00:00"/>
    <d v="2025-02-20T00:00:00"/>
    <d v="2025-02-20T00:00:00"/>
    <d v="2025-02-20T00:00:00"/>
    <d v="2025-02-21T00:00:00"/>
    <n v="2321"/>
    <s v="610429"/>
    <s v="Sprinter"/>
    <n v="50"/>
    <n v="50"/>
    <s v="3662XC"/>
    <n v="1"/>
    <n v="150"/>
    <b v="1"/>
    <b v="0"/>
    <b v="0"/>
    <n v="216"/>
    <n v="0"/>
    <s v=""/>
    <s v=""/>
    <n v="50"/>
    <n v="359"/>
    <x v="6"/>
    <n v="359"/>
    <s v="Escobedo"/>
    <s v="Escobedo"/>
    <x v="0"/>
    <x v="2"/>
    <d v="2025-02-01T00:00:00"/>
    <x v="11"/>
    <x v="3"/>
  </r>
  <r>
    <x v="256"/>
    <x v="0"/>
    <n v="2"/>
    <d v="2025-02-20T00:00:00"/>
    <d v="2025-02-20T00:00:00"/>
    <d v="2025-02-20T00:00:00"/>
    <d v="2025-02-20T00:00:00"/>
    <d v="2025-02-21T00:00:00"/>
    <n v="2321"/>
    <s v="610429"/>
    <s v="Sprinter"/>
    <n v="50"/>
    <n v="50"/>
    <s v="3662XC"/>
    <n v="1"/>
    <n v="150"/>
    <b v="1"/>
    <b v="0"/>
    <b v="0"/>
    <n v="216"/>
    <n v="0"/>
    <s v=""/>
    <s v=""/>
    <n v="50"/>
    <n v="359"/>
    <x v="6"/>
    <n v="359"/>
    <s v="Escobedo"/>
    <s v="Escobedo"/>
    <x v="0"/>
    <x v="2"/>
    <d v="2025-02-01T00:00:00"/>
    <x v="11"/>
    <x v="3"/>
  </r>
  <r>
    <x v="257"/>
    <x v="0"/>
    <n v="2"/>
    <d v="2025-02-20T00:00:00"/>
    <d v="2025-02-20T00:00:00"/>
    <d v="2025-02-20T00:00:00"/>
    <d v="2025-02-20T00:00:00"/>
    <d v="2025-02-21T00:00:00"/>
    <n v="2321"/>
    <s v="610429"/>
    <s v="Sprinter"/>
    <n v="50"/>
    <n v="50"/>
    <s v="3662XC"/>
    <n v="1"/>
    <n v="150"/>
    <b v="1"/>
    <b v="0"/>
    <b v="0"/>
    <n v="216"/>
    <n v="0"/>
    <s v=""/>
    <s v=""/>
    <n v="50"/>
    <n v="2936"/>
    <x v="6"/>
    <n v="2936"/>
    <s v="Escobedo"/>
    <s v="Hidalgo"/>
    <x v="19"/>
    <x v="2"/>
    <d v="2025-02-01T00:00:00"/>
    <x v="11"/>
    <x v="3"/>
  </r>
  <r>
    <x v="258"/>
    <x v="0"/>
    <n v="2"/>
    <d v="2025-02-21T00:00:00"/>
    <d v="2025-02-21T00:00:00"/>
    <d v="2025-02-21T00:00:00"/>
    <d v="2025-02-21T00:00:00"/>
    <d v="2025-02-21T00:00:00"/>
    <n v="2039"/>
    <s v="610429"/>
    <s v="Sprinter"/>
    <n v="50"/>
    <n v="50"/>
    <s v="4366XC"/>
    <n v="1"/>
    <n v="150"/>
    <b v="1"/>
    <b v="0"/>
    <b v="0"/>
    <n v="216"/>
    <n v="0"/>
    <s v=""/>
    <s v=""/>
    <n v="50"/>
    <n v="2936"/>
    <x v="6"/>
    <n v="2936"/>
    <s v="Escobedo"/>
    <s v="Hidalgo"/>
    <x v="19"/>
    <x v="2"/>
    <d v="2025-02-01T00:00:00"/>
    <x v="11"/>
    <x v="3"/>
  </r>
  <r>
    <x v="259"/>
    <x v="0"/>
    <n v="2"/>
    <d v="2025-02-21T00:00:00"/>
    <d v="2025-02-21T00:00:00"/>
    <d v="2025-02-21T00:00:00"/>
    <d v="2025-02-21T00:00:00"/>
    <d v="2025-02-21T00:00:00"/>
    <n v="2039"/>
    <s v="610429"/>
    <s v="Sprinter"/>
    <n v="50"/>
    <n v="50"/>
    <s v="4366XC"/>
    <n v="1"/>
    <n v="150"/>
    <b v="1"/>
    <b v="0"/>
    <b v="0"/>
    <n v="216"/>
    <n v="0"/>
    <s v=""/>
    <s v=""/>
    <n v="50"/>
    <n v="359"/>
    <x v="6"/>
    <n v="359"/>
    <s v="Escobedo"/>
    <s v="Escobedo"/>
    <x v="0"/>
    <x v="2"/>
    <d v="2025-02-01T00:00:00"/>
    <x v="11"/>
    <x v="3"/>
  </r>
  <r>
    <x v="260"/>
    <x v="0"/>
    <n v="2"/>
    <d v="2025-02-21T00:00:00"/>
    <d v="2025-02-21T00:00:00"/>
    <d v="2025-02-24T00:00:00"/>
    <d v="2025-02-23T00:00:00"/>
    <d v="2025-02-24T00:00:00"/>
    <n v="2039"/>
    <s v="610429"/>
    <s v="Sprinter"/>
    <n v="842"/>
    <n v="842"/>
    <s v="4366XC"/>
    <n v="1"/>
    <n v="863"/>
    <b v="1"/>
    <b v="0"/>
    <b v="0"/>
    <n v="1134"/>
    <n v="0"/>
    <s v=""/>
    <s v=""/>
    <n v="900"/>
    <n v="1843"/>
    <x v="7"/>
    <n v="1843"/>
    <s v="Escobedo"/>
    <s v="Mazatlan"/>
    <x v="17"/>
    <x v="2"/>
    <d v="2025-02-01T00:00:00"/>
    <x v="11"/>
    <x v="3"/>
  </r>
  <r>
    <x v="261"/>
    <x v="0"/>
    <n v="2"/>
    <d v="2025-02-21T00:00:00"/>
    <d v="2025-02-21T00:00:00"/>
    <d v="2025-02-21T00:00:00"/>
    <d v="2025-02-21T00:00:00"/>
    <d v="2025-02-22T10:47:09"/>
    <n v="2050"/>
    <s v="626955"/>
    <s v="Sprinter"/>
    <n v="50"/>
    <n v="50"/>
    <s v="6551XC"/>
    <n v="1"/>
    <n v="150"/>
    <b v="1"/>
    <b v="0"/>
    <b v="0"/>
    <n v="216"/>
    <n v="0"/>
    <s v=""/>
    <s v=""/>
    <n v="50"/>
    <n v="359"/>
    <x v="6"/>
    <n v="359"/>
    <s v="Escobedo"/>
    <s v="Escobedo"/>
    <x v="0"/>
    <x v="0"/>
    <d v="2025-02-01T00:00:00"/>
    <x v="11"/>
    <x v="3"/>
  </r>
  <r>
    <x v="262"/>
    <x v="0"/>
    <n v="2"/>
    <d v="2025-02-21T00:00:00"/>
    <d v="2025-02-21T00:00:00"/>
    <d v="2025-02-21T00:00:00"/>
    <d v="2025-02-21T00:00:00"/>
    <d v="2025-02-22T15:01:38"/>
    <n v="2050"/>
    <s v="626955"/>
    <s v="Sprinter"/>
    <n v="50"/>
    <n v="50"/>
    <s v="6551XC"/>
    <n v="1"/>
    <n v="150"/>
    <b v="1"/>
    <b v="0"/>
    <b v="0"/>
    <n v="216"/>
    <n v="0"/>
    <s v=""/>
    <s v=""/>
    <n v="50"/>
    <n v="2936"/>
    <x v="6"/>
    <n v="2936"/>
    <s v="Escobedo"/>
    <s v="Hidalgo"/>
    <x v="19"/>
    <x v="0"/>
    <d v="2025-02-01T00:00:00"/>
    <x v="11"/>
    <x v="3"/>
  </r>
  <r>
    <x v="263"/>
    <x v="0"/>
    <n v="2"/>
    <d v="2025-02-22T00:00:00"/>
    <d v="2025-02-22T00:00:00"/>
    <d v="2025-02-22T00:00:00"/>
    <d v="2025-02-22T00:00:00"/>
    <d v="2025-02-22T00:00:00"/>
    <n v="2039"/>
    <s v="610429"/>
    <s v="Sprinter"/>
    <n v="50"/>
    <n v="50"/>
    <s v="4366XC"/>
    <n v="1"/>
    <n v="150"/>
    <b v="1"/>
    <b v="0"/>
    <b v="0"/>
    <n v="216"/>
    <n v="0"/>
    <s v=""/>
    <s v=""/>
    <n v="50"/>
    <n v="359"/>
    <x v="6"/>
    <n v="359"/>
    <s v="Escobedo"/>
    <s v="Escobedo"/>
    <x v="0"/>
    <x v="2"/>
    <d v="2025-02-01T00:00:00"/>
    <x v="11"/>
    <x v="3"/>
  </r>
  <r>
    <x v="264"/>
    <x v="0"/>
    <n v="2"/>
    <d v="2025-02-24T00:00:00"/>
    <d v="2025-02-24T00:00:00"/>
    <d v="2025-02-25T00:00:00"/>
    <d v="2025-02-24T00:00:00"/>
    <d v="2025-02-25T00:00:00"/>
    <n v="2039"/>
    <s v="610429"/>
    <s v="Sprinter"/>
    <n v="0"/>
    <n v="0"/>
    <s v="4366XC"/>
    <n v="1"/>
    <n v="0"/>
    <b v="1"/>
    <b v="0"/>
    <b v="0"/>
    <n v="0"/>
    <n v="0"/>
    <s v=""/>
    <s v=""/>
    <n v="0"/>
    <n v="64"/>
    <x v="7"/>
    <n v="64"/>
    <s v="Escobedo"/>
    <s v="Culiacan"/>
    <x v="24"/>
    <x v="2"/>
    <d v="2025-02-01T00:00:00"/>
    <x v="11"/>
    <x v="3"/>
  </r>
  <r>
    <x v="265"/>
    <x v="0"/>
    <n v="2"/>
    <d v="2025-02-24T00:00:00"/>
    <d v="2025-02-24T00:00:00"/>
    <d v="2025-02-24T00:00:00"/>
    <d v="2025-02-24T00:00:00"/>
    <d v="2025-02-25T08:40:07"/>
    <n v="2050"/>
    <s v="626955"/>
    <s v="Sprinter"/>
    <n v="50"/>
    <n v="50"/>
    <s v="6551XC"/>
    <n v="1"/>
    <n v="150"/>
    <b v="1"/>
    <b v="0"/>
    <b v="0"/>
    <n v="216"/>
    <n v="0"/>
    <s v=""/>
    <s v=""/>
    <n v="50"/>
    <n v="359"/>
    <x v="6"/>
    <n v="359"/>
    <s v="Escobedo"/>
    <s v="Escobedo"/>
    <x v="0"/>
    <x v="0"/>
    <d v="2025-02-01T00:00:00"/>
    <x v="11"/>
    <x v="3"/>
  </r>
  <r>
    <x v="266"/>
    <x v="0"/>
    <n v="2"/>
    <d v="2025-02-24T00:00:00"/>
    <d v="2025-02-24T00:00:00"/>
    <d v="2025-02-24T00:00:00"/>
    <d v="2025-02-24T00:00:00"/>
    <d v="2025-02-25T16:21:04"/>
    <n v="2050"/>
    <s v="626955"/>
    <s v="Sprinter"/>
    <n v="50"/>
    <n v="50"/>
    <s v="6551XC"/>
    <n v="1"/>
    <n v="150"/>
    <b v="1"/>
    <b v="0"/>
    <b v="0"/>
    <n v="216"/>
    <n v="0"/>
    <s v=""/>
    <s v=""/>
    <n v="50"/>
    <n v="2936"/>
    <x v="6"/>
    <n v="2936"/>
    <s v="Escobedo"/>
    <s v="Hidalgo"/>
    <x v="19"/>
    <x v="0"/>
    <d v="2025-02-01T00:00:00"/>
    <x v="11"/>
    <x v="3"/>
  </r>
  <r>
    <x v="267"/>
    <x v="0"/>
    <n v="2"/>
    <d v="2025-02-01T00:00:00"/>
    <d v="2025-02-01T00:00:00"/>
    <d v="2025-02-01T00:00:00"/>
    <d v="2025-02-01T00:00:00"/>
    <d v="2025-02-02T16:41:10"/>
    <n v="2039"/>
    <s v="610429"/>
    <s v="Sprinter"/>
    <n v="50"/>
    <n v="50"/>
    <s v="4366XC"/>
    <n v="1"/>
    <n v="150"/>
    <b v="1"/>
    <b v="0"/>
    <b v="0"/>
    <n v="216"/>
    <n v="0"/>
    <s v=""/>
    <s v=""/>
    <n v="50"/>
    <n v="359"/>
    <x v="6"/>
    <n v="359"/>
    <s v="Escobedo"/>
    <s v="Escobedo"/>
    <x v="0"/>
    <x v="2"/>
    <d v="2025-02-01T00:00:00"/>
    <x v="11"/>
    <x v="3"/>
  </r>
  <r>
    <x v="268"/>
    <x v="0"/>
    <n v="2"/>
    <d v="2025-02-26T00:00:00"/>
    <d v="2025-02-26T00:00:00"/>
    <d v="2025-02-26T00:00:00"/>
    <d v="2025-02-26T00:00:00"/>
    <d v="2025-02-26T14:15:18"/>
    <n v="2050"/>
    <s v="626955"/>
    <s v="Sprinter"/>
    <n v="50"/>
    <n v="50"/>
    <s v="6551XC"/>
    <n v="1"/>
    <n v="150"/>
    <b v="1"/>
    <b v="0"/>
    <b v="0"/>
    <n v="216"/>
    <n v="0"/>
    <s v=""/>
    <s v=""/>
    <n v="50"/>
    <n v="359"/>
    <x v="6"/>
    <n v="359"/>
    <s v="Escobedo"/>
    <s v="Escobedo"/>
    <x v="0"/>
    <x v="0"/>
    <d v="2025-02-01T00:00:00"/>
    <x v="11"/>
    <x v="3"/>
  </r>
  <r>
    <x v="269"/>
    <x v="0"/>
    <n v="2"/>
    <d v="2025-02-26T00:00:00"/>
    <d v="2025-02-26T00:00:00"/>
    <d v="2025-02-26T00:00:00"/>
    <d v="2025-02-26T00:00:00"/>
    <d v="2025-02-26T14:52:12"/>
    <n v="2050"/>
    <s v="626955"/>
    <s v="Sprinter"/>
    <n v="50"/>
    <n v="50"/>
    <s v="6551XC"/>
    <n v="1"/>
    <n v="150"/>
    <b v="1"/>
    <b v="0"/>
    <b v="0"/>
    <n v="216"/>
    <n v="0"/>
    <s v=""/>
    <s v=""/>
    <n v="50"/>
    <n v="2936"/>
    <x v="6"/>
    <n v="2936"/>
    <s v="Escobedo"/>
    <s v="Hidalgo"/>
    <x v="19"/>
    <x v="0"/>
    <d v="2025-02-01T00:00:00"/>
    <x v="11"/>
    <x v="3"/>
  </r>
  <r>
    <x v="270"/>
    <x v="0"/>
    <n v="2"/>
    <d v="2025-02-26T00:00:00"/>
    <d v="2025-02-26T00:00:00"/>
    <d v="2025-02-26T00:00:00"/>
    <d v="2025-02-26T00:00:00"/>
    <d v="2025-02-26T17:09:45"/>
    <n v="2050"/>
    <s v="626955"/>
    <s v="Sprinter"/>
    <n v="50"/>
    <n v="50"/>
    <s v="6551XC"/>
    <n v="1"/>
    <n v="150"/>
    <b v="1"/>
    <b v="0"/>
    <b v="0"/>
    <n v="216"/>
    <n v="0"/>
    <s v=""/>
    <s v=""/>
    <n v="50"/>
    <n v="359"/>
    <x v="6"/>
    <n v="359"/>
    <s v="Escobedo"/>
    <s v="Escobedo"/>
    <x v="0"/>
    <x v="0"/>
    <d v="2025-02-01T00:00:00"/>
    <x v="11"/>
    <x v="3"/>
  </r>
  <r>
    <x v="271"/>
    <x v="0"/>
    <n v="2"/>
    <d v="2025-02-26T00:00:00"/>
    <d v="2025-02-26T00:00:00"/>
    <d v="2025-02-26T00:00:00"/>
    <d v="2025-02-26T00:00:00"/>
    <d v="2025-02-26T17:06:49"/>
    <n v="2050"/>
    <s v="626955"/>
    <s v="Sprinter"/>
    <n v="50"/>
    <n v="50"/>
    <s v="6551XC"/>
    <n v="1"/>
    <n v="150"/>
    <b v="1"/>
    <b v="0"/>
    <b v="0"/>
    <n v="216"/>
    <n v="0"/>
    <s v=""/>
    <s v=""/>
    <n v="50"/>
    <n v="359"/>
    <x v="6"/>
    <n v="359"/>
    <s v="Escobedo"/>
    <s v="Escobedo"/>
    <x v="0"/>
    <x v="0"/>
    <d v="2025-02-01T00:00:00"/>
    <x v="11"/>
    <x v="3"/>
  </r>
  <r>
    <x v="272"/>
    <x v="0"/>
    <n v="2"/>
    <d v="2025-02-26T00:00:00"/>
    <d v="2025-02-26T00:00:00"/>
    <d v="2025-02-26T00:00:00"/>
    <d v="2025-02-26T00:00:00"/>
    <d v="2025-02-26T17:06:49"/>
    <n v="2050"/>
    <s v="626955"/>
    <s v="Sprinter"/>
    <n v="50"/>
    <n v="50"/>
    <s v="6551XC"/>
    <n v="1"/>
    <n v="150"/>
    <b v="1"/>
    <b v="0"/>
    <b v="0"/>
    <n v="216"/>
    <n v="0"/>
    <s v=""/>
    <s v=""/>
    <n v="50"/>
    <n v="2936"/>
    <x v="6"/>
    <n v="2936"/>
    <s v="Escobedo"/>
    <s v="Hidalgo"/>
    <x v="19"/>
    <x v="0"/>
    <d v="2025-02-01T00:00:00"/>
    <x v="11"/>
    <x v="3"/>
  </r>
  <r>
    <x v="273"/>
    <x v="0"/>
    <n v="2"/>
    <d v="2025-02-26T00:00:00"/>
    <d v="2025-02-26T00:00:00"/>
    <d v="2025-02-26T00:00:00"/>
    <d v="2025-02-26T00:00:00"/>
    <d v="2025-02-26T17:07:38"/>
    <n v="2050"/>
    <s v="626955"/>
    <s v="Sprinter"/>
    <n v="50"/>
    <n v="50"/>
    <s v="6551XC"/>
    <n v="1"/>
    <n v="150"/>
    <b v="1"/>
    <b v="0"/>
    <b v="0"/>
    <n v="216"/>
    <n v="0"/>
    <s v=""/>
    <s v=""/>
    <n v="50"/>
    <n v="308"/>
    <x v="3"/>
    <n v="308"/>
    <s v="Escobedo"/>
    <s v="Guadalupe"/>
    <x v="25"/>
    <x v="0"/>
    <d v="2025-02-01T00:00:00"/>
    <x v="11"/>
    <x v="3"/>
  </r>
  <r>
    <x v="274"/>
    <x v="0"/>
    <n v="2"/>
    <d v="2025-02-27T00:00:00"/>
    <d v="2025-02-27T00:00:00"/>
    <d v="2025-02-27T00:00:00"/>
    <d v="2025-02-27T00:00:00"/>
    <d v="2025-02-27T16:03:59"/>
    <n v="2024"/>
    <s v="626955"/>
    <s v="Sprinter"/>
    <n v="50"/>
    <n v="50"/>
    <s v="4364XC"/>
    <n v="1"/>
    <n v="150"/>
    <b v="1"/>
    <b v="0"/>
    <b v="0"/>
    <n v="0"/>
    <n v="0"/>
    <s v=""/>
    <s v=""/>
    <n v="50"/>
    <n v="2936"/>
    <x v="15"/>
    <n v="2936"/>
    <s v="Escobedo"/>
    <s v="Hidalgo"/>
    <x v="19"/>
    <x v="0"/>
    <d v="2025-02-01T00:00:00"/>
    <x v="11"/>
    <x v="3"/>
  </r>
  <r>
    <x v="275"/>
    <x v="0"/>
    <n v="2"/>
    <d v="2025-02-05T00:00:00"/>
    <d v="2025-02-05T00:00:00"/>
    <d v="2025-02-05T00:00:00"/>
    <d v="2025-02-05T00:00:00"/>
    <d v="2025-02-05T17:24:47"/>
    <n v="2039"/>
    <s v="610429"/>
    <s v="Sprinter"/>
    <n v="50"/>
    <n v="50"/>
    <s v="4366XC"/>
    <n v="1"/>
    <n v="150"/>
    <b v="1"/>
    <b v="0"/>
    <b v="0"/>
    <n v="216"/>
    <n v="0"/>
    <s v=""/>
    <s v=""/>
    <n v="50"/>
    <n v="359"/>
    <x v="6"/>
    <n v="359"/>
    <s v="Escobedo"/>
    <s v="Escobedo"/>
    <x v="0"/>
    <x v="2"/>
    <d v="2025-02-01T00:00:00"/>
    <x v="11"/>
    <x v="3"/>
  </r>
  <r>
    <x v="276"/>
    <x v="0"/>
    <n v="2"/>
    <d v="2025-02-28T00:00:00"/>
    <d v="2025-02-28T00:00:00"/>
    <d v="2025-02-28T00:00:00"/>
    <d v="2025-02-28T00:00:00"/>
    <d v="2025-02-28T00:00:00"/>
    <n v="2024"/>
    <s v="626955"/>
    <s v="Sprinter"/>
    <n v="50"/>
    <n v="50"/>
    <s v="4364XC"/>
    <n v="1"/>
    <n v="150"/>
    <b v="1"/>
    <b v="0"/>
    <b v="0"/>
    <n v="216"/>
    <n v="0"/>
    <s v=""/>
    <s v=""/>
    <n v="50"/>
    <n v="2936"/>
    <x v="6"/>
    <n v="2936"/>
    <s v="Escobedo"/>
    <s v="Hidalgo"/>
    <x v="19"/>
    <x v="0"/>
    <d v="2025-02-01T00:00:00"/>
    <x v="11"/>
    <x v="3"/>
  </r>
  <r>
    <x v="277"/>
    <x v="0"/>
    <n v="2"/>
    <d v="2025-02-28T00:00:00"/>
    <d v="2025-02-28T00:00:00"/>
    <d v="2025-02-28T00:00:00"/>
    <d v="2025-02-28T00:00:00"/>
    <d v="2025-02-28T00:00:00"/>
    <n v="2050"/>
    <s v="626955"/>
    <s v="Sprinter"/>
    <n v="50"/>
    <n v="50"/>
    <s v="6551XC"/>
    <n v="1"/>
    <n v="150"/>
    <b v="1"/>
    <b v="1"/>
    <b v="0"/>
    <n v="216"/>
    <n v="0"/>
    <s v=""/>
    <s v=""/>
    <n v="50"/>
    <n v="2936"/>
    <x v="0"/>
    <n v="2936"/>
    <s v="Escobedo"/>
    <s v="Hidalgo"/>
    <x v="19"/>
    <x v="0"/>
    <d v="2025-02-01T00:00:00"/>
    <x v="11"/>
    <x v="3"/>
  </r>
  <r>
    <x v="278"/>
    <x v="0"/>
    <n v="2"/>
    <d v="2025-02-28T00:00:00"/>
    <d v="2025-02-28T00:00:00"/>
    <d v="2025-02-28T00:00:00"/>
    <d v="2025-02-28T00:00:00"/>
    <d v="2025-02-28T18:30:20"/>
    <n v="2050"/>
    <s v="626955"/>
    <s v="Sprinter"/>
    <n v="50"/>
    <n v="50"/>
    <s v="6551XC"/>
    <n v="1"/>
    <n v="150"/>
    <b v="1"/>
    <b v="0"/>
    <b v="0"/>
    <n v="216"/>
    <n v="0"/>
    <s v=""/>
    <s v=""/>
    <n v="50"/>
    <n v="359"/>
    <x v="6"/>
    <n v="359"/>
    <s v="Escobedo"/>
    <s v="Escobedo"/>
    <x v="0"/>
    <x v="0"/>
    <d v="2025-02-01T00:00:00"/>
    <x v="11"/>
    <x v="3"/>
  </r>
  <r>
    <x v="279"/>
    <x v="0"/>
    <n v="2"/>
    <d v="2025-02-05T00:00:00"/>
    <d v="2025-02-05T00:00:00"/>
    <d v="2025-02-05T00:00:00"/>
    <d v="2025-02-05T00:00:00"/>
    <d v="2025-02-05T17:24:46"/>
    <n v="2039"/>
    <s v="610429"/>
    <s v="Sprinter"/>
    <n v="50"/>
    <n v="50"/>
    <s v="4366XC"/>
    <n v="1"/>
    <n v="150"/>
    <b v="1"/>
    <b v="0"/>
    <b v="0"/>
    <n v="216"/>
    <n v="0"/>
    <s v=""/>
    <s v=""/>
    <n v="50"/>
    <n v="359"/>
    <x v="6"/>
    <n v="359"/>
    <s v="Escobedo"/>
    <s v="Escobedo"/>
    <x v="0"/>
    <x v="2"/>
    <d v="2025-02-01T00:00:00"/>
    <x v="11"/>
    <x v="3"/>
  </r>
  <r>
    <x v="280"/>
    <x v="0"/>
    <n v="2"/>
    <d v="2025-02-28T00:00:00"/>
    <d v="2025-02-28T00:00:00"/>
    <d v="2025-02-28T00:00:00"/>
    <d v="2025-02-28T00:00:00"/>
    <d v="2025-02-28T21:23:36"/>
    <n v="2050"/>
    <s v="626955"/>
    <s v="Sprinter"/>
    <n v="50"/>
    <n v="50"/>
    <s v="6551XC"/>
    <n v="1"/>
    <n v="150"/>
    <b v="1"/>
    <b v="0"/>
    <b v="0"/>
    <n v="216"/>
    <n v="0"/>
    <s v=""/>
    <s v=""/>
    <n v="50"/>
    <n v="359"/>
    <x v="6"/>
    <n v="359"/>
    <s v="Escobedo"/>
    <s v="Escobedo"/>
    <x v="0"/>
    <x v="0"/>
    <d v="2025-02-01T00:00:00"/>
    <x v="11"/>
    <x v="3"/>
  </r>
  <r>
    <x v="281"/>
    <x v="0"/>
    <n v="2"/>
    <d v="2025-02-28T00:00:00"/>
    <d v="2025-02-28T00:00:00"/>
    <d v="2025-02-28T00:00:00"/>
    <d v="2025-02-28T00:00:00"/>
    <d v="2025-02-28T22:11:19"/>
    <n v="2050"/>
    <s v="626955"/>
    <s v="Sprinter"/>
    <n v="50"/>
    <n v="50"/>
    <s v="6551XC"/>
    <n v="1"/>
    <n v="150"/>
    <b v="1"/>
    <b v="0"/>
    <b v="0"/>
    <n v="216"/>
    <n v="0"/>
    <s v=""/>
    <s v=""/>
    <n v="50"/>
    <n v="359"/>
    <x v="6"/>
    <n v="359"/>
    <s v="Escobedo"/>
    <s v="Escobedo"/>
    <x v="0"/>
    <x v="0"/>
    <d v="2025-02-01T00:00:00"/>
    <x v="11"/>
    <x v="3"/>
  </r>
  <r>
    <x v="282"/>
    <x v="0"/>
    <n v="2"/>
    <d v="2025-02-28T00:00:00"/>
    <d v="2025-02-28T00:00:00"/>
    <d v="2025-02-28T00:00:00"/>
    <d v="2025-02-28T00:00:00"/>
    <d v="2025-02-28T22:53:10"/>
    <n v="2050"/>
    <s v="626955"/>
    <s v="Sprinter"/>
    <n v="50"/>
    <n v="50"/>
    <s v="6551XC"/>
    <n v="1"/>
    <n v="150"/>
    <b v="1"/>
    <b v="0"/>
    <b v="0"/>
    <n v="216"/>
    <n v="0"/>
    <s v=""/>
    <s v=""/>
    <n v="50"/>
    <n v="359"/>
    <x v="6"/>
    <n v="359"/>
    <s v="Escobedo"/>
    <s v="Escobedo"/>
    <x v="0"/>
    <x v="0"/>
    <d v="2025-02-01T00:00:00"/>
    <x v="11"/>
    <x v="3"/>
  </r>
  <r>
    <x v="283"/>
    <x v="0"/>
    <n v="2"/>
    <d v="2025-02-05T00:00:00"/>
    <d v="2025-02-05T00:00:00"/>
    <d v="2025-02-05T00:00:00"/>
    <d v="2025-02-05T00:00:00"/>
    <d v="2025-02-05T17:24:46"/>
    <n v="2039"/>
    <s v="610429"/>
    <s v="Sprinter"/>
    <n v="50"/>
    <n v="50"/>
    <s v="4366XC"/>
    <n v="1"/>
    <n v="150"/>
    <b v="1"/>
    <b v="0"/>
    <b v="0"/>
    <n v="216"/>
    <n v="0"/>
    <s v=""/>
    <s v=""/>
    <n v="50"/>
    <n v="2936"/>
    <x v="6"/>
    <n v="2936"/>
    <s v="Escobedo"/>
    <s v="Hidalgo"/>
    <x v="19"/>
    <x v="2"/>
    <d v="2025-02-01T00:00:00"/>
    <x v="11"/>
    <x v="3"/>
  </r>
  <r>
    <x v="284"/>
    <x v="0"/>
    <n v="2"/>
    <d v="2025-02-05T00:00:00"/>
    <d v="2025-02-05T00:00:00"/>
    <d v="2025-02-05T00:00:00"/>
    <d v="2025-02-05T00:00:00"/>
    <d v="2025-02-05T17:24:45"/>
    <n v="2039"/>
    <s v="610429"/>
    <s v="Sprinter"/>
    <n v="50"/>
    <n v="50"/>
    <s v="4366XC"/>
    <n v="1"/>
    <n v="150"/>
    <b v="1"/>
    <b v="0"/>
    <b v="0"/>
    <n v="216"/>
    <n v="0"/>
    <s v=""/>
    <s v=""/>
    <n v="50"/>
    <n v="359"/>
    <x v="6"/>
    <n v="359"/>
    <s v="Escobedo"/>
    <s v="Escobedo"/>
    <x v="0"/>
    <x v="2"/>
    <d v="2025-02-01T00:00:00"/>
    <x v="11"/>
    <x v="3"/>
  </r>
  <r>
    <x v="285"/>
    <x v="0"/>
    <n v="2"/>
    <d v="2025-02-05T00:00:00"/>
    <d v="2025-02-05T00:00:00"/>
    <d v="2025-02-05T00:00:00"/>
    <d v="2025-02-05T00:00:00"/>
    <d v="2025-02-05T18:05:24"/>
    <n v="2039"/>
    <s v="610429"/>
    <s v="Sprinter"/>
    <n v="50"/>
    <n v="50"/>
    <s v="4366XC"/>
    <n v="1"/>
    <n v="150"/>
    <b v="1"/>
    <b v="0"/>
    <b v="0"/>
    <n v="216"/>
    <n v="0"/>
    <s v=""/>
    <s v=""/>
    <n v="50"/>
    <n v="2936"/>
    <x v="6"/>
    <n v="2936"/>
    <s v="Escobedo"/>
    <s v="Hidalgo"/>
    <x v="19"/>
    <x v="2"/>
    <d v="2025-02-01T00:00:00"/>
    <x v="11"/>
    <x v="3"/>
  </r>
  <r>
    <x v="286"/>
    <x v="0"/>
    <n v="2"/>
    <d v="2025-02-05T00:00:00"/>
    <d v="2025-02-05T00:00:00"/>
    <d v="2025-02-05T00:00:00"/>
    <d v="2025-02-05T00:00:00"/>
    <d v="2025-02-05T00:00:00"/>
    <n v="2050"/>
    <s v="626955"/>
    <s v="Sprinter"/>
    <n v="50"/>
    <n v="50"/>
    <s v="6551XC"/>
    <n v="1"/>
    <n v="150"/>
    <b v="1"/>
    <b v="0"/>
    <b v="0"/>
    <n v="216"/>
    <n v="0"/>
    <s v=""/>
    <s v=""/>
    <n v="50"/>
    <n v="359"/>
    <x v="6"/>
    <n v="359"/>
    <s v="Escobedo"/>
    <s v="Escobedo"/>
    <x v="0"/>
    <x v="0"/>
    <d v="2025-02-01T00:00:00"/>
    <x v="11"/>
    <x v="3"/>
  </r>
  <r>
    <x v="287"/>
    <x v="0"/>
    <n v="2"/>
    <d v="2025-02-01T00:00:00"/>
    <d v="2025-02-01T00:00:00"/>
    <d v="2025-02-01T00:00:00"/>
    <d v="2025-02-01T00:00:00"/>
    <d v="2025-02-02T16:41:49"/>
    <n v="2039"/>
    <s v="610429"/>
    <s v="Sprinter"/>
    <n v="50"/>
    <n v="50"/>
    <s v="4366XC"/>
    <n v="1"/>
    <n v="150"/>
    <b v="1"/>
    <b v="0"/>
    <b v="0"/>
    <n v="216"/>
    <n v="0"/>
    <s v=""/>
    <s v=""/>
    <n v="50"/>
    <n v="359"/>
    <x v="6"/>
    <n v="359"/>
    <s v="Escobedo"/>
    <s v="Escobedo"/>
    <x v="0"/>
    <x v="2"/>
    <d v="2025-02-01T00:00:00"/>
    <x v="11"/>
    <x v="3"/>
  </r>
  <r>
    <x v="288"/>
    <x v="0"/>
    <n v="2"/>
    <d v="2025-02-05T00:00:00"/>
    <d v="2025-02-05T00:00:00"/>
    <d v="2025-02-05T00:00:00"/>
    <d v="2025-02-05T00:00:00"/>
    <d v="2025-02-05T00:00:00"/>
    <n v="2050"/>
    <s v="626955"/>
    <s v="Sprinter"/>
    <n v="50"/>
    <n v="50"/>
    <s v="6551XC"/>
    <n v="1"/>
    <n v="150"/>
    <b v="1"/>
    <b v="0"/>
    <b v="0"/>
    <n v="216"/>
    <n v="0"/>
    <s v=""/>
    <s v=""/>
    <n v="50"/>
    <n v="359"/>
    <x v="6"/>
    <n v="359"/>
    <s v="Escobedo"/>
    <s v="Escobedo"/>
    <x v="0"/>
    <x v="0"/>
    <d v="2025-02-01T00:00:00"/>
    <x v="11"/>
    <x v="3"/>
  </r>
  <r>
    <x v="289"/>
    <x v="0"/>
    <n v="2"/>
    <d v="2025-02-05T00:00:00"/>
    <d v="2025-02-05T00:00:00"/>
    <d v="2025-02-05T00:00:00"/>
    <d v="2025-02-05T00:00:00"/>
    <d v="2025-02-05T00:00:00"/>
    <n v="2050"/>
    <s v="626955"/>
    <s v="Sprinter"/>
    <n v="50"/>
    <n v="50"/>
    <s v="6551XC"/>
    <n v="1"/>
    <n v="150"/>
    <b v="1"/>
    <b v="0"/>
    <b v="0"/>
    <n v="216"/>
    <n v="0"/>
    <s v=""/>
    <s v=""/>
    <n v="50"/>
    <n v="2936"/>
    <x v="6"/>
    <n v="2936"/>
    <s v="Escobedo"/>
    <s v="Hidalgo"/>
    <x v="19"/>
    <x v="0"/>
    <d v="2025-02-01T00:00:00"/>
    <x v="11"/>
    <x v="3"/>
  </r>
  <r>
    <x v="290"/>
    <x v="0"/>
    <n v="2"/>
    <d v="2025-02-05T00:00:00"/>
    <d v="2025-02-05T00:00:00"/>
    <d v="2025-02-05T00:00:00"/>
    <d v="2025-02-05T00:00:00"/>
    <d v="2025-02-06T10:24:47"/>
    <n v="2039"/>
    <s v="610429"/>
    <s v="Sprinter"/>
    <n v="50"/>
    <n v="50"/>
    <s v="4366XC"/>
    <n v="1"/>
    <n v="150"/>
    <b v="1"/>
    <b v="0"/>
    <b v="0"/>
    <n v="216"/>
    <n v="0"/>
    <s v=""/>
    <s v=""/>
    <n v="50"/>
    <n v="359"/>
    <x v="6"/>
    <n v="359"/>
    <s v="Escobedo"/>
    <s v="Escobedo"/>
    <x v="0"/>
    <x v="2"/>
    <d v="2025-02-01T00:00:00"/>
    <x v="11"/>
    <x v="3"/>
  </r>
  <r>
    <x v="291"/>
    <x v="0"/>
    <n v="2"/>
    <d v="2025-02-01T00:00:00"/>
    <d v="2025-02-01T00:00:00"/>
    <d v="2025-02-01T00:00:00"/>
    <d v="2025-02-01T00:00:00"/>
    <d v="2025-02-02T16:42:17"/>
    <n v="2039"/>
    <s v="610429"/>
    <s v="Sprinter"/>
    <n v="50"/>
    <n v="50"/>
    <s v="4366XC"/>
    <n v="1"/>
    <n v="150"/>
    <b v="1"/>
    <b v="0"/>
    <b v="0"/>
    <n v="216"/>
    <n v="0"/>
    <s v=""/>
    <s v=""/>
    <n v="50"/>
    <n v="2936"/>
    <x v="6"/>
    <n v="2936"/>
    <s v="Escobedo"/>
    <s v="Hidalgo"/>
    <x v="19"/>
    <x v="2"/>
    <d v="2025-02-01T00:00:00"/>
    <x v="11"/>
    <x v="3"/>
  </r>
  <r>
    <x v="292"/>
    <x v="0"/>
    <n v="2"/>
    <d v="2025-02-06T00:00:00"/>
    <d v="2025-02-06T00:00:00"/>
    <d v="2025-02-06T00:00:00"/>
    <d v="2025-02-06T00:00:00"/>
    <d v="2025-02-06T21:50:13"/>
    <n v="2039"/>
    <s v="610429"/>
    <s v="Sprinter"/>
    <n v="50"/>
    <n v="50"/>
    <s v="4366XC"/>
    <n v="1"/>
    <n v="150"/>
    <b v="1"/>
    <b v="0"/>
    <b v="0"/>
    <n v="216"/>
    <n v="0"/>
    <s v=""/>
    <s v=""/>
    <n v="50"/>
    <n v="2936"/>
    <x v="6"/>
    <n v="2936"/>
    <s v="Escobedo"/>
    <s v="Hidalgo"/>
    <x v="19"/>
    <x v="2"/>
    <d v="2025-02-01T00:00:00"/>
    <x v="11"/>
    <x v="3"/>
  </r>
  <r>
    <x v="293"/>
    <x v="0"/>
    <n v="2"/>
    <d v="2025-02-06T00:00:00"/>
    <d v="2025-02-06T00:00:00"/>
    <d v="2025-02-06T00:00:00"/>
    <d v="2025-02-06T00:00:00"/>
    <d v="2025-02-07T00:00:00"/>
    <n v="2050"/>
    <s v="626955"/>
    <s v="Sprinter"/>
    <n v="50"/>
    <n v="50"/>
    <s v="6551XC"/>
    <n v="1"/>
    <n v="150"/>
    <b v="1"/>
    <b v="0"/>
    <b v="0"/>
    <n v="216"/>
    <n v="0"/>
    <s v=""/>
    <s v=""/>
    <n v="50"/>
    <n v="359"/>
    <x v="6"/>
    <n v="359"/>
    <s v="Escobedo"/>
    <s v="Escobedo"/>
    <x v="0"/>
    <x v="0"/>
    <d v="2025-02-01T00:00:00"/>
    <x v="11"/>
    <x v="3"/>
  </r>
  <r>
    <x v="294"/>
    <x v="0"/>
    <n v="2"/>
    <d v="2025-02-01T00:00:00"/>
    <d v="2025-02-01T00:00:00"/>
    <d v="2025-02-01T00:00:00"/>
    <d v="2025-02-01T00:00:00"/>
    <d v="2025-02-02T16:42:46"/>
    <n v="2039"/>
    <s v="610429"/>
    <s v="Sprinter"/>
    <n v="50"/>
    <n v="50"/>
    <s v="4366XC"/>
    <n v="1"/>
    <n v="150"/>
    <b v="1"/>
    <b v="0"/>
    <b v="0"/>
    <n v="216"/>
    <n v="0"/>
    <s v=""/>
    <s v=""/>
    <n v="50"/>
    <n v="359"/>
    <x v="6"/>
    <n v="359"/>
    <s v="Escobedo"/>
    <s v="Escobedo"/>
    <x v="0"/>
    <x v="2"/>
    <d v="2025-02-01T00:00:00"/>
    <x v="11"/>
    <x v="3"/>
  </r>
  <r>
    <x v="295"/>
    <x v="0"/>
    <n v="2"/>
    <d v="2025-02-06T00:00:00"/>
    <d v="2025-02-06T00:00:00"/>
    <d v="2025-02-06T00:00:00"/>
    <d v="2025-02-06T00:00:00"/>
    <d v="2025-02-07T00:00:00"/>
    <n v="2050"/>
    <s v="626955"/>
    <s v="Sprinter"/>
    <n v="50"/>
    <n v="50"/>
    <s v="6551XC"/>
    <n v="1"/>
    <n v="150"/>
    <b v="1"/>
    <b v="0"/>
    <b v="0"/>
    <n v="216"/>
    <n v="0"/>
    <s v=""/>
    <s v=""/>
    <n v="50"/>
    <n v="359"/>
    <x v="6"/>
    <n v="359"/>
    <s v="Escobedo"/>
    <s v="Escobedo"/>
    <x v="0"/>
    <x v="0"/>
    <d v="2025-02-01T00:00:00"/>
    <x v="11"/>
    <x v="3"/>
  </r>
  <r>
    <x v="296"/>
    <x v="0"/>
    <n v="2"/>
    <d v="2025-02-06T00:00:00"/>
    <d v="2025-02-06T00:00:00"/>
    <d v="2025-02-06T00:00:00"/>
    <d v="2025-02-06T00:00:00"/>
    <d v="2025-02-07T00:00:00"/>
    <n v="2050"/>
    <s v="626955"/>
    <s v="Sprinter"/>
    <n v="50"/>
    <n v="50"/>
    <s v="6551XC"/>
    <n v="1"/>
    <n v="150"/>
    <b v="1"/>
    <b v="0"/>
    <b v="0"/>
    <n v="216"/>
    <n v="0"/>
    <s v=""/>
    <s v=""/>
    <n v="50"/>
    <n v="2936"/>
    <x v="6"/>
    <n v="2936"/>
    <s v="Escobedo"/>
    <s v="Hidalgo"/>
    <x v="19"/>
    <x v="0"/>
    <d v="2025-02-01T00:00:00"/>
    <x v="11"/>
    <x v="3"/>
  </r>
  <r>
    <x v="297"/>
    <x v="0"/>
    <n v="2"/>
    <d v="2025-02-01T00:00:00"/>
    <d v="2025-02-01T00:00:00"/>
    <d v="2025-02-01T00:00:00"/>
    <d v="2025-02-01T00:00:00"/>
    <d v="2025-02-02T16:43:23"/>
    <n v="2039"/>
    <s v="610429"/>
    <s v="Sprinter"/>
    <n v="50"/>
    <n v="50"/>
    <s v="4366XC"/>
    <n v="1"/>
    <n v="150"/>
    <b v="1"/>
    <b v="0"/>
    <b v="0"/>
    <n v="216"/>
    <n v="0"/>
    <s v=""/>
    <s v=""/>
    <n v="50"/>
    <n v="2936"/>
    <x v="6"/>
    <n v="2936"/>
    <s v="Escobedo"/>
    <s v="Hidalgo"/>
    <x v="19"/>
    <x v="2"/>
    <d v="2025-02-01T00:00:00"/>
    <x v="11"/>
    <x v="3"/>
  </r>
  <r>
    <x v="298"/>
    <x v="0"/>
    <n v="2"/>
    <d v="2025-02-07T00:00:00"/>
    <d v="2025-02-07T00:00:00"/>
    <d v="2025-02-08T00:00:00"/>
    <d v="2025-02-07T00:00:00"/>
    <d v="2025-02-08T00:00:00"/>
    <n v="2050"/>
    <s v="626955"/>
    <s v="Sprinter"/>
    <n v="961"/>
    <n v="1059"/>
    <s v="6551XC"/>
    <n v="1"/>
    <n v="964"/>
    <b v="1"/>
    <b v="0"/>
    <b v="0"/>
    <n v="1396"/>
    <n v="0"/>
    <s v=""/>
    <s v=""/>
    <n v="1100"/>
    <n v="8"/>
    <x v="7"/>
    <n v="8"/>
    <s v="Escobedo"/>
    <s v="Cd Sahagún"/>
    <x v="3"/>
    <x v="0"/>
    <d v="2025-02-01T00:00:00"/>
    <x v="11"/>
    <x v="3"/>
  </r>
  <r>
    <x v="299"/>
    <x v="0"/>
    <n v="2"/>
    <d v="2025-02-19T00:00:00"/>
    <d v="2025-02-19T00:00:00"/>
    <d v="2025-02-20T00:00:00"/>
    <d v="2025-02-20T00:00:00"/>
    <d v="2025-02-20T00:00:00"/>
    <n v="2024"/>
    <s v="775908"/>
    <s v="4700*175*195"/>
    <n v="49"/>
    <n v="49"/>
    <s v="4364XC"/>
    <n v="1"/>
    <n v="150"/>
    <b v="1"/>
    <b v="0"/>
    <b v="0"/>
    <n v="216"/>
    <n v="0"/>
    <s v=""/>
    <s v="Retirar Bus despues de las 9:00 am"/>
    <n v="50"/>
    <n v="694"/>
    <x v="1"/>
    <n v="694"/>
    <s v="Pachuca"/>
    <s v="Cd Sahagún"/>
    <x v="22"/>
    <x v="1"/>
    <d v="2025-02-01T00:00:00"/>
    <x v="11"/>
    <x v="3"/>
  </r>
  <r>
    <x v="300"/>
    <x v="0"/>
    <n v="2"/>
    <d v="2025-02-28T00:00:00"/>
    <d v="2025-02-28T00:00:00"/>
    <d v="2025-03-03T00:00:00"/>
    <d v="2025-03-02T00:00:00"/>
    <d v="2025-03-02T00:00:00"/>
    <n v="2050"/>
    <s v="626955"/>
    <s v="Sprinter"/>
    <n v="961"/>
    <n v="0"/>
    <s v="6551XC"/>
    <n v="1"/>
    <n v="964"/>
    <b v="1"/>
    <b v="0"/>
    <b v="0"/>
    <n v="0"/>
    <n v="0"/>
    <s v=""/>
    <s v=""/>
    <n v="0"/>
    <n v="8"/>
    <x v="1"/>
    <n v="8"/>
    <s v="Escobedo"/>
    <s v="Cd Sahagún"/>
    <x v="3"/>
    <x v="0"/>
    <d v="2025-02-01T00:00:00"/>
    <x v="11"/>
    <x v="3"/>
  </r>
  <r>
    <x v="301"/>
    <x v="0"/>
    <n v="2"/>
    <d v="2025-02-05T00:00:00"/>
    <d v="2024-09-27T00:00:00"/>
    <d v="2025-02-10T00:00:00"/>
    <d v="2025-02-09T00:00:00"/>
    <d v="2025-02-08T00:00:00"/>
    <n v="2050"/>
    <s v="626955"/>
    <s v="Sprinter"/>
    <n v="981"/>
    <n v="0"/>
    <s v="6551XC"/>
    <n v="1"/>
    <n v="961"/>
    <b v="0"/>
    <b v="0"/>
    <b v="0"/>
    <n v="0"/>
    <n v="13.23"/>
    <s v=""/>
    <s v="Salida domingo 09 febrero a las 14:00hrs"/>
    <n v="0"/>
    <n v="1180"/>
    <x v="1"/>
    <n v="1180"/>
    <s v="Cd Sahagún"/>
    <s v="Tequixquiac"/>
    <x v="26"/>
    <x v="0"/>
    <d v="2025-02-01T00:00:00"/>
    <x v="11"/>
    <x v="3"/>
  </r>
  <r>
    <x v="302"/>
    <x v="0"/>
    <n v="3"/>
    <d v="2025-03-01T00:00:00"/>
    <d v="2025-03-01T00:00:00"/>
    <d v="2025-03-02T00:00:00"/>
    <d v="2025-03-01T00:00:00"/>
    <d v="2025-03-02T00:00:00"/>
    <n v="2050"/>
    <s v="626955"/>
    <s v="Sprinter"/>
    <n v="961"/>
    <n v="1059"/>
    <s v="6551XC"/>
    <n v="1"/>
    <n v="964"/>
    <b v="1"/>
    <b v="0"/>
    <b v="0"/>
    <n v="1494"/>
    <n v="0"/>
    <s v=""/>
    <s v=""/>
    <n v="1100"/>
    <n v="8"/>
    <x v="3"/>
    <n v="8"/>
    <s v="Escobedo"/>
    <s v="Cd Sahagún"/>
    <x v="3"/>
    <x v="0"/>
    <d v="2025-03-01T00:00:00"/>
    <x v="12"/>
    <x v="3"/>
  </r>
  <r>
    <x v="303"/>
    <x v="0"/>
    <n v="3"/>
    <d v="2025-03-01T00:00:00"/>
    <d v="2025-03-01T00:00:00"/>
    <d v="2025-03-01T00:00:00"/>
    <d v="2025-03-01T00:00:00"/>
    <d v="2025-03-01T00:00:00"/>
    <n v="2309"/>
    <s v="626955"/>
    <s v=""/>
    <n v="50"/>
    <n v="50"/>
    <s v="6559XC"/>
    <n v="1"/>
    <n v="150"/>
    <b v="1"/>
    <b v="0"/>
    <b v="0"/>
    <n v="231"/>
    <n v="0"/>
    <s v=""/>
    <s v=""/>
    <n v="50"/>
    <n v="2936"/>
    <x v="15"/>
    <n v="2936"/>
    <s v="Escobedo"/>
    <s v="Hidalgo"/>
    <x v="19"/>
    <x v="0"/>
    <d v="2025-03-01T00:00:00"/>
    <x v="12"/>
    <x v="3"/>
  </r>
  <r>
    <x v="304"/>
    <x v="0"/>
    <n v="3"/>
    <d v="2025-03-06T00:00:00"/>
    <d v="2025-03-06T00:00:00"/>
    <d v="2025-03-06T00:00:00"/>
    <d v="2025-03-06T00:00:00"/>
    <d v="2025-03-06T18:32:26"/>
    <n v="2039"/>
    <s v="626955"/>
    <s v="Sprinter"/>
    <n v="50"/>
    <n v="50"/>
    <s v="4366XC"/>
    <n v="1"/>
    <n v="150"/>
    <b v="1"/>
    <b v="0"/>
    <b v="0"/>
    <n v="231"/>
    <n v="0"/>
    <s v=""/>
    <s v=""/>
    <n v="50"/>
    <n v="2936"/>
    <x v="6"/>
    <n v="2936"/>
    <s v="Escobedo"/>
    <s v="Hidalgo"/>
    <x v="19"/>
    <x v="0"/>
    <d v="2025-03-01T00:00:00"/>
    <x v="12"/>
    <x v="3"/>
  </r>
  <r>
    <x v="305"/>
    <x v="0"/>
    <n v="3"/>
    <d v="2025-03-01T00:00:00"/>
    <d v="2025-03-01T00:00:00"/>
    <d v="2025-03-01T00:00:00"/>
    <d v="2025-03-01T00:00:00"/>
    <d v="2025-03-01T00:00:00"/>
    <n v="2274"/>
    <s v="626955"/>
    <s v="Sprinter"/>
    <n v="50"/>
    <n v="50"/>
    <s v="4600XC"/>
    <n v="1"/>
    <n v="150"/>
    <b v="1"/>
    <b v="0"/>
    <b v="0"/>
    <n v="231"/>
    <n v="0"/>
    <s v=""/>
    <s v=""/>
    <n v="50"/>
    <n v="2936"/>
    <x v="15"/>
    <n v="2936"/>
    <s v="Escobedo"/>
    <s v="Hidalgo"/>
    <x v="19"/>
    <x v="0"/>
    <d v="2025-03-01T00:00:00"/>
    <x v="12"/>
    <x v="3"/>
  </r>
  <r>
    <x v="306"/>
    <x v="0"/>
    <n v="3"/>
    <d v="2025-03-06T00:00:00"/>
    <d v="2025-03-06T00:00:00"/>
    <d v="2025-03-06T00:00:00"/>
    <d v="2025-03-06T00:00:00"/>
    <d v="2025-03-06T18:32:55"/>
    <n v="2039"/>
    <s v="626955"/>
    <s v="Sprinter"/>
    <n v="50"/>
    <n v="50"/>
    <s v="4366XC"/>
    <n v="1"/>
    <n v="150"/>
    <b v="1"/>
    <b v="0"/>
    <b v="0"/>
    <n v="231"/>
    <n v="0"/>
    <s v=""/>
    <s v=""/>
    <n v="50"/>
    <n v="359"/>
    <x v="6"/>
    <n v="359"/>
    <s v="Escobedo"/>
    <s v="Escobedo"/>
    <x v="0"/>
    <x v="0"/>
    <d v="2025-03-01T00:00:00"/>
    <x v="12"/>
    <x v="3"/>
  </r>
  <r>
    <x v="307"/>
    <x v="0"/>
    <n v="3"/>
    <d v="2025-03-06T00:00:00"/>
    <d v="2025-03-06T00:00:00"/>
    <d v="2025-03-06T00:00:00"/>
    <d v="2025-03-06T00:00:00"/>
    <d v="2025-03-06T18:32:25"/>
    <n v="2050"/>
    <s v="626955"/>
    <s v="Sprinter"/>
    <n v="50"/>
    <n v="50"/>
    <s v="6551XC"/>
    <n v="1"/>
    <n v="150"/>
    <b v="1"/>
    <b v="0"/>
    <b v="0"/>
    <n v="231"/>
    <n v="0"/>
    <s v=""/>
    <s v=""/>
    <n v="50"/>
    <n v="359"/>
    <x v="6"/>
    <n v="359"/>
    <s v="Escobedo"/>
    <s v="Escobedo"/>
    <x v="0"/>
    <x v="0"/>
    <d v="2025-03-01T00:00:00"/>
    <x v="12"/>
    <x v="3"/>
  </r>
  <r>
    <x v="308"/>
    <x v="0"/>
    <n v="3"/>
    <d v="2025-03-06T00:00:00"/>
    <d v="2025-03-06T00:00:00"/>
    <d v="2025-03-06T00:00:00"/>
    <d v="2025-03-06T00:00:00"/>
    <d v="2025-03-06T18:32:27"/>
    <n v="2050"/>
    <s v="626955"/>
    <s v="Sprinter"/>
    <n v="50"/>
    <n v="50"/>
    <s v="6551XC"/>
    <n v="1"/>
    <n v="150"/>
    <b v="1"/>
    <b v="0"/>
    <b v="0"/>
    <n v="231"/>
    <n v="0"/>
    <s v=""/>
    <s v=""/>
    <n v="50"/>
    <n v="359"/>
    <x v="6"/>
    <n v="359"/>
    <s v="Escobedo"/>
    <s v="Escobedo"/>
    <x v="0"/>
    <x v="0"/>
    <d v="2025-03-01T00:00:00"/>
    <x v="12"/>
    <x v="3"/>
  </r>
  <r>
    <x v="309"/>
    <x v="0"/>
    <n v="3"/>
    <d v="2025-03-06T00:00:00"/>
    <d v="2025-03-06T00:00:00"/>
    <d v="2025-03-06T00:00:00"/>
    <d v="2025-03-06T00:00:00"/>
    <d v="2025-03-06T18:32:27"/>
    <n v="2050"/>
    <s v="626955"/>
    <s v="Sprinter"/>
    <n v="50"/>
    <n v="50"/>
    <s v="6551XC"/>
    <n v="1"/>
    <n v="150"/>
    <b v="1"/>
    <b v="0"/>
    <b v="0"/>
    <n v="231"/>
    <n v="0"/>
    <s v=""/>
    <s v=""/>
    <n v="50"/>
    <n v="2936"/>
    <x v="6"/>
    <n v="2936"/>
    <s v="Escobedo"/>
    <s v="Hidalgo"/>
    <x v="19"/>
    <x v="0"/>
    <d v="2025-03-01T00:00:00"/>
    <x v="12"/>
    <x v="3"/>
  </r>
  <r>
    <x v="310"/>
    <x v="0"/>
    <n v="3"/>
    <d v="2025-03-07T00:00:00"/>
    <d v="2025-03-07T00:00:00"/>
    <d v="2025-03-07T00:00:00"/>
    <d v="2025-03-07T00:00:00"/>
    <d v="2025-03-07T12:00:04"/>
    <n v="2050"/>
    <s v="626955"/>
    <s v="Sprinter"/>
    <n v="50"/>
    <n v="50"/>
    <s v="6551XC"/>
    <n v="1"/>
    <n v="150"/>
    <b v="1"/>
    <b v="0"/>
    <b v="0"/>
    <n v="231"/>
    <n v="0"/>
    <s v=""/>
    <s v=""/>
    <n v="50"/>
    <n v="359"/>
    <x v="6"/>
    <n v="359"/>
    <s v="Escobedo"/>
    <s v="Escobedo"/>
    <x v="0"/>
    <x v="0"/>
    <d v="2025-03-01T00:00:00"/>
    <x v="12"/>
    <x v="3"/>
  </r>
  <r>
    <x v="311"/>
    <x v="0"/>
    <n v="3"/>
    <d v="2025-03-01T00:00:00"/>
    <d v="2025-03-01T00:00:00"/>
    <d v="2025-03-01T00:00:00"/>
    <d v="2025-03-01T00:00:00"/>
    <d v="2025-03-01T00:00:00"/>
    <n v="2348"/>
    <s v="626955"/>
    <s v="Sprinter"/>
    <n v="50"/>
    <n v="0"/>
    <s v="6557XC"/>
    <n v="1"/>
    <n v="0"/>
    <b v="1"/>
    <b v="1"/>
    <b v="0"/>
    <n v="0"/>
    <n v="0"/>
    <s v=""/>
    <s v=""/>
    <n v="0"/>
    <n v="359"/>
    <x v="10"/>
    <n v="359"/>
    <s v="Escobedo"/>
    <s v="Escobedo"/>
    <x v="0"/>
    <x v="0"/>
    <d v="2025-03-01T00:00:00"/>
    <x v="12"/>
    <x v="3"/>
  </r>
  <r>
    <x v="312"/>
    <x v="0"/>
    <n v="3"/>
    <d v="2025-03-07T00:00:00"/>
    <d v="2025-03-07T00:00:00"/>
    <d v="2025-03-07T00:00:00"/>
    <d v="2025-03-07T00:00:00"/>
    <d v="2025-03-07T12:00:03"/>
    <n v="2050"/>
    <s v="626955"/>
    <s v="Sprinter"/>
    <n v="50"/>
    <n v="50"/>
    <s v="6551XC"/>
    <n v="1"/>
    <n v="150"/>
    <b v="1"/>
    <b v="0"/>
    <b v="0"/>
    <n v="231"/>
    <n v="0"/>
    <s v=""/>
    <s v=""/>
    <n v="50"/>
    <n v="2936"/>
    <x v="6"/>
    <n v="2936"/>
    <s v="Escobedo"/>
    <s v="Hidalgo"/>
    <x v="19"/>
    <x v="0"/>
    <d v="2025-03-01T00:00:00"/>
    <x v="12"/>
    <x v="3"/>
  </r>
  <r>
    <x v="313"/>
    <x v="0"/>
    <n v="3"/>
    <d v="2025-03-07T00:00:00"/>
    <d v="2025-03-07T00:00:00"/>
    <d v="2025-03-07T00:00:00"/>
    <d v="2025-03-07T00:00:00"/>
    <d v="2025-03-07T12:00:04"/>
    <n v="2050"/>
    <s v="626955"/>
    <s v="Sprinter"/>
    <n v="50"/>
    <n v="50"/>
    <s v="6551XC"/>
    <n v="1"/>
    <n v="150"/>
    <b v="1"/>
    <b v="0"/>
    <b v="0"/>
    <n v="231"/>
    <n v="0"/>
    <s v=""/>
    <s v=""/>
    <n v="50"/>
    <n v="359"/>
    <x v="6"/>
    <n v="359"/>
    <s v="Escobedo"/>
    <s v="Escobedo"/>
    <x v="0"/>
    <x v="0"/>
    <d v="2025-03-01T00:00:00"/>
    <x v="12"/>
    <x v="3"/>
  </r>
  <r>
    <x v="314"/>
    <x v="0"/>
    <n v="3"/>
    <d v="2025-03-07T00:00:00"/>
    <d v="2025-03-07T00:00:00"/>
    <d v="2025-03-07T00:00:00"/>
    <d v="2025-03-07T00:00:00"/>
    <d v="2025-03-07T12:00:02"/>
    <n v="2050"/>
    <s v="626955"/>
    <s v="Splendor XML"/>
    <n v="50"/>
    <n v="50"/>
    <s v="6551XC"/>
    <n v="1"/>
    <n v="150"/>
    <b v="1"/>
    <b v="0"/>
    <b v="0"/>
    <n v="231"/>
    <n v="0"/>
    <s v=""/>
    <s v=""/>
    <n v="50"/>
    <n v="2936"/>
    <x v="6"/>
    <n v="2936"/>
    <s v="Escobedo"/>
    <s v="Hidalgo"/>
    <x v="19"/>
    <x v="0"/>
    <d v="2025-03-01T00:00:00"/>
    <x v="12"/>
    <x v="3"/>
  </r>
  <r>
    <x v="315"/>
    <x v="0"/>
    <n v="3"/>
    <d v="2025-03-07T00:00:00"/>
    <d v="2025-03-07T00:00:00"/>
    <d v="2025-03-07T00:00:00"/>
    <d v="2025-03-07T00:00:00"/>
    <d v="2025-03-07T19:37:11"/>
    <n v="2039"/>
    <s v="610429"/>
    <s v="Sprinter"/>
    <n v="328"/>
    <n v="328"/>
    <s v="LE28920"/>
    <n v="1"/>
    <n v="328"/>
    <b v="1"/>
    <b v="0"/>
    <b v="0"/>
    <n v="730"/>
    <n v="0"/>
    <s v=""/>
    <s v=""/>
    <n v="400"/>
    <n v="236"/>
    <x v="4"/>
    <n v="236"/>
    <s v="Cd Sahagún"/>
    <s v="Morelia"/>
    <x v="27"/>
    <x v="2"/>
    <d v="2025-03-01T00:00:00"/>
    <x v="12"/>
    <x v="3"/>
  </r>
  <r>
    <x v="316"/>
    <x v="0"/>
    <n v="3"/>
    <d v="2025-03-07T00:00:00"/>
    <d v="2025-03-07T00:00:00"/>
    <d v="2025-03-07T00:00:00"/>
    <d v="2025-03-07T00:00:00"/>
    <d v="2025-03-07T15:54:49"/>
    <n v="2050"/>
    <s v="626955"/>
    <s v="Sprinter"/>
    <n v="50"/>
    <n v="50"/>
    <s v="6551XC"/>
    <n v="1"/>
    <n v="150"/>
    <b v="1"/>
    <b v="0"/>
    <b v="0"/>
    <n v="231"/>
    <n v="0"/>
    <s v=""/>
    <s v=""/>
    <n v="50"/>
    <n v="359"/>
    <x v="6"/>
    <n v="359"/>
    <s v="Escobedo"/>
    <s v="Escobedo"/>
    <x v="0"/>
    <x v="0"/>
    <d v="2025-03-01T00:00:00"/>
    <x v="12"/>
    <x v="3"/>
  </r>
  <r>
    <x v="317"/>
    <x v="0"/>
    <n v="3"/>
    <d v="2025-03-07T00:00:00"/>
    <d v="2025-03-07T00:00:00"/>
    <d v="2025-03-07T00:00:00"/>
    <d v="2025-03-07T00:00:00"/>
    <d v="2025-03-07T15:54:47"/>
    <n v="2050"/>
    <s v="626955"/>
    <s v="Sprinter"/>
    <n v="50"/>
    <n v="50"/>
    <s v="6551XC"/>
    <n v="1"/>
    <n v="150"/>
    <b v="1"/>
    <b v="0"/>
    <b v="0"/>
    <n v="231"/>
    <n v="0"/>
    <s v=""/>
    <s v=""/>
    <n v="50"/>
    <n v="359"/>
    <x v="6"/>
    <n v="359"/>
    <s v="Escobedo"/>
    <s v="Escobedo"/>
    <x v="0"/>
    <x v="0"/>
    <d v="2025-03-01T00:00:00"/>
    <x v="12"/>
    <x v="3"/>
  </r>
  <r>
    <x v="318"/>
    <x v="0"/>
    <n v="3"/>
    <d v="2025-03-07T00:00:00"/>
    <d v="2025-03-07T00:00:00"/>
    <d v="2025-03-07T00:00:00"/>
    <d v="2025-03-07T00:00:00"/>
    <d v="2025-03-07T15:54:48"/>
    <n v="2050"/>
    <s v="626955"/>
    <s v="Sprinter"/>
    <n v="50"/>
    <n v="50"/>
    <s v="6551XC"/>
    <n v="1"/>
    <n v="150"/>
    <b v="1"/>
    <b v="0"/>
    <b v="0"/>
    <n v="231"/>
    <n v="0"/>
    <s v=""/>
    <s v=""/>
    <n v="50"/>
    <n v="2936"/>
    <x v="6"/>
    <n v="2936"/>
    <s v="Escobedo"/>
    <s v="Hidalgo"/>
    <x v="19"/>
    <x v="0"/>
    <d v="2025-03-01T00:00:00"/>
    <x v="12"/>
    <x v="3"/>
  </r>
  <r>
    <x v="319"/>
    <x v="0"/>
    <n v="3"/>
    <d v="2025-03-08T00:00:00"/>
    <d v="2025-03-08T00:00:00"/>
    <d v="2025-03-08T00:00:00"/>
    <d v="2025-03-08T00:00:00"/>
    <d v="2025-03-09T08:31:38"/>
    <n v="2050"/>
    <s v="626955"/>
    <s v="Sprinter"/>
    <n v="50"/>
    <n v="50"/>
    <s v="6551XC"/>
    <n v="1"/>
    <n v="150"/>
    <b v="1"/>
    <b v="0"/>
    <b v="0"/>
    <n v="231"/>
    <n v="0"/>
    <s v=""/>
    <s v=""/>
    <n v="50"/>
    <n v="359"/>
    <x v="6"/>
    <n v="359"/>
    <s v="Escobedo"/>
    <s v="Escobedo"/>
    <x v="0"/>
    <x v="0"/>
    <d v="2025-03-01T00:00:00"/>
    <x v="12"/>
    <x v="3"/>
  </r>
  <r>
    <x v="320"/>
    <x v="0"/>
    <n v="3"/>
    <d v="2025-03-08T00:00:00"/>
    <d v="2025-03-08T00:00:00"/>
    <d v="2025-03-08T00:00:00"/>
    <d v="2025-03-08T00:00:00"/>
    <d v="2025-03-09T11:21:30"/>
    <n v="2050"/>
    <s v="626955"/>
    <s v="Sprinter"/>
    <n v="50"/>
    <n v="50"/>
    <s v="6551XC"/>
    <n v="1"/>
    <n v="150"/>
    <b v="1"/>
    <b v="0"/>
    <b v="0"/>
    <n v="231"/>
    <n v="0"/>
    <s v=""/>
    <s v=""/>
    <n v="50"/>
    <n v="359"/>
    <x v="6"/>
    <n v="359"/>
    <s v="Escobedo"/>
    <s v="Escobedo"/>
    <x v="0"/>
    <x v="0"/>
    <d v="2025-03-01T00:00:00"/>
    <x v="12"/>
    <x v="3"/>
  </r>
  <r>
    <x v="321"/>
    <x v="0"/>
    <n v="3"/>
    <d v="2025-03-10T00:00:00"/>
    <d v="2025-03-10T00:00:00"/>
    <d v="2025-03-11T00:00:00"/>
    <d v="2025-03-10T00:00:00"/>
    <d v="2025-03-11T00:00:00"/>
    <n v="2050"/>
    <s v="626955"/>
    <s v="Sprinter"/>
    <n v="961"/>
    <n v="1059"/>
    <s v="6551XC"/>
    <n v="1"/>
    <n v="964"/>
    <b v="1"/>
    <b v="0"/>
    <b v="0"/>
    <n v="1494"/>
    <n v="0"/>
    <s v=""/>
    <s v=""/>
    <n v="1100"/>
    <n v="8"/>
    <x v="7"/>
    <n v="8"/>
    <s v="Escobedo"/>
    <s v="Cd Sahagún"/>
    <x v="3"/>
    <x v="0"/>
    <d v="2025-03-01T00:00:00"/>
    <x v="12"/>
    <x v="3"/>
  </r>
  <r>
    <x v="322"/>
    <x v="0"/>
    <n v="3"/>
    <d v="2025-03-10T00:00:00"/>
    <d v="2025-03-10T00:00:00"/>
    <d v="2025-03-10T00:00:00"/>
    <d v="2025-03-10T00:00:00"/>
    <d v="2025-03-10T00:00:00"/>
    <n v="2050"/>
    <s v="626955"/>
    <s v="Sprinter"/>
    <n v="50"/>
    <n v="50"/>
    <s v="6551XC"/>
    <n v="1"/>
    <n v="150"/>
    <b v="1"/>
    <b v="0"/>
    <b v="0"/>
    <n v="231"/>
    <n v="0"/>
    <s v=""/>
    <s v=""/>
    <n v="50"/>
    <n v="359"/>
    <x v="6"/>
    <n v="359"/>
    <s v="Escobedo"/>
    <s v="Escobedo"/>
    <x v="0"/>
    <x v="0"/>
    <d v="2025-03-01T00:00:00"/>
    <x v="12"/>
    <x v="3"/>
  </r>
  <r>
    <x v="323"/>
    <x v="0"/>
    <n v="3"/>
    <d v="2025-03-10T00:00:00"/>
    <d v="2025-03-10T00:00:00"/>
    <d v="2025-03-10T00:00:00"/>
    <d v="2025-03-10T00:00:00"/>
    <d v="2025-03-10T16:31:23"/>
    <n v="2050"/>
    <s v="626955"/>
    <s v="Sprinter"/>
    <n v="50"/>
    <n v="50"/>
    <s v="6551XC"/>
    <n v="1"/>
    <n v="150"/>
    <b v="1"/>
    <b v="0"/>
    <b v="0"/>
    <n v="231"/>
    <n v="0"/>
    <s v=""/>
    <s v=""/>
    <n v="50"/>
    <n v="359"/>
    <x v="6"/>
    <n v="359"/>
    <s v="Escobedo"/>
    <s v="Escobedo"/>
    <x v="0"/>
    <x v="0"/>
    <d v="2025-03-01T00:00:00"/>
    <x v="12"/>
    <x v="3"/>
  </r>
  <r>
    <x v="324"/>
    <x v="0"/>
    <n v="3"/>
    <d v="2025-03-10T00:00:00"/>
    <d v="2025-03-10T00:00:00"/>
    <d v="2025-03-10T00:00:00"/>
    <d v="2025-03-10T00:00:00"/>
    <d v="2025-03-10T00:00:00"/>
    <n v="2050"/>
    <s v="626955"/>
    <s v="Sprinter"/>
    <n v="50"/>
    <n v="50"/>
    <s v="6551XC"/>
    <n v="1"/>
    <n v="150"/>
    <b v="1"/>
    <b v="0"/>
    <b v="0"/>
    <n v="231"/>
    <n v="0"/>
    <s v=""/>
    <s v=""/>
    <n v="50"/>
    <n v="359"/>
    <x v="6"/>
    <n v="359"/>
    <s v="Escobedo"/>
    <s v="Escobedo"/>
    <x v="0"/>
    <x v="0"/>
    <d v="2025-03-01T00:00:00"/>
    <x v="12"/>
    <x v="3"/>
  </r>
  <r>
    <x v="325"/>
    <x v="0"/>
    <n v="3"/>
    <d v="2025-03-10T00:00:00"/>
    <d v="2025-03-10T00:00:00"/>
    <d v="2025-03-10T00:00:00"/>
    <d v="2025-03-10T00:00:00"/>
    <d v="2025-03-10T16:31:26"/>
    <n v="2039"/>
    <s v="610429"/>
    <s v="Sprinter"/>
    <n v="50"/>
    <n v="50"/>
    <s v="4366XC"/>
    <n v="1"/>
    <n v="150"/>
    <b v="1"/>
    <b v="0"/>
    <b v="0"/>
    <n v="231"/>
    <n v="0"/>
    <s v=""/>
    <s v=""/>
    <n v="50"/>
    <n v="359"/>
    <x v="6"/>
    <n v="359"/>
    <s v="Escobedo"/>
    <s v="Escobedo"/>
    <x v="0"/>
    <x v="2"/>
    <d v="2025-03-01T00:00:00"/>
    <x v="12"/>
    <x v="3"/>
  </r>
  <r>
    <x v="326"/>
    <x v="0"/>
    <n v="3"/>
    <d v="2025-03-11T00:00:00"/>
    <d v="2025-03-11T00:00:00"/>
    <d v="2025-03-11T00:00:00"/>
    <d v="2025-03-11T00:00:00"/>
    <d v="2025-03-11T00:00:00"/>
    <n v="2321"/>
    <s v="610429"/>
    <s v="Sprinter"/>
    <n v="50"/>
    <n v="50"/>
    <s v="3662XC"/>
    <n v="1"/>
    <n v="150"/>
    <b v="1"/>
    <b v="0"/>
    <b v="0"/>
    <n v="231"/>
    <n v="0"/>
    <s v=""/>
    <s v=""/>
    <n v="50"/>
    <n v="2936"/>
    <x v="6"/>
    <n v="2936"/>
    <s v="Escobedo"/>
    <s v="Hidalgo"/>
    <x v="19"/>
    <x v="2"/>
    <d v="2025-03-01T00:00:00"/>
    <x v="12"/>
    <x v="3"/>
  </r>
  <r>
    <x v="327"/>
    <x v="0"/>
    <n v="3"/>
    <d v="2025-03-11T00:00:00"/>
    <d v="2025-03-11T00:00:00"/>
    <d v="2025-03-11T00:00:00"/>
    <d v="2025-03-11T00:00:00"/>
    <d v="2025-03-11T00:00:00"/>
    <n v="2321"/>
    <s v="610429"/>
    <s v="Sprinter"/>
    <n v="50"/>
    <n v="50"/>
    <s v="3662XC"/>
    <n v="1"/>
    <n v="150"/>
    <b v="1"/>
    <b v="0"/>
    <b v="0"/>
    <n v="231"/>
    <n v="0"/>
    <s v=""/>
    <s v=""/>
    <n v="50"/>
    <n v="359"/>
    <x v="6"/>
    <n v="359"/>
    <s v="Escobedo"/>
    <s v="Escobedo"/>
    <x v="0"/>
    <x v="2"/>
    <d v="2025-03-01T00:00:00"/>
    <x v="12"/>
    <x v="3"/>
  </r>
  <r>
    <x v="328"/>
    <x v="0"/>
    <n v="3"/>
    <d v="2025-03-11T00:00:00"/>
    <d v="2025-03-11T00:00:00"/>
    <d v="2025-03-11T00:00:00"/>
    <d v="2025-03-11T00:00:00"/>
    <d v="2025-03-11T00:00:00"/>
    <n v="2321"/>
    <s v="610429"/>
    <s v="Sprinter"/>
    <n v="50"/>
    <n v="50"/>
    <s v="3662XC"/>
    <n v="1"/>
    <n v="150"/>
    <b v="1"/>
    <b v="0"/>
    <b v="0"/>
    <n v="231"/>
    <n v="0"/>
    <s v=""/>
    <s v=""/>
    <n v="50"/>
    <n v="359"/>
    <x v="6"/>
    <n v="359"/>
    <s v="Escobedo"/>
    <s v="Escobedo"/>
    <x v="0"/>
    <x v="2"/>
    <d v="2025-03-01T00:00:00"/>
    <x v="12"/>
    <x v="3"/>
  </r>
  <r>
    <x v="329"/>
    <x v="0"/>
    <n v="3"/>
    <d v="2025-03-11T00:00:00"/>
    <d v="2025-03-11T00:00:00"/>
    <d v="2025-03-11T00:00:00"/>
    <d v="2025-03-11T00:00:00"/>
    <d v="2025-03-11T00:00:00"/>
    <n v="2321"/>
    <s v="610429"/>
    <s v="Sprinter"/>
    <n v="50"/>
    <n v="50"/>
    <s v="3662XC"/>
    <n v="1"/>
    <n v="150"/>
    <b v="1"/>
    <b v="0"/>
    <b v="0"/>
    <n v="231"/>
    <n v="0"/>
    <s v=""/>
    <s v=""/>
    <n v="50"/>
    <n v="359"/>
    <x v="6"/>
    <n v="359"/>
    <s v="Escobedo"/>
    <s v="Escobedo"/>
    <x v="0"/>
    <x v="2"/>
    <d v="2025-03-01T00:00:00"/>
    <x v="12"/>
    <x v="3"/>
  </r>
  <r>
    <x v="330"/>
    <x v="0"/>
    <n v="3"/>
    <d v="2025-03-12T00:00:00"/>
    <d v="2025-03-12T00:00:00"/>
    <d v="2025-03-12T00:00:00"/>
    <d v="2025-03-12T00:00:00"/>
    <d v="2025-03-12T00:00:00"/>
    <n v="2321"/>
    <s v="610429"/>
    <s v="Sprinter"/>
    <n v="50"/>
    <n v="50"/>
    <s v="3662XC"/>
    <n v="1"/>
    <n v="150"/>
    <b v="1"/>
    <b v="0"/>
    <b v="0"/>
    <n v="231"/>
    <n v="0"/>
    <s v=""/>
    <s v=""/>
    <n v="50"/>
    <n v="2936"/>
    <x v="6"/>
    <n v="2936"/>
    <s v="Escobedo"/>
    <s v="Hidalgo"/>
    <x v="19"/>
    <x v="2"/>
    <d v="2025-03-01T00:00:00"/>
    <x v="12"/>
    <x v="3"/>
  </r>
  <r>
    <x v="331"/>
    <x v="0"/>
    <n v="3"/>
    <d v="2025-03-12T00:00:00"/>
    <d v="2025-03-12T00:00:00"/>
    <d v="2025-03-12T00:00:00"/>
    <d v="2025-03-12T00:00:00"/>
    <d v="2025-03-12T00:00:00"/>
    <n v="2321"/>
    <s v="610429"/>
    <s v="Sprinter"/>
    <n v="50"/>
    <n v="50"/>
    <s v="3662XC"/>
    <n v="1"/>
    <n v="150"/>
    <b v="1"/>
    <b v="0"/>
    <b v="0"/>
    <n v="231"/>
    <n v="0"/>
    <s v=""/>
    <s v=""/>
    <n v="50"/>
    <n v="359"/>
    <x v="6"/>
    <n v="359"/>
    <s v="Escobedo"/>
    <s v="Escobedo"/>
    <x v="0"/>
    <x v="2"/>
    <d v="2025-03-01T00:00:00"/>
    <x v="12"/>
    <x v="3"/>
  </r>
  <r>
    <x v="332"/>
    <x v="0"/>
    <n v="3"/>
    <d v="2025-03-14T00:00:00"/>
    <d v="2025-03-14T00:00:00"/>
    <d v="2025-03-14T00:00:00"/>
    <d v="2025-03-14T00:00:00"/>
    <d v="2025-03-14T16:32:07"/>
    <n v="2039"/>
    <s v="610429"/>
    <s v="Sprinter"/>
    <n v="50"/>
    <n v="50"/>
    <s v="4366XC"/>
    <n v="1"/>
    <n v="150"/>
    <b v="1"/>
    <b v="0"/>
    <b v="0"/>
    <n v="231"/>
    <n v="0"/>
    <s v=""/>
    <s v=""/>
    <n v="50"/>
    <n v="359"/>
    <x v="6"/>
    <n v="359"/>
    <s v="Escobedo"/>
    <s v="Escobedo"/>
    <x v="0"/>
    <x v="2"/>
    <d v="2025-03-01T00:00:00"/>
    <x v="12"/>
    <x v="3"/>
  </r>
  <r>
    <x v="333"/>
    <x v="0"/>
    <n v="3"/>
    <d v="2025-03-14T00:00:00"/>
    <d v="2025-03-14T00:00:00"/>
    <d v="2025-03-14T00:00:00"/>
    <d v="2025-03-14T00:00:00"/>
    <d v="2025-03-14T16:32:46"/>
    <n v="2039"/>
    <s v="610429"/>
    <s v="Sprinter"/>
    <n v="50"/>
    <n v="50"/>
    <s v="4366XC"/>
    <n v="1"/>
    <n v="150"/>
    <b v="1"/>
    <b v="0"/>
    <b v="0"/>
    <n v="231"/>
    <n v="0"/>
    <s v=""/>
    <s v=""/>
    <n v="50"/>
    <n v="359"/>
    <x v="6"/>
    <n v="359"/>
    <s v="Escobedo"/>
    <s v="Escobedo"/>
    <x v="0"/>
    <x v="2"/>
    <d v="2025-03-01T00:00:00"/>
    <x v="12"/>
    <x v="3"/>
  </r>
  <r>
    <x v="334"/>
    <x v="0"/>
    <n v="3"/>
    <d v="2025-03-14T00:00:00"/>
    <d v="2025-03-14T00:00:00"/>
    <d v="2025-03-14T00:00:00"/>
    <d v="2025-03-14T00:00:00"/>
    <d v="2025-03-14T16:33:12"/>
    <n v="2039"/>
    <s v="610429"/>
    <s v="Sprinter"/>
    <n v="50"/>
    <n v="50"/>
    <s v="4366XC"/>
    <n v="1"/>
    <n v="150"/>
    <b v="1"/>
    <b v="0"/>
    <b v="0"/>
    <n v="231"/>
    <n v="0"/>
    <s v=""/>
    <s v=""/>
    <n v="50"/>
    <n v="2936"/>
    <x v="6"/>
    <n v="2936"/>
    <s v="Escobedo"/>
    <s v="Hidalgo"/>
    <x v="19"/>
    <x v="2"/>
    <d v="2025-03-01T00:00:00"/>
    <x v="12"/>
    <x v="3"/>
  </r>
  <r>
    <x v="335"/>
    <x v="0"/>
    <n v="3"/>
    <d v="2025-03-14T00:00:00"/>
    <d v="2025-03-14T00:00:00"/>
    <d v="2025-03-14T00:00:00"/>
    <d v="2025-03-14T00:00:00"/>
    <d v="2025-03-14T16:33:55"/>
    <n v="2039"/>
    <s v="610429"/>
    <s v="Sprinter"/>
    <n v="50"/>
    <n v="50"/>
    <s v="4366XC"/>
    <n v="1"/>
    <n v="150"/>
    <b v="1"/>
    <b v="0"/>
    <b v="0"/>
    <n v="231"/>
    <n v="0"/>
    <s v=""/>
    <s v=""/>
    <n v="50"/>
    <n v="2936"/>
    <x v="6"/>
    <n v="2936"/>
    <s v="Escobedo"/>
    <s v="Hidalgo"/>
    <x v="19"/>
    <x v="2"/>
    <d v="2025-03-01T00:00:00"/>
    <x v="12"/>
    <x v="3"/>
  </r>
  <r>
    <x v="336"/>
    <x v="0"/>
    <n v="3"/>
    <d v="2025-03-14T00:00:00"/>
    <d v="2025-03-14T00:00:00"/>
    <d v="2025-03-14T00:00:00"/>
    <d v="2025-03-14T00:00:00"/>
    <d v="2025-03-14T16:34:31"/>
    <n v="2039"/>
    <s v="610429"/>
    <s v="Sprinter"/>
    <n v="50"/>
    <n v="50"/>
    <s v="4366XC"/>
    <n v="1"/>
    <n v="150"/>
    <b v="1"/>
    <b v="0"/>
    <b v="0"/>
    <n v="231"/>
    <n v="0"/>
    <s v=""/>
    <s v=""/>
    <n v="50"/>
    <n v="359"/>
    <x v="6"/>
    <n v="359"/>
    <s v="Escobedo"/>
    <s v="Escobedo"/>
    <x v="0"/>
    <x v="2"/>
    <d v="2025-03-01T00:00:00"/>
    <x v="12"/>
    <x v="3"/>
  </r>
  <r>
    <x v="337"/>
    <x v="0"/>
    <n v="3"/>
    <d v="2025-03-14T00:00:00"/>
    <d v="2025-03-14T00:00:00"/>
    <d v="2025-03-14T00:00:00"/>
    <d v="2025-03-14T00:00:00"/>
    <d v="2025-03-14T16:35:09"/>
    <n v="2039"/>
    <s v="610429"/>
    <s v="Sprinter"/>
    <n v="50"/>
    <n v="50"/>
    <s v="4366XC"/>
    <n v="1"/>
    <n v="150"/>
    <b v="1"/>
    <b v="0"/>
    <b v="0"/>
    <n v="231"/>
    <n v="0"/>
    <s v=""/>
    <s v=""/>
    <n v="50"/>
    <n v="359"/>
    <x v="6"/>
    <n v="359"/>
    <s v="Escobedo"/>
    <s v="Escobedo"/>
    <x v="0"/>
    <x v="2"/>
    <d v="2025-03-01T00:00:00"/>
    <x v="12"/>
    <x v="3"/>
  </r>
  <r>
    <x v="338"/>
    <x v="0"/>
    <n v="3"/>
    <d v="2025-03-14T00:00:00"/>
    <d v="2025-03-14T00:00:00"/>
    <d v="2025-03-14T00:00:00"/>
    <d v="2025-03-14T00:00:00"/>
    <d v="2025-03-14T16:35:43"/>
    <n v="2039"/>
    <s v="610429"/>
    <s v="Sprinter"/>
    <n v="50"/>
    <n v="50"/>
    <s v="4366XC"/>
    <n v="1"/>
    <n v="150"/>
    <b v="1"/>
    <b v="0"/>
    <b v="0"/>
    <n v="231"/>
    <n v="0"/>
    <s v=""/>
    <s v=""/>
    <n v="50"/>
    <n v="2936"/>
    <x v="6"/>
    <n v="2936"/>
    <s v="Escobedo"/>
    <s v="Hidalgo"/>
    <x v="19"/>
    <x v="2"/>
    <d v="2025-03-01T00:00:00"/>
    <x v="12"/>
    <x v="3"/>
  </r>
  <r>
    <x v="339"/>
    <x v="0"/>
    <n v="3"/>
    <d v="2025-03-14T00:00:00"/>
    <d v="2025-03-14T00:00:00"/>
    <d v="2025-03-14T00:00:00"/>
    <d v="2025-03-14T00:00:00"/>
    <d v="2025-03-14T16:37:25"/>
    <n v="2039"/>
    <s v="610429"/>
    <s v="Sprinter"/>
    <n v="50"/>
    <n v="50"/>
    <s v="4366XC"/>
    <n v="1"/>
    <n v="150"/>
    <b v="1"/>
    <b v="0"/>
    <b v="0"/>
    <n v="231"/>
    <n v="0"/>
    <s v=""/>
    <s v=""/>
    <n v="50"/>
    <n v="359"/>
    <x v="6"/>
    <n v="359"/>
    <s v="Escobedo"/>
    <s v="Escobedo"/>
    <x v="0"/>
    <x v="2"/>
    <d v="2025-03-01T00:00:00"/>
    <x v="12"/>
    <x v="3"/>
  </r>
  <r>
    <x v="340"/>
    <x v="0"/>
    <n v="3"/>
    <d v="2025-03-14T00:00:00"/>
    <d v="2025-03-14T00:00:00"/>
    <d v="2025-03-14T00:00:00"/>
    <d v="2025-03-14T00:00:00"/>
    <d v="2025-03-14T16:37:59"/>
    <n v="2039"/>
    <s v="610429"/>
    <s v="Sprinter"/>
    <n v="50"/>
    <n v="50"/>
    <s v="4366XC"/>
    <n v="1"/>
    <n v="150"/>
    <b v="1"/>
    <b v="0"/>
    <b v="0"/>
    <n v="231"/>
    <n v="0"/>
    <s v=""/>
    <s v=""/>
    <n v="50"/>
    <n v="359"/>
    <x v="6"/>
    <n v="359"/>
    <s v="Escobedo"/>
    <s v="Escobedo"/>
    <x v="0"/>
    <x v="2"/>
    <d v="2025-03-01T00:00:00"/>
    <x v="12"/>
    <x v="3"/>
  </r>
  <r>
    <x v="341"/>
    <x v="0"/>
    <n v="3"/>
    <d v="2025-03-14T00:00:00"/>
    <d v="2025-03-14T00:00:00"/>
    <d v="2025-03-14T00:00:00"/>
    <d v="2025-03-14T00:00:00"/>
    <d v="2025-03-14T16:39:53"/>
    <n v="2039"/>
    <s v="610429"/>
    <s v="Sprinter"/>
    <n v="50"/>
    <n v="50"/>
    <s v="4366XC"/>
    <n v="1"/>
    <n v="150"/>
    <b v="1"/>
    <b v="0"/>
    <b v="0"/>
    <n v="231"/>
    <n v="0"/>
    <s v=""/>
    <s v=""/>
    <n v="50"/>
    <n v="359"/>
    <x v="6"/>
    <n v="359"/>
    <s v="Escobedo"/>
    <s v="Escobedo"/>
    <x v="0"/>
    <x v="2"/>
    <d v="2025-03-01T00:00:00"/>
    <x v="12"/>
    <x v="3"/>
  </r>
  <r>
    <x v="342"/>
    <x v="0"/>
    <n v="3"/>
    <d v="2025-03-15T00:00:00"/>
    <d v="2025-03-15T00:00:00"/>
    <d v="2025-03-15T00:00:00"/>
    <d v="2025-03-15T00:00:00"/>
    <d v="2025-03-16T16:02:56"/>
    <n v="2039"/>
    <s v="610429"/>
    <s v="Sprinter"/>
    <n v="50"/>
    <n v="50"/>
    <s v="4366XC"/>
    <n v="1"/>
    <n v="150"/>
    <b v="1"/>
    <b v="0"/>
    <b v="0"/>
    <n v="231"/>
    <n v="0"/>
    <s v=""/>
    <s v=""/>
    <n v="50"/>
    <n v="359"/>
    <x v="6"/>
    <n v="359"/>
    <s v="Escobedo"/>
    <s v="Escobedo"/>
    <x v="0"/>
    <x v="2"/>
    <d v="2025-03-01T00:00:00"/>
    <x v="12"/>
    <x v="3"/>
  </r>
  <r>
    <x v="343"/>
    <x v="0"/>
    <n v="3"/>
    <d v="2025-03-18T00:00:00"/>
    <d v="2025-03-18T00:00:00"/>
    <d v="2025-03-18T00:00:00"/>
    <d v="2025-03-18T00:00:00"/>
    <d v="2025-03-18T19:24:48"/>
    <n v="2039"/>
    <s v="610429"/>
    <s v="Sprinter"/>
    <n v="50"/>
    <n v="50"/>
    <s v="4366XC"/>
    <n v="1"/>
    <n v="150"/>
    <b v="1"/>
    <b v="0"/>
    <b v="0"/>
    <n v="231"/>
    <n v="0"/>
    <s v=""/>
    <s v=""/>
    <n v="50"/>
    <n v="966"/>
    <x v="18"/>
    <n v="966"/>
    <s v="Escobedo"/>
    <s v="Cienega de Flores"/>
    <x v="28"/>
    <x v="2"/>
    <d v="2025-03-01T00:00:00"/>
    <x v="12"/>
    <x v="3"/>
  </r>
  <r>
    <x v="344"/>
    <x v="0"/>
    <n v="3"/>
    <d v="2025-03-18T00:00:00"/>
    <d v="2025-03-18T00:00:00"/>
    <d v="2025-03-18T00:00:00"/>
    <d v="2025-03-18T00:00:00"/>
    <d v="2025-03-18T19:24:49"/>
    <n v="2039"/>
    <s v="610429"/>
    <s v="Sprinter"/>
    <n v="50"/>
    <n v="50"/>
    <s v="4366XC"/>
    <n v="1"/>
    <n v="150"/>
    <b v="1"/>
    <b v="0"/>
    <b v="0"/>
    <n v="231"/>
    <n v="0"/>
    <s v=""/>
    <s v=""/>
    <n v="50"/>
    <n v="966"/>
    <x v="18"/>
    <n v="966"/>
    <s v="Escobedo"/>
    <s v="Cienega de Flores"/>
    <x v="28"/>
    <x v="2"/>
    <d v="2025-03-01T00:00:00"/>
    <x v="12"/>
    <x v="3"/>
  </r>
  <r>
    <x v="345"/>
    <x v="0"/>
    <n v="3"/>
    <d v="2025-03-18T00:00:00"/>
    <d v="2025-03-18T00:00:00"/>
    <d v="2025-03-18T00:00:00"/>
    <d v="2025-03-18T00:00:00"/>
    <d v="2025-03-18T19:24:47"/>
    <n v="2039"/>
    <s v="610429"/>
    <s v="Sprinter"/>
    <n v="50"/>
    <n v="50"/>
    <s v="4366XC"/>
    <n v="1"/>
    <n v="150"/>
    <b v="1"/>
    <b v="0"/>
    <b v="0"/>
    <n v="231"/>
    <n v="0"/>
    <s v=""/>
    <s v=""/>
    <n v="50"/>
    <n v="461"/>
    <x v="18"/>
    <n v="461"/>
    <s v="Escobedo"/>
    <s v="Monterrey"/>
    <x v="7"/>
    <x v="2"/>
    <d v="2025-03-01T00:00:00"/>
    <x v="12"/>
    <x v="3"/>
  </r>
  <r>
    <x v="346"/>
    <x v="0"/>
    <n v="3"/>
    <d v="2025-03-18T00:00:00"/>
    <d v="2025-03-18T00:00:00"/>
    <d v="2025-03-18T00:00:00"/>
    <d v="2025-03-18T00:00:00"/>
    <d v="2025-03-18T19:24:45"/>
    <n v="2039"/>
    <s v="610429"/>
    <s v="Sprinter"/>
    <n v="50"/>
    <n v="50"/>
    <s v="4366XC"/>
    <n v="1"/>
    <n v="150"/>
    <b v="1"/>
    <b v="0"/>
    <b v="0"/>
    <n v="231"/>
    <n v="0"/>
    <s v=""/>
    <s v=""/>
    <n v="50"/>
    <n v="359"/>
    <x v="18"/>
    <n v="359"/>
    <s v="Escobedo"/>
    <s v="Escobedo"/>
    <x v="0"/>
    <x v="2"/>
    <d v="2025-03-01T00:00:00"/>
    <x v="12"/>
    <x v="3"/>
  </r>
  <r>
    <x v="347"/>
    <x v="0"/>
    <n v="3"/>
    <d v="2025-03-18T00:00:00"/>
    <d v="2025-03-18T00:00:00"/>
    <d v="2025-03-18T00:00:00"/>
    <d v="2025-03-18T00:00:00"/>
    <d v="2025-03-18T19:24:46"/>
    <n v="2039"/>
    <s v="610429"/>
    <s v="Sprinter"/>
    <n v="50"/>
    <n v="50"/>
    <s v="4366XC"/>
    <n v="1"/>
    <n v="150"/>
    <b v="1"/>
    <b v="0"/>
    <b v="0"/>
    <n v="231"/>
    <n v="0"/>
    <s v=""/>
    <s v=""/>
    <n v="50"/>
    <n v="359"/>
    <x v="18"/>
    <n v="359"/>
    <s v="Escobedo"/>
    <s v="Escobedo"/>
    <x v="0"/>
    <x v="2"/>
    <d v="2025-03-01T00:00:00"/>
    <x v="12"/>
    <x v="3"/>
  </r>
  <r>
    <x v="348"/>
    <x v="0"/>
    <n v="3"/>
    <d v="2025-03-18T00:00:00"/>
    <d v="2025-03-18T00:00:00"/>
    <d v="2025-03-18T00:00:00"/>
    <d v="2025-03-18T00:00:00"/>
    <d v="2025-03-18T19:24:46"/>
    <n v="2039"/>
    <s v="610429"/>
    <s v="Sprinter"/>
    <n v="50"/>
    <n v="50"/>
    <s v="4366XC"/>
    <n v="1"/>
    <n v="150"/>
    <b v="1"/>
    <b v="0"/>
    <b v="0"/>
    <n v="231"/>
    <n v="0"/>
    <s v=""/>
    <s v=""/>
    <n v="50"/>
    <n v="2936"/>
    <x v="18"/>
    <n v="2936"/>
    <s v="Escobedo"/>
    <s v="Hidalgo"/>
    <x v="19"/>
    <x v="2"/>
    <d v="2025-03-01T00:00:00"/>
    <x v="12"/>
    <x v="3"/>
  </r>
  <r>
    <x v="349"/>
    <x v="0"/>
    <n v="3"/>
    <d v="2025-03-18T00:00:00"/>
    <d v="2025-03-18T00:00:00"/>
    <d v="2025-03-18T00:00:00"/>
    <d v="2025-03-18T00:00:00"/>
    <d v="2025-03-18T19:24:47"/>
    <n v="2039"/>
    <s v="610429"/>
    <s v="Sprinter"/>
    <n v="50"/>
    <n v="50"/>
    <s v="4366XC"/>
    <n v="1"/>
    <n v="150"/>
    <b v="1"/>
    <b v="0"/>
    <b v="0"/>
    <n v="231"/>
    <n v="0"/>
    <s v=""/>
    <s v=""/>
    <n v="50"/>
    <n v="359"/>
    <x v="18"/>
    <n v="359"/>
    <s v="Escobedo"/>
    <s v="Escobedo"/>
    <x v="0"/>
    <x v="2"/>
    <d v="2025-03-01T00:00:00"/>
    <x v="12"/>
    <x v="3"/>
  </r>
  <r>
    <x v="350"/>
    <x v="0"/>
    <n v="3"/>
    <d v="2025-03-20T00:00:00"/>
    <d v="2025-03-20T00:00:00"/>
    <d v="2025-03-20T00:00:00"/>
    <d v="2025-03-20T00:00:00"/>
    <d v="2025-03-20T11:00:59"/>
    <n v="2039"/>
    <s v="610429"/>
    <s v="Sprinter"/>
    <n v="50"/>
    <n v="50"/>
    <s v="4366XC"/>
    <n v="1"/>
    <n v="150"/>
    <b v="1"/>
    <b v="0"/>
    <b v="0"/>
    <n v="231"/>
    <n v="0"/>
    <s v=""/>
    <s v=""/>
    <n v="50"/>
    <n v="966"/>
    <x v="18"/>
    <n v="966"/>
    <s v="Escobedo"/>
    <s v="Cienega de Flores"/>
    <x v="28"/>
    <x v="2"/>
    <d v="2025-03-01T00:00:00"/>
    <x v="12"/>
    <x v="3"/>
  </r>
  <r>
    <x v="351"/>
    <x v="0"/>
    <n v="3"/>
    <d v="2025-03-20T00:00:00"/>
    <d v="2025-03-20T00:00:00"/>
    <d v="2025-03-20T00:00:00"/>
    <d v="2025-03-20T00:00:00"/>
    <d v="2025-03-20T11:00:55"/>
    <n v="2039"/>
    <s v="610429"/>
    <s v="Sprinter"/>
    <n v="50"/>
    <n v="50"/>
    <s v="4366XC"/>
    <n v="1"/>
    <n v="150"/>
    <b v="1"/>
    <b v="0"/>
    <b v="0"/>
    <n v="231"/>
    <n v="0"/>
    <s v=""/>
    <s v=""/>
    <n v="50"/>
    <n v="966"/>
    <x v="18"/>
    <n v="966"/>
    <s v="Escobedo"/>
    <s v="Cienega de Flores"/>
    <x v="28"/>
    <x v="2"/>
    <d v="2025-03-01T00:00:00"/>
    <x v="12"/>
    <x v="3"/>
  </r>
  <r>
    <x v="352"/>
    <x v="0"/>
    <n v="3"/>
    <d v="2025-03-20T00:00:00"/>
    <d v="2025-03-20T00:00:00"/>
    <d v="2025-03-20T00:00:00"/>
    <d v="2025-03-20T00:00:00"/>
    <d v="2025-03-20T11:00:56"/>
    <n v="2039"/>
    <s v="610429"/>
    <s v="Sprinter"/>
    <n v="50"/>
    <n v="50"/>
    <s v="4366XC"/>
    <n v="1"/>
    <n v="150"/>
    <b v="1"/>
    <b v="0"/>
    <b v="0"/>
    <n v="231"/>
    <n v="0"/>
    <s v=""/>
    <s v=""/>
    <n v="50"/>
    <n v="359"/>
    <x v="18"/>
    <n v="359"/>
    <s v="Escobedo"/>
    <s v="Escobedo"/>
    <x v="0"/>
    <x v="2"/>
    <d v="2025-03-01T00:00:00"/>
    <x v="12"/>
    <x v="3"/>
  </r>
  <r>
    <x v="353"/>
    <x v="0"/>
    <n v="3"/>
    <d v="2025-03-20T00:00:00"/>
    <d v="2025-03-20T00:00:00"/>
    <d v="2025-03-20T00:00:00"/>
    <d v="2025-03-20T00:00:00"/>
    <d v="2025-03-20T11:00:54"/>
    <n v="2039"/>
    <s v="610429"/>
    <s v="Sprinter"/>
    <n v="50"/>
    <n v="50"/>
    <s v="4366XC"/>
    <n v="1"/>
    <n v="150"/>
    <b v="1"/>
    <b v="0"/>
    <b v="0"/>
    <n v="231"/>
    <n v="0"/>
    <s v=""/>
    <s v=""/>
    <n v="50"/>
    <n v="3080"/>
    <x v="18"/>
    <n v="3080"/>
    <s v="Escobedo"/>
    <s v="Santa Catarina"/>
    <x v="29"/>
    <x v="2"/>
    <d v="2025-03-01T00:00:00"/>
    <x v="12"/>
    <x v="3"/>
  </r>
  <r>
    <x v="354"/>
    <x v="0"/>
    <n v="3"/>
    <d v="2025-03-20T00:00:00"/>
    <d v="2025-03-20T00:00:00"/>
    <d v="2025-03-20T00:00:00"/>
    <d v="2025-03-20T00:00:00"/>
    <d v="2025-03-20T11:00:57"/>
    <n v="2039"/>
    <s v="610429"/>
    <s v="Sprinter"/>
    <n v="50"/>
    <n v="50"/>
    <s v="4366XC"/>
    <n v="1"/>
    <n v="150"/>
    <b v="1"/>
    <b v="0"/>
    <b v="0"/>
    <n v="231"/>
    <n v="0"/>
    <s v=""/>
    <s v=""/>
    <n v="50"/>
    <n v="359"/>
    <x v="18"/>
    <n v="359"/>
    <s v="Escobedo"/>
    <s v="Escobedo"/>
    <x v="0"/>
    <x v="2"/>
    <d v="2025-03-01T00:00:00"/>
    <x v="12"/>
    <x v="3"/>
  </r>
  <r>
    <x v="355"/>
    <x v="0"/>
    <n v="3"/>
    <d v="2025-03-20T00:00:00"/>
    <d v="2025-03-20T00:00:00"/>
    <d v="2025-03-20T00:00:00"/>
    <d v="2025-03-20T00:00:00"/>
    <d v="2025-03-20T11:00:54"/>
    <n v="2039"/>
    <s v="610429"/>
    <s v="Sprinter"/>
    <n v="50"/>
    <n v="50"/>
    <s v="4366XC"/>
    <n v="1"/>
    <n v="150"/>
    <b v="1"/>
    <b v="0"/>
    <b v="0"/>
    <n v="231"/>
    <n v="0"/>
    <s v=""/>
    <s v=""/>
    <n v="50"/>
    <n v="308"/>
    <x v="18"/>
    <n v="308"/>
    <s v="Escobedo"/>
    <s v="Guadalupe"/>
    <x v="25"/>
    <x v="2"/>
    <d v="2025-03-01T00:00:00"/>
    <x v="12"/>
    <x v="3"/>
  </r>
  <r>
    <x v="356"/>
    <x v="0"/>
    <n v="3"/>
    <d v="2025-03-20T00:00:00"/>
    <d v="2025-03-20T00:00:00"/>
    <d v="2025-03-20T00:00:00"/>
    <d v="2025-03-20T00:00:00"/>
    <d v="2025-03-20T11:00:56"/>
    <n v="2039"/>
    <s v="610429"/>
    <s v="Sprinter"/>
    <n v="50"/>
    <n v="50"/>
    <s v="4366XC"/>
    <n v="1"/>
    <n v="150"/>
    <b v="1"/>
    <b v="0"/>
    <b v="0"/>
    <n v="231"/>
    <n v="0"/>
    <s v=""/>
    <s v=""/>
    <n v="50"/>
    <n v="359"/>
    <x v="18"/>
    <n v="359"/>
    <s v="Escobedo"/>
    <s v="Escobedo"/>
    <x v="0"/>
    <x v="2"/>
    <d v="2025-03-01T00:00:00"/>
    <x v="12"/>
    <x v="3"/>
  </r>
  <r>
    <x v="357"/>
    <x v="0"/>
    <n v="3"/>
    <d v="2025-03-20T00:00:00"/>
    <d v="2025-03-20T00:00:00"/>
    <d v="2025-03-20T00:00:00"/>
    <d v="2025-03-20T00:00:00"/>
    <d v="2025-03-20T11:00:57"/>
    <n v="2039"/>
    <s v="610429"/>
    <s v="Sprinter"/>
    <n v="50"/>
    <n v="50"/>
    <s v="4366XC"/>
    <n v="1"/>
    <n v="150"/>
    <b v="1"/>
    <b v="0"/>
    <b v="0"/>
    <n v="231"/>
    <n v="0"/>
    <s v=""/>
    <s v=""/>
    <n v="50"/>
    <n v="359"/>
    <x v="18"/>
    <n v="359"/>
    <s v="Escobedo"/>
    <s v="Escobedo"/>
    <x v="0"/>
    <x v="2"/>
    <d v="2025-03-01T00:00:00"/>
    <x v="12"/>
    <x v="3"/>
  </r>
  <r>
    <x v="358"/>
    <x v="0"/>
    <n v="3"/>
    <d v="2025-03-20T00:00:00"/>
    <d v="2025-03-20T00:00:00"/>
    <d v="2025-03-20T00:00:00"/>
    <d v="2025-03-20T00:00:00"/>
    <d v="2025-03-20T11:00:58"/>
    <n v="2039"/>
    <s v="610429"/>
    <s v="Sprinter"/>
    <n v="50"/>
    <n v="50"/>
    <s v="4366XC"/>
    <n v="1"/>
    <n v="150"/>
    <b v="1"/>
    <b v="0"/>
    <b v="0"/>
    <n v="231"/>
    <n v="0"/>
    <s v=""/>
    <s v=""/>
    <n v="50"/>
    <n v="359"/>
    <x v="18"/>
    <n v="359"/>
    <s v="Escobedo"/>
    <s v="Escobedo"/>
    <x v="0"/>
    <x v="2"/>
    <d v="2025-03-01T00:00:00"/>
    <x v="12"/>
    <x v="3"/>
  </r>
  <r>
    <x v="359"/>
    <x v="0"/>
    <n v="3"/>
    <d v="2025-03-20T00:00:00"/>
    <d v="2025-03-20T00:00:00"/>
    <d v="2025-03-20T00:00:00"/>
    <d v="2025-03-20T00:00:00"/>
    <d v="2025-03-20T11:00:53"/>
    <n v="2039"/>
    <s v="610429"/>
    <s v="Sprinter"/>
    <n v="50"/>
    <n v="50"/>
    <s v="4366XC"/>
    <n v="1"/>
    <n v="150"/>
    <b v="1"/>
    <b v="0"/>
    <b v="0"/>
    <n v="231"/>
    <n v="0"/>
    <s v=""/>
    <s v=""/>
    <n v="50"/>
    <n v="2936"/>
    <x v="18"/>
    <n v="2936"/>
    <s v="Escobedo"/>
    <s v="Hidalgo"/>
    <x v="19"/>
    <x v="2"/>
    <d v="2025-03-01T00:00:00"/>
    <x v="12"/>
    <x v="3"/>
  </r>
  <r>
    <x v="360"/>
    <x v="0"/>
    <n v="3"/>
    <d v="2025-03-21T00:00:00"/>
    <d v="2025-03-21T00:00:00"/>
    <d v="2025-03-21T00:00:00"/>
    <d v="2025-03-21T00:00:00"/>
    <d v="2025-03-21T12:52:32"/>
    <n v="2039"/>
    <s v="610429"/>
    <s v="Sprinter"/>
    <n v="50"/>
    <n v="50"/>
    <s v="4366XC"/>
    <n v="1"/>
    <n v="150"/>
    <b v="1"/>
    <b v="0"/>
    <b v="0"/>
    <n v="231"/>
    <n v="0"/>
    <s v=""/>
    <s v=""/>
    <n v="50"/>
    <n v="461"/>
    <x v="6"/>
    <n v="461"/>
    <s v="Escobedo"/>
    <s v="Monterrey"/>
    <x v="7"/>
    <x v="2"/>
    <d v="2025-03-01T00:00:00"/>
    <x v="12"/>
    <x v="3"/>
  </r>
  <r>
    <x v="361"/>
    <x v="0"/>
    <n v="3"/>
    <d v="2025-03-21T00:00:00"/>
    <d v="2025-03-21T00:00:00"/>
    <d v="2025-03-21T00:00:00"/>
    <d v="2025-03-21T00:00:00"/>
    <d v="2025-03-21T12:53:08"/>
    <n v="2039"/>
    <s v="610429"/>
    <s v="Sprinter"/>
    <n v="50"/>
    <n v="50"/>
    <s v="4366XC"/>
    <n v="1"/>
    <n v="150"/>
    <b v="1"/>
    <b v="0"/>
    <b v="0"/>
    <n v="231"/>
    <n v="0"/>
    <s v=""/>
    <s v=""/>
    <n v="50"/>
    <n v="359"/>
    <x v="6"/>
    <n v="359"/>
    <s v="Escobedo"/>
    <s v="Escobedo"/>
    <x v="0"/>
    <x v="2"/>
    <d v="2025-03-01T00:00:00"/>
    <x v="12"/>
    <x v="3"/>
  </r>
  <r>
    <x v="362"/>
    <x v="0"/>
    <n v="3"/>
    <d v="2025-03-21T00:00:00"/>
    <d v="2025-03-21T00:00:00"/>
    <d v="2025-03-21T00:00:00"/>
    <d v="2025-03-21T00:00:00"/>
    <d v="2025-03-21T12:53:50"/>
    <n v="2039"/>
    <s v="610429"/>
    <s v="Sprinter"/>
    <n v="50"/>
    <n v="50"/>
    <s v="4366XC"/>
    <n v="1"/>
    <n v="150"/>
    <b v="1"/>
    <b v="0"/>
    <b v="0"/>
    <n v="231"/>
    <n v="0"/>
    <s v=""/>
    <s v=""/>
    <n v="50"/>
    <n v="966"/>
    <x v="6"/>
    <n v="966"/>
    <s v="Escobedo"/>
    <s v="Cienega de Flores"/>
    <x v="28"/>
    <x v="2"/>
    <d v="2025-03-01T00:00:00"/>
    <x v="12"/>
    <x v="3"/>
  </r>
  <r>
    <x v="363"/>
    <x v="0"/>
    <n v="3"/>
    <d v="2025-03-21T00:00:00"/>
    <d v="2025-03-21T00:00:00"/>
    <d v="2025-03-21T00:00:00"/>
    <d v="2025-03-21T00:00:00"/>
    <d v="2025-03-21T12:54:44"/>
    <n v="2039"/>
    <s v="610429"/>
    <s v="Sprinter"/>
    <n v="50"/>
    <n v="50"/>
    <s v="4366XC"/>
    <n v="1"/>
    <n v="150"/>
    <b v="1"/>
    <b v="0"/>
    <b v="0"/>
    <n v="231"/>
    <n v="0"/>
    <s v=""/>
    <s v=""/>
    <n v="50"/>
    <n v="966"/>
    <x v="6"/>
    <n v="966"/>
    <s v="Escobedo"/>
    <s v="Cienega de Flores"/>
    <x v="28"/>
    <x v="2"/>
    <d v="2025-03-01T00:00:00"/>
    <x v="12"/>
    <x v="3"/>
  </r>
  <r>
    <x v="364"/>
    <x v="0"/>
    <n v="3"/>
    <d v="2025-03-21T00:00:00"/>
    <d v="2025-03-21T00:00:00"/>
    <d v="2025-03-21T00:00:00"/>
    <d v="2025-03-21T00:00:00"/>
    <d v="2025-03-21T12:54:43"/>
    <n v="2039"/>
    <s v="610429"/>
    <s v="Sprinter"/>
    <n v="50"/>
    <n v="50"/>
    <s v="4366XC"/>
    <n v="1"/>
    <n v="150"/>
    <b v="1"/>
    <b v="0"/>
    <b v="0"/>
    <n v="231"/>
    <n v="0"/>
    <s v=""/>
    <s v=""/>
    <n v="50"/>
    <n v="359"/>
    <x v="6"/>
    <n v="359"/>
    <s v="Escobedo"/>
    <s v="Escobedo"/>
    <x v="0"/>
    <x v="2"/>
    <d v="2025-03-01T00:00:00"/>
    <x v="12"/>
    <x v="3"/>
  </r>
  <r>
    <x v="365"/>
    <x v="0"/>
    <n v="3"/>
    <d v="2025-03-21T00:00:00"/>
    <d v="2025-03-21T00:00:00"/>
    <d v="2025-03-21T00:00:00"/>
    <d v="2025-03-21T00:00:00"/>
    <d v="2025-03-21T12:54:43"/>
    <n v="2039"/>
    <s v="610429"/>
    <s v="Sprinter"/>
    <n v="50"/>
    <n v="50"/>
    <s v="4366XC"/>
    <n v="1"/>
    <n v="150"/>
    <b v="1"/>
    <b v="0"/>
    <b v="0"/>
    <n v="231"/>
    <n v="0"/>
    <s v=""/>
    <s v=""/>
    <n v="50"/>
    <n v="359"/>
    <x v="6"/>
    <n v="359"/>
    <s v="Escobedo"/>
    <s v="Escobedo"/>
    <x v="0"/>
    <x v="2"/>
    <d v="2025-03-01T00:00:00"/>
    <x v="12"/>
    <x v="3"/>
  </r>
  <r>
    <x v="366"/>
    <x v="0"/>
    <n v="3"/>
    <d v="2025-03-21T00:00:00"/>
    <d v="2025-03-21T00:00:00"/>
    <d v="2025-03-21T00:00:00"/>
    <d v="2025-03-21T00:00:00"/>
    <d v="2025-03-21T12:54:42"/>
    <n v="2039"/>
    <s v="610429"/>
    <s v="Sprinter"/>
    <n v="50"/>
    <n v="50"/>
    <s v="4366XC"/>
    <n v="1"/>
    <n v="150"/>
    <b v="1"/>
    <b v="0"/>
    <b v="0"/>
    <n v="231"/>
    <n v="0"/>
    <s v=""/>
    <s v=""/>
    <n v="50"/>
    <n v="359"/>
    <x v="6"/>
    <n v="359"/>
    <s v="Escobedo"/>
    <s v="Escobedo"/>
    <x v="0"/>
    <x v="2"/>
    <d v="2025-03-01T00:00:00"/>
    <x v="12"/>
    <x v="3"/>
  </r>
  <r>
    <x v="367"/>
    <x v="0"/>
    <n v="3"/>
    <d v="2025-03-21T00:00:00"/>
    <d v="2025-03-21T00:00:00"/>
    <d v="2025-03-21T00:00:00"/>
    <d v="2025-03-21T00:00:00"/>
    <d v="2025-03-21T12:54:41"/>
    <n v="2039"/>
    <s v="610429"/>
    <s v="Sprinter"/>
    <n v="50"/>
    <n v="50"/>
    <s v="4366XC"/>
    <n v="1"/>
    <n v="150"/>
    <b v="1"/>
    <b v="0"/>
    <b v="0"/>
    <n v="231"/>
    <n v="0"/>
    <s v=""/>
    <s v=""/>
    <n v="50"/>
    <n v="359"/>
    <x v="6"/>
    <n v="359"/>
    <s v="Escobedo"/>
    <s v="Escobedo"/>
    <x v="0"/>
    <x v="2"/>
    <d v="2025-03-01T00:00:00"/>
    <x v="12"/>
    <x v="3"/>
  </r>
  <r>
    <x v="368"/>
    <x v="0"/>
    <n v="3"/>
    <d v="2025-03-21T00:00:00"/>
    <d v="2025-03-21T00:00:00"/>
    <d v="2025-03-21T00:00:00"/>
    <d v="2025-03-21T00:00:00"/>
    <d v="2025-03-21T12:54:41"/>
    <n v="2039"/>
    <s v="610429"/>
    <s v="Sprinter"/>
    <n v="50"/>
    <n v="50"/>
    <s v="4366XC"/>
    <n v="1"/>
    <n v="150"/>
    <b v="1"/>
    <b v="0"/>
    <b v="0"/>
    <n v="231"/>
    <n v="0"/>
    <s v=""/>
    <s v=""/>
    <n v="50"/>
    <n v="359"/>
    <x v="6"/>
    <n v="359"/>
    <s v="Escobedo"/>
    <s v="Escobedo"/>
    <x v="0"/>
    <x v="2"/>
    <d v="2025-03-01T00:00:00"/>
    <x v="12"/>
    <x v="3"/>
  </r>
  <r>
    <x v="369"/>
    <x v="0"/>
    <n v="3"/>
    <d v="2025-03-21T00:00:00"/>
    <d v="2025-03-21T00:00:00"/>
    <d v="2025-03-21T00:00:00"/>
    <d v="2025-03-21T00:00:00"/>
    <d v="2025-03-21T00:00:00"/>
    <n v="1867"/>
    <s v="610429"/>
    <s v="Sprinter"/>
    <n v="50"/>
    <n v="50"/>
    <s v="2619XC"/>
    <n v="1"/>
    <n v="150"/>
    <b v="1"/>
    <b v="0"/>
    <b v="0"/>
    <n v="231"/>
    <n v="0"/>
    <s v=""/>
    <s v=""/>
    <n v="50"/>
    <n v="966"/>
    <x v="6"/>
    <n v="966"/>
    <s v="Escobedo"/>
    <s v="Cienega de Flores"/>
    <x v="28"/>
    <x v="2"/>
    <d v="2025-03-01T00:00:00"/>
    <x v="12"/>
    <x v="3"/>
  </r>
  <r>
    <x v="370"/>
    <x v="0"/>
    <n v="3"/>
    <d v="2025-03-21T00:00:00"/>
    <d v="2025-03-21T00:00:00"/>
    <d v="2025-03-21T00:00:00"/>
    <d v="2025-03-21T00:00:00"/>
    <d v="2025-03-21T00:00:00"/>
    <n v="1867"/>
    <s v="610429"/>
    <s v="Sprinter"/>
    <n v="50"/>
    <n v="50"/>
    <s v="2619XC"/>
    <n v="1"/>
    <n v="150"/>
    <b v="1"/>
    <b v="0"/>
    <b v="0"/>
    <n v="231"/>
    <n v="0"/>
    <s v=""/>
    <s v=""/>
    <n v="50"/>
    <n v="966"/>
    <x v="6"/>
    <n v="966"/>
    <s v="Escobedo"/>
    <s v="Cienega de Flores"/>
    <x v="28"/>
    <x v="2"/>
    <d v="2025-03-01T00:00:00"/>
    <x v="12"/>
    <x v="3"/>
  </r>
  <r>
    <x v="371"/>
    <x v="0"/>
    <n v="3"/>
    <d v="2025-03-21T00:00:00"/>
    <d v="2025-03-21T00:00:00"/>
    <d v="2025-03-21T00:00:00"/>
    <d v="2025-03-21T00:00:00"/>
    <d v="2025-03-21T00:00:00"/>
    <n v="1867"/>
    <s v="610429"/>
    <s v="Sprinter"/>
    <n v="50"/>
    <n v="50"/>
    <s v="2619XC"/>
    <n v="1"/>
    <n v="150"/>
    <b v="1"/>
    <b v="0"/>
    <b v="0"/>
    <n v="231"/>
    <n v="0"/>
    <s v=""/>
    <s v=""/>
    <n v="50"/>
    <n v="359"/>
    <x v="6"/>
    <n v="359"/>
    <s v="Escobedo"/>
    <s v="Escobedo"/>
    <x v="0"/>
    <x v="2"/>
    <d v="2025-03-01T00:00:00"/>
    <x v="12"/>
    <x v="3"/>
  </r>
  <r>
    <x v="372"/>
    <x v="0"/>
    <n v="3"/>
    <d v="2025-03-22T00:00:00"/>
    <d v="2025-03-22T00:00:00"/>
    <d v="2025-03-22T00:00:00"/>
    <d v="2025-03-22T00:00:00"/>
    <d v="2025-03-22T12:44:53"/>
    <n v="2039"/>
    <s v="610429"/>
    <s v="Sprinter"/>
    <n v="50"/>
    <n v="50"/>
    <s v="4366XC"/>
    <n v="1"/>
    <n v="150"/>
    <b v="1"/>
    <b v="0"/>
    <b v="0"/>
    <n v="231"/>
    <n v="0"/>
    <s v=""/>
    <s v=""/>
    <n v="50"/>
    <n v="359"/>
    <x v="6"/>
    <n v="359"/>
    <s v="Escobedo"/>
    <s v="Escobedo"/>
    <x v="0"/>
    <x v="2"/>
    <d v="2025-03-01T00:00:00"/>
    <x v="12"/>
    <x v="3"/>
  </r>
  <r>
    <x v="373"/>
    <x v="0"/>
    <n v="3"/>
    <d v="2025-03-01T00:00:00"/>
    <d v="2025-03-01T00:00:00"/>
    <d v="2025-03-01T00:00:00"/>
    <d v="2025-03-01T00:00:00"/>
    <d v="2025-03-02T08:40:46"/>
    <n v="2050"/>
    <s v="626955"/>
    <s v="Sprinter"/>
    <n v="50"/>
    <n v="50"/>
    <s v="6551XC"/>
    <n v="1"/>
    <n v="150"/>
    <b v="1"/>
    <b v="0"/>
    <b v="0"/>
    <n v="231"/>
    <n v="0"/>
    <s v=""/>
    <s v=""/>
    <n v="50"/>
    <n v="359"/>
    <x v="6"/>
    <n v="359"/>
    <s v="Escobedo"/>
    <s v="Escobedo"/>
    <x v="0"/>
    <x v="0"/>
    <d v="2025-03-01T00:00:00"/>
    <x v="12"/>
    <x v="3"/>
  </r>
  <r>
    <x v="374"/>
    <x v="0"/>
    <n v="3"/>
    <d v="2025-03-22T00:00:00"/>
    <d v="2025-03-22T00:00:00"/>
    <d v="2025-03-22T00:00:00"/>
    <d v="2025-03-22T00:00:00"/>
    <d v="2025-03-22T13:49:29"/>
    <n v="2039"/>
    <s v="610429"/>
    <s v="Sprinter"/>
    <n v="50"/>
    <n v="50"/>
    <s v="4366XC"/>
    <n v="1"/>
    <n v="150"/>
    <b v="1"/>
    <b v="0"/>
    <b v="0"/>
    <n v="231"/>
    <n v="0"/>
    <s v=""/>
    <s v=""/>
    <n v="50"/>
    <n v="359"/>
    <x v="6"/>
    <n v="359"/>
    <s v="Escobedo"/>
    <s v="Escobedo"/>
    <x v="0"/>
    <x v="2"/>
    <d v="2025-03-01T00:00:00"/>
    <x v="12"/>
    <x v="3"/>
  </r>
  <r>
    <x v="375"/>
    <x v="0"/>
    <n v="3"/>
    <d v="2025-03-01T00:00:00"/>
    <d v="2025-03-01T00:00:00"/>
    <d v="2025-03-01T00:00:00"/>
    <d v="2025-03-01T00:00:00"/>
    <d v="2025-03-02T08:40:45"/>
    <n v="2050"/>
    <s v="626955"/>
    <s v="Sprinter"/>
    <n v="50"/>
    <n v="50"/>
    <s v="6551XC"/>
    <n v="1"/>
    <n v="150"/>
    <b v="1"/>
    <b v="0"/>
    <b v="0"/>
    <n v="231"/>
    <n v="0"/>
    <s v=""/>
    <s v=""/>
    <n v="50"/>
    <n v="359"/>
    <x v="6"/>
    <n v="359"/>
    <s v="Escobedo"/>
    <s v="Escobedo"/>
    <x v="0"/>
    <x v="0"/>
    <d v="2025-03-01T00:00:00"/>
    <x v="12"/>
    <x v="3"/>
  </r>
  <r>
    <x v="376"/>
    <x v="0"/>
    <n v="3"/>
    <d v="2025-03-01T00:00:00"/>
    <d v="2025-03-01T00:00:00"/>
    <d v="2025-03-01T00:00:00"/>
    <d v="2025-03-01T00:00:00"/>
    <d v="2025-03-02T08:40:44"/>
    <n v="2050"/>
    <s v="626955"/>
    <s v="Sprinter"/>
    <n v="50"/>
    <n v="50"/>
    <s v="6551XC"/>
    <n v="1"/>
    <n v="150"/>
    <b v="1"/>
    <b v="0"/>
    <b v="0"/>
    <n v="231"/>
    <n v="0"/>
    <s v=""/>
    <s v=""/>
    <n v="50"/>
    <n v="2936"/>
    <x v="6"/>
    <n v="2936"/>
    <s v="Escobedo"/>
    <s v="Hidalgo"/>
    <x v="19"/>
    <x v="0"/>
    <d v="2025-03-01T00:00:00"/>
    <x v="12"/>
    <x v="3"/>
  </r>
  <r>
    <x v="377"/>
    <x v="0"/>
    <n v="3"/>
    <d v="2025-03-01T00:00:00"/>
    <d v="2025-03-01T00:00:00"/>
    <d v="2025-03-01T00:00:00"/>
    <d v="2025-03-01T00:00:00"/>
    <d v="2025-03-02T08:40:43"/>
    <n v="2050"/>
    <s v="626955"/>
    <s v="Sprinter"/>
    <n v="50"/>
    <n v="50"/>
    <s v="6551XC"/>
    <n v="1"/>
    <n v="150"/>
    <b v="1"/>
    <b v="0"/>
    <b v="0"/>
    <n v="231"/>
    <n v="0"/>
    <s v=""/>
    <s v=""/>
    <n v="50"/>
    <n v="359"/>
    <x v="6"/>
    <n v="359"/>
    <s v="Escobedo"/>
    <s v="Escobedo"/>
    <x v="0"/>
    <x v="0"/>
    <d v="2025-03-01T00:00:00"/>
    <x v="12"/>
    <x v="3"/>
  </r>
  <r>
    <x v="378"/>
    <x v="0"/>
    <n v="3"/>
    <d v="2025-03-01T00:00:00"/>
    <d v="2025-03-01T00:00:00"/>
    <d v="2025-03-01T00:00:00"/>
    <d v="2025-03-01T00:00:00"/>
    <d v="2025-03-02T08:40:42"/>
    <n v="2050"/>
    <s v="626955"/>
    <s v="Sprinter"/>
    <n v="50"/>
    <n v="50"/>
    <s v="6551XC"/>
    <n v="1"/>
    <n v="150"/>
    <b v="1"/>
    <b v="0"/>
    <b v="0"/>
    <n v="231"/>
    <n v="0"/>
    <s v=""/>
    <s v=""/>
    <n v="50"/>
    <n v="2936"/>
    <x v="6"/>
    <n v="2936"/>
    <s v="Escobedo"/>
    <s v="Hidalgo"/>
    <x v="19"/>
    <x v="0"/>
    <d v="2025-03-01T00:00:00"/>
    <x v="12"/>
    <x v="3"/>
  </r>
  <r>
    <x v="379"/>
    <x v="0"/>
    <n v="3"/>
    <d v="2025-03-25T00:00:00"/>
    <d v="2025-03-25T00:00:00"/>
    <d v="2025-03-25T00:00:00"/>
    <d v="2025-03-25T00:00:00"/>
    <d v="2025-03-25T15:07:14"/>
    <n v="2039"/>
    <s v="610429"/>
    <s v="Sprinter"/>
    <n v="50"/>
    <n v="50"/>
    <s v="4366XC"/>
    <n v="1"/>
    <n v="150"/>
    <b v="1"/>
    <b v="0"/>
    <b v="0"/>
    <n v="231"/>
    <n v="0"/>
    <s v=""/>
    <s v=""/>
    <n v="50"/>
    <n v="2936"/>
    <x v="6"/>
    <n v="2936"/>
    <s v="Escobedo"/>
    <s v="Hidalgo"/>
    <x v="19"/>
    <x v="2"/>
    <d v="2025-03-01T00:00:00"/>
    <x v="12"/>
    <x v="3"/>
  </r>
  <r>
    <x v="380"/>
    <x v="0"/>
    <n v="3"/>
    <d v="2025-03-25T00:00:00"/>
    <d v="2025-03-25T00:00:00"/>
    <d v="2025-03-25T00:00:00"/>
    <d v="2025-03-25T00:00:00"/>
    <d v="2025-03-25T15:07:14"/>
    <n v="2039"/>
    <s v="610429"/>
    <s v="Sprinter"/>
    <n v="50"/>
    <n v="50"/>
    <s v="4366XC"/>
    <n v="1"/>
    <n v="150"/>
    <b v="1"/>
    <b v="0"/>
    <b v="0"/>
    <n v="231"/>
    <n v="0"/>
    <s v=""/>
    <s v=""/>
    <n v="50"/>
    <n v="359"/>
    <x v="6"/>
    <n v="359"/>
    <s v="Escobedo"/>
    <s v="Escobedo"/>
    <x v="0"/>
    <x v="2"/>
    <d v="2025-03-01T00:00:00"/>
    <x v="12"/>
    <x v="3"/>
  </r>
  <r>
    <x v="381"/>
    <x v="0"/>
    <n v="3"/>
    <d v="2025-03-25T00:00:00"/>
    <d v="2025-03-25T00:00:00"/>
    <d v="2025-03-25T00:00:00"/>
    <d v="2025-03-25T00:00:00"/>
    <d v="2025-03-25T15:07:13"/>
    <n v="2039"/>
    <s v="610429"/>
    <s v="Sprinter"/>
    <n v="50"/>
    <n v="50"/>
    <s v="4366XC"/>
    <n v="1"/>
    <n v="150"/>
    <b v="1"/>
    <b v="0"/>
    <b v="0"/>
    <n v="231"/>
    <n v="0"/>
    <s v=""/>
    <s v=""/>
    <n v="50"/>
    <n v="359"/>
    <x v="6"/>
    <n v="359"/>
    <s v="Escobedo"/>
    <s v="Escobedo"/>
    <x v="0"/>
    <x v="2"/>
    <d v="2025-03-01T00:00:00"/>
    <x v="12"/>
    <x v="3"/>
  </r>
  <r>
    <x v="382"/>
    <x v="0"/>
    <n v="3"/>
    <d v="2025-03-25T00:00:00"/>
    <d v="2025-03-25T00:00:00"/>
    <d v="2025-03-25T00:00:00"/>
    <d v="2025-03-25T00:00:00"/>
    <d v="2025-03-25T15:07:12"/>
    <n v="2039"/>
    <s v="610429"/>
    <s v="Sprinter"/>
    <n v="50"/>
    <n v="50"/>
    <s v="4366XC"/>
    <n v="1"/>
    <n v="150"/>
    <b v="1"/>
    <b v="0"/>
    <b v="0"/>
    <n v="231"/>
    <n v="0"/>
    <s v=""/>
    <s v=""/>
    <n v="50"/>
    <n v="359"/>
    <x v="6"/>
    <n v="359"/>
    <s v="Escobedo"/>
    <s v="Escobedo"/>
    <x v="0"/>
    <x v="2"/>
    <d v="2025-03-01T00:00:00"/>
    <x v="12"/>
    <x v="3"/>
  </r>
  <r>
    <x v="383"/>
    <x v="0"/>
    <n v="3"/>
    <d v="2025-03-27T00:00:00"/>
    <d v="2025-03-27T00:00:00"/>
    <d v="2025-03-27T00:00:00"/>
    <d v="2025-03-27T00:00:00"/>
    <d v="2025-03-27T11:44:42"/>
    <n v="2039"/>
    <s v="610429"/>
    <s v="Sprinter"/>
    <n v="50"/>
    <n v="50"/>
    <s v="4366XC"/>
    <n v="1"/>
    <n v="150"/>
    <b v="1"/>
    <b v="0"/>
    <b v="0"/>
    <n v="231"/>
    <n v="0"/>
    <s v=""/>
    <s v=""/>
    <n v="50"/>
    <n v="966"/>
    <x v="6"/>
    <n v="966"/>
    <s v="Escobedo"/>
    <s v="Cienega de Flores"/>
    <x v="28"/>
    <x v="2"/>
    <d v="2025-03-01T00:00:00"/>
    <x v="12"/>
    <x v="3"/>
  </r>
  <r>
    <x v="384"/>
    <x v="0"/>
    <n v="3"/>
    <d v="2025-03-27T00:00:00"/>
    <d v="2025-03-27T00:00:00"/>
    <d v="2025-03-27T00:00:00"/>
    <d v="2025-03-27T00:00:00"/>
    <d v="2025-03-27T11:45:23"/>
    <n v="2039"/>
    <s v="610429"/>
    <s v="Sprinter"/>
    <n v="50"/>
    <n v="50"/>
    <s v="4366XC"/>
    <n v="1"/>
    <n v="150"/>
    <b v="1"/>
    <b v="0"/>
    <b v="0"/>
    <n v="231"/>
    <n v="0"/>
    <s v=""/>
    <s v=""/>
    <n v="50"/>
    <n v="966"/>
    <x v="6"/>
    <n v="966"/>
    <s v="Escobedo"/>
    <s v="Cienega de Flores"/>
    <x v="28"/>
    <x v="2"/>
    <d v="2025-03-01T00:00:00"/>
    <x v="12"/>
    <x v="3"/>
  </r>
  <r>
    <x v="385"/>
    <x v="0"/>
    <n v="3"/>
    <d v="2025-03-27T00:00:00"/>
    <d v="2025-03-27T00:00:00"/>
    <d v="2025-03-27T00:00:00"/>
    <d v="2025-03-27T00:00:00"/>
    <d v="2025-03-27T11:46:22"/>
    <n v="2039"/>
    <s v="610429"/>
    <s v="Sprinter"/>
    <n v="50"/>
    <n v="50"/>
    <s v="4366XC"/>
    <n v="1"/>
    <n v="150"/>
    <b v="1"/>
    <b v="0"/>
    <b v="0"/>
    <n v="231"/>
    <n v="0"/>
    <s v=""/>
    <s v=""/>
    <n v="50"/>
    <n v="359"/>
    <x v="6"/>
    <n v="359"/>
    <s v="Escobedo"/>
    <s v="Escobedo"/>
    <x v="0"/>
    <x v="2"/>
    <d v="2025-03-01T00:00:00"/>
    <x v="12"/>
    <x v="3"/>
  </r>
  <r>
    <x v="386"/>
    <x v="0"/>
    <n v="3"/>
    <d v="2025-03-27T00:00:00"/>
    <d v="2025-03-27T00:00:00"/>
    <d v="2025-03-27T00:00:00"/>
    <d v="2025-03-27T00:00:00"/>
    <d v="2025-03-27T11:47:18"/>
    <n v="2039"/>
    <s v="610429"/>
    <s v="Sprinter"/>
    <n v="50"/>
    <n v="50"/>
    <s v="4366XC"/>
    <n v="1"/>
    <n v="150"/>
    <b v="1"/>
    <b v="0"/>
    <b v="0"/>
    <n v="231"/>
    <n v="0"/>
    <s v=""/>
    <s v=""/>
    <n v="50"/>
    <n v="359"/>
    <x v="6"/>
    <n v="359"/>
    <s v="Escobedo"/>
    <s v="Escobedo"/>
    <x v="0"/>
    <x v="2"/>
    <d v="2025-03-01T00:00:00"/>
    <x v="12"/>
    <x v="3"/>
  </r>
  <r>
    <x v="387"/>
    <x v="0"/>
    <n v="3"/>
    <d v="2025-03-27T00:00:00"/>
    <d v="2025-03-27T00:00:00"/>
    <d v="2025-03-27T00:00:00"/>
    <d v="2025-03-27T00:00:00"/>
    <d v="2025-03-27T11:47:57"/>
    <n v="2039"/>
    <s v="610429"/>
    <s v="Sprinter"/>
    <n v="50"/>
    <n v="50"/>
    <s v="4366XC"/>
    <n v="1"/>
    <n v="150"/>
    <b v="1"/>
    <b v="0"/>
    <b v="0"/>
    <n v="231"/>
    <n v="0"/>
    <s v=""/>
    <s v=""/>
    <n v="50"/>
    <n v="2936"/>
    <x v="6"/>
    <n v="2936"/>
    <s v="Escobedo"/>
    <s v="Hidalgo"/>
    <x v="19"/>
    <x v="2"/>
    <d v="2025-03-01T00:00:00"/>
    <x v="12"/>
    <x v="3"/>
  </r>
  <r>
    <x v="388"/>
    <x v="0"/>
    <n v="3"/>
    <d v="2025-03-27T00:00:00"/>
    <d v="2025-03-27T00:00:00"/>
    <d v="2025-03-27T00:00:00"/>
    <d v="2025-03-27T00:00:00"/>
    <d v="2025-03-27T11:49:23"/>
    <n v="2039"/>
    <s v="610429"/>
    <s v="Sprinter"/>
    <n v="50"/>
    <n v="50"/>
    <s v="4366XC"/>
    <n v="1"/>
    <n v="150"/>
    <b v="1"/>
    <b v="0"/>
    <b v="0"/>
    <n v="231"/>
    <n v="0"/>
    <s v=""/>
    <s v=""/>
    <n v="50"/>
    <n v="359"/>
    <x v="6"/>
    <n v="359"/>
    <s v="Escobedo"/>
    <s v="Escobedo"/>
    <x v="0"/>
    <x v="2"/>
    <d v="2025-03-01T00:00:00"/>
    <x v="12"/>
    <x v="3"/>
  </r>
  <r>
    <x v="389"/>
    <x v="0"/>
    <n v="3"/>
    <d v="2025-03-27T00:00:00"/>
    <d v="2025-03-27T00:00:00"/>
    <d v="2025-03-27T00:00:00"/>
    <d v="2025-03-27T00:00:00"/>
    <d v="2025-03-27T11:50:04"/>
    <n v="2039"/>
    <s v="610429"/>
    <s v="Sprinter"/>
    <n v="50"/>
    <n v="50"/>
    <s v="4366XC"/>
    <n v="1"/>
    <n v="150"/>
    <b v="1"/>
    <b v="0"/>
    <b v="0"/>
    <n v="231"/>
    <n v="0"/>
    <s v=""/>
    <s v=""/>
    <n v="50"/>
    <n v="966"/>
    <x v="6"/>
    <n v="966"/>
    <s v="Escobedo"/>
    <s v="Cienega de Flores"/>
    <x v="28"/>
    <x v="2"/>
    <d v="2025-03-01T00:00:00"/>
    <x v="12"/>
    <x v="3"/>
  </r>
  <r>
    <x v="390"/>
    <x v="0"/>
    <n v="3"/>
    <d v="2025-03-27T00:00:00"/>
    <d v="2025-03-27T00:00:00"/>
    <d v="2025-03-27T00:00:00"/>
    <d v="2025-03-27T00:00:00"/>
    <d v="2025-03-27T11:50:29"/>
    <n v="2039"/>
    <s v="610429"/>
    <s v="Sprinter"/>
    <n v="50"/>
    <n v="50"/>
    <s v="4366XC"/>
    <n v="1"/>
    <n v="150"/>
    <b v="1"/>
    <b v="0"/>
    <b v="0"/>
    <n v="231"/>
    <n v="0"/>
    <s v=""/>
    <s v=""/>
    <n v="50"/>
    <n v="966"/>
    <x v="6"/>
    <n v="966"/>
    <s v="Escobedo"/>
    <s v="Cienega de Flores"/>
    <x v="28"/>
    <x v="2"/>
    <d v="2025-03-01T00:00:00"/>
    <x v="12"/>
    <x v="3"/>
  </r>
  <r>
    <x v="391"/>
    <x v="0"/>
    <n v="3"/>
    <d v="2025-03-27T00:00:00"/>
    <d v="2025-03-27T00:00:00"/>
    <d v="2025-03-27T00:00:00"/>
    <d v="2025-03-27T00:00:00"/>
    <d v="2025-03-27T11:51:06"/>
    <n v="2039"/>
    <s v="610429"/>
    <s v="Sprinter"/>
    <n v="50"/>
    <n v="50"/>
    <s v="4366XC"/>
    <n v="1"/>
    <n v="150"/>
    <b v="1"/>
    <b v="0"/>
    <b v="0"/>
    <n v="231"/>
    <n v="0"/>
    <s v=""/>
    <s v=""/>
    <n v="50"/>
    <n v="2936"/>
    <x v="6"/>
    <n v="2936"/>
    <s v="Escobedo"/>
    <s v="Hidalgo"/>
    <x v="19"/>
    <x v="2"/>
    <d v="2025-03-01T00:00:00"/>
    <x v="12"/>
    <x v="3"/>
  </r>
  <r>
    <x v="392"/>
    <x v="0"/>
    <n v="3"/>
    <d v="2025-03-27T00:00:00"/>
    <d v="2025-03-27T00:00:00"/>
    <d v="2025-03-27T00:00:00"/>
    <d v="2025-03-27T00:00:00"/>
    <d v="2025-03-27T11:51:41"/>
    <n v="2039"/>
    <s v="610429"/>
    <s v="Sprinter"/>
    <n v="50"/>
    <n v="50"/>
    <s v="4366XC"/>
    <n v="1"/>
    <n v="150"/>
    <b v="1"/>
    <b v="0"/>
    <b v="0"/>
    <n v="231"/>
    <n v="0"/>
    <s v=""/>
    <s v=""/>
    <n v="50"/>
    <n v="359"/>
    <x v="6"/>
    <n v="359"/>
    <s v="Escobedo"/>
    <s v="Escobedo"/>
    <x v="0"/>
    <x v="2"/>
    <d v="2025-03-01T00:00:00"/>
    <x v="12"/>
    <x v="3"/>
  </r>
  <r>
    <x v="393"/>
    <x v="0"/>
    <n v="3"/>
    <d v="2025-03-27T00:00:00"/>
    <d v="2025-03-27T00:00:00"/>
    <d v="2025-03-27T00:00:00"/>
    <d v="2025-03-27T00:00:00"/>
    <d v="2025-03-27T11:52:22"/>
    <n v="2039"/>
    <s v="610429"/>
    <s v="Sprinter"/>
    <n v="50"/>
    <n v="50"/>
    <s v="4366XC"/>
    <n v="1"/>
    <n v="150"/>
    <b v="1"/>
    <b v="0"/>
    <b v="0"/>
    <n v="231"/>
    <n v="0"/>
    <s v=""/>
    <s v=""/>
    <n v="50"/>
    <n v="359"/>
    <x v="6"/>
    <n v="359"/>
    <s v="Escobedo"/>
    <s v="Escobedo"/>
    <x v="0"/>
    <x v="2"/>
    <d v="2025-03-01T00:00:00"/>
    <x v="12"/>
    <x v="3"/>
  </r>
  <r>
    <x v="394"/>
    <x v="0"/>
    <n v="3"/>
    <d v="2025-03-27T00:00:00"/>
    <d v="2025-03-27T00:00:00"/>
    <d v="2025-03-27T00:00:00"/>
    <d v="2025-03-27T00:00:00"/>
    <d v="2025-03-27T11:53:03"/>
    <n v="2039"/>
    <s v="610429"/>
    <s v="Sprinter"/>
    <n v="50"/>
    <n v="50"/>
    <s v="4366XC"/>
    <n v="1"/>
    <n v="150"/>
    <b v="1"/>
    <b v="0"/>
    <b v="0"/>
    <n v="231"/>
    <n v="0"/>
    <s v=""/>
    <s v=""/>
    <n v="50"/>
    <n v="359"/>
    <x v="6"/>
    <n v="359"/>
    <s v="Escobedo"/>
    <s v="Escobedo"/>
    <x v="0"/>
    <x v="2"/>
    <d v="2025-03-01T00:00:00"/>
    <x v="12"/>
    <x v="3"/>
  </r>
  <r>
    <x v="395"/>
    <x v="0"/>
    <n v="3"/>
    <d v="2025-03-28T00:00:00"/>
    <d v="2025-03-28T00:00:00"/>
    <d v="2025-03-28T00:00:00"/>
    <d v="2025-03-28T00:00:00"/>
    <d v="2025-03-28T00:00:00"/>
    <n v="2192"/>
    <s v="610429"/>
    <s v="Sprinter"/>
    <n v="50"/>
    <n v="50"/>
    <s v="6552XC"/>
    <n v="1"/>
    <n v="150"/>
    <b v="1"/>
    <b v="0"/>
    <b v="0"/>
    <n v="231"/>
    <n v="0"/>
    <s v=""/>
    <s v=""/>
    <n v="50"/>
    <n v="966"/>
    <x v="6"/>
    <n v="966"/>
    <s v="Escobedo"/>
    <s v="Cienega de Flores"/>
    <x v="28"/>
    <x v="2"/>
    <d v="2025-03-01T00:00:00"/>
    <x v="12"/>
    <x v="3"/>
  </r>
  <r>
    <x v="396"/>
    <x v="0"/>
    <n v="3"/>
    <d v="2025-03-28T00:00:00"/>
    <d v="2025-03-28T00:00:00"/>
    <d v="2025-03-28T00:00:00"/>
    <d v="2025-03-28T00:00:00"/>
    <d v="2025-03-28T00:00:00"/>
    <n v="2192"/>
    <s v="610429"/>
    <s v="Sprinter"/>
    <n v="50"/>
    <n v="50"/>
    <s v="6552XC"/>
    <n v="1"/>
    <n v="150"/>
    <b v="1"/>
    <b v="0"/>
    <b v="0"/>
    <n v="231"/>
    <n v="0"/>
    <s v=""/>
    <s v=""/>
    <n v="50"/>
    <n v="359"/>
    <x v="6"/>
    <n v="359"/>
    <s v="Escobedo"/>
    <s v="Escobedo"/>
    <x v="0"/>
    <x v="2"/>
    <d v="2025-03-01T00:00:00"/>
    <x v="12"/>
    <x v="3"/>
  </r>
  <r>
    <x v="397"/>
    <x v="0"/>
    <n v="3"/>
    <d v="2025-03-28T00:00:00"/>
    <d v="2025-03-28T00:00:00"/>
    <d v="2025-03-28T00:00:00"/>
    <d v="2025-03-28T00:00:00"/>
    <d v="2025-03-28T00:00:00"/>
    <n v="2192"/>
    <s v="610429"/>
    <s v="Sprinter"/>
    <n v="50"/>
    <n v="50"/>
    <s v="6552XC"/>
    <n v="1"/>
    <n v="150"/>
    <b v="1"/>
    <b v="0"/>
    <b v="0"/>
    <n v="231"/>
    <n v="0"/>
    <s v=""/>
    <s v=""/>
    <n v="50"/>
    <n v="2936"/>
    <x v="6"/>
    <n v="2936"/>
    <s v="Escobedo"/>
    <s v="Hidalgo"/>
    <x v="19"/>
    <x v="2"/>
    <d v="2025-03-01T00:00:00"/>
    <x v="12"/>
    <x v="3"/>
  </r>
  <r>
    <x v="398"/>
    <x v="0"/>
    <n v="3"/>
    <d v="2025-03-03T00:00:00"/>
    <d v="2025-03-03T00:00:00"/>
    <d v="2025-03-03T00:00:00"/>
    <d v="2025-03-03T00:00:00"/>
    <d v="2025-03-03T15:01:44"/>
    <n v="2050"/>
    <s v="626955"/>
    <s v="Sprinter"/>
    <n v="50"/>
    <n v="50"/>
    <s v="6551XC"/>
    <n v="1"/>
    <n v="150"/>
    <b v="1"/>
    <b v="0"/>
    <b v="0"/>
    <n v="231"/>
    <n v="0"/>
    <s v=""/>
    <s v=""/>
    <n v="50"/>
    <n v="2936"/>
    <x v="6"/>
    <n v="2936"/>
    <s v="Escobedo"/>
    <s v="Hidalgo"/>
    <x v="19"/>
    <x v="0"/>
    <d v="2025-03-01T00:00:00"/>
    <x v="12"/>
    <x v="3"/>
  </r>
  <r>
    <x v="399"/>
    <x v="0"/>
    <n v="3"/>
    <d v="2025-03-28T00:00:00"/>
    <d v="2025-03-28T00:00:00"/>
    <d v="2025-03-28T00:00:00"/>
    <d v="2025-03-28T00:00:00"/>
    <d v="2025-03-28T00:00:00"/>
    <n v="2192"/>
    <s v="610429"/>
    <s v="Sprinter"/>
    <n v="50"/>
    <n v="50"/>
    <s v="6552XC"/>
    <n v="1"/>
    <n v="150"/>
    <b v="1"/>
    <b v="0"/>
    <b v="0"/>
    <n v="231"/>
    <n v="0"/>
    <s v=""/>
    <s v=""/>
    <n v="50"/>
    <n v="359"/>
    <x v="6"/>
    <n v="359"/>
    <s v="Escobedo"/>
    <s v="Escobedo"/>
    <x v="0"/>
    <x v="2"/>
    <d v="2025-03-01T00:00:00"/>
    <x v="12"/>
    <x v="3"/>
  </r>
  <r>
    <x v="400"/>
    <x v="0"/>
    <n v="3"/>
    <d v="2025-03-28T00:00:00"/>
    <d v="2025-03-28T00:00:00"/>
    <d v="2025-03-28T00:00:00"/>
    <d v="2025-03-28T00:00:00"/>
    <d v="2025-03-28T21:17:50"/>
    <n v="2039"/>
    <s v="610429"/>
    <s v="Sprinter"/>
    <n v="50"/>
    <n v="50"/>
    <s v="4366XC"/>
    <n v="1"/>
    <n v="150"/>
    <b v="1"/>
    <b v="0"/>
    <b v="0"/>
    <n v="231"/>
    <n v="0"/>
    <s v=""/>
    <s v=""/>
    <n v="50"/>
    <n v="966"/>
    <x v="6"/>
    <n v="966"/>
    <s v="Escobedo"/>
    <s v="Cienega de Flores"/>
    <x v="28"/>
    <x v="2"/>
    <d v="2025-03-01T00:00:00"/>
    <x v="12"/>
    <x v="3"/>
  </r>
  <r>
    <x v="401"/>
    <x v="0"/>
    <n v="3"/>
    <d v="2025-03-28T00:00:00"/>
    <d v="2025-03-28T00:00:00"/>
    <d v="2025-03-28T00:00:00"/>
    <d v="2025-03-28T00:00:00"/>
    <d v="2025-03-28T21:18:18"/>
    <n v="2039"/>
    <s v="610429"/>
    <s v="Sprinter"/>
    <n v="50"/>
    <n v="50"/>
    <s v="4366XC"/>
    <n v="1"/>
    <n v="150"/>
    <b v="1"/>
    <b v="0"/>
    <b v="0"/>
    <n v="231"/>
    <n v="0"/>
    <s v=""/>
    <s v=""/>
    <n v="50"/>
    <n v="359"/>
    <x v="6"/>
    <n v="359"/>
    <s v="Escobedo"/>
    <s v="Escobedo"/>
    <x v="0"/>
    <x v="2"/>
    <d v="2025-03-01T00:00:00"/>
    <x v="12"/>
    <x v="3"/>
  </r>
  <r>
    <x v="402"/>
    <x v="0"/>
    <n v="3"/>
    <d v="2025-03-28T00:00:00"/>
    <d v="2025-03-28T00:00:00"/>
    <d v="2025-03-28T00:00:00"/>
    <d v="2025-03-28T00:00:00"/>
    <d v="2025-03-28T21:18:45"/>
    <n v="2039"/>
    <s v="610429"/>
    <s v="Sprinter"/>
    <n v="50"/>
    <n v="50"/>
    <s v="4366XC"/>
    <n v="1"/>
    <n v="150"/>
    <b v="1"/>
    <b v="0"/>
    <b v="0"/>
    <n v="231"/>
    <n v="0"/>
    <s v=""/>
    <s v=""/>
    <n v="50"/>
    <n v="2936"/>
    <x v="6"/>
    <n v="2936"/>
    <s v="Escobedo"/>
    <s v="Hidalgo"/>
    <x v="19"/>
    <x v="2"/>
    <d v="2025-03-01T00:00:00"/>
    <x v="12"/>
    <x v="3"/>
  </r>
  <r>
    <x v="403"/>
    <x v="0"/>
    <n v="3"/>
    <d v="2025-03-29T00:00:00"/>
    <d v="2025-03-29T00:00:00"/>
    <d v="2025-03-29T00:00:00"/>
    <d v="2025-03-29T00:00:00"/>
    <d v="2025-03-29T13:25:10"/>
    <n v="2039"/>
    <s v="610429"/>
    <s v="Sprinter"/>
    <n v="50"/>
    <n v="50"/>
    <s v="4366XC"/>
    <n v="1"/>
    <n v="150"/>
    <b v="1"/>
    <b v="0"/>
    <b v="0"/>
    <n v="231"/>
    <n v="0"/>
    <s v=""/>
    <s v=""/>
    <n v="50"/>
    <n v="2936"/>
    <x v="6"/>
    <n v="2936"/>
    <s v="Escobedo"/>
    <s v="Hidalgo"/>
    <x v="19"/>
    <x v="2"/>
    <d v="2025-03-01T00:00:00"/>
    <x v="12"/>
    <x v="3"/>
  </r>
  <r>
    <x v="404"/>
    <x v="0"/>
    <n v="3"/>
    <d v="2025-03-03T00:00:00"/>
    <d v="2025-03-03T00:00:00"/>
    <d v="2025-03-03T00:00:00"/>
    <d v="2025-03-03T00:00:00"/>
    <d v="2025-03-04T09:15:24"/>
    <n v="2050"/>
    <s v="626955"/>
    <s v="Sprinter"/>
    <n v="50"/>
    <n v="50"/>
    <s v="6551XC"/>
    <n v="1"/>
    <n v="150"/>
    <b v="1"/>
    <b v="0"/>
    <b v="0"/>
    <n v="231"/>
    <n v="0"/>
    <s v=""/>
    <s v=""/>
    <n v="50"/>
    <n v="359"/>
    <x v="6"/>
    <n v="359"/>
    <s v="Escobedo"/>
    <s v="Escobedo"/>
    <x v="0"/>
    <x v="0"/>
    <d v="2025-03-01T00:00:00"/>
    <x v="12"/>
    <x v="3"/>
  </r>
  <r>
    <x v="405"/>
    <x v="0"/>
    <n v="3"/>
    <d v="2025-03-31T00:00:00"/>
    <d v="2025-03-31T00:00:00"/>
    <d v="2025-03-31T00:00:00"/>
    <d v="2025-03-31T00:00:00"/>
    <d v="2025-03-31T13:29:56"/>
    <n v="2039"/>
    <s v="610429"/>
    <s v="Sprinter"/>
    <n v="50"/>
    <n v="50"/>
    <s v="4366XC"/>
    <n v="1"/>
    <n v="150"/>
    <b v="1"/>
    <b v="0"/>
    <b v="0"/>
    <n v="231"/>
    <n v="0"/>
    <s v=""/>
    <s v=""/>
    <n v="50"/>
    <n v="966"/>
    <x v="6"/>
    <n v="966"/>
    <s v="Escobedo"/>
    <s v="Cienega de Flores"/>
    <x v="28"/>
    <x v="2"/>
    <d v="2025-03-01T00:00:00"/>
    <x v="12"/>
    <x v="3"/>
  </r>
  <r>
    <x v="406"/>
    <x v="0"/>
    <n v="3"/>
    <d v="2025-03-31T00:00:00"/>
    <d v="2025-03-31T00:00:00"/>
    <d v="2025-03-31T00:00:00"/>
    <d v="2025-03-31T00:00:00"/>
    <d v="2025-03-31T13:29:57"/>
    <n v="2039"/>
    <s v="610429"/>
    <s v="Sprinter"/>
    <n v="50"/>
    <n v="50"/>
    <s v="4366XC"/>
    <n v="1"/>
    <n v="150"/>
    <b v="1"/>
    <b v="0"/>
    <b v="0"/>
    <n v="231"/>
    <n v="0"/>
    <s v=""/>
    <s v=""/>
    <n v="50"/>
    <n v="966"/>
    <x v="6"/>
    <n v="966"/>
    <s v="Escobedo"/>
    <s v="Cienega de Flores"/>
    <x v="28"/>
    <x v="2"/>
    <d v="2025-03-01T00:00:00"/>
    <x v="12"/>
    <x v="3"/>
  </r>
  <r>
    <x v="407"/>
    <x v="0"/>
    <n v="3"/>
    <d v="2025-03-31T00:00:00"/>
    <d v="2025-03-31T00:00:00"/>
    <d v="2025-03-31T00:00:00"/>
    <d v="2025-03-31T00:00:00"/>
    <d v="2025-03-31T13:29:57"/>
    <n v="2039"/>
    <s v="610429"/>
    <s v="Sprinter"/>
    <n v="50"/>
    <n v="50"/>
    <s v="4366XC"/>
    <n v="1"/>
    <n v="150"/>
    <b v="1"/>
    <b v="0"/>
    <b v="0"/>
    <n v="231"/>
    <n v="0"/>
    <s v=""/>
    <s v=""/>
    <n v="50"/>
    <n v="2936"/>
    <x v="6"/>
    <n v="2936"/>
    <s v="Escobedo"/>
    <s v="Hidalgo"/>
    <x v="19"/>
    <x v="2"/>
    <d v="2025-03-01T00:00:00"/>
    <x v="12"/>
    <x v="3"/>
  </r>
  <r>
    <x v="408"/>
    <x v="0"/>
    <n v="3"/>
    <d v="2025-03-31T00:00:00"/>
    <d v="2025-03-31T00:00:00"/>
    <d v="2025-03-31T00:00:00"/>
    <d v="2025-03-31T00:00:00"/>
    <d v="2025-03-31T13:29:55"/>
    <n v="2039"/>
    <s v="610429"/>
    <s v="Sprinter"/>
    <n v="50"/>
    <n v="50"/>
    <s v="4366XC"/>
    <n v="1"/>
    <n v="150"/>
    <b v="1"/>
    <b v="0"/>
    <b v="0"/>
    <n v="231"/>
    <n v="0"/>
    <s v=""/>
    <s v=""/>
    <n v="50"/>
    <n v="359"/>
    <x v="6"/>
    <n v="359"/>
    <s v="Escobedo"/>
    <s v="Escobedo"/>
    <x v="0"/>
    <x v="2"/>
    <d v="2025-03-01T00:00:00"/>
    <x v="12"/>
    <x v="3"/>
  </r>
  <r>
    <x v="409"/>
    <x v="0"/>
    <n v="3"/>
    <d v="2025-03-31T00:00:00"/>
    <d v="2025-03-31T00:00:00"/>
    <d v="2025-03-31T00:00:00"/>
    <d v="2025-03-31T00:00:00"/>
    <d v="2025-03-31T18:29:22"/>
    <n v="2039"/>
    <s v="610429"/>
    <s v="Sprinter"/>
    <n v="50"/>
    <n v="50"/>
    <s v="4366XC"/>
    <n v="1"/>
    <n v="150"/>
    <b v="1"/>
    <b v="0"/>
    <b v="0"/>
    <n v="231"/>
    <n v="0"/>
    <s v=""/>
    <s v=""/>
    <n v="50"/>
    <n v="359"/>
    <x v="6"/>
    <n v="359"/>
    <s v="Escobedo"/>
    <s v="Escobedo"/>
    <x v="0"/>
    <x v="2"/>
    <d v="2025-03-01T00:00:00"/>
    <x v="12"/>
    <x v="3"/>
  </r>
  <r>
    <x v="410"/>
    <x v="0"/>
    <n v="3"/>
    <d v="2025-03-04T00:00:00"/>
    <d v="2025-03-04T00:00:00"/>
    <d v="2025-03-04T00:00:00"/>
    <d v="2025-03-04T00:00:00"/>
    <d v="2025-03-04T17:36:35"/>
    <n v="2039"/>
    <s v="610429"/>
    <s v="Sprinter"/>
    <n v="50"/>
    <n v="50"/>
    <s v="4366XC"/>
    <n v="1"/>
    <n v="150"/>
    <b v="1"/>
    <b v="0"/>
    <b v="0"/>
    <n v="231"/>
    <n v="0"/>
    <s v=""/>
    <s v=""/>
    <n v="50"/>
    <n v="2936"/>
    <x v="6"/>
    <n v="2936"/>
    <s v="Escobedo"/>
    <s v="Hidalgo"/>
    <x v="19"/>
    <x v="2"/>
    <d v="2025-03-01T00:00:00"/>
    <x v="12"/>
    <x v="3"/>
  </r>
  <r>
    <x v="411"/>
    <x v="0"/>
    <n v="3"/>
    <d v="2025-03-04T00:00:00"/>
    <d v="2025-03-04T00:00:00"/>
    <d v="2025-03-04T00:00:00"/>
    <d v="2025-03-04T00:00:00"/>
    <d v="2025-03-04T17:37:23"/>
    <n v="2039"/>
    <s v="626955"/>
    <s v="Sprinter"/>
    <n v="50"/>
    <n v="50"/>
    <s v="4366XC"/>
    <n v="1"/>
    <n v="150"/>
    <b v="1"/>
    <b v="0"/>
    <b v="0"/>
    <n v="231"/>
    <n v="0"/>
    <s v=""/>
    <s v=""/>
    <n v="50"/>
    <n v="359"/>
    <x v="6"/>
    <n v="359"/>
    <s v="Escobedo"/>
    <s v="Escobedo"/>
    <x v="0"/>
    <x v="0"/>
    <d v="2025-03-01T00:00:00"/>
    <x v="12"/>
    <x v="3"/>
  </r>
  <r>
    <x v="412"/>
    <x v="0"/>
    <n v="3"/>
    <d v="2025-03-04T00:00:00"/>
    <d v="2025-03-04T00:00:00"/>
    <d v="2025-03-04T00:00:00"/>
    <d v="2025-03-04T00:00:00"/>
    <d v="2025-03-04T20:34:14"/>
    <n v="2039"/>
    <s v="626955"/>
    <s v="Sprinter"/>
    <n v="50"/>
    <n v="50"/>
    <s v="4366XC"/>
    <n v="1"/>
    <n v="150"/>
    <b v="1"/>
    <b v="0"/>
    <b v="0"/>
    <n v="231"/>
    <n v="0"/>
    <s v=""/>
    <s v=""/>
    <n v="50"/>
    <n v="359"/>
    <x v="6"/>
    <n v="359"/>
    <s v="Escobedo"/>
    <s v="Escobedo"/>
    <x v="0"/>
    <x v="0"/>
    <d v="2025-03-01T00:00:00"/>
    <x v="12"/>
    <x v="3"/>
  </r>
  <r>
    <x v="413"/>
    <x v="0"/>
    <n v="3"/>
    <d v="2025-03-04T00:00:00"/>
    <d v="2025-03-04T00:00:00"/>
    <d v="2025-03-04T00:00:00"/>
    <d v="2025-03-04T00:00:00"/>
    <d v="2025-03-05T11:57:06"/>
    <n v="2050"/>
    <s v="626955"/>
    <s v="Sprinter"/>
    <n v="50"/>
    <n v="50"/>
    <s v="6551XC"/>
    <n v="1"/>
    <n v="150"/>
    <b v="1"/>
    <b v="0"/>
    <b v="0"/>
    <n v="231"/>
    <n v="0"/>
    <s v=""/>
    <s v=""/>
    <n v="50"/>
    <n v="359"/>
    <x v="6"/>
    <n v="359"/>
    <s v="Escobedo"/>
    <s v="Escobedo"/>
    <x v="0"/>
    <x v="0"/>
    <d v="2025-03-01T00:00:00"/>
    <x v="12"/>
    <x v="3"/>
  </r>
  <r>
    <x v="414"/>
    <x v="0"/>
    <n v="3"/>
    <d v="2025-03-04T00:00:00"/>
    <d v="2025-03-04T00:00:00"/>
    <d v="2025-03-04T00:00:00"/>
    <d v="2025-03-04T00:00:00"/>
    <d v="2025-03-05T11:56:32"/>
    <n v="2050"/>
    <s v="626955"/>
    <s v="Sprinter"/>
    <n v="50"/>
    <n v="50"/>
    <s v="6551XC"/>
    <n v="1"/>
    <n v="150"/>
    <b v="1"/>
    <b v="0"/>
    <b v="0"/>
    <n v="231"/>
    <n v="0"/>
    <s v=""/>
    <s v=""/>
    <n v="50"/>
    <n v="359"/>
    <x v="6"/>
    <n v="359"/>
    <s v="Escobedo"/>
    <s v="Escobedo"/>
    <x v="0"/>
    <x v="0"/>
    <d v="2025-03-01T00:00:00"/>
    <x v="12"/>
    <x v="3"/>
  </r>
  <r>
    <x v="415"/>
    <x v="0"/>
    <n v="3"/>
    <d v="2025-03-04T00:00:00"/>
    <d v="2025-03-04T00:00:00"/>
    <d v="2025-03-04T00:00:00"/>
    <d v="2025-03-04T00:00:00"/>
    <d v="2025-03-05T11:56:33"/>
    <n v="2050"/>
    <s v="626955"/>
    <s v="Sprinter"/>
    <n v="50"/>
    <n v="50"/>
    <s v="6551XC"/>
    <n v="1"/>
    <n v="150"/>
    <b v="1"/>
    <b v="0"/>
    <b v="0"/>
    <n v="231"/>
    <n v="0"/>
    <s v=""/>
    <s v=""/>
    <n v="50"/>
    <n v="2936"/>
    <x v="6"/>
    <n v="2936"/>
    <s v="Escobedo"/>
    <s v="Hidalgo"/>
    <x v="19"/>
    <x v="0"/>
    <d v="2025-03-01T00:00:00"/>
    <x v="12"/>
    <x v="3"/>
  </r>
  <r>
    <x v="416"/>
    <x v="0"/>
    <n v="3"/>
    <d v="2025-03-05T00:00:00"/>
    <d v="2025-03-05T00:00:00"/>
    <d v="2025-03-05T00:00:00"/>
    <d v="2025-03-05T00:00:00"/>
    <d v="2025-03-05T14:13:08"/>
    <n v="2039"/>
    <s v="626955"/>
    <s v="Sprinter"/>
    <n v="50"/>
    <n v="50"/>
    <s v="4366XC"/>
    <n v="1"/>
    <n v="150"/>
    <b v="1"/>
    <b v="0"/>
    <b v="0"/>
    <n v="231"/>
    <n v="0"/>
    <s v=""/>
    <s v=""/>
    <n v="50"/>
    <n v="308"/>
    <x v="18"/>
    <n v="308"/>
    <s v="Escobedo"/>
    <s v="Guadalupe"/>
    <x v="25"/>
    <x v="0"/>
    <d v="2025-03-01T00:00:00"/>
    <x v="12"/>
    <x v="3"/>
  </r>
  <r>
    <x v="417"/>
    <x v="0"/>
    <n v="3"/>
    <d v="2025-03-05T00:00:00"/>
    <d v="2025-03-05T00:00:00"/>
    <d v="2025-03-05T00:00:00"/>
    <d v="2025-03-05T00:00:00"/>
    <d v="2025-03-05T16:29:16"/>
    <n v="2039"/>
    <s v="626955"/>
    <s v="Sprinter"/>
    <n v="50"/>
    <n v="50"/>
    <s v="4366XC"/>
    <n v="1"/>
    <n v="150"/>
    <b v="1"/>
    <b v="0"/>
    <b v="0"/>
    <n v="231"/>
    <n v="0"/>
    <s v=""/>
    <s v=""/>
    <n v="50"/>
    <n v="2936"/>
    <x v="6"/>
    <n v="2936"/>
    <s v="Escobedo"/>
    <s v="Hidalgo"/>
    <x v="19"/>
    <x v="0"/>
    <d v="2025-03-01T00:00:00"/>
    <x v="12"/>
    <x v="3"/>
  </r>
  <r>
    <x v="418"/>
    <x v="0"/>
    <n v="3"/>
    <d v="2025-03-05T00:00:00"/>
    <d v="2025-03-05T00:00:00"/>
    <d v="2025-03-05T00:00:00"/>
    <d v="2025-03-05T00:00:00"/>
    <d v="2025-03-05T16:37:43"/>
    <n v="2039"/>
    <s v="626955"/>
    <s v="Sprinter"/>
    <n v="50"/>
    <n v="50"/>
    <s v="4366XC"/>
    <n v="1"/>
    <n v="150"/>
    <b v="1"/>
    <b v="0"/>
    <b v="0"/>
    <n v="231"/>
    <n v="0"/>
    <s v=""/>
    <s v=""/>
    <n v="50"/>
    <n v="359"/>
    <x v="6"/>
    <n v="359"/>
    <s v="Escobedo"/>
    <s v="Escobedo"/>
    <x v="0"/>
    <x v="0"/>
    <d v="2025-03-01T00:00:00"/>
    <x v="12"/>
    <x v="3"/>
  </r>
  <r>
    <x v="419"/>
    <x v="0"/>
    <n v="3"/>
    <d v="2025-03-05T00:00:00"/>
    <d v="2025-03-05T00:00:00"/>
    <d v="2025-03-05T00:00:00"/>
    <d v="2025-03-05T00:00:00"/>
    <d v="2025-03-05T16:38:24"/>
    <n v="2039"/>
    <s v="626955"/>
    <s v="Sprinter"/>
    <n v="50"/>
    <n v="50"/>
    <s v="4366XC"/>
    <n v="1"/>
    <n v="150"/>
    <b v="1"/>
    <b v="0"/>
    <b v="0"/>
    <n v="231"/>
    <n v="0"/>
    <s v=""/>
    <s v=""/>
    <n v="50"/>
    <n v="359"/>
    <x v="6"/>
    <n v="359"/>
    <s v="Escobedo"/>
    <s v="Escobedo"/>
    <x v="0"/>
    <x v="0"/>
    <d v="2025-03-01T00:00:00"/>
    <x v="12"/>
    <x v="3"/>
  </r>
  <r>
    <x v="420"/>
    <x v="0"/>
    <n v="3"/>
    <d v="2025-03-05T00:00:00"/>
    <d v="2025-03-05T00:00:00"/>
    <d v="2025-03-05T00:00:00"/>
    <d v="2025-03-05T00:00:00"/>
    <d v="2025-03-05T16:39:07"/>
    <n v="2039"/>
    <s v="626955"/>
    <s v="Sprinter"/>
    <n v="50"/>
    <n v="50"/>
    <s v="4366XC"/>
    <n v="1"/>
    <n v="150"/>
    <b v="1"/>
    <b v="0"/>
    <b v="0"/>
    <n v="231"/>
    <n v="0"/>
    <s v=""/>
    <s v=""/>
    <n v="50"/>
    <n v="359"/>
    <x v="6"/>
    <n v="359"/>
    <s v="Escobedo"/>
    <s v="Escobedo"/>
    <x v="0"/>
    <x v="0"/>
    <d v="2025-03-01T00:00:00"/>
    <x v="12"/>
    <x v="3"/>
  </r>
  <r>
    <x v="421"/>
    <x v="0"/>
    <n v="3"/>
    <d v="2025-03-05T00:00:00"/>
    <d v="2025-03-05T00:00:00"/>
    <d v="2025-03-05T00:00:00"/>
    <d v="2025-03-05T00:00:00"/>
    <d v="2025-03-06T10:39:31"/>
    <n v="2039"/>
    <s v="626955"/>
    <s v="Sprinter"/>
    <n v="50"/>
    <n v="50"/>
    <s v="4366XC"/>
    <n v="1"/>
    <n v="150"/>
    <b v="1"/>
    <b v="0"/>
    <b v="0"/>
    <n v="231"/>
    <n v="0"/>
    <s v=""/>
    <s v=""/>
    <n v="50"/>
    <n v="359"/>
    <x v="6"/>
    <n v="359"/>
    <s v="Escobedo"/>
    <s v="Escobedo"/>
    <x v="0"/>
    <x v="0"/>
    <d v="2025-03-01T00:00:00"/>
    <x v="12"/>
    <x v="3"/>
  </r>
  <r>
    <x v="422"/>
    <x v="0"/>
    <n v="3"/>
    <d v="2025-03-05T00:00:00"/>
    <d v="2025-03-05T00:00:00"/>
    <d v="2025-03-05T00:00:00"/>
    <d v="2025-03-05T00:00:00"/>
    <d v="2025-03-06T10:00:01"/>
    <n v="2050"/>
    <s v="626955"/>
    <s v="Sprinter"/>
    <n v="50"/>
    <n v="50"/>
    <s v="6551XC"/>
    <n v="1"/>
    <n v="150"/>
    <b v="1"/>
    <b v="0"/>
    <b v="0"/>
    <n v="231"/>
    <n v="0"/>
    <s v=""/>
    <s v=""/>
    <n v="50"/>
    <n v="359"/>
    <x v="6"/>
    <n v="359"/>
    <s v="Escobedo"/>
    <s v="Escobedo"/>
    <x v="0"/>
    <x v="0"/>
    <d v="2025-03-01T00:00:00"/>
    <x v="12"/>
    <x v="3"/>
  </r>
  <r>
    <x v="423"/>
    <x v="0"/>
    <n v="3"/>
    <d v="2025-03-05T00:00:00"/>
    <d v="2025-03-05T00:00:00"/>
    <d v="2025-03-05T00:00:00"/>
    <d v="2025-03-05T00:00:00"/>
    <d v="2025-03-06T10:00:59"/>
    <n v="2050"/>
    <s v="626955"/>
    <s v="Sprinter"/>
    <n v="50"/>
    <n v="50"/>
    <s v="6551XC"/>
    <n v="1"/>
    <n v="150"/>
    <b v="1"/>
    <b v="0"/>
    <b v="0"/>
    <n v="231"/>
    <n v="0"/>
    <s v=""/>
    <s v=""/>
    <n v="50"/>
    <n v="359"/>
    <x v="6"/>
    <n v="359"/>
    <s v="Escobedo"/>
    <s v="Escobedo"/>
    <x v="0"/>
    <x v="0"/>
    <d v="2025-03-01T00:00:00"/>
    <x v="12"/>
    <x v="3"/>
  </r>
  <r>
    <x v="424"/>
    <x v="0"/>
    <n v="3"/>
    <d v="2025-03-05T00:00:00"/>
    <d v="2025-03-05T00:00:00"/>
    <d v="2025-03-05T00:00:00"/>
    <d v="2025-03-05T00:00:00"/>
    <d v="2025-03-06T10:39:30"/>
    <n v="2050"/>
    <s v="626955"/>
    <s v="Sprinter"/>
    <n v="50"/>
    <n v="50"/>
    <s v="6551XC"/>
    <n v="1"/>
    <n v="150"/>
    <b v="1"/>
    <b v="0"/>
    <b v="0"/>
    <n v="231"/>
    <n v="0"/>
    <s v=""/>
    <s v=""/>
    <n v="50"/>
    <n v="2936"/>
    <x v="6"/>
    <n v="2936"/>
    <s v="Escobedo"/>
    <s v="Hidalgo"/>
    <x v="19"/>
    <x v="0"/>
    <d v="2025-03-01T00:00:00"/>
    <x v="12"/>
    <x v="3"/>
  </r>
  <r>
    <x v="425"/>
    <x v="0"/>
    <n v="3"/>
    <d v="2025-03-08T00:00:00"/>
    <d v="2025-03-08T00:00:00"/>
    <d v="2025-03-08T00:00:00"/>
    <d v="2025-03-08T00:00:00"/>
    <d v="2025-03-10T00:00:00"/>
    <n v="2039"/>
    <s v="610429"/>
    <s v="Sprinter"/>
    <n v="961"/>
    <n v="1059"/>
    <s v="LE28920"/>
    <n v="1"/>
    <n v="964"/>
    <b v="1"/>
    <b v="0"/>
    <b v="0"/>
    <n v="1494"/>
    <n v="0"/>
    <s v=""/>
    <s v=""/>
    <n v="1100"/>
    <n v="8"/>
    <x v="11"/>
    <n v="8"/>
    <s v="Escobedo"/>
    <s v="Cd Sahagún"/>
    <x v="3"/>
    <x v="2"/>
    <d v="2025-03-01T00:00:00"/>
    <x v="12"/>
    <x v="3"/>
  </r>
  <r>
    <x v="426"/>
    <x v="0"/>
    <n v="3"/>
    <d v="2025-03-14T00:00:00"/>
    <d v="2025-03-14T00:00:00"/>
    <d v="2025-03-15T00:00:00"/>
    <d v="2025-03-14T00:00:00"/>
    <d v="2025-03-16T00:00:00"/>
    <n v="2050"/>
    <s v="626955"/>
    <s v="Sprinter"/>
    <n v="961"/>
    <n v="1059"/>
    <s v="6551XC"/>
    <n v="1"/>
    <n v="964"/>
    <b v="1"/>
    <b v="0"/>
    <b v="0"/>
    <n v="1494"/>
    <n v="0"/>
    <s v=""/>
    <s v="FAVOR DE PAGAR 1 ESTANCIA SABADO 15 DE MARZO"/>
    <n v="1100"/>
    <n v="8"/>
    <x v="2"/>
    <n v="8"/>
    <s v="Escobedo"/>
    <s v="Cd Sahagún"/>
    <x v="3"/>
    <x v="0"/>
    <d v="2025-03-01T00:00:00"/>
    <x v="12"/>
    <x v="3"/>
  </r>
  <r>
    <x v="427"/>
    <x v="0"/>
    <n v="3"/>
    <d v="2025-03-20T00:00:00"/>
    <d v="2025-03-20T00:00:00"/>
    <d v="2025-03-18T00:00:00"/>
    <d v="2025-03-17T00:00:00"/>
    <d v="2025-03-21T00:00:00"/>
    <n v="2050"/>
    <s v="626955"/>
    <s v="Sprinter"/>
    <n v="961"/>
    <n v="1059"/>
    <s v="6551XC"/>
    <n v="1"/>
    <n v="964"/>
    <b v="1"/>
    <b v="0"/>
    <b v="0"/>
    <n v="1494"/>
    <n v="0"/>
    <s v=""/>
    <s v="FAVOR DE PAGAR 1 ESTANCIA DOMINGO 16 DE MARZO"/>
    <n v="1100"/>
    <n v="8"/>
    <x v="2"/>
    <n v="8"/>
    <s v="Escobedo"/>
    <s v="Cd Sahagún"/>
    <x v="3"/>
    <x v="0"/>
    <d v="2025-03-01T00:00:00"/>
    <x v="12"/>
    <x v="3"/>
  </r>
  <r>
    <x v="428"/>
    <x v="0"/>
    <n v="3"/>
    <d v="2025-03-21T00:00:00"/>
    <d v="2025-03-21T00:00:00"/>
    <d v="2025-03-21T00:00:00"/>
    <d v="2025-03-21T00:00:00"/>
    <d v="2025-03-21T00:00:00"/>
    <n v="2303"/>
    <s v="626955"/>
    <s v="Sprinter"/>
    <n v="96"/>
    <n v="96"/>
    <s v="7247XC"/>
    <n v="1"/>
    <n v="150"/>
    <b v="1"/>
    <b v="0"/>
    <b v="0"/>
    <n v="356"/>
    <n v="0"/>
    <s v=""/>
    <s v=""/>
    <n v="100"/>
    <n v="1606"/>
    <x v="1"/>
    <n v="1606"/>
    <s v="Cd Sahagún"/>
    <s v="Azcapotzalco"/>
    <x v="30"/>
    <x v="0"/>
    <d v="2025-03-01T00:00:00"/>
    <x v="12"/>
    <x v="3"/>
  </r>
  <r>
    <x v="429"/>
    <x v="0"/>
    <n v="3"/>
    <d v="2025-03-29T00:00:00"/>
    <d v="2025-03-29T00:00:00"/>
    <d v="2025-03-30T00:00:00"/>
    <d v="2025-03-30T00:00:00"/>
    <d v="2025-03-31T00:00:00"/>
    <n v="2050"/>
    <s v="626955"/>
    <s v="Sprinter"/>
    <n v="961"/>
    <n v="0"/>
    <s v="6551XC"/>
    <n v="1"/>
    <n v="964"/>
    <b v="1"/>
    <b v="0"/>
    <b v="0"/>
    <n v="0"/>
    <n v="0"/>
    <s v=""/>
    <s v="Cita en base, 2:00 pm 30 de marzo"/>
    <n v="0"/>
    <n v="8"/>
    <x v="11"/>
    <n v="8"/>
    <s v="Escobedo"/>
    <s v="Cd Sahagún"/>
    <x v="3"/>
    <x v="0"/>
    <d v="2025-03-01T00:00:00"/>
    <x v="12"/>
    <x v="3"/>
  </r>
  <r>
    <x v="430"/>
    <x v="0"/>
    <n v="4"/>
    <d v="2025-04-09T00:00:00"/>
    <d v="2025-04-09T00:00:00"/>
    <d v="2025-04-09T00:00:00"/>
    <d v="2025-04-09T00:00:00"/>
    <d v="2025-04-09T15:06:01"/>
    <n v="2039"/>
    <s v="610429"/>
    <s v="Sprinter"/>
    <n v="50"/>
    <n v="50"/>
    <s v="4366XC"/>
    <n v="1"/>
    <n v="150"/>
    <b v="1"/>
    <b v="0"/>
    <b v="0"/>
    <n v="231"/>
    <n v="0"/>
    <s v=""/>
    <s v=""/>
    <n v="50"/>
    <n v="461"/>
    <x v="6"/>
    <n v="461"/>
    <s v="Escobedo"/>
    <s v="Monterrey"/>
    <x v="7"/>
    <x v="2"/>
    <d v="2025-04-01T00:00:00"/>
    <x v="2"/>
    <x v="3"/>
  </r>
  <r>
    <x v="431"/>
    <x v="0"/>
    <n v="4"/>
    <d v="2025-04-09T00:00:00"/>
    <d v="2025-04-09T00:00:00"/>
    <d v="2025-04-09T00:00:00"/>
    <d v="2025-04-09T00:00:00"/>
    <d v="2025-04-09T15:01:50"/>
    <n v="2039"/>
    <s v="610429"/>
    <s v="Sprinter"/>
    <n v="50"/>
    <n v="50"/>
    <s v="4366XC"/>
    <n v="1"/>
    <n v="150"/>
    <b v="1"/>
    <b v="0"/>
    <b v="0"/>
    <n v="231"/>
    <n v="0"/>
    <s v=""/>
    <s v=""/>
    <n v="50"/>
    <n v="461"/>
    <x v="6"/>
    <n v="461"/>
    <s v="Escobedo"/>
    <s v="Monterrey"/>
    <x v="7"/>
    <x v="2"/>
    <d v="2025-04-01T00:00:00"/>
    <x v="2"/>
    <x v="3"/>
  </r>
  <r>
    <x v="432"/>
    <x v="0"/>
    <n v="4"/>
    <d v="2025-04-09T00:00:00"/>
    <d v="2025-04-09T00:00:00"/>
    <d v="2025-04-09T00:00:00"/>
    <d v="2025-04-09T00:00:00"/>
    <d v="2025-04-09T15:01:48"/>
    <n v="2039"/>
    <s v="610429"/>
    <s v="Sprinter"/>
    <n v="50"/>
    <n v="50"/>
    <s v="4366XC"/>
    <n v="1"/>
    <n v="150"/>
    <b v="1"/>
    <b v="0"/>
    <b v="0"/>
    <n v="231"/>
    <n v="0"/>
    <s v=""/>
    <s v=""/>
    <n v="50"/>
    <n v="359"/>
    <x v="6"/>
    <n v="359"/>
    <s v="Escobedo"/>
    <s v="Escobedo"/>
    <x v="0"/>
    <x v="2"/>
    <d v="2025-04-01T00:00:00"/>
    <x v="2"/>
    <x v="3"/>
  </r>
  <r>
    <x v="433"/>
    <x v="0"/>
    <n v="4"/>
    <d v="2025-04-09T00:00:00"/>
    <d v="2025-04-09T00:00:00"/>
    <d v="2025-04-09T00:00:00"/>
    <d v="2025-04-09T00:00:00"/>
    <d v="2025-04-09T15:01:52"/>
    <n v="2039"/>
    <s v="610429"/>
    <s v="Sprinter"/>
    <n v="50"/>
    <n v="50"/>
    <s v="4366XC"/>
    <n v="1"/>
    <n v="150"/>
    <b v="1"/>
    <b v="0"/>
    <b v="0"/>
    <n v="231"/>
    <n v="0"/>
    <s v=""/>
    <s v=""/>
    <n v="50"/>
    <n v="2936"/>
    <x v="6"/>
    <n v="2936"/>
    <s v="Escobedo"/>
    <s v="Hidalgo"/>
    <x v="19"/>
    <x v="2"/>
    <d v="2025-04-01T00:00:00"/>
    <x v="2"/>
    <x v="3"/>
  </r>
  <r>
    <x v="434"/>
    <x v="0"/>
    <n v="4"/>
    <d v="2025-04-09T00:00:00"/>
    <d v="2025-04-09T00:00:00"/>
    <d v="2025-04-09T00:00:00"/>
    <d v="2025-04-09T00:00:00"/>
    <d v="2025-04-09T15:01:51"/>
    <n v="2039"/>
    <s v="610429"/>
    <s v="Sprinter"/>
    <n v="50"/>
    <n v="50"/>
    <s v="4366XC"/>
    <n v="1"/>
    <n v="150"/>
    <b v="1"/>
    <b v="0"/>
    <b v="0"/>
    <n v="231"/>
    <n v="0"/>
    <s v=""/>
    <s v=""/>
    <n v="50"/>
    <n v="359"/>
    <x v="6"/>
    <n v="359"/>
    <s v="Escobedo"/>
    <s v="Escobedo"/>
    <x v="0"/>
    <x v="2"/>
    <d v="2025-04-01T00:00:00"/>
    <x v="2"/>
    <x v="3"/>
  </r>
  <r>
    <x v="435"/>
    <x v="0"/>
    <n v="4"/>
    <d v="2025-04-09T00:00:00"/>
    <d v="2025-04-09T00:00:00"/>
    <d v="2025-04-09T00:00:00"/>
    <d v="2025-04-09T00:00:00"/>
    <d v="2025-04-09T15:01:50"/>
    <n v="2039"/>
    <s v="610429"/>
    <s v="Sprinter"/>
    <n v="50"/>
    <n v="50"/>
    <s v="4366XC"/>
    <n v="1"/>
    <n v="150"/>
    <b v="1"/>
    <b v="0"/>
    <b v="0"/>
    <n v="231"/>
    <n v="0"/>
    <s v=""/>
    <s v=""/>
    <n v="50"/>
    <n v="359"/>
    <x v="6"/>
    <n v="359"/>
    <s v="Escobedo"/>
    <s v="Escobedo"/>
    <x v="0"/>
    <x v="2"/>
    <d v="2025-04-01T00:00:00"/>
    <x v="2"/>
    <x v="3"/>
  </r>
  <r>
    <x v="436"/>
    <x v="0"/>
    <n v="4"/>
    <d v="2025-04-01T00:00:00"/>
    <d v="2025-04-01T00:00:00"/>
    <d v="2025-04-01T00:00:00"/>
    <d v="2025-04-01T00:00:00"/>
    <d v="2025-04-01T16:49:55"/>
    <n v="2039"/>
    <s v="610429"/>
    <s v="Sprinter"/>
    <n v="50"/>
    <n v="50"/>
    <s v="4366XC"/>
    <n v="1"/>
    <n v="150"/>
    <b v="1"/>
    <b v="0"/>
    <b v="0"/>
    <n v="231"/>
    <n v="0"/>
    <s v=""/>
    <s v=""/>
    <n v="50"/>
    <n v="966"/>
    <x v="6"/>
    <n v="966"/>
    <s v="Escobedo"/>
    <s v="Cienega de Flores"/>
    <x v="28"/>
    <x v="2"/>
    <d v="2025-04-01T00:00:00"/>
    <x v="2"/>
    <x v="3"/>
  </r>
  <r>
    <x v="437"/>
    <x v="0"/>
    <n v="4"/>
    <d v="2025-04-09T00:00:00"/>
    <d v="2025-04-09T00:00:00"/>
    <d v="2025-04-09T00:00:00"/>
    <d v="2025-04-09T00:00:00"/>
    <d v="2025-04-09T15:01:52"/>
    <n v="2039"/>
    <s v="610429"/>
    <s v="Sprinter"/>
    <n v="50"/>
    <n v="50"/>
    <s v="4366XC"/>
    <n v="1"/>
    <n v="150"/>
    <b v="1"/>
    <b v="0"/>
    <b v="0"/>
    <n v="231"/>
    <n v="0"/>
    <s v=""/>
    <s v=""/>
    <n v="50"/>
    <n v="2936"/>
    <x v="6"/>
    <n v="2936"/>
    <s v="Escobedo"/>
    <s v="Hidalgo"/>
    <x v="19"/>
    <x v="2"/>
    <d v="2025-04-01T00:00:00"/>
    <x v="2"/>
    <x v="3"/>
  </r>
  <r>
    <x v="438"/>
    <x v="0"/>
    <n v="4"/>
    <d v="2025-04-10T00:00:00"/>
    <d v="2025-04-10T00:00:00"/>
    <d v="2025-04-10T00:00:00"/>
    <d v="2025-04-10T00:00:00"/>
    <d v="2025-04-10T11:59:10"/>
    <n v="2039"/>
    <s v="610429"/>
    <s v="Sprinter"/>
    <n v="50"/>
    <n v="50"/>
    <s v="4366XC"/>
    <n v="1"/>
    <n v="150"/>
    <b v="1"/>
    <b v="0"/>
    <b v="0"/>
    <n v="231"/>
    <n v="0"/>
    <s v=""/>
    <s v=""/>
    <n v="50"/>
    <n v="359"/>
    <x v="6"/>
    <n v="359"/>
    <s v="Escobedo"/>
    <s v="Escobedo"/>
    <x v="0"/>
    <x v="2"/>
    <d v="2025-04-01T00:00:00"/>
    <x v="2"/>
    <x v="3"/>
  </r>
  <r>
    <x v="439"/>
    <x v="0"/>
    <n v="4"/>
    <d v="2025-04-10T00:00:00"/>
    <d v="2025-04-10T00:00:00"/>
    <d v="2025-04-10T00:00:00"/>
    <d v="2025-04-10T00:00:00"/>
    <d v="2025-04-10T11:59:37"/>
    <n v="2039"/>
    <s v="610429"/>
    <s v="Sprinter"/>
    <n v="50"/>
    <n v="50"/>
    <s v="4366XC"/>
    <n v="1"/>
    <n v="150"/>
    <b v="1"/>
    <b v="0"/>
    <b v="0"/>
    <n v="231"/>
    <n v="0"/>
    <s v=""/>
    <s v=""/>
    <n v="50"/>
    <n v="359"/>
    <x v="6"/>
    <n v="359"/>
    <s v="Escobedo"/>
    <s v="Escobedo"/>
    <x v="0"/>
    <x v="2"/>
    <d v="2025-04-01T00:00:00"/>
    <x v="2"/>
    <x v="3"/>
  </r>
  <r>
    <x v="440"/>
    <x v="0"/>
    <n v="4"/>
    <d v="2025-04-10T00:00:00"/>
    <d v="2025-04-10T00:00:00"/>
    <d v="2025-04-10T00:00:00"/>
    <d v="2025-04-10T00:00:00"/>
    <d v="2025-04-10T12:00:43"/>
    <n v="2039"/>
    <s v="610429"/>
    <s v="Sprinter"/>
    <n v="50"/>
    <n v="50"/>
    <s v="4366XC"/>
    <n v="1"/>
    <n v="150"/>
    <b v="1"/>
    <b v="0"/>
    <b v="0"/>
    <n v="231"/>
    <n v="0"/>
    <s v=""/>
    <s v=""/>
    <n v="50"/>
    <n v="2936"/>
    <x v="6"/>
    <n v="2936"/>
    <s v="Escobedo"/>
    <s v="Hidalgo"/>
    <x v="19"/>
    <x v="2"/>
    <d v="2025-04-01T00:00:00"/>
    <x v="2"/>
    <x v="3"/>
  </r>
  <r>
    <x v="441"/>
    <x v="0"/>
    <n v="4"/>
    <d v="2025-04-10T00:00:00"/>
    <d v="2025-04-10T00:00:00"/>
    <d v="2025-04-10T00:00:00"/>
    <d v="2025-04-10T00:00:00"/>
    <d v="2025-04-10T12:02:30"/>
    <n v="2039"/>
    <s v="610429"/>
    <s v="Sprinter"/>
    <n v="50"/>
    <n v="50"/>
    <s v="4366XC"/>
    <n v="1"/>
    <n v="150"/>
    <b v="1"/>
    <b v="0"/>
    <b v="0"/>
    <n v="231"/>
    <n v="0"/>
    <s v=""/>
    <s v=""/>
    <n v="50"/>
    <n v="2936"/>
    <x v="6"/>
    <n v="2936"/>
    <s v="Escobedo"/>
    <s v="Hidalgo"/>
    <x v="19"/>
    <x v="2"/>
    <d v="2025-04-01T00:00:00"/>
    <x v="2"/>
    <x v="3"/>
  </r>
  <r>
    <x v="442"/>
    <x v="0"/>
    <n v="4"/>
    <d v="2025-04-01T00:00:00"/>
    <d v="2025-04-01T00:00:00"/>
    <d v="2025-04-01T00:00:00"/>
    <d v="2025-04-01T00:00:00"/>
    <d v="2025-04-01T16:50:54"/>
    <n v="2039"/>
    <s v="610429"/>
    <s v="Sprinter"/>
    <n v="50"/>
    <n v="50"/>
    <s v="4366XC"/>
    <n v="1"/>
    <n v="150"/>
    <b v="1"/>
    <b v="0"/>
    <b v="0"/>
    <n v="231"/>
    <n v="0"/>
    <s v=""/>
    <s v=""/>
    <n v="50"/>
    <n v="966"/>
    <x v="6"/>
    <n v="966"/>
    <s v="Escobedo"/>
    <s v="Cienega de Flores"/>
    <x v="28"/>
    <x v="2"/>
    <d v="2025-04-01T00:00:00"/>
    <x v="2"/>
    <x v="3"/>
  </r>
  <r>
    <x v="443"/>
    <x v="0"/>
    <n v="4"/>
    <d v="2025-04-11T00:00:00"/>
    <d v="2025-04-11T00:00:00"/>
    <d v="2025-04-11T00:00:00"/>
    <d v="2025-04-11T00:00:00"/>
    <d v="2025-04-11T00:00:00"/>
    <n v="2039"/>
    <s v="610429"/>
    <s v="Sprinter"/>
    <n v="50"/>
    <n v="50"/>
    <s v="4366XC"/>
    <n v="1"/>
    <n v="150"/>
    <b v="1"/>
    <b v="0"/>
    <b v="0"/>
    <n v="231"/>
    <n v="0"/>
    <s v=""/>
    <s v=""/>
    <n v="50"/>
    <n v="359"/>
    <x v="6"/>
    <n v="359"/>
    <s v="Escobedo"/>
    <s v="Escobedo"/>
    <x v="0"/>
    <x v="2"/>
    <d v="2025-04-01T00:00:00"/>
    <x v="2"/>
    <x v="3"/>
  </r>
  <r>
    <x v="444"/>
    <x v="0"/>
    <n v="4"/>
    <d v="2025-04-11T00:00:00"/>
    <d v="2025-04-11T00:00:00"/>
    <d v="2025-04-12T00:00:00"/>
    <d v="2025-04-11T00:00:00"/>
    <d v="2025-04-12T00:00:00"/>
    <n v="2039"/>
    <s v="610429"/>
    <s v="Sprinter"/>
    <n v="1052"/>
    <n v="1052"/>
    <s v="LE28920"/>
    <n v="1"/>
    <n v="1076"/>
    <b v="1"/>
    <b v="0"/>
    <b v="0"/>
    <n v="1494"/>
    <n v="0"/>
    <s v=""/>
    <s v=""/>
    <n v="1100"/>
    <n v="336"/>
    <x v="4"/>
    <n v="336"/>
    <s v="Escobedo"/>
    <s v="Culiacan"/>
    <x v="24"/>
    <x v="2"/>
    <d v="2025-04-01T00:00:00"/>
    <x v="2"/>
    <x v="3"/>
  </r>
  <r>
    <x v="445"/>
    <x v="0"/>
    <n v="4"/>
    <d v="2025-04-11T00:00:00"/>
    <d v="2025-04-11T00:00:00"/>
    <d v="2025-04-14T00:00:00"/>
    <d v="2025-04-13T00:00:00"/>
    <d v="2025-04-13T00:00:00"/>
    <n v="2039"/>
    <s v="610429"/>
    <s v="Sprinter"/>
    <n v="1264"/>
    <n v="1264"/>
    <s v="4366XC"/>
    <n v="1"/>
    <n v="1264"/>
    <b v="1"/>
    <b v="0"/>
    <b v="0"/>
    <n v="1746"/>
    <n v="0"/>
    <s v=""/>
    <s v=""/>
    <n v="1300"/>
    <n v="2737"/>
    <x v="4"/>
    <n v="2737"/>
    <s v="Escobedo"/>
    <s v="Tepotzotlan"/>
    <x v="31"/>
    <x v="2"/>
    <d v="2025-04-01T00:00:00"/>
    <x v="2"/>
    <x v="3"/>
  </r>
  <r>
    <x v="446"/>
    <x v="0"/>
    <n v="4"/>
    <d v="2025-04-01T00:00:00"/>
    <d v="2025-04-01T00:00:00"/>
    <d v="2025-04-01T00:00:00"/>
    <d v="2025-04-01T00:00:00"/>
    <d v="2025-04-01T17:51:05"/>
    <n v="2039"/>
    <s v="610429"/>
    <s v="Sprinter"/>
    <n v="50"/>
    <n v="50"/>
    <s v="4366XC"/>
    <n v="1"/>
    <n v="150"/>
    <b v="1"/>
    <b v="0"/>
    <b v="0"/>
    <n v="231"/>
    <n v="0"/>
    <s v=""/>
    <s v=""/>
    <n v="50"/>
    <n v="359"/>
    <x v="6"/>
    <n v="359"/>
    <s v="Escobedo"/>
    <s v="Escobedo"/>
    <x v="0"/>
    <x v="2"/>
    <d v="2025-04-01T00:00:00"/>
    <x v="2"/>
    <x v="3"/>
  </r>
  <r>
    <x v="447"/>
    <x v="0"/>
    <n v="4"/>
    <d v="2025-04-14T00:00:00"/>
    <d v="2025-04-14T00:00:00"/>
    <d v="2025-04-14T00:00:00"/>
    <d v="2025-04-14T00:00:00"/>
    <d v="2025-04-14T00:00:00"/>
    <n v="2039"/>
    <s v="610429"/>
    <s v="Sprinter"/>
    <n v="50"/>
    <n v="50"/>
    <s v="4366XC"/>
    <n v="1"/>
    <n v="150"/>
    <b v="1"/>
    <b v="0"/>
    <b v="0"/>
    <n v="231"/>
    <n v="0"/>
    <s v=""/>
    <s v=""/>
    <n v="50"/>
    <n v="2936"/>
    <x v="6"/>
    <n v="2936"/>
    <s v="Escobedo"/>
    <s v="Hidalgo"/>
    <x v="19"/>
    <x v="2"/>
    <d v="2025-04-01T00:00:00"/>
    <x v="2"/>
    <x v="3"/>
  </r>
  <r>
    <x v="448"/>
    <x v="0"/>
    <n v="4"/>
    <d v="2025-04-14T00:00:00"/>
    <d v="2025-04-14T00:00:00"/>
    <d v="2025-04-14T00:00:00"/>
    <d v="2025-04-14T00:00:00"/>
    <d v="2025-04-14T00:00:00"/>
    <n v="2039"/>
    <s v="610429"/>
    <s v="Sprinter"/>
    <n v="50"/>
    <n v="50"/>
    <s v="4366XC"/>
    <n v="1"/>
    <n v="150"/>
    <b v="1"/>
    <b v="0"/>
    <b v="0"/>
    <n v="231"/>
    <n v="0"/>
    <s v=""/>
    <s v=""/>
    <n v="50"/>
    <n v="359"/>
    <x v="6"/>
    <n v="359"/>
    <s v="Escobedo"/>
    <s v="Escobedo"/>
    <x v="0"/>
    <x v="2"/>
    <d v="2025-04-01T00:00:00"/>
    <x v="2"/>
    <x v="3"/>
  </r>
  <r>
    <x v="449"/>
    <x v="0"/>
    <n v="4"/>
    <d v="2025-04-14T00:00:00"/>
    <d v="2025-04-14T00:00:00"/>
    <d v="2025-04-14T00:00:00"/>
    <d v="2025-04-14T00:00:00"/>
    <d v="2025-04-14T00:00:00"/>
    <n v="2039"/>
    <s v="610429"/>
    <s v="Sprinter"/>
    <n v="50"/>
    <n v="50"/>
    <s v="4366XC"/>
    <n v="1"/>
    <n v="150"/>
    <b v="1"/>
    <b v="0"/>
    <b v="0"/>
    <n v="231"/>
    <n v="0"/>
    <s v=""/>
    <s v=""/>
    <n v="50"/>
    <n v="2936"/>
    <x v="6"/>
    <n v="2936"/>
    <s v="Escobedo"/>
    <s v="Hidalgo"/>
    <x v="19"/>
    <x v="2"/>
    <d v="2025-04-01T00:00:00"/>
    <x v="2"/>
    <x v="3"/>
  </r>
  <r>
    <x v="450"/>
    <x v="0"/>
    <n v="4"/>
    <d v="2025-04-01T00:00:00"/>
    <d v="2025-04-01T00:00:00"/>
    <d v="2025-04-01T00:00:00"/>
    <d v="2025-04-01T00:00:00"/>
    <d v="2025-04-01T17:51:54"/>
    <n v="2039"/>
    <s v="610429"/>
    <s v="Sprinter"/>
    <n v="50"/>
    <n v="50"/>
    <s v="4366XC"/>
    <n v="1"/>
    <n v="150"/>
    <b v="1"/>
    <b v="0"/>
    <b v="0"/>
    <n v="231"/>
    <n v="0"/>
    <s v=""/>
    <s v=""/>
    <n v="50"/>
    <n v="2936"/>
    <x v="6"/>
    <n v="2936"/>
    <s v="Escobedo"/>
    <s v="Hidalgo"/>
    <x v="19"/>
    <x v="2"/>
    <d v="2025-04-01T00:00:00"/>
    <x v="2"/>
    <x v="3"/>
  </r>
  <r>
    <x v="451"/>
    <x v="0"/>
    <n v="4"/>
    <d v="2025-04-15T00:00:00"/>
    <d v="2025-04-15T00:00:00"/>
    <d v="2025-04-15T00:00:00"/>
    <d v="2025-04-15T00:00:00"/>
    <d v="2025-04-16T12:29:57"/>
    <n v="2039"/>
    <s v="610429"/>
    <s v="Sprinter"/>
    <n v="50"/>
    <n v="50"/>
    <s v="LE28920"/>
    <n v="1"/>
    <n v="150"/>
    <b v="1"/>
    <b v="0"/>
    <b v="0"/>
    <n v="231"/>
    <n v="0"/>
    <s v=""/>
    <s v=""/>
    <n v="50"/>
    <n v="359"/>
    <x v="18"/>
    <n v="359"/>
    <s v="Escobedo"/>
    <s v="Escobedo"/>
    <x v="0"/>
    <x v="2"/>
    <d v="2025-04-01T00:00:00"/>
    <x v="2"/>
    <x v="3"/>
  </r>
  <r>
    <x v="452"/>
    <x v="0"/>
    <n v="4"/>
    <d v="2025-04-15T00:00:00"/>
    <d v="2025-04-15T00:00:00"/>
    <d v="2025-04-15T00:00:00"/>
    <d v="2025-04-15T00:00:00"/>
    <d v="2025-04-16T12:30:01"/>
    <n v="2039"/>
    <s v="610429"/>
    <s v="Sprinter"/>
    <n v="50"/>
    <n v="50"/>
    <s v="LE28920"/>
    <n v="1"/>
    <n v="150"/>
    <b v="1"/>
    <b v="0"/>
    <b v="0"/>
    <n v="231"/>
    <n v="0"/>
    <s v=""/>
    <s v=""/>
    <n v="50"/>
    <n v="359"/>
    <x v="18"/>
    <n v="359"/>
    <s v="Escobedo"/>
    <s v="Escobedo"/>
    <x v="0"/>
    <x v="2"/>
    <d v="2025-04-01T00:00:00"/>
    <x v="2"/>
    <x v="3"/>
  </r>
  <r>
    <x v="453"/>
    <x v="0"/>
    <n v="4"/>
    <d v="2025-04-15T00:00:00"/>
    <d v="2025-04-15T00:00:00"/>
    <d v="2025-04-15T00:00:00"/>
    <d v="2025-04-15T00:00:00"/>
    <d v="2025-04-16T12:30:00"/>
    <n v="2039"/>
    <s v="610429"/>
    <s v="Sprinter"/>
    <n v="50"/>
    <n v="50"/>
    <s v="LE28920"/>
    <n v="1"/>
    <n v="150"/>
    <b v="1"/>
    <b v="0"/>
    <b v="0"/>
    <n v="231"/>
    <n v="0"/>
    <s v=""/>
    <s v=""/>
    <n v="50"/>
    <n v="359"/>
    <x v="18"/>
    <n v="359"/>
    <s v="Escobedo"/>
    <s v="Escobedo"/>
    <x v="0"/>
    <x v="2"/>
    <d v="2025-04-01T00:00:00"/>
    <x v="2"/>
    <x v="3"/>
  </r>
  <r>
    <x v="454"/>
    <x v="0"/>
    <n v="4"/>
    <d v="2025-04-15T00:00:00"/>
    <d v="2025-04-15T00:00:00"/>
    <d v="2025-04-15T00:00:00"/>
    <d v="2025-04-15T00:00:00"/>
    <d v="2025-04-16T12:29:59"/>
    <n v="2039"/>
    <s v="610429"/>
    <s v="Sprinter"/>
    <n v="50"/>
    <n v="50"/>
    <s v="LE28920"/>
    <n v="1"/>
    <n v="150"/>
    <b v="1"/>
    <b v="0"/>
    <b v="0"/>
    <n v="231"/>
    <n v="0"/>
    <s v=""/>
    <s v=""/>
    <n v="50"/>
    <n v="2936"/>
    <x v="18"/>
    <n v="2936"/>
    <s v="Escobedo"/>
    <s v="Hidalgo"/>
    <x v="19"/>
    <x v="2"/>
    <d v="2025-04-01T00:00:00"/>
    <x v="2"/>
    <x v="3"/>
  </r>
  <r>
    <x v="455"/>
    <x v="0"/>
    <n v="4"/>
    <d v="2025-04-16T00:00:00"/>
    <d v="2025-04-16T00:00:00"/>
    <d v="2025-04-16T00:00:00"/>
    <d v="2025-04-16T00:00:00"/>
    <d v="2025-04-16T12:29:58"/>
    <n v="2039"/>
    <s v="610429"/>
    <s v="Sprinter"/>
    <n v="50"/>
    <n v="50"/>
    <s v="LE28920"/>
    <n v="1"/>
    <n v="150"/>
    <b v="1"/>
    <b v="0"/>
    <b v="0"/>
    <n v="231"/>
    <n v="0"/>
    <s v=""/>
    <s v=""/>
    <n v="50"/>
    <n v="359"/>
    <x v="18"/>
    <n v="359"/>
    <s v="Escobedo"/>
    <s v="Escobedo"/>
    <x v="0"/>
    <x v="2"/>
    <d v="2025-04-01T00:00:00"/>
    <x v="2"/>
    <x v="3"/>
  </r>
  <r>
    <x v="456"/>
    <x v="0"/>
    <n v="4"/>
    <d v="2025-04-16T00:00:00"/>
    <d v="2025-04-16T00:00:00"/>
    <d v="2025-04-16T00:00:00"/>
    <d v="2025-04-16T00:00:00"/>
    <d v="2025-04-16T12:29:56"/>
    <n v="2039"/>
    <s v="610429"/>
    <s v="Sprinter"/>
    <n v="50"/>
    <n v="50"/>
    <s v="LE28920"/>
    <n v="1"/>
    <n v="150"/>
    <b v="1"/>
    <b v="0"/>
    <b v="0"/>
    <n v="231"/>
    <n v="0"/>
    <s v=""/>
    <s v=""/>
    <n v="50"/>
    <n v="359"/>
    <x v="18"/>
    <n v="359"/>
    <s v="Escobedo"/>
    <s v="Escobedo"/>
    <x v="0"/>
    <x v="2"/>
    <d v="2025-04-01T00:00:00"/>
    <x v="2"/>
    <x v="3"/>
  </r>
  <r>
    <x v="457"/>
    <x v="0"/>
    <n v="4"/>
    <d v="2025-04-16T00:00:00"/>
    <d v="2025-04-16T00:00:00"/>
    <d v="2025-04-16T00:00:00"/>
    <d v="2025-04-16T00:00:00"/>
    <d v="2025-04-17T14:26:56"/>
    <n v="2039"/>
    <s v="610429"/>
    <s v="Sprinter"/>
    <n v="50"/>
    <n v="50"/>
    <s v="LE28920"/>
    <n v="1"/>
    <n v="150"/>
    <b v="1"/>
    <b v="0"/>
    <b v="0"/>
    <n v="231"/>
    <n v="0"/>
    <s v=""/>
    <s v=""/>
    <n v="50"/>
    <n v="2936"/>
    <x v="18"/>
    <n v="2936"/>
    <s v="Escobedo"/>
    <s v="Hidalgo"/>
    <x v="19"/>
    <x v="2"/>
    <d v="2025-04-01T00:00:00"/>
    <x v="2"/>
    <x v="3"/>
  </r>
  <r>
    <x v="458"/>
    <x v="0"/>
    <n v="4"/>
    <d v="2025-04-16T00:00:00"/>
    <d v="2025-04-16T00:00:00"/>
    <d v="2025-04-16T00:00:00"/>
    <d v="2025-04-16T00:00:00"/>
    <d v="2025-04-17T14:28:02"/>
    <n v="2039"/>
    <s v="610429"/>
    <s v="Sprinter"/>
    <n v="50"/>
    <n v="50"/>
    <s v="LE28920"/>
    <n v="1"/>
    <n v="150"/>
    <b v="1"/>
    <b v="0"/>
    <b v="0"/>
    <n v="231"/>
    <n v="0"/>
    <s v=""/>
    <s v=""/>
    <n v="50"/>
    <n v="359"/>
    <x v="18"/>
    <n v="359"/>
    <s v="Escobedo"/>
    <s v="Escobedo"/>
    <x v="0"/>
    <x v="2"/>
    <d v="2025-04-01T00:00:00"/>
    <x v="2"/>
    <x v="3"/>
  </r>
  <r>
    <x v="459"/>
    <x v="0"/>
    <n v="4"/>
    <d v="2025-04-16T00:00:00"/>
    <d v="2025-04-16T00:00:00"/>
    <d v="2025-04-16T00:00:00"/>
    <d v="2025-04-16T00:00:00"/>
    <d v="2025-04-17T14:28:39"/>
    <n v="2039"/>
    <s v="610429"/>
    <s v="Sprinter"/>
    <n v="50"/>
    <n v="50"/>
    <s v="LE28920"/>
    <n v="1"/>
    <n v="150"/>
    <b v="1"/>
    <b v="0"/>
    <b v="0"/>
    <n v="231"/>
    <n v="0"/>
    <s v=""/>
    <s v=""/>
    <n v="50"/>
    <n v="359"/>
    <x v="18"/>
    <n v="359"/>
    <s v="Escobedo"/>
    <s v="Escobedo"/>
    <x v="0"/>
    <x v="2"/>
    <d v="2025-04-01T00:00:00"/>
    <x v="2"/>
    <x v="3"/>
  </r>
  <r>
    <x v="460"/>
    <x v="0"/>
    <n v="4"/>
    <d v="2025-04-16T00:00:00"/>
    <d v="2025-04-16T00:00:00"/>
    <d v="2025-04-16T00:00:00"/>
    <d v="2025-04-16T00:00:00"/>
    <d v="2025-04-17T14:29:52"/>
    <n v="2039"/>
    <s v="610429"/>
    <s v="Sprinter"/>
    <n v="50"/>
    <n v="50"/>
    <s v="LE28920"/>
    <n v="1"/>
    <n v="150"/>
    <b v="1"/>
    <b v="0"/>
    <b v="0"/>
    <n v="231"/>
    <n v="0"/>
    <s v=""/>
    <s v=""/>
    <n v="50"/>
    <n v="2936"/>
    <x v="18"/>
    <n v="2936"/>
    <s v="Escobedo"/>
    <s v="Hidalgo"/>
    <x v="19"/>
    <x v="2"/>
    <d v="2025-04-01T00:00:00"/>
    <x v="2"/>
    <x v="3"/>
  </r>
  <r>
    <x v="461"/>
    <x v="0"/>
    <n v="4"/>
    <d v="2025-04-17T00:00:00"/>
    <d v="2025-04-17T00:00:00"/>
    <d v="2025-04-17T00:00:00"/>
    <d v="2025-04-17T00:00:00"/>
    <d v="2025-04-17T14:30:26"/>
    <n v="2039"/>
    <s v="610429"/>
    <s v="Sprinter"/>
    <n v="50"/>
    <n v="50"/>
    <s v="LE28920"/>
    <n v="1"/>
    <n v="150"/>
    <b v="1"/>
    <b v="0"/>
    <b v="0"/>
    <n v="231"/>
    <n v="0"/>
    <s v=""/>
    <s v=""/>
    <n v="50"/>
    <n v="461"/>
    <x v="18"/>
    <n v="461"/>
    <s v="Escobedo"/>
    <s v="Monterrey"/>
    <x v="7"/>
    <x v="2"/>
    <d v="2025-04-01T00:00:00"/>
    <x v="2"/>
    <x v="3"/>
  </r>
  <r>
    <x v="462"/>
    <x v="0"/>
    <n v="4"/>
    <d v="2025-04-17T00:00:00"/>
    <d v="2025-04-17T00:00:00"/>
    <d v="2025-04-17T00:00:00"/>
    <d v="2025-04-17T00:00:00"/>
    <d v="2025-04-17T14:30:53"/>
    <n v="2039"/>
    <s v="610429"/>
    <s v="Sprinter"/>
    <n v="50"/>
    <n v="50"/>
    <s v="LE28920"/>
    <n v="1"/>
    <n v="150"/>
    <b v="1"/>
    <b v="0"/>
    <b v="0"/>
    <n v="231"/>
    <n v="0"/>
    <s v=""/>
    <s v=""/>
    <n v="50"/>
    <n v="359"/>
    <x v="18"/>
    <n v="359"/>
    <s v="Escobedo"/>
    <s v="Escobedo"/>
    <x v="0"/>
    <x v="2"/>
    <d v="2025-04-01T00:00:00"/>
    <x v="2"/>
    <x v="3"/>
  </r>
  <r>
    <x v="463"/>
    <x v="0"/>
    <n v="4"/>
    <d v="2025-04-17T00:00:00"/>
    <d v="2025-04-17T00:00:00"/>
    <d v="2025-04-17T00:00:00"/>
    <d v="2025-04-17T00:00:00"/>
    <d v="2025-04-17T14:34:08"/>
    <n v="2039"/>
    <s v="610429"/>
    <s v="Sprinter"/>
    <n v="50"/>
    <n v="50"/>
    <s v="LE28920"/>
    <n v="1"/>
    <n v="150"/>
    <b v="1"/>
    <b v="0"/>
    <b v="0"/>
    <n v="231"/>
    <n v="0"/>
    <s v=""/>
    <s v=""/>
    <n v="50"/>
    <n v="359"/>
    <x v="18"/>
    <n v="359"/>
    <s v="Escobedo"/>
    <s v="Escobedo"/>
    <x v="0"/>
    <x v="2"/>
    <d v="2025-04-01T00:00:00"/>
    <x v="2"/>
    <x v="3"/>
  </r>
  <r>
    <x v="464"/>
    <x v="0"/>
    <n v="4"/>
    <d v="2025-04-21T00:00:00"/>
    <d v="2025-04-21T00:00:00"/>
    <d v="2025-04-21T00:00:00"/>
    <d v="2025-04-21T00:00:00"/>
    <d v="2025-04-21T18:04:52"/>
    <n v="2039"/>
    <s v="610429"/>
    <s v="Sprinter"/>
    <n v="7"/>
    <n v="7"/>
    <s v="4366XC"/>
    <n v="1"/>
    <n v="7"/>
    <b v="1"/>
    <b v="0"/>
    <b v="0"/>
    <n v="231"/>
    <n v="0"/>
    <s v=""/>
    <s v=""/>
    <n v="50"/>
    <n v="4395"/>
    <x v="6"/>
    <n v="4395"/>
    <s v="Monterrey"/>
    <s v="Monterrey"/>
    <x v="32"/>
    <x v="2"/>
    <d v="2025-04-01T00:00:00"/>
    <x v="2"/>
    <x v="3"/>
  </r>
  <r>
    <x v="465"/>
    <x v="0"/>
    <n v="4"/>
    <d v="2025-04-21T00:00:00"/>
    <d v="2025-04-21T00:00:00"/>
    <d v="2025-04-21T00:00:00"/>
    <d v="2025-04-21T00:00:00"/>
    <d v="2025-04-21T18:04:51"/>
    <n v="2039"/>
    <s v="610429"/>
    <s v="Sprinter"/>
    <n v="50"/>
    <n v="50"/>
    <s v="4366XC"/>
    <n v="1"/>
    <n v="150"/>
    <b v="1"/>
    <b v="0"/>
    <b v="0"/>
    <n v="231"/>
    <n v="0"/>
    <s v=""/>
    <s v=""/>
    <n v="50"/>
    <n v="461"/>
    <x v="6"/>
    <n v="461"/>
    <s v="Escobedo"/>
    <s v="Monterrey"/>
    <x v="7"/>
    <x v="2"/>
    <d v="2025-04-01T00:00:00"/>
    <x v="2"/>
    <x v="3"/>
  </r>
  <r>
    <x v="466"/>
    <x v="0"/>
    <n v="4"/>
    <d v="2025-04-21T00:00:00"/>
    <d v="2025-04-21T00:00:00"/>
    <d v="2025-04-21T00:00:00"/>
    <d v="2025-04-21T00:00:00"/>
    <d v="2025-04-21T18:04:50"/>
    <n v="2039"/>
    <s v="610429"/>
    <s v="Sprinter"/>
    <n v="50"/>
    <n v="50"/>
    <s v="4366XC"/>
    <n v="1"/>
    <n v="150"/>
    <b v="1"/>
    <b v="0"/>
    <b v="0"/>
    <n v="231"/>
    <n v="0"/>
    <s v=""/>
    <s v=""/>
    <n v="50"/>
    <n v="461"/>
    <x v="6"/>
    <n v="461"/>
    <s v="Escobedo"/>
    <s v="Monterrey"/>
    <x v="7"/>
    <x v="2"/>
    <d v="2025-04-01T00:00:00"/>
    <x v="2"/>
    <x v="3"/>
  </r>
  <r>
    <x v="467"/>
    <x v="0"/>
    <n v="4"/>
    <d v="2025-04-21T00:00:00"/>
    <d v="2025-04-21T00:00:00"/>
    <d v="2025-04-21T00:00:00"/>
    <d v="2025-04-21T00:00:00"/>
    <d v="2025-04-21T18:04:50"/>
    <n v="2039"/>
    <s v="610429"/>
    <s v="Sprinter"/>
    <n v="50"/>
    <n v="50"/>
    <s v="4366XC"/>
    <n v="1"/>
    <n v="150"/>
    <b v="1"/>
    <b v="0"/>
    <b v="0"/>
    <n v="231"/>
    <n v="0"/>
    <s v=""/>
    <s v=""/>
    <n v="50"/>
    <n v="2936"/>
    <x v="6"/>
    <n v="2936"/>
    <s v="Escobedo"/>
    <s v="Hidalgo"/>
    <x v="19"/>
    <x v="2"/>
    <d v="2025-04-01T00:00:00"/>
    <x v="2"/>
    <x v="3"/>
  </r>
  <r>
    <x v="468"/>
    <x v="0"/>
    <n v="4"/>
    <d v="2025-04-22T00:00:00"/>
    <d v="2025-04-22T00:00:00"/>
    <d v="2025-04-22T00:00:00"/>
    <d v="2025-04-22T00:00:00"/>
    <d v="2025-04-22T20:06:36"/>
    <n v="2039"/>
    <s v="610429"/>
    <s v="Sprinter"/>
    <n v="50"/>
    <n v="50"/>
    <s v="4366XC"/>
    <n v="1"/>
    <n v="150"/>
    <b v="1"/>
    <b v="0"/>
    <b v="0"/>
    <n v="231"/>
    <n v="0"/>
    <s v=""/>
    <s v=""/>
    <n v="50"/>
    <n v="359"/>
    <x v="6"/>
    <n v="359"/>
    <s v="Escobedo"/>
    <s v="Escobedo"/>
    <x v="0"/>
    <x v="2"/>
    <d v="2025-04-01T00:00:00"/>
    <x v="2"/>
    <x v="3"/>
  </r>
  <r>
    <x v="469"/>
    <x v="0"/>
    <n v="4"/>
    <d v="2025-04-22T00:00:00"/>
    <d v="2025-04-22T00:00:00"/>
    <d v="2025-04-22T00:00:00"/>
    <d v="2025-04-22T00:00:00"/>
    <d v="2025-04-22T20:07:01"/>
    <n v="2039"/>
    <s v="610429"/>
    <s v="Sprinter"/>
    <n v="50"/>
    <n v="50"/>
    <s v="4366XC"/>
    <n v="1"/>
    <n v="150"/>
    <b v="1"/>
    <b v="0"/>
    <b v="0"/>
    <n v="231"/>
    <n v="0"/>
    <s v=""/>
    <s v=""/>
    <n v="50"/>
    <n v="308"/>
    <x v="6"/>
    <n v="308"/>
    <s v="Escobedo"/>
    <s v="Guadalupe"/>
    <x v="25"/>
    <x v="2"/>
    <d v="2025-04-01T00:00:00"/>
    <x v="2"/>
    <x v="3"/>
  </r>
  <r>
    <x v="470"/>
    <x v="0"/>
    <n v="4"/>
    <d v="2025-04-22T00:00:00"/>
    <d v="2025-04-22T00:00:00"/>
    <d v="2025-04-22T00:00:00"/>
    <d v="2025-04-22T00:00:00"/>
    <d v="2025-04-22T20:07:27"/>
    <n v="2039"/>
    <s v="610429"/>
    <s v="Sprinter"/>
    <n v="50"/>
    <n v="50"/>
    <s v="4366XC"/>
    <n v="1"/>
    <n v="150"/>
    <b v="1"/>
    <b v="0"/>
    <b v="0"/>
    <n v="231"/>
    <n v="0"/>
    <s v=""/>
    <s v=""/>
    <n v="50"/>
    <n v="359"/>
    <x v="6"/>
    <n v="359"/>
    <s v="Escobedo"/>
    <s v="Escobedo"/>
    <x v="0"/>
    <x v="2"/>
    <d v="2025-04-01T00:00:00"/>
    <x v="2"/>
    <x v="3"/>
  </r>
  <r>
    <x v="471"/>
    <x v="0"/>
    <n v="4"/>
    <d v="2025-04-22T00:00:00"/>
    <d v="2025-04-22T00:00:00"/>
    <d v="2025-04-22T00:00:00"/>
    <d v="2025-04-22T00:00:00"/>
    <d v="2025-04-22T20:07:52"/>
    <n v="2039"/>
    <s v="610429"/>
    <s v="Sprinter"/>
    <n v="50"/>
    <n v="50"/>
    <s v="4366XC"/>
    <n v="1"/>
    <n v="150"/>
    <b v="1"/>
    <b v="0"/>
    <b v="0"/>
    <n v="231"/>
    <n v="0"/>
    <s v=""/>
    <s v=""/>
    <n v="50"/>
    <n v="359"/>
    <x v="6"/>
    <n v="359"/>
    <s v="Escobedo"/>
    <s v="Escobedo"/>
    <x v="0"/>
    <x v="2"/>
    <d v="2025-04-01T00:00:00"/>
    <x v="2"/>
    <x v="3"/>
  </r>
  <r>
    <x v="472"/>
    <x v="0"/>
    <n v="4"/>
    <d v="2025-04-22T00:00:00"/>
    <d v="2025-04-22T00:00:00"/>
    <d v="2025-04-22T00:00:00"/>
    <d v="2025-04-22T00:00:00"/>
    <d v="2025-04-22T20:08:15"/>
    <n v="2039"/>
    <s v="610429"/>
    <s v="Sprinter"/>
    <n v="50"/>
    <n v="50"/>
    <s v="4366XC"/>
    <n v="1"/>
    <n v="150"/>
    <b v="1"/>
    <b v="0"/>
    <b v="0"/>
    <n v="231"/>
    <n v="0"/>
    <s v=""/>
    <s v=""/>
    <n v="50"/>
    <n v="359"/>
    <x v="6"/>
    <n v="359"/>
    <s v="Escobedo"/>
    <s v="Escobedo"/>
    <x v="0"/>
    <x v="2"/>
    <d v="2025-04-01T00:00:00"/>
    <x v="2"/>
    <x v="3"/>
  </r>
  <r>
    <x v="473"/>
    <x v="0"/>
    <n v="4"/>
    <d v="2025-04-22T00:00:00"/>
    <d v="2024-10-07T00:00:00"/>
    <d v="2025-04-22T00:00:00"/>
    <d v="2025-04-22T00:00:00"/>
    <d v="2025-04-22T20:08:38"/>
    <n v="2039"/>
    <s v="610429"/>
    <s v="Sprinter"/>
    <n v="50"/>
    <n v="50"/>
    <s v="4366XC"/>
    <n v="1"/>
    <n v="150"/>
    <b v="1"/>
    <b v="0"/>
    <b v="0"/>
    <n v="231"/>
    <n v="0"/>
    <s v=""/>
    <s v=""/>
    <n v="50"/>
    <n v="461"/>
    <x v="6"/>
    <n v="461"/>
    <s v="Escobedo"/>
    <s v="Monterrey"/>
    <x v="7"/>
    <x v="2"/>
    <d v="2025-04-01T00:00:00"/>
    <x v="2"/>
    <x v="3"/>
  </r>
  <r>
    <x v="474"/>
    <x v="0"/>
    <n v="4"/>
    <d v="2025-04-23T00:00:00"/>
    <d v="2025-04-23T00:00:00"/>
    <d v="2025-04-23T00:00:00"/>
    <d v="2025-04-23T00:00:00"/>
    <d v="2025-04-23T19:37:01"/>
    <n v="2039"/>
    <s v="610429"/>
    <s v="Sprinter"/>
    <n v="50"/>
    <n v="50"/>
    <s v="4366XC"/>
    <n v="1"/>
    <n v="150"/>
    <b v="1"/>
    <b v="0"/>
    <b v="0"/>
    <n v="231"/>
    <n v="0"/>
    <s v=""/>
    <s v=""/>
    <n v="50"/>
    <n v="2936"/>
    <x v="6"/>
    <n v="2936"/>
    <s v="Escobedo"/>
    <s v="Hidalgo"/>
    <x v="19"/>
    <x v="2"/>
    <d v="2025-04-01T00:00:00"/>
    <x v="2"/>
    <x v="3"/>
  </r>
  <r>
    <x v="475"/>
    <x v="0"/>
    <n v="4"/>
    <d v="2025-04-23T00:00:00"/>
    <d v="2025-04-23T00:00:00"/>
    <d v="2025-04-23T00:00:00"/>
    <d v="2025-04-23T00:00:00"/>
    <d v="2025-04-24T17:54:04"/>
    <n v="2039"/>
    <s v="610429"/>
    <s v="Sprinter"/>
    <n v="50"/>
    <n v="50"/>
    <s v="4366XC"/>
    <n v="1"/>
    <n v="150"/>
    <b v="1"/>
    <b v="0"/>
    <b v="0"/>
    <n v="231"/>
    <n v="0"/>
    <s v=""/>
    <s v=""/>
    <n v="50"/>
    <n v="359"/>
    <x v="3"/>
    <n v="359"/>
    <s v="Escobedo"/>
    <s v="Escobedo"/>
    <x v="0"/>
    <x v="2"/>
    <d v="2025-04-01T00:00:00"/>
    <x v="2"/>
    <x v="3"/>
  </r>
  <r>
    <x v="476"/>
    <x v="0"/>
    <n v="4"/>
    <d v="2025-04-24T00:00:00"/>
    <d v="2025-04-24T00:00:00"/>
    <d v="2025-04-24T00:00:00"/>
    <d v="2025-04-24T00:00:00"/>
    <d v="2025-04-24T17:54:37"/>
    <n v="2039"/>
    <s v="610429"/>
    <s v="Sprinter"/>
    <n v="50"/>
    <n v="50"/>
    <s v="4366XC"/>
    <n v="1"/>
    <n v="150"/>
    <b v="1"/>
    <b v="0"/>
    <b v="0"/>
    <n v="231"/>
    <n v="0"/>
    <s v=""/>
    <s v=""/>
    <n v="50"/>
    <n v="359"/>
    <x v="6"/>
    <n v="359"/>
    <s v="Escobedo"/>
    <s v="Escobedo"/>
    <x v="0"/>
    <x v="2"/>
    <d v="2025-04-01T00:00:00"/>
    <x v="2"/>
    <x v="3"/>
  </r>
  <r>
    <x v="477"/>
    <x v="0"/>
    <n v="4"/>
    <d v="2025-04-24T00:00:00"/>
    <d v="2025-04-24T00:00:00"/>
    <d v="2025-04-24T00:00:00"/>
    <d v="2025-04-24T00:00:00"/>
    <d v="2025-04-24T17:55:06"/>
    <n v="2039"/>
    <s v="610429"/>
    <s v="Sprinter"/>
    <n v="50"/>
    <n v="50"/>
    <s v="4366XC"/>
    <n v="1"/>
    <n v="150"/>
    <b v="1"/>
    <b v="0"/>
    <b v="0"/>
    <n v="231"/>
    <n v="0"/>
    <s v=""/>
    <s v=""/>
    <n v="50"/>
    <n v="2936"/>
    <x v="6"/>
    <n v="2936"/>
    <s v="Escobedo"/>
    <s v="Hidalgo"/>
    <x v="19"/>
    <x v="2"/>
    <d v="2025-04-01T00:00:00"/>
    <x v="2"/>
    <x v="3"/>
  </r>
  <r>
    <x v="478"/>
    <x v="0"/>
    <n v="4"/>
    <d v="2025-04-24T00:00:00"/>
    <d v="2025-04-24T00:00:00"/>
    <d v="2025-04-24T00:00:00"/>
    <d v="2025-04-24T00:00:00"/>
    <d v="2025-04-24T17:55:42"/>
    <n v="2039"/>
    <s v="610429"/>
    <s v="Sprinter"/>
    <n v="50"/>
    <n v="50"/>
    <s v="4366XC"/>
    <n v="1"/>
    <n v="150"/>
    <b v="1"/>
    <b v="0"/>
    <b v="0"/>
    <n v="231"/>
    <n v="0"/>
    <s v=""/>
    <s v=""/>
    <n v="50"/>
    <n v="461"/>
    <x v="6"/>
    <n v="461"/>
    <s v="Escobedo"/>
    <s v="Monterrey"/>
    <x v="7"/>
    <x v="2"/>
    <d v="2025-04-01T00:00:00"/>
    <x v="2"/>
    <x v="3"/>
  </r>
  <r>
    <x v="479"/>
    <x v="0"/>
    <n v="4"/>
    <d v="2025-04-24T00:00:00"/>
    <d v="2025-04-24T00:00:00"/>
    <d v="2025-04-24T00:00:00"/>
    <d v="2025-04-24T00:00:00"/>
    <d v="2025-04-24T17:56:11"/>
    <n v="2039"/>
    <s v="610429"/>
    <s v="Sprinter"/>
    <n v="50"/>
    <n v="50"/>
    <s v="4366XC"/>
    <n v="1"/>
    <n v="150"/>
    <b v="1"/>
    <b v="0"/>
    <b v="0"/>
    <n v="231"/>
    <n v="0"/>
    <s v=""/>
    <s v=""/>
    <n v="50"/>
    <n v="359"/>
    <x v="6"/>
    <n v="359"/>
    <s v="Escobedo"/>
    <s v="Escobedo"/>
    <x v="0"/>
    <x v="2"/>
    <d v="2025-04-01T00:00:00"/>
    <x v="2"/>
    <x v="3"/>
  </r>
  <r>
    <x v="480"/>
    <x v="0"/>
    <n v="4"/>
    <d v="2025-04-24T00:00:00"/>
    <d v="2025-04-24T00:00:00"/>
    <d v="2025-04-24T00:00:00"/>
    <d v="2025-04-24T00:00:00"/>
    <d v="2025-04-24T17:56:42"/>
    <n v="2039"/>
    <s v="610429"/>
    <s v="Sprinter"/>
    <n v="50"/>
    <n v="50"/>
    <s v="4366XC"/>
    <n v="1"/>
    <n v="150"/>
    <b v="1"/>
    <b v="0"/>
    <b v="0"/>
    <n v="231"/>
    <n v="0"/>
    <s v=""/>
    <s v=""/>
    <n v="50"/>
    <n v="2936"/>
    <x v="6"/>
    <n v="2936"/>
    <s v="Escobedo"/>
    <s v="Hidalgo"/>
    <x v="19"/>
    <x v="2"/>
    <d v="2025-04-01T00:00:00"/>
    <x v="2"/>
    <x v="3"/>
  </r>
  <r>
    <x v="481"/>
    <x v="0"/>
    <n v="4"/>
    <d v="2025-04-24T00:00:00"/>
    <d v="2025-04-24T00:00:00"/>
    <d v="2025-04-24T00:00:00"/>
    <d v="2025-04-24T00:00:00"/>
    <d v="2025-04-24T17:58:13"/>
    <n v="2039"/>
    <s v="610429"/>
    <s v="Sprinter"/>
    <n v="50"/>
    <n v="50"/>
    <s v="4366XC"/>
    <n v="1"/>
    <n v="150"/>
    <b v="1"/>
    <b v="0"/>
    <b v="0"/>
    <n v="231"/>
    <n v="0"/>
    <s v=""/>
    <s v=""/>
    <n v="50"/>
    <n v="359"/>
    <x v="6"/>
    <n v="359"/>
    <s v="Escobedo"/>
    <s v="Escobedo"/>
    <x v="0"/>
    <x v="2"/>
    <d v="2025-04-01T00:00:00"/>
    <x v="2"/>
    <x v="3"/>
  </r>
  <r>
    <x v="482"/>
    <x v="0"/>
    <n v="4"/>
    <d v="2025-04-25T00:00:00"/>
    <d v="2025-04-25T00:00:00"/>
    <d v="2025-04-25T00:00:00"/>
    <d v="2025-04-25T00:00:00"/>
    <d v="2025-04-25T15:24:36"/>
    <n v="2039"/>
    <s v="610429"/>
    <s v="Sprinter"/>
    <n v="50"/>
    <n v="50"/>
    <s v="4366XC"/>
    <n v="1"/>
    <n v="150"/>
    <b v="1"/>
    <b v="0"/>
    <b v="0"/>
    <n v="231"/>
    <n v="0"/>
    <s v=""/>
    <s v=""/>
    <n v="50"/>
    <n v="2936"/>
    <x v="6"/>
    <n v="2936"/>
    <s v="Escobedo"/>
    <s v="Hidalgo"/>
    <x v="19"/>
    <x v="2"/>
    <d v="2025-04-01T00:00:00"/>
    <x v="2"/>
    <x v="3"/>
  </r>
  <r>
    <x v="483"/>
    <x v="0"/>
    <n v="4"/>
    <d v="2025-04-25T00:00:00"/>
    <d v="2025-04-25T00:00:00"/>
    <d v="2025-04-25T00:00:00"/>
    <d v="2025-04-25T00:00:00"/>
    <d v="2025-04-25T15:25:07"/>
    <n v="2039"/>
    <s v="610429"/>
    <s v="Sprinter"/>
    <n v="50"/>
    <n v="50"/>
    <s v="4366XC"/>
    <n v="1"/>
    <n v="150"/>
    <b v="1"/>
    <b v="0"/>
    <b v="0"/>
    <n v="231"/>
    <n v="0"/>
    <s v=""/>
    <s v=""/>
    <n v="50"/>
    <n v="359"/>
    <x v="6"/>
    <n v="359"/>
    <s v="Escobedo"/>
    <s v="Escobedo"/>
    <x v="0"/>
    <x v="2"/>
    <d v="2025-04-01T00:00:00"/>
    <x v="2"/>
    <x v="3"/>
  </r>
  <r>
    <x v="484"/>
    <x v="0"/>
    <n v="4"/>
    <d v="2025-04-25T00:00:00"/>
    <d v="2025-04-25T00:00:00"/>
    <d v="2025-04-25T00:00:00"/>
    <d v="2025-04-25T00:00:00"/>
    <d v="2025-04-25T15:25:37"/>
    <n v="2039"/>
    <s v="610429"/>
    <s v="Sprinter"/>
    <n v="50"/>
    <n v="50"/>
    <s v="4366XC"/>
    <n v="1"/>
    <n v="150"/>
    <b v="1"/>
    <b v="0"/>
    <b v="0"/>
    <n v="231"/>
    <n v="0"/>
    <s v=""/>
    <s v=""/>
    <n v="50"/>
    <n v="359"/>
    <x v="6"/>
    <n v="359"/>
    <s v="Escobedo"/>
    <s v="Escobedo"/>
    <x v="0"/>
    <x v="2"/>
    <d v="2025-04-01T00:00:00"/>
    <x v="2"/>
    <x v="3"/>
  </r>
  <r>
    <x v="485"/>
    <x v="0"/>
    <n v="4"/>
    <d v="2025-04-25T00:00:00"/>
    <d v="2025-04-25T00:00:00"/>
    <d v="2025-04-25T00:00:00"/>
    <d v="2025-04-25T00:00:00"/>
    <d v="2025-04-25T15:26:44"/>
    <n v="2039"/>
    <s v="610429"/>
    <s v="Sprinter"/>
    <n v="50"/>
    <n v="50"/>
    <s v="4366XC"/>
    <n v="1"/>
    <n v="150"/>
    <b v="1"/>
    <b v="0"/>
    <b v="0"/>
    <n v="231"/>
    <n v="0"/>
    <s v=""/>
    <s v=""/>
    <n v="50"/>
    <n v="2936"/>
    <x v="6"/>
    <n v="2936"/>
    <s v="Escobedo"/>
    <s v="Hidalgo"/>
    <x v="19"/>
    <x v="2"/>
    <d v="2025-04-01T00:00:00"/>
    <x v="2"/>
    <x v="3"/>
  </r>
  <r>
    <x v="486"/>
    <x v="0"/>
    <n v="4"/>
    <d v="2025-04-25T00:00:00"/>
    <d v="2025-04-25T00:00:00"/>
    <d v="2025-04-25T00:00:00"/>
    <d v="2025-04-25T00:00:00"/>
    <d v="2025-04-25T15:27:21"/>
    <n v="2039"/>
    <s v="610429"/>
    <s v="Sprinter"/>
    <n v="50"/>
    <n v="50"/>
    <s v="4366XC"/>
    <n v="1"/>
    <n v="150"/>
    <b v="1"/>
    <b v="0"/>
    <b v="0"/>
    <n v="231"/>
    <n v="0"/>
    <s v=""/>
    <s v=""/>
    <n v="50"/>
    <n v="359"/>
    <x v="6"/>
    <n v="359"/>
    <s v="Escobedo"/>
    <s v="Escobedo"/>
    <x v="0"/>
    <x v="2"/>
    <d v="2025-04-01T00:00:00"/>
    <x v="2"/>
    <x v="3"/>
  </r>
  <r>
    <x v="487"/>
    <x v="0"/>
    <n v="4"/>
    <d v="2025-04-25T00:00:00"/>
    <d v="2025-04-25T00:00:00"/>
    <d v="2025-04-25T00:00:00"/>
    <d v="2025-04-25T00:00:00"/>
    <d v="2025-04-25T15:27:53"/>
    <n v="2039"/>
    <s v="610429"/>
    <s v="Sprinter"/>
    <n v="50"/>
    <n v="50"/>
    <s v="4366XC"/>
    <n v="1"/>
    <n v="150"/>
    <b v="1"/>
    <b v="0"/>
    <b v="0"/>
    <n v="231"/>
    <n v="0"/>
    <s v=""/>
    <s v=""/>
    <n v="50"/>
    <n v="359"/>
    <x v="6"/>
    <n v="359"/>
    <s v="Escobedo"/>
    <s v="Escobedo"/>
    <x v="0"/>
    <x v="2"/>
    <d v="2025-04-01T00:00:00"/>
    <x v="2"/>
    <x v="3"/>
  </r>
  <r>
    <x v="488"/>
    <x v="0"/>
    <n v="4"/>
    <d v="2025-04-25T00:00:00"/>
    <d v="2025-04-25T00:00:00"/>
    <d v="2025-04-25T00:00:00"/>
    <d v="2025-04-25T00:00:00"/>
    <d v="2025-04-25T15:28:34"/>
    <n v="2039"/>
    <s v="610429"/>
    <s v="Sprinter"/>
    <n v="50"/>
    <n v="50"/>
    <s v="4366XC"/>
    <n v="1"/>
    <n v="150"/>
    <b v="1"/>
    <b v="0"/>
    <b v="0"/>
    <n v="231"/>
    <n v="0"/>
    <s v=""/>
    <s v=""/>
    <n v="50"/>
    <n v="359"/>
    <x v="6"/>
    <n v="359"/>
    <s v="Escobedo"/>
    <s v="Escobedo"/>
    <x v="0"/>
    <x v="2"/>
    <d v="2025-04-01T00:00:00"/>
    <x v="2"/>
    <x v="3"/>
  </r>
  <r>
    <x v="489"/>
    <x v="0"/>
    <n v="4"/>
    <d v="2025-04-25T00:00:00"/>
    <d v="2025-04-25T00:00:00"/>
    <d v="2025-04-25T00:00:00"/>
    <d v="2025-04-25T00:00:00"/>
    <d v="2025-04-25T15:29:32"/>
    <n v="2039"/>
    <s v="610429"/>
    <s v="Sprinter"/>
    <n v="50"/>
    <n v="50"/>
    <s v="4366XC"/>
    <n v="1"/>
    <n v="150"/>
    <b v="1"/>
    <b v="0"/>
    <b v="0"/>
    <n v="231"/>
    <n v="0"/>
    <s v=""/>
    <s v=""/>
    <n v="50"/>
    <n v="359"/>
    <x v="6"/>
    <n v="359"/>
    <s v="Escobedo"/>
    <s v="Escobedo"/>
    <x v="0"/>
    <x v="2"/>
    <d v="2025-04-01T00:00:00"/>
    <x v="2"/>
    <x v="3"/>
  </r>
  <r>
    <x v="490"/>
    <x v="0"/>
    <n v="4"/>
    <d v="2025-04-27T00:00:00"/>
    <d v="2025-04-27T00:00:00"/>
    <d v="2025-04-26T00:00:00"/>
    <d v="2025-04-26T00:00:00"/>
    <d v="2025-04-27T11:35:19"/>
    <n v="2039"/>
    <s v="610429"/>
    <s v="Sprinter"/>
    <n v="50"/>
    <n v="50"/>
    <s v="4366XC"/>
    <n v="1"/>
    <n v="150"/>
    <b v="1"/>
    <b v="0"/>
    <b v="0"/>
    <n v="231"/>
    <n v="0"/>
    <s v=""/>
    <s v=""/>
    <n v="50"/>
    <n v="359"/>
    <x v="7"/>
    <n v="359"/>
    <s v="Escobedo"/>
    <s v="Escobedo"/>
    <x v="0"/>
    <x v="2"/>
    <d v="2025-04-01T00:00:00"/>
    <x v="2"/>
    <x v="3"/>
  </r>
  <r>
    <x v="491"/>
    <x v="0"/>
    <n v="4"/>
    <d v="2025-04-27T00:00:00"/>
    <d v="2025-04-27T00:00:00"/>
    <d v="2025-04-26T00:00:00"/>
    <d v="2025-04-26T00:00:00"/>
    <d v="2025-04-27T11:35:45"/>
    <n v="2039"/>
    <s v="610429"/>
    <s v="Sprinter"/>
    <n v="50"/>
    <n v="50"/>
    <s v="4366XC"/>
    <n v="1"/>
    <n v="150"/>
    <b v="1"/>
    <b v="0"/>
    <b v="0"/>
    <n v="231"/>
    <n v="0"/>
    <s v=""/>
    <s v=""/>
    <n v="50"/>
    <n v="2936"/>
    <x v="7"/>
    <n v="2936"/>
    <s v="Escobedo"/>
    <s v="Hidalgo"/>
    <x v="19"/>
    <x v="2"/>
    <d v="2025-04-01T00:00:00"/>
    <x v="2"/>
    <x v="3"/>
  </r>
  <r>
    <x v="492"/>
    <x v="0"/>
    <n v="4"/>
    <d v="2025-04-27T00:00:00"/>
    <d v="2025-04-27T00:00:00"/>
    <d v="2025-04-26T00:00:00"/>
    <d v="2025-04-26T00:00:00"/>
    <d v="2025-04-27T11:36:10"/>
    <n v="2039"/>
    <s v="610429"/>
    <s v="Sprinter"/>
    <n v="50"/>
    <n v="50"/>
    <s v="4366XC"/>
    <n v="1"/>
    <n v="150"/>
    <b v="1"/>
    <b v="0"/>
    <b v="0"/>
    <n v="231"/>
    <n v="0"/>
    <s v=""/>
    <s v=""/>
    <n v="50"/>
    <n v="2737"/>
    <x v="7"/>
    <n v="2737"/>
    <s v="Escobedo"/>
    <s v="Tepotzotlan"/>
    <x v="31"/>
    <x v="2"/>
    <d v="2025-04-01T00:00:00"/>
    <x v="2"/>
    <x v="3"/>
  </r>
  <r>
    <x v="493"/>
    <x v="0"/>
    <n v="4"/>
    <d v="2025-04-27T00:00:00"/>
    <d v="2025-04-27T00:00:00"/>
    <d v="2025-04-26T00:00:00"/>
    <d v="2025-04-26T00:00:00"/>
    <d v="2025-04-27T11:36:33"/>
    <n v="2039"/>
    <s v="610429"/>
    <s v="Sprinter"/>
    <n v="50"/>
    <n v="50"/>
    <s v="4366XC"/>
    <n v="1"/>
    <n v="150"/>
    <b v="1"/>
    <b v="0"/>
    <b v="0"/>
    <n v="231"/>
    <n v="0"/>
    <s v=""/>
    <s v=""/>
    <n v="50"/>
    <n v="2737"/>
    <x v="7"/>
    <n v="2737"/>
    <s v="Escobedo"/>
    <s v="Tepotzotlan"/>
    <x v="31"/>
    <x v="2"/>
    <d v="2025-04-01T00:00:00"/>
    <x v="2"/>
    <x v="3"/>
  </r>
  <r>
    <x v="494"/>
    <x v="0"/>
    <n v="4"/>
    <d v="2025-04-27T00:00:00"/>
    <d v="2025-04-27T00:00:00"/>
    <d v="2025-04-27T00:00:00"/>
    <d v="2025-04-27T00:00:00"/>
    <d v="2025-04-27T11:41:55"/>
    <n v="2039"/>
    <s v="610429"/>
    <s v="Sprinter"/>
    <n v="50"/>
    <n v="50"/>
    <s v="4366XC"/>
    <n v="1"/>
    <n v="150"/>
    <b v="1"/>
    <b v="0"/>
    <b v="0"/>
    <n v="231"/>
    <n v="0"/>
    <s v=""/>
    <s v=""/>
    <n v="50"/>
    <n v="2737"/>
    <x v="7"/>
    <n v="2737"/>
    <s v="Escobedo"/>
    <s v="Tepotzotlan"/>
    <x v="31"/>
    <x v="2"/>
    <d v="2025-04-01T00:00:00"/>
    <x v="2"/>
    <x v="3"/>
  </r>
  <r>
    <x v="495"/>
    <x v="0"/>
    <n v="4"/>
    <d v="2025-04-27T00:00:00"/>
    <d v="2025-04-27T00:00:00"/>
    <d v="2025-04-26T00:00:00"/>
    <d v="2025-04-26T00:00:00"/>
    <d v="2025-04-27T00:00:00"/>
    <n v="2039"/>
    <s v="610429"/>
    <s v="Sprinter"/>
    <n v="50"/>
    <n v="50"/>
    <s v="4366XC"/>
    <n v="1"/>
    <n v="150"/>
    <b v="1"/>
    <b v="0"/>
    <b v="0"/>
    <n v="231"/>
    <n v="0"/>
    <s v=""/>
    <s v=""/>
    <n v="50"/>
    <n v="2737"/>
    <x v="7"/>
    <n v="2737"/>
    <s v="Escobedo"/>
    <s v="Tepotzotlan"/>
    <x v="31"/>
    <x v="2"/>
    <d v="2025-04-01T00:00:00"/>
    <x v="2"/>
    <x v="3"/>
  </r>
  <r>
    <x v="496"/>
    <x v="0"/>
    <n v="4"/>
    <d v="2025-04-28T00:00:00"/>
    <d v="2025-04-28T00:00:00"/>
    <d v="2025-04-28T00:00:00"/>
    <d v="2025-04-28T00:00:00"/>
    <d v="2025-04-29T00:00:00"/>
    <n v="2050"/>
    <s v="775908"/>
    <s v="4700*175*195"/>
    <n v="50"/>
    <n v="50"/>
    <s v="6551XC"/>
    <n v="1"/>
    <n v="150"/>
    <b v="1"/>
    <b v="0"/>
    <b v="0"/>
    <n v="231"/>
    <n v="0"/>
    <s v=""/>
    <s v=""/>
    <n v="50"/>
    <n v="2737"/>
    <x v="7"/>
    <n v="2737"/>
    <s v="Escobedo"/>
    <s v="Tepotzotlan"/>
    <x v="31"/>
    <x v="1"/>
    <d v="2025-04-01T00:00:00"/>
    <x v="2"/>
    <x v="3"/>
  </r>
  <r>
    <x v="497"/>
    <x v="0"/>
    <n v="4"/>
    <d v="2025-04-29T00:00:00"/>
    <d v="2025-04-29T00:00:00"/>
    <d v="2025-04-30T00:00:00"/>
    <d v="2025-04-29T00:00:00"/>
    <d v="2025-04-30T00:00:00"/>
    <n v="2050"/>
    <s v="775908"/>
    <s v="4700*175*195"/>
    <n v="961"/>
    <n v="1059"/>
    <s v="6551XC"/>
    <n v="1"/>
    <n v="964"/>
    <b v="1"/>
    <b v="0"/>
    <b v="0"/>
    <n v="1494"/>
    <n v="0"/>
    <s v=""/>
    <s v=""/>
    <n v="1100"/>
    <n v="8"/>
    <x v="3"/>
    <n v="8"/>
    <s v="Escobedo"/>
    <s v="Cd Sahagún"/>
    <x v="3"/>
    <x v="1"/>
    <d v="2025-04-01T00:00:00"/>
    <x v="2"/>
    <x v="3"/>
  </r>
  <r>
    <x v="498"/>
    <x v="0"/>
    <n v="4"/>
    <d v="2025-04-30T00:00:00"/>
    <d v="2025-04-30T00:00:00"/>
    <d v="2025-04-28T00:00:00"/>
    <d v="2025-04-28T00:00:00"/>
    <d v="2025-04-30T10:59:33"/>
    <n v="2039"/>
    <s v="610429"/>
    <s v="Sprinter"/>
    <n v="50"/>
    <n v="50"/>
    <s v="4366XC"/>
    <n v="1"/>
    <n v="150"/>
    <b v="1"/>
    <b v="0"/>
    <b v="0"/>
    <n v="231"/>
    <n v="0"/>
    <s v=""/>
    <s v=""/>
    <n v="50"/>
    <n v="2936"/>
    <x v="7"/>
    <n v="2936"/>
    <s v="Escobedo"/>
    <s v="Hidalgo"/>
    <x v="19"/>
    <x v="2"/>
    <d v="2025-04-01T00:00:00"/>
    <x v="2"/>
    <x v="3"/>
  </r>
  <r>
    <x v="499"/>
    <x v="0"/>
    <n v="4"/>
    <d v="2025-04-30T00:00:00"/>
    <d v="2025-04-30T00:00:00"/>
    <d v="2025-04-28T00:00:00"/>
    <d v="2025-04-28T00:00:00"/>
    <d v="2025-04-28T00:00:00"/>
    <n v="2039"/>
    <s v="610429"/>
    <s v="Sprinter"/>
    <n v="50"/>
    <n v="50"/>
    <s v="4366XC"/>
    <n v="1"/>
    <n v="150"/>
    <b v="1"/>
    <b v="0"/>
    <b v="0"/>
    <n v="231"/>
    <n v="0"/>
    <s v=""/>
    <s v=""/>
    <n v="50"/>
    <n v="2936"/>
    <x v="7"/>
    <n v="2936"/>
    <s v="Escobedo"/>
    <s v="Hidalgo"/>
    <x v="19"/>
    <x v="2"/>
    <d v="2025-04-01T00:00:00"/>
    <x v="2"/>
    <x v="3"/>
  </r>
  <r>
    <x v="500"/>
    <x v="0"/>
    <n v="4"/>
    <d v="2025-04-30T00:00:00"/>
    <d v="2025-04-30T00:00:00"/>
    <d v="2025-04-28T00:00:00"/>
    <d v="2025-04-28T00:00:00"/>
    <d v="2025-04-28T00:00:00"/>
    <n v="2039"/>
    <s v="610429"/>
    <s v="Sprinter"/>
    <n v="50"/>
    <n v="50"/>
    <s v="4366XC"/>
    <n v="1"/>
    <n v="150"/>
    <b v="1"/>
    <b v="0"/>
    <b v="0"/>
    <n v="231"/>
    <n v="0"/>
    <s v=""/>
    <s v=""/>
    <n v="50"/>
    <n v="2936"/>
    <x v="7"/>
    <n v="2936"/>
    <s v="Escobedo"/>
    <s v="Hidalgo"/>
    <x v="19"/>
    <x v="2"/>
    <d v="2025-04-01T00:00:00"/>
    <x v="2"/>
    <x v="3"/>
  </r>
  <r>
    <x v="501"/>
    <x v="0"/>
    <n v="4"/>
    <d v="2025-04-27T00:00:00"/>
    <d v="2025-04-30T00:00:00"/>
    <d v="2025-04-29T00:00:00"/>
    <d v="2025-04-29T00:00:00"/>
    <d v="2025-04-29T00:00:00"/>
    <n v="2039"/>
    <s v="610429"/>
    <s v="Sprinter"/>
    <n v="50"/>
    <n v="50"/>
    <s v="4366XC"/>
    <n v="1"/>
    <n v="150"/>
    <b v="1"/>
    <b v="0"/>
    <b v="0"/>
    <n v="231"/>
    <n v="0"/>
    <s v=""/>
    <s v=""/>
    <n v="50"/>
    <n v="359"/>
    <x v="7"/>
    <n v="359"/>
    <s v="Escobedo"/>
    <s v="Escobedo"/>
    <x v="0"/>
    <x v="2"/>
    <d v="2025-04-01T00:00:00"/>
    <x v="2"/>
    <x v="3"/>
  </r>
  <r>
    <x v="502"/>
    <x v="0"/>
    <n v="4"/>
    <d v="2025-04-27T00:00:00"/>
    <d v="2025-04-30T00:00:00"/>
    <d v="2025-04-29T00:00:00"/>
    <d v="2025-04-29T00:00:00"/>
    <d v="2025-04-29T00:00:00"/>
    <n v="2039"/>
    <s v="610429"/>
    <s v="Sprinter"/>
    <n v="50"/>
    <n v="50"/>
    <s v="4366XC"/>
    <n v="1"/>
    <n v="150"/>
    <b v="1"/>
    <b v="0"/>
    <b v="0"/>
    <n v="231"/>
    <n v="0"/>
    <s v=""/>
    <s v=""/>
    <n v="50"/>
    <n v="359"/>
    <x v="7"/>
    <n v="359"/>
    <s v="Escobedo"/>
    <s v="Escobedo"/>
    <x v="0"/>
    <x v="2"/>
    <d v="2025-04-01T00:00:00"/>
    <x v="2"/>
    <x v="3"/>
  </r>
  <r>
    <x v="503"/>
    <x v="0"/>
    <n v="4"/>
    <d v="2025-04-30T00:00:00"/>
    <d v="2025-04-30T00:00:00"/>
    <d v="2025-04-28T00:00:00"/>
    <d v="2025-04-28T00:00:00"/>
    <d v="2025-04-30T00:00:00"/>
    <n v="2039"/>
    <s v="610429"/>
    <s v="Sprinter"/>
    <n v="50"/>
    <n v="50"/>
    <s v="4366XC"/>
    <n v="1"/>
    <n v="150"/>
    <b v="1"/>
    <b v="0"/>
    <b v="0"/>
    <n v="231"/>
    <n v="0"/>
    <s v=""/>
    <s v=""/>
    <n v="50"/>
    <n v="359"/>
    <x v="7"/>
    <n v="359"/>
    <s v="Escobedo"/>
    <s v="Escobedo"/>
    <x v="0"/>
    <x v="2"/>
    <d v="2025-04-01T00:00:00"/>
    <x v="2"/>
    <x v="3"/>
  </r>
  <r>
    <x v="504"/>
    <x v="0"/>
    <n v="4"/>
    <d v="2025-04-02T00:00:00"/>
    <d v="2025-04-02T00:00:00"/>
    <d v="2025-04-02T00:00:00"/>
    <d v="2025-04-02T00:00:00"/>
    <d v="2025-04-02T17:13:26"/>
    <n v="2039"/>
    <s v="610429"/>
    <s v="Sprinter"/>
    <n v="50"/>
    <n v="50"/>
    <s v="4366XC"/>
    <n v="1"/>
    <n v="150"/>
    <b v="1"/>
    <b v="0"/>
    <b v="0"/>
    <n v="231"/>
    <n v="0"/>
    <s v=""/>
    <s v=""/>
    <n v="50"/>
    <n v="966"/>
    <x v="6"/>
    <n v="966"/>
    <s v="Escobedo"/>
    <s v="Cienega de Flores"/>
    <x v="28"/>
    <x v="2"/>
    <d v="2025-04-01T00:00:00"/>
    <x v="2"/>
    <x v="3"/>
  </r>
  <r>
    <x v="505"/>
    <x v="0"/>
    <n v="4"/>
    <d v="2025-04-30T00:00:00"/>
    <d v="2025-04-30T00:00:00"/>
    <d v="2025-04-28T00:00:00"/>
    <d v="2025-04-28T00:00:00"/>
    <d v="2025-04-28T00:00:00"/>
    <n v="2039"/>
    <s v="610429"/>
    <s v="Sprinter"/>
    <n v="50"/>
    <n v="50"/>
    <s v="4366XC"/>
    <n v="1"/>
    <n v="150"/>
    <b v="1"/>
    <b v="0"/>
    <b v="0"/>
    <n v="231"/>
    <n v="0"/>
    <s v=""/>
    <s v=""/>
    <n v="50"/>
    <n v="359"/>
    <x v="7"/>
    <n v="359"/>
    <s v="Escobedo"/>
    <s v="Escobedo"/>
    <x v="0"/>
    <x v="2"/>
    <d v="2025-04-01T00:00:00"/>
    <x v="2"/>
    <x v="3"/>
  </r>
  <r>
    <x v="506"/>
    <x v="0"/>
    <n v="4"/>
    <d v="2025-04-30T00:00:00"/>
    <d v="2025-04-30T00:00:00"/>
    <d v="2025-04-28T00:00:00"/>
    <d v="2025-04-28T00:00:00"/>
    <d v="2025-04-28T00:00:00"/>
    <n v="2039"/>
    <s v="610429"/>
    <s v="Sprinter"/>
    <n v="50"/>
    <n v="50"/>
    <s v="4366XC"/>
    <n v="1"/>
    <n v="150"/>
    <b v="1"/>
    <b v="0"/>
    <b v="0"/>
    <n v="231"/>
    <n v="0"/>
    <s v=""/>
    <s v=""/>
    <n v="50"/>
    <n v="2737"/>
    <x v="7"/>
    <n v="2737"/>
    <s v="Escobedo"/>
    <s v="Tepotzotlan"/>
    <x v="31"/>
    <x v="2"/>
    <d v="2025-04-01T00:00:00"/>
    <x v="2"/>
    <x v="3"/>
  </r>
  <r>
    <x v="507"/>
    <x v="0"/>
    <n v="4"/>
    <d v="2025-04-30T00:00:00"/>
    <d v="2025-04-30T00:00:00"/>
    <d v="2025-04-29T00:00:00"/>
    <d v="2025-04-29T00:00:00"/>
    <d v="2025-04-29T00:00:00"/>
    <n v="2039"/>
    <s v="610429"/>
    <s v="Sprinter"/>
    <n v="50"/>
    <n v="50"/>
    <s v="4366XC"/>
    <n v="1"/>
    <n v="150"/>
    <b v="1"/>
    <b v="0"/>
    <b v="0"/>
    <n v="231"/>
    <n v="0"/>
    <s v=""/>
    <s v=""/>
    <n v="50"/>
    <n v="359"/>
    <x v="7"/>
    <n v="359"/>
    <s v="Escobedo"/>
    <s v="Escobedo"/>
    <x v="0"/>
    <x v="2"/>
    <d v="2025-04-01T00:00:00"/>
    <x v="2"/>
    <x v="3"/>
  </r>
  <r>
    <x v="508"/>
    <x v="0"/>
    <n v="4"/>
    <d v="2025-04-30T00:00:00"/>
    <d v="2025-04-30T00:00:00"/>
    <d v="2025-04-30T00:00:00"/>
    <d v="2025-04-30T00:00:00"/>
    <d v="2025-04-30T00:00:00"/>
    <n v="2039"/>
    <s v="610429"/>
    <s v="Sprinter"/>
    <n v="50"/>
    <n v="50"/>
    <s v="4366XC"/>
    <n v="1"/>
    <n v="150"/>
    <b v="1"/>
    <b v="0"/>
    <b v="0"/>
    <n v="231"/>
    <n v="0"/>
    <s v=""/>
    <s v=""/>
    <n v="50"/>
    <n v="359"/>
    <x v="7"/>
    <n v="359"/>
    <s v="Escobedo"/>
    <s v="Escobedo"/>
    <x v="0"/>
    <x v="2"/>
    <d v="2025-04-01T00:00:00"/>
    <x v="2"/>
    <x v="3"/>
  </r>
  <r>
    <x v="509"/>
    <x v="0"/>
    <n v="4"/>
    <d v="2025-04-30T00:00:00"/>
    <d v="2025-04-30T00:00:00"/>
    <d v="2025-04-30T00:00:00"/>
    <d v="2025-04-30T00:00:00"/>
    <d v="2025-04-30T00:00:00"/>
    <n v="2039"/>
    <s v="610429"/>
    <s v="Sprinter"/>
    <n v="50"/>
    <n v="50"/>
    <s v="4366XC"/>
    <n v="1"/>
    <n v="150"/>
    <b v="1"/>
    <b v="0"/>
    <b v="0"/>
    <n v="231"/>
    <n v="0"/>
    <s v=""/>
    <s v=""/>
    <n v="50"/>
    <n v="359"/>
    <x v="7"/>
    <n v="359"/>
    <s v="Escobedo"/>
    <s v="Escobedo"/>
    <x v="0"/>
    <x v="2"/>
    <d v="2025-04-01T00:00:00"/>
    <x v="2"/>
    <x v="3"/>
  </r>
  <r>
    <x v="510"/>
    <x v="0"/>
    <n v="4"/>
    <d v="2025-04-30T00:00:00"/>
    <d v="2025-04-30T00:00:00"/>
    <d v="2025-04-29T00:00:00"/>
    <d v="2025-04-29T00:00:00"/>
    <d v="2025-04-29T00:00:00"/>
    <n v="2039"/>
    <s v="610429"/>
    <s v="Sprinter"/>
    <n v="50"/>
    <n v="50"/>
    <s v="4366XC"/>
    <n v="1"/>
    <n v="150"/>
    <b v="1"/>
    <b v="0"/>
    <b v="0"/>
    <n v="231"/>
    <n v="0"/>
    <s v=""/>
    <s v=""/>
    <n v="50"/>
    <n v="2936"/>
    <x v="7"/>
    <n v="2936"/>
    <s v="Escobedo"/>
    <s v="Hidalgo"/>
    <x v="19"/>
    <x v="2"/>
    <d v="2025-04-01T00:00:00"/>
    <x v="2"/>
    <x v="3"/>
  </r>
  <r>
    <x v="511"/>
    <x v="0"/>
    <n v="4"/>
    <d v="2025-04-02T00:00:00"/>
    <d v="2025-04-02T00:00:00"/>
    <d v="2025-04-02T00:00:00"/>
    <d v="2025-04-02T00:00:00"/>
    <d v="2025-04-02T17:14:02"/>
    <n v="2039"/>
    <s v="610429"/>
    <s v="Sprinter"/>
    <n v="50"/>
    <n v="50"/>
    <s v="4366XC"/>
    <n v="1"/>
    <n v="150"/>
    <b v="1"/>
    <b v="0"/>
    <b v="0"/>
    <n v="231"/>
    <n v="0"/>
    <s v=""/>
    <s v=""/>
    <n v="50"/>
    <n v="966"/>
    <x v="6"/>
    <n v="966"/>
    <s v="Escobedo"/>
    <s v="Cienega de Flores"/>
    <x v="28"/>
    <x v="2"/>
    <d v="2025-04-01T00:00:00"/>
    <x v="2"/>
    <x v="3"/>
  </r>
  <r>
    <x v="512"/>
    <x v="0"/>
    <n v="4"/>
    <d v="2025-04-02T00:00:00"/>
    <d v="2025-04-02T00:00:00"/>
    <d v="2025-04-02T00:00:00"/>
    <d v="2025-04-02T00:00:00"/>
    <d v="2025-04-02T17:14:49"/>
    <n v="2039"/>
    <s v="610429"/>
    <s v="Sprinter"/>
    <n v="50"/>
    <n v="50"/>
    <s v="4366XC"/>
    <n v="1"/>
    <n v="150"/>
    <b v="1"/>
    <b v="0"/>
    <b v="0"/>
    <n v="231"/>
    <n v="0"/>
    <s v=""/>
    <s v=""/>
    <n v="50"/>
    <n v="359"/>
    <x v="6"/>
    <n v="359"/>
    <s v="Escobedo"/>
    <s v="Escobedo"/>
    <x v="0"/>
    <x v="2"/>
    <d v="2025-04-01T00:00:00"/>
    <x v="2"/>
    <x v="3"/>
  </r>
  <r>
    <x v="513"/>
    <x v="0"/>
    <n v="4"/>
    <d v="2025-04-02T00:00:00"/>
    <d v="2025-04-02T00:00:00"/>
    <d v="2025-04-02T00:00:00"/>
    <d v="2025-04-02T00:00:00"/>
    <d v="2025-04-02T17:15:23"/>
    <n v="2039"/>
    <s v="610429"/>
    <s v="Sprinter"/>
    <n v="50"/>
    <n v="50"/>
    <s v="4366XC"/>
    <n v="1"/>
    <n v="150"/>
    <b v="1"/>
    <b v="0"/>
    <b v="0"/>
    <n v="231"/>
    <n v="0"/>
    <s v=""/>
    <s v=""/>
    <n v="50"/>
    <n v="2936"/>
    <x v="6"/>
    <n v="2936"/>
    <s v="Escobedo"/>
    <s v="Hidalgo"/>
    <x v="19"/>
    <x v="2"/>
    <d v="2025-04-01T00:00:00"/>
    <x v="2"/>
    <x v="3"/>
  </r>
  <r>
    <x v="514"/>
    <x v="0"/>
    <n v="4"/>
    <d v="2025-04-03T00:00:00"/>
    <d v="2025-04-03T00:00:00"/>
    <d v="2025-04-03T00:00:00"/>
    <d v="2025-04-03T00:00:00"/>
    <d v="2025-04-03T11:36:09"/>
    <n v="2039"/>
    <s v="610429"/>
    <s v="Sprinter"/>
    <n v="50"/>
    <n v="50"/>
    <s v="4366XC"/>
    <n v="1"/>
    <n v="150"/>
    <b v="1"/>
    <b v="0"/>
    <b v="0"/>
    <n v="231"/>
    <n v="0"/>
    <s v=""/>
    <s v=""/>
    <n v="50"/>
    <n v="966"/>
    <x v="6"/>
    <n v="966"/>
    <s v="Escobedo"/>
    <s v="Cienega de Flores"/>
    <x v="28"/>
    <x v="2"/>
    <d v="2025-04-01T00:00:00"/>
    <x v="2"/>
    <x v="3"/>
  </r>
  <r>
    <x v="515"/>
    <x v="0"/>
    <n v="4"/>
    <d v="2025-04-03T00:00:00"/>
    <d v="2025-04-03T00:00:00"/>
    <d v="2025-04-03T00:00:00"/>
    <d v="2025-04-03T00:00:00"/>
    <d v="2025-04-03T11:36:50"/>
    <n v="2039"/>
    <s v="610429"/>
    <s v="Sprinter"/>
    <n v="50"/>
    <n v="50"/>
    <s v="4366XC"/>
    <n v="1"/>
    <n v="150"/>
    <b v="1"/>
    <b v="0"/>
    <b v="0"/>
    <n v="231"/>
    <n v="0"/>
    <s v=""/>
    <s v=""/>
    <n v="50"/>
    <n v="966"/>
    <x v="6"/>
    <n v="966"/>
    <s v="Escobedo"/>
    <s v="Cienega de Flores"/>
    <x v="28"/>
    <x v="2"/>
    <d v="2025-04-01T00:00:00"/>
    <x v="2"/>
    <x v="3"/>
  </r>
  <r>
    <x v="516"/>
    <x v="0"/>
    <n v="4"/>
    <d v="2025-04-03T00:00:00"/>
    <d v="2025-04-03T00:00:00"/>
    <d v="2025-04-03T00:00:00"/>
    <d v="2025-04-03T00:00:00"/>
    <d v="2025-04-03T11:37:35"/>
    <n v="2039"/>
    <s v="610429"/>
    <s v="Sprinter"/>
    <n v="50"/>
    <n v="50"/>
    <s v="4366XC"/>
    <n v="1"/>
    <n v="150"/>
    <b v="1"/>
    <b v="0"/>
    <b v="0"/>
    <n v="231"/>
    <n v="0"/>
    <s v=""/>
    <s v=""/>
    <n v="50"/>
    <n v="359"/>
    <x v="6"/>
    <n v="359"/>
    <s v="Escobedo"/>
    <s v="Escobedo"/>
    <x v="0"/>
    <x v="2"/>
    <d v="2025-04-01T00:00:00"/>
    <x v="2"/>
    <x v="3"/>
  </r>
  <r>
    <x v="517"/>
    <x v="0"/>
    <n v="4"/>
    <d v="2025-04-03T00:00:00"/>
    <d v="2025-04-03T00:00:00"/>
    <d v="2025-04-03T00:00:00"/>
    <d v="2025-04-03T00:00:00"/>
    <d v="2025-04-03T11:38:05"/>
    <n v="2039"/>
    <s v="610429"/>
    <s v="Sprinter"/>
    <n v="50"/>
    <n v="50"/>
    <s v="4366XC"/>
    <n v="1"/>
    <n v="150"/>
    <b v="1"/>
    <b v="0"/>
    <b v="0"/>
    <n v="231"/>
    <n v="0"/>
    <s v=""/>
    <s v=""/>
    <n v="50"/>
    <n v="2936"/>
    <x v="6"/>
    <n v="2936"/>
    <s v="Escobedo"/>
    <s v="Hidalgo"/>
    <x v="19"/>
    <x v="2"/>
    <d v="2025-04-01T00:00:00"/>
    <x v="2"/>
    <x v="3"/>
  </r>
  <r>
    <x v="518"/>
    <x v="0"/>
    <n v="4"/>
    <d v="2025-04-03T00:00:00"/>
    <d v="2025-04-03T00:00:00"/>
    <d v="2025-04-03T00:00:00"/>
    <d v="2025-04-03T00:00:00"/>
    <d v="2025-04-03T11:38:38"/>
    <n v="2039"/>
    <s v="610429"/>
    <s v="Sprinter"/>
    <n v="50"/>
    <n v="50"/>
    <s v="4366XC"/>
    <n v="1"/>
    <n v="150"/>
    <b v="1"/>
    <b v="0"/>
    <b v="0"/>
    <n v="231"/>
    <n v="0"/>
    <s v=""/>
    <s v=""/>
    <n v="50"/>
    <n v="359"/>
    <x v="6"/>
    <n v="359"/>
    <s v="Escobedo"/>
    <s v="Escobedo"/>
    <x v="0"/>
    <x v="2"/>
    <d v="2025-04-01T00:00:00"/>
    <x v="2"/>
    <x v="3"/>
  </r>
  <r>
    <x v="519"/>
    <x v="0"/>
    <n v="4"/>
    <d v="2025-04-04T00:00:00"/>
    <d v="2025-04-04T00:00:00"/>
    <d v="2025-04-04T00:00:00"/>
    <d v="2025-04-04T00:00:00"/>
    <d v="2025-04-04T00:00:00"/>
    <n v="2050"/>
    <s v="610429"/>
    <s v="Sprinter"/>
    <n v="96"/>
    <n v="96"/>
    <s v="LE28920"/>
    <n v="1"/>
    <n v="150"/>
    <b v="1"/>
    <b v="0"/>
    <b v="0"/>
    <n v="356"/>
    <n v="0"/>
    <s v=""/>
    <s v=""/>
    <n v="100"/>
    <n v="1606"/>
    <x v="3"/>
    <n v="1606"/>
    <s v="Cd Sahagún"/>
    <s v="Azcapotzalco"/>
    <x v="30"/>
    <x v="2"/>
    <d v="2025-04-01T00:00:00"/>
    <x v="2"/>
    <x v="3"/>
  </r>
  <r>
    <x v="520"/>
    <x v="0"/>
    <n v="4"/>
    <d v="2025-04-04T00:00:00"/>
    <d v="2025-04-04T00:00:00"/>
    <d v="2025-04-04T00:00:00"/>
    <d v="2025-04-04T00:00:00"/>
    <d v="2025-04-04T15:40:22"/>
    <n v="2039"/>
    <s v="610429"/>
    <s v="Sprinter"/>
    <n v="50"/>
    <n v="50"/>
    <s v="4366XC"/>
    <n v="1"/>
    <n v="150"/>
    <b v="1"/>
    <b v="0"/>
    <b v="0"/>
    <n v="231"/>
    <n v="0"/>
    <s v=""/>
    <s v=""/>
    <n v="50"/>
    <n v="966"/>
    <x v="6"/>
    <n v="966"/>
    <s v="Escobedo"/>
    <s v="Cienega de Flores"/>
    <x v="28"/>
    <x v="2"/>
    <d v="2025-04-01T00:00:00"/>
    <x v="2"/>
    <x v="3"/>
  </r>
  <r>
    <x v="521"/>
    <x v="0"/>
    <n v="4"/>
    <d v="2025-04-04T00:00:00"/>
    <d v="2025-04-04T00:00:00"/>
    <d v="2025-04-04T00:00:00"/>
    <d v="2025-04-04T00:00:00"/>
    <d v="2025-04-04T15:40:24"/>
    <n v="2039"/>
    <s v="610429"/>
    <s v="Sprinter"/>
    <n v="50"/>
    <n v="50"/>
    <s v="4366XC"/>
    <n v="1"/>
    <n v="150"/>
    <b v="1"/>
    <b v="0"/>
    <b v="0"/>
    <n v="231"/>
    <n v="0"/>
    <s v=""/>
    <s v=""/>
    <n v="50"/>
    <n v="966"/>
    <x v="6"/>
    <n v="966"/>
    <s v="Escobedo"/>
    <s v="Cienega de Flores"/>
    <x v="28"/>
    <x v="2"/>
    <d v="2025-04-01T00:00:00"/>
    <x v="2"/>
    <x v="3"/>
  </r>
  <r>
    <x v="522"/>
    <x v="0"/>
    <n v="4"/>
    <d v="2025-04-04T00:00:00"/>
    <d v="2025-04-04T00:00:00"/>
    <d v="2025-04-04T00:00:00"/>
    <d v="2025-04-04T00:00:00"/>
    <d v="2025-04-04T15:40:25"/>
    <n v="2039"/>
    <s v="610429"/>
    <s v="Sprinter"/>
    <n v="50"/>
    <n v="50"/>
    <s v="4366XC"/>
    <n v="1"/>
    <n v="150"/>
    <b v="1"/>
    <b v="0"/>
    <b v="0"/>
    <n v="231"/>
    <n v="0"/>
    <s v=""/>
    <s v=""/>
    <n v="50"/>
    <n v="2936"/>
    <x v="6"/>
    <n v="2936"/>
    <s v="Escobedo"/>
    <s v="Hidalgo"/>
    <x v="19"/>
    <x v="2"/>
    <d v="2025-04-01T00:00:00"/>
    <x v="2"/>
    <x v="3"/>
  </r>
  <r>
    <x v="523"/>
    <x v="0"/>
    <n v="4"/>
    <d v="2025-04-04T00:00:00"/>
    <d v="2025-04-04T00:00:00"/>
    <d v="2025-04-04T00:00:00"/>
    <d v="2025-04-04T00:00:00"/>
    <d v="2025-04-05T00:00:00"/>
    <n v="2050"/>
    <s v="626955"/>
    <s v="Sprinter"/>
    <n v="238"/>
    <n v="238"/>
    <s v="6551XC"/>
    <n v="1"/>
    <n v="236"/>
    <b v="1"/>
    <b v="0"/>
    <b v="0"/>
    <n v="624"/>
    <n v="0"/>
    <s v=""/>
    <s v=""/>
    <n v="300"/>
    <n v="2737"/>
    <x v="0"/>
    <n v="2737"/>
    <s v="Escobedo"/>
    <s v="Tepotzotlan"/>
    <x v="31"/>
    <x v="0"/>
    <d v="2025-04-01T00:00:00"/>
    <x v="2"/>
    <x v="3"/>
  </r>
  <r>
    <x v="524"/>
    <x v="0"/>
    <n v="4"/>
    <d v="2025-04-07T00:00:00"/>
    <d v="2025-04-07T00:00:00"/>
    <d v="2025-04-07T00:00:00"/>
    <d v="2025-04-07T00:00:00"/>
    <d v="2025-04-07T14:11:05"/>
    <n v="2039"/>
    <s v="610429"/>
    <s v="Sprinter"/>
    <n v="50"/>
    <n v="50"/>
    <s v="4366XC"/>
    <n v="1"/>
    <n v="150"/>
    <b v="1"/>
    <b v="0"/>
    <b v="0"/>
    <n v="231"/>
    <n v="0"/>
    <s v=""/>
    <s v=""/>
    <n v="50"/>
    <n v="359"/>
    <x v="6"/>
    <n v="359"/>
    <s v="Escobedo"/>
    <s v="Escobedo"/>
    <x v="0"/>
    <x v="2"/>
    <d v="2025-04-01T00:00:00"/>
    <x v="2"/>
    <x v="3"/>
  </r>
  <r>
    <x v="525"/>
    <x v="0"/>
    <n v="4"/>
    <d v="2025-04-07T00:00:00"/>
    <d v="2025-04-07T00:00:00"/>
    <d v="2025-04-07T00:00:00"/>
    <d v="2025-04-07T00:00:00"/>
    <d v="2025-04-07T14:11:06"/>
    <n v="2039"/>
    <s v="610429"/>
    <s v="Sprinter"/>
    <n v="50"/>
    <n v="50"/>
    <s v="4366XC"/>
    <n v="1"/>
    <n v="150"/>
    <b v="1"/>
    <b v="0"/>
    <b v="0"/>
    <n v="231"/>
    <n v="0"/>
    <s v=""/>
    <s v=""/>
    <n v="50"/>
    <n v="359"/>
    <x v="6"/>
    <n v="359"/>
    <s v="Escobedo"/>
    <s v="Escobedo"/>
    <x v="0"/>
    <x v="2"/>
    <d v="2025-04-01T00:00:00"/>
    <x v="2"/>
    <x v="3"/>
  </r>
  <r>
    <x v="526"/>
    <x v="0"/>
    <n v="4"/>
    <d v="2025-04-07T00:00:00"/>
    <d v="2025-04-07T00:00:00"/>
    <d v="2025-04-07T00:00:00"/>
    <d v="2025-04-07T00:00:00"/>
    <d v="2025-04-07T14:11:07"/>
    <n v="2039"/>
    <s v="610429"/>
    <s v="Sprinter"/>
    <n v="50"/>
    <n v="50"/>
    <s v="4366XC"/>
    <n v="1"/>
    <n v="150"/>
    <b v="1"/>
    <b v="0"/>
    <b v="0"/>
    <n v="231"/>
    <n v="0"/>
    <s v=""/>
    <s v=""/>
    <n v="50"/>
    <n v="2936"/>
    <x v="6"/>
    <n v="2936"/>
    <s v="Escobedo"/>
    <s v="Hidalgo"/>
    <x v="19"/>
    <x v="2"/>
    <d v="2025-04-01T00:00:00"/>
    <x v="2"/>
    <x v="3"/>
  </r>
  <r>
    <x v="527"/>
    <x v="0"/>
    <n v="4"/>
    <d v="2025-04-10T00:00:00"/>
    <d v="2025-04-10T00:00:00"/>
    <d v="2025-04-11T00:00:00"/>
    <d v="2025-04-10T00:00:00"/>
    <d v="2025-04-12T00:00:00"/>
    <n v="216"/>
    <s v="626955"/>
    <s v="Sprinter"/>
    <n v="1264"/>
    <n v="0"/>
    <s v="3645XC"/>
    <n v="1"/>
    <n v="1264"/>
    <b v="1"/>
    <b v="0"/>
    <b v="0"/>
    <n v="1746"/>
    <n v="0"/>
    <s v=""/>
    <s v=""/>
    <n v="1300"/>
    <n v="98"/>
    <x v="11"/>
    <n v="98"/>
    <s v="Cd Sahagún"/>
    <s v="Culiacan"/>
    <x v="2"/>
    <x v="0"/>
    <d v="2025-04-01T00:00:00"/>
    <x v="2"/>
    <x v="3"/>
  </r>
  <r>
    <x v="528"/>
    <x v="0"/>
    <n v="4"/>
    <d v="2025-04-12T00:00:00"/>
    <d v="2025-04-12T00:00:00"/>
    <d v="2025-04-14T00:00:00"/>
    <d v="2025-04-13T00:00:00"/>
    <d v="2025-04-14T12:35:23"/>
    <n v="2039"/>
    <s v="610429"/>
    <s v="Sprinter"/>
    <n v="961"/>
    <n v="0"/>
    <s v="4366XC"/>
    <n v="1"/>
    <n v="964"/>
    <b v="1"/>
    <b v="0"/>
    <b v="0"/>
    <n v="0"/>
    <n v="0"/>
    <s v=""/>
    <s v=""/>
    <n v="0"/>
    <n v="1204"/>
    <x v="11"/>
    <n v="1204"/>
    <s v="Tlaquepaque"/>
    <s v="Tepic"/>
    <x v="33"/>
    <x v="2"/>
    <d v="2025-04-01T00:00:00"/>
    <x v="2"/>
    <x v="3"/>
  </r>
  <r>
    <x v="529"/>
    <x v="0"/>
    <n v="4"/>
    <d v="2025-04-16T00:00:00"/>
    <d v="2025-04-16T00:00:00"/>
    <d v="2025-04-22T00:00:00"/>
    <d v="2025-04-20T00:00:00"/>
    <d v="2025-04-23T00:00:00"/>
    <n v="2244"/>
    <s v="775908"/>
    <s v="4700*175*195"/>
    <n v="1264"/>
    <n v="0"/>
    <s v="3727XC"/>
    <n v="1"/>
    <n v="1264"/>
    <b v="1"/>
    <b v="0"/>
    <b v="0"/>
    <n v="1746"/>
    <n v="0"/>
    <s v=""/>
    <s v=""/>
    <n v="1300"/>
    <n v="98"/>
    <x v="11"/>
    <n v="98"/>
    <s v="Cd Sahagún"/>
    <s v="Culiacan"/>
    <x v="2"/>
    <x v="1"/>
    <d v="2025-04-01T00:00:00"/>
    <x v="2"/>
    <x v="3"/>
  </r>
  <r>
    <x v="530"/>
    <x v="0"/>
    <n v="4"/>
    <d v="2025-04-21T00:00:00"/>
    <d v="2025-04-21T00:00:00"/>
    <d v="2025-04-22T00:00:00"/>
    <d v="2025-04-22T00:00:00"/>
    <d v="2025-04-22T00:00:00"/>
    <n v="2050"/>
    <s v="626955"/>
    <s v="Sprinter"/>
    <n v="107"/>
    <n v="0"/>
    <s v="6551XC"/>
    <n v="1"/>
    <n v="107"/>
    <b v="1"/>
    <b v="0"/>
    <b v="0"/>
    <n v="536"/>
    <n v="0"/>
    <s v=""/>
    <s v=""/>
    <n v="200"/>
    <n v="35"/>
    <x v="11"/>
    <n v="35"/>
    <s v="Cd Sahagún"/>
    <s v="Cuautitlan"/>
    <x v="34"/>
    <x v="0"/>
    <d v="2025-04-01T00:00:00"/>
    <x v="2"/>
    <x v="3"/>
  </r>
  <r>
    <x v="531"/>
    <x v="0"/>
    <n v="4"/>
    <d v="2025-04-23T00:00:00"/>
    <d v="2025-04-23T00:00:00"/>
    <d v="2025-04-25T00:00:00"/>
    <d v="2025-04-23T00:00:00"/>
    <d v="2025-04-24T00:00:00"/>
    <n v="2050"/>
    <s v="775908"/>
    <s v="4700*175*195"/>
    <n v="1264"/>
    <n v="0"/>
    <s v="LE28923"/>
    <n v="1"/>
    <n v="1264"/>
    <b v="1"/>
    <b v="0"/>
    <b v="0"/>
    <n v="1746"/>
    <n v="0"/>
    <s v=""/>
    <s v=""/>
    <n v="1300"/>
    <n v="98"/>
    <x v="11"/>
    <n v="98"/>
    <s v="Cd Sahagún"/>
    <s v="Culiacan"/>
    <x v="2"/>
    <x v="1"/>
    <d v="2025-04-01T00:00:00"/>
    <x v="2"/>
    <x v="3"/>
  </r>
  <r>
    <x v="532"/>
    <x v="0"/>
    <n v="4"/>
    <d v="2025-04-26T00:00:00"/>
    <d v="2025-04-26T00:00:00"/>
    <d v="2025-04-28T00:00:00"/>
    <d v="2025-04-27T00:00:00"/>
    <d v="2025-04-28T00:00:00"/>
    <n v="2050"/>
    <s v="775908"/>
    <s v="4700*175*195"/>
    <n v="961"/>
    <n v="0"/>
    <s v="LE28923"/>
    <n v="1"/>
    <n v="964"/>
    <b v="1"/>
    <b v="0"/>
    <b v="0"/>
    <n v="1494"/>
    <n v="0"/>
    <s v=""/>
    <s v="Salida de Patio Sahagún, 2:00 pm. Por favor."/>
    <n v="1100"/>
    <n v="8"/>
    <x v="11"/>
    <n v="8"/>
    <s v="Escobedo"/>
    <s v="Cd Sahagún"/>
    <x v="3"/>
    <x v="1"/>
    <d v="2025-04-01T00:00:00"/>
    <x v="2"/>
    <x v="3"/>
  </r>
  <r>
    <x v="533"/>
    <x v="0"/>
    <n v="4"/>
    <d v="2025-04-30T00:00:00"/>
    <d v="2025-04-30T00:00:00"/>
    <d v="2025-04-30T00:00:00"/>
    <d v="2025-04-30T00:00:00"/>
    <d v="2025-04-30T00:00:00"/>
    <n v="2119"/>
    <s v="626955"/>
    <s v="Sprinter"/>
    <n v="96"/>
    <n v="96"/>
    <s v="4544XC"/>
    <n v="1"/>
    <n v="150"/>
    <b v="1"/>
    <b v="0"/>
    <b v="0"/>
    <n v="356"/>
    <n v="0"/>
    <s v=""/>
    <s v=""/>
    <n v="100"/>
    <n v="1606"/>
    <x v="1"/>
    <n v="1606"/>
    <s v="Cd Sahagún"/>
    <s v="Azcapotzalco"/>
    <x v="30"/>
    <x v="0"/>
    <d v="2025-04-01T00:00:00"/>
    <x v="2"/>
    <x v="3"/>
  </r>
  <r>
    <x v="534"/>
    <x v="0"/>
    <n v="5"/>
    <d v="2025-05-07T00:00:00"/>
    <d v="2025-05-07T00:00:00"/>
    <d v="2025-05-08T00:00:00"/>
    <d v="2025-05-07T00:00:00"/>
    <d v="2025-05-09T00:00:00"/>
    <n v="2244"/>
    <s v="775908"/>
    <s v="4700*175*195"/>
    <n v="961"/>
    <n v="1059"/>
    <s v="3727XC"/>
    <n v="1"/>
    <n v="964"/>
    <b v="1"/>
    <b v="0"/>
    <b v="0"/>
    <n v="1494"/>
    <n v="0"/>
    <s v=""/>
    <s v="SALIDA 5PM"/>
    <n v="1100"/>
    <n v="8"/>
    <x v="4"/>
    <n v="8"/>
    <s v="Escobedo"/>
    <s v="Cd Sahagún"/>
    <x v="3"/>
    <x v="1"/>
    <d v="2025-05-01T00:00:00"/>
    <x v="3"/>
    <x v="3"/>
  </r>
  <r>
    <x v="535"/>
    <x v="0"/>
    <n v="5"/>
    <d v="2025-05-07T00:00:00"/>
    <d v="2025-05-07T00:00:00"/>
    <d v="2025-05-07T00:00:00"/>
    <d v="2025-05-07T00:00:00"/>
    <d v="2025-05-07T15:48:13"/>
    <n v="2039"/>
    <s v="610429"/>
    <s v="Sprinter"/>
    <n v="50"/>
    <n v="50"/>
    <s v="4366XC"/>
    <n v="1"/>
    <n v="150"/>
    <b v="1"/>
    <b v="0"/>
    <b v="0"/>
    <n v="231"/>
    <n v="0"/>
    <s v=""/>
    <s v=""/>
    <n v="50"/>
    <n v="2936"/>
    <x v="4"/>
    <n v="2936"/>
    <s v="Escobedo"/>
    <s v="Hidalgo"/>
    <x v="19"/>
    <x v="2"/>
    <d v="2025-05-01T00:00:00"/>
    <x v="3"/>
    <x v="3"/>
  </r>
  <r>
    <x v="536"/>
    <x v="0"/>
    <n v="5"/>
    <d v="2025-05-07T00:00:00"/>
    <d v="2025-05-07T00:00:00"/>
    <d v="2025-05-07T00:00:00"/>
    <d v="2025-05-07T00:00:00"/>
    <d v="2025-05-07T15:48:45"/>
    <n v="2039"/>
    <s v="610429"/>
    <s v="Sprinter"/>
    <n v="50"/>
    <n v="50"/>
    <s v="4366XC"/>
    <n v="1"/>
    <n v="150"/>
    <b v="1"/>
    <b v="0"/>
    <b v="0"/>
    <n v="231"/>
    <n v="0"/>
    <s v=""/>
    <s v=""/>
    <n v="50"/>
    <n v="359"/>
    <x v="4"/>
    <n v="359"/>
    <s v="Escobedo"/>
    <s v="Escobedo"/>
    <x v="0"/>
    <x v="2"/>
    <d v="2025-05-01T00:00:00"/>
    <x v="3"/>
    <x v="3"/>
  </r>
  <r>
    <x v="537"/>
    <x v="0"/>
    <n v="5"/>
    <d v="2025-05-07T00:00:00"/>
    <d v="2025-05-07T00:00:00"/>
    <d v="2025-05-07T00:00:00"/>
    <d v="2025-05-07T00:00:00"/>
    <d v="2025-05-07T15:49:20"/>
    <n v="2039"/>
    <s v="610429"/>
    <s v="Sprinter"/>
    <n v="50"/>
    <n v="50"/>
    <s v="4366XC"/>
    <n v="1"/>
    <n v="150"/>
    <b v="1"/>
    <b v="0"/>
    <b v="0"/>
    <n v="231"/>
    <n v="0"/>
    <s v=""/>
    <s v=""/>
    <n v="50"/>
    <n v="2936"/>
    <x v="4"/>
    <n v="2936"/>
    <s v="Escobedo"/>
    <s v="Hidalgo"/>
    <x v="19"/>
    <x v="2"/>
    <d v="2025-05-01T00:00:00"/>
    <x v="3"/>
    <x v="3"/>
  </r>
  <r>
    <x v="538"/>
    <x v="0"/>
    <n v="5"/>
    <d v="2025-05-07T00:00:00"/>
    <d v="2025-05-07T00:00:00"/>
    <d v="2025-05-07T00:00:00"/>
    <d v="2025-05-07T00:00:00"/>
    <d v="2025-05-07T16:00:41"/>
    <n v="2039"/>
    <s v="610429"/>
    <s v="Sprinter"/>
    <n v="50"/>
    <n v="50"/>
    <s v="4366XC"/>
    <n v="1"/>
    <n v="150"/>
    <b v="1"/>
    <b v="0"/>
    <b v="0"/>
    <n v="231"/>
    <n v="0"/>
    <s v=""/>
    <s v=""/>
    <n v="50"/>
    <n v="308"/>
    <x v="4"/>
    <n v="308"/>
    <s v="Escobedo"/>
    <s v="Guadalupe"/>
    <x v="25"/>
    <x v="2"/>
    <d v="2025-05-01T00:00:00"/>
    <x v="3"/>
    <x v="3"/>
  </r>
  <r>
    <x v="539"/>
    <x v="0"/>
    <n v="5"/>
    <d v="2025-05-07T00:00:00"/>
    <d v="2025-05-07T00:00:00"/>
    <d v="2025-05-07T00:00:00"/>
    <d v="2025-05-07T00:00:00"/>
    <d v="2025-05-07T19:08:22"/>
    <n v="2039"/>
    <s v="610429"/>
    <s v="Sprinter"/>
    <n v="86"/>
    <n v="150"/>
    <s v="4366XC"/>
    <n v="1"/>
    <n v="88"/>
    <b v="1"/>
    <b v="0"/>
    <b v="0"/>
    <n v="536"/>
    <n v="0"/>
    <s v=""/>
    <s v=""/>
    <n v="200"/>
    <n v="1766"/>
    <x v="4"/>
    <n v="1766"/>
    <s v="Escobedo"/>
    <s v="Allende"/>
    <x v="6"/>
    <x v="2"/>
    <d v="2025-05-01T00:00:00"/>
    <x v="3"/>
    <x v="3"/>
  </r>
  <r>
    <x v="540"/>
    <x v="0"/>
    <n v="5"/>
    <d v="2025-04-30T00:00:00"/>
    <d v="2025-05-01T00:00:00"/>
    <d v="2025-04-30T00:00:00"/>
    <d v="2025-04-30T00:00:00"/>
    <d v="2025-05-01T00:00:00"/>
    <n v="2039"/>
    <s v="610429"/>
    <s v="Sprinter"/>
    <n v="50"/>
    <n v="50"/>
    <s v="4366XC"/>
    <n v="1"/>
    <n v="150"/>
    <b v="1"/>
    <b v="0"/>
    <b v="0"/>
    <n v="231"/>
    <n v="0"/>
    <s v=""/>
    <s v=""/>
    <n v="50"/>
    <n v="359"/>
    <x v="7"/>
    <n v="359"/>
    <s v="Escobedo"/>
    <s v="Escobedo"/>
    <x v="0"/>
    <x v="2"/>
    <d v="2025-05-01T00:00:00"/>
    <x v="3"/>
    <x v="3"/>
  </r>
  <r>
    <x v="541"/>
    <x v="0"/>
    <n v="5"/>
    <d v="2025-05-08T00:00:00"/>
    <d v="2025-05-08T00:00:00"/>
    <d v="2025-05-08T00:00:00"/>
    <d v="2025-05-08T00:00:00"/>
    <d v="2025-05-09T07:42:14"/>
    <n v="2039"/>
    <s v="610429"/>
    <s v="Sprinter"/>
    <n v="50"/>
    <n v="50"/>
    <s v="4366XC"/>
    <n v="1"/>
    <n v="150"/>
    <b v="1"/>
    <b v="0"/>
    <b v="0"/>
    <n v="231"/>
    <n v="0"/>
    <s v=""/>
    <s v=""/>
    <n v="50"/>
    <n v="359"/>
    <x v="4"/>
    <n v="359"/>
    <s v="Escobedo"/>
    <s v="Escobedo"/>
    <x v="0"/>
    <x v="2"/>
    <d v="2025-05-01T00:00:00"/>
    <x v="3"/>
    <x v="3"/>
  </r>
  <r>
    <x v="542"/>
    <x v="0"/>
    <n v="5"/>
    <d v="2025-05-08T00:00:00"/>
    <d v="2025-05-08T00:00:00"/>
    <d v="2025-05-08T00:00:00"/>
    <d v="2025-05-08T00:00:00"/>
    <d v="2025-05-09T07:42:15"/>
    <n v="2039"/>
    <s v="610429"/>
    <s v="Sprinter"/>
    <n v="50"/>
    <n v="50"/>
    <s v="4366XC"/>
    <n v="1"/>
    <n v="150"/>
    <b v="1"/>
    <b v="0"/>
    <b v="0"/>
    <n v="231"/>
    <n v="0"/>
    <s v=""/>
    <s v=""/>
    <n v="50"/>
    <n v="2936"/>
    <x v="4"/>
    <n v="2936"/>
    <s v="Escobedo"/>
    <s v="Hidalgo"/>
    <x v="19"/>
    <x v="2"/>
    <d v="2025-05-01T00:00:00"/>
    <x v="3"/>
    <x v="3"/>
  </r>
  <r>
    <x v="543"/>
    <x v="0"/>
    <n v="5"/>
    <d v="2025-05-08T00:00:00"/>
    <d v="2025-05-08T00:00:00"/>
    <d v="2025-05-08T00:00:00"/>
    <d v="2025-05-08T00:00:00"/>
    <d v="2025-05-09T07:42:12"/>
    <n v="2039"/>
    <s v="610429"/>
    <s v="Sprinter"/>
    <n v="50"/>
    <n v="50"/>
    <s v="4366XC"/>
    <n v="1"/>
    <n v="150"/>
    <b v="1"/>
    <b v="0"/>
    <b v="0"/>
    <n v="231"/>
    <n v="0"/>
    <s v=""/>
    <s v=""/>
    <n v="50"/>
    <n v="2936"/>
    <x v="4"/>
    <n v="2936"/>
    <s v="Escobedo"/>
    <s v="Hidalgo"/>
    <x v="19"/>
    <x v="2"/>
    <d v="2025-05-01T00:00:00"/>
    <x v="3"/>
    <x v="3"/>
  </r>
  <r>
    <x v="544"/>
    <x v="0"/>
    <n v="5"/>
    <d v="2025-05-08T00:00:00"/>
    <d v="2025-05-08T00:00:00"/>
    <d v="2025-05-08T00:00:00"/>
    <d v="2025-05-08T00:00:00"/>
    <d v="2025-05-09T07:42:13"/>
    <n v="2039"/>
    <s v="610429"/>
    <s v="Sprinter"/>
    <n v="50"/>
    <n v="50"/>
    <s v="4366XC"/>
    <n v="1"/>
    <n v="150"/>
    <b v="1"/>
    <b v="0"/>
    <b v="0"/>
    <n v="231"/>
    <n v="0"/>
    <s v=""/>
    <s v=""/>
    <n v="50"/>
    <n v="370"/>
    <x v="4"/>
    <n v="370"/>
    <s v="Escobedo"/>
    <s v="Cadereyta Jiménez"/>
    <x v="35"/>
    <x v="2"/>
    <d v="2025-05-01T00:00:00"/>
    <x v="3"/>
    <x v="3"/>
  </r>
  <r>
    <x v="545"/>
    <x v="0"/>
    <n v="5"/>
    <d v="2025-05-08T00:00:00"/>
    <d v="2025-05-08T00:00:00"/>
    <d v="2025-05-08T00:00:00"/>
    <d v="2025-05-08T00:00:00"/>
    <d v="2025-05-09T00:00:00"/>
    <n v="2039"/>
    <s v="610429"/>
    <s v="Sprinter"/>
    <n v="50"/>
    <n v="50"/>
    <s v="4366XC"/>
    <n v="1"/>
    <n v="150"/>
    <b v="1"/>
    <b v="0"/>
    <b v="0"/>
    <n v="231"/>
    <n v="0"/>
    <s v=""/>
    <s v=""/>
    <n v="50"/>
    <n v="359"/>
    <x v="4"/>
    <n v="359"/>
    <s v="Escobedo"/>
    <s v="Escobedo"/>
    <x v="0"/>
    <x v="2"/>
    <d v="2025-05-01T00:00:00"/>
    <x v="3"/>
    <x v="3"/>
  </r>
  <r>
    <x v="546"/>
    <x v="0"/>
    <n v="5"/>
    <d v="2025-04-30T00:00:00"/>
    <d v="2025-05-01T00:00:00"/>
    <d v="2025-04-30T00:00:00"/>
    <d v="2025-04-30T00:00:00"/>
    <d v="2025-05-01T00:00:00"/>
    <n v="2039"/>
    <s v="610429"/>
    <s v="Sprinter"/>
    <n v="50"/>
    <n v="50"/>
    <s v="4366XC"/>
    <n v="1"/>
    <n v="150"/>
    <b v="1"/>
    <b v="0"/>
    <b v="0"/>
    <n v="231"/>
    <n v="0"/>
    <s v=""/>
    <s v=""/>
    <n v="50"/>
    <n v="359"/>
    <x v="7"/>
    <n v="359"/>
    <s v="Escobedo"/>
    <s v="Escobedo"/>
    <x v="0"/>
    <x v="2"/>
    <d v="2025-05-01T00:00:00"/>
    <x v="3"/>
    <x v="3"/>
  </r>
  <r>
    <x v="547"/>
    <x v="0"/>
    <n v="5"/>
    <d v="2025-04-30T00:00:00"/>
    <d v="2025-05-01T00:00:00"/>
    <d v="2025-05-30T00:00:00"/>
    <d v="2025-05-30T00:00:00"/>
    <d v="2025-05-01T14:05:38"/>
    <n v="2039"/>
    <s v="610429"/>
    <s v="Sprinter"/>
    <n v="50"/>
    <n v="50"/>
    <s v="4366XC"/>
    <n v="1"/>
    <n v="150"/>
    <b v="1"/>
    <b v="0"/>
    <b v="0"/>
    <n v="231"/>
    <n v="0"/>
    <s v=""/>
    <s v=""/>
    <n v="50"/>
    <n v="2936"/>
    <x v="7"/>
    <n v="2936"/>
    <s v="Escobedo"/>
    <s v="Hidalgo"/>
    <x v="19"/>
    <x v="2"/>
    <d v="2025-05-01T00:00:00"/>
    <x v="3"/>
    <x v="3"/>
  </r>
  <r>
    <x v="548"/>
    <x v="0"/>
    <n v="5"/>
    <d v="2025-05-09T00:00:00"/>
    <d v="2025-05-09T00:00:00"/>
    <d v="2025-05-09T00:00:00"/>
    <d v="2025-05-09T00:00:00"/>
    <d v="2025-05-10T10:21:04"/>
    <n v="2039"/>
    <s v="610429"/>
    <s v="Sprinter"/>
    <n v="50"/>
    <n v="50"/>
    <s v="4366XC"/>
    <n v="1"/>
    <n v="150"/>
    <b v="1"/>
    <b v="0"/>
    <b v="0"/>
    <n v="231"/>
    <n v="0"/>
    <s v=""/>
    <s v=""/>
    <n v="50"/>
    <n v="359"/>
    <x v="3"/>
    <n v="359"/>
    <s v="Escobedo"/>
    <s v="Escobedo"/>
    <x v="0"/>
    <x v="2"/>
    <d v="2025-05-01T00:00:00"/>
    <x v="3"/>
    <x v="3"/>
  </r>
  <r>
    <x v="549"/>
    <x v="0"/>
    <n v="5"/>
    <d v="2025-05-09T00:00:00"/>
    <d v="2025-05-09T00:00:00"/>
    <d v="2025-05-09T00:00:00"/>
    <d v="2025-05-09T00:00:00"/>
    <d v="2025-05-10T10:21:33"/>
    <n v="2039"/>
    <s v="610429"/>
    <s v="Sprinter"/>
    <n v="50"/>
    <n v="50"/>
    <s v="4366XC"/>
    <n v="1"/>
    <n v="150"/>
    <b v="1"/>
    <b v="0"/>
    <b v="0"/>
    <n v="231"/>
    <n v="0"/>
    <s v=""/>
    <s v=""/>
    <n v="50"/>
    <n v="2936"/>
    <x v="3"/>
    <n v="2936"/>
    <s v="Escobedo"/>
    <s v="Hidalgo"/>
    <x v="19"/>
    <x v="2"/>
    <d v="2025-05-01T00:00:00"/>
    <x v="3"/>
    <x v="3"/>
  </r>
  <r>
    <x v="550"/>
    <x v="0"/>
    <n v="5"/>
    <d v="2025-04-30T00:00:00"/>
    <d v="2025-05-01T00:00:00"/>
    <d v="2025-05-30T00:00:00"/>
    <d v="2025-05-30T00:00:00"/>
    <d v="2025-05-01T14:06:14"/>
    <n v="2039"/>
    <s v="610429"/>
    <s v="Sprinter"/>
    <n v="50"/>
    <n v="50"/>
    <s v="4366XC"/>
    <n v="1"/>
    <n v="150"/>
    <b v="1"/>
    <b v="0"/>
    <b v="0"/>
    <n v="231"/>
    <n v="0"/>
    <s v=""/>
    <s v=""/>
    <n v="50"/>
    <n v="2936"/>
    <x v="7"/>
    <n v="2936"/>
    <s v="Escobedo"/>
    <s v="Hidalgo"/>
    <x v="19"/>
    <x v="2"/>
    <d v="2025-05-01T00:00:00"/>
    <x v="3"/>
    <x v="3"/>
  </r>
  <r>
    <x v="551"/>
    <x v="0"/>
    <n v="5"/>
    <d v="2025-05-09T00:00:00"/>
    <d v="2025-05-09T00:00:00"/>
    <d v="2025-05-09T00:00:00"/>
    <d v="2025-05-09T00:00:00"/>
    <d v="2025-05-10T10:22:39"/>
    <n v="2039"/>
    <s v="610429"/>
    <s v="Sprinter"/>
    <n v="50"/>
    <n v="50"/>
    <s v="4366XC"/>
    <n v="1"/>
    <n v="150"/>
    <b v="1"/>
    <b v="0"/>
    <b v="0"/>
    <n v="231"/>
    <n v="0"/>
    <s v=""/>
    <s v=""/>
    <n v="50"/>
    <n v="359"/>
    <x v="3"/>
    <n v="359"/>
    <s v="Escobedo"/>
    <s v="Escobedo"/>
    <x v="0"/>
    <x v="2"/>
    <d v="2025-05-01T00:00:00"/>
    <x v="3"/>
    <x v="3"/>
  </r>
  <r>
    <x v="552"/>
    <x v="0"/>
    <n v="5"/>
    <d v="2025-05-09T00:00:00"/>
    <d v="2025-05-09T00:00:00"/>
    <d v="2025-05-09T00:00:00"/>
    <d v="2025-05-09T00:00:00"/>
    <d v="2025-05-10T10:23:32"/>
    <n v="2039"/>
    <s v="610429"/>
    <s v="Sprinter"/>
    <n v="50"/>
    <n v="50"/>
    <s v="4366XC"/>
    <n v="1"/>
    <n v="150"/>
    <b v="1"/>
    <b v="0"/>
    <b v="0"/>
    <n v="231"/>
    <n v="0"/>
    <s v=""/>
    <s v=""/>
    <n v="50"/>
    <n v="2936"/>
    <x v="3"/>
    <n v="2936"/>
    <s v="Escobedo"/>
    <s v="Hidalgo"/>
    <x v="19"/>
    <x v="2"/>
    <d v="2025-05-01T00:00:00"/>
    <x v="3"/>
    <x v="3"/>
  </r>
  <r>
    <x v="553"/>
    <x v="0"/>
    <n v="5"/>
    <d v="2025-05-09T00:00:00"/>
    <d v="2025-05-09T00:00:00"/>
    <d v="2025-05-09T00:00:00"/>
    <d v="2025-05-09T00:00:00"/>
    <d v="2025-05-10T10:24:06"/>
    <n v="2039"/>
    <s v="610429"/>
    <s v="Sprinter"/>
    <n v="50"/>
    <n v="50"/>
    <s v="4366XC"/>
    <n v="1"/>
    <n v="150"/>
    <b v="1"/>
    <b v="0"/>
    <b v="0"/>
    <n v="231"/>
    <n v="0"/>
    <s v=""/>
    <s v=""/>
    <n v="50"/>
    <n v="359"/>
    <x v="3"/>
    <n v="359"/>
    <s v="Escobedo"/>
    <s v="Escobedo"/>
    <x v="0"/>
    <x v="2"/>
    <d v="2025-05-01T00:00:00"/>
    <x v="3"/>
    <x v="3"/>
  </r>
  <r>
    <x v="554"/>
    <x v="0"/>
    <n v="5"/>
    <d v="2025-05-10T00:00:00"/>
    <d v="2025-05-10T00:00:00"/>
    <d v="2025-05-10T00:00:00"/>
    <d v="2025-05-10T00:00:00"/>
    <d v="2025-05-10T10:24:48"/>
    <n v="2039"/>
    <s v="610429"/>
    <s v="Sprinter"/>
    <n v="50"/>
    <n v="50"/>
    <s v="4366XC"/>
    <n v="1"/>
    <n v="150"/>
    <b v="1"/>
    <b v="0"/>
    <b v="0"/>
    <n v="231"/>
    <n v="0"/>
    <s v=""/>
    <s v=""/>
    <n v="50"/>
    <n v="359"/>
    <x v="3"/>
    <n v="359"/>
    <s v="Escobedo"/>
    <s v="Escobedo"/>
    <x v="0"/>
    <x v="2"/>
    <d v="2025-05-01T00:00:00"/>
    <x v="3"/>
    <x v="3"/>
  </r>
  <r>
    <x v="555"/>
    <x v="0"/>
    <n v="5"/>
    <d v="2025-05-11T00:00:00"/>
    <d v="2025-05-11T00:00:00"/>
    <d v="2025-05-11T00:00:00"/>
    <d v="2025-05-11T00:00:00"/>
    <d v="2025-05-12T12:56:34"/>
    <n v="2039"/>
    <s v="610429"/>
    <s v="Sprinter"/>
    <n v="50"/>
    <n v="50"/>
    <s v="4366XC"/>
    <n v="1"/>
    <n v="150"/>
    <b v="1"/>
    <b v="0"/>
    <b v="0"/>
    <n v="231"/>
    <n v="0"/>
    <s v=""/>
    <s v=""/>
    <n v="50"/>
    <n v="359"/>
    <x v="3"/>
    <n v="359"/>
    <s v="Escobedo"/>
    <s v="Escobedo"/>
    <x v="0"/>
    <x v="2"/>
    <d v="2025-05-01T00:00:00"/>
    <x v="3"/>
    <x v="3"/>
  </r>
  <r>
    <x v="556"/>
    <x v="0"/>
    <n v="5"/>
    <d v="2025-04-30T00:00:00"/>
    <d v="2025-05-01T00:00:00"/>
    <d v="2025-05-30T00:00:00"/>
    <d v="2025-05-30T00:00:00"/>
    <d v="2025-05-01T14:06:50"/>
    <n v="2039"/>
    <s v="610429"/>
    <s v="Sprinter"/>
    <n v="50"/>
    <n v="50"/>
    <s v="4366XC"/>
    <n v="1"/>
    <n v="150"/>
    <b v="1"/>
    <b v="0"/>
    <b v="0"/>
    <n v="231"/>
    <n v="0"/>
    <s v=""/>
    <s v=""/>
    <n v="50"/>
    <n v="2936"/>
    <x v="7"/>
    <n v="2936"/>
    <s v="Escobedo"/>
    <s v="Hidalgo"/>
    <x v="19"/>
    <x v="2"/>
    <d v="2025-05-01T00:00:00"/>
    <x v="3"/>
    <x v="3"/>
  </r>
  <r>
    <x v="557"/>
    <x v="0"/>
    <n v="5"/>
    <d v="2025-05-12T00:00:00"/>
    <d v="2025-05-12T00:00:00"/>
    <d v="2025-05-12T00:00:00"/>
    <d v="2025-05-12T00:00:00"/>
    <d v="2025-05-12T16:04:21"/>
    <n v="2039"/>
    <s v="610429"/>
    <s v="Sprinter"/>
    <n v="50"/>
    <n v="50"/>
    <s v="4366XC"/>
    <n v="1"/>
    <n v="150"/>
    <b v="1"/>
    <b v="0"/>
    <b v="0"/>
    <n v="231"/>
    <n v="0"/>
    <s v=""/>
    <s v=""/>
    <n v="50"/>
    <n v="359"/>
    <x v="6"/>
    <n v="359"/>
    <s v="Escobedo"/>
    <s v="Escobedo"/>
    <x v="0"/>
    <x v="2"/>
    <d v="2025-05-01T00:00:00"/>
    <x v="3"/>
    <x v="3"/>
  </r>
  <r>
    <x v="558"/>
    <x v="0"/>
    <n v="5"/>
    <d v="2025-05-12T00:00:00"/>
    <d v="2025-05-12T00:00:00"/>
    <d v="2025-05-12T00:00:00"/>
    <d v="2025-05-12T00:00:00"/>
    <d v="2025-05-12T16:04:54"/>
    <n v="2039"/>
    <s v="610429"/>
    <s v="Sprinter"/>
    <n v="50"/>
    <n v="50"/>
    <s v="4366XC"/>
    <n v="1"/>
    <n v="150"/>
    <b v="1"/>
    <b v="0"/>
    <b v="0"/>
    <n v="231"/>
    <n v="0"/>
    <s v=""/>
    <s v=""/>
    <n v="50"/>
    <n v="359"/>
    <x v="6"/>
    <n v="359"/>
    <s v="Escobedo"/>
    <s v="Escobedo"/>
    <x v="0"/>
    <x v="2"/>
    <d v="2025-05-01T00:00:00"/>
    <x v="3"/>
    <x v="3"/>
  </r>
  <r>
    <x v="559"/>
    <x v="0"/>
    <n v="5"/>
    <d v="2025-05-12T00:00:00"/>
    <d v="2025-05-12T00:00:00"/>
    <d v="2025-05-12T00:00:00"/>
    <d v="2025-05-12T00:00:00"/>
    <d v="2025-05-12T16:05:32"/>
    <n v="2039"/>
    <s v="610429"/>
    <s v="Sprinter"/>
    <n v="50"/>
    <n v="50"/>
    <s v="4366XC"/>
    <n v="1"/>
    <n v="150"/>
    <b v="1"/>
    <b v="0"/>
    <b v="0"/>
    <n v="231"/>
    <n v="0"/>
    <s v=""/>
    <s v=""/>
    <n v="50"/>
    <n v="359"/>
    <x v="6"/>
    <n v="359"/>
    <s v="Escobedo"/>
    <s v="Escobedo"/>
    <x v="0"/>
    <x v="2"/>
    <d v="2025-05-01T00:00:00"/>
    <x v="3"/>
    <x v="3"/>
  </r>
  <r>
    <x v="560"/>
    <x v="0"/>
    <n v="5"/>
    <d v="2025-05-12T00:00:00"/>
    <d v="2025-05-12T00:00:00"/>
    <d v="2025-05-12T00:00:00"/>
    <d v="2025-05-12T00:00:00"/>
    <d v="2025-05-12T16:06:13"/>
    <n v="2039"/>
    <s v="610429"/>
    <s v="Sprinter"/>
    <n v="50"/>
    <n v="50"/>
    <s v="4366XC"/>
    <n v="1"/>
    <n v="150"/>
    <b v="1"/>
    <b v="0"/>
    <b v="0"/>
    <n v="231"/>
    <n v="0"/>
    <s v=""/>
    <s v=""/>
    <n v="50"/>
    <n v="2936"/>
    <x v="6"/>
    <n v="2936"/>
    <s v="Escobedo"/>
    <s v="Hidalgo"/>
    <x v="19"/>
    <x v="2"/>
    <d v="2025-05-01T00:00:00"/>
    <x v="3"/>
    <x v="3"/>
  </r>
  <r>
    <x v="561"/>
    <x v="0"/>
    <n v="5"/>
    <d v="2025-05-12T00:00:00"/>
    <d v="2025-05-12T00:00:00"/>
    <d v="2025-05-12T00:00:00"/>
    <d v="2025-05-12T00:00:00"/>
    <d v="2025-05-12T16:07:01"/>
    <n v="2039"/>
    <s v="610429"/>
    <s v="Sprinter"/>
    <n v="50"/>
    <n v="50"/>
    <s v="4366XC"/>
    <n v="1"/>
    <n v="150"/>
    <b v="1"/>
    <b v="0"/>
    <b v="0"/>
    <n v="231"/>
    <n v="0"/>
    <s v=""/>
    <s v=""/>
    <n v="50"/>
    <n v="2936"/>
    <x v="6"/>
    <n v="2936"/>
    <s v="Escobedo"/>
    <s v="Hidalgo"/>
    <x v="19"/>
    <x v="2"/>
    <d v="2025-05-01T00:00:00"/>
    <x v="3"/>
    <x v="3"/>
  </r>
  <r>
    <x v="562"/>
    <x v="0"/>
    <n v="5"/>
    <d v="2025-05-12T00:00:00"/>
    <d v="2025-05-12T00:00:00"/>
    <d v="2025-05-12T00:00:00"/>
    <d v="2025-05-12T00:00:00"/>
    <d v="2025-05-12T16:08:09"/>
    <n v="2039"/>
    <s v="610429"/>
    <s v="Sprinter"/>
    <n v="50"/>
    <n v="50"/>
    <s v="4366XC"/>
    <n v="1"/>
    <n v="150"/>
    <b v="1"/>
    <b v="0"/>
    <b v="0"/>
    <n v="231"/>
    <n v="0"/>
    <s v=""/>
    <s v=""/>
    <n v="50"/>
    <n v="359"/>
    <x v="6"/>
    <n v="359"/>
    <s v="Escobedo"/>
    <s v="Escobedo"/>
    <x v="0"/>
    <x v="2"/>
    <d v="2025-05-01T00:00:00"/>
    <x v="3"/>
    <x v="3"/>
  </r>
  <r>
    <x v="563"/>
    <x v="0"/>
    <n v="5"/>
    <d v="2025-05-12T00:00:00"/>
    <d v="2025-05-12T00:00:00"/>
    <d v="2025-05-12T00:00:00"/>
    <d v="2025-05-12T00:00:00"/>
    <d v="2025-05-12T00:00:00"/>
    <n v="2050"/>
    <s v="626955"/>
    <s v="Sprinter"/>
    <n v="50"/>
    <n v="50"/>
    <s v="6551XC"/>
    <n v="1"/>
    <n v="150"/>
    <b v="1"/>
    <b v="0"/>
    <b v="0"/>
    <n v="231"/>
    <n v="0"/>
    <s v=""/>
    <s v=""/>
    <n v="50"/>
    <n v="359"/>
    <x v="6"/>
    <n v="359"/>
    <s v="Escobedo"/>
    <s v="Escobedo"/>
    <x v="0"/>
    <x v="0"/>
    <d v="2025-05-01T00:00:00"/>
    <x v="3"/>
    <x v="3"/>
  </r>
  <r>
    <x v="564"/>
    <x v="0"/>
    <n v="5"/>
    <d v="2025-05-12T00:00:00"/>
    <d v="2025-05-12T00:00:00"/>
    <d v="2025-05-12T00:00:00"/>
    <d v="2025-05-12T00:00:00"/>
    <d v="2025-05-12T00:00:00"/>
    <n v="2050"/>
    <s v="626955"/>
    <s v="Sprinter"/>
    <n v="50"/>
    <n v="50"/>
    <s v="6551XC"/>
    <n v="1"/>
    <n v="150"/>
    <b v="1"/>
    <b v="0"/>
    <b v="0"/>
    <n v="231"/>
    <n v="0"/>
    <s v=""/>
    <s v=""/>
    <n v="50"/>
    <n v="461"/>
    <x v="6"/>
    <n v="461"/>
    <s v="Escobedo"/>
    <s v="Monterrey"/>
    <x v="7"/>
    <x v="0"/>
    <d v="2025-05-01T00:00:00"/>
    <x v="3"/>
    <x v="3"/>
  </r>
  <r>
    <x v="565"/>
    <x v="0"/>
    <n v="5"/>
    <d v="2025-05-13T00:00:00"/>
    <d v="2025-05-13T00:00:00"/>
    <d v="2025-05-13T00:00:00"/>
    <d v="2025-05-13T00:00:00"/>
    <d v="2025-05-13T15:35:50"/>
    <n v="2039"/>
    <s v="610429"/>
    <s v="Sprinter"/>
    <n v="50"/>
    <n v="50"/>
    <s v="4366XC"/>
    <n v="1"/>
    <n v="150"/>
    <b v="1"/>
    <b v="0"/>
    <b v="0"/>
    <n v="231"/>
    <n v="0"/>
    <s v=""/>
    <s v=""/>
    <n v="50"/>
    <n v="229"/>
    <x v="4"/>
    <n v="229"/>
    <s v="Escobedo"/>
    <s v="Escobedo"/>
    <x v="0"/>
    <x v="2"/>
    <d v="2025-05-01T00:00:00"/>
    <x v="3"/>
    <x v="3"/>
  </r>
  <r>
    <x v="566"/>
    <x v="0"/>
    <n v="5"/>
    <d v="2025-05-13T00:00:00"/>
    <d v="2025-05-13T00:00:00"/>
    <d v="2025-05-13T00:00:00"/>
    <d v="2025-05-13T00:00:00"/>
    <d v="2025-05-13T15:36:40"/>
    <n v="2039"/>
    <s v="610429"/>
    <s v="Sprinter"/>
    <n v="50"/>
    <n v="50"/>
    <s v="4366XC"/>
    <n v="1"/>
    <n v="150"/>
    <b v="1"/>
    <b v="0"/>
    <b v="0"/>
    <n v="231"/>
    <n v="0"/>
    <s v=""/>
    <s v=""/>
    <n v="50"/>
    <n v="2936"/>
    <x v="4"/>
    <n v="2936"/>
    <s v="Escobedo"/>
    <s v="Hidalgo"/>
    <x v="19"/>
    <x v="2"/>
    <d v="2025-05-01T00:00:00"/>
    <x v="3"/>
    <x v="3"/>
  </r>
  <r>
    <x v="567"/>
    <x v="0"/>
    <n v="5"/>
    <d v="2025-05-13T00:00:00"/>
    <d v="2025-05-13T00:00:00"/>
    <d v="2025-05-13T00:00:00"/>
    <d v="2025-05-13T00:00:00"/>
    <d v="2025-05-13T15:37:10"/>
    <n v="2039"/>
    <s v="610429"/>
    <s v="Sprinter"/>
    <n v="50"/>
    <n v="50"/>
    <s v="4366XC"/>
    <n v="1"/>
    <n v="150"/>
    <b v="1"/>
    <b v="0"/>
    <b v="0"/>
    <n v="231"/>
    <n v="0"/>
    <s v=""/>
    <s v=""/>
    <n v="50"/>
    <n v="359"/>
    <x v="4"/>
    <n v="359"/>
    <s v="Escobedo"/>
    <s v="Escobedo"/>
    <x v="0"/>
    <x v="2"/>
    <d v="2025-05-01T00:00:00"/>
    <x v="3"/>
    <x v="3"/>
  </r>
  <r>
    <x v="568"/>
    <x v="0"/>
    <n v="5"/>
    <d v="2025-05-13T00:00:00"/>
    <d v="2025-05-13T00:00:00"/>
    <d v="2025-05-13T00:00:00"/>
    <d v="2025-05-13T00:00:00"/>
    <d v="2025-05-13T15:37:38"/>
    <n v="2039"/>
    <s v="610429"/>
    <s v="Sprinter"/>
    <n v="50"/>
    <n v="50"/>
    <s v="4366XC"/>
    <n v="1"/>
    <n v="150"/>
    <b v="1"/>
    <b v="0"/>
    <b v="0"/>
    <n v="231"/>
    <n v="0"/>
    <s v=""/>
    <s v=""/>
    <n v="50"/>
    <n v="2936"/>
    <x v="4"/>
    <n v="2936"/>
    <s v="Escobedo"/>
    <s v="Hidalgo"/>
    <x v="19"/>
    <x v="2"/>
    <d v="2025-05-01T00:00:00"/>
    <x v="3"/>
    <x v="3"/>
  </r>
  <r>
    <x v="569"/>
    <x v="0"/>
    <n v="5"/>
    <d v="2025-05-13T00:00:00"/>
    <d v="2025-05-13T00:00:00"/>
    <d v="2025-05-13T00:00:00"/>
    <d v="2025-05-13T00:00:00"/>
    <d v="2025-05-13T21:18:23"/>
    <n v="2039"/>
    <s v="610429"/>
    <s v="Sprinter"/>
    <n v="50"/>
    <n v="50"/>
    <s v="4366XC"/>
    <n v="1"/>
    <n v="150"/>
    <b v="1"/>
    <b v="0"/>
    <b v="0"/>
    <n v="231"/>
    <n v="0"/>
    <s v=""/>
    <s v=""/>
    <n v="50"/>
    <n v="2936"/>
    <x v="4"/>
    <n v="2936"/>
    <s v="Escobedo"/>
    <s v="Hidalgo"/>
    <x v="19"/>
    <x v="2"/>
    <d v="2025-05-01T00:00:00"/>
    <x v="3"/>
    <x v="3"/>
  </r>
  <r>
    <x v="570"/>
    <x v="0"/>
    <n v="5"/>
    <d v="2025-05-14T00:00:00"/>
    <d v="2025-05-14T00:00:00"/>
    <d v="2025-05-14T00:00:00"/>
    <d v="2025-05-14T00:00:00"/>
    <d v="2025-05-14T18:29:00"/>
    <n v="2039"/>
    <s v="610429"/>
    <s v="Sprinter"/>
    <n v="50"/>
    <n v="50"/>
    <s v="4366XC"/>
    <n v="1"/>
    <n v="150"/>
    <b v="1"/>
    <b v="0"/>
    <b v="0"/>
    <n v="231"/>
    <n v="0"/>
    <s v=""/>
    <s v=""/>
    <n v="50"/>
    <n v="359"/>
    <x v="6"/>
    <n v="359"/>
    <s v="Escobedo"/>
    <s v="Escobedo"/>
    <x v="0"/>
    <x v="2"/>
    <d v="2025-05-01T00:00:00"/>
    <x v="3"/>
    <x v="3"/>
  </r>
  <r>
    <x v="571"/>
    <x v="0"/>
    <n v="5"/>
    <d v="2025-05-14T00:00:00"/>
    <d v="2025-05-14T00:00:00"/>
    <d v="2025-05-14T00:00:00"/>
    <d v="2025-05-14T00:00:00"/>
    <d v="2025-05-14T18:29:37"/>
    <n v="2039"/>
    <s v="610429"/>
    <s v="Sprinter"/>
    <n v="50"/>
    <n v="50"/>
    <s v="4366XC"/>
    <n v="1"/>
    <n v="150"/>
    <b v="1"/>
    <b v="0"/>
    <b v="0"/>
    <n v="231"/>
    <n v="0"/>
    <s v=""/>
    <s v=""/>
    <n v="50"/>
    <n v="2936"/>
    <x v="6"/>
    <n v="2936"/>
    <s v="Escobedo"/>
    <s v="Hidalgo"/>
    <x v="19"/>
    <x v="2"/>
    <d v="2025-05-01T00:00:00"/>
    <x v="3"/>
    <x v="3"/>
  </r>
  <r>
    <x v="572"/>
    <x v="0"/>
    <n v="5"/>
    <d v="2025-05-14T00:00:00"/>
    <d v="2025-05-14T00:00:00"/>
    <d v="2025-05-14T00:00:00"/>
    <d v="2025-05-14T00:00:00"/>
    <d v="2025-05-14T18:30:07"/>
    <n v="2039"/>
    <s v="610429"/>
    <s v="Sprinter"/>
    <n v="50"/>
    <n v="50"/>
    <s v="4366XC"/>
    <n v="1"/>
    <n v="150"/>
    <b v="1"/>
    <b v="0"/>
    <b v="0"/>
    <n v="231"/>
    <n v="0"/>
    <s v=""/>
    <s v=""/>
    <n v="50"/>
    <n v="359"/>
    <x v="6"/>
    <n v="359"/>
    <s v="Escobedo"/>
    <s v="Escobedo"/>
    <x v="0"/>
    <x v="2"/>
    <d v="2025-05-01T00:00:00"/>
    <x v="3"/>
    <x v="3"/>
  </r>
  <r>
    <x v="573"/>
    <x v="0"/>
    <n v="5"/>
    <d v="2025-05-14T00:00:00"/>
    <d v="2025-05-14T00:00:00"/>
    <d v="2025-05-14T00:00:00"/>
    <d v="2025-05-14T00:00:00"/>
    <d v="2025-05-14T18:30:40"/>
    <n v="2039"/>
    <s v="610429"/>
    <s v="Sprinter"/>
    <n v="50"/>
    <n v="50"/>
    <s v="4366XC"/>
    <n v="1"/>
    <n v="150"/>
    <b v="1"/>
    <b v="0"/>
    <b v="0"/>
    <n v="231"/>
    <n v="0"/>
    <s v=""/>
    <s v=""/>
    <n v="50"/>
    <n v="359"/>
    <x v="6"/>
    <n v="359"/>
    <s v="Escobedo"/>
    <s v="Escobedo"/>
    <x v="0"/>
    <x v="2"/>
    <d v="2025-05-01T00:00:00"/>
    <x v="3"/>
    <x v="3"/>
  </r>
  <r>
    <x v="574"/>
    <x v="0"/>
    <n v="5"/>
    <d v="2025-05-14T00:00:00"/>
    <d v="2025-05-14T00:00:00"/>
    <d v="2025-05-14T00:00:00"/>
    <d v="2025-05-14T00:00:00"/>
    <d v="2025-05-14T18:31:18"/>
    <n v="2039"/>
    <s v="610429"/>
    <s v="Sprinter"/>
    <n v="50"/>
    <n v="50"/>
    <s v="4366XC"/>
    <n v="1"/>
    <n v="150"/>
    <b v="1"/>
    <b v="0"/>
    <b v="0"/>
    <n v="231"/>
    <n v="0"/>
    <s v=""/>
    <s v=""/>
    <n v="50"/>
    <n v="359"/>
    <x v="6"/>
    <n v="359"/>
    <s v="Escobedo"/>
    <s v="Escobedo"/>
    <x v="0"/>
    <x v="2"/>
    <d v="2025-05-01T00:00:00"/>
    <x v="3"/>
    <x v="3"/>
  </r>
  <r>
    <x v="575"/>
    <x v="0"/>
    <n v="5"/>
    <d v="2025-05-14T00:00:00"/>
    <d v="2025-05-14T00:00:00"/>
    <d v="2025-05-14T00:00:00"/>
    <d v="2025-05-14T00:00:00"/>
    <d v="2025-05-14T18:31:49"/>
    <n v="2039"/>
    <s v="610429"/>
    <s v="Sprinter"/>
    <n v="50"/>
    <n v="50"/>
    <s v="4366XC"/>
    <n v="1"/>
    <n v="150"/>
    <b v="1"/>
    <b v="0"/>
    <b v="0"/>
    <n v="231"/>
    <n v="0"/>
    <s v=""/>
    <s v=""/>
    <n v="50"/>
    <n v="359"/>
    <x v="6"/>
    <n v="359"/>
    <s v="Escobedo"/>
    <s v="Escobedo"/>
    <x v="0"/>
    <x v="2"/>
    <d v="2025-05-01T00:00:00"/>
    <x v="3"/>
    <x v="3"/>
  </r>
  <r>
    <x v="576"/>
    <x v="0"/>
    <n v="5"/>
    <d v="2025-05-14T00:00:00"/>
    <d v="2025-05-14T00:00:00"/>
    <d v="2025-05-14T00:00:00"/>
    <d v="2025-05-14T00:00:00"/>
    <d v="2025-05-14T18:32:26"/>
    <n v="2039"/>
    <s v="610429"/>
    <s v="Sprinter"/>
    <n v="50"/>
    <n v="50"/>
    <s v="4366XC"/>
    <n v="1"/>
    <n v="150"/>
    <b v="1"/>
    <b v="0"/>
    <b v="0"/>
    <n v="231"/>
    <n v="0"/>
    <s v=""/>
    <s v=""/>
    <n v="50"/>
    <n v="359"/>
    <x v="6"/>
    <n v="359"/>
    <s v="Escobedo"/>
    <s v="Escobedo"/>
    <x v="0"/>
    <x v="2"/>
    <d v="2025-05-01T00:00:00"/>
    <x v="3"/>
    <x v="3"/>
  </r>
  <r>
    <x v="577"/>
    <x v="0"/>
    <n v="5"/>
    <d v="2025-05-14T00:00:00"/>
    <d v="2025-05-14T00:00:00"/>
    <d v="2025-05-14T00:00:00"/>
    <d v="2025-05-14T00:00:00"/>
    <d v="2025-05-14T18:33:03"/>
    <n v="2039"/>
    <s v="610429"/>
    <s v="Sprinter"/>
    <n v="50"/>
    <n v="50"/>
    <s v="4366XC"/>
    <n v="1"/>
    <n v="150"/>
    <b v="1"/>
    <b v="0"/>
    <b v="0"/>
    <n v="231"/>
    <n v="0"/>
    <s v=""/>
    <s v=""/>
    <n v="50"/>
    <n v="359"/>
    <x v="6"/>
    <n v="359"/>
    <s v="Escobedo"/>
    <s v="Escobedo"/>
    <x v="0"/>
    <x v="2"/>
    <d v="2025-05-01T00:00:00"/>
    <x v="3"/>
    <x v="3"/>
  </r>
  <r>
    <x v="578"/>
    <x v="0"/>
    <n v="5"/>
    <d v="2025-05-14T00:00:00"/>
    <d v="2025-05-14T00:00:00"/>
    <d v="2025-05-14T00:00:00"/>
    <d v="2025-05-14T00:00:00"/>
    <d v="2025-05-15T00:00:00"/>
    <n v="2050"/>
    <s v="626955"/>
    <s v="Sprinter"/>
    <n v="50"/>
    <n v="50"/>
    <s v="6551XC"/>
    <n v="1"/>
    <n v="150"/>
    <b v="1"/>
    <b v="0"/>
    <b v="0"/>
    <n v="231"/>
    <n v="0"/>
    <s v=""/>
    <s v=""/>
    <n v="50"/>
    <n v="2936"/>
    <x v="6"/>
    <n v="2936"/>
    <s v="Escobedo"/>
    <s v="Hidalgo"/>
    <x v="19"/>
    <x v="0"/>
    <d v="2025-05-01T00:00:00"/>
    <x v="3"/>
    <x v="3"/>
  </r>
  <r>
    <x v="579"/>
    <x v="0"/>
    <n v="5"/>
    <d v="2025-05-17T00:00:00"/>
    <d v="2025-05-17T00:00:00"/>
    <d v="2025-05-17T00:00:00"/>
    <d v="2025-05-17T00:00:00"/>
    <d v="2025-05-17T15:30:29"/>
    <n v="2039"/>
    <s v="610429"/>
    <s v="Sprinter"/>
    <n v="50"/>
    <n v="50"/>
    <s v="4366XC"/>
    <n v="1"/>
    <n v="150"/>
    <b v="1"/>
    <b v="0"/>
    <b v="0"/>
    <n v="231"/>
    <n v="0"/>
    <s v=""/>
    <s v=""/>
    <n v="50"/>
    <n v="359"/>
    <x v="6"/>
    <n v="359"/>
    <s v="Escobedo"/>
    <s v="Escobedo"/>
    <x v="0"/>
    <x v="2"/>
    <d v="2025-05-01T00:00:00"/>
    <x v="3"/>
    <x v="3"/>
  </r>
  <r>
    <x v="580"/>
    <x v="0"/>
    <n v="5"/>
    <d v="2025-05-17T00:00:00"/>
    <d v="2025-05-17T00:00:00"/>
    <d v="2025-05-17T00:00:00"/>
    <d v="2025-05-17T00:00:00"/>
    <d v="2025-05-17T16:31:44"/>
    <n v="2039"/>
    <s v="610429"/>
    <s v="Sprinter"/>
    <n v="50"/>
    <n v="50"/>
    <s v="4366XC"/>
    <n v="1"/>
    <n v="150"/>
    <b v="1"/>
    <b v="0"/>
    <b v="0"/>
    <n v="231"/>
    <n v="0"/>
    <s v=""/>
    <s v=""/>
    <n v="50"/>
    <n v="2936"/>
    <x v="6"/>
    <n v="2936"/>
    <s v="Escobedo"/>
    <s v="Hidalgo"/>
    <x v="19"/>
    <x v="2"/>
    <d v="2025-05-01T00:00:00"/>
    <x v="3"/>
    <x v="3"/>
  </r>
  <r>
    <x v="581"/>
    <x v="0"/>
    <n v="5"/>
    <d v="2025-05-17T00:00:00"/>
    <d v="2025-05-17T00:00:00"/>
    <d v="2025-05-17T00:00:00"/>
    <d v="2025-05-17T00:00:00"/>
    <d v="2025-05-17T16:50:00"/>
    <n v="2039"/>
    <s v="610429"/>
    <s v="Sprinter"/>
    <n v="50"/>
    <n v="50"/>
    <s v="4366XC"/>
    <n v="1"/>
    <n v="150"/>
    <b v="1"/>
    <b v="0"/>
    <b v="0"/>
    <n v="231"/>
    <n v="0"/>
    <s v=""/>
    <s v=""/>
    <n v="50"/>
    <n v="359"/>
    <x v="6"/>
    <n v="359"/>
    <s v="Escobedo"/>
    <s v="Escobedo"/>
    <x v="0"/>
    <x v="2"/>
    <d v="2025-05-01T00:00:00"/>
    <x v="3"/>
    <x v="3"/>
  </r>
  <r>
    <x v="582"/>
    <x v="0"/>
    <n v="5"/>
    <d v="2025-05-17T00:00:00"/>
    <d v="2025-05-17T00:00:00"/>
    <d v="2025-05-17T00:00:00"/>
    <d v="2025-05-17T00:00:00"/>
    <d v="2025-05-17T16:50:37"/>
    <n v="2039"/>
    <s v="610429"/>
    <s v="Sprinter"/>
    <n v="50"/>
    <n v="50"/>
    <s v="4366XC"/>
    <n v="1"/>
    <n v="150"/>
    <b v="1"/>
    <b v="0"/>
    <b v="0"/>
    <n v="231"/>
    <n v="0"/>
    <s v=""/>
    <s v=""/>
    <n v="50"/>
    <n v="359"/>
    <x v="6"/>
    <n v="359"/>
    <s v="Escobedo"/>
    <s v="Escobedo"/>
    <x v="0"/>
    <x v="2"/>
    <d v="2025-05-01T00:00:00"/>
    <x v="3"/>
    <x v="3"/>
  </r>
  <r>
    <x v="583"/>
    <x v="0"/>
    <n v="5"/>
    <d v="2025-05-17T00:00:00"/>
    <d v="2025-05-17T00:00:00"/>
    <d v="2025-05-17T00:00:00"/>
    <d v="2025-05-17T00:00:00"/>
    <d v="2025-05-17T16:51:17"/>
    <n v="2039"/>
    <s v="610429"/>
    <s v="Sprinter"/>
    <n v="50"/>
    <n v="50"/>
    <s v="4366XC"/>
    <n v="1"/>
    <n v="150"/>
    <b v="1"/>
    <b v="0"/>
    <b v="0"/>
    <n v="231"/>
    <n v="0"/>
    <s v=""/>
    <s v=""/>
    <n v="50"/>
    <n v="2936"/>
    <x v="6"/>
    <n v="2936"/>
    <s v="Escobedo"/>
    <s v="Hidalgo"/>
    <x v="19"/>
    <x v="2"/>
    <d v="2025-05-01T00:00:00"/>
    <x v="3"/>
    <x v="3"/>
  </r>
  <r>
    <x v="584"/>
    <x v="0"/>
    <n v="5"/>
    <d v="2025-05-17T00:00:00"/>
    <d v="2025-05-17T00:00:00"/>
    <d v="2025-05-17T00:00:00"/>
    <d v="2025-05-17T00:00:00"/>
    <d v="2025-05-17T16:51:48"/>
    <n v="2039"/>
    <s v="610429"/>
    <s v="Sprinter"/>
    <n v="50"/>
    <n v="50"/>
    <s v="4366XC"/>
    <n v="1"/>
    <n v="150"/>
    <b v="1"/>
    <b v="0"/>
    <b v="0"/>
    <n v="231"/>
    <n v="0"/>
    <s v=""/>
    <s v=""/>
    <n v="50"/>
    <n v="359"/>
    <x v="6"/>
    <n v="359"/>
    <s v="Escobedo"/>
    <s v="Escobedo"/>
    <x v="0"/>
    <x v="2"/>
    <d v="2025-05-01T00:00:00"/>
    <x v="3"/>
    <x v="3"/>
  </r>
  <r>
    <x v="585"/>
    <x v="0"/>
    <n v="5"/>
    <d v="2025-05-17T00:00:00"/>
    <d v="2025-05-17T00:00:00"/>
    <d v="2025-05-17T00:00:00"/>
    <d v="2025-05-17T00:00:00"/>
    <d v="2025-05-17T16:52:18"/>
    <n v="2039"/>
    <s v="610429"/>
    <s v="Sprinter"/>
    <n v="50"/>
    <n v="50"/>
    <s v="4366XC"/>
    <n v="1"/>
    <n v="150"/>
    <b v="1"/>
    <b v="0"/>
    <b v="0"/>
    <n v="231"/>
    <n v="0"/>
    <s v=""/>
    <s v=""/>
    <n v="50"/>
    <n v="359"/>
    <x v="6"/>
    <n v="359"/>
    <s v="Escobedo"/>
    <s v="Escobedo"/>
    <x v="0"/>
    <x v="2"/>
    <d v="2025-05-01T00:00:00"/>
    <x v="3"/>
    <x v="3"/>
  </r>
  <r>
    <x v="586"/>
    <x v="0"/>
    <n v="5"/>
    <d v="2025-05-17T00:00:00"/>
    <d v="2025-05-17T00:00:00"/>
    <d v="2025-05-17T00:00:00"/>
    <d v="2025-05-17T00:00:00"/>
    <d v="2025-05-17T16:52:52"/>
    <n v="2039"/>
    <s v="610429"/>
    <s v="Sprinter"/>
    <n v="50"/>
    <n v="50"/>
    <s v="4366XC"/>
    <n v="1"/>
    <n v="150"/>
    <b v="1"/>
    <b v="0"/>
    <b v="0"/>
    <n v="231"/>
    <n v="0"/>
    <s v=""/>
    <s v=""/>
    <n v="50"/>
    <n v="461"/>
    <x v="6"/>
    <n v="461"/>
    <s v="Escobedo"/>
    <s v="Monterrey"/>
    <x v="7"/>
    <x v="2"/>
    <d v="2025-05-01T00:00:00"/>
    <x v="3"/>
    <x v="3"/>
  </r>
  <r>
    <x v="587"/>
    <x v="0"/>
    <n v="5"/>
    <d v="2025-05-17T00:00:00"/>
    <d v="2025-05-17T00:00:00"/>
    <d v="2025-05-17T00:00:00"/>
    <d v="2025-05-17T00:00:00"/>
    <d v="2025-05-17T16:53:18"/>
    <n v="2039"/>
    <s v="610429"/>
    <s v="Sprinter"/>
    <n v="50"/>
    <n v="50"/>
    <s v="4366XC"/>
    <n v="1"/>
    <n v="150"/>
    <b v="1"/>
    <b v="0"/>
    <b v="0"/>
    <n v="231"/>
    <n v="0"/>
    <s v=""/>
    <s v=""/>
    <n v="50"/>
    <n v="359"/>
    <x v="6"/>
    <n v="359"/>
    <s v="Escobedo"/>
    <s v="Escobedo"/>
    <x v="0"/>
    <x v="2"/>
    <d v="2025-05-01T00:00:00"/>
    <x v="3"/>
    <x v="3"/>
  </r>
  <r>
    <x v="588"/>
    <x v="0"/>
    <n v="5"/>
    <d v="2025-05-17T00:00:00"/>
    <d v="2025-05-17T00:00:00"/>
    <d v="2025-05-17T00:00:00"/>
    <d v="2025-05-17T00:00:00"/>
    <d v="2025-05-17T16:53:48"/>
    <n v="2039"/>
    <s v="610429"/>
    <s v="Sprinter"/>
    <n v="50"/>
    <n v="50"/>
    <s v="4366XC"/>
    <n v="1"/>
    <n v="150"/>
    <b v="1"/>
    <b v="0"/>
    <b v="0"/>
    <n v="231"/>
    <n v="0"/>
    <s v=""/>
    <s v=""/>
    <n v="50"/>
    <n v="359"/>
    <x v="6"/>
    <n v="359"/>
    <s v="Escobedo"/>
    <s v="Escobedo"/>
    <x v="0"/>
    <x v="2"/>
    <d v="2025-05-01T00:00:00"/>
    <x v="3"/>
    <x v="3"/>
  </r>
  <r>
    <x v="589"/>
    <x v="0"/>
    <n v="5"/>
    <d v="2025-05-17T00:00:00"/>
    <d v="2025-05-17T00:00:00"/>
    <d v="2025-05-17T00:00:00"/>
    <d v="2025-05-17T00:00:00"/>
    <d v="2025-05-17T16:54:17"/>
    <n v="2039"/>
    <s v="610429"/>
    <s v="Sprinter"/>
    <n v="50"/>
    <n v="50"/>
    <s v="4366XC"/>
    <n v="1"/>
    <n v="150"/>
    <b v="1"/>
    <b v="0"/>
    <b v="0"/>
    <n v="231"/>
    <n v="0"/>
    <s v=""/>
    <s v=""/>
    <n v="50"/>
    <n v="359"/>
    <x v="6"/>
    <n v="359"/>
    <s v="Escobedo"/>
    <s v="Escobedo"/>
    <x v="0"/>
    <x v="2"/>
    <d v="2025-05-01T00:00:00"/>
    <x v="3"/>
    <x v="3"/>
  </r>
  <r>
    <x v="590"/>
    <x v="0"/>
    <n v="5"/>
    <d v="2025-05-17T00:00:00"/>
    <d v="2025-05-17T00:00:00"/>
    <d v="2025-05-17T00:00:00"/>
    <d v="2025-05-17T00:00:00"/>
    <d v="2025-05-17T16:54:45"/>
    <n v="2039"/>
    <s v="610429"/>
    <s v="Sprinter"/>
    <n v="50"/>
    <n v="50"/>
    <s v="4366XC"/>
    <n v="1"/>
    <n v="150"/>
    <b v="1"/>
    <b v="0"/>
    <b v="0"/>
    <n v="231"/>
    <n v="0"/>
    <s v=""/>
    <s v=""/>
    <n v="50"/>
    <n v="359"/>
    <x v="6"/>
    <n v="359"/>
    <s v="Escobedo"/>
    <s v="Escobedo"/>
    <x v="0"/>
    <x v="2"/>
    <d v="2025-05-01T00:00:00"/>
    <x v="3"/>
    <x v="3"/>
  </r>
  <r>
    <x v="591"/>
    <x v="0"/>
    <n v="5"/>
    <d v="2025-05-17T00:00:00"/>
    <d v="2025-05-17T00:00:00"/>
    <d v="2025-05-17T00:00:00"/>
    <d v="2025-05-17T00:00:00"/>
    <d v="2025-05-17T00:00:00"/>
    <n v="2039"/>
    <s v="610429"/>
    <s v="Sprinter"/>
    <n v="50"/>
    <n v="50"/>
    <s v="4366XC"/>
    <n v="1"/>
    <n v="150"/>
    <b v="1"/>
    <b v="0"/>
    <b v="0"/>
    <n v="231"/>
    <n v="0"/>
    <s v=""/>
    <s v=""/>
    <n v="50"/>
    <n v="359"/>
    <x v="6"/>
    <n v="359"/>
    <s v="Escobedo"/>
    <s v="Escobedo"/>
    <x v="0"/>
    <x v="2"/>
    <d v="2025-05-01T00:00:00"/>
    <x v="3"/>
    <x v="3"/>
  </r>
  <r>
    <x v="592"/>
    <x v="0"/>
    <n v="5"/>
    <d v="2025-05-17T00:00:00"/>
    <d v="2025-05-17T00:00:00"/>
    <d v="2025-05-17T00:00:00"/>
    <d v="2025-05-17T00:00:00"/>
    <d v="2025-05-18T09:48:25"/>
    <n v="2039"/>
    <s v="610429"/>
    <s v="Sprinter"/>
    <n v="50"/>
    <n v="50"/>
    <s v="4366XC"/>
    <n v="1"/>
    <n v="150"/>
    <b v="1"/>
    <b v="0"/>
    <b v="0"/>
    <n v="231"/>
    <n v="0"/>
    <s v=""/>
    <s v=""/>
    <n v="50"/>
    <n v="359"/>
    <x v="6"/>
    <n v="359"/>
    <s v="Escobedo"/>
    <s v="Escobedo"/>
    <x v="0"/>
    <x v="2"/>
    <d v="2025-05-01T00:00:00"/>
    <x v="3"/>
    <x v="3"/>
  </r>
  <r>
    <x v="593"/>
    <x v="0"/>
    <n v="5"/>
    <d v="2025-05-19T00:00:00"/>
    <d v="2025-05-19T00:00:00"/>
    <d v="2025-05-19T00:00:00"/>
    <d v="2025-05-19T00:00:00"/>
    <d v="2025-05-20T03:56:38"/>
    <n v="2039"/>
    <s v="610429"/>
    <s v="Sprinter"/>
    <n v="50"/>
    <n v="50"/>
    <s v="4366XC"/>
    <n v="1"/>
    <n v="150"/>
    <b v="1"/>
    <b v="0"/>
    <b v="0"/>
    <n v="231"/>
    <n v="0"/>
    <s v=""/>
    <s v=""/>
    <n v="50"/>
    <n v="359"/>
    <x v="6"/>
    <n v="359"/>
    <s v="Escobedo"/>
    <s v="Escobedo"/>
    <x v="0"/>
    <x v="2"/>
    <d v="2025-05-01T00:00:00"/>
    <x v="3"/>
    <x v="3"/>
  </r>
  <r>
    <x v="594"/>
    <x v="0"/>
    <n v="5"/>
    <d v="2025-05-19T00:00:00"/>
    <d v="2025-05-19T00:00:00"/>
    <d v="2025-05-19T00:00:00"/>
    <d v="2025-05-19T00:00:00"/>
    <d v="2025-05-20T03:57:16"/>
    <n v="2039"/>
    <s v="610429"/>
    <s v="Sprinter"/>
    <n v="50"/>
    <n v="50"/>
    <s v="4366XC"/>
    <n v="1"/>
    <n v="150"/>
    <b v="1"/>
    <b v="0"/>
    <b v="0"/>
    <n v="231"/>
    <n v="0"/>
    <s v=""/>
    <s v=""/>
    <n v="50"/>
    <n v="359"/>
    <x v="6"/>
    <n v="359"/>
    <s v="Escobedo"/>
    <s v="Escobedo"/>
    <x v="0"/>
    <x v="2"/>
    <d v="2025-05-01T00:00:00"/>
    <x v="3"/>
    <x v="3"/>
  </r>
  <r>
    <x v="595"/>
    <x v="0"/>
    <n v="5"/>
    <d v="2025-05-19T00:00:00"/>
    <d v="2025-05-19T00:00:00"/>
    <d v="2025-05-19T00:00:00"/>
    <d v="2025-05-19T00:00:00"/>
    <d v="2025-05-20T03:58:07"/>
    <n v="2039"/>
    <s v="610429"/>
    <s v="Sprinter"/>
    <n v="50"/>
    <n v="50"/>
    <s v="4366XC"/>
    <n v="1"/>
    <n v="150"/>
    <b v="1"/>
    <b v="0"/>
    <b v="0"/>
    <n v="231"/>
    <n v="0"/>
    <s v=""/>
    <s v=""/>
    <n v="50"/>
    <n v="359"/>
    <x v="6"/>
    <n v="359"/>
    <s v="Escobedo"/>
    <s v="Escobedo"/>
    <x v="0"/>
    <x v="2"/>
    <d v="2025-05-01T00:00:00"/>
    <x v="3"/>
    <x v="3"/>
  </r>
  <r>
    <x v="596"/>
    <x v="0"/>
    <n v="5"/>
    <d v="2025-05-19T00:00:00"/>
    <d v="2025-05-19T00:00:00"/>
    <d v="2025-05-19T00:00:00"/>
    <d v="2025-05-19T00:00:00"/>
    <d v="2025-05-20T03:59:11"/>
    <n v="2039"/>
    <s v="610429"/>
    <s v="Sprinter"/>
    <n v="50"/>
    <n v="50"/>
    <s v="4366XC"/>
    <n v="1"/>
    <n v="150"/>
    <b v="1"/>
    <b v="0"/>
    <b v="0"/>
    <n v="231"/>
    <n v="0"/>
    <s v=""/>
    <s v=""/>
    <n v="50"/>
    <n v="359"/>
    <x v="6"/>
    <n v="359"/>
    <s v="Escobedo"/>
    <s v="Escobedo"/>
    <x v="0"/>
    <x v="2"/>
    <d v="2025-05-01T00:00:00"/>
    <x v="3"/>
    <x v="3"/>
  </r>
  <r>
    <x v="597"/>
    <x v="0"/>
    <n v="5"/>
    <d v="2025-05-19T00:00:00"/>
    <d v="2025-05-19T00:00:00"/>
    <d v="2025-05-19T00:00:00"/>
    <d v="2025-05-19T00:00:00"/>
    <d v="2025-05-20T03:59:57"/>
    <n v="2039"/>
    <s v="610429"/>
    <s v="Sprinter"/>
    <n v="50"/>
    <n v="50"/>
    <s v="4366XC"/>
    <n v="1"/>
    <n v="150"/>
    <b v="1"/>
    <b v="0"/>
    <b v="0"/>
    <n v="231"/>
    <n v="0"/>
    <s v=""/>
    <s v=""/>
    <n v="50"/>
    <n v="2936"/>
    <x v="6"/>
    <n v="2936"/>
    <s v="Escobedo"/>
    <s v="Hidalgo"/>
    <x v="19"/>
    <x v="2"/>
    <d v="2025-05-01T00:00:00"/>
    <x v="3"/>
    <x v="3"/>
  </r>
  <r>
    <x v="598"/>
    <x v="0"/>
    <n v="5"/>
    <d v="2025-05-19T00:00:00"/>
    <d v="2025-05-19T00:00:00"/>
    <d v="2025-05-19T00:00:00"/>
    <d v="2025-05-19T00:00:00"/>
    <d v="2025-05-20T04:00:53"/>
    <n v="2039"/>
    <s v="610429"/>
    <s v="Sprinter"/>
    <n v="50"/>
    <n v="50"/>
    <s v="4366XC"/>
    <n v="1"/>
    <n v="150"/>
    <b v="1"/>
    <b v="0"/>
    <b v="0"/>
    <n v="231"/>
    <n v="0"/>
    <s v=""/>
    <s v=""/>
    <n v="50"/>
    <n v="359"/>
    <x v="6"/>
    <n v="359"/>
    <s v="Escobedo"/>
    <s v="Escobedo"/>
    <x v="0"/>
    <x v="2"/>
    <d v="2025-05-01T00:00:00"/>
    <x v="3"/>
    <x v="3"/>
  </r>
  <r>
    <x v="599"/>
    <x v="0"/>
    <n v="5"/>
    <d v="2025-05-19T00:00:00"/>
    <d v="2025-05-19T00:00:00"/>
    <d v="2025-05-19T00:00:00"/>
    <d v="2025-05-19T00:00:00"/>
    <d v="2025-05-20T00:00:00"/>
    <n v="2050"/>
    <s v="626955"/>
    <s v="Sprinter"/>
    <n v="50"/>
    <n v="50"/>
    <s v="6551XC"/>
    <n v="1"/>
    <n v="150"/>
    <b v="1"/>
    <b v="0"/>
    <b v="0"/>
    <n v="231"/>
    <n v="0"/>
    <s v=""/>
    <s v=""/>
    <n v="50"/>
    <n v="308"/>
    <x v="6"/>
    <n v="308"/>
    <s v="Escobedo"/>
    <s v="Guadalupe"/>
    <x v="25"/>
    <x v="0"/>
    <d v="2025-05-01T00:00:00"/>
    <x v="3"/>
    <x v="3"/>
  </r>
  <r>
    <x v="600"/>
    <x v="0"/>
    <n v="5"/>
    <d v="2025-05-19T00:00:00"/>
    <d v="2025-05-19T00:00:00"/>
    <d v="2025-05-19T00:00:00"/>
    <d v="2025-05-19T00:00:00"/>
    <d v="2025-05-20T00:00:00"/>
    <n v="2050"/>
    <s v="626955"/>
    <s v="Sprinter"/>
    <n v="50"/>
    <n v="50"/>
    <s v="6551XC"/>
    <n v="1"/>
    <n v="150"/>
    <b v="1"/>
    <b v="0"/>
    <b v="0"/>
    <n v="231"/>
    <n v="0"/>
    <s v=""/>
    <s v=""/>
    <n v="50"/>
    <n v="359"/>
    <x v="6"/>
    <n v="359"/>
    <s v="Escobedo"/>
    <s v="Escobedo"/>
    <x v="0"/>
    <x v="0"/>
    <d v="2025-05-01T00:00:00"/>
    <x v="3"/>
    <x v="3"/>
  </r>
  <r>
    <x v="601"/>
    <x v="0"/>
    <n v="5"/>
    <d v="2025-05-19T00:00:00"/>
    <d v="2025-05-19T00:00:00"/>
    <d v="2025-05-19T00:00:00"/>
    <d v="2025-05-19T00:00:00"/>
    <d v="2025-05-20T00:00:00"/>
    <n v="2050"/>
    <s v="626955"/>
    <s v="Sprinter"/>
    <n v="50"/>
    <n v="50"/>
    <s v="6551XC"/>
    <n v="1"/>
    <n v="150"/>
    <b v="1"/>
    <b v="0"/>
    <b v="0"/>
    <n v="231"/>
    <n v="0"/>
    <s v=""/>
    <s v=""/>
    <n v="50"/>
    <n v="359"/>
    <x v="6"/>
    <n v="359"/>
    <s v="Escobedo"/>
    <s v="Escobedo"/>
    <x v="0"/>
    <x v="0"/>
    <d v="2025-05-01T00:00:00"/>
    <x v="3"/>
    <x v="3"/>
  </r>
  <r>
    <x v="602"/>
    <x v="0"/>
    <n v="5"/>
    <d v="2025-05-19T00:00:00"/>
    <d v="2025-05-19T00:00:00"/>
    <d v="2025-05-19T00:00:00"/>
    <d v="2025-05-19T00:00:00"/>
    <d v="2025-05-20T00:00:00"/>
    <n v="2050"/>
    <s v="626955"/>
    <s v="Sprinter"/>
    <n v="50"/>
    <n v="50"/>
    <s v="6551XC"/>
    <n v="1"/>
    <n v="150"/>
    <b v="1"/>
    <b v="0"/>
    <b v="0"/>
    <n v="231"/>
    <n v="0"/>
    <s v=""/>
    <s v=""/>
    <n v="50"/>
    <n v="359"/>
    <x v="6"/>
    <n v="359"/>
    <s v="Escobedo"/>
    <s v="Escobedo"/>
    <x v="0"/>
    <x v="0"/>
    <d v="2025-05-01T00:00:00"/>
    <x v="3"/>
    <x v="3"/>
  </r>
  <r>
    <x v="603"/>
    <x v="0"/>
    <n v="5"/>
    <d v="2025-05-21T00:00:00"/>
    <d v="2025-05-21T00:00:00"/>
    <d v="2025-05-21T00:00:00"/>
    <d v="2025-05-21T00:00:00"/>
    <d v="2025-05-21T15:47:17"/>
    <n v="2050"/>
    <s v="626955"/>
    <s v="Sprinter"/>
    <n v="50"/>
    <n v="50"/>
    <s v="6551XC"/>
    <n v="1"/>
    <n v="150"/>
    <b v="1"/>
    <b v="0"/>
    <b v="0"/>
    <n v="231"/>
    <n v="0"/>
    <s v=""/>
    <s v=""/>
    <n v="50"/>
    <n v="359"/>
    <x v="6"/>
    <n v="359"/>
    <s v="Escobedo"/>
    <s v="Escobedo"/>
    <x v="0"/>
    <x v="0"/>
    <d v="2025-05-01T00:00:00"/>
    <x v="3"/>
    <x v="3"/>
  </r>
  <r>
    <x v="604"/>
    <x v="0"/>
    <n v="5"/>
    <d v="2025-05-21T00:00:00"/>
    <d v="2025-05-21T00:00:00"/>
    <d v="2025-05-21T00:00:00"/>
    <d v="2025-05-21T00:00:00"/>
    <d v="2025-05-21T15:47:59"/>
    <n v="2050"/>
    <s v="626955"/>
    <s v="Sprinter"/>
    <n v="50"/>
    <n v="50"/>
    <s v="6551XC"/>
    <n v="1"/>
    <n v="150"/>
    <b v="1"/>
    <b v="0"/>
    <b v="0"/>
    <n v="231"/>
    <n v="0"/>
    <s v=""/>
    <s v=""/>
    <n v="50"/>
    <n v="2936"/>
    <x v="6"/>
    <n v="2936"/>
    <s v="Escobedo"/>
    <s v="Hidalgo"/>
    <x v="19"/>
    <x v="0"/>
    <d v="2025-05-01T00:00:00"/>
    <x v="3"/>
    <x v="3"/>
  </r>
  <r>
    <x v="605"/>
    <x v="0"/>
    <n v="5"/>
    <d v="2025-05-21T00:00:00"/>
    <d v="2025-05-21T00:00:00"/>
    <d v="2025-05-21T00:00:00"/>
    <d v="2025-05-21T00:00:00"/>
    <d v="2025-05-21T15:50:09"/>
    <n v="2050"/>
    <s v="626955"/>
    <s v="Sprinter"/>
    <n v="50"/>
    <n v="50"/>
    <s v="6551XC"/>
    <n v="1"/>
    <n v="150"/>
    <b v="1"/>
    <b v="0"/>
    <b v="0"/>
    <n v="231"/>
    <n v="0"/>
    <s v=""/>
    <s v=""/>
    <n v="50"/>
    <n v="359"/>
    <x v="6"/>
    <n v="359"/>
    <s v="Escobedo"/>
    <s v="Escobedo"/>
    <x v="0"/>
    <x v="0"/>
    <d v="2025-05-01T00:00:00"/>
    <x v="3"/>
    <x v="3"/>
  </r>
  <r>
    <x v="606"/>
    <x v="0"/>
    <n v="5"/>
    <d v="2025-05-21T00:00:00"/>
    <d v="2025-05-21T00:00:00"/>
    <d v="2025-05-21T00:00:00"/>
    <d v="2025-05-21T00:00:00"/>
    <d v="2025-05-21T15:50:45"/>
    <n v="2050"/>
    <s v="626955"/>
    <s v="Sprinter"/>
    <n v="50"/>
    <n v="50"/>
    <s v="6551XC"/>
    <n v="1"/>
    <n v="150"/>
    <b v="1"/>
    <b v="0"/>
    <b v="0"/>
    <n v="231"/>
    <n v="0"/>
    <s v=""/>
    <s v=""/>
    <n v="50"/>
    <n v="2936"/>
    <x v="6"/>
    <n v="2936"/>
    <s v="Escobedo"/>
    <s v="Hidalgo"/>
    <x v="19"/>
    <x v="0"/>
    <d v="2025-05-01T00:00:00"/>
    <x v="3"/>
    <x v="3"/>
  </r>
  <r>
    <x v="607"/>
    <x v="0"/>
    <n v="5"/>
    <d v="2025-05-21T00:00:00"/>
    <d v="2025-05-21T00:00:00"/>
    <d v="2025-05-21T00:00:00"/>
    <d v="2025-05-21T00:00:00"/>
    <d v="2025-05-21T15:51:43"/>
    <n v="2050"/>
    <s v="626955"/>
    <s v="Sprinter"/>
    <n v="50"/>
    <n v="50"/>
    <s v="6551XC"/>
    <n v="1"/>
    <n v="150"/>
    <b v="1"/>
    <b v="0"/>
    <b v="0"/>
    <n v="231"/>
    <n v="0"/>
    <s v=""/>
    <s v=""/>
    <n v="50"/>
    <n v="359"/>
    <x v="6"/>
    <n v="359"/>
    <s v="Escobedo"/>
    <s v="Escobedo"/>
    <x v="0"/>
    <x v="0"/>
    <d v="2025-05-01T00:00:00"/>
    <x v="3"/>
    <x v="3"/>
  </r>
  <r>
    <x v="608"/>
    <x v="0"/>
    <n v="5"/>
    <d v="2025-05-21T00:00:00"/>
    <d v="2025-05-21T00:00:00"/>
    <d v="2025-05-21T00:00:00"/>
    <d v="2025-05-21T00:00:00"/>
    <d v="2025-05-21T15:52:28"/>
    <n v="2050"/>
    <s v="626955"/>
    <s v="Sprinter"/>
    <n v="50"/>
    <n v="50"/>
    <s v="6551XC"/>
    <n v="1"/>
    <n v="150"/>
    <b v="1"/>
    <b v="0"/>
    <b v="0"/>
    <n v="231"/>
    <n v="0"/>
    <s v=""/>
    <s v=""/>
    <n v="50"/>
    <n v="359"/>
    <x v="6"/>
    <n v="359"/>
    <s v="Escobedo"/>
    <s v="Escobedo"/>
    <x v="0"/>
    <x v="0"/>
    <d v="2025-05-01T00:00:00"/>
    <x v="3"/>
    <x v="3"/>
  </r>
  <r>
    <x v="609"/>
    <x v="0"/>
    <n v="5"/>
    <d v="2025-05-21T00:00:00"/>
    <d v="2025-05-21T00:00:00"/>
    <d v="2025-05-21T00:00:00"/>
    <d v="2025-05-21T00:00:00"/>
    <d v="2025-05-21T15:53:11"/>
    <n v="2050"/>
    <s v="626955"/>
    <s v="Sprinter"/>
    <n v="50"/>
    <n v="50"/>
    <s v="6551XC"/>
    <n v="1"/>
    <n v="150"/>
    <b v="1"/>
    <b v="0"/>
    <b v="0"/>
    <n v="231"/>
    <n v="0"/>
    <s v=""/>
    <s v=""/>
    <n v="50"/>
    <n v="359"/>
    <x v="6"/>
    <n v="359"/>
    <s v="Escobedo"/>
    <s v="Escobedo"/>
    <x v="0"/>
    <x v="0"/>
    <d v="2025-05-01T00:00:00"/>
    <x v="3"/>
    <x v="3"/>
  </r>
  <r>
    <x v="610"/>
    <x v="0"/>
    <n v="5"/>
    <d v="2025-05-21T00:00:00"/>
    <d v="2025-05-21T00:00:00"/>
    <d v="2025-05-21T00:00:00"/>
    <d v="2025-05-21T00:00:00"/>
    <d v="2025-05-21T15:54:05"/>
    <n v="2050"/>
    <s v="626955"/>
    <s v="Sprinter"/>
    <n v="50"/>
    <n v="50"/>
    <s v="6551XC"/>
    <n v="1"/>
    <n v="150"/>
    <b v="1"/>
    <b v="0"/>
    <b v="0"/>
    <n v="231"/>
    <n v="0"/>
    <s v=""/>
    <s v=""/>
    <n v="50"/>
    <n v="2936"/>
    <x v="6"/>
    <n v="2936"/>
    <s v="Escobedo"/>
    <s v="Hidalgo"/>
    <x v="19"/>
    <x v="0"/>
    <d v="2025-05-01T00:00:00"/>
    <x v="3"/>
    <x v="3"/>
  </r>
  <r>
    <x v="611"/>
    <x v="0"/>
    <n v="5"/>
    <d v="2025-05-21T00:00:00"/>
    <d v="2025-05-21T00:00:00"/>
    <d v="2025-05-21T00:00:00"/>
    <d v="2025-05-21T00:00:00"/>
    <d v="2025-05-21T15:55:05"/>
    <n v="2050"/>
    <s v="626955"/>
    <s v="Sprinter"/>
    <n v="50"/>
    <n v="50"/>
    <s v="6551XC"/>
    <n v="1"/>
    <n v="150"/>
    <b v="1"/>
    <b v="0"/>
    <b v="0"/>
    <n v="231"/>
    <n v="0"/>
    <s v=""/>
    <s v=""/>
    <n v="50"/>
    <n v="359"/>
    <x v="6"/>
    <n v="359"/>
    <s v="Escobedo"/>
    <s v="Escobedo"/>
    <x v="0"/>
    <x v="0"/>
    <d v="2025-05-01T00:00:00"/>
    <x v="3"/>
    <x v="3"/>
  </r>
  <r>
    <x v="612"/>
    <x v="0"/>
    <n v="5"/>
    <d v="2025-05-21T00:00:00"/>
    <d v="2025-05-21T00:00:00"/>
    <d v="2025-05-21T00:00:00"/>
    <d v="2025-05-21T00:00:00"/>
    <d v="2025-05-21T15:56:00"/>
    <n v="2050"/>
    <s v="626955"/>
    <s v="Sprinter"/>
    <n v="50"/>
    <n v="50"/>
    <s v="6551XC"/>
    <n v="1"/>
    <n v="150"/>
    <b v="1"/>
    <b v="0"/>
    <b v="0"/>
    <n v="231"/>
    <n v="0"/>
    <s v=""/>
    <s v=""/>
    <n v="50"/>
    <n v="359"/>
    <x v="6"/>
    <n v="359"/>
    <s v="Escobedo"/>
    <s v="Escobedo"/>
    <x v="0"/>
    <x v="0"/>
    <d v="2025-05-01T00:00:00"/>
    <x v="3"/>
    <x v="3"/>
  </r>
  <r>
    <x v="613"/>
    <x v="0"/>
    <n v="5"/>
    <d v="2025-05-21T00:00:00"/>
    <d v="2025-05-21T00:00:00"/>
    <d v="2025-05-21T00:00:00"/>
    <d v="2025-05-21T00:00:00"/>
    <d v="2025-05-21T15:56:47"/>
    <n v="2050"/>
    <s v="626955"/>
    <s v="Sprinter"/>
    <n v="50"/>
    <n v="50"/>
    <s v="6551XC"/>
    <n v="1"/>
    <n v="150"/>
    <b v="1"/>
    <b v="0"/>
    <b v="0"/>
    <n v="231"/>
    <n v="0"/>
    <s v=""/>
    <s v=""/>
    <n v="50"/>
    <n v="359"/>
    <x v="6"/>
    <n v="359"/>
    <s v="Escobedo"/>
    <s v="Escobedo"/>
    <x v="0"/>
    <x v="0"/>
    <d v="2025-05-01T00:00:00"/>
    <x v="3"/>
    <x v="3"/>
  </r>
  <r>
    <x v="614"/>
    <x v="0"/>
    <n v="5"/>
    <d v="2025-05-21T00:00:00"/>
    <d v="2025-05-21T00:00:00"/>
    <d v="2025-05-21T00:00:00"/>
    <d v="2025-05-21T00:00:00"/>
    <d v="2025-05-21T15:57:50"/>
    <n v="2050"/>
    <s v="626955"/>
    <s v="Sprinter"/>
    <n v="50"/>
    <n v="50"/>
    <s v="6551XC"/>
    <n v="1"/>
    <n v="150"/>
    <b v="1"/>
    <b v="0"/>
    <b v="0"/>
    <n v="231"/>
    <n v="0"/>
    <s v=""/>
    <s v=""/>
    <n v="50"/>
    <n v="359"/>
    <x v="6"/>
    <n v="359"/>
    <s v="Escobedo"/>
    <s v="Escobedo"/>
    <x v="0"/>
    <x v="0"/>
    <d v="2025-05-01T00:00:00"/>
    <x v="3"/>
    <x v="3"/>
  </r>
  <r>
    <x v="615"/>
    <x v="0"/>
    <n v="5"/>
    <d v="2025-05-21T00:00:00"/>
    <d v="2025-05-21T00:00:00"/>
    <d v="2025-05-21T00:00:00"/>
    <d v="2025-05-21T00:00:00"/>
    <d v="2025-05-21T16:09:01"/>
    <n v="2050"/>
    <s v="626955"/>
    <s v="Sprinter"/>
    <n v="50"/>
    <n v="50"/>
    <s v="6551XC"/>
    <n v="1"/>
    <n v="150"/>
    <b v="1"/>
    <b v="0"/>
    <b v="0"/>
    <n v="231"/>
    <n v="0"/>
    <s v=""/>
    <s v=""/>
    <n v="50"/>
    <n v="359"/>
    <x v="6"/>
    <n v="359"/>
    <s v="Escobedo"/>
    <s v="Escobedo"/>
    <x v="0"/>
    <x v="0"/>
    <d v="2025-05-01T00:00:00"/>
    <x v="3"/>
    <x v="3"/>
  </r>
  <r>
    <x v="616"/>
    <x v="0"/>
    <n v="5"/>
    <d v="2025-05-21T00:00:00"/>
    <d v="2025-05-21T00:00:00"/>
    <d v="2025-05-21T00:00:00"/>
    <d v="2025-05-21T00:00:00"/>
    <d v="2025-05-21T16:09:46"/>
    <n v="2050"/>
    <s v="626955"/>
    <s v="Sprinter"/>
    <n v="50"/>
    <n v="50"/>
    <s v="6551XC"/>
    <n v="1"/>
    <n v="150"/>
    <b v="1"/>
    <b v="0"/>
    <b v="0"/>
    <n v="231"/>
    <n v="0"/>
    <s v=""/>
    <s v=""/>
    <n v="50"/>
    <n v="359"/>
    <x v="6"/>
    <n v="359"/>
    <s v="Escobedo"/>
    <s v="Escobedo"/>
    <x v="0"/>
    <x v="0"/>
    <d v="2025-05-01T00:00:00"/>
    <x v="3"/>
    <x v="3"/>
  </r>
  <r>
    <x v="617"/>
    <x v="0"/>
    <n v="5"/>
    <d v="2025-05-22T00:00:00"/>
    <d v="2025-05-22T00:00:00"/>
    <d v="2025-05-22T00:00:00"/>
    <d v="2025-05-22T00:00:00"/>
    <d v="2025-05-22T21:00:33"/>
    <n v="2050"/>
    <s v="626955"/>
    <s v="Sprinter"/>
    <n v="50"/>
    <n v="50"/>
    <s v="6551XC"/>
    <n v="1"/>
    <n v="150"/>
    <b v="1"/>
    <b v="0"/>
    <b v="0"/>
    <n v="231"/>
    <n v="0"/>
    <s v=""/>
    <s v=""/>
    <n v="50"/>
    <n v="359"/>
    <x v="6"/>
    <n v="359"/>
    <s v="Escobedo"/>
    <s v="Escobedo"/>
    <x v="0"/>
    <x v="0"/>
    <d v="2025-05-01T00:00:00"/>
    <x v="3"/>
    <x v="3"/>
  </r>
  <r>
    <x v="618"/>
    <x v="0"/>
    <n v="5"/>
    <d v="2025-05-22T00:00:00"/>
    <d v="2025-05-22T00:00:00"/>
    <d v="2025-05-22T00:00:00"/>
    <d v="2025-05-22T00:00:00"/>
    <d v="2025-05-22T21:01:54"/>
    <n v="2050"/>
    <s v="626955"/>
    <s v="Sprinter"/>
    <n v="50"/>
    <n v="50"/>
    <s v="6551XC"/>
    <n v="1"/>
    <n v="150"/>
    <b v="1"/>
    <b v="0"/>
    <b v="0"/>
    <n v="231"/>
    <n v="0"/>
    <s v=""/>
    <s v=""/>
    <n v="50"/>
    <n v="359"/>
    <x v="6"/>
    <n v="359"/>
    <s v="Escobedo"/>
    <s v="Escobedo"/>
    <x v="0"/>
    <x v="0"/>
    <d v="2025-05-01T00:00:00"/>
    <x v="3"/>
    <x v="3"/>
  </r>
  <r>
    <x v="619"/>
    <x v="0"/>
    <n v="5"/>
    <d v="2025-05-23T00:00:00"/>
    <d v="2025-05-23T00:00:00"/>
    <d v="2025-05-23T00:00:00"/>
    <d v="2025-05-23T00:00:00"/>
    <d v="2025-05-23T14:28:29"/>
    <n v="2050"/>
    <s v="626955"/>
    <s v="Sprinter"/>
    <n v="50"/>
    <n v="50"/>
    <s v="6551XC"/>
    <n v="1"/>
    <n v="150"/>
    <b v="1"/>
    <b v="0"/>
    <b v="0"/>
    <n v="231"/>
    <n v="0"/>
    <s v=""/>
    <s v=""/>
    <n v="50"/>
    <n v="359"/>
    <x v="6"/>
    <n v="359"/>
    <s v="Escobedo"/>
    <s v="Escobedo"/>
    <x v="0"/>
    <x v="0"/>
    <d v="2025-05-01T00:00:00"/>
    <x v="3"/>
    <x v="3"/>
  </r>
  <r>
    <x v="620"/>
    <x v="0"/>
    <n v="5"/>
    <d v="2025-05-24T00:00:00"/>
    <d v="2025-05-24T00:00:00"/>
    <d v="2025-05-24T00:00:00"/>
    <d v="2025-05-24T00:00:00"/>
    <d v="2025-05-24T00:00:00"/>
    <n v="2176"/>
    <s v="626955"/>
    <s v="Sprinter"/>
    <n v="50"/>
    <n v="50"/>
    <s v="3721XC"/>
    <n v="1"/>
    <n v="150"/>
    <b v="1"/>
    <b v="0"/>
    <b v="0"/>
    <n v="231"/>
    <n v="0"/>
    <s v=""/>
    <s v=""/>
    <n v="50"/>
    <n v="461"/>
    <x v="6"/>
    <n v="461"/>
    <s v="Escobedo"/>
    <s v="Monterrey"/>
    <x v="7"/>
    <x v="0"/>
    <d v="2025-05-01T00:00:00"/>
    <x v="3"/>
    <x v="3"/>
  </r>
  <r>
    <x v="621"/>
    <x v="0"/>
    <n v="5"/>
    <d v="2025-05-24T00:00:00"/>
    <d v="2025-05-24T00:00:00"/>
    <d v="2025-05-24T00:00:00"/>
    <d v="2025-05-24T00:00:00"/>
    <d v="2025-05-24T00:00:00"/>
    <n v="2176"/>
    <s v="626955"/>
    <s v="Sprinter"/>
    <n v="50"/>
    <n v="50"/>
    <s v="3721XC"/>
    <n v="1"/>
    <n v="150"/>
    <b v="1"/>
    <b v="0"/>
    <b v="0"/>
    <n v="231"/>
    <n v="0"/>
    <s v=""/>
    <s v=""/>
    <n v="50"/>
    <n v="359"/>
    <x v="6"/>
    <n v="359"/>
    <s v="Escobedo"/>
    <s v="Escobedo"/>
    <x v="0"/>
    <x v="0"/>
    <d v="2025-05-01T00:00:00"/>
    <x v="3"/>
    <x v="3"/>
  </r>
  <r>
    <x v="622"/>
    <x v="0"/>
    <n v="5"/>
    <d v="2025-05-24T00:00:00"/>
    <d v="2025-05-24T00:00:00"/>
    <d v="2025-05-24T00:00:00"/>
    <d v="2025-05-24T00:00:00"/>
    <d v="2025-05-24T00:00:00"/>
    <n v="2176"/>
    <s v="626955"/>
    <s v="Sprinter"/>
    <n v="50"/>
    <n v="50"/>
    <s v="3721XC"/>
    <n v="1"/>
    <n v="150"/>
    <b v="1"/>
    <b v="0"/>
    <b v="0"/>
    <n v="231"/>
    <n v="0"/>
    <s v=""/>
    <s v=""/>
    <n v="50"/>
    <n v="2936"/>
    <x v="6"/>
    <n v="2936"/>
    <s v="Escobedo"/>
    <s v="Hidalgo"/>
    <x v="19"/>
    <x v="0"/>
    <d v="2025-05-01T00:00:00"/>
    <x v="3"/>
    <x v="3"/>
  </r>
  <r>
    <x v="623"/>
    <x v="0"/>
    <n v="5"/>
    <d v="2025-05-24T00:00:00"/>
    <d v="2025-05-24T00:00:00"/>
    <d v="2025-05-24T00:00:00"/>
    <d v="2025-05-24T00:00:00"/>
    <d v="2025-05-24T00:00:00"/>
    <n v="2176"/>
    <s v="626955"/>
    <s v="Sprinter"/>
    <n v="50"/>
    <n v="50"/>
    <s v="3721XC"/>
    <n v="1"/>
    <n v="150"/>
    <b v="1"/>
    <b v="0"/>
    <b v="0"/>
    <n v="231"/>
    <n v="0"/>
    <s v=""/>
    <s v=""/>
    <n v="50"/>
    <n v="2936"/>
    <x v="6"/>
    <n v="2936"/>
    <s v="Escobedo"/>
    <s v="Hidalgo"/>
    <x v="19"/>
    <x v="0"/>
    <d v="2025-05-01T00:00:00"/>
    <x v="3"/>
    <x v="3"/>
  </r>
  <r>
    <x v="624"/>
    <x v="0"/>
    <n v="5"/>
    <d v="2025-05-24T00:00:00"/>
    <d v="2025-05-24T00:00:00"/>
    <d v="2025-05-24T00:00:00"/>
    <d v="2025-05-24T00:00:00"/>
    <d v="2025-05-24T00:00:00"/>
    <n v="2176"/>
    <s v="626955"/>
    <s v="Sprinter"/>
    <n v="50"/>
    <n v="50"/>
    <s v="3721XC"/>
    <n v="1"/>
    <n v="150"/>
    <b v="1"/>
    <b v="0"/>
    <b v="0"/>
    <n v="231"/>
    <n v="0"/>
    <s v=""/>
    <s v=""/>
    <n v="50"/>
    <n v="359"/>
    <x v="6"/>
    <n v="359"/>
    <s v="Escobedo"/>
    <s v="Escobedo"/>
    <x v="0"/>
    <x v="0"/>
    <d v="2025-05-01T00:00:00"/>
    <x v="3"/>
    <x v="3"/>
  </r>
  <r>
    <x v="625"/>
    <x v="0"/>
    <n v="5"/>
    <d v="2025-05-24T00:00:00"/>
    <d v="2025-05-24T00:00:00"/>
    <d v="2025-05-24T00:00:00"/>
    <d v="2025-05-24T00:00:00"/>
    <d v="2025-05-24T00:00:00"/>
    <n v="2176"/>
    <s v="626955"/>
    <s v="Sprinter"/>
    <n v="50"/>
    <n v="50"/>
    <s v="3721XC"/>
    <n v="1"/>
    <n v="150"/>
    <b v="1"/>
    <b v="0"/>
    <b v="0"/>
    <n v="231"/>
    <n v="0"/>
    <s v=""/>
    <s v=""/>
    <n v="50"/>
    <n v="2936"/>
    <x v="6"/>
    <n v="2936"/>
    <s v="Escobedo"/>
    <s v="Hidalgo"/>
    <x v="19"/>
    <x v="0"/>
    <d v="2025-05-01T00:00:00"/>
    <x v="3"/>
    <x v="3"/>
  </r>
  <r>
    <x v="626"/>
    <x v="0"/>
    <n v="5"/>
    <d v="2025-05-24T00:00:00"/>
    <d v="2025-05-24T00:00:00"/>
    <d v="2025-05-24T00:00:00"/>
    <d v="2025-05-24T00:00:00"/>
    <d v="2025-05-24T00:00:00"/>
    <n v="2176"/>
    <s v="626955"/>
    <s v="Sprinter"/>
    <n v="50"/>
    <n v="50"/>
    <s v="3721XC"/>
    <n v="1"/>
    <n v="150"/>
    <b v="1"/>
    <b v="0"/>
    <b v="0"/>
    <n v="231"/>
    <n v="0"/>
    <s v=""/>
    <s v=""/>
    <n v="50"/>
    <n v="359"/>
    <x v="6"/>
    <n v="359"/>
    <s v="Escobedo"/>
    <s v="Escobedo"/>
    <x v="0"/>
    <x v="0"/>
    <d v="2025-05-01T00:00:00"/>
    <x v="3"/>
    <x v="3"/>
  </r>
  <r>
    <x v="627"/>
    <x v="0"/>
    <n v="5"/>
    <d v="2025-05-24T00:00:00"/>
    <d v="2025-05-24T00:00:00"/>
    <d v="2025-05-24T00:00:00"/>
    <d v="2025-05-24T00:00:00"/>
    <d v="2025-05-24T16:51:47"/>
    <n v="2050"/>
    <s v="626955"/>
    <s v="Sprinter"/>
    <n v="50"/>
    <n v="50"/>
    <s v="6551XC"/>
    <n v="1"/>
    <n v="150"/>
    <b v="1"/>
    <b v="0"/>
    <b v="0"/>
    <n v="231"/>
    <n v="0"/>
    <s v=""/>
    <s v=""/>
    <n v="50"/>
    <n v="359"/>
    <x v="6"/>
    <n v="359"/>
    <s v="Escobedo"/>
    <s v="Escobedo"/>
    <x v="0"/>
    <x v="0"/>
    <d v="2025-05-01T00:00:00"/>
    <x v="3"/>
    <x v="3"/>
  </r>
  <r>
    <x v="628"/>
    <x v="0"/>
    <n v="5"/>
    <d v="2025-05-24T00:00:00"/>
    <d v="2025-05-24T00:00:00"/>
    <d v="2025-05-24T00:00:00"/>
    <d v="2025-05-24T00:00:00"/>
    <d v="2025-05-24T17:35:33"/>
    <n v="2050"/>
    <s v="626955"/>
    <s v="Sprinter"/>
    <n v="50"/>
    <n v="50"/>
    <s v="6551XC"/>
    <n v="1"/>
    <n v="150"/>
    <b v="1"/>
    <b v="0"/>
    <b v="0"/>
    <n v="231"/>
    <n v="0"/>
    <s v=""/>
    <s v=""/>
    <n v="50"/>
    <n v="359"/>
    <x v="6"/>
    <n v="359"/>
    <s v="Escobedo"/>
    <s v="Escobedo"/>
    <x v="0"/>
    <x v="0"/>
    <d v="2025-05-01T00:00:00"/>
    <x v="3"/>
    <x v="3"/>
  </r>
  <r>
    <x v="629"/>
    <x v="0"/>
    <n v="5"/>
    <d v="2025-05-24T00:00:00"/>
    <d v="2025-05-24T00:00:00"/>
    <d v="2025-05-24T00:00:00"/>
    <d v="2025-05-24T00:00:00"/>
    <d v="2025-05-25T05:23:22"/>
    <n v="2050"/>
    <s v="626955"/>
    <s v="Sprinter"/>
    <n v="50"/>
    <n v="50"/>
    <s v="6551XC"/>
    <n v="1"/>
    <n v="150"/>
    <b v="1"/>
    <b v="0"/>
    <b v="0"/>
    <n v="231"/>
    <n v="0"/>
    <s v=""/>
    <s v=""/>
    <n v="50"/>
    <n v="461"/>
    <x v="6"/>
    <n v="461"/>
    <s v="Escobedo"/>
    <s v="Monterrey"/>
    <x v="7"/>
    <x v="0"/>
    <d v="2025-05-01T00:00:00"/>
    <x v="3"/>
    <x v="3"/>
  </r>
  <r>
    <x v="630"/>
    <x v="0"/>
    <n v="5"/>
    <d v="2025-05-24T00:00:00"/>
    <d v="2025-05-24T00:00:00"/>
    <d v="2025-05-24T00:00:00"/>
    <d v="2025-05-24T00:00:00"/>
    <d v="2025-05-25T19:31:29"/>
    <n v="2050"/>
    <s v="626955"/>
    <s v="Sprinter"/>
    <n v="50"/>
    <n v="50"/>
    <s v="6551XC"/>
    <n v="1"/>
    <n v="150"/>
    <b v="1"/>
    <b v="0"/>
    <b v="0"/>
    <n v="231"/>
    <n v="0"/>
    <s v=""/>
    <s v=""/>
    <n v="50"/>
    <n v="461"/>
    <x v="18"/>
    <n v="461"/>
    <s v="Escobedo"/>
    <s v="Monterrey"/>
    <x v="7"/>
    <x v="0"/>
    <d v="2025-05-01T00:00:00"/>
    <x v="3"/>
    <x v="3"/>
  </r>
  <r>
    <x v="631"/>
    <x v="0"/>
    <n v="5"/>
    <d v="2025-05-26T00:00:00"/>
    <d v="2025-05-26T00:00:00"/>
    <d v="2025-05-26T00:00:00"/>
    <d v="2025-05-26T00:00:00"/>
    <d v="2025-05-26T17:35:14"/>
    <n v="2050"/>
    <s v="626955"/>
    <s v="Sprinter"/>
    <n v="50"/>
    <n v="50"/>
    <s v="6551XC"/>
    <n v="1"/>
    <n v="150"/>
    <b v="1"/>
    <b v="0"/>
    <b v="0"/>
    <n v="231"/>
    <n v="0"/>
    <s v=""/>
    <s v=""/>
    <n v="50"/>
    <n v="461"/>
    <x v="4"/>
    <n v="461"/>
    <s v="Escobedo"/>
    <s v="Monterrey"/>
    <x v="7"/>
    <x v="0"/>
    <d v="2025-05-01T00:00:00"/>
    <x v="3"/>
    <x v="3"/>
  </r>
  <r>
    <x v="632"/>
    <x v="0"/>
    <n v="5"/>
    <d v="2025-05-26T00:00:00"/>
    <d v="2025-05-26T00:00:00"/>
    <d v="2025-05-26T00:00:00"/>
    <d v="2025-05-26T00:00:00"/>
    <d v="2025-05-26T22:55:48"/>
    <n v="2050"/>
    <s v="626955"/>
    <s v="Sprinter"/>
    <n v="50"/>
    <n v="50"/>
    <s v="6551XC"/>
    <n v="1"/>
    <n v="150"/>
    <b v="1"/>
    <b v="0"/>
    <b v="0"/>
    <n v="231"/>
    <n v="0"/>
    <s v=""/>
    <s v=""/>
    <n v="50"/>
    <n v="359"/>
    <x v="6"/>
    <n v="359"/>
    <s v="Escobedo"/>
    <s v="Escobedo"/>
    <x v="0"/>
    <x v="0"/>
    <d v="2025-05-01T00:00:00"/>
    <x v="3"/>
    <x v="3"/>
  </r>
  <r>
    <x v="633"/>
    <x v="0"/>
    <n v="5"/>
    <d v="2025-05-26T00:00:00"/>
    <d v="2025-05-26T00:00:00"/>
    <d v="2025-05-26T00:00:00"/>
    <d v="2025-05-26T00:00:00"/>
    <d v="2025-05-27T00:09:49"/>
    <n v="2050"/>
    <s v="626955"/>
    <s v="Sprinter"/>
    <n v="50"/>
    <n v="50"/>
    <s v="6551XC"/>
    <n v="1"/>
    <n v="150"/>
    <b v="1"/>
    <b v="0"/>
    <b v="0"/>
    <n v="231"/>
    <n v="0"/>
    <s v=""/>
    <s v=""/>
    <n v="50"/>
    <n v="308"/>
    <x v="6"/>
    <n v="308"/>
    <s v="Escobedo"/>
    <s v="Guadalupe"/>
    <x v="25"/>
    <x v="0"/>
    <d v="2025-05-01T00:00:00"/>
    <x v="3"/>
    <x v="3"/>
  </r>
  <r>
    <x v="634"/>
    <x v="0"/>
    <n v="5"/>
    <d v="2025-05-26T00:00:00"/>
    <d v="2025-05-26T00:00:00"/>
    <d v="2025-05-26T00:00:00"/>
    <d v="2025-05-26T00:00:00"/>
    <d v="2025-05-27T00:11:12"/>
    <n v="2050"/>
    <s v="626955"/>
    <s v="Sprinter"/>
    <n v="50"/>
    <n v="50"/>
    <s v="6551XC"/>
    <n v="1"/>
    <n v="150"/>
    <b v="1"/>
    <b v="0"/>
    <b v="0"/>
    <n v="231"/>
    <n v="0"/>
    <s v=""/>
    <s v=""/>
    <n v="50"/>
    <n v="359"/>
    <x v="6"/>
    <n v="359"/>
    <s v="Escobedo"/>
    <s v="Escobedo"/>
    <x v="0"/>
    <x v="0"/>
    <d v="2025-05-01T00:00:00"/>
    <x v="3"/>
    <x v="3"/>
  </r>
  <r>
    <x v="635"/>
    <x v="0"/>
    <n v="5"/>
    <d v="2025-05-26T00:00:00"/>
    <d v="2025-05-26T00:00:00"/>
    <d v="2025-05-26T00:00:00"/>
    <d v="2025-05-26T00:00:00"/>
    <d v="2025-05-27T00:11:55"/>
    <n v="2050"/>
    <s v="626955"/>
    <s v="Sprinter"/>
    <n v="50"/>
    <n v="50"/>
    <s v="6551XC"/>
    <n v="1"/>
    <n v="150"/>
    <b v="1"/>
    <b v="0"/>
    <b v="0"/>
    <n v="231"/>
    <n v="0"/>
    <s v=""/>
    <s v=""/>
    <n v="50"/>
    <n v="2936"/>
    <x v="6"/>
    <n v="2936"/>
    <s v="Escobedo"/>
    <s v="Hidalgo"/>
    <x v="19"/>
    <x v="0"/>
    <d v="2025-05-01T00:00:00"/>
    <x v="3"/>
    <x v="3"/>
  </r>
  <r>
    <x v="636"/>
    <x v="0"/>
    <n v="5"/>
    <d v="2025-05-26T00:00:00"/>
    <d v="2025-05-26T00:00:00"/>
    <d v="2025-05-26T00:00:00"/>
    <d v="2025-05-26T00:00:00"/>
    <d v="2025-05-27T00:00:00"/>
    <n v="2050"/>
    <s v="626955"/>
    <s v="Sprinter"/>
    <n v="50"/>
    <n v="50"/>
    <s v="6551XC"/>
    <n v="1"/>
    <n v="150"/>
    <b v="1"/>
    <b v="0"/>
    <b v="0"/>
    <n v="231"/>
    <n v="0"/>
    <s v=""/>
    <s v=""/>
    <n v="50"/>
    <n v="359"/>
    <x v="3"/>
    <n v="359"/>
    <s v="Escobedo"/>
    <s v="Escobedo"/>
    <x v="0"/>
    <x v="0"/>
    <d v="2025-05-01T00:00:00"/>
    <x v="3"/>
    <x v="3"/>
  </r>
  <r>
    <x v="637"/>
    <x v="0"/>
    <n v="5"/>
    <d v="2025-05-26T00:00:00"/>
    <d v="2025-05-26T00:00:00"/>
    <d v="2025-05-26T00:00:00"/>
    <d v="2025-05-26T00:00:00"/>
    <d v="2025-05-27T09:46:03"/>
    <n v="2050"/>
    <s v="626955"/>
    <s v="Sprinter"/>
    <n v="50"/>
    <n v="50"/>
    <s v="6551XC"/>
    <n v="1"/>
    <n v="150"/>
    <b v="1"/>
    <b v="0"/>
    <b v="0"/>
    <n v="231"/>
    <n v="0"/>
    <s v=""/>
    <s v=""/>
    <n v="50"/>
    <n v="359"/>
    <x v="6"/>
    <n v="359"/>
    <s v="Escobedo"/>
    <s v="Escobedo"/>
    <x v="0"/>
    <x v="0"/>
    <d v="2025-05-01T00:00:00"/>
    <x v="3"/>
    <x v="3"/>
  </r>
  <r>
    <x v="638"/>
    <x v="0"/>
    <n v="5"/>
    <d v="2025-05-27T00:00:00"/>
    <d v="2025-05-27T00:00:00"/>
    <d v="2025-05-27T00:00:00"/>
    <d v="2025-05-27T00:00:00"/>
    <d v="2025-05-28T09:39:05"/>
    <n v="2050"/>
    <s v="626955"/>
    <s v="Sprinter"/>
    <n v="50"/>
    <n v="50"/>
    <s v="6551XC"/>
    <n v="1"/>
    <n v="150"/>
    <b v="1"/>
    <b v="0"/>
    <b v="0"/>
    <n v="231"/>
    <n v="0"/>
    <s v=""/>
    <s v=""/>
    <n v="50"/>
    <n v="359"/>
    <x v="6"/>
    <n v="359"/>
    <s v="Escobedo"/>
    <s v="Escobedo"/>
    <x v="0"/>
    <x v="0"/>
    <d v="2025-05-01T00:00:00"/>
    <x v="3"/>
    <x v="3"/>
  </r>
  <r>
    <x v="639"/>
    <x v="0"/>
    <n v="5"/>
    <d v="2025-05-27T00:00:00"/>
    <d v="2025-05-27T00:00:00"/>
    <d v="2025-05-27T00:00:00"/>
    <d v="2025-05-27T00:00:00"/>
    <d v="2025-05-28T10:28:50"/>
    <n v="2050"/>
    <s v="626955"/>
    <s v="Sprinter"/>
    <n v="50"/>
    <n v="50"/>
    <s v="6551XC"/>
    <n v="1"/>
    <n v="150"/>
    <b v="1"/>
    <b v="0"/>
    <b v="0"/>
    <n v="231"/>
    <n v="0"/>
    <s v=""/>
    <s v=""/>
    <n v="50"/>
    <n v="359"/>
    <x v="6"/>
    <n v="359"/>
    <s v="Escobedo"/>
    <s v="Escobedo"/>
    <x v="0"/>
    <x v="0"/>
    <d v="2025-05-01T00:00:00"/>
    <x v="3"/>
    <x v="3"/>
  </r>
  <r>
    <x v="640"/>
    <x v="0"/>
    <n v="5"/>
    <d v="2025-05-27T00:00:00"/>
    <d v="2025-05-27T00:00:00"/>
    <d v="2025-05-27T00:00:00"/>
    <d v="2025-05-27T00:00:00"/>
    <d v="2025-05-28T10:28:52"/>
    <n v="2050"/>
    <s v="626955"/>
    <s v="Sprinter"/>
    <n v="50"/>
    <n v="50"/>
    <s v="6551XC"/>
    <n v="1"/>
    <n v="150"/>
    <b v="1"/>
    <b v="0"/>
    <b v="0"/>
    <n v="231"/>
    <n v="0"/>
    <s v=""/>
    <s v=""/>
    <n v="50"/>
    <n v="2936"/>
    <x v="6"/>
    <n v="2936"/>
    <s v="Escobedo"/>
    <s v="Hidalgo"/>
    <x v="19"/>
    <x v="0"/>
    <d v="2025-05-01T00:00:00"/>
    <x v="3"/>
    <x v="3"/>
  </r>
  <r>
    <x v="641"/>
    <x v="0"/>
    <n v="5"/>
    <d v="2025-05-27T00:00:00"/>
    <d v="2025-05-27T00:00:00"/>
    <d v="2025-05-27T00:00:00"/>
    <d v="2025-05-27T00:00:00"/>
    <d v="2025-05-28T10:28:53"/>
    <n v="2050"/>
    <s v="626955"/>
    <s v="Sprinter"/>
    <n v="50"/>
    <n v="50"/>
    <s v="6551XC"/>
    <n v="1"/>
    <n v="150"/>
    <b v="1"/>
    <b v="0"/>
    <b v="0"/>
    <n v="231"/>
    <n v="0"/>
    <s v=""/>
    <s v=""/>
    <n v="50"/>
    <n v="359"/>
    <x v="6"/>
    <n v="359"/>
    <s v="Escobedo"/>
    <s v="Escobedo"/>
    <x v="0"/>
    <x v="0"/>
    <d v="2025-05-01T00:00:00"/>
    <x v="3"/>
    <x v="3"/>
  </r>
  <r>
    <x v="642"/>
    <x v="0"/>
    <n v="5"/>
    <d v="2025-05-27T00:00:00"/>
    <d v="2025-05-27T00:00:00"/>
    <d v="2025-05-27T00:00:00"/>
    <d v="2025-05-27T00:00:00"/>
    <d v="2025-05-28T10:28:54"/>
    <n v="2050"/>
    <s v="626955"/>
    <s v="Sprinter"/>
    <n v="50"/>
    <n v="50"/>
    <s v="6551XC"/>
    <n v="1"/>
    <n v="150"/>
    <b v="1"/>
    <b v="0"/>
    <b v="0"/>
    <n v="231"/>
    <n v="0"/>
    <s v=""/>
    <s v=""/>
    <n v="50"/>
    <n v="359"/>
    <x v="6"/>
    <n v="359"/>
    <s v="Escobedo"/>
    <s v="Escobedo"/>
    <x v="0"/>
    <x v="0"/>
    <d v="2025-05-01T00:00:00"/>
    <x v="3"/>
    <x v="3"/>
  </r>
  <r>
    <x v="643"/>
    <x v="0"/>
    <n v="5"/>
    <d v="2025-05-27T00:00:00"/>
    <d v="2025-05-27T00:00:00"/>
    <d v="2025-05-27T00:00:00"/>
    <d v="2025-05-27T00:00:00"/>
    <d v="2025-05-28T10:28:54"/>
    <n v="2050"/>
    <s v="626955"/>
    <s v="Sprinter"/>
    <n v="50"/>
    <n v="50"/>
    <s v="6551XC"/>
    <n v="1"/>
    <n v="150"/>
    <b v="1"/>
    <b v="0"/>
    <b v="0"/>
    <n v="231"/>
    <n v="0"/>
    <s v=""/>
    <s v=""/>
    <n v="50"/>
    <n v="359"/>
    <x v="6"/>
    <n v="359"/>
    <s v="Escobedo"/>
    <s v="Escobedo"/>
    <x v="0"/>
    <x v="0"/>
    <d v="2025-05-01T00:00:00"/>
    <x v="3"/>
    <x v="3"/>
  </r>
  <r>
    <x v="644"/>
    <x v="0"/>
    <n v="5"/>
    <d v="2025-05-27T00:00:00"/>
    <d v="2025-05-27T00:00:00"/>
    <d v="2025-05-27T00:00:00"/>
    <d v="2025-05-27T00:00:00"/>
    <d v="2025-05-28T10:28:55"/>
    <n v="2050"/>
    <s v="626955"/>
    <s v="Sprinter"/>
    <n v="50"/>
    <n v="50"/>
    <s v="6551XC"/>
    <n v="1"/>
    <n v="150"/>
    <b v="1"/>
    <b v="0"/>
    <b v="0"/>
    <n v="231"/>
    <n v="0"/>
    <s v=""/>
    <s v=""/>
    <n v="50"/>
    <n v="359"/>
    <x v="6"/>
    <n v="359"/>
    <s v="Escobedo"/>
    <s v="Escobedo"/>
    <x v="0"/>
    <x v="0"/>
    <d v="2025-05-01T00:00:00"/>
    <x v="3"/>
    <x v="3"/>
  </r>
  <r>
    <x v="645"/>
    <x v="0"/>
    <n v="5"/>
    <d v="2025-05-28T00:00:00"/>
    <d v="2025-05-28T00:00:00"/>
    <d v="2025-05-28T00:00:00"/>
    <d v="2025-05-28T00:00:00"/>
    <d v="2025-05-28T00:00:00"/>
    <n v="2164"/>
    <s v="610429"/>
    <s v="Sprinter"/>
    <n v="50"/>
    <n v="50"/>
    <s v="4549XC"/>
    <n v="1"/>
    <n v="150"/>
    <b v="1"/>
    <b v="0"/>
    <b v="0"/>
    <n v="231"/>
    <n v="0"/>
    <s v=""/>
    <s v=""/>
    <n v="50"/>
    <n v="461"/>
    <x v="6"/>
    <n v="461"/>
    <s v="Escobedo"/>
    <s v="Monterrey"/>
    <x v="7"/>
    <x v="2"/>
    <d v="2025-05-01T00:00:00"/>
    <x v="3"/>
    <x v="3"/>
  </r>
  <r>
    <x v="646"/>
    <x v="0"/>
    <n v="5"/>
    <d v="2025-05-28T00:00:00"/>
    <d v="2025-05-28T00:00:00"/>
    <d v="2025-05-28T00:00:00"/>
    <d v="2025-05-28T00:00:00"/>
    <d v="2025-05-28T21:13:09"/>
    <n v="2050"/>
    <s v="626955"/>
    <s v="Sprinter"/>
    <n v="50"/>
    <n v="50"/>
    <s v="6551XC"/>
    <n v="1"/>
    <n v="150"/>
    <b v="1"/>
    <b v="0"/>
    <b v="0"/>
    <n v="231"/>
    <n v="0"/>
    <s v=""/>
    <s v=""/>
    <n v="50"/>
    <n v="308"/>
    <x v="6"/>
    <n v="308"/>
    <s v="Escobedo"/>
    <s v="Guadalupe"/>
    <x v="25"/>
    <x v="0"/>
    <d v="2025-05-01T00:00:00"/>
    <x v="3"/>
    <x v="3"/>
  </r>
  <r>
    <x v="647"/>
    <x v="0"/>
    <n v="5"/>
    <d v="2025-05-28T00:00:00"/>
    <d v="2025-05-28T00:00:00"/>
    <d v="2025-05-28T00:00:00"/>
    <d v="2025-05-28T00:00:00"/>
    <d v="2025-05-29T02:52:04"/>
    <n v="2050"/>
    <s v="626955"/>
    <s v="Sprinter"/>
    <n v="50"/>
    <n v="50"/>
    <s v="6551XC"/>
    <n v="1"/>
    <n v="150"/>
    <b v="1"/>
    <b v="0"/>
    <b v="0"/>
    <n v="231"/>
    <n v="0"/>
    <s v=""/>
    <s v=""/>
    <n v="50"/>
    <n v="308"/>
    <x v="6"/>
    <n v="308"/>
    <s v="Escobedo"/>
    <s v="Guadalupe"/>
    <x v="25"/>
    <x v="0"/>
    <d v="2025-05-01T00:00:00"/>
    <x v="3"/>
    <x v="3"/>
  </r>
  <r>
    <x v="648"/>
    <x v="0"/>
    <n v="5"/>
    <d v="2025-05-28T00:00:00"/>
    <d v="2025-05-28T00:00:00"/>
    <d v="2025-05-28T00:00:00"/>
    <d v="2025-05-28T00:00:00"/>
    <d v="2025-05-28T21:17:46"/>
    <n v="2050"/>
    <s v="626955"/>
    <s v="Sprinter"/>
    <n v="50"/>
    <n v="50"/>
    <s v="6551XC"/>
    <n v="1"/>
    <n v="150"/>
    <b v="1"/>
    <b v="0"/>
    <b v="0"/>
    <n v="231"/>
    <n v="0"/>
    <s v=""/>
    <s v=""/>
    <n v="50"/>
    <n v="359"/>
    <x v="6"/>
    <n v="359"/>
    <s v="Escobedo"/>
    <s v="Escobedo"/>
    <x v="0"/>
    <x v="0"/>
    <d v="2025-05-01T00:00:00"/>
    <x v="3"/>
    <x v="3"/>
  </r>
  <r>
    <x v="649"/>
    <x v="0"/>
    <n v="5"/>
    <d v="2025-05-28T00:00:00"/>
    <d v="2025-05-28T00:00:00"/>
    <d v="2025-05-28T00:00:00"/>
    <d v="2025-05-28T00:00:00"/>
    <d v="2025-05-28T21:17:46"/>
    <n v="2050"/>
    <s v="626955"/>
    <s v="Sprinter"/>
    <n v="50"/>
    <n v="50"/>
    <s v="6551XC"/>
    <n v="1"/>
    <n v="150"/>
    <b v="1"/>
    <b v="0"/>
    <b v="0"/>
    <n v="231"/>
    <n v="0"/>
    <s v=""/>
    <s v=""/>
    <n v="50"/>
    <n v="359"/>
    <x v="6"/>
    <n v="359"/>
    <s v="Escobedo"/>
    <s v="Escobedo"/>
    <x v="0"/>
    <x v="0"/>
    <d v="2025-05-01T00:00:00"/>
    <x v="3"/>
    <x v="3"/>
  </r>
  <r>
    <x v="650"/>
    <x v="0"/>
    <n v="5"/>
    <d v="2025-05-28T00:00:00"/>
    <d v="2025-05-28T00:00:00"/>
    <d v="2025-05-28T00:00:00"/>
    <d v="2025-05-28T00:00:00"/>
    <d v="2025-05-28T21:17:45"/>
    <n v="2050"/>
    <s v="626955"/>
    <s v="Sprinter"/>
    <n v="50"/>
    <n v="50"/>
    <s v="6551XC"/>
    <n v="1"/>
    <n v="150"/>
    <b v="1"/>
    <b v="0"/>
    <b v="0"/>
    <n v="231"/>
    <n v="0"/>
    <s v=""/>
    <s v=""/>
    <n v="50"/>
    <n v="359"/>
    <x v="6"/>
    <n v="359"/>
    <s v="Escobedo"/>
    <s v="Escobedo"/>
    <x v="0"/>
    <x v="0"/>
    <d v="2025-05-01T00:00:00"/>
    <x v="3"/>
    <x v="3"/>
  </r>
  <r>
    <x v="651"/>
    <x v="0"/>
    <n v="5"/>
    <d v="2025-05-28T00:00:00"/>
    <d v="2025-05-28T00:00:00"/>
    <d v="2025-05-28T00:00:00"/>
    <d v="2025-05-28T00:00:00"/>
    <d v="2025-05-28T21:17:44"/>
    <n v="2050"/>
    <s v="626955"/>
    <s v="Sprinter"/>
    <n v="50"/>
    <n v="50"/>
    <s v="6551XC"/>
    <n v="1"/>
    <n v="150"/>
    <b v="1"/>
    <b v="0"/>
    <b v="0"/>
    <n v="231"/>
    <n v="0"/>
    <s v=""/>
    <s v=""/>
    <n v="50"/>
    <n v="359"/>
    <x v="6"/>
    <n v="359"/>
    <s v="Escobedo"/>
    <s v="Escobedo"/>
    <x v="0"/>
    <x v="0"/>
    <d v="2025-05-01T00:00:00"/>
    <x v="3"/>
    <x v="3"/>
  </r>
  <r>
    <x v="652"/>
    <x v="0"/>
    <n v="5"/>
    <d v="2025-05-28T00:00:00"/>
    <d v="2025-05-28T00:00:00"/>
    <d v="2025-05-28T00:00:00"/>
    <d v="2025-05-28T00:00:00"/>
    <d v="2025-05-28T21:17:43"/>
    <n v="2050"/>
    <s v="626955"/>
    <s v="Sprinter"/>
    <n v="50"/>
    <n v="50"/>
    <s v="6551XC"/>
    <n v="1"/>
    <n v="150"/>
    <b v="1"/>
    <b v="0"/>
    <b v="0"/>
    <n v="231"/>
    <n v="0"/>
    <s v=""/>
    <s v=""/>
    <n v="50"/>
    <n v="2936"/>
    <x v="6"/>
    <n v="2936"/>
    <s v="Escobedo"/>
    <s v="Hidalgo"/>
    <x v="19"/>
    <x v="0"/>
    <d v="2025-05-01T00:00:00"/>
    <x v="3"/>
    <x v="3"/>
  </r>
  <r>
    <x v="653"/>
    <x v="0"/>
    <n v="5"/>
    <d v="2025-05-29T00:00:00"/>
    <d v="2025-05-29T00:00:00"/>
    <d v="2025-05-29T00:00:00"/>
    <d v="2025-05-29T00:00:00"/>
    <d v="2025-05-29T20:53:49"/>
    <n v="2050"/>
    <s v="626955"/>
    <s v="Sprinter"/>
    <n v="50"/>
    <n v="50"/>
    <s v="6551XC"/>
    <n v="1"/>
    <n v="150"/>
    <b v="1"/>
    <b v="0"/>
    <b v="0"/>
    <n v="231"/>
    <n v="0"/>
    <s v=""/>
    <s v=""/>
    <n v="50"/>
    <n v="359"/>
    <x v="6"/>
    <n v="359"/>
    <s v="Escobedo"/>
    <s v="Escobedo"/>
    <x v="0"/>
    <x v="0"/>
    <d v="2025-05-01T00:00:00"/>
    <x v="3"/>
    <x v="3"/>
  </r>
  <r>
    <x v="654"/>
    <x v="0"/>
    <n v="5"/>
    <d v="2025-05-29T00:00:00"/>
    <d v="2025-05-29T00:00:00"/>
    <d v="2025-05-29T00:00:00"/>
    <d v="2025-05-29T00:00:00"/>
    <d v="2025-05-30T05:34:42"/>
    <n v="2050"/>
    <s v="626955"/>
    <s v="Sprinter"/>
    <n v="50"/>
    <n v="50"/>
    <s v="6551XC"/>
    <n v="1"/>
    <n v="150"/>
    <b v="1"/>
    <b v="0"/>
    <b v="0"/>
    <n v="231"/>
    <n v="0"/>
    <s v=""/>
    <s v=""/>
    <n v="50"/>
    <n v="359"/>
    <x v="6"/>
    <n v="359"/>
    <s v="Escobedo"/>
    <s v="Escobedo"/>
    <x v="0"/>
    <x v="0"/>
    <d v="2025-05-01T00:00:00"/>
    <x v="3"/>
    <x v="3"/>
  </r>
  <r>
    <x v="655"/>
    <x v="0"/>
    <n v="5"/>
    <d v="2025-05-29T00:00:00"/>
    <d v="2025-05-29T00:00:00"/>
    <d v="2025-05-29T00:00:00"/>
    <d v="2025-05-29T00:00:00"/>
    <d v="2025-05-30T05:35:27"/>
    <n v="2050"/>
    <s v="626955"/>
    <s v="Sprinter"/>
    <n v="50"/>
    <n v="50"/>
    <s v="6551XC"/>
    <n v="1"/>
    <n v="150"/>
    <b v="1"/>
    <b v="0"/>
    <b v="0"/>
    <n v="231"/>
    <n v="0"/>
    <s v=""/>
    <s v=""/>
    <n v="50"/>
    <n v="359"/>
    <x v="6"/>
    <n v="359"/>
    <s v="Escobedo"/>
    <s v="Escobedo"/>
    <x v="0"/>
    <x v="0"/>
    <d v="2025-05-01T00:00:00"/>
    <x v="3"/>
    <x v="3"/>
  </r>
  <r>
    <x v="656"/>
    <x v="0"/>
    <n v="5"/>
    <d v="2025-05-29T00:00:00"/>
    <d v="2025-05-29T00:00:00"/>
    <d v="2025-05-29T00:00:00"/>
    <d v="2025-05-29T00:00:00"/>
    <d v="2025-05-30T05:36:18"/>
    <n v="2050"/>
    <s v="626955"/>
    <s v="Sprinter"/>
    <n v="50"/>
    <n v="50"/>
    <s v="6551XC"/>
    <n v="1"/>
    <n v="150"/>
    <b v="1"/>
    <b v="0"/>
    <b v="0"/>
    <n v="231"/>
    <n v="0"/>
    <s v=""/>
    <s v=""/>
    <n v="50"/>
    <n v="461"/>
    <x v="6"/>
    <n v="461"/>
    <s v="Escobedo"/>
    <s v="Monterrey"/>
    <x v="7"/>
    <x v="0"/>
    <d v="2025-05-01T00:00:00"/>
    <x v="3"/>
    <x v="3"/>
  </r>
  <r>
    <x v="657"/>
    <x v="0"/>
    <n v="5"/>
    <d v="2025-05-29T00:00:00"/>
    <d v="2025-05-29T00:00:00"/>
    <d v="2025-05-29T00:00:00"/>
    <d v="2025-05-29T00:00:00"/>
    <d v="2025-05-30T05:37:07"/>
    <n v="2050"/>
    <s v="626955"/>
    <s v="Sprinter"/>
    <n v="50"/>
    <n v="50"/>
    <s v="6551XC"/>
    <n v="1"/>
    <n v="150"/>
    <b v="1"/>
    <b v="0"/>
    <b v="0"/>
    <n v="231"/>
    <n v="0"/>
    <s v=""/>
    <s v=""/>
    <n v="50"/>
    <n v="2936"/>
    <x v="6"/>
    <n v="2936"/>
    <s v="Escobedo"/>
    <s v="Hidalgo"/>
    <x v="19"/>
    <x v="0"/>
    <d v="2025-05-01T00:00:00"/>
    <x v="3"/>
    <x v="3"/>
  </r>
  <r>
    <x v="658"/>
    <x v="0"/>
    <n v="5"/>
    <d v="2025-05-29T00:00:00"/>
    <d v="2025-05-29T00:00:00"/>
    <d v="2025-05-29T00:00:00"/>
    <d v="2025-05-29T00:00:00"/>
    <d v="2025-05-30T05:37:48"/>
    <n v="2050"/>
    <s v="626955"/>
    <s v="Sprinter"/>
    <n v="50"/>
    <n v="50"/>
    <s v="6551XC"/>
    <n v="1"/>
    <n v="150"/>
    <b v="1"/>
    <b v="0"/>
    <b v="0"/>
    <n v="231"/>
    <n v="0"/>
    <s v=""/>
    <s v=""/>
    <n v="50"/>
    <n v="359"/>
    <x v="6"/>
    <n v="359"/>
    <s v="Escobedo"/>
    <s v="Escobedo"/>
    <x v="0"/>
    <x v="0"/>
    <d v="2025-05-01T00:00:00"/>
    <x v="3"/>
    <x v="3"/>
  </r>
  <r>
    <x v="659"/>
    <x v="0"/>
    <n v="5"/>
    <d v="2025-05-29T00:00:00"/>
    <d v="2025-05-29T00:00:00"/>
    <d v="2025-05-29T00:00:00"/>
    <d v="2025-05-29T00:00:00"/>
    <d v="2025-05-30T11:06:35"/>
    <n v="2050"/>
    <s v="626955"/>
    <s v="Sprinter"/>
    <n v="50"/>
    <n v="50"/>
    <s v="6551XC"/>
    <n v="1"/>
    <n v="150"/>
    <b v="1"/>
    <b v="0"/>
    <b v="0"/>
    <n v="231"/>
    <n v="0"/>
    <s v=""/>
    <s v=""/>
    <n v="50"/>
    <n v="2936"/>
    <x v="6"/>
    <n v="2936"/>
    <s v="Escobedo"/>
    <s v="Hidalgo"/>
    <x v="19"/>
    <x v="0"/>
    <d v="2025-05-01T00:00:00"/>
    <x v="3"/>
    <x v="3"/>
  </r>
  <r>
    <x v="660"/>
    <x v="0"/>
    <n v="5"/>
    <d v="2025-05-30T00:00:00"/>
    <d v="2025-05-30T00:00:00"/>
    <d v="2025-05-30T00:00:00"/>
    <d v="2025-05-30T00:00:00"/>
    <d v="2025-05-30T17:45:32"/>
    <n v="2050"/>
    <s v="626955"/>
    <s v="Sprinter"/>
    <n v="50"/>
    <n v="50"/>
    <s v="6551XC"/>
    <n v="1"/>
    <n v="150"/>
    <b v="1"/>
    <b v="0"/>
    <b v="0"/>
    <n v="231"/>
    <n v="0"/>
    <s v=""/>
    <s v=""/>
    <n v="50"/>
    <n v="359"/>
    <x v="6"/>
    <n v="359"/>
    <s v="Escobedo"/>
    <s v="Escobedo"/>
    <x v="0"/>
    <x v="0"/>
    <d v="2025-05-01T00:00:00"/>
    <x v="3"/>
    <x v="3"/>
  </r>
  <r>
    <x v="661"/>
    <x v="0"/>
    <n v="5"/>
    <d v="2025-05-30T00:00:00"/>
    <d v="2025-05-30T00:00:00"/>
    <d v="2025-05-30T00:00:00"/>
    <d v="2025-05-30T00:00:00"/>
    <d v="2025-05-30T17:45:32"/>
    <n v="2050"/>
    <s v="626955"/>
    <s v="Sprinter"/>
    <n v="50"/>
    <n v="50"/>
    <s v="6551XC"/>
    <n v="1"/>
    <n v="150"/>
    <b v="1"/>
    <b v="0"/>
    <b v="0"/>
    <n v="231"/>
    <n v="0"/>
    <s v=""/>
    <s v=""/>
    <n v="50"/>
    <n v="359"/>
    <x v="6"/>
    <n v="359"/>
    <s v="Escobedo"/>
    <s v="Escobedo"/>
    <x v="0"/>
    <x v="0"/>
    <d v="2025-05-01T00:00:00"/>
    <x v="3"/>
    <x v="3"/>
  </r>
  <r>
    <x v="662"/>
    <x v="0"/>
    <n v="5"/>
    <d v="2025-05-30T00:00:00"/>
    <d v="2025-05-30T00:00:00"/>
    <d v="2025-05-30T00:00:00"/>
    <d v="2025-05-30T00:00:00"/>
    <d v="2025-05-30T17:45:31"/>
    <n v="2050"/>
    <s v="626955"/>
    <s v="Sprinter"/>
    <n v="50"/>
    <n v="50"/>
    <s v="6551XC"/>
    <n v="1"/>
    <n v="150"/>
    <b v="1"/>
    <b v="0"/>
    <b v="0"/>
    <n v="231"/>
    <n v="0"/>
    <s v=""/>
    <s v=""/>
    <n v="50"/>
    <n v="359"/>
    <x v="6"/>
    <n v="359"/>
    <s v="Escobedo"/>
    <s v="Escobedo"/>
    <x v="0"/>
    <x v="0"/>
    <d v="2025-05-01T00:00:00"/>
    <x v="3"/>
    <x v="3"/>
  </r>
  <r>
    <x v="663"/>
    <x v="0"/>
    <n v="5"/>
    <d v="2025-05-30T00:00:00"/>
    <d v="2025-05-30T00:00:00"/>
    <d v="2025-05-30T00:00:00"/>
    <d v="2025-05-30T00:00:00"/>
    <d v="2025-05-30T17:45:30"/>
    <n v="2050"/>
    <s v="626955"/>
    <s v="Sprinter"/>
    <n v="50"/>
    <n v="50"/>
    <s v="6551XC"/>
    <n v="1"/>
    <n v="150"/>
    <b v="1"/>
    <b v="0"/>
    <b v="0"/>
    <n v="231"/>
    <n v="0"/>
    <s v=""/>
    <s v=""/>
    <n v="50"/>
    <n v="359"/>
    <x v="6"/>
    <n v="359"/>
    <s v="Escobedo"/>
    <s v="Escobedo"/>
    <x v="0"/>
    <x v="0"/>
    <d v="2025-05-01T00:00:00"/>
    <x v="3"/>
    <x v="3"/>
  </r>
  <r>
    <x v="664"/>
    <x v="0"/>
    <n v="5"/>
    <d v="2025-05-30T00:00:00"/>
    <d v="2025-05-30T00:00:00"/>
    <d v="2025-05-30T00:00:00"/>
    <d v="2025-05-30T00:00:00"/>
    <d v="2025-05-30T17:45:28"/>
    <n v="2050"/>
    <s v="610429"/>
    <s v="Sprinter"/>
    <n v="50"/>
    <n v="50"/>
    <s v="6551XC"/>
    <n v="1"/>
    <n v="150"/>
    <b v="1"/>
    <b v="0"/>
    <b v="0"/>
    <n v="231"/>
    <n v="0"/>
    <s v=""/>
    <s v=""/>
    <n v="50"/>
    <n v="461"/>
    <x v="6"/>
    <n v="461"/>
    <s v="Escobedo"/>
    <s v="Monterrey"/>
    <x v="7"/>
    <x v="2"/>
    <d v="2025-05-01T00:00:00"/>
    <x v="3"/>
    <x v="3"/>
  </r>
  <r>
    <x v="665"/>
    <x v="0"/>
    <n v="5"/>
    <d v="2025-05-05T00:00:00"/>
    <d v="2025-05-05T00:00:00"/>
    <d v="2025-05-06T00:00:00"/>
    <d v="2025-05-05T00:00:00"/>
    <d v="2025-05-07T00:00:00"/>
    <n v="2244"/>
    <s v="775908"/>
    <s v="4700*175*195"/>
    <n v="842"/>
    <n v="842"/>
    <s v="3727XC"/>
    <n v="1"/>
    <n v="863"/>
    <b v="1"/>
    <b v="0"/>
    <b v="0"/>
    <n v="1213"/>
    <n v="0"/>
    <s v=""/>
    <s v=""/>
    <n v="900"/>
    <n v="1843"/>
    <x v="7"/>
    <n v="1843"/>
    <s v="Escobedo"/>
    <s v="Mazatlan"/>
    <x v="17"/>
    <x v="1"/>
    <d v="2025-05-01T00:00:00"/>
    <x v="3"/>
    <x v="3"/>
  </r>
  <r>
    <x v="666"/>
    <x v="0"/>
    <n v="5"/>
    <d v="2025-05-05T00:00:00"/>
    <d v="2025-05-05T00:00:00"/>
    <d v="2025-05-05T00:00:00"/>
    <d v="2025-05-05T00:00:00"/>
    <d v="2025-05-05T00:00:00"/>
    <n v="2039"/>
    <s v="610429"/>
    <s v="Sprinter"/>
    <n v="50"/>
    <n v="50"/>
    <s v="4366XC"/>
    <n v="1"/>
    <n v="150"/>
    <b v="1"/>
    <b v="0"/>
    <b v="0"/>
    <n v="231"/>
    <n v="0"/>
    <s v=""/>
    <s v=""/>
    <n v="50"/>
    <n v="229"/>
    <x v="4"/>
    <n v="229"/>
    <s v="Escobedo"/>
    <s v="Escobedo"/>
    <x v="0"/>
    <x v="2"/>
    <d v="2025-05-01T00:00:00"/>
    <x v="3"/>
    <x v="3"/>
  </r>
  <r>
    <x v="667"/>
    <x v="0"/>
    <n v="5"/>
    <d v="2025-05-05T00:00:00"/>
    <d v="2025-05-05T00:00:00"/>
    <d v="2025-05-05T00:00:00"/>
    <d v="2025-05-05T00:00:00"/>
    <d v="2025-05-05T16:53:45"/>
    <n v="2039"/>
    <s v="610429"/>
    <s v="Sprinter"/>
    <n v="50"/>
    <n v="50"/>
    <s v="4366XC"/>
    <n v="1"/>
    <n v="150"/>
    <b v="1"/>
    <b v="0"/>
    <b v="0"/>
    <n v="231"/>
    <n v="0"/>
    <s v=""/>
    <s v=""/>
    <n v="50"/>
    <n v="359"/>
    <x v="4"/>
    <n v="359"/>
    <s v="Escobedo"/>
    <s v="Escobedo"/>
    <x v="0"/>
    <x v="2"/>
    <d v="2025-05-01T00:00:00"/>
    <x v="3"/>
    <x v="3"/>
  </r>
  <r>
    <x v="668"/>
    <x v="0"/>
    <n v="5"/>
    <d v="2025-05-05T00:00:00"/>
    <d v="2025-05-05T00:00:00"/>
    <d v="2025-05-05T00:00:00"/>
    <d v="2025-05-05T00:00:00"/>
    <d v="2025-05-05T16:54:12"/>
    <n v="2039"/>
    <s v="610429"/>
    <s v="Sprinter"/>
    <n v="50"/>
    <n v="50"/>
    <s v="4366XC"/>
    <n v="1"/>
    <n v="150"/>
    <b v="1"/>
    <b v="0"/>
    <b v="0"/>
    <n v="231"/>
    <n v="0"/>
    <s v=""/>
    <s v=""/>
    <n v="50"/>
    <n v="2936"/>
    <x v="4"/>
    <n v="2936"/>
    <s v="Escobedo"/>
    <s v="Hidalgo"/>
    <x v="19"/>
    <x v="2"/>
    <d v="2025-05-01T00:00:00"/>
    <x v="3"/>
    <x v="3"/>
  </r>
  <r>
    <x v="669"/>
    <x v="0"/>
    <n v="5"/>
    <d v="2025-05-05T00:00:00"/>
    <d v="2025-05-05T00:00:00"/>
    <d v="2025-05-05T00:00:00"/>
    <d v="2025-05-05T00:00:00"/>
    <d v="2025-05-05T16:54:38"/>
    <n v="2039"/>
    <s v="610429"/>
    <s v="Sprinter"/>
    <n v="50"/>
    <n v="50"/>
    <s v="4366XC"/>
    <n v="1"/>
    <n v="150"/>
    <b v="1"/>
    <b v="0"/>
    <b v="0"/>
    <n v="231"/>
    <n v="0"/>
    <s v=""/>
    <s v=""/>
    <n v="50"/>
    <n v="359"/>
    <x v="4"/>
    <n v="359"/>
    <s v="Escobedo"/>
    <s v="Escobedo"/>
    <x v="0"/>
    <x v="2"/>
    <d v="2025-05-01T00:00:00"/>
    <x v="3"/>
    <x v="3"/>
  </r>
  <r>
    <x v="670"/>
    <x v="0"/>
    <n v="5"/>
    <d v="2025-05-05T00:00:00"/>
    <d v="2025-05-05T00:00:00"/>
    <d v="2025-05-06T00:00:00"/>
    <d v="2025-05-05T00:00:00"/>
    <d v="2025-05-06T00:00:00"/>
    <n v="2050"/>
    <s v="626955"/>
    <s v="Sprinter"/>
    <n v="961"/>
    <n v="1059"/>
    <s v="6551XC"/>
    <n v="1"/>
    <n v="964"/>
    <b v="1"/>
    <b v="0"/>
    <b v="0"/>
    <n v="1494"/>
    <n v="0"/>
    <s v=""/>
    <s v=""/>
    <n v="1100"/>
    <n v="8"/>
    <x v="4"/>
    <n v="8"/>
    <s v="Escobedo"/>
    <s v="Cd Sahagún"/>
    <x v="3"/>
    <x v="0"/>
    <d v="2025-05-01T00:00:00"/>
    <x v="3"/>
    <x v="3"/>
  </r>
  <r>
    <x v="671"/>
    <x v="0"/>
    <n v="5"/>
    <d v="2025-05-16T00:00:00"/>
    <d v="2025-05-16T00:00:00"/>
    <d v="2025-05-19T00:00:00"/>
    <d v="2025-05-18T00:00:00"/>
    <d v="2025-05-19T00:00:00"/>
    <n v="2050"/>
    <s v="626955"/>
    <s v="Sprinter"/>
    <n v="961"/>
    <n v="0"/>
    <s v="6551XC"/>
    <n v="1"/>
    <n v="964"/>
    <b v="1"/>
    <b v="0"/>
    <b v="0"/>
    <n v="0"/>
    <n v="0"/>
    <s v=""/>
    <s v="Cita en Patio Sahagún 12:00 pm."/>
    <n v="0"/>
    <n v="3"/>
    <x v="11"/>
    <n v="3"/>
    <s v="Culiacan"/>
    <s v="Cd Sahagún"/>
    <x v="5"/>
    <x v="0"/>
    <d v="2025-05-01T00:00:00"/>
    <x v="3"/>
    <x v="3"/>
  </r>
  <r>
    <x v="672"/>
    <x v="0"/>
    <n v="5"/>
    <d v="2025-05-02T00:00:00"/>
    <d v="2025-05-02T00:00:00"/>
    <d v="2025-05-05T00:00:00"/>
    <d v="2025-05-04T00:00:00"/>
    <d v="2025-05-05T00:00:00"/>
    <n v="2050"/>
    <s v="626955"/>
    <s v="Sprinter"/>
    <n v="961"/>
    <n v="0"/>
    <s v="6551XC"/>
    <n v="1"/>
    <n v="964"/>
    <b v="1"/>
    <b v="0"/>
    <b v="0"/>
    <n v="0"/>
    <n v="0"/>
    <s v=""/>
    <s v=""/>
    <n v="0"/>
    <n v="8"/>
    <x v="1"/>
    <n v="8"/>
    <s v="Escobedo"/>
    <s v="Cd Sahagún"/>
    <x v="3"/>
    <x v="0"/>
    <d v="2025-05-01T00:00:00"/>
    <x v="3"/>
    <x v="3"/>
  </r>
  <r>
    <x v="673"/>
    <x v="0"/>
    <n v="5"/>
    <d v="2025-05-02T00:00:00"/>
    <d v="2025-05-02T00:00:00"/>
    <d v="2025-05-05T00:00:00"/>
    <d v="2025-05-04T00:00:00"/>
    <d v="2025-05-05T00:00:00"/>
    <n v="2244"/>
    <s v="775908"/>
    <s v="4700*175*195"/>
    <n v="961"/>
    <n v="0"/>
    <s v="3727XC"/>
    <n v="1"/>
    <n v="964"/>
    <b v="1"/>
    <b v="0"/>
    <b v="0"/>
    <n v="1494"/>
    <n v="0"/>
    <s v=""/>
    <s v="Cita en Patio Sahagún 16:00 hrs, 04 de mayo"/>
    <n v="1100"/>
    <n v="8"/>
    <x v="11"/>
    <n v="8"/>
    <s v="Escobedo"/>
    <s v="Cd Sahagún"/>
    <x v="3"/>
    <x v="1"/>
    <d v="2025-05-01T00:00:00"/>
    <x v="3"/>
    <x v="3"/>
  </r>
  <r>
    <x v="674"/>
    <x v="0"/>
    <n v="5"/>
    <d v="2025-05-09T00:00:00"/>
    <d v="2025-05-09T00:00:00"/>
    <d v="2025-05-12T00:00:00"/>
    <d v="2025-05-11T00:00:00"/>
    <d v="2025-05-12T00:00:00"/>
    <n v="2050"/>
    <s v="626955"/>
    <s v="Sprinter"/>
    <n v="961"/>
    <n v="0"/>
    <s v="6551XC"/>
    <n v="1"/>
    <n v="964"/>
    <b v="1"/>
    <b v="0"/>
    <b v="0"/>
    <n v="0"/>
    <n v="0"/>
    <s v=""/>
    <s v="Cita para trasnferencia 16:00 hrs"/>
    <n v="0"/>
    <n v="8"/>
    <x v="11"/>
    <n v="8"/>
    <s v="Escobedo"/>
    <s v="Cd Sahagún"/>
    <x v="3"/>
    <x v="0"/>
    <d v="2025-05-01T00:00:00"/>
    <x v="3"/>
    <x v="3"/>
  </r>
  <r>
    <x v="675"/>
    <x v="0"/>
    <n v="5"/>
    <d v="2025-05-13T00:00:00"/>
    <d v="2025-05-13T00:00:00"/>
    <d v="2025-05-14T00:00:00"/>
    <d v="2025-05-13T00:00:00"/>
    <d v="2025-05-14T00:00:00"/>
    <n v="2050"/>
    <s v="626955"/>
    <s v="Sprinter"/>
    <n v="961"/>
    <n v="0"/>
    <s v="6551XC"/>
    <n v="1"/>
    <n v="964"/>
    <b v="1"/>
    <b v="0"/>
    <b v="0"/>
    <n v="0"/>
    <n v="0"/>
    <s v=""/>
    <s v=""/>
    <n v="0"/>
    <n v="1052"/>
    <x v="5"/>
    <n v="1052"/>
    <s v="Escobedo"/>
    <s v="Apodaca"/>
    <x v="36"/>
    <x v="0"/>
    <d v="2025-05-01T00:00:00"/>
    <x v="3"/>
    <x v="3"/>
  </r>
  <r>
    <x v="676"/>
    <x v="0"/>
    <n v="6"/>
    <d v="2025-06-01T00:00:00"/>
    <d v="2025-06-01T00:00:00"/>
    <d v="2025-06-01T00:00:00"/>
    <d v="2025-06-01T00:00:00"/>
    <d v="2025-06-01T19:44:01"/>
    <n v="2050"/>
    <s v="626955"/>
    <s v="Sprinter"/>
    <n v="50"/>
    <n v="50"/>
    <s v="6551XC"/>
    <n v="1"/>
    <n v="150"/>
    <b v="1"/>
    <b v="0"/>
    <b v="0"/>
    <n v="231"/>
    <n v="0"/>
    <s v=""/>
    <s v=""/>
    <n v="50"/>
    <n v="359"/>
    <x v="6"/>
    <n v="359"/>
    <s v="Escobedo"/>
    <s v="Escobedo"/>
    <x v="0"/>
    <x v="0"/>
    <d v="2025-06-01T00:00:00"/>
    <x v="4"/>
    <x v="3"/>
  </r>
  <r>
    <x v="677"/>
    <x v="0"/>
    <n v="6"/>
    <d v="2025-06-09T00:00:00"/>
    <d v="2025-06-09T00:00:00"/>
    <d v="2025-06-10T00:00:00"/>
    <d v="2025-06-09T00:00:00"/>
    <d v="2025-06-10T00:00:00"/>
    <n v="2244"/>
    <s v="775908"/>
    <s v="4700*175*195"/>
    <n v="961"/>
    <n v="1059"/>
    <s v="3727XC"/>
    <n v="1"/>
    <n v="964"/>
    <b v="1"/>
    <b v="0"/>
    <b v="0"/>
    <n v="1494"/>
    <n v="0"/>
    <s v=""/>
    <s v=""/>
    <n v="1100"/>
    <n v="8"/>
    <x v="4"/>
    <n v="8"/>
    <s v="Escobedo"/>
    <s v="Cd Sahagún"/>
    <x v="3"/>
    <x v="1"/>
    <d v="2025-06-01T00:00:00"/>
    <x v="4"/>
    <x v="3"/>
  </r>
  <r>
    <x v="678"/>
    <x v="0"/>
    <n v="6"/>
    <d v="2025-06-09T00:00:00"/>
    <d v="2025-06-09T00:00:00"/>
    <d v="2025-06-09T00:00:00"/>
    <d v="2025-06-09T00:00:00"/>
    <d v="2025-06-09T18:22:11"/>
    <n v="2039"/>
    <s v="610429"/>
    <s v="Sprinter"/>
    <n v="50"/>
    <n v="50"/>
    <s v="4366XC"/>
    <n v="1"/>
    <n v="150"/>
    <b v="1"/>
    <b v="0"/>
    <b v="0"/>
    <n v="231"/>
    <n v="0"/>
    <s v=""/>
    <s v=""/>
    <n v="50"/>
    <n v="359"/>
    <x v="6"/>
    <n v="359"/>
    <s v="Escobedo"/>
    <s v="Escobedo"/>
    <x v="0"/>
    <x v="2"/>
    <d v="2025-06-01T00:00:00"/>
    <x v="4"/>
    <x v="3"/>
  </r>
  <r>
    <x v="679"/>
    <x v="0"/>
    <n v="6"/>
    <d v="2025-06-09T00:00:00"/>
    <d v="2025-06-09T00:00:00"/>
    <d v="2025-06-09T00:00:00"/>
    <d v="2025-06-09T00:00:00"/>
    <d v="2025-06-09T18:22:12"/>
    <n v="2039"/>
    <s v="610429"/>
    <s v="Sprinter"/>
    <n v="50"/>
    <n v="50"/>
    <s v="4366XC"/>
    <n v="1"/>
    <n v="150"/>
    <b v="1"/>
    <b v="0"/>
    <b v="0"/>
    <n v="231"/>
    <n v="0"/>
    <s v=""/>
    <s v=""/>
    <n v="50"/>
    <n v="359"/>
    <x v="6"/>
    <n v="359"/>
    <s v="Escobedo"/>
    <s v="Escobedo"/>
    <x v="0"/>
    <x v="2"/>
    <d v="2025-06-01T00:00:00"/>
    <x v="4"/>
    <x v="3"/>
  </r>
  <r>
    <x v="680"/>
    <x v="0"/>
    <n v="6"/>
    <d v="2025-06-09T00:00:00"/>
    <d v="2025-06-09T00:00:00"/>
    <d v="2025-06-09T00:00:00"/>
    <d v="2025-06-09T00:00:00"/>
    <d v="2025-06-09T18:22:10"/>
    <n v="2039"/>
    <s v="610429"/>
    <s v="Sprinter"/>
    <n v="50"/>
    <n v="50"/>
    <s v="4366XC"/>
    <n v="1"/>
    <n v="150"/>
    <b v="1"/>
    <b v="0"/>
    <b v="0"/>
    <n v="231"/>
    <n v="0"/>
    <s v=""/>
    <s v=""/>
    <n v="50"/>
    <n v="359"/>
    <x v="6"/>
    <n v="359"/>
    <s v="Escobedo"/>
    <s v="Escobedo"/>
    <x v="0"/>
    <x v="2"/>
    <d v="2025-06-01T00:00:00"/>
    <x v="4"/>
    <x v="3"/>
  </r>
  <r>
    <x v="681"/>
    <x v="0"/>
    <n v="6"/>
    <d v="2025-06-09T00:00:00"/>
    <d v="2025-06-09T00:00:00"/>
    <d v="2025-06-09T00:00:00"/>
    <d v="2025-06-09T00:00:00"/>
    <d v="2025-06-09T18:22:11"/>
    <n v="2039"/>
    <s v="610429"/>
    <s v="Sprinter"/>
    <n v="50"/>
    <n v="50"/>
    <s v="4366XC"/>
    <n v="1"/>
    <n v="150"/>
    <b v="1"/>
    <b v="0"/>
    <b v="0"/>
    <n v="231"/>
    <n v="0"/>
    <s v=""/>
    <s v=""/>
    <n v="50"/>
    <n v="359"/>
    <x v="6"/>
    <n v="359"/>
    <s v="Escobedo"/>
    <s v="Escobedo"/>
    <x v="0"/>
    <x v="2"/>
    <d v="2025-06-01T00:00:00"/>
    <x v="4"/>
    <x v="3"/>
  </r>
  <r>
    <x v="682"/>
    <x v="0"/>
    <n v="6"/>
    <d v="2025-06-09T00:00:00"/>
    <d v="2025-06-09T00:00:00"/>
    <d v="2025-06-09T00:00:00"/>
    <d v="2025-06-09T00:00:00"/>
    <d v="2025-06-09T18:22:13"/>
    <n v="2039"/>
    <s v="610429"/>
    <s v="Sprinter"/>
    <n v="50"/>
    <n v="50"/>
    <s v="4366XC"/>
    <n v="1"/>
    <n v="150"/>
    <b v="1"/>
    <b v="0"/>
    <b v="0"/>
    <n v="231"/>
    <n v="0"/>
    <s v=""/>
    <s v=""/>
    <n v="50"/>
    <n v="359"/>
    <x v="6"/>
    <n v="359"/>
    <s v="Escobedo"/>
    <s v="Escobedo"/>
    <x v="0"/>
    <x v="2"/>
    <d v="2025-06-01T00:00:00"/>
    <x v="4"/>
    <x v="3"/>
  </r>
  <r>
    <x v="683"/>
    <x v="0"/>
    <n v="6"/>
    <d v="2025-06-09T00:00:00"/>
    <d v="2025-06-09T00:00:00"/>
    <d v="2025-06-09T00:00:00"/>
    <d v="2025-06-09T00:00:00"/>
    <d v="2025-06-09T18:22:12"/>
    <n v="2039"/>
    <s v="610429"/>
    <s v="Sprinter"/>
    <n v="50"/>
    <n v="50"/>
    <s v="4366XC"/>
    <n v="1"/>
    <n v="150"/>
    <b v="1"/>
    <b v="0"/>
    <b v="0"/>
    <n v="231"/>
    <n v="0"/>
    <s v=""/>
    <s v=""/>
    <n v="50"/>
    <n v="359"/>
    <x v="6"/>
    <n v="359"/>
    <s v="Escobedo"/>
    <s v="Escobedo"/>
    <x v="0"/>
    <x v="2"/>
    <d v="2025-06-01T00:00:00"/>
    <x v="4"/>
    <x v="3"/>
  </r>
  <r>
    <x v="684"/>
    <x v="0"/>
    <n v="6"/>
    <d v="2025-06-10T00:00:00"/>
    <d v="2025-06-10T00:00:00"/>
    <d v="2025-06-11T00:00:00"/>
    <d v="2025-06-10T00:00:00"/>
    <d v="2025-06-11T00:00:00"/>
    <n v="2050"/>
    <s v="626955"/>
    <s v="Sprinter"/>
    <n v="0"/>
    <n v="0"/>
    <s v="6551XC"/>
    <n v="1"/>
    <n v="0"/>
    <b v="1"/>
    <b v="1"/>
    <b v="0"/>
    <n v="0"/>
    <n v="0"/>
    <s v=""/>
    <s v=""/>
    <n v="0"/>
    <n v="1472"/>
    <x v="10"/>
    <n v="1472"/>
    <s v="Gomez Palacio"/>
    <s v="Culiacan"/>
    <x v="37"/>
    <x v="0"/>
    <d v="2025-06-01T00:00:00"/>
    <x v="4"/>
    <x v="3"/>
  </r>
  <r>
    <x v="685"/>
    <x v="0"/>
    <n v="6"/>
    <d v="2025-06-10T00:00:00"/>
    <d v="2025-06-10T00:00:00"/>
    <d v="2025-06-10T00:00:00"/>
    <d v="2025-06-10T00:00:00"/>
    <d v="2025-06-10T22:06:56"/>
    <n v="2039"/>
    <s v="610429"/>
    <s v="Sprinter"/>
    <n v="50"/>
    <n v="50"/>
    <s v="4366XC"/>
    <n v="1"/>
    <n v="150"/>
    <b v="1"/>
    <b v="0"/>
    <b v="0"/>
    <n v="231"/>
    <n v="0"/>
    <s v=""/>
    <s v=""/>
    <n v="50"/>
    <n v="2936"/>
    <x v="6"/>
    <n v="2936"/>
    <s v="Escobedo"/>
    <s v="Hidalgo"/>
    <x v="19"/>
    <x v="2"/>
    <d v="2025-06-01T00:00:00"/>
    <x v="4"/>
    <x v="3"/>
  </r>
  <r>
    <x v="686"/>
    <x v="0"/>
    <n v="6"/>
    <d v="2025-06-10T00:00:00"/>
    <d v="2025-06-10T00:00:00"/>
    <d v="2025-06-10T00:00:00"/>
    <d v="2025-06-10T00:00:00"/>
    <d v="2025-06-10T22:07:28"/>
    <n v="2039"/>
    <s v="610429"/>
    <s v="Sprinter"/>
    <n v="50"/>
    <n v="50"/>
    <s v="4366XC"/>
    <n v="1"/>
    <n v="150"/>
    <b v="1"/>
    <b v="0"/>
    <b v="0"/>
    <n v="231"/>
    <n v="0"/>
    <s v=""/>
    <s v=""/>
    <n v="50"/>
    <n v="359"/>
    <x v="6"/>
    <n v="359"/>
    <s v="Escobedo"/>
    <s v="Escobedo"/>
    <x v="0"/>
    <x v="2"/>
    <d v="2025-06-01T00:00:00"/>
    <x v="4"/>
    <x v="3"/>
  </r>
  <r>
    <x v="687"/>
    <x v="0"/>
    <n v="6"/>
    <d v="2025-06-10T00:00:00"/>
    <d v="2025-06-10T00:00:00"/>
    <d v="2025-06-10T00:00:00"/>
    <d v="2025-06-10T00:00:00"/>
    <d v="2025-06-10T22:08:00"/>
    <n v="2039"/>
    <s v="610429"/>
    <s v="Sprinter"/>
    <n v="50"/>
    <n v="50"/>
    <s v="4366XC"/>
    <n v="1"/>
    <n v="150"/>
    <b v="1"/>
    <b v="0"/>
    <b v="0"/>
    <n v="231"/>
    <n v="0"/>
    <s v=""/>
    <s v=""/>
    <n v="50"/>
    <n v="359"/>
    <x v="6"/>
    <n v="359"/>
    <s v="Escobedo"/>
    <s v="Escobedo"/>
    <x v="0"/>
    <x v="2"/>
    <d v="2025-06-01T00:00:00"/>
    <x v="4"/>
    <x v="3"/>
  </r>
  <r>
    <x v="688"/>
    <x v="0"/>
    <n v="6"/>
    <d v="2025-06-10T00:00:00"/>
    <d v="2025-06-10T00:00:00"/>
    <d v="2025-06-10T00:00:00"/>
    <d v="2025-06-10T00:00:00"/>
    <d v="2025-06-10T22:09:01"/>
    <n v="2039"/>
    <s v="610429"/>
    <s v="Sprinter"/>
    <n v="50"/>
    <n v="50"/>
    <s v="4366XC"/>
    <n v="1"/>
    <n v="150"/>
    <b v="1"/>
    <b v="0"/>
    <b v="0"/>
    <n v="231"/>
    <n v="0"/>
    <s v=""/>
    <s v=""/>
    <n v="50"/>
    <n v="359"/>
    <x v="6"/>
    <n v="359"/>
    <s v="Escobedo"/>
    <s v="Escobedo"/>
    <x v="0"/>
    <x v="2"/>
    <d v="2025-06-01T00:00:00"/>
    <x v="4"/>
    <x v="3"/>
  </r>
  <r>
    <x v="689"/>
    <x v="0"/>
    <n v="6"/>
    <d v="2025-06-11T00:00:00"/>
    <d v="2025-06-11T00:00:00"/>
    <d v="2025-06-11T00:00:00"/>
    <d v="2025-06-11T00:00:00"/>
    <d v="2025-06-11T21:17:01"/>
    <n v="2039"/>
    <s v="610429"/>
    <s v="Sprinter"/>
    <n v="50"/>
    <n v="50"/>
    <s v="4366XC"/>
    <n v="1"/>
    <n v="150"/>
    <b v="1"/>
    <b v="0"/>
    <b v="0"/>
    <n v="231"/>
    <n v="0"/>
    <s v=""/>
    <s v=""/>
    <n v="50"/>
    <n v="359"/>
    <x v="6"/>
    <n v="359"/>
    <s v="Escobedo"/>
    <s v="Escobedo"/>
    <x v="0"/>
    <x v="2"/>
    <d v="2025-06-01T00:00:00"/>
    <x v="4"/>
    <x v="3"/>
  </r>
  <r>
    <x v="690"/>
    <x v="0"/>
    <n v="6"/>
    <d v="2025-06-11T00:00:00"/>
    <d v="2025-06-11T00:00:00"/>
    <d v="2025-06-11T00:00:00"/>
    <d v="2025-06-11T00:00:00"/>
    <d v="2025-06-11T21:17:30"/>
    <n v="2039"/>
    <s v="610429"/>
    <s v="Sprinter"/>
    <n v="50"/>
    <n v="50"/>
    <s v="4366XC"/>
    <n v="1"/>
    <n v="150"/>
    <b v="1"/>
    <b v="0"/>
    <b v="0"/>
    <n v="231"/>
    <n v="0"/>
    <s v=""/>
    <s v=""/>
    <n v="50"/>
    <n v="359"/>
    <x v="6"/>
    <n v="359"/>
    <s v="Escobedo"/>
    <s v="Escobedo"/>
    <x v="0"/>
    <x v="2"/>
    <d v="2025-06-01T00:00:00"/>
    <x v="4"/>
    <x v="3"/>
  </r>
  <r>
    <x v="691"/>
    <x v="0"/>
    <n v="6"/>
    <d v="2025-06-11T00:00:00"/>
    <d v="2025-06-11T00:00:00"/>
    <d v="2025-06-11T00:00:00"/>
    <d v="2025-06-11T00:00:00"/>
    <d v="2025-06-11T21:18:10"/>
    <n v="2039"/>
    <s v="610429"/>
    <s v="Sprinter"/>
    <n v="50"/>
    <n v="50"/>
    <s v="4366XC"/>
    <n v="1"/>
    <n v="150"/>
    <b v="1"/>
    <b v="0"/>
    <b v="0"/>
    <n v="231"/>
    <n v="0"/>
    <s v=""/>
    <s v=""/>
    <n v="50"/>
    <n v="359"/>
    <x v="6"/>
    <n v="359"/>
    <s v="Escobedo"/>
    <s v="Escobedo"/>
    <x v="0"/>
    <x v="2"/>
    <d v="2025-06-01T00:00:00"/>
    <x v="4"/>
    <x v="3"/>
  </r>
  <r>
    <x v="692"/>
    <x v="0"/>
    <n v="6"/>
    <d v="2025-06-11T00:00:00"/>
    <d v="2025-06-11T00:00:00"/>
    <d v="2025-06-11T00:00:00"/>
    <d v="2025-06-11T00:00:00"/>
    <d v="2025-06-11T21:18:39"/>
    <n v="2039"/>
    <s v="610429"/>
    <s v="Sprinter"/>
    <n v="50"/>
    <n v="50"/>
    <s v="4366XC"/>
    <n v="1"/>
    <n v="150"/>
    <b v="1"/>
    <b v="0"/>
    <b v="0"/>
    <n v="231"/>
    <n v="0"/>
    <s v=""/>
    <s v=""/>
    <n v="50"/>
    <n v="2936"/>
    <x v="6"/>
    <n v="2936"/>
    <s v="Escobedo"/>
    <s v="Hidalgo"/>
    <x v="19"/>
    <x v="2"/>
    <d v="2025-06-01T00:00:00"/>
    <x v="4"/>
    <x v="3"/>
  </r>
  <r>
    <x v="693"/>
    <x v="0"/>
    <n v="6"/>
    <d v="2025-06-12T00:00:00"/>
    <d v="2025-06-12T00:00:00"/>
    <d v="2025-06-12T00:00:00"/>
    <d v="2025-06-12T00:00:00"/>
    <d v="2025-06-13T10:19:56"/>
    <n v="2039"/>
    <s v="610429"/>
    <s v="Sprinter"/>
    <n v="50"/>
    <n v="50"/>
    <s v="4366XC"/>
    <n v="1"/>
    <n v="150"/>
    <b v="1"/>
    <b v="0"/>
    <b v="0"/>
    <n v="231"/>
    <n v="0"/>
    <s v=""/>
    <s v=""/>
    <n v="50"/>
    <n v="359"/>
    <x v="6"/>
    <n v="359"/>
    <s v="Escobedo"/>
    <s v="Escobedo"/>
    <x v="0"/>
    <x v="2"/>
    <d v="2025-06-01T00:00:00"/>
    <x v="4"/>
    <x v="3"/>
  </r>
  <r>
    <x v="694"/>
    <x v="0"/>
    <n v="6"/>
    <d v="2025-06-12T00:00:00"/>
    <d v="2025-06-12T00:00:00"/>
    <d v="2025-06-12T00:00:00"/>
    <d v="2025-06-12T00:00:00"/>
    <d v="2025-06-13T10:21:42"/>
    <n v="2039"/>
    <s v="610429"/>
    <s v="Sprinter"/>
    <n v="50"/>
    <n v="50"/>
    <s v="4366XC"/>
    <n v="1"/>
    <n v="150"/>
    <b v="1"/>
    <b v="0"/>
    <b v="0"/>
    <n v="231"/>
    <n v="0"/>
    <s v=""/>
    <s v=""/>
    <n v="50"/>
    <n v="2936"/>
    <x v="6"/>
    <n v="2936"/>
    <s v="Escobedo"/>
    <s v="Hidalgo"/>
    <x v="19"/>
    <x v="2"/>
    <d v="2025-06-01T00:00:00"/>
    <x v="4"/>
    <x v="3"/>
  </r>
  <r>
    <x v="695"/>
    <x v="0"/>
    <n v="6"/>
    <d v="2025-06-01T00:00:00"/>
    <d v="2025-06-01T00:00:00"/>
    <d v="2025-06-01T00:00:00"/>
    <d v="2025-06-01T00:00:00"/>
    <d v="2025-06-01T19:44:41"/>
    <n v="2050"/>
    <s v="626955"/>
    <s v="Sprinter"/>
    <n v="50"/>
    <n v="50"/>
    <s v="6551XC"/>
    <n v="1"/>
    <n v="150"/>
    <b v="1"/>
    <b v="0"/>
    <b v="0"/>
    <n v="231"/>
    <n v="0"/>
    <s v=""/>
    <s v=""/>
    <n v="50"/>
    <n v="359"/>
    <x v="6"/>
    <n v="359"/>
    <s v="Escobedo"/>
    <s v="Escobedo"/>
    <x v="0"/>
    <x v="0"/>
    <d v="2025-06-01T00:00:00"/>
    <x v="4"/>
    <x v="3"/>
  </r>
  <r>
    <x v="696"/>
    <x v="0"/>
    <n v="6"/>
    <d v="2025-06-14T00:00:00"/>
    <d v="2025-06-14T00:00:00"/>
    <d v="2025-06-14T00:00:00"/>
    <d v="2025-06-14T00:00:00"/>
    <d v="2025-06-14T13:38:45"/>
    <n v="2039"/>
    <s v="610429"/>
    <s v="Sprinter"/>
    <n v="50"/>
    <n v="50"/>
    <s v="4366XC"/>
    <n v="1"/>
    <n v="150"/>
    <b v="1"/>
    <b v="0"/>
    <b v="0"/>
    <n v="231"/>
    <n v="0"/>
    <s v=""/>
    <s v=""/>
    <n v="50"/>
    <n v="359"/>
    <x v="6"/>
    <n v="359"/>
    <s v="Escobedo"/>
    <s v="Escobedo"/>
    <x v="0"/>
    <x v="2"/>
    <d v="2025-06-01T00:00:00"/>
    <x v="4"/>
    <x v="3"/>
  </r>
  <r>
    <x v="697"/>
    <x v="0"/>
    <n v="6"/>
    <d v="2025-06-14T00:00:00"/>
    <d v="2025-06-14T00:00:00"/>
    <d v="2025-06-14T00:00:00"/>
    <d v="2025-06-14T00:00:00"/>
    <d v="2025-06-14T15:36:55"/>
    <n v="2039"/>
    <s v="610429"/>
    <s v="Sprinter"/>
    <n v="50"/>
    <n v="50"/>
    <s v="4366XC"/>
    <n v="1"/>
    <n v="150"/>
    <b v="1"/>
    <b v="0"/>
    <b v="0"/>
    <n v="231"/>
    <n v="0"/>
    <s v=""/>
    <s v=""/>
    <n v="50"/>
    <n v="2936"/>
    <x v="6"/>
    <n v="2936"/>
    <s v="Escobedo"/>
    <s v="Hidalgo"/>
    <x v="19"/>
    <x v="2"/>
    <d v="2025-06-01T00:00:00"/>
    <x v="4"/>
    <x v="3"/>
  </r>
  <r>
    <x v="698"/>
    <x v="0"/>
    <n v="6"/>
    <d v="2025-06-17T00:00:00"/>
    <d v="2025-06-17T00:00:00"/>
    <d v="2025-06-17T00:00:00"/>
    <d v="2025-06-17T00:00:00"/>
    <d v="2025-06-17T14:08:39"/>
    <n v="2039"/>
    <s v="610429"/>
    <s v="Sprinter"/>
    <n v="50"/>
    <n v="50"/>
    <s v="4366XC"/>
    <n v="1"/>
    <n v="150"/>
    <b v="1"/>
    <b v="0"/>
    <b v="0"/>
    <n v="231"/>
    <n v="0"/>
    <s v=""/>
    <s v=""/>
    <n v="50"/>
    <n v="359"/>
    <x v="6"/>
    <n v="359"/>
    <s v="Escobedo"/>
    <s v="Escobedo"/>
    <x v="0"/>
    <x v="2"/>
    <d v="2025-06-01T00:00:00"/>
    <x v="4"/>
    <x v="3"/>
  </r>
  <r>
    <x v="699"/>
    <x v="0"/>
    <n v="6"/>
    <d v="2025-06-17T00:00:00"/>
    <d v="2025-06-17T00:00:00"/>
    <d v="2025-06-17T00:00:00"/>
    <d v="2025-06-17T00:00:00"/>
    <d v="2025-06-17T14:09:13"/>
    <n v="2039"/>
    <s v="610429"/>
    <s v="Sprinter"/>
    <n v="50"/>
    <n v="50"/>
    <s v="4366XC"/>
    <n v="1"/>
    <n v="150"/>
    <b v="1"/>
    <b v="0"/>
    <b v="0"/>
    <n v="231"/>
    <n v="0"/>
    <s v=""/>
    <s v=""/>
    <n v="50"/>
    <n v="2936"/>
    <x v="6"/>
    <n v="2936"/>
    <s v="Escobedo"/>
    <s v="Hidalgo"/>
    <x v="19"/>
    <x v="2"/>
    <d v="2025-06-01T00:00:00"/>
    <x v="4"/>
    <x v="3"/>
  </r>
  <r>
    <x v="700"/>
    <x v="0"/>
    <n v="6"/>
    <d v="2025-06-17T00:00:00"/>
    <d v="2025-06-17T00:00:00"/>
    <d v="2025-06-17T00:00:00"/>
    <d v="2025-06-17T00:00:00"/>
    <d v="2025-06-17T21:23:15"/>
    <n v="2039"/>
    <s v="610429"/>
    <s v="Sprinter"/>
    <n v="50"/>
    <n v="50"/>
    <s v="4366XC"/>
    <n v="1"/>
    <n v="150"/>
    <b v="1"/>
    <b v="0"/>
    <b v="0"/>
    <n v="231"/>
    <n v="0"/>
    <s v=""/>
    <s v=""/>
    <n v="50"/>
    <n v="359"/>
    <x v="6"/>
    <n v="359"/>
    <s v="Escobedo"/>
    <s v="Escobedo"/>
    <x v="0"/>
    <x v="2"/>
    <d v="2025-06-01T00:00:00"/>
    <x v="4"/>
    <x v="3"/>
  </r>
  <r>
    <x v="701"/>
    <x v="0"/>
    <n v="6"/>
    <d v="2025-06-18T00:00:00"/>
    <d v="2025-06-18T00:00:00"/>
    <d v="2025-06-18T00:00:00"/>
    <d v="2025-06-18T00:00:00"/>
    <d v="2025-06-18T16:07:58"/>
    <n v="2039"/>
    <s v="610429"/>
    <s v="Sprinter"/>
    <n v="50"/>
    <n v="50"/>
    <s v="4366XC"/>
    <n v="1"/>
    <n v="150"/>
    <b v="1"/>
    <b v="0"/>
    <b v="0"/>
    <n v="231"/>
    <n v="0"/>
    <s v=""/>
    <s v=""/>
    <n v="50"/>
    <n v="359"/>
    <x v="6"/>
    <n v="359"/>
    <s v="Escobedo"/>
    <s v="Escobedo"/>
    <x v="0"/>
    <x v="2"/>
    <d v="2025-06-01T00:00:00"/>
    <x v="4"/>
    <x v="3"/>
  </r>
  <r>
    <x v="702"/>
    <x v="0"/>
    <n v="6"/>
    <d v="2025-06-18T00:00:00"/>
    <d v="2025-06-18T00:00:00"/>
    <d v="2025-06-18T00:00:00"/>
    <d v="2025-06-18T00:00:00"/>
    <d v="2025-06-18T00:00:00"/>
    <n v="2039"/>
    <s v="610429"/>
    <s v="Sprinter"/>
    <n v="50"/>
    <n v="50"/>
    <s v="4366XC"/>
    <n v="1"/>
    <n v="150"/>
    <b v="1"/>
    <b v="0"/>
    <b v="0"/>
    <n v="231"/>
    <n v="0"/>
    <s v=""/>
    <s v=""/>
    <n v="50"/>
    <n v="359"/>
    <x v="4"/>
    <n v="359"/>
    <s v="Escobedo"/>
    <s v="Escobedo"/>
    <x v="0"/>
    <x v="2"/>
    <d v="2025-06-01T00:00:00"/>
    <x v="4"/>
    <x v="3"/>
  </r>
  <r>
    <x v="703"/>
    <x v="0"/>
    <n v="6"/>
    <d v="2025-06-20T00:00:00"/>
    <d v="2025-06-20T00:00:00"/>
    <d v="2025-06-20T00:00:00"/>
    <d v="2025-06-20T00:00:00"/>
    <d v="2025-06-20T00:00:00"/>
    <n v="2050"/>
    <s v="626955"/>
    <s v="Sprinter"/>
    <n v="50"/>
    <n v="50"/>
    <s v="6551XC"/>
    <n v="1"/>
    <n v="150"/>
    <b v="1"/>
    <b v="0"/>
    <b v="0"/>
    <n v="231"/>
    <n v="0"/>
    <s v=""/>
    <s v=""/>
    <n v="50"/>
    <n v="359"/>
    <x v="6"/>
    <n v="359"/>
    <s v="Escobedo"/>
    <s v="Escobedo"/>
    <x v="0"/>
    <x v="0"/>
    <d v="2025-06-01T00:00:00"/>
    <x v="4"/>
    <x v="3"/>
  </r>
  <r>
    <x v="704"/>
    <x v="0"/>
    <n v="6"/>
    <d v="2025-06-20T00:00:00"/>
    <d v="2025-06-20T00:00:00"/>
    <d v="2025-06-20T00:00:00"/>
    <d v="2025-06-20T00:00:00"/>
    <d v="2025-06-20T00:00:00"/>
    <n v="2050"/>
    <s v="626955"/>
    <s v="Sprinter"/>
    <n v="50"/>
    <n v="50"/>
    <s v="6551XC"/>
    <n v="1"/>
    <n v="150"/>
    <b v="1"/>
    <b v="0"/>
    <b v="0"/>
    <n v="231"/>
    <n v="0"/>
    <s v=""/>
    <s v=""/>
    <n v="50"/>
    <n v="359"/>
    <x v="6"/>
    <n v="359"/>
    <s v="Escobedo"/>
    <s v="Escobedo"/>
    <x v="0"/>
    <x v="0"/>
    <d v="2025-06-01T00:00:00"/>
    <x v="4"/>
    <x v="3"/>
  </r>
  <r>
    <x v="705"/>
    <x v="0"/>
    <n v="6"/>
    <d v="2025-06-20T00:00:00"/>
    <d v="2025-06-20T00:00:00"/>
    <d v="2025-06-20T00:00:00"/>
    <d v="2025-06-20T00:00:00"/>
    <d v="2025-06-21T00:00:00"/>
    <n v="2050"/>
    <s v="626955"/>
    <s v="Sprinter"/>
    <n v="50"/>
    <n v="50"/>
    <s v="6551XC"/>
    <n v="1"/>
    <n v="150"/>
    <b v="1"/>
    <b v="0"/>
    <b v="0"/>
    <n v="231"/>
    <n v="0"/>
    <s v=""/>
    <s v=""/>
    <n v="50"/>
    <n v="359"/>
    <x v="6"/>
    <n v="359"/>
    <s v="Escobedo"/>
    <s v="Escobedo"/>
    <x v="0"/>
    <x v="0"/>
    <d v="2025-06-01T00:00:00"/>
    <x v="4"/>
    <x v="3"/>
  </r>
  <r>
    <x v="706"/>
    <x v="0"/>
    <n v="6"/>
    <d v="2025-06-21T00:00:00"/>
    <d v="2025-06-21T00:00:00"/>
    <d v="2025-06-21T00:00:00"/>
    <d v="2025-06-21T00:00:00"/>
    <d v="2025-06-21T00:00:00"/>
    <n v="2050"/>
    <s v="626955"/>
    <s v="Sprinter"/>
    <n v="50"/>
    <n v="50"/>
    <s v="6551XC"/>
    <n v="1"/>
    <n v="150"/>
    <b v="1"/>
    <b v="0"/>
    <b v="0"/>
    <n v="231"/>
    <n v="0"/>
    <s v=""/>
    <s v=""/>
    <n v="50"/>
    <n v="359"/>
    <x v="6"/>
    <n v="359"/>
    <s v="Escobedo"/>
    <s v="Escobedo"/>
    <x v="0"/>
    <x v="0"/>
    <d v="2025-06-01T00:00:00"/>
    <x v="4"/>
    <x v="3"/>
  </r>
  <r>
    <x v="707"/>
    <x v="0"/>
    <n v="6"/>
    <d v="2025-06-21T00:00:00"/>
    <d v="2025-06-21T00:00:00"/>
    <d v="2025-06-21T00:00:00"/>
    <d v="2025-06-21T00:00:00"/>
    <d v="2025-06-21T00:00:00"/>
    <n v="2050"/>
    <s v="626955"/>
    <s v="Sprinter"/>
    <n v="50"/>
    <n v="50"/>
    <s v="6551XC"/>
    <n v="1"/>
    <n v="150"/>
    <b v="1"/>
    <b v="0"/>
    <b v="0"/>
    <n v="231"/>
    <n v="0"/>
    <s v=""/>
    <s v=""/>
    <n v="50"/>
    <n v="359"/>
    <x v="6"/>
    <n v="359"/>
    <s v="Escobedo"/>
    <s v="Escobedo"/>
    <x v="0"/>
    <x v="0"/>
    <d v="2025-06-01T00:00:00"/>
    <x v="4"/>
    <x v="3"/>
  </r>
  <r>
    <x v="708"/>
    <x v="0"/>
    <n v="6"/>
    <d v="2025-06-01T00:00:00"/>
    <d v="2025-06-01T00:00:00"/>
    <d v="2025-06-01T00:00:00"/>
    <d v="2025-06-01T00:00:00"/>
    <d v="2025-06-01T19:45:58"/>
    <n v="2050"/>
    <s v="626955"/>
    <s v="Sprinter"/>
    <n v="50"/>
    <n v="50"/>
    <s v="6551XC"/>
    <n v="1"/>
    <n v="150"/>
    <b v="1"/>
    <b v="0"/>
    <b v="0"/>
    <n v="231"/>
    <n v="0"/>
    <s v=""/>
    <s v=""/>
    <n v="50"/>
    <n v="359"/>
    <x v="6"/>
    <n v="359"/>
    <s v="Escobedo"/>
    <s v="Escobedo"/>
    <x v="0"/>
    <x v="0"/>
    <d v="2025-06-01T00:00:00"/>
    <x v="4"/>
    <x v="3"/>
  </r>
  <r>
    <x v="709"/>
    <x v="0"/>
    <n v="6"/>
    <d v="2025-06-03T00:00:00"/>
    <d v="2025-06-03T00:00:00"/>
    <d v="2025-06-03T00:00:00"/>
    <d v="2025-06-03T00:00:00"/>
    <d v="2025-06-03T23:31:37"/>
    <n v="2039"/>
    <s v="610429"/>
    <s v="Sprinter"/>
    <n v="50"/>
    <n v="50"/>
    <s v="4366XC"/>
    <n v="1"/>
    <n v="150"/>
    <b v="1"/>
    <b v="0"/>
    <b v="0"/>
    <n v="231"/>
    <n v="0"/>
    <s v=""/>
    <s v=""/>
    <n v="50"/>
    <n v="359"/>
    <x v="6"/>
    <n v="359"/>
    <s v="Escobedo"/>
    <s v="Escobedo"/>
    <x v="0"/>
    <x v="2"/>
    <d v="2025-06-01T00:00:00"/>
    <x v="4"/>
    <x v="3"/>
  </r>
  <r>
    <x v="710"/>
    <x v="0"/>
    <n v="6"/>
    <d v="2025-06-03T00:00:00"/>
    <d v="2025-06-03T00:00:00"/>
    <d v="2025-06-03T00:00:00"/>
    <d v="2025-06-03T00:00:00"/>
    <d v="2025-06-03T23:31:38"/>
    <n v="2039"/>
    <s v="610429"/>
    <s v="Sprinter"/>
    <n v="50"/>
    <n v="50"/>
    <s v="4366XC"/>
    <n v="1"/>
    <n v="150"/>
    <b v="1"/>
    <b v="0"/>
    <b v="0"/>
    <n v="231"/>
    <n v="0"/>
    <s v=""/>
    <s v=""/>
    <n v="50"/>
    <n v="2936"/>
    <x v="6"/>
    <n v="2936"/>
    <s v="Escobedo"/>
    <s v="Hidalgo"/>
    <x v="19"/>
    <x v="2"/>
    <d v="2025-06-01T00:00:00"/>
    <x v="4"/>
    <x v="3"/>
  </r>
  <r>
    <x v="711"/>
    <x v="0"/>
    <n v="6"/>
    <d v="2025-06-03T00:00:00"/>
    <d v="2025-06-03T00:00:00"/>
    <d v="2025-06-03T00:00:00"/>
    <d v="2025-06-03T00:00:00"/>
    <d v="2025-06-03T23:31:39"/>
    <n v="2039"/>
    <s v="610429"/>
    <s v="Sprinter"/>
    <n v="50"/>
    <n v="50"/>
    <s v="4366XC"/>
    <n v="1"/>
    <n v="150"/>
    <b v="1"/>
    <b v="0"/>
    <b v="0"/>
    <n v="231"/>
    <n v="0"/>
    <s v=""/>
    <s v=""/>
    <n v="50"/>
    <n v="359"/>
    <x v="6"/>
    <n v="359"/>
    <s v="Escobedo"/>
    <s v="Escobedo"/>
    <x v="0"/>
    <x v="2"/>
    <d v="2025-06-01T00:00:00"/>
    <x v="4"/>
    <x v="3"/>
  </r>
  <r>
    <x v="712"/>
    <x v="0"/>
    <n v="6"/>
    <d v="2025-06-03T00:00:00"/>
    <d v="2025-06-03T00:00:00"/>
    <d v="2025-06-03T00:00:00"/>
    <d v="2025-06-03T00:00:00"/>
    <d v="2025-06-03T23:31:38"/>
    <n v="2039"/>
    <s v="610429"/>
    <s v="Sprinter"/>
    <n v="50"/>
    <n v="50"/>
    <s v="4366XC"/>
    <n v="1"/>
    <n v="150"/>
    <b v="1"/>
    <b v="0"/>
    <b v="0"/>
    <n v="231"/>
    <n v="0"/>
    <s v=""/>
    <s v=""/>
    <n v="50"/>
    <n v="359"/>
    <x v="6"/>
    <n v="359"/>
    <s v="Escobedo"/>
    <s v="Escobedo"/>
    <x v="0"/>
    <x v="2"/>
    <d v="2025-06-01T00:00:00"/>
    <x v="4"/>
    <x v="3"/>
  </r>
  <r>
    <x v="713"/>
    <x v="0"/>
    <n v="6"/>
    <d v="2025-06-01T00:00:00"/>
    <d v="2025-06-01T00:00:00"/>
    <d v="2025-06-01T00:00:00"/>
    <d v="2025-06-01T00:00:00"/>
    <d v="2025-06-01T19:46:32"/>
    <n v="2050"/>
    <s v="626955"/>
    <s v="Sprinter"/>
    <n v="50"/>
    <n v="50"/>
    <s v="6551XC"/>
    <n v="1"/>
    <n v="150"/>
    <b v="1"/>
    <b v="0"/>
    <b v="0"/>
    <n v="231"/>
    <n v="0"/>
    <s v=""/>
    <s v=""/>
    <n v="50"/>
    <n v="359"/>
    <x v="6"/>
    <n v="359"/>
    <s v="Escobedo"/>
    <s v="Escobedo"/>
    <x v="0"/>
    <x v="0"/>
    <d v="2025-06-01T00:00:00"/>
    <x v="4"/>
    <x v="3"/>
  </r>
  <r>
    <x v="714"/>
    <x v="0"/>
    <n v="6"/>
    <d v="2025-06-01T00:00:00"/>
    <d v="2025-06-01T00:00:00"/>
    <d v="2025-06-01T00:00:00"/>
    <d v="2025-06-01T00:00:00"/>
    <d v="2025-06-01T19:47:18"/>
    <n v="2050"/>
    <s v="626955"/>
    <s v="Sprinter"/>
    <n v="50"/>
    <n v="50"/>
    <s v="6551XC"/>
    <n v="1"/>
    <n v="150"/>
    <b v="1"/>
    <b v="0"/>
    <b v="0"/>
    <n v="231"/>
    <n v="0"/>
    <s v=""/>
    <s v=""/>
    <n v="50"/>
    <n v="2936"/>
    <x v="6"/>
    <n v="2936"/>
    <s v="Escobedo"/>
    <s v="Hidalgo"/>
    <x v="19"/>
    <x v="0"/>
    <d v="2025-06-01T00:00:00"/>
    <x v="4"/>
    <x v="3"/>
  </r>
  <r>
    <x v="715"/>
    <x v="0"/>
    <n v="6"/>
    <d v="2025-06-05T00:00:00"/>
    <d v="2025-06-05T00:00:00"/>
    <d v="2025-06-05T00:00:00"/>
    <d v="2025-06-05T00:00:00"/>
    <d v="2025-06-06T09:56:42"/>
    <n v="2039"/>
    <s v="610429"/>
    <s v="Sprinter"/>
    <n v="50"/>
    <n v="50"/>
    <s v="4366XC"/>
    <n v="1"/>
    <n v="150"/>
    <b v="1"/>
    <b v="0"/>
    <b v="0"/>
    <n v="231"/>
    <n v="0"/>
    <s v=""/>
    <s v=""/>
    <n v="50"/>
    <n v="359"/>
    <x v="6"/>
    <n v="359"/>
    <s v="Escobedo"/>
    <s v="Escobedo"/>
    <x v="0"/>
    <x v="2"/>
    <d v="2025-06-01T00:00:00"/>
    <x v="4"/>
    <x v="3"/>
  </r>
  <r>
    <x v="716"/>
    <x v="0"/>
    <n v="6"/>
    <d v="2025-06-05T00:00:00"/>
    <d v="2025-06-05T00:00:00"/>
    <d v="2025-06-05T00:00:00"/>
    <d v="2025-06-05T00:00:00"/>
    <d v="2025-06-06T09:56:43"/>
    <n v="2039"/>
    <s v="610429"/>
    <s v="Sprinter"/>
    <n v="50"/>
    <n v="50"/>
    <s v="4366XC"/>
    <n v="1"/>
    <n v="150"/>
    <b v="1"/>
    <b v="0"/>
    <b v="0"/>
    <n v="231"/>
    <n v="0"/>
    <s v=""/>
    <s v=""/>
    <n v="50"/>
    <n v="359"/>
    <x v="6"/>
    <n v="359"/>
    <s v="Escobedo"/>
    <s v="Escobedo"/>
    <x v="0"/>
    <x v="2"/>
    <d v="2025-06-01T00:00:00"/>
    <x v="4"/>
    <x v="3"/>
  </r>
  <r>
    <x v="717"/>
    <x v="0"/>
    <n v="6"/>
    <d v="2025-06-05T00:00:00"/>
    <d v="2025-06-05T00:00:00"/>
    <d v="2025-06-05T00:00:00"/>
    <d v="2025-06-05T00:00:00"/>
    <d v="2025-06-06T09:56:43"/>
    <n v="2039"/>
    <s v="610429"/>
    <s v="Sprinter"/>
    <n v="50"/>
    <n v="50"/>
    <s v="4366XC"/>
    <n v="1"/>
    <n v="150"/>
    <b v="1"/>
    <b v="0"/>
    <b v="0"/>
    <n v="231"/>
    <n v="0"/>
    <s v=""/>
    <s v=""/>
    <n v="50"/>
    <n v="359"/>
    <x v="6"/>
    <n v="359"/>
    <s v="Escobedo"/>
    <s v="Escobedo"/>
    <x v="0"/>
    <x v="2"/>
    <d v="2025-06-01T00:00:00"/>
    <x v="4"/>
    <x v="3"/>
  </r>
  <r>
    <x v="718"/>
    <x v="0"/>
    <n v="6"/>
    <d v="2025-06-05T00:00:00"/>
    <d v="2025-06-05T00:00:00"/>
    <d v="2025-06-05T00:00:00"/>
    <d v="2025-06-05T00:00:00"/>
    <d v="2025-06-06T09:56:42"/>
    <n v="2039"/>
    <s v="610429"/>
    <s v="Sprinter"/>
    <n v="50"/>
    <n v="50"/>
    <s v="4366XC"/>
    <n v="1"/>
    <n v="150"/>
    <b v="1"/>
    <b v="0"/>
    <b v="0"/>
    <n v="231"/>
    <n v="0"/>
    <s v=""/>
    <s v=""/>
    <n v="50"/>
    <n v="2936"/>
    <x v="6"/>
    <n v="2936"/>
    <s v="Escobedo"/>
    <s v="Hidalgo"/>
    <x v="19"/>
    <x v="2"/>
    <d v="2025-06-01T00:00:00"/>
    <x v="4"/>
    <x v="3"/>
  </r>
  <r>
    <x v="719"/>
    <x v="0"/>
    <n v="6"/>
    <d v="2025-06-05T00:00:00"/>
    <d v="2025-06-05T00:00:00"/>
    <d v="2025-06-05T00:00:00"/>
    <d v="2025-06-05T00:00:00"/>
    <d v="2025-06-06T09:56:41"/>
    <n v="2039"/>
    <s v="610429"/>
    <s v="Sprinter"/>
    <n v="50"/>
    <n v="50"/>
    <s v="4366XC"/>
    <n v="1"/>
    <n v="150"/>
    <b v="1"/>
    <b v="0"/>
    <b v="0"/>
    <n v="231"/>
    <n v="0"/>
    <s v=""/>
    <s v=""/>
    <n v="50"/>
    <n v="359"/>
    <x v="6"/>
    <n v="359"/>
    <s v="Escobedo"/>
    <s v="Escobedo"/>
    <x v="0"/>
    <x v="2"/>
    <d v="2025-06-01T00:00:00"/>
    <x v="4"/>
    <x v="3"/>
  </r>
  <r>
    <x v="720"/>
    <x v="0"/>
    <n v="6"/>
    <d v="2025-06-05T00:00:00"/>
    <d v="2025-06-05T00:00:00"/>
    <d v="2025-06-05T00:00:00"/>
    <d v="2025-06-05T00:00:00"/>
    <d v="2025-06-06T09:56:41"/>
    <n v="2039"/>
    <s v="610429"/>
    <s v="Sprinter"/>
    <n v="50"/>
    <n v="50"/>
    <s v="4366XC"/>
    <n v="1"/>
    <n v="150"/>
    <b v="1"/>
    <b v="0"/>
    <b v="0"/>
    <n v="231"/>
    <n v="0"/>
    <s v=""/>
    <s v=""/>
    <n v="50"/>
    <n v="359"/>
    <x v="6"/>
    <n v="359"/>
    <s v="Escobedo"/>
    <s v="Escobedo"/>
    <x v="0"/>
    <x v="2"/>
    <d v="2025-06-01T00:00:00"/>
    <x v="4"/>
    <x v="3"/>
  </r>
  <r>
    <x v="721"/>
    <x v="0"/>
    <n v="6"/>
    <d v="2025-06-05T00:00:00"/>
    <d v="2025-06-05T00:00:00"/>
    <d v="2025-06-05T00:00:00"/>
    <d v="2025-06-05T00:00:00"/>
    <d v="2025-06-06T09:56:39"/>
    <n v="2039"/>
    <s v="610429"/>
    <s v="Sprinter"/>
    <n v="50"/>
    <n v="50"/>
    <s v="4366XC"/>
    <n v="1"/>
    <n v="150"/>
    <b v="1"/>
    <b v="0"/>
    <b v="0"/>
    <n v="231"/>
    <n v="0"/>
    <s v=""/>
    <s v=""/>
    <n v="50"/>
    <n v="461"/>
    <x v="6"/>
    <n v="461"/>
    <s v="Escobedo"/>
    <s v="Monterrey"/>
    <x v="7"/>
    <x v="2"/>
    <d v="2025-06-01T00:00:00"/>
    <x v="4"/>
    <x v="3"/>
  </r>
  <r>
    <x v="722"/>
    <x v="0"/>
    <n v="6"/>
    <d v="2025-06-02T00:00:00"/>
    <d v="2025-06-02T00:00:00"/>
    <d v="2025-06-02T00:00:00"/>
    <d v="2025-06-02T00:00:00"/>
    <d v="2025-06-02T11:42:48"/>
    <n v="2050"/>
    <s v="626955"/>
    <s v="Sprinter"/>
    <n v="50"/>
    <n v="50"/>
    <s v="6551XC"/>
    <n v="1"/>
    <n v="150"/>
    <b v="1"/>
    <b v="0"/>
    <b v="0"/>
    <n v="231"/>
    <n v="0"/>
    <s v=""/>
    <s v=""/>
    <n v="50"/>
    <n v="2936"/>
    <x v="6"/>
    <n v="2936"/>
    <s v="Escobedo"/>
    <s v="Hidalgo"/>
    <x v="19"/>
    <x v="0"/>
    <d v="2025-06-01T00:00:00"/>
    <x v="4"/>
    <x v="3"/>
  </r>
  <r>
    <x v="723"/>
    <x v="0"/>
    <n v="6"/>
    <d v="2025-06-07T00:00:00"/>
    <d v="2025-06-07T00:00:00"/>
    <d v="2025-06-07T00:00:00"/>
    <d v="2025-06-07T00:00:00"/>
    <d v="2025-06-07T14:01:04"/>
    <n v="2039"/>
    <s v="610429"/>
    <s v="Sprinter"/>
    <n v="50"/>
    <n v="50"/>
    <s v="4366XC"/>
    <n v="1"/>
    <n v="150"/>
    <b v="1"/>
    <b v="0"/>
    <b v="0"/>
    <n v="231"/>
    <n v="0"/>
    <s v=""/>
    <s v=""/>
    <n v="50"/>
    <n v="359"/>
    <x v="6"/>
    <n v="359"/>
    <s v="Escobedo"/>
    <s v="Escobedo"/>
    <x v="0"/>
    <x v="2"/>
    <d v="2025-06-01T00:00:00"/>
    <x v="4"/>
    <x v="3"/>
  </r>
  <r>
    <x v="724"/>
    <x v="0"/>
    <n v="6"/>
    <d v="2025-06-07T00:00:00"/>
    <d v="2025-06-07T00:00:00"/>
    <d v="2025-06-07T00:00:00"/>
    <d v="2025-06-07T00:00:00"/>
    <d v="2025-06-07T14:02:49"/>
    <n v="2039"/>
    <s v="610429"/>
    <s v="Sprinter"/>
    <n v="50"/>
    <n v="50"/>
    <s v="4366XC"/>
    <n v="1"/>
    <n v="150"/>
    <b v="1"/>
    <b v="0"/>
    <b v="0"/>
    <n v="231"/>
    <n v="0"/>
    <s v=""/>
    <s v=""/>
    <n v="50"/>
    <n v="359"/>
    <x v="6"/>
    <n v="359"/>
    <s v="Escobedo"/>
    <s v="Escobedo"/>
    <x v="0"/>
    <x v="2"/>
    <d v="2025-06-01T00:00:00"/>
    <x v="4"/>
    <x v="3"/>
  </r>
  <r>
    <x v="725"/>
    <x v="0"/>
    <n v="6"/>
    <d v="2025-06-07T00:00:00"/>
    <d v="2025-06-07T00:00:00"/>
    <d v="2025-06-07T00:00:00"/>
    <d v="2025-06-07T00:00:00"/>
    <d v="2025-06-07T14:04:06"/>
    <n v="2039"/>
    <s v="610429"/>
    <s v="Sprinter"/>
    <n v="50"/>
    <n v="50"/>
    <s v="4366XC"/>
    <n v="1"/>
    <n v="150"/>
    <b v="1"/>
    <b v="0"/>
    <b v="0"/>
    <n v="231"/>
    <n v="0"/>
    <s v=""/>
    <s v=""/>
    <n v="50"/>
    <n v="359"/>
    <x v="6"/>
    <n v="359"/>
    <s v="Escobedo"/>
    <s v="Escobedo"/>
    <x v="0"/>
    <x v="2"/>
    <d v="2025-06-01T00:00:00"/>
    <x v="4"/>
    <x v="3"/>
  </r>
  <r>
    <x v="726"/>
    <x v="0"/>
    <n v="6"/>
    <d v="2025-06-02T00:00:00"/>
    <d v="2025-06-02T00:00:00"/>
    <d v="2025-06-02T00:00:00"/>
    <d v="2025-06-02T00:00:00"/>
    <d v="2025-06-02T12:41:55"/>
    <n v="2050"/>
    <s v="626955"/>
    <s v="Sprinter"/>
    <n v="50"/>
    <n v="50"/>
    <s v="6551XC"/>
    <n v="1"/>
    <n v="150"/>
    <b v="1"/>
    <b v="0"/>
    <b v="0"/>
    <n v="231"/>
    <n v="0"/>
    <s v=""/>
    <s v=""/>
    <n v="50"/>
    <n v="359"/>
    <x v="6"/>
    <n v="359"/>
    <s v="Escobedo"/>
    <s v="Escobedo"/>
    <x v="0"/>
    <x v="0"/>
    <d v="2025-06-01T00:00:00"/>
    <x v="4"/>
    <x v="3"/>
  </r>
  <r>
    <x v="727"/>
    <x v="0"/>
    <n v="6"/>
    <d v="2025-06-03T00:00:00"/>
    <d v="2025-06-03T00:00:00"/>
    <d v="2025-06-05T00:00:00"/>
    <d v="2025-06-04T00:00:00"/>
    <d v="2025-06-05T05:13:34"/>
    <n v="2039"/>
    <s v="610429"/>
    <s v="Sprinter"/>
    <n v="961"/>
    <n v="0"/>
    <s v="4366XC"/>
    <n v="1"/>
    <n v="964"/>
    <b v="1"/>
    <b v="0"/>
    <b v="0"/>
    <n v="0"/>
    <n v="0"/>
    <s v=""/>
    <s v="*A las 16:00 hrs antes de inciar traslado, informar si falta algun op de llegar."/>
    <n v="0"/>
    <n v="8"/>
    <x v="5"/>
    <n v="8"/>
    <s v="Escobedo"/>
    <s v="Cd Sahagún"/>
    <x v="3"/>
    <x v="2"/>
    <d v="2025-06-01T00:00:00"/>
    <x v="4"/>
    <x v="3"/>
  </r>
  <r>
    <x v="728"/>
    <x v="0"/>
    <n v="6"/>
    <d v="2025-06-03T00:00:00"/>
    <d v="2025-06-03T00:00:00"/>
    <d v="2025-06-05T00:00:00"/>
    <d v="2025-06-04T00:00:00"/>
    <d v="2025-06-05T00:00:00"/>
    <n v="2244"/>
    <s v="775908"/>
    <s v="4700*175*195"/>
    <n v="2528"/>
    <n v="1264"/>
    <s v="3727XC"/>
    <n v="1"/>
    <n v="1264"/>
    <b v="1"/>
    <b v="0"/>
    <b v="0"/>
    <n v="1746"/>
    <n v="0"/>
    <s v=""/>
    <s v="*Antes de iniciar traslado a las 16:00 hrs informar si faltan algun op por llegar."/>
    <n v="1300"/>
    <n v="3"/>
    <x v="5"/>
    <n v="3"/>
    <s v="Culiacan"/>
    <s v="Cd Sahagún"/>
    <x v="5"/>
    <x v="1"/>
    <d v="2025-06-01T00:00:00"/>
    <x v="4"/>
    <x v="3"/>
  </r>
  <r>
    <x v="729"/>
    <x v="0"/>
    <n v="6"/>
    <d v="2025-06-19T00:00:00"/>
    <d v="2025-06-19T00:00:00"/>
    <d v="2025-06-20T00:00:00"/>
    <d v="2025-06-19T00:00:00"/>
    <d v="2025-06-20T00:00:00"/>
    <n v="2050"/>
    <s v="626955"/>
    <s v="Sprinter"/>
    <n v="961"/>
    <n v="0"/>
    <s v="6551XC"/>
    <n v="1"/>
    <n v="964"/>
    <b v="1"/>
    <b v="0"/>
    <b v="0"/>
    <n v="0"/>
    <n v="0"/>
    <s v=""/>
    <s v=""/>
    <n v="0"/>
    <n v="8"/>
    <x v="5"/>
    <n v="8"/>
    <s v="Escobedo"/>
    <s v="Cd Sahagún"/>
    <x v="3"/>
    <x v="0"/>
    <d v="2025-06-01T00:00:00"/>
    <x v="4"/>
    <x v="3"/>
  </r>
  <r>
    <x v="730"/>
    <x v="0"/>
    <n v="6"/>
    <d v="2025-06-24T00:00:00"/>
    <d v="2025-06-24T00:00:00"/>
    <d v="2025-06-25T00:00:00"/>
    <d v="2025-06-24T00:00:00"/>
    <d v="2025-06-25T00:00:00"/>
    <n v="2050"/>
    <s v="626955"/>
    <s v="Sprinter"/>
    <n v="640"/>
    <n v="0"/>
    <s v="6551XC"/>
    <n v="1"/>
    <n v="640"/>
    <b v="1"/>
    <b v="0"/>
    <b v="0"/>
    <n v="0"/>
    <n v="0"/>
    <s v=""/>
    <s v="Cita en Patio Sahagún 24 de junio 9:00 pm_x000a_Cita en Patio Kaiser 25 de junio 8:00 am"/>
    <n v="0"/>
    <n v="3"/>
    <x v="11"/>
    <n v="3"/>
    <s v="Culiacan"/>
    <s v="Cd Sahagún"/>
    <x v="5"/>
    <x v="0"/>
    <d v="2025-06-01T00:00:00"/>
    <x v="4"/>
    <x v="3"/>
  </r>
  <r>
    <x v="731"/>
    <x v="0"/>
    <n v="6"/>
    <d v="2025-06-24T00:00:00"/>
    <d v="2025-06-24T00:00:00"/>
    <d v="2025-06-25T00:00:00"/>
    <d v="2025-06-25T00:00:00"/>
    <d v="2025-06-25T00:00:00"/>
    <n v="2050"/>
    <s v="626955"/>
    <s v="Sprinter"/>
    <n v="497"/>
    <n v="497"/>
    <s v="6551XC"/>
    <n v="1"/>
    <n v="497"/>
    <b v="1"/>
    <b v="0"/>
    <b v="0"/>
    <n v="857"/>
    <n v="0"/>
    <s v=""/>
    <s v="Traslado a Querétaro para esperarlos, entregan y se regresan a Patio Sahagún."/>
    <n v="500"/>
    <n v="4792"/>
    <x v="11"/>
    <n v="4792"/>
    <s v="Guerrero"/>
    <s v="Queretaro"/>
    <x v="38"/>
    <x v="0"/>
    <d v="2025-06-01T00:00:00"/>
    <x v="4"/>
    <x v="3"/>
  </r>
  <r>
    <x v="732"/>
    <x v="0"/>
    <n v="6"/>
    <d v="2025-06-24T00:00:00"/>
    <d v="2025-06-24T00:00:00"/>
    <d v="2025-06-26T00:00:00"/>
    <d v="2025-06-25T00:00:00"/>
    <d v="2025-06-26T00:00:00"/>
    <n v="2050"/>
    <s v="626955"/>
    <s v="Sprinter"/>
    <n v="238"/>
    <n v="0"/>
    <s v="6551XC"/>
    <n v="1"/>
    <n v="236"/>
    <b v="1"/>
    <b v="0"/>
    <b v="0"/>
    <n v="0"/>
    <n v="0"/>
    <s v=""/>
    <s v=""/>
    <n v="0"/>
    <n v="3"/>
    <x v="11"/>
    <n v="3"/>
    <s v="Culiacan"/>
    <s v="Cd Sahagún"/>
    <x v="5"/>
    <x v="0"/>
    <d v="2025-06-01T00:00:00"/>
    <x v="4"/>
    <x v="3"/>
  </r>
  <r>
    <x v="733"/>
    <x v="0"/>
    <n v="6"/>
    <d v="2025-06-06T00:00:00"/>
    <d v="2025-06-06T00:00:00"/>
    <d v="2025-06-16T00:00:00"/>
    <d v="2025-06-08T00:00:00"/>
    <d v="2025-06-09T00:00:00"/>
    <n v="2244"/>
    <s v="775908"/>
    <s v="4700*175*195"/>
    <n v="961"/>
    <n v="0"/>
    <s v="3727XC"/>
    <n v="1"/>
    <n v="964"/>
    <b v="1"/>
    <b v="0"/>
    <b v="0"/>
    <n v="0"/>
    <n v="0"/>
    <s v=""/>
    <s v=""/>
    <n v="0"/>
    <n v="103"/>
    <x v="5"/>
    <n v="103"/>
    <s v="Culiacan"/>
    <s v="Pachuca"/>
    <x v="39"/>
    <x v="1"/>
    <d v="2025-06-01T00:00:00"/>
    <x v="4"/>
    <x v="3"/>
  </r>
  <r>
    <x v="734"/>
    <x v="0"/>
    <n v="7"/>
    <d v="2025-07-08T00:00:00"/>
    <d v="2025-07-08T00:00:00"/>
    <d v="2025-07-08T00:00:00"/>
    <d v="2025-07-08T00:00:00"/>
    <d v="2025-07-08T16:30:21"/>
    <n v="2039"/>
    <s v="610429"/>
    <s v="Sprinter"/>
    <n v="50"/>
    <n v="50"/>
    <s v="4366XC"/>
    <n v="1"/>
    <n v="150"/>
    <b v="1"/>
    <b v="0"/>
    <b v="0"/>
    <n v="231"/>
    <n v="0"/>
    <s v=""/>
    <s v=""/>
    <n v="50"/>
    <n v="359"/>
    <x v="3"/>
    <n v="359"/>
    <s v="Escobedo"/>
    <s v="Escobedo"/>
    <x v="0"/>
    <x v="2"/>
    <d v="2025-07-01T00:00:00"/>
    <x v="5"/>
    <x v="3"/>
  </r>
  <r>
    <x v="735"/>
    <x v="0"/>
    <n v="7"/>
    <d v="2025-07-08T00:00:00"/>
    <d v="2025-07-08T00:00:00"/>
    <d v="2025-07-08T00:00:00"/>
    <d v="2025-07-08T00:00:00"/>
    <d v="2025-07-08T16:31:12"/>
    <n v="2039"/>
    <s v="610429"/>
    <s v="Sprinter"/>
    <n v="50"/>
    <n v="50"/>
    <s v="4366XC"/>
    <n v="1"/>
    <n v="150"/>
    <b v="1"/>
    <b v="0"/>
    <b v="0"/>
    <n v="231"/>
    <n v="0"/>
    <s v=""/>
    <s v=""/>
    <n v="50"/>
    <n v="359"/>
    <x v="6"/>
    <n v="359"/>
    <s v="Escobedo"/>
    <s v="Escobedo"/>
    <x v="0"/>
    <x v="2"/>
    <d v="2025-07-01T00:00:00"/>
    <x v="5"/>
    <x v="3"/>
  </r>
  <r>
    <x v="736"/>
    <x v="0"/>
    <n v="7"/>
    <d v="2025-07-08T00:00:00"/>
    <d v="2025-07-08T00:00:00"/>
    <d v="2025-07-08T00:00:00"/>
    <d v="2025-07-08T00:00:00"/>
    <d v="2025-07-08T16:33:39"/>
    <n v="2039"/>
    <s v="610429"/>
    <s v="Sprinter"/>
    <n v="50"/>
    <n v="50"/>
    <s v="4366XC"/>
    <n v="1"/>
    <n v="150"/>
    <b v="1"/>
    <b v="0"/>
    <b v="0"/>
    <n v="231"/>
    <n v="0"/>
    <s v=""/>
    <s v=""/>
    <n v="50"/>
    <n v="461"/>
    <x v="6"/>
    <n v="461"/>
    <s v="Escobedo"/>
    <s v="Monterrey"/>
    <x v="7"/>
    <x v="2"/>
    <d v="2025-07-01T00:00:00"/>
    <x v="5"/>
    <x v="3"/>
  </r>
  <r>
    <x v="737"/>
    <x v="0"/>
    <n v="7"/>
    <d v="2025-07-08T00:00:00"/>
    <d v="2025-07-08T00:00:00"/>
    <d v="2025-07-08T00:00:00"/>
    <d v="2025-07-08T00:00:00"/>
    <d v="2025-07-08T16:34:55"/>
    <n v="2039"/>
    <s v="610429"/>
    <s v="Sprinter"/>
    <n v="50"/>
    <n v="50"/>
    <s v="4366XC"/>
    <n v="1"/>
    <n v="150"/>
    <b v="1"/>
    <b v="0"/>
    <b v="0"/>
    <n v="231"/>
    <n v="0"/>
    <s v=""/>
    <s v=""/>
    <n v="50"/>
    <n v="461"/>
    <x v="6"/>
    <n v="461"/>
    <s v="Escobedo"/>
    <s v="Monterrey"/>
    <x v="7"/>
    <x v="2"/>
    <d v="2025-07-01T00:00:00"/>
    <x v="5"/>
    <x v="3"/>
  </r>
  <r>
    <x v="738"/>
    <x v="0"/>
    <n v="7"/>
    <d v="2025-07-08T00:00:00"/>
    <d v="2025-07-08T00:00:00"/>
    <d v="2025-07-08T00:00:00"/>
    <d v="2025-07-08T00:00:00"/>
    <d v="2025-07-08T00:00:00"/>
    <n v="2039"/>
    <s v="610429"/>
    <s v="Sprinter"/>
    <n v="50"/>
    <n v="50"/>
    <s v="4366XC"/>
    <n v="1"/>
    <n v="150"/>
    <b v="1"/>
    <b v="0"/>
    <b v="0"/>
    <n v="231"/>
    <n v="0"/>
    <s v=""/>
    <s v=""/>
    <n v="50"/>
    <n v="359"/>
    <x v="6"/>
    <n v="359"/>
    <s v="Escobedo"/>
    <s v="Escobedo"/>
    <x v="0"/>
    <x v="2"/>
    <d v="2025-07-01T00:00:00"/>
    <x v="5"/>
    <x v="3"/>
  </r>
  <r>
    <x v="739"/>
    <x v="0"/>
    <n v="7"/>
    <d v="2025-07-08T00:00:00"/>
    <d v="2025-07-08T00:00:00"/>
    <d v="2025-07-09T00:00:00"/>
    <d v="2025-07-09T00:00:00"/>
    <d v="2025-07-09T08:12:05"/>
    <n v="2039"/>
    <s v="610429"/>
    <s v="Sprinter"/>
    <n v="50"/>
    <n v="50"/>
    <s v="4366XC"/>
    <n v="1"/>
    <n v="150"/>
    <b v="1"/>
    <b v="0"/>
    <b v="0"/>
    <n v="231"/>
    <n v="0"/>
    <s v=""/>
    <s v="Presentarse 2 AM en destino para recoger a 3 compañeros operadores."/>
    <n v="50"/>
    <n v="461"/>
    <x v="4"/>
    <n v="461"/>
    <s v="Escobedo"/>
    <s v="Monterrey"/>
    <x v="7"/>
    <x v="2"/>
    <d v="2025-07-01T00:00:00"/>
    <x v="5"/>
    <x v="3"/>
  </r>
  <r>
    <x v="740"/>
    <x v="0"/>
    <n v="7"/>
    <d v="2025-07-09T00:00:00"/>
    <d v="2025-07-09T00:00:00"/>
    <d v="2025-07-09T00:00:00"/>
    <d v="2025-07-09T00:00:00"/>
    <d v="2025-07-09T22:15:05"/>
    <n v="2039"/>
    <s v="610429"/>
    <s v="Sprinter"/>
    <n v="50"/>
    <n v="50"/>
    <s v="4366XC"/>
    <n v="1"/>
    <n v="150"/>
    <b v="1"/>
    <b v="0"/>
    <b v="0"/>
    <n v="231"/>
    <n v="0"/>
    <s v=""/>
    <s v=""/>
    <n v="50"/>
    <n v="359"/>
    <x v="6"/>
    <n v="359"/>
    <s v="Escobedo"/>
    <s v="Escobedo"/>
    <x v="0"/>
    <x v="2"/>
    <d v="2025-07-01T00:00:00"/>
    <x v="5"/>
    <x v="3"/>
  </r>
  <r>
    <x v="741"/>
    <x v="0"/>
    <n v="7"/>
    <d v="2025-07-09T00:00:00"/>
    <d v="2025-07-09T00:00:00"/>
    <d v="2025-07-09T00:00:00"/>
    <d v="2025-07-09T00:00:00"/>
    <d v="2025-07-09T22:15:55"/>
    <n v="2039"/>
    <s v="610429"/>
    <s v="Sprinter"/>
    <n v="50"/>
    <n v="50"/>
    <s v="4366XC"/>
    <n v="1"/>
    <n v="150"/>
    <b v="1"/>
    <b v="0"/>
    <b v="0"/>
    <n v="231"/>
    <n v="0"/>
    <s v=""/>
    <s v=""/>
    <n v="50"/>
    <n v="359"/>
    <x v="6"/>
    <n v="359"/>
    <s v="Escobedo"/>
    <s v="Escobedo"/>
    <x v="0"/>
    <x v="2"/>
    <d v="2025-07-01T00:00:00"/>
    <x v="5"/>
    <x v="3"/>
  </r>
  <r>
    <x v="742"/>
    <x v="0"/>
    <n v="7"/>
    <d v="2025-07-09T00:00:00"/>
    <d v="2025-07-09T00:00:00"/>
    <d v="2025-07-09T00:00:00"/>
    <d v="2025-07-09T00:00:00"/>
    <d v="2025-07-09T22:16:40"/>
    <n v="2039"/>
    <s v="610429"/>
    <s v="Sprinter"/>
    <n v="50"/>
    <n v="50"/>
    <s v="4366XC"/>
    <n v="1"/>
    <n v="150"/>
    <b v="1"/>
    <b v="0"/>
    <b v="0"/>
    <n v="231"/>
    <n v="0"/>
    <s v=""/>
    <s v=""/>
    <n v="50"/>
    <n v="2936"/>
    <x v="6"/>
    <n v="2936"/>
    <s v="Escobedo"/>
    <s v="Hidalgo"/>
    <x v="19"/>
    <x v="2"/>
    <d v="2025-07-01T00:00:00"/>
    <x v="5"/>
    <x v="3"/>
  </r>
  <r>
    <x v="743"/>
    <x v="0"/>
    <n v="7"/>
    <d v="2025-07-09T00:00:00"/>
    <d v="2025-07-09T00:00:00"/>
    <d v="2025-07-09T00:00:00"/>
    <d v="2025-07-09T00:00:00"/>
    <d v="2025-07-09T22:17:29"/>
    <n v="2039"/>
    <s v="610429"/>
    <s v="Sprinter"/>
    <n v="50"/>
    <n v="50"/>
    <s v="4366XC"/>
    <n v="1"/>
    <n v="150"/>
    <b v="1"/>
    <b v="0"/>
    <b v="0"/>
    <n v="231"/>
    <n v="0"/>
    <s v=""/>
    <s v=""/>
    <n v="50"/>
    <n v="359"/>
    <x v="6"/>
    <n v="359"/>
    <s v="Escobedo"/>
    <s v="Escobedo"/>
    <x v="0"/>
    <x v="2"/>
    <d v="2025-07-01T00:00:00"/>
    <x v="5"/>
    <x v="3"/>
  </r>
  <r>
    <x v="744"/>
    <x v="0"/>
    <n v="7"/>
    <d v="2025-07-10T00:00:00"/>
    <d v="2025-07-10T00:00:00"/>
    <d v="2025-07-10T00:00:00"/>
    <d v="2025-07-10T00:00:00"/>
    <d v="2025-07-10T21:29:59"/>
    <n v="2039"/>
    <s v="610429"/>
    <s v="Sprinter"/>
    <n v="50"/>
    <n v="50"/>
    <s v="4366XC"/>
    <n v="1"/>
    <n v="150"/>
    <b v="1"/>
    <b v="0"/>
    <b v="0"/>
    <n v="231"/>
    <n v="0"/>
    <s v=""/>
    <s v=""/>
    <n v="50"/>
    <n v="359"/>
    <x v="6"/>
    <n v="359"/>
    <s v="Escobedo"/>
    <s v="Escobedo"/>
    <x v="0"/>
    <x v="2"/>
    <d v="2025-07-01T00:00:00"/>
    <x v="5"/>
    <x v="3"/>
  </r>
  <r>
    <x v="745"/>
    <x v="0"/>
    <n v="7"/>
    <d v="2025-07-11T00:00:00"/>
    <d v="2025-07-11T00:00:00"/>
    <d v="2025-07-11T00:00:00"/>
    <d v="2025-07-11T00:00:00"/>
    <d v="2025-07-12T05:57:53"/>
    <n v="2039"/>
    <s v="610429"/>
    <s v="Sprinter"/>
    <n v="50"/>
    <n v="50"/>
    <s v="4366XC"/>
    <n v="1"/>
    <n v="150"/>
    <b v="1"/>
    <b v="0"/>
    <b v="0"/>
    <n v="231"/>
    <n v="0"/>
    <s v=""/>
    <s v=""/>
    <n v="50"/>
    <n v="2936"/>
    <x v="6"/>
    <n v="2936"/>
    <s v="Escobedo"/>
    <s v="Hidalgo"/>
    <x v="19"/>
    <x v="2"/>
    <d v="2025-07-01T00:00:00"/>
    <x v="5"/>
    <x v="3"/>
  </r>
  <r>
    <x v="746"/>
    <x v="0"/>
    <n v="7"/>
    <d v="2025-07-11T00:00:00"/>
    <d v="2025-07-11T00:00:00"/>
    <d v="2025-07-11T00:00:00"/>
    <d v="2025-07-11T00:00:00"/>
    <d v="2025-07-12T05:58:25"/>
    <n v="2039"/>
    <s v="610429"/>
    <s v="Sprinter"/>
    <n v="50"/>
    <n v="50"/>
    <s v="4366XC"/>
    <n v="1"/>
    <n v="150"/>
    <b v="1"/>
    <b v="0"/>
    <b v="0"/>
    <n v="231"/>
    <n v="0"/>
    <s v=""/>
    <s v=""/>
    <n v="50"/>
    <n v="359"/>
    <x v="6"/>
    <n v="359"/>
    <s v="Escobedo"/>
    <s v="Escobedo"/>
    <x v="0"/>
    <x v="2"/>
    <d v="2025-07-01T00:00:00"/>
    <x v="5"/>
    <x v="3"/>
  </r>
  <r>
    <x v="747"/>
    <x v="0"/>
    <n v="7"/>
    <d v="2025-07-11T00:00:00"/>
    <d v="2025-07-11T00:00:00"/>
    <d v="2025-07-11T00:00:00"/>
    <d v="2025-07-11T00:00:00"/>
    <d v="2025-07-12T05:59:10"/>
    <n v="2039"/>
    <s v="610429"/>
    <s v="Sprinter"/>
    <n v="50"/>
    <n v="50"/>
    <s v="4366XC"/>
    <n v="1"/>
    <n v="150"/>
    <b v="1"/>
    <b v="0"/>
    <b v="0"/>
    <n v="231"/>
    <n v="0"/>
    <s v=""/>
    <s v=""/>
    <n v="50"/>
    <n v="359"/>
    <x v="6"/>
    <n v="359"/>
    <s v="Escobedo"/>
    <s v="Escobedo"/>
    <x v="0"/>
    <x v="2"/>
    <d v="2025-07-01T00:00:00"/>
    <x v="5"/>
    <x v="3"/>
  </r>
  <r>
    <x v="748"/>
    <x v="0"/>
    <n v="7"/>
    <d v="2025-07-11T00:00:00"/>
    <d v="2025-07-11T00:00:00"/>
    <d v="2025-07-11T00:00:00"/>
    <d v="2025-07-11T00:00:00"/>
    <d v="2025-07-12T05:59:51"/>
    <n v="2039"/>
    <s v="610429"/>
    <s v="Sprinter"/>
    <n v="50"/>
    <n v="50"/>
    <s v="4366XC"/>
    <n v="1"/>
    <n v="150"/>
    <b v="1"/>
    <b v="0"/>
    <b v="0"/>
    <n v="231"/>
    <n v="0"/>
    <s v=""/>
    <s v=""/>
    <n v="50"/>
    <n v="2936"/>
    <x v="6"/>
    <n v="2936"/>
    <s v="Escobedo"/>
    <s v="Hidalgo"/>
    <x v="19"/>
    <x v="2"/>
    <d v="2025-07-01T00:00:00"/>
    <x v="5"/>
    <x v="3"/>
  </r>
  <r>
    <x v="749"/>
    <x v="0"/>
    <n v="7"/>
    <d v="2025-07-12T00:00:00"/>
    <d v="2025-07-12T00:00:00"/>
    <d v="2025-07-12T00:00:00"/>
    <d v="2025-07-12T00:00:00"/>
    <d v="2025-07-12T17:22:11"/>
    <n v="2039"/>
    <s v="610429"/>
    <s v="Sprinter"/>
    <n v="50"/>
    <n v="50"/>
    <s v="4366XC"/>
    <n v="1"/>
    <n v="150"/>
    <b v="1"/>
    <b v="0"/>
    <b v="0"/>
    <n v="231"/>
    <n v="0"/>
    <s v=""/>
    <s v=""/>
    <n v="50"/>
    <n v="359"/>
    <x v="6"/>
    <n v="359"/>
    <s v="Escobedo"/>
    <s v="Escobedo"/>
    <x v="0"/>
    <x v="2"/>
    <d v="2025-07-01T00:00:00"/>
    <x v="5"/>
    <x v="3"/>
  </r>
  <r>
    <x v="750"/>
    <x v="0"/>
    <n v="7"/>
    <d v="2025-07-14T00:00:00"/>
    <d v="2025-07-14T00:00:00"/>
    <d v="2025-07-14T00:00:00"/>
    <d v="2025-07-14T00:00:00"/>
    <d v="2025-07-14T00:00:00"/>
    <n v="2039"/>
    <s v="610429"/>
    <s v="Sprinter"/>
    <n v="50"/>
    <n v="50"/>
    <s v="4366XC"/>
    <n v="1"/>
    <n v="150"/>
    <b v="1"/>
    <b v="0"/>
    <b v="0"/>
    <n v="231"/>
    <n v="0"/>
    <s v=""/>
    <s v=""/>
    <n v="50"/>
    <n v="461"/>
    <x v="6"/>
    <n v="461"/>
    <s v="Escobedo"/>
    <s v="Monterrey"/>
    <x v="7"/>
    <x v="2"/>
    <d v="2025-07-01T00:00:00"/>
    <x v="5"/>
    <x v="3"/>
  </r>
  <r>
    <x v="751"/>
    <x v="0"/>
    <n v="7"/>
    <d v="2025-07-02T00:00:00"/>
    <d v="2025-07-02T00:00:00"/>
    <d v="2025-07-02T00:00:00"/>
    <d v="2025-07-02T00:00:00"/>
    <d v="2025-07-02T00:00:00"/>
    <n v="2039"/>
    <s v="610429"/>
    <s v="Sprinter"/>
    <n v="50"/>
    <n v="50"/>
    <s v="4366XC"/>
    <n v="1"/>
    <n v="150"/>
    <b v="1"/>
    <b v="0"/>
    <b v="0"/>
    <n v="231"/>
    <n v="0"/>
    <s v=""/>
    <s v=""/>
    <n v="50"/>
    <n v="359"/>
    <x v="4"/>
    <n v="359"/>
    <s v="Escobedo"/>
    <s v="Escobedo"/>
    <x v="0"/>
    <x v="2"/>
    <d v="2025-07-01T00:00:00"/>
    <x v="5"/>
    <x v="3"/>
  </r>
  <r>
    <x v="752"/>
    <x v="0"/>
    <n v="7"/>
    <d v="2025-07-15T00:00:00"/>
    <d v="2025-07-15T00:00:00"/>
    <d v="2025-07-15T00:00:00"/>
    <d v="2025-07-15T00:00:00"/>
    <d v="2025-07-15T18:18:41"/>
    <n v="2039"/>
    <s v="610429"/>
    <s v="Sprinter"/>
    <n v="50"/>
    <n v="50"/>
    <s v="4366XC"/>
    <n v="1"/>
    <n v="150"/>
    <b v="1"/>
    <b v="0"/>
    <b v="0"/>
    <n v="231"/>
    <n v="0"/>
    <s v=""/>
    <s v=""/>
    <n v="50"/>
    <n v="359"/>
    <x v="4"/>
    <n v="359"/>
    <s v="Escobedo"/>
    <s v="Escobedo"/>
    <x v="0"/>
    <x v="2"/>
    <d v="2025-07-01T00:00:00"/>
    <x v="5"/>
    <x v="3"/>
  </r>
  <r>
    <x v="753"/>
    <x v="0"/>
    <n v="7"/>
    <d v="2025-07-16T00:00:00"/>
    <d v="2025-07-16T00:00:00"/>
    <d v="2025-07-16T00:00:00"/>
    <d v="2025-07-16T00:00:00"/>
    <d v="2025-07-16T13:22:12"/>
    <n v="2039"/>
    <s v="610429"/>
    <s v="Sprinter"/>
    <n v="50"/>
    <n v="50"/>
    <s v="4366XC"/>
    <n v="1"/>
    <n v="150"/>
    <b v="1"/>
    <b v="0"/>
    <b v="0"/>
    <n v="231"/>
    <n v="0"/>
    <s v=""/>
    <s v=""/>
    <n v="50"/>
    <n v="461"/>
    <x v="6"/>
    <n v="461"/>
    <s v="Escobedo"/>
    <s v="Monterrey"/>
    <x v="7"/>
    <x v="2"/>
    <d v="2025-07-01T00:00:00"/>
    <x v="5"/>
    <x v="3"/>
  </r>
  <r>
    <x v="754"/>
    <x v="0"/>
    <n v="7"/>
    <d v="2025-07-02T00:00:00"/>
    <d v="2025-07-02T00:00:00"/>
    <d v="2025-07-02T00:00:00"/>
    <d v="2025-07-02T00:00:00"/>
    <d v="2025-07-02T17:58:29"/>
    <n v="2039"/>
    <s v="610429"/>
    <s v="Sprinter"/>
    <n v="50"/>
    <n v="50"/>
    <s v="4366XC"/>
    <n v="1"/>
    <n v="150"/>
    <b v="1"/>
    <b v="0"/>
    <b v="0"/>
    <n v="231"/>
    <n v="0"/>
    <s v=""/>
    <s v=""/>
    <n v="50"/>
    <n v="2936"/>
    <x v="4"/>
    <n v="2936"/>
    <s v="Escobedo"/>
    <s v="Hidalgo"/>
    <x v="19"/>
    <x v="2"/>
    <d v="2025-07-01T00:00:00"/>
    <x v="5"/>
    <x v="3"/>
  </r>
  <r>
    <x v="755"/>
    <x v="0"/>
    <n v="7"/>
    <d v="2025-07-16T00:00:00"/>
    <d v="2025-07-16T00:00:00"/>
    <d v="2025-07-16T00:00:00"/>
    <d v="2025-07-16T00:00:00"/>
    <d v="2025-07-16T13:22:44"/>
    <n v="2039"/>
    <s v="610429"/>
    <s v="Sprinter"/>
    <n v="50"/>
    <n v="50"/>
    <s v="4366XC"/>
    <n v="1"/>
    <n v="150"/>
    <b v="1"/>
    <b v="0"/>
    <b v="0"/>
    <n v="231"/>
    <n v="0"/>
    <s v=""/>
    <s v=""/>
    <n v="50"/>
    <n v="359"/>
    <x v="6"/>
    <n v="359"/>
    <s v="Escobedo"/>
    <s v="Escobedo"/>
    <x v="0"/>
    <x v="2"/>
    <d v="2025-07-01T00:00:00"/>
    <x v="5"/>
    <x v="3"/>
  </r>
  <r>
    <x v="756"/>
    <x v="0"/>
    <n v="7"/>
    <d v="2025-07-16T00:00:00"/>
    <d v="2025-07-16T00:00:00"/>
    <d v="2025-07-16T00:00:00"/>
    <d v="2025-07-16T00:00:00"/>
    <d v="2025-07-16T13:23:13"/>
    <n v="2039"/>
    <s v="610429"/>
    <s v="Sprinter"/>
    <n v="50"/>
    <n v="50"/>
    <s v="4366XC"/>
    <n v="1"/>
    <n v="150"/>
    <b v="1"/>
    <b v="0"/>
    <b v="0"/>
    <n v="231"/>
    <n v="0"/>
    <s v=""/>
    <s v=""/>
    <n v="50"/>
    <n v="359"/>
    <x v="6"/>
    <n v="359"/>
    <s v="Escobedo"/>
    <s v="Escobedo"/>
    <x v="0"/>
    <x v="2"/>
    <d v="2025-07-01T00:00:00"/>
    <x v="5"/>
    <x v="3"/>
  </r>
  <r>
    <x v="757"/>
    <x v="0"/>
    <n v="7"/>
    <d v="2025-07-16T00:00:00"/>
    <d v="2025-07-16T00:00:00"/>
    <d v="2025-07-16T00:00:00"/>
    <d v="2025-07-16T00:00:00"/>
    <d v="2025-07-16T13:23:46"/>
    <n v="2039"/>
    <s v="610429"/>
    <s v="Sprinter"/>
    <n v="50"/>
    <n v="50"/>
    <s v="4366XC"/>
    <n v="1"/>
    <n v="150"/>
    <b v="1"/>
    <b v="0"/>
    <b v="0"/>
    <n v="231"/>
    <n v="0"/>
    <s v=""/>
    <s v=""/>
    <n v="50"/>
    <n v="359"/>
    <x v="6"/>
    <n v="359"/>
    <s v="Escobedo"/>
    <s v="Escobedo"/>
    <x v="0"/>
    <x v="2"/>
    <d v="2025-07-01T00:00:00"/>
    <x v="5"/>
    <x v="3"/>
  </r>
  <r>
    <x v="758"/>
    <x v="0"/>
    <n v="7"/>
    <d v="2025-07-02T00:00:00"/>
    <d v="2025-07-02T00:00:00"/>
    <d v="2025-07-02T00:00:00"/>
    <d v="2025-07-02T00:00:00"/>
    <d v="2025-07-02T18:01:09"/>
    <n v="2039"/>
    <s v="610429"/>
    <s v="Sprinter"/>
    <n v="50"/>
    <n v="50"/>
    <s v="4366XC"/>
    <n v="1"/>
    <n v="150"/>
    <b v="1"/>
    <b v="0"/>
    <b v="0"/>
    <n v="231"/>
    <n v="0"/>
    <s v=""/>
    <s v=""/>
    <n v="50"/>
    <n v="359"/>
    <x v="4"/>
    <n v="359"/>
    <s v="Escobedo"/>
    <s v="Escobedo"/>
    <x v="0"/>
    <x v="2"/>
    <d v="2025-07-01T00:00:00"/>
    <x v="5"/>
    <x v="3"/>
  </r>
  <r>
    <x v="759"/>
    <x v="0"/>
    <n v="7"/>
    <d v="2025-07-17T00:00:00"/>
    <d v="2025-07-17T00:00:00"/>
    <d v="2025-07-17T00:00:00"/>
    <d v="2025-07-17T00:00:00"/>
    <d v="2025-07-17T17:06:04"/>
    <n v="2039"/>
    <s v="610429"/>
    <s v="Sprinter"/>
    <n v="50"/>
    <n v="50"/>
    <s v="4366XC"/>
    <n v="1"/>
    <n v="150"/>
    <b v="1"/>
    <b v="0"/>
    <b v="0"/>
    <n v="231"/>
    <n v="0"/>
    <s v=""/>
    <s v=""/>
    <n v="50"/>
    <n v="461"/>
    <x v="6"/>
    <n v="461"/>
    <s v="Escobedo"/>
    <s v="Monterrey"/>
    <x v="7"/>
    <x v="2"/>
    <d v="2025-07-01T00:00:00"/>
    <x v="5"/>
    <x v="3"/>
  </r>
  <r>
    <x v="760"/>
    <x v="0"/>
    <n v="7"/>
    <d v="2025-07-17T00:00:00"/>
    <d v="2025-07-17T00:00:00"/>
    <d v="2025-07-17T00:00:00"/>
    <d v="2025-07-17T00:00:00"/>
    <d v="2025-07-17T17:06:05"/>
    <n v="2039"/>
    <s v="610429"/>
    <s v="Sprinter"/>
    <n v="50"/>
    <n v="50"/>
    <s v="4366XC"/>
    <n v="1"/>
    <n v="150"/>
    <b v="1"/>
    <b v="0"/>
    <b v="0"/>
    <n v="231"/>
    <n v="0"/>
    <s v=""/>
    <s v=""/>
    <n v="50"/>
    <n v="359"/>
    <x v="6"/>
    <n v="359"/>
    <s v="Escobedo"/>
    <s v="Escobedo"/>
    <x v="0"/>
    <x v="2"/>
    <d v="2025-07-01T00:00:00"/>
    <x v="5"/>
    <x v="3"/>
  </r>
  <r>
    <x v="761"/>
    <x v="0"/>
    <n v="7"/>
    <d v="2025-07-17T00:00:00"/>
    <d v="2025-07-17T00:00:00"/>
    <d v="2025-07-17T00:00:00"/>
    <d v="2025-07-17T00:00:00"/>
    <d v="2025-07-17T17:08:07"/>
    <n v="2039"/>
    <s v="610429"/>
    <s v="Sprinter"/>
    <n v="50"/>
    <n v="50"/>
    <s v="4366XC"/>
    <n v="1"/>
    <n v="150"/>
    <b v="1"/>
    <b v="0"/>
    <b v="0"/>
    <n v="231"/>
    <n v="0"/>
    <s v=""/>
    <s v=""/>
    <n v="50"/>
    <n v="359"/>
    <x v="6"/>
    <n v="359"/>
    <s v="Escobedo"/>
    <s v="Escobedo"/>
    <x v="0"/>
    <x v="2"/>
    <d v="2025-07-01T00:00:00"/>
    <x v="5"/>
    <x v="3"/>
  </r>
  <r>
    <x v="762"/>
    <x v="0"/>
    <n v="7"/>
    <d v="2025-07-17T00:00:00"/>
    <d v="2025-07-17T00:00:00"/>
    <d v="2025-07-17T00:00:00"/>
    <d v="2025-07-17T00:00:00"/>
    <d v="2025-07-17T17:08:46"/>
    <n v="2039"/>
    <s v="610429"/>
    <s v="Sprinter"/>
    <n v="50"/>
    <n v="50"/>
    <s v="4366XC"/>
    <n v="1"/>
    <n v="150"/>
    <b v="1"/>
    <b v="0"/>
    <b v="0"/>
    <n v="231"/>
    <n v="0"/>
    <s v=""/>
    <s v=""/>
    <n v="50"/>
    <n v="359"/>
    <x v="6"/>
    <n v="359"/>
    <s v="Escobedo"/>
    <s v="Escobedo"/>
    <x v="0"/>
    <x v="2"/>
    <d v="2025-07-01T00:00:00"/>
    <x v="5"/>
    <x v="3"/>
  </r>
  <r>
    <x v="763"/>
    <x v="0"/>
    <n v="7"/>
    <d v="2025-07-02T00:00:00"/>
    <d v="2025-07-02T00:00:00"/>
    <d v="2025-07-01T00:00:00"/>
    <d v="2025-07-01T00:00:00"/>
    <d v="2025-07-02T18:34:51"/>
    <n v="2039"/>
    <s v="610429"/>
    <s v="Sprinter"/>
    <n v="50"/>
    <n v="50"/>
    <s v="4366XC"/>
    <n v="1"/>
    <n v="150"/>
    <b v="1"/>
    <b v="0"/>
    <b v="0"/>
    <n v="231"/>
    <n v="0"/>
    <s v=""/>
    <s v=""/>
    <n v="50"/>
    <n v="359"/>
    <x v="7"/>
    <n v="359"/>
    <s v="Escobedo"/>
    <s v="Escobedo"/>
    <x v="0"/>
    <x v="2"/>
    <d v="2025-07-01T00:00:00"/>
    <x v="5"/>
    <x v="3"/>
  </r>
  <r>
    <x v="764"/>
    <x v="0"/>
    <n v="7"/>
    <d v="2025-07-18T00:00:00"/>
    <d v="2025-07-18T00:00:00"/>
    <d v="2025-07-18T00:00:00"/>
    <d v="2025-07-18T00:00:00"/>
    <d v="2025-07-18T14:32:13"/>
    <n v="2039"/>
    <s v="610429"/>
    <s v="Sprinter"/>
    <n v="50"/>
    <n v="50"/>
    <s v="4366XC"/>
    <n v="1"/>
    <n v="150"/>
    <b v="1"/>
    <b v="0"/>
    <b v="0"/>
    <n v="231"/>
    <n v="0"/>
    <s v=""/>
    <s v=""/>
    <n v="50"/>
    <n v="359"/>
    <x v="6"/>
    <n v="359"/>
    <s v="Escobedo"/>
    <s v="Escobedo"/>
    <x v="0"/>
    <x v="2"/>
    <d v="2025-07-01T00:00:00"/>
    <x v="5"/>
    <x v="3"/>
  </r>
  <r>
    <x v="765"/>
    <x v="0"/>
    <n v="7"/>
    <d v="2025-07-18T00:00:00"/>
    <d v="2025-07-18T00:00:00"/>
    <d v="2025-07-18T00:00:00"/>
    <d v="2025-07-18T00:00:00"/>
    <d v="2025-07-18T00:00:00"/>
    <n v="2039"/>
    <s v="610429"/>
    <s v="Sprinter"/>
    <n v="50"/>
    <n v="50"/>
    <s v="4366XC"/>
    <n v="1"/>
    <n v="150"/>
    <b v="1"/>
    <b v="0"/>
    <b v="0"/>
    <n v="231"/>
    <n v="0"/>
    <s v=""/>
    <s v=""/>
    <n v="50"/>
    <n v="359"/>
    <x v="6"/>
    <n v="359"/>
    <s v="Escobedo"/>
    <s v="Escobedo"/>
    <x v="0"/>
    <x v="2"/>
    <d v="2025-07-01T00:00:00"/>
    <x v="5"/>
    <x v="3"/>
  </r>
  <r>
    <x v="766"/>
    <x v="0"/>
    <n v="7"/>
    <d v="2025-07-02T00:00:00"/>
    <d v="2025-07-02T00:00:00"/>
    <d v="2025-07-02T00:00:00"/>
    <d v="2025-07-02T00:00:00"/>
    <d v="2025-07-03T08:42:24"/>
    <n v="2039"/>
    <s v="610429"/>
    <s v="Sprinter"/>
    <n v="50"/>
    <n v="50"/>
    <s v="4366XC"/>
    <n v="1"/>
    <n v="150"/>
    <b v="1"/>
    <b v="0"/>
    <b v="0"/>
    <n v="231"/>
    <n v="0"/>
    <s v=""/>
    <s v=""/>
    <n v="50"/>
    <n v="359"/>
    <x v="7"/>
    <n v="359"/>
    <s v="Escobedo"/>
    <s v="Escobedo"/>
    <x v="0"/>
    <x v="2"/>
    <d v="2025-07-01T00:00:00"/>
    <x v="5"/>
    <x v="3"/>
  </r>
  <r>
    <x v="767"/>
    <x v="0"/>
    <n v="7"/>
    <d v="2025-07-19T00:00:00"/>
    <d v="2025-07-19T00:00:00"/>
    <d v="2025-07-21T00:00:00"/>
    <d v="2025-07-20T00:00:00"/>
    <d v="2025-07-21T00:00:00"/>
    <n v="2333"/>
    <s v="610429"/>
    <s v="Sprinter"/>
    <n v="842"/>
    <n v="842"/>
    <s v="3698XC"/>
    <n v="1"/>
    <n v="863"/>
    <b v="1"/>
    <b v="0"/>
    <b v="0"/>
    <n v="1213"/>
    <n v="0"/>
    <s v=""/>
    <s v="Recoger a 14 operadores y retornarlos a Mty, favor de hablarle a Adrian Rodrigo para que te entregue la camioneta"/>
    <n v="900"/>
    <n v="1843"/>
    <x v="7"/>
    <n v="1843"/>
    <s v="Escobedo"/>
    <s v="Mazatlan"/>
    <x v="17"/>
    <x v="2"/>
    <d v="2025-07-01T00:00:00"/>
    <x v="5"/>
    <x v="3"/>
  </r>
  <r>
    <x v="768"/>
    <x v="0"/>
    <n v="7"/>
    <d v="2025-07-28T00:00:00"/>
    <d v="2025-07-28T00:00:00"/>
    <d v="2025-07-28T00:00:00"/>
    <d v="2025-07-28T00:00:00"/>
    <d v="2025-07-28T00:00:00"/>
    <n v="2244"/>
    <s v="610429"/>
    <s v="Sprinter"/>
    <n v="50"/>
    <n v="50"/>
    <s v="3727XC"/>
    <n v="1"/>
    <n v="150"/>
    <b v="1"/>
    <b v="0"/>
    <b v="0"/>
    <n v="231"/>
    <n v="0"/>
    <s v=""/>
    <s v=""/>
    <n v="50"/>
    <n v="2936"/>
    <x v="4"/>
    <n v="2936"/>
    <s v="Escobedo"/>
    <s v="Hidalgo"/>
    <x v="19"/>
    <x v="2"/>
    <d v="2025-07-01T00:00:00"/>
    <x v="5"/>
    <x v="3"/>
  </r>
  <r>
    <x v="769"/>
    <x v="0"/>
    <n v="7"/>
    <d v="2025-07-29T00:00:00"/>
    <d v="2025-07-29T00:00:00"/>
    <d v="2025-07-30T00:00:00"/>
    <d v="2025-07-29T00:00:00"/>
    <d v="2025-07-30T13:34:03"/>
    <n v="2371"/>
    <s v="610429"/>
    <s v="Sprinter"/>
    <n v="961"/>
    <n v="1059"/>
    <s v="LE28920"/>
    <n v="1"/>
    <n v="964"/>
    <b v="1"/>
    <b v="0"/>
    <b v="0"/>
    <n v="1494"/>
    <n v="0"/>
    <s v=""/>
    <s v=""/>
    <n v="1100"/>
    <n v="8"/>
    <x v="3"/>
    <n v="8"/>
    <s v="Escobedo"/>
    <s v="Cd Sahagún"/>
    <x v="3"/>
    <x v="2"/>
    <d v="2025-07-01T00:00:00"/>
    <x v="5"/>
    <x v="3"/>
  </r>
  <r>
    <x v="770"/>
    <x v="0"/>
    <n v="7"/>
    <d v="2025-07-03T00:00:00"/>
    <d v="2025-07-03T00:00:00"/>
    <d v="2025-07-03T00:00:00"/>
    <d v="2025-07-03T00:00:00"/>
    <d v="2025-07-03T17:54:50"/>
    <n v="2039"/>
    <s v="610429"/>
    <s v="Sprinter"/>
    <n v="50"/>
    <n v="50"/>
    <s v="4366XC"/>
    <n v="1"/>
    <n v="150"/>
    <b v="1"/>
    <b v="0"/>
    <b v="0"/>
    <n v="231"/>
    <n v="0"/>
    <s v=""/>
    <s v=""/>
    <n v="50"/>
    <n v="461"/>
    <x v="6"/>
    <n v="461"/>
    <s v="Escobedo"/>
    <s v="Monterrey"/>
    <x v="7"/>
    <x v="2"/>
    <d v="2025-07-01T00:00:00"/>
    <x v="5"/>
    <x v="3"/>
  </r>
  <r>
    <x v="771"/>
    <x v="0"/>
    <n v="7"/>
    <d v="2025-07-03T00:00:00"/>
    <d v="2025-07-03T00:00:00"/>
    <d v="2025-07-03T00:00:00"/>
    <d v="2025-07-03T00:00:00"/>
    <d v="2025-07-03T17:54:50"/>
    <n v="2039"/>
    <s v="610429"/>
    <s v="Sprinter"/>
    <n v="50"/>
    <n v="50"/>
    <s v="4366XC"/>
    <n v="1"/>
    <n v="150"/>
    <b v="1"/>
    <b v="0"/>
    <b v="0"/>
    <n v="231"/>
    <n v="0"/>
    <s v=""/>
    <s v=""/>
    <n v="50"/>
    <n v="359"/>
    <x v="6"/>
    <n v="359"/>
    <s v="Escobedo"/>
    <s v="Escobedo"/>
    <x v="0"/>
    <x v="2"/>
    <d v="2025-07-01T00:00:00"/>
    <x v="5"/>
    <x v="3"/>
  </r>
  <r>
    <x v="772"/>
    <x v="0"/>
    <n v="7"/>
    <d v="2025-07-03T00:00:00"/>
    <d v="2025-07-03T00:00:00"/>
    <d v="2025-07-03T00:00:00"/>
    <d v="2025-07-03T00:00:00"/>
    <d v="2025-07-03T17:54:52"/>
    <n v="2039"/>
    <s v="610429"/>
    <s v="Sprinter"/>
    <n v="50"/>
    <n v="50"/>
    <s v="4366XC"/>
    <n v="1"/>
    <n v="150"/>
    <b v="1"/>
    <b v="0"/>
    <b v="0"/>
    <n v="231"/>
    <n v="0"/>
    <s v=""/>
    <s v=""/>
    <n v="50"/>
    <n v="359"/>
    <x v="6"/>
    <n v="359"/>
    <s v="Escobedo"/>
    <s v="Escobedo"/>
    <x v="0"/>
    <x v="2"/>
    <d v="2025-07-01T00:00:00"/>
    <x v="5"/>
    <x v="3"/>
  </r>
  <r>
    <x v="773"/>
    <x v="0"/>
    <n v="7"/>
    <d v="2025-07-31T00:00:00"/>
    <d v="2025-07-31T00:00:00"/>
    <d v="2025-07-31T00:00:00"/>
    <d v="2025-07-31T00:00:00"/>
    <d v="2025-07-31T13:45:59"/>
    <n v="1902"/>
    <s v="610429"/>
    <s v="Sprinter"/>
    <n v="50"/>
    <n v="50"/>
    <s v="3729XC"/>
    <n v="1"/>
    <n v="150"/>
    <b v="1"/>
    <b v="0"/>
    <b v="0"/>
    <n v="231"/>
    <n v="0"/>
    <s v=""/>
    <s v=""/>
    <n v="50"/>
    <n v="2936"/>
    <x v="6"/>
    <n v="2936"/>
    <s v="Escobedo"/>
    <s v="Hidalgo"/>
    <x v="19"/>
    <x v="2"/>
    <d v="2025-07-01T00:00:00"/>
    <x v="5"/>
    <x v="3"/>
  </r>
  <r>
    <x v="774"/>
    <x v="0"/>
    <n v="7"/>
    <d v="2025-07-31T00:00:00"/>
    <d v="2025-07-31T00:00:00"/>
    <d v="2025-07-31T00:00:00"/>
    <d v="2025-07-31T00:00:00"/>
    <d v="2025-07-31T14:48:01"/>
    <n v="1902"/>
    <s v="610429"/>
    <s v="Sprinter"/>
    <n v="50"/>
    <n v="50"/>
    <s v="3729XC"/>
    <n v="1"/>
    <n v="150"/>
    <b v="1"/>
    <b v="0"/>
    <b v="0"/>
    <n v="231"/>
    <n v="0"/>
    <s v=""/>
    <s v=""/>
    <n v="50"/>
    <n v="359"/>
    <x v="6"/>
    <n v="359"/>
    <s v="Escobedo"/>
    <s v="Escobedo"/>
    <x v="0"/>
    <x v="2"/>
    <d v="2025-07-01T00:00:00"/>
    <x v="5"/>
    <x v="3"/>
  </r>
  <r>
    <x v="775"/>
    <x v="0"/>
    <n v="7"/>
    <d v="2025-07-31T00:00:00"/>
    <d v="2025-07-31T00:00:00"/>
    <d v="2025-07-31T00:00:00"/>
    <d v="2025-07-31T00:00:00"/>
    <d v="2025-08-01T10:23:42"/>
    <n v="1902"/>
    <s v="610429"/>
    <s v="Sprinter"/>
    <n v="50"/>
    <n v="50"/>
    <s v="3729XC"/>
    <n v="1"/>
    <n v="150"/>
    <b v="1"/>
    <b v="0"/>
    <b v="0"/>
    <n v="231"/>
    <n v="0"/>
    <s v=""/>
    <s v=""/>
    <n v="50"/>
    <n v="359"/>
    <x v="6"/>
    <n v="359"/>
    <s v="Escobedo"/>
    <s v="Escobedo"/>
    <x v="0"/>
    <x v="2"/>
    <d v="2025-07-01T00:00:00"/>
    <x v="5"/>
    <x v="3"/>
  </r>
  <r>
    <x v="776"/>
    <x v="0"/>
    <n v="7"/>
    <d v="2025-07-31T00:00:00"/>
    <d v="2025-07-31T00:00:00"/>
    <d v="2025-07-31T00:00:00"/>
    <d v="2025-07-31T00:00:00"/>
    <d v="2025-08-01T10:26:19"/>
    <n v="1902"/>
    <s v="610429"/>
    <s v="Sprinter"/>
    <n v="50"/>
    <n v="50"/>
    <s v="3729XC"/>
    <n v="1"/>
    <n v="150"/>
    <b v="1"/>
    <b v="0"/>
    <b v="0"/>
    <n v="231"/>
    <n v="0"/>
    <s v=""/>
    <s v=""/>
    <n v="50"/>
    <n v="2936"/>
    <x v="6"/>
    <n v="2936"/>
    <s v="Escobedo"/>
    <s v="Hidalgo"/>
    <x v="19"/>
    <x v="2"/>
    <d v="2025-07-01T00:00:00"/>
    <x v="5"/>
    <x v="3"/>
  </r>
  <r>
    <x v="777"/>
    <x v="0"/>
    <n v="7"/>
    <d v="2025-07-31T00:00:00"/>
    <d v="2025-07-31T00:00:00"/>
    <d v="2025-07-31T00:00:00"/>
    <d v="2025-07-31T00:00:00"/>
    <d v="2025-08-01T12:10:54"/>
    <n v="1902"/>
    <s v="610429"/>
    <s v="Sprinter"/>
    <n v="50"/>
    <n v="50"/>
    <s v="3729XC"/>
    <n v="1"/>
    <n v="150"/>
    <b v="1"/>
    <b v="0"/>
    <b v="0"/>
    <n v="231"/>
    <n v="0"/>
    <s v=""/>
    <s v=""/>
    <n v="50"/>
    <n v="461"/>
    <x v="6"/>
    <n v="461"/>
    <s v="Escobedo"/>
    <s v="Monterrey"/>
    <x v="7"/>
    <x v="2"/>
    <d v="2025-07-01T00:00:00"/>
    <x v="5"/>
    <x v="3"/>
  </r>
  <r>
    <x v="778"/>
    <x v="0"/>
    <n v="7"/>
    <d v="2025-07-03T00:00:00"/>
    <d v="2025-07-03T00:00:00"/>
    <d v="2025-07-03T00:00:00"/>
    <d v="2025-07-03T00:00:00"/>
    <d v="2025-07-03T17:54:51"/>
    <n v="2039"/>
    <s v="610429"/>
    <s v="Sprinter"/>
    <n v="50"/>
    <n v="50"/>
    <s v="4366XC"/>
    <n v="1"/>
    <n v="150"/>
    <b v="1"/>
    <b v="0"/>
    <b v="0"/>
    <n v="231"/>
    <n v="0"/>
    <s v=""/>
    <s v=""/>
    <n v="50"/>
    <n v="359"/>
    <x v="6"/>
    <n v="359"/>
    <s v="Escobedo"/>
    <s v="Escobedo"/>
    <x v="0"/>
    <x v="2"/>
    <d v="2025-07-01T00:00:00"/>
    <x v="5"/>
    <x v="3"/>
  </r>
  <r>
    <x v="779"/>
    <x v="0"/>
    <n v="7"/>
    <d v="2025-07-03T00:00:00"/>
    <d v="2025-07-03T00:00:00"/>
    <d v="2025-07-03T00:00:00"/>
    <d v="2025-07-03T00:00:00"/>
    <d v="2025-07-03T17:54:48"/>
    <n v="2039"/>
    <s v="610429"/>
    <s v="Sprinter"/>
    <n v="50"/>
    <n v="50"/>
    <s v="4366XC"/>
    <n v="1"/>
    <n v="150"/>
    <b v="1"/>
    <b v="0"/>
    <b v="0"/>
    <n v="231"/>
    <n v="0"/>
    <s v=""/>
    <s v=""/>
    <n v="50"/>
    <n v="359"/>
    <x v="6"/>
    <n v="359"/>
    <s v="Escobedo"/>
    <s v="Escobedo"/>
    <x v="0"/>
    <x v="2"/>
    <d v="2025-07-01T00:00:00"/>
    <x v="5"/>
    <x v="3"/>
  </r>
  <r>
    <x v="780"/>
    <x v="0"/>
    <n v="7"/>
    <d v="2025-07-03T00:00:00"/>
    <d v="2025-07-03T00:00:00"/>
    <d v="2025-07-03T00:00:00"/>
    <d v="2025-07-03T00:00:00"/>
    <d v="2025-07-03T00:00:00"/>
    <n v="2039"/>
    <s v="610429"/>
    <s v="Sprinter"/>
    <n v="50"/>
    <n v="50"/>
    <s v="4366XC"/>
    <n v="1"/>
    <n v="150"/>
    <b v="1"/>
    <b v="0"/>
    <b v="0"/>
    <n v="231"/>
    <n v="0"/>
    <s v=""/>
    <s v=""/>
    <n v="50"/>
    <n v="359"/>
    <x v="6"/>
    <n v="359"/>
    <s v="Escobedo"/>
    <s v="Escobedo"/>
    <x v="0"/>
    <x v="2"/>
    <d v="2025-07-01T00:00:00"/>
    <x v="5"/>
    <x v="3"/>
  </r>
  <r>
    <x v="781"/>
    <x v="0"/>
    <n v="7"/>
    <d v="2025-07-03T00:00:00"/>
    <d v="2025-07-03T00:00:00"/>
    <d v="2025-07-03T00:00:00"/>
    <d v="2025-07-03T00:00:00"/>
    <d v="2025-07-03T17:54:51"/>
    <n v="2039"/>
    <s v="610429"/>
    <s v="Sprinter"/>
    <n v="50"/>
    <n v="50"/>
    <s v="4366XC"/>
    <n v="1"/>
    <n v="150"/>
    <b v="1"/>
    <b v="0"/>
    <b v="0"/>
    <n v="231"/>
    <n v="0"/>
    <s v=""/>
    <s v=""/>
    <n v="50"/>
    <n v="359"/>
    <x v="6"/>
    <n v="359"/>
    <s v="Escobedo"/>
    <s v="Escobedo"/>
    <x v="0"/>
    <x v="2"/>
    <d v="2025-07-01T00:00:00"/>
    <x v="5"/>
    <x v="3"/>
  </r>
  <r>
    <x v="782"/>
    <x v="0"/>
    <n v="7"/>
    <d v="2025-07-04T00:00:00"/>
    <d v="2025-07-04T00:00:00"/>
    <d v="2025-07-04T00:00:00"/>
    <d v="2025-07-04T00:00:00"/>
    <d v="2025-07-05T11:46:13"/>
    <n v="2039"/>
    <s v="610429"/>
    <s v="Sprinter"/>
    <n v="50"/>
    <n v="50"/>
    <s v="4366XC"/>
    <n v="1"/>
    <n v="150"/>
    <b v="1"/>
    <b v="0"/>
    <b v="0"/>
    <n v="231"/>
    <n v="0"/>
    <s v=""/>
    <s v=""/>
    <n v="50"/>
    <n v="359"/>
    <x v="6"/>
    <n v="359"/>
    <s v="Escobedo"/>
    <s v="Escobedo"/>
    <x v="0"/>
    <x v="2"/>
    <d v="2025-07-01T00:00:00"/>
    <x v="5"/>
    <x v="3"/>
  </r>
  <r>
    <x v="783"/>
    <x v="0"/>
    <n v="7"/>
    <d v="2025-07-04T00:00:00"/>
    <d v="2025-07-04T00:00:00"/>
    <d v="2025-07-04T00:00:00"/>
    <d v="2025-07-04T00:00:00"/>
    <d v="2025-07-05T11:46:39"/>
    <n v="2039"/>
    <s v="610429"/>
    <s v="Sprinter"/>
    <n v="50"/>
    <n v="50"/>
    <s v="4366XC"/>
    <n v="1"/>
    <n v="150"/>
    <b v="1"/>
    <b v="0"/>
    <b v="0"/>
    <n v="231"/>
    <n v="0"/>
    <s v=""/>
    <s v=""/>
    <n v="50"/>
    <n v="2936"/>
    <x v="6"/>
    <n v="2936"/>
    <s v="Escobedo"/>
    <s v="Hidalgo"/>
    <x v="19"/>
    <x v="2"/>
    <d v="2025-07-01T00:00:00"/>
    <x v="5"/>
    <x v="3"/>
  </r>
  <r>
    <x v="784"/>
    <x v="0"/>
    <n v="7"/>
    <d v="2025-07-04T00:00:00"/>
    <d v="2025-07-04T00:00:00"/>
    <d v="2025-07-04T00:00:00"/>
    <d v="2025-07-04T00:00:00"/>
    <d v="2025-07-05T11:47:03"/>
    <n v="2039"/>
    <s v="610429"/>
    <s v="Sprinter"/>
    <n v="50"/>
    <n v="50"/>
    <s v="4366XC"/>
    <n v="1"/>
    <n v="150"/>
    <b v="1"/>
    <b v="0"/>
    <b v="0"/>
    <n v="231"/>
    <n v="0"/>
    <s v=""/>
    <s v=""/>
    <n v="50"/>
    <n v="359"/>
    <x v="6"/>
    <n v="359"/>
    <s v="Escobedo"/>
    <s v="Escobedo"/>
    <x v="0"/>
    <x v="2"/>
    <d v="2025-07-01T00:00:00"/>
    <x v="5"/>
    <x v="3"/>
  </r>
  <r>
    <x v="785"/>
    <x v="0"/>
    <n v="7"/>
    <d v="2025-07-04T00:00:00"/>
    <d v="2025-07-04T00:00:00"/>
    <d v="2025-07-04T00:00:00"/>
    <d v="2025-07-04T00:00:00"/>
    <d v="2025-07-05T11:47:29"/>
    <n v="2039"/>
    <s v="610429"/>
    <s v="Sprinter"/>
    <n v="50"/>
    <n v="50"/>
    <s v="4366XC"/>
    <n v="1"/>
    <n v="150"/>
    <b v="1"/>
    <b v="0"/>
    <b v="0"/>
    <n v="231"/>
    <n v="0"/>
    <s v=""/>
    <s v=""/>
    <n v="50"/>
    <n v="359"/>
    <x v="6"/>
    <n v="359"/>
    <s v="Escobedo"/>
    <s v="Escobedo"/>
    <x v="0"/>
    <x v="2"/>
    <d v="2025-07-01T00:00:00"/>
    <x v="5"/>
    <x v="3"/>
  </r>
  <r>
    <x v="786"/>
    <x v="0"/>
    <n v="7"/>
    <d v="2025-07-04T00:00:00"/>
    <d v="2025-07-04T00:00:00"/>
    <d v="2025-07-04T00:00:00"/>
    <d v="2025-07-04T00:00:00"/>
    <d v="2025-07-05T11:47:55"/>
    <n v="2039"/>
    <s v="610429"/>
    <s v="Sprinter"/>
    <n v="50"/>
    <n v="50"/>
    <s v="4366XC"/>
    <n v="1"/>
    <n v="150"/>
    <b v="1"/>
    <b v="0"/>
    <b v="0"/>
    <n v="231"/>
    <n v="0"/>
    <s v=""/>
    <s v=""/>
    <n v="50"/>
    <n v="359"/>
    <x v="6"/>
    <n v="359"/>
    <s v="Escobedo"/>
    <s v="Escobedo"/>
    <x v="0"/>
    <x v="2"/>
    <d v="2025-07-01T00:00:00"/>
    <x v="5"/>
    <x v="3"/>
  </r>
  <r>
    <x v="787"/>
    <x v="0"/>
    <n v="7"/>
    <d v="2025-07-04T00:00:00"/>
    <d v="2025-07-04T00:00:00"/>
    <d v="2025-07-04T00:00:00"/>
    <d v="2025-07-04T00:00:00"/>
    <d v="2025-07-05T11:48:21"/>
    <n v="2039"/>
    <s v="610429"/>
    <s v="Sprinter"/>
    <n v="50"/>
    <n v="50"/>
    <s v="4366XC"/>
    <n v="1"/>
    <n v="150"/>
    <b v="1"/>
    <b v="0"/>
    <b v="0"/>
    <n v="231"/>
    <n v="0"/>
    <s v=""/>
    <s v=""/>
    <n v="50"/>
    <n v="359"/>
    <x v="6"/>
    <n v="359"/>
    <s v="Escobedo"/>
    <s v="Escobedo"/>
    <x v="0"/>
    <x v="2"/>
    <d v="2025-07-01T00:00:00"/>
    <x v="5"/>
    <x v="3"/>
  </r>
  <r>
    <x v="788"/>
    <x v="0"/>
    <n v="7"/>
    <d v="2025-07-04T00:00:00"/>
    <d v="2025-07-04T00:00:00"/>
    <d v="2025-07-04T00:00:00"/>
    <d v="2025-07-04T00:00:00"/>
    <d v="2025-07-05T11:48:46"/>
    <n v="2039"/>
    <s v="610429"/>
    <s v="Sprinter"/>
    <n v="50"/>
    <n v="50"/>
    <s v="4366XC"/>
    <n v="1"/>
    <n v="150"/>
    <b v="1"/>
    <b v="0"/>
    <b v="0"/>
    <n v="231"/>
    <n v="0"/>
    <s v=""/>
    <s v=""/>
    <n v="50"/>
    <n v="359"/>
    <x v="6"/>
    <n v="359"/>
    <s v="Escobedo"/>
    <s v="Escobedo"/>
    <x v="0"/>
    <x v="2"/>
    <d v="2025-07-01T00:00:00"/>
    <x v="5"/>
    <x v="3"/>
  </r>
  <r>
    <x v="789"/>
    <x v="0"/>
    <n v="7"/>
    <d v="2025-07-05T00:00:00"/>
    <d v="2025-07-05T00:00:00"/>
    <d v="2025-07-05T00:00:00"/>
    <d v="2025-07-05T00:00:00"/>
    <d v="2025-07-06T08:55:05"/>
    <n v="2039"/>
    <s v="610429"/>
    <s v="Sprinter"/>
    <n v="50"/>
    <n v="50"/>
    <s v="4366XC"/>
    <n v="1"/>
    <n v="150"/>
    <b v="1"/>
    <b v="0"/>
    <b v="0"/>
    <n v="231"/>
    <n v="0"/>
    <s v=""/>
    <s v=""/>
    <n v="50"/>
    <n v="2936"/>
    <x v="6"/>
    <n v="2936"/>
    <s v="Escobedo"/>
    <s v="Hidalgo"/>
    <x v="19"/>
    <x v="2"/>
    <d v="2025-07-01T00:00:00"/>
    <x v="5"/>
    <x v="3"/>
  </r>
  <r>
    <x v="790"/>
    <x v="0"/>
    <n v="7"/>
    <d v="2025-07-05T00:00:00"/>
    <d v="2025-07-05T00:00:00"/>
    <d v="2025-07-05T00:00:00"/>
    <d v="2025-07-05T00:00:00"/>
    <d v="2025-07-06T00:00:00"/>
    <n v="2039"/>
    <s v="610429"/>
    <s v="Sprinter"/>
    <n v="50"/>
    <n v="50"/>
    <s v="4366XC"/>
    <n v="1"/>
    <n v="150"/>
    <b v="1"/>
    <b v="0"/>
    <b v="0"/>
    <n v="231"/>
    <n v="0"/>
    <s v=""/>
    <s v=""/>
    <n v="50"/>
    <n v="359"/>
    <x v="6"/>
    <n v="359"/>
    <s v="Escobedo"/>
    <s v="Escobedo"/>
    <x v="0"/>
    <x v="2"/>
    <d v="2025-07-01T00:00:00"/>
    <x v="5"/>
    <x v="3"/>
  </r>
  <r>
    <x v="791"/>
    <x v="0"/>
    <n v="7"/>
    <d v="2025-07-05T00:00:00"/>
    <d v="2025-07-05T00:00:00"/>
    <d v="2025-07-05T00:00:00"/>
    <d v="2025-07-05T00:00:00"/>
    <d v="2025-07-06T08:56:06"/>
    <n v="2039"/>
    <s v="610429"/>
    <s v="Sprinter"/>
    <n v="50"/>
    <n v="50"/>
    <s v="4366XC"/>
    <n v="1"/>
    <n v="150"/>
    <b v="1"/>
    <b v="0"/>
    <b v="0"/>
    <n v="231"/>
    <n v="0"/>
    <s v=""/>
    <s v=""/>
    <n v="50"/>
    <n v="2936"/>
    <x v="6"/>
    <n v="2936"/>
    <s v="Escobedo"/>
    <s v="Hidalgo"/>
    <x v="19"/>
    <x v="2"/>
    <d v="2025-07-01T00:00:00"/>
    <x v="5"/>
    <x v="3"/>
  </r>
  <r>
    <x v="792"/>
    <x v="0"/>
    <n v="7"/>
    <d v="2025-07-05T00:00:00"/>
    <d v="2025-07-05T00:00:00"/>
    <d v="2025-07-05T00:00:00"/>
    <d v="2025-07-05T00:00:00"/>
    <d v="2025-07-06T08:56:38"/>
    <n v="2039"/>
    <s v="610429"/>
    <s v="Sprinter"/>
    <n v="50"/>
    <n v="50"/>
    <s v="4366XC"/>
    <n v="1"/>
    <n v="150"/>
    <b v="1"/>
    <b v="0"/>
    <b v="0"/>
    <n v="231"/>
    <n v="0"/>
    <s v=""/>
    <s v=""/>
    <n v="50"/>
    <n v="359"/>
    <x v="6"/>
    <n v="359"/>
    <s v="Escobedo"/>
    <s v="Escobedo"/>
    <x v="0"/>
    <x v="2"/>
    <d v="2025-07-01T00:00:00"/>
    <x v="5"/>
    <x v="3"/>
  </r>
  <r>
    <x v="793"/>
    <x v="0"/>
    <n v="7"/>
    <d v="2025-07-05T00:00:00"/>
    <d v="2025-07-05T00:00:00"/>
    <d v="2025-07-05T00:00:00"/>
    <d v="2025-07-05T00:00:00"/>
    <d v="2025-07-06T08:56:52"/>
    <n v="2039"/>
    <s v="610429"/>
    <s v="Sprinter"/>
    <n v="50"/>
    <n v="50"/>
    <s v="4366XC"/>
    <n v="1"/>
    <n v="150"/>
    <b v="1"/>
    <b v="0"/>
    <b v="0"/>
    <n v="231"/>
    <n v="0"/>
    <s v=""/>
    <s v=""/>
    <n v="50"/>
    <n v="359"/>
    <x v="6"/>
    <n v="359"/>
    <s v="Escobedo"/>
    <s v="Escobedo"/>
    <x v="0"/>
    <x v="2"/>
    <d v="2025-07-01T00:00:00"/>
    <x v="5"/>
    <x v="3"/>
  </r>
  <r>
    <x v="794"/>
    <x v="0"/>
    <n v="7"/>
    <d v="2025-07-06T00:00:00"/>
    <d v="2025-07-06T00:00:00"/>
    <d v="2025-07-06T00:00:00"/>
    <d v="2025-07-06T00:00:00"/>
    <d v="2025-07-07T08:44:38"/>
    <n v="2039"/>
    <s v="610429"/>
    <s v="Sprinter"/>
    <n v="50"/>
    <n v="50"/>
    <s v="4366XC"/>
    <n v="1"/>
    <n v="150"/>
    <b v="1"/>
    <b v="0"/>
    <b v="0"/>
    <n v="231"/>
    <n v="0"/>
    <s v=""/>
    <s v=""/>
    <n v="50"/>
    <n v="359"/>
    <x v="6"/>
    <n v="359"/>
    <s v="Escobedo"/>
    <s v="Escobedo"/>
    <x v="0"/>
    <x v="2"/>
    <d v="2025-07-01T00:00:00"/>
    <x v="5"/>
    <x v="3"/>
  </r>
  <r>
    <x v="795"/>
    <x v="0"/>
    <n v="7"/>
    <d v="2025-07-02T00:00:00"/>
    <d v="2025-07-02T00:00:00"/>
    <d v="2025-07-02T00:00:00"/>
    <d v="2025-07-02T00:00:00"/>
    <d v="2025-07-03T00:00:00"/>
    <n v="2244"/>
    <s v="775908"/>
    <s v="4700*175*195"/>
    <n v="49"/>
    <n v="0"/>
    <s v="3727XC"/>
    <n v="1"/>
    <n v="150"/>
    <b v="1"/>
    <b v="0"/>
    <b v="0"/>
    <n v="0"/>
    <n v="0"/>
    <s v=""/>
    <s v=""/>
    <n v="0"/>
    <n v="1138"/>
    <x v="11"/>
    <n v="1138"/>
    <s v="Cd Sahagún"/>
    <s v="Tulancingo"/>
    <x v="40"/>
    <x v="1"/>
    <d v="2025-07-01T00:00:00"/>
    <x v="5"/>
    <x v="3"/>
  </r>
  <r>
    <x v="796"/>
    <x v="0"/>
    <n v="7"/>
    <d v="2025-07-29T00:00:00"/>
    <d v="2025-07-29T00:00:00"/>
    <d v="2025-07-31T00:00:00"/>
    <d v="2025-07-30T00:00:00"/>
    <d v="2025-07-31T00:00:00"/>
    <n v="1902"/>
    <s v="626955"/>
    <s v="Sprinter"/>
    <n v="961"/>
    <n v="0"/>
    <s v="3729XC"/>
    <n v="1"/>
    <n v="964"/>
    <b v="1"/>
    <b v="0"/>
    <b v="0"/>
    <n v="0"/>
    <n v="0"/>
    <s v=""/>
    <s v=""/>
    <n v="0"/>
    <n v="8"/>
    <x v="11"/>
    <n v="8"/>
    <s v="Escobedo"/>
    <s v="Cd Sahagún"/>
    <x v="3"/>
    <x v="0"/>
    <d v="2025-07-01T00:00:00"/>
    <x v="5"/>
    <x v="3"/>
  </r>
  <r>
    <x v="797"/>
    <x v="0"/>
    <n v="7"/>
    <d v="2025-07-04T00:00:00"/>
    <d v="2025-07-04T00:00:00"/>
    <d v="2025-07-07T00:00:00"/>
    <d v="2025-07-07T00:00:00"/>
    <d v="2025-07-08T08:37:14"/>
    <n v="2244"/>
    <s v="775908"/>
    <s v="4700*175*195"/>
    <n v="49"/>
    <n v="0"/>
    <s v="3727XC"/>
    <n v="1"/>
    <n v="150"/>
    <b v="1"/>
    <b v="0"/>
    <b v="0"/>
    <n v="0"/>
    <n v="0"/>
    <s v=""/>
    <s v=""/>
    <n v="0"/>
    <n v="1138"/>
    <x v="11"/>
    <n v="1138"/>
    <s v="Cd Sahagún"/>
    <s v="Tulancingo"/>
    <x v="40"/>
    <x v="1"/>
    <d v="2025-07-01T00:00:00"/>
    <x v="5"/>
    <x v="3"/>
  </r>
  <r>
    <x v="798"/>
    <x v="0"/>
    <n v="8"/>
    <d v="2025-08-05T00:00:00"/>
    <d v="2025-08-05T00:00:00"/>
    <d v="2025-08-05T00:00:00"/>
    <d v="2025-08-05T00:00:00"/>
    <d v="2025-08-06T05:20:29"/>
    <n v="1902"/>
    <s v="610429"/>
    <s v="Sprinter"/>
    <n v="50"/>
    <n v="50"/>
    <s v="3729XC"/>
    <n v="1"/>
    <n v="150"/>
    <b v="1"/>
    <b v="0"/>
    <b v="0"/>
    <n v="231"/>
    <n v="0"/>
    <s v=""/>
    <s v=""/>
    <n v="50"/>
    <n v="359"/>
    <x v="3"/>
    <n v="359"/>
    <s v="Escobedo"/>
    <s v="Escobedo"/>
    <x v="0"/>
    <x v="2"/>
    <d v="2025-08-01T00:00:00"/>
    <x v="6"/>
    <x v="3"/>
  </r>
  <r>
    <x v="799"/>
    <x v="0"/>
    <n v="8"/>
    <d v="2025-08-05T00:00:00"/>
    <d v="2025-08-05T00:00:00"/>
    <d v="2025-08-05T00:00:00"/>
    <d v="2025-08-05T00:00:00"/>
    <d v="2025-08-06T07:44:50"/>
    <n v="1902"/>
    <s v="610429"/>
    <s v="Sprinter"/>
    <n v="50"/>
    <n v="50"/>
    <s v="3729XC"/>
    <n v="1"/>
    <n v="150"/>
    <b v="1"/>
    <b v="0"/>
    <b v="0"/>
    <n v="231"/>
    <n v="0"/>
    <s v=""/>
    <s v=""/>
    <n v="50"/>
    <n v="359"/>
    <x v="3"/>
    <n v="359"/>
    <s v="Escobedo"/>
    <s v="Escobedo"/>
    <x v="0"/>
    <x v="2"/>
    <d v="2025-08-01T00:00:00"/>
    <x v="6"/>
    <x v="3"/>
  </r>
  <r>
    <x v="800"/>
    <x v="0"/>
    <n v="8"/>
    <d v="2025-08-05T00:00:00"/>
    <d v="2025-08-05T00:00:00"/>
    <d v="2025-08-05T00:00:00"/>
    <d v="2025-08-05T00:00:00"/>
    <d v="2025-08-06T08:40:36"/>
    <n v="1902"/>
    <s v="610429"/>
    <s v="Sprinter"/>
    <n v="50"/>
    <n v="50"/>
    <s v="3729XC"/>
    <n v="1"/>
    <n v="150"/>
    <b v="1"/>
    <b v="0"/>
    <b v="0"/>
    <n v="231"/>
    <n v="0"/>
    <s v=""/>
    <s v=""/>
    <n v="50"/>
    <n v="359"/>
    <x v="3"/>
    <n v="359"/>
    <s v="Escobedo"/>
    <s v="Escobedo"/>
    <x v="0"/>
    <x v="2"/>
    <d v="2025-08-01T00:00:00"/>
    <x v="6"/>
    <x v="3"/>
  </r>
  <r>
    <x v="801"/>
    <x v="0"/>
    <n v="8"/>
    <d v="2025-08-05T00:00:00"/>
    <d v="2025-08-05T00:00:00"/>
    <d v="2025-08-05T00:00:00"/>
    <d v="2025-08-05T00:00:00"/>
    <d v="2025-08-06T09:43:51"/>
    <n v="1902"/>
    <s v="610429"/>
    <s v="Sprinter"/>
    <n v="50"/>
    <n v="50"/>
    <s v="3729XC"/>
    <n v="1"/>
    <n v="150"/>
    <b v="1"/>
    <b v="0"/>
    <b v="0"/>
    <n v="231"/>
    <n v="0"/>
    <s v=""/>
    <s v=""/>
    <n v="50"/>
    <n v="2936"/>
    <x v="3"/>
    <n v="2936"/>
    <s v="Escobedo"/>
    <s v="Hidalgo"/>
    <x v="19"/>
    <x v="2"/>
    <d v="2025-08-01T00:00:00"/>
    <x v="6"/>
    <x v="3"/>
  </r>
  <r>
    <x v="802"/>
    <x v="0"/>
    <n v="8"/>
    <d v="2025-08-06T00:00:00"/>
    <d v="2025-08-06T00:00:00"/>
    <d v="2025-08-06T00:00:00"/>
    <d v="2025-08-06T00:00:00"/>
    <d v="2025-08-06T18:12:32"/>
    <n v="1902"/>
    <s v="610429"/>
    <s v="Sprinter"/>
    <n v="50"/>
    <n v="50"/>
    <s v="3729XC"/>
    <n v="1"/>
    <n v="150"/>
    <b v="1"/>
    <b v="0"/>
    <b v="0"/>
    <n v="231"/>
    <n v="0"/>
    <s v=""/>
    <s v=""/>
    <n v="50"/>
    <n v="359"/>
    <x v="6"/>
    <n v="359"/>
    <s v="Escobedo"/>
    <s v="Escobedo"/>
    <x v="0"/>
    <x v="2"/>
    <d v="2025-08-01T00:00:00"/>
    <x v="6"/>
    <x v="3"/>
  </r>
  <r>
    <x v="803"/>
    <x v="0"/>
    <n v="8"/>
    <d v="2025-08-07T00:00:00"/>
    <d v="2025-08-07T00:00:00"/>
    <d v="2025-08-07T00:00:00"/>
    <d v="2025-08-07T00:00:00"/>
    <d v="2025-08-07T15:13:11"/>
    <n v="1902"/>
    <s v="610429"/>
    <s v="Sprinter"/>
    <n v="50"/>
    <n v="50"/>
    <s v="3729XC"/>
    <n v="1"/>
    <n v="150"/>
    <b v="1"/>
    <b v="0"/>
    <b v="0"/>
    <n v="231"/>
    <n v="0"/>
    <s v=""/>
    <s v=""/>
    <n v="50"/>
    <n v="359"/>
    <x v="6"/>
    <n v="359"/>
    <s v="Escobedo"/>
    <s v="Escobedo"/>
    <x v="0"/>
    <x v="2"/>
    <d v="2025-08-01T00:00:00"/>
    <x v="6"/>
    <x v="3"/>
  </r>
  <r>
    <x v="804"/>
    <x v="0"/>
    <n v="8"/>
    <d v="2025-08-07T00:00:00"/>
    <d v="2025-08-07T00:00:00"/>
    <d v="2025-08-07T00:00:00"/>
    <d v="2025-08-07T00:00:00"/>
    <d v="2025-08-07T15:13:10"/>
    <n v="1902"/>
    <s v="610429"/>
    <s v="Sprinter"/>
    <n v="50"/>
    <n v="50"/>
    <s v="3729XC"/>
    <n v="1"/>
    <n v="150"/>
    <b v="1"/>
    <b v="0"/>
    <b v="0"/>
    <n v="231"/>
    <n v="0"/>
    <s v=""/>
    <s v=""/>
    <n v="50"/>
    <n v="359"/>
    <x v="6"/>
    <n v="359"/>
    <s v="Escobedo"/>
    <s v="Escobedo"/>
    <x v="0"/>
    <x v="2"/>
    <d v="2025-08-01T00:00:00"/>
    <x v="6"/>
    <x v="3"/>
  </r>
  <r>
    <x v="805"/>
    <x v="0"/>
    <n v="8"/>
    <d v="2025-08-07T00:00:00"/>
    <d v="2025-08-07T00:00:00"/>
    <d v="2025-08-07T00:00:00"/>
    <d v="2025-08-07T00:00:00"/>
    <d v="2025-08-07T15:13:09"/>
    <n v="1902"/>
    <s v="610429"/>
    <s v="Sprinter"/>
    <n v="50"/>
    <n v="50"/>
    <s v="3729XC"/>
    <n v="1"/>
    <n v="150"/>
    <b v="1"/>
    <b v="0"/>
    <b v="0"/>
    <n v="231"/>
    <n v="0"/>
    <s v=""/>
    <s v=""/>
    <n v="50"/>
    <n v="359"/>
    <x v="6"/>
    <n v="359"/>
    <s v="Escobedo"/>
    <s v="Escobedo"/>
    <x v="0"/>
    <x v="2"/>
    <d v="2025-08-01T00:00:00"/>
    <x v="6"/>
    <x v="3"/>
  </r>
  <r>
    <x v="806"/>
    <x v="0"/>
    <n v="8"/>
    <d v="2025-08-07T00:00:00"/>
    <d v="2025-08-07T00:00:00"/>
    <d v="2025-08-07T00:00:00"/>
    <d v="2025-08-07T00:00:00"/>
    <d v="2025-08-07T15:13:09"/>
    <n v="1902"/>
    <s v="610429"/>
    <s v="Sprinter"/>
    <n v="50"/>
    <n v="50"/>
    <s v="3729XC"/>
    <n v="1"/>
    <n v="150"/>
    <b v="1"/>
    <b v="0"/>
    <b v="0"/>
    <n v="231"/>
    <n v="0"/>
    <s v=""/>
    <s v=""/>
    <n v="50"/>
    <n v="359"/>
    <x v="6"/>
    <n v="359"/>
    <s v="Escobedo"/>
    <s v="Escobedo"/>
    <x v="0"/>
    <x v="2"/>
    <d v="2025-08-01T00:00:00"/>
    <x v="6"/>
    <x v="3"/>
  </r>
  <r>
    <x v="807"/>
    <x v="0"/>
    <n v="8"/>
    <d v="2025-08-07T00:00:00"/>
    <d v="2025-08-07T00:00:00"/>
    <d v="2025-08-07T00:00:00"/>
    <d v="2025-08-07T00:00:00"/>
    <d v="2025-08-07T15:13:07"/>
    <n v="1902"/>
    <s v="610429"/>
    <s v="Sprinter"/>
    <n v="50"/>
    <n v="50"/>
    <s v="3729XC"/>
    <n v="1"/>
    <n v="150"/>
    <b v="1"/>
    <b v="0"/>
    <b v="0"/>
    <n v="231"/>
    <n v="0"/>
    <s v=""/>
    <s v=""/>
    <n v="50"/>
    <n v="359"/>
    <x v="6"/>
    <n v="359"/>
    <s v="Escobedo"/>
    <s v="Escobedo"/>
    <x v="0"/>
    <x v="2"/>
    <d v="2025-08-01T00:00:00"/>
    <x v="6"/>
    <x v="3"/>
  </r>
  <r>
    <x v="808"/>
    <x v="0"/>
    <n v="8"/>
    <d v="2025-08-08T00:00:00"/>
    <d v="2025-08-08T00:00:00"/>
    <d v="2025-08-08T00:00:00"/>
    <d v="2025-08-08T00:00:00"/>
    <d v="2025-08-08T21:19:58"/>
    <n v="1902"/>
    <s v="610429"/>
    <s v="Sprinter"/>
    <n v="50"/>
    <n v="50"/>
    <s v="3729XC"/>
    <n v="1"/>
    <n v="150"/>
    <b v="1"/>
    <b v="0"/>
    <b v="0"/>
    <n v="231"/>
    <n v="0"/>
    <s v=""/>
    <s v=""/>
    <n v="50"/>
    <n v="359"/>
    <x v="6"/>
    <n v="359"/>
    <s v="Escobedo"/>
    <s v="Escobedo"/>
    <x v="0"/>
    <x v="2"/>
    <d v="2025-08-01T00:00:00"/>
    <x v="6"/>
    <x v="3"/>
  </r>
  <r>
    <x v="809"/>
    <x v="0"/>
    <n v="8"/>
    <d v="2025-08-08T00:00:00"/>
    <d v="2025-08-08T00:00:00"/>
    <d v="2025-08-08T00:00:00"/>
    <d v="2025-08-08T00:00:00"/>
    <d v="2025-08-08T22:36:33"/>
    <n v="1902"/>
    <s v="610429"/>
    <s v="Sprinter"/>
    <n v="50"/>
    <n v="50"/>
    <s v="3729XC"/>
    <n v="1"/>
    <n v="150"/>
    <b v="1"/>
    <b v="0"/>
    <b v="0"/>
    <n v="231"/>
    <n v="0"/>
    <s v=""/>
    <s v=""/>
    <n v="50"/>
    <n v="359"/>
    <x v="6"/>
    <n v="359"/>
    <s v="Escobedo"/>
    <s v="Escobedo"/>
    <x v="0"/>
    <x v="2"/>
    <d v="2025-08-01T00:00:00"/>
    <x v="6"/>
    <x v="3"/>
  </r>
  <r>
    <x v="810"/>
    <x v="0"/>
    <n v="8"/>
    <d v="2025-08-08T00:00:00"/>
    <d v="2025-08-08T00:00:00"/>
    <d v="2025-08-08T00:00:00"/>
    <d v="2025-08-08T00:00:00"/>
    <d v="2025-08-09T09:40:25"/>
    <n v="1902"/>
    <s v="610429"/>
    <s v="Sprinter"/>
    <n v="50"/>
    <n v="50"/>
    <s v="3729XC"/>
    <n v="1"/>
    <n v="150"/>
    <b v="1"/>
    <b v="0"/>
    <b v="0"/>
    <n v="231"/>
    <n v="0"/>
    <s v=""/>
    <s v=""/>
    <n v="50"/>
    <n v="359"/>
    <x v="6"/>
    <n v="359"/>
    <s v="Escobedo"/>
    <s v="Escobedo"/>
    <x v="0"/>
    <x v="2"/>
    <d v="2025-08-01T00:00:00"/>
    <x v="6"/>
    <x v="3"/>
  </r>
  <r>
    <x v="811"/>
    <x v="0"/>
    <n v="8"/>
    <d v="2025-08-09T00:00:00"/>
    <d v="2025-08-09T00:00:00"/>
    <d v="2025-08-10T00:00:00"/>
    <d v="2025-08-09T00:00:00"/>
    <d v="2025-08-10T00:00:00"/>
    <n v="1902"/>
    <s v="610429"/>
    <s v="Sprinter"/>
    <n v="961"/>
    <n v="1059"/>
    <s v="3729XC"/>
    <n v="1"/>
    <n v="964"/>
    <b v="1"/>
    <b v="0"/>
    <b v="0"/>
    <n v="1494"/>
    <n v="0"/>
    <s v=""/>
    <s v=""/>
    <n v="1100"/>
    <n v="8"/>
    <x v="4"/>
    <n v="8"/>
    <s v="Escobedo"/>
    <s v="Cd Sahagún"/>
    <x v="3"/>
    <x v="2"/>
    <d v="2025-08-01T00:00:00"/>
    <x v="6"/>
    <x v="3"/>
  </r>
  <r>
    <x v="812"/>
    <x v="0"/>
    <n v="8"/>
    <d v="2025-08-09T00:00:00"/>
    <d v="2025-08-09T00:00:00"/>
    <d v="2025-08-09T00:00:00"/>
    <d v="2025-08-09T00:00:00"/>
    <d v="2025-08-10T12:05:23"/>
    <n v="1902"/>
    <s v="610429"/>
    <s v="Sprinter"/>
    <n v="50"/>
    <n v="50"/>
    <s v="3729XC"/>
    <n v="1"/>
    <n v="150"/>
    <b v="1"/>
    <b v="0"/>
    <b v="0"/>
    <n v="231"/>
    <n v="0"/>
    <s v=""/>
    <s v=""/>
    <n v="50"/>
    <n v="359"/>
    <x v="6"/>
    <n v="359"/>
    <s v="Escobedo"/>
    <s v="Escobedo"/>
    <x v="0"/>
    <x v="2"/>
    <d v="2025-08-01T00:00:00"/>
    <x v="6"/>
    <x v="3"/>
  </r>
  <r>
    <x v="813"/>
    <x v="0"/>
    <n v="8"/>
    <d v="2025-08-09T00:00:00"/>
    <d v="2025-08-09T00:00:00"/>
    <d v="2025-08-09T00:00:00"/>
    <d v="2025-08-09T00:00:00"/>
    <d v="2025-08-10T15:36:23"/>
    <n v="1902"/>
    <s v="610429"/>
    <s v="Sprinter"/>
    <n v="50"/>
    <n v="50"/>
    <s v="3729XC"/>
    <n v="1"/>
    <n v="150"/>
    <b v="1"/>
    <b v="0"/>
    <b v="0"/>
    <n v="231"/>
    <n v="0"/>
    <s v=""/>
    <s v=""/>
    <n v="50"/>
    <n v="359"/>
    <x v="6"/>
    <n v="359"/>
    <s v="Escobedo"/>
    <s v="Escobedo"/>
    <x v="0"/>
    <x v="2"/>
    <d v="2025-08-01T00:00:00"/>
    <x v="6"/>
    <x v="3"/>
  </r>
  <r>
    <x v="814"/>
    <x v="0"/>
    <n v="8"/>
    <d v="2025-08-09T00:00:00"/>
    <d v="2025-08-09T00:00:00"/>
    <d v="2025-08-09T00:00:00"/>
    <d v="2025-08-09T00:00:00"/>
    <d v="2025-08-10T17:33:41"/>
    <n v="1902"/>
    <s v="610429"/>
    <s v="Sprinter"/>
    <n v="50"/>
    <n v="50"/>
    <s v="3729XC"/>
    <n v="1"/>
    <n v="150"/>
    <b v="1"/>
    <b v="0"/>
    <b v="0"/>
    <n v="231"/>
    <n v="0"/>
    <s v=""/>
    <s v=""/>
    <n v="50"/>
    <n v="359"/>
    <x v="6"/>
    <n v="359"/>
    <s v="Escobedo"/>
    <s v="Escobedo"/>
    <x v="0"/>
    <x v="2"/>
    <d v="2025-08-01T00:00:00"/>
    <x v="6"/>
    <x v="3"/>
  </r>
  <r>
    <x v="815"/>
    <x v="0"/>
    <n v="8"/>
    <d v="2025-08-01T00:00:00"/>
    <d v="2025-08-01T00:00:00"/>
    <d v="2025-08-01T00:00:00"/>
    <d v="2025-08-01T00:00:00"/>
    <d v="2025-08-01T14:17:41"/>
    <n v="1902"/>
    <s v="610429"/>
    <s v="Sprinter"/>
    <n v="50"/>
    <n v="50"/>
    <s v="3729XC"/>
    <n v="1"/>
    <n v="150"/>
    <b v="1"/>
    <b v="0"/>
    <b v="0"/>
    <n v="231"/>
    <n v="0"/>
    <s v=""/>
    <s v=""/>
    <n v="50"/>
    <n v="359"/>
    <x v="6"/>
    <n v="359"/>
    <s v="Escobedo"/>
    <s v="Escobedo"/>
    <x v="0"/>
    <x v="2"/>
    <d v="2025-08-01T00:00:00"/>
    <x v="6"/>
    <x v="3"/>
  </r>
  <r>
    <x v="816"/>
    <x v="0"/>
    <n v="8"/>
    <d v="2025-08-09T00:00:00"/>
    <d v="2025-08-09T00:00:00"/>
    <d v="2025-08-09T00:00:00"/>
    <d v="2025-08-09T00:00:00"/>
    <d v="2025-08-11T08:50:22"/>
    <n v="1902"/>
    <s v="610429"/>
    <s v="Sprinter"/>
    <n v="50"/>
    <n v="50"/>
    <s v="3729XC"/>
    <n v="1"/>
    <n v="150"/>
    <b v="1"/>
    <b v="0"/>
    <b v="0"/>
    <n v="231"/>
    <n v="0"/>
    <s v=""/>
    <s v=""/>
    <n v="50"/>
    <n v="359"/>
    <x v="6"/>
    <n v="359"/>
    <s v="Escobedo"/>
    <s v="Escobedo"/>
    <x v="0"/>
    <x v="2"/>
    <d v="2025-08-01T00:00:00"/>
    <x v="6"/>
    <x v="3"/>
  </r>
  <r>
    <x v="817"/>
    <x v="0"/>
    <n v="8"/>
    <d v="2025-08-09T00:00:00"/>
    <d v="2025-08-09T00:00:00"/>
    <d v="2025-08-09T00:00:00"/>
    <d v="2025-08-09T00:00:00"/>
    <d v="2025-08-11T08:49:52"/>
    <n v="1902"/>
    <s v="610429"/>
    <s v="Sprinter"/>
    <n v="50"/>
    <n v="50"/>
    <s v="3729XC"/>
    <n v="1"/>
    <n v="150"/>
    <b v="1"/>
    <b v="0"/>
    <b v="0"/>
    <n v="231"/>
    <n v="0"/>
    <s v=""/>
    <s v=""/>
    <n v="50"/>
    <n v="359"/>
    <x v="6"/>
    <n v="359"/>
    <s v="Escobedo"/>
    <s v="Escobedo"/>
    <x v="0"/>
    <x v="2"/>
    <d v="2025-08-01T00:00:00"/>
    <x v="6"/>
    <x v="3"/>
  </r>
  <r>
    <x v="818"/>
    <x v="0"/>
    <n v="8"/>
    <d v="2025-08-01T00:00:00"/>
    <d v="2025-08-01T00:00:00"/>
    <d v="2025-08-01T00:00:00"/>
    <d v="2025-08-01T00:00:00"/>
    <d v="2025-08-01T13:36:13"/>
    <n v="1902"/>
    <s v="610429"/>
    <s v="Sprinter"/>
    <n v="50"/>
    <n v="50"/>
    <s v="3729XC"/>
    <n v="1"/>
    <n v="150"/>
    <b v="1"/>
    <b v="0"/>
    <b v="0"/>
    <n v="231"/>
    <n v="0"/>
    <s v=""/>
    <s v=""/>
    <n v="50"/>
    <n v="359"/>
    <x v="6"/>
    <n v="359"/>
    <s v="Escobedo"/>
    <s v="Escobedo"/>
    <x v="0"/>
    <x v="2"/>
    <d v="2025-08-01T00:00:00"/>
    <x v="6"/>
    <x v="3"/>
  </r>
  <r>
    <x v="819"/>
    <x v="0"/>
    <n v="8"/>
    <d v="2025-08-11T00:00:00"/>
    <d v="2025-08-11T00:00:00"/>
    <d v="2025-08-11T00:00:00"/>
    <d v="2025-08-11T00:00:00"/>
    <d v="2025-08-11T17:01:18"/>
    <n v="2039"/>
    <s v="610429"/>
    <s v="Sprinter"/>
    <n v="50"/>
    <n v="50"/>
    <s v="4366XC"/>
    <n v="1"/>
    <n v="150"/>
    <b v="1"/>
    <b v="0"/>
    <b v="0"/>
    <n v="231"/>
    <n v="0"/>
    <s v=""/>
    <s v=""/>
    <n v="50"/>
    <n v="359"/>
    <x v="6"/>
    <n v="359"/>
    <s v="Escobedo"/>
    <s v="Escobedo"/>
    <x v="0"/>
    <x v="2"/>
    <d v="2025-08-01T00:00:00"/>
    <x v="6"/>
    <x v="3"/>
  </r>
  <r>
    <x v="820"/>
    <x v="0"/>
    <n v="8"/>
    <d v="2025-08-11T00:00:00"/>
    <d v="2025-08-11T00:00:00"/>
    <d v="2025-08-11T00:00:00"/>
    <d v="2025-08-11T00:00:00"/>
    <d v="2025-08-11T17:01:19"/>
    <n v="2039"/>
    <s v="610429"/>
    <s v="Sprinter"/>
    <n v="50"/>
    <n v="50"/>
    <s v="4366XC"/>
    <n v="1"/>
    <n v="150"/>
    <b v="1"/>
    <b v="0"/>
    <b v="0"/>
    <n v="231"/>
    <n v="0"/>
    <s v=""/>
    <s v=""/>
    <n v="50"/>
    <n v="2936"/>
    <x v="6"/>
    <n v="2936"/>
    <s v="Escobedo"/>
    <s v="Hidalgo"/>
    <x v="19"/>
    <x v="2"/>
    <d v="2025-08-01T00:00:00"/>
    <x v="6"/>
    <x v="3"/>
  </r>
  <r>
    <x v="821"/>
    <x v="0"/>
    <n v="8"/>
    <d v="2025-08-01T00:00:00"/>
    <d v="2025-08-01T00:00:00"/>
    <d v="2025-08-01T00:00:00"/>
    <d v="2025-08-01T00:00:00"/>
    <d v="2025-08-01T13:36:11"/>
    <n v="1902"/>
    <s v="610429"/>
    <s v="Sprinter"/>
    <n v="50"/>
    <n v="50"/>
    <s v="3729XC"/>
    <n v="1"/>
    <n v="150"/>
    <b v="1"/>
    <b v="0"/>
    <b v="0"/>
    <n v="231"/>
    <n v="0"/>
    <s v=""/>
    <s v=""/>
    <n v="50"/>
    <n v="359"/>
    <x v="6"/>
    <n v="359"/>
    <s v="Escobedo"/>
    <s v="Escobedo"/>
    <x v="0"/>
    <x v="2"/>
    <d v="2025-08-01T00:00:00"/>
    <x v="6"/>
    <x v="3"/>
  </r>
  <r>
    <x v="822"/>
    <x v="0"/>
    <n v="8"/>
    <d v="2025-08-11T00:00:00"/>
    <d v="2025-08-11T00:00:00"/>
    <d v="2025-08-11T00:00:00"/>
    <d v="2025-08-11T00:00:00"/>
    <d v="2025-08-12T11:59:15"/>
    <n v="2039"/>
    <s v="610429"/>
    <s v="Sprinter"/>
    <n v="50"/>
    <n v="50"/>
    <s v="4366XC"/>
    <n v="1"/>
    <n v="150"/>
    <b v="1"/>
    <b v="0"/>
    <b v="0"/>
    <n v="231"/>
    <n v="0"/>
    <s v=""/>
    <s v=""/>
    <n v="50"/>
    <n v="359"/>
    <x v="6"/>
    <n v="359"/>
    <s v="Escobedo"/>
    <s v="Escobedo"/>
    <x v="0"/>
    <x v="2"/>
    <d v="2025-08-01T00:00:00"/>
    <x v="6"/>
    <x v="3"/>
  </r>
  <r>
    <x v="823"/>
    <x v="0"/>
    <n v="8"/>
    <d v="2025-08-12T00:00:00"/>
    <d v="2025-08-12T00:00:00"/>
    <d v="2025-08-13T00:00:00"/>
    <d v="2025-08-13T00:00:00"/>
    <d v="2025-08-14T00:00:00"/>
    <n v="2244"/>
    <s v="610429"/>
    <s v="Sprinter"/>
    <n v="240"/>
    <n v="236"/>
    <s v="3727XC"/>
    <n v="1"/>
    <n v="232"/>
    <b v="1"/>
    <b v="0"/>
    <b v="0"/>
    <n v="624"/>
    <n v="0"/>
    <s v=""/>
    <s v="Favor de recoger  a 9 operadores que estran llegando a SN Reynosa el 13/08/2025, favor de llevarlos por sus unidaddes al patio ATM a las 5 am."/>
    <n v="300"/>
    <n v="3861"/>
    <x v="7"/>
    <n v="3861"/>
    <s v="Escobedo"/>
    <s v="Reynosa"/>
    <x v="41"/>
    <x v="2"/>
    <d v="2025-08-01T00:00:00"/>
    <x v="6"/>
    <x v="3"/>
  </r>
  <r>
    <x v="824"/>
    <x v="0"/>
    <n v="8"/>
    <d v="2025-08-12T00:00:00"/>
    <d v="2025-08-12T00:00:00"/>
    <d v="2025-08-12T00:00:00"/>
    <d v="2025-08-12T00:00:00"/>
    <d v="2025-08-12T00:00:00"/>
    <n v="2244"/>
    <s v="610429"/>
    <s v="Sprinter"/>
    <n v="50"/>
    <n v="50"/>
    <s v="3727XC"/>
    <n v="1"/>
    <n v="150"/>
    <b v="1"/>
    <b v="0"/>
    <b v="0"/>
    <n v="231"/>
    <n v="0"/>
    <s v=""/>
    <s v=""/>
    <n v="50"/>
    <n v="2936"/>
    <x v="6"/>
    <n v="2936"/>
    <s v="Escobedo"/>
    <s v="Hidalgo"/>
    <x v="19"/>
    <x v="2"/>
    <d v="2025-08-01T00:00:00"/>
    <x v="6"/>
    <x v="3"/>
  </r>
  <r>
    <x v="825"/>
    <x v="0"/>
    <n v="8"/>
    <d v="2025-08-12T00:00:00"/>
    <d v="2025-08-12T00:00:00"/>
    <d v="2025-08-12T00:00:00"/>
    <d v="2025-08-12T00:00:00"/>
    <d v="2025-08-12T00:00:00"/>
    <n v="2244"/>
    <s v="610429"/>
    <s v="Sprinter"/>
    <n v="50"/>
    <n v="50"/>
    <s v="3727XC"/>
    <n v="1"/>
    <n v="150"/>
    <b v="1"/>
    <b v="0"/>
    <b v="0"/>
    <n v="231"/>
    <n v="0"/>
    <s v=""/>
    <s v=""/>
    <n v="50"/>
    <n v="359"/>
    <x v="6"/>
    <n v="359"/>
    <s v="Escobedo"/>
    <s v="Escobedo"/>
    <x v="0"/>
    <x v="2"/>
    <d v="2025-08-01T00:00:00"/>
    <x v="6"/>
    <x v="3"/>
  </r>
  <r>
    <x v="826"/>
    <x v="0"/>
    <n v="8"/>
    <d v="2025-08-01T00:00:00"/>
    <d v="2025-08-01T00:00:00"/>
    <d v="2025-08-01T00:00:00"/>
    <d v="2025-08-01T00:00:00"/>
    <d v="2025-08-01T16:21:08"/>
    <n v="1902"/>
    <s v="610429"/>
    <s v="Sprinter"/>
    <n v="50"/>
    <n v="50"/>
    <s v="3729XC"/>
    <n v="1"/>
    <n v="150"/>
    <b v="1"/>
    <b v="0"/>
    <b v="0"/>
    <n v="231"/>
    <n v="0"/>
    <s v=""/>
    <s v=""/>
    <n v="50"/>
    <n v="461"/>
    <x v="6"/>
    <n v="461"/>
    <s v="Escobedo"/>
    <s v="Monterrey"/>
    <x v="7"/>
    <x v="2"/>
    <d v="2025-08-01T00:00:00"/>
    <x v="6"/>
    <x v="3"/>
  </r>
  <r>
    <x v="827"/>
    <x v="0"/>
    <n v="8"/>
    <d v="2025-08-12T00:00:00"/>
    <d v="2025-08-12T00:00:00"/>
    <d v="2025-08-12T00:00:00"/>
    <d v="2025-08-12T00:00:00"/>
    <d v="2025-08-13T00:00:00"/>
    <n v="2244"/>
    <s v="610429"/>
    <s v="Sprinter"/>
    <n v="50"/>
    <n v="50"/>
    <s v="3727XC"/>
    <n v="1"/>
    <n v="150"/>
    <b v="1"/>
    <b v="0"/>
    <b v="0"/>
    <n v="231"/>
    <n v="0"/>
    <s v=""/>
    <s v=""/>
    <n v="50"/>
    <n v="2936"/>
    <x v="6"/>
    <n v="2936"/>
    <s v="Escobedo"/>
    <s v="Hidalgo"/>
    <x v="19"/>
    <x v="2"/>
    <d v="2025-08-01T00:00:00"/>
    <x v="6"/>
    <x v="3"/>
  </r>
  <r>
    <x v="828"/>
    <x v="0"/>
    <n v="8"/>
    <d v="2025-08-12T00:00:00"/>
    <d v="2025-08-12T00:00:00"/>
    <d v="2025-08-12T00:00:00"/>
    <d v="2025-08-12T00:00:00"/>
    <d v="2025-08-12T14:52:54"/>
    <n v="2039"/>
    <s v="610429"/>
    <s v="Sprinter"/>
    <n v="50"/>
    <n v="50"/>
    <s v="4366XC"/>
    <n v="1"/>
    <n v="150"/>
    <b v="1"/>
    <b v="0"/>
    <b v="0"/>
    <n v="231"/>
    <n v="0"/>
    <s v=""/>
    <s v=""/>
    <n v="50"/>
    <n v="2936"/>
    <x v="6"/>
    <n v="2936"/>
    <s v="Escobedo"/>
    <s v="Hidalgo"/>
    <x v="19"/>
    <x v="2"/>
    <d v="2025-08-01T00:00:00"/>
    <x v="6"/>
    <x v="3"/>
  </r>
  <r>
    <x v="829"/>
    <x v="0"/>
    <n v="8"/>
    <d v="2025-08-12T00:00:00"/>
    <d v="2025-08-12T00:00:00"/>
    <d v="2025-08-12T00:00:00"/>
    <d v="2025-08-12T00:00:00"/>
    <d v="2025-08-12T16:26:51"/>
    <n v="2039"/>
    <s v="610429"/>
    <s v="Sprinter"/>
    <n v="50"/>
    <n v="50"/>
    <s v="4366XC"/>
    <n v="1"/>
    <n v="150"/>
    <b v="1"/>
    <b v="0"/>
    <b v="0"/>
    <n v="231"/>
    <n v="0"/>
    <s v=""/>
    <s v=""/>
    <n v="50"/>
    <n v="359"/>
    <x v="6"/>
    <n v="359"/>
    <s v="Escobedo"/>
    <s v="Escobedo"/>
    <x v="0"/>
    <x v="2"/>
    <d v="2025-08-01T00:00:00"/>
    <x v="6"/>
    <x v="3"/>
  </r>
  <r>
    <x v="830"/>
    <x v="0"/>
    <n v="8"/>
    <d v="2025-08-01T00:00:00"/>
    <d v="2025-08-01T00:00:00"/>
    <d v="2025-08-01T00:00:00"/>
    <d v="2025-08-01T00:00:00"/>
    <d v="2025-08-01T16:13:47"/>
    <n v="1902"/>
    <s v="610429"/>
    <s v="Sprinter"/>
    <n v="50"/>
    <n v="50"/>
    <s v="3729XC"/>
    <n v="1"/>
    <n v="150"/>
    <b v="1"/>
    <b v="0"/>
    <b v="0"/>
    <n v="231"/>
    <n v="0"/>
    <s v=""/>
    <s v=""/>
    <n v="50"/>
    <n v="359"/>
    <x v="6"/>
    <n v="359"/>
    <s v="Escobedo"/>
    <s v="Escobedo"/>
    <x v="0"/>
    <x v="2"/>
    <d v="2025-08-01T00:00:00"/>
    <x v="6"/>
    <x v="3"/>
  </r>
  <r>
    <x v="831"/>
    <x v="0"/>
    <n v="8"/>
    <d v="2025-08-12T00:00:00"/>
    <d v="2025-08-12T00:00:00"/>
    <d v="2025-08-12T00:00:00"/>
    <d v="2025-08-12T00:00:00"/>
    <d v="2025-08-12T19:23:33"/>
    <n v="2039"/>
    <s v="610429"/>
    <s v="Sprinter"/>
    <n v="50"/>
    <n v="50"/>
    <s v="4366XC"/>
    <n v="1"/>
    <n v="150"/>
    <b v="1"/>
    <b v="0"/>
    <b v="0"/>
    <n v="231"/>
    <n v="0"/>
    <s v=""/>
    <s v=""/>
    <n v="50"/>
    <n v="359"/>
    <x v="6"/>
    <n v="359"/>
    <s v="Escobedo"/>
    <s v="Escobedo"/>
    <x v="0"/>
    <x v="2"/>
    <d v="2025-08-01T00:00:00"/>
    <x v="6"/>
    <x v="3"/>
  </r>
  <r>
    <x v="832"/>
    <x v="0"/>
    <n v="8"/>
    <d v="2025-08-12T00:00:00"/>
    <d v="2025-08-12T00:00:00"/>
    <d v="2025-08-12T00:00:00"/>
    <d v="2025-08-12T00:00:00"/>
    <d v="2025-08-12T19:43:53"/>
    <n v="2039"/>
    <s v="610429"/>
    <s v="Sprinter"/>
    <n v="50"/>
    <n v="50"/>
    <s v="4366XC"/>
    <n v="1"/>
    <n v="150"/>
    <b v="1"/>
    <b v="0"/>
    <b v="0"/>
    <n v="231"/>
    <n v="0"/>
    <s v=""/>
    <s v=""/>
    <n v="50"/>
    <n v="359"/>
    <x v="6"/>
    <n v="359"/>
    <s v="Escobedo"/>
    <s v="Escobedo"/>
    <x v="0"/>
    <x v="2"/>
    <d v="2025-08-01T00:00:00"/>
    <x v="6"/>
    <x v="3"/>
  </r>
  <r>
    <x v="833"/>
    <x v="0"/>
    <n v="8"/>
    <d v="2025-08-12T00:00:00"/>
    <d v="2025-08-12T00:00:00"/>
    <d v="2025-08-12T00:00:00"/>
    <d v="2025-08-12T00:00:00"/>
    <d v="2025-08-12T19:44:34"/>
    <n v="2039"/>
    <s v="610429"/>
    <s v="Sprinter"/>
    <n v="50"/>
    <n v="50"/>
    <s v="4366XC"/>
    <n v="1"/>
    <n v="150"/>
    <b v="1"/>
    <b v="0"/>
    <b v="0"/>
    <n v="231"/>
    <n v="0"/>
    <s v=""/>
    <s v=""/>
    <n v="50"/>
    <n v="2936"/>
    <x v="6"/>
    <n v="2936"/>
    <s v="Escobedo"/>
    <s v="Hidalgo"/>
    <x v="19"/>
    <x v="2"/>
    <d v="2025-08-01T00:00:00"/>
    <x v="6"/>
    <x v="3"/>
  </r>
  <r>
    <x v="834"/>
    <x v="0"/>
    <n v="8"/>
    <d v="2025-08-01T00:00:00"/>
    <d v="2025-08-01T00:00:00"/>
    <d v="2025-08-01T00:00:00"/>
    <d v="2025-08-01T00:00:00"/>
    <d v="2025-08-01T00:00:00"/>
    <n v="1902"/>
    <s v="610429"/>
    <s v="Sprinter"/>
    <n v="50"/>
    <n v="50"/>
    <s v="3729XC"/>
    <n v="1"/>
    <n v="150"/>
    <b v="1"/>
    <b v="1"/>
    <b v="0"/>
    <n v="231"/>
    <n v="0"/>
    <s v=""/>
    <s v=""/>
    <n v="50"/>
    <n v="194"/>
    <x v="10"/>
    <n v="194"/>
    <s v="Escobedo"/>
    <s v="Escobedo"/>
    <x v="0"/>
    <x v="2"/>
    <d v="2025-08-01T00:00:00"/>
    <x v="6"/>
    <x v="3"/>
  </r>
  <r>
    <x v="835"/>
    <x v="0"/>
    <n v="8"/>
    <d v="2025-08-13T00:00:00"/>
    <d v="2025-08-13T00:00:00"/>
    <d v="2025-08-13T00:00:00"/>
    <d v="2025-08-13T00:00:00"/>
    <d v="2025-08-13T18:03:29"/>
    <n v="1902"/>
    <s v="610429"/>
    <s v="Sprinter"/>
    <n v="50"/>
    <n v="50"/>
    <s v="3729XC"/>
    <n v="1"/>
    <n v="150"/>
    <b v="1"/>
    <b v="0"/>
    <b v="0"/>
    <n v="231"/>
    <n v="0"/>
    <s v=""/>
    <s v=""/>
    <n v="50"/>
    <n v="2936"/>
    <x v="6"/>
    <n v="2936"/>
    <s v="Escobedo"/>
    <s v="Hidalgo"/>
    <x v="19"/>
    <x v="2"/>
    <d v="2025-08-01T00:00:00"/>
    <x v="6"/>
    <x v="3"/>
  </r>
  <r>
    <x v="836"/>
    <x v="0"/>
    <n v="8"/>
    <d v="2025-08-13T00:00:00"/>
    <d v="2025-08-13T00:00:00"/>
    <d v="2025-08-13T00:00:00"/>
    <d v="2025-08-13T00:00:00"/>
    <d v="2025-08-14T20:57:28"/>
    <n v="2244"/>
    <s v="610429"/>
    <s v="Sprinter"/>
    <n v="50"/>
    <n v="50"/>
    <s v="3727XC"/>
    <n v="1"/>
    <n v="150"/>
    <b v="1"/>
    <b v="0"/>
    <b v="0"/>
    <n v="231"/>
    <n v="0"/>
    <s v=""/>
    <s v=""/>
    <n v="50"/>
    <n v="359"/>
    <x v="6"/>
    <n v="359"/>
    <s v="Escobedo"/>
    <s v="Escobedo"/>
    <x v="0"/>
    <x v="2"/>
    <d v="2025-08-01T00:00:00"/>
    <x v="6"/>
    <x v="3"/>
  </r>
  <r>
    <x v="837"/>
    <x v="0"/>
    <n v="8"/>
    <d v="2025-07-31T00:00:00"/>
    <d v="2025-08-01T00:00:00"/>
    <d v="2025-07-31T00:00:00"/>
    <d v="2025-07-31T00:00:00"/>
    <d v="2025-08-01T00:00:00"/>
    <n v="1902"/>
    <s v="610429"/>
    <s v="Sprinter"/>
    <n v="50"/>
    <n v="50"/>
    <s v="3729XC"/>
    <n v="1"/>
    <n v="150"/>
    <b v="1"/>
    <b v="0"/>
    <b v="0"/>
    <n v="231"/>
    <n v="0"/>
    <s v=""/>
    <s v=""/>
    <n v="50"/>
    <n v="359"/>
    <x v="4"/>
    <n v="359"/>
    <s v="Escobedo"/>
    <s v="Escobedo"/>
    <x v="0"/>
    <x v="2"/>
    <d v="2025-08-01T00:00:00"/>
    <x v="6"/>
    <x v="3"/>
  </r>
  <r>
    <x v="838"/>
    <x v="0"/>
    <n v="8"/>
    <d v="2025-07-31T00:00:00"/>
    <d v="2025-08-01T00:00:00"/>
    <d v="2025-07-31T00:00:00"/>
    <d v="2025-07-31T00:00:00"/>
    <d v="2025-08-01T00:00:00"/>
    <n v="1902"/>
    <s v="610429"/>
    <s v="Sprinter"/>
    <n v="50"/>
    <n v="50"/>
    <s v="3729XC"/>
    <n v="1"/>
    <n v="150"/>
    <b v="1"/>
    <b v="0"/>
    <b v="0"/>
    <n v="231"/>
    <n v="0"/>
    <s v=""/>
    <s v=""/>
    <n v="50"/>
    <n v="308"/>
    <x v="4"/>
    <n v="308"/>
    <s v="Escobedo"/>
    <s v="Guadalupe"/>
    <x v="25"/>
    <x v="2"/>
    <d v="2025-08-01T00:00:00"/>
    <x v="6"/>
    <x v="3"/>
  </r>
  <r>
    <x v="839"/>
    <x v="0"/>
    <n v="8"/>
    <d v="2025-08-14T00:00:00"/>
    <d v="2025-08-14T00:00:00"/>
    <d v="2025-08-14T00:00:00"/>
    <d v="2025-08-14T00:00:00"/>
    <d v="2025-08-15T00:00:00"/>
    <n v="2244"/>
    <s v="610429"/>
    <s v="Sprinter"/>
    <n v="50"/>
    <n v="50"/>
    <s v="3727XC"/>
    <n v="1"/>
    <n v="150"/>
    <b v="1"/>
    <b v="0"/>
    <b v="0"/>
    <n v="231"/>
    <n v="0"/>
    <s v=""/>
    <s v=""/>
    <n v="50"/>
    <n v="359"/>
    <x v="6"/>
    <n v="359"/>
    <s v="Escobedo"/>
    <s v="Escobedo"/>
    <x v="0"/>
    <x v="2"/>
    <d v="2025-08-01T00:00:00"/>
    <x v="6"/>
    <x v="3"/>
  </r>
  <r>
    <x v="840"/>
    <x v="0"/>
    <n v="8"/>
    <d v="2025-08-14T00:00:00"/>
    <d v="2025-08-14T00:00:00"/>
    <d v="2025-08-14T00:00:00"/>
    <d v="2025-08-14T00:00:00"/>
    <d v="2025-08-14T00:00:00"/>
    <n v="2244"/>
    <s v="610429"/>
    <s v="Sprinter"/>
    <n v="50"/>
    <n v="50"/>
    <s v="3727XC"/>
    <n v="1"/>
    <n v="150"/>
    <b v="1"/>
    <b v="0"/>
    <b v="0"/>
    <n v="231"/>
    <n v="0"/>
    <s v=""/>
    <s v=""/>
    <n v="50"/>
    <n v="359"/>
    <x v="6"/>
    <n v="359"/>
    <s v="Escobedo"/>
    <s v="Escobedo"/>
    <x v="0"/>
    <x v="2"/>
    <d v="2025-08-01T00:00:00"/>
    <x v="6"/>
    <x v="3"/>
  </r>
  <r>
    <x v="841"/>
    <x v="0"/>
    <n v="8"/>
    <d v="2025-07-31T00:00:00"/>
    <d v="2025-08-01T00:00:00"/>
    <d v="2025-07-31T00:00:00"/>
    <d v="2025-07-31T00:00:00"/>
    <d v="2025-08-01T00:00:00"/>
    <n v="1902"/>
    <s v="610429"/>
    <s v="Sprinter"/>
    <n v="50"/>
    <n v="50"/>
    <s v="3729XC"/>
    <n v="1"/>
    <n v="150"/>
    <b v="1"/>
    <b v="0"/>
    <b v="0"/>
    <n v="231"/>
    <n v="0"/>
    <s v=""/>
    <s v=""/>
    <n v="50"/>
    <n v="359"/>
    <x v="4"/>
    <n v="359"/>
    <s v="Escobedo"/>
    <s v="Escobedo"/>
    <x v="0"/>
    <x v="2"/>
    <d v="2025-08-01T00:00:00"/>
    <x v="6"/>
    <x v="3"/>
  </r>
  <r>
    <x v="842"/>
    <x v="0"/>
    <n v="8"/>
    <d v="2025-08-01T00:00:00"/>
    <d v="2025-08-01T00:00:00"/>
    <d v="2025-08-03T00:00:00"/>
    <d v="2025-08-01T00:00:00"/>
    <d v="2025-08-02T00:00:00"/>
    <n v="1902"/>
    <s v="610429"/>
    <s v="Sprinter"/>
    <n v="878"/>
    <n v="878"/>
    <s v="3729XC"/>
    <n v="1"/>
    <n v="878"/>
    <b v="1"/>
    <b v="0"/>
    <b v="0"/>
    <n v="1213"/>
    <n v="0"/>
    <s v=""/>
    <s v=""/>
    <n v="900"/>
    <n v="372"/>
    <x v="7"/>
    <n v="372"/>
    <s v="Cuautitlan"/>
    <s v="Escobedo"/>
    <x v="12"/>
    <x v="2"/>
    <d v="2025-08-01T00:00:00"/>
    <x v="6"/>
    <x v="3"/>
  </r>
  <r>
    <x v="843"/>
    <x v="0"/>
    <n v="8"/>
    <d v="2025-08-01T00:00:00"/>
    <d v="2025-08-01T00:00:00"/>
    <d v="2025-08-01T00:00:00"/>
    <d v="2025-08-01T00:00:00"/>
    <d v="2025-08-02T00:00:00"/>
    <n v="1902"/>
    <s v="610429"/>
    <s v="Sprinter"/>
    <n v="50"/>
    <n v="50"/>
    <s v="3729XC"/>
    <n v="1"/>
    <n v="150"/>
    <b v="1"/>
    <b v="0"/>
    <b v="0"/>
    <n v="231"/>
    <n v="0"/>
    <s v=""/>
    <s v=""/>
    <n v="50"/>
    <n v="359"/>
    <x v="6"/>
    <n v="359"/>
    <s v="Escobedo"/>
    <s v="Escobedo"/>
    <x v="0"/>
    <x v="2"/>
    <d v="2025-08-01T00:00:00"/>
    <x v="6"/>
    <x v="3"/>
  </r>
  <r>
    <x v="844"/>
    <x v="0"/>
    <n v="8"/>
    <d v="2025-08-15T00:00:00"/>
    <d v="2025-08-15T00:00:00"/>
    <d v="2025-08-15T00:00:00"/>
    <d v="2025-08-15T00:00:00"/>
    <d v="2025-08-15T15:21:51"/>
    <n v="2039"/>
    <s v="610429"/>
    <s v="Sprinter"/>
    <n v="243"/>
    <n v="243"/>
    <s v="4366XC"/>
    <n v="1"/>
    <n v="269"/>
    <b v="1"/>
    <b v="0"/>
    <b v="0"/>
    <n v="624"/>
    <n v="15.7"/>
    <s v=""/>
    <s v=""/>
    <n v="300"/>
    <n v="3875"/>
    <x v="4"/>
    <n v="3875"/>
    <s v="Escobedo"/>
    <s v="Anáhuac"/>
    <x v="8"/>
    <x v="2"/>
    <d v="2025-08-01T00:00:00"/>
    <x v="6"/>
    <x v="3"/>
  </r>
  <r>
    <x v="845"/>
    <x v="0"/>
    <n v="8"/>
    <d v="2025-08-15T00:00:00"/>
    <d v="2025-08-15T00:00:00"/>
    <d v="2025-08-15T00:00:00"/>
    <d v="2025-08-15T00:00:00"/>
    <d v="2025-08-15T20:32:46"/>
    <n v="2039"/>
    <s v="610429"/>
    <s v="Sprinter"/>
    <n v="50"/>
    <n v="50"/>
    <s v="4366XC"/>
    <n v="1"/>
    <n v="150"/>
    <b v="1"/>
    <b v="0"/>
    <b v="0"/>
    <n v="231"/>
    <n v="0"/>
    <s v=""/>
    <s v=""/>
    <n v="50"/>
    <n v="359"/>
    <x v="6"/>
    <n v="359"/>
    <s v="Escobedo"/>
    <s v="Escobedo"/>
    <x v="0"/>
    <x v="2"/>
    <d v="2025-08-01T00:00:00"/>
    <x v="6"/>
    <x v="3"/>
  </r>
  <r>
    <x v="846"/>
    <x v="0"/>
    <n v="8"/>
    <d v="2025-08-16T00:00:00"/>
    <d v="2025-08-16T00:00:00"/>
    <d v="2025-08-16T00:00:00"/>
    <d v="2025-08-16T00:00:00"/>
    <d v="2025-08-16T19:34:46"/>
    <n v="2039"/>
    <s v="610429"/>
    <s v="Sprinter"/>
    <n v="50"/>
    <n v="50"/>
    <s v="4366XC"/>
    <n v="1"/>
    <n v="150"/>
    <b v="1"/>
    <b v="0"/>
    <b v="0"/>
    <n v="231"/>
    <n v="0"/>
    <s v=""/>
    <s v=""/>
    <n v="50"/>
    <n v="2936"/>
    <x v="6"/>
    <n v="2936"/>
    <s v="Escobedo"/>
    <s v="Hidalgo"/>
    <x v="19"/>
    <x v="2"/>
    <d v="2025-08-01T00:00:00"/>
    <x v="6"/>
    <x v="3"/>
  </r>
  <r>
    <x v="847"/>
    <x v="0"/>
    <n v="8"/>
    <d v="2025-08-16T00:00:00"/>
    <d v="2025-08-16T00:00:00"/>
    <d v="2025-08-16T00:00:00"/>
    <d v="2025-08-16T00:00:00"/>
    <d v="2025-08-16T19:35:15"/>
    <n v="2039"/>
    <s v="610429"/>
    <s v="Sprinter"/>
    <n v="50"/>
    <n v="50"/>
    <s v="4366XC"/>
    <n v="1"/>
    <n v="150"/>
    <b v="1"/>
    <b v="0"/>
    <b v="0"/>
    <n v="231"/>
    <n v="0"/>
    <s v=""/>
    <s v=""/>
    <n v="50"/>
    <n v="2936"/>
    <x v="6"/>
    <n v="2936"/>
    <s v="Escobedo"/>
    <s v="Hidalgo"/>
    <x v="19"/>
    <x v="2"/>
    <d v="2025-08-01T00:00:00"/>
    <x v="6"/>
    <x v="3"/>
  </r>
  <r>
    <x v="848"/>
    <x v="0"/>
    <n v="8"/>
    <d v="2025-08-16T00:00:00"/>
    <d v="2025-08-16T00:00:00"/>
    <d v="2025-08-16T00:00:00"/>
    <d v="2025-08-16T00:00:00"/>
    <d v="2025-08-16T19:35:40"/>
    <n v="2039"/>
    <s v="610429"/>
    <s v="Sprinter"/>
    <n v="50"/>
    <n v="50"/>
    <s v="4366XC"/>
    <n v="1"/>
    <n v="150"/>
    <b v="1"/>
    <b v="0"/>
    <b v="0"/>
    <n v="231"/>
    <n v="0"/>
    <s v=""/>
    <s v=""/>
    <n v="50"/>
    <n v="2936"/>
    <x v="6"/>
    <n v="2936"/>
    <s v="Escobedo"/>
    <s v="Hidalgo"/>
    <x v="19"/>
    <x v="2"/>
    <d v="2025-08-01T00:00:00"/>
    <x v="6"/>
    <x v="3"/>
  </r>
  <r>
    <x v="849"/>
    <x v="0"/>
    <n v="8"/>
    <d v="2025-08-16T00:00:00"/>
    <d v="2025-08-16T00:00:00"/>
    <d v="2025-08-16T00:00:00"/>
    <d v="2025-08-16T00:00:00"/>
    <d v="2025-08-16T19:36:13"/>
    <n v="2039"/>
    <s v="610429"/>
    <s v="Sprinter"/>
    <n v="50"/>
    <n v="50"/>
    <s v="4366XC"/>
    <n v="1"/>
    <n v="150"/>
    <b v="1"/>
    <b v="0"/>
    <b v="0"/>
    <n v="231"/>
    <n v="0"/>
    <s v=""/>
    <s v=""/>
    <n v="50"/>
    <n v="2936"/>
    <x v="6"/>
    <n v="2936"/>
    <s v="Escobedo"/>
    <s v="Hidalgo"/>
    <x v="19"/>
    <x v="2"/>
    <d v="2025-08-01T00:00:00"/>
    <x v="6"/>
    <x v="3"/>
  </r>
  <r>
    <x v="850"/>
    <x v="0"/>
    <n v="8"/>
    <d v="2025-08-17T00:00:00"/>
    <d v="2025-08-17T00:00:00"/>
    <d v="2025-08-17T00:00:00"/>
    <d v="2025-08-17T00:00:00"/>
    <d v="2025-08-17T16:41:31"/>
    <n v="2039"/>
    <s v="610429"/>
    <s v="Sprinter"/>
    <n v="50"/>
    <n v="50"/>
    <s v="4366XC"/>
    <n v="1"/>
    <n v="150"/>
    <b v="1"/>
    <b v="0"/>
    <b v="0"/>
    <n v="231"/>
    <n v="0"/>
    <s v=""/>
    <s v=""/>
    <n v="50"/>
    <n v="2936"/>
    <x v="6"/>
    <n v="2936"/>
    <s v="Escobedo"/>
    <s v="Hidalgo"/>
    <x v="19"/>
    <x v="2"/>
    <d v="2025-08-01T00:00:00"/>
    <x v="6"/>
    <x v="3"/>
  </r>
  <r>
    <x v="851"/>
    <x v="0"/>
    <n v="8"/>
    <d v="2025-08-17T00:00:00"/>
    <d v="2025-08-17T00:00:00"/>
    <d v="2025-08-17T00:00:00"/>
    <d v="2025-08-17T00:00:00"/>
    <d v="2025-08-17T16:41:56"/>
    <n v="2039"/>
    <s v="610429"/>
    <s v="Sprinter"/>
    <n v="50"/>
    <n v="50"/>
    <s v="4366XC"/>
    <n v="1"/>
    <n v="150"/>
    <b v="1"/>
    <b v="0"/>
    <b v="0"/>
    <n v="231"/>
    <n v="0"/>
    <s v=""/>
    <s v=""/>
    <n v="50"/>
    <n v="2936"/>
    <x v="6"/>
    <n v="2936"/>
    <s v="Escobedo"/>
    <s v="Hidalgo"/>
    <x v="19"/>
    <x v="2"/>
    <d v="2025-08-01T00:00:00"/>
    <x v="6"/>
    <x v="3"/>
  </r>
  <r>
    <x v="852"/>
    <x v="0"/>
    <n v="8"/>
    <d v="2025-08-17T00:00:00"/>
    <d v="2025-08-17T00:00:00"/>
    <d v="2025-08-17T00:00:00"/>
    <d v="2025-08-17T00:00:00"/>
    <d v="2025-08-17T16:42:23"/>
    <n v="2039"/>
    <s v="610429"/>
    <s v="Sprinter"/>
    <n v="50"/>
    <n v="50"/>
    <s v="4366XC"/>
    <n v="1"/>
    <n v="150"/>
    <b v="1"/>
    <b v="0"/>
    <b v="0"/>
    <n v="231"/>
    <n v="0"/>
    <s v=""/>
    <s v=""/>
    <n v="50"/>
    <n v="2936"/>
    <x v="6"/>
    <n v="2936"/>
    <s v="Escobedo"/>
    <s v="Hidalgo"/>
    <x v="19"/>
    <x v="2"/>
    <d v="2025-08-01T00:00:00"/>
    <x v="6"/>
    <x v="3"/>
  </r>
  <r>
    <x v="853"/>
    <x v="0"/>
    <n v="8"/>
    <d v="2025-08-18T00:00:00"/>
    <d v="2025-08-18T00:00:00"/>
    <d v="2025-08-18T00:00:00"/>
    <d v="2025-08-18T00:00:00"/>
    <d v="2025-08-18T00:00:00"/>
    <n v="2244"/>
    <s v="775908"/>
    <s v="4700*175*195"/>
    <n v="50"/>
    <n v="50"/>
    <s v="3727XC"/>
    <n v="1"/>
    <n v="150"/>
    <b v="1"/>
    <b v="0"/>
    <b v="0"/>
    <n v="231"/>
    <n v="0"/>
    <s v=""/>
    <s v=""/>
    <n v="50"/>
    <n v="359"/>
    <x v="7"/>
    <n v="359"/>
    <s v="Escobedo"/>
    <s v="Escobedo"/>
    <x v="0"/>
    <x v="1"/>
    <d v="2025-08-01T00:00:00"/>
    <x v="6"/>
    <x v="3"/>
  </r>
  <r>
    <x v="854"/>
    <x v="0"/>
    <n v="8"/>
    <d v="2025-08-18T00:00:00"/>
    <d v="2025-08-18T00:00:00"/>
    <d v="2025-08-18T00:00:00"/>
    <d v="2025-08-18T00:00:00"/>
    <d v="2025-08-18T00:00:00"/>
    <n v="2244"/>
    <s v="775908"/>
    <s v="4700*175*195"/>
    <n v="50"/>
    <n v="50"/>
    <s v="3727XC"/>
    <n v="1"/>
    <n v="150"/>
    <b v="1"/>
    <b v="0"/>
    <b v="0"/>
    <n v="231"/>
    <n v="0"/>
    <s v=""/>
    <s v=""/>
    <n v="50"/>
    <n v="359"/>
    <x v="6"/>
    <n v="359"/>
    <s v="Escobedo"/>
    <s v="Escobedo"/>
    <x v="0"/>
    <x v="1"/>
    <d v="2025-08-01T00:00:00"/>
    <x v="6"/>
    <x v="3"/>
  </r>
  <r>
    <x v="855"/>
    <x v="0"/>
    <n v="8"/>
    <d v="2025-08-18T00:00:00"/>
    <d v="2025-08-18T00:00:00"/>
    <d v="2025-08-18T00:00:00"/>
    <d v="2025-08-18T00:00:00"/>
    <d v="2025-08-19T00:00:00"/>
    <n v="2244"/>
    <s v="775908"/>
    <s v="4700*175*195"/>
    <n v="50"/>
    <n v="50"/>
    <s v="3727XC"/>
    <n v="1"/>
    <n v="150"/>
    <b v="1"/>
    <b v="0"/>
    <b v="0"/>
    <n v="231"/>
    <n v="0"/>
    <s v=""/>
    <s v=""/>
    <n v="50"/>
    <n v="359"/>
    <x v="6"/>
    <n v="359"/>
    <s v="Escobedo"/>
    <s v="Escobedo"/>
    <x v="0"/>
    <x v="1"/>
    <d v="2025-08-01T00:00:00"/>
    <x v="6"/>
    <x v="3"/>
  </r>
  <r>
    <x v="856"/>
    <x v="0"/>
    <n v="8"/>
    <d v="2025-08-18T00:00:00"/>
    <d v="2025-08-18T00:00:00"/>
    <d v="2025-08-18T00:00:00"/>
    <d v="2025-08-18T00:00:00"/>
    <d v="2025-08-19T00:00:00"/>
    <n v="2244"/>
    <s v="775908"/>
    <s v="4700*175*195"/>
    <n v="50"/>
    <n v="50"/>
    <s v="3727XC"/>
    <n v="1"/>
    <n v="150"/>
    <b v="1"/>
    <b v="0"/>
    <b v="0"/>
    <n v="231"/>
    <n v="0"/>
    <s v=""/>
    <s v=""/>
    <n v="50"/>
    <n v="359"/>
    <x v="6"/>
    <n v="359"/>
    <s v="Escobedo"/>
    <s v="Escobedo"/>
    <x v="0"/>
    <x v="1"/>
    <d v="2025-08-01T00:00:00"/>
    <x v="6"/>
    <x v="3"/>
  </r>
  <r>
    <x v="857"/>
    <x v="0"/>
    <n v="8"/>
    <d v="2025-08-18T00:00:00"/>
    <d v="2025-08-18T00:00:00"/>
    <d v="2025-08-18T00:00:00"/>
    <d v="2025-08-18T00:00:00"/>
    <d v="2025-08-19T00:00:00"/>
    <n v="2244"/>
    <s v="775908"/>
    <s v="4700*175*195"/>
    <n v="50"/>
    <n v="50"/>
    <s v="3727XC"/>
    <n v="1"/>
    <n v="150"/>
    <b v="1"/>
    <b v="0"/>
    <b v="0"/>
    <n v="231"/>
    <n v="0"/>
    <s v=""/>
    <s v=""/>
    <n v="50"/>
    <n v="359"/>
    <x v="6"/>
    <n v="359"/>
    <s v="Escobedo"/>
    <s v="Escobedo"/>
    <x v="0"/>
    <x v="1"/>
    <d v="2025-08-01T00:00:00"/>
    <x v="6"/>
    <x v="3"/>
  </r>
  <r>
    <x v="858"/>
    <x v="0"/>
    <n v="8"/>
    <d v="2025-08-18T00:00:00"/>
    <d v="2025-08-18T00:00:00"/>
    <d v="2025-08-18T00:00:00"/>
    <d v="2025-08-18T00:00:00"/>
    <d v="2025-08-18T20:30:34"/>
    <n v="2039"/>
    <s v="610429"/>
    <s v="Sprinter"/>
    <n v="50"/>
    <n v="50"/>
    <s v="4366XC"/>
    <n v="1"/>
    <n v="150"/>
    <b v="1"/>
    <b v="0"/>
    <b v="0"/>
    <n v="231"/>
    <n v="0"/>
    <s v=""/>
    <s v=""/>
    <n v="50"/>
    <n v="2936"/>
    <x v="6"/>
    <n v="2936"/>
    <s v="Escobedo"/>
    <s v="Hidalgo"/>
    <x v="19"/>
    <x v="2"/>
    <d v="2025-08-01T00:00:00"/>
    <x v="6"/>
    <x v="3"/>
  </r>
  <r>
    <x v="859"/>
    <x v="0"/>
    <n v="8"/>
    <d v="2025-08-18T00:00:00"/>
    <d v="2025-08-18T00:00:00"/>
    <d v="2025-08-18T00:00:00"/>
    <d v="2025-08-18T00:00:00"/>
    <d v="2025-08-20T00:00:00"/>
    <n v="2244"/>
    <s v="775908"/>
    <s v="4700*175*195"/>
    <n v="961"/>
    <n v="1059"/>
    <s v="3727XC"/>
    <n v="1"/>
    <n v="964"/>
    <b v="1"/>
    <b v="0"/>
    <b v="0"/>
    <n v="1494"/>
    <n v="0"/>
    <s v=""/>
    <s v=""/>
    <n v="1100"/>
    <n v="8"/>
    <x v="7"/>
    <n v="8"/>
    <s v="Escobedo"/>
    <s v="Cd Sahagún"/>
    <x v="3"/>
    <x v="1"/>
    <d v="2025-08-01T00:00:00"/>
    <x v="6"/>
    <x v="3"/>
  </r>
  <r>
    <x v="860"/>
    <x v="0"/>
    <n v="8"/>
    <d v="2025-08-18T00:00:00"/>
    <d v="2025-08-18T00:00:00"/>
    <d v="2025-08-18T00:00:00"/>
    <d v="2025-08-18T00:00:00"/>
    <d v="2025-08-18T20:31:27"/>
    <n v="2039"/>
    <s v="610429"/>
    <s v="Sprinter"/>
    <n v="50"/>
    <n v="50"/>
    <s v="4366XC"/>
    <n v="1"/>
    <n v="150"/>
    <b v="1"/>
    <b v="0"/>
    <b v="0"/>
    <n v="231"/>
    <n v="0"/>
    <s v=""/>
    <s v=""/>
    <n v="50"/>
    <n v="359"/>
    <x v="6"/>
    <n v="359"/>
    <s v="Escobedo"/>
    <s v="Escobedo"/>
    <x v="0"/>
    <x v="2"/>
    <d v="2025-08-01T00:00:00"/>
    <x v="6"/>
    <x v="3"/>
  </r>
  <r>
    <x v="861"/>
    <x v="0"/>
    <n v="8"/>
    <d v="2025-08-18T00:00:00"/>
    <d v="2025-08-18T00:00:00"/>
    <d v="2025-08-18T00:00:00"/>
    <d v="2025-08-18T00:00:00"/>
    <d v="2025-08-18T20:34:40"/>
    <n v="2039"/>
    <s v="610429"/>
    <s v="Sprinter"/>
    <n v="50"/>
    <n v="50"/>
    <s v="4366XC"/>
    <n v="1"/>
    <n v="150"/>
    <b v="1"/>
    <b v="0"/>
    <b v="0"/>
    <n v="231"/>
    <n v="0"/>
    <s v=""/>
    <s v=""/>
    <n v="50"/>
    <n v="359"/>
    <x v="6"/>
    <n v="359"/>
    <s v="Escobedo"/>
    <s v="Escobedo"/>
    <x v="0"/>
    <x v="2"/>
    <d v="2025-08-01T00:00:00"/>
    <x v="6"/>
    <x v="3"/>
  </r>
  <r>
    <x v="862"/>
    <x v="0"/>
    <n v="8"/>
    <d v="2025-08-19T00:00:00"/>
    <d v="2025-08-19T00:00:00"/>
    <d v="2025-08-19T00:00:00"/>
    <d v="2025-08-19T00:00:00"/>
    <d v="2025-08-19T17:50:17"/>
    <n v="2039"/>
    <s v="610429"/>
    <s v="Sprinter"/>
    <n v="50"/>
    <n v="50"/>
    <s v="4366XC"/>
    <n v="1"/>
    <n v="150"/>
    <b v="1"/>
    <b v="0"/>
    <b v="0"/>
    <n v="231"/>
    <n v="0"/>
    <s v=""/>
    <s v=""/>
    <n v="50"/>
    <n v="2936"/>
    <x v="6"/>
    <n v="2936"/>
    <s v="Escobedo"/>
    <s v="Hidalgo"/>
    <x v="19"/>
    <x v="2"/>
    <d v="2025-08-01T00:00:00"/>
    <x v="6"/>
    <x v="3"/>
  </r>
  <r>
    <x v="863"/>
    <x v="0"/>
    <n v="8"/>
    <d v="2025-08-19T00:00:00"/>
    <d v="2025-08-19T00:00:00"/>
    <d v="2025-08-19T00:00:00"/>
    <d v="2025-08-19T00:00:00"/>
    <d v="2025-08-19T17:50:55"/>
    <n v="2039"/>
    <s v="610429"/>
    <s v="Sprinter"/>
    <n v="50"/>
    <n v="50"/>
    <s v="4366XC"/>
    <n v="1"/>
    <n v="150"/>
    <b v="1"/>
    <b v="0"/>
    <b v="0"/>
    <n v="231"/>
    <n v="0"/>
    <s v=""/>
    <s v=""/>
    <n v="50"/>
    <n v="359"/>
    <x v="6"/>
    <n v="359"/>
    <s v="Escobedo"/>
    <s v="Escobedo"/>
    <x v="0"/>
    <x v="2"/>
    <d v="2025-08-01T00:00:00"/>
    <x v="6"/>
    <x v="3"/>
  </r>
  <r>
    <x v="864"/>
    <x v="0"/>
    <n v="8"/>
    <d v="2025-08-19T00:00:00"/>
    <d v="2025-08-19T00:00:00"/>
    <d v="2025-08-19T00:00:00"/>
    <d v="2025-08-19T00:00:00"/>
    <d v="2025-08-19T17:51:39"/>
    <n v="2039"/>
    <s v="610429"/>
    <s v="Sprinter"/>
    <n v="50"/>
    <n v="50"/>
    <s v="4366XC"/>
    <n v="1"/>
    <n v="150"/>
    <b v="1"/>
    <b v="0"/>
    <b v="0"/>
    <n v="231"/>
    <n v="0"/>
    <s v=""/>
    <s v=""/>
    <n v="50"/>
    <n v="2936"/>
    <x v="6"/>
    <n v="2936"/>
    <s v="Escobedo"/>
    <s v="Hidalgo"/>
    <x v="19"/>
    <x v="2"/>
    <d v="2025-08-01T00:00:00"/>
    <x v="6"/>
    <x v="3"/>
  </r>
  <r>
    <x v="865"/>
    <x v="0"/>
    <n v="8"/>
    <d v="2025-08-19T00:00:00"/>
    <d v="2025-08-19T00:00:00"/>
    <d v="2025-08-19T00:00:00"/>
    <d v="2025-08-19T00:00:00"/>
    <d v="2025-08-19T17:52:10"/>
    <n v="2039"/>
    <s v="610429"/>
    <s v="Sprinter"/>
    <n v="50"/>
    <n v="50"/>
    <s v="4366XC"/>
    <n v="1"/>
    <n v="150"/>
    <b v="1"/>
    <b v="0"/>
    <b v="0"/>
    <n v="231"/>
    <n v="0"/>
    <s v=""/>
    <s v=""/>
    <n v="50"/>
    <n v="359"/>
    <x v="6"/>
    <n v="359"/>
    <s v="Escobedo"/>
    <s v="Escobedo"/>
    <x v="0"/>
    <x v="2"/>
    <d v="2025-08-01T00:00:00"/>
    <x v="6"/>
    <x v="3"/>
  </r>
  <r>
    <x v="866"/>
    <x v="0"/>
    <n v="8"/>
    <d v="2025-08-19T00:00:00"/>
    <d v="2025-08-19T00:00:00"/>
    <d v="2025-08-19T00:00:00"/>
    <d v="2025-08-19T00:00:00"/>
    <d v="2025-08-19T17:52:38"/>
    <n v="2039"/>
    <s v="610429"/>
    <s v="Sprinter"/>
    <n v="50"/>
    <n v="50"/>
    <s v="4366XC"/>
    <n v="1"/>
    <n v="150"/>
    <b v="1"/>
    <b v="0"/>
    <b v="0"/>
    <n v="231"/>
    <n v="0"/>
    <s v=""/>
    <s v=""/>
    <n v="50"/>
    <n v="359"/>
    <x v="6"/>
    <n v="359"/>
    <s v="Escobedo"/>
    <s v="Escobedo"/>
    <x v="0"/>
    <x v="2"/>
    <d v="2025-08-01T00:00:00"/>
    <x v="6"/>
    <x v="3"/>
  </r>
  <r>
    <x v="867"/>
    <x v="0"/>
    <n v="8"/>
    <d v="2025-08-19T00:00:00"/>
    <d v="2025-08-19T00:00:00"/>
    <d v="2025-08-19T00:00:00"/>
    <d v="2025-08-19T00:00:00"/>
    <d v="2025-08-19T17:53:06"/>
    <n v="2039"/>
    <s v="610429"/>
    <s v="Sprinter"/>
    <n v="50"/>
    <n v="50"/>
    <s v="4366XC"/>
    <n v="1"/>
    <n v="150"/>
    <b v="1"/>
    <b v="0"/>
    <b v="0"/>
    <n v="231"/>
    <n v="0"/>
    <s v=""/>
    <s v=""/>
    <n v="50"/>
    <n v="359"/>
    <x v="6"/>
    <n v="359"/>
    <s v="Escobedo"/>
    <s v="Escobedo"/>
    <x v="0"/>
    <x v="2"/>
    <d v="2025-08-01T00:00:00"/>
    <x v="6"/>
    <x v="3"/>
  </r>
  <r>
    <x v="868"/>
    <x v="0"/>
    <n v="8"/>
    <d v="2025-08-19T00:00:00"/>
    <d v="2025-08-19T00:00:00"/>
    <d v="2025-08-19T00:00:00"/>
    <d v="2025-08-19T00:00:00"/>
    <d v="2025-08-19T17:53:46"/>
    <n v="2039"/>
    <s v="610429"/>
    <s v="Sprinter"/>
    <n v="50"/>
    <n v="50"/>
    <s v="4366XC"/>
    <n v="1"/>
    <n v="150"/>
    <b v="1"/>
    <b v="0"/>
    <b v="0"/>
    <n v="231"/>
    <n v="0"/>
    <s v=""/>
    <s v=""/>
    <n v="50"/>
    <n v="2936"/>
    <x v="6"/>
    <n v="2936"/>
    <s v="Escobedo"/>
    <s v="Hidalgo"/>
    <x v="19"/>
    <x v="2"/>
    <d v="2025-08-01T00:00:00"/>
    <x v="6"/>
    <x v="3"/>
  </r>
  <r>
    <x v="869"/>
    <x v="0"/>
    <n v="8"/>
    <d v="2025-08-20T00:00:00"/>
    <d v="2025-08-20T00:00:00"/>
    <d v="2025-08-20T00:00:00"/>
    <d v="2025-08-20T00:00:00"/>
    <d v="2025-08-20T16:35:01"/>
    <n v="2039"/>
    <s v="610429"/>
    <s v="Sprinter"/>
    <n v="50"/>
    <n v="50"/>
    <s v="4366XC"/>
    <n v="1"/>
    <n v="150"/>
    <b v="1"/>
    <b v="0"/>
    <b v="0"/>
    <n v="231"/>
    <n v="0"/>
    <s v=""/>
    <s v=""/>
    <n v="50"/>
    <n v="2936"/>
    <x v="6"/>
    <n v="2936"/>
    <s v="Escobedo"/>
    <s v="Hidalgo"/>
    <x v="19"/>
    <x v="2"/>
    <d v="2025-08-01T00:00:00"/>
    <x v="6"/>
    <x v="3"/>
  </r>
  <r>
    <x v="870"/>
    <x v="0"/>
    <n v="8"/>
    <d v="2025-08-20T00:00:00"/>
    <d v="2025-08-20T00:00:00"/>
    <d v="2025-08-20T00:00:00"/>
    <d v="2025-08-20T00:00:00"/>
    <d v="2025-08-20T16:35:42"/>
    <n v="2039"/>
    <s v="610429"/>
    <s v="Sprinter"/>
    <n v="50"/>
    <n v="50"/>
    <s v="4366XC"/>
    <n v="1"/>
    <n v="150"/>
    <b v="1"/>
    <b v="0"/>
    <b v="0"/>
    <n v="231"/>
    <n v="0"/>
    <s v=""/>
    <s v=""/>
    <n v="50"/>
    <n v="2936"/>
    <x v="6"/>
    <n v="2936"/>
    <s v="Escobedo"/>
    <s v="Hidalgo"/>
    <x v="19"/>
    <x v="2"/>
    <d v="2025-08-01T00:00:00"/>
    <x v="6"/>
    <x v="3"/>
  </r>
  <r>
    <x v="871"/>
    <x v="0"/>
    <n v="8"/>
    <d v="2025-08-20T00:00:00"/>
    <d v="2025-08-20T00:00:00"/>
    <d v="2025-08-20T00:00:00"/>
    <d v="2025-08-20T00:00:00"/>
    <d v="2025-08-20T16:36:16"/>
    <n v="2039"/>
    <s v="610429"/>
    <s v="Sprinter"/>
    <n v="50"/>
    <n v="50"/>
    <s v="4366XC"/>
    <n v="1"/>
    <n v="150"/>
    <b v="1"/>
    <b v="0"/>
    <b v="0"/>
    <n v="231"/>
    <n v="0"/>
    <s v=""/>
    <s v=""/>
    <n v="50"/>
    <n v="2936"/>
    <x v="6"/>
    <n v="2936"/>
    <s v="Escobedo"/>
    <s v="Hidalgo"/>
    <x v="19"/>
    <x v="2"/>
    <d v="2025-08-01T00:00:00"/>
    <x v="6"/>
    <x v="3"/>
  </r>
  <r>
    <x v="872"/>
    <x v="0"/>
    <n v="8"/>
    <d v="2025-08-21T00:00:00"/>
    <d v="2025-08-21T00:00:00"/>
    <d v="2025-08-21T00:00:00"/>
    <d v="2025-08-21T00:00:00"/>
    <d v="2025-08-22T08:43:27"/>
    <n v="2039"/>
    <s v="610429"/>
    <s v="Sprinter"/>
    <n v="50"/>
    <n v="50"/>
    <s v="4366XC"/>
    <n v="1"/>
    <n v="150"/>
    <b v="1"/>
    <b v="0"/>
    <b v="0"/>
    <n v="231"/>
    <n v="0"/>
    <s v=""/>
    <s v=""/>
    <n v="50"/>
    <n v="2936"/>
    <x v="6"/>
    <n v="2936"/>
    <s v="Escobedo"/>
    <s v="Hidalgo"/>
    <x v="19"/>
    <x v="2"/>
    <d v="2025-08-01T00:00:00"/>
    <x v="6"/>
    <x v="3"/>
  </r>
  <r>
    <x v="873"/>
    <x v="0"/>
    <n v="8"/>
    <d v="2025-08-21T00:00:00"/>
    <d v="2025-08-21T00:00:00"/>
    <d v="2025-08-21T00:00:00"/>
    <d v="2025-08-21T00:00:00"/>
    <d v="2025-08-22T08:43:28"/>
    <n v="2039"/>
    <s v="610429"/>
    <s v="Sprinter"/>
    <n v="50"/>
    <n v="50"/>
    <s v="4366XC"/>
    <n v="1"/>
    <n v="150"/>
    <b v="1"/>
    <b v="0"/>
    <b v="0"/>
    <n v="231"/>
    <n v="0"/>
    <s v=""/>
    <s v=""/>
    <n v="50"/>
    <n v="359"/>
    <x v="6"/>
    <n v="359"/>
    <s v="Escobedo"/>
    <s v="Escobedo"/>
    <x v="0"/>
    <x v="2"/>
    <d v="2025-08-01T00:00:00"/>
    <x v="6"/>
    <x v="3"/>
  </r>
  <r>
    <x v="874"/>
    <x v="0"/>
    <n v="8"/>
    <d v="2025-08-21T00:00:00"/>
    <d v="2025-08-21T00:00:00"/>
    <d v="2025-08-21T00:00:00"/>
    <d v="2025-08-21T00:00:00"/>
    <d v="2025-08-22T08:43:29"/>
    <n v="2039"/>
    <s v="610429"/>
    <s v="Sprinter"/>
    <n v="50"/>
    <n v="50"/>
    <s v="4366XC"/>
    <n v="1"/>
    <n v="150"/>
    <b v="1"/>
    <b v="0"/>
    <b v="0"/>
    <n v="231"/>
    <n v="0"/>
    <s v=""/>
    <s v=""/>
    <n v="50"/>
    <n v="2936"/>
    <x v="6"/>
    <n v="2936"/>
    <s v="Escobedo"/>
    <s v="Hidalgo"/>
    <x v="19"/>
    <x v="2"/>
    <d v="2025-08-01T00:00:00"/>
    <x v="6"/>
    <x v="3"/>
  </r>
  <r>
    <x v="875"/>
    <x v="0"/>
    <n v="8"/>
    <d v="2025-08-22T00:00:00"/>
    <d v="2025-08-22T00:00:00"/>
    <d v="2025-08-22T00:00:00"/>
    <d v="2025-08-22T00:00:00"/>
    <d v="2025-08-22T17:31:46"/>
    <n v="2039"/>
    <s v="610429"/>
    <s v="Sprinter"/>
    <n v="50"/>
    <n v="50"/>
    <s v="4366XC"/>
    <n v="1"/>
    <n v="150"/>
    <b v="1"/>
    <b v="0"/>
    <b v="0"/>
    <n v="231"/>
    <n v="0"/>
    <s v=""/>
    <s v=""/>
    <n v="50"/>
    <n v="2936"/>
    <x v="6"/>
    <n v="2936"/>
    <s v="Escobedo"/>
    <s v="Hidalgo"/>
    <x v="19"/>
    <x v="2"/>
    <d v="2025-08-01T00:00:00"/>
    <x v="6"/>
    <x v="3"/>
  </r>
  <r>
    <x v="876"/>
    <x v="0"/>
    <n v="8"/>
    <d v="2025-08-22T00:00:00"/>
    <d v="2025-08-22T00:00:00"/>
    <d v="2025-08-22T00:00:00"/>
    <d v="2025-08-22T00:00:00"/>
    <d v="2025-08-22T17:31:47"/>
    <n v="2039"/>
    <s v="610429"/>
    <s v="Sprinter"/>
    <n v="50"/>
    <n v="50"/>
    <s v="4366XC"/>
    <n v="1"/>
    <n v="150"/>
    <b v="1"/>
    <b v="0"/>
    <b v="0"/>
    <n v="231"/>
    <n v="0"/>
    <s v=""/>
    <s v=""/>
    <n v="50"/>
    <n v="2936"/>
    <x v="6"/>
    <n v="2936"/>
    <s v="Escobedo"/>
    <s v="Hidalgo"/>
    <x v="19"/>
    <x v="2"/>
    <d v="2025-08-01T00:00:00"/>
    <x v="6"/>
    <x v="3"/>
  </r>
  <r>
    <x v="877"/>
    <x v="0"/>
    <n v="8"/>
    <d v="2025-08-22T00:00:00"/>
    <d v="2025-08-22T00:00:00"/>
    <d v="2025-08-22T00:00:00"/>
    <d v="2025-08-22T00:00:00"/>
    <d v="2025-08-22T17:31:48"/>
    <n v="2039"/>
    <s v="610429"/>
    <s v="Sprinter"/>
    <n v="50"/>
    <n v="50"/>
    <s v="4366XC"/>
    <n v="1"/>
    <n v="150"/>
    <b v="1"/>
    <b v="0"/>
    <b v="0"/>
    <n v="231"/>
    <n v="0"/>
    <s v=""/>
    <s v=""/>
    <n v="50"/>
    <n v="2936"/>
    <x v="6"/>
    <n v="2936"/>
    <s v="Escobedo"/>
    <s v="Hidalgo"/>
    <x v="19"/>
    <x v="2"/>
    <d v="2025-08-01T00:00:00"/>
    <x v="6"/>
    <x v="3"/>
  </r>
  <r>
    <x v="878"/>
    <x v="0"/>
    <n v="8"/>
    <d v="2025-08-23T00:00:00"/>
    <d v="2025-08-23T00:00:00"/>
    <d v="2025-08-23T00:00:00"/>
    <d v="2025-08-23T00:00:00"/>
    <d v="2025-08-23T17:35:02"/>
    <n v="2039"/>
    <s v="610429"/>
    <s v="Sprinter"/>
    <n v="50"/>
    <n v="50"/>
    <s v="4366XC"/>
    <n v="1"/>
    <n v="150"/>
    <b v="1"/>
    <b v="0"/>
    <b v="0"/>
    <n v="231"/>
    <n v="0"/>
    <s v=""/>
    <s v=""/>
    <n v="50"/>
    <n v="2936"/>
    <x v="6"/>
    <n v="2936"/>
    <s v="Escobedo"/>
    <s v="Hidalgo"/>
    <x v="19"/>
    <x v="2"/>
    <d v="2025-08-01T00:00:00"/>
    <x v="6"/>
    <x v="3"/>
  </r>
  <r>
    <x v="879"/>
    <x v="0"/>
    <n v="8"/>
    <d v="2025-08-23T00:00:00"/>
    <d v="2025-08-23T00:00:00"/>
    <d v="2025-08-23T00:00:00"/>
    <d v="2025-08-23T00:00:00"/>
    <d v="2025-08-23T17:35:39"/>
    <n v="2039"/>
    <s v="610429"/>
    <s v="Sprinter"/>
    <n v="50"/>
    <n v="50"/>
    <s v="4366XC"/>
    <n v="1"/>
    <n v="150"/>
    <b v="1"/>
    <b v="0"/>
    <b v="0"/>
    <n v="231"/>
    <n v="0"/>
    <s v=""/>
    <s v=""/>
    <n v="50"/>
    <n v="2936"/>
    <x v="6"/>
    <n v="2936"/>
    <s v="Escobedo"/>
    <s v="Hidalgo"/>
    <x v="19"/>
    <x v="2"/>
    <d v="2025-08-01T00:00:00"/>
    <x v="6"/>
    <x v="3"/>
  </r>
  <r>
    <x v="880"/>
    <x v="0"/>
    <n v="8"/>
    <d v="2025-08-02T00:00:00"/>
    <d v="2025-08-02T00:00:00"/>
    <d v="2025-08-03T00:00:00"/>
    <d v="2025-08-02T00:00:00"/>
    <d v="2025-08-03T00:00:00"/>
    <n v="2244"/>
    <s v="775908"/>
    <s v="4700*175*195"/>
    <n v="961"/>
    <n v="1059"/>
    <s v="3727XC"/>
    <n v="1"/>
    <n v="964"/>
    <b v="1"/>
    <b v="0"/>
    <b v="0"/>
    <n v="1494"/>
    <n v="0"/>
    <s v=""/>
    <s v=""/>
    <n v="1100"/>
    <n v="8"/>
    <x v="7"/>
    <n v="8"/>
    <s v="Escobedo"/>
    <s v="Cd Sahagún"/>
    <x v="3"/>
    <x v="1"/>
    <d v="2025-08-01T00:00:00"/>
    <x v="6"/>
    <x v="3"/>
  </r>
  <r>
    <x v="881"/>
    <x v="0"/>
    <n v="8"/>
    <d v="2025-08-23T00:00:00"/>
    <d v="2025-08-23T00:00:00"/>
    <d v="2025-08-23T00:00:00"/>
    <d v="2025-08-23T00:00:00"/>
    <d v="2025-08-23T17:36:30"/>
    <n v="2039"/>
    <s v="610429"/>
    <s v="Sprinter"/>
    <n v="50"/>
    <n v="50"/>
    <s v="4366XC"/>
    <n v="1"/>
    <n v="150"/>
    <b v="1"/>
    <b v="0"/>
    <b v="0"/>
    <n v="231"/>
    <n v="0"/>
    <s v=""/>
    <s v=""/>
    <n v="50"/>
    <n v="2936"/>
    <x v="6"/>
    <n v="2936"/>
    <s v="Escobedo"/>
    <s v="Hidalgo"/>
    <x v="19"/>
    <x v="2"/>
    <d v="2025-08-01T00:00:00"/>
    <x v="6"/>
    <x v="3"/>
  </r>
  <r>
    <x v="882"/>
    <x v="0"/>
    <n v="8"/>
    <d v="2025-08-02T00:00:00"/>
    <d v="2025-08-02T00:00:00"/>
    <d v="2025-08-02T00:00:00"/>
    <d v="2025-08-02T00:00:00"/>
    <d v="2025-08-03T00:00:00"/>
    <n v="2176"/>
    <s v="610429"/>
    <s v="Sprinter"/>
    <n v="50"/>
    <n v="50"/>
    <s v="3721XC"/>
    <n v="1"/>
    <n v="150"/>
    <b v="1"/>
    <b v="0"/>
    <b v="0"/>
    <n v="231"/>
    <n v="0"/>
    <s v=""/>
    <s v=""/>
    <n v="50"/>
    <n v="359"/>
    <x v="6"/>
    <n v="359"/>
    <s v="Escobedo"/>
    <s v="Escobedo"/>
    <x v="0"/>
    <x v="2"/>
    <d v="2025-08-01T00:00:00"/>
    <x v="6"/>
    <x v="3"/>
  </r>
  <r>
    <x v="883"/>
    <x v="0"/>
    <n v="8"/>
    <d v="2025-08-02T00:00:00"/>
    <d v="2025-08-02T00:00:00"/>
    <d v="2025-08-02T00:00:00"/>
    <d v="2025-08-02T00:00:00"/>
    <d v="2025-08-03T00:00:00"/>
    <n v="2176"/>
    <s v="610429"/>
    <s v="Sprinter"/>
    <n v="50"/>
    <n v="50"/>
    <s v="3721XC"/>
    <n v="1"/>
    <n v="150"/>
    <b v="1"/>
    <b v="0"/>
    <b v="0"/>
    <n v="231"/>
    <n v="0"/>
    <s v=""/>
    <s v=""/>
    <n v="50"/>
    <n v="359"/>
    <x v="6"/>
    <n v="359"/>
    <s v="Escobedo"/>
    <s v="Escobedo"/>
    <x v="0"/>
    <x v="2"/>
    <d v="2025-08-01T00:00:00"/>
    <x v="6"/>
    <x v="3"/>
  </r>
  <r>
    <x v="884"/>
    <x v="0"/>
    <n v="8"/>
    <d v="2025-08-27T00:00:00"/>
    <d v="2025-08-27T00:00:00"/>
    <d v="2025-08-27T00:00:00"/>
    <d v="2025-08-27T00:00:00"/>
    <d v="2025-08-27T18:07:36"/>
    <n v="2039"/>
    <s v="626955"/>
    <s v="Sprinter"/>
    <n v="50"/>
    <n v="50"/>
    <s v="4366XC"/>
    <n v="1"/>
    <n v="150"/>
    <b v="1"/>
    <b v="0"/>
    <b v="0"/>
    <n v="231"/>
    <n v="0"/>
    <s v=""/>
    <s v=""/>
    <n v="50"/>
    <n v="359"/>
    <x v="6"/>
    <n v="359"/>
    <s v="Escobedo"/>
    <s v="Escobedo"/>
    <x v="0"/>
    <x v="0"/>
    <d v="2025-08-01T00:00:00"/>
    <x v="6"/>
    <x v="3"/>
  </r>
  <r>
    <x v="885"/>
    <x v="0"/>
    <n v="8"/>
    <d v="2025-08-27T00:00:00"/>
    <d v="2025-08-27T00:00:00"/>
    <d v="2025-08-27T00:00:00"/>
    <d v="2025-08-27T00:00:00"/>
    <d v="2025-08-27T18:08:07"/>
    <n v="2039"/>
    <s v="626955"/>
    <s v="Sprinter"/>
    <n v="50"/>
    <n v="50"/>
    <s v="4366XC"/>
    <n v="1"/>
    <n v="150"/>
    <b v="1"/>
    <b v="0"/>
    <b v="0"/>
    <n v="231"/>
    <n v="0"/>
    <s v=""/>
    <s v=""/>
    <n v="50"/>
    <n v="359"/>
    <x v="6"/>
    <n v="359"/>
    <s v="Escobedo"/>
    <s v="Escobedo"/>
    <x v="0"/>
    <x v="0"/>
    <d v="2025-08-01T00:00:00"/>
    <x v="6"/>
    <x v="3"/>
  </r>
  <r>
    <x v="886"/>
    <x v="0"/>
    <n v="8"/>
    <d v="2025-08-27T00:00:00"/>
    <d v="2025-08-27T00:00:00"/>
    <d v="2025-08-27T00:00:00"/>
    <d v="2025-08-27T00:00:00"/>
    <d v="2025-08-27T18:08:37"/>
    <n v="2039"/>
    <s v="626955"/>
    <s v="Sprinter"/>
    <n v="50"/>
    <n v="50"/>
    <s v="4366XC"/>
    <n v="1"/>
    <n v="150"/>
    <b v="1"/>
    <b v="0"/>
    <b v="0"/>
    <n v="231"/>
    <n v="0"/>
    <s v=""/>
    <s v=""/>
    <n v="50"/>
    <n v="2936"/>
    <x v="6"/>
    <n v="2936"/>
    <s v="Escobedo"/>
    <s v="Hidalgo"/>
    <x v="19"/>
    <x v="0"/>
    <d v="2025-08-01T00:00:00"/>
    <x v="6"/>
    <x v="3"/>
  </r>
  <r>
    <x v="887"/>
    <x v="0"/>
    <n v="8"/>
    <d v="2025-08-27T00:00:00"/>
    <d v="2025-08-27T00:00:00"/>
    <d v="2025-08-27T00:00:00"/>
    <d v="2025-08-27T00:00:00"/>
    <d v="2025-08-27T18:10:09"/>
    <n v="2039"/>
    <s v="626955"/>
    <s v="Sprinter"/>
    <n v="50"/>
    <n v="50"/>
    <s v="4366XC"/>
    <n v="1"/>
    <n v="150"/>
    <b v="1"/>
    <b v="0"/>
    <b v="0"/>
    <n v="231"/>
    <n v="0"/>
    <s v=""/>
    <s v=""/>
    <n v="50"/>
    <n v="359"/>
    <x v="6"/>
    <n v="359"/>
    <s v="Escobedo"/>
    <s v="Escobedo"/>
    <x v="0"/>
    <x v="0"/>
    <d v="2025-08-01T00:00:00"/>
    <x v="6"/>
    <x v="3"/>
  </r>
  <r>
    <x v="888"/>
    <x v="0"/>
    <n v="8"/>
    <d v="2025-08-27T00:00:00"/>
    <d v="2025-08-27T00:00:00"/>
    <d v="2025-08-27T00:00:00"/>
    <d v="2025-08-27T00:00:00"/>
    <d v="2025-08-27T18:10:51"/>
    <n v="2039"/>
    <s v="626955"/>
    <s v="Sprinter"/>
    <n v="50"/>
    <n v="50"/>
    <s v="4366XC"/>
    <n v="1"/>
    <n v="150"/>
    <b v="1"/>
    <b v="0"/>
    <b v="0"/>
    <n v="231"/>
    <n v="0"/>
    <s v=""/>
    <s v=""/>
    <n v="50"/>
    <n v="359"/>
    <x v="6"/>
    <n v="359"/>
    <s v="Escobedo"/>
    <s v="Escobedo"/>
    <x v="0"/>
    <x v="0"/>
    <d v="2025-08-01T00:00:00"/>
    <x v="6"/>
    <x v="3"/>
  </r>
  <r>
    <x v="889"/>
    <x v="0"/>
    <n v="8"/>
    <d v="2025-08-27T00:00:00"/>
    <d v="2025-08-27T00:00:00"/>
    <d v="2025-08-27T00:00:00"/>
    <d v="2025-08-27T00:00:00"/>
    <d v="2025-08-27T18:11:29"/>
    <n v="2039"/>
    <s v="626955"/>
    <s v="Sprinter"/>
    <n v="50"/>
    <n v="50"/>
    <s v="4366XC"/>
    <n v="1"/>
    <n v="150"/>
    <b v="1"/>
    <b v="0"/>
    <b v="0"/>
    <n v="231"/>
    <n v="0"/>
    <s v=""/>
    <s v=""/>
    <n v="50"/>
    <n v="2936"/>
    <x v="6"/>
    <n v="2936"/>
    <s v="Escobedo"/>
    <s v="Hidalgo"/>
    <x v="19"/>
    <x v="0"/>
    <d v="2025-08-01T00:00:00"/>
    <x v="6"/>
    <x v="3"/>
  </r>
  <r>
    <x v="890"/>
    <x v="0"/>
    <n v="8"/>
    <d v="2025-08-27T00:00:00"/>
    <d v="2025-08-27T00:00:00"/>
    <d v="2025-08-27T00:00:00"/>
    <d v="2025-08-27T00:00:00"/>
    <d v="2025-08-27T18:11:57"/>
    <n v="2039"/>
    <s v="626955"/>
    <s v="Sprinter"/>
    <n v="50"/>
    <n v="50"/>
    <s v="4366XC"/>
    <n v="1"/>
    <n v="150"/>
    <b v="1"/>
    <b v="0"/>
    <b v="0"/>
    <n v="231"/>
    <n v="0"/>
    <s v=""/>
    <s v=""/>
    <n v="50"/>
    <n v="461"/>
    <x v="6"/>
    <n v="461"/>
    <s v="Escobedo"/>
    <s v="Monterrey"/>
    <x v="7"/>
    <x v="0"/>
    <d v="2025-08-01T00:00:00"/>
    <x v="6"/>
    <x v="3"/>
  </r>
  <r>
    <x v="891"/>
    <x v="0"/>
    <n v="8"/>
    <d v="2025-08-27T00:00:00"/>
    <d v="2025-08-27T00:00:00"/>
    <d v="2025-08-27T00:00:00"/>
    <d v="2025-08-27T00:00:00"/>
    <d v="2025-08-27T18:12:33"/>
    <n v="2039"/>
    <s v="626955"/>
    <s v="Sprinter"/>
    <n v="50"/>
    <n v="50"/>
    <s v="4366XC"/>
    <n v="1"/>
    <n v="150"/>
    <b v="1"/>
    <b v="0"/>
    <b v="0"/>
    <n v="231"/>
    <n v="0"/>
    <s v=""/>
    <s v=""/>
    <n v="50"/>
    <n v="461"/>
    <x v="6"/>
    <n v="461"/>
    <s v="Escobedo"/>
    <s v="Monterrey"/>
    <x v="7"/>
    <x v="0"/>
    <d v="2025-08-01T00:00:00"/>
    <x v="6"/>
    <x v="3"/>
  </r>
  <r>
    <x v="892"/>
    <x v="0"/>
    <n v="8"/>
    <d v="2025-08-27T00:00:00"/>
    <d v="2025-08-27T00:00:00"/>
    <d v="2025-08-27T00:00:00"/>
    <d v="2025-08-27T00:00:00"/>
    <d v="2025-08-27T18:12:59"/>
    <n v="2039"/>
    <s v="626955"/>
    <s v="Sprinter"/>
    <n v="50"/>
    <n v="50"/>
    <s v="4366XC"/>
    <n v="1"/>
    <n v="150"/>
    <b v="1"/>
    <b v="0"/>
    <b v="0"/>
    <n v="231"/>
    <n v="0"/>
    <s v=""/>
    <s v=""/>
    <n v="50"/>
    <n v="359"/>
    <x v="6"/>
    <n v="359"/>
    <s v="Escobedo"/>
    <s v="Escobedo"/>
    <x v="0"/>
    <x v="0"/>
    <d v="2025-08-01T00:00:00"/>
    <x v="6"/>
    <x v="3"/>
  </r>
  <r>
    <x v="893"/>
    <x v="0"/>
    <n v="8"/>
    <d v="2025-08-27T00:00:00"/>
    <d v="2025-08-27T00:00:00"/>
    <d v="2025-08-27T00:00:00"/>
    <d v="2025-08-27T00:00:00"/>
    <d v="2025-08-27T18:13:40"/>
    <n v="2039"/>
    <s v="626955"/>
    <s v="Sprinter"/>
    <n v="50"/>
    <n v="50"/>
    <s v="4366XC"/>
    <n v="1"/>
    <n v="150"/>
    <b v="1"/>
    <b v="0"/>
    <b v="0"/>
    <n v="231"/>
    <n v="0"/>
    <s v=""/>
    <s v=""/>
    <n v="50"/>
    <n v="461"/>
    <x v="6"/>
    <n v="461"/>
    <s v="Escobedo"/>
    <s v="Monterrey"/>
    <x v="7"/>
    <x v="0"/>
    <d v="2025-08-01T00:00:00"/>
    <x v="6"/>
    <x v="3"/>
  </r>
  <r>
    <x v="894"/>
    <x v="0"/>
    <n v="8"/>
    <d v="2025-08-28T00:00:00"/>
    <d v="2025-08-28T00:00:00"/>
    <d v="2025-08-28T00:00:00"/>
    <d v="2025-08-28T00:00:00"/>
    <d v="2025-08-28T18:11:50"/>
    <n v="2039"/>
    <s v="610429"/>
    <s v="Sprinter"/>
    <n v="50"/>
    <n v="50"/>
    <s v="4366XC"/>
    <n v="1"/>
    <n v="150"/>
    <b v="1"/>
    <b v="0"/>
    <b v="0"/>
    <n v="231"/>
    <n v="0"/>
    <s v=""/>
    <s v=""/>
    <n v="50"/>
    <n v="2936"/>
    <x v="6"/>
    <n v="2936"/>
    <s v="Escobedo"/>
    <s v="Hidalgo"/>
    <x v="19"/>
    <x v="2"/>
    <d v="2025-08-01T00:00:00"/>
    <x v="6"/>
    <x v="3"/>
  </r>
  <r>
    <x v="895"/>
    <x v="0"/>
    <n v="8"/>
    <d v="2025-08-28T00:00:00"/>
    <d v="2025-08-28T00:00:00"/>
    <d v="2025-08-28T00:00:00"/>
    <d v="2025-08-28T00:00:00"/>
    <d v="2025-08-28T18:12:36"/>
    <n v="2039"/>
    <s v="610429"/>
    <s v="Sprinter"/>
    <n v="50"/>
    <n v="50"/>
    <s v="4366XC"/>
    <n v="1"/>
    <n v="150"/>
    <b v="1"/>
    <b v="0"/>
    <b v="0"/>
    <n v="231"/>
    <n v="0"/>
    <s v=""/>
    <s v=""/>
    <n v="50"/>
    <n v="359"/>
    <x v="6"/>
    <n v="359"/>
    <s v="Escobedo"/>
    <s v="Escobedo"/>
    <x v="0"/>
    <x v="2"/>
    <d v="2025-08-01T00:00:00"/>
    <x v="6"/>
    <x v="3"/>
  </r>
  <r>
    <x v="896"/>
    <x v="0"/>
    <n v="8"/>
    <d v="2025-08-03T00:00:00"/>
    <d v="2025-08-03T00:00:00"/>
    <d v="2025-08-03T00:00:00"/>
    <d v="2025-08-03T00:00:00"/>
    <d v="2025-08-03T00:00:00"/>
    <n v="1902"/>
    <s v="610429"/>
    <s v="Sprinter"/>
    <n v="50"/>
    <n v="50"/>
    <s v="3729XC"/>
    <n v="1"/>
    <n v="150"/>
    <b v="1"/>
    <b v="0"/>
    <b v="0"/>
    <n v="231"/>
    <n v="0"/>
    <s v=""/>
    <s v=""/>
    <n v="50"/>
    <n v="359"/>
    <x v="6"/>
    <n v="359"/>
    <s v="Escobedo"/>
    <s v="Escobedo"/>
    <x v="0"/>
    <x v="2"/>
    <d v="2025-08-01T00:00:00"/>
    <x v="6"/>
    <x v="3"/>
  </r>
  <r>
    <x v="897"/>
    <x v="0"/>
    <n v="8"/>
    <d v="2025-08-28T00:00:00"/>
    <d v="2025-08-28T00:00:00"/>
    <d v="2025-08-28T00:00:00"/>
    <d v="2025-08-28T00:00:00"/>
    <d v="2025-08-28T18:13:16"/>
    <n v="2039"/>
    <s v="610429"/>
    <s v="Sprinter"/>
    <n v="50"/>
    <n v="50"/>
    <s v="4366XC"/>
    <n v="1"/>
    <n v="150"/>
    <b v="1"/>
    <b v="0"/>
    <b v="0"/>
    <n v="231"/>
    <n v="0"/>
    <s v=""/>
    <s v=""/>
    <n v="50"/>
    <n v="2936"/>
    <x v="6"/>
    <n v="2936"/>
    <s v="Escobedo"/>
    <s v="Hidalgo"/>
    <x v="19"/>
    <x v="2"/>
    <d v="2025-08-01T00:00:00"/>
    <x v="6"/>
    <x v="3"/>
  </r>
  <r>
    <x v="898"/>
    <x v="0"/>
    <n v="8"/>
    <d v="2025-08-28T00:00:00"/>
    <d v="2025-08-28T00:00:00"/>
    <d v="2025-08-28T00:00:00"/>
    <d v="2025-08-28T00:00:00"/>
    <d v="2025-08-28T18:13:56"/>
    <n v="2039"/>
    <s v="610429"/>
    <s v="Sprinter"/>
    <n v="50"/>
    <n v="50"/>
    <s v="4366XC"/>
    <n v="1"/>
    <n v="150"/>
    <b v="1"/>
    <b v="0"/>
    <b v="0"/>
    <n v="231"/>
    <n v="0"/>
    <s v=""/>
    <s v=""/>
    <n v="50"/>
    <n v="2936"/>
    <x v="6"/>
    <n v="2936"/>
    <s v="Escobedo"/>
    <s v="Hidalgo"/>
    <x v="19"/>
    <x v="2"/>
    <d v="2025-08-01T00:00:00"/>
    <x v="6"/>
    <x v="3"/>
  </r>
  <r>
    <x v="899"/>
    <x v="0"/>
    <n v="8"/>
    <d v="2025-08-29T00:00:00"/>
    <d v="2025-08-29T00:00:00"/>
    <d v="2025-08-29T00:00:00"/>
    <d v="2025-08-29T00:00:00"/>
    <d v="2025-08-29T18:13:48"/>
    <n v="2039"/>
    <s v="610429"/>
    <s v="Sprinter"/>
    <n v="50"/>
    <n v="50"/>
    <s v="4366XC"/>
    <n v="1"/>
    <n v="150"/>
    <b v="1"/>
    <b v="0"/>
    <b v="0"/>
    <n v="231"/>
    <n v="0"/>
    <s v=""/>
    <s v=""/>
    <n v="50"/>
    <n v="2936"/>
    <x v="6"/>
    <n v="2936"/>
    <s v="Escobedo"/>
    <s v="Hidalgo"/>
    <x v="19"/>
    <x v="2"/>
    <d v="2025-08-01T00:00:00"/>
    <x v="6"/>
    <x v="3"/>
  </r>
  <r>
    <x v="900"/>
    <x v="0"/>
    <n v="8"/>
    <d v="2025-08-29T00:00:00"/>
    <d v="2025-08-29T00:00:00"/>
    <d v="2025-08-29T00:00:00"/>
    <d v="2025-08-29T00:00:00"/>
    <d v="2025-08-29T18:14:31"/>
    <n v="2039"/>
    <s v="610429"/>
    <s v="Sprinter"/>
    <n v="50"/>
    <n v="50"/>
    <s v="4366XC"/>
    <n v="1"/>
    <n v="150"/>
    <b v="1"/>
    <b v="0"/>
    <b v="0"/>
    <n v="231"/>
    <n v="0"/>
    <s v=""/>
    <s v=""/>
    <n v="50"/>
    <n v="2936"/>
    <x v="6"/>
    <n v="2936"/>
    <s v="Escobedo"/>
    <s v="Hidalgo"/>
    <x v="19"/>
    <x v="2"/>
    <d v="2025-08-01T00:00:00"/>
    <x v="6"/>
    <x v="3"/>
  </r>
  <r>
    <x v="901"/>
    <x v="0"/>
    <n v="8"/>
    <d v="2025-08-29T00:00:00"/>
    <d v="2025-08-29T00:00:00"/>
    <d v="2025-08-29T00:00:00"/>
    <d v="2025-08-29T00:00:00"/>
    <d v="2025-08-29T18:15:17"/>
    <n v="2039"/>
    <s v="610429"/>
    <s v="Sprinter"/>
    <n v="50"/>
    <n v="50"/>
    <s v="4366XC"/>
    <n v="1"/>
    <n v="150"/>
    <b v="1"/>
    <b v="0"/>
    <b v="0"/>
    <n v="231"/>
    <n v="0"/>
    <s v=""/>
    <s v=""/>
    <n v="50"/>
    <n v="359"/>
    <x v="6"/>
    <n v="359"/>
    <s v="Escobedo"/>
    <s v="Escobedo"/>
    <x v="0"/>
    <x v="2"/>
    <d v="2025-08-01T00:00:00"/>
    <x v="6"/>
    <x v="3"/>
  </r>
  <r>
    <x v="902"/>
    <x v="0"/>
    <n v="8"/>
    <d v="2025-08-29T00:00:00"/>
    <d v="2025-08-29T00:00:00"/>
    <d v="2025-08-29T00:00:00"/>
    <d v="2025-08-29T00:00:00"/>
    <d v="2025-08-29T18:16:00"/>
    <n v="2039"/>
    <s v="610429"/>
    <s v="Sprinter"/>
    <n v="50"/>
    <n v="50"/>
    <s v="4366XC"/>
    <n v="1"/>
    <n v="150"/>
    <b v="1"/>
    <b v="0"/>
    <b v="0"/>
    <n v="231"/>
    <n v="0"/>
    <s v=""/>
    <s v=""/>
    <n v="50"/>
    <n v="2936"/>
    <x v="6"/>
    <n v="2936"/>
    <s v="Escobedo"/>
    <s v="Hidalgo"/>
    <x v="19"/>
    <x v="2"/>
    <d v="2025-08-01T00:00:00"/>
    <x v="6"/>
    <x v="3"/>
  </r>
  <r>
    <x v="903"/>
    <x v="0"/>
    <n v="8"/>
    <d v="2025-08-29T00:00:00"/>
    <d v="2025-08-29T00:00:00"/>
    <d v="2025-08-29T00:00:00"/>
    <d v="2025-08-29T00:00:00"/>
    <d v="2025-08-29T00:00:00"/>
    <n v="2039"/>
    <s v="610429"/>
    <s v="Sprinter"/>
    <n v="50"/>
    <n v="50"/>
    <s v="4366XC"/>
    <n v="1"/>
    <n v="150"/>
    <b v="1"/>
    <b v="0"/>
    <b v="0"/>
    <n v="231"/>
    <n v="0"/>
    <s v=""/>
    <s v=""/>
    <n v="50"/>
    <n v="461"/>
    <x v="6"/>
    <n v="461"/>
    <s v="Escobedo"/>
    <s v="Monterrey"/>
    <x v="7"/>
    <x v="2"/>
    <d v="2025-08-01T00:00:00"/>
    <x v="6"/>
    <x v="3"/>
  </r>
  <r>
    <x v="904"/>
    <x v="0"/>
    <n v="8"/>
    <d v="2025-08-03T00:00:00"/>
    <d v="2025-08-03T00:00:00"/>
    <d v="2025-08-03T00:00:00"/>
    <d v="2025-08-03T00:00:00"/>
    <d v="2025-08-03T00:00:00"/>
    <n v="1902"/>
    <s v="610429"/>
    <s v="Sprinter"/>
    <n v="50"/>
    <n v="50"/>
    <s v="3729XC"/>
    <n v="1"/>
    <n v="150"/>
    <b v="1"/>
    <b v="0"/>
    <b v="0"/>
    <n v="231"/>
    <n v="0"/>
    <s v=""/>
    <s v=""/>
    <n v="50"/>
    <n v="359"/>
    <x v="6"/>
    <n v="359"/>
    <s v="Escobedo"/>
    <s v="Escobedo"/>
    <x v="0"/>
    <x v="2"/>
    <d v="2025-08-01T00:00:00"/>
    <x v="6"/>
    <x v="3"/>
  </r>
  <r>
    <x v="905"/>
    <x v="0"/>
    <n v="8"/>
    <d v="2025-08-03T00:00:00"/>
    <d v="2025-08-03T00:00:00"/>
    <d v="2025-08-03T00:00:00"/>
    <d v="2025-08-03T00:00:00"/>
    <d v="2025-08-03T00:00:00"/>
    <n v="1902"/>
    <s v="610429"/>
    <s v="Sprinter"/>
    <n v="50"/>
    <n v="50"/>
    <s v="3729XC"/>
    <n v="1"/>
    <n v="150"/>
    <b v="1"/>
    <b v="0"/>
    <b v="0"/>
    <n v="231"/>
    <n v="0"/>
    <s v=""/>
    <s v=""/>
    <n v="50"/>
    <n v="2936"/>
    <x v="6"/>
    <n v="2936"/>
    <s v="Escobedo"/>
    <s v="Hidalgo"/>
    <x v="19"/>
    <x v="2"/>
    <d v="2025-08-01T00:00:00"/>
    <x v="6"/>
    <x v="3"/>
  </r>
  <r>
    <x v="906"/>
    <x v="0"/>
    <n v="8"/>
    <d v="2025-08-04T00:00:00"/>
    <d v="2025-08-04T00:00:00"/>
    <d v="2025-08-05T00:00:00"/>
    <d v="2025-08-05T00:00:00"/>
    <d v="2025-08-05T00:00:00"/>
    <n v="1902"/>
    <s v="610429"/>
    <s v="Sprinter"/>
    <n v="901"/>
    <n v="901"/>
    <s v="3729XC"/>
    <n v="1"/>
    <n v="877"/>
    <b v="1"/>
    <b v="0"/>
    <b v="0"/>
    <n v="1347"/>
    <n v="0"/>
    <s v=""/>
    <s v=""/>
    <n v="1000"/>
    <n v="3828"/>
    <x v="3"/>
    <n v="3828"/>
    <s v="Escobedo"/>
    <s v="Ecatepec"/>
    <x v="42"/>
    <x v="2"/>
    <d v="2025-08-01T00:00:00"/>
    <x v="6"/>
    <x v="3"/>
  </r>
  <r>
    <x v="907"/>
    <x v="0"/>
    <n v="8"/>
    <d v="2025-08-16T00:00:00"/>
    <d v="2025-08-16T00:00:00"/>
    <d v="2025-08-18T00:00:00"/>
    <d v="2025-08-17T00:00:00"/>
    <d v="2025-08-18T00:00:00"/>
    <n v="2244"/>
    <s v="775908"/>
    <s v="4700*175*195"/>
    <n v="961"/>
    <n v="0"/>
    <s v="3727XC"/>
    <n v="1"/>
    <n v="964"/>
    <b v="1"/>
    <b v="0"/>
    <b v="0"/>
    <n v="0"/>
    <n v="0"/>
    <s v=""/>
    <s v="Cita en Base Sahagún 4:00 pm"/>
    <n v="0"/>
    <n v="8"/>
    <x v="11"/>
    <n v="8"/>
    <s v="Escobedo"/>
    <s v="Cd Sahagún"/>
    <x v="3"/>
    <x v="1"/>
    <d v="2025-08-01T00:00:00"/>
    <x v="6"/>
    <x v="3"/>
  </r>
  <r>
    <x v="908"/>
    <x v="0"/>
    <n v="8"/>
    <d v="2025-08-23T00:00:00"/>
    <d v="2025-08-23T00:00:00"/>
    <d v="2025-08-25T00:00:00"/>
    <d v="2025-08-25T00:00:00"/>
    <d v="2025-08-25T00:00:00"/>
    <n v="2244"/>
    <s v="775908"/>
    <s v="4700*175*195"/>
    <n v="98"/>
    <n v="0"/>
    <s v="3727XC"/>
    <n v="1"/>
    <n v="150"/>
    <b v="1"/>
    <b v="0"/>
    <b v="0"/>
    <n v="0"/>
    <n v="0"/>
    <s v=""/>
    <s v="Retirar unidad 25 de agosto, 9:00 am"/>
    <n v="0"/>
    <n v="289"/>
    <x v="11"/>
    <n v="289"/>
    <s v="Cd Sahagún"/>
    <s v="Cd Hidalgo"/>
    <x v="43"/>
    <x v="1"/>
    <d v="2025-08-01T00:00:00"/>
    <x v="6"/>
    <x v="3"/>
  </r>
  <r>
    <x v="909"/>
    <x v="0"/>
    <n v="8"/>
    <d v="2025-08-29T00:00:00"/>
    <d v="2025-08-29T00:00:00"/>
    <d v="2025-09-01T00:00:00"/>
    <d v="2025-09-01T00:00:00"/>
    <d v="2025-09-02T00:00:00"/>
    <n v="2244"/>
    <s v="775908"/>
    <s v="4700*175*195"/>
    <n v="180"/>
    <n v="180"/>
    <s v="3727XC"/>
    <n v="1"/>
    <n v="208"/>
    <b v="1"/>
    <b v="0"/>
    <b v="0"/>
    <n v="536"/>
    <n v="0"/>
    <s v=""/>
    <s v=""/>
    <n v="200"/>
    <n v="289"/>
    <x v="11"/>
    <n v="289"/>
    <s v="Cd Sahagún"/>
    <s v="Cd Hidalgo"/>
    <x v="43"/>
    <x v="1"/>
    <d v="2025-08-01T00:00:00"/>
    <x v="6"/>
    <x v="3"/>
  </r>
  <r>
    <x v="910"/>
    <x v="0"/>
    <n v="8"/>
    <d v="2025-08-29T00:00:00"/>
    <d v="2025-08-29T00:00:00"/>
    <d v="2025-09-02T00:00:00"/>
    <d v="2025-09-01T00:00:00"/>
    <d v="2025-09-02T00:00:00"/>
    <n v="2244"/>
    <s v="775908"/>
    <s v="4700*175*195"/>
    <n v="839"/>
    <n v="839"/>
    <s v="3727XC"/>
    <n v="1"/>
    <n v="839"/>
    <b v="1"/>
    <b v="0"/>
    <b v="0"/>
    <n v="1213"/>
    <n v="0"/>
    <s v=""/>
    <s v=""/>
    <n v="900"/>
    <n v="289"/>
    <x v="11"/>
    <n v="289"/>
    <s v="Cd Sahagún"/>
    <s v="Cd Hidalgo"/>
    <x v="43"/>
    <x v="1"/>
    <d v="2025-08-01T00:00:00"/>
    <x v="6"/>
    <x v="3"/>
  </r>
  <r>
    <x v="911"/>
    <x v="0"/>
    <n v="8"/>
    <d v="2025-08-09T00:00:00"/>
    <d v="2025-08-09T00:00:00"/>
    <d v="2025-08-11T00:00:00"/>
    <d v="2025-08-10T00:00:00"/>
    <d v="2025-08-11T04:55:05"/>
    <n v="2039"/>
    <s v="610429"/>
    <s v="Sprinter"/>
    <n v="961"/>
    <n v="0"/>
    <s v="4366XC"/>
    <n v="1"/>
    <n v="964"/>
    <b v="1"/>
    <b v="0"/>
    <b v="0"/>
    <n v="0"/>
    <n v="0"/>
    <s v=""/>
    <s v=""/>
    <n v="0"/>
    <n v="8"/>
    <x v="11"/>
    <n v="8"/>
    <s v="Escobedo"/>
    <s v="Cd Sahagún"/>
    <x v="3"/>
    <x v="2"/>
    <d v="2025-08-01T00:00:00"/>
    <x v="6"/>
    <x v="3"/>
  </r>
  <r>
    <x v="912"/>
    <x v="0"/>
    <n v="9"/>
    <d v="2025-09-12T00:00:00"/>
    <d v="2025-09-12T00:00:00"/>
    <d v="2025-09-12T00:00:00"/>
    <d v="2025-09-12T00:00:00"/>
    <d v="2025-09-12T00:00:00"/>
    <n v="2039"/>
    <s v="610429"/>
    <s v="Sprinter"/>
    <n v="50"/>
    <n v="50"/>
    <s v="4366XC"/>
    <n v="1"/>
    <n v="150"/>
    <b v="1"/>
    <b v="0"/>
    <b v="0"/>
    <n v="231"/>
    <n v="0"/>
    <s v=""/>
    <s v=""/>
    <n v="50"/>
    <n v="359"/>
    <x v="6"/>
    <n v="359"/>
    <s v="Escobedo"/>
    <s v="Escobedo"/>
    <x v="0"/>
    <x v="2"/>
    <d v="2025-09-01T00:00:00"/>
    <x v="1"/>
    <x v="3"/>
  </r>
  <r>
    <x v="913"/>
    <x v="0"/>
    <n v="9"/>
    <d v="2025-09-12T00:00:00"/>
    <d v="2025-09-12T00:00:00"/>
    <d v="2025-09-12T00:00:00"/>
    <d v="2025-09-12T00:00:00"/>
    <d v="2025-09-12T00:00:00"/>
    <n v="2039"/>
    <s v="610429"/>
    <s v="Sprinter"/>
    <n v="50"/>
    <n v="50"/>
    <s v="4366XC"/>
    <n v="1"/>
    <n v="150"/>
    <b v="1"/>
    <b v="0"/>
    <b v="0"/>
    <n v="231"/>
    <n v="0"/>
    <s v=""/>
    <s v=""/>
    <n v="50"/>
    <n v="359"/>
    <x v="6"/>
    <n v="359"/>
    <s v="Escobedo"/>
    <s v="Escobedo"/>
    <x v="0"/>
    <x v="2"/>
    <d v="2025-09-01T00:00:00"/>
    <x v="1"/>
    <x v="3"/>
  </r>
  <r>
    <x v="914"/>
    <x v="0"/>
    <n v="9"/>
    <d v="2025-09-12T00:00:00"/>
    <d v="2025-09-12T00:00:00"/>
    <d v="2025-09-12T00:00:00"/>
    <d v="2025-09-12T00:00:00"/>
    <d v="2025-09-12T00:00:00"/>
    <n v="2039"/>
    <s v="610429"/>
    <s v="Sprinter"/>
    <n v="50"/>
    <n v="50"/>
    <s v="4366XC"/>
    <n v="1"/>
    <n v="150"/>
    <b v="1"/>
    <b v="0"/>
    <b v="0"/>
    <n v="231"/>
    <n v="0"/>
    <s v=""/>
    <s v=""/>
    <n v="50"/>
    <n v="359"/>
    <x v="6"/>
    <n v="359"/>
    <s v="Escobedo"/>
    <s v="Escobedo"/>
    <x v="0"/>
    <x v="2"/>
    <d v="2025-09-01T00:00:00"/>
    <x v="1"/>
    <x v="3"/>
  </r>
  <r>
    <x v="915"/>
    <x v="0"/>
    <n v="9"/>
    <d v="2025-09-12T00:00:00"/>
    <d v="2025-09-12T00:00:00"/>
    <d v="2025-09-12T00:00:00"/>
    <d v="2025-09-12T00:00:00"/>
    <d v="2025-09-12T00:00:00"/>
    <n v="2039"/>
    <s v="610429"/>
    <s v="Sprinter"/>
    <n v="50"/>
    <n v="50"/>
    <s v="4366XC"/>
    <n v="1"/>
    <n v="150"/>
    <b v="1"/>
    <b v="0"/>
    <b v="0"/>
    <n v="231"/>
    <n v="0"/>
    <s v=""/>
    <s v=""/>
    <n v="50"/>
    <n v="359"/>
    <x v="6"/>
    <n v="359"/>
    <s v="Escobedo"/>
    <s v="Escobedo"/>
    <x v="0"/>
    <x v="2"/>
    <d v="2025-09-01T00:00:00"/>
    <x v="1"/>
    <x v="3"/>
  </r>
  <r>
    <x v="916"/>
    <x v="0"/>
    <n v="9"/>
    <d v="2025-09-13T00:00:00"/>
    <d v="2025-09-13T00:00:00"/>
    <d v="2025-09-13T00:00:00"/>
    <d v="2025-09-13T00:00:00"/>
    <d v="2025-09-13T00:00:00"/>
    <n v="2039"/>
    <s v="610429"/>
    <s v="Sprinter"/>
    <n v="50"/>
    <n v="50"/>
    <s v="4366XC"/>
    <n v="1"/>
    <n v="150"/>
    <b v="1"/>
    <b v="0"/>
    <b v="0"/>
    <n v="231"/>
    <n v="0"/>
    <s v=""/>
    <s v=""/>
    <n v="50"/>
    <n v="359"/>
    <x v="6"/>
    <n v="359"/>
    <s v="Escobedo"/>
    <s v="Escobedo"/>
    <x v="0"/>
    <x v="2"/>
    <d v="2025-09-01T00:00:00"/>
    <x v="1"/>
    <x v="3"/>
  </r>
  <r>
    <x v="917"/>
    <x v="0"/>
    <n v="9"/>
    <d v="2025-09-13T00:00:00"/>
    <d v="2025-09-13T00:00:00"/>
    <d v="2025-09-13T00:00:00"/>
    <d v="2025-09-13T00:00:00"/>
    <d v="2025-09-13T00:00:00"/>
    <n v="2039"/>
    <s v="610429"/>
    <s v="Sprinter"/>
    <n v="50"/>
    <n v="50"/>
    <s v="4366XC"/>
    <n v="1"/>
    <n v="150"/>
    <b v="1"/>
    <b v="0"/>
    <b v="0"/>
    <n v="231"/>
    <n v="0"/>
    <s v=""/>
    <s v=""/>
    <n v="50"/>
    <n v="359"/>
    <x v="8"/>
    <n v="359"/>
    <s v="Escobedo"/>
    <s v="Escobedo"/>
    <x v="0"/>
    <x v="2"/>
    <d v="2025-09-01T00:00:00"/>
    <x v="1"/>
    <x v="3"/>
  </r>
  <r>
    <x v="918"/>
    <x v="0"/>
    <n v="9"/>
    <d v="2025-09-13T00:00:00"/>
    <d v="2025-09-13T00:00:00"/>
    <d v="2025-09-14T00:00:00"/>
    <d v="2025-09-14T00:00:00"/>
    <d v="2025-09-13T00:00:00"/>
    <n v="2039"/>
    <s v="610429"/>
    <s v="Sprinter"/>
    <n v="50"/>
    <n v="50"/>
    <s v="4366XC"/>
    <n v="1"/>
    <n v="150"/>
    <b v="1"/>
    <b v="0"/>
    <b v="0"/>
    <n v="231"/>
    <n v="0"/>
    <s v=""/>
    <s v=""/>
    <n v="50"/>
    <n v="359"/>
    <x v="8"/>
    <n v="359"/>
    <s v="Escobedo"/>
    <s v="Escobedo"/>
    <x v="0"/>
    <x v="2"/>
    <d v="2025-09-01T00:00:00"/>
    <x v="1"/>
    <x v="3"/>
  </r>
  <r>
    <x v="919"/>
    <x v="0"/>
    <n v="9"/>
    <d v="2025-09-19T00:00:00"/>
    <d v="2025-09-19T00:00:00"/>
    <d v="2025-09-19T00:00:00"/>
    <d v="2025-09-19T00:00:00"/>
    <d v="2025-09-19T14:00:06"/>
    <n v="2039"/>
    <s v="610429"/>
    <s v="Sprinter"/>
    <n v="50"/>
    <n v="50"/>
    <s v="4366XC"/>
    <n v="1"/>
    <n v="150"/>
    <b v="1"/>
    <b v="0"/>
    <b v="0"/>
    <n v="231"/>
    <n v="0"/>
    <s v=""/>
    <s v=""/>
    <n v="50"/>
    <n v="359"/>
    <x v="6"/>
    <n v="359"/>
    <s v="Escobedo"/>
    <s v="Escobedo"/>
    <x v="0"/>
    <x v="2"/>
    <d v="2025-09-01T00:00:00"/>
    <x v="1"/>
    <x v="3"/>
  </r>
  <r>
    <x v="920"/>
    <x v="0"/>
    <n v="9"/>
    <d v="2025-09-19T00:00:00"/>
    <d v="2025-09-19T00:00:00"/>
    <d v="2025-09-19T00:00:00"/>
    <d v="2025-09-19T00:00:00"/>
    <d v="2025-09-19T14:00:06"/>
    <n v="2039"/>
    <s v="610429"/>
    <s v="Sprinter"/>
    <n v="50"/>
    <n v="50"/>
    <s v="4366XC"/>
    <n v="1"/>
    <n v="150"/>
    <b v="1"/>
    <b v="0"/>
    <b v="0"/>
    <n v="231"/>
    <n v="0"/>
    <s v=""/>
    <s v=""/>
    <n v="50"/>
    <n v="359"/>
    <x v="6"/>
    <n v="359"/>
    <s v="Escobedo"/>
    <s v="Escobedo"/>
    <x v="0"/>
    <x v="2"/>
    <d v="2025-09-01T00:00:00"/>
    <x v="1"/>
    <x v="3"/>
  </r>
  <r>
    <x v="921"/>
    <x v="0"/>
    <n v="9"/>
    <d v="2025-09-19T00:00:00"/>
    <d v="2025-09-19T00:00:00"/>
    <d v="2025-09-19T00:00:00"/>
    <d v="2025-09-19T00:00:00"/>
    <d v="2025-09-19T14:00:04"/>
    <n v="2039"/>
    <s v="610429"/>
    <s v="Sprinter"/>
    <n v="50"/>
    <n v="50"/>
    <s v="4366XC"/>
    <n v="1"/>
    <n v="150"/>
    <b v="1"/>
    <b v="0"/>
    <b v="0"/>
    <n v="231"/>
    <n v="0"/>
    <s v=""/>
    <s v=""/>
    <n v="50"/>
    <n v="359"/>
    <x v="6"/>
    <n v="359"/>
    <s v="Escobedo"/>
    <s v="Escobedo"/>
    <x v="0"/>
    <x v="2"/>
    <d v="2025-09-01T00:00:00"/>
    <x v="1"/>
    <x v="3"/>
  </r>
  <r>
    <x v="922"/>
    <x v="0"/>
    <n v="9"/>
    <d v="2025-09-19T00:00:00"/>
    <d v="2025-09-19T00:00:00"/>
    <d v="2025-09-19T00:00:00"/>
    <d v="2025-09-19T00:00:00"/>
    <d v="2025-09-19T00:00:00"/>
    <n v="2039"/>
    <s v="610429"/>
    <s v="Sprinter"/>
    <n v="50"/>
    <n v="50"/>
    <s v="4366XC"/>
    <n v="1"/>
    <n v="150"/>
    <b v="1"/>
    <b v="0"/>
    <b v="0"/>
    <n v="231"/>
    <n v="0"/>
    <s v=""/>
    <s v=""/>
    <n v="50"/>
    <n v="359"/>
    <x v="6"/>
    <n v="359"/>
    <s v="Escobedo"/>
    <s v="Escobedo"/>
    <x v="0"/>
    <x v="2"/>
    <d v="2025-09-01T00:00:00"/>
    <x v="1"/>
    <x v="3"/>
  </r>
  <r>
    <x v="923"/>
    <x v="0"/>
    <n v="9"/>
    <d v="2025-09-19T00:00:00"/>
    <d v="2025-09-19T00:00:00"/>
    <d v="2025-09-19T00:00:00"/>
    <d v="2025-09-19T00:00:00"/>
    <d v="2025-09-19T00:00:00"/>
    <n v="2039"/>
    <s v="610429"/>
    <s v="Sprinter"/>
    <n v="50"/>
    <n v="50"/>
    <s v="4366XC"/>
    <n v="1"/>
    <n v="150"/>
    <b v="1"/>
    <b v="0"/>
    <b v="0"/>
    <n v="231"/>
    <n v="0"/>
    <s v=""/>
    <s v=""/>
    <n v="50"/>
    <n v="359"/>
    <x v="6"/>
    <n v="359"/>
    <s v="Escobedo"/>
    <s v="Escobedo"/>
    <x v="0"/>
    <x v="2"/>
    <d v="2025-09-01T00:00:00"/>
    <x v="1"/>
    <x v="3"/>
  </r>
  <r>
    <x v="924"/>
    <x v="0"/>
    <n v="9"/>
    <d v="2025-09-19T00:00:00"/>
    <d v="2025-09-19T00:00:00"/>
    <d v="2025-09-20T00:00:00"/>
    <d v="2025-09-19T00:00:00"/>
    <d v="2025-09-21T00:00:00"/>
    <n v="2244"/>
    <s v="775908"/>
    <s v="4700*175*195"/>
    <n v="961"/>
    <n v="1059"/>
    <s v="3727XC"/>
    <n v="1"/>
    <n v="964"/>
    <b v="1"/>
    <b v="0"/>
    <b v="0"/>
    <n v="1494"/>
    <n v="0"/>
    <s v=""/>
    <s v=""/>
    <n v="1100"/>
    <n v="8"/>
    <x v="8"/>
    <n v="8"/>
    <s v="Escobedo"/>
    <s v="Cd Sahagún"/>
    <x v="3"/>
    <x v="1"/>
    <d v="2025-09-01T00:00:00"/>
    <x v="1"/>
    <x v="3"/>
  </r>
  <r>
    <x v="925"/>
    <x v="0"/>
    <n v="9"/>
    <d v="2025-09-22T00:00:00"/>
    <d v="2025-09-22T00:00:00"/>
    <d v="2025-09-22T00:00:00"/>
    <d v="2025-09-22T00:00:00"/>
    <d v="2025-09-23T09:39:02"/>
    <n v="2039"/>
    <s v="610429"/>
    <s v="Sprinter"/>
    <n v="50"/>
    <n v="50"/>
    <s v="4366XC"/>
    <n v="1"/>
    <n v="150"/>
    <b v="1"/>
    <b v="0"/>
    <b v="0"/>
    <n v="231"/>
    <n v="0"/>
    <s v=""/>
    <s v=""/>
    <n v="50"/>
    <n v="359"/>
    <x v="6"/>
    <n v="359"/>
    <s v="Escobedo"/>
    <s v="Escobedo"/>
    <x v="0"/>
    <x v="2"/>
    <d v="2025-09-01T00:00:00"/>
    <x v="1"/>
    <x v="3"/>
  </r>
  <r>
    <x v="926"/>
    <x v="0"/>
    <n v="9"/>
    <d v="2025-09-22T00:00:00"/>
    <d v="2025-09-22T00:00:00"/>
    <d v="2025-09-22T00:00:00"/>
    <d v="2025-09-22T00:00:00"/>
    <d v="2025-09-23T09:39:03"/>
    <n v="2039"/>
    <s v="610429"/>
    <s v="Sprinter"/>
    <n v="50"/>
    <n v="50"/>
    <s v="4366XC"/>
    <n v="1"/>
    <n v="150"/>
    <b v="1"/>
    <b v="0"/>
    <b v="0"/>
    <n v="231"/>
    <n v="0"/>
    <s v=""/>
    <s v=""/>
    <n v="50"/>
    <n v="359"/>
    <x v="6"/>
    <n v="359"/>
    <s v="Escobedo"/>
    <s v="Escobedo"/>
    <x v="0"/>
    <x v="2"/>
    <d v="2025-09-01T00:00:00"/>
    <x v="1"/>
    <x v="3"/>
  </r>
  <r>
    <x v="927"/>
    <x v="0"/>
    <n v="9"/>
    <d v="2025-09-22T00:00:00"/>
    <d v="2025-09-22T00:00:00"/>
    <d v="2025-09-22T00:00:00"/>
    <d v="2025-09-22T00:00:00"/>
    <d v="2025-09-23T09:39:01"/>
    <n v="2039"/>
    <s v="610429"/>
    <s v="Sprinter"/>
    <n v="50"/>
    <n v="50"/>
    <s v="4366XC"/>
    <n v="1"/>
    <n v="150"/>
    <b v="1"/>
    <b v="0"/>
    <b v="0"/>
    <n v="231"/>
    <n v="0"/>
    <s v=""/>
    <s v=""/>
    <n v="50"/>
    <n v="359"/>
    <x v="6"/>
    <n v="359"/>
    <s v="Escobedo"/>
    <s v="Escobedo"/>
    <x v="0"/>
    <x v="2"/>
    <d v="2025-09-01T00:00:00"/>
    <x v="1"/>
    <x v="3"/>
  </r>
  <r>
    <x v="928"/>
    <x v="0"/>
    <n v="9"/>
    <d v="2025-09-22T00:00:00"/>
    <d v="2025-09-22T00:00:00"/>
    <d v="2025-09-22T00:00:00"/>
    <d v="2025-09-22T00:00:00"/>
    <d v="2025-09-23T09:39:04"/>
    <n v="2039"/>
    <s v="610429"/>
    <s v="Sprinter"/>
    <n v="50"/>
    <n v="50"/>
    <s v="4366XC"/>
    <n v="1"/>
    <n v="150"/>
    <b v="1"/>
    <b v="0"/>
    <b v="0"/>
    <n v="231"/>
    <n v="0"/>
    <s v=""/>
    <s v=""/>
    <n v="50"/>
    <n v="359"/>
    <x v="6"/>
    <n v="359"/>
    <s v="Escobedo"/>
    <s v="Escobedo"/>
    <x v="0"/>
    <x v="2"/>
    <d v="2025-09-01T00:00:00"/>
    <x v="1"/>
    <x v="3"/>
  </r>
  <r>
    <x v="929"/>
    <x v="0"/>
    <n v="9"/>
    <d v="2025-09-22T00:00:00"/>
    <d v="2025-09-22T00:00:00"/>
    <d v="2025-09-22T00:00:00"/>
    <d v="2025-09-22T00:00:00"/>
    <d v="2025-09-23T09:39:03"/>
    <n v="2039"/>
    <s v="610429"/>
    <s v="Sprinter"/>
    <n v="50"/>
    <n v="50"/>
    <s v="4366XC"/>
    <n v="1"/>
    <n v="150"/>
    <b v="1"/>
    <b v="0"/>
    <b v="0"/>
    <n v="231"/>
    <n v="0"/>
    <s v=""/>
    <s v=""/>
    <n v="50"/>
    <n v="359"/>
    <x v="6"/>
    <n v="359"/>
    <s v="Escobedo"/>
    <s v="Escobedo"/>
    <x v="0"/>
    <x v="2"/>
    <d v="2025-09-01T00:00:00"/>
    <x v="1"/>
    <x v="3"/>
  </r>
  <r>
    <x v="930"/>
    <x v="0"/>
    <n v="9"/>
    <d v="2025-09-22T00:00:00"/>
    <d v="2025-09-22T00:00:00"/>
    <d v="2025-09-22T00:00:00"/>
    <d v="2025-09-22T00:00:00"/>
    <d v="2025-09-23T09:39:05"/>
    <n v="2039"/>
    <s v="610429"/>
    <s v="Sprinter"/>
    <n v="50"/>
    <n v="50"/>
    <s v="4366XC"/>
    <n v="1"/>
    <n v="150"/>
    <b v="1"/>
    <b v="0"/>
    <b v="0"/>
    <n v="231"/>
    <n v="0"/>
    <s v=""/>
    <s v=""/>
    <n v="50"/>
    <n v="359"/>
    <x v="6"/>
    <n v="359"/>
    <s v="Escobedo"/>
    <s v="Escobedo"/>
    <x v="0"/>
    <x v="2"/>
    <d v="2025-09-01T00:00:00"/>
    <x v="1"/>
    <x v="3"/>
  </r>
  <r>
    <x v="931"/>
    <x v="0"/>
    <n v="9"/>
    <d v="2025-09-22T00:00:00"/>
    <d v="2025-09-22T00:00:00"/>
    <d v="2025-09-22T00:00:00"/>
    <d v="2025-09-22T00:00:00"/>
    <d v="2025-09-23T09:39:05"/>
    <n v="2039"/>
    <s v="610429"/>
    <s v="Sprinter"/>
    <n v="50"/>
    <n v="50"/>
    <s v="4366XC"/>
    <n v="1"/>
    <n v="150"/>
    <b v="1"/>
    <b v="0"/>
    <b v="0"/>
    <n v="231"/>
    <n v="0"/>
    <s v=""/>
    <s v=""/>
    <n v="50"/>
    <n v="359"/>
    <x v="6"/>
    <n v="359"/>
    <s v="Escobedo"/>
    <s v="Escobedo"/>
    <x v="0"/>
    <x v="2"/>
    <d v="2025-09-01T00:00:00"/>
    <x v="1"/>
    <x v="3"/>
  </r>
  <r>
    <x v="932"/>
    <x v="0"/>
    <n v="9"/>
    <d v="2025-09-22T00:00:00"/>
    <d v="2025-09-22T00:00:00"/>
    <d v="2025-09-22T00:00:00"/>
    <d v="2025-09-22T00:00:00"/>
    <d v="2025-09-23T09:39:07"/>
    <n v="2039"/>
    <s v="610429"/>
    <s v="Sprinter"/>
    <n v="50"/>
    <n v="50"/>
    <s v="4366XC"/>
    <n v="1"/>
    <n v="150"/>
    <b v="1"/>
    <b v="0"/>
    <b v="0"/>
    <n v="231"/>
    <n v="0"/>
    <s v=""/>
    <s v=""/>
    <n v="50"/>
    <n v="461"/>
    <x v="6"/>
    <n v="461"/>
    <s v="Escobedo"/>
    <s v="Monterrey"/>
    <x v="7"/>
    <x v="2"/>
    <d v="2025-09-01T00:00:00"/>
    <x v="1"/>
    <x v="3"/>
  </r>
  <r>
    <x v="933"/>
    <x v="0"/>
    <n v="9"/>
    <d v="2025-09-22T00:00:00"/>
    <d v="2025-09-22T00:00:00"/>
    <d v="2025-09-22T00:00:00"/>
    <d v="2025-09-22T00:00:00"/>
    <d v="2025-09-23T09:39:06"/>
    <n v="2039"/>
    <s v="610429"/>
    <s v="Sprinter"/>
    <n v="50"/>
    <n v="50"/>
    <s v="4366XC"/>
    <n v="1"/>
    <n v="150"/>
    <b v="1"/>
    <b v="0"/>
    <b v="0"/>
    <n v="231"/>
    <n v="0"/>
    <s v=""/>
    <s v=""/>
    <n v="50"/>
    <n v="359"/>
    <x v="6"/>
    <n v="359"/>
    <s v="Escobedo"/>
    <s v="Escobedo"/>
    <x v="0"/>
    <x v="2"/>
    <d v="2025-09-01T00:00:00"/>
    <x v="1"/>
    <x v="3"/>
  </r>
  <r>
    <x v="934"/>
    <x v="0"/>
    <n v="9"/>
    <d v="2025-09-23T00:00:00"/>
    <d v="2025-09-23T00:00:00"/>
    <d v="2025-09-23T00:00:00"/>
    <d v="2025-09-23T00:00:00"/>
    <d v="2025-09-23T16:28:19"/>
    <n v="2039"/>
    <s v="610429"/>
    <s v="Sprinter"/>
    <n v="50"/>
    <n v="50"/>
    <s v="4366XC"/>
    <n v="1"/>
    <n v="150"/>
    <b v="1"/>
    <b v="0"/>
    <b v="0"/>
    <n v="231"/>
    <n v="0"/>
    <s v=""/>
    <s v=""/>
    <n v="50"/>
    <n v="359"/>
    <x v="6"/>
    <n v="359"/>
    <s v="Escobedo"/>
    <s v="Escobedo"/>
    <x v="0"/>
    <x v="2"/>
    <d v="2025-09-01T00:00:00"/>
    <x v="1"/>
    <x v="3"/>
  </r>
  <r>
    <x v="935"/>
    <x v="0"/>
    <n v="9"/>
    <d v="2025-09-23T00:00:00"/>
    <d v="2025-09-23T00:00:00"/>
    <d v="2025-09-23T00:00:00"/>
    <d v="2025-09-23T00:00:00"/>
    <d v="2025-09-23T16:28:18"/>
    <n v="2039"/>
    <s v="610429"/>
    <s v="Sprinter"/>
    <n v="50"/>
    <n v="50"/>
    <s v="4366XC"/>
    <n v="1"/>
    <n v="150"/>
    <b v="1"/>
    <b v="0"/>
    <b v="0"/>
    <n v="231"/>
    <n v="0"/>
    <s v=""/>
    <s v=""/>
    <n v="50"/>
    <n v="359"/>
    <x v="6"/>
    <n v="359"/>
    <s v="Escobedo"/>
    <s v="Escobedo"/>
    <x v="0"/>
    <x v="2"/>
    <d v="2025-09-01T00:00:00"/>
    <x v="1"/>
    <x v="3"/>
  </r>
  <r>
    <x v="936"/>
    <x v="0"/>
    <n v="9"/>
    <d v="2025-09-23T00:00:00"/>
    <d v="2025-09-23T00:00:00"/>
    <d v="2025-09-23T00:00:00"/>
    <d v="2025-09-23T00:00:00"/>
    <d v="2025-09-23T16:28:21"/>
    <n v="2039"/>
    <s v="610429"/>
    <s v="Sprinter"/>
    <n v="50"/>
    <n v="50"/>
    <s v="4366XC"/>
    <n v="1"/>
    <n v="150"/>
    <b v="1"/>
    <b v="0"/>
    <b v="0"/>
    <n v="231"/>
    <n v="0"/>
    <s v=""/>
    <s v=""/>
    <n v="50"/>
    <n v="359"/>
    <x v="6"/>
    <n v="359"/>
    <s v="Escobedo"/>
    <s v="Escobedo"/>
    <x v="0"/>
    <x v="2"/>
    <d v="2025-09-01T00:00:00"/>
    <x v="1"/>
    <x v="3"/>
  </r>
  <r>
    <x v="937"/>
    <x v="0"/>
    <n v="9"/>
    <d v="2025-09-23T00:00:00"/>
    <d v="2025-09-23T00:00:00"/>
    <d v="2025-09-23T00:00:00"/>
    <d v="2025-09-23T00:00:00"/>
    <d v="2025-09-23T16:28:20"/>
    <n v="2039"/>
    <s v="610429"/>
    <s v="Sprinter"/>
    <n v="50"/>
    <n v="50"/>
    <s v="4366XC"/>
    <n v="1"/>
    <n v="150"/>
    <b v="1"/>
    <b v="0"/>
    <b v="0"/>
    <n v="231"/>
    <n v="0"/>
    <s v=""/>
    <s v=""/>
    <n v="50"/>
    <n v="359"/>
    <x v="6"/>
    <n v="359"/>
    <s v="Escobedo"/>
    <s v="Escobedo"/>
    <x v="0"/>
    <x v="2"/>
    <d v="2025-09-01T00:00:00"/>
    <x v="1"/>
    <x v="3"/>
  </r>
  <r>
    <x v="938"/>
    <x v="0"/>
    <n v="9"/>
    <d v="2025-09-23T00:00:00"/>
    <d v="2025-09-23T00:00:00"/>
    <d v="2025-09-23T00:00:00"/>
    <d v="2025-09-23T00:00:00"/>
    <d v="2025-09-23T16:28:22"/>
    <n v="2039"/>
    <s v="610429"/>
    <s v="Sprinter"/>
    <n v="50"/>
    <n v="50"/>
    <s v="4366XC"/>
    <n v="1"/>
    <n v="150"/>
    <b v="1"/>
    <b v="0"/>
    <b v="0"/>
    <n v="231"/>
    <n v="0"/>
    <s v=""/>
    <s v=""/>
    <n v="50"/>
    <n v="359"/>
    <x v="6"/>
    <n v="359"/>
    <s v="Escobedo"/>
    <s v="Escobedo"/>
    <x v="0"/>
    <x v="2"/>
    <d v="2025-09-01T00:00:00"/>
    <x v="1"/>
    <x v="3"/>
  </r>
  <r>
    <x v="939"/>
    <x v="0"/>
    <n v="9"/>
    <d v="2025-09-24T00:00:00"/>
    <d v="2025-09-24T00:00:00"/>
    <d v="2025-09-24T00:00:00"/>
    <d v="2025-09-24T00:00:00"/>
    <d v="2025-09-24T12:27:36"/>
    <n v="2039"/>
    <s v="610429"/>
    <s v="Sprinter"/>
    <n v="50"/>
    <n v="50"/>
    <s v="4366XC"/>
    <n v="1"/>
    <n v="150"/>
    <b v="1"/>
    <b v="0"/>
    <b v="0"/>
    <n v="231"/>
    <n v="0"/>
    <s v=""/>
    <s v=""/>
    <n v="50"/>
    <n v="359"/>
    <x v="6"/>
    <n v="359"/>
    <s v="Escobedo"/>
    <s v="Escobedo"/>
    <x v="0"/>
    <x v="2"/>
    <d v="2025-09-01T00:00:00"/>
    <x v="1"/>
    <x v="3"/>
  </r>
  <r>
    <x v="940"/>
    <x v="0"/>
    <n v="9"/>
    <d v="2025-09-24T00:00:00"/>
    <d v="2025-09-24T00:00:00"/>
    <d v="2025-09-24T00:00:00"/>
    <d v="2025-09-24T00:00:00"/>
    <d v="2025-09-24T12:27:37"/>
    <n v="2039"/>
    <s v="610429"/>
    <s v="Sprinter"/>
    <n v="50"/>
    <n v="50"/>
    <s v="4366XC"/>
    <n v="1"/>
    <n v="150"/>
    <b v="1"/>
    <b v="0"/>
    <b v="0"/>
    <n v="231"/>
    <n v="0"/>
    <s v=""/>
    <s v=""/>
    <n v="50"/>
    <n v="359"/>
    <x v="6"/>
    <n v="359"/>
    <s v="Escobedo"/>
    <s v="Escobedo"/>
    <x v="0"/>
    <x v="2"/>
    <d v="2025-09-01T00:00:00"/>
    <x v="1"/>
    <x v="3"/>
  </r>
  <r>
    <x v="941"/>
    <x v="0"/>
    <n v="9"/>
    <d v="2025-09-24T00:00:00"/>
    <d v="2025-09-24T00:00:00"/>
    <d v="2025-09-24T00:00:00"/>
    <d v="2025-09-24T00:00:00"/>
    <d v="2025-09-24T12:27:38"/>
    <n v="2039"/>
    <s v="610429"/>
    <s v="Sprinter"/>
    <n v="50"/>
    <n v="50"/>
    <s v="4366XC"/>
    <n v="1"/>
    <n v="150"/>
    <b v="1"/>
    <b v="0"/>
    <b v="0"/>
    <n v="231"/>
    <n v="0"/>
    <s v=""/>
    <s v=""/>
    <n v="50"/>
    <n v="359"/>
    <x v="6"/>
    <n v="359"/>
    <s v="Escobedo"/>
    <s v="Escobedo"/>
    <x v="0"/>
    <x v="2"/>
    <d v="2025-09-01T00:00:00"/>
    <x v="1"/>
    <x v="3"/>
  </r>
  <r>
    <x v="942"/>
    <x v="0"/>
    <n v="9"/>
    <d v="2025-09-24T00:00:00"/>
    <d v="2025-09-24T00:00:00"/>
    <d v="2025-09-24T00:00:00"/>
    <d v="2025-09-24T00:00:00"/>
    <d v="2025-09-24T22:23:46"/>
    <n v="2039"/>
    <s v="610429"/>
    <s v="Sprinter"/>
    <n v="50"/>
    <n v="50"/>
    <s v="4366XC"/>
    <n v="1"/>
    <n v="150"/>
    <b v="1"/>
    <b v="0"/>
    <b v="0"/>
    <n v="231"/>
    <n v="0"/>
    <s v=""/>
    <s v=""/>
    <n v="50"/>
    <n v="359"/>
    <x v="6"/>
    <n v="359"/>
    <s v="Escobedo"/>
    <s v="Escobedo"/>
    <x v="0"/>
    <x v="2"/>
    <d v="2025-09-01T00:00:00"/>
    <x v="1"/>
    <x v="3"/>
  </r>
  <r>
    <x v="943"/>
    <x v="0"/>
    <n v="9"/>
    <d v="2025-09-24T00:00:00"/>
    <d v="2025-09-24T00:00:00"/>
    <d v="2025-09-24T00:00:00"/>
    <d v="2025-09-24T00:00:00"/>
    <d v="2025-09-24T22:24:13"/>
    <n v="2039"/>
    <s v="610429"/>
    <s v="Sprinter"/>
    <n v="50"/>
    <n v="50"/>
    <s v="4366XC"/>
    <n v="1"/>
    <n v="150"/>
    <b v="1"/>
    <b v="0"/>
    <b v="0"/>
    <n v="231"/>
    <n v="0"/>
    <s v=""/>
    <s v=""/>
    <n v="50"/>
    <n v="359"/>
    <x v="6"/>
    <n v="359"/>
    <s v="Escobedo"/>
    <s v="Escobedo"/>
    <x v="0"/>
    <x v="2"/>
    <d v="2025-09-01T00:00:00"/>
    <x v="1"/>
    <x v="3"/>
  </r>
  <r>
    <x v="944"/>
    <x v="0"/>
    <n v="9"/>
    <d v="2025-09-25T00:00:00"/>
    <d v="2025-09-25T00:00:00"/>
    <d v="2025-09-25T00:00:00"/>
    <d v="2025-09-25T00:00:00"/>
    <d v="2025-09-26T07:48:33"/>
    <n v="2039"/>
    <s v="610429"/>
    <s v="Sprinter"/>
    <n v="50"/>
    <n v="50"/>
    <s v="4366XC"/>
    <n v="1"/>
    <n v="150"/>
    <b v="1"/>
    <b v="0"/>
    <b v="0"/>
    <n v="231"/>
    <n v="0"/>
    <s v=""/>
    <s v=""/>
    <n v="50"/>
    <n v="359"/>
    <x v="6"/>
    <n v="359"/>
    <s v="Escobedo"/>
    <s v="Escobedo"/>
    <x v="0"/>
    <x v="2"/>
    <d v="2025-09-01T00:00:00"/>
    <x v="1"/>
    <x v="3"/>
  </r>
  <r>
    <x v="945"/>
    <x v="0"/>
    <n v="9"/>
    <d v="2025-09-25T00:00:00"/>
    <d v="2025-09-25T00:00:00"/>
    <d v="2025-09-25T00:00:00"/>
    <d v="2025-09-25T00:00:00"/>
    <d v="2025-09-26T07:49:15"/>
    <n v="2039"/>
    <s v="610429"/>
    <s v="Sprinter"/>
    <n v="50"/>
    <n v="50"/>
    <s v="4366XC"/>
    <n v="1"/>
    <n v="150"/>
    <b v="1"/>
    <b v="0"/>
    <b v="0"/>
    <n v="231"/>
    <n v="0"/>
    <s v=""/>
    <s v=""/>
    <n v="50"/>
    <n v="359"/>
    <x v="6"/>
    <n v="359"/>
    <s v="Escobedo"/>
    <s v="Escobedo"/>
    <x v="0"/>
    <x v="2"/>
    <d v="2025-09-01T00:00:00"/>
    <x v="1"/>
    <x v="3"/>
  </r>
  <r>
    <x v="946"/>
    <x v="0"/>
    <n v="9"/>
    <d v="2025-09-25T00:00:00"/>
    <d v="2025-09-25T00:00:00"/>
    <d v="2025-09-25T00:00:00"/>
    <d v="2025-09-25T00:00:00"/>
    <d v="2025-09-26T07:49:55"/>
    <n v="2039"/>
    <s v="610429"/>
    <s v="Sprinter"/>
    <n v="50"/>
    <n v="50"/>
    <s v="4366XC"/>
    <n v="1"/>
    <n v="150"/>
    <b v="1"/>
    <b v="0"/>
    <b v="0"/>
    <n v="231"/>
    <n v="0"/>
    <s v=""/>
    <s v=""/>
    <n v="50"/>
    <n v="359"/>
    <x v="6"/>
    <n v="359"/>
    <s v="Escobedo"/>
    <s v="Escobedo"/>
    <x v="0"/>
    <x v="2"/>
    <d v="2025-09-01T00:00:00"/>
    <x v="1"/>
    <x v="3"/>
  </r>
  <r>
    <x v="947"/>
    <x v="0"/>
    <n v="9"/>
    <d v="2025-09-26T00:00:00"/>
    <d v="2025-09-26T00:00:00"/>
    <d v="2025-09-26T00:00:00"/>
    <d v="2025-09-26T00:00:00"/>
    <d v="2025-09-26T15:22:10"/>
    <n v="2039"/>
    <s v="610429"/>
    <s v="Sprinter"/>
    <n v="50"/>
    <n v="50"/>
    <s v="4366XC"/>
    <n v="1"/>
    <n v="150"/>
    <b v="1"/>
    <b v="0"/>
    <b v="0"/>
    <n v="231"/>
    <n v="0"/>
    <s v=""/>
    <s v=""/>
    <n v="50"/>
    <n v="359"/>
    <x v="6"/>
    <n v="359"/>
    <s v="Escobedo"/>
    <s v="Escobedo"/>
    <x v="0"/>
    <x v="2"/>
    <d v="2025-09-01T00:00:00"/>
    <x v="1"/>
    <x v="3"/>
  </r>
  <r>
    <x v="948"/>
    <x v="0"/>
    <n v="9"/>
    <d v="2025-09-26T00:00:00"/>
    <d v="2025-09-26T00:00:00"/>
    <d v="2025-09-26T00:00:00"/>
    <d v="2025-09-26T00:00:00"/>
    <d v="2025-09-26T15:22:09"/>
    <n v="2039"/>
    <s v="610429"/>
    <s v="Sprinter"/>
    <n v="50"/>
    <n v="50"/>
    <s v="4366XC"/>
    <n v="1"/>
    <n v="150"/>
    <b v="1"/>
    <b v="0"/>
    <b v="0"/>
    <n v="231"/>
    <n v="0"/>
    <s v=""/>
    <s v=""/>
    <n v="50"/>
    <n v="359"/>
    <x v="6"/>
    <n v="359"/>
    <s v="Escobedo"/>
    <s v="Escobedo"/>
    <x v="0"/>
    <x v="2"/>
    <d v="2025-09-01T00:00:00"/>
    <x v="1"/>
    <x v="3"/>
  </r>
  <r>
    <x v="949"/>
    <x v="0"/>
    <n v="9"/>
    <d v="2025-09-26T00:00:00"/>
    <d v="2025-09-26T00:00:00"/>
    <d v="2025-09-26T00:00:00"/>
    <d v="2025-09-26T00:00:00"/>
    <d v="2025-09-26T00:00:00"/>
    <n v="2039"/>
    <s v="610429"/>
    <s v="Sprinter"/>
    <n v="50"/>
    <n v="50"/>
    <s v="4366XC"/>
    <n v="1"/>
    <n v="150"/>
    <b v="1"/>
    <b v="0"/>
    <b v="0"/>
    <n v="231"/>
    <n v="0"/>
    <s v=""/>
    <s v=""/>
    <n v="50"/>
    <n v="359"/>
    <x v="6"/>
    <n v="359"/>
    <s v="Escobedo"/>
    <s v="Escobedo"/>
    <x v="0"/>
    <x v="2"/>
    <d v="2025-09-01T00:00:00"/>
    <x v="1"/>
    <x v="3"/>
  </r>
  <r>
    <x v="950"/>
    <x v="0"/>
    <n v="9"/>
    <d v="2025-09-26T00:00:00"/>
    <d v="2025-09-26T00:00:00"/>
    <d v="2025-09-26T00:00:00"/>
    <d v="2025-09-26T00:00:00"/>
    <d v="2025-09-26T15:22:10"/>
    <n v="2039"/>
    <s v="610429"/>
    <s v="Sprinter"/>
    <n v="50"/>
    <n v="50"/>
    <s v="4366XC"/>
    <n v="1"/>
    <n v="150"/>
    <b v="1"/>
    <b v="0"/>
    <b v="0"/>
    <n v="231"/>
    <n v="0"/>
    <s v=""/>
    <s v=""/>
    <n v="50"/>
    <n v="359"/>
    <x v="6"/>
    <n v="359"/>
    <s v="Escobedo"/>
    <s v="Escobedo"/>
    <x v="0"/>
    <x v="2"/>
    <d v="2025-09-01T00:00:00"/>
    <x v="1"/>
    <x v="3"/>
  </r>
  <r>
    <x v="951"/>
    <x v="0"/>
    <n v="9"/>
    <d v="2025-09-27T00:00:00"/>
    <d v="2025-09-27T00:00:00"/>
    <d v="2025-09-27T00:00:00"/>
    <d v="2025-09-27T00:00:00"/>
    <d v="2025-09-27T11:26:59"/>
    <n v="2039"/>
    <s v="610429"/>
    <s v="Sprinter"/>
    <n v="50"/>
    <n v="50"/>
    <s v="4366XC"/>
    <n v="1"/>
    <n v="150"/>
    <b v="1"/>
    <b v="0"/>
    <b v="0"/>
    <n v="231"/>
    <n v="0"/>
    <s v=""/>
    <s v=""/>
    <n v="50"/>
    <n v="359"/>
    <x v="6"/>
    <n v="359"/>
    <s v="Escobedo"/>
    <s v="Escobedo"/>
    <x v="0"/>
    <x v="2"/>
    <d v="2025-09-01T00:00:00"/>
    <x v="1"/>
    <x v="3"/>
  </r>
  <r>
    <x v="952"/>
    <x v="0"/>
    <n v="9"/>
    <d v="2025-09-27T00:00:00"/>
    <d v="2025-09-27T00:00:00"/>
    <d v="2025-09-27T00:00:00"/>
    <d v="2025-09-27T00:00:00"/>
    <d v="2025-09-27T11:27:53"/>
    <n v="2039"/>
    <s v="610429"/>
    <s v="Sprinter"/>
    <n v="50"/>
    <n v="50"/>
    <s v="4366XC"/>
    <n v="1"/>
    <n v="150"/>
    <b v="1"/>
    <b v="0"/>
    <b v="0"/>
    <n v="231"/>
    <n v="0"/>
    <s v=""/>
    <s v=""/>
    <n v="50"/>
    <n v="359"/>
    <x v="6"/>
    <n v="359"/>
    <s v="Escobedo"/>
    <s v="Escobedo"/>
    <x v="0"/>
    <x v="2"/>
    <d v="2025-09-01T00:00:00"/>
    <x v="1"/>
    <x v="3"/>
  </r>
  <r>
    <x v="953"/>
    <x v="0"/>
    <n v="9"/>
    <d v="2025-09-27T00:00:00"/>
    <d v="2025-09-27T00:00:00"/>
    <d v="2025-09-27T00:00:00"/>
    <d v="2025-09-27T00:00:00"/>
    <d v="2025-09-27T11:28:40"/>
    <n v="2039"/>
    <s v="610429"/>
    <s v="Sprinter"/>
    <n v="50"/>
    <n v="50"/>
    <s v="4366XC"/>
    <n v="1"/>
    <n v="150"/>
    <b v="1"/>
    <b v="0"/>
    <b v="0"/>
    <n v="231"/>
    <n v="0"/>
    <s v=""/>
    <s v=""/>
    <n v="50"/>
    <n v="359"/>
    <x v="6"/>
    <n v="359"/>
    <s v="Escobedo"/>
    <s v="Escobedo"/>
    <x v="0"/>
    <x v="2"/>
    <d v="2025-09-01T00:00:00"/>
    <x v="1"/>
    <x v="3"/>
  </r>
  <r>
    <x v="954"/>
    <x v="0"/>
    <n v="9"/>
    <d v="2025-09-27T00:00:00"/>
    <d v="2025-09-27T00:00:00"/>
    <d v="2025-09-27T00:00:00"/>
    <d v="2025-09-27T00:00:00"/>
    <d v="2025-09-27T14:18:07"/>
    <n v="2039"/>
    <s v="610429"/>
    <s v="Sprinter"/>
    <n v="50"/>
    <n v="50"/>
    <s v="4366XC"/>
    <n v="1"/>
    <n v="150"/>
    <b v="1"/>
    <b v="0"/>
    <b v="0"/>
    <n v="231"/>
    <n v="0"/>
    <s v=""/>
    <s v=""/>
    <n v="50"/>
    <n v="359"/>
    <x v="6"/>
    <n v="359"/>
    <s v="Escobedo"/>
    <s v="Escobedo"/>
    <x v="0"/>
    <x v="2"/>
    <d v="2025-09-01T00:00:00"/>
    <x v="1"/>
    <x v="3"/>
  </r>
  <r>
    <x v="955"/>
    <x v="0"/>
    <n v="9"/>
    <d v="2025-09-29T00:00:00"/>
    <d v="2025-09-29T00:00:00"/>
    <d v="2025-09-29T00:00:00"/>
    <d v="2025-09-29T00:00:00"/>
    <d v="2025-09-29T15:46:35"/>
    <n v="2039"/>
    <s v="610429"/>
    <s v="Sprinter"/>
    <n v="50"/>
    <n v="50"/>
    <s v="4366XC"/>
    <n v="1"/>
    <n v="150"/>
    <b v="1"/>
    <b v="0"/>
    <b v="0"/>
    <n v="231"/>
    <n v="0"/>
    <s v=""/>
    <s v=""/>
    <n v="50"/>
    <n v="308"/>
    <x v="7"/>
    <n v="308"/>
    <s v="Escobedo"/>
    <s v="Guadalupe"/>
    <x v="25"/>
    <x v="2"/>
    <d v="2025-09-01T00:00:00"/>
    <x v="1"/>
    <x v="3"/>
  </r>
  <r>
    <x v="956"/>
    <x v="0"/>
    <n v="9"/>
    <d v="2025-09-29T00:00:00"/>
    <d v="2025-09-29T00:00:00"/>
    <d v="2025-09-29T00:00:00"/>
    <d v="2025-09-29T00:00:00"/>
    <d v="2025-09-29T16:07:59"/>
    <n v="2039"/>
    <s v="610429"/>
    <s v="Sprinter"/>
    <n v="50"/>
    <n v="50"/>
    <s v="4366XC"/>
    <n v="1"/>
    <n v="150"/>
    <b v="1"/>
    <b v="0"/>
    <b v="0"/>
    <n v="231"/>
    <n v="0"/>
    <s v=""/>
    <s v=""/>
    <n v="50"/>
    <n v="359"/>
    <x v="6"/>
    <n v="359"/>
    <s v="Escobedo"/>
    <s v="Escobedo"/>
    <x v="0"/>
    <x v="2"/>
    <d v="2025-09-01T00:00:00"/>
    <x v="1"/>
    <x v="3"/>
  </r>
  <r>
    <x v="957"/>
    <x v="0"/>
    <n v="9"/>
    <d v="2025-09-29T00:00:00"/>
    <d v="2025-09-29T00:00:00"/>
    <d v="2025-09-29T00:00:00"/>
    <d v="2025-09-29T00:00:00"/>
    <d v="2025-09-29T16:09:04"/>
    <n v="2039"/>
    <s v="610429"/>
    <s v="Sprinter"/>
    <n v="50"/>
    <n v="50"/>
    <s v="4366XC"/>
    <n v="1"/>
    <n v="150"/>
    <b v="1"/>
    <b v="0"/>
    <b v="0"/>
    <n v="231"/>
    <n v="0"/>
    <s v=""/>
    <s v=""/>
    <n v="50"/>
    <n v="359"/>
    <x v="6"/>
    <n v="359"/>
    <s v="Escobedo"/>
    <s v="Escobedo"/>
    <x v="0"/>
    <x v="2"/>
    <d v="2025-09-01T00:00:00"/>
    <x v="1"/>
    <x v="3"/>
  </r>
  <r>
    <x v="958"/>
    <x v="0"/>
    <n v="9"/>
    <d v="2025-09-29T00:00:00"/>
    <d v="2025-09-29T00:00:00"/>
    <d v="2025-09-29T00:00:00"/>
    <d v="2025-09-29T00:00:00"/>
    <d v="2025-09-29T16:11:25"/>
    <n v="2039"/>
    <s v="610429"/>
    <s v="Sprinter"/>
    <n v="50"/>
    <n v="50"/>
    <s v="4366XC"/>
    <n v="1"/>
    <n v="150"/>
    <b v="1"/>
    <b v="0"/>
    <b v="0"/>
    <n v="231"/>
    <n v="0"/>
    <s v=""/>
    <s v=""/>
    <n v="50"/>
    <n v="359"/>
    <x v="6"/>
    <n v="359"/>
    <s v="Escobedo"/>
    <s v="Escobedo"/>
    <x v="0"/>
    <x v="2"/>
    <d v="2025-09-01T00:00:00"/>
    <x v="1"/>
    <x v="3"/>
  </r>
  <r>
    <x v="959"/>
    <x v="0"/>
    <n v="9"/>
    <d v="2025-09-29T00:00:00"/>
    <d v="2025-09-29T00:00:00"/>
    <d v="2025-09-29T00:00:00"/>
    <d v="2025-09-29T00:00:00"/>
    <d v="2025-09-29T18:21:00"/>
    <n v="2039"/>
    <s v="610429"/>
    <s v="Sprinter"/>
    <n v="50"/>
    <n v="50"/>
    <s v="4366XC"/>
    <n v="1"/>
    <n v="150"/>
    <b v="1"/>
    <b v="0"/>
    <b v="0"/>
    <n v="231"/>
    <n v="0"/>
    <s v=""/>
    <s v=""/>
    <n v="50"/>
    <n v="359"/>
    <x v="6"/>
    <n v="359"/>
    <s v="Escobedo"/>
    <s v="Escobedo"/>
    <x v="0"/>
    <x v="2"/>
    <d v="2025-09-01T00:00:00"/>
    <x v="1"/>
    <x v="3"/>
  </r>
  <r>
    <x v="960"/>
    <x v="0"/>
    <n v="9"/>
    <d v="2025-09-15T00:00:00"/>
    <d v="2025-09-15T00:00:00"/>
    <d v="2025-09-17T00:00:00"/>
    <d v="2025-09-16T00:00:00"/>
    <d v="2025-09-17T00:00:00"/>
    <n v="2244"/>
    <s v="775908"/>
    <s v="4700*175*195"/>
    <n v="961"/>
    <n v="0"/>
    <s v="3727XC"/>
    <n v="1"/>
    <n v="964"/>
    <b v="1"/>
    <b v="0"/>
    <b v="0"/>
    <n v="0"/>
    <n v="0"/>
    <s v=""/>
    <s v="SALIDA DE PATIO 18:00 HRS PUNTUALES"/>
    <n v="0"/>
    <n v="8"/>
    <x v="2"/>
    <n v="8"/>
    <s v="Escobedo"/>
    <s v="Cd Sahagún"/>
    <x v="3"/>
    <x v="1"/>
    <d v="2025-09-01T00:00:00"/>
    <x v="1"/>
    <x v="3"/>
  </r>
  <r>
    <x v="961"/>
    <x v="0"/>
    <n v="9"/>
    <d v="2025-09-20T00:00:00"/>
    <d v="2025-09-20T00:00:00"/>
    <d v="2025-09-23T00:00:00"/>
    <d v="2025-09-22T00:00:00"/>
    <d v="2025-09-22T00:00:00"/>
    <n v="2050"/>
    <s v="775908"/>
    <s v="4700*175*195"/>
    <n v="961"/>
    <n v="0"/>
    <s v="6551XC"/>
    <n v="1"/>
    <n v="964"/>
    <b v="1"/>
    <b v="0"/>
    <b v="0"/>
    <n v="0"/>
    <n v="0"/>
    <s v=""/>
    <s v=""/>
    <n v="0"/>
    <n v="4852"/>
    <x v="11"/>
    <n v="4852"/>
    <s v="Guerrero"/>
    <s v="Veracruz"/>
    <x v="1"/>
    <x v="1"/>
    <d v="2025-09-01T00:00:00"/>
    <x v="1"/>
    <x v="3"/>
  </r>
  <r>
    <x v="962"/>
    <x v="0"/>
    <n v="9"/>
    <d v="2025-09-26T00:00:00"/>
    <d v="2025-09-26T00:00:00"/>
    <d v="2025-09-30T00:00:00"/>
    <d v="2025-09-28T00:00:00"/>
    <d v="2025-09-29T00:00:00"/>
    <n v="2244"/>
    <s v="775908"/>
    <s v="4700*175*195"/>
    <n v="2528"/>
    <n v="1264"/>
    <s v="3727XC"/>
    <n v="1"/>
    <n v="1264"/>
    <b v="1"/>
    <b v="0"/>
    <b v="0"/>
    <n v="1746"/>
    <n v="0"/>
    <s v=""/>
    <s v="Cita en Base Sahagún 2:00 pm"/>
    <n v="1300"/>
    <n v="4852"/>
    <x v="11"/>
    <n v="4852"/>
    <s v="Guerrero"/>
    <s v="Veracruz"/>
    <x v="1"/>
    <x v="1"/>
    <d v="2025-09-01T00:00:00"/>
    <x v="1"/>
    <x v="3"/>
  </r>
  <r>
    <x v="963"/>
    <x v="0"/>
    <n v="10"/>
    <d v="2025-10-16T00:00:00"/>
    <d v="2025-10-16T00:00:00"/>
    <d v="2025-10-18T00:00:00"/>
    <d v="2025-10-17T00:00:00"/>
    <d v="2025-10-18T00:00:00"/>
    <n v="2244"/>
    <s v="775908"/>
    <s v="4700*175*195"/>
    <n v="842"/>
    <n v="842"/>
    <s v="3727XC"/>
    <n v="1"/>
    <n v="863"/>
    <b v="1"/>
    <b v="0"/>
    <b v="0"/>
    <n v="1213"/>
    <n v="0"/>
    <s v=""/>
    <s v=""/>
    <n v="900"/>
    <n v="1843"/>
    <x v="7"/>
    <n v="1843"/>
    <s v="Escobedo"/>
    <s v="Mazatlan"/>
    <x v="17"/>
    <x v="1"/>
    <d v="2025-10-01T00:00:00"/>
    <x v="13"/>
    <x v="3"/>
  </r>
  <r>
    <x v="964"/>
    <x v="0"/>
    <n v="10"/>
    <d v="2025-10-16T00:00:00"/>
    <d v="2025-10-18T00:00:00"/>
    <d v="2025-10-20T00:00:00"/>
    <d v="2025-10-19T00:00:00"/>
    <d v="2025-10-20T00:00:00"/>
    <n v="2244"/>
    <s v="775908"/>
    <s v="4700*175*195"/>
    <n v="842"/>
    <n v="842"/>
    <s v="3727XC"/>
    <n v="1"/>
    <n v="863"/>
    <b v="1"/>
    <b v="0"/>
    <b v="0"/>
    <n v="1213"/>
    <n v="0"/>
    <s v=""/>
    <s v=""/>
    <n v="900"/>
    <n v="1843"/>
    <x v="7"/>
    <n v="1843"/>
    <s v="Escobedo"/>
    <s v="Mazatlan"/>
    <x v="17"/>
    <x v="1"/>
    <d v="2025-10-01T00:00:00"/>
    <x v="13"/>
    <x v="3"/>
  </r>
  <r>
    <x v="965"/>
    <x v="0"/>
    <n v="10"/>
    <d v="2025-10-21T00:00:00"/>
    <d v="2025-10-21T00:00:00"/>
    <d v="2025-10-22T00:00:00"/>
    <d v="2025-10-21T00:00:00"/>
    <d v="2025-10-24T00:00:00"/>
    <n v="2244"/>
    <s v="775908"/>
    <s v="4700*175*195"/>
    <n v="842"/>
    <n v="842"/>
    <s v="3727XC"/>
    <n v="1"/>
    <n v="863"/>
    <b v="1"/>
    <b v="0"/>
    <b v="0"/>
    <n v="1213"/>
    <n v="0"/>
    <s v=""/>
    <s v=""/>
    <n v="900"/>
    <n v="1843"/>
    <x v="8"/>
    <n v="1843"/>
    <s v="Escobedo"/>
    <s v="Mazatlan"/>
    <x v="17"/>
    <x v="1"/>
    <d v="2025-10-01T00:00:00"/>
    <x v="13"/>
    <x v="3"/>
  </r>
  <r>
    <x v="966"/>
    <x v="0"/>
    <n v="10"/>
    <d v="2025-10-24T00:00:00"/>
    <d v="2025-10-24T00:00:00"/>
    <d v="2025-10-25T00:00:00"/>
    <d v="2025-10-24T00:00:00"/>
    <d v="2025-10-25T00:00:00"/>
    <n v="2244"/>
    <s v="775908"/>
    <s v="4700*175*195"/>
    <n v="961"/>
    <n v="1059"/>
    <s v="3727XC"/>
    <n v="1"/>
    <n v="964"/>
    <b v="1"/>
    <b v="0"/>
    <b v="0"/>
    <n v="1494"/>
    <n v="0"/>
    <s v=""/>
    <s v="LLevarse a Jorge Arturo Rocillo"/>
    <n v="1100"/>
    <n v="194"/>
    <x v="7"/>
    <n v="194"/>
    <s v="Escobedo"/>
    <s v="Escobedo"/>
    <x v="0"/>
    <x v="1"/>
    <d v="2025-10-01T00:00:00"/>
    <x v="13"/>
    <x v="3"/>
  </r>
  <r>
    <x v="967"/>
    <x v="0"/>
    <n v="10"/>
    <d v="2025-10-06T00:00:00"/>
    <d v="2025-10-06T00:00:00"/>
    <d v="2025-10-07T00:00:00"/>
    <d v="2025-10-06T00:00:00"/>
    <d v="2025-10-07T00:00:00"/>
    <n v="2244"/>
    <s v="775908"/>
    <s v="4700*175*195"/>
    <n v="961"/>
    <n v="1059"/>
    <s v="3727XC"/>
    <n v="1"/>
    <n v="964"/>
    <b v="1"/>
    <b v="0"/>
    <b v="0"/>
    <n v="1494"/>
    <n v="0"/>
    <s v=""/>
    <s v=""/>
    <n v="1100"/>
    <n v="8"/>
    <x v="7"/>
    <n v="8"/>
    <s v="Escobedo"/>
    <s v="Cd Sahagún"/>
    <x v="3"/>
    <x v="1"/>
    <d v="2025-10-01T00:00:00"/>
    <x v="13"/>
    <x v="3"/>
  </r>
  <r>
    <x v="968"/>
    <x v="0"/>
    <n v="10"/>
    <d v="2025-10-10T00:00:00"/>
    <d v="2025-10-10T00:00:00"/>
    <d v="2025-10-12T00:00:00"/>
    <d v="2025-10-11T00:00:00"/>
    <d v="2025-10-12T06:46:19"/>
    <n v="2244"/>
    <s v="775908"/>
    <s v="4700*175*195"/>
    <n v="961"/>
    <n v="0"/>
    <s v="3727XC"/>
    <n v="1"/>
    <n v="964"/>
    <b v="1"/>
    <b v="0"/>
    <b v="0"/>
    <n v="0"/>
    <n v="0"/>
    <s v=""/>
    <s v=""/>
    <n v="0"/>
    <n v="8"/>
    <x v="11"/>
    <n v="8"/>
    <s v="Escobedo"/>
    <s v="Cd Sahagún"/>
    <x v="3"/>
    <x v="1"/>
    <d v="2025-10-01T00:00:00"/>
    <x v="13"/>
    <x v="3"/>
  </r>
  <r>
    <x v="969"/>
    <x v="0"/>
    <n v="10"/>
    <d v="2025-10-03T00:00:00"/>
    <d v="2025-10-03T00:00:00"/>
    <d v="2025-10-13T00:00:00"/>
    <d v="2025-10-05T00:00:00"/>
    <d v="2025-10-06T00:00:00"/>
    <n v="2244"/>
    <s v="775908"/>
    <s v="4700*175*195"/>
    <n v="961"/>
    <n v="0"/>
    <s v="3727XC"/>
    <n v="1"/>
    <n v="964"/>
    <b v="1"/>
    <b v="0"/>
    <b v="0"/>
    <n v="0"/>
    <n v="0"/>
    <s v=""/>
    <s v="Cita en patio 4:00 pm."/>
    <n v="0"/>
    <n v="8"/>
    <x v="11"/>
    <n v="8"/>
    <s v="Escobedo"/>
    <s v="Cd Sahagún"/>
    <x v="3"/>
    <x v="1"/>
    <d v="2025-10-01T00:00:00"/>
    <x v="13"/>
    <x v="3"/>
  </r>
  <r>
    <x v="970"/>
    <x v="0"/>
    <n v="10"/>
    <d v="2025-10-31T00:00:00"/>
    <d v="2023-09-16T00:00:00"/>
    <d v="2025-11-03T00:00:00"/>
    <d v="2025-11-02T00:00:00"/>
    <d v="2025-11-03T00:00:00"/>
    <n v="2244"/>
    <s v="626955"/>
    <s v="Sprinter"/>
    <n v="961"/>
    <n v="0"/>
    <s v="3727XC"/>
    <n v="1"/>
    <n v="964"/>
    <b v="1"/>
    <b v="0"/>
    <b v="0"/>
    <n v="0"/>
    <n v="0"/>
    <s v=""/>
    <s v=""/>
    <n v="0"/>
    <n v="8"/>
    <x v="11"/>
    <n v="8"/>
    <s v="Escobedo"/>
    <s v="Cd Sahagún"/>
    <x v="3"/>
    <x v="0"/>
    <d v="2025-10-01T00:00:00"/>
    <x v="13"/>
    <x v="3"/>
  </r>
  <r>
    <x v="971"/>
    <x v="0"/>
    <n v="10"/>
    <d v="2025-10-07T00:00:00"/>
    <d v="2025-10-07T00:00:00"/>
    <d v="2025-10-08T00:00:00"/>
    <d v="2025-10-07T00:00:00"/>
    <d v="2025-10-09T00:00:00"/>
    <n v="2244"/>
    <s v="775908"/>
    <s v="4700*175*195"/>
    <n v="2528"/>
    <n v="1264"/>
    <s v="3727XC"/>
    <n v="1"/>
    <n v="1264"/>
    <b v="1"/>
    <b v="0"/>
    <b v="0"/>
    <n v="1746"/>
    <n v="0"/>
    <s v=""/>
    <s v=""/>
    <n v="1300"/>
    <n v="98"/>
    <x v="11"/>
    <n v="98"/>
    <s v="Cd Sahagún"/>
    <s v="Culiacan"/>
    <x v="2"/>
    <x v="1"/>
    <d v="2025-10-01T00:00:00"/>
    <x v="13"/>
    <x v="3"/>
  </r>
  <r>
    <x v="972"/>
    <x v="0"/>
    <n v="11"/>
    <d v="2025-11-07T00:00:00"/>
    <d v="2025-11-07T00:00:00"/>
    <d v="2025-11-07T00:00:00"/>
    <d v="2025-11-07T00:00:00"/>
    <d v="2025-11-07T17:15:50"/>
    <n v="2039"/>
    <s v="626955"/>
    <s v="Sprinter"/>
    <n v="50"/>
    <n v="50"/>
    <s v="4366XC"/>
    <n v="1"/>
    <n v="150"/>
    <b v="1"/>
    <b v="0"/>
    <b v="0"/>
    <n v="231"/>
    <n v="0"/>
    <s v=""/>
    <s v=""/>
    <n v="50"/>
    <n v="359"/>
    <x v="6"/>
    <n v="359"/>
    <s v="Escobedo"/>
    <s v="Escobedo"/>
    <x v="0"/>
    <x v="0"/>
    <d v="2025-11-01T00:00:00"/>
    <x v="7"/>
    <x v="3"/>
  </r>
  <r>
    <x v="973"/>
    <x v="0"/>
    <n v="11"/>
    <d v="2025-11-07T00:00:00"/>
    <d v="2025-11-07T00:00:00"/>
    <d v="2025-11-07T00:00:00"/>
    <d v="2025-11-07T00:00:00"/>
    <d v="2025-11-07T00:00:00"/>
    <n v="2039"/>
    <s v="626955"/>
    <s v="Sprinter"/>
    <n v="50"/>
    <n v="50"/>
    <s v="4366XC"/>
    <n v="1"/>
    <n v="150"/>
    <b v="1"/>
    <b v="0"/>
    <b v="0"/>
    <n v="231"/>
    <n v="0"/>
    <s v=""/>
    <s v=""/>
    <n v="50"/>
    <n v="359"/>
    <x v="6"/>
    <n v="359"/>
    <s v="Escobedo"/>
    <s v="Escobedo"/>
    <x v="0"/>
    <x v="0"/>
    <d v="2025-11-01T00:00:00"/>
    <x v="7"/>
    <x v="3"/>
  </r>
  <r>
    <x v="974"/>
    <x v="0"/>
    <n v="11"/>
    <d v="2025-11-07T00:00:00"/>
    <d v="2025-11-07T00:00:00"/>
    <d v="2025-11-07T00:00:00"/>
    <d v="2025-11-07T00:00:00"/>
    <d v="2025-11-07T00:00:00"/>
    <n v="2039"/>
    <s v="626955"/>
    <s v="Sprinter"/>
    <n v="50"/>
    <n v="50"/>
    <s v="4366XC"/>
    <n v="1"/>
    <n v="150"/>
    <b v="1"/>
    <b v="0"/>
    <b v="0"/>
    <n v="231"/>
    <n v="0"/>
    <s v=""/>
    <s v=""/>
    <n v="50"/>
    <n v="359"/>
    <x v="6"/>
    <n v="359"/>
    <s v="Escobedo"/>
    <s v="Escobedo"/>
    <x v="0"/>
    <x v="0"/>
    <d v="2025-11-01T00:00:00"/>
    <x v="7"/>
    <x v="3"/>
  </r>
  <r>
    <x v="975"/>
    <x v="0"/>
    <n v="11"/>
    <d v="2025-11-07T00:00:00"/>
    <d v="2025-11-07T00:00:00"/>
    <d v="2025-11-07T00:00:00"/>
    <d v="2025-11-07T00:00:00"/>
    <d v="2025-11-07T00:00:00"/>
    <n v="2039"/>
    <s v="626955"/>
    <s v="Sprinter"/>
    <n v="50"/>
    <n v="50"/>
    <s v="4366XC"/>
    <n v="1"/>
    <n v="150"/>
    <b v="1"/>
    <b v="0"/>
    <b v="0"/>
    <n v="231"/>
    <n v="0"/>
    <s v=""/>
    <s v=""/>
    <n v="50"/>
    <n v="359"/>
    <x v="6"/>
    <n v="359"/>
    <s v="Escobedo"/>
    <s v="Escobedo"/>
    <x v="0"/>
    <x v="0"/>
    <d v="2025-11-01T00:00:00"/>
    <x v="7"/>
    <x v="3"/>
  </r>
  <r>
    <x v="976"/>
    <x v="0"/>
    <n v="11"/>
    <d v="2025-11-07T00:00:00"/>
    <d v="2025-11-07T00:00:00"/>
    <d v="2025-11-07T00:00:00"/>
    <d v="2025-11-07T00:00:00"/>
    <d v="2025-11-07T00:00:00"/>
    <n v="2039"/>
    <s v="626955"/>
    <s v="Sprinter"/>
    <n v="50"/>
    <n v="50"/>
    <s v="4366XC"/>
    <n v="1"/>
    <n v="150"/>
    <b v="1"/>
    <b v="0"/>
    <b v="0"/>
    <n v="231"/>
    <n v="0"/>
    <s v=""/>
    <s v=""/>
    <n v="50"/>
    <n v="359"/>
    <x v="6"/>
    <n v="359"/>
    <s v="Escobedo"/>
    <s v="Escobedo"/>
    <x v="0"/>
    <x v="0"/>
    <d v="2025-11-01T00:00:00"/>
    <x v="7"/>
    <x v="3"/>
  </r>
  <r>
    <x v="977"/>
    <x v="0"/>
    <n v="11"/>
    <d v="2025-11-08T00:00:00"/>
    <d v="2025-11-08T00:00:00"/>
    <d v="2025-11-08T00:00:00"/>
    <d v="2025-11-08T00:00:00"/>
    <d v="2025-11-08T00:00:00"/>
    <n v="2039"/>
    <s v="626955"/>
    <s v="Sprinter"/>
    <n v="50"/>
    <n v="50"/>
    <s v="4366XC"/>
    <n v="1"/>
    <n v="150"/>
    <b v="1"/>
    <b v="0"/>
    <b v="0"/>
    <n v="231"/>
    <n v="0"/>
    <s v=""/>
    <s v=""/>
    <n v="50"/>
    <n v="359"/>
    <x v="6"/>
    <n v="359"/>
    <s v="Escobedo"/>
    <s v="Escobedo"/>
    <x v="0"/>
    <x v="0"/>
    <d v="2025-11-01T00:00:00"/>
    <x v="7"/>
    <x v="3"/>
  </r>
  <r>
    <x v="978"/>
    <x v="0"/>
    <n v="11"/>
    <d v="2025-11-07T00:00:00"/>
    <d v="2025-11-08T00:00:00"/>
    <d v="2025-11-08T00:00:00"/>
    <d v="2025-11-08T00:00:00"/>
    <d v="2025-11-08T00:00:00"/>
    <n v="2039"/>
    <s v="626955"/>
    <s v="Sprinter"/>
    <n v="50"/>
    <n v="50"/>
    <s v="4366XC"/>
    <n v="1"/>
    <n v="150"/>
    <b v="1"/>
    <b v="0"/>
    <b v="0"/>
    <n v="231"/>
    <n v="0"/>
    <s v=""/>
    <s v=""/>
    <n v="50"/>
    <n v="359"/>
    <x v="6"/>
    <n v="359"/>
    <s v="Escobedo"/>
    <s v="Escobedo"/>
    <x v="0"/>
    <x v="0"/>
    <d v="2025-11-01T00:00:00"/>
    <x v="7"/>
    <x v="3"/>
  </r>
  <r>
    <x v="979"/>
    <x v="0"/>
    <n v="11"/>
    <d v="2025-11-08T00:00:00"/>
    <d v="2025-11-08T00:00:00"/>
    <d v="2025-11-08T00:00:00"/>
    <d v="2025-11-08T00:00:00"/>
    <d v="2025-11-08T14:42:36"/>
    <n v="2039"/>
    <s v="626955"/>
    <s v="Sprinter"/>
    <n v="50"/>
    <n v="50"/>
    <s v="4366XC"/>
    <n v="1"/>
    <n v="150"/>
    <b v="1"/>
    <b v="0"/>
    <b v="0"/>
    <n v="231"/>
    <n v="0"/>
    <s v=""/>
    <s v=""/>
    <n v="50"/>
    <n v="359"/>
    <x v="6"/>
    <n v="359"/>
    <s v="Escobedo"/>
    <s v="Escobedo"/>
    <x v="0"/>
    <x v="0"/>
    <d v="2025-11-01T00:00:00"/>
    <x v="7"/>
    <x v="3"/>
  </r>
  <r>
    <x v="980"/>
    <x v="0"/>
    <n v="11"/>
    <d v="2025-11-08T00:00:00"/>
    <d v="2025-11-08T00:00:00"/>
    <d v="2025-11-08T00:00:00"/>
    <d v="2025-11-08T00:00:00"/>
    <d v="2025-11-08T00:00:00"/>
    <n v="2039"/>
    <s v="626955"/>
    <s v="Sprinter"/>
    <n v="50"/>
    <n v="50"/>
    <s v="4366XC"/>
    <n v="1"/>
    <n v="150"/>
    <b v="1"/>
    <b v="0"/>
    <b v="0"/>
    <n v="231"/>
    <n v="0"/>
    <s v=""/>
    <s v=""/>
    <n v="50"/>
    <n v="359"/>
    <x v="6"/>
    <n v="359"/>
    <s v="Escobedo"/>
    <s v="Escobedo"/>
    <x v="0"/>
    <x v="0"/>
    <d v="2025-11-01T00:00:00"/>
    <x v="7"/>
    <x v="3"/>
  </r>
  <r>
    <x v="981"/>
    <x v="0"/>
    <n v="11"/>
    <d v="2025-11-08T00:00:00"/>
    <d v="2025-11-08T00:00:00"/>
    <d v="2025-11-08T00:00:00"/>
    <d v="2025-11-08T00:00:00"/>
    <d v="2025-11-08T00:00:00"/>
    <n v="2039"/>
    <s v="626955"/>
    <s v="Sprinter"/>
    <n v="50"/>
    <n v="50"/>
    <s v="4366XC"/>
    <n v="1"/>
    <n v="150"/>
    <b v="1"/>
    <b v="0"/>
    <b v="0"/>
    <n v="231"/>
    <n v="0"/>
    <s v=""/>
    <s v=""/>
    <n v="50"/>
    <n v="359"/>
    <x v="6"/>
    <n v="359"/>
    <s v="Escobedo"/>
    <s v="Escobedo"/>
    <x v="0"/>
    <x v="0"/>
    <d v="2025-11-01T00:00:00"/>
    <x v="7"/>
    <x v="3"/>
  </r>
  <r>
    <x v="982"/>
    <x v="0"/>
    <n v="11"/>
    <d v="2025-11-09T00:00:00"/>
    <d v="2025-11-09T00:00:00"/>
    <d v="2025-11-09T00:00:00"/>
    <d v="2025-11-09T00:00:00"/>
    <d v="2025-11-10T08:44:54"/>
    <n v="2039"/>
    <s v="626955"/>
    <s v="Sprinter"/>
    <n v="50"/>
    <n v="50"/>
    <s v="4366XC"/>
    <n v="1"/>
    <n v="150"/>
    <b v="1"/>
    <b v="0"/>
    <b v="0"/>
    <n v="231"/>
    <n v="0"/>
    <s v=""/>
    <s v=""/>
    <n v="50"/>
    <n v="359"/>
    <x v="6"/>
    <n v="359"/>
    <s v="Escobedo"/>
    <s v="Escobedo"/>
    <x v="0"/>
    <x v="0"/>
    <d v="2025-11-01T00:00:00"/>
    <x v="7"/>
    <x v="3"/>
  </r>
  <r>
    <x v="983"/>
    <x v="0"/>
    <n v="11"/>
    <d v="2025-11-09T00:00:00"/>
    <d v="2025-11-09T00:00:00"/>
    <d v="2025-11-09T00:00:00"/>
    <d v="2025-11-09T00:00:00"/>
    <d v="2025-11-10T10:54:00"/>
    <n v="2039"/>
    <s v="626955"/>
    <s v="Sprinter"/>
    <n v="50"/>
    <n v="50"/>
    <s v="4366XC"/>
    <n v="1"/>
    <n v="150"/>
    <b v="1"/>
    <b v="0"/>
    <b v="0"/>
    <n v="231"/>
    <n v="0"/>
    <s v=""/>
    <s v=""/>
    <n v="50"/>
    <n v="359"/>
    <x v="6"/>
    <n v="359"/>
    <s v="Escobedo"/>
    <s v="Escobedo"/>
    <x v="0"/>
    <x v="0"/>
    <d v="2025-11-01T00:00:00"/>
    <x v="7"/>
    <x v="3"/>
  </r>
  <r>
    <x v="984"/>
    <x v="0"/>
    <n v="11"/>
    <d v="2025-11-10T00:00:00"/>
    <d v="2025-11-10T00:00:00"/>
    <d v="2025-11-10T00:00:00"/>
    <d v="2025-11-10T00:00:00"/>
    <d v="2025-11-10T15:22:09"/>
    <n v="2039"/>
    <s v="626955"/>
    <s v="Sprinter"/>
    <n v="50"/>
    <n v="50"/>
    <s v="4366XC"/>
    <n v="1"/>
    <n v="150"/>
    <b v="1"/>
    <b v="0"/>
    <b v="0"/>
    <n v="231"/>
    <n v="0"/>
    <s v=""/>
    <s v=""/>
    <n v="50"/>
    <n v="359"/>
    <x v="7"/>
    <n v="359"/>
    <s v="Escobedo"/>
    <s v="Escobedo"/>
    <x v="0"/>
    <x v="0"/>
    <d v="2025-11-01T00:00:00"/>
    <x v="7"/>
    <x v="3"/>
  </r>
  <r>
    <x v="985"/>
    <x v="0"/>
    <n v="11"/>
    <d v="2025-11-10T00:00:00"/>
    <d v="2025-11-10T00:00:00"/>
    <d v="2025-11-10T00:00:00"/>
    <d v="2025-11-10T00:00:00"/>
    <d v="2025-11-10T00:00:00"/>
    <n v="2039"/>
    <s v="626955"/>
    <s v="Sprinter"/>
    <n v="50"/>
    <n v="50"/>
    <s v="4366XC"/>
    <n v="1"/>
    <n v="150"/>
    <b v="1"/>
    <b v="0"/>
    <b v="0"/>
    <n v="231"/>
    <n v="0"/>
    <s v=""/>
    <s v=""/>
    <n v="50"/>
    <n v="359"/>
    <x v="6"/>
    <n v="359"/>
    <s v="Escobedo"/>
    <s v="Escobedo"/>
    <x v="0"/>
    <x v="0"/>
    <d v="2025-11-01T00:00:00"/>
    <x v="7"/>
    <x v="3"/>
  </r>
  <r>
    <x v="986"/>
    <x v="0"/>
    <n v="11"/>
    <d v="2025-11-10T00:00:00"/>
    <d v="2025-11-10T00:00:00"/>
    <d v="2025-11-10T00:00:00"/>
    <d v="2025-11-10T00:00:00"/>
    <d v="2025-11-10T16:17:44"/>
    <n v="2039"/>
    <s v="626955"/>
    <s v="Sprinter"/>
    <n v="50"/>
    <n v="50"/>
    <s v="4366XC"/>
    <n v="1"/>
    <n v="150"/>
    <b v="1"/>
    <b v="0"/>
    <b v="0"/>
    <n v="231"/>
    <n v="0"/>
    <s v=""/>
    <s v=""/>
    <n v="50"/>
    <n v="359"/>
    <x v="6"/>
    <n v="359"/>
    <s v="Escobedo"/>
    <s v="Escobedo"/>
    <x v="0"/>
    <x v="0"/>
    <d v="2025-11-01T00:00:00"/>
    <x v="7"/>
    <x v="3"/>
  </r>
  <r>
    <x v="987"/>
    <x v="0"/>
    <n v="11"/>
    <d v="2025-11-10T00:00:00"/>
    <d v="2025-11-10T00:00:00"/>
    <d v="2025-11-10T00:00:00"/>
    <d v="2025-11-10T00:00:00"/>
    <d v="2025-11-10T00:00:00"/>
    <n v="2039"/>
    <s v="626955"/>
    <s v="Sprinter"/>
    <n v="50"/>
    <n v="50"/>
    <s v="4366XC"/>
    <n v="1"/>
    <n v="150"/>
    <b v="1"/>
    <b v="0"/>
    <b v="0"/>
    <n v="231"/>
    <n v="0"/>
    <s v=""/>
    <s v=""/>
    <n v="50"/>
    <n v="359"/>
    <x v="6"/>
    <n v="359"/>
    <s v="Escobedo"/>
    <s v="Escobedo"/>
    <x v="0"/>
    <x v="0"/>
    <d v="2025-11-01T00:00:00"/>
    <x v="7"/>
    <x v="3"/>
  </r>
  <r>
    <x v="988"/>
    <x v="0"/>
    <n v="11"/>
    <d v="2025-11-10T00:00:00"/>
    <d v="2025-11-10T00:00:00"/>
    <d v="2025-11-10T00:00:00"/>
    <d v="2025-11-10T00:00:00"/>
    <d v="2025-11-10T00:00:00"/>
    <n v="2039"/>
    <s v="626955"/>
    <s v="Sprinter"/>
    <n v="50"/>
    <n v="50"/>
    <s v="4366XC"/>
    <n v="1"/>
    <n v="150"/>
    <b v="1"/>
    <b v="0"/>
    <b v="0"/>
    <n v="231"/>
    <n v="0"/>
    <s v=""/>
    <s v=""/>
    <n v="50"/>
    <n v="359"/>
    <x v="6"/>
    <n v="359"/>
    <s v="Escobedo"/>
    <s v="Escobedo"/>
    <x v="0"/>
    <x v="0"/>
    <d v="2025-11-01T00:00:00"/>
    <x v="7"/>
    <x v="3"/>
  </r>
  <r>
    <x v="989"/>
    <x v="0"/>
    <n v="11"/>
    <d v="2025-11-10T00:00:00"/>
    <d v="2025-11-10T00:00:00"/>
    <d v="2025-11-10T00:00:00"/>
    <d v="2025-11-10T00:00:00"/>
    <d v="2025-11-10T00:00:00"/>
    <n v="2039"/>
    <s v="626955"/>
    <s v="Sprinter"/>
    <n v="50"/>
    <n v="50"/>
    <s v="4366XC"/>
    <n v="1"/>
    <n v="150"/>
    <b v="1"/>
    <b v="0"/>
    <b v="0"/>
    <n v="231"/>
    <n v="0"/>
    <s v=""/>
    <s v=""/>
    <n v="50"/>
    <n v="359"/>
    <x v="6"/>
    <n v="359"/>
    <s v="Escobedo"/>
    <s v="Escobedo"/>
    <x v="0"/>
    <x v="0"/>
    <d v="2025-11-01T00:00:00"/>
    <x v="7"/>
    <x v="3"/>
  </r>
  <r>
    <x v="990"/>
    <x v="0"/>
    <n v="11"/>
    <d v="2025-11-10T00:00:00"/>
    <d v="2025-11-10T00:00:00"/>
    <d v="2025-11-10T00:00:00"/>
    <d v="2025-11-10T00:00:00"/>
    <d v="2025-11-10T00:00:00"/>
    <n v="2039"/>
    <s v="626955"/>
    <s v="Sprinter"/>
    <n v="50"/>
    <n v="50"/>
    <s v="4366XC"/>
    <n v="1"/>
    <n v="150"/>
    <b v="1"/>
    <b v="0"/>
    <b v="0"/>
    <n v="231"/>
    <n v="0"/>
    <s v=""/>
    <s v=""/>
    <n v="50"/>
    <n v="359"/>
    <x v="6"/>
    <n v="359"/>
    <s v="Escobedo"/>
    <s v="Escobedo"/>
    <x v="0"/>
    <x v="0"/>
    <d v="2025-11-01T00:00:00"/>
    <x v="7"/>
    <x v="3"/>
  </r>
  <r>
    <x v="991"/>
    <x v="0"/>
    <n v="11"/>
    <d v="2025-11-10T00:00:00"/>
    <d v="2025-11-10T00:00:00"/>
    <d v="2025-11-10T00:00:00"/>
    <d v="2025-11-10T00:00:00"/>
    <d v="2025-11-10T00:00:00"/>
    <n v="2039"/>
    <s v="626955"/>
    <s v="Sprinter"/>
    <n v="50"/>
    <n v="50"/>
    <s v="4366XC"/>
    <n v="1"/>
    <n v="150"/>
    <b v="1"/>
    <b v="0"/>
    <b v="0"/>
    <n v="231"/>
    <n v="0"/>
    <s v=""/>
    <s v=""/>
    <n v="50"/>
    <n v="461"/>
    <x v="6"/>
    <n v="461"/>
    <s v="Escobedo"/>
    <s v="Monterrey"/>
    <x v="7"/>
    <x v="0"/>
    <d v="2025-11-01T00:00:00"/>
    <x v="7"/>
    <x v="3"/>
  </r>
  <r>
    <x v="992"/>
    <x v="0"/>
    <n v="11"/>
    <d v="2025-11-12T00:00:00"/>
    <d v="2025-11-12T00:00:00"/>
    <d v="2025-11-12T00:00:00"/>
    <d v="2025-11-12T00:00:00"/>
    <d v="2025-11-12T00:00:00"/>
    <n v="2039"/>
    <s v="626955"/>
    <s v="Sprinter"/>
    <n v="50"/>
    <n v="50"/>
    <s v="4366XC"/>
    <n v="1"/>
    <n v="150"/>
    <b v="1"/>
    <b v="0"/>
    <b v="0"/>
    <n v="231"/>
    <n v="0"/>
    <s v=""/>
    <s v=""/>
    <n v="50"/>
    <n v="359"/>
    <x v="6"/>
    <n v="359"/>
    <s v="Escobedo"/>
    <s v="Escobedo"/>
    <x v="0"/>
    <x v="0"/>
    <d v="2025-11-01T00:00:00"/>
    <x v="7"/>
    <x v="3"/>
  </r>
  <r>
    <x v="993"/>
    <x v="0"/>
    <n v="11"/>
    <d v="2025-11-12T00:00:00"/>
    <d v="2025-11-12T00:00:00"/>
    <d v="2025-11-12T00:00:00"/>
    <d v="2025-11-12T00:00:00"/>
    <d v="2025-11-12T16:41:33"/>
    <n v="2039"/>
    <s v="626955"/>
    <s v="Sprinter"/>
    <n v="50"/>
    <n v="50"/>
    <s v="4366XC"/>
    <n v="1"/>
    <n v="150"/>
    <b v="1"/>
    <b v="0"/>
    <b v="0"/>
    <n v="231"/>
    <n v="0"/>
    <s v=""/>
    <s v=""/>
    <n v="50"/>
    <n v="359"/>
    <x v="6"/>
    <n v="359"/>
    <s v="Escobedo"/>
    <s v="Escobedo"/>
    <x v="0"/>
    <x v="0"/>
    <d v="2025-11-01T00:00:00"/>
    <x v="7"/>
    <x v="3"/>
  </r>
  <r>
    <x v="994"/>
    <x v="0"/>
    <n v="11"/>
    <d v="2025-11-12T00:00:00"/>
    <d v="2025-11-12T00:00:00"/>
    <d v="2025-11-12T00:00:00"/>
    <d v="2025-11-12T00:00:00"/>
    <d v="2025-11-12T16:42:04"/>
    <n v="2039"/>
    <s v="626955"/>
    <s v="Sprinter"/>
    <n v="50"/>
    <n v="50"/>
    <s v="4366XC"/>
    <n v="1"/>
    <n v="150"/>
    <b v="1"/>
    <b v="0"/>
    <b v="0"/>
    <n v="231"/>
    <n v="0"/>
    <s v=""/>
    <s v=""/>
    <n v="50"/>
    <n v="359"/>
    <x v="6"/>
    <n v="359"/>
    <s v="Escobedo"/>
    <s v="Escobedo"/>
    <x v="0"/>
    <x v="0"/>
    <d v="2025-11-01T00:00:00"/>
    <x v="7"/>
    <x v="3"/>
  </r>
  <r>
    <x v="995"/>
    <x v="0"/>
    <n v="11"/>
    <d v="2025-11-13T00:00:00"/>
    <d v="2025-11-13T00:00:00"/>
    <d v="2025-11-13T00:00:00"/>
    <d v="2025-11-13T00:00:00"/>
    <d v="2025-11-14T00:00:00"/>
    <n v="2039"/>
    <s v="626955"/>
    <s v="Sprinter"/>
    <n v="50"/>
    <n v="50"/>
    <s v="4366XC"/>
    <n v="1"/>
    <n v="150"/>
    <b v="1"/>
    <b v="0"/>
    <b v="0"/>
    <n v="231"/>
    <n v="0"/>
    <s v=""/>
    <s v=""/>
    <n v="50"/>
    <n v="359"/>
    <x v="6"/>
    <n v="359"/>
    <s v="Escobedo"/>
    <s v="Escobedo"/>
    <x v="0"/>
    <x v="0"/>
    <d v="2025-11-01T00:00:00"/>
    <x v="7"/>
    <x v="3"/>
  </r>
  <r>
    <x v="996"/>
    <x v="0"/>
    <n v="11"/>
    <d v="2025-11-13T00:00:00"/>
    <d v="2025-11-13T00:00:00"/>
    <d v="2025-11-13T00:00:00"/>
    <d v="2025-11-13T00:00:00"/>
    <d v="2025-11-14T00:00:00"/>
    <n v="2039"/>
    <s v="626955"/>
    <s v="Sprinter"/>
    <n v="50"/>
    <n v="50"/>
    <s v="4366XC"/>
    <n v="1"/>
    <n v="150"/>
    <b v="1"/>
    <b v="0"/>
    <b v="0"/>
    <n v="231"/>
    <n v="0"/>
    <s v=""/>
    <s v=""/>
    <n v="50"/>
    <n v="359"/>
    <x v="6"/>
    <n v="359"/>
    <s v="Escobedo"/>
    <s v="Escobedo"/>
    <x v="0"/>
    <x v="0"/>
    <d v="2025-11-01T00:00:00"/>
    <x v="7"/>
    <x v="3"/>
  </r>
  <r>
    <x v="997"/>
    <x v="0"/>
    <n v="11"/>
    <d v="2025-11-14T00:00:00"/>
    <d v="2025-11-14T00:00:00"/>
    <d v="2025-11-15T00:00:00"/>
    <d v="2025-11-14T00:00:00"/>
    <d v="2025-11-15T00:00:00"/>
    <n v="2244"/>
    <s v="775908"/>
    <s v="4700*175*195"/>
    <n v="901"/>
    <n v="901"/>
    <s v="3727XC"/>
    <n v="1"/>
    <n v="877"/>
    <b v="1"/>
    <b v="0"/>
    <b v="0"/>
    <n v="1347"/>
    <n v="0"/>
    <s v=""/>
    <s v=""/>
    <n v="1000"/>
    <n v="3415"/>
    <x v="8"/>
    <n v="3415"/>
    <s v="Culiacan"/>
    <s v="Tlajomulco"/>
    <x v="16"/>
    <x v="1"/>
    <d v="2025-11-01T00:00:00"/>
    <x v="7"/>
    <x v="3"/>
  </r>
  <r>
    <x v="998"/>
    <x v="0"/>
    <n v="11"/>
    <d v="2025-11-14T00:00:00"/>
    <d v="2025-11-14T00:00:00"/>
    <d v="2025-11-17T00:00:00"/>
    <d v="2025-11-16T00:00:00"/>
    <d v="2025-11-16T00:00:00"/>
    <n v="2244"/>
    <s v="775908"/>
    <s v="4700*175*195"/>
    <n v="901"/>
    <n v="901"/>
    <s v="3727XC"/>
    <n v="2"/>
    <n v="877"/>
    <b v="1"/>
    <b v="0"/>
    <b v="0"/>
    <n v="1369"/>
    <n v="0"/>
    <s v=""/>
    <s v=""/>
    <n v="1000"/>
    <n v="3828"/>
    <x v="10"/>
    <n v="3828"/>
    <s v="Escobedo"/>
    <s v="Ecatepec"/>
    <x v="42"/>
    <x v="1"/>
    <d v="2025-11-01T00:00:00"/>
    <x v="7"/>
    <x v="3"/>
  </r>
  <r>
    <x v="999"/>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0"/>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1"/>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2"/>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3"/>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4"/>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5"/>
    <x v="0"/>
    <n v="11"/>
    <d v="2025-11-14T00:00:00"/>
    <d v="2025-11-14T00:00:00"/>
    <d v="2025-11-14T00:00:00"/>
    <d v="2025-11-14T00:00:00"/>
    <d v="2025-11-14T00:00:00"/>
    <n v="2039"/>
    <s v="626955"/>
    <s v="Sprinter"/>
    <n v="50"/>
    <n v="50"/>
    <s v="4366XC"/>
    <n v="1"/>
    <n v="150"/>
    <b v="1"/>
    <b v="0"/>
    <b v="0"/>
    <n v="231"/>
    <n v="0"/>
    <s v=""/>
    <s v=""/>
    <n v="50"/>
    <n v="359"/>
    <x v="6"/>
    <n v="359"/>
    <s v="Escobedo"/>
    <s v="Escobedo"/>
    <x v="0"/>
    <x v="0"/>
    <d v="2025-11-01T00:00:00"/>
    <x v="7"/>
    <x v="3"/>
  </r>
  <r>
    <x v="1006"/>
    <x v="0"/>
    <n v="11"/>
    <d v="2025-11-15T00:00:00"/>
    <d v="2025-11-15T00:00:00"/>
    <d v="2025-11-17T00:00:00"/>
    <d v="2025-11-16T00:00:00"/>
    <d v="2025-11-17T00:00:00"/>
    <n v="2244"/>
    <s v="775908"/>
    <s v="4700*175*195"/>
    <n v="961"/>
    <n v="1059"/>
    <s v="3727XC"/>
    <n v="1"/>
    <n v="964"/>
    <b v="1"/>
    <b v="0"/>
    <b v="0"/>
    <n v="1494"/>
    <n v="0"/>
    <s v=""/>
    <s v=""/>
    <n v="1100"/>
    <n v="3415"/>
    <x v="8"/>
    <n v="3415"/>
    <s v="Culiacan"/>
    <s v="Tlajomulco"/>
    <x v="16"/>
    <x v="1"/>
    <d v="2025-11-01T00:00:00"/>
    <x v="7"/>
    <x v="3"/>
  </r>
  <r>
    <x v="1007"/>
    <x v="0"/>
    <n v="11"/>
    <d v="2025-11-16T00:00:00"/>
    <d v="2025-11-16T00:00:00"/>
    <d v="2025-11-16T00:00:00"/>
    <d v="2025-11-16T00:00:00"/>
    <d v="2025-11-16T00:00:00"/>
    <n v="2039"/>
    <s v="626955"/>
    <s v="Sprinter"/>
    <n v="50"/>
    <n v="50"/>
    <s v="4366XC"/>
    <n v="1"/>
    <n v="150"/>
    <b v="1"/>
    <b v="0"/>
    <b v="0"/>
    <n v="231"/>
    <n v="0"/>
    <s v=""/>
    <s v=""/>
    <n v="50"/>
    <n v="359"/>
    <x v="8"/>
    <n v="359"/>
    <s v="Escobedo"/>
    <s v="Escobedo"/>
    <x v="0"/>
    <x v="0"/>
    <d v="2025-11-01T00:00:00"/>
    <x v="7"/>
    <x v="3"/>
  </r>
  <r>
    <x v="1008"/>
    <x v="0"/>
    <n v="11"/>
    <d v="2025-11-18T00:00:00"/>
    <d v="2025-11-18T00:00:00"/>
    <d v="2025-11-18T00:00:00"/>
    <d v="2025-11-18T00:00:00"/>
    <d v="2025-11-18T00:00:00"/>
    <n v="2039"/>
    <s v="626955"/>
    <s v="Sprinter"/>
    <n v="50"/>
    <n v="50"/>
    <s v="4366XC"/>
    <n v="1"/>
    <n v="150"/>
    <b v="1"/>
    <b v="0"/>
    <b v="0"/>
    <n v="231"/>
    <n v="0"/>
    <s v=""/>
    <s v=""/>
    <n v="50"/>
    <n v="359"/>
    <x v="6"/>
    <n v="359"/>
    <s v="Escobedo"/>
    <s v="Escobedo"/>
    <x v="0"/>
    <x v="0"/>
    <d v="2025-11-01T00:00:00"/>
    <x v="7"/>
    <x v="3"/>
  </r>
  <r>
    <x v="1009"/>
    <x v="0"/>
    <n v="11"/>
    <d v="2025-11-19T00:00:00"/>
    <d v="2025-11-19T00:00:00"/>
    <d v="2025-11-19T00:00:00"/>
    <d v="2025-11-19T00:00:00"/>
    <d v="2025-11-19T00:00:00"/>
    <n v="2039"/>
    <s v="626955"/>
    <s v="Sprinter"/>
    <n v="50"/>
    <n v="50"/>
    <s v="4366XC"/>
    <n v="1"/>
    <n v="150"/>
    <b v="1"/>
    <b v="0"/>
    <b v="0"/>
    <n v="231"/>
    <n v="0"/>
    <s v=""/>
    <s v=""/>
    <n v="50"/>
    <n v="359"/>
    <x v="6"/>
    <n v="359"/>
    <s v="Escobedo"/>
    <s v="Escobedo"/>
    <x v="0"/>
    <x v="0"/>
    <d v="2025-11-01T00:00:00"/>
    <x v="7"/>
    <x v="3"/>
  </r>
  <r>
    <x v="1010"/>
    <x v="0"/>
    <n v="11"/>
    <d v="2025-11-03T00:00:00"/>
    <d v="2025-11-03T00:00:00"/>
    <d v="2025-11-03T00:00:00"/>
    <d v="2025-11-03T00:00:00"/>
    <d v="2025-11-03T00:00:00"/>
    <n v="2244"/>
    <s v="626955"/>
    <s v="Sprinter"/>
    <n v="50"/>
    <n v="50"/>
    <s v="3727XC"/>
    <n v="1"/>
    <n v="150"/>
    <b v="1"/>
    <b v="0"/>
    <b v="0"/>
    <n v="231"/>
    <n v="0"/>
    <s v=""/>
    <s v=""/>
    <n v="50"/>
    <n v="359"/>
    <x v="7"/>
    <n v="359"/>
    <s v="Escobedo"/>
    <s v="Escobedo"/>
    <x v="0"/>
    <x v="0"/>
    <d v="2025-11-01T00:00:00"/>
    <x v="7"/>
    <x v="3"/>
  </r>
  <r>
    <x v="1011"/>
    <x v="0"/>
    <n v="11"/>
    <d v="2025-11-21T00:00:00"/>
    <d v="2025-11-21T00:00:00"/>
    <d v="2025-11-21T00:00:00"/>
    <d v="2025-11-21T00:00:00"/>
    <d v="2025-11-22T07:39:38"/>
    <n v="2039"/>
    <s v="626955"/>
    <s v="Sprinter"/>
    <n v="50"/>
    <n v="50"/>
    <s v="4366XC"/>
    <n v="1"/>
    <n v="150"/>
    <b v="1"/>
    <b v="0"/>
    <b v="0"/>
    <n v="231"/>
    <n v="0"/>
    <s v=""/>
    <s v=""/>
    <n v="50"/>
    <n v="359"/>
    <x v="6"/>
    <n v="359"/>
    <s v="Escobedo"/>
    <s v="Escobedo"/>
    <x v="0"/>
    <x v="0"/>
    <d v="2025-11-01T00:00:00"/>
    <x v="7"/>
    <x v="3"/>
  </r>
  <r>
    <x v="1012"/>
    <x v="0"/>
    <n v="11"/>
    <d v="2025-11-21T00:00:00"/>
    <d v="2025-11-21T00:00:00"/>
    <d v="2025-11-21T00:00:00"/>
    <d v="2025-11-21T00:00:00"/>
    <d v="2025-11-22T07:39:35"/>
    <n v="2039"/>
    <s v="626955"/>
    <s v="Sprinter"/>
    <n v="50"/>
    <n v="50"/>
    <s v="4366XC"/>
    <n v="1"/>
    <n v="150"/>
    <b v="1"/>
    <b v="0"/>
    <b v="0"/>
    <n v="231"/>
    <n v="0"/>
    <s v=""/>
    <s v=""/>
    <n v="50"/>
    <n v="359"/>
    <x v="6"/>
    <n v="359"/>
    <s v="Escobedo"/>
    <s v="Escobedo"/>
    <x v="0"/>
    <x v="0"/>
    <d v="2025-11-01T00:00:00"/>
    <x v="7"/>
    <x v="3"/>
  </r>
  <r>
    <x v="1013"/>
    <x v="0"/>
    <n v="11"/>
    <d v="2025-11-21T00:00:00"/>
    <d v="2025-11-21T00:00:00"/>
    <d v="2025-11-21T00:00:00"/>
    <d v="2025-11-21T00:00:00"/>
    <d v="2025-11-22T07:39:36"/>
    <n v="2039"/>
    <s v="626955"/>
    <s v="Sprinter"/>
    <n v="50"/>
    <n v="50"/>
    <s v="4366XC"/>
    <n v="1"/>
    <n v="150"/>
    <b v="1"/>
    <b v="0"/>
    <b v="0"/>
    <n v="231"/>
    <n v="0"/>
    <s v=""/>
    <s v=""/>
    <n v="50"/>
    <n v="359"/>
    <x v="6"/>
    <n v="359"/>
    <s v="Escobedo"/>
    <s v="Escobedo"/>
    <x v="0"/>
    <x v="0"/>
    <d v="2025-11-01T00:00:00"/>
    <x v="7"/>
    <x v="3"/>
  </r>
  <r>
    <x v="1014"/>
    <x v="0"/>
    <n v="11"/>
    <d v="2025-11-21T00:00:00"/>
    <d v="2025-11-21T00:00:00"/>
    <d v="2025-11-21T00:00:00"/>
    <d v="2025-11-21T00:00:00"/>
    <d v="2025-11-22T07:39:40"/>
    <n v="2039"/>
    <s v="626955"/>
    <s v="Sprinter"/>
    <n v="50"/>
    <n v="50"/>
    <s v="4366XC"/>
    <n v="1"/>
    <n v="150"/>
    <b v="1"/>
    <b v="0"/>
    <b v="0"/>
    <n v="231"/>
    <n v="0"/>
    <s v=""/>
    <s v=""/>
    <n v="50"/>
    <n v="359"/>
    <x v="6"/>
    <n v="359"/>
    <s v="Escobedo"/>
    <s v="Escobedo"/>
    <x v="0"/>
    <x v="0"/>
    <d v="2025-11-01T00:00:00"/>
    <x v="7"/>
    <x v="3"/>
  </r>
  <r>
    <x v="1015"/>
    <x v="0"/>
    <n v="11"/>
    <d v="2025-11-21T00:00:00"/>
    <d v="2025-11-21T00:00:00"/>
    <d v="2025-11-21T00:00:00"/>
    <d v="2025-11-21T00:00:00"/>
    <d v="2025-11-22T07:39:39"/>
    <n v="2039"/>
    <s v="626955"/>
    <s v="Sprinter"/>
    <n v="50"/>
    <n v="50"/>
    <s v="4366XC"/>
    <n v="1"/>
    <n v="150"/>
    <b v="1"/>
    <b v="0"/>
    <b v="0"/>
    <n v="231"/>
    <n v="0"/>
    <s v=""/>
    <s v=""/>
    <n v="50"/>
    <n v="359"/>
    <x v="6"/>
    <n v="359"/>
    <s v="Escobedo"/>
    <s v="Escobedo"/>
    <x v="0"/>
    <x v="0"/>
    <d v="2025-11-01T00:00:00"/>
    <x v="7"/>
    <x v="3"/>
  </r>
  <r>
    <x v="1016"/>
    <x v="0"/>
    <n v="11"/>
    <d v="2025-11-22T00:00:00"/>
    <d v="2025-11-22T00:00:00"/>
    <d v="2025-11-22T00:00:00"/>
    <d v="2025-11-22T00:00:00"/>
    <d v="2025-11-22T13:03:58"/>
    <n v="2039"/>
    <s v="626955"/>
    <s v="Sprinter"/>
    <n v="50"/>
    <n v="50"/>
    <s v="4366XC"/>
    <n v="1"/>
    <n v="150"/>
    <b v="1"/>
    <b v="0"/>
    <b v="0"/>
    <n v="231"/>
    <n v="0"/>
    <s v=""/>
    <s v=""/>
    <n v="50"/>
    <n v="359"/>
    <x v="6"/>
    <n v="359"/>
    <s v="Escobedo"/>
    <s v="Escobedo"/>
    <x v="0"/>
    <x v="0"/>
    <d v="2025-11-01T00:00:00"/>
    <x v="7"/>
    <x v="3"/>
  </r>
  <r>
    <x v="1017"/>
    <x v="0"/>
    <n v="11"/>
    <d v="2025-11-22T00:00:00"/>
    <d v="2025-11-22T00:00:00"/>
    <d v="2025-11-22T00:00:00"/>
    <d v="2025-11-22T00:00:00"/>
    <d v="2025-11-22T13:04:38"/>
    <n v="2039"/>
    <s v="626955"/>
    <s v="Sprinter"/>
    <n v="50"/>
    <n v="50"/>
    <s v="4366XC"/>
    <n v="1"/>
    <n v="150"/>
    <b v="1"/>
    <b v="0"/>
    <b v="0"/>
    <n v="231"/>
    <n v="0"/>
    <s v=""/>
    <s v=""/>
    <n v="50"/>
    <n v="359"/>
    <x v="6"/>
    <n v="359"/>
    <s v="Escobedo"/>
    <s v="Escobedo"/>
    <x v="0"/>
    <x v="0"/>
    <d v="2025-11-01T00:00:00"/>
    <x v="7"/>
    <x v="3"/>
  </r>
  <r>
    <x v="1018"/>
    <x v="0"/>
    <n v="11"/>
    <d v="2025-11-22T00:00:00"/>
    <d v="2025-11-22T00:00:00"/>
    <d v="2025-11-22T00:00:00"/>
    <d v="2025-11-22T00:00:00"/>
    <d v="2025-11-22T13:05:10"/>
    <n v="2039"/>
    <s v="626955"/>
    <s v="Sprinter"/>
    <n v="50"/>
    <n v="50"/>
    <s v="4366XC"/>
    <n v="1"/>
    <n v="150"/>
    <b v="1"/>
    <b v="0"/>
    <b v="0"/>
    <n v="231"/>
    <n v="0"/>
    <s v=""/>
    <s v=""/>
    <n v="50"/>
    <n v="359"/>
    <x v="6"/>
    <n v="359"/>
    <s v="Escobedo"/>
    <s v="Escobedo"/>
    <x v="0"/>
    <x v="0"/>
    <d v="2025-11-01T00:00:00"/>
    <x v="7"/>
    <x v="3"/>
  </r>
  <r>
    <x v="1019"/>
    <x v="0"/>
    <n v="11"/>
    <d v="2025-11-22T00:00:00"/>
    <d v="2025-11-22T00:00:00"/>
    <d v="2025-11-22T00:00:00"/>
    <d v="2025-11-22T00:00:00"/>
    <d v="2025-11-22T13:05:47"/>
    <n v="2039"/>
    <s v="626955"/>
    <s v="Sprinter"/>
    <n v="50"/>
    <n v="50"/>
    <s v="4366XC"/>
    <n v="1"/>
    <n v="150"/>
    <b v="1"/>
    <b v="0"/>
    <b v="0"/>
    <n v="231"/>
    <n v="0"/>
    <s v=""/>
    <s v=""/>
    <n v="50"/>
    <n v="359"/>
    <x v="6"/>
    <n v="359"/>
    <s v="Escobedo"/>
    <s v="Escobedo"/>
    <x v="0"/>
    <x v="0"/>
    <d v="2025-11-01T00:00:00"/>
    <x v="7"/>
    <x v="3"/>
  </r>
  <r>
    <x v="1020"/>
    <x v="0"/>
    <n v="11"/>
    <d v="2025-11-22T00:00:00"/>
    <d v="2025-11-22T00:00:00"/>
    <d v="2025-11-22T00:00:00"/>
    <d v="2025-11-22T00:00:00"/>
    <d v="2025-11-22T13:06:27"/>
    <n v="2039"/>
    <s v="626955"/>
    <s v="Sprinter"/>
    <n v="50"/>
    <n v="50"/>
    <s v="4366XC"/>
    <n v="1"/>
    <n v="150"/>
    <b v="1"/>
    <b v="0"/>
    <b v="0"/>
    <n v="231"/>
    <n v="0"/>
    <s v=""/>
    <s v=""/>
    <n v="50"/>
    <n v="359"/>
    <x v="6"/>
    <n v="359"/>
    <s v="Escobedo"/>
    <s v="Escobedo"/>
    <x v="0"/>
    <x v="0"/>
    <d v="2025-11-01T00:00:00"/>
    <x v="7"/>
    <x v="3"/>
  </r>
  <r>
    <x v="1021"/>
    <x v="0"/>
    <n v="11"/>
    <d v="2025-11-22T00:00:00"/>
    <d v="2025-11-22T00:00:00"/>
    <d v="2025-11-22T00:00:00"/>
    <d v="2025-11-22T00:00:00"/>
    <d v="2025-11-22T13:06:55"/>
    <n v="2039"/>
    <s v="626955"/>
    <s v="Sprinter"/>
    <n v="50"/>
    <n v="50"/>
    <s v="4366XC"/>
    <n v="1"/>
    <n v="150"/>
    <b v="1"/>
    <b v="0"/>
    <b v="0"/>
    <n v="231"/>
    <n v="0"/>
    <s v=""/>
    <s v=""/>
    <n v="50"/>
    <n v="359"/>
    <x v="6"/>
    <n v="359"/>
    <s v="Escobedo"/>
    <s v="Escobedo"/>
    <x v="0"/>
    <x v="0"/>
    <d v="2025-11-01T00:00:00"/>
    <x v="7"/>
    <x v="3"/>
  </r>
  <r>
    <x v="1022"/>
    <x v="0"/>
    <n v="11"/>
    <d v="2025-11-22T00:00:00"/>
    <d v="2025-11-22T00:00:00"/>
    <d v="2025-11-22T00:00:00"/>
    <d v="2025-11-22T00:00:00"/>
    <d v="2025-11-22T13:07:32"/>
    <n v="2039"/>
    <s v="626955"/>
    <s v="Sprinter"/>
    <n v="50"/>
    <n v="50"/>
    <s v="4366XC"/>
    <n v="1"/>
    <n v="150"/>
    <b v="1"/>
    <b v="0"/>
    <b v="0"/>
    <n v="231"/>
    <n v="0"/>
    <s v=""/>
    <s v=""/>
    <n v="50"/>
    <n v="359"/>
    <x v="6"/>
    <n v="359"/>
    <s v="Escobedo"/>
    <s v="Escobedo"/>
    <x v="0"/>
    <x v="0"/>
    <d v="2025-11-01T00:00:00"/>
    <x v="7"/>
    <x v="3"/>
  </r>
  <r>
    <x v="1023"/>
    <x v="0"/>
    <n v="11"/>
    <d v="2025-11-22T00:00:00"/>
    <d v="2025-11-22T00:00:00"/>
    <d v="2025-11-21T00:00:00"/>
    <d v="2025-11-21T00:00:00"/>
    <d v="2025-11-22T00:00:00"/>
    <n v="2039"/>
    <s v="610429"/>
    <s v="Sprinter"/>
    <n v="50"/>
    <n v="50"/>
    <s v="4366XC"/>
    <n v="1"/>
    <n v="150"/>
    <b v="1"/>
    <b v="0"/>
    <b v="0"/>
    <n v="231"/>
    <n v="0"/>
    <s v=""/>
    <s v=""/>
    <n v="50"/>
    <n v="461"/>
    <x v="8"/>
    <n v="461"/>
    <s v="Escobedo"/>
    <s v="Monterrey"/>
    <x v="7"/>
    <x v="2"/>
    <d v="2025-11-01T00:00:00"/>
    <x v="7"/>
    <x v="3"/>
  </r>
  <r>
    <x v="1024"/>
    <x v="0"/>
    <n v="11"/>
    <d v="2025-11-24T00:00:00"/>
    <d v="2025-11-24T00:00:00"/>
    <d v="2025-11-26T00:00:00"/>
    <d v="2025-11-24T00:00:00"/>
    <d v="2025-11-25T00:00:00"/>
    <n v="2039"/>
    <s v="626955"/>
    <s v="Sprinter"/>
    <n v="842"/>
    <n v="842"/>
    <s v="4366XC"/>
    <n v="1"/>
    <n v="863"/>
    <b v="1"/>
    <b v="0"/>
    <b v="0"/>
    <n v="1213"/>
    <n v="0"/>
    <s v=""/>
    <s v=""/>
    <n v="900"/>
    <n v="1843"/>
    <x v="7"/>
    <n v="1843"/>
    <s v="Escobedo"/>
    <s v="Mazatlan"/>
    <x v="17"/>
    <x v="0"/>
    <d v="2025-11-01T00:00:00"/>
    <x v="7"/>
    <x v="3"/>
  </r>
  <r>
    <x v="1025"/>
    <x v="0"/>
    <n v="11"/>
    <d v="2025-11-26T00:00:00"/>
    <d v="2025-11-26T00:00:00"/>
    <d v="2025-11-26T00:00:00"/>
    <d v="2025-11-26T00:00:00"/>
    <d v="2025-11-26T17:00:31"/>
    <n v="2039"/>
    <s v="626955"/>
    <s v="Sprinter"/>
    <n v="50"/>
    <n v="50"/>
    <s v="4366XC"/>
    <n v="1"/>
    <n v="150"/>
    <b v="1"/>
    <b v="0"/>
    <b v="0"/>
    <n v="231"/>
    <n v="0"/>
    <s v=""/>
    <s v=""/>
    <n v="50"/>
    <n v="359"/>
    <x v="6"/>
    <n v="359"/>
    <s v="Escobedo"/>
    <s v="Escobedo"/>
    <x v="0"/>
    <x v="0"/>
    <d v="2025-11-01T00:00:00"/>
    <x v="7"/>
    <x v="3"/>
  </r>
  <r>
    <x v="1026"/>
    <x v="0"/>
    <n v="11"/>
    <d v="2025-11-26T00:00:00"/>
    <d v="2025-11-26T00:00:00"/>
    <d v="2025-11-26T00:00:00"/>
    <d v="2025-11-26T00:00:00"/>
    <d v="2025-11-26T17:00:30"/>
    <n v="2039"/>
    <s v="626955"/>
    <s v="Sprinter"/>
    <n v="50"/>
    <n v="50"/>
    <s v="4366XC"/>
    <n v="1"/>
    <n v="150"/>
    <b v="1"/>
    <b v="0"/>
    <b v="0"/>
    <n v="231"/>
    <n v="0"/>
    <s v=""/>
    <s v=""/>
    <n v="50"/>
    <n v="359"/>
    <x v="6"/>
    <n v="359"/>
    <s v="Escobedo"/>
    <s v="Escobedo"/>
    <x v="0"/>
    <x v="0"/>
    <d v="2025-11-01T00:00:00"/>
    <x v="7"/>
    <x v="3"/>
  </r>
  <r>
    <x v="1027"/>
    <x v="0"/>
    <n v="11"/>
    <d v="2025-11-26T00:00:00"/>
    <d v="2025-11-26T00:00:00"/>
    <d v="2025-11-26T00:00:00"/>
    <d v="2025-11-26T00:00:00"/>
    <d v="2025-11-26T17:01:15"/>
    <n v="2039"/>
    <s v="626955"/>
    <s v="Sprinter"/>
    <n v="50"/>
    <n v="50"/>
    <s v="4366XC"/>
    <n v="1"/>
    <n v="150"/>
    <b v="1"/>
    <b v="0"/>
    <b v="0"/>
    <n v="231"/>
    <n v="0"/>
    <s v=""/>
    <s v=""/>
    <n v="50"/>
    <n v="359"/>
    <x v="6"/>
    <n v="359"/>
    <s v="Escobedo"/>
    <s v="Escobedo"/>
    <x v="0"/>
    <x v="0"/>
    <d v="2025-11-01T00:00:00"/>
    <x v="7"/>
    <x v="3"/>
  </r>
  <r>
    <x v="1028"/>
    <x v="0"/>
    <n v="11"/>
    <d v="2025-11-27T00:00:00"/>
    <d v="2025-11-27T00:00:00"/>
    <d v="2025-11-27T00:00:00"/>
    <d v="2025-11-27T00:00:00"/>
    <d v="2025-11-27T15:44:58"/>
    <n v="2039"/>
    <s v="626955"/>
    <s v="Sprinter"/>
    <n v="50"/>
    <n v="50"/>
    <s v="4366XC"/>
    <n v="1"/>
    <n v="150"/>
    <b v="1"/>
    <b v="0"/>
    <b v="0"/>
    <n v="231"/>
    <n v="0"/>
    <s v=""/>
    <s v=""/>
    <n v="50"/>
    <n v="359"/>
    <x v="6"/>
    <n v="359"/>
    <s v="Escobedo"/>
    <s v="Escobedo"/>
    <x v="0"/>
    <x v="0"/>
    <d v="2025-11-01T00:00:00"/>
    <x v="7"/>
    <x v="3"/>
  </r>
  <r>
    <x v="1029"/>
    <x v="0"/>
    <n v="11"/>
    <d v="2025-11-27T00:00:00"/>
    <d v="2025-11-27T00:00:00"/>
    <d v="2025-11-27T00:00:00"/>
    <d v="2025-11-27T00:00:00"/>
    <d v="2025-11-27T15:45:43"/>
    <n v="2039"/>
    <s v="626955"/>
    <s v="Sprinter"/>
    <n v="50"/>
    <n v="50"/>
    <s v="4366XC"/>
    <n v="1"/>
    <n v="150"/>
    <b v="1"/>
    <b v="0"/>
    <b v="0"/>
    <n v="231"/>
    <n v="0"/>
    <s v=""/>
    <s v=""/>
    <n v="50"/>
    <n v="359"/>
    <x v="6"/>
    <n v="359"/>
    <s v="Escobedo"/>
    <s v="Escobedo"/>
    <x v="0"/>
    <x v="0"/>
    <d v="2025-11-01T00:00:00"/>
    <x v="7"/>
    <x v="3"/>
  </r>
  <r>
    <x v="1030"/>
    <x v="0"/>
    <n v="11"/>
    <d v="2025-11-27T00:00:00"/>
    <d v="2025-11-27T00:00:00"/>
    <d v="2025-11-27T00:00:00"/>
    <d v="2025-11-27T00:00:00"/>
    <d v="2025-11-27T15:46:14"/>
    <n v="2039"/>
    <s v="626955"/>
    <s v="Sprinter"/>
    <n v="50"/>
    <n v="50"/>
    <s v="4366XC"/>
    <n v="1"/>
    <n v="150"/>
    <b v="1"/>
    <b v="0"/>
    <b v="0"/>
    <n v="231"/>
    <n v="0"/>
    <s v=""/>
    <s v=""/>
    <n v="50"/>
    <n v="359"/>
    <x v="6"/>
    <n v="359"/>
    <s v="Escobedo"/>
    <s v="Escobedo"/>
    <x v="0"/>
    <x v="0"/>
    <d v="2025-11-01T00:00:00"/>
    <x v="7"/>
    <x v="3"/>
  </r>
  <r>
    <x v="1031"/>
    <x v="0"/>
    <n v="11"/>
    <d v="2025-11-27T00:00:00"/>
    <d v="2025-11-27T00:00:00"/>
    <d v="2025-11-27T00:00:00"/>
    <d v="2025-11-27T00:00:00"/>
    <d v="2025-11-27T15:46:52"/>
    <n v="2039"/>
    <s v="626955"/>
    <s v="Sprinter"/>
    <n v="50"/>
    <n v="50"/>
    <s v="4366XC"/>
    <n v="1"/>
    <n v="150"/>
    <b v="1"/>
    <b v="0"/>
    <b v="0"/>
    <n v="231"/>
    <n v="0"/>
    <s v=""/>
    <s v=""/>
    <n v="50"/>
    <n v="359"/>
    <x v="6"/>
    <n v="359"/>
    <s v="Escobedo"/>
    <s v="Escobedo"/>
    <x v="0"/>
    <x v="0"/>
    <d v="2025-11-01T00:00:00"/>
    <x v="7"/>
    <x v="3"/>
  </r>
  <r>
    <x v="1032"/>
    <x v="0"/>
    <n v="11"/>
    <d v="2025-11-27T00:00:00"/>
    <d v="2025-11-27T00:00:00"/>
    <d v="2025-11-27T00:00:00"/>
    <d v="2025-11-27T00:00:00"/>
    <d v="2025-11-27T15:47:23"/>
    <n v="2039"/>
    <s v="626955"/>
    <s v="Sprinter"/>
    <n v="50"/>
    <n v="50"/>
    <s v="4366XC"/>
    <n v="1"/>
    <n v="150"/>
    <b v="1"/>
    <b v="0"/>
    <b v="0"/>
    <n v="231"/>
    <n v="0"/>
    <s v=""/>
    <s v=""/>
    <n v="50"/>
    <n v="359"/>
    <x v="6"/>
    <n v="359"/>
    <s v="Escobedo"/>
    <s v="Escobedo"/>
    <x v="0"/>
    <x v="0"/>
    <d v="2025-11-01T00:00:00"/>
    <x v="7"/>
    <x v="3"/>
  </r>
  <r>
    <x v="1033"/>
    <x v="0"/>
    <n v="11"/>
    <d v="2025-11-28T00:00:00"/>
    <d v="2025-11-28T00:00:00"/>
    <d v="2025-11-28T00:00:00"/>
    <d v="2025-11-28T00:00:00"/>
    <d v="2025-11-28T19:43:40"/>
    <n v="2039"/>
    <s v="626955"/>
    <s v="Sprinter"/>
    <n v="50"/>
    <n v="50"/>
    <s v="4366XC"/>
    <n v="1"/>
    <n v="150"/>
    <b v="1"/>
    <b v="0"/>
    <b v="0"/>
    <n v="231"/>
    <n v="0"/>
    <s v=""/>
    <s v=""/>
    <n v="50"/>
    <n v="359"/>
    <x v="6"/>
    <n v="359"/>
    <s v="Escobedo"/>
    <s v="Escobedo"/>
    <x v="0"/>
    <x v="0"/>
    <d v="2025-11-01T00:00:00"/>
    <x v="7"/>
    <x v="3"/>
  </r>
  <r>
    <x v="1034"/>
    <x v="0"/>
    <n v="11"/>
    <d v="2025-11-28T00:00:00"/>
    <d v="2025-11-28T00:00:00"/>
    <d v="2025-11-28T00:00:00"/>
    <d v="2025-11-28T00:00:00"/>
    <d v="2025-11-29T00:40:43"/>
    <n v="2039"/>
    <s v="626955"/>
    <s v="Sprinter"/>
    <n v="50"/>
    <n v="50"/>
    <s v="4366XC"/>
    <n v="1"/>
    <n v="150"/>
    <b v="1"/>
    <b v="0"/>
    <b v="0"/>
    <n v="231"/>
    <n v="0"/>
    <s v=""/>
    <s v=""/>
    <n v="50"/>
    <n v="359"/>
    <x v="6"/>
    <n v="359"/>
    <s v="Escobedo"/>
    <s v="Escobedo"/>
    <x v="0"/>
    <x v="0"/>
    <d v="2025-11-01T00:00:00"/>
    <x v="7"/>
    <x v="3"/>
  </r>
  <r>
    <x v="1035"/>
    <x v="0"/>
    <n v="11"/>
    <d v="2025-11-28T00:00:00"/>
    <d v="2025-11-28T00:00:00"/>
    <d v="2025-11-28T00:00:00"/>
    <d v="2025-11-28T00:00:00"/>
    <d v="2025-11-29T08:45:28"/>
    <n v="2039"/>
    <s v="626955"/>
    <s v="Sprinter"/>
    <n v="50"/>
    <n v="50"/>
    <s v="4366XC"/>
    <n v="1"/>
    <n v="150"/>
    <b v="1"/>
    <b v="0"/>
    <b v="0"/>
    <n v="231"/>
    <n v="0"/>
    <s v=""/>
    <s v=""/>
    <n v="50"/>
    <n v="359"/>
    <x v="6"/>
    <n v="359"/>
    <s v="Escobedo"/>
    <s v="Escobedo"/>
    <x v="0"/>
    <x v="0"/>
    <d v="2025-11-01T00:00:00"/>
    <x v="7"/>
    <x v="3"/>
  </r>
  <r>
    <x v="1036"/>
    <x v="0"/>
    <n v="11"/>
    <d v="2025-11-03T00:00:00"/>
    <d v="2025-11-03T00:00:00"/>
    <d v="2025-11-03T00:00:00"/>
    <d v="2025-11-03T00:00:00"/>
    <d v="2025-11-03T00:00:00"/>
    <n v="2039"/>
    <s v="626955"/>
    <s v="Sprinter"/>
    <n v="50"/>
    <n v="50"/>
    <s v="4366XC"/>
    <n v="1"/>
    <n v="150"/>
    <b v="1"/>
    <b v="0"/>
    <b v="0"/>
    <n v="231"/>
    <n v="0"/>
    <s v=""/>
    <s v=""/>
    <n v="50"/>
    <n v="359"/>
    <x v="6"/>
    <n v="359"/>
    <s v="Escobedo"/>
    <s v="Escobedo"/>
    <x v="0"/>
    <x v="0"/>
    <d v="2025-11-01T00:00:00"/>
    <x v="7"/>
    <x v="3"/>
  </r>
  <r>
    <x v="1037"/>
    <x v="0"/>
    <n v="11"/>
    <d v="2025-11-29T00:00:00"/>
    <d v="2025-11-29T00:00:00"/>
    <d v="2025-12-01T00:00:00"/>
    <d v="2025-11-30T00:00:00"/>
    <d v="2025-12-01T00:00:00"/>
    <n v="2039"/>
    <s v="626955"/>
    <s v="Sprinter"/>
    <n v="842"/>
    <n v="842"/>
    <s v="4366XC"/>
    <n v="1"/>
    <n v="863"/>
    <b v="1"/>
    <b v="0"/>
    <b v="0"/>
    <n v="1213"/>
    <n v="0"/>
    <s v=""/>
    <s v=""/>
    <n v="900"/>
    <n v="1843"/>
    <x v="7"/>
    <n v="1843"/>
    <s v="Escobedo"/>
    <s v="Mazatlan"/>
    <x v="17"/>
    <x v="0"/>
    <d v="2025-11-01T00:00:00"/>
    <x v="7"/>
    <x v="3"/>
  </r>
  <r>
    <x v="1038"/>
    <x v="0"/>
    <n v="11"/>
    <d v="2025-11-29T00:00:00"/>
    <d v="2025-11-29T00:00:00"/>
    <d v="2025-11-29T00:00:00"/>
    <d v="2025-11-29T00:00:00"/>
    <d v="2025-11-29T13:50:27"/>
    <n v="2039"/>
    <s v="626955"/>
    <s v="Sprinter"/>
    <n v="50"/>
    <n v="50"/>
    <s v="4366XC"/>
    <n v="1"/>
    <n v="150"/>
    <b v="1"/>
    <b v="0"/>
    <b v="0"/>
    <n v="231"/>
    <n v="0"/>
    <s v=""/>
    <s v=""/>
    <n v="50"/>
    <n v="308"/>
    <x v="6"/>
    <n v="308"/>
    <s v="Escobedo"/>
    <s v="Guadalupe"/>
    <x v="25"/>
    <x v="0"/>
    <d v="2025-11-01T00:00:00"/>
    <x v="7"/>
    <x v="3"/>
  </r>
  <r>
    <x v="1039"/>
    <x v="0"/>
    <n v="11"/>
    <d v="2025-11-29T00:00:00"/>
    <d v="2025-11-29T00:00:00"/>
    <d v="2025-11-29T00:00:00"/>
    <d v="2025-11-29T00:00:00"/>
    <d v="2025-11-29T13:51:56"/>
    <n v="2039"/>
    <s v="626955"/>
    <s v="Sprinter"/>
    <n v="50"/>
    <n v="50"/>
    <s v="4366XC"/>
    <n v="1"/>
    <n v="150"/>
    <b v="1"/>
    <b v="0"/>
    <b v="0"/>
    <n v="231"/>
    <n v="0"/>
    <s v=""/>
    <s v=""/>
    <n v="50"/>
    <n v="359"/>
    <x v="6"/>
    <n v="359"/>
    <s v="Escobedo"/>
    <s v="Escobedo"/>
    <x v="0"/>
    <x v="0"/>
    <d v="2025-11-01T00:00:00"/>
    <x v="7"/>
    <x v="3"/>
  </r>
  <r>
    <x v="1040"/>
    <x v="0"/>
    <n v="11"/>
    <d v="2025-11-29T00:00:00"/>
    <d v="2025-11-29T00:00:00"/>
    <d v="2025-11-29T00:00:00"/>
    <d v="2025-11-29T00:00:00"/>
    <d v="2025-11-29T13:52:37"/>
    <n v="2039"/>
    <s v="626955"/>
    <s v="Sprinter"/>
    <n v="50"/>
    <n v="50"/>
    <s v="4366XC"/>
    <n v="1"/>
    <n v="150"/>
    <b v="1"/>
    <b v="0"/>
    <b v="0"/>
    <n v="231"/>
    <n v="0"/>
    <s v=""/>
    <s v=""/>
    <n v="50"/>
    <n v="359"/>
    <x v="6"/>
    <n v="359"/>
    <s v="Escobedo"/>
    <s v="Escobedo"/>
    <x v="0"/>
    <x v="0"/>
    <d v="2025-11-01T00:00:00"/>
    <x v="7"/>
    <x v="3"/>
  </r>
  <r>
    <x v="1041"/>
    <x v="0"/>
    <n v="11"/>
    <d v="2025-11-29T00:00:00"/>
    <d v="2025-11-29T00:00:00"/>
    <d v="2025-11-29T00:00:00"/>
    <d v="2025-11-29T00:00:00"/>
    <d v="2025-11-29T13:53:11"/>
    <n v="2039"/>
    <s v="626955"/>
    <s v="Sprinter"/>
    <n v="50"/>
    <n v="50"/>
    <s v="4366XC"/>
    <n v="1"/>
    <n v="150"/>
    <b v="1"/>
    <b v="0"/>
    <b v="0"/>
    <n v="231"/>
    <n v="0"/>
    <s v=""/>
    <s v=""/>
    <n v="50"/>
    <n v="359"/>
    <x v="6"/>
    <n v="359"/>
    <s v="Escobedo"/>
    <s v="Escobedo"/>
    <x v="0"/>
    <x v="0"/>
    <d v="2025-11-01T00:00:00"/>
    <x v="7"/>
    <x v="3"/>
  </r>
  <r>
    <x v="1042"/>
    <x v="0"/>
    <n v="11"/>
    <d v="2025-11-29T00:00:00"/>
    <d v="2025-11-29T00:00:00"/>
    <d v="2025-11-29T00:00:00"/>
    <d v="2025-11-29T00:00:00"/>
    <d v="2025-11-29T13:54:13"/>
    <n v="2039"/>
    <s v="626955"/>
    <s v="Sprinter"/>
    <n v="50"/>
    <n v="50"/>
    <s v="4366XC"/>
    <n v="1"/>
    <n v="150"/>
    <b v="1"/>
    <b v="0"/>
    <b v="0"/>
    <n v="231"/>
    <n v="0"/>
    <s v=""/>
    <s v=""/>
    <n v="50"/>
    <n v="359"/>
    <x v="6"/>
    <n v="359"/>
    <s v="Escobedo"/>
    <s v="Escobedo"/>
    <x v="0"/>
    <x v="0"/>
    <d v="2025-11-01T00:00:00"/>
    <x v="7"/>
    <x v="3"/>
  </r>
  <r>
    <x v="1043"/>
    <x v="0"/>
    <n v="11"/>
    <d v="2025-11-05T00:00:00"/>
    <d v="2025-11-05T00:00:00"/>
    <d v="2025-11-05T00:00:00"/>
    <d v="2025-11-05T00:00:00"/>
    <d v="2025-11-05T17:09:05"/>
    <n v="2039"/>
    <s v="626955"/>
    <s v="Sprinter"/>
    <n v="50"/>
    <n v="50"/>
    <s v="4366XC"/>
    <n v="1"/>
    <n v="150"/>
    <b v="1"/>
    <b v="0"/>
    <b v="0"/>
    <n v="231"/>
    <n v="0"/>
    <s v=""/>
    <s v=""/>
    <n v="50"/>
    <n v="359"/>
    <x v="6"/>
    <n v="359"/>
    <s v="Escobedo"/>
    <s v="Escobedo"/>
    <x v="0"/>
    <x v="0"/>
    <d v="2025-11-01T00:00:00"/>
    <x v="7"/>
    <x v="3"/>
  </r>
  <r>
    <x v="1044"/>
    <x v="0"/>
    <n v="11"/>
    <d v="2025-11-05T00:00:00"/>
    <d v="2025-11-05T00:00:00"/>
    <d v="2025-11-05T00:00:00"/>
    <d v="2025-11-05T00:00:00"/>
    <d v="2025-11-05T17:09:04"/>
    <n v="2039"/>
    <s v="626955"/>
    <s v="Sprinter"/>
    <n v="50"/>
    <n v="50"/>
    <s v="4366XC"/>
    <n v="1"/>
    <n v="150"/>
    <b v="1"/>
    <b v="0"/>
    <b v="0"/>
    <n v="231"/>
    <n v="0"/>
    <s v=""/>
    <s v=""/>
    <n v="50"/>
    <n v="359"/>
    <x v="6"/>
    <n v="359"/>
    <s v="Escobedo"/>
    <s v="Escobedo"/>
    <x v="0"/>
    <x v="0"/>
    <d v="2025-11-01T00:00:00"/>
    <x v="7"/>
    <x v="3"/>
  </r>
  <r>
    <x v="1045"/>
    <x v="0"/>
    <n v="11"/>
    <d v="2025-11-05T00:00:00"/>
    <d v="2025-11-05T00:00:00"/>
    <d v="2025-11-05T00:00:00"/>
    <d v="2025-11-05T00:00:00"/>
    <d v="2025-11-05T17:09:03"/>
    <n v="2039"/>
    <s v="626955"/>
    <s v="Sprinter"/>
    <n v="50"/>
    <n v="50"/>
    <s v="4366XC"/>
    <n v="1"/>
    <n v="150"/>
    <b v="1"/>
    <b v="0"/>
    <b v="0"/>
    <n v="231"/>
    <n v="0"/>
    <s v=""/>
    <s v=""/>
    <n v="50"/>
    <n v="359"/>
    <x v="6"/>
    <n v="359"/>
    <s v="Escobedo"/>
    <s v="Escobedo"/>
    <x v="0"/>
    <x v="0"/>
    <d v="2025-11-01T00:00:00"/>
    <x v="7"/>
    <x v="3"/>
  </r>
  <r>
    <x v="1046"/>
    <x v="0"/>
    <n v="11"/>
    <d v="2025-11-05T00:00:00"/>
    <d v="2025-11-05T00:00:00"/>
    <d v="2025-11-05T00:00:00"/>
    <d v="2025-11-05T00:00:00"/>
    <d v="2025-11-05T17:09:01"/>
    <n v="2039"/>
    <s v="626955"/>
    <s v="Sprinter"/>
    <n v="50"/>
    <n v="50"/>
    <s v="4366XC"/>
    <n v="1"/>
    <n v="150"/>
    <b v="1"/>
    <b v="0"/>
    <b v="0"/>
    <n v="231"/>
    <n v="0"/>
    <s v=""/>
    <s v=""/>
    <n v="50"/>
    <n v="461"/>
    <x v="6"/>
    <n v="461"/>
    <s v="Escobedo"/>
    <s v="Monterrey"/>
    <x v="7"/>
    <x v="0"/>
    <d v="2025-11-01T00:00:00"/>
    <x v="7"/>
    <x v="3"/>
  </r>
  <r>
    <x v="1047"/>
    <x v="0"/>
    <n v="11"/>
    <d v="2025-11-06T00:00:00"/>
    <d v="2025-11-06T00:00:00"/>
    <d v="2025-11-06T00:00:00"/>
    <d v="2025-11-06T00:00:00"/>
    <d v="2025-11-06T00:00:00"/>
    <n v="2039"/>
    <s v="626955"/>
    <s v="Sprinter"/>
    <n v="50"/>
    <n v="50"/>
    <s v="4366XC"/>
    <n v="1"/>
    <n v="150"/>
    <b v="1"/>
    <b v="0"/>
    <b v="0"/>
    <n v="231"/>
    <n v="0"/>
    <s v=""/>
    <s v=""/>
    <n v="50"/>
    <n v="359"/>
    <x v="7"/>
    <n v="359"/>
    <s v="Escobedo"/>
    <s v="Escobedo"/>
    <x v="0"/>
    <x v="0"/>
    <d v="2025-11-01T00:00:00"/>
    <x v="7"/>
    <x v="3"/>
  </r>
  <r>
    <x v="1048"/>
    <x v="0"/>
    <n v="11"/>
    <d v="2025-11-12T00:00:00"/>
    <d v="2025-11-12T00:00:00"/>
    <d v="2025-11-13T00:00:00"/>
    <d v="2025-11-13T00:00:00"/>
    <d v="2025-11-13T00:00:00"/>
    <n v="2244"/>
    <s v="775908"/>
    <s v="4700*175*195"/>
    <n v="360"/>
    <n v="180"/>
    <s v="3727XC"/>
    <n v="1"/>
    <n v="208"/>
    <b v="1"/>
    <b v="0"/>
    <b v="0"/>
    <n v="536"/>
    <n v="0"/>
    <s v=""/>
    <s v=""/>
    <n v="200"/>
    <n v="464"/>
    <x v="11"/>
    <n v="464"/>
    <s v="San Luis Potosi"/>
    <s v="Aguascalientes"/>
    <x v="44"/>
    <x v="1"/>
    <d v="2025-11-01T00:00:00"/>
    <x v="7"/>
    <x v="3"/>
  </r>
  <r>
    <x v="1049"/>
    <x v="0"/>
    <n v="11"/>
    <d v="2025-11-13T00:00:00"/>
    <d v="2025-11-13T00:00:00"/>
    <d v="2025-11-13T00:00:00"/>
    <d v="2025-11-13T00:00:00"/>
    <d v="2025-11-14T00:00:00"/>
    <n v="2244"/>
    <s v="775908"/>
    <s v="4700*175*195"/>
    <n v="961"/>
    <n v="0"/>
    <s v="3727XC"/>
    <n v="1"/>
    <n v="964"/>
    <b v="1"/>
    <b v="0"/>
    <b v="0"/>
    <n v="0"/>
    <n v="0"/>
    <s v=""/>
    <s v=""/>
    <n v="0"/>
    <n v="8"/>
    <x v="1"/>
    <n v="8"/>
    <s v="Escobedo"/>
    <s v="Cd Sahagún"/>
    <x v="3"/>
    <x v="1"/>
    <d v="2025-11-01T00:00:00"/>
    <x v="7"/>
    <x v="3"/>
  </r>
  <r>
    <x v="1050"/>
    <x v="0"/>
    <n v="11"/>
    <d v="2025-11-15T00:00:00"/>
    <d v="2025-11-15T00:00:00"/>
    <d v="2025-11-19T00:00:00"/>
    <d v="2025-11-17T00:00:00"/>
    <d v="2025-11-19T00:00:00"/>
    <n v="2244"/>
    <s v="775908"/>
    <s v="4700*175*195"/>
    <n v="2528"/>
    <n v="1264"/>
    <s v="3727XC"/>
    <n v="1"/>
    <n v="1264"/>
    <b v="1"/>
    <b v="0"/>
    <b v="0"/>
    <n v="1746"/>
    <n v="0"/>
    <s v=""/>
    <s v=""/>
    <n v="1300"/>
    <n v="464"/>
    <x v="1"/>
    <n v="464"/>
    <s v="San Luis Potosi"/>
    <s v="Aguascalientes"/>
    <x v="44"/>
    <x v="1"/>
    <d v="2025-11-01T00:00:00"/>
    <x v="7"/>
    <x v="3"/>
  </r>
  <r>
    <x v="1051"/>
    <x v="0"/>
    <n v="11"/>
    <d v="2025-11-20T00:00:00"/>
    <d v="2025-11-20T00:00:00"/>
    <d v="2025-11-20T00:00:00"/>
    <d v="2025-11-20T00:00:00"/>
    <d v="2025-11-21T16:20:20"/>
    <n v="2244"/>
    <s v="775908"/>
    <s v="4700*175*195"/>
    <n v="32"/>
    <n v="0"/>
    <s v="3727XC"/>
    <n v="1"/>
    <n v="100"/>
    <b v="1"/>
    <b v="0"/>
    <b v="0"/>
    <n v="0"/>
    <n v="0"/>
    <s v=""/>
    <s v=""/>
    <n v="0"/>
    <n v="4955"/>
    <x v="11"/>
    <n v="4955"/>
    <s v="Cd Sahagún"/>
    <s v="Calpulalpan"/>
    <x v="45"/>
    <x v="1"/>
    <d v="2025-11-01T00:00:00"/>
    <x v="7"/>
    <x v="3"/>
  </r>
  <r>
    <x v="1052"/>
    <x v="0"/>
    <n v="11"/>
    <d v="2025-11-20T00:00:00"/>
    <d v="2025-11-20T00:00:00"/>
    <d v="2025-11-21T00:00:00"/>
    <d v="2025-11-20T00:00:00"/>
    <d v="2025-11-22T00:00:00"/>
    <n v="2244"/>
    <s v="775908"/>
    <s v="4700*175*195"/>
    <n v="2544"/>
    <n v="1272"/>
    <s v="3727XC"/>
    <n v="1"/>
    <n v="1272"/>
    <b v="1"/>
    <b v="0"/>
    <b v="0"/>
    <n v="1746"/>
    <n v="0"/>
    <s v=""/>
    <s v=""/>
    <n v="1300"/>
    <n v="4956"/>
    <x v="11"/>
    <n v="4956"/>
    <s v="Calpulalpan"/>
    <s v="Culiacan"/>
    <x v="46"/>
    <x v="1"/>
    <d v="2025-11-01T00:00:00"/>
    <x v="7"/>
    <x v="3"/>
  </r>
  <r>
    <x v="1053"/>
    <x v="0"/>
    <n v="11"/>
    <d v="2025-11-21T00:00:00"/>
    <d v="2025-11-21T00:00:00"/>
    <d v="2025-11-24T00:00:00"/>
    <d v="2025-11-23T00:00:00"/>
    <d v="2025-11-24T00:00:00"/>
    <n v="2244"/>
    <s v="775908"/>
    <s v="4700*175*195"/>
    <n v="961"/>
    <n v="0"/>
    <s v="3727XC"/>
    <n v="1"/>
    <n v="964"/>
    <b v="1"/>
    <b v="0"/>
    <b v="0"/>
    <n v="0"/>
    <n v="0"/>
    <s v=""/>
    <s v="Favor de estar 30 min antes de la salida para la revisión de unidad y salir 4.00 pm."/>
    <n v="0"/>
    <n v="8"/>
    <x v="11"/>
    <n v="8"/>
    <s v="Escobedo"/>
    <s v="Cd Sahagún"/>
    <x v="3"/>
    <x v="1"/>
    <d v="2025-11-01T00:00:00"/>
    <x v="7"/>
    <x v="3"/>
  </r>
  <r>
    <x v="1054"/>
    <x v="0"/>
    <n v="11"/>
    <d v="2025-11-24T00:00:00"/>
    <d v="2025-11-24T00:00:00"/>
    <d v="2025-11-25T00:00:00"/>
    <d v="2025-11-25T00:00:00"/>
    <d v="2025-11-25T00:00:00"/>
    <n v="2383"/>
    <s v="610429"/>
    <s v="Sprinter"/>
    <n v="107"/>
    <n v="107"/>
    <s v="4596XC"/>
    <n v="1"/>
    <n v="107"/>
    <b v="1"/>
    <b v="0"/>
    <b v="0"/>
    <n v="536"/>
    <n v="0"/>
    <s v=""/>
    <s v="Retirar unidad a las 9:00 am"/>
    <n v="200"/>
    <n v="464"/>
    <x v="1"/>
    <n v="464"/>
    <s v="San Luis Potosi"/>
    <s v="Aguascalientes"/>
    <x v="44"/>
    <x v="2"/>
    <d v="2025-11-01T00:00:00"/>
    <x v="7"/>
    <x v="3"/>
  </r>
  <r>
    <x v="1055"/>
    <x v="0"/>
    <n v="11"/>
    <d v="2025-11-28T00:00:00"/>
    <d v="2025-11-28T00:00:00"/>
    <d v="2025-11-30T00:00:00"/>
    <d v="2025-11-29T00:00:00"/>
    <d v="2025-11-30T00:00:00"/>
    <n v="2275"/>
    <s v="626955"/>
    <s v="Sprinter"/>
    <n v="961"/>
    <n v="0"/>
    <s v="2621XC"/>
    <n v="1"/>
    <n v="964"/>
    <b v="1"/>
    <b v="0"/>
    <b v="0"/>
    <n v="0"/>
    <n v="0"/>
    <s v=""/>
    <s v="Presentarse 30 min antes de la salida para revisión de la unidad."/>
    <n v="0"/>
    <n v="8"/>
    <x v="11"/>
    <n v="8"/>
    <s v="Escobedo"/>
    <s v="Cd Sahagún"/>
    <x v="3"/>
    <x v="0"/>
    <d v="2025-11-01T00:00:00"/>
    <x v="7"/>
    <x v="3"/>
  </r>
  <r>
    <x v="1056"/>
    <x v="0"/>
    <n v="11"/>
    <d v="2025-11-28T00:00:00"/>
    <d v="2025-11-28T00:00:00"/>
    <d v="2025-12-01T00:00:00"/>
    <d v="2025-11-30T00:00:00"/>
    <d v="2025-12-01T00:00:00"/>
    <n v="2244"/>
    <s v="775908"/>
    <s v="4700*175*195"/>
    <n v="961"/>
    <n v="0"/>
    <s v="3727XC"/>
    <n v="1"/>
    <n v="964"/>
    <b v="1"/>
    <b v="0"/>
    <b v="0"/>
    <n v="0"/>
    <n v="0"/>
    <s v=""/>
    <s v="Favor de presentarse 30 min antes, para revisión de unidad._x000a_Cita de operadores para transferencia 4:00 pm"/>
    <n v="0"/>
    <n v="8"/>
    <x v="11"/>
    <n v="8"/>
    <s v="Escobedo"/>
    <s v="Cd Sahagún"/>
    <x v="3"/>
    <x v="1"/>
    <d v="2025-11-01T00:00:00"/>
    <x v="7"/>
    <x v="3"/>
  </r>
  <r>
    <x v="1057"/>
    <x v="0"/>
    <n v="11"/>
    <d v="2025-11-07T00:00:00"/>
    <d v="2025-11-07T00:00:00"/>
    <d v="2025-11-09T00:00:00"/>
    <d v="2025-11-08T00:00:00"/>
    <d v="2025-11-09T00:00:00"/>
    <n v="2370"/>
    <s v="626955"/>
    <s v="Sprinter"/>
    <n v="961"/>
    <n v="0"/>
    <s v="LE28915"/>
    <n v="1"/>
    <n v="964"/>
    <b v="1"/>
    <b v="0"/>
    <b v="0"/>
    <n v="0"/>
    <n v="0"/>
    <s v=""/>
    <s v="Cita en patio 4:00 pm."/>
    <n v="0"/>
    <n v="464"/>
    <x v="11"/>
    <n v="464"/>
    <s v="San Luis Potosi"/>
    <s v="Aguascalientes"/>
    <x v="44"/>
    <x v="0"/>
    <d v="2025-11-01T00:00:00"/>
    <x v="7"/>
    <x v="3"/>
  </r>
  <r>
    <x v="1058"/>
    <x v="0"/>
    <n v="11"/>
    <d v="2025-11-08T00:00:00"/>
    <d v="2025-11-08T00:00:00"/>
    <d v="2025-11-11T00:00:00"/>
    <d v="2025-11-10T00:00:00"/>
    <d v="2025-11-12T00:00:00"/>
    <n v="2244"/>
    <s v="775908"/>
    <s v="4700*175*195"/>
    <n v="2528"/>
    <n v="1264"/>
    <s v="3727XC"/>
    <n v="1"/>
    <n v="1264"/>
    <b v="1"/>
    <b v="0"/>
    <b v="0"/>
    <n v="1746"/>
    <n v="0"/>
    <s v=""/>
    <s v=""/>
    <n v="1300"/>
    <n v="98"/>
    <x v="11"/>
    <n v="98"/>
    <s v="Cd Sahagún"/>
    <s v="Culiacan"/>
    <x v="2"/>
    <x v="1"/>
    <d v="2025-11-01T00:00:00"/>
    <x v="7"/>
    <x v="3"/>
  </r>
  <r>
    <x v="1059"/>
    <x v="0"/>
    <n v="12"/>
    <d v="2025-12-01T00:00:00"/>
    <d v="2025-12-01T00:00:00"/>
    <d v="2025-12-01T00:00:00"/>
    <d v="2025-12-01T00:00:00"/>
    <d v="2025-12-01T00:00:00"/>
    <n v="2050"/>
    <s v="610429"/>
    <s v="Sprinter"/>
    <n v="50"/>
    <n v="50"/>
    <s v="6551XC"/>
    <n v="1"/>
    <n v="150"/>
    <b v="1"/>
    <b v="0"/>
    <b v="0"/>
    <n v="231"/>
    <n v="0"/>
    <s v=""/>
    <s v=""/>
    <n v="50"/>
    <n v="359"/>
    <x v="6"/>
    <n v="359"/>
    <s v="Escobedo"/>
    <s v="Escobedo"/>
    <x v="0"/>
    <x v="2"/>
    <d v="2025-12-01T00:00:00"/>
    <x v="8"/>
    <x v="3"/>
  </r>
  <r>
    <x v="1060"/>
    <x v="0"/>
    <n v="12"/>
    <d v="2025-12-04T00:00:00"/>
    <d v="2025-12-04T00:00:00"/>
    <d v="2025-12-04T00:00:00"/>
    <d v="2025-12-04T00:00:00"/>
    <d v="2025-12-05T00:00:00"/>
    <n v="2039"/>
    <s v="610429"/>
    <s v="Sprinter"/>
    <n v="50"/>
    <n v="50"/>
    <s v="4366XC"/>
    <n v="1"/>
    <n v="150"/>
    <b v="1"/>
    <b v="0"/>
    <b v="0"/>
    <n v="231"/>
    <n v="0"/>
    <s v=""/>
    <s v=""/>
    <n v="50"/>
    <n v="359"/>
    <x v="6"/>
    <n v="359"/>
    <s v="Escobedo"/>
    <s v="Escobedo"/>
    <x v="0"/>
    <x v="2"/>
    <d v="2025-12-01T00:00:00"/>
    <x v="8"/>
    <x v="3"/>
  </r>
  <r>
    <x v="1061"/>
    <x v="0"/>
    <n v="12"/>
    <d v="2025-12-04T00:00:00"/>
    <d v="2025-12-04T00:00:00"/>
    <d v="2025-12-04T00:00:00"/>
    <d v="2025-12-04T00:00:00"/>
    <d v="2025-12-05T00:00:00"/>
    <n v="2039"/>
    <s v="610429"/>
    <s v="Sprinter"/>
    <n v="50"/>
    <n v="50"/>
    <s v="4366XC"/>
    <n v="1"/>
    <n v="150"/>
    <b v="1"/>
    <b v="0"/>
    <b v="0"/>
    <n v="231"/>
    <n v="0"/>
    <s v=""/>
    <s v=""/>
    <n v="50"/>
    <n v="359"/>
    <x v="6"/>
    <n v="359"/>
    <s v="Escobedo"/>
    <s v="Escobedo"/>
    <x v="0"/>
    <x v="2"/>
    <d v="2025-12-01T00:00:00"/>
    <x v="8"/>
    <x v="3"/>
  </r>
  <r>
    <x v="1062"/>
    <x v="0"/>
    <n v="12"/>
    <d v="2025-12-04T00:00:00"/>
    <d v="2025-12-04T00:00:00"/>
    <d v="2025-12-04T00:00:00"/>
    <d v="2025-12-04T00:00:00"/>
    <d v="2025-12-05T00:00:00"/>
    <n v="2039"/>
    <s v="610429"/>
    <s v="Sprinter"/>
    <n v="50"/>
    <n v="50"/>
    <s v="4366XC"/>
    <n v="1"/>
    <n v="150"/>
    <b v="1"/>
    <b v="0"/>
    <b v="0"/>
    <n v="231"/>
    <n v="0"/>
    <s v=""/>
    <s v=""/>
    <n v="50"/>
    <n v="359"/>
    <x v="6"/>
    <n v="359"/>
    <s v="Escobedo"/>
    <s v="Escobedo"/>
    <x v="0"/>
    <x v="2"/>
    <d v="2025-12-01T00:00:00"/>
    <x v="8"/>
    <x v="3"/>
  </r>
  <r>
    <x v="1063"/>
    <x v="0"/>
    <n v="12"/>
    <d v="2025-12-04T00:00:00"/>
    <d v="2025-12-04T00:00:00"/>
    <d v="2025-12-04T00:00:00"/>
    <d v="2025-12-04T00:00:00"/>
    <d v="2025-12-05T00:00:00"/>
    <n v="2039"/>
    <s v="610429"/>
    <s v="Sprinter"/>
    <n v="50"/>
    <n v="50"/>
    <s v="4366XC"/>
    <n v="1"/>
    <n v="150"/>
    <b v="1"/>
    <b v="0"/>
    <b v="0"/>
    <n v="231"/>
    <n v="0"/>
    <s v=""/>
    <s v=""/>
    <n v="50"/>
    <n v="359"/>
    <x v="6"/>
    <n v="359"/>
    <s v="Escobedo"/>
    <s v="Escobedo"/>
    <x v="0"/>
    <x v="2"/>
    <d v="2025-12-01T00:00:00"/>
    <x v="8"/>
    <x v="3"/>
  </r>
  <r>
    <x v="1064"/>
    <x v="0"/>
    <n v="12"/>
    <d v="2025-12-05T00:00:00"/>
    <d v="2025-12-05T00:00:00"/>
    <d v="2025-12-07T00:00:00"/>
    <d v="2025-12-06T00:00:00"/>
    <m/>
    <n v="2374"/>
    <s v="610429"/>
    <s v="Sprinter"/>
    <n v="0"/>
    <n v="0"/>
    <s v="2628XC"/>
    <n v="1"/>
    <n v="0"/>
    <b v="1"/>
    <b v="1"/>
    <b v="0"/>
    <n v="0"/>
    <n v="0"/>
    <s v=""/>
    <s v=""/>
    <n v="0"/>
    <n v="8"/>
    <x v="8"/>
    <n v="8"/>
    <s v="Escobedo"/>
    <s v="Cd Sahagún"/>
    <x v="3"/>
    <x v="2"/>
    <d v="2025-12-01T00:00:00"/>
    <x v="8"/>
    <x v="3"/>
  </r>
  <r>
    <x v="1065"/>
    <x v="0"/>
    <n v="12"/>
    <d v="2025-12-05T00:00:00"/>
    <d v="2025-12-05T00:00:00"/>
    <d v="2025-12-05T00:00:00"/>
    <d v="2025-12-05T00:00:00"/>
    <d v="2025-12-05T00:00:00"/>
    <n v="2039"/>
    <s v="626955"/>
    <s v="Sprinter"/>
    <n v="50"/>
    <n v="50"/>
    <s v="4366XC"/>
    <n v="1"/>
    <n v="150"/>
    <b v="1"/>
    <b v="0"/>
    <b v="0"/>
    <n v="231"/>
    <n v="0"/>
    <s v=""/>
    <s v=""/>
    <n v="50"/>
    <n v="359"/>
    <x v="6"/>
    <n v="359"/>
    <s v="Escobedo"/>
    <s v="Escobedo"/>
    <x v="0"/>
    <x v="0"/>
    <d v="2025-12-01T00:00:00"/>
    <x v="8"/>
    <x v="3"/>
  </r>
  <r>
    <x v="1066"/>
    <x v="0"/>
    <n v="12"/>
    <d v="2025-12-05T00:00:00"/>
    <d v="2025-12-05T00:00:00"/>
    <d v="2025-12-05T00:00:00"/>
    <d v="2025-12-05T00:00:00"/>
    <d v="2025-12-05T00:00:00"/>
    <n v="2039"/>
    <s v="610429"/>
    <s v="Sprinter"/>
    <n v="50"/>
    <n v="50"/>
    <s v="4366XC"/>
    <n v="1"/>
    <n v="150"/>
    <b v="1"/>
    <b v="0"/>
    <b v="0"/>
    <n v="231"/>
    <n v="0"/>
    <s v=""/>
    <s v=""/>
    <n v="50"/>
    <n v="359"/>
    <x v="6"/>
    <n v="359"/>
    <s v="Escobedo"/>
    <s v="Escobedo"/>
    <x v="0"/>
    <x v="2"/>
    <d v="2025-12-01T00:00:00"/>
    <x v="8"/>
    <x v="3"/>
  </r>
  <r>
    <x v="1067"/>
    <x v="0"/>
    <n v="12"/>
    <d v="2025-12-05T00:00:00"/>
    <d v="2025-12-05T00:00:00"/>
    <d v="2025-12-05T00:00:00"/>
    <d v="2025-12-05T00:00:00"/>
    <d v="2025-12-05T00:00:00"/>
    <n v="2039"/>
    <s v="610429"/>
    <s v="Sprinter"/>
    <n v="50"/>
    <n v="50"/>
    <s v="4366XC"/>
    <n v="1"/>
    <n v="150"/>
    <b v="1"/>
    <b v="0"/>
    <b v="0"/>
    <n v="231"/>
    <n v="0"/>
    <s v=""/>
    <s v=""/>
    <n v="50"/>
    <n v="359"/>
    <x v="6"/>
    <n v="359"/>
    <s v="Escobedo"/>
    <s v="Escobedo"/>
    <x v="0"/>
    <x v="2"/>
    <d v="2025-12-01T00:00:00"/>
    <x v="8"/>
    <x v="3"/>
  </r>
  <r>
    <x v="1068"/>
    <x v="0"/>
    <n v="12"/>
    <d v="2025-12-05T00:00:00"/>
    <d v="2025-12-05T00:00:00"/>
    <d v="2025-12-05T00:00:00"/>
    <d v="2025-12-05T00:00:00"/>
    <d v="2025-12-05T00:00:00"/>
    <n v="2039"/>
    <s v="610429"/>
    <s v="Sprinter"/>
    <n v="50"/>
    <n v="50"/>
    <s v="4366XC"/>
    <n v="1"/>
    <n v="150"/>
    <b v="1"/>
    <b v="0"/>
    <b v="0"/>
    <n v="231"/>
    <n v="0"/>
    <s v=""/>
    <s v=""/>
    <n v="50"/>
    <n v="359"/>
    <x v="6"/>
    <n v="359"/>
    <s v="Escobedo"/>
    <s v="Escobedo"/>
    <x v="0"/>
    <x v="2"/>
    <d v="2025-12-01T00:00:00"/>
    <x v="8"/>
    <x v="3"/>
  </r>
  <r>
    <x v="1069"/>
    <x v="0"/>
    <n v="12"/>
    <d v="2025-12-05T00:00:00"/>
    <d v="2025-12-05T00:00:00"/>
    <d v="2025-12-05T00:00:00"/>
    <d v="2025-12-05T00:00:00"/>
    <d v="2025-12-05T00:00:00"/>
    <n v="2039"/>
    <s v="610429"/>
    <s v="Sprinter"/>
    <n v="50"/>
    <n v="50"/>
    <s v="4366XC"/>
    <n v="1"/>
    <n v="150"/>
    <b v="1"/>
    <b v="0"/>
    <b v="0"/>
    <n v="231"/>
    <n v="0"/>
    <s v=""/>
    <s v=""/>
    <n v="50"/>
    <n v="359"/>
    <x v="6"/>
    <n v="359"/>
    <s v="Escobedo"/>
    <s v="Escobedo"/>
    <x v="0"/>
    <x v="2"/>
    <d v="2025-12-01T00:00:00"/>
    <x v="8"/>
    <x v="3"/>
  </r>
  <r>
    <x v="1070"/>
    <x v="0"/>
    <n v="12"/>
    <d v="2025-12-06T00:00:00"/>
    <d v="2025-12-06T00:00:00"/>
    <d v="2025-12-06T00:00:00"/>
    <d v="2025-12-06T00:00:00"/>
    <d v="2025-12-06T00:00:00"/>
    <n v="2039"/>
    <s v="626955"/>
    <s v="Sprinter"/>
    <n v="50"/>
    <n v="50"/>
    <s v="4366XC"/>
    <n v="1"/>
    <n v="150"/>
    <b v="1"/>
    <b v="0"/>
    <b v="0"/>
    <n v="231"/>
    <n v="0"/>
    <s v=""/>
    <s v=""/>
    <n v="50"/>
    <n v="359"/>
    <x v="6"/>
    <n v="359"/>
    <s v="Escobedo"/>
    <s v="Escobedo"/>
    <x v="0"/>
    <x v="0"/>
    <d v="2025-12-01T00:00:00"/>
    <x v="8"/>
    <x v="3"/>
  </r>
  <r>
    <x v="1071"/>
    <x v="0"/>
    <n v="12"/>
    <d v="2025-12-06T00:00:00"/>
    <d v="2025-12-06T00:00:00"/>
    <d v="2025-12-06T00:00:00"/>
    <d v="2025-12-06T00:00:00"/>
    <d v="2025-12-06T00:00:00"/>
    <n v="2039"/>
    <s v="626955"/>
    <s v="Sprinter"/>
    <n v="50"/>
    <n v="50"/>
    <s v="4366XC"/>
    <n v="1"/>
    <n v="150"/>
    <b v="1"/>
    <b v="0"/>
    <b v="0"/>
    <n v="231"/>
    <n v="0"/>
    <s v=""/>
    <s v=""/>
    <n v="50"/>
    <n v="359"/>
    <x v="6"/>
    <n v="359"/>
    <s v="Escobedo"/>
    <s v="Escobedo"/>
    <x v="0"/>
    <x v="0"/>
    <d v="2025-12-01T00:00:00"/>
    <x v="8"/>
    <x v="3"/>
  </r>
  <r>
    <x v="1072"/>
    <x v="0"/>
    <n v="12"/>
    <d v="2025-12-06T00:00:00"/>
    <d v="2025-12-06T00:00:00"/>
    <d v="2025-12-06T00:00:00"/>
    <d v="2025-12-06T00:00:00"/>
    <d v="2025-12-06T00:00:00"/>
    <n v="2039"/>
    <s v="626955"/>
    <s v="Sprinter"/>
    <n v="50"/>
    <n v="50"/>
    <s v="4366XC"/>
    <n v="1"/>
    <n v="150"/>
    <b v="1"/>
    <b v="0"/>
    <b v="0"/>
    <n v="231"/>
    <n v="0"/>
    <s v=""/>
    <s v=""/>
    <n v="50"/>
    <n v="359"/>
    <x v="6"/>
    <n v="359"/>
    <s v="Escobedo"/>
    <s v="Escobedo"/>
    <x v="0"/>
    <x v="0"/>
    <d v="2025-12-01T00:00:00"/>
    <x v="8"/>
    <x v="3"/>
  </r>
  <r>
    <x v="1073"/>
    <x v="0"/>
    <n v="12"/>
    <d v="2025-12-06T00:00:00"/>
    <d v="2025-12-06T00:00:00"/>
    <d v="2025-12-06T00:00:00"/>
    <d v="2025-12-06T00:00:00"/>
    <d v="2025-12-06T00:00:00"/>
    <n v="2039"/>
    <s v="626955"/>
    <s v="Sprinter"/>
    <n v="50"/>
    <n v="50"/>
    <s v="4366XC"/>
    <n v="1"/>
    <n v="150"/>
    <b v="1"/>
    <b v="0"/>
    <b v="0"/>
    <n v="231"/>
    <n v="0"/>
    <s v=""/>
    <s v=""/>
    <n v="50"/>
    <n v="359"/>
    <x v="6"/>
    <n v="359"/>
    <s v="Escobedo"/>
    <s v="Escobedo"/>
    <x v="0"/>
    <x v="0"/>
    <d v="2025-12-01T00:00:00"/>
    <x v="8"/>
    <x v="3"/>
  </r>
  <r>
    <x v="1074"/>
    <x v="0"/>
    <n v="12"/>
    <d v="2025-12-06T00:00:00"/>
    <d v="2025-12-06T00:00:00"/>
    <d v="2025-12-06T00:00:00"/>
    <d v="2025-12-06T00:00:00"/>
    <d v="2025-12-07T00:00:00"/>
    <n v="2410"/>
    <s v="610429"/>
    <s v="Sprinter"/>
    <n v="961"/>
    <n v="1059"/>
    <s v="6552XC"/>
    <n v="1"/>
    <n v="964"/>
    <b v="1"/>
    <b v="0"/>
    <b v="0"/>
    <n v="1494"/>
    <n v="0"/>
    <s v=""/>
    <s v=""/>
    <n v="1100"/>
    <n v="8"/>
    <x v="7"/>
    <n v="8"/>
    <s v="Escobedo"/>
    <s v="Cd Sahagún"/>
    <x v="3"/>
    <x v="2"/>
    <d v="2025-12-01T00:00:00"/>
    <x v="8"/>
    <x v="3"/>
  </r>
  <r>
    <x v="1075"/>
    <x v="0"/>
    <n v="12"/>
    <d v="2025-12-07T00:00:00"/>
    <d v="2025-12-07T00:00:00"/>
    <d v="2025-12-07T00:00:00"/>
    <d v="2025-12-07T00:00:00"/>
    <d v="2025-12-07T00:00:00"/>
    <n v="2039"/>
    <s v="626955"/>
    <s v="Sprinter"/>
    <n v="50"/>
    <n v="50"/>
    <s v="4366XC"/>
    <n v="1"/>
    <n v="150"/>
    <b v="1"/>
    <b v="0"/>
    <b v="0"/>
    <n v="231"/>
    <n v="0"/>
    <s v=""/>
    <s v=""/>
    <n v="50"/>
    <n v="359"/>
    <x v="8"/>
    <n v="359"/>
    <s v="Escobedo"/>
    <s v="Escobedo"/>
    <x v="0"/>
    <x v="0"/>
    <d v="2025-12-01T00:00:00"/>
    <x v="8"/>
    <x v="3"/>
  </r>
  <r>
    <x v="1076"/>
    <x v="0"/>
    <n v="12"/>
    <d v="2025-12-07T00:00:00"/>
    <d v="2025-12-07T00:00:00"/>
    <d v="2025-12-07T00:00:00"/>
    <d v="2025-12-07T00:00:00"/>
    <d v="2025-12-08T00:00:00"/>
    <n v="2039"/>
    <s v="626955"/>
    <s v="Sprinter"/>
    <n v="50"/>
    <n v="50"/>
    <s v="4366XC"/>
    <n v="1"/>
    <n v="150"/>
    <b v="1"/>
    <b v="0"/>
    <b v="0"/>
    <n v="231"/>
    <n v="0"/>
    <s v=""/>
    <s v=""/>
    <n v="50"/>
    <n v="359"/>
    <x v="6"/>
    <n v="359"/>
    <s v="Escobedo"/>
    <s v="Escobedo"/>
    <x v="0"/>
    <x v="0"/>
    <d v="2025-12-01T00:00:00"/>
    <x v="8"/>
    <x v="3"/>
  </r>
  <r>
    <x v="1077"/>
    <x v="0"/>
    <n v="12"/>
    <d v="2025-12-07T00:00:00"/>
    <d v="2025-12-07T00:00:00"/>
    <d v="2025-12-07T00:00:00"/>
    <d v="2025-12-07T00:00:00"/>
    <d v="2025-12-08T00:00:00"/>
    <n v="2039"/>
    <s v="626955"/>
    <s v="Sprinter"/>
    <n v="50"/>
    <n v="50"/>
    <s v="4366XC"/>
    <n v="1"/>
    <n v="150"/>
    <b v="1"/>
    <b v="0"/>
    <b v="0"/>
    <n v="231"/>
    <n v="0"/>
    <s v=""/>
    <s v=""/>
    <n v="50"/>
    <n v="359"/>
    <x v="6"/>
    <n v="359"/>
    <s v="Escobedo"/>
    <s v="Escobedo"/>
    <x v="0"/>
    <x v="0"/>
    <d v="2025-12-01T00:00:00"/>
    <x v="8"/>
    <x v="3"/>
  </r>
  <r>
    <x v="1078"/>
    <x v="0"/>
    <n v="12"/>
    <d v="2025-12-08T00:00:00"/>
    <d v="2025-12-08T00:00:00"/>
    <d v="2025-12-08T00:00:00"/>
    <d v="2025-12-08T00:00:00"/>
    <d v="2025-12-09T00:00:00"/>
    <n v="2039"/>
    <s v="626955"/>
    <s v="Sprinter"/>
    <n v="50"/>
    <n v="50"/>
    <s v="4366XC"/>
    <n v="1"/>
    <n v="150"/>
    <b v="1"/>
    <b v="0"/>
    <b v="0"/>
    <n v="231"/>
    <n v="0"/>
    <s v=""/>
    <s v=""/>
    <n v="50"/>
    <n v="359"/>
    <x v="6"/>
    <n v="359"/>
    <s v="Escobedo"/>
    <s v="Escobedo"/>
    <x v="0"/>
    <x v="0"/>
    <d v="2025-12-01T00:00:00"/>
    <x v="8"/>
    <x v="3"/>
  </r>
  <r>
    <x v="1079"/>
    <x v="0"/>
    <n v="12"/>
    <d v="2025-12-08T00:00:00"/>
    <d v="2025-12-08T00:00:00"/>
    <d v="2025-12-08T00:00:00"/>
    <d v="2025-12-08T00:00:00"/>
    <d v="2025-12-09T00:00:00"/>
    <n v="2039"/>
    <s v="626955"/>
    <s v="Sprinter"/>
    <n v="50"/>
    <n v="50"/>
    <s v="4366XC"/>
    <n v="1"/>
    <n v="150"/>
    <b v="1"/>
    <b v="0"/>
    <b v="0"/>
    <n v="231"/>
    <n v="0"/>
    <s v=""/>
    <s v=""/>
    <n v="50"/>
    <n v="359"/>
    <x v="6"/>
    <n v="359"/>
    <s v="Escobedo"/>
    <s v="Escobedo"/>
    <x v="0"/>
    <x v="0"/>
    <d v="2025-12-01T00:00:00"/>
    <x v="8"/>
    <x v="3"/>
  </r>
  <r>
    <x v="1080"/>
    <x v="0"/>
    <n v="12"/>
    <d v="2025-12-08T00:00:00"/>
    <d v="2025-12-08T00:00:00"/>
    <d v="2025-12-08T00:00:00"/>
    <d v="2025-12-08T00:00:00"/>
    <d v="2025-12-09T00:00:00"/>
    <n v="2039"/>
    <s v="626955"/>
    <s v="Sprinter"/>
    <n v="50"/>
    <n v="50"/>
    <s v="4366XC"/>
    <n v="1"/>
    <n v="150"/>
    <b v="1"/>
    <b v="0"/>
    <b v="0"/>
    <n v="231"/>
    <n v="0"/>
    <s v=""/>
    <s v=""/>
    <n v="50"/>
    <n v="359"/>
    <x v="6"/>
    <n v="359"/>
    <s v="Escobedo"/>
    <s v="Escobedo"/>
    <x v="0"/>
    <x v="0"/>
    <d v="2025-12-01T00:00:00"/>
    <x v="8"/>
    <x v="3"/>
  </r>
  <r>
    <x v="1081"/>
    <x v="0"/>
    <n v="12"/>
    <d v="2025-12-09T00:00:00"/>
    <d v="2025-12-09T00:00:00"/>
    <d v="2025-12-09T00:00:00"/>
    <d v="2025-12-09T00:00:00"/>
    <d v="2025-12-09T00:00:00"/>
    <n v="2039"/>
    <s v="626955"/>
    <s v="Sprinter"/>
    <n v="50"/>
    <n v="50"/>
    <s v="4366XC"/>
    <n v="1"/>
    <n v="150"/>
    <b v="1"/>
    <b v="0"/>
    <b v="0"/>
    <n v="231"/>
    <n v="0"/>
    <s v=""/>
    <s v=""/>
    <n v="50"/>
    <n v="359"/>
    <x v="6"/>
    <n v="359"/>
    <s v="Escobedo"/>
    <s v="Escobedo"/>
    <x v="0"/>
    <x v="0"/>
    <d v="2025-12-01T00:00:00"/>
    <x v="8"/>
    <x v="3"/>
  </r>
  <r>
    <x v="1082"/>
    <x v="0"/>
    <n v="12"/>
    <d v="2025-12-09T00:00:00"/>
    <d v="2025-12-09T00:00:00"/>
    <d v="2025-12-09T00:00:00"/>
    <d v="2025-12-09T00:00:00"/>
    <d v="2025-12-09T00:00:00"/>
    <n v="2039"/>
    <s v="626955"/>
    <s v="Sprinter"/>
    <n v="50"/>
    <n v="50"/>
    <s v="4366XC"/>
    <n v="1"/>
    <n v="150"/>
    <b v="1"/>
    <b v="0"/>
    <b v="0"/>
    <n v="231"/>
    <n v="0"/>
    <s v=""/>
    <s v=""/>
    <n v="50"/>
    <n v="461"/>
    <x v="6"/>
    <n v="461"/>
    <s v="Escobedo"/>
    <s v="Monterrey"/>
    <x v="7"/>
    <x v="0"/>
    <d v="2025-12-01T00:00:00"/>
    <x v="8"/>
    <x v="3"/>
  </r>
  <r>
    <x v="1083"/>
    <x v="0"/>
    <n v="12"/>
    <d v="2025-12-09T00:00:00"/>
    <d v="2025-12-09T00:00:00"/>
    <d v="2025-12-09T00:00:00"/>
    <d v="2025-12-09T00:00:00"/>
    <d v="2025-12-09T00:00:00"/>
    <n v="2039"/>
    <s v="626955"/>
    <s v="Sprinter"/>
    <n v="50"/>
    <n v="50"/>
    <s v="4366XC"/>
    <n v="1"/>
    <n v="150"/>
    <b v="1"/>
    <b v="0"/>
    <b v="0"/>
    <n v="231"/>
    <n v="0"/>
    <s v=""/>
    <s v=""/>
    <n v="50"/>
    <n v="461"/>
    <x v="6"/>
    <n v="461"/>
    <s v="Escobedo"/>
    <s v="Monterrey"/>
    <x v="7"/>
    <x v="0"/>
    <d v="2025-12-01T00:00:00"/>
    <x v="8"/>
    <x v="3"/>
  </r>
  <r>
    <x v="1084"/>
    <x v="0"/>
    <n v="12"/>
    <d v="2025-12-10T00:00:00"/>
    <d v="2025-12-10T00:00:00"/>
    <d v="2025-12-10T00:00:00"/>
    <d v="2025-12-10T00:00:00"/>
    <d v="2025-12-10T00:00:00"/>
    <n v="2039"/>
    <s v="626955"/>
    <s v="Sprinter"/>
    <n v="50"/>
    <n v="50"/>
    <s v="4366XC"/>
    <n v="1"/>
    <n v="150"/>
    <b v="1"/>
    <b v="0"/>
    <b v="0"/>
    <n v="231"/>
    <n v="0"/>
    <s v=""/>
    <s v=""/>
    <n v="50"/>
    <n v="359"/>
    <x v="8"/>
    <n v="359"/>
    <s v="Escobedo"/>
    <s v="Escobedo"/>
    <x v="0"/>
    <x v="0"/>
    <d v="2025-12-01T00:00:00"/>
    <x v="8"/>
    <x v="3"/>
  </r>
  <r>
    <x v="1085"/>
    <x v="0"/>
    <n v="12"/>
    <d v="2025-12-10T00:00:00"/>
    <d v="2025-12-10T00:00:00"/>
    <d v="2025-12-10T00:00:00"/>
    <d v="2025-12-10T00:00:00"/>
    <d v="2025-12-11T00:00:00"/>
    <n v="2039"/>
    <s v="626955"/>
    <s v="Sprinter"/>
    <n v="50"/>
    <n v="50"/>
    <s v="4366XC"/>
    <n v="1"/>
    <n v="150"/>
    <b v="1"/>
    <b v="0"/>
    <b v="0"/>
    <n v="231"/>
    <n v="0"/>
    <s v=""/>
    <s v=""/>
    <n v="50"/>
    <n v="359"/>
    <x v="6"/>
    <n v="359"/>
    <s v="Escobedo"/>
    <s v="Escobedo"/>
    <x v="0"/>
    <x v="0"/>
    <d v="2025-12-01T00:00:00"/>
    <x v="8"/>
    <x v="3"/>
  </r>
  <r>
    <x v="1086"/>
    <x v="0"/>
    <n v="12"/>
    <d v="2025-12-11T00:00:00"/>
    <d v="2025-12-11T00:00:00"/>
    <d v="2025-12-11T00:00:00"/>
    <d v="2025-12-11T00:00:00"/>
    <d v="2025-12-11T00:00:00"/>
    <n v="2039"/>
    <s v="626955"/>
    <s v="Sprinter"/>
    <n v="50"/>
    <n v="50"/>
    <s v="4366XC"/>
    <n v="1"/>
    <n v="150"/>
    <b v="1"/>
    <b v="0"/>
    <b v="0"/>
    <n v="231"/>
    <n v="0"/>
    <s v=""/>
    <s v=""/>
    <n v="50"/>
    <n v="359"/>
    <x v="6"/>
    <n v="359"/>
    <s v="Escobedo"/>
    <s v="Escobedo"/>
    <x v="0"/>
    <x v="0"/>
    <d v="2025-12-01T00:00:00"/>
    <x v="8"/>
    <x v="3"/>
  </r>
  <r>
    <x v="1087"/>
    <x v="0"/>
    <n v="12"/>
    <d v="2025-12-11T00:00:00"/>
    <d v="2025-12-11T00:00:00"/>
    <d v="2025-12-11T00:00:00"/>
    <d v="2025-12-11T00:00:00"/>
    <d v="2025-12-11T00:00:00"/>
    <n v="2039"/>
    <s v="626955"/>
    <s v="Sprinter"/>
    <n v="50"/>
    <n v="50"/>
    <s v="4366XC"/>
    <n v="1"/>
    <n v="150"/>
    <b v="1"/>
    <b v="0"/>
    <b v="0"/>
    <n v="231"/>
    <n v="0"/>
    <s v=""/>
    <s v=""/>
    <n v="50"/>
    <n v="359"/>
    <x v="6"/>
    <n v="359"/>
    <s v="Escobedo"/>
    <s v="Escobedo"/>
    <x v="0"/>
    <x v="0"/>
    <d v="2025-12-01T00:00:00"/>
    <x v="8"/>
    <x v="3"/>
  </r>
  <r>
    <x v="1088"/>
    <x v="0"/>
    <n v="12"/>
    <d v="2025-12-11T00:00:00"/>
    <d v="2025-12-11T00:00:00"/>
    <d v="2025-12-11T00:00:00"/>
    <d v="2025-12-11T00:00:00"/>
    <d v="2025-12-11T00:00:00"/>
    <n v="2039"/>
    <s v="626955"/>
    <s v="Sprinter"/>
    <n v="50"/>
    <n v="50"/>
    <s v="4366XC"/>
    <n v="1"/>
    <n v="150"/>
    <b v="1"/>
    <b v="0"/>
    <b v="0"/>
    <n v="231"/>
    <n v="0"/>
    <s v=""/>
    <s v=""/>
    <n v="50"/>
    <n v="359"/>
    <x v="6"/>
    <n v="359"/>
    <s v="Escobedo"/>
    <s v="Escobedo"/>
    <x v="0"/>
    <x v="0"/>
    <d v="2025-12-01T00:00:00"/>
    <x v="8"/>
    <x v="3"/>
  </r>
  <r>
    <x v="1089"/>
    <x v="0"/>
    <n v="12"/>
    <d v="2025-12-11T00:00:00"/>
    <d v="2025-12-11T00:00:00"/>
    <d v="2025-12-11T00:00:00"/>
    <d v="2025-12-11T00:00:00"/>
    <d v="2025-12-11T00:00:00"/>
    <n v="2039"/>
    <s v="626955"/>
    <s v="Sprinter"/>
    <n v="50"/>
    <n v="50"/>
    <s v="4366XC"/>
    <n v="1"/>
    <n v="150"/>
    <b v="1"/>
    <b v="0"/>
    <b v="0"/>
    <n v="231"/>
    <n v="0"/>
    <s v=""/>
    <s v=""/>
    <n v="50"/>
    <n v="359"/>
    <x v="6"/>
    <n v="359"/>
    <s v="Escobedo"/>
    <s v="Escobedo"/>
    <x v="0"/>
    <x v="0"/>
    <d v="2025-12-01T00:00:00"/>
    <x v="8"/>
    <x v="3"/>
  </r>
  <r>
    <x v="1090"/>
    <x v="0"/>
    <n v="12"/>
    <d v="2025-12-11T00:00:00"/>
    <d v="2025-12-11T00:00:00"/>
    <d v="2025-12-11T00:00:00"/>
    <d v="2025-12-11T00:00:00"/>
    <d v="2025-12-11T00:00:00"/>
    <n v="2039"/>
    <s v="626955"/>
    <s v="Sprinter"/>
    <n v="50"/>
    <n v="50"/>
    <s v="4366XC"/>
    <n v="1"/>
    <n v="150"/>
    <b v="1"/>
    <b v="0"/>
    <b v="0"/>
    <n v="231"/>
    <n v="0"/>
    <s v=""/>
    <s v=""/>
    <n v="50"/>
    <n v="359"/>
    <x v="6"/>
    <n v="359"/>
    <s v="Escobedo"/>
    <s v="Escobedo"/>
    <x v="0"/>
    <x v="0"/>
    <d v="2025-12-01T00:00:00"/>
    <x v="8"/>
    <x v="3"/>
  </r>
  <r>
    <x v="1091"/>
    <x v="0"/>
    <n v="12"/>
    <d v="2025-12-12T00:00:00"/>
    <d v="2025-12-12T00:00:00"/>
    <d v="2025-12-12T00:00:00"/>
    <d v="2025-12-12T00:00:00"/>
    <d v="2025-12-12T00:00:00"/>
    <n v="2039"/>
    <s v="626955"/>
    <s v="Sprinter"/>
    <n v="50"/>
    <n v="50"/>
    <s v="4366XC"/>
    <n v="1"/>
    <n v="150"/>
    <b v="1"/>
    <b v="0"/>
    <b v="0"/>
    <n v="231"/>
    <n v="0"/>
    <s v=""/>
    <s v=""/>
    <n v="50"/>
    <n v="359"/>
    <x v="8"/>
    <n v="359"/>
    <s v="Escobedo"/>
    <s v="Escobedo"/>
    <x v="0"/>
    <x v="0"/>
    <d v="2025-12-01T00:00:00"/>
    <x v="8"/>
    <x v="3"/>
  </r>
  <r>
    <x v="1092"/>
    <x v="0"/>
    <n v="12"/>
    <d v="2025-12-12T00:00:00"/>
    <d v="2025-12-12T00:00:00"/>
    <d v="2025-12-12T00:00:00"/>
    <d v="2025-12-12T00:00:00"/>
    <d v="2025-12-13T00:00:00"/>
    <n v="2039"/>
    <s v="626955"/>
    <s v="Sprinter"/>
    <n v="50"/>
    <n v="50"/>
    <s v="4366XC"/>
    <n v="1"/>
    <n v="150"/>
    <b v="1"/>
    <b v="0"/>
    <b v="0"/>
    <n v="231"/>
    <n v="0"/>
    <s v=""/>
    <s v=""/>
    <n v="50"/>
    <n v="359"/>
    <x v="8"/>
    <n v="359"/>
    <s v="Escobedo"/>
    <s v="Escobedo"/>
    <x v="0"/>
    <x v="0"/>
    <d v="2025-12-01T00:00:00"/>
    <x v="8"/>
    <x v="3"/>
  </r>
  <r>
    <x v="1093"/>
    <x v="0"/>
    <n v="12"/>
    <d v="2025-12-12T00:00:00"/>
    <d v="2025-12-12T00:00:00"/>
    <d v="2025-12-12T00:00:00"/>
    <d v="2025-12-12T00:00:00"/>
    <d v="2025-12-13T00:00:00"/>
    <n v="2039"/>
    <s v="626955"/>
    <s v="Sprinter"/>
    <n v="50"/>
    <n v="50"/>
    <s v="4366XC"/>
    <n v="1"/>
    <n v="150"/>
    <b v="1"/>
    <b v="0"/>
    <b v="0"/>
    <n v="231"/>
    <n v="0"/>
    <s v=""/>
    <s v=""/>
    <n v="50"/>
    <n v="359"/>
    <x v="8"/>
    <n v="359"/>
    <s v="Escobedo"/>
    <s v="Escobedo"/>
    <x v="0"/>
    <x v="0"/>
    <d v="2025-12-01T00:00:00"/>
    <x v="8"/>
    <x v="3"/>
  </r>
  <r>
    <x v="1094"/>
    <x v="0"/>
    <n v="12"/>
    <d v="2025-12-12T00:00:00"/>
    <d v="2025-12-12T00:00:00"/>
    <d v="2025-12-12T00:00:00"/>
    <d v="2025-12-12T00:00:00"/>
    <d v="2025-12-13T08:34:26"/>
    <n v="2039"/>
    <s v="626955"/>
    <s v="Sprinter"/>
    <n v="50"/>
    <n v="50"/>
    <s v="4366XC"/>
    <n v="1"/>
    <n v="150"/>
    <b v="1"/>
    <b v="0"/>
    <b v="0"/>
    <n v="231"/>
    <n v="0"/>
    <s v=""/>
    <s v=""/>
    <n v="50"/>
    <n v="359"/>
    <x v="8"/>
    <n v="359"/>
    <s v="Escobedo"/>
    <s v="Escobedo"/>
    <x v="0"/>
    <x v="0"/>
    <d v="2025-12-01T00:00:00"/>
    <x v="8"/>
    <x v="3"/>
  </r>
  <r>
    <x v="1095"/>
    <x v="0"/>
    <n v="12"/>
    <d v="2025-12-13T00:00:00"/>
    <d v="2025-12-13T00:00:00"/>
    <d v="2025-12-13T00:00:00"/>
    <d v="2025-12-13T00:00:00"/>
    <d v="2025-12-13T00:00:00"/>
    <n v="2039"/>
    <s v="626955"/>
    <s v="Sprinter"/>
    <n v="50"/>
    <n v="50"/>
    <s v="4366XC"/>
    <n v="1"/>
    <n v="150"/>
    <b v="1"/>
    <b v="0"/>
    <b v="0"/>
    <n v="231"/>
    <n v="0"/>
    <s v=""/>
    <s v=""/>
    <n v="50"/>
    <n v="359"/>
    <x v="10"/>
    <n v="359"/>
    <s v="Escobedo"/>
    <s v="Escobedo"/>
    <x v="0"/>
    <x v="0"/>
    <d v="2025-12-01T00:00:00"/>
    <x v="8"/>
    <x v="3"/>
  </r>
  <r>
    <x v="1096"/>
    <x v="0"/>
    <n v="12"/>
    <d v="2025-12-13T00:00:00"/>
    <d v="2025-12-13T00:00:00"/>
    <d v="2025-12-13T00:00:00"/>
    <d v="2025-12-13T00:00:00"/>
    <d v="2025-12-13T13:39:47"/>
    <n v="2039"/>
    <s v="626955"/>
    <s v="Sprinter"/>
    <n v="50"/>
    <n v="50"/>
    <s v="4366XC"/>
    <n v="1"/>
    <n v="150"/>
    <b v="1"/>
    <b v="0"/>
    <b v="0"/>
    <n v="231"/>
    <n v="0"/>
    <s v=""/>
    <s v=""/>
    <n v="50"/>
    <n v="359"/>
    <x v="10"/>
    <n v="359"/>
    <s v="Escobedo"/>
    <s v="Escobedo"/>
    <x v="0"/>
    <x v="0"/>
    <d v="2025-12-01T00:00:00"/>
    <x v="8"/>
    <x v="3"/>
  </r>
  <r>
    <x v="1097"/>
    <x v="0"/>
    <n v="12"/>
    <d v="2025-12-13T00:00:00"/>
    <d v="2025-12-13T00:00:00"/>
    <d v="2025-12-13T00:00:00"/>
    <d v="2025-12-13T00:00:00"/>
    <d v="2025-12-13T13:40:18"/>
    <n v="2039"/>
    <s v="626955"/>
    <s v="Sprinter"/>
    <n v="50"/>
    <n v="50"/>
    <s v="4366XC"/>
    <n v="1"/>
    <n v="150"/>
    <b v="1"/>
    <b v="0"/>
    <b v="0"/>
    <n v="231"/>
    <n v="0"/>
    <s v=""/>
    <s v=""/>
    <n v="50"/>
    <n v="359"/>
    <x v="10"/>
    <n v="359"/>
    <s v="Escobedo"/>
    <s v="Escobedo"/>
    <x v="0"/>
    <x v="0"/>
    <d v="2025-12-01T00:00:00"/>
    <x v="8"/>
    <x v="3"/>
  </r>
  <r>
    <x v="1098"/>
    <x v="0"/>
    <n v="12"/>
    <d v="2025-12-13T00:00:00"/>
    <d v="2025-12-13T00:00:00"/>
    <d v="2025-12-13T00:00:00"/>
    <d v="2025-12-13T00:00:00"/>
    <d v="2025-12-13T13:41:04"/>
    <n v="2039"/>
    <s v="626955"/>
    <s v="Sprinter"/>
    <n v="50"/>
    <n v="50"/>
    <s v="4366XC"/>
    <n v="1"/>
    <n v="150"/>
    <b v="1"/>
    <b v="0"/>
    <b v="0"/>
    <n v="231"/>
    <n v="0"/>
    <s v=""/>
    <s v=""/>
    <n v="50"/>
    <n v="359"/>
    <x v="10"/>
    <n v="359"/>
    <s v="Escobedo"/>
    <s v="Escobedo"/>
    <x v="0"/>
    <x v="0"/>
    <d v="2025-12-01T00:00:00"/>
    <x v="8"/>
    <x v="3"/>
  </r>
  <r>
    <x v="1099"/>
    <x v="0"/>
    <n v="12"/>
    <d v="2025-12-13T00:00:00"/>
    <d v="2025-12-13T00:00:00"/>
    <d v="2025-12-13T00:00:00"/>
    <d v="2025-12-13T00:00:00"/>
    <d v="2025-12-13T13:41:38"/>
    <n v="2039"/>
    <s v="626955"/>
    <s v="Sprinter"/>
    <n v="50"/>
    <n v="50"/>
    <s v="4366XC"/>
    <n v="1"/>
    <n v="150"/>
    <b v="1"/>
    <b v="0"/>
    <b v="0"/>
    <n v="231"/>
    <n v="0"/>
    <s v=""/>
    <s v=""/>
    <n v="50"/>
    <n v="359"/>
    <x v="10"/>
    <n v="359"/>
    <s v="Escobedo"/>
    <s v="Escobedo"/>
    <x v="0"/>
    <x v="0"/>
    <d v="2025-12-01T00:00:00"/>
    <x v="8"/>
    <x v="3"/>
  </r>
  <r>
    <x v="1100"/>
    <x v="0"/>
    <n v="12"/>
    <d v="2025-12-14T00:00:00"/>
    <d v="2025-12-14T00:00:00"/>
    <d v="2025-12-14T00:00:00"/>
    <d v="2025-12-14T00:00:00"/>
    <d v="2025-12-15T00:00:00"/>
    <n v="2039"/>
    <s v="626955"/>
    <s v="Sprinter"/>
    <n v="50"/>
    <n v="50"/>
    <s v="4366XC"/>
    <n v="1"/>
    <n v="150"/>
    <b v="1"/>
    <b v="0"/>
    <b v="0"/>
    <n v="231"/>
    <n v="0"/>
    <s v=""/>
    <s v=""/>
    <n v="50"/>
    <n v="359"/>
    <x v="6"/>
    <n v="359"/>
    <s v="Escobedo"/>
    <s v="Escobedo"/>
    <x v="0"/>
    <x v="0"/>
    <d v="2025-12-01T00:00:00"/>
    <x v="8"/>
    <x v="3"/>
  </r>
  <r>
    <x v="1101"/>
    <x v="0"/>
    <n v="12"/>
    <d v="2025-12-15T00:00:00"/>
    <d v="2025-12-15T00:00:00"/>
    <d v="2025-12-15T00:00:00"/>
    <d v="2025-12-15T00:00:00"/>
    <d v="2025-12-15T16:46:21"/>
    <n v="2039"/>
    <s v="626955"/>
    <s v="Sprinter"/>
    <n v="50"/>
    <n v="50"/>
    <s v="4366XC"/>
    <n v="1"/>
    <n v="150"/>
    <b v="1"/>
    <b v="0"/>
    <b v="0"/>
    <n v="231"/>
    <n v="0"/>
    <s v=""/>
    <s v=""/>
    <n v="50"/>
    <n v="359"/>
    <x v="6"/>
    <n v="359"/>
    <s v="Escobedo"/>
    <s v="Escobedo"/>
    <x v="0"/>
    <x v="0"/>
    <d v="2025-12-01T00:00:00"/>
    <x v="8"/>
    <x v="3"/>
  </r>
  <r>
    <x v="1102"/>
    <x v="0"/>
    <n v="12"/>
    <d v="2025-12-15T00:00:00"/>
    <d v="2025-12-15T00:00:00"/>
    <d v="2025-12-15T00:00:00"/>
    <d v="2025-12-15T00:00:00"/>
    <d v="2025-12-15T16:49:54"/>
    <n v="2039"/>
    <s v="626955"/>
    <s v="Sprinter"/>
    <n v="50"/>
    <n v="50"/>
    <s v="4366XC"/>
    <n v="1"/>
    <n v="150"/>
    <b v="1"/>
    <b v="0"/>
    <b v="0"/>
    <n v="231"/>
    <n v="0"/>
    <s v=""/>
    <s v=""/>
    <n v="50"/>
    <n v="359"/>
    <x v="6"/>
    <n v="359"/>
    <s v="Escobedo"/>
    <s v="Escobedo"/>
    <x v="0"/>
    <x v="0"/>
    <d v="2025-12-01T00:00:00"/>
    <x v="8"/>
    <x v="3"/>
  </r>
  <r>
    <x v="1103"/>
    <x v="0"/>
    <n v="12"/>
    <d v="2025-12-15T00:00:00"/>
    <d v="2025-12-15T00:00:00"/>
    <d v="2025-12-15T00:00:00"/>
    <d v="2025-12-15T00:00:00"/>
    <d v="2025-12-15T16:52:04"/>
    <n v="2039"/>
    <s v="626955"/>
    <s v="Sprinter"/>
    <n v="50"/>
    <n v="50"/>
    <s v="4366XC"/>
    <n v="1"/>
    <n v="150"/>
    <b v="1"/>
    <b v="0"/>
    <b v="0"/>
    <n v="231"/>
    <n v="0"/>
    <s v=""/>
    <s v=""/>
    <n v="50"/>
    <n v="359"/>
    <x v="6"/>
    <n v="359"/>
    <s v="Escobedo"/>
    <s v="Escobedo"/>
    <x v="0"/>
    <x v="0"/>
    <d v="2025-12-01T00:00:00"/>
    <x v="8"/>
    <x v="3"/>
  </r>
  <r>
    <x v="1104"/>
    <x v="0"/>
    <n v="12"/>
    <d v="2025-12-15T00:00:00"/>
    <d v="2025-12-15T00:00:00"/>
    <d v="2025-12-15T00:00:00"/>
    <d v="2025-12-15T00:00:00"/>
    <d v="2025-12-15T00:00:00"/>
    <n v="2039"/>
    <s v="626955"/>
    <s v="Sprinter"/>
    <n v="50"/>
    <n v="50"/>
    <s v="4366XC"/>
    <n v="1"/>
    <n v="150"/>
    <b v="1"/>
    <b v="0"/>
    <b v="0"/>
    <n v="231"/>
    <n v="0"/>
    <s v=""/>
    <s v=""/>
    <n v="50"/>
    <n v="359"/>
    <x v="6"/>
    <n v="359"/>
    <s v="Escobedo"/>
    <s v="Escobedo"/>
    <x v="0"/>
    <x v="0"/>
    <d v="2025-12-01T00:00:00"/>
    <x v="8"/>
    <x v="3"/>
  </r>
  <r>
    <x v="1105"/>
    <x v="0"/>
    <n v="12"/>
    <d v="2025-12-15T00:00:00"/>
    <d v="2025-12-15T00:00:00"/>
    <d v="2025-12-15T00:00:00"/>
    <d v="2025-12-15T00:00:00"/>
    <d v="2025-12-15T00:00:00"/>
    <n v="2039"/>
    <s v="626955"/>
    <s v="Sprinter"/>
    <n v="50"/>
    <n v="50"/>
    <s v="4366XC"/>
    <n v="1"/>
    <n v="150"/>
    <b v="1"/>
    <b v="0"/>
    <b v="0"/>
    <n v="231"/>
    <n v="0"/>
    <s v=""/>
    <s v=""/>
    <n v="50"/>
    <n v="359"/>
    <x v="6"/>
    <n v="359"/>
    <s v="Escobedo"/>
    <s v="Escobedo"/>
    <x v="0"/>
    <x v="0"/>
    <d v="2025-12-01T00:00:00"/>
    <x v="8"/>
    <x v="3"/>
  </r>
  <r>
    <x v="1106"/>
    <x v="0"/>
    <n v="12"/>
    <d v="2025-12-17T00:00:00"/>
    <d v="2025-12-17T00:00:00"/>
    <d v="2025-12-17T00:00:00"/>
    <d v="2025-12-17T00:00:00"/>
    <d v="2025-12-17T12:34:08"/>
    <n v="2039"/>
    <s v="626955"/>
    <s v="Sprinter"/>
    <n v="50"/>
    <n v="50"/>
    <s v="4366XC"/>
    <n v="1"/>
    <n v="150"/>
    <b v="1"/>
    <b v="0"/>
    <b v="0"/>
    <n v="231"/>
    <n v="0"/>
    <s v=""/>
    <s v=""/>
    <n v="50"/>
    <n v="359"/>
    <x v="6"/>
    <n v="359"/>
    <s v="Escobedo"/>
    <s v="Escobedo"/>
    <x v="0"/>
    <x v="0"/>
    <d v="2025-12-01T00:00:00"/>
    <x v="8"/>
    <x v="3"/>
  </r>
  <r>
    <x v="1107"/>
    <x v="0"/>
    <n v="12"/>
    <d v="2025-12-17T00:00:00"/>
    <d v="2025-12-17T00:00:00"/>
    <d v="2025-12-17T00:00:00"/>
    <d v="2025-12-17T00:00:00"/>
    <d v="2025-12-17T17:39:59"/>
    <n v="2039"/>
    <s v="626955"/>
    <s v="Sprinter"/>
    <n v="50"/>
    <n v="50"/>
    <s v="4366XC"/>
    <n v="1"/>
    <n v="150"/>
    <b v="1"/>
    <b v="0"/>
    <b v="0"/>
    <n v="231"/>
    <n v="0"/>
    <s v=""/>
    <s v=""/>
    <n v="50"/>
    <n v="359"/>
    <x v="6"/>
    <n v="359"/>
    <s v="Escobedo"/>
    <s v="Escobedo"/>
    <x v="0"/>
    <x v="0"/>
    <d v="2025-12-01T00:00:00"/>
    <x v="8"/>
    <x v="3"/>
  </r>
  <r>
    <x v="1108"/>
    <x v="0"/>
    <n v="12"/>
    <d v="2025-12-20T00:00:00"/>
    <d v="2025-12-20T00:00:00"/>
    <d v="2025-12-20T00:00:00"/>
    <d v="2025-12-20T00:00:00"/>
    <d v="2025-12-22T00:00:00"/>
    <n v="2421"/>
    <s v="610429"/>
    <s v="Sprinter"/>
    <n v="50"/>
    <n v="50"/>
    <s v="3678XC"/>
    <n v="1"/>
    <n v="150"/>
    <b v="1"/>
    <b v="0"/>
    <b v="0"/>
    <n v="231"/>
    <n v="0"/>
    <s v=""/>
    <s v=""/>
    <n v="50"/>
    <n v="359"/>
    <x v="6"/>
    <n v="359"/>
    <s v="Escobedo"/>
    <s v="Escobedo"/>
    <x v="0"/>
    <x v="2"/>
    <d v="2025-12-01T00:00:00"/>
    <x v="8"/>
    <x v="3"/>
  </r>
  <r>
    <x v="1109"/>
    <x v="0"/>
    <n v="12"/>
    <d v="2025-12-20T00:00:00"/>
    <d v="2025-12-20T00:00:00"/>
    <d v="2025-12-20T00:00:00"/>
    <d v="2025-12-20T00:00:00"/>
    <d v="2025-12-25T00:00:00"/>
    <n v="2421"/>
    <s v="610429"/>
    <s v="Sprinter"/>
    <n v="50"/>
    <n v="50"/>
    <s v="3678XC"/>
    <n v="1"/>
    <n v="150"/>
    <b v="1"/>
    <b v="0"/>
    <b v="0"/>
    <n v="231"/>
    <n v="0"/>
    <s v=""/>
    <s v=""/>
    <n v="50"/>
    <n v="359"/>
    <x v="6"/>
    <n v="359"/>
    <s v="Escobedo"/>
    <s v="Escobedo"/>
    <x v="0"/>
    <x v="2"/>
    <d v="2025-12-01T00:00:00"/>
    <x v="8"/>
    <x v="3"/>
  </r>
  <r>
    <x v="1110"/>
    <x v="0"/>
    <n v="12"/>
    <d v="2025-12-20T00:00:00"/>
    <d v="2025-12-20T00:00:00"/>
    <d v="2025-12-20T00:00:00"/>
    <d v="2025-12-20T00:00:00"/>
    <d v="2025-12-22T00:00:00"/>
    <n v="2420"/>
    <s v="610429"/>
    <s v="Sprinter"/>
    <n v="50"/>
    <n v="50"/>
    <s v="6568XC"/>
    <n v="1"/>
    <n v="150"/>
    <b v="1"/>
    <b v="0"/>
    <b v="0"/>
    <n v="231"/>
    <n v="0"/>
    <s v=""/>
    <s v=""/>
    <n v="50"/>
    <n v="359"/>
    <x v="6"/>
    <n v="359"/>
    <s v="Escobedo"/>
    <s v="Escobedo"/>
    <x v="0"/>
    <x v="2"/>
    <d v="2025-12-01T00:00:00"/>
    <x v="8"/>
    <x v="3"/>
  </r>
  <r>
    <x v="1111"/>
    <x v="0"/>
    <n v="12"/>
    <d v="2025-12-20T00:00:00"/>
    <d v="2025-12-20T00:00:00"/>
    <d v="2025-12-20T00:00:00"/>
    <d v="2025-12-20T00:00:00"/>
    <d v="2025-12-24T00:00:00"/>
    <n v="2420"/>
    <s v="610429"/>
    <s v="Sprinter"/>
    <n v="50"/>
    <n v="50"/>
    <s v="6568XC"/>
    <n v="1"/>
    <n v="150"/>
    <b v="1"/>
    <b v="0"/>
    <b v="0"/>
    <n v="231"/>
    <n v="0"/>
    <s v=""/>
    <s v=""/>
    <n v="50"/>
    <n v="359"/>
    <x v="6"/>
    <n v="359"/>
    <s v="Escobedo"/>
    <s v="Escobedo"/>
    <x v="0"/>
    <x v="2"/>
    <d v="2025-12-01T00:00:00"/>
    <x v="8"/>
    <x v="3"/>
  </r>
  <r>
    <x v="1112"/>
    <x v="0"/>
    <n v="12"/>
    <d v="2025-12-26T00:00:00"/>
    <d v="2025-12-26T00:00:00"/>
    <d v="2025-12-26T00:00:00"/>
    <d v="2025-12-26T00:00:00"/>
    <d v="2025-12-26T00:00:00"/>
    <n v="2244"/>
    <s v="775908"/>
    <s v="4700*175*195"/>
    <n v="50"/>
    <n v="50"/>
    <s v="3727XC"/>
    <n v="1"/>
    <n v="150"/>
    <b v="1"/>
    <b v="0"/>
    <b v="0"/>
    <n v="231"/>
    <n v="0"/>
    <s v=""/>
    <s v=""/>
    <n v="50"/>
    <n v="359"/>
    <x v="6"/>
    <n v="359"/>
    <s v="Escobedo"/>
    <s v="Escobedo"/>
    <x v="0"/>
    <x v="1"/>
    <d v="2025-12-01T00:00:00"/>
    <x v="8"/>
    <x v="3"/>
  </r>
  <r>
    <x v="1113"/>
    <x v="0"/>
    <n v="12"/>
    <d v="2025-12-26T00:00:00"/>
    <d v="2025-12-26T00:00:00"/>
    <d v="2025-12-26T00:00:00"/>
    <d v="2025-12-26T00:00:00"/>
    <d v="2025-12-26T00:00:00"/>
    <n v="2244"/>
    <s v="775908"/>
    <s v="4700*175*195"/>
    <n v="50"/>
    <n v="50"/>
    <s v="3727XC"/>
    <n v="1"/>
    <n v="150"/>
    <b v="1"/>
    <b v="0"/>
    <b v="0"/>
    <n v="231"/>
    <n v="0"/>
    <s v=""/>
    <s v=""/>
    <n v="50"/>
    <n v="359"/>
    <x v="6"/>
    <n v="359"/>
    <s v="Escobedo"/>
    <s v="Escobedo"/>
    <x v="0"/>
    <x v="1"/>
    <d v="2025-12-01T00:00:00"/>
    <x v="8"/>
    <x v="3"/>
  </r>
  <r>
    <x v="1114"/>
    <x v="0"/>
    <n v="12"/>
    <d v="2025-12-02T00:00:00"/>
    <d v="2025-12-02T00:00:00"/>
    <d v="2025-12-03T00:00:00"/>
    <d v="2025-12-02T00:00:00"/>
    <d v="2025-12-02T00:00:00"/>
    <n v="2039"/>
    <s v="610429"/>
    <s v="Sprinter"/>
    <n v="842"/>
    <n v="842"/>
    <s v="4366XC"/>
    <n v="1"/>
    <n v="863"/>
    <b v="1"/>
    <b v="0"/>
    <b v="0"/>
    <n v="1213"/>
    <n v="0"/>
    <s v=""/>
    <s v=""/>
    <n v="900"/>
    <n v="1843"/>
    <x v="7"/>
    <n v="1843"/>
    <s v="Escobedo"/>
    <s v="Mazatlan"/>
    <x v="17"/>
    <x v="2"/>
    <d v="2025-12-01T00:00:00"/>
    <x v="8"/>
    <x v="3"/>
  </r>
  <r>
    <x v="1115"/>
    <x v="0"/>
    <n v="12"/>
    <d v="2025-12-26T00:00:00"/>
    <d v="2025-12-26T00:00:00"/>
    <d v="2025-12-26T00:00:00"/>
    <d v="2025-12-26T00:00:00"/>
    <d v="2025-12-26T16:10:40"/>
    <n v="2244"/>
    <s v="626955"/>
    <s v="Sprinter"/>
    <n v="50"/>
    <n v="50"/>
    <s v="3727XC"/>
    <n v="1"/>
    <n v="150"/>
    <b v="1"/>
    <b v="0"/>
    <b v="0"/>
    <n v="231"/>
    <n v="0"/>
    <s v=""/>
    <s v=""/>
    <n v="50"/>
    <n v="359"/>
    <x v="6"/>
    <n v="359"/>
    <s v="Escobedo"/>
    <s v="Escobedo"/>
    <x v="0"/>
    <x v="0"/>
    <d v="2025-12-01T00:00:00"/>
    <x v="8"/>
    <x v="3"/>
  </r>
  <r>
    <x v="1116"/>
    <x v="0"/>
    <n v="12"/>
    <d v="2025-12-26T00:00:00"/>
    <d v="2025-12-26T00:00:00"/>
    <d v="2025-12-26T00:00:00"/>
    <d v="2025-12-26T00:00:00"/>
    <d v="2025-12-26T17:39:53"/>
    <n v="2244"/>
    <s v="626955"/>
    <s v="Sprinter"/>
    <n v="50"/>
    <n v="50"/>
    <s v="3727XC"/>
    <n v="1"/>
    <n v="150"/>
    <b v="1"/>
    <b v="0"/>
    <b v="0"/>
    <n v="231"/>
    <n v="0"/>
    <s v=""/>
    <s v=""/>
    <n v="50"/>
    <n v="359"/>
    <x v="6"/>
    <n v="359"/>
    <s v="Escobedo"/>
    <s v="Escobedo"/>
    <x v="0"/>
    <x v="0"/>
    <d v="2025-12-01T00:00:00"/>
    <x v="8"/>
    <x v="3"/>
  </r>
  <r>
    <x v="1117"/>
    <x v="0"/>
    <n v="12"/>
    <d v="2025-12-26T00:00:00"/>
    <d v="2025-12-26T00:00:00"/>
    <d v="2025-12-26T00:00:00"/>
    <d v="2025-12-26T00:00:00"/>
    <d v="2025-12-26T19:57:05"/>
    <n v="2244"/>
    <s v="626955"/>
    <s v="Sprinter"/>
    <n v="50"/>
    <n v="50"/>
    <s v="3727XC"/>
    <n v="1"/>
    <n v="150"/>
    <b v="1"/>
    <b v="0"/>
    <b v="0"/>
    <n v="231"/>
    <n v="0"/>
    <s v=""/>
    <s v=""/>
    <n v="50"/>
    <n v="359"/>
    <x v="6"/>
    <n v="359"/>
    <s v="Escobedo"/>
    <s v="Escobedo"/>
    <x v="0"/>
    <x v="0"/>
    <d v="2025-12-01T00:00:00"/>
    <x v="8"/>
    <x v="3"/>
  </r>
  <r>
    <x v="1118"/>
    <x v="0"/>
    <n v="12"/>
    <d v="2025-12-26T00:00:00"/>
    <d v="2025-12-26T00:00:00"/>
    <d v="2025-12-26T00:00:00"/>
    <d v="2025-12-26T00:00:00"/>
    <d v="2025-12-26T21:17:19"/>
    <n v="2244"/>
    <s v="626955"/>
    <s v="Sprinter"/>
    <n v="50"/>
    <n v="50"/>
    <s v="3727XC"/>
    <n v="1"/>
    <n v="150"/>
    <b v="1"/>
    <b v="0"/>
    <b v="0"/>
    <n v="231"/>
    <n v="0"/>
    <s v=""/>
    <s v=""/>
    <n v="50"/>
    <n v="359"/>
    <x v="6"/>
    <n v="359"/>
    <s v="Escobedo"/>
    <s v="Escobedo"/>
    <x v="0"/>
    <x v="0"/>
    <d v="2025-12-01T00:00:00"/>
    <x v="8"/>
    <x v="3"/>
  </r>
  <r>
    <x v="1119"/>
    <x v="0"/>
    <n v="12"/>
    <d v="2025-12-26T00:00:00"/>
    <d v="2025-12-26T00:00:00"/>
    <d v="2025-12-26T00:00:00"/>
    <d v="2025-12-26T00:00:00"/>
    <d v="2025-12-27T06:20:03"/>
    <n v="2244"/>
    <s v="626955"/>
    <s v="Sprinter"/>
    <n v="50"/>
    <n v="50"/>
    <s v="3727XC"/>
    <n v="1"/>
    <n v="150"/>
    <b v="1"/>
    <b v="0"/>
    <b v="0"/>
    <n v="231"/>
    <n v="0"/>
    <s v=""/>
    <s v=""/>
    <n v="50"/>
    <n v="359"/>
    <x v="6"/>
    <n v="359"/>
    <s v="Escobedo"/>
    <s v="Escobedo"/>
    <x v="0"/>
    <x v="0"/>
    <d v="2025-12-01T00:00:00"/>
    <x v="8"/>
    <x v="3"/>
  </r>
  <r>
    <x v="1120"/>
    <x v="0"/>
    <n v="12"/>
    <d v="2025-12-27T00:00:00"/>
    <d v="2025-12-27T00:00:00"/>
    <d v="2025-12-27T00:00:00"/>
    <d v="2025-12-27T00:00:00"/>
    <d v="2025-12-27T13:09:08"/>
    <n v="2244"/>
    <s v="626955"/>
    <s v="Sprinter"/>
    <n v="50"/>
    <n v="50"/>
    <s v="3727XC"/>
    <n v="1"/>
    <n v="150"/>
    <b v="1"/>
    <b v="0"/>
    <b v="0"/>
    <n v="231"/>
    <n v="0"/>
    <s v=""/>
    <s v=""/>
    <n v="50"/>
    <n v="359"/>
    <x v="6"/>
    <n v="359"/>
    <s v="Escobedo"/>
    <s v="Escobedo"/>
    <x v="0"/>
    <x v="0"/>
    <d v="2025-12-01T00:00:00"/>
    <x v="8"/>
    <x v="3"/>
  </r>
  <r>
    <x v="1121"/>
    <x v="0"/>
    <n v="12"/>
    <d v="2025-12-27T00:00:00"/>
    <d v="2025-12-27T00:00:00"/>
    <d v="2025-12-27T00:00:00"/>
    <d v="2025-12-27T00:00:00"/>
    <d v="2025-12-27T09:37:41"/>
    <n v="2244"/>
    <s v="626955"/>
    <s v="Sprinter"/>
    <n v="50"/>
    <n v="50"/>
    <s v="3727XC"/>
    <n v="1"/>
    <n v="150"/>
    <b v="1"/>
    <b v="0"/>
    <b v="0"/>
    <n v="231"/>
    <n v="0"/>
    <s v=""/>
    <s v=""/>
    <n v="50"/>
    <n v="359"/>
    <x v="6"/>
    <n v="359"/>
    <s v="Escobedo"/>
    <s v="Escobedo"/>
    <x v="0"/>
    <x v="0"/>
    <d v="2025-12-01T00:00:00"/>
    <x v="8"/>
    <x v="3"/>
  </r>
  <r>
    <x v="1122"/>
    <x v="0"/>
    <n v="12"/>
    <d v="2025-12-27T00:00:00"/>
    <d v="2025-12-27T00:00:00"/>
    <d v="2025-12-27T00:00:00"/>
    <d v="2025-12-27T00:00:00"/>
    <d v="2025-12-27T09:38:05"/>
    <n v="2244"/>
    <s v="626955"/>
    <s v="Sprinter"/>
    <n v="50"/>
    <n v="50"/>
    <s v="3727XC"/>
    <n v="1"/>
    <n v="150"/>
    <b v="1"/>
    <b v="0"/>
    <b v="0"/>
    <n v="231"/>
    <n v="0"/>
    <s v=""/>
    <s v=""/>
    <n v="50"/>
    <n v="359"/>
    <x v="6"/>
    <n v="359"/>
    <s v="Escobedo"/>
    <s v="Escobedo"/>
    <x v="0"/>
    <x v="0"/>
    <d v="2025-12-01T00:00:00"/>
    <x v="8"/>
    <x v="3"/>
  </r>
  <r>
    <x v="1123"/>
    <x v="0"/>
    <n v="12"/>
    <d v="2025-12-27T00:00:00"/>
    <d v="2025-12-27T00:00:00"/>
    <d v="2025-12-27T00:00:00"/>
    <d v="2025-12-27T00:00:00"/>
    <d v="2025-12-27T09:38:26"/>
    <n v="2244"/>
    <s v="626955"/>
    <s v="Sprinter"/>
    <n v="50"/>
    <n v="50"/>
    <s v="3727XC"/>
    <n v="1"/>
    <n v="150"/>
    <b v="1"/>
    <b v="0"/>
    <b v="0"/>
    <n v="231"/>
    <n v="0"/>
    <s v=""/>
    <s v=""/>
    <n v="50"/>
    <n v="359"/>
    <x v="6"/>
    <n v="359"/>
    <s v="Escobedo"/>
    <s v="Escobedo"/>
    <x v="0"/>
    <x v="0"/>
    <d v="2025-12-01T00:00:00"/>
    <x v="8"/>
    <x v="3"/>
  </r>
  <r>
    <x v="1124"/>
    <x v="0"/>
    <n v="12"/>
    <d v="2025-12-27T00:00:00"/>
    <d v="2025-12-27T00:00:00"/>
    <d v="2025-12-27T00:00:00"/>
    <d v="2025-12-27T00:00:00"/>
    <d v="2025-12-27T09:38:59"/>
    <n v="2244"/>
    <s v="626955"/>
    <s v="Sprinter"/>
    <n v="50"/>
    <n v="50"/>
    <s v="3727XC"/>
    <n v="1"/>
    <n v="150"/>
    <b v="1"/>
    <b v="0"/>
    <b v="0"/>
    <n v="231"/>
    <n v="0"/>
    <s v=""/>
    <s v=""/>
    <n v="50"/>
    <n v="359"/>
    <x v="6"/>
    <n v="359"/>
    <s v="Escobedo"/>
    <s v="Escobedo"/>
    <x v="0"/>
    <x v="0"/>
    <d v="2025-12-01T00:00:00"/>
    <x v="8"/>
    <x v="3"/>
  </r>
  <r>
    <x v="1125"/>
    <x v="0"/>
    <n v="12"/>
    <d v="2025-12-28T00:00:00"/>
    <d v="2025-12-28T00:00:00"/>
    <d v="2025-12-28T00:00:00"/>
    <d v="2025-12-28T00:00:00"/>
    <d v="2025-12-28T14:36:45"/>
    <n v="2244"/>
    <s v="626955"/>
    <s v="Sprinter"/>
    <n v="50"/>
    <n v="50"/>
    <s v="3727XC"/>
    <n v="1"/>
    <n v="150"/>
    <b v="1"/>
    <b v="0"/>
    <b v="0"/>
    <n v="0"/>
    <n v="0"/>
    <s v=""/>
    <s v=""/>
    <n v="50"/>
    <n v="359"/>
    <x v="6"/>
    <n v="359"/>
    <s v="Escobedo"/>
    <s v="Escobedo"/>
    <x v="0"/>
    <x v="0"/>
    <d v="2025-12-01T00:00:00"/>
    <x v="8"/>
    <x v="3"/>
  </r>
  <r>
    <x v="1126"/>
    <x v="0"/>
    <n v="12"/>
    <d v="2025-12-29T00:00:00"/>
    <d v="2025-12-29T00:00:00"/>
    <d v="2025-12-29T00:00:00"/>
    <d v="2025-12-29T00:00:00"/>
    <d v="2025-12-29T00:00:00"/>
    <n v="2039"/>
    <s v="610429"/>
    <s v="Sprinter"/>
    <n v="50"/>
    <n v="50"/>
    <s v="4366XC"/>
    <n v="1"/>
    <n v="150"/>
    <b v="1"/>
    <b v="0"/>
    <b v="0"/>
    <n v="231"/>
    <n v="0"/>
    <s v=""/>
    <s v=""/>
    <n v="50"/>
    <n v="359"/>
    <x v="6"/>
    <n v="359"/>
    <s v="Escobedo"/>
    <s v="Escobedo"/>
    <x v="0"/>
    <x v="2"/>
    <d v="2025-12-01T00:00:00"/>
    <x v="8"/>
    <x v="3"/>
  </r>
  <r>
    <x v="1127"/>
    <x v="0"/>
    <n v="12"/>
    <d v="2025-12-29T00:00:00"/>
    <d v="2025-12-29T00:00:00"/>
    <d v="2025-12-29T00:00:00"/>
    <d v="2025-12-29T00:00:00"/>
    <d v="2025-12-29T00:00:00"/>
    <n v="2039"/>
    <s v="610429"/>
    <s v="Sprinter"/>
    <n v="50"/>
    <n v="50"/>
    <s v="4366XC"/>
    <n v="1"/>
    <n v="150"/>
    <b v="1"/>
    <b v="0"/>
    <b v="0"/>
    <n v="231"/>
    <n v="0"/>
    <s v=""/>
    <s v=""/>
    <n v="50"/>
    <n v="359"/>
    <x v="6"/>
    <n v="359"/>
    <s v="Escobedo"/>
    <s v="Escobedo"/>
    <x v="0"/>
    <x v="2"/>
    <d v="2025-12-01T00:00:00"/>
    <x v="8"/>
    <x v="3"/>
  </r>
  <r>
    <x v="1128"/>
    <x v="0"/>
    <n v="12"/>
    <d v="2025-12-29T00:00:00"/>
    <d v="2025-12-29T00:00:00"/>
    <d v="2025-12-29T00:00:00"/>
    <d v="2025-12-29T00:00:00"/>
    <d v="2025-12-29T00:00:00"/>
    <n v="2039"/>
    <s v="610429"/>
    <s v="Sprinter"/>
    <n v="50"/>
    <n v="50"/>
    <s v="4366XC"/>
    <n v="1"/>
    <n v="150"/>
    <b v="1"/>
    <b v="0"/>
    <b v="0"/>
    <n v="231"/>
    <n v="0"/>
    <s v=""/>
    <s v=""/>
    <n v="50"/>
    <n v="359"/>
    <x v="6"/>
    <n v="359"/>
    <s v="Escobedo"/>
    <s v="Escobedo"/>
    <x v="0"/>
    <x v="2"/>
    <d v="2025-12-01T00:00:00"/>
    <x v="8"/>
    <x v="3"/>
  </r>
  <r>
    <x v="1129"/>
    <x v="0"/>
    <n v="12"/>
    <d v="2025-12-29T00:00:00"/>
    <d v="2025-12-29T00:00:00"/>
    <d v="2025-12-29T00:00:00"/>
    <d v="2025-12-29T00:00:00"/>
    <d v="2025-12-29T14:31:28"/>
    <n v="2244"/>
    <s v="626955"/>
    <s v="Sprinter"/>
    <n v="50"/>
    <n v="50"/>
    <s v="3727XC"/>
    <n v="1"/>
    <n v="150"/>
    <b v="1"/>
    <b v="0"/>
    <b v="0"/>
    <n v="231"/>
    <n v="0"/>
    <s v=""/>
    <s v=""/>
    <n v="50"/>
    <n v="359"/>
    <x v="6"/>
    <n v="359"/>
    <s v="Escobedo"/>
    <s v="Escobedo"/>
    <x v="0"/>
    <x v="0"/>
    <d v="2025-12-01T00:00:00"/>
    <x v="8"/>
    <x v="3"/>
  </r>
  <r>
    <x v="1130"/>
    <x v="0"/>
    <n v="12"/>
    <d v="2025-12-29T00:00:00"/>
    <d v="2025-12-29T00:00:00"/>
    <d v="2025-12-29T00:00:00"/>
    <d v="2025-12-29T00:00:00"/>
    <d v="2025-12-29T15:12:17"/>
    <n v="2244"/>
    <s v="626955"/>
    <s v="Sprinter"/>
    <n v="50"/>
    <n v="50"/>
    <s v="3727XC"/>
    <n v="1"/>
    <n v="150"/>
    <b v="1"/>
    <b v="0"/>
    <b v="0"/>
    <n v="231"/>
    <n v="0"/>
    <s v=""/>
    <s v=""/>
    <n v="50"/>
    <n v="359"/>
    <x v="6"/>
    <n v="359"/>
    <s v="Escobedo"/>
    <s v="Escobedo"/>
    <x v="0"/>
    <x v="0"/>
    <d v="2025-12-01T00:00:00"/>
    <x v="8"/>
    <x v="3"/>
  </r>
  <r>
    <x v="1131"/>
    <x v="0"/>
    <n v="12"/>
    <d v="2025-12-29T00:00:00"/>
    <d v="2025-12-29T00:00:00"/>
    <d v="2025-12-29T00:00:00"/>
    <d v="2025-12-29T00:00:00"/>
    <d v="2025-12-29T16:32:19"/>
    <n v="2244"/>
    <s v="626955"/>
    <s v="Sprinter"/>
    <n v="50"/>
    <n v="50"/>
    <s v="3727XC"/>
    <n v="1"/>
    <n v="150"/>
    <b v="1"/>
    <b v="0"/>
    <b v="0"/>
    <n v="231"/>
    <n v="0"/>
    <s v=""/>
    <s v=""/>
    <n v="50"/>
    <n v="359"/>
    <x v="6"/>
    <n v="359"/>
    <s v="Escobedo"/>
    <s v="Escobedo"/>
    <x v="0"/>
    <x v="0"/>
    <d v="2025-12-01T00:00:00"/>
    <x v="8"/>
    <x v="3"/>
  </r>
  <r>
    <x v="1132"/>
    <x v="0"/>
    <n v="12"/>
    <d v="2025-12-02T00:00:00"/>
    <d v="2025-12-02T00:00:00"/>
    <d v="2025-12-02T00:00:00"/>
    <d v="2025-12-02T00:00:00"/>
    <d v="2025-12-03T13:43:04"/>
    <n v="2039"/>
    <s v="626955"/>
    <s v="Sprinter"/>
    <n v="50"/>
    <n v="50"/>
    <s v="4366XC"/>
    <n v="1"/>
    <n v="150"/>
    <b v="1"/>
    <b v="0"/>
    <b v="0"/>
    <n v="231"/>
    <n v="0"/>
    <s v=""/>
    <s v=""/>
    <n v="50"/>
    <n v="359"/>
    <x v="6"/>
    <n v="359"/>
    <s v="Escobedo"/>
    <s v="Escobedo"/>
    <x v="0"/>
    <x v="0"/>
    <d v="2025-12-01T00:00:00"/>
    <x v="8"/>
    <x v="3"/>
  </r>
  <r>
    <x v="1133"/>
    <x v="0"/>
    <n v="12"/>
    <d v="2025-12-29T00:00:00"/>
    <d v="2025-12-29T00:00:00"/>
    <d v="2025-12-29T00:00:00"/>
    <d v="2025-12-29T00:00:00"/>
    <d v="2025-12-30T00:00:00"/>
    <n v="2039"/>
    <s v="610429"/>
    <s v="Sprinter"/>
    <n v="961"/>
    <n v="1059"/>
    <s v="4366XC"/>
    <n v="1"/>
    <n v="964"/>
    <b v="1"/>
    <b v="0"/>
    <b v="0"/>
    <n v="1494"/>
    <n v="0"/>
    <s v=""/>
    <s v=""/>
    <n v="1100"/>
    <n v="8"/>
    <x v="10"/>
    <n v="8"/>
    <s v="Escobedo"/>
    <s v="Cd Sahagún"/>
    <x v="3"/>
    <x v="2"/>
    <d v="2025-12-01T00:00:00"/>
    <x v="8"/>
    <x v="3"/>
  </r>
  <r>
    <x v="1134"/>
    <x v="0"/>
    <n v="12"/>
    <d v="2025-12-29T00:00:00"/>
    <d v="2025-12-29T00:00:00"/>
    <d v="2025-12-29T00:00:00"/>
    <d v="2025-12-29T00:00:00"/>
    <d v="2026-01-02T08:38:26"/>
    <n v="2244"/>
    <s v="626955"/>
    <s v="Sprinter"/>
    <n v="50"/>
    <n v="50"/>
    <s v="3727XC"/>
    <n v="1"/>
    <n v="150"/>
    <b v="1"/>
    <b v="0"/>
    <b v="0"/>
    <n v="231"/>
    <n v="0"/>
    <s v=""/>
    <s v=""/>
    <n v="50"/>
    <n v="359"/>
    <x v="6"/>
    <n v="359"/>
    <s v="Escobedo"/>
    <s v="Escobedo"/>
    <x v="0"/>
    <x v="0"/>
    <d v="2025-12-01T00:00:00"/>
    <x v="8"/>
    <x v="3"/>
  </r>
  <r>
    <x v="1135"/>
    <x v="0"/>
    <n v="12"/>
    <d v="2025-12-30T00:00:00"/>
    <d v="2025-12-30T00:00:00"/>
    <d v="2025-12-30T00:00:00"/>
    <d v="2025-12-30T00:00:00"/>
    <d v="2026-01-02T08:37:40"/>
    <n v="2244"/>
    <s v="626955"/>
    <s v="Sprinter"/>
    <n v="50"/>
    <n v="50"/>
    <s v="3727XC"/>
    <n v="1"/>
    <n v="150"/>
    <b v="1"/>
    <b v="0"/>
    <b v="0"/>
    <n v="231"/>
    <n v="0"/>
    <s v=""/>
    <s v=""/>
    <n v="50"/>
    <n v="359"/>
    <x v="6"/>
    <n v="359"/>
    <s v="Escobedo"/>
    <s v="Escobedo"/>
    <x v="0"/>
    <x v="0"/>
    <d v="2025-12-01T00:00:00"/>
    <x v="8"/>
    <x v="3"/>
  </r>
  <r>
    <x v="1136"/>
    <x v="0"/>
    <n v="12"/>
    <d v="2025-12-30T00:00:00"/>
    <d v="2025-12-30T00:00:00"/>
    <d v="2025-12-30T00:00:00"/>
    <d v="2025-12-30T00:00:00"/>
    <d v="2026-01-02T08:37:39"/>
    <n v="2244"/>
    <s v="626955"/>
    <s v="Sprinter"/>
    <n v="50"/>
    <n v="50"/>
    <s v="3727XC"/>
    <n v="1"/>
    <n v="150"/>
    <b v="1"/>
    <b v="0"/>
    <b v="0"/>
    <n v="231"/>
    <n v="0"/>
    <s v=""/>
    <s v=""/>
    <n v="50"/>
    <n v="359"/>
    <x v="6"/>
    <n v="359"/>
    <s v="Escobedo"/>
    <s v="Escobedo"/>
    <x v="0"/>
    <x v="0"/>
    <d v="2025-12-01T00:00:00"/>
    <x v="8"/>
    <x v="3"/>
  </r>
  <r>
    <x v="1137"/>
    <x v="0"/>
    <n v="12"/>
    <d v="2025-12-30T00:00:00"/>
    <d v="2025-12-30T00:00:00"/>
    <d v="2025-12-30T00:00:00"/>
    <d v="2025-12-30T00:00:00"/>
    <d v="2026-01-02T08:37:40"/>
    <n v="2244"/>
    <s v="626955"/>
    <s v="Sprinter"/>
    <n v="50"/>
    <n v="50"/>
    <s v="3727XC"/>
    <n v="1"/>
    <n v="150"/>
    <b v="1"/>
    <b v="0"/>
    <b v="0"/>
    <n v="231"/>
    <n v="0"/>
    <s v=""/>
    <s v=""/>
    <n v="50"/>
    <n v="359"/>
    <x v="6"/>
    <n v="359"/>
    <s v="Escobedo"/>
    <s v="Escobedo"/>
    <x v="0"/>
    <x v="0"/>
    <d v="2025-12-01T00:00:00"/>
    <x v="8"/>
    <x v="3"/>
  </r>
  <r>
    <x v="1138"/>
    <x v="0"/>
    <n v="12"/>
    <d v="2025-12-30T00:00:00"/>
    <d v="2025-12-30T00:00:00"/>
    <d v="2025-12-31T00:00:00"/>
    <d v="2025-12-30T00:00:00"/>
    <d v="2026-01-02T00:00:00"/>
    <n v="2244"/>
    <s v="775908"/>
    <s v="4700*175*195"/>
    <n v="961"/>
    <n v="1059"/>
    <s v="3727XC"/>
    <n v="1"/>
    <n v="964"/>
    <b v="1"/>
    <b v="0"/>
    <b v="0"/>
    <n v="1494"/>
    <n v="0"/>
    <s v=""/>
    <s v="Carga 100 lts de DIESEL"/>
    <n v="1100"/>
    <n v="8"/>
    <x v="10"/>
    <n v="8"/>
    <s v="Escobedo"/>
    <s v="Cd Sahagún"/>
    <x v="3"/>
    <x v="1"/>
    <d v="2025-12-01T00:00:00"/>
    <x v="8"/>
    <x v="3"/>
  </r>
  <r>
    <x v="1139"/>
    <x v="0"/>
    <n v="12"/>
    <d v="2025-12-03T00:00:00"/>
    <d v="2025-12-03T00:00:00"/>
    <d v="2025-12-03T00:00:00"/>
    <d v="2025-12-03T00:00:00"/>
    <d v="2025-12-03T00:00:00"/>
    <n v="2244"/>
    <s v="626955"/>
    <s v="Sprinter"/>
    <n v="50"/>
    <n v="50"/>
    <s v="3727XC"/>
    <n v="1"/>
    <n v="150"/>
    <b v="1"/>
    <b v="0"/>
    <b v="0"/>
    <n v="231"/>
    <n v="0"/>
    <s v=""/>
    <s v=""/>
    <n v="50"/>
    <n v="359"/>
    <x v="6"/>
    <n v="359"/>
    <s v="Escobedo"/>
    <s v="Escobedo"/>
    <x v="0"/>
    <x v="0"/>
    <d v="2025-12-01T00:00:00"/>
    <x v="8"/>
    <x v="3"/>
  </r>
  <r>
    <x v="1140"/>
    <x v="0"/>
    <n v="12"/>
    <d v="2025-12-03T00:00:00"/>
    <d v="2025-12-03T00:00:00"/>
    <d v="2025-12-03T00:00:00"/>
    <d v="2025-12-03T00:00:00"/>
    <d v="2025-12-03T00:00:00"/>
    <n v="2244"/>
    <s v="626955"/>
    <s v="Sprinter"/>
    <n v="50"/>
    <n v="50"/>
    <s v="3727XC"/>
    <n v="1"/>
    <n v="150"/>
    <b v="1"/>
    <b v="0"/>
    <b v="0"/>
    <n v="231"/>
    <n v="0"/>
    <s v=""/>
    <s v=""/>
    <n v="50"/>
    <n v="359"/>
    <x v="6"/>
    <n v="359"/>
    <s v="Escobedo"/>
    <s v="Escobedo"/>
    <x v="0"/>
    <x v="0"/>
    <d v="2025-12-01T00:00:00"/>
    <x v="8"/>
    <x v="3"/>
  </r>
  <r>
    <x v="1141"/>
    <x v="0"/>
    <n v="12"/>
    <d v="2025-12-04T00:00:00"/>
    <d v="2025-12-04T00:00:00"/>
    <d v="2025-12-04T00:00:00"/>
    <d v="2025-12-04T00:00:00"/>
    <d v="2025-12-04T10:32:11"/>
    <n v="2039"/>
    <s v="610429"/>
    <s v="Sprinter"/>
    <n v="50"/>
    <n v="50"/>
    <s v="4366XC"/>
    <n v="1"/>
    <n v="150"/>
    <b v="1"/>
    <b v="0"/>
    <b v="0"/>
    <n v="231"/>
    <n v="0"/>
    <s v=""/>
    <s v=""/>
    <n v="50"/>
    <n v="359"/>
    <x v="6"/>
    <n v="359"/>
    <s v="Escobedo"/>
    <s v="Escobedo"/>
    <x v="0"/>
    <x v="2"/>
    <d v="2025-12-01T00:00:00"/>
    <x v="8"/>
    <x v="3"/>
  </r>
  <r>
    <x v="1142"/>
    <x v="0"/>
    <n v="12"/>
    <d v="2025-12-09T00:00:00"/>
    <d v="2025-12-09T00:00:00"/>
    <d v="2025-12-11T00:00:00"/>
    <d v="2025-12-10T00:00:00"/>
    <d v="2025-12-11T00:00:00"/>
    <n v="2195"/>
    <s v="610429"/>
    <s v="Sprinter"/>
    <n v="961"/>
    <n v="0"/>
    <s v="LE28920"/>
    <n v="1"/>
    <n v="964"/>
    <b v="1"/>
    <b v="0"/>
    <b v="0"/>
    <n v="0"/>
    <n v="0"/>
    <s v=""/>
    <s v="Presentarse en base 30 min antes de la salida para revisón de unidad._x000a_Cita de operadores 4:00 pm"/>
    <n v="0"/>
    <n v="3284"/>
    <x v="11"/>
    <n v="3284"/>
    <s v="Monterrey"/>
    <s v="Villahermosa"/>
    <x v="47"/>
    <x v="2"/>
    <d v="2025-12-01T00:00:00"/>
    <x v="8"/>
    <x v="3"/>
  </r>
  <r>
    <x v="1143"/>
    <x v="0"/>
    <n v="12"/>
    <d v="2025-12-11T00:00:00"/>
    <d v="2025-12-11T00:00:00"/>
    <d v="2025-12-13T00:00:00"/>
    <d v="2025-12-11T00:00:00"/>
    <d v="2025-12-13T00:00:00"/>
    <n v="2244"/>
    <s v="775908"/>
    <s v="4700*175*195"/>
    <n v="2528"/>
    <n v="1264"/>
    <s v="3727XC"/>
    <n v="1"/>
    <n v="1264"/>
    <b v="1"/>
    <b v="0"/>
    <b v="0"/>
    <n v="1746"/>
    <n v="0"/>
    <s v=""/>
    <s v=""/>
    <n v="1300"/>
    <n v="3284"/>
    <x v="11"/>
    <n v="3284"/>
    <s v="Monterrey"/>
    <s v="Villahermosa"/>
    <x v="47"/>
    <x v="1"/>
    <d v="2025-12-01T00:00:00"/>
    <x v="8"/>
    <x v="3"/>
  </r>
  <r>
    <x v="1144"/>
    <x v="0"/>
    <n v="12"/>
    <d v="2025-12-12T00:00:00"/>
    <d v="2025-12-12T00:00:00"/>
    <d v="2025-12-15T00:00:00"/>
    <d v="2025-12-14T00:00:00"/>
    <d v="2025-12-15T00:00:00"/>
    <n v="2151"/>
    <s v="775908"/>
    <s v="4700*175*195"/>
    <n v="961"/>
    <n v="0"/>
    <s v="5408XC"/>
    <n v="1"/>
    <n v="964"/>
    <b v="1"/>
    <b v="0"/>
    <b v="0"/>
    <n v="0"/>
    <n v="0"/>
    <s v=""/>
    <s v="Cita en patio para transferencia 4:00 pm._x000a_Favor de presentarse 30 kin para revisión de unidad."/>
    <n v="0"/>
    <n v="3284"/>
    <x v="11"/>
    <n v="3284"/>
    <s v="Monterrey"/>
    <s v="Villahermosa"/>
    <x v="47"/>
    <x v="1"/>
    <d v="2025-12-01T00:00:00"/>
    <x v="8"/>
    <x v="3"/>
  </r>
  <r>
    <x v="1145"/>
    <x v="0"/>
    <n v="12"/>
    <d v="2025-12-16T00:00:00"/>
    <d v="2025-12-16T00:00:00"/>
    <d v="2025-12-17T00:00:00"/>
    <d v="2025-12-16T00:00:00"/>
    <d v="2025-12-17T12:11:40"/>
    <n v="2039"/>
    <s v="610429"/>
    <s v="Sprinter"/>
    <n v="961"/>
    <n v="0"/>
    <s v="4366XC"/>
    <n v="1"/>
    <n v="964"/>
    <b v="1"/>
    <b v="0"/>
    <b v="0"/>
    <n v="0"/>
    <n v="0"/>
    <s v=""/>
    <s v=""/>
    <n v="0"/>
    <n v="3284"/>
    <x v="1"/>
    <n v="3284"/>
    <s v="Monterrey"/>
    <s v="Villahermosa"/>
    <x v="47"/>
    <x v="2"/>
    <d v="2025-12-01T00:00:00"/>
    <x v="8"/>
    <x v="3"/>
  </r>
  <r>
    <x v="1146"/>
    <x v="0"/>
    <n v="12"/>
    <d v="2025-12-19T00:00:00"/>
    <d v="2025-12-19T00:00:00"/>
    <d v="2025-12-22T00:00:00"/>
    <d v="2025-12-21T00:00:00"/>
    <d v="2025-12-22T00:00:00"/>
    <n v="2244"/>
    <s v="775908"/>
    <s v="4700*175*195"/>
    <n v="961"/>
    <n v="961"/>
    <s v="3727XC"/>
    <n v="1"/>
    <n v="964"/>
    <b v="1"/>
    <b v="0"/>
    <b v="0"/>
    <n v="1347"/>
    <n v="0"/>
    <s v=""/>
    <s v="Presentarse 3:30 pm para la revisión de unidad._x000a_Cita de operadores 4:00 pm. Por favor"/>
    <n v="1000"/>
    <n v="8"/>
    <x v="2"/>
    <n v="8"/>
    <s v="Escobedo"/>
    <s v="Cd Sahagún"/>
    <x v="3"/>
    <x v="1"/>
    <d v="2025-12-01T00:00:00"/>
    <x v="8"/>
    <x v="3"/>
  </r>
  <r>
    <x v="1147"/>
    <x v="0"/>
    <n v="12"/>
    <d v="2025-12-23T00:00:00"/>
    <d v="2025-12-23T00:00:00"/>
    <d v="2025-12-26T00:00:00"/>
    <d v="2025-12-25T00:00:00"/>
    <d v="2025-12-26T00:00:00"/>
    <n v="2244"/>
    <s v="775908"/>
    <s v="4700*175*195"/>
    <n v="961"/>
    <n v="0"/>
    <s v="3727XC"/>
    <n v="1"/>
    <n v="964"/>
    <b v="1"/>
    <b v="0"/>
    <b v="0"/>
    <n v="0"/>
    <n v="0"/>
    <s v=""/>
    <s v="Transferencia 6:00 pm, jueves 25 de diciembre_x000a_Favor de llegar antes para revisión de la unidad"/>
    <n v="0"/>
    <n v="8"/>
    <x v="11"/>
    <n v="8"/>
    <s v="Escobedo"/>
    <s v="Cd Sahagún"/>
    <x v="3"/>
    <x v="1"/>
    <d v="2025-12-01T00:00:00"/>
    <x v="8"/>
    <x v="3"/>
  </r>
  <r>
    <x v="1148"/>
    <x v="0"/>
    <n v="12"/>
    <d v="2025-12-23T00:00:00"/>
    <d v="2025-12-23T00:00:00"/>
    <d v="2025-12-26T00:00:00"/>
    <d v="2025-12-26T00:00:00"/>
    <d v="2025-12-26T19:46:12"/>
    <n v="2039"/>
    <s v="610429"/>
    <s v="Sprinter"/>
    <n v="640"/>
    <n v="0"/>
    <s v="4366XC"/>
    <n v="1"/>
    <n v="640"/>
    <b v="1"/>
    <b v="0"/>
    <b v="0"/>
    <n v="0"/>
    <n v="0"/>
    <s v=""/>
    <s v="Cita en patio 9:00 am, por favor_x000a_26 de diciembre"/>
    <n v="0"/>
    <n v="4793"/>
    <x v="11"/>
    <n v="4793"/>
    <s v="Cd Sahagún"/>
    <s v="Guerrero"/>
    <x v="9"/>
    <x v="2"/>
    <d v="2025-12-01T00:00:00"/>
    <x v="8"/>
    <x v="3"/>
  </r>
  <r>
    <x v="1149"/>
    <x v="0"/>
    <n v="12"/>
    <d v="2025-12-26T00:00:00"/>
    <d v="2025-12-26T00:00:00"/>
    <d v="2025-12-28T00:00:00"/>
    <d v="2025-12-27T00:00:00"/>
    <d v="2025-12-27T00:00:00"/>
    <n v="2039"/>
    <s v="610429"/>
    <s v="Sprinter"/>
    <n v="695"/>
    <n v="695"/>
    <s v="4366XC"/>
    <n v="1"/>
    <n v="695"/>
    <b v="1"/>
    <b v="0"/>
    <b v="0"/>
    <n v="1013"/>
    <n v="0"/>
    <s v=""/>
    <s v=""/>
    <n v="700"/>
    <n v="4993"/>
    <x v="11"/>
    <n v="4993"/>
    <s v="Guerrero"/>
    <s v="Soledad de Gracianos Sanchez"/>
    <x v="48"/>
    <x v="2"/>
    <d v="2025-12-01T00:00:00"/>
    <x v="8"/>
    <x v="3"/>
  </r>
  <r>
    <x v="1150"/>
    <x v="0"/>
    <n v="12"/>
    <d v="2025-12-27T00:00:00"/>
    <d v="2025-12-27T00:00:00"/>
    <d v="2025-12-28T00:00:00"/>
    <d v="2025-12-28T00:00:00"/>
    <d v="2025-12-28T00:00:00"/>
    <n v="2039"/>
    <s v="610429"/>
    <s v="Sprinter"/>
    <n v="518"/>
    <n v="518"/>
    <s v="4366XC"/>
    <n v="1"/>
    <n v="525"/>
    <b v="1"/>
    <b v="0"/>
    <b v="0"/>
    <n v="942"/>
    <n v="0"/>
    <s v=""/>
    <s v=""/>
    <n v="600"/>
    <n v="2100"/>
    <x v="11"/>
    <n v="2100"/>
    <s v="Escobedo"/>
    <s v="Soledad de Gracianos Sanchez"/>
    <x v="49"/>
    <x v="2"/>
    <d v="2025-12-01T00:00:00"/>
    <x v="8"/>
    <x v="3"/>
  </r>
  <r>
    <x v="1151"/>
    <x v="0"/>
    <n v="12"/>
    <d v="2025-12-05T00:00:00"/>
    <d v="2025-12-05T00:00:00"/>
    <d v="2025-12-09T00:00:00"/>
    <d v="2025-12-07T00:00:00"/>
    <d v="2025-12-08T00:00:00"/>
    <n v="2410"/>
    <s v="610429"/>
    <s v="Sprinter"/>
    <n v="2528"/>
    <n v="1264"/>
    <s v="6552XC"/>
    <n v="1"/>
    <n v="1264"/>
    <b v="1"/>
    <b v="0"/>
    <b v="0"/>
    <n v="1746"/>
    <n v="0"/>
    <s v=""/>
    <s v=""/>
    <n v="1300"/>
    <n v="3284"/>
    <x v="1"/>
    <n v="3284"/>
    <s v="Monterrey"/>
    <s v="Villahermosa"/>
    <x v="47"/>
    <x v="2"/>
    <d v="2025-12-01T00:00:00"/>
    <x v="8"/>
    <x v="3"/>
  </r>
  <r>
    <x v="1152"/>
    <x v="0"/>
    <n v="12"/>
    <d v="2025-12-05T00:00:00"/>
    <d v="2025-12-05T00:00:00"/>
    <d v="2025-12-08T00:00:00"/>
    <d v="2025-12-07T00:00:00"/>
    <d v="2025-12-08T00:00:00"/>
    <n v="2244"/>
    <s v="775908"/>
    <s v="4700*175*195"/>
    <n v="640"/>
    <n v="0"/>
    <s v="3727XC"/>
    <n v="1"/>
    <n v="640"/>
    <b v="1"/>
    <b v="0"/>
    <b v="0"/>
    <n v="0"/>
    <n v="0"/>
    <s v=""/>
    <s v="Salida de base Sahagun 8:00 am, por favor"/>
    <n v="0"/>
    <n v="4793"/>
    <x v="11"/>
    <n v="4793"/>
    <s v="Cd Sahagún"/>
    <s v="Guerrero"/>
    <x v="9"/>
    <x v="1"/>
    <d v="2025-12-01T00:00:00"/>
    <x v="8"/>
    <x v="3"/>
  </r>
  <r>
    <x v="1153"/>
    <x v="0"/>
    <n v="12"/>
    <d v="2025-12-08T00:00:00"/>
    <d v="2025-12-08T00:00:00"/>
    <d v="2025-12-08T00:00:00"/>
    <d v="2025-12-08T00:00:00"/>
    <d v="2025-12-09T00:00:00"/>
    <n v="2244"/>
    <s v="775908"/>
    <s v="4700*175*195"/>
    <n v="497"/>
    <n v="497"/>
    <s v="3727XC"/>
    <n v="1"/>
    <n v="497"/>
    <b v="1"/>
    <b v="0"/>
    <b v="0"/>
    <n v="857"/>
    <n v="0"/>
    <s v=""/>
    <s v=""/>
    <n v="500"/>
    <n v="4792"/>
    <x v="11"/>
    <n v="4792"/>
    <s v="Guerrero"/>
    <s v="Queretaro"/>
    <x v="38"/>
    <x v="1"/>
    <d v="2025-12-01T00:00:00"/>
    <x v="8"/>
    <x v="3"/>
  </r>
  <r>
    <x v="1154"/>
    <x v="0"/>
    <n v="12"/>
    <d v="2025-12-08T00:00:00"/>
    <d v="2025-12-08T00:00:00"/>
    <d v="2025-12-09T00:00:00"/>
    <d v="2025-12-09T00:00:00"/>
    <d v="2025-12-10T00:00:00"/>
    <n v="2244"/>
    <s v="775908"/>
    <s v="4700*175*195"/>
    <n v="497"/>
    <n v="0"/>
    <s v="3727XC"/>
    <n v="1"/>
    <n v="497"/>
    <b v="1"/>
    <b v="0"/>
    <b v="0"/>
    <n v="0"/>
    <n v="0"/>
    <s v=""/>
    <s v=""/>
    <n v="0"/>
    <n v="3284"/>
    <x v="11"/>
    <n v="3284"/>
    <s v="Monterrey"/>
    <s v="Villahermosa"/>
    <x v="47"/>
    <x v="1"/>
    <d v="2025-12-01T00:00:00"/>
    <x v="8"/>
    <x v="3"/>
  </r>
  <r>
    <x v="1155"/>
    <x v="0"/>
    <n v="12"/>
    <d v="2025-12-09T00:00:00"/>
    <d v="2025-12-09T00:00:00"/>
    <d v="2025-12-11T00:00:00"/>
    <d v="2025-12-10T00:00:00"/>
    <d v="2025-12-10T00:00:00"/>
    <n v="2244"/>
    <s v="775908"/>
    <s v="4700*175*195"/>
    <n v="497"/>
    <n v="497"/>
    <s v="3727XC"/>
    <n v="1"/>
    <n v="497"/>
    <b v="1"/>
    <b v="0"/>
    <b v="0"/>
    <n v="857"/>
    <n v="0"/>
    <s v=""/>
    <s v=""/>
    <n v="500"/>
    <n v="4792"/>
    <x v="11"/>
    <n v="4792"/>
    <s v="Guerrero"/>
    <s v="Queretaro"/>
    <x v="38"/>
    <x v="1"/>
    <d v="2025-12-01T00:00:00"/>
    <x v="8"/>
    <x v="3"/>
  </r>
  <r>
    <x v="1156"/>
    <x v="0"/>
    <n v="12"/>
    <d v="2025-12-09T00:00:00"/>
    <d v="2025-12-09T00:00:00"/>
    <d v="2025-12-11T00:00:00"/>
    <d v="2025-12-11T00:00:00"/>
    <d v="2025-12-11T00:00:00"/>
    <n v="2244"/>
    <s v="775908"/>
    <s v="4700*175*195"/>
    <n v="238"/>
    <n v="0"/>
    <s v="3727XC"/>
    <n v="1"/>
    <n v="236"/>
    <b v="1"/>
    <b v="0"/>
    <b v="0"/>
    <n v="0"/>
    <n v="0"/>
    <s v=""/>
    <s v=""/>
    <n v="0"/>
    <n v="3950"/>
    <x v="11"/>
    <n v="3950"/>
    <s v="Queretaro"/>
    <s v="Cd Sahagún"/>
    <x v="50"/>
    <x v="1"/>
    <d v="2025-12-01T00:00:00"/>
    <x v="8"/>
    <x v="3"/>
  </r>
  <r>
    <x v="1157"/>
    <x v="1"/>
    <n v="1"/>
    <d v="2026-01-05T00:00:00"/>
    <d v="2026-01-05T00:00:00"/>
    <d v="2026-01-05T00:00:00"/>
    <d v="2026-01-05T00:00:00"/>
    <d v="2026-01-05T00:00:00"/>
    <n v="2423"/>
    <s v="626955"/>
    <s v="Sprinter"/>
    <n v="50"/>
    <n v="50"/>
    <s v="5410XC"/>
    <n v="1"/>
    <n v="150"/>
    <b v="1"/>
    <b v="0"/>
    <b v="0"/>
    <n v="231"/>
    <n v="0"/>
    <s v=""/>
    <s v=""/>
    <n v="50"/>
    <n v="359"/>
    <x v="6"/>
    <n v="359"/>
    <s v="Escobedo"/>
    <s v="Escobedo"/>
    <x v="0"/>
    <x v="0"/>
    <d v="2026-01-01T00:00:00"/>
    <x v="9"/>
    <x v="3"/>
  </r>
  <r>
    <x v="1158"/>
    <x v="1"/>
    <n v="1"/>
    <d v="2026-01-05T00:00:00"/>
    <d v="2026-01-05T00:00:00"/>
    <d v="2026-01-05T00:00:00"/>
    <d v="2026-01-05T00:00:00"/>
    <d v="2026-01-06T00:00:00"/>
    <n v="2423"/>
    <s v="626955"/>
    <s v="Sprinter"/>
    <n v="50"/>
    <n v="50"/>
    <s v="5410XC"/>
    <n v="1"/>
    <n v="150"/>
    <b v="1"/>
    <b v="0"/>
    <b v="0"/>
    <n v="231"/>
    <n v="0"/>
    <s v=""/>
    <s v="Se le deposito 3500 al operador para pagar a transito por circular en sentido contrario, se levanto pnc y el operador es responsable de dicho monto."/>
    <n v="50"/>
    <n v="359"/>
    <x v="19"/>
    <n v="359"/>
    <s v="Escobedo"/>
    <s v="Escobedo"/>
    <x v="0"/>
    <x v="0"/>
    <d v="2026-01-01T00:00:00"/>
    <x v="9"/>
    <x v="3"/>
  </r>
  <r>
    <x v="1159"/>
    <x v="1"/>
    <n v="1"/>
    <d v="2026-01-02T00:00:00"/>
    <d v="2026-01-02T00:00:00"/>
    <d v="2026-01-02T00:00:00"/>
    <d v="2026-01-02T00:00:00"/>
    <d v="2026-01-05T00:00:00"/>
    <n v="2423"/>
    <s v="626955"/>
    <s v="Sprinter"/>
    <n v="50"/>
    <n v="50"/>
    <s v="5410XC"/>
    <n v="1"/>
    <n v="150"/>
    <b v="1"/>
    <b v="0"/>
    <b v="0"/>
    <n v="231"/>
    <n v="0"/>
    <s v=""/>
    <s v=""/>
    <n v="50"/>
    <n v="359"/>
    <x v="6"/>
    <n v="359"/>
    <s v="Escobedo"/>
    <s v="Escobedo"/>
    <x v="0"/>
    <x v="0"/>
    <d v="2026-01-01T00:00:00"/>
    <x v="9"/>
    <x v="3"/>
  </r>
  <r>
    <x v="1160"/>
    <x v="1"/>
    <n v="1"/>
    <d v="2026-01-02T00:00:00"/>
    <d v="2026-01-02T00:00:00"/>
    <d v="2026-01-02T00:00:00"/>
    <d v="2026-01-02T00:00:00"/>
    <d v="2026-01-05T00:00:00"/>
    <n v="2423"/>
    <s v="626955"/>
    <s v="Sprinter"/>
    <n v="50"/>
    <n v="50"/>
    <s v="5410XC"/>
    <n v="1"/>
    <n v="150"/>
    <b v="1"/>
    <b v="0"/>
    <b v="0"/>
    <n v="231"/>
    <n v="0"/>
    <s v=""/>
    <s v=""/>
    <n v="50"/>
    <n v="359"/>
    <x v="6"/>
    <n v="359"/>
    <s v="Escobedo"/>
    <s v="Escobedo"/>
    <x v="0"/>
    <x v="0"/>
    <d v="2026-01-01T00:00:00"/>
    <x v="9"/>
    <x v="3"/>
  </r>
  <r>
    <x v="1161"/>
    <x v="1"/>
    <n v="1"/>
    <d v="2026-01-02T00:00:00"/>
    <d v="2026-01-02T00:00:00"/>
    <d v="2026-01-02T00:00:00"/>
    <d v="2026-01-02T00:00:00"/>
    <d v="2026-01-05T00:00:00"/>
    <n v="2423"/>
    <s v="626955"/>
    <s v="Sprinter"/>
    <n v="50"/>
    <n v="50"/>
    <s v="5410XC"/>
    <n v="1"/>
    <n v="150"/>
    <b v="1"/>
    <b v="0"/>
    <b v="0"/>
    <n v="231"/>
    <n v="0"/>
    <s v=""/>
    <s v=""/>
    <n v="50"/>
    <n v="359"/>
    <x v="6"/>
    <n v="359"/>
    <s v="Escobedo"/>
    <s v="Escobedo"/>
    <x v="0"/>
    <x v="0"/>
    <d v="2026-01-01T00:00:00"/>
    <x v="9"/>
    <x v="3"/>
  </r>
  <r>
    <x v="1162"/>
    <x v="1"/>
    <n v="1"/>
    <d v="2026-01-02T00:00:00"/>
    <d v="2026-01-02T00:00:00"/>
    <d v="2026-01-03T00:00:00"/>
    <d v="2026-01-02T00:00:00"/>
    <d v="2026-01-03T00:00:00"/>
    <n v="2244"/>
    <s v="775908"/>
    <s v="4700*175*195"/>
    <n v="640"/>
    <n v="0"/>
    <s v="3727XC"/>
    <n v="1"/>
    <n v="640"/>
    <b v="1"/>
    <b v="0"/>
    <b v="0"/>
    <n v="0"/>
    <n v="0"/>
    <s v=""/>
    <s v=""/>
    <n v="0"/>
    <n v="4793"/>
    <x v="11"/>
    <n v="4793"/>
    <s v="Cd Sahagún"/>
    <s v="Guerrero"/>
    <x v="9"/>
    <x v="1"/>
    <d v="2026-01-01T00:00:00"/>
    <x v="9"/>
    <x v="3"/>
  </r>
  <r>
    <x v="1163"/>
    <x v="1"/>
    <n v="1"/>
    <d v="2026-01-02T00:00:00"/>
    <d v="2026-01-02T00:00:00"/>
    <d v="2026-01-03T00:00:00"/>
    <d v="2026-01-02T00:00:00"/>
    <d v="2026-01-03T00:00:00"/>
    <n v="2039"/>
    <s v="626955"/>
    <s v="Sprinter"/>
    <n v="640"/>
    <n v="0"/>
    <s v="4366XC"/>
    <n v="1"/>
    <n v="640"/>
    <b v="1"/>
    <b v="0"/>
    <b v="0"/>
    <n v="0"/>
    <n v="0"/>
    <s v=""/>
    <s v=""/>
    <n v="0"/>
    <n v="4793"/>
    <x v="20"/>
    <n v="4793"/>
    <s v="Cd Sahagún"/>
    <s v="Guerrero"/>
    <x v="9"/>
    <x v="0"/>
    <d v="2026-01-01T00:00:00"/>
    <x v="9"/>
    <x v="3"/>
  </r>
  <r>
    <x v="1164"/>
    <x v="1"/>
    <n v="1"/>
    <d v="2026-01-03T00:00:00"/>
    <d v="2026-01-03T00:00:00"/>
    <d v="2026-01-06T00:00:00"/>
    <d v="2026-01-05T00:00:00"/>
    <d v="2026-01-06T15:13:48"/>
    <n v="2244"/>
    <s v="775908"/>
    <s v="4700*175*195"/>
    <n v="1008"/>
    <n v="0"/>
    <s v="3727XC"/>
    <n v="1"/>
    <n v="1008"/>
    <b v="1"/>
    <b v="0"/>
    <b v="0"/>
    <n v="0"/>
    <n v="0"/>
    <s v=""/>
    <s v=""/>
    <n v="0"/>
    <n v="4852"/>
    <x v="11"/>
    <n v="4852"/>
    <s v="Guerrero"/>
    <s v="Veracruz"/>
    <x v="1"/>
    <x v="1"/>
    <d v="2026-01-01T00:00:00"/>
    <x v="9"/>
    <x v="3"/>
  </r>
  <r>
    <x v="1165"/>
    <x v="1"/>
    <n v="1"/>
    <d v="2026-01-03T00:00:00"/>
    <d v="2026-01-03T00:00:00"/>
    <d v="2026-01-06T00:00:00"/>
    <d v="2026-01-05T00:00:00"/>
    <d v="2026-01-06T10:14:34"/>
    <n v="2039"/>
    <s v="626955"/>
    <s v="Sprinter"/>
    <n v="1008"/>
    <n v="0"/>
    <s v="4366XC"/>
    <n v="1"/>
    <n v="1008"/>
    <b v="1"/>
    <b v="0"/>
    <b v="0"/>
    <n v="0"/>
    <n v="0"/>
    <s v=""/>
    <s v=""/>
    <n v="0"/>
    <n v="4852"/>
    <x v="11"/>
    <n v="4852"/>
    <s v="Guerrero"/>
    <s v="Veracruz"/>
    <x v="1"/>
    <x v="0"/>
    <d v="2026-01-01T00:00:00"/>
    <x v="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1:G5" firstHeaderRow="1" firstDataRow="3" firstDataCol="5"/>
  <pivotFields count="34">
    <pivotField axis="axisRow" dataField="1" compact="0" outline="0" showAll="0" defaultSubtotal="0">
      <items count="1166">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x="0"/>
        <item x="1"/>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
        <item sd="0" x="6"/>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7"/>
        <item sd="0" x="560"/>
        <item sd="0" x="561"/>
        <item sd="0" x="562"/>
        <item sd="0" x="563"/>
        <item sd="0" x="564"/>
        <item sd="0" x="565"/>
        <item sd="0" x="566"/>
        <item sd="0" x="567"/>
        <item sd="0" x="568"/>
        <item sd="0" x="569"/>
        <item sd="0" x="8"/>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9"/>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10"/>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11"/>
        <item sd="0" x="706"/>
        <item sd="0" x="707"/>
        <item sd="0" x="708"/>
        <item sd="0" x="12"/>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13"/>
        <item sd="0" x="733"/>
        <item sd="0" x="14"/>
        <item sd="0" x="734"/>
        <item sd="0" x="735"/>
        <item sd="0" x="736"/>
        <item sd="0" x="737"/>
        <item sd="0" x="738"/>
        <item sd="0" x="739"/>
        <item sd="0" x="740"/>
        <item sd="0" x="741"/>
        <item sd="0" x="742"/>
        <item sd="0" x="743"/>
        <item sd="0" x="15"/>
        <item sd="0" x="744"/>
        <item sd="0" x="745"/>
        <item sd="0" x="746"/>
        <item sd="0" x="747"/>
        <item sd="0" x="748"/>
        <item sd="0" x="749"/>
        <item sd="0" x="750"/>
        <item sd="0" x="751"/>
        <item sd="0" x="16"/>
        <item sd="0" x="752"/>
        <item sd="0" x="753"/>
        <item sd="0" x="754"/>
        <item sd="0" x="755"/>
        <item sd="0" x="756"/>
        <item sd="0" x="757"/>
        <item sd="0" x="17"/>
        <item sd="0" x="758"/>
        <item sd="0" x="759"/>
        <item sd="0" x="760"/>
        <item sd="0" x="761"/>
        <item sd="0" x="762"/>
        <item sd="0" x="763"/>
        <item sd="0" x="764"/>
        <item sd="0" x="765"/>
        <item sd="0" x="766"/>
        <item sd="0" x="767"/>
        <item sd="0" x="18"/>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19"/>
        <item sd="0" x="794"/>
        <item sd="0" x="20"/>
        <item sd="0" x="21"/>
        <item sd="0" x="22"/>
        <item sd="0" x="23"/>
        <item sd="0" x="24"/>
        <item sd="0" x="25"/>
        <item sd="0" x="26"/>
        <item sd="0" x="27"/>
        <item sd="0" x="795"/>
        <item sd="0" x="28"/>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29"/>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30"/>
        <item sd="0" x="31"/>
        <item sd="0" x="32"/>
        <item sd="0" x="904"/>
        <item sd="0" x="905"/>
        <item sd="0" x="906"/>
        <item sd="0" x="907"/>
        <item sd="0" x="908"/>
        <item sd="0" x="909"/>
        <item sd="0" x="910"/>
        <item sd="0" x="911"/>
        <item sd="0" x="912"/>
        <item sd="0" x="913"/>
        <item sd="0" x="914"/>
        <item sd="0" x="915"/>
        <item sd="0" x="916"/>
        <item sd="0" x="917"/>
        <item sd="0" x="918"/>
        <item sd="0" x="33"/>
        <item sd="0" x="34"/>
        <item sd="0" x="919"/>
        <item sd="0" x="920"/>
        <item sd="0" x="921"/>
        <item sd="0" x="922"/>
        <item sd="0" x="923"/>
        <item sd="0" x="924"/>
        <item sd="0" x="925"/>
        <item sd="0" x="926"/>
        <item sd="0" x="927"/>
        <item sd="0" x="928"/>
        <item sd="0" x="929"/>
        <item sd="0" x="930"/>
        <item sd="0" x="931"/>
        <item sd="0" x="932"/>
        <item sd="0" x="933"/>
        <item sd="0" x="35"/>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955"/>
        <item sd="0" x="36"/>
        <item sd="0" x="956"/>
        <item sd="0" x="957"/>
        <item sd="0" x="958"/>
        <item sd="0" x="959"/>
        <item sd="0" x="2"/>
        <item sd="0" x="37"/>
        <item sd="0" x="960"/>
        <item sd="0" x="961"/>
        <item sd="0" x="962"/>
        <item sd="0" x="3"/>
        <item sd="0" x="4"/>
        <item sd="0" x="963"/>
        <item sd="0" x="964"/>
        <item sd="0" x="965"/>
        <item sd="0" x="966"/>
        <item sd="0" x="967"/>
        <item sd="0" x="968"/>
        <item sd="0" x="969"/>
        <item sd="0" x="970"/>
        <item sd="0" x="971"/>
        <item sd="0" x="972"/>
        <item sd="0" x="973"/>
        <item sd="0" x="974"/>
        <item sd="0" x="975"/>
        <item sd="0" x="976"/>
        <item sd="0" x="977"/>
        <item sd="0" x="978"/>
        <item sd="0" x="979"/>
        <item sd="0" x="980"/>
        <item sd="0" x="981"/>
        <item sd="0" x="982"/>
        <item sd="0" x="983"/>
        <item sd="0" x="984"/>
        <item sd="0" x="985"/>
        <item sd="0" x="986"/>
        <item sd="0" x="987"/>
        <item sd="0" x="988"/>
        <item sd="0" x="989"/>
        <item sd="0" x="990"/>
        <item sd="0" x="991"/>
        <item sd="0" x="992"/>
        <item sd="0" x="993"/>
        <item sd="0" x="994"/>
        <item sd="0" x="995"/>
        <item sd="0" x="996"/>
        <item sd="0" x="997"/>
        <item sd="0" x="998"/>
        <item sd="0" x="999"/>
        <item sd="0" x="1000"/>
        <item sd="0" x="1001"/>
        <item sd="0" x="1002"/>
        <item sd="0" x="1003"/>
        <item sd="0" x="1004"/>
        <item sd="0" x="1005"/>
        <item sd="0" x="1006"/>
        <item sd="0" x="1007"/>
        <item sd="0" x="1008"/>
        <item sd="0" x="1009"/>
        <item sd="0" x="1010"/>
        <item sd="0" x="1011"/>
        <item sd="0" x="1012"/>
        <item sd="0" x="1013"/>
        <item sd="0" x="1014"/>
        <item sd="0" x="1015"/>
        <item sd="0" x="1016"/>
        <item sd="0" x="1017"/>
        <item sd="0" x="1018"/>
        <item sd="0" x="1019"/>
        <item sd="0" x="1020"/>
        <item sd="0" x="1021"/>
        <item sd="0" x="1022"/>
        <item sd="0" x="1023"/>
        <item sd="0" x="1024"/>
        <item sd="0" x="38"/>
        <item sd="0" x="1025"/>
        <item sd="0" x="1026"/>
        <item sd="0" x="1027"/>
        <item sd="0" x="1028"/>
        <item sd="0" x="1029"/>
        <item sd="0" x="1030"/>
        <item sd="0" x="1031"/>
        <item sd="0" x="1032"/>
        <item sd="0" x="39"/>
        <item sd="0" x="40"/>
        <item sd="0" x="1033"/>
        <item sd="0" x="1034"/>
        <item sd="0" x="1035"/>
        <item sd="0" x="1036"/>
        <item sd="0" x="1037"/>
        <item sd="0" x="1038"/>
        <item sd="0" x="1039"/>
        <item sd="0" x="1040"/>
        <item sd="0" x="1041"/>
        <item sd="0" x="1042"/>
        <item sd="0" x="1043"/>
        <item sd="0" x="1044"/>
        <item sd="0" x="1045"/>
        <item sd="0" x="1046"/>
        <item sd="0" x="1047"/>
        <item sd="0" x="1048"/>
        <item sd="0" x="1049"/>
        <item sd="0" x="1050"/>
        <item sd="0" x="1051"/>
        <item sd="0" x="1052"/>
        <item sd="0" x="1053"/>
        <item sd="0" x="1054"/>
        <item sd="0" x="1055"/>
        <item sd="0" x="1056"/>
        <item sd="0" x="1057"/>
        <item sd="0" x="1058"/>
        <item sd="0" x="1059"/>
        <item sd="0" x="1060"/>
        <item sd="0" x="1061"/>
        <item sd="0" x="1062"/>
        <item sd="0" x="1063"/>
        <item sd="0" x="1064"/>
        <item sd="0" x="1065"/>
        <item sd="0" x="1066"/>
        <item sd="0" x="1067"/>
        <item sd="0" x="1068"/>
        <item sd="0" x="1069"/>
        <item sd="0" x="1070"/>
        <item sd="0" x="1071"/>
        <item sd="0" x="1072"/>
        <item sd="0" x="1073"/>
        <item sd="0" x="1074"/>
        <item sd="0" x="1075"/>
        <item sd="0" x="1076"/>
        <item sd="0" x="1077"/>
        <item sd="0" x="1078"/>
        <item sd="0" x="1079"/>
        <item sd="0" x="1080"/>
        <item sd="0" x="1081"/>
        <item sd="0" x="1082"/>
        <item sd="0" x="1083"/>
        <item sd="0" x="1084"/>
        <item sd="0" x="1085"/>
        <item sd="0" x="1086"/>
        <item sd="0" x="1087"/>
        <item sd="0" x="1088"/>
        <item sd="0" x="1089"/>
        <item sd="0" x="1090"/>
        <item sd="0" x="1091"/>
        <item sd="0" x="1092"/>
        <item sd="0" x="1093"/>
        <item sd="0" x="1094"/>
        <item sd="0" x="1095"/>
        <item sd="0" x="1096"/>
        <item sd="0" x="1097"/>
        <item sd="0" x="1098"/>
        <item sd="0" x="1099"/>
        <item sd="0" x="41"/>
        <item sd="0" x="42"/>
        <item sd="0" x="1100"/>
        <item sd="0" x="1101"/>
        <item sd="0" x="1102"/>
        <item sd="0" x="1103"/>
        <item sd="0" x="1104"/>
        <item sd="0" x="1105"/>
        <item sd="0" x="1106"/>
        <item sd="0" x="1107"/>
        <item sd="0" x="43"/>
        <item sd="0" x="44"/>
        <item sd="0" x="1108"/>
        <item sd="0" x="45"/>
        <item sd="0" x="1109"/>
        <item sd="0" x="1110"/>
        <item sd="0" x="1111"/>
        <item sd="0" x="46"/>
        <item sd="0" x="1112"/>
        <item sd="0" x="1113"/>
        <item sd="0" x="1114"/>
        <item sd="0" x="1115"/>
        <item sd="0" x="1116"/>
        <item sd="0" x="1117"/>
        <item sd="0" x="1118"/>
        <item sd="0" x="1119"/>
        <item sd="0" x="1120"/>
        <item sd="0" x="1121"/>
        <item sd="0" x="1122"/>
        <item sd="0" x="1123"/>
        <item sd="0" x="1124"/>
        <item sd="0" x="1125"/>
        <item sd="0" x="1126"/>
        <item sd="0" x="1127"/>
        <item sd="0" x="1128"/>
        <item sd="0" x="1129"/>
        <item sd="0" x="1130"/>
        <item sd="0" x="1131"/>
        <item sd="0" x="1132"/>
        <item sd="0" x="1133"/>
        <item sd="0" x="1134"/>
        <item sd="0" x="1135"/>
        <item sd="0" x="1136"/>
        <item sd="0" x="1137"/>
        <item sd="0" x="1138"/>
        <item sd="0" x="1139"/>
        <item sd="0" x="1140"/>
        <item sd="0" x="1141"/>
        <item sd="0" x="47"/>
        <item sd="0" x="1142"/>
        <item sd="0" x="1143"/>
        <item sd="0" x="1144"/>
        <item sd="0" x="1145"/>
        <item sd="0" x="1146"/>
        <item sd="0" x="1147"/>
        <item sd="0" x="1148"/>
        <item sd="0" x="1149"/>
        <item sd="0" x="1150"/>
        <item sd="0" x="1151"/>
        <item sd="0" x="1152"/>
        <item sd="0" x="1153"/>
        <item sd="0" x="1154"/>
        <item sd="0" x="1155"/>
        <item sd="0" x="1156"/>
        <item sd="0" x="1157"/>
        <item sd="0" x="1158"/>
        <item sd="0" x="1159"/>
        <item sd="0" x="1160"/>
        <item sd="0" x="1161"/>
        <item sd="0" x="1162"/>
        <item sd="0" x="1163"/>
        <item sd="0" x="48"/>
        <item sd="0" x="49"/>
        <item sd="0" x="1164"/>
        <item sd="0" x="116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1">
        <item x="3"/>
        <item x="18"/>
        <item x="10"/>
        <item x="9"/>
        <item x="1"/>
        <item x="7"/>
        <item x="17"/>
        <item x="16"/>
        <item x="12"/>
        <item x="8"/>
        <item x="14"/>
        <item x="13"/>
        <item x="5"/>
        <item x="6"/>
        <item x="4"/>
        <item x="11"/>
        <item x="20"/>
        <item x="15"/>
        <item x="19"/>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1">
        <item sd="0" x="46"/>
        <item sd="0" x="30"/>
        <item sd="0" x="45"/>
        <item sd="0" x="43"/>
        <item sd="0" x="34"/>
        <item sd="0" x="2"/>
        <item sd="0" x="9"/>
        <item sd="0" x="27"/>
        <item sd="0" x="26"/>
        <item sd="0" x="21"/>
        <item sd="0" x="23"/>
        <item sd="0" x="40"/>
        <item sd="0" x="13"/>
        <item sd="0" x="12"/>
        <item sd="0" x="18"/>
        <item sd="0" x="5"/>
        <item sd="0" x="39"/>
        <item sd="0" x="16"/>
        <item sd="0" x="6"/>
        <item sd="0" x="14"/>
        <item sd="0" x="8"/>
        <item sd="0" x="36"/>
        <item sd="0" x="35"/>
        <item sd="0" x="3"/>
        <item sd="0" x="28"/>
        <item sd="0" x="24"/>
        <item sd="0" x="42"/>
        <item x="0"/>
        <item sd="0" x="4"/>
        <item sd="0" x="25"/>
        <item sd="0" x="19"/>
        <item sd="0" x="10"/>
        <item sd="0" x="17"/>
        <item sd="0" x="7"/>
        <item sd="0" x="20"/>
        <item sd="0" x="41"/>
        <item sd="0" x="29"/>
        <item sd="0" x="49"/>
        <item sd="0" x="31"/>
        <item sd="0" x="37"/>
        <item sd="0" x="11"/>
        <item sd="0" x="38"/>
        <item sd="0" x="48"/>
        <item sd="0" x="1"/>
        <item sd="0" x="32"/>
        <item sd="0" x="47"/>
        <item sd="0" x="22"/>
        <item sd="0" x="50"/>
        <item sd="0" x="44"/>
        <item sd="0" x="33"/>
        <item sd="0" x="15"/>
      </items>
      <extLst>
        <ext xmlns:x14="http://schemas.microsoft.com/office/spreadsheetml/2009/9/main" uri="{2946ED86-A175-432a-8AC1-64E0C546D7DE}">
          <x14:pivotField fillDownLabels="1"/>
        </ext>
      </extLst>
    </pivotField>
    <pivotField axis="axisRow" compact="0" outline="0" showAll="0" sortType="descending" defaultSubtotal="0">
      <items count="3">
        <item x="1"/>
        <item x="2"/>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4">
        <item h="1" x="10"/>
        <item x="0"/>
        <item x="11"/>
        <item x="12"/>
        <item x="2"/>
        <item x="3"/>
        <item x="4"/>
        <item x="5"/>
        <item x="6"/>
        <item x="1"/>
        <item x="13"/>
        <item x="7"/>
        <item x="8"/>
        <item h="1"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Col" compact="0" outline="0" showAll="0" sortType="descending" defaultSubtotal="0">
      <items count="4">
        <item n="0 %" h="1" x="3"/>
        <item n="20 %" h="1" x="2"/>
        <item n="60%" h="1" x="1"/>
        <item n="178%"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5">
    <field x="30"/>
    <field x="32"/>
    <field x="29"/>
    <field x="0"/>
    <field x="25"/>
  </rowFields>
  <rowItems count="2">
    <i>
      <x v="2"/>
      <x v="1"/>
      <x v="27"/>
      <x v="89"/>
      <x v="20"/>
    </i>
    <i r="3">
      <x v="90"/>
      <x v="20"/>
    </i>
  </rowItems>
  <colFields count="2">
    <field x="-2"/>
    <field x="33"/>
  </colFields>
  <colItems count="2">
    <i>
      <x/>
      <x v="3"/>
    </i>
    <i i="1">
      <x v="1"/>
      <x v="3"/>
    </i>
  </colItems>
  <dataFields count="2">
    <dataField name="Sueldo pagado" fld="19" baseField="29" baseItem="23" numFmtId="166"/>
    <dataField name="Traslados realizados" fld="0" subtotal="count" baseField="0" baseItem="0"/>
  </dataFields>
  <formats count="6">
    <format dxfId="30">
      <pivotArea outline="0" collapsedLevelsAreSubtotals="1" fieldPosition="0">
        <references count="2">
          <reference field="4294967294" count="1" selected="0">
            <x v="0"/>
          </reference>
          <reference field="33" count="0" selected="0"/>
        </references>
      </pivotArea>
    </format>
    <format dxfId="31">
      <pivotArea dataOnly="0" labelOnly="1" outline="0" fieldPosition="0">
        <references count="1">
          <reference field="4294967294" count="1">
            <x v="0"/>
          </reference>
        </references>
      </pivotArea>
    </format>
    <format dxfId="32">
      <pivotArea dataOnly="0" labelOnly="1" outline="0" fieldPosition="0">
        <references count="2">
          <reference field="4294967294" count="1" selected="0">
            <x v="0"/>
          </reference>
          <reference field="33" count="0"/>
        </references>
      </pivotArea>
    </format>
    <format dxfId="33">
      <pivotArea outline="0" collapsedLevelsAreSubtotals="1" fieldPosition="0">
        <references count="2">
          <reference field="4294967294" count="1" selected="0">
            <x v="1"/>
          </reference>
          <reference field="33" count="0" selected="0" defaultSubtotal="1" sumSubtotal="1" countASubtotal="1" avgSubtotal="1" maxSubtotal="1" minSubtotal="1" productSubtotal="1" countSubtotal="1" stdDevSubtotal="1" stdDevPSubtotal="1" varSubtotal="1" varPSubtotal="1"/>
        </references>
      </pivotArea>
    </format>
    <format dxfId="34">
      <pivotArea dataOnly="0" labelOnly="1" outline="0" fieldPosition="0">
        <references count="1">
          <reference field="4294967294" count="1">
            <x v="1"/>
          </reference>
        </references>
      </pivotArea>
    </format>
    <format dxfId="35">
      <pivotArea dataOnly="0" labelOnly="1" outline="0" fieldPosition="0">
        <references count="2">
          <reference field="4294967294" count="1" selected="0">
            <x v="1"/>
          </reference>
          <reference field="3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es_traslado" sourceName="Mes traslado">
  <pivotTables>
    <pivotTable tabId="2" name="PivotTable2"/>
  </pivotTables>
  <data>
    <tabular pivotCacheId="1">
      <items count="14">
        <i x="0" s="1"/>
        <i x="10" nd="1"/>
        <i x="11" s="1" nd="1"/>
        <i x="12" s="1" nd="1"/>
        <i x="2" s="1" nd="1"/>
        <i x="3" s="1" nd="1"/>
        <i x="4" s="1" nd="1"/>
        <i x="5" s="1" nd="1"/>
        <i x="6" s="1" nd="1"/>
        <i x="1" s="1" nd="1"/>
        <i x="13" s="1" nd="1"/>
        <i x="7" s="1" nd="1"/>
        <i x="8" s="1" nd="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nganchado_porc" sourceName="Enganchado_porc">
  <pivotTables>
    <pivotTable tabId="2" name="PivotTable2"/>
  </pivotTables>
  <data>
    <tabular pivotCacheId="1">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s traslado" cache="Slicer_Mes_traslado" caption="Mes traslado" rowHeight="241300"/>
  <slicer name="Enganchado_porc" cache="Slicer_Enganchado_porc" caption="Enganchado_porc" rowHeight="241300"/>
</slicers>
</file>

<file path=xl/tables/table1.xml><?xml version="1.0" encoding="utf-8"?>
<table xmlns="http://schemas.openxmlformats.org/spreadsheetml/2006/main" id="1" name="Table1" displayName="Table1" ref="A1:AH1167" totalsRowShown="0">
  <autoFilter ref="A1:AH1167"/>
  <sortState ref="A2:AH1167">
    <sortCondition descending="1" ref="AH1:AH1167"/>
  </sortState>
  <tableColumns count="34">
    <tableColumn id="1" name="ID_orden"/>
    <tableColumn id="2" name="Anio_ot"/>
    <tableColumn id="3" name="Mes_ot"/>
    <tableColumn id="4" name="Fecha_solicitud_cte" dataDxfId="68"/>
    <tableColumn id="5" name="Fecha_salida_planta" dataDxfId="67"/>
    <tableColumn id="6" name="Fecha_confirmacion" dataDxfId="66"/>
    <tableColumn id="7" name="Fecha_traslado" dataDxfId="65"/>
    <tableColumn id="8" name="Fecha_entrega" dataDxfId="64"/>
    <tableColumn id="9" name="ID_matricula"/>
    <tableColumn id="10" name="No_chasis"/>
    <tableColumn id="11" name="Modelo"/>
    <tableColumn id="12" name="Km_reales"/>
    <tableColumn id="13" name="Km_de_pago"/>
    <tableColumn id="14" name="No_placa"/>
    <tableColumn id="15" name="ID_clsueldo"/>
    <tableColumn id="16" name="Km_oficiales"/>
    <tableColumn id="17" name="Traslado_local"/>
    <tableColumn id="18" name="Traslado_cancelado"/>
    <tableColumn id="19" name="Traslado_en_falso"/>
    <tableColumn id="20" name="Sueldo"/>
    <tableColumn id="21" name="Costo_por_km"/>
    <tableColumn id="22" name="Observaciones"/>
    <tableColumn id="23" name="Instrucciones_operador"/>
    <tableColumn id="24" name="Km_tabulados"/>
    <tableColumn id="25" name="Id_tipo_ruta"/>
    <tableColumn id="26" name="ID_usuario"/>
    <tableColumn id="27" name="Tipo_Ruta"/>
    <tableColumn id="28" name="Origen"/>
    <tableColumn id="29" name="Destino"/>
    <tableColumn id="30" name="Ruta" dataDxfId="63">
      <calculatedColumnFormula>+AB2&amp;" → "&amp;AC2</calculatedColumnFormula>
    </tableColumn>
    <tableColumn id="31" name="Unidad"/>
    <tableColumn id="32" name="Fecha" dataDxfId="62"/>
    <tableColumn id="33" name="Mes traslado" dataDxfId="61">
      <calculatedColumnFormula>YEAR(Table1[[#This Row],[Fecha]])&amp;" - " &amp;UPPER(TEXT(Table1[[#This Row],[Fecha]],"mm-mmm"))</calculatedColumnFormula>
    </tableColumn>
    <tableColumn id="34" name="Enganchado_porc"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8"/>
  <sheetViews>
    <sheetView tabSelected="1" zoomScale="130" zoomScaleNormal="130" workbookViewId="0"/>
  </sheetViews>
  <sheetFormatPr defaultRowHeight="15" x14ac:dyDescent="0.25"/>
  <cols>
    <col min="1" max="1" width="43.42578125" bestFit="1" customWidth="1"/>
    <col min="2" max="2" width="39.7109375" bestFit="1" customWidth="1"/>
    <col min="3" max="3" width="21" customWidth="1"/>
    <col min="4" max="4" width="11.42578125" customWidth="1"/>
    <col min="5" max="5" width="12.7109375" customWidth="1"/>
    <col min="6" max="11" width="19" bestFit="1" customWidth="1"/>
  </cols>
  <sheetData>
    <row r="1" spans="1:7" ht="15.75" thickBot="1" x14ac:dyDescent="0.3">
      <c r="F1" s="3" t="s">
        <v>1367</v>
      </c>
      <c r="G1" s="3" t="s">
        <v>1366</v>
      </c>
    </row>
    <row r="2" spans="1:7" ht="15.75" thickBot="1" x14ac:dyDescent="0.3">
      <c r="F2" s="9" t="s">
        <v>1365</v>
      </c>
      <c r="G2" s="7" t="s">
        <v>1364</v>
      </c>
    </row>
    <row r="3" spans="1:7" ht="15.75" thickBot="1" x14ac:dyDescent="0.3">
      <c r="A3" s="3" t="s">
        <v>1356</v>
      </c>
      <c r="B3" s="3" t="s">
        <v>1362</v>
      </c>
      <c r="C3" s="3" t="s">
        <v>1355</v>
      </c>
      <c r="D3" s="3" t="s">
        <v>0</v>
      </c>
      <c r="E3" s="3" t="s">
        <v>25</v>
      </c>
      <c r="F3" s="9" t="s">
        <v>1368</v>
      </c>
      <c r="G3" s="7" t="s">
        <v>1368</v>
      </c>
    </row>
    <row r="4" spans="1:7" x14ac:dyDescent="0.25">
      <c r="A4" t="s">
        <v>1358</v>
      </c>
      <c r="B4" t="s">
        <v>1363</v>
      </c>
      <c r="C4" t="s">
        <v>1360</v>
      </c>
      <c r="D4" t="s">
        <v>963</v>
      </c>
      <c r="E4" t="s">
        <v>261</v>
      </c>
      <c r="F4" s="10">
        <v>600</v>
      </c>
      <c r="G4" s="8">
        <v>1</v>
      </c>
    </row>
    <row r="5" spans="1:7" ht="15.75" thickBot="1" x14ac:dyDescent="0.3">
      <c r="A5" t="s">
        <v>1358</v>
      </c>
      <c r="B5" t="s">
        <v>1363</v>
      </c>
      <c r="C5" t="s">
        <v>1360</v>
      </c>
      <c r="D5" t="s">
        <v>964</v>
      </c>
      <c r="E5" t="s">
        <v>261</v>
      </c>
      <c r="F5" s="11">
        <v>600</v>
      </c>
      <c r="G5" s="6">
        <v>1</v>
      </c>
    </row>
    <row r="173" ht="15.75" thickBot="1" x14ac:dyDescent="0.3"/>
    <row r="178" ht="15.75" thickBo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67"/>
  <sheetViews>
    <sheetView zoomScale="85" zoomScaleNormal="85" workbookViewId="0">
      <selection activeCell="AJ6" sqref="AJ6"/>
    </sheetView>
  </sheetViews>
  <sheetFormatPr defaultRowHeight="15" x14ac:dyDescent="0.25"/>
  <cols>
    <col min="1" max="1" width="11.42578125" bestFit="1" customWidth="1"/>
    <col min="2" max="2" width="10.28515625" hidden="1" customWidth="1"/>
    <col min="3" max="3" width="10" hidden="1" customWidth="1"/>
    <col min="4" max="4" width="21" hidden="1" customWidth="1"/>
    <col min="5" max="5" width="21.42578125" hidden="1" customWidth="1"/>
    <col min="6" max="6" width="21.28515625" hidden="1" customWidth="1"/>
    <col min="7" max="7" width="16.7109375" hidden="1" customWidth="1"/>
    <col min="8" max="8" width="18.28515625" hidden="1" customWidth="1"/>
    <col min="9" max="9" width="14.42578125" hidden="1" customWidth="1"/>
    <col min="10" max="10" width="12.140625" hidden="1" customWidth="1"/>
    <col min="11" max="11" width="13.28515625" hidden="1" customWidth="1"/>
    <col min="12" max="12" width="12.5703125" hidden="1" customWidth="1"/>
    <col min="13" max="13" width="14.7109375" hidden="1" customWidth="1"/>
    <col min="14" max="14" width="11.42578125" hidden="1" customWidth="1"/>
    <col min="15" max="15" width="13.5703125" hidden="1" customWidth="1"/>
    <col min="16" max="16" width="14.5703125" hidden="1" customWidth="1"/>
    <col min="17" max="17" width="16" hidden="1" customWidth="1"/>
    <col min="18" max="18" width="20.85546875" hidden="1" customWidth="1"/>
    <col min="19" max="19" width="19.5703125" hidden="1" customWidth="1"/>
    <col min="20" max="20" width="9.42578125" hidden="1" customWidth="1"/>
    <col min="21" max="21" width="16.140625" hidden="1" customWidth="1"/>
    <col min="22" max="22" width="16.42578125" hidden="1" customWidth="1"/>
    <col min="23" max="23" width="134.140625" hidden="1" customWidth="1"/>
    <col min="24" max="24" width="16" hidden="1" customWidth="1"/>
    <col min="25" max="25" width="14.140625" hidden="1" customWidth="1"/>
    <col min="26" max="26" width="12.7109375" hidden="1" customWidth="1"/>
    <col min="27" max="27" width="12.140625" hidden="1" customWidth="1"/>
    <col min="28" max="28" width="14.140625" hidden="1" customWidth="1"/>
    <col min="29" max="29" width="28" hidden="1" customWidth="1"/>
    <col min="30" max="30" width="39.7109375" hidden="1" customWidth="1"/>
    <col min="31" max="31" width="9.7109375" hidden="1" customWidth="1"/>
    <col min="32" max="32" width="15" hidden="1" customWidth="1"/>
    <col min="33" max="33" width="0" hidden="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1355</v>
      </c>
      <c r="AE1" t="s">
        <v>1356</v>
      </c>
      <c r="AF1" t="s">
        <v>1361</v>
      </c>
      <c r="AG1" t="s">
        <v>1362</v>
      </c>
      <c r="AH1" t="s">
        <v>1366</v>
      </c>
    </row>
    <row r="2" spans="1:34" x14ac:dyDescent="0.25">
      <c r="A2" t="s">
        <v>963</v>
      </c>
      <c r="B2">
        <v>2025</v>
      </c>
      <c r="C2">
        <v>1</v>
      </c>
      <c r="D2" s="1">
        <v>45684</v>
      </c>
      <c r="E2" s="1">
        <v>45684</v>
      </c>
      <c r="F2" s="1">
        <v>45684</v>
      </c>
      <c r="G2" s="1">
        <v>45684</v>
      </c>
      <c r="H2" s="1">
        <v>45684</v>
      </c>
      <c r="I2">
        <v>2050</v>
      </c>
      <c r="J2" t="s">
        <v>54</v>
      </c>
      <c r="K2" t="s">
        <v>31</v>
      </c>
      <c r="L2">
        <v>50</v>
      </c>
      <c r="M2">
        <v>50</v>
      </c>
      <c r="N2" t="s">
        <v>55</v>
      </c>
      <c r="O2">
        <v>1</v>
      </c>
      <c r="P2">
        <v>150</v>
      </c>
      <c r="Q2" t="b">
        <v>1</v>
      </c>
      <c r="R2" t="b">
        <v>0</v>
      </c>
      <c r="S2" t="b">
        <v>0</v>
      </c>
      <c r="T2">
        <v>600</v>
      </c>
      <c r="U2">
        <v>0</v>
      </c>
      <c r="V2" t="s">
        <v>33</v>
      </c>
      <c r="W2" t="s">
        <v>33</v>
      </c>
      <c r="X2">
        <v>50</v>
      </c>
      <c r="Y2">
        <v>359</v>
      </c>
      <c r="Z2" t="s">
        <v>261</v>
      </c>
      <c r="AA2">
        <v>359</v>
      </c>
      <c r="AB2" t="s">
        <v>121</v>
      </c>
      <c r="AC2" t="s">
        <v>121</v>
      </c>
      <c r="AD2" t="str">
        <f t="shared" ref="AD2:AD65" si="0">+AB2&amp;" → "&amp;AC2</f>
        <v>Escobedo → Escobedo</v>
      </c>
      <c r="AE2" t="s">
        <v>1358</v>
      </c>
      <c r="AF2" s="4">
        <v>45658</v>
      </c>
      <c r="AG2" t="str">
        <f>YEAR(Table1[[#This Row],[Fecha]])&amp;" - " &amp;UPPER(TEXT(Table1[[#This Row],[Fecha]],"mm-mmm"))</f>
        <v>2025 - 01-ENE</v>
      </c>
      <c r="AH2" s="5">
        <v>178</v>
      </c>
    </row>
    <row r="3" spans="1:34" x14ac:dyDescent="0.25">
      <c r="A3" t="s">
        <v>964</v>
      </c>
      <c r="B3">
        <v>2025</v>
      </c>
      <c r="C3">
        <v>1</v>
      </c>
      <c r="D3" s="1">
        <v>45684</v>
      </c>
      <c r="E3" s="1">
        <v>45684</v>
      </c>
      <c r="F3" s="1">
        <v>45684</v>
      </c>
      <c r="G3" s="1">
        <v>45684</v>
      </c>
      <c r="H3" s="1">
        <v>45684</v>
      </c>
      <c r="I3">
        <v>2050</v>
      </c>
      <c r="J3" t="s">
        <v>54</v>
      </c>
      <c r="K3" t="s">
        <v>31</v>
      </c>
      <c r="L3">
        <v>50</v>
      </c>
      <c r="M3">
        <v>50</v>
      </c>
      <c r="N3" t="s">
        <v>55</v>
      </c>
      <c r="O3">
        <v>1</v>
      </c>
      <c r="P3">
        <v>150</v>
      </c>
      <c r="Q3" t="b">
        <v>1</v>
      </c>
      <c r="R3" t="b">
        <v>0</v>
      </c>
      <c r="S3" t="b">
        <v>0</v>
      </c>
      <c r="T3">
        <v>600</v>
      </c>
      <c r="U3">
        <v>0</v>
      </c>
      <c r="V3" t="s">
        <v>33</v>
      </c>
      <c r="W3" t="s">
        <v>33</v>
      </c>
      <c r="X3">
        <v>50</v>
      </c>
      <c r="Y3">
        <v>359</v>
      </c>
      <c r="Z3" t="s">
        <v>261</v>
      </c>
      <c r="AA3">
        <v>359</v>
      </c>
      <c r="AB3" t="s">
        <v>121</v>
      </c>
      <c r="AC3" t="s">
        <v>121</v>
      </c>
      <c r="AD3" t="str">
        <f t="shared" si="0"/>
        <v>Escobedo → Escobedo</v>
      </c>
      <c r="AE3" t="s">
        <v>1358</v>
      </c>
      <c r="AF3" s="4">
        <v>45658</v>
      </c>
      <c r="AG3" t="str">
        <f>YEAR(Table1[[#This Row],[Fecha]])&amp;" - " &amp;UPPER(TEXT(Table1[[#This Row],[Fecha]],"mm-mmm"))</f>
        <v>2025 - 01-ENE</v>
      </c>
      <c r="AH3" s="5">
        <v>178</v>
      </c>
    </row>
    <row r="4" spans="1:34" x14ac:dyDescent="0.25">
      <c r="A4" t="s">
        <v>1339</v>
      </c>
      <c r="B4">
        <v>2025</v>
      </c>
      <c r="C4">
        <v>9</v>
      </c>
      <c r="D4" s="1">
        <v>45908</v>
      </c>
      <c r="E4" s="1">
        <v>45908</v>
      </c>
      <c r="F4" s="1">
        <v>45910</v>
      </c>
      <c r="G4" s="1">
        <v>45909</v>
      </c>
      <c r="H4" s="1">
        <v>45910</v>
      </c>
      <c r="I4">
        <v>2244</v>
      </c>
      <c r="J4" t="s">
        <v>41</v>
      </c>
      <c r="K4" t="s">
        <v>42</v>
      </c>
      <c r="L4">
        <v>1356</v>
      </c>
      <c r="M4">
        <v>1008</v>
      </c>
      <c r="N4" t="s">
        <v>43</v>
      </c>
      <c r="O4">
        <v>1</v>
      </c>
      <c r="P4">
        <v>1008</v>
      </c>
      <c r="Q4" t="b">
        <v>1</v>
      </c>
      <c r="R4" t="b">
        <v>0</v>
      </c>
      <c r="S4" t="b">
        <v>0</v>
      </c>
      <c r="T4">
        <v>2390</v>
      </c>
      <c r="U4">
        <v>0</v>
      </c>
      <c r="V4" t="s">
        <v>33</v>
      </c>
      <c r="W4" t="s">
        <v>33</v>
      </c>
      <c r="X4">
        <v>1100</v>
      </c>
      <c r="Y4">
        <v>4852</v>
      </c>
      <c r="Z4" t="s">
        <v>38</v>
      </c>
      <c r="AA4">
        <v>4852</v>
      </c>
      <c r="AB4" t="s">
        <v>91</v>
      </c>
      <c r="AC4" t="s">
        <v>1340</v>
      </c>
      <c r="AD4" t="str">
        <f t="shared" si="0"/>
        <v>Guerrero → Veracruz</v>
      </c>
      <c r="AE4" t="s">
        <v>1359</v>
      </c>
      <c r="AF4" s="4">
        <v>45901</v>
      </c>
      <c r="AG4" t="str">
        <f>YEAR(Table1[[#This Row],[Fecha]])&amp;" - " &amp;UPPER(TEXT(Table1[[#This Row],[Fecha]],"mm-mmm"))</f>
        <v>2025 - 09-SEP</v>
      </c>
      <c r="AH4" s="5">
        <v>60</v>
      </c>
    </row>
    <row r="5" spans="1:34" x14ac:dyDescent="0.25">
      <c r="A5" t="s">
        <v>1350</v>
      </c>
      <c r="B5">
        <v>2025</v>
      </c>
      <c r="C5">
        <v>9</v>
      </c>
      <c r="D5" s="1">
        <v>45902</v>
      </c>
      <c r="E5" s="1">
        <v>45902</v>
      </c>
      <c r="F5" s="1">
        <v>45904</v>
      </c>
      <c r="G5" s="1">
        <v>45903</v>
      </c>
      <c r="H5" s="1">
        <v>45904</v>
      </c>
      <c r="I5">
        <v>2244</v>
      </c>
      <c r="J5" t="s">
        <v>41</v>
      </c>
      <c r="K5" t="s">
        <v>42</v>
      </c>
      <c r="L5">
        <v>2016</v>
      </c>
      <c r="M5">
        <v>1008</v>
      </c>
      <c r="N5" t="s">
        <v>43</v>
      </c>
      <c r="O5">
        <v>1</v>
      </c>
      <c r="P5">
        <v>1008</v>
      </c>
      <c r="Q5" t="b">
        <v>1</v>
      </c>
      <c r="R5" t="b">
        <v>0</v>
      </c>
      <c r="S5" t="b">
        <v>0</v>
      </c>
      <c r="T5">
        <v>2390</v>
      </c>
      <c r="U5">
        <v>0</v>
      </c>
      <c r="V5" t="s">
        <v>33</v>
      </c>
      <c r="W5" t="s">
        <v>33</v>
      </c>
      <c r="X5">
        <v>1100</v>
      </c>
      <c r="Y5">
        <v>4852</v>
      </c>
      <c r="Z5" t="s">
        <v>38</v>
      </c>
      <c r="AA5">
        <v>4852</v>
      </c>
      <c r="AB5" t="s">
        <v>91</v>
      </c>
      <c r="AC5" t="s">
        <v>1340</v>
      </c>
      <c r="AD5" t="str">
        <f t="shared" si="0"/>
        <v>Guerrero → Veracruz</v>
      </c>
      <c r="AE5" t="s">
        <v>1359</v>
      </c>
      <c r="AF5" s="4">
        <v>45901</v>
      </c>
      <c r="AG5" t="str">
        <f>YEAR(Table1[[#This Row],[Fecha]])&amp;" - " &amp;UPPER(TEXT(Table1[[#This Row],[Fecha]],"mm-mmm"))</f>
        <v>2025 - 09-SEP</v>
      </c>
      <c r="AH5" s="5">
        <v>60</v>
      </c>
    </row>
    <row r="6" spans="1:34" x14ac:dyDescent="0.25">
      <c r="A6" t="s">
        <v>1351</v>
      </c>
      <c r="B6">
        <v>2025</v>
      </c>
      <c r="C6">
        <v>9</v>
      </c>
      <c r="D6" s="1">
        <v>45905</v>
      </c>
      <c r="E6" s="1">
        <v>45905</v>
      </c>
      <c r="F6" s="1">
        <v>45907</v>
      </c>
      <c r="G6" s="1">
        <v>45906</v>
      </c>
      <c r="H6" s="1">
        <v>45907</v>
      </c>
      <c r="I6">
        <v>2244</v>
      </c>
      <c r="J6" t="s">
        <v>41</v>
      </c>
      <c r="K6" t="s">
        <v>42</v>
      </c>
      <c r="L6">
        <v>2016</v>
      </c>
      <c r="M6">
        <v>1008</v>
      </c>
      <c r="N6" t="s">
        <v>43</v>
      </c>
      <c r="O6">
        <v>1</v>
      </c>
      <c r="P6">
        <v>1008</v>
      </c>
      <c r="Q6" t="b">
        <v>1</v>
      </c>
      <c r="R6" t="b">
        <v>0</v>
      </c>
      <c r="S6" t="b">
        <v>0</v>
      </c>
      <c r="T6">
        <v>2390</v>
      </c>
      <c r="U6">
        <v>0</v>
      </c>
      <c r="V6" t="s">
        <v>33</v>
      </c>
      <c r="W6" t="s">
        <v>33</v>
      </c>
      <c r="X6">
        <v>1100</v>
      </c>
      <c r="Y6">
        <v>4852</v>
      </c>
      <c r="Z6" t="s">
        <v>38</v>
      </c>
      <c r="AA6">
        <v>4852</v>
      </c>
      <c r="AB6" t="s">
        <v>91</v>
      </c>
      <c r="AC6" t="s">
        <v>1340</v>
      </c>
      <c r="AD6" t="str">
        <f t="shared" si="0"/>
        <v>Guerrero → Veracruz</v>
      </c>
      <c r="AE6" t="s">
        <v>1359</v>
      </c>
      <c r="AF6" s="4">
        <v>45901</v>
      </c>
      <c r="AG6" t="str">
        <f>YEAR(Table1[[#This Row],[Fecha]])&amp;" - " &amp;UPPER(TEXT(Table1[[#This Row],[Fecha]],"mm-mmm"))</f>
        <v>2025 - 09-SEP</v>
      </c>
      <c r="AH6" s="5">
        <v>60</v>
      </c>
    </row>
    <row r="7" spans="1:34" x14ac:dyDescent="0.25">
      <c r="A7" t="s">
        <v>64</v>
      </c>
      <c r="B7">
        <v>2025</v>
      </c>
      <c r="C7">
        <v>4</v>
      </c>
      <c r="D7" s="1">
        <v>45777</v>
      </c>
      <c r="E7" s="1">
        <v>45777</v>
      </c>
      <c r="F7" s="1">
        <v>45780</v>
      </c>
      <c r="G7" s="1">
        <v>45778</v>
      </c>
      <c r="H7" s="1">
        <v>45779</v>
      </c>
      <c r="I7">
        <v>2050</v>
      </c>
      <c r="J7" t="s">
        <v>54</v>
      </c>
      <c r="K7" t="s">
        <v>31</v>
      </c>
      <c r="L7">
        <v>2528</v>
      </c>
      <c r="M7">
        <v>1264</v>
      </c>
      <c r="N7" t="s">
        <v>55</v>
      </c>
      <c r="O7">
        <v>1</v>
      </c>
      <c r="P7">
        <v>2528</v>
      </c>
      <c r="Q7" t="b">
        <v>1</v>
      </c>
      <c r="R7" t="b">
        <v>0</v>
      </c>
      <c r="S7" t="b">
        <v>0</v>
      </c>
      <c r="T7">
        <v>2095.1999999999998</v>
      </c>
      <c r="U7">
        <v>0</v>
      </c>
      <c r="V7" t="s">
        <v>33</v>
      </c>
      <c r="W7" t="s">
        <v>33</v>
      </c>
      <c r="X7">
        <v>50</v>
      </c>
      <c r="Y7">
        <v>98</v>
      </c>
      <c r="Z7" t="s">
        <v>38</v>
      </c>
      <c r="AA7">
        <v>98</v>
      </c>
      <c r="AB7" t="s">
        <v>56</v>
      </c>
      <c r="AC7" t="s">
        <v>60</v>
      </c>
      <c r="AD7" t="str">
        <f t="shared" si="0"/>
        <v>Cd Sahagún → Culiacan</v>
      </c>
      <c r="AE7" t="s">
        <v>1358</v>
      </c>
      <c r="AF7" s="4">
        <v>45748</v>
      </c>
      <c r="AG7" t="str">
        <f>YEAR(Table1[[#This Row],[Fecha]])&amp;" - " &amp;UPPER(TEXT(Table1[[#This Row],[Fecha]],"mm-mmm"))</f>
        <v>2025 - 04-ABR</v>
      </c>
      <c r="AH7" s="5">
        <v>20</v>
      </c>
    </row>
    <row r="8" spans="1:34" x14ac:dyDescent="0.25">
      <c r="A8" t="s">
        <v>65</v>
      </c>
      <c r="B8">
        <v>2025</v>
      </c>
      <c r="C8">
        <v>4</v>
      </c>
      <c r="D8" s="1">
        <v>45751</v>
      </c>
      <c r="E8" s="1">
        <v>45751</v>
      </c>
      <c r="F8" s="1">
        <v>45754</v>
      </c>
      <c r="G8" s="1">
        <v>45753</v>
      </c>
      <c r="H8" s="1">
        <v>45754</v>
      </c>
      <c r="I8">
        <v>2050</v>
      </c>
      <c r="J8" t="s">
        <v>54</v>
      </c>
      <c r="K8" t="s">
        <v>31</v>
      </c>
      <c r="L8">
        <v>1264</v>
      </c>
      <c r="M8">
        <v>1264</v>
      </c>
      <c r="N8" t="s">
        <v>55</v>
      </c>
      <c r="O8">
        <v>1</v>
      </c>
      <c r="P8">
        <v>1264</v>
      </c>
      <c r="Q8" t="b">
        <v>1</v>
      </c>
      <c r="R8" t="b">
        <v>0</v>
      </c>
      <c r="S8" t="b">
        <v>0</v>
      </c>
      <c r="T8">
        <v>2095</v>
      </c>
      <c r="U8">
        <v>0</v>
      </c>
      <c r="V8" t="s">
        <v>33</v>
      </c>
      <c r="W8" t="s">
        <v>66</v>
      </c>
      <c r="X8">
        <v>1300</v>
      </c>
      <c r="Y8">
        <v>98</v>
      </c>
      <c r="Z8" t="s">
        <v>67</v>
      </c>
      <c r="AA8">
        <v>98</v>
      </c>
      <c r="AB8" t="s">
        <v>56</v>
      </c>
      <c r="AC8" t="s">
        <v>60</v>
      </c>
      <c r="AD8" t="str">
        <f t="shared" si="0"/>
        <v>Cd Sahagún → Culiacan</v>
      </c>
      <c r="AE8" t="s">
        <v>1358</v>
      </c>
      <c r="AF8" s="4">
        <v>45748</v>
      </c>
      <c r="AG8" t="str">
        <f>YEAR(Table1[[#This Row],[Fecha]])&amp;" - " &amp;UPPER(TEXT(Table1[[#This Row],[Fecha]],"mm-mmm"))</f>
        <v>2025 - 04-ABR</v>
      </c>
      <c r="AH8" s="5">
        <v>20</v>
      </c>
    </row>
    <row r="9" spans="1:34" x14ac:dyDescent="0.25">
      <c r="A9" t="s">
        <v>327</v>
      </c>
      <c r="B9">
        <v>2025</v>
      </c>
      <c r="C9">
        <v>5</v>
      </c>
      <c r="D9" s="1">
        <v>45789</v>
      </c>
      <c r="E9" s="1">
        <v>45789</v>
      </c>
      <c r="F9" s="1">
        <v>45789</v>
      </c>
      <c r="G9" s="1">
        <v>45789</v>
      </c>
      <c r="H9" s="1">
        <v>45790</v>
      </c>
      <c r="I9">
        <v>2050</v>
      </c>
      <c r="J9" t="s">
        <v>54</v>
      </c>
      <c r="K9" t="s">
        <v>31</v>
      </c>
      <c r="L9">
        <v>961</v>
      </c>
      <c r="M9">
        <v>1059</v>
      </c>
      <c r="N9" t="s">
        <v>55</v>
      </c>
      <c r="O9">
        <v>1</v>
      </c>
      <c r="P9">
        <v>964</v>
      </c>
      <c r="Q9" t="b">
        <v>1</v>
      </c>
      <c r="R9" t="b">
        <v>0</v>
      </c>
      <c r="S9" t="b">
        <v>0</v>
      </c>
      <c r="T9">
        <v>1793</v>
      </c>
      <c r="U9">
        <v>0</v>
      </c>
      <c r="V9" t="s">
        <v>33</v>
      </c>
      <c r="W9" t="s">
        <v>33</v>
      </c>
      <c r="X9">
        <v>1100</v>
      </c>
      <c r="Y9">
        <v>8</v>
      </c>
      <c r="Z9" t="s">
        <v>106</v>
      </c>
      <c r="AA9">
        <v>8</v>
      </c>
      <c r="AB9" t="s">
        <v>121</v>
      </c>
      <c r="AC9" t="s">
        <v>56</v>
      </c>
      <c r="AD9" t="str">
        <f t="shared" si="0"/>
        <v>Escobedo → Cd Sahagún</v>
      </c>
      <c r="AE9" t="s">
        <v>1358</v>
      </c>
      <c r="AF9" s="4">
        <v>45778</v>
      </c>
      <c r="AG9" t="str">
        <f>YEAR(Table1[[#This Row],[Fecha]])&amp;" - " &amp;UPPER(TEXT(Table1[[#This Row],[Fecha]],"mm-mmm"))</f>
        <v>2025 - 05-MAY</v>
      </c>
      <c r="AH9" s="5">
        <v>20</v>
      </c>
    </row>
    <row r="10" spans="1:34" x14ac:dyDescent="0.25">
      <c r="A10" t="s">
        <v>231</v>
      </c>
      <c r="B10">
        <v>2025</v>
      </c>
      <c r="C10">
        <v>5</v>
      </c>
      <c r="D10" s="1">
        <v>45791</v>
      </c>
      <c r="E10" s="1">
        <v>45791</v>
      </c>
      <c r="F10" s="1">
        <v>45792</v>
      </c>
      <c r="G10" s="1">
        <v>45791</v>
      </c>
      <c r="H10" s="1">
        <v>45792</v>
      </c>
      <c r="I10">
        <v>2050</v>
      </c>
      <c r="J10" t="s">
        <v>54</v>
      </c>
      <c r="K10" t="s">
        <v>31</v>
      </c>
      <c r="L10">
        <v>961</v>
      </c>
      <c r="M10">
        <v>1059</v>
      </c>
      <c r="N10" t="s">
        <v>55</v>
      </c>
      <c r="O10">
        <v>1</v>
      </c>
      <c r="P10">
        <v>964</v>
      </c>
      <c r="Q10" t="b">
        <v>1</v>
      </c>
      <c r="R10" t="b">
        <v>0</v>
      </c>
      <c r="S10" t="b">
        <v>0</v>
      </c>
      <c r="T10">
        <v>1793</v>
      </c>
      <c r="U10">
        <v>0</v>
      </c>
      <c r="V10" t="s">
        <v>33</v>
      </c>
      <c r="W10" t="s">
        <v>33</v>
      </c>
      <c r="X10">
        <v>1100</v>
      </c>
      <c r="Y10">
        <v>229</v>
      </c>
      <c r="Z10" t="s">
        <v>74</v>
      </c>
      <c r="AA10">
        <v>229</v>
      </c>
      <c r="AB10" t="s">
        <v>121</v>
      </c>
      <c r="AC10" t="s">
        <v>121</v>
      </c>
      <c r="AD10" t="str">
        <f t="shared" si="0"/>
        <v>Escobedo → Escobedo</v>
      </c>
      <c r="AE10" t="s">
        <v>1358</v>
      </c>
      <c r="AF10" s="4">
        <v>45778</v>
      </c>
      <c r="AG10" t="str">
        <f>YEAR(Table1[[#This Row],[Fecha]])&amp;" - " &amp;UPPER(TEXT(Table1[[#This Row],[Fecha]],"mm-mmm"))</f>
        <v>2025 - 05-MAY</v>
      </c>
      <c r="AH10" s="5">
        <v>20</v>
      </c>
    </row>
    <row r="11" spans="1:34" x14ac:dyDescent="0.25">
      <c r="A11" t="s">
        <v>229</v>
      </c>
      <c r="B11">
        <v>2025</v>
      </c>
      <c r="C11">
        <v>5</v>
      </c>
      <c r="D11" s="1">
        <v>45804</v>
      </c>
      <c r="E11" s="1">
        <v>45804</v>
      </c>
      <c r="F11" s="1">
        <v>45804</v>
      </c>
      <c r="G11" s="1">
        <v>45804</v>
      </c>
      <c r="I11">
        <v>2050</v>
      </c>
      <c r="J11" t="s">
        <v>54</v>
      </c>
      <c r="K11" t="s">
        <v>31</v>
      </c>
      <c r="L11">
        <v>1052</v>
      </c>
      <c r="M11">
        <v>1076</v>
      </c>
      <c r="N11" t="s">
        <v>55</v>
      </c>
      <c r="O11">
        <v>1</v>
      </c>
      <c r="P11">
        <v>1076</v>
      </c>
      <c r="Q11" t="b">
        <v>1</v>
      </c>
      <c r="R11" t="b">
        <v>1</v>
      </c>
      <c r="S11" t="b">
        <v>0</v>
      </c>
      <c r="T11">
        <v>1793</v>
      </c>
      <c r="U11">
        <v>0</v>
      </c>
      <c r="V11" t="s">
        <v>33</v>
      </c>
      <c r="W11" t="s">
        <v>33</v>
      </c>
      <c r="X11">
        <v>1100</v>
      </c>
      <c r="Y11">
        <v>229</v>
      </c>
      <c r="Z11" t="s">
        <v>106</v>
      </c>
      <c r="AA11">
        <v>229</v>
      </c>
      <c r="AB11" t="s">
        <v>121</v>
      </c>
      <c r="AC11" t="s">
        <v>121</v>
      </c>
      <c r="AD11" t="str">
        <f t="shared" si="0"/>
        <v>Escobedo → Escobedo</v>
      </c>
      <c r="AE11" t="s">
        <v>1358</v>
      </c>
      <c r="AF11" s="4">
        <v>45778</v>
      </c>
      <c r="AG11" t="str">
        <f>YEAR(Table1[[#This Row],[Fecha]])&amp;" - " &amp;UPPER(TEXT(Table1[[#This Row],[Fecha]],"mm-mmm"))</f>
        <v>2025 - 05-MAY</v>
      </c>
      <c r="AH11" s="5">
        <v>20</v>
      </c>
    </row>
    <row r="12" spans="1:34" x14ac:dyDescent="0.25">
      <c r="A12" t="s">
        <v>380</v>
      </c>
      <c r="B12">
        <v>2025</v>
      </c>
      <c r="C12">
        <v>6</v>
      </c>
      <c r="D12" s="1">
        <v>45817</v>
      </c>
      <c r="E12" s="1">
        <v>45817</v>
      </c>
      <c r="F12" s="1">
        <v>45818</v>
      </c>
      <c r="G12" s="1">
        <v>45818</v>
      </c>
      <c r="H12" s="1">
        <v>45818</v>
      </c>
      <c r="I12">
        <v>2050</v>
      </c>
      <c r="J12" t="s">
        <v>54</v>
      </c>
      <c r="K12" t="s">
        <v>31</v>
      </c>
      <c r="L12">
        <v>736</v>
      </c>
      <c r="M12">
        <v>368</v>
      </c>
      <c r="N12" t="s">
        <v>55</v>
      </c>
      <c r="O12">
        <v>1</v>
      </c>
      <c r="P12">
        <v>397</v>
      </c>
      <c r="Q12" t="b">
        <v>1</v>
      </c>
      <c r="R12" t="b">
        <v>0</v>
      </c>
      <c r="S12" t="b">
        <v>0</v>
      </c>
      <c r="T12">
        <v>876</v>
      </c>
      <c r="U12">
        <v>0</v>
      </c>
      <c r="V12" t="s">
        <v>33</v>
      </c>
      <c r="W12" t="s">
        <v>33</v>
      </c>
      <c r="X12">
        <v>400</v>
      </c>
      <c r="Y12">
        <v>227</v>
      </c>
      <c r="Z12" t="s">
        <v>74</v>
      </c>
      <c r="AA12">
        <v>227</v>
      </c>
      <c r="AB12" t="s">
        <v>121</v>
      </c>
      <c r="AC12" t="s">
        <v>157</v>
      </c>
      <c r="AD12" t="str">
        <f t="shared" si="0"/>
        <v>Escobedo → Gomez Palacio</v>
      </c>
      <c r="AE12" t="s">
        <v>1358</v>
      </c>
      <c r="AF12" s="4">
        <v>45809</v>
      </c>
      <c r="AG12" t="str">
        <f>YEAR(Table1[[#This Row],[Fecha]])&amp;" - " &amp;UPPER(TEXT(Table1[[#This Row],[Fecha]],"mm-mmm"))</f>
        <v>2025 - 06-JUN</v>
      </c>
      <c r="AH12" s="5">
        <v>20</v>
      </c>
    </row>
    <row r="13" spans="1:34" x14ac:dyDescent="0.25">
      <c r="A13" t="s">
        <v>276</v>
      </c>
      <c r="B13">
        <v>2025</v>
      </c>
      <c r="C13">
        <v>6</v>
      </c>
      <c r="D13" s="1">
        <v>45811</v>
      </c>
      <c r="E13" s="1">
        <v>45811</v>
      </c>
      <c r="F13" s="1">
        <v>45812</v>
      </c>
      <c r="G13" s="1">
        <v>45811</v>
      </c>
      <c r="H13" s="1">
        <v>45812</v>
      </c>
      <c r="I13">
        <v>2039</v>
      </c>
      <c r="J13" t="s">
        <v>30</v>
      </c>
      <c r="K13" t="s">
        <v>31</v>
      </c>
      <c r="L13">
        <v>961</v>
      </c>
      <c r="M13">
        <v>1059</v>
      </c>
      <c r="N13" t="s">
        <v>32</v>
      </c>
      <c r="O13">
        <v>1</v>
      </c>
      <c r="P13">
        <v>964</v>
      </c>
      <c r="Q13" t="b">
        <v>1</v>
      </c>
      <c r="R13" t="b">
        <v>0</v>
      </c>
      <c r="S13" t="b">
        <v>0</v>
      </c>
      <c r="T13">
        <v>1793</v>
      </c>
      <c r="U13">
        <v>0</v>
      </c>
      <c r="V13" t="s">
        <v>33</v>
      </c>
      <c r="W13" t="s">
        <v>33</v>
      </c>
      <c r="X13">
        <v>1100</v>
      </c>
      <c r="Y13">
        <v>8</v>
      </c>
      <c r="Z13" t="s">
        <v>74</v>
      </c>
      <c r="AA13">
        <v>8</v>
      </c>
      <c r="AB13" t="s">
        <v>121</v>
      </c>
      <c r="AC13" t="s">
        <v>56</v>
      </c>
      <c r="AD13" t="str">
        <f t="shared" si="0"/>
        <v>Escobedo → Cd Sahagún</v>
      </c>
      <c r="AE13" t="s">
        <v>1357</v>
      </c>
      <c r="AF13" s="4">
        <v>45809</v>
      </c>
      <c r="AG13" t="str">
        <f>YEAR(Table1[[#This Row],[Fecha]])&amp;" - " &amp;UPPER(TEXT(Table1[[#This Row],[Fecha]],"mm-mmm"))</f>
        <v>2025 - 06-JUN</v>
      </c>
      <c r="AH13" s="5">
        <v>20</v>
      </c>
    </row>
    <row r="14" spans="1:34" x14ac:dyDescent="0.25">
      <c r="A14" t="s">
        <v>277</v>
      </c>
      <c r="B14">
        <v>2025</v>
      </c>
      <c r="C14">
        <v>6</v>
      </c>
      <c r="D14" s="1">
        <v>45829</v>
      </c>
      <c r="E14" s="1">
        <v>45829</v>
      </c>
      <c r="F14" s="1">
        <v>45831</v>
      </c>
      <c r="G14" s="1">
        <v>45830</v>
      </c>
      <c r="H14" s="1">
        <v>45830</v>
      </c>
      <c r="I14">
        <v>2050</v>
      </c>
      <c r="J14" t="s">
        <v>54</v>
      </c>
      <c r="K14" t="s">
        <v>31</v>
      </c>
      <c r="L14">
        <v>961</v>
      </c>
      <c r="M14">
        <v>1059</v>
      </c>
      <c r="N14" t="s">
        <v>55</v>
      </c>
      <c r="O14">
        <v>1</v>
      </c>
      <c r="P14">
        <v>964</v>
      </c>
      <c r="Q14" t="b">
        <v>1</v>
      </c>
      <c r="R14" t="b">
        <v>0</v>
      </c>
      <c r="S14" t="b">
        <v>0</v>
      </c>
      <c r="T14">
        <v>1793</v>
      </c>
      <c r="U14">
        <v>0</v>
      </c>
      <c r="V14" t="s">
        <v>33</v>
      </c>
      <c r="W14" t="s">
        <v>33</v>
      </c>
      <c r="X14">
        <v>1100</v>
      </c>
      <c r="Y14">
        <v>8</v>
      </c>
      <c r="Z14" t="s">
        <v>74</v>
      </c>
      <c r="AA14">
        <v>8</v>
      </c>
      <c r="AB14" t="s">
        <v>121</v>
      </c>
      <c r="AC14" t="s">
        <v>56</v>
      </c>
      <c r="AD14" t="str">
        <f t="shared" si="0"/>
        <v>Escobedo → Cd Sahagún</v>
      </c>
      <c r="AE14" t="s">
        <v>1358</v>
      </c>
      <c r="AF14" s="4">
        <v>45809</v>
      </c>
      <c r="AG14" t="str">
        <f>YEAR(Table1[[#This Row],[Fecha]])&amp;" - " &amp;UPPER(TEXT(Table1[[#This Row],[Fecha]],"mm-mmm"))</f>
        <v>2025 - 06-JUN</v>
      </c>
      <c r="AH14" s="5">
        <v>20</v>
      </c>
    </row>
    <row r="15" spans="1:34" x14ac:dyDescent="0.25">
      <c r="A15" t="s">
        <v>70</v>
      </c>
      <c r="B15">
        <v>2025</v>
      </c>
      <c r="C15">
        <v>6</v>
      </c>
      <c r="D15" s="1">
        <v>45835</v>
      </c>
      <c r="E15" s="1">
        <v>45739</v>
      </c>
      <c r="F15" s="1">
        <v>45838</v>
      </c>
      <c r="G15" s="1">
        <v>45837</v>
      </c>
      <c r="H15" s="1">
        <v>45838</v>
      </c>
      <c r="I15">
        <v>2244</v>
      </c>
      <c r="J15" t="s">
        <v>41</v>
      </c>
      <c r="K15" t="s">
        <v>42</v>
      </c>
      <c r="L15">
        <v>2528</v>
      </c>
      <c r="M15">
        <v>1264</v>
      </c>
      <c r="N15" t="s">
        <v>43</v>
      </c>
      <c r="O15">
        <v>1</v>
      </c>
      <c r="P15">
        <v>1264</v>
      </c>
      <c r="Q15" t="b">
        <v>1</v>
      </c>
      <c r="R15" t="b">
        <v>0</v>
      </c>
      <c r="S15" t="b">
        <v>0</v>
      </c>
      <c r="T15">
        <v>2095</v>
      </c>
      <c r="U15">
        <v>0</v>
      </c>
      <c r="V15" t="s">
        <v>33</v>
      </c>
      <c r="W15" t="s">
        <v>33</v>
      </c>
      <c r="X15">
        <v>1300</v>
      </c>
      <c r="Y15">
        <v>98</v>
      </c>
      <c r="Z15" t="s">
        <v>71</v>
      </c>
      <c r="AA15">
        <v>98</v>
      </c>
      <c r="AB15" t="s">
        <v>56</v>
      </c>
      <c r="AC15" t="s">
        <v>60</v>
      </c>
      <c r="AD15" t="str">
        <f t="shared" si="0"/>
        <v>Cd Sahagún → Culiacan</v>
      </c>
      <c r="AE15" t="s">
        <v>1359</v>
      </c>
      <c r="AF15" s="4">
        <v>45809</v>
      </c>
      <c r="AG15" t="str">
        <f>YEAR(Table1[[#This Row],[Fecha]])&amp;" - " &amp;UPPER(TEXT(Table1[[#This Row],[Fecha]],"mm-mmm"))</f>
        <v>2025 - 06-JUN</v>
      </c>
      <c r="AH15" s="5">
        <v>20</v>
      </c>
    </row>
    <row r="16" spans="1:34" x14ac:dyDescent="0.25">
      <c r="A16" t="s">
        <v>145</v>
      </c>
      <c r="B16">
        <v>2025</v>
      </c>
      <c r="C16">
        <v>6</v>
      </c>
      <c r="D16" s="1">
        <v>45818</v>
      </c>
      <c r="E16" s="1">
        <v>45818</v>
      </c>
      <c r="F16" s="1">
        <v>45820</v>
      </c>
      <c r="G16" s="1">
        <v>45819</v>
      </c>
      <c r="H16" s="1">
        <v>45820</v>
      </c>
      <c r="I16">
        <v>2050</v>
      </c>
      <c r="J16" t="s">
        <v>54</v>
      </c>
      <c r="K16" t="s">
        <v>31</v>
      </c>
      <c r="L16">
        <v>1264</v>
      </c>
      <c r="M16">
        <v>1264</v>
      </c>
      <c r="N16" t="s">
        <v>55</v>
      </c>
      <c r="O16">
        <v>1</v>
      </c>
      <c r="P16">
        <v>1264</v>
      </c>
      <c r="Q16" t="b">
        <v>1</v>
      </c>
      <c r="R16" t="b">
        <v>0</v>
      </c>
      <c r="S16" t="b">
        <v>0</v>
      </c>
      <c r="T16">
        <v>2095</v>
      </c>
      <c r="U16">
        <v>0</v>
      </c>
      <c r="V16" t="s">
        <v>33</v>
      </c>
      <c r="W16" t="s">
        <v>33</v>
      </c>
      <c r="X16">
        <v>1300</v>
      </c>
      <c r="Y16">
        <v>3</v>
      </c>
      <c r="Z16" t="s">
        <v>71</v>
      </c>
      <c r="AA16">
        <v>3</v>
      </c>
      <c r="AB16" t="s">
        <v>60</v>
      </c>
      <c r="AC16" t="s">
        <v>56</v>
      </c>
      <c r="AD16" t="str">
        <f t="shared" si="0"/>
        <v>Culiacan → Cd Sahagún</v>
      </c>
      <c r="AE16" t="s">
        <v>1358</v>
      </c>
      <c r="AF16" s="4">
        <v>45809</v>
      </c>
      <c r="AG16" t="str">
        <f>YEAR(Table1[[#This Row],[Fecha]])&amp;" - " &amp;UPPER(TEXT(Table1[[#This Row],[Fecha]],"mm-mmm"))</f>
        <v>2025 - 06-JUN</v>
      </c>
      <c r="AH16" s="5">
        <v>20</v>
      </c>
    </row>
    <row r="17" spans="1:34" x14ac:dyDescent="0.25">
      <c r="A17" t="s">
        <v>258</v>
      </c>
      <c r="B17">
        <v>2025</v>
      </c>
      <c r="C17">
        <v>7</v>
      </c>
      <c r="D17" s="1">
        <v>45847</v>
      </c>
      <c r="E17" s="1">
        <v>45847</v>
      </c>
      <c r="F17" s="1">
        <v>45847</v>
      </c>
      <c r="G17" s="1">
        <v>45847</v>
      </c>
      <c r="H17" s="2">
        <v>45847.929355983797</v>
      </c>
      <c r="I17">
        <v>2039</v>
      </c>
      <c r="J17" t="s">
        <v>30</v>
      </c>
      <c r="K17" t="s">
        <v>31</v>
      </c>
      <c r="L17">
        <v>86</v>
      </c>
      <c r="M17">
        <v>150</v>
      </c>
      <c r="N17" t="s">
        <v>32</v>
      </c>
      <c r="O17">
        <v>1</v>
      </c>
      <c r="P17">
        <v>88</v>
      </c>
      <c r="Q17" t="b">
        <v>1</v>
      </c>
      <c r="R17" t="b">
        <v>0</v>
      </c>
      <c r="S17" t="b">
        <v>0</v>
      </c>
      <c r="T17">
        <v>643</v>
      </c>
      <c r="U17">
        <v>0</v>
      </c>
      <c r="V17" t="s">
        <v>33</v>
      </c>
      <c r="W17" t="s">
        <v>33</v>
      </c>
      <c r="X17">
        <v>200</v>
      </c>
      <c r="Y17">
        <v>1766</v>
      </c>
      <c r="Z17" t="s">
        <v>34</v>
      </c>
      <c r="AA17">
        <v>1766</v>
      </c>
      <c r="AB17" t="s">
        <v>121</v>
      </c>
      <c r="AC17" t="s">
        <v>253</v>
      </c>
      <c r="AD17" t="str">
        <f t="shared" si="0"/>
        <v>Escobedo → Allende</v>
      </c>
      <c r="AE17" t="s">
        <v>1357</v>
      </c>
      <c r="AF17" s="4">
        <v>45839</v>
      </c>
      <c r="AG17" t="str">
        <f>YEAR(Table1[[#This Row],[Fecha]])&amp;" - " &amp;UPPER(TEXT(Table1[[#This Row],[Fecha]],"mm-mmm"))</f>
        <v>2025 - 07-JUL</v>
      </c>
      <c r="AH17" s="5">
        <v>20</v>
      </c>
    </row>
    <row r="18" spans="1:34" x14ac:dyDescent="0.25">
      <c r="A18" t="s">
        <v>259</v>
      </c>
      <c r="B18">
        <v>2025</v>
      </c>
      <c r="C18">
        <v>7</v>
      </c>
      <c r="D18" s="1">
        <v>45853</v>
      </c>
      <c r="E18" s="1">
        <v>45853</v>
      </c>
      <c r="F18" s="1">
        <v>45853</v>
      </c>
      <c r="G18" s="1">
        <v>45853</v>
      </c>
      <c r="H18" s="2">
        <v>45853.762512118054</v>
      </c>
      <c r="I18">
        <v>2039</v>
      </c>
      <c r="J18" t="s">
        <v>30</v>
      </c>
      <c r="K18" t="s">
        <v>31</v>
      </c>
      <c r="L18">
        <v>86</v>
      </c>
      <c r="M18">
        <v>150</v>
      </c>
      <c r="N18" t="s">
        <v>32</v>
      </c>
      <c r="O18">
        <v>1</v>
      </c>
      <c r="P18">
        <v>88</v>
      </c>
      <c r="Q18" t="b">
        <v>1</v>
      </c>
      <c r="R18" t="b">
        <v>0</v>
      </c>
      <c r="S18" t="b">
        <v>0</v>
      </c>
      <c r="T18">
        <v>643</v>
      </c>
      <c r="U18">
        <v>0</v>
      </c>
      <c r="V18" t="s">
        <v>33</v>
      </c>
      <c r="W18" t="s">
        <v>33</v>
      </c>
      <c r="X18">
        <v>200</v>
      </c>
      <c r="Y18">
        <v>1766</v>
      </c>
      <c r="Z18" t="s">
        <v>74</v>
      </c>
      <c r="AA18">
        <v>1766</v>
      </c>
      <c r="AB18" t="s">
        <v>121</v>
      </c>
      <c r="AC18" t="s">
        <v>253</v>
      </c>
      <c r="AD18" t="str">
        <f t="shared" si="0"/>
        <v>Escobedo → Allende</v>
      </c>
      <c r="AE18" t="s">
        <v>1357</v>
      </c>
      <c r="AF18" s="4">
        <v>45839</v>
      </c>
      <c r="AG18" t="str">
        <f>YEAR(Table1[[#This Row],[Fecha]])&amp;" - " &amp;UPPER(TEXT(Table1[[#This Row],[Fecha]],"mm-mmm"))</f>
        <v>2025 - 07-JUL</v>
      </c>
      <c r="AH18" s="5">
        <v>20</v>
      </c>
    </row>
    <row r="19" spans="1:34" x14ac:dyDescent="0.25">
      <c r="A19" t="s">
        <v>257</v>
      </c>
      <c r="B19">
        <v>2025</v>
      </c>
      <c r="C19">
        <v>7</v>
      </c>
      <c r="D19" s="1">
        <v>45855</v>
      </c>
      <c r="E19" s="1">
        <v>45855</v>
      </c>
      <c r="F19" s="1">
        <v>45855</v>
      </c>
      <c r="G19" s="1">
        <v>45855</v>
      </c>
      <c r="H19" s="2">
        <v>45855.777811574073</v>
      </c>
      <c r="I19">
        <v>2039</v>
      </c>
      <c r="J19" t="s">
        <v>30</v>
      </c>
      <c r="K19" t="s">
        <v>31</v>
      </c>
      <c r="L19">
        <v>86</v>
      </c>
      <c r="M19">
        <v>150</v>
      </c>
      <c r="N19" t="s">
        <v>32</v>
      </c>
      <c r="O19">
        <v>1</v>
      </c>
      <c r="P19">
        <v>88</v>
      </c>
      <c r="Q19" t="b">
        <v>1</v>
      </c>
      <c r="R19" t="b">
        <v>0</v>
      </c>
      <c r="S19" t="b">
        <v>0</v>
      </c>
      <c r="T19">
        <v>643</v>
      </c>
      <c r="U19">
        <v>0</v>
      </c>
      <c r="V19" t="s">
        <v>33</v>
      </c>
      <c r="W19" t="s">
        <v>33</v>
      </c>
      <c r="X19">
        <v>200</v>
      </c>
      <c r="Y19">
        <v>1766</v>
      </c>
      <c r="Z19" t="s">
        <v>123</v>
      </c>
      <c r="AA19">
        <v>1766</v>
      </c>
      <c r="AB19" t="s">
        <v>121</v>
      </c>
      <c r="AC19" t="s">
        <v>253</v>
      </c>
      <c r="AD19" t="str">
        <f t="shared" si="0"/>
        <v>Escobedo → Allende</v>
      </c>
      <c r="AE19" t="s">
        <v>1357</v>
      </c>
      <c r="AF19" s="4">
        <v>45839</v>
      </c>
      <c r="AG19" t="str">
        <f>YEAR(Table1[[#This Row],[Fecha]])&amp;" - " &amp;UPPER(TEXT(Table1[[#This Row],[Fecha]],"mm-mmm"))</f>
        <v>2025 - 07-JUL</v>
      </c>
      <c r="AH19" s="5">
        <v>20</v>
      </c>
    </row>
    <row r="20" spans="1:34" x14ac:dyDescent="0.25">
      <c r="A20" t="s">
        <v>396</v>
      </c>
      <c r="B20">
        <v>2025</v>
      </c>
      <c r="C20">
        <v>7</v>
      </c>
      <c r="D20" s="1">
        <v>45860</v>
      </c>
      <c r="E20" s="1">
        <v>45860</v>
      </c>
      <c r="F20" s="1">
        <v>45856</v>
      </c>
      <c r="G20" s="1">
        <v>45856</v>
      </c>
      <c r="H20" s="2">
        <v>45860.579959918985</v>
      </c>
      <c r="I20">
        <v>2039</v>
      </c>
      <c r="J20" t="s">
        <v>30</v>
      </c>
      <c r="K20" t="s">
        <v>31</v>
      </c>
      <c r="L20">
        <v>50</v>
      </c>
      <c r="M20">
        <v>50</v>
      </c>
      <c r="N20" t="s">
        <v>32</v>
      </c>
      <c r="O20">
        <v>1</v>
      </c>
      <c r="P20">
        <v>150</v>
      </c>
      <c r="Q20" t="b">
        <v>1</v>
      </c>
      <c r="R20" t="b">
        <v>0</v>
      </c>
      <c r="S20" t="b">
        <v>0</v>
      </c>
      <c r="T20">
        <v>277</v>
      </c>
      <c r="U20">
        <v>0</v>
      </c>
      <c r="V20" t="s">
        <v>33</v>
      </c>
      <c r="W20" t="s">
        <v>33</v>
      </c>
      <c r="X20">
        <v>50</v>
      </c>
      <c r="Y20">
        <v>461</v>
      </c>
      <c r="Z20" t="s">
        <v>123</v>
      </c>
      <c r="AA20">
        <v>461</v>
      </c>
      <c r="AB20" t="s">
        <v>121</v>
      </c>
      <c r="AC20" t="s">
        <v>35</v>
      </c>
      <c r="AD20" t="str">
        <f t="shared" si="0"/>
        <v>Escobedo → Monterrey</v>
      </c>
      <c r="AE20" t="s">
        <v>1357</v>
      </c>
      <c r="AF20" s="4">
        <v>45839</v>
      </c>
      <c r="AG20" t="str">
        <f>YEAR(Table1[[#This Row],[Fecha]])&amp;" - " &amp;UPPER(TEXT(Table1[[#This Row],[Fecha]],"mm-mmm"))</f>
        <v>2025 - 07-JUL</v>
      </c>
      <c r="AH20" s="5">
        <v>20</v>
      </c>
    </row>
    <row r="21" spans="1:34" x14ac:dyDescent="0.25">
      <c r="A21" t="s">
        <v>683</v>
      </c>
      <c r="B21">
        <v>2025</v>
      </c>
      <c r="C21">
        <v>7</v>
      </c>
      <c r="D21" s="1">
        <v>45845</v>
      </c>
      <c r="E21" s="1">
        <v>45845</v>
      </c>
      <c r="F21" s="1">
        <v>45845</v>
      </c>
      <c r="G21" s="1">
        <v>45845</v>
      </c>
      <c r="H21" s="1">
        <v>45845</v>
      </c>
      <c r="I21">
        <v>2039</v>
      </c>
      <c r="J21" t="s">
        <v>30</v>
      </c>
      <c r="K21" t="s">
        <v>31</v>
      </c>
      <c r="L21">
        <v>243</v>
      </c>
      <c r="M21">
        <v>243</v>
      </c>
      <c r="N21" t="s">
        <v>32</v>
      </c>
      <c r="O21">
        <v>1</v>
      </c>
      <c r="P21">
        <v>269</v>
      </c>
      <c r="Q21" t="b">
        <v>1</v>
      </c>
      <c r="R21" t="b">
        <v>0</v>
      </c>
      <c r="S21" t="b">
        <v>0</v>
      </c>
      <c r="T21">
        <v>749</v>
      </c>
      <c r="U21">
        <v>0</v>
      </c>
      <c r="V21" t="s">
        <v>33</v>
      </c>
      <c r="W21" t="s">
        <v>33</v>
      </c>
      <c r="X21">
        <v>300</v>
      </c>
      <c r="Y21">
        <v>3875</v>
      </c>
      <c r="Z21" t="s">
        <v>106</v>
      </c>
      <c r="AA21">
        <v>3875</v>
      </c>
      <c r="AB21" t="s">
        <v>121</v>
      </c>
      <c r="AC21" t="s">
        <v>681</v>
      </c>
      <c r="AD21" t="str">
        <f t="shared" si="0"/>
        <v>Escobedo → Anáhuac</v>
      </c>
      <c r="AE21" t="s">
        <v>1357</v>
      </c>
      <c r="AF21" s="4">
        <v>45839</v>
      </c>
      <c r="AG21" t="str">
        <f>YEAR(Table1[[#This Row],[Fecha]])&amp;" - " &amp;UPPER(TEXT(Table1[[#This Row],[Fecha]],"mm-mmm"))</f>
        <v>2025 - 07-JUL</v>
      </c>
      <c r="AH21" s="5">
        <v>20</v>
      </c>
    </row>
    <row r="22" spans="1:34" x14ac:dyDescent="0.25">
      <c r="A22" t="s">
        <v>90</v>
      </c>
      <c r="B22">
        <v>2025</v>
      </c>
      <c r="C22">
        <v>7</v>
      </c>
      <c r="D22" s="1">
        <v>45849</v>
      </c>
      <c r="E22" s="1">
        <v>45849</v>
      </c>
      <c r="F22" s="1">
        <v>45850</v>
      </c>
      <c r="G22" s="1">
        <v>45849</v>
      </c>
      <c r="H22" s="1">
        <v>45850</v>
      </c>
      <c r="I22">
        <v>2244</v>
      </c>
      <c r="J22" t="s">
        <v>41</v>
      </c>
      <c r="K22" t="s">
        <v>42</v>
      </c>
      <c r="L22">
        <v>640</v>
      </c>
      <c r="M22">
        <v>0</v>
      </c>
      <c r="N22" t="s">
        <v>43</v>
      </c>
      <c r="O22">
        <v>1</v>
      </c>
      <c r="P22">
        <v>640</v>
      </c>
      <c r="Q22" t="b">
        <v>1</v>
      </c>
      <c r="R22" t="b">
        <v>0</v>
      </c>
      <c r="S22" t="b">
        <v>0</v>
      </c>
      <c r="T22">
        <v>0</v>
      </c>
      <c r="U22">
        <v>0</v>
      </c>
      <c r="V22" t="s">
        <v>33</v>
      </c>
      <c r="W22" t="s">
        <v>33</v>
      </c>
      <c r="X22">
        <v>0</v>
      </c>
      <c r="Y22">
        <v>4793</v>
      </c>
      <c r="Z22" t="s">
        <v>38</v>
      </c>
      <c r="AA22">
        <v>4793</v>
      </c>
      <c r="AB22" t="s">
        <v>56</v>
      </c>
      <c r="AC22" t="s">
        <v>91</v>
      </c>
      <c r="AD22" t="str">
        <f t="shared" si="0"/>
        <v>Cd Sahagún → Guerrero</v>
      </c>
      <c r="AE22" t="s">
        <v>1359</v>
      </c>
      <c r="AF22" s="4">
        <v>45839</v>
      </c>
      <c r="AG22" t="str">
        <f>YEAR(Table1[[#This Row],[Fecha]])&amp;" - " &amp;UPPER(TEXT(Table1[[#This Row],[Fecha]],"mm-mmm"))</f>
        <v>2025 - 07-JUL</v>
      </c>
      <c r="AH22" s="5">
        <v>20</v>
      </c>
    </row>
    <row r="23" spans="1:34" x14ac:dyDescent="0.25">
      <c r="A23" t="s">
        <v>245</v>
      </c>
      <c r="B23">
        <v>2025</v>
      </c>
      <c r="C23">
        <v>7</v>
      </c>
      <c r="D23" s="1">
        <v>45852</v>
      </c>
      <c r="E23" s="1">
        <v>45852</v>
      </c>
      <c r="F23" s="1">
        <v>45853</v>
      </c>
      <c r="G23" s="1">
        <v>45853</v>
      </c>
      <c r="H23" s="1">
        <v>45854</v>
      </c>
      <c r="I23">
        <v>2050</v>
      </c>
      <c r="J23" t="s">
        <v>54</v>
      </c>
      <c r="K23" t="s">
        <v>31</v>
      </c>
      <c r="L23">
        <v>92</v>
      </c>
      <c r="M23">
        <v>92</v>
      </c>
      <c r="N23" t="s">
        <v>55</v>
      </c>
      <c r="O23">
        <v>1</v>
      </c>
      <c r="P23">
        <v>95</v>
      </c>
      <c r="Q23" t="b">
        <v>1</v>
      </c>
      <c r="R23" t="b">
        <v>0</v>
      </c>
      <c r="S23" t="b">
        <v>0</v>
      </c>
      <c r="T23">
        <v>427</v>
      </c>
      <c r="U23">
        <v>0</v>
      </c>
      <c r="V23" t="s">
        <v>33</v>
      </c>
      <c r="W23" t="s">
        <v>246</v>
      </c>
      <c r="X23">
        <v>100</v>
      </c>
      <c r="Y23">
        <v>238</v>
      </c>
      <c r="Z23" t="s">
        <v>71</v>
      </c>
      <c r="AA23">
        <v>238</v>
      </c>
      <c r="AB23" t="s">
        <v>121</v>
      </c>
      <c r="AC23" t="s">
        <v>243</v>
      </c>
      <c r="AD23" t="str">
        <f t="shared" si="0"/>
        <v>Escobedo → Matehuala</v>
      </c>
      <c r="AE23" t="s">
        <v>1358</v>
      </c>
      <c r="AF23" s="4">
        <v>45839</v>
      </c>
      <c r="AG23" t="str">
        <f>YEAR(Table1[[#This Row],[Fecha]])&amp;" - " &amp;UPPER(TEXT(Table1[[#This Row],[Fecha]],"mm-mmm"))</f>
        <v>2025 - 07-JUL</v>
      </c>
      <c r="AH23" s="5">
        <v>20</v>
      </c>
    </row>
    <row r="24" spans="1:34" x14ac:dyDescent="0.25">
      <c r="A24" t="s">
        <v>247</v>
      </c>
      <c r="B24">
        <v>2025</v>
      </c>
      <c r="C24">
        <v>7</v>
      </c>
      <c r="D24" s="1">
        <v>45852</v>
      </c>
      <c r="E24" s="1">
        <v>45852</v>
      </c>
      <c r="F24" s="1">
        <v>45853</v>
      </c>
      <c r="G24" s="1">
        <v>45853</v>
      </c>
      <c r="H24" s="2">
        <v>45855.861952858795</v>
      </c>
      <c r="I24">
        <v>2244</v>
      </c>
      <c r="J24" t="s">
        <v>41</v>
      </c>
      <c r="K24" t="s">
        <v>42</v>
      </c>
      <c r="L24">
        <v>100</v>
      </c>
      <c r="M24">
        <v>71</v>
      </c>
      <c r="N24" t="s">
        <v>43</v>
      </c>
      <c r="O24">
        <v>1</v>
      </c>
      <c r="P24">
        <v>71</v>
      </c>
      <c r="Q24" t="b">
        <v>1</v>
      </c>
      <c r="R24" t="b">
        <v>0</v>
      </c>
      <c r="S24" t="b">
        <v>0</v>
      </c>
      <c r="T24">
        <v>427</v>
      </c>
      <c r="U24">
        <v>0</v>
      </c>
      <c r="V24" t="s">
        <v>33</v>
      </c>
      <c r="W24" t="s">
        <v>248</v>
      </c>
      <c r="X24">
        <v>100</v>
      </c>
      <c r="Y24">
        <v>238</v>
      </c>
      <c r="Z24" t="s">
        <v>71</v>
      </c>
      <c r="AA24">
        <v>238</v>
      </c>
      <c r="AB24" t="s">
        <v>121</v>
      </c>
      <c r="AC24" t="s">
        <v>243</v>
      </c>
      <c r="AD24" t="str">
        <f t="shared" si="0"/>
        <v>Escobedo → Matehuala</v>
      </c>
      <c r="AE24" t="s">
        <v>1359</v>
      </c>
      <c r="AF24" s="4">
        <v>45839</v>
      </c>
      <c r="AG24" t="str">
        <f>YEAR(Table1[[#This Row],[Fecha]])&amp;" - " &amp;UPPER(TEXT(Table1[[#This Row],[Fecha]],"mm-mmm"))</f>
        <v>2025 - 07-JUL</v>
      </c>
      <c r="AH24" s="5">
        <v>20</v>
      </c>
    </row>
    <row r="25" spans="1:34" x14ac:dyDescent="0.25">
      <c r="A25" t="s">
        <v>249</v>
      </c>
      <c r="B25">
        <v>2025</v>
      </c>
      <c r="C25">
        <v>7</v>
      </c>
      <c r="D25" s="1">
        <v>45852</v>
      </c>
      <c r="E25" s="1">
        <v>45852</v>
      </c>
      <c r="F25" s="1">
        <v>45853</v>
      </c>
      <c r="G25" s="1">
        <v>45853</v>
      </c>
      <c r="H25" s="2">
        <v>45855.382424571762</v>
      </c>
      <c r="I25">
        <v>2244</v>
      </c>
      <c r="J25" t="s">
        <v>41</v>
      </c>
      <c r="K25" t="s">
        <v>42</v>
      </c>
      <c r="L25">
        <v>598</v>
      </c>
      <c r="M25">
        <v>0</v>
      </c>
      <c r="N25" t="s">
        <v>43</v>
      </c>
      <c r="O25">
        <v>1</v>
      </c>
      <c r="P25">
        <v>590</v>
      </c>
      <c r="Q25" t="b">
        <v>1</v>
      </c>
      <c r="R25" t="b">
        <v>0</v>
      </c>
      <c r="S25" t="b">
        <v>0</v>
      </c>
      <c r="T25">
        <v>0</v>
      </c>
      <c r="U25">
        <v>0</v>
      </c>
      <c r="V25" t="s">
        <v>33</v>
      </c>
      <c r="W25" t="s">
        <v>33</v>
      </c>
      <c r="X25">
        <v>0</v>
      </c>
      <c r="Y25">
        <v>238</v>
      </c>
      <c r="Z25" t="s">
        <v>71</v>
      </c>
      <c r="AA25">
        <v>238</v>
      </c>
      <c r="AB25" t="s">
        <v>121</v>
      </c>
      <c r="AC25" t="s">
        <v>243</v>
      </c>
      <c r="AD25" t="str">
        <f t="shared" si="0"/>
        <v>Escobedo → Matehuala</v>
      </c>
      <c r="AE25" t="s">
        <v>1359</v>
      </c>
      <c r="AF25" s="4">
        <v>45839</v>
      </c>
      <c r="AG25" t="str">
        <f>YEAR(Table1[[#This Row],[Fecha]])&amp;" - " &amp;UPPER(TEXT(Table1[[#This Row],[Fecha]],"mm-mmm"))</f>
        <v>2025 - 07-JUL</v>
      </c>
      <c r="AH25" s="5">
        <v>20</v>
      </c>
    </row>
    <row r="26" spans="1:34" x14ac:dyDescent="0.25">
      <c r="A26" t="s">
        <v>1352</v>
      </c>
      <c r="B26">
        <v>2025</v>
      </c>
      <c r="C26">
        <v>7</v>
      </c>
      <c r="D26" s="1">
        <v>45852</v>
      </c>
      <c r="E26" s="1">
        <v>45852</v>
      </c>
      <c r="F26" s="1">
        <v>45853</v>
      </c>
      <c r="G26" s="1">
        <v>45853</v>
      </c>
      <c r="H26" s="1">
        <v>45855</v>
      </c>
      <c r="I26">
        <v>2244</v>
      </c>
      <c r="J26" t="s">
        <v>54</v>
      </c>
      <c r="K26" t="s">
        <v>42</v>
      </c>
      <c r="L26">
        <v>640</v>
      </c>
      <c r="M26">
        <v>640</v>
      </c>
      <c r="N26" t="s">
        <v>43</v>
      </c>
      <c r="O26">
        <v>1</v>
      </c>
      <c r="P26">
        <v>640</v>
      </c>
      <c r="Q26" t="b">
        <v>1</v>
      </c>
      <c r="R26" t="b">
        <v>0</v>
      </c>
      <c r="S26" t="b">
        <v>0</v>
      </c>
      <c r="T26">
        <v>1216</v>
      </c>
      <c r="U26">
        <v>0</v>
      </c>
      <c r="V26" t="s">
        <v>33</v>
      </c>
      <c r="W26" t="s">
        <v>33</v>
      </c>
      <c r="X26">
        <v>700</v>
      </c>
      <c r="Y26">
        <v>4807</v>
      </c>
      <c r="Z26" t="s">
        <v>71</v>
      </c>
      <c r="AA26">
        <v>4807</v>
      </c>
      <c r="AB26" t="s">
        <v>91</v>
      </c>
      <c r="AC26" t="s">
        <v>1353</v>
      </c>
      <c r="AD26" t="str">
        <f t="shared" si="0"/>
        <v>Guerrero → Campeche</v>
      </c>
      <c r="AE26" t="s">
        <v>1358</v>
      </c>
      <c r="AF26" s="4">
        <v>45839</v>
      </c>
      <c r="AG26" t="str">
        <f>YEAR(Table1[[#This Row],[Fecha]])&amp;" - " &amp;UPPER(TEXT(Table1[[#This Row],[Fecha]],"mm-mmm"))</f>
        <v>2025 - 07-JUL</v>
      </c>
      <c r="AH26" s="5">
        <v>20</v>
      </c>
    </row>
    <row r="27" spans="1:34" x14ac:dyDescent="0.25">
      <c r="A27" t="s">
        <v>147</v>
      </c>
      <c r="B27">
        <v>2025</v>
      </c>
      <c r="C27">
        <v>7</v>
      </c>
      <c r="D27" s="1">
        <v>45852</v>
      </c>
      <c r="E27" s="1">
        <v>45852</v>
      </c>
      <c r="F27" s="1">
        <v>45853</v>
      </c>
      <c r="G27" s="1">
        <v>45853</v>
      </c>
      <c r="H27" s="2">
        <v>45882.762678738429</v>
      </c>
      <c r="I27">
        <v>2050</v>
      </c>
      <c r="J27" t="s">
        <v>54</v>
      </c>
      <c r="K27" t="s">
        <v>31</v>
      </c>
      <c r="L27">
        <v>626</v>
      </c>
      <c r="M27">
        <v>0</v>
      </c>
      <c r="N27" t="s">
        <v>55</v>
      </c>
      <c r="O27">
        <v>1</v>
      </c>
      <c r="P27">
        <v>617</v>
      </c>
      <c r="Q27" t="b">
        <v>1</v>
      </c>
      <c r="R27" t="b">
        <v>0</v>
      </c>
      <c r="S27" t="b">
        <v>0</v>
      </c>
      <c r="T27">
        <v>0</v>
      </c>
      <c r="U27">
        <v>0</v>
      </c>
      <c r="V27" t="s">
        <v>33</v>
      </c>
      <c r="W27" t="s">
        <v>33</v>
      </c>
      <c r="X27">
        <v>0</v>
      </c>
      <c r="Y27">
        <v>3</v>
      </c>
      <c r="Z27" t="s">
        <v>71</v>
      </c>
      <c r="AA27">
        <v>3</v>
      </c>
      <c r="AB27" t="s">
        <v>60</v>
      </c>
      <c r="AC27" t="s">
        <v>56</v>
      </c>
      <c r="AD27" t="str">
        <f t="shared" si="0"/>
        <v>Culiacan → Cd Sahagún</v>
      </c>
      <c r="AE27" t="s">
        <v>1358</v>
      </c>
      <c r="AF27" s="4">
        <v>45839</v>
      </c>
      <c r="AG27" t="str">
        <f>YEAR(Table1[[#This Row],[Fecha]])&amp;" - " &amp;UPPER(TEXT(Table1[[#This Row],[Fecha]],"mm-mmm"))</f>
        <v>2025 - 07-JUL</v>
      </c>
      <c r="AH27" s="5">
        <v>20</v>
      </c>
    </row>
    <row r="28" spans="1:34" x14ac:dyDescent="0.25">
      <c r="A28" t="s">
        <v>244</v>
      </c>
      <c r="B28">
        <v>2025</v>
      </c>
      <c r="C28">
        <v>7</v>
      </c>
      <c r="D28" s="1">
        <v>45852</v>
      </c>
      <c r="E28" s="1">
        <v>45852</v>
      </c>
      <c r="F28" s="1">
        <v>45854</v>
      </c>
      <c r="G28" s="1">
        <v>45854</v>
      </c>
      <c r="H28" s="1">
        <v>45855</v>
      </c>
      <c r="I28">
        <v>2050</v>
      </c>
      <c r="J28" t="s">
        <v>54</v>
      </c>
      <c r="K28" t="s">
        <v>31</v>
      </c>
      <c r="L28">
        <v>640</v>
      </c>
      <c r="M28">
        <v>640</v>
      </c>
      <c r="N28" t="s">
        <v>55</v>
      </c>
      <c r="O28">
        <v>1</v>
      </c>
      <c r="P28">
        <v>640</v>
      </c>
      <c r="Q28" t="b">
        <v>1</v>
      </c>
      <c r="R28" t="b">
        <v>0</v>
      </c>
      <c r="S28" t="b">
        <v>0</v>
      </c>
      <c r="T28">
        <v>1216</v>
      </c>
      <c r="U28">
        <v>0</v>
      </c>
      <c r="V28" t="s">
        <v>33</v>
      </c>
      <c r="W28" t="s">
        <v>33</v>
      </c>
      <c r="X28">
        <v>700</v>
      </c>
      <c r="Y28">
        <v>238</v>
      </c>
      <c r="Z28" t="s">
        <v>71</v>
      </c>
      <c r="AA28">
        <v>238</v>
      </c>
      <c r="AB28" t="s">
        <v>121</v>
      </c>
      <c r="AC28" t="s">
        <v>243</v>
      </c>
      <c r="AD28" t="str">
        <f t="shared" si="0"/>
        <v>Escobedo → Matehuala</v>
      </c>
      <c r="AE28" t="s">
        <v>1358</v>
      </c>
      <c r="AF28" s="4">
        <v>45839</v>
      </c>
      <c r="AG28" t="str">
        <f>YEAR(Table1[[#This Row],[Fecha]])&amp;" - " &amp;UPPER(TEXT(Table1[[#This Row],[Fecha]],"mm-mmm"))</f>
        <v>2025 - 07-JUL</v>
      </c>
      <c r="AH28" s="5">
        <v>20</v>
      </c>
    </row>
    <row r="29" spans="1:34" x14ac:dyDescent="0.25">
      <c r="A29" t="s">
        <v>72</v>
      </c>
      <c r="B29">
        <v>2025</v>
      </c>
      <c r="C29">
        <v>7</v>
      </c>
      <c r="D29" s="1">
        <v>45839</v>
      </c>
      <c r="E29" s="1">
        <v>45839</v>
      </c>
      <c r="F29" s="1">
        <v>45841</v>
      </c>
      <c r="G29" s="1">
        <v>45840</v>
      </c>
      <c r="H29" s="1">
        <v>45842</v>
      </c>
      <c r="I29">
        <v>2050</v>
      </c>
      <c r="J29" t="s">
        <v>54</v>
      </c>
      <c r="K29" t="s">
        <v>31</v>
      </c>
      <c r="L29">
        <v>1961</v>
      </c>
      <c r="M29">
        <v>697</v>
      </c>
      <c r="N29" t="s">
        <v>55</v>
      </c>
      <c r="O29">
        <v>1</v>
      </c>
      <c r="P29">
        <v>1264</v>
      </c>
      <c r="Q29" t="b">
        <v>1</v>
      </c>
      <c r="R29" t="b">
        <v>0</v>
      </c>
      <c r="S29" t="b">
        <v>0</v>
      </c>
      <c r="T29">
        <v>1216</v>
      </c>
      <c r="U29">
        <v>0</v>
      </c>
      <c r="V29" t="s">
        <v>33</v>
      </c>
      <c r="W29" t="s">
        <v>33</v>
      </c>
      <c r="X29">
        <v>700</v>
      </c>
      <c r="Y29">
        <v>98</v>
      </c>
      <c r="Z29" t="s">
        <v>71</v>
      </c>
      <c r="AA29">
        <v>98</v>
      </c>
      <c r="AB29" t="s">
        <v>56</v>
      </c>
      <c r="AC29" t="s">
        <v>60</v>
      </c>
      <c r="AD29" t="str">
        <f t="shared" si="0"/>
        <v>Cd Sahagún → Culiacan</v>
      </c>
      <c r="AE29" t="s">
        <v>1358</v>
      </c>
      <c r="AF29" s="4">
        <v>45839</v>
      </c>
      <c r="AG29" t="str">
        <f>YEAR(Table1[[#This Row],[Fecha]])&amp;" - " &amp;UPPER(TEXT(Table1[[#This Row],[Fecha]],"mm-mmm"))</f>
        <v>2025 - 07-JUL</v>
      </c>
      <c r="AH29" s="5">
        <v>20</v>
      </c>
    </row>
    <row r="30" spans="1:34" x14ac:dyDescent="0.25">
      <c r="A30" t="s">
        <v>241</v>
      </c>
      <c r="B30">
        <v>2025</v>
      </c>
      <c r="C30">
        <v>7</v>
      </c>
      <c r="D30" s="1">
        <v>45864</v>
      </c>
      <c r="E30" s="1">
        <v>45864</v>
      </c>
      <c r="F30" s="1">
        <v>45865</v>
      </c>
      <c r="G30" s="1">
        <v>45865</v>
      </c>
      <c r="H30" s="1">
        <v>45866</v>
      </c>
      <c r="I30">
        <v>2244</v>
      </c>
      <c r="J30" t="s">
        <v>41</v>
      </c>
      <c r="K30" t="s">
        <v>42</v>
      </c>
      <c r="L30">
        <v>961</v>
      </c>
      <c r="M30">
        <v>0</v>
      </c>
      <c r="N30" t="s">
        <v>43</v>
      </c>
      <c r="O30">
        <v>1</v>
      </c>
      <c r="P30">
        <v>964</v>
      </c>
      <c r="Q30" t="b">
        <v>1</v>
      </c>
      <c r="R30" t="b">
        <v>0</v>
      </c>
      <c r="S30" t="b">
        <v>0</v>
      </c>
      <c r="T30">
        <v>0</v>
      </c>
      <c r="U30">
        <v>0</v>
      </c>
      <c r="V30" t="s">
        <v>33</v>
      </c>
      <c r="W30" t="s">
        <v>242</v>
      </c>
      <c r="X30">
        <v>0</v>
      </c>
      <c r="Y30">
        <v>238</v>
      </c>
      <c r="Z30" t="s">
        <v>71</v>
      </c>
      <c r="AA30">
        <v>238</v>
      </c>
      <c r="AB30" t="s">
        <v>121</v>
      </c>
      <c r="AC30" t="s">
        <v>243</v>
      </c>
      <c r="AD30" t="str">
        <f t="shared" si="0"/>
        <v>Escobedo → Matehuala</v>
      </c>
      <c r="AE30" t="s">
        <v>1359</v>
      </c>
      <c r="AF30" s="4">
        <v>45839</v>
      </c>
      <c r="AG30" t="str">
        <f>YEAR(Table1[[#This Row],[Fecha]])&amp;" - " &amp;UPPER(TEXT(Table1[[#This Row],[Fecha]],"mm-mmm"))</f>
        <v>2025 - 07-JUL</v>
      </c>
      <c r="AH30" s="5">
        <v>20</v>
      </c>
    </row>
    <row r="31" spans="1:34" x14ac:dyDescent="0.25">
      <c r="A31" t="s">
        <v>680</v>
      </c>
      <c r="B31">
        <v>2025</v>
      </c>
      <c r="C31">
        <v>8</v>
      </c>
      <c r="D31" s="1">
        <v>45883</v>
      </c>
      <c r="E31" s="1">
        <v>45883</v>
      </c>
      <c r="F31" s="1">
        <v>45884</v>
      </c>
      <c r="G31" s="1">
        <v>45884</v>
      </c>
      <c r="H31" s="1">
        <v>45884</v>
      </c>
      <c r="I31">
        <v>2039</v>
      </c>
      <c r="J31" t="s">
        <v>30</v>
      </c>
      <c r="K31" t="s">
        <v>31</v>
      </c>
      <c r="L31">
        <v>243</v>
      </c>
      <c r="M31">
        <v>243</v>
      </c>
      <c r="N31" t="s">
        <v>32</v>
      </c>
      <c r="O31">
        <v>1</v>
      </c>
      <c r="P31">
        <v>269</v>
      </c>
      <c r="Q31" t="b">
        <v>1</v>
      </c>
      <c r="R31" t="b">
        <v>0</v>
      </c>
      <c r="S31" t="b">
        <v>0</v>
      </c>
      <c r="T31">
        <v>749</v>
      </c>
      <c r="U31">
        <v>0</v>
      </c>
      <c r="V31" t="s">
        <v>33</v>
      </c>
      <c r="W31" t="s">
        <v>33</v>
      </c>
      <c r="X31">
        <v>300</v>
      </c>
      <c r="Y31">
        <v>3875</v>
      </c>
      <c r="Z31" t="s">
        <v>74</v>
      </c>
      <c r="AA31">
        <v>3875</v>
      </c>
      <c r="AB31" t="s">
        <v>121</v>
      </c>
      <c r="AC31" t="s">
        <v>681</v>
      </c>
      <c r="AD31" t="str">
        <f t="shared" si="0"/>
        <v>Escobedo → Anáhuac</v>
      </c>
      <c r="AE31" t="s">
        <v>1357</v>
      </c>
      <c r="AF31" s="4">
        <v>45870</v>
      </c>
      <c r="AG31" t="str">
        <f>YEAR(Table1[[#This Row],[Fecha]])&amp;" - " &amp;UPPER(TEXT(Table1[[#This Row],[Fecha]],"mm-mmm"))</f>
        <v>2025 - 08-AGO</v>
      </c>
      <c r="AH31" s="5">
        <v>20</v>
      </c>
    </row>
    <row r="32" spans="1:34" x14ac:dyDescent="0.25">
      <c r="A32" t="s">
        <v>281</v>
      </c>
      <c r="B32">
        <v>2025</v>
      </c>
      <c r="C32">
        <v>8</v>
      </c>
      <c r="D32" s="1">
        <v>45899</v>
      </c>
      <c r="E32" s="1">
        <v>45899</v>
      </c>
      <c r="F32" s="1">
        <v>45900</v>
      </c>
      <c r="G32" s="1">
        <v>45899</v>
      </c>
      <c r="H32" s="1">
        <v>45900</v>
      </c>
      <c r="I32">
        <v>2039</v>
      </c>
      <c r="J32" t="s">
        <v>54</v>
      </c>
      <c r="K32" t="s">
        <v>31</v>
      </c>
      <c r="L32">
        <v>961</v>
      </c>
      <c r="M32">
        <v>1059</v>
      </c>
      <c r="N32" t="s">
        <v>32</v>
      </c>
      <c r="O32">
        <v>1</v>
      </c>
      <c r="P32">
        <v>964</v>
      </c>
      <c r="Q32" t="b">
        <v>1</v>
      </c>
      <c r="R32" t="b">
        <v>0</v>
      </c>
      <c r="S32" t="b">
        <v>0</v>
      </c>
      <c r="T32">
        <v>1793</v>
      </c>
      <c r="U32">
        <v>0</v>
      </c>
      <c r="V32" t="s">
        <v>33</v>
      </c>
      <c r="W32" t="s">
        <v>33</v>
      </c>
      <c r="X32">
        <v>1100</v>
      </c>
      <c r="Y32">
        <v>8</v>
      </c>
      <c r="Z32" t="s">
        <v>149</v>
      </c>
      <c r="AA32">
        <v>8</v>
      </c>
      <c r="AB32" t="s">
        <v>121</v>
      </c>
      <c r="AC32" t="s">
        <v>56</v>
      </c>
      <c r="AD32" t="str">
        <f t="shared" si="0"/>
        <v>Escobedo → Cd Sahagún</v>
      </c>
      <c r="AE32" t="s">
        <v>1358</v>
      </c>
      <c r="AF32" s="4">
        <v>45870</v>
      </c>
      <c r="AG32" t="str">
        <f>YEAR(Table1[[#This Row],[Fecha]])&amp;" - " &amp;UPPER(TEXT(Table1[[#This Row],[Fecha]],"mm-mmm"))</f>
        <v>2025 - 08-AGO</v>
      </c>
      <c r="AH32" s="5">
        <v>20</v>
      </c>
    </row>
    <row r="33" spans="1:34" x14ac:dyDescent="0.25">
      <c r="A33" t="s">
        <v>120</v>
      </c>
      <c r="B33">
        <v>2025</v>
      </c>
      <c r="C33">
        <v>8</v>
      </c>
      <c r="D33" s="1">
        <v>45872</v>
      </c>
      <c r="E33" s="1">
        <v>45872</v>
      </c>
      <c r="F33" s="1">
        <v>45872</v>
      </c>
      <c r="G33" s="1">
        <v>45872</v>
      </c>
      <c r="H33" s="1">
        <v>45873</v>
      </c>
      <c r="I33">
        <v>1902</v>
      </c>
      <c r="J33" t="s">
        <v>30</v>
      </c>
      <c r="K33" t="s">
        <v>31</v>
      </c>
      <c r="L33">
        <v>878</v>
      </c>
      <c r="M33">
        <v>878</v>
      </c>
      <c r="N33" t="s">
        <v>118</v>
      </c>
      <c r="O33">
        <v>1</v>
      </c>
      <c r="P33">
        <v>878</v>
      </c>
      <c r="Q33" t="b">
        <v>1</v>
      </c>
      <c r="R33" t="b">
        <v>0</v>
      </c>
      <c r="S33" t="b">
        <v>0</v>
      </c>
      <c r="T33">
        <v>1456</v>
      </c>
      <c r="U33">
        <v>0</v>
      </c>
      <c r="V33" t="s">
        <v>33</v>
      </c>
      <c r="W33" t="s">
        <v>33</v>
      </c>
      <c r="X33">
        <v>900</v>
      </c>
      <c r="Y33">
        <v>372</v>
      </c>
      <c r="Z33" t="s">
        <v>34</v>
      </c>
      <c r="AA33">
        <v>372</v>
      </c>
      <c r="AB33" t="s">
        <v>57</v>
      </c>
      <c r="AC33" t="s">
        <v>121</v>
      </c>
      <c r="AD33" t="str">
        <f t="shared" si="0"/>
        <v>Cuautitlan → Escobedo</v>
      </c>
      <c r="AE33" t="s">
        <v>1357</v>
      </c>
      <c r="AF33" s="4">
        <v>45870</v>
      </c>
      <c r="AG33" t="str">
        <f>YEAR(Table1[[#This Row],[Fecha]])&amp;" - " &amp;UPPER(TEXT(Table1[[#This Row],[Fecha]],"mm-mmm"))</f>
        <v>2025 - 08-AGO</v>
      </c>
      <c r="AH33" s="5">
        <v>20</v>
      </c>
    </row>
    <row r="34" spans="1:34" x14ac:dyDescent="0.25">
      <c r="A34" t="s">
        <v>117</v>
      </c>
      <c r="B34">
        <v>2025</v>
      </c>
      <c r="C34">
        <v>8</v>
      </c>
      <c r="D34" s="1">
        <v>45872</v>
      </c>
      <c r="E34" s="1">
        <v>45872</v>
      </c>
      <c r="F34" s="1">
        <v>45872</v>
      </c>
      <c r="G34" s="1">
        <v>45872</v>
      </c>
      <c r="H34" s="2">
        <v>45873.580851851853</v>
      </c>
      <c r="I34">
        <v>1902</v>
      </c>
      <c r="J34" t="s">
        <v>30</v>
      </c>
      <c r="K34" t="s">
        <v>31</v>
      </c>
      <c r="L34">
        <v>37</v>
      </c>
      <c r="M34">
        <v>37</v>
      </c>
      <c r="N34" t="s">
        <v>118</v>
      </c>
      <c r="O34">
        <v>1</v>
      </c>
      <c r="P34">
        <v>150</v>
      </c>
      <c r="Q34" t="b">
        <v>1</v>
      </c>
      <c r="R34" t="b">
        <v>0</v>
      </c>
      <c r="S34" t="b">
        <v>0</v>
      </c>
      <c r="T34">
        <v>277</v>
      </c>
      <c r="U34">
        <v>0</v>
      </c>
      <c r="V34" t="s">
        <v>33</v>
      </c>
      <c r="W34" t="s">
        <v>33</v>
      </c>
      <c r="X34">
        <v>50</v>
      </c>
      <c r="Y34">
        <v>675</v>
      </c>
      <c r="Z34" t="s">
        <v>34</v>
      </c>
      <c r="AA34">
        <v>675</v>
      </c>
      <c r="AB34" t="s">
        <v>57</v>
      </c>
      <c r="AC34" t="s">
        <v>119</v>
      </c>
      <c r="AD34" t="str">
        <f t="shared" si="0"/>
        <v>Cuautitlan → Ecatepec</v>
      </c>
      <c r="AE34" t="s">
        <v>1357</v>
      </c>
      <c r="AF34" s="4">
        <v>45870</v>
      </c>
      <c r="AG34" t="str">
        <f>YEAR(Table1[[#This Row],[Fecha]])&amp;" - " &amp;UPPER(TEXT(Table1[[#This Row],[Fecha]],"mm-mmm"))</f>
        <v>2025 - 08-AGO</v>
      </c>
      <c r="AH34" s="5">
        <v>20</v>
      </c>
    </row>
    <row r="35" spans="1:34" x14ac:dyDescent="0.25">
      <c r="A35" t="s">
        <v>378</v>
      </c>
      <c r="B35">
        <v>2025</v>
      </c>
      <c r="C35">
        <v>9</v>
      </c>
      <c r="D35" s="1">
        <v>45915</v>
      </c>
      <c r="E35" s="1">
        <v>45915</v>
      </c>
      <c r="F35" s="1">
        <v>45917</v>
      </c>
      <c r="G35" s="1">
        <v>45917</v>
      </c>
      <c r="H35" s="1">
        <v>45917</v>
      </c>
      <c r="I35">
        <v>2039</v>
      </c>
      <c r="J35" t="s">
        <v>30</v>
      </c>
      <c r="K35" t="s">
        <v>31</v>
      </c>
      <c r="L35">
        <v>736</v>
      </c>
      <c r="M35">
        <v>368</v>
      </c>
      <c r="N35" t="s">
        <v>32</v>
      </c>
      <c r="O35">
        <v>1</v>
      </c>
      <c r="P35">
        <v>397</v>
      </c>
      <c r="Q35" t="b">
        <v>1</v>
      </c>
      <c r="R35" t="b">
        <v>0</v>
      </c>
      <c r="S35" t="b">
        <v>0</v>
      </c>
      <c r="T35">
        <v>876</v>
      </c>
      <c r="U35">
        <v>0</v>
      </c>
      <c r="V35" t="s">
        <v>33</v>
      </c>
      <c r="W35" t="s">
        <v>379</v>
      </c>
      <c r="X35">
        <v>400</v>
      </c>
      <c r="Y35">
        <v>227</v>
      </c>
      <c r="Z35" t="s">
        <v>237</v>
      </c>
      <c r="AA35">
        <v>227</v>
      </c>
      <c r="AB35" t="s">
        <v>121</v>
      </c>
      <c r="AC35" t="s">
        <v>157</v>
      </c>
      <c r="AD35" t="str">
        <f t="shared" si="0"/>
        <v>Escobedo → Gomez Palacio</v>
      </c>
      <c r="AE35" t="s">
        <v>1357</v>
      </c>
      <c r="AF35" s="4">
        <v>45901</v>
      </c>
      <c r="AG35" t="str">
        <f>YEAR(Table1[[#This Row],[Fecha]])&amp;" - " &amp;UPPER(TEXT(Table1[[#This Row],[Fecha]],"mm-mmm"))</f>
        <v>2025 - 09-SEP</v>
      </c>
      <c r="AH35" s="5">
        <v>20</v>
      </c>
    </row>
    <row r="36" spans="1:34" x14ac:dyDescent="0.25">
      <c r="A36" t="s">
        <v>235</v>
      </c>
      <c r="B36">
        <v>2025</v>
      </c>
      <c r="C36">
        <v>9</v>
      </c>
      <c r="D36" s="1">
        <v>45917</v>
      </c>
      <c r="E36" s="1">
        <v>45917</v>
      </c>
      <c r="F36" s="1">
        <v>45919</v>
      </c>
      <c r="G36" s="1">
        <v>45918</v>
      </c>
      <c r="H36" s="1">
        <v>45918</v>
      </c>
      <c r="I36">
        <v>2039</v>
      </c>
      <c r="J36" t="s">
        <v>30</v>
      </c>
      <c r="K36" t="s">
        <v>31</v>
      </c>
      <c r="L36">
        <v>504</v>
      </c>
      <c r="M36">
        <v>504</v>
      </c>
      <c r="N36" t="s">
        <v>32</v>
      </c>
      <c r="O36">
        <v>1</v>
      </c>
      <c r="P36">
        <v>504</v>
      </c>
      <c r="Q36" t="b">
        <v>1</v>
      </c>
      <c r="R36" t="b">
        <v>0</v>
      </c>
      <c r="S36" t="b">
        <v>0</v>
      </c>
      <c r="T36">
        <v>1130</v>
      </c>
      <c r="U36">
        <v>0</v>
      </c>
      <c r="V36" t="s">
        <v>33</v>
      </c>
      <c r="W36" t="s">
        <v>236</v>
      </c>
      <c r="X36">
        <v>600</v>
      </c>
      <c r="Y36">
        <v>119</v>
      </c>
      <c r="Z36" t="s">
        <v>237</v>
      </c>
      <c r="AA36">
        <v>119</v>
      </c>
      <c r="AB36" t="s">
        <v>121</v>
      </c>
      <c r="AC36" t="s">
        <v>238</v>
      </c>
      <c r="AD36" t="str">
        <f t="shared" si="0"/>
        <v>Escobedo → Altamira</v>
      </c>
      <c r="AE36" t="s">
        <v>1357</v>
      </c>
      <c r="AF36" s="4">
        <v>45901</v>
      </c>
      <c r="AG36" t="str">
        <f>YEAR(Table1[[#This Row],[Fecha]])&amp;" - " &amp;UPPER(TEXT(Table1[[#This Row],[Fecha]],"mm-mmm"))</f>
        <v>2025 - 09-SEP</v>
      </c>
      <c r="AH36" s="5">
        <v>20</v>
      </c>
    </row>
    <row r="37" spans="1:34" x14ac:dyDescent="0.25">
      <c r="A37" t="s">
        <v>129</v>
      </c>
      <c r="B37">
        <v>2025</v>
      </c>
      <c r="C37">
        <v>9</v>
      </c>
      <c r="D37" s="1">
        <v>45922</v>
      </c>
      <c r="E37" s="1">
        <v>45922</v>
      </c>
      <c r="F37" s="1">
        <v>45923</v>
      </c>
      <c r="G37" s="1">
        <v>45922</v>
      </c>
      <c r="H37" s="1">
        <v>45923</v>
      </c>
      <c r="I37">
        <v>2050</v>
      </c>
      <c r="J37" t="s">
        <v>41</v>
      </c>
      <c r="K37" t="s">
        <v>42</v>
      </c>
      <c r="L37">
        <v>961</v>
      </c>
      <c r="M37">
        <v>1059</v>
      </c>
      <c r="N37" t="s">
        <v>55</v>
      </c>
      <c r="O37">
        <v>1</v>
      </c>
      <c r="P37">
        <v>964</v>
      </c>
      <c r="Q37" t="b">
        <v>1</v>
      </c>
      <c r="R37" t="b">
        <v>0</v>
      </c>
      <c r="S37" t="b">
        <v>0</v>
      </c>
      <c r="T37">
        <v>1793</v>
      </c>
      <c r="U37">
        <v>0</v>
      </c>
      <c r="V37" t="s">
        <v>33</v>
      </c>
      <c r="W37" t="s">
        <v>33</v>
      </c>
      <c r="X37">
        <v>1100</v>
      </c>
      <c r="Y37">
        <v>3580</v>
      </c>
      <c r="Z37" t="s">
        <v>123</v>
      </c>
      <c r="AA37">
        <v>3580</v>
      </c>
      <c r="AB37" t="s">
        <v>128</v>
      </c>
      <c r="AC37" t="s">
        <v>35</v>
      </c>
      <c r="AD37" t="str">
        <f t="shared" si="0"/>
        <v>Zapopan → Monterrey</v>
      </c>
      <c r="AE37" t="s">
        <v>1359</v>
      </c>
      <c r="AF37" s="4">
        <v>45901</v>
      </c>
      <c r="AG37" t="str">
        <f>YEAR(Table1[[#This Row],[Fecha]])&amp;" - " &amp;UPPER(TEXT(Table1[[#This Row],[Fecha]],"mm-mmm"))</f>
        <v>2025 - 09-SEP</v>
      </c>
      <c r="AH37" s="5">
        <v>20</v>
      </c>
    </row>
    <row r="38" spans="1:34" x14ac:dyDescent="0.25">
      <c r="A38" t="s">
        <v>127</v>
      </c>
      <c r="B38">
        <v>2025</v>
      </c>
      <c r="C38">
        <v>9</v>
      </c>
      <c r="D38" s="1">
        <v>45929</v>
      </c>
      <c r="E38" s="1">
        <v>45929</v>
      </c>
      <c r="F38" s="1">
        <v>45930</v>
      </c>
      <c r="G38" s="1">
        <v>45929</v>
      </c>
      <c r="H38" s="1">
        <v>45930</v>
      </c>
      <c r="I38">
        <v>2039</v>
      </c>
      <c r="J38" t="s">
        <v>30</v>
      </c>
      <c r="K38" t="s">
        <v>31</v>
      </c>
      <c r="L38">
        <v>878</v>
      </c>
      <c r="M38">
        <v>878</v>
      </c>
      <c r="N38" t="s">
        <v>32</v>
      </c>
      <c r="O38">
        <v>1</v>
      </c>
      <c r="P38">
        <v>878</v>
      </c>
      <c r="Q38" t="b">
        <v>1</v>
      </c>
      <c r="R38" t="b">
        <v>0</v>
      </c>
      <c r="S38" t="b">
        <v>0</v>
      </c>
      <c r="T38">
        <v>1456</v>
      </c>
      <c r="U38">
        <v>0</v>
      </c>
      <c r="V38" t="s">
        <v>33</v>
      </c>
      <c r="W38" t="s">
        <v>33</v>
      </c>
      <c r="X38">
        <v>900</v>
      </c>
      <c r="Y38">
        <v>3580</v>
      </c>
      <c r="Z38" t="s">
        <v>123</v>
      </c>
      <c r="AA38">
        <v>3580</v>
      </c>
      <c r="AB38" t="s">
        <v>128</v>
      </c>
      <c r="AC38" t="s">
        <v>35</v>
      </c>
      <c r="AD38" t="str">
        <f t="shared" si="0"/>
        <v>Zapopan → Monterrey</v>
      </c>
      <c r="AE38" t="s">
        <v>1357</v>
      </c>
      <c r="AF38" s="4">
        <v>45901</v>
      </c>
      <c r="AG38" t="str">
        <f>YEAR(Table1[[#This Row],[Fecha]])&amp;" - " &amp;UPPER(TEXT(Table1[[#This Row],[Fecha]],"mm-mmm"))</f>
        <v>2025 - 09-SEP</v>
      </c>
      <c r="AH38" s="5">
        <v>20</v>
      </c>
    </row>
    <row r="39" spans="1:34" x14ac:dyDescent="0.25">
      <c r="A39" t="s">
        <v>1341</v>
      </c>
      <c r="B39">
        <v>2025</v>
      </c>
      <c r="C39">
        <v>9</v>
      </c>
      <c r="D39" s="1">
        <v>45912</v>
      </c>
      <c r="E39" s="1">
        <v>45912</v>
      </c>
      <c r="F39" s="1">
        <v>45915</v>
      </c>
      <c r="G39" s="1">
        <v>45915</v>
      </c>
      <c r="H39" s="1">
        <v>45915</v>
      </c>
      <c r="I39">
        <v>2244</v>
      </c>
      <c r="J39" t="s">
        <v>41</v>
      </c>
      <c r="K39" t="s">
        <v>42</v>
      </c>
      <c r="L39">
        <v>360</v>
      </c>
      <c r="M39">
        <v>180</v>
      </c>
      <c r="N39" t="s">
        <v>43</v>
      </c>
      <c r="O39">
        <v>1</v>
      </c>
      <c r="P39">
        <v>208</v>
      </c>
      <c r="Q39" t="b">
        <v>1</v>
      </c>
      <c r="R39" t="b">
        <v>0</v>
      </c>
      <c r="S39" t="b">
        <v>0</v>
      </c>
      <c r="T39">
        <v>643</v>
      </c>
      <c r="U39">
        <v>0</v>
      </c>
      <c r="V39" t="s">
        <v>33</v>
      </c>
      <c r="W39" t="s">
        <v>1342</v>
      </c>
      <c r="X39">
        <v>200</v>
      </c>
      <c r="Y39">
        <v>4852</v>
      </c>
      <c r="Z39" t="s">
        <v>67</v>
      </c>
      <c r="AA39">
        <v>4852</v>
      </c>
      <c r="AB39" t="s">
        <v>91</v>
      </c>
      <c r="AC39" t="s">
        <v>1340</v>
      </c>
      <c r="AD39" t="str">
        <f t="shared" si="0"/>
        <v>Guerrero → Veracruz</v>
      </c>
      <c r="AE39" t="s">
        <v>1359</v>
      </c>
      <c r="AF39" s="4">
        <v>45901</v>
      </c>
      <c r="AG39" t="str">
        <f>YEAR(Table1[[#This Row],[Fecha]])&amp;" - " &amp;UPPER(TEXT(Table1[[#This Row],[Fecha]],"mm-mmm"))</f>
        <v>2025 - 09-SEP</v>
      </c>
      <c r="AH39" s="5">
        <v>20</v>
      </c>
    </row>
    <row r="40" spans="1:34" x14ac:dyDescent="0.25">
      <c r="A40" t="s">
        <v>292</v>
      </c>
      <c r="B40">
        <v>2025</v>
      </c>
      <c r="C40">
        <v>11</v>
      </c>
      <c r="D40" s="1">
        <v>45986</v>
      </c>
      <c r="E40" s="1">
        <v>45986</v>
      </c>
      <c r="F40" s="1">
        <v>45987</v>
      </c>
      <c r="G40" s="1">
        <v>45986</v>
      </c>
      <c r="H40" s="1">
        <v>45987</v>
      </c>
      <c r="I40">
        <v>2244</v>
      </c>
      <c r="J40" t="s">
        <v>41</v>
      </c>
      <c r="K40" t="s">
        <v>42</v>
      </c>
      <c r="L40">
        <v>961</v>
      </c>
      <c r="M40">
        <v>1059</v>
      </c>
      <c r="N40" t="s">
        <v>43</v>
      </c>
      <c r="O40">
        <v>1</v>
      </c>
      <c r="P40">
        <v>964</v>
      </c>
      <c r="Q40" t="b">
        <v>1</v>
      </c>
      <c r="R40" t="b">
        <v>0</v>
      </c>
      <c r="S40" t="b">
        <v>0</v>
      </c>
      <c r="T40">
        <v>1793</v>
      </c>
      <c r="U40">
        <v>0</v>
      </c>
      <c r="V40" t="s">
        <v>33</v>
      </c>
      <c r="W40" t="s">
        <v>33</v>
      </c>
      <c r="X40">
        <v>1100</v>
      </c>
      <c r="Y40">
        <v>8</v>
      </c>
      <c r="Z40" t="s">
        <v>156</v>
      </c>
      <c r="AA40">
        <v>8</v>
      </c>
      <c r="AB40" t="s">
        <v>121</v>
      </c>
      <c r="AC40" t="s">
        <v>56</v>
      </c>
      <c r="AD40" t="str">
        <f t="shared" si="0"/>
        <v>Escobedo → Cd Sahagún</v>
      </c>
      <c r="AE40" t="s">
        <v>1359</v>
      </c>
      <c r="AF40" s="4">
        <v>45962</v>
      </c>
      <c r="AG40" t="str">
        <f>YEAR(Table1[[#This Row],[Fecha]])&amp;" - " &amp;UPPER(TEXT(Table1[[#This Row],[Fecha]],"mm-mmm"))</f>
        <v>2025 - 11-NOV</v>
      </c>
      <c r="AH40" s="5">
        <v>20</v>
      </c>
    </row>
    <row r="41" spans="1:34" x14ac:dyDescent="0.25">
      <c r="A41" t="s">
        <v>151</v>
      </c>
      <c r="B41">
        <v>2025</v>
      </c>
      <c r="C41">
        <v>11</v>
      </c>
      <c r="D41" s="1">
        <v>45988</v>
      </c>
      <c r="E41" s="1">
        <v>45988</v>
      </c>
      <c r="F41" s="1">
        <v>45989</v>
      </c>
      <c r="G41" s="1">
        <v>45989</v>
      </c>
      <c r="H41" s="2">
        <v>45988.78512572917</v>
      </c>
      <c r="I41">
        <v>2039</v>
      </c>
      <c r="J41" t="s">
        <v>54</v>
      </c>
      <c r="K41" t="s">
        <v>31</v>
      </c>
      <c r="L41">
        <v>243</v>
      </c>
      <c r="M41">
        <v>243</v>
      </c>
      <c r="N41" t="s">
        <v>32</v>
      </c>
      <c r="O41">
        <v>1</v>
      </c>
      <c r="P41">
        <v>269</v>
      </c>
      <c r="Q41" t="b">
        <v>1</v>
      </c>
      <c r="R41" t="b">
        <v>0</v>
      </c>
      <c r="S41" t="b">
        <v>0</v>
      </c>
      <c r="T41">
        <v>749</v>
      </c>
      <c r="U41">
        <v>0</v>
      </c>
      <c r="V41" t="s">
        <v>33</v>
      </c>
      <c r="W41" t="s">
        <v>33</v>
      </c>
      <c r="X41">
        <v>300</v>
      </c>
      <c r="Y41">
        <v>3415</v>
      </c>
      <c r="Z41" t="s">
        <v>149</v>
      </c>
      <c r="AA41">
        <v>3415</v>
      </c>
      <c r="AB41" t="s">
        <v>60</v>
      </c>
      <c r="AC41" t="s">
        <v>150</v>
      </c>
      <c r="AD41" t="str">
        <f t="shared" si="0"/>
        <v>Culiacan → Tlajomulco</v>
      </c>
      <c r="AE41" t="s">
        <v>1358</v>
      </c>
      <c r="AF41" s="4">
        <v>45962</v>
      </c>
      <c r="AG41" t="str">
        <f>YEAR(Table1[[#This Row],[Fecha]])&amp;" - " &amp;UPPER(TEXT(Table1[[#This Row],[Fecha]],"mm-mmm"))</f>
        <v>2025 - 11-NOV</v>
      </c>
      <c r="AH41" s="5">
        <v>20</v>
      </c>
    </row>
    <row r="42" spans="1:34" x14ac:dyDescent="0.25">
      <c r="A42" t="s">
        <v>684</v>
      </c>
      <c r="B42">
        <v>2025</v>
      </c>
      <c r="C42">
        <v>11</v>
      </c>
      <c r="D42" s="1">
        <v>45988</v>
      </c>
      <c r="E42" s="1">
        <v>45988</v>
      </c>
      <c r="F42" s="1">
        <v>45989</v>
      </c>
      <c r="G42" s="1">
        <v>45989</v>
      </c>
      <c r="H42" s="2">
        <v>45989.601453668984</v>
      </c>
      <c r="I42">
        <v>2039</v>
      </c>
      <c r="J42" t="s">
        <v>54</v>
      </c>
      <c r="K42" t="s">
        <v>31</v>
      </c>
      <c r="L42">
        <v>243</v>
      </c>
      <c r="M42">
        <v>243</v>
      </c>
      <c r="N42" t="s">
        <v>32</v>
      </c>
      <c r="O42">
        <v>1</v>
      </c>
      <c r="P42">
        <v>269</v>
      </c>
      <c r="Q42" t="b">
        <v>1</v>
      </c>
      <c r="R42" t="b">
        <v>0</v>
      </c>
      <c r="S42" t="b">
        <v>0</v>
      </c>
      <c r="T42">
        <v>749</v>
      </c>
      <c r="U42">
        <v>0</v>
      </c>
      <c r="V42" t="s">
        <v>33</v>
      </c>
      <c r="W42" t="s">
        <v>33</v>
      </c>
      <c r="X42">
        <v>300</v>
      </c>
      <c r="Y42">
        <v>3875</v>
      </c>
      <c r="Z42" t="s">
        <v>149</v>
      </c>
      <c r="AA42">
        <v>3875</v>
      </c>
      <c r="AB42" t="s">
        <v>121</v>
      </c>
      <c r="AC42" t="s">
        <v>681</v>
      </c>
      <c r="AD42" t="str">
        <f t="shared" si="0"/>
        <v>Escobedo → Anáhuac</v>
      </c>
      <c r="AE42" t="s">
        <v>1358</v>
      </c>
      <c r="AF42" s="4">
        <v>45962</v>
      </c>
      <c r="AG42" t="str">
        <f>YEAR(Table1[[#This Row],[Fecha]])&amp;" - " &amp;UPPER(TEXT(Table1[[#This Row],[Fecha]],"mm-mmm"))</f>
        <v>2025 - 11-NOV</v>
      </c>
      <c r="AH42" s="5">
        <v>20</v>
      </c>
    </row>
    <row r="43" spans="1:34" x14ac:dyDescent="0.25">
      <c r="A43" t="s">
        <v>303</v>
      </c>
      <c r="B43">
        <v>2025</v>
      </c>
      <c r="C43">
        <v>12</v>
      </c>
      <c r="D43" s="1">
        <v>46006</v>
      </c>
      <c r="E43" s="1">
        <v>46006</v>
      </c>
      <c r="F43" s="1">
        <v>46007</v>
      </c>
      <c r="G43" s="1">
        <v>46006</v>
      </c>
      <c r="H43" s="1">
        <v>46007</v>
      </c>
      <c r="I43">
        <v>2151</v>
      </c>
      <c r="J43" t="s">
        <v>41</v>
      </c>
      <c r="K43" t="s">
        <v>42</v>
      </c>
      <c r="L43">
        <v>961</v>
      </c>
      <c r="M43">
        <v>1059</v>
      </c>
      <c r="N43" t="s">
        <v>50</v>
      </c>
      <c r="O43">
        <v>2</v>
      </c>
      <c r="P43">
        <v>964</v>
      </c>
      <c r="Q43" t="b">
        <v>1</v>
      </c>
      <c r="R43" t="b">
        <v>0</v>
      </c>
      <c r="S43" t="b">
        <v>0</v>
      </c>
      <c r="T43">
        <v>1831</v>
      </c>
      <c r="U43">
        <v>0</v>
      </c>
      <c r="V43" t="s">
        <v>33</v>
      </c>
      <c r="W43" t="s">
        <v>304</v>
      </c>
      <c r="X43">
        <v>1100</v>
      </c>
      <c r="Y43">
        <v>8</v>
      </c>
      <c r="Z43" t="s">
        <v>149</v>
      </c>
      <c r="AA43">
        <v>8</v>
      </c>
      <c r="AB43" t="s">
        <v>121</v>
      </c>
      <c r="AC43" t="s">
        <v>56</v>
      </c>
      <c r="AD43" t="str">
        <f t="shared" si="0"/>
        <v>Escobedo → Cd Sahagún</v>
      </c>
      <c r="AE43" t="s">
        <v>1359</v>
      </c>
      <c r="AF43" s="4">
        <v>45992</v>
      </c>
      <c r="AG43" t="str">
        <f>YEAR(Table1[[#This Row],[Fecha]])&amp;" - " &amp;UPPER(TEXT(Table1[[#This Row],[Fecha]],"mm-mmm"))</f>
        <v>2025 - 12-DIC</v>
      </c>
      <c r="AH43" s="5">
        <v>20</v>
      </c>
    </row>
    <row r="44" spans="1:34" x14ac:dyDescent="0.25">
      <c r="A44" t="s">
        <v>305</v>
      </c>
      <c r="B44">
        <v>2025</v>
      </c>
      <c r="C44">
        <v>12</v>
      </c>
      <c r="D44" s="1">
        <v>46006</v>
      </c>
      <c r="E44" s="1">
        <v>46006</v>
      </c>
      <c r="F44" s="1">
        <v>46007</v>
      </c>
      <c r="G44" s="1">
        <v>46006</v>
      </c>
      <c r="H44" s="1">
        <v>46007</v>
      </c>
      <c r="I44">
        <v>2039</v>
      </c>
      <c r="J44" t="s">
        <v>30</v>
      </c>
      <c r="K44" t="s">
        <v>31</v>
      </c>
      <c r="L44">
        <v>961</v>
      </c>
      <c r="M44">
        <v>1059</v>
      </c>
      <c r="N44" t="s">
        <v>32</v>
      </c>
      <c r="O44">
        <v>1</v>
      </c>
      <c r="P44">
        <v>964</v>
      </c>
      <c r="Q44" t="b">
        <v>1</v>
      </c>
      <c r="R44" t="b">
        <v>0</v>
      </c>
      <c r="S44" t="b">
        <v>0</v>
      </c>
      <c r="T44">
        <v>1793</v>
      </c>
      <c r="U44">
        <v>0</v>
      </c>
      <c r="V44" t="s">
        <v>33</v>
      </c>
      <c r="W44" t="s">
        <v>33</v>
      </c>
      <c r="X44">
        <v>1100</v>
      </c>
      <c r="Y44">
        <v>8</v>
      </c>
      <c r="Z44" t="s">
        <v>149</v>
      </c>
      <c r="AA44">
        <v>8</v>
      </c>
      <c r="AB44" t="s">
        <v>121</v>
      </c>
      <c r="AC44" t="s">
        <v>56</v>
      </c>
      <c r="AD44" t="str">
        <f t="shared" si="0"/>
        <v>Escobedo → Cd Sahagún</v>
      </c>
      <c r="AE44" t="s">
        <v>1357</v>
      </c>
      <c r="AF44" s="4">
        <v>45992</v>
      </c>
      <c r="AG44" t="str">
        <f>YEAR(Table1[[#This Row],[Fecha]])&amp;" - " &amp;UPPER(TEXT(Table1[[#This Row],[Fecha]],"mm-mmm"))</f>
        <v>2025 - 12-DIC</v>
      </c>
      <c r="AH44" s="5">
        <v>20</v>
      </c>
    </row>
    <row r="45" spans="1:34" x14ac:dyDescent="0.25">
      <c r="A45" t="s">
        <v>306</v>
      </c>
      <c r="B45">
        <v>2025</v>
      </c>
      <c r="C45">
        <v>12</v>
      </c>
      <c r="D45" s="1">
        <v>46009</v>
      </c>
      <c r="E45" s="1">
        <v>46009</v>
      </c>
      <c r="F45" s="1">
        <v>46010</v>
      </c>
      <c r="G45" s="1">
        <v>46009</v>
      </c>
      <c r="H45" s="2">
        <v>46009.453742245372</v>
      </c>
      <c r="I45">
        <v>2039</v>
      </c>
      <c r="J45" t="s">
        <v>54</v>
      </c>
      <c r="K45" t="s">
        <v>31</v>
      </c>
      <c r="L45">
        <v>961</v>
      </c>
      <c r="M45">
        <v>1059</v>
      </c>
      <c r="N45" t="s">
        <v>32</v>
      </c>
      <c r="O45">
        <v>2</v>
      </c>
      <c r="P45">
        <v>964</v>
      </c>
      <c r="Q45" t="b">
        <v>1</v>
      </c>
      <c r="R45" t="b">
        <v>0</v>
      </c>
      <c r="S45" t="b">
        <v>0</v>
      </c>
      <c r="T45">
        <v>1831</v>
      </c>
      <c r="U45">
        <v>0</v>
      </c>
      <c r="V45" t="s">
        <v>33</v>
      </c>
      <c r="W45" t="s">
        <v>33</v>
      </c>
      <c r="X45">
        <v>1100</v>
      </c>
      <c r="Y45">
        <v>8</v>
      </c>
      <c r="Z45" t="s">
        <v>149</v>
      </c>
      <c r="AA45">
        <v>8</v>
      </c>
      <c r="AB45" t="s">
        <v>121</v>
      </c>
      <c r="AC45" t="s">
        <v>56</v>
      </c>
      <c r="AD45" t="str">
        <f t="shared" si="0"/>
        <v>Escobedo → Cd Sahagún</v>
      </c>
      <c r="AE45" t="s">
        <v>1358</v>
      </c>
      <c r="AF45" s="4">
        <v>45992</v>
      </c>
      <c r="AG45" t="str">
        <f>YEAR(Table1[[#This Row],[Fecha]])&amp;" - " &amp;UPPER(TEXT(Table1[[#This Row],[Fecha]],"mm-mmm"))</f>
        <v>2025 - 12-DIC</v>
      </c>
      <c r="AH45" s="5">
        <v>20</v>
      </c>
    </row>
    <row r="46" spans="1:34" x14ac:dyDescent="0.25">
      <c r="A46" t="s">
        <v>307</v>
      </c>
      <c r="B46">
        <v>2025</v>
      </c>
      <c r="C46">
        <v>12</v>
      </c>
      <c r="D46" s="1">
        <v>46009</v>
      </c>
      <c r="E46" s="1">
        <v>46009</v>
      </c>
      <c r="F46" s="1">
        <v>46013</v>
      </c>
      <c r="G46" s="1">
        <v>46012</v>
      </c>
      <c r="H46" s="1">
        <v>46010</v>
      </c>
      <c r="I46">
        <v>2039</v>
      </c>
      <c r="J46" t="s">
        <v>54</v>
      </c>
      <c r="K46" t="s">
        <v>31</v>
      </c>
      <c r="L46">
        <v>961</v>
      </c>
      <c r="M46">
        <v>1059</v>
      </c>
      <c r="N46" t="s">
        <v>32</v>
      </c>
      <c r="O46">
        <v>1</v>
      </c>
      <c r="P46">
        <v>964</v>
      </c>
      <c r="Q46" t="b">
        <v>1</v>
      </c>
      <c r="R46" t="b">
        <v>0</v>
      </c>
      <c r="S46" t="b">
        <v>0</v>
      </c>
      <c r="T46">
        <v>1793</v>
      </c>
      <c r="U46">
        <v>0</v>
      </c>
      <c r="V46" t="s">
        <v>33</v>
      </c>
      <c r="W46" t="s">
        <v>33</v>
      </c>
      <c r="X46">
        <v>1100</v>
      </c>
      <c r="Y46">
        <v>8</v>
      </c>
      <c r="Z46" t="s">
        <v>149</v>
      </c>
      <c r="AA46">
        <v>8</v>
      </c>
      <c r="AB46" t="s">
        <v>121</v>
      </c>
      <c r="AC46" t="s">
        <v>56</v>
      </c>
      <c r="AD46" t="str">
        <f t="shared" si="0"/>
        <v>Escobedo → Cd Sahagún</v>
      </c>
      <c r="AE46" t="s">
        <v>1358</v>
      </c>
      <c r="AF46" s="4">
        <v>45992</v>
      </c>
      <c r="AG46" t="str">
        <f>YEAR(Table1[[#This Row],[Fecha]])&amp;" - " &amp;UPPER(TEXT(Table1[[#This Row],[Fecha]],"mm-mmm"))</f>
        <v>2025 - 12-DIC</v>
      </c>
      <c r="AH46" s="5">
        <v>20</v>
      </c>
    </row>
    <row r="47" spans="1:34" x14ac:dyDescent="0.25">
      <c r="A47" t="s">
        <v>370</v>
      </c>
      <c r="B47">
        <v>2025</v>
      </c>
      <c r="C47">
        <v>12</v>
      </c>
      <c r="D47" s="1">
        <v>46011</v>
      </c>
      <c r="E47" s="1">
        <v>46011</v>
      </c>
      <c r="F47" s="1">
        <v>46014</v>
      </c>
      <c r="G47" s="1">
        <v>46013</v>
      </c>
      <c r="H47" s="1">
        <v>46014</v>
      </c>
      <c r="I47">
        <v>2244</v>
      </c>
      <c r="J47" t="s">
        <v>41</v>
      </c>
      <c r="K47" t="s">
        <v>42</v>
      </c>
      <c r="L47">
        <v>842</v>
      </c>
      <c r="M47">
        <v>842</v>
      </c>
      <c r="N47" t="s">
        <v>43</v>
      </c>
      <c r="O47">
        <v>1</v>
      </c>
      <c r="P47">
        <v>863</v>
      </c>
      <c r="Q47" t="b">
        <v>1</v>
      </c>
      <c r="R47" t="b">
        <v>0</v>
      </c>
      <c r="S47" t="b">
        <v>0</v>
      </c>
      <c r="T47">
        <v>1456</v>
      </c>
      <c r="U47">
        <v>0</v>
      </c>
      <c r="V47" t="s">
        <v>33</v>
      </c>
      <c r="W47" t="s">
        <v>33</v>
      </c>
      <c r="X47">
        <v>900</v>
      </c>
      <c r="Y47">
        <v>1843</v>
      </c>
      <c r="Z47" t="s">
        <v>123</v>
      </c>
      <c r="AA47">
        <v>1843</v>
      </c>
      <c r="AB47" t="s">
        <v>121</v>
      </c>
      <c r="AC47" t="s">
        <v>364</v>
      </c>
      <c r="AD47" t="str">
        <f t="shared" si="0"/>
        <v>Escobedo → Mazatlan</v>
      </c>
      <c r="AE47" t="s">
        <v>1359</v>
      </c>
      <c r="AF47" s="4">
        <v>45992</v>
      </c>
      <c r="AG47" t="str">
        <f>YEAR(Table1[[#This Row],[Fecha]])&amp;" - " &amp;UPPER(TEXT(Table1[[#This Row],[Fecha]],"mm-mmm"))</f>
        <v>2025 - 12-DIC</v>
      </c>
      <c r="AH47" s="5">
        <v>20</v>
      </c>
    </row>
    <row r="48" spans="1:34" x14ac:dyDescent="0.25">
      <c r="A48" t="s">
        <v>308</v>
      </c>
      <c r="B48">
        <v>2025</v>
      </c>
      <c r="C48">
        <v>12</v>
      </c>
      <c r="D48" s="1">
        <v>46014</v>
      </c>
      <c r="E48" s="1">
        <v>46014</v>
      </c>
      <c r="F48" s="1">
        <v>46015</v>
      </c>
      <c r="G48" s="1">
        <v>46015</v>
      </c>
      <c r="H48" s="1">
        <v>46015</v>
      </c>
      <c r="I48">
        <v>2039</v>
      </c>
      <c r="J48" t="s">
        <v>30</v>
      </c>
      <c r="K48" t="s">
        <v>31</v>
      </c>
      <c r="L48">
        <v>961</v>
      </c>
      <c r="M48">
        <v>1059</v>
      </c>
      <c r="N48" t="s">
        <v>32</v>
      </c>
      <c r="O48">
        <v>1</v>
      </c>
      <c r="P48">
        <v>964</v>
      </c>
      <c r="Q48" t="b">
        <v>1</v>
      </c>
      <c r="R48" t="b">
        <v>0</v>
      </c>
      <c r="S48" t="b">
        <v>0</v>
      </c>
      <c r="T48">
        <v>1793</v>
      </c>
      <c r="U48">
        <v>0</v>
      </c>
      <c r="V48" t="s">
        <v>33</v>
      </c>
      <c r="W48" t="s">
        <v>33</v>
      </c>
      <c r="X48">
        <v>1100</v>
      </c>
      <c r="Y48">
        <v>8</v>
      </c>
      <c r="Z48" t="s">
        <v>123</v>
      </c>
      <c r="AA48">
        <v>8</v>
      </c>
      <c r="AB48" t="s">
        <v>121</v>
      </c>
      <c r="AC48" t="s">
        <v>56</v>
      </c>
      <c r="AD48" t="str">
        <f t="shared" si="0"/>
        <v>Escobedo → Cd Sahagún</v>
      </c>
      <c r="AE48" t="s">
        <v>1357</v>
      </c>
      <c r="AF48" s="4">
        <v>45992</v>
      </c>
      <c r="AG48" t="str">
        <f>YEAR(Table1[[#This Row],[Fecha]])&amp;" - " &amp;UPPER(TEXT(Table1[[#This Row],[Fecha]],"mm-mmm"))</f>
        <v>2025 - 12-DIC</v>
      </c>
      <c r="AH48" s="5">
        <v>20</v>
      </c>
    </row>
    <row r="49" spans="1:34" x14ac:dyDescent="0.25">
      <c r="A49" t="s">
        <v>312</v>
      </c>
      <c r="B49">
        <v>2025</v>
      </c>
      <c r="C49">
        <v>12</v>
      </c>
      <c r="D49" s="1">
        <v>45995</v>
      </c>
      <c r="E49" s="1">
        <v>45995</v>
      </c>
      <c r="F49" s="1">
        <v>45995</v>
      </c>
      <c r="G49" s="1">
        <v>45995</v>
      </c>
      <c r="H49" s="1">
        <v>45996</v>
      </c>
      <c r="I49">
        <v>2244</v>
      </c>
      <c r="J49" t="s">
        <v>41</v>
      </c>
      <c r="K49" t="s">
        <v>42</v>
      </c>
      <c r="L49">
        <v>961</v>
      </c>
      <c r="M49">
        <v>1059</v>
      </c>
      <c r="N49" t="s">
        <v>43</v>
      </c>
      <c r="O49">
        <v>1</v>
      </c>
      <c r="P49">
        <v>964</v>
      </c>
      <c r="Q49" t="b">
        <v>1</v>
      </c>
      <c r="R49" t="b">
        <v>0</v>
      </c>
      <c r="S49" t="b">
        <v>0</v>
      </c>
      <c r="T49">
        <v>1793</v>
      </c>
      <c r="U49">
        <v>0</v>
      </c>
      <c r="V49" t="s">
        <v>33</v>
      </c>
      <c r="W49" t="s">
        <v>33</v>
      </c>
      <c r="X49">
        <v>1100</v>
      </c>
      <c r="Y49">
        <v>8</v>
      </c>
      <c r="Z49" t="s">
        <v>156</v>
      </c>
      <c r="AA49">
        <v>8</v>
      </c>
      <c r="AB49" t="s">
        <v>121</v>
      </c>
      <c r="AC49" t="s">
        <v>56</v>
      </c>
      <c r="AD49" t="str">
        <f t="shared" si="0"/>
        <v>Escobedo → Cd Sahagún</v>
      </c>
      <c r="AE49" t="s">
        <v>1359</v>
      </c>
      <c r="AF49" s="4">
        <v>45992</v>
      </c>
      <c r="AG49" t="str">
        <f>YEAR(Table1[[#This Row],[Fecha]])&amp;" - " &amp;UPPER(TEXT(Table1[[#This Row],[Fecha]],"mm-mmm"))</f>
        <v>2025 - 12-DIC</v>
      </c>
      <c r="AH49" s="5">
        <v>20</v>
      </c>
    </row>
    <row r="50" spans="1:34" x14ac:dyDescent="0.25">
      <c r="A50" t="s">
        <v>1343</v>
      </c>
      <c r="B50">
        <v>2026</v>
      </c>
      <c r="C50">
        <v>1</v>
      </c>
      <c r="D50" s="1">
        <v>46025</v>
      </c>
      <c r="E50" s="1">
        <v>46025</v>
      </c>
      <c r="F50" s="1">
        <v>46027</v>
      </c>
      <c r="G50" s="1">
        <v>46026</v>
      </c>
      <c r="H50" s="1">
        <v>46027</v>
      </c>
      <c r="I50">
        <v>2244</v>
      </c>
      <c r="J50" t="s">
        <v>41</v>
      </c>
      <c r="K50" t="s">
        <v>42</v>
      </c>
      <c r="L50">
        <v>1008</v>
      </c>
      <c r="M50">
        <v>1008</v>
      </c>
      <c r="N50" t="s">
        <v>43</v>
      </c>
      <c r="O50">
        <v>1</v>
      </c>
      <c r="P50">
        <v>1008</v>
      </c>
      <c r="Q50" t="b">
        <v>1</v>
      </c>
      <c r="R50" t="b">
        <v>0</v>
      </c>
      <c r="S50" t="b">
        <v>0</v>
      </c>
      <c r="T50">
        <v>1793</v>
      </c>
      <c r="U50">
        <v>0</v>
      </c>
      <c r="V50" t="s">
        <v>33</v>
      </c>
      <c r="W50" t="s">
        <v>33</v>
      </c>
      <c r="X50">
        <v>1100</v>
      </c>
      <c r="Y50">
        <v>4852</v>
      </c>
      <c r="Z50" t="s">
        <v>44</v>
      </c>
      <c r="AA50">
        <v>4852</v>
      </c>
      <c r="AB50" t="s">
        <v>91</v>
      </c>
      <c r="AC50" t="s">
        <v>1340</v>
      </c>
      <c r="AD50" t="str">
        <f t="shared" si="0"/>
        <v>Guerrero → Veracruz</v>
      </c>
      <c r="AE50" t="s">
        <v>1359</v>
      </c>
      <c r="AF50" s="4">
        <v>46023</v>
      </c>
      <c r="AG50" t="str">
        <f>YEAR(Table1[[#This Row],[Fecha]])&amp;" - " &amp;UPPER(TEXT(Table1[[#This Row],[Fecha]],"mm-mmm"))</f>
        <v>2026 - 01-ENE</v>
      </c>
      <c r="AH50" s="5">
        <v>20</v>
      </c>
    </row>
    <row r="51" spans="1:34" x14ac:dyDescent="0.25">
      <c r="A51" t="s">
        <v>1344</v>
      </c>
      <c r="B51">
        <v>2026</v>
      </c>
      <c r="C51">
        <v>1</v>
      </c>
      <c r="D51" s="1">
        <v>46025</v>
      </c>
      <c r="E51" s="1">
        <v>46025</v>
      </c>
      <c r="F51" s="1">
        <v>46027</v>
      </c>
      <c r="G51" s="1">
        <v>46026</v>
      </c>
      <c r="H51" s="1">
        <v>46027</v>
      </c>
      <c r="I51">
        <v>2039</v>
      </c>
      <c r="J51" t="s">
        <v>54</v>
      </c>
      <c r="K51" t="s">
        <v>31</v>
      </c>
      <c r="L51">
        <v>1008</v>
      </c>
      <c r="M51">
        <v>1008</v>
      </c>
      <c r="N51" t="s">
        <v>32</v>
      </c>
      <c r="O51">
        <v>1</v>
      </c>
      <c r="P51">
        <v>1008</v>
      </c>
      <c r="Q51" t="b">
        <v>1</v>
      </c>
      <c r="R51" t="b">
        <v>0</v>
      </c>
      <c r="S51" t="b">
        <v>0</v>
      </c>
      <c r="T51">
        <v>1793</v>
      </c>
      <c r="U51">
        <v>0</v>
      </c>
      <c r="V51" t="s">
        <v>33</v>
      </c>
      <c r="W51" t="s">
        <v>33</v>
      </c>
      <c r="X51">
        <v>1100</v>
      </c>
      <c r="Y51">
        <v>4852</v>
      </c>
      <c r="Z51" t="s">
        <v>44</v>
      </c>
      <c r="AA51">
        <v>4852</v>
      </c>
      <c r="AB51" t="s">
        <v>91</v>
      </c>
      <c r="AC51" t="s">
        <v>1340</v>
      </c>
      <c r="AD51" t="str">
        <f t="shared" si="0"/>
        <v>Guerrero → Veracruz</v>
      </c>
      <c r="AE51" t="s">
        <v>1358</v>
      </c>
      <c r="AF51" s="4">
        <v>46023</v>
      </c>
      <c r="AG51" t="str">
        <f>YEAR(Table1[[#This Row],[Fecha]])&amp;" - " &amp;UPPER(TEXT(Table1[[#This Row],[Fecha]],"mm-mmm"))</f>
        <v>2026 - 01-ENE</v>
      </c>
      <c r="AH51" s="5">
        <v>20</v>
      </c>
    </row>
    <row r="52" spans="1:34" x14ac:dyDescent="0.25">
      <c r="A52" t="s">
        <v>114</v>
      </c>
      <c r="B52">
        <v>2024</v>
      </c>
      <c r="C52">
        <v>12</v>
      </c>
      <c r="D52" s="1">
        <v>45656</v>
      </c>
      <c r="E52" s="1">
        <v>45656</v>
      </c>
      <c r="F52" s="1">
        <v>45661</v>
      </c>
      <c r="G52" s="1">
        <v>45659</v>
      </c>
      <c r="H52" s="1">
        <v>45661</v>
      </c>
      <c r="I52">
        <v>2024</v>
      </c>
      <c r="J52" t="s">
        <v>41</v>
      </c>
      <c r="K52" t="s">
        <v>42</v>
      </c>
      <c r="L52">
        <v>2528</v>
      </c>
      <c r="M52">
        <v>1264</v>
      </c>
      <c r="N52" t="s">
        <v>115</v>
      </c>
      <c r="O52">
        <v>1</v>
      </c>
      <c r="P52">
        <v>1264</v>
      </c>
      <c r="Q52" t="b">
        <v>1</v>
      </c>
      <c r="R52" t="b">
        <v>0</v>
      </c>
      <c r="S52" t="b">
        <v>0</v>
      </c>
      <c r="T52">
        <v>1632</v>
      </c>
      <c r="U52">
        <v>0</v>
      </c>
      <c r="V52" t="s">
        <v>33</v>
      </c>
      <c r="W52" t="s">
        <v>33</v>
      </c>
      <c r="X52">
        <v>1300</v>
      </c>
      <c r="Y52">
        <v>4521</v>
      </c>
      <c r="Z52" t="s">
        <v>38</v>
      </c>
      <c r="AA52">
        <v>4521</v>
      </c>
      <c r="AB52" t="s">
        <v>57</v>
      </c>
      <c r="AC52" t="s">
        <v>116</v>
      </c>
      <c r="AD52" t="str">
        <f t="shared" si="0"/>
        <v>Cuautitlan → Papantla</v>
      </c>
      <c r="AE52" t="s">
        <v>1359</v>
      </c>
      <c r="AF52" s="4">
        <v>45627</v>
      </c>
      <c r="AG52" t="str">
        <f>YEAR(Table1[[#This Row],[Fecha]])&amp;" - " &amp;UPPER(TEXT(Table1[[#This Row],[Fecha]],"mm-mmm"))</f>
        <v>2024 - 12-DIC</v>
      </c>
      <c r="AH52" s="5">
        <v>0</v>
      </c>
    </row>
    <row r="53" spans="1:34" x14ac:dyDescent="0.25">
      <c r="A53" t="s">
        <v>254</v>
      </c>
      <c r="B53">
        <v>2025</v>
      </c>
      <c r="C53">
        <v>1</v>
      </c>
      <c r="D53" s="1">
        <v>45665</v>
      </c>
      <c r="E53" s="1">
        <v>45665</v>
      </c>
      <c r="F53" s="1">
        <v>45665</v>
      </c>
      <c r="G53" s="1">
        <v>45665</v>
      </c>
      <c r="H53" s="1">
        <v>45665</v>
      </c>
      <c r="I53">
        <v>2087</v>
      </c>
      <c r="J53" t="s">
        <v>30</v>
      </c>
      <c r="K53" t="s">
        <v>31</v>
      </c>
      <c r="L53">
        <v>176</v>
      </c>
      <c r="M53">
        <v>88</v>
      </c>
      <c r="N53" t="s">
        <v>255</v>
      </c>
      <c r="O53">
        <v>1</v>
      </c>
      <c r="P53">
        <v>88</v>
      </c>
      <c r="Q53" t="b">
        <v>1</v>
      </c>
      <c r="R53" t="b">
        <v>0</v>
      </c>
      <c r="S53" t="b">
        <v>0</v>
      </c>
      <c r="T53">
        <v>333</v>
      </c>
      <c r="U53">
        <v>0</v>
      </c>
      <c r="V53" t="s">
        <v>33</v>
      </c>
      <c r="W53" t="s">
        <v>33</v>
      </c>
      <c r="X53">
        <v>100</v>
      </c>
      <c r="Y53">
        <v>1766</v>
      </c>
      <c r="Z53" t="s">
        <v>256</v>
      </c>
      <c r="AA53">
        <v>1766</v>
      </c>
      <c r="AB53" t="s">
        <v>121</v>
      </c>
      <c r="AC53" t="s">
        <v>253</v>
      </c>
      <c r="AD53" t="str">
        <f t="shared" si="0"/>
        <v>Escobedo → Allende</v>
      </c>
      <c r="AE53" t="s">
        <v>1357</v>
      </c>
      <c r="AF53" s="4">
        <v>45658</v>
      </c>
      <c r="AG53" t="str">
        <f>YEAR(Table1[[#This Row],[Fecha]])&amp;" - " &amp;UPPER(TEXT(Table1[[#This Row],[Fecha]],"mm-mmm"))</f>
        <v>2025 - 01-ENE</v>
      </c>
      <c r="AH53" s="5">
        <v>0</v>
      </c>
    </row>
    <row r="54" spans="1:34" x14ac:dyDescent="0.25">
      <c r="A54" t="s">
        <v>351</v>
      </c>
      <c r="B54">
        <v>2025</v>
      </c>
      <c r="C54">
        <v>1</v>
      </c>
      <c r="D54" s="1">
        <v>45665</v>
      </c>
      <c r="E54" s="1">
        <v>45665</v>
      </c>
      <c r="F54" s="1">
        <v>45666</v>
      </c>
      <c r="G54" s="1">
        <v>45665</v>
      </c>
      <c r="H54" s="1">
        <v>45666</v>
      </c>
      <c r="I54">
        <v>2024</v>
      </c>
      <c r="J54" t="s">
        <v>41</v>
      </c>
      <c r="K54" t="s">
        <v>42</v>
      </c>
      <c r="L54">
        <v>961</v>
      </c>
      <c r="M54">
        <v>1059</v>
      </c>
      <c r="N54" t="s">
        <v>115</v>
      </c>
      <c r="O54">
        <v>1</v>
      </c>
      <c r="P54">
        <v>964</v>
      </c>
      <c r="Q54" t="b">
        <v>1</v>
      </c>
      <c r="R54" t="b">
        <v>0</v>
      </c>
      <c r="S54" t="b">
        <v>0</v>
      </c>
      <c r="T54">
        <v>1396</v>
      </c>
      <c r="U54">
        <v>0</v>
      </c>
      <c r="V54" t="s">
        <v>33</v>
      </c>
      <c r="W54" t="s">
        <v>352</v>
      </c>
      <c r="X54">
        <v>1100</v>
      </c>
      <c r="Y54">
        <v>8</v>
      </c>
      <c r="Z54" t="s">
        <v>256</v>
      </c>
      <c r="AA54">
        <v>8</v>
      </c>
      <c r="AB54" t="s">
        <v>121</v>
      </c>
      <c r="AC54" t="s">
        <v>56</v>
      </c>
      <c r="AD54" t="str">
        <f t="shared" si="0"/>
        <v>Escobedo → Cd Sahagún</v>
      </c>
      <c r="AE54" t="s">
        <v>1359</v>
      </c>
      <c r="AF54" s="4">
        <v>45658</v>
      </c>
      <c r="AG54" t="str">
        <f>YEAR(Table1[[#This Row],[Fecha]])&amp;" - " &amp;UPPER(TEXT(Table1[[#This Row],[Fecha]],"mm-mmm"))</f>
        <v>2025 - 01-ENE</v>
      </c>
      <c r="AH54" s="5">
        <v>0</v>
      </c>
    </row>
    <row r="55" spans="1:34" x14ac:dyDescent="0.25">
      <c r="A55" t="s">
        <v>372</v>
      </c>
      <c r="B55">
        <v>2025</v>
      </c>
      <c r="C55">
        <v>1</v>
      </c>
      <c r="D55" s="1">
        <v>45665</v>
      </c>
      <c r="E55" s="1">
        <v>45665</v>
      </c>
      <c r="F55" s="1">
        <v>45667</v>
      </c>
      <c r="G55" s="1">
        <v>45666</v>
      </c>
      <c r="H55" s="1">
        <v>45667</v>
      </c>
      <c r="I55">
        <v>2087</v>
      </c>
      <c r="J55" t="s">
        <v>30</v>
      </c>
      <c r="K55" t="s">
        <v>31</v>
      </c>
      <c r="L55">
        <v>842</v>
      </c>
      <c r="M55">
        <v>842</v>
      </c>
      <c r="N55" t="s">
        <v>255</v>
      </c>
      <c r="O55">
        <v>1</v>
      </c>
      <c r="P55">
        <v>863</v>
      </c>
      <c r="Q55" t="b">
        <v>1</v>
      </c>
      <c r="R55" t="b">
        <v>0</v>
      </c>
      <c r="S55" t="b">
        <v>0</v>
      </c>
      <c r="T55">
        <v>1134</v>
      </c>
      <c r="U55">
        <v>0</v>
      </c>
      <c r="V55" t="s">
        <v>33</v>
      </c>
      <c r="W55" t="s">
        <v>373</v>
      </c>
      <c r="X55">
        <v>900</v>
      </c>
      <c r="Y55">
        <v>1843</v>
      </c>
      <c r="Z55" t="s">
        <v>374</v>
      </c>
      <c r="AA55">
        <v>1843</v>
      </c>
      <c r="AB55" t="s">
        <v>121</v>
      </c>
      <c r="AC55" t="s">
        <v>364</v>
      </c>
      <c r="AD55" t="str">
        <f t="shared" si="0"/>
        <v>Escobedo → Mazatlan</v>
      </c>
      <c r="AE55" t="s">
        <v>1357</v>
      </c>
      <c r="AF55" s="4">
        <v>45658</v>
      </c>
      <c r="AG55" t="str">
        <f>YEAR(Table1[[#This Row],[Fecha]])&amp;" - " &amp;UPPER(TEXT(Table1[[#This Row],[Fecha]],"mm-mmm"))</f>
        <v>2025 - 01-ENE</v>
      </c>
      <c r="AH55" s="5">
        <v>0</v>
      </c>
    </row>
    <row r="56" spans="1:34" x14ac:dyDescent="0.25">
      <c r="A56" t="s">
        <v>550</v>
      </c>
      <c r="B56">
        <v>2025</v>
      </c>
      <c r="C56">
        <v>1</v>
      </c>
      <c r="D56" s="1">
        <v>45667</v>
      </c>
      <c r="E56" s="1">
        <v>45667</v>
      </c>
      <c r="F56" s="1">
        <v>45667</v>
      </c>
      <c r="G56" s="1">
        <v>45667</v>
      </c>
      <c r="H56" s="1">
        <v>45667</v>
      </c>
      <c r="I56">
        <v>2019</v>
      </c>
      <c r="J56" t="s">
        <v>54</v>
      </c>
      <c r="K56" t="s">
        <v>31</v>
      </c>
      <c r="L56">
        <v>50</v>
      </c>
      <c r="M56">
        <v>50</v>
      </c>
      <c r="N56" t="s">
        <v>134</v>
      </c>
      <c r="O56">
        <v>1</v>
      </c>
      <c r="P56">
        <v>150</v>
      </c>
      <c r="Q56" t="b">
        <v>1</v>
      </c>
      <c r="R56" t="b">
        <v>0</v>
      </c>
      <c r="S56" t="b">
        <v>0</v>
      </c>
      <c r="T56">
        <v>216</v>
      </c>
      <c r="U56">
        <v>0</v>
      </c>
      <c r="V56" t="s">
        <v>33</v>
      </c>
      <c r="W56" t="s">
        <v>33</v>
      </c>
      <c r="X56">
        <v>50</v>
      </c>
      <c r="Y56">
        <v>2936</v>
      </c>
      <c r="Z56" t="s">
        <v>551</v>
      </c>
      <c r="AA56">
        <v>2936</v>
      </c>
      <c r="AB56" t="s">
        <v>121</v>
      </c>
      <c r="AC56" t="s">
        <v>432</v>
      </c>
      <c r="AD56" t="str">
        <f t="shared" si="0"/>
        <v>Escobedo → Hidalgo</v>
      </c>
      <c r="AE56" t="s">
        <v>1358</v>
      </c>
      <c r="AF56" s="4">
        <v>45658</v>
      </c>
      <c r="AG56" t="str">
        <f>YEAR(Table1[[#This Row],[Fecha]])&amp;" - " &amp;UPPER(TEXT(Table1[[#This Row],[Fecha]],"mm-mmm"))</f>
        <v>2025 - 01-ENE</v>
      </c>
      <c r="AH56" s="5">
        <v>0</v>
      </c>
    </row>
    <row r="57" spans="1:34" x14ac:dyDescent="0.25">
      <c r="A57" t="s">
        <v>349</v>
      </c>
      <c r="B57">
        <v>2025</v>
      </c>
      <c r="C57">
        <v>1</v>
      </c>
      <c r="D57" s="1">
        <v>45668</v>
      </c>
      <c r="E57" s="1">
        <v>45668</v>
      </c>
      <c r="F57" s="1">
        <v>45668</v>
      </c>
      <c r="G57" s="1">
        <v>45668</v>
      </c>
      <c r="H57" s="1">
        <v>45669</v>
      </c>
      <c r="I57">
        <v>2087</v>
      </c>
      <c r="J57" t="s">
        <v>30</v>
      </c>
      <c r="K57" t="s">
        <v>31</v>
      </c>
      <c r="L57">
        <v>961</v>
      </c>
      <c r="M57">
        <v>1059</v>
      </c>
      <c r="N57" t="s">
        <v>255</v>
      </c>
      <c r="O57">
        <v>1</v>
      </c>
      <c r="P57">
        <v>964</v>
      </c>
      <c r="Q57" t="b">
        <v>1</v>
      </c>
      <c r="R57" t="b">
        <v>0</v>
      </c>
      <c r="S57" t="b">
        <v>0</v>
      </c>
      <c r="T57">
        <v>1396</v>
      </c>
      <c r="U57">
        <v>0</v>
      </c>
      <c r="V57" t="s">
        <v>33</v>
      </c>
      <c r="W57" t="s">
        <v>33</v>
      </c>
      <c r="X57">
        <v>1100</v>
      </c>
      <c r="Y57">
        <v>8</v>
      </c>
      <c r="Z57" t="s">
        <v>350</v>
      </c>
      <c r="AA57">
        <v>8</v>
      </c>
      <c r="AB57" t="s">
        <v>121</v>
      </c>
      <c r="AC57" t="s">
        <v>56</v>
      </c>
      <c r="AD57" t="str">
        <f t="shared" si="0"/>
        <v>Escobedo → Cd Sahagún</v>
      </c>
      <c r="AE57" t="s">
        <v>1357</v>
      </c>
      <c r="AF57" s="4">
        <v>45658</v>
      </c>
      <c r="AG57" t="str">
        <f>YEAR(Table1[[#This Row],[Fecha]])&amp;" - " &amp;UPPER(TEXT(Table1[[#This Row],[Fecha]],"mm-mmm"))</f>
        <v>2025 - 01-ENE</v>
      </c>
      <c r="AH57" s="5">
        <v>0</v>
      </c>
    </row>
    <row r="58" spans="1:34" x14ac:dyDescent="0.25">
      <c r="A58" t="s">
        <v>556</v>
      </c>
      <c r="B58">
        <v>2025</v>
      </c>
      <c r="C58">
        <v>1</v>
      </c>
      <c r="D58" s="1">
        <v>45670</v>
      </c>
      <c r="E58" s="1">
        <v>45670</v>
      </c>
      <c r="F58" s="1">
        <v>45670</v>
      </c>
      <c r="G58" s="1">
        <v>45670</v>
      </c>
      <c r="H58" s="1">
        <v>45671</v>
      </c>
      <c r="I58">
        <v>2050</v>
      </c>
      <c r="J58" t="s">
        <v>54</v>
      </c>
      <c r="K58" t="s">
        <v>31</v>
      </c>
      <c r="L58">
        <v>50</v>
      </c>
      <c r="M58">
        <v>50</v>
      </c>
      <c r="N58" t="s">
        <v>55</v>
      </c>
      <c r="O58">
        <v>1</v>
      </c>
      <c r="P58">
        <v>150</v>
      </c>
      <c r="Q58" t="b">
        <v>1</v>
      </c>
      <c r="R58" t="b">
        <v>0</v>
      </c>
      <c r="S58" t="b">
        <v>0</v>
      </c>
      <c r="T58">
        <v>216</v>
      </c>
      <c r="U58">
        <v>0</v>
      </c>
      <c r="V58" t="s">
        <v>33</v>
      </c>
      <c r="W58" t="s">
        <v>33</v>
      </c>
      <c r="X58">
        <v>50</v>
      </c>
      <c r="Y58">
        <v>2936</v>
      </c>
      <c r="Z58" t="s">
        <v>551</v>
      </c>
      <c r="AA58">
        <v>2936</v>
      </c>
      <c r="AB58" t="s">
        <v>121</v>
      </c>
      <c r="AC58" t="s">
        <v>432</v>
      </c>
      <c r="AD58" t="str">
        <f t="shared" si="0"/>
        <v>Escobedo → Hidalgo</v>
      </c>
      <c r="AE58" t="s">
        <v>1358</v>
      </c>
      <c r="AF58" s="4">
        <v>45658</v>
      </c>
      <c r="AG58" t="str">
        <f>YEAR(Table1[[#This Row],[Fecha]])&amp;" - " &amp;UPPER(TEXT(Table1[[#This Row],[Fecha]],"mm-mmm"))</f>
        <v>2025 - 01-ENE</v>
      </c>
      <c r="AH58" s="5">
        <v>0</v>
      </c>
    </row>
    <row r="59" spans="1:34" x14ac:dyDescent="0.25">
      <c r="A59" t="s">
        <v>557</v>
      </c>
      <c r="B59">
        <v>2025</v>
      </c>
      <c r="C59">
        <v>1</v>
      </c>
      <c r="D59" s="1">
        <v>45670</v>
      </c>
      <c r="E59" s="1">
        <v>45670</v>
      </c>
      <c r="F59" s="1">
        <v>45670</v>
      </c>
      <c r="G59" s="1">
        <v>45670</v>
      </c>
      <c r="H59" s="2">
        <v>45671.393147141207</v>
      </c>
      <c r="I59">
        <v>2039</v>
      </c>
      <c r="J59" t="s">
        <v>54</v>
      </c>
      <c r="K59" t="s">
        <v>31</v>
      </c>
      <c r="L59">
        <v>50</v>
      </c>
      <c r="M59">
        <v>50</v>
      </c>
      <c r="N59" t="s">
        <v>32</v>
      </c>
      <c r="O59">
        <v>1</v>
      </c>
      <c r="P59">
        <v>150</v>
      </c>
      <c r="Q59" t="b">
        <v>1</v>
      </c>
      <c r="R59" t="b">
        <v>0</v>
      </c>
      <c r="S59" t="b">
        <v>0</v>
      </c>
      <c r="T59">
        <v>216</v>
      </c>
      <c r="U59">
        <v>0</v>
      </c>
      <c r="V59" t="s">
        <v>33</v>
      </c>
      <c r="W59" t="s">
        <v>33</v>
      </c>
      <c r="X59">
        <v>50</v>
      </c>
      <c r="Y59">
        <v>2936</v>
      </c>
      <c r="Z59" t="s">
        <v>551</v>
      </c>
      <c r="AA59">
        <v>2936</v>
      </c>
      <c r="AB59" t="s">
        <v>121</v>
      </c>
      <c r="AC59" t="s">
        <v>432</v>
      </c>
      <c r="AD59" t="str">
        <f t="shared" si="0"/>
        <v>Escobedo → Hidalgo</v>
      </c>
      <c r="AE59" t="s">
        <v>1358</v>
      </c>
      <c r="AF59" s="4">
        <v>45658</v>
      </c>
      <c r="AG59" t="str">
        <f>YEAR(Table1[[#This Row],[Fecha]])&amp;" - " &amp;UPPER(TEXT(Table1[[#This Row],[Fecha]],"mm-mmm"))</f>
        <v>2025 - 01-ENE</v>
      </c>
      <c r="AH59" s="5">
        <v>0</v>
      </c>
    </row>
    <row r="60" spans="1:34" x14ac:dyDescent="0.25">
      <c r="A60" t="s">
        <v>558</v>
      </c>
      <c r="B60">
        <v>2025</v>
      </c>
      <c r="C60">
        <v>1</v>
      </c>
      <c r="D60" s="1">
        <v>45671</v>
      </c>
      <c r="E60" s="1">
        <v>45671</v>
      </c>
      <c r="F60" s="1">
        <v>45671</v>
      </c>
      <c r="G60" s="1">
        <v>45671</v>
      </c>
      <c r="H60" s="1">
        <v>45671</v>
      </c>
      <c r="I60">
        <v>2050</v>
      </c>
      <c r="J60" t="s">
        <v>54</v>
      </c>
      <c r="K60" t="s">
        <v>31</v>
      </c>
      <c r="L60">
        <v>50</v>
      </c>
      <c r="M60">
        <v>50</v>
      </c>
      <c r="N60" t="s">
        <v>55</v>
      </c>
      <c r="O60">
        <v>1</v>
      </c>
      <c r="P60">
        <v>150</v>
      </c>
      <c r="Q60" t="b">
        <v>1</v>
      </c>
      <c r="R60" t="b">
        <v>0</v>
      </c>
      <c r="S60" t="b">
        <v>0</v>
      </c>
      <c r="T60">
        <v>216</v>
      </c>
      <c r="U60">
        <v>0</v>
      </c>
      <c r="V60" t="s">
        <v>33</v>
      </c>
      <c r="W60" t="s">
        <v>33</v>
      </c>
      <c r="X60">
        <v>50</v>
      </c>
      <c r="Y60">
        <v>2936</v>
      </c>
      <c r="Z60" t="s">
        <v>551</v>
      </c>
      <c r="AA60">
        <v>2936</v>
      </c>
      <c r="AB60" t="s">
        <v>121</v>
      </c>
      <c r="AC60" t="s">
        <v>432</v>
      </c>
      <c r="AD60" t="str">
        <f t="shared" si="0"/>
        <v>Escobedo → Hidalgo</v>
      </c>
      <c r="AE60" t="s">
        <v>1358</v>
      </c>
      <c r="AF60" s="4">
        <v>45658</v>
      </c>
      <c r="AG60" t="str">
        <f>YEAR(Table1[[#This Row],[Fecha]])&amp;" - " &amp;UPPER(TEXT(Table1[[#This Row],[Fecha]],"mm-mmm"))</f>
        <v>2025 - 01-ENE</v>
      </c>
      <c r="AH60" s="5">
        <v>0</v>
      </c>
    </row>
    <row r="61" spans="1:34" x14ac:dyDescent="0.25">
      <c r="A61" t="s">
        <v>559</v>
      </c>
      <c r="B61">
        <v>2025</v>
      </c>
      <c r="C61">
        <v>1</v>
      </c>
      <c r="D61" s="1">
        <v>45671</v>
      </c>
      <c r="E61" s="1">
        <v>45671</v>
      </c>
      <c r="F61" s="1">
        <v>45671</v>
      </c>
      <c r="G61" s="1">
        <v>45671</v>
      </c>
      <c r="H61" s="1">
        <v>45671</v>
      </c>
      <c r="I61">
        <v>2039</v>
      </c>
      <c r="J61" t="s">
        <v>54</v>
      </c>
      <c r="K61" t="s">
        <v>31</v>
      </c>
      <c r="L61">
        <v>50</v>
      </c>
      <c r="M61">
        <v>50</v>
      </c>
      <c r="N61" t="s">
        <v>32</v>
      </c>
      <c r="O61">
        <v>1</v>
      </c>
      <c r="P61">
        <v>150</v>
      </c>
      <c r="Q61" t="b">
        <v>1</v>
      </c>
      <c r="R61" t="b">
        <v>0</v>
      </c>
      <c r="S61" t="b">
        <v>0</v>
      </c>
      <c r="T61">
        <v>216</v>
      </c>
      <c r="U61">
        <v>0</v>
      </c>
      <c r="V61" t="s">
        <v>33</v>
      </c>
      <c r="W61" t="s">
        <v>33</v>
      </c>
      <c r="X61">
        <v>50</v>
      </c>
      <c r="Y61">
        <v>2936</v>
      </c>
      <c r="Z61" t="s">
        <v>551</v>
      </c>
      <c r="AA61">
        <v>2936</v>
      </c>
      <c r="AB61" t="s">
        <v>121</v>
      </c>
      <c r="AC61" t="s">
        <v>432</v>
      </c>
      <c r="AD61" t="str">
        <f t="shared" si="0"/>
        <v>Escobedo → Hidalgo</v>
      </c>
      <c r="AE61" t="s">
        <v>1358</v>
      </c>
      <c r="AF61" s="4">
        <v>45658</v>
      </c>
      <c r="AG61" t="str">
        <f>YEAR(Table1[[#This Row],[Fecha]])&amp;" - " &amp;UPPER(TEXT(Table1[[#This Row],[Fecha]],"mm-mmm"))</f>
        <v>2025 - 01-ENE</v>
      </c>
      <c r="AH61" s="5">
        <v>0</v>
      </c>
    </row>
    <row r="62" spans="1:34" x14ac:dyDescent="0.25">
      <c r="A62" t="s">
        <v>560</v>
      </c>
      <c r="B62">
        <v>2025</v>
      </c>
      <c r="C62">
        <v>1</v>
      </c>
      <c r="D62" s="1">
        <v>45671</v>
      </c>
      <c r="E62" s="1">
        <v>45671</v>
      </c>
      <c r="F62" s="1">
        <v>45671</v>
      </c>
      <c r="G62" s="1">
        <v>45671</v>
      </c>
      <c r="H62" s="2">
        <v>45671.594965162039</v>
      </c>
      <c r="I62">
        <v>2039</v>
      </c>
      <c r="J62" t="s">
        <v>30</v>
      </c>
      <c r="K62" t="s">
        <v>31</v>
      </c>
      <c r="L62">
        <v>50</v>
      </c>
      <c r="M62">
        <v>50</v>
      </c>
      <c r="N62" t="s">
        <v>32</v>
      </c>
      <c r="O62">
        <v>1</v>
      </c>
      <c r="P62">
        <v>150</v>
      </c>
      <c r="Q62" t="b">
        <v>1</v>
      </c>
      <c r="R62" t="b">
        <v>0</v>
      </c>
      <c r="S62" t="b">
        <v>0</v>
      </c>
      <c r="T62">
        <v>216</v>
      </c>
      <c r="U62">
        <v>0</v>
      </c>
      <c r="V62" t="s">
        <v>33</v>
      </c>
      <c r="W62" t="s">
        <v>33</v>
      </c>
      <c r="X62">
        <v>50</v>
      </c>
      <c r="Y62">
        <v>2936</v>
      </c>
      <c r="Z62" t="s">
        <v>551</v>
      </c>
      <c r="AA62">
        <v>2936</v>
      </c>
      <c r="AB62" t="s">
        <v>121</v>
      </c>
      <c r="AC62" t="s">
        <v>432</v>
      </c>
      <c r="AD62" t="str">
        <f t="shared" si="0"/>
        <v>Escobedo → Hidalgo</v>
      </c>
      <c r="AE62" t="s">
        <v>1357</v>
      </c>
      <c r="AF62" s="4">
        <v>45658</v>
      </c>
      <c r="AG62" t="str">
        <f>YEAR(Table1[[#This Row],[Fecha]])&amp;" - " &amp;UPPER(TEXT(Table1[[#This Row],[Fecha]],"mm-mmm"))</f>
        <v>2025 - 01-ENE</v>
      </c>
      <c r="AH62" s="5">
        <v>0</v>
      </c>
    </row>
    <row r="63" spans="1:34" x14ac:dyDescent="0.25">
      <c r="A63" t="s">
        <v>561</v>
      </c>
      <c r="B63">
        <v>2025</v>
      </c>
      <c r="C63">
        <v>1</v>
      </c>
      <c r="D63" s="1">
        <v>45671</v>
      </c>
      <c r="E63" s="1">
        <v>45671</v>
      </c>
      <c r="F63" s="1">
        <v>45671</v>
      </c>
      <c r="G63" s="1">
        <v>45671</v>
      </c>
      <c r="H63" s="1">
        <v>45672</v>
      </c>
      <c r="I63">
        <v>2050</v>
      </c>
      <c r="J63" t="s">
        <v>30</v>
      </c>
      <c r="K63" t="s">
        <v>31</v>
      </c>
      <c r="L63">
        <v>50</v>
      </c>
      <c r="M63">
        <v>50</v>
      </c>
      <c r="N63" t="s">
        <v>55</v>
      </c>
      <c r="O63">
        <v>1</v>
      </c>
      <c r="P63">
        <v>150</v>
      </c>
      <c r="Q63" t="b">
        <v>1</v>
      </c>
      <c r="R63" t="b">
        <v>0</v>
      </c>
      <c r="S63" t="b">
        <v>0</v>
      </c>
      <c r="T63">
        <v>216</v>
      </c>
      <c r="U63">
        <v>0</v>
      </c>
      <c r="V63" t="s">
        <v>33</v>
      </c>
      <c r="W63" t="s">
        <v>33</v>
      </c>
      <c r="X63">
        <v>50</v>
      </c>
      <c r="Y63">
        <v>2936</v>
      </c>
      <c r="Z63" t="s">
        <v>551</v>
      </c>
      <c r="AA63">
        <v>2936</v>
      </c>
      <c r="AB63" t="s">
        <v>121</v>
      </c>
      <c r="AC63" t="s">
        <v>432</v>
      </c>
      <c r="AD63" t="str">
        <f t="shared" si="0"/>
        <v>Escobedo → Hidalgo</v>
      </c>
      <c r="AE63" t="s">
        <v>1357</v>
      </c>
      <c r="AF63" s="4">
        <v>45658</v>
      </c>
      <c r="AG63" t="str">
        <f>YEAR(Table1[[#This Row],[Fecha]])&amp;" - " &amp;UPPER(TEXT(Table1[[#This Row],[Fecha]],"mm-mmm"))</f>
        <v>2025 - 01-ENE</v>
      </c>
      <c r="AH63" s="5">
        <v>0</v>
      </c>
    </row>
    <row r="64" spans="1:34" x14ac:dyDescent="0.25">
      <c r="A64" t="s">
        <v>562</v>
      </c>
      <c r="B64">
        <v>2025</v>
      </c>
      <c r="C64">
        <v>1</v>
      </c>
      <c r="D64" s="1">
        <v>45673</v>
      </c>
      <c r="E64" s="1">
        <v>45673</v>
      </c>
      <c r="F64" s="1">
        <v>45673</v>
      </c>
      <c r="G64" s="1">
        <v>45673</v>
      </c>
      <c r="H64" s="2">
        <v>45673.436183530095</v>
      </c>
      <c r="I64">
        <v>2039</v>
      </c>
      <c r="J64" t="s">
        <v>30</v>
      </c>
      <c r="K64" t="s">
        <v>31</v>
      </c>
      <c r="L64">
        <v>50</v>
      </c>
      <c r="M64">
        <v>50</v>
      </c>
      <c r="N64" t="s">
        <v>32</v>
      </c>
      <c r="O64">
        <v>1</v>
      </c>
      <c r="P64">
        <v>150</v>
      </c>
      <c r="Q64" t="b">
        <v>1</v>
      </c>
      <c r="R64" t="b">
        <v>0</v>
      </c>
      <c r="S64" t="b">
        <v>0</v>
      </c>
      <c r="T64">
        <v>216</v>
      </c>
      <c r="U64">
        <v>0</v>
      </c>
      <c r="V64" t="s">
        <v>33</v>
      </c>
      <c r="W64" t="s">
        <v>33</v>
      </c>
      <c r="X64">
        <v>50</v>
      </c>
      <c r="Y64">
        <v>2936</v>
      </c>
      <c r="Z64" t="s">
        <v>551</v>
      </c>
      <c r="AA64">
        <v>2936</v>
      </c>
      <c r="AB64" t="s">
        <v>121</v>
      </c>
      <c r="AC64" t="s">
        <v>432</v>
      </c>
      <c r="AD64" t="str">
        <f t="shared" si="0"/>
        <v>Escobedo → Hidalgo</v>
      </c>
      <c r="AE64" t="s">
        <v>1357</v>
      </c>
      <c r="AF64" s="4">
        <v>45658</v>
      </c>
      <c r="AG64" t="str">
        <f>YEAR(Table1[[#This Row],[Fecha]])&amp;" - " &amp;UPPER(TEXT(Table1[[#This Row],[Fecha]],"mm-mmm"))</f>
        <v>2025 - 01-ENE</v>
      </c>
      <c r="AH64" s="5">
        <v>0</v>
      </c>
    </row>
    <row r="65" spans="1:34" x14ac:dyDescent="0.25">
      <c r="A65" t="s">
        <v>563</v>
      </c>
      <c r="B65">
        <v>2025</v>
      </c>
      <c r="C65">
        <v>1</v>
      </c>
      <c r="D65" s="1">
        <v>45673</v>
      </c>
      <c r="E65" s="1">
        <v>45673</v>
      </c>
      <c r="F65" s="1">
        <v>45673</v>
      </c>
      <c r="G65" s="1">
        <v>45673</v>
      </c>
      <c r="H65" s="2">
        <v>45673.436555590277</v>
      </c>
      <c r="I65">
        <v>2039</v>
      </c>
      <c r="J65" t="s">
        <v>30</v>
      </c>
      <c r="K65" t="s">
        <v>31</v>
      </c>
      <c r="L65">
        <v>50</v>
      </c>
      <c r="M65">
        <v>50</v>
      </c>
      <c r="N65" t="s">
        <v>32</v>
      </c>
      <c r="O65">
        <v>1</v>
      </c>
      <c r="P65">
        <v>150</v>
      </c>
      <c r="Q65" t="b">
        <v>1</v>
      </c>
      <c r="R65" t="b">
        <v>0</v>
      </c>
      <c r="S65" t="b">
        <v>0</v>
      </c>
      <c r="T65">
        <v>216</v>
      </c>
      <c r="U65">
        <v>0</v>
      </c>
      <c r="V65" t="s">
        <v>33</v>
      </c>
      <c r="W65" t="s">
        <v>33</v>
      </c>
      <c r="X65">
        <v>50</v>
      </c>
      <c r="Y65">
        <v>2936</v>
      </c>
      <c r="Z65" t="s">
        <v>551</v>
      </c>
      <c r="AA65">
        <v>2936</v>
      </c>
      <c r="AB65" t="s">
        <v>121</v>
      </c>
      <c r="AC65" t="s">
        <v>432</v>
      </c>
      <c r="AD65" t="str">
        <f t="shared" si="0"/>
        <v>Escobedo → Hidalgo</v>
      </c>
      <c r="AE65" t="s">
        <v>1357</v>
      </c>
      <c r="AF65" s="4">
        <v>45658</v>
      </c>
      <c r="AG65" t="str">
        <f>YEAR(Table1[[#This Row],[Fecha]])&amp;" - " &amp;UPPER(TEXT(Table1[[#This Row],[Fecha]],"mm-mmm"))</f>
        <v>2025 - 01-ENE</v>
      </c>
      <c r="AH65" s="5">
        <v>0</v>
      </c>
    </row>
    <row r="66" spans="1:34" x14ac:dyDescent="0.25">
      <c r="A66" t="s">
        <v>564</v>
      </c>
      <c r="B66">
        <v>2025</v>
      </c>
      <c r="C66">
        <v>1</v>
      </c>
      <c r="D66" s="1">
        <v>45673</v>
      </c>
      <c r="E66" s="1">
        <v>45673</v>
      </c>
      <c r="F66" s="1">
        <v>45673</v>
      </c>
      <c r="G66" s="1">
        <v>45673</v>
      </c>
      <c r="H66" s="2">
        <v>45673.436868518518</v>
      </c>
      <c r="I66">
        <v>2039</v>
      </c>
      <c r="J66" t="s">
        <v>30</v>
      </c>
      <c r="K66" t="s">
        <v>31</v>
      </c>
      <c r="L66">
        <v>50</v>
      </c>
      <c r="M66">
        <v>50</v>
      </c>
      <c r="N66" t="s">
        <v>32</v>
      </c>
      <c r="O66">
        <v>1</v>
      </c>
      <c r="P66">
        <v>150</v>
      </c>
      <c r="Q66" t="b">
        <v>1</v>
      </c>
      <c r="R66" t="b">
        <v>0</v>
      </c>
      <c r="S66" t="b">
        <v>0</v>
      </c>
      <c r="T66">
        <v>216</v>
      </c>
      <c r="U66">
        <v>0</v>
      </c>
      <c r="V66" t="s">
        <v>33</v>
      </c>
      <c r="W66" t="s">
        <v>33</v>
      </c>
      <c r="X66">
        <v>50</v>
      </c>
      <c r="Y66">
        <v>2936</v>
      </c>
      <c r="Z66" t="s">
        <v>551</v>
      </c>
      <c r="AA66">
        <v>2936</v>
      </c>
      <c r="AB66" t="s">
        <v>121</v>
      </c>
      <c r="AC66" t="s">
        <v>432</v>
      </c>
      <c r="AD66" t="str">
        <f t="shared" ref="AD66:AD129" si="1">+AB66&amp;" → "&amp;AC66</f>
        <v>Escobedo → Hidalgo</v>
      </c>
      <c r="AE66" t="s">
        <v>1357</v>
      </c>
      <c r="AF66" s="4">
        <v>45658</v>
      </c>
      <c r="AG66" t="str">
        <f>YEAR(Table1[[#This Row],[Fecha]])&amp;" - " &amp;UPPER(TEXT(Table1[[#This Row],[Fecha]],"mm-mmm"))</f>
        <v>2025 - 01-ENE</v>
      </c>
      <c r="AH66" s="5">
        <v>0</v>
      </c>
    </row>
    <row r="67" spans="1:34" x14ac:dyDescent="0.25">
      <c r="A67" t="s">
        <v>996</v>
      </c>
      <c r="B67">
        <v>2025</v>
      </c>
      <c r="C67">
        <v>1</v>
      </c>
      <c r="D67" s="1">
        <v>45673</v>
      </c>
      <c r="E67" s="1">
        <v>45673</v>
      </c>
      <c r="F67" s="1">
        <v>45673</v>
      </c>
      <c r="G67" s="1">
        <v>45673</v>
      </c>
      <c r="H67" s="2">
        <v>45673.437664814817</v>
      </c>
      <c r="I67">
        <v>2039</v>
      </c>
      <c r="J67" t="s">
        <v>30</v>
      </c>
      <c r="K67" t="s">
        <v>31</v>
      </c>
      <c r="L67">
        <v>50</v>
      </c>
      <c r="M67">
        <v>50</v>
      </c>
      <c r="N67" t="s">
        <v>32</v>
      </c>
      <c r="O67">
        <v>1</v>
      </c>
      <c r="P67">
        <v>150</v>
      </c>
      <c r="Q67" t="b">
        <v>1</v>
      </c>
      <c r="R67" t="b">
        <v>0</v>
      </c>
      <c r="S67" t="b">
        <v>0</v>
      </c>
      <c r="T67">
        <v>216</v>
      </c>
      <c r="U67">
        <v>0</v>
      </c>
      <c r="V67" t="s">
        <v>33</v>
      </c>
      <c r="W67" t="s">
        <v>33</v>
      </c>
      <c r="X67">
        <v>50</v>
      </c>
      <c r="Y67">
        <v>359</v>
      </c>
      <c r="Z67" t="s">
        <v>551</v>
      </c>
      <c r="AA67">
        <v>359</v>
      </c>
      <c r="AB67" t="s">
        <v>121</v>
      </c>
      <c r="AC67" t="s">
        <v>121</v>
      </c>
      <c r="AD67" t="str">
        <f t="shared" si="1"/>
        <v>Escobedo → Escobedo</v>
      </c>
      <c r="AE67" t="s">
        <v>1357</v>
      </c>
      <c r="AF67" s="4">
        <v>45658</v>
      </c>
      <c r="AG67" t="str">
        <f>YEAR(Table1[[#This Row],[Fecha]])&amp;" - " &amp;UPPER(TEXT(Table1[[#This Row],[Fecha]],"mm-mmm"))</f>
        <v>2025 - 01-ENE</v>
      </c>
      <c r="AH67" s="5">
        <v>0</v>
      </c>
    </row>
    <row r="68" spans="1:34" x14ac:dyDescent="0.25">
      <c r="A68" t="s">
        <v>567</v>
      </c>
      <c r="B68">
        <v>2025</v>
      </c>
      <c r="C68">
        <v>1</v>
      </c>
      <c r="D68" s="1">
        <v>45673</v>
      </c>
      <c r="E68" s="1">
        <v>45673</v>
      </c>
      <c r="F68" s="1">
        <v>45673</v>
      </c>
      <c r="G68" s="1">
        <v>45673</v>
      </c>
      <c r="H68" s="2">
        <v>45673.438171562499</v>
      </c>
      <c r="I68">
        <v>2039</v>
      </c>
      <c r="J68" t="s">
        <v>30</v>
      </c>
      <c r="K68" t="s">
        <v>31</v>
      </c>
      <c r="L68">
        <v>50</v>
      </c>
      <c r="M68">
        <v>50</v>
      </c>
      <c r="N68" t="s">
        <v>32</v>
      </c>
      <c r="O68">
        <v>1</v>
      </c>
      <c r="P68">
        <v>150</v>
      </c>
      <c r="Q68" t="b">
        <v>1</v>
      </c>
      <c r="R68" t="b">
        <v>0</v>
      </c>
      <c r="S68" t="b">
        <v>0</v>
      </c>
      <c r="T68">
        <v>216</v>
      </c>
      <c r="U68">
        <v>0</v>
      </c>
      <c r="V68" t="s">
        <v>33</v>
      </c>
      <c r="W68" t="s">
        <v>33</v>
      </c>
      <c r="X68">
        <v>50</v>
      </c>
      <c r="Y68">
        <v>2936</v>
      </c>
      <c r="Z68" t="s">
        <v>551</v>
      </c>
      <c r="AA68">
        <v>2936</v>
      </c>
      <c r="AB68" t="s">
        <v>121</v>
      </c>
      <c r="AC68" t="s">
        <v>432</v>
      </c>
      <c r="AD68" t="str">
        <f t="shared" si="1"/>
        <v>Escobedo → Hidalgo</v>
      </c>
      <c r="AE68" t="s">
        <v>1357</v>
      </c>
      <c r="AF68" s="4">
        <v>45658</v>
      </c>
      <c r="AG68" t="str">
        <f>YEAR(Table1[[#This Row],[Fecha]])&amp;" - " &amp;UPPER(TEXT(Table1[[#This Row],[Fecha]],"mm-mmm"))</f>
        <v>2025 - 01-ENE</v>
      </c>
      <c r="AH68" s="5">
        <v>0</v>
      </c>
    </row>
    <row r="69" spans="1:34" x14ac:dyDescent="0.25">
      <c r="A69" t="s">
        <v>992</v>
      </c>
      <c r="B69">
        <v>2025</v>
      </c>
      <c r="C69">
        <v>1</v>
      </c>
      <c r="D69" s="1">
        <v>45673</v>
      </c>
      <c r="E69" s="1">
        <v>45673</v>
      </c>
      <c r="F69" s="1">
        <v>45673</v>
      </c>
      <c r="G69" s="1">
        <v>45673</v>
      </c>
      <c r="H69" s="2">
        <v>45673.438467974534</v>
      </c>
      <c r="I69">
        <v>2039</v>
      </c>
      <c r="J69" t="s">
        <v>30</v>
      </c>
      <c r="K69" t="s">
        <v>31</v>
      </c>
      <c r="L69">
        <v>50</v>
      </c>
      <c r="M69">
        <v>50</v>
      </c>
      <c r="N69" t="s">
        <v>32</v>
      </c>
      <c r="O69">
        <v>1</v>
      </c>
      <c r="P69">
        <v>150</v>
      </c>
      <c r="Q69" t="b">
        <v>1</v>
      </c>
      <c r="R69" t="b">
        <v>0</v>
      </c>
      <c r="S69" t="b">
        <v>0</v>
      </c>
      <c r="T69">
        <v>216</v>
      </c>
      <c r="U69">
        <v>0</v>
      </c>
      <c r="V69" t="s">
        <v>33</v>
      </c>
      <c r="W69" t="s">
        <v>33</v>
      </c>
      <c r="X69">
        <v>50</v>
      </c>
      <c r="Y69">
        <v>359</v>
      </c>
      <c r="Z69" t="s">
        <v>551</v>
      </c>
      <c r="AA69">
        <v>359</v>
      </c>
      <c r="AB69" t="s">
        <v>121</v>
      </c>
      <c r="AC69" t="s">
        <v>121</v>
      </c>
      <c r="AD69" t="str">
        <f t="shared" si="1"/>
        <v>Escobedo → Escobedo</v>
      </c>
      <c r="AE69" t="s">
        <v>1357</v>
      </c>
      <c r="AF69" s="4">
        <v>45658</v>
      </c>
      <c r="AG69" t="str">
        <f>YEAR(Table1[[#This Row],[Fecha]])&amp;" - " &amp;UPPER(TEXT(Table1[[#This Row],[Fecha]],"mm-mmm"))</f>
        <v>2025 - 01-ENE</v>
      </c>
      <c r="AH69" s="5">
        <v>0</v>
      </c>
    </row>
    <row r="70" spans="1:34" x14ac:dyDescent="0.25">
      <c r="A70" t="s">
        <v>552</v>
      </c>
      <c r="B70">
        <v>2025</v>
      </c>
      <c r="C70">
        <v>1</v>
      </c>
      <c r="D70" s="1">
        <v>45673</v>
      </c>
      <c r="E70" s="1">
        <v>45673</v>
      </c>
      <c r="F70" s="1">
        <v>45673</v>
      </c>
      <c r="G70" s="1">
        <v>45673</v>
      </c>
      <c r="H70" s="2">
        <v>45673.438794479167</v>
      </c>
      <c r="I70">
        <v>2039</v>
      </c>
      <c r="J70" t="s">
        <v>30</v>
      </c>
      <c r="K70" t="s">
        <v>31</v>
      </c>
      <c r="L70">
        <v>50</v>
      </c>
      <c r="M70">
        <v>50</v>
      </c>
      <c r="N70" t="s">
        <v>32</v>
      </c>
      <c r="O70">
        <v>1</v>
      </c>
      <c r="P70">
        <v>150</v>
      </c>
      <c r="Q70" t="b">
        <v>1</v>
      </c>
      <c r="R70" t="b">
        <v>0</v>
      </c>
      <c r="S70" t="b">
        <v>0</v>
      </c>
      <c r="T70">
        <v>216</v>
      </c>
      <c r="U70">
        <v>0</v>
      </c>
      <c r="V70" t="s">
        <v>33</v>
      </c>
      <c r="W70" t="s">
        <v>33</v>
      </c>
      <c r="X70">
        <v>50</v>
      </c>
      <c r="Y70">
        <v>2936</v>
      </c>
      <c r="Z70" t="s">
        <v>551</v>
      </c>
      <c r="AA70">
        <v>2936</v>
      </c>
      <c r="AB70" t="s">
        <v>121</v>
      </c>
      <c r="AC70" t="s">
        <v>432</v>
      </c>
      <c r="AD70" t="str">
        <f t="shared" si="1"/>
        <v>Escobedo → Hidalgo</v>
      </c>
      <c r="AE70" t="s">
        <v>1357</v>
      </c>
      <c r="AF70" s="4">
        <v>45658</v>
      </c>
      <c r="AG70" t="str">
        <f>YEAR(Table1[[#This Row],[Fecha]])&amp;" - " &amp;UPPER(TEXT(Table1[[#This Row],[Fecha]],"mm-mmm"))</f>
        <v>2025 - 01-ENE</v>
      </c>
      <c r="AH70" s="5">
        <v>0</v>
      </c>
    </row>
    <row r="71" spans="1:34" x14ac:dyDescent="0.25">
      <c r="A71" t="s">
        <v>553</v>
      </c>
      <c r="B71">
        <v>2025</v>
      </c>
      <c r="C71">
        <v>1</v>
      </c>
      <c r="D71" s="1">
        <v>45673</v>
      </c>
      <c r="E71" s="1">
        <v>45673</v>
      </c>
      <c r="F71" s="1">
        <v>45673</v>
      </c>
      <c r="G71" s="1">
        <v>45673</v>
      </c>
      <c r="H71" s="2">
        <v>45673.466749733794</v>
      </c>
      <c r="I71">
        <v>2050</v>
      </c>
      <c r="J71" t="s">
        <v>54</v>
      </c>
      <c r="K71" t="s">
        <v>31</v>
      </c>
      <c r="L71">
        <v>50</v>
      </c>
      <c r="M71">
        <v>50</v>
      </c>
      <c r="N71" t="s">
        <v>55</v>
      </c>
      <c r="O71">
        <v>1</v>
      </c>
      <c r="P71">
        <v>150</v>
      </c>
      <c r="Q71" t="b">
        <v>1</v>
      </c>
      <c r="R71" t="b">
        <v>0</v>
      </c>
      <c r="S71" t="b">
        <v>0</v>
      </c>
      <c r="T71">
        <v>216</v>
      </c>
      <c r="U71">
        <v>0</v>
      </c>
      <c r="V71" t="s">
        <v>33</v>
      </c>
      <c r="W71" t="s">
        <v>33</v>
      </c>
      <c r="X71">
        <v>50</v>
      </c>
      <c r="Y71">
        <v>2936</v>
      </c>
      <c r="Z71" t="s">
        <v>551</v>
      </c>
      <c r="AA71">
        <v>2936</v>
      </c>
      <c r="AB71" t="s">
        <v>121</v>
      </c>
      <c r="AC71" t="s">
        <v>432</v>
      </c>
      <c r="AD71" t="str">
        <f t="shared" si="1"/>
        <v>Escobedo → Hidalgo</v>
      </c>
      <c r="AE71" t="s">
        <v>1358</v>
      </c>
      <c r="AF71" s="4">
        <v>45658</v>
      </c>
      <c r="AG71" t="str">
        <f>YEAR(Table1[[#This Row],[Fecha]])&amp;" - " &amp;UPPER(TEXT(Table1[[#This Row],[Fecha]],"mm-mmm"))</f>
        <v>2025 - 01-ENE</v>
      </c>
      <c r="AH71" s="5">
        <v>0</v>
      </c>
    </row>
    <row r="72" spans="1:34" x14ac:dyDescent="0.25">
      <c r="A72" t="s">
        <v>554</v>
      </c>
      <c r="B72">
        <v>2025</v>
      </c>
      <c r="C72">
        <v>1</v>
      </c>
      <c r="D72" s="1">
        <v>45673</v>
      </c>
      <c r="E72" s="1">
        <v>45673</v>
      </c>
      <c r="F72" s="1">
        <v>45673</v>
      </c>
      <c r="G72" s="1">
        <v>45673</v>
      </c>
      <c r="H72" s="2">
        <v>45673.466757870374</v>
      </c>
      <c r="I72">
        <v>2050</v>
      </c>
      <c r="J72" t="s">
        <v>54</v>
      </c>
      <c r="K72" t="s">
        <v>31</v>
      </c>
      <c r="L72">
        <v>50</v>
      </c>
      <c r="M72">
        <v>50</v>
      </c>
      <c r="N72" t="s">
        <v>55</v>
      </c>
      <c r="O72">
        <v>1</v>
      </c>
      <c r="P72">
        <v>150</v>
      </c>
      <c r="Q72" t="b">
        <v>1</v>
      </c>
      <c r="R72" t="b">
        <v>0</v>
      </c>
      <c r="S72" t="b">
        <v>0</v>
      </c>
      <c r="T72">
        <v>216</v>
      </c>
      <c r="U72">
        <v>0</v>
      </c>
      <c r="V72" t="s">
        <v>33</v>
      </c>
      <c r="W72" t="s">
        <v>33</v>
      </c>
      <c r="X72">
        <v>50</v>
      </c>
      <c r="Y72">
        <v>2936</v>
      </c>
      <c r="Z72" t="s">
        <v>551</v>
      </c>
      <c r="AA72">
        <v>2936</v>
      </c>
      <c r="AB72" t="s">
        <v>121</v>
      </c>
      <c r="AC72" t="s">
        <v>432</v>
      </c>
      <c r="AD72" t="str">
        <f t="shared" si="1"/>
        <v>Escobedo → Hidalgo</v>
      </c>
      <c r="AE72" t="s">
        <v>1358</v>
      </c>
      <c r="AF72" s="4">
        <v>45658</v>
      </c>
      <c r="AG72" t="str">
        <f>YEAR(Table1[[#This Row],[Fecha]])&amp;" - " &amp;UPPER(TEXT(Table1[[#This Row],[Fecha]],"mm-mmm"))</f>
        <v>2025 - 01-ENE</v>
      </c>
      <c r="AH72" s="5">
        <v>0</v>
      </c>
    </row>
    <row r="73" spans="1:34" x14ac:dyDescent="0.25">
      <c r="A73" t="s">
        <v>555</v>
      </c>
      <c r="B73">
        <v>2025</v>
      </c>
      <c r="C73">
        <v>1</v>
      </c>
      <c r="D73" s="1">
        <v>45673</v>
      </c>
      <c r="E73" s="1">
        <v>45673</v>
      </c>
      <c r="F73" s="1">
        <v>45673</v>
      </c>
      <c r="G73" s="1">
        <v>45673</v>
      </c>
      <c r="H73" s="2">
        <v>45673.466763657409</v>
      </c>
      <c r="I73">
        <v>2050</v>
      </c>
      <c r="J73" t="s">
        <v>54</v>
      </c>
      <c r="K73" t="s">
        <v>31</v>
      </c>
      <c r="L73">
        <v>50</v>
      </c>
      <c r="M73">
        <v>50</v>
      </c>
      <c r="N73" t="s">
        <v>55</v>
      </c>
      <c r="O73">
        <v>1</v>
      </c>
      <c r="P73">
        <v>150</v>
      </c>
      <c r="Q73" t="b">
        <v>1</v>
      </c>
      <c r="R73" t="b">
        <v>0</v>
      </c>
      <c r="S73" t="b">
        <v>0</v>
      </c>
      <c r="T73">
        <v>216</v>
      </c>
      <c r="U73">
        <v>0</v>
      </c>
      <c r="V73" t="s">
        <v>33</v>
      </c>
      <c r="W73" t="s">
        <v>33</v>
      </c>
      <c r="X73">
        <v>50</v>
      </c>
      <c r="Y73">
        <v>2936</v>
      </c>
      <c r="Z73" t="s">
        <v>551</v>
      </c>
      <c r="AA73">
        <v>2936</v>
      </c>
      <c r="AB73" t="s">
        <v>121</v>
      </c>
      <c r="AC73" t="s">
        <v>432</v>
      </c>
      <c r="AD73" t="str">
        <f t="shared" si="1"/>
        <v>Escobedo → Hidalgo</v>
      </c>
      <c r="AE73" t="s">
        <v>1358</v>
      </c>
      <c r="AF73" s="4">
        <v>45658</v>
      </c>
      <c r="AG73" t="str">
        <f>YEAR(Table1[[#This Row],[Fecha]])&amp;" - " &amp;UPPER(TEXT(Table1[[#This Row],[Fecha]],"mm-mmm"))</f>
        <v>2025 - 01-ENE</v>
      </c>
      <c r="AH73" s="5">
        <v>0</v>
      </c>
    </row>
    <row r="74" spans="1:34" x14ac:dyDescent="0.25">
      <c r="A74" t="s">
        <v>993</v>
      </c>
      <c r="B74">
        <v>2025</v>
      </c>
      <c r="C74">
        <v>1</v>
      </c>
      <c r="D74" s="1">
        <v>45673</v>
      </c>
      <c r="E74" s="1">
        <v>45673</v>
      </c>
      <c r="F74" s="1">
        <v>45673</v>
      </c>
      <c r="G74" s="1">
        <v>45673</v>
      </c>
      <c r="H74" s="2">
        <v>45673.439095254631</v>
      </c>
      <c r="I74">
        <v>2039</v>
      </c>
      <c r="J74" t="s">
        <v>30</v>
      </c>
      <c r="K74" t="s">
        <v>31</v>
      </c>
      <c r="L74">
        <v>50</v>
      </c>
      <c r="M74">
        <v>50</v>
      </c>
      <c r="N74" t="s">
        <v>32</v>
      </c>
      <c r="O74">
        <v>1</v>
      </c>
      <c r="P74">
        <v>150</v>
      </c>
      <c r="Q74" t="b">
        <v>1</v>
      </c>
      <c r="R74" t="b">
        <v>0</v>
      </c>
      <c r="S74" t="b">
        <v>0</v>
      </c>
      <c r="T74">
        <v>216</v>
      </c>
      <c r="U74">
        <v>0</v>
      </c>
      <c r="V74" t="s">
        <v>33</v>
      </c>
      <c r="W74" t="s">
        <v>33</v>
      </c>
      <c r="X74">
        <v>50</v>
      </c>
      <c r="Y74">
        <v>359</v>
      </c>
      <c r="Z74" t="s">
        <v>551</v>
      </c>
      <c r="AA74">
        <v>359</v>
      </c>
      <c r="AB74" t="s">
        <v>121</v>
      </c>
      <c r="AC74" t="s">
        <v>121</v>
      </c>
      <c r="AD74" t="str">
        <f t="shared" si="1"/>
        <v>Escobedo → Escobedo</v>
      </c>
      <c r="AE74" t="s">
        <v>1357</v>
      </c>
      <c r="AF74" s="4">
        <v>45658</v>
      </c>
      <c r="AG74" t="str">
        <f>YEAR(Table1[[#This Row],[Fecha]])&amp;" - " &amp;UPPER(TEXT(Table1[[#This Row],[Fecha]],"mm-mmm"))</f>
        <v>2025 - 01-ENE</v>
      </c>
      <c r="AH74" s="5">
        <v>0</v>
      </c>
    </row>
    <row r="75" spans="1:34" x14ac:dyDescent="0.25">
      <c r="A75" t="s">
        <v>994</v>
      </c>
      <c r="B75">
        <v>2025</v>
      </c>
      <c r="C75">
        <v>1</v>
      </c>
      <c r="D75" s="1">
        <v>45673</v>
      </c>
      <c r="E75" s="1">
        <v>45673</v>
      </c>
      <c r="F75" s="1">
        <v>45673</v>
      </c>
      <c r="G75" s="1">
        <v>45673</v>
      </c>
      <c r="H75" s="2">
        <v>45673.461616354165</v>
      </c>
      <c r="I75">
        <v>2039</v>
      </c>
      <c r="J75" t="s">
        <v>30</v>
      </c>
      <c r="K75" t="s">
        <v>31</v>
      </c>
      <c r="L75">
        <v>50</v>
      </c>
      <c r="M75">
        <v>50</v>
      </c>
      <c r="N75" t="s">
        <v>32</v>
      </c>
      <c r="O75">
        <v>1</v>
      </c>
      <c r="P75">
        <v>150</v>
      </c>
      <c r="Q75" t="b">
        <v>1</v>
      </c>
      <c r="R75" t="b">
        <v>0</v>
      </c>
      <c r="S75" t="b">
        <v>0</v>
      </c>
      <c r="T75">
        <v>216</v>
      </c>
      <c r="U75">
        <v>0</v>
      </c>
      <c r="V75" t="s">
        <v>33</v>
      </c>
      <c r="W75" t="s">
        <v>33</v>
      </c>
      <c r="X75">
        <v>50</v>
      </c>
      <c r="Y75">
        <v>359</v>
      </c>
      <c r="Z75" t="s">
        <v>551</v>
      </c>
      <c r="AA75">
        <v>359</v>
      </c>
      <c r="AB75" t="s">
        <v>121</v>
      </c>
      <c r="AC75" t="s">
        <v>121</v>
      </c>
      <c r="AD75" t="str">
        <f t="shared" si="1"/>
        <v>Escobedo → Escobedo</v>
      </c>
      <c r="AE75" t="s">
        <v>1357</v>
      </c>
      <c r="AF75" s="4">
        <v>45658</v>
      </c>
      <c r="AG75" t="str">
        <f>YEAR(Table1[[#This Row],[Fecha]])&amp;" - " &amp;UPPER(TEXT(Table1[[#This Row],[Fecha]],"mm-mmm"))</f>
        <v>2025 - 01-ENE</v>
      </c>
      <c r="AH75" s="5">
        <v>0</v>
      </c>
    </row>
    <row r="76" spans="1:34" x14ac:dyDescent="0.25">
      <c r="A76" t="s">
        <v>573</v>
      </c>
      <c r="B76">
        <v>2025</v>
      </c>
      <c r="C76">
        <v>1</v>
      </c>
      <c r="D76" s="1">
        <v>45673</v>
      </c>
      <c r="E76" s="1">
        <v>45673</v>
      </c>
      <c r="F76" s="1">
        <v>45673</v>
      </c>
      <c r="G76" s="1">
        <v>45673</v>
      </c>
      <c r="H76" s="2">
        <v>45673.462229201388</v>
      </c>
      <c r="I76">
        <v>2039</v>
      </c>
      <c r="J76" t="s">
        <v>30</v>
      </c>
      <c r="K76" t="s">
        <v>31</v>
      </c>
      <c r="L76">
        <v>50</v>
      </c>
      <c r="M76">
        <v>50</v>
      </c>
      <c r="N76" t="s">
        <v>32</v>
      </c>
      <c r="O76">
        <v>1</v>
      </c>
      <c r="P76">
        <v>150</v>
      </c>
      <c r="Q76" t="b">
        <v>1</v>
      </c>
      <c r="R76" t="b">
        <v>0</v>
      </c>
      <c r="S76" t="b">
        <v>0</v>
      </c>
      <c r="T76">
        <v>216</v>
      </c>
      <c r="U76">
        <v>0</v>
      </c>
      <c r="V76" t="s">
        <v>33</v>
      </c>
      <c r="W76" t="s">
        <v>33</v>
      </c>
      <c r="X76">
        <v>50</v>
      </c>
      <c r="Y76">
        <v>2936</v>
      </c>
      <c r="Z76" t="s">
        <v>551</v>
      </c>
      <c r="AA76">
        <v>2936</v>
      </c>
      <c r="AB76" t="s">
        <v>121</v>
      </c>
      <c r="AC76" t="s">
        <v>432</v>
      </c>
      <c r="AD76" t="str">
        <f t="shared" si="1"/>
        <v>Escobedo → Hidalgo</v>
      </c>
      <c r="AE76" t="s">
        <v>1357</v>
      </c>
      <c r="AF76" s="4">
        <v>45658</v>
      </c>
      <c r="AG76" t="str">
        <f>YEAR(Table1[[#This Row],[Fecha]])&amp;" - " &amp;UPPER(TEXT(Table1[[#This Row],[Fecha]],"mm-mmm"))</f>
        <v>2025 - 01-ENE</v>
      </c>
      <c r="AH76" s="5">
        <v>0</v>
      </c>
    </row>
    <row r="77" spans="1:34" x14ac:dyDescent="0.25">
      <c r="A77" t="s">
        <v>574</v>
      </c>
      <c r="B77">
        <v>2025</v>
      </c>
      <c r="C77">
        <v>1</v>
      </c>
      <c r="D77" s="1">
        <v>45673</v>
      </c>
      <c r="E77" s="1">
        <v>45673</v>
      </c>
      <c r="F77" s="1">
        <v>45673</v>
      </c>
      <c r="G77" s="1">
        <v>45673</v>
      </c>
      <c r="H77" s="2">
        <v>45673.462569560186</v>
      </c>
      <c r="I77">
        <v>2039</v>
      </c>
      <c r="J77" t="s">
        <v>30</v>
      </c>
      <c r="K77" t="s">
        <v>31</v>
      </c>
      <c r="L77">
        <v>50</v>
      </c>
      <c r="M77">
        <v>50</v>
      </c>
      <c r="N77" t="s">
        <v>32</v>
      </c>
      <c r="O77">
        <v>1</v>
      </c>
      <c r="P77">
        <v>150</v>
      </c>
      <c r="Q77" t="b">
        <v>1</v>
      </c>
      <c r="R77" t="b">
        <v>0</v>
      </c>
      <c r="S77" t="b">
        <v>0</v>
      </c>
      <c r="T77">
        <v>216</v>
      </c>
      <c r="U77">
        <v>0</v>
      </c>
      <c r="V77" t="s">
        <v>33</v>
      </c>
      <c r="W77" t="s">
        <v>33</v>
      </c>
      <c r="X77">
        <v>50</v>
      </c>
      <c r="Y77">
        <v>2936</v>
      </c>
      <c r="Z77" t="s">
        <v>551</v>
      </c>
      <c r="AA77">
        <v>2936</v>
      </c>
      <c r="AB77" t="s">
        <v>121</v>
      </c>
      <c r="AC77" t="s">
        <v>432</v>
      </c>
      <c r="AD77" t="str">
        <f t="shared" si="1"/>
        <v>Escobedo → Hidalgo</v>
      </c>
      <c r="AE77" t="s">
        <v>1357</v>
      </c>
      <c r="AF77" s="4">
        <v>45658</v>
      </c>
      <c r="AG77" t="str">
        <f>YEAR(Table1[[#This Row],[Fecha]])&amp;" - " &amp;UPPER(TEXT(Table1[[#This Row],[Fecha]],"mm-mmm"))</f>
        <v>2025 - 01-ENE</v>
      </c>
      <c r="AH77" s="5">
        <v>0</v>
      </c>
    </row>
    <row r="78" spans="1:34" x14ac:dyDescent="0.25">
      <c r="A78" t="s">
        <v>575</v>
      </c>
      <c r="B78">
        <v>2025</v>
      </c>
      <c r="C78">
        <v>1</v>
      </c>
      <c r="D78" s="1">
        <v>45673</v>
      </c>
      <c r="E78" s="1">
        <v>45673</v>
      </c>
      <c r="F78" s="1">
        <v>45673</v>
      </c>
      <c r="G78" s="1">
        <v>45673</v>
      </c>
      <c r="H78" s="2">
        <v>45673.4630209838</v>
      </c>
      <c r="I78">
        <v>2039</v>
      </c>
      <c r="J78" t="s">
        <v>30</v>
      </c>
      <c r="K78" t="s">
        <v>31</v>
      </c>
      <c r="L78">
        <v>50</v>
      </c>
      <c r="M78">
        <v>50</v>
      </c>
      <c r="N78" t="s">
        <v>32</v>
      </c>
      <c r="O78">
        <v>1</v>
      </c>
      <c r="P78">
        <v>150</v>
      </c>
      <c r="Q78" t="b">
        <v>1</v>
      </c>
      <c r="R78" t="b">
        <v>0</v>
      </c>
      <c r="S78" t="b">
        <v>0</v>
      </c>
      <c r="T78">
        <v>216</v>
      </c>
      <c r="U78">
        <v>0</v>
      </c>
      <c r="V78" t="s">
        <v>33</v>
      </c>
      <c r="W78" t="s">
        <v>33</v>
      </c>
      <c r="X78">
        <v>50</v>
      </c>
      <c r="Y78">
        <v>2936</v>
      </c>
      <c r="Z78" t="s">
        <v>551</v>
      </c>
      <c r="AA78">
        <v>2936</v>
      </c>
      <c r="AB78" t="s">
        <v>121</v>
      </c>
      <c r="AC78" t="s">
        <v>432</v>
      </c>
      <c r="AD78" t="str">
        <f t="shared" si="1"/>
        <v>Escobedo → Hidalgo</v>
      </c>
      <c r="AE78" t="s">
        <v>1357</v>
      </c>
      <c r="AF78" s="4">
        <v>45658</v>
      </c>
      <c r="AG78" t="str">
        <f>YEAR(Table1[[#This Row],[Fecha]])&amp;" - " &amp;UPPER(TEXT(Table1[[#This Row],[Fecha]],"mm-mmm"))</f>
        <v>2025 - 01-ENE</v>
      </c>
      <c r="AH78" s="5">
        <v>0</v>
      </c>
    </row>
    <row r="79" spans="1:34" x14ac:dyDescent="0.25">
      <c r="A79" t="s">
        <v>576</v>
      </c>
      <c r="B79">
        <v>2025</v>
      </c>
      <c r="C79">
        <v>1</v>
      </c>
      <c r="D79" s="1">
        <v>45673</v>
      </c>
      <c r="E79" s="1">
        <v>45673</v>
      </c>
      <c r="F79" s="1">
        <v>45673</v>
      </c>
      <c r="G79" s="1">
        <v>45673</v>
      </c>
      <c r="H79" s="2">
        <v>45673.463485532404</v>
      </c>
      <c r="I79">
        <v>2039</v>
      </c>
      <c r="J79" t="s">
        <v>30</v>
      </c>
      <c r="K79" t="s">
        <v>31</v>
      </c>
      <c r="L79">
        <v>50</v>
      </c>
      <c r="M79">
        <v>50</v>
      </c>
      <c r="N79" t="s">
        <v>32</v>
      </c>
      <c r="O79">
        <v>1</v>
      </c>
      <c r="P79">
        <v>150</v>
      </c>
      <c r="Q79" t="b">
        <v>1</v>
      </c>
      <c r="R79" t="b">
        <v>0</v>
      </c>
      <c r="S79" t="b">
        <v>0</v>
      </c>
      <c r="T79">
        <v>216</v>
      </c>
      <c r="U79">
        <v>0</v>
      </c>
      <c r="V79" t="s">
        <v>33</v>
      </c>
      <c r="W79" t="s">
        <v>33</v>
      </c>
      <c r="X79">
        <v>50</v>
      </c>
      <c r="Y79">
        <v>2936</v>
      </c>
      <c r="Z79" t="s">
        <v>551</v>
      </c>
      <c r="AA79">
        <v>2936</v>
      </c>
      <c r="AB79" t="s">
        <v>121</v>
      </c>
      <c r="AC79" t="s">
        <v>432</v>
      </c>
      <c r="AD79" t="str">
        <f t="shared" si="1"/>
        <v>Escobedo → Hidalgo</v>
      </c>
      <c r="AE79" t="s">
        <v>1357</v>
      </c>
      <c r="AF79" s="4">
        <v>45658</v>
      </c>
      <c r="AG79" t="str">
        <f>YEAR(Table1[[#This Row],[Fecha]])&amp;" - " &amp;UPPER(TEXT(Table1[[#This Row],[Fecha]],"mm-mmm"))</f>
        <v>2025 - 01-ENE</v>
      </c>
      <c r="AH79" s="5">
        <v>0</v>
      </c>
    </row>
    <row r="80" spans="1:34" x14ac:dyDescent="0.25">
      <c r="A80" t="s">
        <v>577</v>
      </c>
      <c r="B80">
        <v>2025</v>
      </c>
      <c r="C80">
        <v>1</v>
      </c>
      <c r="D80" s="1">
        <v>45673</v>
      </c>
      <c r="E80" s="1">
        <v>45673</v>
      </c>
      <c r="F80" s="1">
        <v>45673</v>
      </c>
      <c r="G80" s="1">
        <v>45673</v>
      </c>
      <c r="H80" s="2">
        <v>45673.464009293981</v>
      </c>
      <c r="I80">
        <v>2039</v>
      </c>
      <c r="J80" t="s">
        <v>30</v>
      </c>
      <c r="K80" t="s">
        <v>31</v>
      </c>
      <c r="L80">
        <v>50</v>
      </c>
      <c r="M80">
        <v>50</v>
      </c>
      <c r="N80" t="s">
        <v>32</v>
      </c>
      <c r="O80">
        <v>1</v>
      </c>
      <c r="P80">
        <v>150</v>
      </c>
      <c r="Q80" t="b">
        <v>1</v>
      </c>
      <c r="R80" t="b">
        <v>0</v>
      </c>
      <c r="S80" t="b">
        <v>0</v>
      </c>
      <c r="T80">
        <v>216</v>
      </c>
      <c r="U80">
        <v>0</v>
      </c>
      <c r="V80" t="s">
        <v>33</v>
      </c>
      <c r="W80" t="s">
        <v>33</v>
      </c>
      <c r="X80">
        <v>50</v>
      </c>
      <c r="Y80">
        <v>2936</v>
      </c>
      <c r="Z80" t="s">
        <v>551</v>
      </c>
      <c r="AA80">
        <v>2936</v>
      </c>
      <c r="AB80" t="s">
        <v>121</v>
      </c>
      <c r="AC80" t="s">
        <v>432</v>
      </c>
      <c r="AD80" t="str">
        <f t="shared" si="1"/>
        <v>Escobedo → Hidalgo</v>
      </c>
      <c r="AE80" t="s">
        <v>1357</v>
      </c>
      <c r="AF80" s="4">
        <v>45658</v>
      </c>
      <c r="AG80" t="str">
        <f>YEAR(Table1[[#This Row],[Fecha]])&amp;" - " &amp;UPPER(TEXT(Table1[[#This Row],[Fecha]],"mm-mmm"))</f>
        <v>2025 - 01-ENE</v>
      </c>
      <c r="AH80" s="5">
        <v>0</v>
      </c>
    </row>
    <row r="81" spans="1:34" x14ac:dyDescent="0.25">
      <c r="A81" t="s">
        <v>995</v>
      </c>
      <c r="B81">
        <v>2025</v>
      </c>
      <c r="C81">
        <v>1</v>
      </c>
      <c r="D81" s="1">
        <v>45673</v>
      </c>
      <c r="E81" s="1">
        <v>45673</v>
      </c>
      <c r="F81" s="1">
        <v>45673</v>
      </c>
      <c r="G81" s="1">
        <v>45673</v>
      </c>
      <c r="H81" s="2">
        <v>45673.464483680553</v>
      </c>
      <c r="I81">
        <v>2039</v>
      </c>
      <c r="J81" t="s">
        <v>30</v>
      </c>
      <c r="K81" t="s">
        <v>31</v>
      </c>
      <c r="L81">
        <v>50</v>
      </c>
      <c r="M81">
        <v>50</v>
      </c>
      <c r="N81" t="s">
        <v>32</v>
      </c>
      <c r="O81">
        <v>1</v>
      </c>
      <c r="P81">
        <v>150</v>
      </c>
      <c r="Q81" t="b">
        <v>1</v>
      </c>
      <c r="R81" t="b">
        <v>0</v>
      </c>
      <c r="S81" t="b">
        <v>0</v>
      </c>
      <c r="T81">
        <v>216</v>
      </c>
      <c r="U81">
        <v>0</v>
      </c>
      <c r="V81" t="s">
        <v>33</v>
      </c>
      <c r="W81" t="s">
        <v>33</v>
      </c>
      <c r="X81">
        <v>50</v>
      </c>
      <c r="Y81">
        <v>359</v>
      </c>
      <c r="Z81" t="s">
        <v>551</v>
      </c>
      <c r="AA81">
        <v>359</v>
      </c>
      <c r="AB81" t="s">
        <v>121</v>
      </c>
      <c r="AC81" t="s">
        <v>121</v>
      </c>
      <c r="AD81" t="str">
        <f t="shared" si="1"/>
        <v>Escobedo → Escobedo</v>
      </c>
      <c r="AE81" t="s">
        <v>1357</v>
      </c>
      <c r="AF81" s="4">
        <v>45658</v>
      </c>
      <c r="AG81" t="str">
        <f>YEAR(Table1[[#This Row],[Fecha]])&amp;" - " &amp;UPPER(TEXT(Table1[[#This Row],[Fecha]],"mm-mmm"))</f>
        <v>2025 - 01-ENE</v>
      </c>
      <c r="AH81" s="5">
        <v>0</v>
      </c>
    </row>
    <row r="82" spans="1:34" x14ac:dyDescent="0.25">
      <c r="A82" t="s">
        <v>568</v>
      </c>
      <c r="B82">
        <v>2025</v>
      </c>
      <c r="C82">
        <v>1</v>
      </c>
      <c r="D82" s="1">
        <v>45673</v>
      </c>
      <c r="E82" s="1">
        <v>45673</v>
      </c>
      <c r="F82" s="1">
        <v>45673</v>
      </c>
      <c r="G82" s="1">
        <v>45673</v>
      </c>
      <c r="H82" s="2">
        <v>45673.465075115739</v>
      </c>
      <c r="I82">
        <v>2039</v>
      </c>
      <c r="J82" t="s">
        <v>30</v>
      </c>
      <c r="K82" t="s">
        <v>31</v>
      </c>
      <c r="L82">
        <v>50</v>
      </c>
      <c r="M82">
        <v>50</v>
      </c>
      <c r="N82" t="s">
        <v>32</v>
      </c>
      <c r="O82">
        <v>1</v>
      </c>
      <c r="P82">
        <v>150</v>
      </c>
      <c r="Q82" t="b">
        <v>1</v>
      </c>
      <c r="R82" t="b">
        <v>0</v>
      </c>
      <c r="S82" t="b">
        <v>0</v>
      </c>
      <c r="T82">
        <v>216</v>
      </c>
      <c r="U82">
        <v>0</v>
      </c>
      <c r="V82" t="s">
        <v>33</v>
      </c>
      <c r="W82" t="s">
        <v>33</v>
      </c>
      <c r="X82">
        <v>50</v>
      </c>
      <c r="Y82">
        <v>2936</v>
      </c>
      <c r="Z82" t="s">
        <v>551</v>
      </c>
      <c r="AA82">
        <v>2936</v>
      </c>
      <c r="AB82" t="s">
        <v>121</v>
      </c>
      <c r="AC82" t="s">
        <v>432</v>
      </c>
      <c r="AD82" t="str">
        <f t="shared" si="1"/>
        <v>Escobedo → Hidalgo</v>
      </c>
      <c r="AE82" t="s">
        <v>1357</v>
      </c>
      <c r="AF82" s="4">
        <v>45658</v>
      </c>
      <c r="AG82" t="str">
        <f>YEAR(Table1[[#This Row],[Fecha]])&amp;" - " &amp;UPPER(TEXT(Table1[[#This Row],[Fecha]],"mm-mmm"))</f>
        <v>2025 - 01-ENE</v>
      </c>
      <c r="AH82" s="5">
        <v>0</v>
      </c>
    </row>
    <row r="83" spans="1:34" x14ac:dyDescent="0.25">
      <c r="A83" t="s">
        <v>569</v>
      </c>
      <c r="B83">
        <v>2025</v>
      </c>
      <c r="C83">
        <v>1</v>
      </c>
      <c r="D83" s="1">
        <v>45673</v>
      </c>
      <c r="E83" s="1">
        <v>45673</v>
      </c>
      <c r="F83" s="1">
        <v>45673</v>
      </c>
      <c r="G83" s="1">
        <v>45673</v>
      </c>
      <c r="H83" s="2">
        <v>45673.466722256948</v>
      </c>
      <c r="I83">
        <v>2050</v>
      </c>
      <c r="J83" t="s">
        <v>54</v>
      </c>
      <c r="K83" t="s">
        <v>31</v>
      </c>
      <c r="L83">
        <v>50</v>
      </c>
      <c r="M83">
        <v>50</v>
      </c>
      <c r="N83" t="s">
        <v>55</v>
      </c>
      <c r="O83">
        <v>1</v>
      </c>
      <c r="P83">
        <v>150</v>
      </c>
      <c r="Q83" t="b">
        <v>1</v>
      </c>
      <c r="R83" t="b">
        <v>0</v>
      </c>
      <c r="S83" t="b">
        <v>0</v>
      </c>
      <c r="T83">
        <v>216</v>
      </c>
      <c r="U83">
        <v>0</v>
      </c>
      <c r="V83" t="s">
        <v>33</v>
      </c>
      <c r="W83" t="s">
        <v>33</v>
      </c>
      <c r="X83">
        <v>50</v>
      </c>
      <c r="Y83">
        <v>2936</v>
      </c>
      <c r="Z83" t="s">
        <v>551</v>
      </c>
      <c r="AA83">
        <v>2936</v>
      </c>
      <c r="AB83" t="s">
        <v>121</v>
      </c>
      <c r="AC83" t="s">
        <v>432</v>
      </c>
      <c r="AD83" t="str">
        <f t="shared" si="1"/>
        <v>Escobedo → Hidalgo</v>
      </c>
      <c r="AE83" t="s">
        <v>1358</v>
      </c>
      <c r="AF83" s="4">
        <v>45658</v>
      </c>
      <c r="AG83" t="str">
        <f>YEAR(Table1[[#This Row],[Fecha]])&amp;" - " &amp;UPPER(TEXT(Table1[[#This Row],[Fecha]],"mm-mmm"))</f>
        <v>2025 - 01-ENE</v>
      </c>
      <c r="AH83" s="5">
        <v>0</v>
      </c>
    </row>
    <row r="84" spans="1:34" x14ac:dyDescent="0.25">
      <c r="A84" t="s">
        <v>570</v>
      </c>
      <c r="B84">
        <v>2025</v>
      </c>
      <c r="C84">
        <v>1</v>
      </c>
      <c r="D84" s="1">
        <v>45674</v>
      </c>
      <c r="E84" s="1">
        <v>45674</v>
      </c>
      <c r="F84" s="1">
        <v>45674</v>
      </c>
      <c r="G84" s="1">
        <v>45674</v>
      </c>
      <c r="H84" s="2">
        <v>45674.719619212963</v>
      </c>
      <c r="I84">
        <v>2039</v>
      </c>
      <c r="J84" t="s">
        <v>30</v>
      </c>
      <c r="K84" t="s">
        <v>31</v>
      </c>
      <c r="L84">
        <v>50</v>
      </c>
      <c r="M84">
        <v>50</v>
      </c>
      <c r="N84" t="s">
        <v>32</v>
      </c>
      <c r="O84">
        <v>1</v>
      </c>
      <c r="P84">
        <v>150</v>
      </c>
      <c r="Q84" t="b">
        <v>1</v>
      </c>
      <c r="R84" t="b">
        <v>0</v>
      </c>
      <c r="S84" t="b">
        <v>0</v>
      </c>
      <c r="T84">
        <v>216</v>
      </c>
      <c r="U84">
        <v>0</v>
      </c>
      <c r="V84" t="s">
        <v>33</v>
      </c>
      <c r="W84" t="s">
        <v>33</v>
      </c>
      <c r="X84">
        <v>50</v>
      </c>
      <c r="Y84">
        <v>2936</v>
      </c>
      <c r="Z84" t="s">
        <v>34</v>
      </c>
      <c r="AA84">
        <v>2936</v>
      </c>
      <c r="AB84" t="s">
        <v>121</v>
      </c>
      <c r="AC84" t="s">
        <v>432</v>
      </c>
      <c r="AD84" t="str">
        <f t="shared" si="1"/>
        <v>Escobedo → Hidalgo</v>
      </c>
      <c r="AE84" t="s">
        <v>1357</v>
      </c>
      <c r="AF84" s="4">
        <v>45658</v>
      </c>
      <c r="AG84" t="str">
        <f>YEAR(Table1[[#This Row],[Fecha]])&amp;" - " &amp;UPPER(TEXT(Table1[[#This Row],[Fecha]],"mm-mmm"))</f>
        <v>2025 - 01-ENE</v>
      </c>
      <c r="AH84" s="5">
        <v>0</v>
      </c>
    </row>
    <row r="85" spans="1:34" x14ac:dyDescent="0.25">
      <c r="A85" t="s">
        <v>571</v>
      </c>
      <c r="B85">
        <v>2025</v>
      </c>
      <c r="C85">
        <v>1</v>
      </c>
      <c r="D85" s="1">
        <v>45674</v>
      </c>
      <c r="E85" s="1">
        <v>45674</v>
      </c>
      <c r="F85" s="1">
        <v>45674</v>
      </c>
      <c r="G85" s="1">
        <v>45674</v>
      </c>
      <c r="H85" s="2">
        <v>45674.719929895837</v>
      </c>
      <c r="I85">
        <v>2039</v>
      </c>
      <c r="J85" t="s">
        <v>30</v>
      </c>
      <c r="K85" t="s">
        <v>31</v>
      </c>
      <c r="L85">
        <v>50</v>
      </c>
      <c r="M85">
        <v>50</v>
      </c>
      <c r="N85" t="s">
        <v>32</v>
      </c>
      <c r="O85">
        <v>1</v>
      </c>
      <c r="P85">
        <v>150</v>
      </c>
      <c r="Q85" t="b">
        <v>1</v>
      </c>
      <c r="R85" t="b">
        <v>0</v>
      </c>
      <c r="S85" t="b">
        <v>0</v>
      </c>
      <c r="T85">
        <v>216</v>
      </c>
      <c r="U85">
        <v>0</v>
      </c>
      <c r="V85" t="s">
        <v>33</v>
      </c>
      <c r="W85" t="s">
        <v>33</v>
      </c>
      <c r="X85">
        <v>50</v>
      </c>
      <c r="Y85">
        <v>2936</v>
      </c>
      <c r="Z85" t="s">
        <v>34</v>
      </c>
      <c r="AA85">
        <v>2936</v>
      </c>
      <c r="AB85" t="s">
        <v>121</v>
      </c>
      <c r="AC85" t="s">
        <v>432</v>
      </c>
      <c r="AD85" t="str">
        <f t="shared" si="1"/>
        <v>Escobedo → Hidalgo</v>
      </c>
      <c r="AE85" t="s">
        <v>1357</v>
      </c>
      <c r="AF85" s="4">
        <v>45658</v>
      </c>
      <c r="AG85" t="str">
        <f>YEAR(Table1[[#This Row],[Fecha]])&amp;" - " &amp;UPPER(TEXT(Table1[[#This Row],[Fecha]],"mm-mmm"))</f>
        <v>2025 - 01-ENE</v>
      </c>
      <c r="AH85" s="5">
        <v>0</v>
      </c>
    </row>
    <row r="86" spans="1:34" x14ac:dyDescent="0.25">
      <c r="A86" t="s">
        <v>572</v>
      </c>
      <c r="B86">
        <v>2025</v>
      </c>
      <c r="C86">
        <v>1</v>
      </c>
      <c r="D86" s="1">
        <v>45674</v>
      </c>
      <c r="E86" s="1">
        <v>45674</v>
      </c>
      <c r="F86" s="1">
        <v>45674</v>
      </c>
      <c r="G86" s="1">
        <v>45674</v>
      </c>
      <c r="H86" s="2">
        <v>45674.849491516201</v>
      </c>
      <c r="I86">
        <v>2039</v>
      </c>
      <c r="J86" t="s">
        <v>30</v>
      </c>
      <c r="K86" t="s">
        <v>31</v>
      </c>
      <c r="L86">
        <v>50</v>
      </c>
      <c r="M86">
        <v>50</v>
      </c>
      <c r="N86" t="s">
        <v>32</v>
      </c>
      <c r="O86">
        <v>1</v>
      </c>
      <c r="P86">
        <v>150</v>
      </c>
      <c r="Q86" t="b">
        <v>1</v>
      </c>
      <c r="R86" t="b">
        <v>0</v>
      </c>
      <c r="S86" t="b">
        <v>0</v>
      </c>
      <c r="T86">
        <v>216</v>
      </c>
      <c r="U86">
        <v>0</v>
      </c>
      <c r="V86" t="s">
        <v>33</v>
      </c>
      <c r="W86" t="s">
        <v>33</v>
      </c>
      <c r="X86">
        <v>50</v>
      </c>
      <c r="Y86">
        <v>2936</v>
      </c>
      <c r="Z86" t="s">
        <v>34</v>
      </c>
      <c r="AA86">
        <v>2936</v>
      </c>
      <c r="AB86" t="s">
        <v>121</v>
      </c>
      <c r="AC86" t="s">
        <v>432</v>
      </c>
      <c r="AD86" t="str">
        <f t="shared" si="1"/>
        <v>Escobedo → Hidalgo</v>
      </c>
      <c r="AE86" t="s">
        <v>1357</v>
      </c>
      <c r="AF86" s="4">
        <v>45658</v>
      </c>
      <c r="AG86" t="str">
        <f>YEAR(Table1[[#This Row],[Fecha]])&amp;" - " &amp;UPPER(TEXT(Table1[[#This Row],[Fecha]],"mm-mmm"))</f>
        <v>2025 - 01-ENE</v>
      </c>
      <c r="AH86" s="5">
        <v>0</v>
      </c>
    </row>
    <row r="87" spans="1:34" x14ac:dyDescent="0.25">
      <c r="A87" t="s">
        <v>997</v>
      </c>
      <c r="B87">
        <v>2025</v>
      </c>
      <c r="C87">
        <v>1</v>
      </c>
      <c r="D87" s="1">
        <v>45675</v>
      </c>
      <c r="E87" s="1">
        <v>45675</v>
      </c>
      <c r="F87" s="1">
        <v>45675</v>
      </c>
      <c r="G87" s="1">
        <v>45675</v>
      </c>
      <c r="H87" s="2">
        <v>45675.527464930557</v>
      </c>
      <c r="I87">
        <v>2039</v>
      </c>
      <c r="J87" t="s">
        <v>30</v>
      </c>
      <c r="K87" t="s">
        <v>31</v>
      </c>
      <c r="L87">
        <v>50</v>
      </c>
      <c r="M87">
        <v>50</v>
      </c>
      <c r="N87" t="s">
        <v>32</v>
      </c>
      <c r="O87">
        <v>1</v>
      </c>
      <c r="P87">
        <v>150</v>
      </c>
      <c r="Q87" t="b">
        <v>1</v>
      </c>
      <c r="R87" t="b">
        <v>0</v>
      </c>
      <c r="S87" t="b">
        <v>0</v>
      </c>
      <c r="T87">
        <v>216</v>
      </c>
      <c r="U87">
        <v>0</v>
      </c>
      <c r="V87" t="s">
        <v>33</v>
      </c>
      <c r="W87" t="s">
        <v>33</v>
      </c>
      <c r="X87">
        <v>50</v>
      </c>
      <c r="Y87">
        <v>359</v>
      </c>
      <c r="Z87" t="s">
        <v>34</v>
      </c>
      <c r="AA87">
        <v>359</v>
      </c>
      <c r="AB87" t="s">
        <v>121</v>
      </c>
      <c r="AC87" t="s">
        <v>121</v>
      </c>
      <c r="AD87" t="str">
        <f t="shared" si="1"/>
        <v>Escobedo → Escobedo</v>
      </c>
      <c r="AE87" t="s">
        <v>1357</v>
      </c>
      <c r="AF87" s="4">
        <v>45658</v>
      </c>
      <c r="AG87" t="str">
        <f>YEAR(Table1[[#This Row],[Fecha]])&amp;" - " &amp;UPPER(TEXT(Table1[[#This Row],[Fecha]],"mm-mmm"))</f>
        <v>2025 - 01-ENE</v>
      </c>
      <c r="AH87" s="5">
        <v>0</v>
      </c>
    </row>
    <row r="88" spans="1:34" x14ac:dyDescent="0.25">
      <c r="A88" t="s">
        <v>565</v>
      </c>
      <c r="B88">
        <v>2025</v>
      </c>
      <c r="C88">
        <v>1</v>
      </c>
      <c r="D88" s="1">
        <v>45675</v>
      </c>
      <c r="E88" s="1">
        <v>45675</v>
      </c>
      <c r="F88" s="1">
        <v>45675</v>
      </c>
      <c r="G88" s="1">
        <v>45675</v>
      </c>
      <c r="H88" s="2">
        <v>45675.531289618055</v>
      </c>
      <c r="I88">
        <v>2039</v>
      </c>
      <c r="J88" t="s">
        <v>30</v>
      </c>
      <c r="K88" t="s">
        <v>31</v>
      </c>
      <c r="L88">
        <v>50</v>
      </c>
      <c r="M88">
        <v>50</v>
      </c>
      <c r="N88" t="s">
        <v>32</v>
      </c>
      <c r="O88">
        <v>1</v>
      </c>
      <c r="P88">
        <v>150</v>
      </c>
      <c r="Q88" t="b">
        <v>1</v>
      </c>
      <c r="R88" t="b">
        <v>0</v>
      </c>
      <c r="S88" t="b">
        <v>0</v>
      </c>
      <c r="T88">
        <v>216</v>
      </c>
      <c r="U88">
        <v>0</v>
      </c>
      <c r="V88" t="s">
        <v>33</v>
      </c>
      <c r="W88" t="s">
        <v>33</v>
      </c>
      <c r="X88">
        <v>50</v>
      </c>
      <c r="Y88">
        <v>2936</v>
      </c>
      <c r="Z88" t="s">
        <v>34</v>
      </c>
      <c r="AA88">
        <v>2936</v>
      </c>
      <c r="AB88" t="s">
        <v>121</v>
      </c>
      <c r="AC88" t="s">
        <v>432</v>
      </c>
      <c r="AD88" t="str">
        <f t="shared" si="1"/>
        <v>Escobedo → Hidalgo</v>
      </c>
      <c r="AE88" t="s">
        <v>1357</v>
      </c>
      <c r="AF88" s="4">
        <v>45658</v>
      </c>
      <c r="AG88" t="str">
        <f>YEAR(Table1[[#This Row],[Fecha]])&amp;" - " &amp;UPPER(TEXT(Table1[[#This Row],[Fecha]],"mm-mmm"))</f>
        <v>2025 - 01-ENE</v>
      </c>
      <c r="AH88" s="5">
        <v>0</v>
      </c>
    </row>
    <row r="89" spans="1:34" x14ac:dyDescent="0.25">
      <c r="A89" t="s">
        <v>566</v>
      </c>
      <c r="B89">
        <v>2025</v>
      </c>
      <c r="C89">
        <v>1</v>
      </c>
      <c r="D89" s="1">
        <v>45675</v>
      </c>
      <c r="E89" s="1">
        <v>45675</v>
      </c>
      <c r="F89" s="1">
        <v>45675</v>
      </c>
      <c r="G89" s="1">
        <v>45675</v>
      </c>
      <c r="H89" s="2">
        <v>45675.535261192126</v>
      </c>
      <c r="I89">
        <v>2039</v>
      </c>
      <c r="J89" t="s">
        <v>30</v>
      </c>
      <c r="K89" t="s">
        <v>31</v>
      </c>
      <c r="L89">
        <v>50</v>
      </c>
      <c r="M89">
        <v>50</v>
      </c>
      <c r="N89" t="s">
        <v>32</v>
      </c>
      <c r="O89">
        <v>1</v>
      </c>
      <c r="P89">
        <v>150</v>
      </c>
      <c r="Q89" t="b">
        <v>1</v>
      </c>
      <c r="R89" t="b">
        <v>0</v>
      </c>
      <c r="S89" t="b">
        <v>0</v>
      </c>
      <c r="T89">
        <v>216</v>
      </c>
      <c r="U89">
        <v>0</v>
      </c>
      <c r="V89" t="s">
        <v>33</v>
      </c>
      <c r="W89" t="s">
        <v>33</v>
      </c>
      <c r="X89">
        <v>50</v>
      </c>
      <c r="Y89">
        <v>2936</v>
      </c>
      <c r="Z89" t="s">
        <v>34</v>
      </c>
      <c r="AA89">
        <v>2936</v>
      </c>
      <c r="AB89" t="s">
        <v>121</v>
      </c>
      <c r="AC89" t="s">
        <v>432</v>
      </c>
      <c r="AD89" t="str">
        <f t="shared" si="1"/>
        <v>Escobedo → Hidalgo</v>
      </c>
      <c r="AE89" t="s">
        <v>1357</v>
      </c>
      <c r="AF89" s="4">
        <v>45658</v>
      </c>
      <c r="AG89" t="str">
        <f>YEAR(Table1[[#This Row],[Fecha]])&amp;" - " &amp;UPPER(TEXT(Table1[[#This Row],[Fecha]],"mm-mmm"))</f>
        <v>2025 - 01-ENE</v>
      </c>
      <c r="AH89" s="5">
        <v>0</v>
      </c>
    </row>
    <row r="90" spans="1:34" x14ac:dyDescent="0.25">
      <c r="A90" t="s">
        <v>983</v>
      </c>
      <c r="B90">
        <v>2025</v>
      </c>
      <c r="C90">
        <v>1</v>
      </c>
      <c r="D90" s="1">
        <v>45675</v>
      </c>
      <c r="E90" s="1">
        <v>45675</v>
      </c>
      <c r="F90" s="1">
        <v>45675</v>
      </c>
      <c r="G90" s="1">
        <v>45675</v>
      </c>
      <c r="H90" s="2">
        <v>45675.53665613426</v>
      </c>
      <c r="I90">
        <v>2039</v>
      </c>
      <c r="J90" t="s">
        <v>30</v>
      </c>
      <c r="K90" t="s">
        <v>31</v>
      </c>
      <c r="L90">
        <v>50</v>
      </c>
      <c r="M90">
        <v>50</v>
      </c>
      <c r="N90" t="s">
        <v>32</v>
      </c>
      <c r="O90">
        <v>1</v>
      </c>
      <c r="P90">
        <v>150</v>
      </c>
      <c r="Q90" t="b">
        <v>1</v>
      </c>
      <c r="R90" t="b">
        <v>0</v>
      </c>
      <c r="S90" t="b">
        <v>0</v>
      </c>
      <c r="T90">
        <v>216</v>
      </c>
      <c r="U90">
        <v>0</v>
      </c>
      <c r="V90" t="s">
        <v>33</v>
      </c>
      <c r="W90" t="s">
        <v>33</v>
      </c>
      <c r="X90">
        <v>50</v>
      </c>
      <c r="Y90">
        <v>359</v>
      </c>
      <c r="Z90" t="s">
        <v>34</v>
      </c>
      <c r="AA90">
        <v>359</v>
      </c>
      <c r="AB90" t="s">
        <v>121</v>
      </c>
      <c r="AC90" t="s">
        <v>121</v>
      </c>
      <c r="AD90" t="str">
        <f t="shared" si="1"/>
        <v>Escobedo → Escobedo</v>
      </c>
      <c r="AE90" t="s">
        <v>1357</v>
      </c>
      <c r="AF90" s="4">
        <v>45658</v>
      </c>
      <c r="AG90" t="str">
        <f>YEAR(Table1[[#This Row],[Fecha]])&amp;" - " &amp;UPPER(TEXT(Table1[[#This Row],[Fecha]],"mm-mmm"))</f>
        <v>2025 - 01-ENE</v>
      </c>
      <c r="AH90" s="5">
        <v>0</v>
      </c>
    </row>
    <row r="91" spans="1:34" x14ac:dyDescent="0.25">
      <c r="A91" t="s">
        <v>594</v>
      </c>
      <c r="B91">
        <v>2025</v>
      </c>
      <c r="C91">
        <v>1</v>
      </c>
      <c r="D91" s="1">
        <v>45675</v>
      </c>
      <c r="E91" s="1">
        <v>45675</v>
      </c>
      <c r="F91" s="1">
        <v>45675</v>
      </c>
      <c r="G91" s="1">
        <v>45675</v>
      </c>
      <c r="H91" s="2">
        <v>45675.536955983793</v>
      </c>
      <c r="I91">
        <v>2039</v>
      </c>
      <c r="J91" t="s">
        <v>30</v>
      </c>
      <c r="K91" t="s">
        <v>31</v>
      </c>
      <c r="L91">
        <v>50</v>
      </c>
      <c r="M91">
        <v>50</v>
      </c>
      <c r="N91" t="s">
        <v>32</v>
      </c>
      <c r="O91">
        <v>1</v>
      </c>
      <c r="P91">
        <v>150</v>
      </c>
      <c r="Q91" t="b">
        <v>1</v>
      </c>
      <c r="R91" t="b">
        <v>0</v>
      </c>
      <c r="S91" t="b">
        <v>0</v>
      </c>
      <c r="T91">
        <v>216</v>
      </c>
      <c r="U91">
        <v>0</v>
      </c>
      <c r="V91" t="s">
        <v>33</v>
      </c>
      <c r="W91" t="s">
        <v>33</v>
      </c>
      <c r="X91">
        <v>50</v>
      </c>
      <c r="Y91">
        <v>2936</v>
      </c>
      <c r="Z91" t="s">
        <v>34</v>
      </c>
      <c r="AA91">
        <v>2936</v>
      </c>
      <c r="AB91" t="s">
        <v>121</v>
      </c>
      <c r="AC91" t="s">
        <v>432</v>
      </c>
      <c r="AD91" t="str">
        <f t="shared" si="1"/>
        <v>Escobedo → Hidalgo</v>
      </c>
      <c r="AE91" t="s">
        <v>1357</v>
      </c>
      <c r="AF91" s="4">
        <v>45658</v>
      </c>
      <c r="AG91" t="str">
        <f>YEAR(Table1[[#This Row],[Fecha]])&amp;" - " &amp;UPPER(TEXT(Table1[[#This Row],[Fecha]],"mm-mmm"))</f>
        <v>2025 - 01-ENE</v>
      </c>
      <c r="AH91" s="5">
        <v>0</v>
      </c>
    </row>
    <row r="92" spans="1:34" x14ac:dyDescent="0.25">
      <c r="A92" t="s">
        <v>998</v>
      </c>
      <c r="B92">
        <v>2025</v>
      </c>
      <c r="C92">
        <v>1</v>
      </c>
      <c r="D92" s="1">
        <v>45675</v>
      </c>
      <c r="E92" s="1">
        <v>45675</v>
      </c>
      <c r="F92" s="1">
        <v>45675</v>
      </c>
      <c r="G92" s="1">
        <v>45675</v>
      </c>
      <c r="H92" s="2">
        <v>45675.537337581016</v>
      </c>
      <c r="I92">
        <v>2039</v>
      </c>
      <c r="J92" t="s">
        <v>30</v>
      </c>
      <c r="K92" t="s">
        <v>31</v>
      </c>
      <c r="L92">
        <v>50</v>
      </c>
      <c r="M92">
        <v>50</v>
      </c>
      <c r="N92" t="s">
        <v>32</v>
      </c>
      <c r="O92">
        <v>1</v>
      </c>
      <c r="P92">
        <v>150</v>
      </c>
      <c r="Q92" t="b">
        <v>1</v>
      </c>
      <c r="R92" t="b">
        <v>0</v>
      </c>
      <c r="S92" t="b">
        <v>0</v>
      </c>
      <c r="T92">
        <v>216</v>
      </c>
      <c r="U92">
        <v>0</v>
      </c>
      <c r="V92" t="s">
        <v>33</v>
      </c>
      <c r="W92" t="s">
        <v>33</v>
      </c>
      <c r="X92">
        <v>50</v>
      </c>
      <c r="Y92">
        <v>359</v>
      </c>
      <c r="Z92" t="s">
        <v>34</v>
      </c>
      <c r="AA92">
        <v>359</v>
      </c>
      <c r="AB92" t="s">
        <v>121</v>
      </c>
      <c r="AC92" t="s">
        <v>121</v>
      </c>
      <c r="AD92" t="str">
        <f t="shared" si="1"/>
        <v>Escobedo → Escobedo</v>
      </c>
      <c r="AE92" t="s">
        <v>1357</v>
      </c>
      <c r="AF92" s="4">
        <v>45658</v>
      </c>
      <c r="AG92" t="str">
        <f>YEAR(Table1[[#This Row],[Fecha]])&amp;" - " &amp;UPPER(TEXT(Table1[[#This Row],[Fecha]],"mm-mmm"))</f>
        <v>2025 - 01-ENE</v>
      </c>
      <c r="AH92" s="5">
        <v>0</v>
      </c>
    </row>
    <row r="93" spans="1:34" x14ac:dyDescent="0.25">
      <c r="A93" t="s">
        <v>999</v>
      </c>
      <c r="B93">
        <v>2025</v>
      </c>
      <c r="C93">
        <v>1</v>
      </c>
      <c r="D93" s="1">
        <v>45675</v>
      </c>
      <c r="E93" s="1">
        <v>45675</v>
      </c>
      <c r="F93" s="1">
        <v>45675</v>
      </c>
      <c r="G93" s="1">
        <v>45675</v>
      </c>
      <c r="H93" s="2">
        <v>45675.537670520833</v>
      </c>
      <c r="I93">
        <v>2039</v>
      </c>
      <c r="J93" t="s">
        <v>30</v>
      </c>
      <c r="K93" t="s">
        <v>31</v>
      </c>
      <c r="L93">
        <v>50</v>
      </c>
      <c r="M93">
        <v>50</v>
      </c>
      <c r="N93" t="s">
        <v>32</v>
      </c>
      <c r="O93">
        <v>1</v>
      </c>
      <c r="P93">
        <v>150</v>
      </c>
      <c r="Q93" t="b">
        <v>1</v>
      </c>
      <c r="R93" t="b">
        <v>0</v>
      </c>
      <c r="S93" t="b">
        <v>0</v>
      </c>
      <c r="T93">
        <v>216</v>
      </c>
      <c r="U93">
        <v>0</v>
      </c>
      <c r="V93" t="s">
        <v>33</v>
      </c>
      <c r="W93" t="s">
        <v>33</v>
      </c>
      <c r="X93">
        <v>50</v>
      </c>
      <c r="Y93">
        <v>359</v>
      </c>
      <c r="Z93" t="s">
        <v>34</v>
      </c>
      <c r="AA93">
        <v>359</v>
      </c>
      <c r="AB93" t="s">
        <v>121</v>
      </c>
      <c r="AC93" t="s">
        <v>121</v>
      </c>
      <c r="AD93" t="str">
        <f t="shared" si="1"/>
        <v>Escobedo → Escobedo</v>
      </c>
      <c r="AE93" t="s">
        <v>1357</v>
      </c>
      <c r="AF93" s="4">
        <v>45658</v>
      </c>
      <c r="AG93" t="str">
        <f>YEAR(Table1[[#This Row],[Fecha]])&amp;" - " &amp;UPPER(TEXT(Table1[[#This Row],[Fecha]],"mm-mmm"))</f>
        <v>2025 - 01-ENE</v>
      </c>
      <c r="AH93" s="5">
        <v>0</v>
      </c>
    </row>
    <row r="94" spans="1:34" x14ac:dyDescent="0.25">
      <c r="A94" t="s">
        <v>1000</v>
      </c>
      <c r="B94">
        <v>2025</v>
      </c>
      <c r="C94">
        <v>1</v>
      </c>
      <c r="D94" s="1">
        <v>45675</v>
      </c>
      <c r="E94" s="1">
        <v>45675</v>
      </c>
      <c r="F94" s="1">
        <v>45675</v>
      </c>
      <c r="G94" s="1">
        <v>45675</v>
      </c>
      <c r="H94" s="2">
        <v>45675.538316435188</v>
      </c>
      <c r="I94">
        <v>2039</v>
      </c>
      <c r="J94" t="s">
        <v>30</v>
      </c>
      <c r="K94" t="s">
        <v>31</v>
      </c>
      <c r="L94">
        <v>50</v>
      </c>
      <c r="M94">
        <v>50</v>
      </c>
      <c r="N94" t="s">
        <v>32</v>
      </c>
      <c r="O94">
        <v>1</v>
      </c>
      <c r="P94">
        <v>150</v>
      </c>
      <c r="Q94" t="b">
        <v>1</v>
      </c>
      <c r="R94" t="b">
        <v>0</v>
      </c>
      <c r="S94" t="b">
        <v>0</v>
      </c>
      <c r="T94">
        <v>216</v>
      </c>
      <c r="U94">
        <v>0</v>
      </c>
      <c r="V94" t="s">
        <v>33</v>
      </c>
      <c r="W94" t="s">
        <v>33</v>
      </c>
      <c r="X94">
        <v>50</v>
      </c>
      <c r="Y94">
        <v>359</v>
      </c>
      <c r="Z94" t="s">
        <v>34</v>
      </c>
      <c r="AA94">
        <v>359</v>
      </c>
      <c r="AB94" t="s">
        <v>121</v>
      </c>
      <c r="AC94" t="s">
        <v>121</v>
      </c>
      <c r="AD94" t="str">
        <f t="shared" si="1"/>
        <v>Escobedo → Escobedo</v>
      </c>
      <c r="AE94" t="s">
        <v>1357</v>
      </c>
      <c r="AF94" s="4">
        <v>45658</v>
      </c>
      <c r="AG94" t="str">
        <f>YEAR(Table1[[#This Row],[Fecha]])&amp;" - " &amp;UPPER(TEXT(Table1[[#This Row],[Fecha]],"mm-mmm"))</f>
        <v>2025 - 01-ENE</v>
      </c>
      <c r="AH94" s="5">
        <v>0</v>
      </c>
    </row>
    <row r="95" spans="1:34" x14ac:dyDescent="0.25">
      <c r="A95" t="s">
        <v>1001</v>
      </c>
      <c r="B95">
        <v>2025</v>
      </c>
      <c r="C95">
        <v>1</v>
      </c>
      <c r="D95" s="1">
        <v>45675</v>
      </c>
      <c r="E95" s="1">
        <v>45675</v>
      </c>
      <c r="F95" s="1">
        <v>45675</v>
      </c>
      <c r="G95" s="1">
        <v>45675</v>
      </c>
      <c r="H95" s="2">
        <v>45675.539094178239</v>
      </c>
      <c r="I95">
        <v>2039</v>
      </c>
      <c r="J95" t="s">
        <v>30</v>
      </c>
      <c r="K95" t="s">
        <v>31</v>
      </c>
      <c r="L95">
        <v>50</v>
      </c>
      <c r="M95">
        <v>50</v>
      </c>
      <c r="N95" t="s">
        <v>32</v>
      </c>
      <c r="O95">
        <v>1</v>
      </c>
      <c r="P95">
        <v>150</v>
      </c>
      <c r="Q95" t="b">
        <v>1</v>
      </c>
      <c r="R95" t="b">
        <v>0</v>
      </c>
      <c r="S95" t="b">
        <v>0</v>
      </c>
      <c r="T95">
        <v>216</v>
      </c>
      <c r="U95">
        <v>0</v>
      </c>
      <c r="V95" t="s">
        <v>33</v>
      </c>
      <c r="W95" t="s">
        <v>33</v>
      </c>
      <c r="X95">
        <v>50</v>
      </c>
      <c r="Y95">
        <v>359</v>
      </c>
      <c r="Z95" t="s">
        <v>34</v>
      </c>
      <c r="AA95">
        <v>359</v>
      </c>
      <c r="AB95" t="s">
        <v>121</v>
      </c>
      <c r="AC95" t="s">
        <v>121</v>
      </c>
      <c r="AD95" t="str">
        <f t="shared" si="1"/>
        <v>Escobedo → Escobedo</v>
      </c>
      <c r="AE95" t="s">
        <v>1357</v>
      </c>
      <c r="AF95" s="4">
        <v>45658</v>
      </c>
      <c r="AG95" t="str">
        <f>YEAR(Table1[[#This Row],[Fecha]])&amp;" - " &amp;UPPER(TEXT(Table1[[#This Row],[Fecha]],"mm-mmm"))</f>
        <v>2025 - 01-ENE</v>
      </c>
      <c r="AH95" s="5">
        <v>0</v>
      </c>
    </row>
    <row r="96" spans="1:34" x14ac:dyDescent="0.25">
      <c r="A96" t="s">
        <v>353</v>
      </c>
      <c r="B96">
        <v>2025</v>
      </c>
      <c r="C96">
        <v>1</v>
      </c>
      <c r="D96" s="1">
        <v>45675</v>
      </c>
      <c r="E96" s="1">
        <v>45463</v>
      </c>
      <c r="F96" s="1">
        <v>45675</v>
      </c>
      <c r="G96" s="1">
        <v>45675</v>
      </c>
      <c r="H96" s="1">
        <v>45676</v>
      </c>
      <c r="I96">
        <v>2050</v>
      </c>
      <c r="J96" t="s">
        <v>54</v>
      </c>
      <c r="K96" t="s">
        <v>31</v>
      </c>
      <c r="L96">
        <v>961</v>
      </c>
      <c r="M96">
        <v>1059</v>
      </c>
      <c r="N96" t="s">
        <v>55</v>
      </c>
      <c r="O96">
        <v>1</v>
      </c>
      <c r="P96">
        <v>964</v>
      </c>
      <c r="Q96" t="b">
        <v>1</v>
      </c>
      <c r="R96" t="b">
        <v>0</v>
      </c>
      <c r="S96" t="b">
        <v>0</v>
      </c>
      <c r="T96">
        <v>1396</v>
      </c>
      <c r="U96">
        <v>0</v>
      </c>
      <c r="V96" t="s">
        <v>33</v>
      </c>
      <c r="W96" t="s">
        <v>33</v>
      </c>
      <c r="X96">
        <v>1100</v>
      </c>
      <c r="Y96">
        <v>8</v>
      </c>
      <c r="Z96" t="s">
        <v>350</v>
      </c>
      <c r="AA96">
        <v>8</v>
      </c>
      <c r="AB96" t="s">
        <v>121</v>
      </c>
      <c r="AC96" t="s">
        <v>56</v>
      </c>
      <c r="AD96" t="str">
        <f t="shared" si="1"/>
        <v>Escobedo → Cd Sahagún</v>
      </c>
      <c r="AE96" t="s">
        <v>1358</v>
      </c>
      <c r="AF96" s="4">
        <v>45658</v>
      </c>
      <c r="AG96" t="str">
        <f>YEAR(Table1[[#This Row],[Fecha]])&amp;" - " &amp;UPPER(TEXT(Table1[[#This Row],[Fecha]],"mm-mmm"))</f>
        <v>2025 - 01-ENE</v>
      </c>
      <c r="AH96" s="5">
        <v>0</v>
      </c>
    </row>
    <row r="97" spans="1:34" x14ac:dyDescent="0.25">
      <c r="A97" t="s">
        <v>585</v>
      </c>
      <c r="B97">
        <v>2025</v>
      </c>
      <c r="C97">
        <v>1</v>
      </c>
      <c r="D97" s="1">
        <v>45677</v>
      </c>
      <c r="E97" s="1">
        <v>45677</v>
      </c>
      <c r="F97" s="1">
        <v>45677</v>
      </c>
      <c r="G97" s="1">
        <v>45677</v>
      </c>
      <c r="H97" s="2">
        <v>45677.68148684028</v>
      </c>
      <c r="I97">
        <v>2039</v>
      </c>
      <c r="J97" t="s">
        <v>30</v>
      </c>
      <c r="K97" t="s">
        <v>31</v>
      </c>
      <c r="L97">
        <v>50</v>
      </c>
      <c r="M97">
        <v>50</v>
      </c>
      <c r="N97" t="s">
        <v>32</v>
      </c>
      <c r="O97">
        <v>1</v>
      </c>
      <c r="P97">
        <v>150</v>
      </c>
      <c r="Q97" t="b">
        <v>1</v>
      </c>
      <c r="R97" t="b">
        <v>0</v>
      </c>
      <c r="S97" t="b">
        <v>0</v>
      </c>
      <c r="T97">
        <v>216</v>
      </c>
      <c r="U97">
        <v>0</v>
      </c>
      <c r="V97" t="s">
        <v>33</v>
      </c>
      <c r="W97" t="s">
        <v>33</v>
      </c>
      <c r="X97">
        <v>50</v>
      </c>
      <c r="Y97">
        <v>2936</v>
      </c>
      <c r="Z97" t="s">
        <v>34</v>
      </c>
      <c r="AA97">
        <v>2936</v>
      </c>
      <c r="AB97" t="s">
        <v>121</v>
      </c>
      <c r="AC97" t="s">
        <v>432</v>
      </c>
      <c r="AD97" t="str">
        <f t="shared" si="1"/>
        <v>Escobedo → Hidalgo</v>
      </c>
      <c r="AE97" t="s">
        <v>1357</v>
      </c>
      <c r="AF97" s="4">
        <v>45658</v>
      </c>
      <c r="AG97" t="str">
        <f>YEAR(Table1[[#This Row],[Fecha]])&amp;" - " &amp;UPPER(TEXT(Table1[[#This Row],[Fecha]],"mm-mmm"))</f>
        <v>2025 - 01-ENE</v>
      </c>
      <c r="AH97" s="5">
        <v>0</v>
      </c>
    </row>
    <row r="98" spans="1:34" x14ac:dyDescent="0.25">
      <c r="A98" t="s">
        <v>586</v>
      </c>
      <c r="B98">
        <v>2025</v>
      </c>
      <c r="C98">
        <v>1</v>
      </c>
      <c r="D98" s="1">
        <v>45677</v>
      </c>
      <c r="E98" s="1">
        <v>45677</v>
      </c>
      <c r="F98" s="1">
        <v>45677</v>
      </c>
      <c r="G98" s="1">
        <v>45677</v>
      </c>
      <c r="H98" s="2">
        <v>45677.680774803244</v>
      </c>
      <c r="I98">
        <v>2050</v>
      </c>
      <c r="J98" t="s">
        <v>54</v>
      </c>
      <c r="K98" t="s">
        <v>31</v>
      </c>
      <c r="L98">
        <v>50</v>
      </c>
      <c r="M98">
        <v>50</v>
      </c>
      <c r="N98" t="s">
        <v>55</v>
      </c>
      <c r="O98">
        <v>1</v>
      </c>
      <c r="P98">
        <v>150</v>
      </c>
      <c r="Q98" t="b">
        <v>1</v>
      </c>
      <c r="R98" t="b">
        <v>0</v>
      </c>
      <c r="S98" t="b">
        <v>0</v>
      </c>
      <c r="T98">
        <v>216</v>
      </c>
      <c r="U98">
        <v>0</v>
      </c>
      <c r="V98" t="s">
        <v>33</v>
      </c>
      <c r="W98" t="s">
        <v>33</v>
      </c>
      <c r="X98">
        <v>50</v>
      </c>
      <c r="Y98">
        <v>2936</v>
      </c>
      <c r="Z98" t="s">
        <v>34</v>
      </c>
      <c r="AA98">
        <v>2936</v>
      </c>
      <c r="AB98" t="s">
        <v>121</v>
      </c>
      <c r="AC98" t="s">
        <v>432</v>
      </c>
      <c r="AD98" t="str">
        <f t="shared" si="1"/>
        <v>Escobedo → Hidalgo</v>
      </c>
      <c r="AE98" t="s">
        <v>1358</v>
      </c>
      <c r="AF98" s="4">
        <v>45658</v>
      </c>
      <c r="AG98" t="str">
        <f>YEAR(Table1[[#This Row],[Fecha]])&amp;" - " &amp;UPPER(TEXT(Table1[[#This Row],[Fecha]],"mm-mmm"))</f>
        <v>2025 - 01-ENE</v>
      </c>
      <c r="AH98" s="5">
        <v>0</v>
      </c>
    </row>
    <row r="99" spans="1:34" x14ac:dyDescent="0.25">
      <c r="A99" t="s">
        <v>587</v>
      </c>
      <c r="B99">
        <v>2025</v>
      </c>
      <c r="C99">
        <v>1</v>
      </c>
      <c r="D99" s="1">
        <v>45677</v>
      </c>
      <c r="E99" s="1">
        <v>45677</v>
      </c>
      <c r="F99" s="1">
        <v>45677</v>
      </c>
      <c r="G99" s="1">
        <v>45677</v>
      </c>
      <c r="H99" s="2">
        <v>45677.74123417824</v>
      </c>
      <c r="I99">
        <v>2050</v>
      </c>
      <c r="J99" t="s">
        <v>54</v>
      </c>
      <c r="K99" t="s">
        <v>31</v>
      </c>
      <c r="L99">
        <v>50</v>
      </c>
      <c r="M99">
        <v>50</v>
      </c>
      <c r="N99" t="s">
        <v>55</v>
      </c>
      <c r="O99">
        <v>1</v>
      </c>
      <c r="P99">
        <v>150</v>
      </c>
      <c r="Q99" t="b">
        <v>1</v>
      </c>
      <c r="R99" t="b">
        <v>0</v>
      </c>
      <c r="S99" t="b">
        <v>0</v>
      </c>
      <c r="T99">
        <v>216</v>
      </c>
      <c r="U99">
        <v>0</v>
      </c>
      <c r="V99" t="s">
        <v>33</v>
      </c>
      <c r="W99" t="s">
        <v>33</v>
      </c>
      <c r="X99">
        <v>50</v>
      </c>
      <c r="Y99">
        <v>2936</v>
      </c>
      <c r="Z99" t="s">
        <v>34</v>
      </c>
      <c r="AA99">
        <v>2936</v>
      </c>
      <c r="AB99" t="s">
        <v>121</v>
      </c>
      <c r="AC99" t="s">
        <v>432</v>
      </c>
      <c r="AD99" t="str">
        <f t="shared" si="1"/>
        <v>Escobedo → Hidalgo</v>
      </c>
      <c r="AE99" t="s">
        <v>1358</v>
      </c>
      <c r="AF99" s="4">
        <v>45658</v>
      </c>
      <c r="AG99" t="str">
        <f>YEAR(Table1[[#This Row],[Fecha]])&amp;" - " &amp;UPPER(TEXT(Table1[[#This Row],[Fecha]],"mm-mmm"))</f>
        <v>2025 - 01-ENE</v>
      </c>
      <c r="AH99" s="5">
        <v>0</v>
      </c>
    </row>
    <row r="100" spans="1:34" x14ac:dyDescent="0.25">
      <c r="A100" t="s">
        <v>990</v>
      </c>
      <c r="B100">
        <v>2025</v>
      </c>
      <c r="C100">
        <v>1</v>
      </c>
      <c r="D100" s="1">
        <v>45677</v>
      </c>
      <c r="E100" s="1">
        <v>45677</v>
      </c>
      <c r="F100" s="1">
        <v>45677</v>
      </c>
      <c r="G100" s="1">
        <v>45677</v>
      </c>
      <c r="H100" s="2">
        <v>45677.741216631941</v>
      </c>
      <c r="I100">
        <v>2050</v>
      </c>
      <c r="J100" t="s">
        <v>54</v>
      </c>
      <c r="K100" t="s">
        <v>31</v>
      </c>
      <c r="L100">
        <v>50</v>
      </c>
      <c r="M100">
        <v>50</v>
      </c>
      <c r="N100" t="s">
        <v>55</v>
      </c>
      <c r="O100">
        <v>1</v>
      </c>
      <c r="P100">
        <v>150</v>
      </c>
      <c r="Q100" t="b">
        <v>1</v>
      </c>
      <c r="R100" t="b">
        <v>0</v>
      </c>
      <c r="S100" t="b">
        <v>0</v>
      </c>
      <c r="T100">
        <v>216</v>
      </c>
      <c r="U100">
        <v>0</v>
      </c>
      <c r="V100" t="s">
        <v>33</v>
      </c>
      <c r="W100" t="s">
        <v>33</v>
      </c>
      <c r="X100">
        <v>50</v>
      </c>
      <c r="Y100">
        <v>359</v>
      </c>
      <c r="Z100" t="s">
        <v>34</v>
      </c>
      <c r="AA100">
        <v>359</v>
      </c>
      <c r="AB100" t="s">
        <v>121</v>
      </c>
      <c r="AC100" t="s">
        <v>121</v>
      </c>
      <c r="AD100" t="str">
        <f t="shared" si="1"/>
        <v>Escobedo → Escobedo</v>
      </c>
      <c r="AE100" t="s">
        <v>1358</v>
      </c>
      <c r="AF100" s="4">
        <v>45658</v>
      </c>
      <c r="AG100" t="str">
        <f>YEAR(Table1[[#This Row],[Fecha]])&amp;" - " &amp;UPPER(TEXT(Table1[[#This Row],[Fecha]],"mm-mmm"))</f>
        <v>2025 - 01-ENE</v>
      </c>
      <c r="AH100" s="5">
        <v>0</v>
      </c>
    </row>
    <row r="101" spans="1:34" x14ac:dyDescent="0.25">
      <c r="A101" t="s">
        <v>991</v>
      </c>
      <c r="B101">
        <v>2025</v>
      </c>
      <c r="C101">
        <v>1</v>
      </c>
      <c r="D101" s="1">
        <v>45677</v>
      </c>
      <c r="E101" s="1">
        <v>45677</v>
      </c>
      <c r="F101" s="1">
        <v>45677</v>
      </c>
      <c r="G101" s="1">
        <v>45677</v>
      </c>
      <c r="H101" s="2">
        <v>45677.741227314815</v>
      </c>
      <c r="I101">
        <v>2050</v>
      </c>
      <c r="J101" t="s">
        <v>54</v>
      </c>
      <c r="K101" t="s">
        <v>31</v>
      </c>
      <c r="L101">
        <v>50</v>
      </c>
      <c r="M101">
        <v>50</v>
      </c>
      <c r="N101" t="s">
        <v>55</v>
      </c>
      <c r="O101">
        <v>1</v>
      </c>
      <c r="P101">
        <v>150</v>
      </c>
      <c r="Q101" t="b">
        <v>1</v>
      </c>
      <c r="R101" t="b">
        <v>0</v>
      </c>
      <c r="S101" t="b">
        <v>0</v>
      </c>
      <c r="T101">
        <v>216</v>
      </c>
      <c r="U101">
        <v>0</v>
      </c>
      <c r="V101" t="s">
        <v>33</v>
      </c>
      <c r="W101" t="s">
        <v>33</v>
      </c>
      <c r="X101">
        <v>50</v>
      </c>
      <c r="Y101">
        <v>359</v>
      </c>
      <c r="Z101" t="s">
        <v>34</v>
      </c>
      <c r="AA101">
        <v>359</v>
      </c>
      <c r="AB101" t="s">
        <v>121</v>
      </c>
      <c r="AC101" t="s">
        <v>121</v>
      </c>
      <c r="AD101" t="str">
        <f t="shared" si="1"/>
        <v>Escobedo → Escobedo</v>
      </c>
      <c r="AE101" t="s">
        <v>1358</v>
      </c>
      <c r="AF101" s="4">
        <v>45658</v>
      </c>
      <c r="AG101" t="str">
        <f>YEAR(Table1[[#This Row],[Fecha]])&amp;" - " &amp;UPPER(TEXT(Table1[[#This Row],[Fecha]],"mm-mmm"))</f>
        <v>2025 - 01-ENE</v>
      </c>
      <c r="AH101" s="5">
        <v>0</v>
      </c>
    </row>
    <row r="102" spans="1:34" x14ac:dyDescent="0.25">
      <c r="A102" t="s">
        <v>581</v>
      </c>
      <c r="B102">
        <v>2025</v>
      </c>
      <c r="C102">
        <v>1</v>
      </c>
      <c r="D102" s="1">
        <v>45677</v>
      </c>
      <c r="E102" s="1">
        <v>45677</v>
      </c>
      <c r="F102" s="1">
        <v>45677</v>
      </c>
      <c r="G102" s="1">
        <v>45677</v>
      </c>
      <c r="H102" s="2">
        <v>45677.783245914354</v>
      </c>
      <c r="I102">
        <v>2039</v>
      </c>
      <c r="J102" t="s">
        <v>30</v>
      </c>
      <c r="K102" t="s">
        <v>31</v>
      </c>
      <c r="L102">
        <v>50</v>
      </c>
      <c r="M102">
        <v>50</v>
      </c>
      <c r="N102" t="s">
        <v>32</v>
      </c>
      <c r="O102">
        <v>1</v>
      </c>
      <c r="P102">
        <v>150</v>
      </c>
      <c r="Q102" t="b">
        <v>1</v>
      </c>
      <c r="R102" t="b">
        <v>0</v>
      </c>
      <c r="S102" t="b">
        <v>0</v>
      </c>
      <c r="T102">
        <v>216</v>
      </c>
      <c r="U102">
        <v>0</v>
      </c>
      <c r="V102" t="s">
        <v>33</v>
      </c>
      <c r="W102" t="s">
        <v>33</v>
      </c>
      <c r="X102">
        <v>50</v>
      </c>
      <c r="Y102">
        <v>2936</v>
      </c>
      <c r="Z102" t="s">
        <v>34</v>
      </c>
      <c r="AA102">
        <v>2936</v>
      </c>
      <c r="AB102" t="s">
        <v>121</v>
      </c>
      <c r="AC102" t="s">
        <v>432</v>
      </c>
      <c r="AD102" t="str">
        <f t="shared" si="1"/>
        <v>Escobedo → Hidalgo</v>
      </c>
      <c r="AE102" t="s">
        <v>1357</v>
      </c>
      <c r="AF102" s="4">
        <v>45658</v>
      </c>
      <c r="AG102" t="str">
        <f>YEAR(Table1[[#This Row],[Fecha]])&amp;" - " &amp;UPPER(TEXT(Table1[[#This Row],[Fecha]],"mm-mmm"))</f>
        <v>2025 - 01-ENE</v>
      </c>
      <c r="AH102" s="5">
        <v>0</v>
      </c>
    </row>
    <row r="103" spans="1:34" x14ac:dyDescent="0.25">
      <c r="A103" t="s">
        <v>582</v>
      </c>
      <c r="B103">
        <v>2025</v>
      </c>
      <c r="C103">
        <v>1</v>
      </c>
      <c r="D103" s="1">
        <v>45677</v>
      </c>
      <c r="E103" s="1">
        <v>45677</v>
      </c>
      <c r="F103" s="1">
        <v>45677</v>
      </c>
      <c r="G103" s="1">
        <v>45677</v>
      </c>
      <c r="H103" s="2">
        <v>45677.783722418979</v>
      </c>
      <c r="I103">
        <v>2039</v>
      </c>
      <c r="J103" t="s">
        <v>30</v>
      </c>
      <c r="K103" t="s">
        <v>31</v>
      </c>
      <c r="L103">
        <v>50</v>
      </c>
      <c r="M103">
        <v>50</v>
      </c>
      <c r="N103" t="s">
        <v>32</v>
      </c>
      <c r="O103">
        <v>1</v>
      </c>
      <c r="P103">
        <v>150</v>
      </c>
      <c r="Q103" t="b">
        <v>1</v>
      </c>
      <c r="R103" t="b">
        <v>0</v>
      </c>
      <c r="S103" t="b">
        <v>0</v>
      </c>
      <c r="T103">
        <v>216</v>
      </c>
      <c r="U103">
        <v>0</v>
      </c>
      <c r="V103" t="s">
        <v>33</v>
      </c>
      <c r="W103" t="s">
        <v>33</v>
      </c>
      <c r="X103">
        <v>50</v>
      </c>
      <c r="Y103">
        <v>2936</v>
      </c>
      <c r="Z103" t="s">
        <v>34</v>
      </c>
      <c r="AA103">
        <v>2936</v>
      </c>
      <c r="AB103" t="s">
        <v>121</v>
      </c>
      <c r="AC103" t="s">
        <v>432</v>
      </c>
      <c r="AD103" t="str">
        <f t="shared" si="1"/>
        <v>Escobedo → Hidalgo</v>
      </c>
      <c r="AE103" t="s">
        <v>1357</v>
      </c>
      <c r="AF103" s="4">
        <v>45658</v>
      </c>
      <c r="AG103" t="str">
        <f>YEAR(Table1[[#This Row],[Fecha]])&amp;" - " &amp;UPPER(TEXT(Table1[[#This Row],[Fecha]],"mm-mmm"))</f>
        <v>2025 - 01-ENE</v>
      </c>
      <c r="AH103" s="5">
        <v>0</v>
      </c>
    </row>
    <row r="104" spans="1:34" x14ac:dyDescent="0.25">
      <c r="A104" t="s">
        <v>583</v>
      </c>
      <c r="B104">
        <v>2025</v>
      </c>
      <c r="C104">
        <v>1</v>
      </c>
      <c r="D104" s="1">
        <v>45677</v>
      </c>
      <c r="E104" s="1">
        <v>45677</v>
      </c>
      <c r="F104" s="1">
        <v>45677</v>
      </c>
      <c r="G104" s="1">
        <v>45677</v>
      </c>
      <c r="H104" s="2">
        <v>45677.784061493054</v>
      </c>
      <c r="I104">
        <v>2039</v>
      </c>
      <c r="J104" t="s">
        <v>30</v>
      </c>
      <c r="K104" t="s">
        <v>31</v>
      </c>
      <c r="L104">
        <v>50</v>
      </c>
      <c r="M104">
        <v>50</v>
      </c>
      <c r="N104" t="s">
        <v>32</v>
      </c>
      <c r="O104">
        <v>1</v>
      </c>
      <c r="P104">
        <v>150</v>
      </c>
      <c r="Q104" t="b">
        <v>1</v>
      </c>
      <c r="R104" t="b">
        <v>0</v>
      </c>
      <c r="S104" t="b">
        <v>0</v>
      </c>
      <c r="T104">
        <v>216</v>
      </c>
      <c r="U104">
        <v>0</v>
      </c>
      <c r="V104" t="s">
        <v>33</v>
      </c>
      <c r="W104" t="s">
        <v>33</v>
      </c>
      <c r="X104">
        <v>50</v>
      </c>
      <c r="Y104">
        <v>2936</v>
      </c>
      <c r="Z104" t="s">
        <v>34</v>
      </c>
      <c r="AA104">
        <v>2936</v>
      </c>
      <c r="AB104" t="s">
        <v>121</v>
      </c>
      <c r="AC104" t="s">
        <v>432</v>
      </c>
      <c r="AD104" t="str">
        <f t="shared" si="1"/>
        <v>Escobedo → Hidalgo</v>
      </c>
      <c r="AE104" t="s">
        <v>1357</v>
      </c>
      <c r="AF104" s="4">
        <v>45658</v>
      </c>
      <c r="AG104" t="str">
        <f>YEAR(Table1[[#This Row],[Fecha]])&amp;" - " &amp;UPPER(TEXT(Table1[[#This Row],[Fecha]],"mm-mmm"))</f>
        <v>2025 - 01-ENE</v>
      </c>
      <c r="AH104" s="5">
        <v>0</v>
      </c>
    </row>
    <row r="105" spans="1:34" x14ac:dyDescent="0.25">
      <c r="A105" t="s">
        <v>584</v>
      </c>
      <c r="B105">
        <v>2025</v>
      </c>
      <c r="C105">
        <v>1</v>
      </c>
      <c r="D105" s="1">
        <v>45677</v>
      </c>
      <c r="E105" s="1">
        <v>45677</v>
      </c>
      <c r="F105" s="1">
        <v>45677</v>
      </c>
      <c r="G105" s="1">
        <v>45677</v>
      </c>
      <c r="H105" s="2">
        <v>45677.784424189813</v>
      </c>
      <c r="I105">
        <v>2039</v>
      </c>
      <c r="J105" t="s">
        <v>30</v>
      </c>
      <c r="K105" t="s">
        <v>31</v>
      </c>
      <c r="L105">
        <v>50</v>
      </c>
      <c r="M105">
        <v>50</v>
      </c>
      <c r="N105" t="s">
        <v>32</v>
      </c>
      <c r="O105">
        <v>1</v>
      </c>
      <c r="P105">
        <v>150</v>
      </c>
      <c r="Q105" t="b">
        <v>1</v>
      </c>
      <c r="R105" t="b">
        <v>0</v>
      </c>
      <c r="S105" t="b">
        <v>0</v>
      </c>
      <c r="T105">
        <v>216</v>
      </c>
      <c r="U105">
        <v>0</v>
      </c>
      <c r="V105" t="s">
        <v>33</v>
      </c>
      <c r="W105" t="s">
        <v>33</v>
      </c>
      <c r="X105">
        <v>50</v>
      </c>
      <c r="Y105">
        <v>2936</v>
      </c>
      <c r="Z105" t="s">
        <v>34</v>
      </c>
      <c r="AA105">
        <v>2936</v>
      </c>
      <c r="AB105" t="s">
        <v>121</v>
      </c>
      <c r="AC105" t="s">
        <v>432</v>
      </c>
      <c r="AD105" t="str">
        <f t="shared" si="1"/>
        <v>Escobedo → Hidalgo</v>
      </c>
      <c r="AE105" t="s">
        <v>1357</v>
      </c>
      <c r="AF105" s="4">
        <v>45658</v>
      </c>
      <c r="AG105" t="str">
        <f>YEAR(Table1[[#This Row],[Fecha]])&amp;" - " &amp;UPPER(TEXT(Table1[[#This Row],[Fecha]],"mm-mmm"))</f>
        <v>2025 - 01-ENE</v>
      </c>
      <c r="AH105" s="5">
        <v>0</v>
      </c>
    </row>
    <row r="106" spans="1:34" x14ac:dyDescent="0.25">
      <c r="A106" t="s">
        <v>984</v>
      </c>
      <c r="B106">
        <v>2025</v>
      </c>
      <c r="C106">
        <v>1</v>
      </c>
      <c r="D106" s="1">
        <v>45677</v>
      </c>
      <c r="E106" s="1">
        <v>45677</v>
      </c>
      <c r="F106" s="1">
        <v>45677</v>
      </c>
      <c r="G106" s="1">
        <v>45677</v>
      </c>
      <c r="H106" s="2">
        <v>45677.79152071759</v>
      </c>
      <c r="I106">
        <v>2039</v>
      </c>
      <c r="J106" t="s">
        <v>30</v>
      </c>
      <c r="K106" t="s">
        <v>31</v>
      </c>
      <c r="L106">
        <v>50</v>
      </c>
      <c r="M106">
        <v>50</v>
      </c>
      <c r="N106" t="s">
        <v>32</v>
      </c>
      <c r="O106">
        <v>1</v>
      </c>
      <c r="P106">
        <v>150</v>
      </c>
      <c r="Q106" t="b">
        <v>1</v>
      </c>
      <c r="R106" t="b">
        <v>0</v>
      </c>
      <c r="S106" t="b">
        <v>0</v>
      </c>
      <c r="T106">
        <v>216</v>
      </c>
      <c r="U106">
        <v>0</v>
      </c>
      <c r="V106" t="s">
        <v>33</v>
      </c>
      <c r="W106" t="s">
        <v>33</v>
      </c>
      <c r="X106">
        <v>50</v>
      </c>
      <c r="Y106">
        <v>359</v>
      </c>
      <c r="Z106" t="s">
        <v>34</v>
      </c>
      <c r="AA106">
        <v>359</v>
      </c>
      <c r="AB106" t="s">
        <v>121</v>
      </c>
      <c r="AC106" t="s">
        <v>121</v>
      </c>
      <c r="AD106" t="str">
        <f t="shared" si="1"/>
        <v>Escobedo → Escobedo</v>
      </c>
      <c r="AE106" t="s">
        <v>1357</v>
      </c>
      <c r="AF106" s="4">
        <v>45658</v>
      </c>
      <c r="AG106" t="str">
        <f>YEAR(Table1[[#This Row],[Fecha]])&amp;" - " &amp;UPPER(TEXT(Table1[[#This Row],[Fecha]],"mm-mmm"))</f>
        <v>2025 - 01-ENE</v>
      </c>
      <c r="AH106" s="5">
        <v>0</v>
      </c>
    </row>
    <row r="107" spans="1:34" x14ac:dyDescent="0.25">
      <c r="A107" t="s">
        <v>354</v>
      </c>
      <c r="B107">
        <v>2025</v>
      </c>
      <c r="C107">
        <v>1</v>
      </c>
      <c r="D107" s="1">
        <v>45677</v>
      </c>
      <c r="E107" s="1">
        <v>45677</v>
      </c>
      <c r="F107" s="1">
        <v>45678</v>
      </c>
      <c r="G107" s="1">
        <v>45677</v>
      </c>
      <c r="H107" s="1">
        <v>45678</v>
      </c>
      <c r="I107">
        <v>1990</v>
      </c>
      <c r="J107" t="s">
        <v>41</v>
      </c>
      <c r="K107" t="s">
        <v>42</v>
      </c>
      <c r="L107">
        <v>961</v>
      </c>
      <c r="M107">
        <v>1059</v>
      </c>
      <c r="N107" t="s">
        <v>355</v>
      </c>
      <c r="O107">
        <v>1</v>
      </c>
      <c r="P107">
        <v>964</v>
      </c>
      <c r="Q107" t="b">
        <v>1</v>
      </c>
      <c r="R107" t="b">
        <v>0</v>
      </c>
      <c r="S107" t="b">
        <v>0</v>
      </c>
      <c r="T107">
        <v>1396</v>
      </c>
      <c r="U107">
        <v>0</v>
      </c>
      <c r="V107" t="s">
        <v>33</v>
      </c>
      <c r="W107" t="s">
        <v>33</v>
      </c>
      <c r="X107">
        <v>1100</v>
      </c>
      <c r="Y107">
        <v>8</v>
      </c>
      <c r="Z107" t="s">
        <v>123</v>
      </c>
      <c r="AA107">
        <v>8</v>
      </c>
      <c r="AB107" t="s">
        <v>121</v>
      </c>
      <c r="AC107" t="s">
        <v>56</v>
      </c>
      <c r="AD107" t="str">
        <f t="shared" si="1"/>
        <v>Escobedo → Cd Sahagún</v>
      </c>
      <c r="AE107" t="s">
        <v>1359</v>
      </c>
      <c r="AF107" s="4">
        <v>45658</v>
      </c>
      <c r="AG107" t="str">
        <f>YEAR(Table1[[#This Row],[Fecha]])&amp;" - " &amp;UPPER(TEXT(Table1[[#This Row],[Fecha]],"mm-mmm"))</f>
        <v>2025 - 01-ENE</v>
      </c>
      <c r="AH107" s="5">
        <v>0</v>
      </c>
    </row>
    <row r="108" spans="1:34" x14ac:dyDescent="0.25">
      <c r="A108" t="s">
        <v>421</v>
      </c>
      <c r="B108">
        <v>2025</v>
      </c>
      <c r="C108">
        <v>1</v>
      </c>
      <c r="D108" s="1">
        <v>45671</v>
      </c>
      <c r="E108" s="1">
        <v>45671</v>
      </c>
      <c r="F108" s="1">
        <v>45671</v>
      </c>
      <c r="G108" s="1">
        <v>45671</v>
      </c>
      <c r="H108" s="2">
        <v>45678.470192245368</v>
      </c>
      <c r="I108">
        <v>2050</v>
      </c>
      <c r="J108" t="s">
        <v>54</v>
      </c>
      <c r="K108" t="s">
        <v>31</v>
      </c>
      <c r="L108">
        <v>50</v>
      </c>
      <c r="M108">
        <v>50</v>
      </c>
      <c r="N108" t="s">
        <v>55</v>
      </c>
      <c r="O108">
        <v>1</v>
      </c>
      <c r="P108">
        <v>150</v>
      </c>
      <c r="Q108" t="b">
        <v>1</v>
      </c>
      <c r="R108" t="b">
        <v>0</v>
      </c>
      <c r="S108" t="b">
        <v>0</v>
      </c>
      <c r="T108">
        <v>216</v>
      </c>
      <c r="U108">
        <v>0</v>
      </c>
      <c r="V108" t="s">
        <v>33</v>
      </c>
      <c r="W108" t="s">
        <v>33</v>
      </c>
      <c r="X108">
        <v>50</v>
      </c>
      <c r="Y108">
        <v>461</v>
      </c>
      <c r="Z108" t="s">
        <v>350</v>
      </c>
      <c r="AA108">
        <v>461</v>
      </c>
      <c r="AB108" t="s">
        <v>121</v>
      </c>
      <c r="AC108" t="s">
        <v>35</v>
      </c>
      <c r="AD108" t="str">
        <f t="shared" si="1"/>
        <v>Escobedo → Monterrey</v>
      </c>
      <c r="AE108" t="s">
        <v>1358</v>
      </c>
      <c r="AF108" s="4">
        <v>45658</v>
      </c>
      <c r="AG108" t="str">
        <f>YEAR(Table1[[#This Row],[Fecha]])&amp;" - " &amp;UPPER(TEXT(Table1[[#This Row],[Fecha]],"mm-mmm"))</f>
        <v>2025 - 01-ENE</v>
      </c>
      <c r="AH108" s="5">
        <v>0</v>
      </c>
    </row>
    <row r="109" spans="1:34" x14ac:dyDescent="0.25">
      <c r="A109" t="s">
        <v>422</v>
      </c>
      <c r="B109">
        <v>2025</v>
      </c>
      <c r="C109">
        <v>1</v>
      </c>
      <c r="D109" s="1">
        <v>45672</v>
      </c>
      <c r="E109" s="1">
        <v>45672</v>
      </c>
      <c r="F109" s="1">
        <v>45672</v>
      </c>
      <c r="G109" s="1">
        <v>45672</v>
      </c>
      <c r="H109" s="2">
        <v>45678.47019803241</v>
      </c>
      <c r="I109">
        <v>2050</v>
      </c>
      <c r="J109" t="s">
        <v>54</v>
      </c>
      <c r="K109" t="s">
        <v>31</v>
      </c>
      <c r="L109">
        <v>50</v>
      </c>
      <c r="M109">
        <v>50</v>
      </c>
      <c r="N109" t="s">
        <v>55</v>
      </c>
      <c r="O109">
        <v>1</v>
      </c>
      <c r="P109">
        <v>150</v>
      </c>
      <c r="Q109" t="b">
        <v>1</v>
      </c>
      <c r="R109" t="b">
        <v>0</v>
      </c>
      <c r="S109" t="b">
        <v>0</v>
      </c>
      <c r="T109">
        <v>216</v>
      </c>
      <c r="U109">
        <v>0</v>
      </c>
      <c r="V109" t="s">
        <v>33</v>
      </c>
      <c r="W109" t="s">
        <v>33</v>
      </c>
      <c r="X109">
        <v>50</v>
      </c>
      <c r="Y109">
        <v>461</v>
      </c>
      <c r="Z109" t="s">
        <v>350</v>
      </c>
      <c r="AA109">
        <v>461</v>
      </c>
      <c r="AB109" t="s">
        <v>121</v>
      </c>
      <c r="AC109" t="s">
        <v>35</v>
      </c>
      <c r="AD109" t="str">
        <f t="shared" si="1"/>
        <v>Escobedo → Monterrey</v>
      </c>
      <c r="AE109" t="s">
        <v>1358</v>
      </c>
      <c r="AF109" s="4">
        <v>45658</v>
      </c>
      <c r="AG109" t="str">
        <f>YEAR(Table1[[#This Row],[Fecha]])&amp;" - " &amp;UPPER(TEXT(Table1[[#This Row],[Fecha]],"mm-mmm"))</f>
        <v>2025 - 01-ENE</v>
      </c>
      <c r="AH109" s="5">
        <v>0</v>
      </c>
    </row>
    <row r="110" spans="1:34" x14ac:dyDescent="0.25">
      <c r="A110" t="s">
        <v>423</v>
      </c>
      <c r="B110">
        <v>2025</v>
      </c>
      <c r="C110">
        <v>1</v>
      </c>
      <c r="D110" s="1">
        <v>45673</v>
      </c>
      <c r="E110" s="1">
        <v>45673</v>
      </c>
      <c r="F110" s="1">
        <v>45673</v>
      </c>
      <c r="G110" s="1">
        <v>45673</v>
      </c>
      <c r="H110" s="2">
        <v>45678.470203240744</v>
      </c>
      <c r="I110">
        <v>2050</v>
      </c>
      <c r="J110" t="s">
        <v>54</v>
      </c>
      <c r="K110" t="s">
        <v>31</v>
      </c>
      <c r="L110">
        <v>50</v>
      </c>
      <c r="M110">
        <v>50</v>
      </c>
      <c r="N110" t="s">
        <v>55</v>
      </c>
      <c r="O110">
        <v>1</v>
      </c>
      <c r="P110">
        <v>150</v>
      </c>
      <c r="Q110" t="b">
        <v>1</v>
      </c>
      <c r="R110" t="b">
        <v>0</v>
      </c>
      <c r="S110" t="b">
        <v>0</v>
      </c>
      <c r="T110">
        <v>216</v>
      </c>
      <c r="U110">
        <v>0</v>
      </c>
      <c r="V110" t="s">
        <v>33</v>
      </c>
      <c r="W110" t="s">
        <v>33</v>
      </c>
      <c r="X110">
        <v>50</v>
      </c>
      <c r="Y110">
        <v>461</v>
      </c>
      <c r="Z110" t="s">
        <v>350</v>
      </c>
      <c r="AA110">
        <v>461</v>
      </c>
      <c r="AB110" t="s">
        <v>121</v>
      </c>
      <c r="AC110" t="s">
        <v>35</v>
      </c>
      <c r="AD110" t="str">
        <f t="shared" si="1"/>
        <v>Escobedo → Monterrey</v>
      </c>
      <c r="AE110" t="s">
        <v>1358</v>
      </c>
      <c r="AF110" s="4">
        <v>45658</v>
      </c>
      <c r="AG110" t="str">
        <f>YEAR(Table1[[#This Row],[Fecha]])&amp;" - " &amp;UPPER(TEXT(Table1[[#This Row],[Fecha]],"mm-mmm"))</f>
        <v>2025 - 01-ENE</v>
      </c>
      <c r="AH110" s="5">
        <v>0</v>
      </c>
    </row>
    <row r="111" spans="1:34" x14ac:dyDescent="0.25">
      <c r="A111" t="s">
        <v>424</v>
      </c>
      <c r="B111">
        <v>2025</v>
      </c>
      <c r="C111">
        <v>1</v>
      </c>
      <c r="D111" s="1">
        <v>45673</v>
      </c>
      <c r="E111" s="1">
        <v>45673</v>
      </c>
      <c r="F111" s="1">
        <v>45673</v>
      </c>
      <c r="G111" s="1">
        <v>45673</v>
      </c>
      <c r="H111" s="2">
        <v>45678.470207789353</v>
      </c>
      <c r="I111">
        <v>2050</v>
      </c>
      <c r="J111" t="s">
        <v>54</v>
      </c>
      <c r="K111" t="s">
        <v>31</v>
      </c>
      <c r="L111">
        <v>50</v>
      </c>
      <c r="M111">
        <v>50</v>
      </c>
      <c r="N111" t="s">
        <v>55</v>
      </c>
      <c r="O111">
        <v>1</v>
      </c>
      <c r="P111">
        <v>150</v>
      </c>
      <c r="Q111" t="b">
        <v>1</v>
      </c>
      <c r="R111" t="b">
        <v>0</v>
      </c>
      <c r="S111" t="b">
        <v>0</v>
      </c>
      <c r="T111">
        <v>216</v>
      </c>
      <c r="U111">
        <v>0</v>
      </c>
      <c r="V111" t="s">
        <v>33</v>
      </c>
      <c r="W111" t="s">
        <v>33</v>
      </c>
      <c r="X111">
        <v>50</v>
      </c>
      <c r="Y111">
        <v>461</v>
      </c>
      <c r="Z111" t="s">
        <v>350</v>
      </c>
      <c r="AA111">
        <v>461</v>
      </c>
      <c r="AB111" t="s">
        <v>121</v>
      </c>
      <c r="AC111" t="s">
        <v>35</v>
      </c>
      <c r="AD111" t="str">
        <f t="shared" si="1"/>
        <v>Escobedo → Monterrey</v>
      </c>
      <c r="AE111" t="s">
        <v>1358</v>
      </c>
      <c r="AF111" s="4">
        <v>45658</v>
      </c>
      <c r="AG111" t="str">
        <f>YEAR(Table1[[#This Row],[Fecha]])&amp;" - " &amp;UPPER(TEXT(Table1[[#This Row],[Fecha]],"mm-mmm"))</f>
        <v>2025 - 01-ENE</v>
      </c>
      <c r="AH111" s="5">
        <v>0</v>
      </c>
    </row>
    <row r="112" spans="1:34" x14ac:dyDescent="0.25">
      <c r="A112" t="s">
        <v>425</v>
      </c>
      <c r="B112">
        <v>2025</v>
      </c>
      <c r="C112">
        <v>1</v>
      </c>
      <c r="D112" s="1">
        <v>45678</v>
      </c>
      <c r="E112" s="1">
        <v>45678</v>
      </c>
      <c r="F112" s="1">
        <v>45679</v>
      </c>
      <c r="G112" s="1">
        <v>45679</v>
      </c>
      <c r="H112" s="2">
        <v>45678.470179548611</v>
      </c>
      <c r="I112">
        <v>2050</v>
      </c>
      <c r="J112" t="s">
        <v>54</v>
      </c>
      <c r="K112" t="s">
        <v>31</v>
      </c>
      <c r="L112">
        <v>50</v>
      </c>
      <c r="M112">
        <v>50</v>
      </c>
      <c r="N112" t="s">
        <v>55</v>
      </c>
      <c r="O112">
        <v>1</v>
      </c>
      <c r="P112">
        <v>150</v>
      </c>
      <c r="Q112" t="b">
        <v>1</v>
      </c>
      <c r="R112" t="b">
        <v>0</v>
      </c>
      <c r="S112" t="b">
        <v>0</v>
      </c>
      <c r="T112">
        <v>216</v>
      </c>
      <c r="U112">
        <v>0</v>
      </c>
      <c r="V112" t="s">
        <v>33</v>
      </c>
      <c r="W112" t="s">
        <v>33</v>
      </c>
      <c r="X112">
        <v>50</v>
      </c>
      <c r="Y112">
        <v>461</v>
      </c>
      <c r="Z112" t="s">
        <v>350</v>
      </c>
      <c r="AA112">
        <v>461</v>
      </c>
      <c r="AB112" t="s">
        <v>121</v>
      </c>
      <c r="AC112" t="s">
        <v>35</v>
      </c>
      <c r="AD112" t="str">
        <f t="shared" si="1"/>
        <v>Escobedo → Monterrey</v>
      </c>
      <c r="AE112" t="s">
        <v>1358</v>
      </c>
      <c r="AF112" s="4">
        <v>45658</v>
      </c>
      <c r="AG112" t="str">
        <f>YEAR(Table1[[#This Row],[Fecha]])&amp;" - " &amp;UPPER(TEXT(Table1[[#This Row],[Fecha]],"mm-mmm"))</f>
        <v>2025 - 01-ENE</v>
      </c>
      <c r="AH112" s="5">
        <v>0</v>
      </c>
    </row>
    <row r="113" spans="1:34" x14ac:dyDescent="0.25">
      <c r="A113" t="s">
        <v>578</v>
      </c>
      <c r="B113">
        <v>2025</v>
      </c>
      <c r="C113">
        <v>1</v>
      </c>
      <c r="D113" s="1">
        <v>45678</v>
      </c>
      <c r="E113" s="1">
        <v>45678</v>
      </c>
      <c r="F113" s="1">
        <v>45678</v>
      </c>
      <c r="G113" s="1">
        <v>45678</v>
      </c>
      <c r="H113" s="2">
        <v>45678.77861721065</v>
      </c>
      <c r="I113">
        <v>2039</v>
      </c>
      <c r="J113" t="s">
        <v>30</v>
      </c>
      <c r="K113" t="s">
        <v>31</v>
      </c>
      <c r="L113">
        <v>50</v>
      </c>
      <c r="M113">
        <v>50</v>
      </c>
      <c r="N113" t="s">
        <v>32</v>
      </c>
      <c r="O113">
        <v>1</v>
      </c>
      <c r="P113">
        <v>150</v>
      </c>
      <c r="Q113" t="b">
        <v>1</v>
      </c>
      <c r="R113" t="b">
        <v>0</v>
      </c>
      <c r="S113" t="b">
        <v>0</v>
      </c>
      <c r="T113">
        <v>216</v>
      </c>
      <c r="U113">
        <v>0</v>
      </c>
      <c r="V113" t="s">
        <v>33</v>
      </c>
      <c r="W113" t="s">
        <v>33</v>
      </c>
      <c r="X113">
        <v>50</v>
      </c>
      <c r="Y113">
        <v>2936</v>
      </c>
      <c r="Z113" t="s">
        <v>34</v>
      </c>
      <c r="AA113">
        <v>2936</v>
      </c>
      <c r="AB113" t="s">
        <v>121</v>
      </c>
      <c r="AC113" t="s">
        <v>432</v>
      </c>
      <c r="AD113" t="str">
        <f t="shared" si="1"/>
        <v>Escobedo → Hidalgo</v>
      </c>
      <c r="AE113" t="s">
        <v>1357</v>
      </c>
      <c r="AF113" s="4">
        <v>45658</v>
      </c>
      <c r="AG113" t="str">
        <f>YEAR(Table1[[#This Row],[Fecha]])&amp;" - " &amp;UPPER(TEXT(Table1[[#This Row],[Fecha]],"mm-mmm"))</f>
        <v>2025 - 01-ENE</v>
      </c>
      <c r="AH113" s="5">
        <v>0</v>
      </c>
    </row>
    <row r="114" spans="1:34" x14ac:dyDescent="0.25">
      <c r="A114" t="s">
        <v>579</v>
      </c>
      <c r="B114">
        <v>2025</v>
      </c>
      <c r="C114">
        <v>1</v>
      </c>
      <c r="D114" s="1">
        <v>45678</v>
      </c>
      <c r="E114" s="1">
        <v>45678</v>
      </c>
      <c r="F114" s="1">
        <v>45678</v>
      </c>
      <c r="G114" s="1">
        <v>45678</v>
      </c>
      <c r="H114" s="2">
        <v>45678.778626967593</v>
      </c>
      <c r="I114">
        <v>2039</v>
      </c>
      <c r="J114" t="s">
        <v>30</v>
      </c>
      <c r="K114" t="s">
        <v>31</v>
      </c>
      <c r="L114">
        <v>50</v>
      </c>
      <c r="M114">
        <v>50</v>
      </c>
      <c r="N114" t="s">
        <v>32</v>
      </c>
      <c r="O114">
        <v>1</v>
      </c>
      <c r="P114">
        <v>150</v>
      </c>
      <c r="Q114" t="b">
        <v>1</v>
      </c>
      <c r="R114" t="b">
        <v>0</v>
      </c>
      <c r="S114" t="b">
        <v>0</v>
      </c>
      <c r="T114">
        <v>216</v>
      </c>
      <c r="U114">
        <v>0</v>
      </c>
      <c r="V114" t="s">
        <v>33</v>
      </c>
      <c r="W114" t="s">
        <v>33</v>
      </c>
      <c r="X114">
        <v>50</v>
      </c>
      <c r="Y114">
        <v>2936</v>
      </c>
      <c r="Z114" t="s">
        <v>34</v>
      </c>
      <c r="AA114">
        <v>2936</v>
      </c>
      <c r="AB114" t="s">
        <v>121</v>
      </c>
      <c r="AC114" t="s">
        <v>432</v>
      </c>
      <c r="AD114" t="str">
        <f t="shared" si="1"/>
        <v>Escobedo → Hidalgo</v>
      </c>
      <c r="AE114" t="s">
        <v>1357</v>
      </c>
      <c r="AF114" s="4">
        <v>45658</v>
      </c>
      <c r="AG114" t="str">
        <f>YEAR(Table1[[#This Row],[Fecha]])&amp;" - " &amp;UPPER(TEXT(Table1[[#This Row],[Fecha]],"mm-mmm"))</f>
        <v>2025 - 01-ENE</v>
      </c>
      <c r="AH114" s="5">
        <v>0</v>
      </c>
    </row>
    <row r="115" spans="1:34" x14ac:dyDescent="0.25">
      <c r="A115" t="s">
        <v>580</v>
      </c>
      <c r="B115">
        <v>2025</v>
      </c>
      <c r="C115">
        <v>1</v>
      </c>
      <c r="D115" s="1">
        <v>45678</v>
      </c>
      <c r="E115" s="1">
        <v>45678</v>
      </c>
      <c r="F115" s="1">
        <v>45678</v>
      </c>
      <c r="G115" s="1">
        <v>45678</v>
      </c>
      <c r="H115" s="2">
        <v>45678.778633483795</v>
      </c>
      <c r="I115">
        <v>2039</v>
      </c>
      <c r="J115" t="s">
        <v>30</v>
      </c>
      <c r="K115" t="s">
        <v>31</v>
      </c>
      <c r="L115">
        <v>50</v>
      </c>
      <c r="M115">
        <v>50</v>
      </c>
      <c r="N115" t="s">
        <v>32</v>
      </c>
      <c r="O115">
        <v>1</v>
      </c>
      <c r="P115">
        <v>150</v>
      </c>
      <c r="Q115" t="b">
        <v>1</v>
      </c>
      <c r="R115" t="b">
        <v>0</v>
      </c>
      <c r="S115" t="b">
        <v>0</v>
      </c>
      <c r="T115">
        <v>216</v>
      </c>
      <c r="U115">
        <v>0</v>
      </c>
      <c r="V115" t="s">
        <v>33</v>
      </c>
      <c r="W115" t="s">
        <v>33</v>
      </c>
      <c r="X115">
        <v>50</v>
      </c>
      <c r="Y115">
        <v>2936</v>
      </c>
      <c r="Z115" t="s">
        <v>34</v>
      </c>
      <c r="AA115">
        <v>2936</v>
      </c>
      <c r="AB115" t="s">
        <v>121</v>
      </c>
      <c r="AC115" t="s">
        <v>432</v>
      </c>
      <c r="AD115" t="str">
        <f t="shared" si="1"/>
        <v>Escobedo → Hidalgo</v>
      </c>
      <c r="AE115" t="s">
        <v>1357</v>
      </c>
      <c r="AF115" s="4">
        <v>45658</v>
      </c>
      <c r="AG115" t="str">
        <f>YEAR(Table1[[#This Row],[Fecha]])&amp;" - " &amp;UPPER(TEXT(Table1[[#This Row],[Fecha]],"mm-mmm"))</f>
        <v>2025 - 01-ENE</v>
      </c>
      <c r="AH115" s="5">
        <v>0</v>
      </c>
    </row>
    <row r="116" spans="1:34" x14ac:dyDescent="0.25">
      <c r="A116" t="s">
        <v>985</v>
      </c>
      <c r="B116">
        <v>2025</v>
      </c>
      <c r="C116">
        <v>1</v>
      </c>
      <c r="D116" s="1">
        <v>45678</v>
      </c>
      <c r="E116" s="1">
        <v>45678</v>
      </c>
      <c r="F116" s="1">
        <v>45678</v>
      </c>
      <c r="G116" s="1">
        <v>45678</v>
      </c>
      <c r="H116" s="2">
        <v>45678.778638738426</v>
      </c>
      <c r="I116">
        <v>2039</v>
      </c>
      <c r="J116" t="s">
        <v>30</v>
      </c>
      <c r="K116" t="s">
        <v>31</v>
      </c>
      <c r="L116">
        <v>50</v>
      </c>
      <c r="M116">
        <v>50</v>
      </c>
      <c r="N116" t="s">
        <v>32</v>
      </c>
      <c r="O116">
        <v>1</v>
      </c>
      <c r="P116">
        <v>150</v>
      </c>
      <c r="Q116" t="b">
        <v>1</v>
      </c>
      <c r="R116" t="b">
        <v>0</v>
      </c>
      <c r="S116" t="b">
        <v>0</v>
      </c>
      <c r="T116">
        <v>216</v>
      </c>
      <c r="U116">
        <v>0</v>
      </c>
      <c r="V116" t="s">
        <v>33</v>
      </c>
      <c r="W116" t="s">
        <v>33</v>
      </c>
      <c r="X116">
        <v>50</v>
      </c>
      <c r="Y116">
        <v>359</v>
      </c>
      <c r="Z116" t="s">
        <v>34</v>
      </c>
      <c r="AA116">
        <v>359</v>
      </c>
      <c r="AB116" t="s">
        <v>121</v>
      </c>
      <c r="AC116" t="s">
        <v>121</v>
      </c>
      <c r="AD116" t="str">
        <f t="shared" si="1"/>
        <v>Escobedo → Escobedo</v>
      </c>
      <c r="AE116" t="s">
        <v>1357</v>
      </c>
      <c r="AF116" s="4">
        <v>45658</v>
      </c>
      <c r="AG116" t="str">
        <f>YEAR(Table1[[#This Row],[Fecha]])&amp;" - " &amp;UPPER(TEXT(Table1[[#This Row],[Fecha]],"mm-mmm"))</f>
        <v>2025 - 01-ENE</v>
      </c>
      <c r="AH116" s="5">
        <v>0</v>
      </c>
    </row>
    <row r="117" spans="1:34" x14ac:dyDescent="0.25">
      <c r="A117" t="s">
        <v>356</v>
      </c>
      <c r="B117">
        <v>2025</v>
      </c>
      <c r="C117">
        <v>1</v>
      </c>
      <c r="D117" s="1">
        <v>45678</v>
      </c>
      <c r="E117" s="1">
        <v>45678</v>
      </c>
      <c r="F117" s="1">
        <v>45679</v>
      </c>
      <c r="G117" s="1">
        <v>45678</v>
      </c>
      <c r="H117" s="1">
        <v>45679</v>
      </c>
      <c r="I117">
        <v>2050</v>
      </c>
      <c r="J117" t="s">
        <v>54</v>
      </c>
      <c r="K117" t="s">
        <v>31</v>
      </c>
      <c r="L117">
        <v>961</v>
      </c>
      <c r="M117">
        <v>1059</v>
      </c>
      <c r="N117" t="s">
        <v>55</v>
      </c>
      <c r="O117">
        <v>1</v>
      </c>
      <c r="P117">
        <v>964</v>
      </c>
      <c r="Q117" t="b">
        <v>1</v>
      </c>
      <c r="R117" t="b">
        <v>0</v>
      </c>
      <c r="S117" t="b">
        <v>0</v>
      </c>
      <c r="T117">
        <v>1396</v>
      </c>
      <c r="U117">
        <v>0</v>
      </c>
      <c r="V117" t="s">
        <v>33</v>
      </c>
      <c r="W117" t="s">
        <v>33</v>
      </c>
      <c r="X117">
        <v>1100</v>
      </c>
      <c r="Y117">
        <v>8</v>
      </c>
      <c r="Z117" t="s">
        <v>123</v>
      </c>
      <c r="AA117">
        <v>8</v>
      </c>
      <c r="AB117" t="s">
        <v>121</v>
      </c>
      <c r="AC117" t="s">
        <v>56</v>
      </c>
      <c r="AD117" t="str">
        <f t="shared" si="1"/>
        <v>Escobedo → Cd Sahagún</v>
      </c>
      <c r="AE117" t="s">
        <v>1358</v>
      </c>
      <c r="AF117" s="4">
        <v>45658</v>
      </c>
      <c r="AG117" t="str">
        <f>YEAR(Table1[[#This Row],[Fecha]])&amp;" - " &amp;UPPER(TEXT(Table1[[#This Row],[Fecha]],"mm-mmm"))</f>
        <v>2025 - 01-ENE</v>
      </c>
      <c r="AH117" s="5">
        <v>0</v>
      </c>
    </row>
    <row r="118" spans="1:34" x14ac:dyDescent="0.25">
      <c r="A118" t="s">
        <v>596</v>
      </c>
      <c r="B118">
        <v>2025</v>
      </c>
      <c r="C118">
        <v>1</v>
      </c>
      <c r="D118" s="1">
        <v>45679</v>
      </c>
      <c r="E118" s="1">
        <v>45679</v>
      </c>
      <c r="F118" s="1">
        <v>45679</v>
      </c>
      <c r="G118" s="1">
        <v>45679</v>
      </c>
      <c r="H118" s="2">
        <v>45679.776324618055</v>
      </c>
      <c r="I118">
        <v>2039</v>
      </c>
      <c r="J118" t="s">
        <v>30</v>
      </c>
      <c r="K118" t="s">
        <v>31</v>
      </c>
      <c r="L118">
        <v>50</v>
      </c>
      <c r="M118">
        <v>50</v>
      </c>
      <c r="N118" t="s">
        <v>32</v>
      </c>
      <c r="O118">
        <v>1</v>
      </c>
      <c r="P118">
        <v>150</v>
      </c>
      <c r="Q118" t="b">
        <v>1</v>
      </c>
      <c r="R118" t="b">
        <v>0</v>
      </c>
      <c r="S118" t="b">
        <v>0</v>
      </c>
      <c r="T118">
        <v>216</v>
      </c>
      <c r="U118">
        <v>0</v>
      </c>
      <c r="V118" t="s">
        <v>33</v>
      </c>
      <c r="W118" t="s">
        <v>33</v>
      </c>
      <c r="X118">
        <v>50</v>
      </c>
      <c r="Y118">
        <v>2936</v>
      </c>
      <c r="Z118" t="s">
        <v>34</v>
      </c>
      <c r="AA118">
        <v>2936</v>
      </c>
      <c r="AB118" t="s">
        <v>121</v>
      </c>
      <c r="AC118" t="s">
        <v>432</v>
      </c>
      <c r="AD118" t="str">
        <f t="shared" si="1"/>
        <v>Escobedo → Hidalgo</v>
      </c>
      <c r="AE118" t="s">
        <v>1357</v>
      </c>
      <c r="AF118" s="4">
        <v>45658</v>
      </c>
      <c r="AG118" t="str">
        <f>YEAR(Table1[[#This Row],[Fecha]])&amp;" - " &amp;UPPER(TEXT(Table1[[#This Row],[Fecha]],"mm-mmm"))</f>
        <v>2025 - 01-ENE</v>
      </c>
      <c r="AH118" s="5">
        <v>0</v>
      </c>
    </row>
    <row r="119" spans="1:34" x14ac:dyDescent="0.25">
      <c r="A119" t="s">
        <v>597</v>
      </c>
      <c r="B119">
        <v>2025</v>
      </c>
      <c r="C119">
        <v>1</v>
      </c>
      <c r="D119" s="1">
        <v>45679</v>
      </c>
      <c r="E119" s="1">
        <v>45679</v>
      </c>
      <c r="F119" s="1">
        <v>45679</v>
      </c>
      <c r="G119" s="1">
        <v>45679</v>
      </c>
      <c r="H119" s="2">
        <v>45679.77631666667</v>
      </c>
      <c r="I119">
        <v>2039</v>
      </c>
      <c r="J119" t="s">
        <v>30</v>
      </c>
      <c r="K119" t="s">
        <v>31</v>
      </c>
      <c r="L119">
        <v>50</v>
      </c>
      <c r="M119">
        <v>50</v>
      </c>
      <c r="N119" t="s">
        <v>32</v>
      </c>
      <c r="O119">
        <v>1</v>
      </c>
      <c r="P119">
        <v>150</v>
      </c>
      <c r="Q119" t="b">
        <v>1</v>
      </c>
      <c r="R119" t="b">
        <v>0</v>
      </c>
      <c r="S119" t="b">
        <v>0</v>
      </c>
      <c r="T119">
        <v>216</v>
      </c>
      <c r="U119">
        <v>0</v>
      </c>
      <c r="V119" t="s">
        <v>33</v>
      </c>
      <c r="W119" t="s">
        <v>33</v>
      </c>
      <c r="X119">
        <v>50</v>
      </c>
      <c r="Y119">
        <v>2936</v>
      </c>
      <c r="Z119" t="s">
        <v>34</v>
      </c>
      <c r="AA119">
        <v>2936</v>
      </c>
      <c r="AB119" t="s">
        <v>121</v>
      </c>
      <c r="AC119" t="s">
        <v>432</v>
      </c>
      <c r="AD119" t="str">
        <f t="shared" si="1"/>
        <v>Escobedo → Hidalgo</v>
      </c>
      <c r="AE119" t="s">
        <v>1357</v>
      </c>
      <c r="AF119" s="4">
        <v>45658</v>
      </c>
      <c r="AG119" t="str">
        <f>YEAR(Table1[[#This Row],[Fecha]])&amp;" - " &amp;UPPER(TEXT(Table1[[#This Row],[Fecha]],"mm-mmm"))</f>
        <v>2025 - 01-ENE</v>
      </c>
      <c r="AH119" s="5">
        <v>0</v>
      </c>
    </row>
    <row r="120" spans="1:34" x14ac:dyDescent="0.25">
      <c r="A120" t="s">
        <v>981</v>
      </c>
      <c r="B120">
        <v>2025</v>
      </c>
      <c r="C120">
        <v>1</v>
      </c>
      <c r="D120" s="1">
        <v>45679</v>
      </c>
      <c r="E120" s="1">
        <v>45679</v>
      </c>
      <c r="F120" s="1">
        <v>45679</v>
      </c>
      <c r="G120" s="1">
        <v>45679</v>
      </c>
      <c r="H120" s="2">
        <v>45679.77630578704</v>
      </c>
      <c r="I120">
        <v>2039</v>
      </c>
      <c r="J120" t="s">
        <v>30</v>
      </c>
      <c r="K120" t="s">
        <v>31</v>
      </c>
      <c r="L120">
        <v>50</v>
      </c>
      <c r="M120">
        <v>50</v>
      </c>
      <c r="N120" t="s">
        <v>32</v>
      </c>
      <c r="O120">
        <v>1</v>
      </c>
      <c r="P120">
        <v>150</v>
      </c>
      <c r="Q120" t="b">
        <v>1</v>
      </c>
      <c r="R120" t="b">
        <v>0</v>
      </c>
      <c r="S120" t="b">
        <v>0</v>
      </c>
      <c r="T120">
        <v>216</v>
      </c>
      <c r="U120">
        <v>0</v>
      </c>
      <c r="V120" t="s">
        <v>33</v>
      </c>
      <c r="W120" t="s">
        <v>33</v>
      </c>
      <c r="X120">
        <v>50</v>
      </c>
      <c r="Y120">
        <v>359</v>
      </c>
      <c r="Z120" t="s">
        <v>34</v>
      </c>
      <c r="AA120">
        <v>359</v>
      </c>
      <c r="AB120" t="s">
        <v>121</v>
      </c>
      <c r="AC120" t="s">
        <v>121</v>
      </c>
      <c r="AD120" t="str">
        <f t="shared" si="1"/>
        <v>Escobedo → Escobedo</v>
      </c>
      <c r="AE120" t="s">
        <v>1357</v>
      </c>
      <c r="AF120" s="4">
        <v>45658</v>
      </c>
      <c r="AG120" t="str">
        <f>YEAR(Table1[[#This Row],[Fecha]])&amp;" - " &amp;UPPER(TEXT(Table1[[#This Row],[Fecha]],"mm-mmm"))</f>
        <v>2025 - 01-ENE</v>
      </c>
      <c r="AH120" s="5">
        <v>0</v>
      </c>
    </row>
    <row r="121" spans="1:34" x14ac:dyDescent="0.25">
      <c r="A121" t="s">
        <v>982</v>
      </c>
      <c r="B121">
        <v>2025</v>
      </c>
      <c r="C121">
        <v>1</v>
      </c>
      <c r="D121" s="1">
        <v>45679</v>
      </c>
      <c r="E121" s="1">
        <v>45679</v>
      </c>
      <c r="F121" s="1">
        <v>45679</v>
      </c>
      <c r="G121" s="1">
        <v>45679</v>
      </c>
      <c r="H121" s="2">
        <v>45679.77629386574</v>
      </c>
      <c r="I121">
        <v>2039</v>
      </c>
      <c r="J121" t="s">
        <v>30</v>
      </c>
      <c r="K121" t="s">
        <v>31</v>
      </c>
      <c r="L121">
        <v>50</v>
      </c>
      <c r="M121">
        <v>50</v>
      </c>
      <c r="N121" t="s">
        <v>32</v>
      </c>
      <c r="O121">
        <v>1</v>
      </c>
      <c r="P121">
        <v>150</v>
      </c>
      <c r="Q121" t="b">
        <v>1</v>
      </c>
      <c r="R121" t="b">
        <v>0</v>
      </c>
      <c r="S121" t="b">
        <v>0</v>
      </c>
      <c r="T121">
        <v>216</v>
      </c>
      <c r="U121">
        <v>0</v>
      </c>
      <c r="V121" t="s">
        <v>33</v>
      </c>
      <c r="W121" t="s">
        <v>33</v>
      </c>
      <c r="X121">
        <v>50</v>
      </c>
      <c r="Y121">
        <v>359</v>
      </c>
      <c r="Z121" t="s">
        <v>34</v>
      </c>
      <c r="AA121">
        <v>359</v>
      </c>
      <c r="AB121" t="s">
        <v>121</v>
      </c>
      <c r="AC121" t="s">
        <v>121</v>
      </c>
      <c r="AD121" t="str">
        <f t="shared" si="1"/>
        <v>Escobedo → Escobedo</v>
      </c>
      <c r="AE121" t="s">
        <v>1357</v>
      </c>
      <c r="AF121" s="4">
        <v>45658</v>
      </c>
      <c r="AG121" t="str">
        <f>YEAR(Table1[[#This Row],[Fecha]])&amp;" - " &amp;UPPER(TEXT(Table1[[#This Row],[Fecha]],"mm-mmm"))</f>
        <v>2025 - 01-ENE</v>
      </c>
      <c r="AH121" s="5">
        <v>0</v>
      </c>
    </row>
    <row r="122" spans="1:34" x14ac:dyDescent="0.25">
      <c r="A122" t="s">
        <v>595</v>
      </c>
      <c r="B122">
        <v>2025</v>
      </c>
      <c r="C122">
        <v>1</v>
      </c>
      <c r="D122" s="1">
        <v>45680</v>
      </c>
      <c r="E122" s="1">
        <v>45680</v>
      </c>
      <c r="F122" s="1">
        <v>45680</v>
      </c>
      <c r="G122" s="1">
        <v>45680</v>
      </c>
      <c r="H122" s="2">
        <v>45680.535324965276</v>
      </c>
      <c r="I122">
        <v>2039</v>
      </c>
      <c r="J122" t="s">
        <v>30</v>
      </c>
      <c r="K122" t="s">
        <v>31</v>
      </c>
      <c r="L122">
        <v>50</v>
      </c>
      <c r="M122">
        <v>50</v>
      </c>
      <c r="N122" t="s">
        <v>32</v>
      </c>
      <c r="O122">
        <v>1</v>
      </c>
      <c r="P122">
        <v>150</v>
      </c>
      <c r="Q122" t="b">
        <v>1</v>
      </c>
      <c r="R122" t="b">
        <v>0</v>
      </c>
      <c r="S122" t="b">
        <v>0</v>
      </c>
      <c r="T122">
        <v>216</v>
      </c>
      <c r="U122">
        <v>0</v>
      </c>
      <c r="V122" t="s">
        <v>33</v>
      </c>
      <c r="W122" t="s">
        <v>33</v>
      </c>
      <c r="X122">
        <v>50</v>
      </c>
      <c r="Y122">
        <v>2936</v>
      </c>
      <c r="Z122" t="s">
        <v>34</v>
      </c>
      <c r="AA122">
        <v>2936</v>
      </c>
      <c r="AB122" t="s">
        <v>121</v>
      </c>
      <c r="AC122" t="s">
        <v>432</v>
      </c>
      <c r="AD122" t="str">
        <f t="shared" si="1"/>
        <v>Escobedo → Hidalgo</v>
      </c>
      <c r="AE122" t="s">
        <v>1357</v>
      </c>
      <c r="AF122" s="4">
        <v>45658</v>
      </c>
      <c r="AG122" t="str">
        <f>YEAR(Table1[[#This Row],[Fecha]])&amp;" - " &amp;UPPER(TEXT(Table1[[#This Row],[Fecha]],"mm-mmm"))</f>
        <v>2025 - 01-ENE</v>
      </c>
      <c r="AH122" s="5">
        <v>0</v>
      </c>
    </row>
    <row r="123" spans="1:34" x14ac:dyDescent="0.25">
      <c r="A123" t="s">
        <v>986</v>
      </c>
      <c r="B123">
        <v>2025</v>
      </c>
      <c r="C123">
        <v>1</v>
      </c>
      <c r="D123" s="1">
        <v>45680</v>
      </c>
      <c r="E123" s="1">
        <v>45680</v>
      </c>
      <c r="F123" s="1">
        <v>45680</v>
      </c>
      <c r="G123" s="1">
        <v>45680</v>
      </c>
      <c r="H123" s="2">
        <v>45680.53577855324</v>
      </c>
      <c r="I123">
        <v>2039</v>
      </c>
      <c r="J123" t="s">
        <v>30</v>
      </c>
      <c r="K123" t="s">
        <v>31</v>
      </c>
      <c r="L123">
        <v>50</v>
      </c>
      <c r="M123">
        <v>50</v>
      </c>
      <c r="N123" t="s">
        <v>32</v>
      </c>
      <c r="O123">
        <v>1</v>
      </c>
      <c r="P123">
        <v>150</v>
      </c>
      <c r="Q123" t="b">
        <v>1</v>
      </c>
      <c r="R123" t="b">
        <v>0</v>
      </c>
      <c r="S123" t="b">
        <v>0</v>
      </c>
      <c r="T123">
        <v>216</v>
      </c>
      <c r="U123">
        <v>0</v>
      </c>
      <c r="V123" t="s">
        <v>33</v>
      </c>
      <c r="W123" t="s">
        <v>33</v>
      </c>
      <c r="X123">
        <v>50</v>
      </c>
      <c r="Y123">
        <v>359</v>
      </c>
      <c r="Z123" t="s">
        <v>34</v>
      </c>
      <c r="AA123">
        <v>359</v>
      </c>
      <c r="AB123" t="s">
        <v>121</v>
      </c>
      <c r="AC123" t="s">
        <v>121</v>
      </c>
      <c r="AD123" t="str">
        <f t="shared" si="1"/>
        <v>Escobedo → Escobedo</v>
      </c>
      <c r="AE123" t="s">
        <v>1357</v>
      </c>
      <c r="AF123" s="4">
        <v>45658</v>
      </c>
      <c r="AG123" t="str">
        <f>YEAR(Table1[[#This Row],[Fecha]])&amp;" - " &amp;UPPER(TEXT(Table1[[#This Row],[Fecha]],"mm-mmm"))</f>
        <v>2025 - 01-ENE</v>
      </c>
      <c r="AH123" s="5">
        <v>0</v>
      </c>
    </row>
    <row r="124" spans="1:34" x14ac:dyDescent="0.25">
      <c r="A124" t="s">
        <v>593</v>
      </c>
      <c r="B124">
        <v>2025</v>
      </c>
      <c r="C124">
        <v>1</v>
      </c>
      <c r="D124" s="1">
        <v>45680</v>
      </c>
      <c r="E124" s="1">
        <v>45680</v>
      </c>
      <c r="F124" s="1">
        <v>45680</v>
      </c>
      <c r="G124" s="1">
        <v>45680</v>
      </c>
      <c r="H124" s="2">
        <v>45680.536144826387</v>
      </c>
      <c r="I124">
        <v>2039</v>
      </c>
      <c r="J124" t="s">
        <v>30</v>
      </c>
      <c r="K124" t="s">
        <v>31</v>
      </c>
      <c r="L124">
        <v>50</v>
      </c>
      <c r="M124">
        <v>50</v>
      </c>
      <c r="N124" t="s">
        <v>32</v>
      </c>
      <c r="O124">
        <v>1</v>
      </c>
      <c r="P124">
        <v>150</v>
      </c>
      <c r="Q124" t="b">
        <v>1</v>
      </c>
      <c r="R124" t="b">
        <v>0</v>
      </c>
      <c r="S124" t="b">
        <v>0</v>
      </c>
      <c r="T124">
        <v>216</v>
      </c>
      <c r="U124">
        <v>0</v>
      </c>
      <c r="V124" t="s">
        <v>33</v>
      </c>
      <c r="W124" t="s">
        <v>33</v>
      </c>
      <c r="X124">
        <v>50</v>
      </c>
      <c r="Y124">
        <v>2936</v>
      </c>
      <c r="Z124" t="s">
        <v>34</v>
      </c>
      <c r="AA124">
        <v>2936</v>
      </c>
      <c r="AB124" t="s">
        <v>121</v>
      </c>
      <c r="AC124" t="s">
        <v>432</v>
      </c>
      <c r="AD124" t="str">
        <f t="shared" si="1"/>
        <v>Escobedo → Hidalgo</v>
      </c>
      <c r="AE124" t="s">
        <v>1357</v>
      </c>
      <c r="AF124" s="4">
        <v>45658</v>
      </c>
      <c r="AG124" t="str">
        <f>YEAR(Table1[[#This Row],[Fecha]])&amp;" - " &amp;UPPER(TEXT(Table1[[#This Row],[Fecha]],"mm-mmm"))</f>
        <v>2025 - 01-ENE</v>
      </c>
      <c r="AH124" s="5">
        <v>0</v>
      </c>
    </row>
    <row r="125" spans="1:34" x14ac:dyDescent="0.25">
      <c r="A125" t="s">
        <v>987</v>
      </c>
      <c r="B125">
        <v>2025</v>
      </c>
      <c r="C125">
        <v>1</v>
      </c>
      <c r="D125" s="1">
        <v>45680</v>
      </c>
      <c r="E125" s="1">
        <v>45680</v>
      </c>
      <c r="F125" s="1">
        <v>45680</v>
      </c>
      <c r="G125" s="1">
        <v>45680</v>
      </c>
      <c r="H125" s="2">
        <v>45680.53654494213</v>
      </c>
      <c r="I125">
        <v>2039</v>
      </c>
      <c r="J125" t="s">
        <v>30</v>
      </c>
      <c r="K125" t="s">
        <v>31</v>
      </c>
      <c r="L125">
        <v>50</v>
      </c>
      <c r="M125">
        <v>50</v>
      </c>
      <c r="N125" t="s">
        <v>32</v>
      </c>
      <c r="O125">
        <v>1</v>
      </c>
      <c r="P125">
        <v>150</v>
      </c>
      <c r="Q125" t="b">
        <v>1</v>
      </c>
      <c r="R125" t="b">
        <v>0</v>
      </c>
      <c r="S125" t="b">
        <v>0</v>
      </c>
      <c r="T125">
        <v>216</v>
      </c>
      <c r="U125">
        <v>0</v>
      </c>
      <c r="V125" t="s">
        <v>33</v>
      </c>
      <c r="W125" t="s">
        <v>33</v>
      </c>
      <c r="X125">
        <v>50</v>
      </c>
      <c r="Y125">
        <v>359</v>
      </c>
      <c r="Z125" t="s">
        <v>34</v>
      </c>
      <c r="AA125">
        <v>359</v>
      </c>
      <c r="AB125" t="s">
        <v>121</v>
      </c>
      <c r="AC125" t="s">
        <v>121</v>
      </c>
      <c r="AD125" t="str">
        <f t="shared" si="1"/>
        <v>Escobedo → Escobedo</v>
      </c>
      <c r="AE125" t="s">
        <v>1357</v>
      </c>
      <c r="AF125" s="4">
        <v>45658</v>
      </c>
      <c r="AG125" t="str">
        <f>YEAR(Table1[[#This Row],[Fecha]])&amp;" - " &amp;UPPER(TEXT(Table1[[#This Row],[Fecha]],"mm-mmm"))</f>
        <v>2025 - 01-ENE</v>
      </c>
      <c r="AH125" s="5">
        <v>0</v>
      </c>
    </row>
    <row r="126" spans="1:34" x14ac:dyDescent="0.25">
      <c r="A126" t="s">
        <v>591</v>
      </c>
      <c r="B126">
        <v>2025</v>
      </c>
      <c r="C126">
        <v>1</v>
      </c>
      <c r="D126" s="1">
        <v>45680</v>
      </c>
      <c r="E126" s="1">
        <v>45680</v>
      </c>
      <c r="F126" s="1">
        <v>45680</v>
      </c>
      <c r="G126" s="1">
        <v>45680</v>
      </c>
      <c r="H126" s="2">
        <v>45681.379192974535</v>
      </c>
      <c r="I126">
        <v>2039</v>
      </c>
      <c r="J126" t="s">
        <v>30</v>
      </c>
      <c r="K126" t="s">
        <v>31</v>
      </c>
      <c r="L126">
        <v>50</v>
      </c>
      <c r="M126">
        <v>50</v>
      </c>
      <c r="N126" t="s">
        <v>32</v>
      </c>
      <c r="O126">
        <v>1</v>
      </c>
      <c r="P126">
        <v>150</v>
      </c>
      <c r="Q126" t="b">
        <v>1</v>
      </c>
      <c r="R126" t="b">
        <v>0</v>
      </c>
      <c r="S126" t="b">
        <v>0</v>
      </c>
      <c r="T126">
        <v>216</v>
      </c>
      <c r="U126">
        <v>0</v>
      </c>
      <c r="V126" t="s">
        <v>33</v>
      </c>
      <c r="W126" t="s">
        <v>33</v>
      </c>
      <c r="X126">
        <v>50</v>
      </c>
      <c r="Y126">
        <v>2936</v>
      </c>
      <c r="Z126" t="s">
        <v>34</v>
      </c>
      <c r="AA126">
        <v>2936</v>
      </c>
      <c r="AB126" t="s">
        <v>121</v>
      </c>
      <c r="AC126" t="s">
        <v>432</v>
      </c>
      <c r="AD126" t="str">
        <f t="shared" si="1"/>
        <v>Escobedo → Hidalgo</v>
      </c>
      <c r="AE126" t="s">
        <v>1357</v>
      </c>
      <c r="AF126" s="4">
        <v>45658</v>
      </c>
      <c r="AG126" t="str">
        <f>YEAR(Table1[[#This Row],[Fecha]])&amp;" - " &amp;UPPER(TEXT(Table1[[#This Row],[Fecha]],"mm-mmm"))</f>
        <v>2025 - 01-ENE</v>
      </c>
      <c r="AH126" s="5">
        <v>0</v>
      </c>
    </row>
    <row r="127" spans="1:34" x14ac:dyDescent="0.25">
      <c r="A127" t="s">
        <v>592</v>
      </c>
      <c r="B127">
        <v>2025</v>
      </c>
      <c r="C127">
        <v>1</v>
      </c>
      <c r="D127" s="1">
        <v>45680</v>
      </c>
      <c r="E127" s="1">
        <v>45680</v>
      </c>
      <c r="F127" s="1">
        <v>45680</v>
      </c>
      <c r="G127" s="1">
        <v>45680</v>
      </c>
      <c r="H127" s="2">
        <v>45681.379182870369</v>
      </c>
      <c r="I127">
        <v>2039</v>
      </c>
      <c r="J127" t="s">
        <v>30</v>
      </c>
      <c r="K127" t="s">
        <v>31</v>
      </c>
      <c r="L127">
        <v>50</v>
      </c>
      <c r="M127">
        <v>50</v>
      </c>
      <c r="N127" t="s">
        <v>32</v>
      </c>
      <c r="O127">
        <v>1</v>
      </c>
      <c r="P127">
        <v>150</v>
      </c>
      <c r="Q127" t="b">
        <v>1</v>
      </c>
      <c r="R127" t="b">
        <v>0</v>
      </c>
      <c r="S127" t="b">
        <v>0</v>
      </c>
      <c r="T127">
        <v>216</v>
      </c>
      <c r="U127">
        <v>0</v>
      </c>
      <c r="V127" t="s">
        <v>33</v>
      </c>
      <c r="W127" t="s">
        <v>33</v>
      </c>
      <c r="X127">
        <v>50</v>
      </c>
      <c r="Y127">
        <v>2936</v>
      </c>
      <c r="Z127" t="s">
        <v>34</v>
      </c>
      <c r="AA127">
        <v>2936</v>
      </c>
      <c r="AB127" t="s">
        <v>121</v>
      </c>
      <c r="AC127" t="s">
        <v>432</v>
      </c>
      <c r="AD127" t="str">
        <f t="shared" si="1"/>
        <v>Escobedo → Hidalgo</v>
      </c>
      <c r="AE127" t="s">
        <v>1357</v>
      </c>
      <c r="AF127" s="4">
        <v>45658</v>
      </c>
      <c r="AG127" t="str">
        <f>YEAR(Table1[[#This Row],[Fecha]])&amp;" - " &amp;UPPER(TEXT(Table1[[#This Row],[Fecha]],"mm-mmm"))</f>
        <v>2025 - 01-ENE</v>
      </c>
      <c r="AH127" s="5">
        <v>0</v>
      </c>
    </row>
    <row r="128" spans="1:34" x14ac:dyDescent="0.25">
      <c r="A128" t="s">
        <v>988</v>
      </c>
      <c r="B128">
        <v>2025</v>
      </c>
      <c r="C128">
        <v>1</v>
      </c>
      <c r="D128" s="1">
        <v>45681</v>
      </c>
      <c r="E128" s="1">
        <v>45681</v>
      </c>
      <c r="F128" s="1">
        <v>45681</v>
      </c>
      <c r="G128" s="1">
        <v>45681</v>
      </c>
      <c r="H128" s="1">
        <v>45682</v>
      </c>
      <c r="I128">
        <v>2050</v>
      </c>
      <c r="J128" t="s">
        <v>54</v>
      </c>
      <c r="K128" t="s">
        <v>31</v>
      </c>
      <c r="L128">
        <v>0</v>
      </c>
      <c r="M128">
        <v>0</v>
      </c>
      <c r="N128" t="s">
        <v>55</v>
      </c>
      <c r="O128">
        <v>1</v>
      </c>
      <c r="P128">
        <v>0</v>
      </c>
      <c r="Q128" t="b">
        <v>1</v>
      </c>
      <c r="R128" t="b">
        <v>1</v>
      </c>
      <c r="S128" t="b">
        <v>0</v>
      </c>
      <c r="T128">
        <v>0</v>
      </c>
      <c r="U128">
        <v>0</v>
      </c>
      <c r="V128" t="s">
        <v>33</v>
      </c>
      <c r="W128" t="s">
        <v>33</v>
      </c>
      <c r="X128">
        <v>0</v>
      </c>
      <c r="Y128">
        <v>359</v>
      </c>
      <c r="Z128" t="s">
        <v>149</v>
      </c>
      <c r="AA128">
        <v>359</v>
      </c>
      <c r="AB128" t="s">
        <v>121</v>
      </c>
      <c r="AC128" t="s">
        <v>121</v>
      </c>
      <c r="AD128" t="str">
        <f t="shared" si="1"/>
        <v>Escobedo → Escobedo</v>
      </c>
      <c r="AE128" t="s">
        <v>1358</v>
      </c>
      <c r="AF128" s="4">
        <v>45658</v>
      </c>
      <c r="AG128" t="str">
        <f>YEAR(Table1[[#This Row],[Fecha]])&amp;" - " &amp;UPPER(TEXT(Table1[[#This Row],[Fecha]],"mm-mmm"))</f>
        <v>2025 - 01-ENE</v>
      </c>
      <c r="AH128" s="5">
        <v>0</v>
      </c>
    </row>
    <row r="129" spans="1:34" x14ac:dyDescent="0.25">
      <c r="A129" t="s">
        <v>590</v>
      </c>
      <c r="B129">
        <v>2025</v>
      </c>
      <c r="C129">
        <v>1</v>
      </c>
      <c r="D129" s="1">
        <v>45681</v>
      </c>
      <c r="E129" s="1">
        <v>45681</v>
      </c>
      <c r="F129" s="1">
        <v>45681</v>
      </c>
      <c r="G129" s="1">
        <v>45681</v>
      </c>
      <c r="H129" s="2">
        <v>45681.824013275465</v>
      </c>
      <c r="I129">
        <v>2039</v>
      </c>
      <c r="J129" t="s">
        <v>30</v>
      </c>
      <c r="K129" t="s">
        <v>31</v>
      </c>
      <c r="L129">
        <v>50</v>
      </c>
      <c r="M129">
        <v>50</v>
      </c>
      <c r="N129" t="s">
        <v>32</v>
      </c>
      <c r="O129">
        <v>1</v>
      </c>
      <c r="P129">
        <v>150</v>
      </c>
      <c r="Q129" t="b">
        <v>1</v>
      </c>
      <c r="R129" t="b">
        <v>0</v>
      </c>
      <c r="S129" t="b">
        <v>0</v>
      </c>
      <c r="T129">
        <v>216</v>
      </c>
      <c r="U129">
        <v>0</v>
      </c>
      <c r="V129" t="s">
        <v>33</v>
      </c>
      <c r="W129" t="s">
        <v>33</v>
      </c>
      <c r="X129">
        <v>50</v>
      </c>
      <c r="Y129">
        <v>2936</v>
      </c>
      <c r="Z129" t="s">
        <v>34</v>
      </c>
      <c r="AA129">
        <v>2936</v>
      </c>
      <c r="AB129" t="s">
        <v>121</v>
      </c>
      <c r="AC129" t="s">
        <v>432</v>
      </c>
      <c r="AD129" t="str">
        <f t="shared" si="1"/>
        <v>Escobedo → Hidalgo</v>
      </c>
      <c r="AE129" t="s">
        <v>1357</v>
      </c>
      <c r="AF129" s="4">
        <v>45658</v>
      </c>
      <c r="AG129" t="str">
        <f>YEAR(Table1[[#This Row],[Fecha]])&amp;" - " &amp;UPPER(TEXT(Table1[[#This Row],[Fecha]],"mm-mmm"))</f>
        <v>2025 - 01-ENE</v>
      </c>
      <c r="AH129" s="5">
        <v>0</v>
      </c>
    </row>
    <row r="130" spans="1:34" x14ac:dyDescent="0.25">
      <c r="A130" t="s">
        <v>989</v>
      </c>
      <c r="B130">
        <v>2025</v>
      </c>
      <c r="C130">
        <v>1</v>
      </c>
      <c r="D130" s="1">
        <v>45681</v>
      </c>
      <c r="E130" s="1">
        <v>45681</v>
      </c>
      <c r="F130" s="1">
        <v>45681</v>
      </c>
      <c r="G130" s="1">
        <v>45681</v>
      </c>
      <c r="H130" s="2">
        <v>45681.824431631947</v>
      </c>
      <c r="I130">
        <v>2039</v>
      </c>
      <c r="J130" t="s">
        <v>30</v>
      </c>
      <c r="K130" t="s">
        <v>31</v>
      </c>
      <c r="L130">
        <v>50</v>
      </c>
      <c r="M130">
        <v>50</v>
      </c>
      <c r="N130" t="s">
        <v>32</v>
      </c>
      <c r="O130">
        <v>1</v>
      </c>
      <c r="P130">
        <v>150</v>
      </c>
      <c r="Q130" t="b">
        <v>1</v>
      </c>
      <c r="R130" t="b">
        <v>0</v>
      </c>
      <c r="S130" t="b">
        <v>0</v>
      </c>
      <c r="T130">
        <v>216</v>
      </c>
      <c r="U130">
        <v>0</v>
      </c>
      <c r="V130" t="s">
        <v>33</v>
      </c>
      <c r="W130" t="s">
        <v>33</v>
      </c>
      <c r="X130">
        <v>50</v>
      </c>
      <c r="Y130">
        <v>359</v>
      </c>
      <c r="Z130" t="s">
        <v>34</v>
      </c>
      <c r="AA130">
        <v>359</v>
      </c>
      <c r="AB130" t="s">
        <v>121</v>
      </c>
      <c r="AC130" t="s">
        <v>121</v>
      </c>
      <c r="AD130" t="str">
        <f t="shared" ref="AD130:AD193" si="2">+AB130&amp;" → "&amp;AC130</f>
        <v>Escobedo → Escobedo</v>
      </c>
      <c r="AE130" t="s">
        <v>1357</v>
      </c>
      <c r="AF130" s="4">
        <v>45658</v>
      </c>
      <c r="AG130" t="str">
        <f>YEAR(Table1[[#This Row],[Fecha]])&amp;" - " &amp;UPPER(TEXT(Table1[[#This Row],[Fecha]],"mm-mmm"))</f>
        <v>2025 - 01-ENE</v>
      </c>
      <c r="AH130" s="5">
        <v>0</v>
      </c>
    </row>
    <row r="131" spans="1:34" x14ac:dyDescent="0.25">
      <c r="A131" t="s">
        <v>588</v>
      </c>
      <c r="B131">
        <v>2025</v>
      </c>
      <c r="C131">
        <v>1</v>
      </c>
      <c r="D131" s="1">
        <v>45681</v>
      </c>
      <c r="E131" s="1">
        <v>45681</v>
      </c>
      <c r="F131" s="1">
        <v>45681</v>
      </c>
      <c r="G131" s="1">
        <v>45681</v>
      </c>
      <c r="H131" s="2">
        <v>45681.8248465625</v>
      </c>
      <c r="I131">
        <v>2039</v>
      </c>
      <c r="J131" t="s">
        <v>30</v>
      </c>
      <c r="K131" t="s">
        <v>31</v>
      </c>
      <c r="L131">
        <v>50</v>
      </c>
      <c r="M131">
        <v>50</v>
      </c>
      <c r="N131" t="s">
        <v>32</v>
      </c>
      <c r="O131">
        <v>1</v>
      </c>
      <c r="P131">
        <v>150</v>
      </c>
      <c r="Q131" t="b">
        <v>1</v>
      </c>
      <c r="R131" t="b">
        <v>0</v>
      </c>
      <c r="S131" t="b">
        <v>0</v>
      </c>
      <c r="T131">
        <v>216</v>
      </c>
      <c r="U131">
        <v>0</v>
      </c>
      <c r="V131" t="s">
        <v>33</v>
      </c>
      <c r="W131" t="s">
        <v>33</v>
      </c>
      <c r="X131">
        <v>50</v>
      </c>
      <c r="Y131">
        <v>2936</v>
      </c>
      <c r="Z131" t="s">
        <v>34</v>
      </c>
      <c r="AA131">
        <v>2936</v>
      </c>
      <c r="AB131" t="s">
        <v>121</v>
      </c>
      <c r="AC131" t="s">
        <v>432</v>
      </c>
      <c r="AD131" t="str">
        <f t="shared" si="2"/>
        <v>Escobedo → Hidalgo</v>
      </c>
      <c r="AE131" t="s">
        <v>1357</v>
      </c>
      <c r="AF131" s="4">
        <v>45658</v>
      </c>
      <c r="AG131" t="str">
        <f>YEAR(Table1[[#This Row],[Fecha]])&amp;" - " &amp;UPPER(TEXT(Table1[[#This Row],[Fecha]],"mm-mmm"))</f>
        <v>2025 - 01-ENE</v>
      </c>
      <c r="AH131" s="5">
        <v>0</v>
      </c>
    </row>
    <row r="132" spans="1:34" x14ac:dyDescent="0.25">
      <c r="A132" t="s">
        <v>589</v>
      </c>
      <c r="B132">
        <v>2025</v>
      </c>
      <c r="C132">
        <v>1</v>
      </c>
      <c r="D132" s="1">
        <v>45681</v>
      </c>
      <c r="E132" s="1">
        <v>45681</v>
      </c>
      <c r="F132" s="1">
        <v>45681</v>
      </c>
      <c r="G132" s="1">
        <v>45681</v>
      </c>
      <c r="H132" s="2">
        <v>45681.825272303242</v>
      </c>
      <c r="I132">
        <v>2039</v>
      </c>
      <c r="J132" t="s">
        <v>30</v>
      </c>
      <c r="K132" t="s">
        <v>31</v>
      </c>
      <c r="L132">
        <v>50</v>
      </c>
      <c r="M132">
        <v>50</v>
      </c>
      <c r="N132" t="s">
        <v>32</v>
      </c>
      <c r="O132">
        <v>1</v>
      </c>
      <c r="P132">
        <v>150</v>
      </c>
      <c r="Q132" t="b">
        <v>1</v>
      </c>
      <c r="R132" t="b">
        <v>0</v>
      </c>
      <c r="S132" t="b">
        <v>0</v>
      </c>
      <c r="T132">
        <v>216</v>
      </c>
      <c r="U132">
        <v>0</v>
      </c>
      <c r="V132" t="s">
        <v>33</v>
      </c>
      <c r="W132" t="s">
        <v>33</v>
      </c>
      <c r="X132">
        <v>50</v>
      </c>
      <c r="Y132">
        <v>2936</v>
      </c>
      <c r="Z132" t="s">
        <v>34</v>
      </c>
      <c r="AA132">
        <v>2936</v>
      </c>
      <c r="AB132" t="s">
        <v>121</v>
      </c>
      <c r="AC132" t="s">
        <v>432</v>
      </c>
      <c r="AD132" t="str">
        <f t="shared" si="2"/>
        <v>Escobedo → Hidalgo</v>
      </c>
      <c r="AE132" t="s">
        <v>1357</v>
      </c>
      <c r="AF132" s="4">
        <v>45658</v>
      </c>
      <c r="AG132" t="str">
        <f>YEAR(Table1[[#This Row],[Fecha]])&amp;" - " &amp;UPPER(TEXT(Table1[[#This Row],[Fecha]],"mm-mmm"))</f>
        <v>2025 - 01-ENE</v>
      </c>
      <c r="AH132" s="5">
        <v>0</v>
      </c>
    </row>
    <row r="133" spans="1:34" x14ac:dyDescent="0.25">
      <c r="A133" t="s">
        <v>965</v>
      </c>
      <c r="B133">
        <v>2025</v>
      </c>
      <c r="C133">
        <v>1</v>
      </c>
      <c r="D133" s="1">
        <v>45681</v>
      </c>
      <c r="E133" s="1">
        <v>45681</v>
      </c>
      <c r="F133" s="1">
        <v>45681</v>
      </c>
      <c r="G133" s="1">
        <v>45681</v>
      </c>
      <c r="H133" s="2">
        <v>45681.825613425928</v>
      </c>
      <c r="I133">
        <v>2039</v>
      </c>
      <c r="J133" t="s">
        <v>30</v>
      </c>
      <c r="K133" t="s">
        <v>31</v>
      </c>
      <c r="L133">
        <v>50</v>
      </c>
      <c r="M133">
        <v>50</v>
      </c>
      <c r="N133" t="s">
        <v>32</v>
      </c>
      <c r="O133">
        <v>1</v>
      </c>
      <c r="P133">
        <v>150</v>
      </c>
      <c r="Q133" t="b">
        <v>1</v>
      </c>
      <c r="R133" t="b">
        <v>0</v>
      </c>
      <c r="S133" t="b">
        <v>0</v>
      </c>
      <c r="T133">
        <v>216</v>
      </c>
      <c r="U133">
        <v>0</v>
      </c>
      <c r="V133" t="s">
        <v>33</v>
      </c>
      <c r="W133" t="s">
        <v>33</v>
      </c>
      <c r="X133">
        <v>50</v>
      </c>
      <c r="Y133">
        <v>359</v>
      </c>
      <c r="Z133" t="s">
        <v>34</v>
      </c>
      <c r="AA133">
        <v>359</v>
      </c>
      <c r="AB133" t="s">
        <v>121</v>
      </c>
      <c r="AC133" t="s">
        <v>121</v>
      </c>
      <c r="AD133" t="str">
        <f t="shared" si="2"/>
        <v>Escobedo → Escobedo</v>
      </c>
      <c r="AE133" t="s">
        <v>1357</v>
      </c>
      <c r="AF133" s="4">
        <v>45658</v>
      </c>
      <c r="AG133" t="str">
        <f>YEAR(Table1[[#This Row],[Fecha]])&amp;" - " &amp;UPPER(TEXT(Table1[[#This Row],[Fecha]],"mm-mmm"))</f>
        <v>2025 - 01-ENE</v>
      </c>
      <c r="AH133" s="5">
        <v>0</v>
      </c>
    </row>
    <row r="134" spans="1:34" x14ac:dyDescent="0.25">
      <c r="A134" t="s">
        <v>966</v>
      </c>
      <c r="B134">
        <v>2025</v>
      </c>
      <c r="C134">
        <v>1</v>
      </c>
      <c r="D134" s="1">
        <v>45681</v>
      </c>
      <c r="E134" s="1">
        <v>45681</v>
      </c>
      <c r="F134" s="1">
        <v>45681</v>
      </c>
      <c r="G134" s="1">
        <v>45681</v>
      </c>
      <c r="H134" s="2">
        <v>45681.825983831019</v>
      </c>
      <c r="I134">
        <v>2039</v>
      </c>
      <c r="J134" t="s">
        <v>30</v>
      </c>
      <c r="K134" t="s">
        <v>31</v>
      </c>
      <c r="L134">
        <v>50</v>
      </c>
      <c r="M134">
        <v>50</v>
      </c>
      <c r="N134" t="s">
        <v>32</v>
      </c>
      <c r="O134">
        <v>1</v>
      </c>
      <c r="P134">
        <v>150</v>
      </c>
      <c r="Q134" t="b">
        <v>1</v>
      </c>
      <c r="R134" t="b">
        <v>0</v>
      </c>
      <c r="S134" t="b">
        <v>0</v>
      </c>
      <c r="T134">
        <v>216</v>
      </c>
      <c r="U134">
        <v>0</v>
      </c>
      <c r="V134" t="s">
        <v>33</v>
      </c>
      <c r="W134" t="s">
        <v>33</v>
      </c>
      <c r="X134">
        <v>50</v>
      </c>
      <c r="Y134">
        <v>359</v>
      </c>
      <c r="Z134" t="s">
        <v>34</v>
      </c>
      <c r="AA134">
        <v>359</v>
      </c>
      <c r="AB134" t="s">
        <v>121</v>
      </c>
      <c r="AC134" t="s">
        <v>121</v>
      </c>
      <c r="AD134" t="str">
        <f t="shared" si="2"/>
        <v>Escobedo → Escobedo</v>
      </c>
      <c r="AE134" t="s">
        <v>1357</v>
      </c>
      <c r="AF134" s="4">
        <v>45658</v>
      </c>
      <c r="AG134" t="str">
        <f>YEAR(Table1[[#This Row],[Fecha]])&amp;" - " &amp;UPPER(TEXT(Table1[[#This Row],[Fecha]],"mm-mmm"))</f>
        <v>2025 - 01-ENE</v>
      </c>
      <c r="AH134" s="5">
        <v>0</v>
      </c>
    </row>
    <row r="135" spans="1:34" x14ac:dyDescent="0.25">
      <c r="A135" t="s">
        <v>967</v>
      </c>
      <c r="B135">
        <v>2025</v>
      </c>
      <c r="C135">
        <v>1</v>
      </c>
      <c r="D135" s="1">
        <v>45681</v>
      </c>
      <c r="E135" s="1">
        <v>45681</v>
      </c>
      <c r="F135" s="1">
        <v>45681</v>
      </c>
      <c r="G135" s="1">
        <v>45681</v>
      </c>
      <c r="H135" s="2">
        <v>45681.826358761573</v>
      </c>
      <c r="I135">
        <v>2039</v>
      </c>
      <c r="J135" t="s">
        <v>30</v>
      </c>
      <c r="K135" t="s">
        <v>31</v>
      </c>
      <c r="L135">
        <v>50</v>
      </c>
      <c r="M135">
        <v>50</v>
      </c>
      <c r="N135" t="s">
        <v>32</v>
      </c>
      <c r="O135">
        <v>1</v>
      </c>
      <c r="P135">
        <v>150</v>
      </c>
      <c r="Q135" t="b">
        <v>1</v>
      </c>
      <c r="R135" t="b">
        <v>0</v>
      </c>
      <c r="S135" t="b">
        <v>0</v>
      </c>
      <c r="T135">
        <v>216</v>
      </c>
      <c r="U135">
        <v>0</v>
      </c>
      <c r="V135" t="s">
        <v>33</v>
      </c>
      <c r="W135" t="s">
        <v>33</v>
      </c>
      <c r="X135">
        <v>50</v>
      </c>
      <c r="Y135">
        <v>359</v>
      </c>
      <c r="Z135" t="s">
        <v>34</v>
      </c>
      <c r="AA135">
        <v>359</v>
      </c>
      <c r="AB135" t="s">
        <v>121</v>
      </c>
      <c r="AC135" t="s">
        <v>121</v>
      </c>
      <c r="AD135" t="str">
        <f t="shared" si="2"/>
        <v>Escobedo → Escobedo</v>
      </c>
      <c r="AE135" t="s">
        <v>1357</v>
      </c>
      <c r="AF135" s="4">
        <v>45658</v>
      </c>
      <c r="AG135" t="str">
        <f>YEAR(Table1[[#This Row],[Fecha]])&amp;" - " &amp;UPPER(TEXT(Table1[[#This Row],[Fecha]],"mm-mmm"))</f>
        <v>2025 - 01-ENE</v>
      </c>
      <c r="AH135" s="5">
        <v>0</v>
      </c>
    </row>
    <row r="136" spans="1:34" x14ac:dyDescent="0.25">
      <c r="A136" t="s">
        <v>618</v>
      </c>
      <c r="B136">
        <v>2025</v>
      </c>
      <c r="C136">
        <v>1</v>
      </c>
      <c r="D136" s="1">
        <v>45681</v>
      </c>
      <c r="E136" s="1">
        <v>45681</v>
      </c>
      <c r="F136" s="1">
        <v>45681</v>
      </c>
      <c r="G136" s="1">
        <v>45681</v>
      </c>
      <c r="H136" s="2">
        <v>45681.826679942133</v>
      </c>
      <c r="I136">
        <v>2039</v>
      </c>
      <c r="J136" t="s">
        <v>30</v>
      </c>
      <c r="K136" t="s">
        <v>31</v>
      </c>
      <c r="L136">
        <v>50</v>
      </c>
      <c r="M136">
        <v>50</v>
      </c>
      <c r="N136" t="s">
        <v>32</v>
      </c>
      <c r="O136">
        <v>1</v>
      </c>
      <c r="P136">
        <v>150</v>
      </c>
      <c r="Q136" t="b">
        <v>1</v>
      </c>
      <c r="R136" t="b">
        <v>0</v>
      </c>
      <c r="S136" t="b">
        <v>0</v>
      </c>
      <c r="T136">
        <v>216</v>
      </c>
      <c r="U136">
        <v>0</v>
      </c>
      <c r="V136" t="s">
        <v>33</v>
      </c>
      <c r="W136" t="s">
        <v>33</v>
      </c>
      <c r="X136">
        <v>50</v>
      </c>
      <c r="Y136">
        <v>2936</v>
      </c>
      <c r="Z136" t="s">
        <v>34</v>
      </c>
      <c r="AA136">
        <v>2936</v>
      </c>
      <c r="AB136" t="s">
        <v>121</v>
      </c>
      <c r="AC136" t="s">
        <v>432</v>
      </c>
      <c r="AD136" t="str">
        <f t="shared" si="2"/>
        <v>Escobedo → Hidalgo</v>
      </c>
      <c r="AE136" t="s">
        <v>1357</v>
      </c>
      <c r="AF136" s="4">
        <v>45658</v>
      </c>
      <c r="AG136" t="str">
        <f>YEAR(Table1[[#This Row],[Fecha]])&amp;" - " &amp;UPPER(TEXT(Table1[[#This Row],[Fecha]],"mm-mmm"))</f>
        <v>2025 - 01-ENE</v>
      </c>
      <c r="AH136" s="5">
        <v>0</v>
      </c>
    </row>
    <row r="137" spans="1:34" x14ac:dyDescent="0.25">
      <c r="A137" t="s">
        <v>426</v>
      </c>
      <c r="B137">
        <v>2025</v>
      </c>
      <c r="C137">
        <v>1</v>
      </c>
      <c r="D137" s="1">
        <v>45682</v>
      </c>
      <c r="E137" s="1">
        <v>45682</v>
      </c>
      <c r="F137" s="1">
        <v>45682</v>
      </c>
      <c r="G137" s="1">
        <v>45682</v>
      </c>
      <c r="H137" s="2">
        <v>45682.481602777778</v>
      </c>
      <c r="I137">
        <v>2039</v>
      </c>
      <c r="J137" t="s">
        <v>30</v>
      </c>
      <c r="K137" t="s">
        <v>31</v>
      </c>
      <c r="L137">
        <v>50</v>
      </c>
      <c r="M137">
        <v>50</v>
      </c>
      <c r="N137" t="s">
        <v>32</v>
      </c>
      <c r="O137">
        <v>1</v>
      </c>
      <c r="P137">
        <v>150</v>
      </c>
      <c r="Q137" t="b">
        <v>1</v>
      </c>
      <c r="R137" t="b">
        <v>0</v>
      </c>
      <c r="S137" t="b">
        <v>0</v>
      </c>
      <c r="T137">
        <v>216</v>
      </c>
      <c r="U137">
        <v>0</v>
      </c>
      <c r="V137" t="s">
        <v>33</v>
      </c>
      <c r="W137" t="s">
        <v>33</v>
      </c>
      <c r="X137">
        <v>50</v>
      </c>
      <c r="Y137">
        <v>461</v>
      </c>
      <c r="Z137" t="s">
        <v>34</v>
      </c>
      <c r="AA137">
        <v>461</v>
      </c>
      <c r="AB137" t="s">
        <v>121</v>
      </c>
      <c r="AC137" t="s">
        <v>35</v>
      </c>
      <c r="AD137" t="str">
        <f t="shared" si="2"/>
        <v>Escobedo → Monterrey</v>
      </c>
      <c r="AE137" t="s">
        <v>1357</v>
      </c>
      <c r="AF137" s="4">
        <v>45658</v>
      </c>
      <c r="AG137" t="str">
        <f>YEAR(Table1[[#This Row],[Fecha]])&amp;" - " &amp;UPPER(TEXT(Table1[[#This Row],[Fecha]],"mm-mmm"))</f>
        <v>2025 - 01-ENE</v>
      </c>
      <c r="AH137" s="5">
        <v>0</v>
      </c>
    </row>
    <row r="138" spans="1:34" x14ac:dyDescent="0.25">
      <c r="A138" t="s">
        <v>427</v>
      </c>
      <c r="B138">
        <v>2025</v>
      </c>
      <c r="C138">
        <v>1</v>
      </c>
      <c r="D138" s="1">
        <v>45682</v>
      </c>
      <c r="E138" s="1">
        <v>45682</v>
      </c>
      <c r="F138" s="1">
        <v>45682</v>
      </c>
      <c r="G138" s="1">
        <v>45682</v>
      </c>
      <c r="H138" s="2">
        <v>45682.483037962964</v>
      </c>
      <c r="I138">
        <v>2039</v>
      </c>
      <c r="J138" t="s">
        <v>30</v>
      </c>
      <c r="K138" t="s">
        <v>31</v>
      </c>
      <c r="L138">
        <v>50</v>
      </c>
      <c r="M138">
        <v>50</v>
      </c>
      <c r="N138" t="s">
        <v>32</v>
      </c>
      <c r="O138">
        <v>1</v>
      </c>
      <c r="P138">
        <v>150</v>
      </c>
      <c r="Q138" t="b">
        <v>1</v>
      </c>
      <c r="R138" t="b">
        <v>0</v>
      </c>
      <c r="S138" t="b">
        <v>0</v>
      </c>
      <c r="T138">
        <v>216</v>
      </c>
      <c r="U138">
        <v>0</v>
      </c>
      <c r="V138" t="s">
        <v>33</v>
      </c>
      <c r="W138" t="s">
        <v>33</v>
      </c>
      <c r="X138">
        <v>50</v>
      </c>
      <c r="Y138">
        <v>461</v>
      </c>
      <c r="Z138" t="s">
        <v>34</v>
      </c>
      <c r="AA138">
        <v>461</v>
      </c>
      <c r="AB138" t="s">
        <v>121</v>
      </c>
      <c r="AC138" t="s">
        <v>35</v>
      </c>
      <c r="AD138" t="str">
        <f t="shared" si="2"/>
        <v>Escobedo → Monterrey</v>
      </c>
      <c r="AE138" t="s">
        <v>1357</v>
      </c>
      <c r="AF138" s="4">
        <v>45658</v>
      </c>
      <c r="AG138" t="str">
        <f>YEAR(Table1[[#This Row],[Fecha]])&amp;" - " &amp;UPPER(TEXT(Table1[[#This Row],[Fecha]],"mm-mmm"))</f>
        <v>2025 - 01-ENE</v>
      </c>
      <c r="AH138" s="5">
        <v>0</v>
      </c>
    </row>
    <row r="139" spans="1:34" x14ac:dyDescent="0.25">
      <c r="A139" t="s">
        <v>428</v>
      </c>
      <c r="B139">
        <v>2025</v>
      </c>
      <c r="C139">
        <v>1</v>
      </c>
      <c r="D139" s="1">
        <v>45682</v>
      </c>
      <c r="E139" s="1">
        <v>45682</v>
      </c>
      <c r="F139" s="1">
        <v>45682</v>
      </c>
      <c r="G139" s="1">
        <v>45682</v>
      </c>
      <c r="H139" s="2">
        <v>45682.483433912035</v>
      </c>
      <c r="I139">
        <v>2039</v>
      </c>
      <c r="J139" t="s">
        <v>30</v>
      </c>
      <c r="K139" t="s">
        <v>31</v>
      </c>
      <c r="L139">
        <v>50</v>
      </c>
      <c r="M139">
        <v>50</v>
      </c>
      <c r="N139" t="s">
        <v>32</v>
      </c>
      <c r="O139">
        <v>1</v>
      </c>
      <c r="P139">
        <v>150</v>
      </c>
      <c r="Q139" t="b">
        <v>1</v>
      </c>
      <c r="R139" t="b">
        <v>0</v>
      </c>
      <c r="S139" t="b">
        <v>0</v>
      </c>
      <c r="T139">
        <v>216</v>
      </c>
      <c r="U139">
        <v>0</v>
      </c>
      <c r="V139" t="s">
        <v>33</v>
      </c>
      <c r="W139" t="s">
        <v>33</v>
      </c>
      <c r="X139">
        <v>50</v>
      </c>
      <c r="Y139">
        <v>461</v>
      </c>
      <c r="Z139" t="s">
        <v>34</v>
      </c>
      <c r="AA139">
        <v>461</v>
      </c>
      <c r="AB139" t="s">
        <v>121</v>
      </c>
      <c r="AC139" t="s">
        <v>35</v>
      </c>
      <c r="AD139" t="str">
        <f t="shared" si="2"/>
        <v>Escobedo → Monterrey</v>
      </c>
      <c r="AE139" t="s">
        <v>1357</v>
      </c>
      <c r="AF139" s="4">
        <v>45658</v>
      </c>
      <c r="AG139" t="str">
        <f>YEAR(Table1[[#This Row],[Fecha]])&amp;" - " &amp;UPPER(TEXT(Table1[[#This Row],[Fecha]],"mm-mmm"))</f>
        <v>2025 - 01-ENE</v>
      </c>
      <c r="AH139" s="5">
        <v>0</v>
      </c>
    </row>
    <row r="140" spans="1:34" x14ac:dyDescent="0.25">
      <c r="A140" t="s">
        <v>348</v>
      </c>
      <c r="B140">
        <v>2025</v>
      </c>
      <c r="C140">
        <v>1</v>
      </c>
      <c r="D140" s="1">
        <v>45682</v>
      </c>
      <c r="E140" s="1">
        <v>45682</v>
      </c>
      <c r="F140" s="1">
        <v>45683</v>
      </c>
      <c r="G140" s="1">
        <v>45682</v>
      </c>
      <c r="H140" s="1">
        <v>45683</v>
      </c>
      <c r="I140">
        <v>2050</v>
      </c>
      <c r="J140" t="s">
        <v>54</v>
      </c>
      <c r="K140" t="s">
        <v>31</v>
      </c>
      <c r="L140">
        <v>961</v>
      </c>
      <c r="M140">
        <v>1059</v>
      </c>
      <c r="N140" t="s">
        <v>55</v>
      </c>
      <c r="O140">
        <v>1</v>
      </c>
      <c r="P140">
        <v>964</v>
      </c>
      <c r="Q140" t="b">
        <v>1</v>
      </c>
      <c r="R140" t="b">
        <v>0</v>
      </c>
      <c r="S140" t="b">
        <v>0</v>
      </c>
      <c r="T140">
        <v>1396</v>
      </c>
      <c r="U140">
        <v>0</v>
      </c>
      <c r="V140" t="s">
        <v>33</v>
      </c>
      <c r="W140" t="s">
        <v>33</v>
      </c>
      <c r="X140">
        <v>1100</v>
      </c>
      <c r="Y140">
        <v>8</v>
      </c>
      <c r="Z140" t="s">
        <v>123</v>
      </c>
      <c r="AA140">
        <v>8</v>
      </c>
      <c r="AB140" t="s">
        <v>121</v>
      </c>
      <c r="AC140" t="s">
        <v>56</v>
      </c>
      <c r="AD140" t="str">
        <f t="shared" si="2"/>
        <v>Escobedo → Cd Sahagún</v>
      </c>
      <c r="AE140" t="s">
        <v>1358</v>
      </c>
      <c r="AF140" s="4">
        <v>45658</v>
      </c>
      <c r="AG140" t="str">
        <f>YEAR(Table1[[#This Row],[Fecha]])&amp;" - " &amp;UPPER(TEXT(Table1[[#This Row],[Fecha]],"mm-mmm"))</f>
        <v>2025 - 01-ENE</v>
      </c>
      <c r="AH140" s="5">
        <v>0</v>
      </c>
    </row>
    <row r="141" spans="1:34" x14ac:dyDescent="0.25">
      <c r="A141" t="s">
        <v>619</v>
      </c>
      <c r="B141">
        <v>2025</v>
      </c>
      <c r="C141">
        <v>1</v>
      </c>
      <c r="D141" s="1">
        <v>45684</v>
      </c>
      <c r="E141" s="1">
        <v>45684</v>
      </c>
      <c r="F141" s="1">
        <v>45684</v>
      </c>
      <c r="G141" s="1">
        <v>45684</v>
      </c>
      <c r="H141" s="2">
        <v>45684.626616782407</v>
      </c>
      <c r="I141">
        <v>2039</v>
      </c>
      <c r="J141" t="s">
        <v>30</v>
      </c>
      <c r="K141" t="s">
        <v>31</v>
      </c>
      <c r="L141">
        <v>50</v>
      </c>
      <c r="M141">
        <v>50</v>
      </c>
      <c r="N141" t="s">
        <v>32</v>
      </c>
      <c r="O141">
        <v>1</v>
      </c>
      <c r="P141">
        <v>150</v>
      </c>
      <c r="Q141" t="b">
        <v>1</v>
      </c>
      <c r="R141" t="b">
        <v>0</v>
      </c>
      <c r="S141" t="b">
        <v>0</v>
      </c>
      <c r="T141">
        <v>216</v>
      </c>
      <c r="U141">
        <v>0</v>
      </c>
      <c r="V141" t="s">
        <v>33</v>
      </c>
      <c r="W141" t="s">
        <v>33</v>
      </c>
      <c r="X141">
        <v>50</v>
      </c>
      <c r="Y141">
        <v>2936</v>
      </c>
      <c r="Z141" t="s">
        <v>34</v>
      </c>
      <c r="AA141">
        <v>2936</v>
      </c>
      <c r="AB141" t="s">
        <v>121</v>
      </c>
      <c r="AC141" t="s">
        <v>432</v>
      </c>
      <c r="AD141" t="str">
        <f t="shared" si="2"/>
        <v>Escobedo → Hidalgo</v>
      </c>
      <c r="AE141" t="s">
        <v>1357</v>
      </c>
      <c r="AF141" s="4">
        <v>45658</v>
      </c>
      <c r="AG141" t="str">
        <f>YEAR(Table1[[#This Row],[Fecha]])&amp;" - " &amp;UPPER(TEXT(Table1[[#This Row],[Fecha]],"mm-mmm"))</f>
        <v>2025 - 01-ENE</v>
      </c>
      <c r="AH141" s="5">
        <v>0</v>
      </c>
    </row>
    <row r="142" spans="1:34" x14ac:dyDescent="0.25">
      <c r="A142" t="s">
        <v>620</v>
      </c>
      <c r="B142">
        <v>2025</v>
      </c>
      <c r="C142">
        <v>1</v>
      </c>
      <c r="D142" s="1">
        <v>45684</v>
      </c>
      <c r="E142" s="1">
        <v>45684</v>
      </c>
      <c r="F142" s="1">
        <v>45684</v>
      </c>
      <c r="G142" s="1">
        <v>45684</v>
      </c>
      <c r="H142" s="2">
        <v>45684.630116863424</v>
      </c>
      <c r="I142">
        <v>2039</v>
      </c>
      <c r="J142" t="s">
        <v>30</v>
      </c>
      <c r="K142" t="s">
        <v>31</v>
      </c>
      <c r="L142">
        <v>50</v>
      </c>
      <c r="M142">
        <v>50</v>
      </c>
      <c r="N142" t="s">
        <v>32</v>
      </c>
      <c r="O142">
        <v>1</v>
      </c>
      <c r="P142">
        <v>150</v>
      </c>
      <c r="Q142" t="b">
        <v>1</v>
      </c>
      <c r="R142" t="b">
        <v>0</v>
      </c>
      <c r="S142" t="b">
        <v>0</v>
      </c>
      <c r="T142">
        <v>216</v>
      </c>
      <c r="U142">
        <v>0</v>
      </c>
      <c r="V142" t="s">
        <v>33</v>
      </c>
      <c r="W142" t="s">
        <v>33</v>
      </c>
      <c r="X142">
        <v>50</v>
      </c>
      <c r="Y142">
        <v>2936</v>
      </c>
      <c r="Z142" t="s">
        <v>34</v>
      </c>
      <c r="AA142">
        <v>2936</v>
      </c>
      <c r="AB142" t="s">
        <v>121</v>
      </c>
      <c r="AC142" t="s">
        <v>432</v>
      </c>
      <c r="AD142" t="str">
        <f t="shared" si="2"/>
        <v>Escobedo → Hidalgo</v>
      </c>
      <c r="AE142" t="s">
        <v>1357</v>
      </c>
      <c r="AF142" s="4">
        <v>45658</v>
      </c>
      <c r="AG142" t="str">
        <f>YEAR(Table1[[#This Row],[Fecha]])&amp;" - " &amp;UPPER(TEXT(Table1[[#This Row],[Fecha]],"mm-mmm"))</f>
        <v>2025 - 01-ENE</v>
      </c>
      <c r="AH142" s="5">
        <v>0</v>
      </c>
    </row>
    <row r="143" spans="1:34" x14ac:dyDescent="0.25">
      <c r="A143" t="s">
        <v>621</v>
      </c>
      <c r="B143">
        <v>2025</v>
      </c>
      <c r="C143">
        <v>1</v>
      </c>
      <c r="D143" s="1">
        <v>45686</v>
      </c>
      <c r="E143" s="1">
        <v>45686</v>
      </c>
      <c r="F143" s="1">
        <v>45686</v>
      </c>
      <c r="G143" s="1">
        <v>45686</v>
      </c>
      <c r="H143" s="2">
        <v>45686.778315127318</v>
      </c>
      <c r="I143">
        <v>2039</v>
      </c>
      <c r="J143" t="s">
        <v>30</v>
      </c>
      <c r="K143" t="s">
        <v>31</v>
      </c>
      <c r="L143">
        <v>50</v>
      </c>
      <c r="M143">
        <v>50</v>
      </c>
      <c r="N143" t="s">
        <v>32</v>
      </c>
      <c r="O143">
        <v>1</v>
      </c>
      <c r="P143">
        <v>150</v>
      </c>
      <c r="Q143" t="b">
        <v>1</v>
      </c>
      <c r="R143" t="b">
        <v>0</v>
      </c>
      <c r="S143" t="b">
        <v>0</v>
      </c>
      <c r="T143">
        <v>216</v>
      </c>
      <c r="U143">
        <v>0</v>
      </c>
      <c r="V143" t="s">
        <v>33</v>
      </c>
      <c r="W143" t="s">
        <v>33</v>
      </c>
      <c r="X143">
        <v>50</v>
      </c>
      <c r="Y143">
        <v>2936</v>
      </c>
      <c r="Z143" t="s">
        <v>34</v>
      </c>
      <c r="AA143">
        <v>2936</v>
      </c>
      <c r="AB143" t="s">
        <v>121</v>
      </c>
      <c r="AC143" t="s">
        <v>432</v>
      </c>
      <c r="AD143" t="str">
        <f t="shared" si="2"/>
        <v>Escobedo → Hidalgo</v>
      </c>
      <c r="AE143" t="s">
        <v>1357</v>
      </c>
      <c r="AF143" s="4">
        <v>45658</v>
      </c>
      <c r="AG143" t="str">
        <f>YEAR(Table1[[#This Row],[Fecha]])&amp;" - " &amp;UPPER(TEXT(Table1[[#This Row],[Fecha]],"mm-mmm"))</f>
        <v>2025 - 01-ENE</v>
      </c>
      <c r="AH143" s="5">
        <v>0</v>
      </c>
    </row>
    <row r="144" spans="1:34" x14ac:dyDescent="0.25">
      <c r="A144" t="s">
        <v>622</v>
      </c>
      <c r="B144">
        <v>2025</v>
      </c>
      <c r="C144">
        <v>1</v>
      </c>
      <c r="D144" s="1">
        <v>45686</v>
      </c>
      <c r="E144" s="1">
        <v>45686</v>
      </c>
      <c r="F144" s="1">
        <v>45686</v>
      </c>
      <c r="G144" s="1">
        <v>45686</v>
      </c>
      <c r="H144" s="2">
        <v>45686.778303009261</v>
      </c>
      <c r="I144">
        <v>2039</v>
      </c>
      <c r="J144" t="s">
        <v>30</v>
      </c>
      <c r="K144" t="s">
        <v>31</v>
      </c>
      <c r="L144">
        <v>50</v>
      </c>
      <c r="M144">
        <v>50</v>
      </c>
      <c r="N144" t="s">
        <v>32</v>
      </c>
      <c r="O144">
        <v>1</v>
      </c>
      <c r="P144">
        <v>150</v>
      </c>
      <c r="Q144" t="b">
        <v>1</v>
      </c>
      <c r="R144" t="b">
        <v>0</v>
      </c>
      <c r="S144" t="b">
        <v>0</v>
      </c>
      <c r="T144">
        <v>216</v>
      </c>
      <c r="U144">
        <v>0</v>
      </c>
      <c r="V144" t="s">
        <v>33</v>
      </c>
      <c r="W144" t="s">
        <v>33</v>
      </c>
      <c r="X144">
        <v>50</v>
      </c>
      <c r="Y144">
        <v>2936</v>
      </c>
      <c r="Z144" t="s">
        <v>34</v>
      </c>
      <c r="AA144">
        <v>2936</v>
      </c>
      <c r="AB144" t="s">
        <v>121</v>
      </c>
      <c r="AC144" t="s">
        <v>432</v>
      </c>
      <c r="AD144" t="str">
        <f t="shared" si="2"/>
        <v>Escobedo → Hidalgo</v>
      </c>
      <c r="AE144" t="s">
        <v>1357</v>
      </c>
      <c r="AF144" s="4">
        <v>45658</v>
      </c>
      <c r="AG144" t="str">
        <f>YEAR(Table1[[#This Row],[Fecha]])&amp;" - " &amp;UPPER(TEXT(Table1[[#This Row],[Fecha]],"mm-mmm"))</f>
        <v>2025 - 01-ENE</v>
      </c>
      <c r="AH144" s="5">
        <v>0</v>
      </c>
    </row>
    <row r="145" spans="1:34" x14ac:dyDescent="0.25">
      <c r="A145" t="s">
        <v>623</v>
      </c>
      <c r="B145">
        <v>2025</v>
      </c>
      <c r="C145">
        <v>1</v>
      </c>
      <c r="D145" s="1">
        <v>45686</v>
      </c>
      <c r="E145" s="1">
        <v>45686</v>
      </c>
      <c r="F145" s="1">
        <v>45686</v>
      </c>
      <c r="G145" s="1">
        <v>45686</v>
      </c>
      <c r="H145" s="2">
        <v>45686.778297418983</v>
      </c>
      <c r="I145">
        <v>2039</v>
      </c>
      <c r="J145" t="s">
        <v>30</v>
      </c>
      <c r="K145" t="s">
        <v>31</v>
      </c>
      <c r="L145">
        <v>50</v>
      </c>
      <c r="M145">
        <v>50</v>
      </c>
      <c r="N145" t="s">
        <v>32</v>
      </c>
      <c r="O145">
        <v>1</v>
      </c>
      <c r="P145">
        <v>150</v>
      </c>
      <c r="Q145" t="b">
        <v>1</v>
      </c>
      <c r="R145" t="b">
        <v>0</v>
      </c>
      <c r="S145" t="b">
        <v>0</v>
      </c>
      <c r="T145">
        <v>216</v>
      </c>
      <c r="U145">
        <v>0</v>
      </c>
      <c r="V145" t="s">
        <v>33</v>
      </c>
      <c r="W145" t="s">
        <v>33</v>
      </c>
      <c r="X145">
        <v>50</v>
      </c>
      <c r="Y145">
        <v>2936</v>
      </c>
      <c r="Z145" t="s">
        <v>34</v>
      </c>
      <c r="AA145">
        <v>2936</v>
      </c>
      <c r="AB145" t="s">
        <v>121</v>
      </c>
      <c r="AC145" t="s">
        <v>432</v>
      </c>
      <c r="AD145" t="str">
        <f t="shared" si="2"/>
        <v>Escobedo → Hidalgo</v>
      </c>
      <c r="AE145" t="s">
        <v>1357</v>
      </c>
      <c r="AF145" s="4">
        <v>45658</v>
      </c>
      <c r="AG145" t="str">
        <f>YEAR(Table1[[#This Row],[Fecha]])&amp;" - " &amp;UPPER(TEXT(Table1[[#This Row],[Fecha]],"mm-mmm"))</f>
        <v>2025 - 01-ENE</v>
      </c>
      <c r="AH145" s="5">
        <v>0</v>
      </c>
    </row>
    <row r="146" spans="1:34" x14ac:dyDescent="0.25">
      <c r="A146" t="s">
        <v>968</v>
      </c>
      <c r="B146">
        <v>2025</v>
      </c>
      <c r="C146">
        <v>1</v>
      </c>
      <c r="D146" s="1">
        <v>45686</v>
      </c>
      <c r="E146" s="1">
        <v>45686</v>
      </c>
      <c r="F146" s="1">
        <v>45686</v>
      </c>
      <c r="G146" s="1">
        <v>45686</v>
      </c>
      <c r="H146" s="2">
        <v>45686.778622418984</v>
      </c>
      <c r="I146">
        <v>2039</v>
      </c>
      <c r="J146" t="s">
        <v>30</v>
      </c>
      <c r="K146" t="s">
        <v>31</v>
      </c>
      <c r="L146">
        <v>50</v>
      </c>
      <c r="M146">
        <v>50</v>
      </c>
      <c r="N146" t="s">
        <v>32</v>
      </c>
      <c r="O146">
        <v>1</v>
      </c>
      <c r="P146">
        <v>150</v>
      </c>
      <c r="Q146" t="b">
        <v>1</v>
      </c>
      <c r="R146" t="b">
        <v>0</v>
      </c>
      <c r="S146" t="b">
        <v>0</v>
      </c>
      <c r="T146">
        <v>216</v>
      </c>
      <c r="U146">
        <v>0</v>
      </c>
      <c r="V146" t="s">
        <v>33</v>
      </c>
      <c r="W146" t="s">
        <v>33</v>
      </c>
      <c r="X146">
        <v>50</v>
      </c>
      <c r="Y146">
        <v>359</v>
      </c>
      <c r="Z146" t="s">
        <v>34</v>
      </c>
      <c r="AA146">
        <v>359</v>
      </c>
      <c r="AB146" t="s">
        <v>121</v>
      </c>
      <c r="AC146" t="s">
        <v>121</v>
      </c>
      <c r="AD146" t="str">
        <f t="shared" si="2"/>
        <v>Escobedo → Escobedo</v>
      </c>
      <c r="AE146" t="s">
        <v>1357</v>
      </c>
      <c r="AF146" s="4">
        <v>45658</v>
      </c>
      <c r="AG146" t="str">
        <f>YEAR(Table1[[#This Row],[Fecha]])&amp;" - " &amp;UPPER(TEXT(Table1[[#This Row],[Fecha]],"mm-mmm"))</f>
        <v>2025 - 01-ENE</v>
      </c>
      <c r="AH146" s="5">
        <v>0</v>
      </c>
    </row>
    <row r="147" spans="1:34" x14ac:dyDescent="0.25">
      <c r="A147" t="s">
        <v>969</v>
      </c>
      <c r="B147">
        <v>2025</v>
      </c>
      <c r="C147">
        <v>1</v>
      </c>
      <c r="D147" s="1">
        <v>45686</v>
      </c>
      <c r="E147" s="1">
        <v>45686</v>
      </c>
      <c r="F147" s="1">
        <v>45686</v>
      </c>
      <c r="G147" s="1">
        <v>45686</v>
      </c>
      <c r="H147" s="2">
        <v>45686.778291435185</v>
      </c>
      <c r="I147">
        <v>2039</v>
      </c>
      <c r="J147" t="s">
        <v>30</v>
      </c>
      <c r="K147" t="s">
        <v>31</v>
      </c>
      <c r="L147">
        <v>50</v>
      </c>
      <c r="M147">
        <v>50</v>
      </c>
      <c r="N147" t="s">
        <v>32</v>
      </c>
      <c r="O147">
        <v>1</v>
      </c>
      <c r="P147">
        <v>150</v>
      </c>
      <c r="Q147" t="b">
        <v>1</v>
      </c>
      <c r="R147" t="b">
        <v>0</v>
      </c>
      <c r="S147" t="b">
        <v>0</v>
      </c>
      <c r="T147">
        <v>216</v>
      </c>
      <c r="U147">
        <v>0</v>
      </c>
      <c r="V147" t="s">
        <v>33</v>
      </c>
      <c r="W147" t="s">
        <v>33</v>
      </c>
      <c r="X147">
        <v>50</v>
      </c>
      <c r="Y147">
        <v>359</v>
      </c>
      <c r="Z147" t="s">
        <v>34</v>
      </c>
      <c r="AA147">
        <v>359</v>
      </c>
      <c r="AB147" t="s">
        <v>121</v>
      </c>
      <c r="AC147" t="s">
        <v>121</v>
      </c>
      <c r="AD147" t="str">
        <f t="shared" si="2"/>
        <v>Escobedo → Escobedo</v>
      </c>
      <c r="AE147" t="s">
        <v>1357</v>
      </c>
      <c r="AF147" s="4">
        <v>45658</v>
      </c>
      <c r="AG147" t="str">
        <f>YEAR(Table1[[#This Row],[Fecha]])&amp;" - " &amp;UPPER(TEXT(Table1[[#This Row],[Fecha]],"mm-mmm"))</f>
        <v>2025 - 01-ENE</v>
      </c>
      <c r="AH147" s="5">
        <v>0</v>
      </c>
    </row>
    <row r="148" spans="1:34" x14ac:dyDescent="0.25">
      <c r="A148" t="s">
        <v>615</v>
      </c>
      <c r="B148">
        <v>2025</v>
      </c>
      <c r="C148">
        <v>1</v>
      </c>
      <c r="D148" s="1">
        <v>45686</v>
      </c>
      <c r="E148" s="1">
        <v>45686</v>
      </c>
      <c r="F148" s="1">
        <v>45686</v>
      </c>
      <c r="G148" s="1">
        <v>45686</v>
      </c>
      <c r="H148" s="2">
        <v>45686.778282754633</v>
      </c>
      <c r="I148">
        <v>2039</v>
      </c>
      <c r="J148" t="s">
        <v>30</v>
      </c>
      <c r="K148" t="s">
        <v>31</v>
      </c>
      <c r="L148">
        <v>50</v>
      </c>
      <c r="M148">
        <v>50</v>
      </c>
      <c r="N148" t="s">
        <v>32</v>
      </c>
      <c r="O148">
        <v>1</v>
      </c>
      <c r="P148">
        <v>150</v>
      </c>
      <c r="Q148" t="b">
        <v>1</v>
      </c>
      <c r="R148" t="b">
        <v>0</v>
      </c>
      <c r="S148" t="b">
        <v>0</v>
      </c>
      <c r="T148">
        <v>216</v>
      </c>
      <c r="U148">
        <v>0</v>
      </c>
      <c r="V148" t="s">
        <v>33</v>
      </c>
      <c r="W148" t="s">
        <v>33</v>
      </c>
      <c r="X148">
        <v>50</v>
      </c>
      <c r="Y148">
        <v>2936</v>
      </c>
      <c r="Z148" t="s">
        <v>34</v>
      </c>
      <c r="AA148">
        <v>2936</v>
      </c>
      <c r="AB148" t="s">
        <v>121</v>
      </c>
      <c r="AC148" t="s">
        <v>432</v>
      </c>
      <c r="AD148" t="str">
        <f t="shared" si="2"/>
        <v>Escobedo → Hidalgo</v>
      </c>
      <c r="AE148" t="s">
        <v>1357</v>
      </c>
      <c r="AF148" s="4">
        <v>45658</v>
      </c>
      <c r="AG148" t="str">
        <f>YEAR(Table1[[#This Row],[Fecha]])&amp;" - " &amp;UPPER(TEXT(Table1[[#This Row],[Fecha]],"mm-mmm"))</f>
        <v>2025 - 01-ENE</v>
      </c>
      <c r="AH148" s="5">
        <v>0</v>
      </c>
    </row>
    <row r="149" spans="1:34" x14ac:dyDescent="0.25">
      <c r="A149" t="s">
        <v>616</v>
      </c>
      <c r="B149">
        <v>2025</v>
      </c>
      <c r="C149">
        <v>1</v>
      </c>
      <c r="D149" s="1">
        <v>45686</v>
      </c>
      <c r="E149" s="1">
        <v>45686</v>
      </c>
      <c r="F149" s="1">
        <v>45686</v>
      </c>
      <c r="G149" s="1">
        <v>45686</v>
      </c>
      <c r="H149" s="2">
        <v>45686.780313275463</v>
      </c>
      <c r="I149">
        <v>2039</v>
      </c>
      <c r="J149" t="s">
        <v>30</v>
      </c>
      <c r="K149" t="s">
        <v>31</v>
      </c>
      <c r="L149">
        <v>50</v>
      </c>
      <c r="M149">
        <v>50</v>
      </c>
      <c r="N149" t="s">
        <v>32</v>
      </c>
      <c r="O149">
        <v>1</v>
      </c>
      <c r="P149">
        <v>150</v>
      </c>
      <c r="Q149" t="b">
        <v>1</v>
      </c>
      <c r="R149" t="b">
        <v>0</v>
      </c>
      <c r="S149" t="b">
        <v>0</v>
      </c>
      <c r="T149">
        <v>216</v>
      </c>
      <c r="U149">
        <v>0</v>
      </c>
      <c r="V149" t="s">
        <v>33</v>
      </c>
      <c r="W149" t="s">
        <v>33</v>
      </c>
      <c r="X149">
        <v>50</v>
      </c>
      <c r="Y149">
        <v>2936</v>
      </c>
      <c r="Z149" t="s">
        <v>34</v>
      </c>
      <c r="AA149">
        <v>2936</v>
      </c>
      <c r="AB149" t="s">
        <v>121</v>
      </c>
      <c r="AC149" t="s">
        <v>432</v>
      </c>
      <c r="AD149" t="str">
        <f t="shared" si="2"/>
        <v>Escobedo → Hidalgo</v>
      </c>
      <c r="AE149" t="s">
        <v>1357</v>
      </c>
      <c r="AF149" s="4">
        <v>45658</v>
      </c>
      <c r="AG149" t="str">
        <f>YEAR(Table1[[#This Row],[Fecha]])&amp;" - " &amp;UPPER(TEXT(Table1[[#This Row],[Fecha]],"mm-mmm"))</f>
        <v>2025 - 01-ENE</v>
      </c>
      <c r="AH149" s="5">
        <v>0</v>
      </c>
    </row>
    <row r="150" spans="1:34" x14ac:dyDescent="0.25">
      <c r="A150" t="s">
        <v>617</v>
      </c>
      <c r="B150">
        <v>2025</v>
      </c>
      <c r="C150">
        <v>1</v>
      </c>
      <c r="D150" s="1">
        <v>45686</v>
      </c>
      <c r="E150" s="1">
        <v>45686</v>
      </c>
      <c r="F150" s="1">
        <v>45686</v>
      </c>
      <c r="G150" s="1">
        <v>45686</v>
      </c>
      <c r="H150" s="2">
        <v>45686.781457175923</v>
      </c>
      <c r="I150">
        <v>2039</v>
      </c>
      <c r="J150" t="s">
        <v>30</v>
      </c>
      <c r="K150" t="s">
        <v>31</v>
      </c>
      <c r="L150">
        <v>50</v>
      </c>
      <c r="M150">
        <v>50</v>
      </c>
      <c r="N150" t="s">
        <v>32</v>
      </c>
      <c r="O150">
        <v>1</v>
      </c>
      <c r="P150">
        <v>150</v>
      </c>
      <c r="Q150" t="b">
        <v>1</v>
      </c>
      <c r="R150" t="b">
        <v>0</v>
      </c>
      <c r="S150" t="b">
        <v>0</v>
      </c>
      <c r="T150">
        <v>216</v>
      </c>
      <c r="U150">
        <v>0</v>
      </c>
      <c r="V150" t="s">
        <v>33</v>
      </c>
      <c r="W150" t="s">
        <v>33</v>
      </c>
      <c r="X150">
        <v>50</v>
      </c>
      <c r="Y150">
        <v>2936</v>
      </c>
      <c r="Z150" t="s">
        <v>34</v>
      </c>
      <c r="AA150">
        <v>2936</v>
      </c>
      <c r="AB150" t="s">
        <v>121</v>
      </c>
      <c r="AC150" t="s">
        <v>432</v>
      </c>
      <c r="AD150" t="str">
        <f t="shared" si="2"/>
        <v>Escobedo → Hidalgo</v>
      </c>
      <c r="AE150" t="s">
        <v>1357</v>
      </c>
      <c r="AF150" s="4">
        <v>45658</v>
      </c>
      <c r="AG150" t="str">
        <f>YEAR(Table1[[#This Row],[Fecha]])&amp;" - " &amp;UPPER(TEXT(Table1[[#This Row],[Fecha]],"mm-mmm"))</f>
        <v>2025 - 01-ENE</v>
      </c>
      <c r="AH150" s="5">
        <v>0</v>
      </c>
    </row>
    <row r="151" spans="1:34" x14ac:dyDescent="0.25">
      <c r="A151" t="s">
        <v>970</v>
      </c>
      <c r="B151">
        <v>2025</v>
      </c>
      <c r="C151">
        <v>1</v>
      </c>
      <c r="D151" s="1">
        <v>45687</v>
      </c>
      <c r="E151" s="1">
        <v>45687</v>
      </c>
      <c r="F151" s="1">
        <v>45687</v>
      </c>
      <c r="G151" s="1">
        <v>45687</v>
      </c>
      <c r="H151" s="2">
        <v>45687.749258020835</v>
      </c>
      <c r="I151">
        <v>2039</v>
      </c>
      <c r="J151" t="s">
        <v>30</v>
      </c>
      <c r="K151" t="s">
        <v>31</v>
      </c>
      <c r="L151">
        <v>50</v>
      </c>
      <c r="M151">
        <v>50</v>
      </c>
      <c r="N151" t="s">
        <v>32</v>
      </c>
      <c r="O151">
        <v>1</v>
      </c>
      <c r="P151">
        <v>150</v>
      </c>
      <c r="Q151" t="b">
        <v>1</v>
      </c>
      <c r="R151" t="b">
        <v>0</v>
      </c>
      <c r="S151" t="b">
        <v>0</v>
      </c>
      <c r="T151">
        <v>216</v>
      </c>
      <c r="U151">
        <v>0</v>
      </c>
      <c r="V151" t="s">
        <v>33</v>
      </c>
      <c r="W151" t="s">
        <v>33</v>
      </c>
      <c r="X151">
        <v>50</v>
      </c>
      <c r="Y151">
        <v>359</v>
      </c>
      <c r="Z151" t="s">
        <v>34</v>
      </c>
      <c r="AA151">
        <v>359</v>
      </c>
      <c r="AB151" t="s">
        <v>121</v>
      </c>
      <c r="AC151" t="s">
        <v>121</v>
      </c>
      <c r="AD151" t="str">
        <f t="shared" si="2"/>
        <v>Escobedo → Escobedo</v>
      </c>
      <c r="AE151" t="s">
        <v>1357</v>
      </c>
      <c r="AF151" s="4">
        <v>45658</v>
      </c>
      <c r="AG151" t="str">
        <f>YEAR(Table1[[#This Row],[Fecha]])&amp;" - " &amp;UPPER(TEXT(Table1[[#This Row],[Fecha]],"mm-mmm"))</f>
        <v>2025 - 01-ENE</v>
      </c>
      <c r="AH151" s="5">
        <v>0</v>
      </c>
    </row>
    <row r="152" spans="1:34" x14ac:dyDescent="0.25">
      <c r="A152" t="s">
        <v>613</v>
      </c>
      <c r="B152">
        <v>2025</v>
      </c>
      <c r="C152">
        <v>1</v>
      </c>
      <c r="D152" s="1">
        <v>45687</v>
      </c>
      <c r="E152" s="1">
        <v>45687</v>
      </c>
      <c r="F152" s="1">
        <v>45687</v>
      </c>
      <c r="G152" s="1">
        <v>45687</v>
      </c>
      <c r="H152" s="2">
        <v>45687.749801770835</v>
      </c>
      <c r="I152">
        <v>2039</v>
      </c>
      <c r="J152" t="s">
        <v>30</v>
      </c>
      <c r="K152" t="s">
        <v>31</v>
      </c>
      <c r="L152">
        <v>50</v>
      </c>
      <c r="M152">
        <v>50</v>
      </c>
      <c r="N152" t="s">
        <v>32</v>
      </c>
      <c r="O152">
        <v>1</v>
      </c>
      <c r="P152">
        <v>150</v>
      </c>
      <c r="Q152" t="b">
        <v>1</v>
      </c>
      <c r="R152" t="b">
        <v>0</v>
      </c>
      <c r="S152" t="b">
        <v>0</v>
      </c>
      <c r="T152">
        <v>216</v>
      </c>
      <c r="U152">
        <v>0</v>
      </c>
      <c r="V152" t="s">
        <v>33</v>
      </c>
      <c r="W152" t="s">
        <v>33</v>
      </c>
      <c r="X152">
        <v>50</v>
      </c>
      <c r="Y152">
        <v>2936</v>
      </c>
      <c r="Z152" t="s">
        <v>34</v>
      </c>
      <c r="AA152">
        <v>2936</v>
      </c>
      <c r="AB152" t="s">
        <v>121</v>
      </c>
      <c r="AC152" t="s">
        <v>432</v>
      </c>
      <c r="AD152" t="str">
        <f t="shared" si="2"/>
        <v>Escobedo → Hidalgo</v>
      </c>
      <c r="AE152" t="s">
        <v>1357</v>
      </c>
      <c r="AF152" s="4">
        <v>45658</v>
      </c>
      <c r="AG152" t="str">
        <f>YEAR(Table1[[#This Row],[Fecha]])&amp;" - " &amp;UPPER(TEXT(Table1[[#This Row],[Fecha]],"mm-mmm"))</f>
        <v>2025 - 01-ENE</v>
      </c>
      <c r="AH152" s="5">
        <v>0</v>
      </c>
    </row>
    <row r="153" spans="1:34" x14ac:dyDescent="0.25">
      <c r="A153" t="s">
        <v>971</v>
      </c>
      <c r="B153">
        <v>2025</v>
      </c>
      <c r="C153">
        <v>1</v>
      </c>
      <c r="D153" s="1">
        <v>45687</v>
      </c>
      <c r="E153" s="1">
        <v>45687</v>
      </c>
      <c r="F153" s="1">
        <v>45687</v>
      </c>
      <c r="G153" s="1">
        <v>45687</v>
      </c>
      <c r="H153" s="2">
        <v>45687.750167013888</v>
      </c>
      <c r="I153">
        <v>2039</v>
      </c>
      <c r="J153" t="s">
        <v>30</v>
      </c>
      <c r="K153" t="s">
        <v>31</v>
      </c>
      <c r="L153">
        <v>50</v>
      </c>
      <c r="M153">
        <v>50</v>
      </c>
      <c r="N153" t="s">
        <v>32</v>
      </c>
      <c r="O153">
        <v>1</v>
      </c>
      <c r="P153">
        <v>150</v>
      </c>
      <c r="Q153" t="b">
        <v>1</v>
      </c>
      <c r="R153" t="b">
        <v>0</v>
      </c>
      <c r="S153" t="b">
        <v>0</v>
      </c>
      <c r="T153">
        <v>216</v>
      </c>
      <c r="U153">
        <v>0</v>
      </c>
      <c r="V153" t="s">
        <v>33</v>
      </c>
      <c r="W153" t="s">
        <v>33</v>
      </c>
      <c r="X153">
        <v>50</v>
      </c>
      <c r="Y153">
        <v>359</v>
      </c>
      <c r="Z153" t="s">
        <v>34</v>
      </c>
      <c r="AA153">
        <v>359</v>
      </c>
      <c r="AB153" t="s">
        <v>121</v>
      </c>
      <c r="AC153" t="s">
        <v>121</v>
      </c>
      <c r="AD153" t="str">
        <f t="shared" si="2"/>
        <v>Escobedo → Escobedo</v>
      </c>
      <c r="AE153" t="s">
        <v>1357</v>
      </c>
      <c r="AF153" s="4">
        <v>45658</v>
      </c>
      <c r="AG153" t="str">
        <f>YEAR(Table1[[#This Row],[Fecha]])&amp;" - " &amp;UPPER(TEXT(Table1[[#This Row],[Fecha]],"mm-mmm"))</f>
        <v>2025 - 01-ENE</v>
      </c>
      <c r="AH153" s="5">
        <v>0</v>
      </c>
    </row>
    <row r="154" spans="1:34" x14ac:dyDescent="0.25">
      <c r="A154" t="s">
        <v>972</v>
      </c>
      <c r="B154">
        <v>2025</v>
      </c>
      <c r="C154">
        <v>1</v>
      </c>
      <c r="D154" s="1">
        <v>45687</v>
      </c>
      <c r="E154" s="1">
        <v>45687</v>
      </c>
      <c r="F154" s="1">
        <v>45687</v>
      </c>
      <c r="G154" s="1">
        <v>45687</v>
      </c>
      <c r="H154" s="2">
        <v>45687.750714467591</v>
      </c>
      <c r="I154">
        <v>2039</v>
      </c>
      <c r="J154" t="s">
        <v>30</v>
      </c>
      <c r="K154" t="s">
        <v>31</v>
      </c>
      <c r="L154">
        <v>50</v>
      </c>
      <c r="M154">
        <v>50</v>
      </c>
      <c r="N154" t="s">
        <v>32</v>
      </c>
      <c r="O154">
        <v>1</v>
      </c>
      <c r="P154">
        <v>150</v>
      </c>
      <c r="Q154" t="b">
        <v>1</v>
      </c>
      <c r="R154" t="b">
        <v>0</v>
      </c>
      <c r="S154" t="b">
        <v>0</v>
      </c>
      <c r="T154">
        <v>216</v>
      </c>
      <c r="U154">
        <v>0</v>
      </c>
      <c r="V154" t="s">
        <v>33</v>
      </c>
      <c r="W154" t="s">
        <v>33</v>
      </c>
      <c r="X154">
        <v>50</v>
      </c>
      <c r="Y154">
        <v>359</v>
      </c>
      <c r="Z154" t="s">
        <v>34</v>
      </c>
      <c r="AA154">
        <v>359</v>
      </c>
      <c r="AB154" t="s">
        <v>121</v>
      </c>
      <c r="AC154" t="s">
        <v>121</v>
      </c>
      <c r="AD154" t="str">
        <f t="shared" si="2"/>
        <v>Escobedo → Escobedo</v>
      </c>
      <c r="AE154" t="s">
        <v>1357</v>
      </c>
      <c r="AF154" s="4">
        <v>45658</v>
      </c>
      <c r="AG154" t="str">
        <f>YEAR(Table1[[#This Row],[Fecha]])&amp;" - " &amp;UPPER(TEXT(Table1[[#This Row],[Fecha]],"mm-mmm"))</f>
        <v>2025 - 01-ENE</v>
      </c>
      <c r="AH154" s="5">
        <v>0</v>
      </c>
    </row>
    <row r="155" spans="1:34" x14ac:dyDescent="0.25">
      <c r="A155" t="s">
        <v>973</v>
      </c>
      <c r="B155">
        <v>2025</v>
      </c>
      <c r="C155">
        <v>1</v>
      </c>
      <c r="D155" s="1">
        <v>45687</v>
      </c>
      <c r="E155" s="1">
        <v>45687</v>
      </c>
      <c r="F155" s="1">
        <v>45687</v>
      </c>
      <c r="G155" s="1">
        <v>45687</v>
      </c>
      <c r="H155" s="2">
        <v>45687.751246759261</v>
      </c>
      <c r="I155">
        <v>2039</v>
      </c>
      <c r="J155" t="s">
        <v>30</v>
      </c>
      <c r="K155" t="s">
        <v>31</v>
      </c>
      <c r="L155">
        <v>50</v>
      </c>
      <c r="M155">
        <v>50</v>
      </c>
      <c r="N155" t="s">
        <v>32</v>
      </c>
      <c r="O155">
        <v>1</v>
      </c>
      <c r="P155">
        <v>150</v>
      </c>
      <c r="Q155" t="b">
        <v>1</v>
      </c>
      <c r="R155" t="b">
        <v>0</v>
      </c>
      <c r="S155" t="b">
        <v>0</v>
      </c>
      <c r="T155">
        <v>216</v>
      </c>
      <c r="U155">
        <v>0</v>
      </c>
      <c r="V155" t="s">
        <v>33</v>
      </c>
      <c r="W155" t="s">
        <v>33</v>
      </c>
      <c r="X155">
        <v>50</v>
      </c>
      <c r="Y155">
        <v>359</v>
      </c>
      <c r="Z155" t="s">
        <v>34</v>
      </c>
      <c r="AA155">
        <v>359</v>
      </c>
      <c r="AB155" t="s">
        <v>121</v>
      </c>
      <c r="AC155" t="s">
        <v>121</v>
      </c>
      <c r="AD155" t="str">
        <f t="shared" si="2"/>
        <v>Escobedo → Escobedo</v>
      </c>
      <c r="AE155" t="s">
        <v>1357</v>
      </c>
      <c r="AF155" s="4">
        <v>45658</v>
      </c>
      <c r="AG155" t="str">
        <f>YEAR(Table1[[#This Row],[Fecha]])&amp;" - " &amp;UPPER(TEXT(Table1[[#This Row],[Fecha]],"mm-mmm"))</f>
        <v>2025 - 01-ENE</v>
      </c>
      <c r="AH155" s="5">
        <v>0</v>
      </c>
    </row>
    <row r="156" spans="1:34" x14ac:dyDescent="0.25">
      <c r="A156" t="s">
        <v>614</v>
      </c>
      <c r="B156">
        <v>2025</v>
      </c>
      <c r="C156">
        <v>1</v>
      </c>
      <c r="D156" s="1">
        <v>45687</v>
      </c>
      <c r="E156" s="1">
        <v>45687</v>
      </c>
      <c r="F156" s="1">
        <v>45687</v>
      </c>
      <c r="G156" s="1">
        <v>45687</v>
      </c>
      <c r="H156" s="2">
        <v>45687.751565393519</v>
      </c>
      <c r="I156">
        <v>2039</v>
      </c>
      <c r="J156" t="s">
        <v>30</v>
      </c>
      <c r="K156" t="s">
        <v>31</v>
      </c>
      <c r="L156">
        <v>50</v>
      </c>
      <c r="M156">
        <v>50</v>
      </c>
      <c r="N156" t="s">
        <v>32</v>
      </c>
      <c r="O156">
        <v>1</v>
      </c>
      <c r="P156">
        <v>150</v>
      </c>
      <c r="Q156" t="b">
        <v>1</v>
      </c>
      <c r="R156" t="b">
        <v>0</v>
      </c>
      <c r="S156" t="b">
        <v>0</v>
      </c>
      <c r="T156">
        <v>216</v>
      </c>
      <c r="U156">
        <v>0</v>
      </c>
      <c r="V156" t="s">
        <v>33</v>
      </c>
      <c r="W156" t="s">
        <v>33</v>
      </c>
      <c r="X156">
        <v>50</v>
      </c>
      <c r="Y156">
        <v>2936</v>
      </c>
      <c r="Z156" t="s">
        <v>34</v>
      </c>
      <c r="AA156">
        <v>2936</v>
      </c>
      <c r="AB156" t="s">
        <v>121</v>
      </c>
      <c r="AC156" t="s">
        <v>432</v>
      </c>
      <c r="AD156" t="str">
        <f t="shared" si="2"/>
        <v>Escobedo → Hidalgo</v>
      </c>
      <c r="AE156" t="s">
        <v>1357</v>
      </c>
      <c r="AF156" s="4">
        <v>45658</v>
      </c>
      <c r="AG156" t="str">
        <f>YEAR(Table1[[#This Row],[Fecha]])&amp;" - " &amp;UPPER(TEXT(Table1[[#This Row],[Fecha]],"mm-mmm"))</f>
        <v>2025 - 01-ENE</v>
      </c>
      <c r="AH156" s="5">
        <v>0</v>
      </c>
    </row>
    <row r="157" spans="1:34" x14ac:dyDescent="0.25">
      <c r="A157" t="s">
        <v>974</v>
      </c>
      <c r="B157">
        <v>2025</v>
      </c>
      <c r="C157">
        <v>1</v>
      </c>
      <c r="D157" s="1">
        <v>45687</v>
      </c>
      <c r="E157" s="1">
        <v>45687</v>
      </c>
      <c r="F157" s="1">
        <v>45687</v>
      </c>
      <c r="G157" s="1">
        <v>45687</v>
      </c>
      <c r="H157" s="2">
        <v>45687.752082326391</v>
      </c>
      <c r="I157">
        <v>2039</v>
      </c>
      <c r="J157" t="s">
        <v>30</v>
      </c>
      <c r="K157" t="s">
        <v>31</v>
      </c>
      <c r="L157">
        <v>50</v>
      </c>
      <c r="M157">
        <v>50</v>
      </c>
      <c r="N157" t="s">
        <v>32</v>
      </c>
      <c r="O157">
        <v>1</v>
      </c>
      <c r="P157">
        <v>150</v>
      </c>
      <c r="Q157" t="b">
        <v>1</v>
      </c>
      <c r="R157" t="b">
        <v>0</v>
      </c>
      <c r="S157" t="b">
        <v>0</v>
      </c>
      <c r="T157">
        <v>216</v>
      </c>
      <c r="U157">
        <v>0</v>
      </c>
      <c r="V157" t="s">
        <v>33</v>
      </c>
      <c r="W157" t="s">
        <v>33</v>
      </c>
      <c r="X157">
        <v>50</v>
      </c>
      <c r="Y157">
        <v>359</v>
      </c>
      <c r="Z157" t="s">
        <v>34</v>
      </c>
      <c r="AA157">
        <v>359</v>
      </c>
      <c r="AB157" t="s">
        <v>121</v>
      </c>
      <c r="AC157" t="s">
        <v>121</v>
      </c>
      <c r="AD157" t="str">
        <f t="shared" si="2"/>
        <v>Escobedo → Escobedo</v>
      </c>
      <c r="AE157" t="s">
        <v>1357</v>
      </c>
      <c r="AF157" s="4">
        <v>45658</v>
      </c>
      <c r="AG157" t="str">
        <f>YEAR(Table1[[#This Row],[Fecha]])&amp;" - " &amp;UPPER(TEXT(Table1[[#This Row],[Fecha]],"mm-mmm"))</f>
        <v>2025 - 01-ENE</v>
      </c>
      <c r="AH157" s="5">
        <v>0</v>
      </c>
    </row>
    <row r="158" spans="1:34" x14ac:dyDescent="0.25">
      <c r="A158" t="s">
        <v>975</v>
      </c>
      <c r="B158">
        <v>2025</v>
      </c>
      <c r="C158">
        <v>1</v>
      </c>
      <c r="D158" s="1">
        <v>45687</v>
      </c>
      <c r="E158" s="1">
        <v>45687</v>
      </c>
      <c r="F158" s="1">
        <v>45687</v>
      </c>
      <c r="G158" s="1">
        <v>45687</v>
      </c>
      <c r="H158" s="2">
        <v>45687.752436608796</v>
      </c>
      <c r="I158">
        <v>2039</v>
      </c>
      <c r="J158" t="s">
        <v>30</v>
      </c>
      <c r="K158" t="s">
        <v>31</v>
      </c>
      <c r="L158">
        <v>50</v>
      </c>
      <c r="M158">
        <v>50</v>
      </c>
      <c r="N158" t="s">
        <v>32</v>
      </c>
      <c r="O158">
        <v>1</v>
      </c>
      <c r="P158">
        <v>150</v>
      </c>
      <c r="Q158" t="b">
        <v>1</v>
      </c>
      <c r="R158" t="b">
        <v>0</v>
      </c>
      <c r="S158" t="b">
        <v>0</v>
      </c>
      <c r="T158">
        <v>216</v>
      </c>
      <c r="U158">
        <v>0</v>
      </c>
      <c r="V158" t="s">
        <v>33</v>
      </c>
      <c r="W158" t="s">
        <v>33</v>
      </c>
      <c r="X158">
        <v>50</v>
      </c>
      <c r="Y158">
        <v>359</v>
      </c>
      <c r="Z158" t="s">
        <v>34</v>
      </c>
      <c r="AA158">
        <v>359</v>
      </c>
      <c r="AB158" t="s">
        <v>121</v>
      </c>
      <c r="AC158" t="s">
        <v>121</v>
      </c>
      <c r="AD158" t="str">
        <f t="shared" si="2"/>
        <v>Escobedo → Escobedo</v>
      </c>
      <c r="AE158" t="s">
        <v>1357</v>
      </c>
      <c r="AF158" s="4">
        <v>45658</v>
      </c>
      <c r="AG158" t="str">
        <f>YEAR(Table1[[#This Row],[Fecha]])&amp;" - " &amp;UPPER(TEXT(Table1[[#This Row],[Fecha]],"mm-mmm"))</f>
        <v>2025 - 01-ENE</v>
      </c>
      <c r="AH158" s="5">
        <v>0</v>
      </c>
    </row>
    <row r="159" spans="1:34" x14ac:dyDescent="0.25">
      <c r="A159" t="s">
        <v>976</v>
      </c>
      <c r="B159">
        <v>2025</v>
      </c>
      <c r="C159">
        <v>1</v>
      </c>
      <c r="D159" s="1">
        <v>45688</v>
      </c>
      <c r="E159" s="1">
        <v>45688</v>
      </c>
      <c r="F159" s="1">
        <v>45688</v>
      </c>
      <c r="G159" s="1">
        <v>45688</v>
      </c>
      <c r="H159" s="2">
        <v>45688.82233318287</v>
      </c>
      <c r="I159">
        <v>2039</v>
      </c>
      <c r="J159" t="s">
        <v>30</v>
      </c>
      <c r="K159" t="s">
        <v>31</v>
      </c>
      <c r="L159">
        <v>50</v>
      </c>
      <c r="M159">
        <v>50</v>
      </c>
      <c r="N159" t="s">
        <v>32</v>
      </c>
      <c r="O159">
        <v>1</v>
      </c>
      <c r="P159">
        <v>150</v>
      </c>
      <c r="Q159" t="b">
        <v>1</v>
      </c>
      <c r="R159" t="b">
        <v>0</v>
      </c>
      <c r="S159" t="b">
        <v>0</v>
      </c>
      <c r="T159">
        <v>216</v>
      </c>
      <c r="U159">
        <v>0</v>
      </c>
      <c r="V159" t="s">
        <v>33</v>
      </c>
      <c r="W159" t="s">
        <v>33</v>
      </c>
      <c r="X159">
        <v>50</v>
      </c>
      <c r="Y159">
        <v>359</v>
      </c>
      <c r="Z159" t="s">
        <v>34</v>
      </c>
      <c r="AA159">
        <v>359</v>
      </c>
      <c r="AB159" t="s">
        <v>121</v>
      </c>
      <c r="AC159" t="s">
        <v>121</v>
      </c>
      <c r="AD159" t="str">
        <f t="shared" si="2"/>
        <v>Escobedo → Escobedo</v>
      </c>
      <c r="AE159" t="s">
        <v>1357</v>
      </c>
      <c r="AF159" s="4">
        <v>45658</v>
      </c>
      <c r="AG159" t="str">
        <f>YEAR(Table1[[#This Row],[Fecha]])&amp;" - " &amp;UPPER(TEXT(Table1[[#This Row],[Fecha]],"mm-mmm"))</f>
        <v>2025 - 01-ENE</v>
      </c>
      <c r="AH159" s="5">
        <v>0</v>
      </c>
    </row>
    <row r="160" spans="1:34" x14ac:dyDescent="0.25">
      <c r="A160" t="s">
        <v>977</v>
      </c>
      <c r="B160">
        <v>2025</v>
      </c>
      <c r="C160">
        <v>1</v>
      </c>
      <c r="D160" s="1">
        <v>45688</v>
      </c>
      <c r="E160" s="1">
        <v>45688</v>
      </c>
      <c r="F160" s="1">
        <v>45688</v>
      </c>
      <c r="G160" s="1">
        <v>45688</v>
      </c>
      <c r="H160" s="2">
        <v>45688.822969594905</v>
      </c>
      <c r="I160">
        <v>2039</v>
      </c>
      <c r="J160" t="s">
        <v>30</v>
      </c>
      <c r="K160" t="s">
        <v>31</v>
      </c>
      <c r="L160">
        <v>50</v>
      </c>
      <c r="M160">
        <v>50</v>
      </c>
      <c r="N160" t="s">
        <v>32</v>
      </c>
      <c r="O160">
        <v>1</v>
      </c>
      <c r="P160">
        <v>150</v>
      </c>
      <c r="Q160" t="b">
        <v>1</v>
      </c>
      <c r="R160" t="b">
        <v>0</v>
      </c>
      <c r="S160" t="b">
        <v>0</v>
      </c>
      <c r="T160">
        <v>216</v>
      </c>
      <c r="U160">
        <v>0</v>
      </c>
      <c r="V160" t="s">
        <v>33</v>
      </c>
      <c r="W160" t="s">
        <v>33</v>
      </c>
      <c r="X160">
        <v>50</v>
      </c>
      <c r="Y160">
        <v>359</v>
      </c>
      <c r="Z160" t="s">
        <v>34</v>
      </c>
      <c r="AA160">
        <v>359</v>
      </c>
      <c r="AB160" t="s">
        <v>121</v>
      </c>
      <c r="AC160" t="s">
        <v>121</v>
      </c>
      <c r="AD160" t="str">
        <f t="shared" si="2"/>
        <v>Escobedo → Escobedo</v>
      </c>
      <c r="AE160" t="s">
        <v>1357</v>
      </c>
      <c r="AF160" s="4">
        <v>45658</v>
      </c>
      <c r="AG160" t="str">
        <f>YEAR(Table1[[#This Row],[Fecha]])&amp;" - " &amp;UPPER(TEXT(Table1[[#This Row],[Fecha]],"mm-mmm"))</f>
        <v>2025 - 01-ENE</v>
      </c>
      <c r="AH160" s="5">
        <v>0</v>
      </c>
    </row>
    <row r="161" spans="1:34" x14ac:dyDescent="0.25">
      <c r="A161" t="s">
        <v>978</v>
      </c>
      <c r="B161">
        <v>2025</v>
      </c>
      <c r="C161">
        <v>1</v>
      </c>
      <c r="D161" s="1">
        <v>45688</v>
      </c>
      <c r="E161" s="1">
        <v>45688</v>
      </c>
      <c r="F161" s="1">
        <v>45688</v>
      </c>
      <c r="G161" s="1">
        <v>45688</v>
      </c>
      <c r="H161" s="2">
        <v>45688.823529664354</v>
      </c>
      <c r="I161">
        <v>2039</v>
      </c>
      <c r="J161" t="s">
        <v>30</v>
      </c>
      <c r="K161" t="s">
        <v>31</v>
      </c>
      <c r="L161">
        <v>50</v>
      </c>
      <c r="M161">
        <v>50</v>
      </c>
      <c r="N161" t="s">
        <v>32</v>
      </c>
      <c r="O161">
        <v>1</v>
      </c>
      <c r="P161">
        <v>150</v>
      </c>
      <c r="Q161" t="b">
        <v>1</v>
      </c>
      <c r="R161" t="b">
        <v>0</v>
      </c>
      <c r="S161" t="b">
        <v>0</v>
      </c>
      <c r="T161">
        <v>216</v>
      </c>
      <c r="U161">
        <v>0</v>
      </c>
      <c r="V161" t="s">
        <v>33</v>
      </c>
      <c r="W161" t="s">
        <v>33</v>
      </c>
      <c r="X161">
        <v>50</v>
      </c>
      <c r="Y161">
        <v>359</v>
      </c>
      <c r="Z161" t="s">
        <v>34</v>
      </c>
      <c r="AA161">
        <v>359</v>
      </c>
      <c r="AB161" t="s">
        <v>121</v>
      </c>
      <c r="AC161" t="s">
        <v>121</v>
      </c>
      <c r="AD161" t="str">
        <f t="shared" si="2"/>
        <v>Escobedo → Escobedo</v>
      </c>
      <c r="AE161" t="s">
        <v>1357</v>
      </c>
      <c r="AF161" s="4">
        <v>45658</v>
      </c>
      <c r="AG161" t="str">
        <f>YEAR(Table1[[#This Row],[Fecha]])&amp;" - " &amp;UPPER(TEXT(Table1[[#This Row],[Fecha]],"mm-mmm"))</f>
        <v>2025 - 01-ENE</v>
      </c>
      <c r="AH161" s="5">
        <v>0</v>
      </c>
    </row>
    <row r="162" spans="1:34" x14ac:dyDescent="0.25">
      <c r="A162" t="s">
        <v>979</v>
      </c>
      <c r="B162">
        <v>2025</v>
      </c>
      <c r="C162">
        <v>1</v>
      </c>
      <c r="D162" s="1">
        <v>45688</v>
      </c>
      <c r="E162" s="1">
        <v>45688</v>
      </c>
      <c r="F162" s="1">
        <v>45688</v>
      </c>
      <c r="G162" s="1">
        <v>45688</v>
      </c>
      <c r="H162" s="2">
        <v>45688.824174618057</v>
      </c>
      <c r="I162">
        <v>2039</v>
      </c>
      <c r="J162" t="s">
        <v>30</v>
      </c>
      <c r="K162" t="s">
        <v>31</v>
      </c>
      <c r="L162">
        <v>50</v>
      </c>
      <c r="M162">
        <v>50</v>
      </c>
      <c r="N162" t="s">
        <v>32</v>
      </c>
      <c r="O162">
        <v>1</v>
      </c>
      <c r="P162">
        <v>150</v>
      </c>
      <c r="Q162" t="b">
        <v>1</v>
      </c>
      <c r="R162" t="b">
        <v>0</v>
      </c>
      <c r="S162" t="b">
        <v>0</v>
      </c>
      <c r="T162">
        <v>216</v>
      </c>
      <c r="U162">
        <v>0</v>
      </c>
      <c r="V162" t="s">
        <v>33</v>
      </c>
      <c r="W162" t="s">
        <v>33</v>
      </c>
      <c r="X162">
        <v>50</v>
      </c>
      <c r="Y162">
        <v>359</v>
      </c>
      <c r="Z162" t="s">
        <v>34</v>
      </c>
      <c r="AA162">
        <v>359</v>
      </c>
      <c r="AB162" t="s">
        <v>121</v>
      </c>
      <c r="AC162" t="s">
        <v>121</v>
      </c>
      <c r="AD162" t="str">
        <f t="shared" si="2"/>
        <v>Escobedo → Escobedo</v>
      </c>
      <c r="AE162" t="s">
        <v>1357</v>
      </c>
      <c r="AF162" s="4">
        <v>45658</v>
      </c>
      <c r="AG162" t="str">
        <f>YEAR(Table1[[#This Row],[Fecha]])&amp;" - " &amp;UPPER(TEXT(Table1[[#This Row],[Fecha]],"mm-mmm"))</f>
        <v>2025 - 01-ENE</v>
      </c>
      <c r="AH162" s="5">
        <v>0</v>
      </c>
    </row>
    <row r="163" spans="1:34" x14ac:dyDescent="0.25">
      <c r="A163" t="s">
        <v>980</v>
      </c>
      <c r="B163">
        <v>2025</v>
      </c>
      <c r="C163">
        <v>1</v>
      </c>
      <c r="D163" s="1">
        <v>45688</v>
      </c>
      <c r="E163" s="1">
        <v>45688</v>
      </c>
      <c r="F163" s="1">
        <v>45688</v>
      </c>
      <c r="G163" s="1">
        <v>45688</v>
      </c>
      <c r="H163" s="2">
        <v>45688.824622800923</v>
      </c>
      <c r="I163">
        <v>2039</v>
      </c>
      <c r="J163" t="s">
        <v>30</v>
      </c>
      <c r="K163" t="s">
        <v>31</v>
      </c>
      <c r="L163">
        <v>50</v>
      </c>
      <c r="M163">
        <v>50</v>
      </c>
      <c r="N163" t="s">
        <v>32</v>
      </c>
      <c r="O163">
        <v>1</v>
      </c>
      <c r="P163">
        <v>150</v>
      </c>
      <c r="Q163" t="b">
        <v>1</v>
      </c>
      <c r="R163" t="b">
        <v>0</v>
      </c>
      <c r="S163" t="b">
        <v>0</v>
      </c>
      <c r="T163">
        <v>216</v>
      </c>
      <c r="U163">
        <v>0</v>
      </c>
      <c r="V163" t="s">
        <v>33</v>
      </c>
      <c r="W163" t="s">
        <v>33</v>
      </c>
      <c r="X163">
        <v>50</v>
      </c>
      <c r="Y163">
        <v>359</v>
      </c>
      <c r="Z163" t="s">
        <v>34</v>
      </c>
      <c r="AA163">
        <v>359</v>
      </c>
      <c r="AB163" t="s">
        <v>121</v>
      </c>
      <c r="AC163" t="s">
        <v>121</v>
      </c>
      <c r="AD163" t="str">
        <f t="shared" si="2"/>
        <v>Escobedo → Escobedo</v>
      </c>
      <c r="AE163" t="s">
        <v>1357</v>
      </c>
      <c r="AF163" s="4">
        <v>45658</v>
      </c>
      <c r="AG163" t="str">
        <f>YEAR(Table1[[#This Row],[Fecha]])&amp;" - " &amp;UPPER(TEXT(Table1[[#This Row],[Fecha]],"mm-mmm"))</f>
        <v>2025 - 01-ENE</v>
      </c>
      <c r="AH163" s="5">
        <v>0</v>
      </c>
    </row>
    <row r="164" spans="1:34" x14ac:dyDescent="0.25">
      <c r="A164" t="s">
        <v>223</v>
      </c>
      <c r="B164">
        <v>2025</v>
      </c>
      <c r="C164">
        <v>1</v>
      </c>
      <c r="D164" s="1">
        <v>45663</v>
      </c>
      <c r="E164" s="1">
        <v>45663</v>
      </c>
      <c r="F164" s="1">
        <v>45663</v>
      </c>
      <c r="G164" s="1">
        <v>45663</v>
      </c>
      <c r="H164" s="1">
        <v>45665</v>
      </c>
      <c r="I164">
        <v>2024</v>
      </c>
      <c r="J164" t="s">
        <v>41</v>
      </c>
      <c r="K164" t="s">
        <v>42</v>
      </c>
      <c r="L164">
        <v>701</v>
      </c>
      <c r="M164">
        <v>717</v>
      </c>
      <c r="N164" t="s">
        <v>115</v>
      </c>
      <c r="O164">
        <v>1</v>
      </c>
      <c r="P164">
        <v>703</v>
      </c>
      <c r="Q164" t="b">
        <v>1</v>
      </c>
      <c r="R164" t="b">
        <v>0</v>
      </c>
      <c r="S164" t="b">
        <v>0</v>
      </c>
      <c r="T164">
        <v>1023</v>
      </c>
      <c r="U164">
        <v>0</v>
      </c>
      <c r="V164" t="s">
        <v>33</v>
      </c>
      <c r="W164" t="s">
        <v>224</v>
      </c>
      <c r="X164">
        <v>800</v>
      </c>
      <c r="Y164">
        <v>4599</v>
      </c>
      <c r="Z164" t="s">
        <v>123</v>
      </c>
      <c r="AA164">
        <v>4599</v>
      </c>
      <c r="AB164" t="s">
        <v>121</v>
      </c>
      <c r="AC164" t="s">
        <v>225</v>
      </c>
      <c r="AD164" t="str">
        <f t="shared" si="2"/>
        <v>Escobedo → Queretaro</v>
      </c>
      <c r="AE164" t="s">
        <v>1359</v>
      </c>
      <c r="AF164" s="4">
        <v>45658</v>
      </c>
      <c r="AG164" t="str">
        <f>YEAR(Table1[[#This Row],[Fecha]])&amp;" - " &amp;UPPER(TEXT(Table1[[#This Row],[Fecha]],"mm-mmm"))</f>
        <v>2025 - 01-ENE</v>
      </c>
      <c r="AH164" s="5">
        <v>0</v>
      </c>
    </row>
    <row r="165" spans="1:34" x14ac:dyDescent="0.25">
      <c r="A165" t="s">
        <v>338</v>
      </c>
      <c r="B165">
        <v>2025</v>
      </c>
      <c r="C165">
        <v>1</v>
      </c>
      <c r="D165" s="1">
        <v>45663</v>
      </c>
      <c r="E165" s="1">
        <v>45663</v>
      </c>
      <c r="F165" s="1">
        <v>45664</v>
      </c>
      <c r="G165" s="1">
        <v>45663</v>
      </c>
      <c r="H165" s="1">
        <v>45666</v>
      </c>
      <c r="I165">
        <v>2050</v>
      </c>
      <c r="J165" t="s">
        <v>30</v>
      </c>
      <c r="K165" t="s">
        <v>31</v>
      </c>
      <c r="L165">
        <v>961</v>
      </c>
      <c r="M165">
        <v>1059</v>
      </c>
      <c r="N165" t="s">
        <v>55</v>
      </c>
      <c r="O165">
        <v>1</v>
      </c>
      <c r="P165">
        <v>964</v>
      </c>
      <c r="Q165" t="b">
        <v>1</v>
      </c>
      <c r="R165" t="b">
        <v>0</v>
      </c>
      <c r="S165" t="b">
        <v>0</v>
      </c>
      <c r="T165">
        <v>1396</v>
      </c>
      <c r="U165">
        <v>0</v>
      </c>
      <c r="V165" t="s">
        <v>33</v>
      </c>
      <c r="W165" t="s">
        <v>33</v>
      </c>
      <c r="X165">
        <v>1100</v>
      </c>
      <c r="Y165">
        <v>8</v>
      </c>
      <c r="Z165" t="s">
        <v>256</v>
      </c>
      <c r="AA165">
        <v>8</v>
      </c>
      <c r="AB165" t="s">
        <v>121</v>
      </c>
      <c r="AC165" t="s">
        <v>56</v>
      </c>
      <c r="AD165" t="str">
        <f t="shared" si="2"/>
        <v>Escobedo → Cd Sahagún</v>
      </c>
      <c r="AE165" t="s">
        <v>1357</v>
      </c>
      <c r="AF165" s="4">
        <v>45658</v>
      </c>
      <c r="AG165" t="str">
        <f>YEAR(Table1[[#This Row],[Fecha]])&amp;" - " &amp;UPPER(TEXT(Table1[[#This Row],[Fecha]],"mm-mmm"))</f>
        <v>2025 - 01-ENE</v>
      </c>
      <c r="AH165" s="5">
        <v>0</v>
      </c>
    </row>
    <row r="166" spans="1:34" x14ac:dyDescent="0.25">
      <c r="A166" t="s">
        <v>339</v>
      </c>
      <c r="B166">
        <v>2025</v>
      </c>
      <c r="C166">
        <v>1</v>
      </c>
      <c r="D166" s="1">
        <v>45660</v>
      </c>
      <c r="E166" s="1">
        <v>45660</v>
      </c>
      <c r="F166" s="1">
        <v>45663</v>
      </c>
      <c r="G166" s="1">
        <v>45662</v>
      </c>
      <c r="H166" s="1">
        <v>45663</v>
      </c>
      <c r="I166">
        <v>2024</v>
      </c>
      <c r="J166" t="s">
        <v>41</v>
      </c>
      <c r="K166" t="s">
        <v>42</v>
      </c>
      <c r="L166">
        <v>961</v>
      </c>
      <c r="M166">
        <v>0</v>
      </c>
      <c r="N166" t="s">
        <v>115</v>
      </c>
      <c r="O166">
        <v>1</v>
      </c>
      <c r="P166">
        <v>964</v>
      </c>
      <c r="Q166" t="b">
        <v>1</v>
      </c>
      <c r="R166" t="b">
        <v>0</v>
      </c>
      <c r="S166" t="b">
        <v>0</v>
      </c>
      <c r="T166">
        <v>0</v>
      </c>
      <c r="U166">
        <v>0</v>
      </c>
      <c r="V166" t="s">
        <v>33</v>
      </c>
      <c r="W166" t="s">
        <v>33</v>
      </c>
      <c r="X166">
        <v>0</v>
      </c>
      <c r="Y166">
        <v>8</v>
      </c>
      <c r="Z166" t="s">
        <v>38</v>
      </c>
      <c r="AA166">
        <v>8</v>
      </c>
      <c r="AB166" t="s">
        <v>121</v>
      </c>
      <c r="AC166" t="s">
        <v>56</v>
      </c>
      <c r="AD166" t="str">
        <f t="shared" si="2"/>
        <v>Escobedo → Cd Sahagún</v>
      </c>
      <c r="AE166" t="s">
        <v>1359</v>
      </c>
      <c r="AF166" s="4">
        <v>45658</v>
      </c>
      <c r="AG166" t="str">
        <f>YEAR(Table1[[#This Row],[Fecha]])&amp;" - " &amp;UPPER(TEXT(Table1[[#This Row],[Fecha]],"mm-mmm"))</f>
        <v>2025 - 01-ENE</v>
      </c>
      <c r="AH166" s="5">
        <v>0</v>
      </c>
    </row>
    <row r="167" spans="1:34" x14ac:dyDescent="0.25">
      <c r="A167" t="s">
        <v>340</v>
      </c>
      <c r="B167">
        <v>2025</v>
      </c>
      <c r="C167">
        <v>1</v>
      </c>
      <c r="D167" s="1">
        <v>45675</v>
      </c>
      <c r="E167" s="1">
        <v>45675</v>
      </c>
      <c r="F167" s="1">
        <v>45677</v>
      </c>
      <c r="G167" s="1">
        <v>45676</v>
      </c>
      <c r="H167" s="1">
        <v>45677</v>
      </c>
      <c r="I167">
        <v>2050</v>
      </c>
      <c r="J167" t="s">
        <v>54</v>
      </c>
      <c r="K167" t="s">
        <v>31</v>
      </c>
      <c r="L167">
        <v>961</v>
      </c>
      <c r="M167">
        <v>0</v>
      </c>
      <c r="N167" t="s">
        <v>55</v>
      </c>
      <c r="O167">
        <v>1</v>
      </c>
      <c r="P167">
        <v>964</v>
      </c>
      <c r="Q167" t="b">
        <v>1</v>
      </c>
      <c r="R167" t="b">
        <v>0</v>
      </c>
      <c r="S167" t="b">
        <v>0</v>
      </c>
      <c r="T167">
        <v>0</v>
      </c>
      <c r="U167">
        <v>0</v>
      </c>
      <c r="V167" t="s">
        <v>33</v>
      </c>
      <c r="W167" t="s">
        <v>341</v>
      </c>
      <c r="X167">
        <v>0</v>
      </c>
      <c r="Y167">
        <v>8</v>
      </c>
      <c r="Z167" t="s">
        <v>112</v>
      </c>
      <c r="AA167">
        <v>8</v>
      </c>
      <c r="AB167" t="s">
        <v>121</v>
      </c>
      <c r="AC167" t="s">
        <v>56</v>
      </c>
      <c r="AD167" t="str">
        <f t="shared" si="2"/>
        <v>Escobedo → Cd Sahagún</v>
      </c>
      <c r="AE167" t="s">
        <v>1358</v>
      </c>
      <c r="AF167" s="4">
        <v>45658</v>
      </c>
      <c r="AG167" t="str">
        <f>YEAR(Table1[[#This Row],[Fecha]])&amp;" - " &amp;UPPER(TEXT(Table1[[#This Row],[Fecha]],"mm-mmm"))</f>
        <v>2025 - 01-ENE</v>
      </c>
      <c r="AH167" s="5">
        <v>0</v>
      </c>
    </row>
    <row r="168" spans="1:34" x14ac:dyDescent="0.25">
      <c r="A168" t="s">
        <v>342</v>
      </c>
      <c r="B168">
        <v>2025</v>
      </c>
      <c r="C168">
        <v>1</v>
      </c>
      <c r="D168" s="1">
        <v>45675</v>
      </c>
      <c r="E168" s="1">
        <v>45675</v>
      </c>
      <c r="F168" s="1">
        <v>45677</v>
      </c>
      <c r="G168" s="1">
        <v>45676</v>
      </c>
      <c r="H168" s="1">
        <v>45677</v>
      </c>
      <c r="I168">
        <v>2024</v>
      </c>
      <c r="J168" t="s">
        <v>41</v>
      </c>
      <c r="K168" t="s">
        <v>42</v>
      </c>
      <c r="L168">
        <v>961</v>
      </c>
      <c r="M168">
        <v>961</v>
      </c>
      <c r="N168" t="s">
        <v>59</v>
      </c>
      <c r="O168">
        <v>1</v>
      </c>
      <c r="P168">
        <v>964</v>
      </c>
      <c r="Q168" t="b">
        <v>1</v>
      </c>
      <c r="R168" t="b">
        <v>0</v>
      </c>
      <c r="S168" t="b">
        <v>0</v>
      </c>
      <c r="T168">
        <v>1259</v>
      </c>
      <c r="U168">
        <v>0</v>
      </c>
      <c r="V168" t="s">
        <v>33</v>
      </c>
      <c r="W168" t="s">
        <v>343</v>
      </c>
      <c r="X168">
        <v>1000</v>
      </c>
      <c r="Y168">
        <v>8</v>
      </c>
      <c r="Z168" t="s">
        <v>112</v>
      </c>
      <c r="AA168">
        <v>8</v>
      </c>
      <c r="AB168" t="s">
        <v>121</v>
      </c>
      <c r="AC168" t="s">
        <v>56</v>
      </c>
      <c r="AD168" t="str">
        <f t="shared" si="2"/>
        <v>Escobedo → Cd Sahagún</v>
      </c>
      <c r="AE168" t="s">
        <v>1359</v>
      </c>
      <c r="AF168" s="4">
        <v>45658</v>
      </c>
      <c r="AG168" t="str">
        <f>YEAR(Table1[[#This Row],[Fecha]])&amp;" - " &amp;UPPER(TEXT(Table1[[#This Row],[Fecha]],"mm-mmm"))</f>
        <v>2025 - 01-ENE</v>
      </c>
      <c r="AH168" s="5">
        <v>0</v>
      </c>
    </row>
    <row r="169" spans="1:34" x14ac:dyDescent="0.25">
      <c r="A169" t="s">
        <v>344</v>
      </c>
      <c r="B169">
        <v>2025</v>
      </c>
      <c r="C169">
        <v>1</v>
      </c>
      <c r="D169" s="1">
        <v>45622</v>
      </c>
      <c r="E169" s="1">
        <v>45660</v>
      </c>
      <c r="F169" s="1">
        <v>45661</v>
      </c>
      <c r="G169" s="1">
        <v>45660</v>
      </c>
      <c r="H169" s="1">
        <v>45661</v>
      </c>
      <c r="I169">
        <v>2181</v>
      </c>
      <c r="J169" t="s">
        <v>30</v>
      </c>
      <c r="K169" t="s">
        <v>31</v>
      </c>
      <c r="L169">
        <v>961</v>
      </c>
      <c r="M169">
        <v>0</v>
      </c>
      <c r="N169" t="s">
        <v>46</v>
      </c>
      <c r="O169">
        <v>1</v>
      </c>
      <c r="P169">
        <v>964</v>
      </c>
      <c r="Q169" t="b">
        <v>1</v>
      </c>
      <c r="R169" t="b">
        <v>0</v>
      </c>
      <c r="S169" t="b">
        <v>0</v>
      </c>
      <c r="T169">
        <v>0</v>
      </c>
      <c r="U169">
        <v>0</v>
      </c>
      <c r="V169" t="s">
        <v>33</v>
      </c>
      <c r="W169" t="s">
        <v>345</v>
      </c>
      <c r="X169">
        <v>0</v>
      </c>
      <c r="Y169">
        <v>8</v>
      </c>
      <c r="Z169" t="s">
        <v>78</v>
      </c>
      <c r="AA169">
        <v>8</v>
      </c>
      <c r="AB169" t="s">
        <v>121</v>
      </c>
      <c r="AC169" t="s">
        <v>56</v>
      </c>
      <c r="AD169" t="str">
        <f t="shared" si="2"/>
        <v>Escobedo → Cd Sahagún</v>
      </c>
      <c r="AE169" t="s">
        <v>1357</v>
      </c>
      <c r="AF169" s="4">
        <v>45658</v>
      </c>
      <c r="AG169" t="str">
        <f>YEAR(Table1[[#This Row],[Fecha]])&amp;" - " &amp;UPPER(TEXT(Table1[[#This Row],[Fecha]],"mm-mmm"))</f>
        <v>2025 - 01-ENE</v>
      </c>
      <c r="AH169" s="5">
        <v>0</v>
      </c>
    </row>
    <row r="170" spans="1:34" x14ac:dyDescent="0.25">
      <c r="A170" t="s">
        <v>346</v>
      </c>
      <c r="B170">
        <v>2025</v>
      </c>
      <c r="C170">
        <v>1</v>
      </c>
      <c r="D170" s="1">
        <v>45570</v>
      </c>
      <c r="E170" s="1">
        <v>45679</v>
      </c>
      <c r="F170" s="1">
        <v>45680</v>
      </c>
      <c r="G170" s="1">
        <v>45679</v>
      </c>
      <c r="H170" s="1">
        <v>45680</v>
      </c>
      <c r="I170">
        <v>2050</v>
      </c>
      <c r="J170" t="s">
        <v>54</v>
      </c>
      <c r="K170" t="s">
        <v>31</v>
      </c>
      <c r="L170">
        <v>961</v>
      </c>
      <c r="M170">
        <v>0</v>
      </c>
      <c r="N170" t="s">
        <v>55</v>
      </c>
      <c r="O170">
        <v>1</v>
      </c>
      <c r="P170">
        <v>964</v>
      </c>
      <c r="Q170" t="b">
        <v>1</v>
      </c>
      <c r="R170" t="b">
        <v>0</v>
      </c>
      <c r="S170" t="b">
        <v>0</v>
      </c>
      <c r="T170">
        <v>0</v>
      </c>
      <c r="U170">
        <v>0</v>
      </c>
      <c r="V170" t="s">
        <v>33</v>
      </c>
      <c r="W170" t="s">
        <v>347</v>
      </c>
      <c r="X170">
        <v>0</v>
      </c>
      <c r="Y170">
        <v>8</v>
      </c>
      <c r="Z170" t="s">
        <v>78</v>
      </c>
      <c r="AA170">
        <v>8</v>
      </c>
      <c r="AB170" t="s">
        <v>121</v>
      </c>
      <c r="AC170" t="s">
        <v>56</v>
      </c>
      <c r="AD170" t="str">
        <f t="shared" si="2"/>
        <v>Escobedo → Cd Sahagún</v>
      </c>
      <c r="AE170" t="s">
        <v>1358</v>
      </c>
      <c r="AF170" s="4">
        <v>45658</v>
      </c>
      <c r="AG170" t="str">
        <f>YEAR(Table1[[#This Row],[Fecha]])&amp;" - " &amp;UPPER(TEXT(Table1[[#This Row],[Fecha]],"mm-mmm"))</f>
        <v>2025 - 01-ENE</v>
      </c>
      <c r="AH170" s="5">
        <v>0</v>
      </c>
    </row>
    <row r="171" spans="1:34" x14ac:dyDescent="0.25">
      <c r="A171" t="s">
        <v>136</v>
      </c>
      <c r="B171">
        <v>2025</v>
      </c>
      <c r="C171">
        <v>1</v>
      </c>
      <c r="D171" s="1">
        <v>45679</v>
      </c>
      <c r="E171" s="1">
        <v>45679</v>
      </c>
      <c r="F171" s="1">
        <v>45680</v>
      </c>
      <c r="G171" s="1">
        <v>45680</v>
      </c>
      <c r="H171" s="1">
        <v>45680</v>
      </c>
      <c r="I171">
        <v>2077</v>
      </c>
      <c r="J171" t="s">
        <v>41</v>
      </c>
      <c r="K171" t="s">
        <v>42</v>
      </c>
      <c r="L171">
        <v>64</v>
      </c>
      <c r="M171">
        <v>64</v>
      </c>
      <c r="N171" t="s">
        <v>137</v>
      </c>
      <c r="O171">
        <v>1</v>
      </c>
      <c r="P171">
        <v>100</v>
      </c>
      <c r="Q171" t="b">
        <v>1</v>
      </c>
      <c r="R171" t="b">
        <v>0</v>
      </c>
      <c r="S171" t="b">
        <v>0</v>
      </c>
      <c r="T171">
        <v>333</v>
      </c>
      <c r="U171">
        <v>0</v>
      </c>
      <c r="V171" t="s">
        <v>33</v>
      </c>
      <c r="W171" t="s">
        <v>138</v>
      </c>
      <c r="X171">
        <v>100</v>
      </c>
      <c r="Y171">
        <v>3</v>
      </c>
      <c r="Z171" t="s">
        <v>78</v>
      </c>
      <c r="AA171">
        <v>3</v>
      </c>
      <c r="AB171" t="s">
        <v>60</v>
      </c>
      <c r="AC171" t="s">
        <v>56</v>
      </c>
      <c r="AD171" t="str">
        <f t="shared" si="2"/>
        <v>Culiacan → Cd Sahagún</v>
      </c>
      <c r="AE171" t="s">
        <v>1359</v>
      </c>
      <c r="AF171" s="4">
        <v>45658</v>
      </c>
      <c r="AG171" t="str">
        <f>YEAR(Table1[[#This Row],[Fecha]])&amp;" - " &amp;UPPER(TEXT(Table1[[#This Row],[Fecha]],"mm-mmm"))</f>
        <v>2025 - 01-ENE</v>
      </c>
      <c r="AH171" s="5">
        <v>0</v>
      </c>
    </row>
    <row r="172" spans="1:34" x14ac:dyDescent="0.25">
      <c r="A172" t="s">
        <v>76</v>
      </c>
      <c r="B172">
        <v>2025</v>
      </c>
      <c r="C172">
        <v>1</v>
      </c>
      <c r="D172" s="1">
        <v>45681</v>
      </c>
      <c r="E172" s="1">
        <v>45681</v>
      </c>
      <c r="F172" s="1">
        <v>45681</v>
      </c>
      <c r="G172" s="1">
        <v>45681</v>
      </c>
      <c r="H172" s="1">
        <v>45681</v>
      </c>
      <c r="I172">
        <v>1753</v>
      </c>
      <c r="J172" t="s">
        <v>41</v>
      </c>
      <c r="K172" t="s">
        <v>42</v>
      </c>
      <c r="L172">
        <v>64</v>
      </c>
      <c r="M172">
        <v>64</v>
      </c>
      <c r="N172" t="s">
        <v>77</v>
      </c>
      <c r="O172">
        <v>1</v>
      </c>
      <c r="P172">
        <v>100</v>
      </c>
      <c r="Q172" t="b">
        <v>1</v>
      </c>
      <c r="R172" t="b">
        <v>0</v>
      </c>
      <c r="S172" t="b">
        <v>0</v>
      </c>
      <c r="T172">
        <v>333</v>
      </c>
      <c r="U172">
        <v>0</v>
      </c>
      <c r="V172" t="s">
        <v>33</v>
      </c>
      <c r="W172" t="s">
        <v>33</v>
      </c>
      <c r="X172">
        <v>100</v>
      </c>
      <c r="Y172">
        <v>145</v>
      </c>
      <c r="Z172" t="s">
        <v>78</v>
      </c>
      <c r="AA172">
        <v>145</v>
      </c>
      <c r="AB172" t="s">
        <v>56</v>
      </c>
      <c r="AC172" t="s">
        <v>79</v>
      </c>
      <c r="AD172" t="str">
        <f t="shared" si="2"/>
        <v>Cd Sahagún → Texcoco</v>
      </c>
      <c r="AE172" t="s">
        <v>1359</v>
      </c>
      <c r="AF172" s="4">
        <v>45658</v>
      </c>
      <c r="AG172" t="str">
        <f>YEAR(Table1[[#This Row],[Fecha]])&amp;" - " &amp;UPPER(TEXT(Table1[[#This Row],[Fecha]],"mm-mmm"))</f>
        <v>2025 - 01-ENE</v>
      </c>
      <c r="AH172" s="5">
        <v>0</v>
      </c>
    </row>
    <row r="173" spans="1:34" x14ac:dyDescent="0.25">
      <c r="A173" t="s">
        <v>160</v>
      </c>
      <c r="B173">
        <v>2025</v>
      </c>
      <c r="C173">
        <v>1</v>
      </c>
      <c r="D173" s="1">
        <v>45682</v>
      </c>
      <c r="E173" s="1">
        <v>45682</v>
      </c>
      <c r="F173" s="1">
        <v>45684</v>
      </c>
      <c r="G173" s="1">
        <v>45684</v>
      </c>
      <c r="H173" s="1">
        <v>45684</v>
      </c>
      <c r="I173">
        <v>383</v>
      </c>
      <c r="J173" t="s">
        <v>41</v>
      </c>
      <c r="K173" t="s">
        <v>42</v>
      </c>
      <c r="L173">
        <v>49</v>
      </c>
      <c r="M173">
        <v>49</v>
      </c>
      <c r="N173" t="s">
        <v>161</v>
      </c>
      <c r="O173">
        <v>1</v>
      </c>
      <c r="P173">
        <v>150</v>
      </c>
      <c r="Q173" t="b">
        <v>1</v>
      </c>
      <c r="R173" t="b">
        <v>0</v>
      </c>
      <c r="S173" t="b">
        <v>0</v>
      </c>
      <c r="T173">
        <v>216</v>
      </c>
      <c r="U173">
        <v>0</v>
      </c>
      <c r="V173" t="s">
        <v>33</v>
      </c>
      <c r="W173" t="s">
        <v>162</v>
      </c>
      <c r="X173">
        <v>50</v>
      </c>
      <c r="Y173">
        <v>694</v>
      </c>
      <c r="Z173" t="s">
        <v>78</v>
      </c>
      <c r="AA173">
        <v>694</v>
      </c>
      <c r="AB173" t="s">
        <v>154</v>
      </c>
      <c r="AC173" t="s">
        <v>56</v>
      </c>
      <c r="AD173" t="str">
        <f t="shared" si="2"/>
        <v>Pachuca → Cd Sahagún</v>
      </c>
      <c r="AE173" t="s">
        <v>1359</v>
      </c>
      <c r="AF173" s="4">
        <v>45658</v>
      </c>
      <c r="AG173" t="str">
        <f>YEAR(Table1[[#This Row],[Fecha]])&amp;" - " &amp;UPPER(TEXT(Table1[[#This Row],[Fecha]],"mm-mmm"))</f>
        <v>2025 - 01-ENE</v>
      </c>
      <c r="AH173" s="5">
        <v>0</v>
      </c>
    </row>
    <row r="174" spans="1:34" x14ac:dyDescent="0.25">
      <c r="A174" t="s">
        <v>130</v>
      </c>
      <c r="B174">
        <v>2025</v>
      </c>
      <c r="C174">
        <v>1</v>
      </c>
      <c r="D174" s="1">
        <v>45686</v>
      </c>
      <c r="E174" s="1">
        <v>45686</v>
      </c>
      <c r="F174" s="1">
        <v>45687</v>
      </c>
      <c r="G174" s="1">
        <v>45686</v>
      </c>
      <c r="H174" s="1">
        <v>45689</v>
      </c>
      <c r="I174">
        <v>2050</v>
      </c>
      <c r="J174" t="s">
        <v>54</v>
      </c>
      <c r="K174" t="s">
        <v>31</v>
      </c>
      <c r="L174">
        <v>814</v>
      </c>
      <c r="M174">
        <v>407</v>
      </c>
      <c r="N174" t="s">
        <v>55</v>
      </c>
      <c r="O174">
        <v>1</v>
      </c>
      <c r="P174">
        <v>407</v>
      </c>
      <c r="Q174" t="b">
        <v>1</v>
      </c>
      <c r="R174" t="b">
        <v>0</v>
      </c>
      <c r="S174" t="b">
        <v>0</v>
      </c>
      <c r="T174">
        <v>801</v>
      </c>
      <c r="U174">
        <v>0</v>
      </c>
      <c r="V174" t="s">
        <v>33</v>
      </c>
      <c r="W174" t="s">
        <v>33</v>
      </c>
      <c r="X174">
        <v>500</v>
      </c>
      <c r="Y174">
        <v>3</v>
      </c>
      <c r="Z174" t="s">
        <v>44</v>
      </c>
      <c r="AA174">
        <v>3</v>
      </c>
      <c r="AB174" t="s">
        <v>60</v>
      </c>
      <c r="AC174" t="s">
        <v>56</v>
      </c>
      <c r="AD174" t="str">
        <f t="shared" si="2"/>
        <v>Culiacan → Cd Sahagún</v>
      </c>
      <c r="AE174" t="s">
        <v>1358</v>
      </c>
      <c r="AF174" s="4">
        <v>45658</v>
      </c>
      <c r="AG174" t="str">
        <f>YEAR(Table1[[#This Row],[Fecha]])&amp;" - " &amp;UPPER(TEXT(Table1[[#This Row],[Fecha]],"mm-mmm"))</f>
        <v>2025 - 01-ENE</v>
      </c>
      <c r="AH174" s="5">
        <v>0</v>
      </c>
    </row>
    <row r="175" spans="1:34" x14ac:dyDescent="0.25">
      <c r="A175" t="s">
        <v>131</v>
      </c>
      <c r="B175">
        <v>2025</v>
      </c>
      <c r="C175">
        <v>1</v>
      </c>
      <c r="D175" s="1">
        <v>45622</v>
      </c>
      <c r="E175" s="1">
        <v>45664</v>
      </c>
      <c r="F175" s="1">
        <v>45665</v>
      </c>
      <c r="G175" s="1">
        <v>45664</v>
      </c>
      <c r="H175" s="1">
        <v>45665</v>
      </c>
      <c r="I175">
        <v>2087</v>
      </c>
      <c r="J175" t="s">
        <v>30</v>
      </c>
      <c r="K175" t="s">
        <v>31</v>
      </c>
      <c r="L175">
        <v>961</v>
      </c>
      <c r="M175">
        <v>0</v>
      </c>
      <c r="N175" t="s">
        <v>46</v>
      </c>
      <c r="O175">
        <v>1</v>
      </c>
      <c r="P175">
        <v>964</v>
      </c>
      <c r="Q175" t="b">
        <v>1</v>
      </c>
      <c r="R175" t="b">
        <v>0</v>
      </c>
      <c r="S175" t="b">
        <v>0</v>
      </c>
      <c r="T175">
        <v>0</v>
      </c>
      <c r="U175">
        <v>0</v>
      </c>
      <c r="V175" t="s">
        <v>33</v>
      </c>
      <c r="W175" t="s">
        <v>132</v>
      </c>
      <c r="X175">
        <v>0</v>
      </c>
      <c r="Y175">
        <v>3</v>
      </c>
      <c r="Z175" t="s">
        <v>78</v>
      </c>
      <c r="AA175">
        <v>3</v>
      </c>
      <c r="AB175" t="s">
        <v>60</v>
      </c>
      <c r="AC175" t="s">
        <v>56</v>
      </c>
      <c r="AD175" t="str">
        <f t="shared" si="2"/>
        <v>Culiacan → Cd Sahagún</v>
      </c>
      <c r="AE175" t="s">
        <v>1357</v>
      </c>
      <c r="AF175" s="4">
        <v>45658</v>
      </c>
      <c r="AG175" t="str">
        <f>YEAR(Table1[[#This Row],[Fecha]])&amp;" - " &amp;UPPER(TEXT(Table1[[#This Row],[Fecha]],"mm-mmm"))</f>
        <v>2025 - 01-ENE</v>
      </c>
      <c r="AH175" s="5">
        <v>0</v>
      </c>
    </row>
    <row r="176" spans="1:34" x14ac:dyDescent="0.25">
      <c r="A176" t="s">
        <v>133</v>
      </c>
      <c r="B176">
        <v>2025</v>
      </c>
      <c r="C176">
        <v>1</v>
      </c>
      <c r="D176" s="1">
        <v>45622</v>
      </c>
      <c r="E176" s="1">
        <v>45666</v>
      </c>
      <c r="F176" s="1">
        <v>45667</v>
      </c>
      <c r="G176" s="1">
        <v>45666</v>
      </c>
      <c r="H176" s="1">
        <v>45667</v>
      </c>
      <c r="I176">
        <v>2019</v>
      </c>
      <c r="J176" t="s">
        <v>30</v>
      </c>
      <c r="K176" t="s">
        <v>31</v>
      </c>
      <c r="L176">
        <v>961</v>
      </c>
      <c r="M176">
        <v>0</v>
      </c>
      <c r="N176" t="s">
        <v>134</v>
      </c>
      <c r="O176">
        <v>1</v>
      </c>
      <c r="P176">
        <v>964</v>
      </c>
      <c r="Q176" t="b">
        <v>1</v>
      </c>
      <c r="R176" t="b">
        <v>0</v>
      </c>
      <c r="S176" t="b">
        <v>0</v>
      </c>
      <c r="T176">
        <v>0</v>
      </c>
      <c r="U176">
        <v>0</v>
      </c>
      <c r="V176" t="s">
        <v>33</v>
      </c>
      <c r="W176" t="s">
        <v>135</v>
      </c>
      <c r="X176">
        <v>0</v>
      </c>
      <c r="Y176">
        <v>3</v>
      </c>
      <c r="Z176" t="s">
        <v>78</v>
      </c>
      <c r="AA176">
        <v>3</v>
      </c>
      <c r="AB176" t="s">
        <v>60</v>
      </c>
      <c r="AC176" t="s">
        <v>56</v>
      </c>
      <c r="AD176" t="str">
        <f t="shared" si="2"/>
        <v>Culiacan → Cd Sahagún</v>
      </c>
      <c r="AE176" t="s">
        <v>1357</v>
      </c>
      <c r="AF176" s="4">
        <v>45658</v>
      </c>
      <c r="AG176" t="str">
        <f>YEAR(Table1[[#This Row],[Fecha]])&amp;" - " &amp;UPPER(TEXT(Table1[[#This Row],[Fecha]],"mm-mmm"))</f>
        <v>2025 - 01-ENE</v>
      </c>
      <c r="AH176" s="5">
        <v>0</v>
      </c>
    </row>
    <row r="177" spans="1:34" x14ac:dyDescent="0.25">
      <c r="A177" t="s">
        <v>336</v>
      </c>
      <c r="B177">
        <v>2025</v>
      </c>
      <c r="C177">
        <v>1</v>
      </c>
      <c r="D177" s="1">
        <v>45668</v>
      </c>
      <c r="E177" s="1">
        <v>45668</v>
      </c>
      <c r="F177" s="1">
        <v>45670</v>
      </c>
      <c r="G177" s="1">
        <v>45669</v>
      </c>
      <c r="H177" s="1">
        <v>45670</v>
      </c>
      <c r="I177">
        <v>2039</v>
      </c>
      <c r="J177" t="s">
        <v>30</v>
      </c>
      <c r="K177" t="s">
        <v>31</v>
      </c>
      <c r="L177">
        <v>961</v>
      </c>
      <c r="M177">
        <v>0</v>
      </c>
      <c r="N177" t="s">
        <v>46</v>
      </c>
      <c r="O177">
        <v>1</v>
      </c>
      <c r="P177">
        <v>964</v>
      </c>
      <c r="Q177" t="b">
        <v>1</v>
      </c>
      <c r="R177" t="b">
        <v>0</v>
      </c>
      <c r="S177" t="b">
        <v>0</v>
      </c>
      <c r="T177">
        <v>0</v>
      </c>
      <c r="U177">
        <v>0</v>
      </c>
      <c r="V177" t="s">
        <v>33</v>
      </c>
      <c r="W177" t="s">
        <v>337</v>
      </c>
      <c r="X177">
        <v>0</v>
      </c>
      <c r="Y177">
        <v>8</v>
      </c>
      <c r="Z177" t="s">
        <v>112</v>
      </c>
      <c r="AA177">
        <v>8</v>
      </c>
      <c r="AB177" t="s">
        <v>121</v>
      </c>
      <c r="AC177" t="s">
        <v>56</v>
      </c>
      <c r="AD177" t="str">
        <f t="shared" si="2"/>
        <v>Escobedo → Cd Sahagún</v>
      </c>
      <c r="AE177" t="s">
        <v>1357</v>
      </c>
      <c r="AF177" s="4">
        <v>45658</v>
      </c>
      <c r="AG177" t="str">
        <f>YEAR(Table1[[#This Row],[Fecha]])&amp;" - " &amp;UPPER(TEXT(Table1[[#This Row],[Fecha]],"mm-mmm"))</f>
        <v>2025 - 01-ENE</v>
      </c>
      <c r="AH177" s="5">
        <v>0</v>
      </c>
    </row>
    <row r="178" spans="1:34" x14ac:dyDescent="0.25">
      <c r="A178" t="s">
        <v>109</v>
      </c>
      <c r="B178">
        <v>2025</v>
      </c>
      <c r="C178">
        <v>1</v>
      </c>
      <c r="D178" s="1">
        <v>45668</v>
      </c>
      <c r="E178" s="1">
        <v>45668</v>
      </c>
      <c r="F178" s="1">
        <v>45670</v>
      </c>
      <c r="G178" s="1">
        <v>45670</v>
      </c>
      <c r="H178" s="1">
        <v>45670</v>
      </c>
      <c r="I178">
        <v>2275</v>
      </c>
      <c r="J178" t="s">
        <v>41</v>
      </c>
      <c r="K178" t="s">
        <v>42</v>
      </c>
      <c r="L178">
        <v>101</v>
      </c>
      <c r="M178">
        <v>202</v>
      </c>
      <c r="N178" t="s">
        <v>110</v>
      </c>
      <c r="O178">
        <v>1</v>
      </c>
      <c r="P178">
        <v>150</v>
      </c>
      <c r="Q178" t="b">
        <v>1</v>
      </c>
      <c r="R178" t="b">
        <v>0</v>
      </c>
      <c r="S178" t="b">
        <v>0</v>
      </c>
      <c r="T178">
        <v>583</v>
      </c>
      <c r="U178">
        <v>0</v>
      </c>
      <c r="V178" t="s">
        <v>33</v>
      </c>
      <c r="W178" t="s">
        <v>111</v>
      </c>
      <c r="X178">
        <v>300</v>
      </c>
      <c r="Y178">
        <v>1378</v>
      </c>
      <c r="Z178" t="s">
        <v>112</v>
      </c>
      <c r="AA178">
        <v>1378</v>
      </c>
      <c r="AB178" t="s">
        <v>56</v>
      </c>
      <c r="AC178" t="s">
        <v>113</v>
      </c>
      <c r="AD178" t="str">
        <f t="shared" si="2"/>
        <v>Cd Sahagún → Tula de Allende</v>
      </c>
      <c r="AE178" t="s">
        <v>1359</v>
      </c>
      <c r="AF178" s="4">
        <v>45658</v>
      </c>
      <c r="AG178" t="str">
        <f>YEAR(Table1[[#This Row],[Fecha]])&amp;" - " &amp;UPPER(TEXT(Table1[[#This Row],[Fecha]],"mm-mmm"))</f>
        <v>2025 - 01-ENE</v>
      </c>
      <c r="AH178" s="5">
        <v>0</v>
      </c>
    </row>
    <row r="179" spans="1:34" x14ac:dyDescent="0.25">
      <c r="A179" t="s">
        <v>948</v>
      </c>
      <c r="B179">
        <v>2025</v>
      </c>
      <c r="C179">
        <v>2</v>
      </c>
      <c r="D179" s="1">
        <v>45691</v>
      </c>
      <c r="E179" s="1">
        <v>45691</v>
      </c>
      <c r="F179" s="1">
        <v>45691</v>
      </c>
      <c r="G179" s="1">
        <v>45691</v>
      </c>
      <c r="H179" s="2">
        <v>45691.51478622685</v>
      </c>
      <c r="I179">
        <v>2039</v>
      </c>
      <c r="J179" t="s">
        <v>30</v>
      </c>
      <c r="K179" t="s">
        <v>31</v>
      </c>
      <c r="L179">
        <v>50</v>
      </c>
      <c r="M179">
        <v>50</v>
      </c>
      <c r="N179" t="s">
        <v>32</v>
      </c>
      <c r="O179">
        <v>1</v>
      </c>
      <c r="P179">
        <v>150</v>
      </c>
      <c r="Q179" t="b">
        <v>1</v>
      </c>
      <c r="R179" t="b">
        <v>0</v>
      </c>
      <c r="S179" t="b">
        <v>0</v>
      </c>
      <c r="T179">
        <v>216</v>
      </c>
      <c r="U179">
        <v>0</v>
      </c>
      <c r="V179" t="s">
        <v>33</v>
      </c>
      <c r="W179" t="s">
        <v>33</v>
      </c>
      <c r="X179">
        <v>50</v>
      </c>
      <c r="Y179">
        <v>359</v>
      </c>
      <c r="Z179" t="s">
        <v>34</v>
      </c>
      <c r="AA179">
        <v>359</v>
      </c>
      <c r="AB179" t="s">
        <v>121</v>
      </c>
      <c r="AC179" t="s">
        <v>121</v>
      </c>
      <c r="AD179" t="str">
        <f t="shared" si="2"/>
        <v>Escobedo → Escobedo</v>
      </c>
      <c r="AE179" t="s">
        <v>1357</v>
      </c>
      <c r="AF179" s="4">
        <v>45689</v>
      </c>
      <c r="AG179" t="str">
        <f>YEAR(Table1[[#This Row],[Fecha]])&amp;" - " &amp;UPPER(TEXT(Table1[[#This Row],[Fecha]],"mm-mmm"))</f>
        <v>2025 - 02-FEB</v>
      </c>
      <c r="AH179" s="5">
        <v>0</v>
      </c>
    </row>
    <row r="180" spans="1:34" x14ac:dyDescent="0.25">
      <c r="A180" t="s">
        <v>949</v>
      </c>
      <c r="B180">
        <v>2025</v>
      </c>
      <c r="C180">
        <v>2</v>
      </c>
      <c r="D180" s="1">
        <v>45695</v>
      </c>
      <c r="E180" s="1">
        <v>45695</v>
      </c>
      <c r="F180" s="1">
        <v>45695</v>
      </c>
      <c r="G180" s="1">
        <v>45695</v>
      </c>
      <c r="H180" s="2">
        <v>45695.800670486111</v>
      </c>
      <c r="I180">
        <v>2039</v>
      </c>
      <c r="J180" t="s">
        <v>30</v>
      </c>
      <c r="K180" t="s">
        <v>31</v>
      </c>
      <c r="L180">
        <v>50</v>
      </c>
      <c r="M180">
        <v>50</v>
      </c>
      <c r="N180" t="s">
        <v>32</v>
      </c>
      <c r="O180">
        <v>1</v>
      </c>
      <c r="P180">
        <v>150</v>
      </c>
      <c r="Q180" t="b">
        <v>1</v>
      </c>
      <c r="R180" t="b">
        <v>0</v>
      </c>
      <c r="S180" t="b">
        <v>0</v>
      </c>
      <c r="T180">
        <v>216</v>
      </c>
      <c r="U180">
        <v>0</v>
      </c>
      <c r="V180" t="s">
        <v>33</v>
      </c>
      <c r="W180" t="s">
        <v>33</v>
      </c>
      <c r="X180">
        <v>50</v>
      </c>
      <c r="Y180">
        <v>359</v>
      </c>
      <c r="Z180" t="s">
        <v>34</v>
      </c>
      <c r="AA180">
        <v>359</v>
      </c>
      <c r="AB180" t="s">
        <v>121</v>
      </c>
      <c r="AC180" t="s">
        <v>121</v>
      </c>
      <c r="AD180" t="str">
        <f t="shared" si="2"/>
        <v>Escobedo → Escobedo</v>
      </c>
      <c r="AE180" t="s">
        <v>1357</v>
      </c>
      <c r="AF180" s="4">
        <v>45689</v>
      </c>
      <c r="AG180" t="str">
        <f>YEAR(Table1[[#This Row],[Fecha]])&amp;" - " &amp;UPPER(TEXT(Table1[[#This Row],[Fecha]],"mm-mmm"))</f>
        <v>2025 - 02-FEB</v>
      </c>
      <c r="AH180" s="5">
        <v>0</v>
      </c>
    </row>
    <row r="181" spans="1:34" x14ac:dyDescent="0.25">
      <c r="A181" t="s">
        <v>950</v>
      </c>
      <c r="B181">
        <v>2025</v>
      </c>
      <c r="C181">
        <v>2</v>
      </c>
      <c r="D181" s="1">
        <v>45695</v>
      </c>
      <c r="E181" s="1">
        <v>45695</v>
      </c>
      <c r="F181" s="1">
        <v>45695</v>
      </c>
      <c r="G181" s="1">
        <v>45695</v>
      </c>
      <c r="H181" s="2">
        <v>45695.827014120368</v>
      </c>
      <c r="I181">
        <v>2039</v>
      </c>
      <c r="J181" t="s">
        <v>30</v>
      </c>
      <c r="K181" t="s">
        <v>31</v>
      </c>
      <c r="L181">
        <v>50</v>
      </c>
      <c r="M181">
        <v>50</v>
      </c>
      <c r="N181" t="s">
        <v>32</v>
      </c>
      <c r="O181">
        <v>1</v>
      </c>
      <c r="P181">
        <v>150</v>
      </c>
      <c r="Q181" t="b">
        <v>1</v>
      </c>
      <c r="R181" t="b">
        <v>0</v>
      </c>
      <c r="S181" t="b">
        <v>0</v>
      </c>
      <c r="T181">
        <v>216</v>
      </c>
      <c r="U181">
        <v>0</v>
      </c>
      <c r="V181" t="s">
        <v>33</v>
      </c>
      <c r="W181" t="s">
        <v>33</v>
      </c>
      <c r="X181">
        <v>50</v>
      </c>
      <c r="Y181">
        <v>359</v>
      </c>
      <c r="Z181" t="s">
        <v>34</v>
      </c>
      <c r="AA181">
        <v>359</v>
      </c>
      <c r="AB181" t="s">
        <v>121</v>
      </c>
      <c r="AC181" t="s">
        <v>121</v>
      </c>
      <c r="AD181" t="str">
        <f t="shared" si="2"/>
        <v>Escobedo → Escobedo</v>
      </c>
      <c r="AE181" t="s">
        <v>1357</v>
      </c>
      <c r="AF181" s="4">
        <v>45689</v>
      </c>
      <c r="AG181" t="str">
        <f>YEAR(Table1[[#This Row],[Fecha]])&amp;" - " &amp;UPPER(TEXT(Table1[[#This Row],[Fecha]],"mm-mmm"))</f>
        <v>2025 - 02-FEB</v>
      </c>
      <c r="AH181" s="5">
        <v>0</v>
      </c>
    </row>
    <row r="182" spans="1:34" x14ac:dyDescent="0.25">
      <c r="A182" t="s">
        <v>951</v>
      </c>
      <c r="B182">
        <v>2025</v>
      </c>
      <c r="C182">
        <v>2</v>
      </c>
      <c r="D182" s="1">
        <v>45695</v>
      </c>
      <c r="E182" s="1">
        <v>45695</v>
      </c>
      <c r="F182" s="1">
        <v>45695</v>
      </c>
      <c r="G182" s="1">
        <v>45695</v>
      </c>
      <c r="H182" s="2">
        <v>45695.827727974538</v>
      </c>
      <c r="I182">
        <v>2039</v>
      </c>
      <c r="J182" t="s">
        <v>30</v>
      </c>
      <c r="K182" t="s">
        <v>31</v>
      </c>
      <c r="L182">
        <v>50</v>
      </c>
      <c r="M182">
        <v>50</v>
      </c>
      <c r="N182" t="s">
        <v>32</v>
      </c>
      <c r="O182">
        <v>1</v>
      </c>
      <c r="P182">
        <v>150</v>
      </c>
      <c r="Q182" t="b">
        <v>1</v>
      </c>
      <c r="R182" t="b">
        <v>0</v>
      </c>
      <c r="S182" t="b">
        <v>0</v>
      </c>
      <c r="T182">
        <v>216</v>
      </c>
      <c r="U182">
        <v>0</v>
      </c>
      <c r="V182" t="s">
        <v>33</v>
      </c>
      <c r="W182" t="s">
        <v>33</v>
      </c>
      <c r="X182">
        <v>50</v>
      </c>
      <c r="Y182">
        <v>359</v>
      </c>
      <c r="Z182" t="s">
        <v>34</v>
      </c>
      <c r="AA182">
        <v>359</v>
      </c>
      <c r="AB182" t="s">
        <v>121</v>
      </c>
      <c r="AC182" t="s">
        <v>121</v>
      </c>
      <c r="AD182" t="str">
        <f t="shared" si="2"/>
        <v>Escobedo → Escobedo</v>
      </c>
      <c r="AE182" t="s">
        <v>1357</v>
      </c>
      <c r="AF182" s="4">
        <v>45689</v>
      </c>
      <c r="AG182" t="str">
        <f>YEAR(Table1[[#This Row],[Fecha]])&amp;" - " &amp;UPPER(TEXT(Table1[[#This Row],[Fecha]],"mm-mmm"))</f>
        <v>2025 - 02-FEB</v>
      </c>
      <c r="AH182" s="5">
        <v>0</v>
      </c>
    </row>
    <row r="183" spans="1:34" x14ac:dyDescent="0.25">
      <c r="A183" t="s">
        <v>952</v>
      </c>
      <c r="B183">
        <v>2025</v>
      </c>
      <c r="C183">
        <v>2</v>
      </c>
      <c r="D183" s="1">
        <v>45695</v>
      </c>
      <c r="E183" s="1">
        <v>45695</v>
      </c>
      <c r="F183" s="1">
        <v>45695</v>
      </c>
      <c r="G183" s="1">
        <v>45695</v>
      </c>
      <c r="H183" s="2">
        <v>45695.828082442131</v>
      </c>
      <c r="I183">
        <v>2039</v>
      </c>
      <c r="J183" t="s">
        <v>30</v>
      </c>
      <c r="K183" t="s">
        <v>31</v>
      </c>
      <c r="L183">
        <v>50</v>
      </c>
      <c r="M183">
        <v>50</v>
      </c>
      <c r="N183" t="s">
        <v>32</v>
      </c>
      <c r="O183">
        <v>1</v>
      </c>
      <c r="P183">
        <v>150</v>
      </c>
      <c r="Q183" t="b">
        <v>1</v>
      </c>
      <c r="R183" t="b">
        <v>0</v>
      </c>
      <c r="S183" t="b">
        <v>0</v>
      </c>
      <c r="T183">
        <v>216</v>
      </c>
      <c r="U183">
        <v>0</v>
      </c>
      <c r="V183" t="s">
        <v>33</v>
      </c>
      <c r="W183" t="s">
        <v>33</v>
      </c>
      <c r="X183">
        <v>50</v>
      </c>
      <c r="Y183">
        <v>359</v>
      </c>
      <c r="Z183" t="s">
        <v>34</v>
      </c>
      <c r="AA183">
        <v>359</v>
      </c>
      <c r="AB183" t="s">
        <v>121</v>
      </c>
      <c r="AC183" t="s">
        <v>121</v>
      </c>
      <c r="AD183" t="str">
        <f t="shared" si="2"/>
        <v>Escobedo → Escobedo</v>
      </c>
      <c r="AE183" t="s">
        <v>1357</v>
      </c>
      <c r="AF183" s="4">
        <v>45689</v>
      </c>
      <c r="AG183" t="str">
        <f>YEAR(Table1[[#This Row],[Fecha]])&amp;" - " &amp;UPPER(TEXT(Table1[[#This Row],[Fecha]],"mm-mmm"))</f>
        <v>2025 - 02-FEB</v>
      </c>
      <c r="AH183" s="5">
        <v>0</v>
      </c>
    </row>
    <row r="184" spans="1:34" x14ac:dyDescent="0.25">
      <c r="A184" t="s">
        <v>599</v>
      </c>
      <c r="B184">
        <v>2025</v>
      </c>
      <c r="C184">
        <v>2</v>
      </c>
      <c r="D184" s="1">
        <v>45695</v>
      </c>
      <c r="E184" s="1">
        <v>45695</v>
      </c>
      <c r="F184" s="1">
        <v>45695</v>
      </c>
      <c r="G184" s="1">
        <v>45695</v>
      </c>
      <c r="H184" s="2">
        <v>45695.828388622685</v>
      </c>
      <c r="I184">
        <v>2039</v>
      </c>
      <c r="J184" t="s">
        <v>30</v>
      </c>
      <c r="K184" t="s">
        <v>31</v>
      </c>
      <c r="L184">
        <v>50</v>
      </c>
      <c r="M184">
        <v>50</v>
      </c>
      <c r="N184" t="s">
        <v>32</v>
      </c>
      <c r="O184">
        <v>1</v>
      </c>
      <c r="P184">
        <v>150</v>
      </c>
      <c r="Q184" t="b">
        <v>1</v>
      </c>
      <c r="R184" t="b">
        <v>0</v>
      </c>
      <c r="S184" t="b">
        <v>0</v>
      </c>
      <c r="T184">
        <v>216</v>
      </c>
      <c r="U184">
        <v>0</v>
      </c>
      <c r="V184" t="s">
        <v>33</v>
      </c>
      <c r="W184" t="s">
        <v>33</v>
      </c>
      <c r="X184">
        <v>50</v>
      </c>
      <c r="Y184">
        <v>2936</v>
      </c>
      <c r="Z184" t="s">
        <v>34</v>
      </c>
      <c r="AA184">
        <v>2936</v>
      </c>
      <c r="AB184" t="s">
        <v>121</v>
      </c>
      <c r="AC184" t="s">
        <v>432</v>
      </c>
      <c r="AD184" t="str">
        <f t="shared" si="2"/>
        <v>Escobedo → Hidalgo</v>
      </c>
      <c r="AE184" t="s">
        <v>1357</v>
      </c>
      <c r="AF184" s="4">
        <v>45689</v>
      </c>
      <c r="AG184" t="str">
        <f>YEAR(Table1[[#This Row],[Fecha]])&amp;" - " &amp;UPPER(TEXT(Table1[[#This Row],[Fecha]],"mm-mmm"))</f>
        <v>2025 - 02-FEB</v>
      </c>
      <c r="AH184" s="5">
        <v>0</v>
      </c>
    </row>
    <row r="185" spans="1:34" x14ac:dyDescent="0.25">
      <c r="A185" t="s">
        <v>600</v>
      </c>
      <c r="B185">
        <v>2025</v>
      </c>
      <c r="C185">
        <v>2</v>
      </c>
      <c r="D185" s="1">
        <v>45695</v>
      </c>
      <c r="E185" s="1">
        <v>45695</v>
      </c>
      <c r="F185" s="1">
        <v>45695</v>
      </c>
      <c r="G185" s="1">
        <v>45695</v>
      </c>
      <c r="H185" s="2">
        <v>45695.828683217595</v>
      </c>
      <c r="I185">
        <v>2039</v>
      </c>
      <c r="J185" t="s">
        <v>30</v>
      </c>
      <c r="K185" t="s">
        <v>31</v>
      </c>
      <c r="L185">
        <v>50</v>
      </c>
      <c r="M185">
        <v>50</v>
      </c>
      <c r="N185" t="s">
        <v>32</v>
      </c>
      <c r="O185">
        <v>1</v>
      </c>
      <c r="P185">
        <v>150</v>
      </c>
      <c r="Q185" t="b">
        <v>1</v>
      </c>
      <c r="R185" t="b">
        <v>0</v>
      </c>
      <c r="S185" t="b">
        <v>0</v>
      </c>
      <c r="T185">
        <v>216</v>
      </c>
      <c r="U185">
        <v>0</v>
      </c>
      <c r="V185" t="s">
        <v>33</v>
      </c>
      <c r="W185" t="s">
        <v>33</v>
      </c>
      <c r="X185">
        <v>50</v>
      </c>
      <c r="Y185">
        <v>2936</v>
      </c>
      <c r="Z185" t="s">
        <v>34</v>
      </c>
      <c r="AA185">
        <v>2936</v>
      </c>
      <c r="AB185" t="s">
        <v>121</v>
      </c>
      <c r="AC185" t="s">
        <v>432</v>
      </c>
      <c r="AD185" t="str">
        <f t="shared" si="2"/>
        <v>Escobedo → Hidalgo</v>
      </c>
      <c r="AE185" t="s">
        <v>1357</v>
      </c>
      <c r="AF185" s="4">
        <v>45689</v>
      </c>
      <c r="AG185" t="str">
        <f>YEAR(Table1[[#This Row],[Fecha]])&amp;" - " &amp;UPPER(TEXT(Table1[[#This Row],[Fecha]],"mm-mmm"))</f>
        <v>2025 - 02-FEB</v>
      </c>
      <c r="AH185" s="5">
        <v>0</v>
      </c>
    </row>
    <row r="186" spans="1:34" x14ac:dyDescent="0.25">
      <c r="A186" t="s">
        <v>946</v>
      </c>
      <c r="B186">
        <v>2025</v>
      </c>
      <c r="C186">
        <v>2</v>
      </c>
      <c r="D186" s="1">
        <v>45695</v>
      </c>
      <c r="E186" s="1">
        <v>45695</v>
      </c>
      <c r="F186" s="1">
        <v>45695</v>
      </c>
      <c r="G186" s="1">
        <v>45695</v>
      </c>
      <c r="H186" s="1">
        <v>45696</v>
      </c>
      <c r="I186">
        <v>2050</v>
      </c>
      <c r="J186" t="s">
        <v>54</v>
      </c>
      <c r="K186" t="s">
        <v>31</v>
      </c>
      <c r="L186">
        <v>50</v>
      </c>
      <c r="M186">
        <v>50</v>
      </c>
      <c r="N186" t="s">
        <v>55</v>
      </c>
      <c r="O186">
        <v>1</v>
      </c>
      <c r="P186">
        <v>150</v>
      </c>
      <c r="Q186" t="b">
        <v>1</v>
      </c>
      <c r="R186" t="b">
        <v>0</v>
      </c>
      <c r="S186" t="b">
        <v>0</v>
      </c>
      <c r="T186">
        <v>216</v>
      </c>
      <c r="U186">
        <v>0</v>
      </c>
      <c r="V186" t="s">
        <v>33</v>
      </c>
      <c r="W186" t="s">
        <v>33</v>
      </c>
      <c r="X186">
        <v>50</v>
      </c>
      <c r="Y186">
        <v>359</v>
      </c>
      <c r="Z186" t="s">
        <v>34</v>
      </c>
      <c r="AA186">
        <v>359</v>
      </c>
      <c r="AB186" t="s">
        <v>121</v>
      </c>
      <c r="AC186" t="s">
        <v>121</v>
      </c>
      <c r="AD186" t="str">
        <f t="shared" si="2"/>
        <v>Escobedo → Escobedo</v>
      </c>
      <c r="AE186" t="s">
        <v>1358</v>
      </c>
      <c r="AF186" s="4">
        <v>45689</v>
      </c>
      <c r="AG186" t="str">
        <f>YEAR(Table1[[#This Row],[Fecha]])&amp;" - " &amp;UPPER(TEXT(Table1[[#This Row],[Fecha]],"mm-mmm"))</f>
        <v>2025 - 02-FEB</v>
      </c>
      <c r="AH186" s="5">
        <v>0</v>
      </c>
    </row>
    <row r="187" spans="1:34" x14ac:dyDescent="0.25">
      <c r="A187" t="s">
        <v>947</v>
      </c>
      <c r="B187">
        <v>2025</v>
      </c>
      <c r="C187">
        <v>2</v>
      </c>
      <c r="D187" s="1">
        <v>45695</v>
      </c>
      <c r="E187" s="1">
        <v>45695</v>
      </c>
      <c r="F187" s="1">
        <v>45695</v>
      </c>
      <c r="G187" s="1">
        <v>45695</v>
      </c>
      <c r="H187" s="1">
        <v>45696</v>
      </c>
      <c r="I187">
        <v>2050</v>
      </c>
      <c r="J187" t="s">
        <v>54</v>
      </c>
      <c r="K187" t="s">
        <v>31</v>
      </c>
      <c r="L187">
        <v>50</v>
      </c>
      <c r="M187">
        <v>50</v>
      </c>
      <c r="N187" t="s">
        <v>55</v>
      </c>
      <c r="O187">
        <v>1</v>
      </c>
      <c r="P187">
        <v>150</v>
      </c>
      <c r="Q187" t="b">
        <v>1</v>
      </c>
      <c r="R187" t="b">
        <v>0</v>
      </c>
      <c r="S187" t="b">
        <v>0</v>
      </c>
      <c r="T187">
        <v>216</v>
      </c>
      <c r="U187">
        <v>0</v>
      </c>
      <c r="V187" t="s">
        <v>33</v>
      </c>
      <c r="W187" t="s">
        <v>33</v>
      </c>
      <c r="X187">
        <v>50</v>
      </c>
      <c r="Y187">
        <v>359</v>
      </c>
      <c r="Z187" t="s">
        <v>34</v>
      </c>
      <c r="AA187">
        <v>359</v>
      </c>
      <c r="AB187" t="s">
        <v>121</v>
      </c>
      <c r="AC187" t="s">
        <v>121</v>
      </c>
      <c r="AD187" t="str">
        <f t="shared" si="2"/>
        <v>Escobedo → Escobedo</v>
      </c>
      <c r="AE187" t="s">
        <v>1358</v>
      </c>
      <c r="AF187" s="4">
        <v>45689</v>
      </c>
      <c r="AG187" t="str">
        <f>YEAR(Table1[[#This Row],[Fecha]])&amp;" - " &amp;UPPER(TEXT(Table1[[#This Row],[Fecha]],"mm-mmm"))</f>
        <v>2025 - 02-FEB</v>
      </c>
      <c r="AH187" s="5">
        <v>0</v>
      </c>
    </row>
    <row r="188" spans="1:34" x14ac:dyDescent="0.25">
      <c r="A188" t="s">
        <v>598</v>
      </c>
      <c r="B188">
        <v>2025</v>
      </c>
      <c r="C188">
        <v>2</v>
      </c>
      <c r="D188" s="1">
        <v>45695</v>
      </c>
      <c r="E188" s="1">
        <v>45695</v>
      </c>
      <c r="F188" s="1">
        <v>45695</v>
      </c>
      <c r="G188" s="1">
        <v>45695</v>
      </c>
      <c r="H188" s="1">
        <v>45696</v>
      </c>
      <c r="I188">
        <v>2050</v>
      </c>
      <c r="J188" t="s">
        <v>54</v>
      </c>
      <c r="K188" t="s">
        <v>31</v>
      </c>
      <c r="L188">
        <v>50</v>
      </c>
      <c r="M188">
        <v>50</v>
      </c>
      <c r="N188" t="s">
        <v>55</v>
      </c>
      <c r="O188">
        <v>1</v>
      </c>
      <c r="P188">
        <v>150</v>
      </c>
      <c r="Q188" t="b">
        <v>1</v>
      </c>
      <c r="R188" t="b">
        <v>0</v>
      </c>
      <c r="S188" t="b">
        <v>0</v>
      </c>
      <c r="T188">
        <v>216</v>
      </c>
      <c r="U188">
        <v>0</v>
      </c>
      <c r="V188" t="s">
        <v>33</v>
      </c>
      <c r="W188" t="s">
        <v>33</v>
      </c>
      <c r="X188">
        <v>50</v>
      </c>
      <c r="Y188">
        <v>2936</v>
      </c>
      <c r="Z188" t="s">
        <v>34</v>
      </c>
      <c r="AA188">
        <v>2936</v>
      </c>
      <c r="AB188" t="s">
        <v>121</v>
      </c>
      <c r="AC188" t="s">
        <v>432</v>
      </c>
      <c r="AD188" t="str">
        <f t="shared" si="2"/>
        <v>Escobedo → Hidalgo</v>
      </c>
      <c r="AE188" t="s">
        <v>1358</v>
      </c>
      <c r="AF188" s="4">
        <v>45689</v>
      </c>
      <c r="AG188" t="str">
        <f>YEAR(Table1[[#This Row],[Fecha]])&amp;" - " &amp;UPPER(TEXT(Table1[[#This Row],[Fecha]],"mm-mmm"))</f>
        <v>2025 - 02-FEB</v>
      </c>
      <c r="AH188" s="5">
        <v>0</v>
      </c>
    </row>
    <row r="189" spans="1:34" x14ac:dyDescent="0.25">
      <c r="A189" t="s">
        <v>953</v>
      </c>
      <c r="B189">
        <v>2025</v>
      </c>
      <c r="C189">
        <v>2</v>
      </c>
      <c r="D189" s="1">
        <v>45696</v>
      </c>
      <c r="E189" s="1">
        <v>45696</v>
      </c>
      <c r="F189" s="1">
        <v>45696</v>
      </c>
      <c r="G189" s="1">
        <v>45696</v>
      </c>
      <c r="H189" s="2">
        <v>45696.657564386573</v>
      </c>
      <c r="I189">
        <v>2039</v>
      </c>
      <c r="J189" t="s">
        <v>30</v>
      </c>
      <c r="K189" t="s">
        <v>31</v>
      </c>
      <c r="L189">
        <v>50</v>
      </c>
      <c r="M189">
        <v>50</v>
      </c>
      <c r="N189" t="s">
        <v>32</v>
      </c>
      <c r="O189">
        <v>1</v>
      </c>
      <c r="P189">
        <v>150</v>
      </c>
      <c r="Q189" t="b">
        <v>1</v>
      </c>
      <c r="R189" t="b">
        <v>0</v>
      </c>
      <c r="S189" t="b">
        <v>0</v>
      </c>
      <c r="T189">
        <v>216</v>
      </c>
      <c r="U189">
        <v>0</v>
      </c>
      <c r="V189" t="s">
        <v>33</v>
      </c>
      <c r="W189" t="s">
        <v>33</v>
      </c>
      <c r="X189">
        <v>50</v>
      </c>
      <c r="Y189">
        <v>359</v>
      </c>
      <c r="Z189" t="s">
        <v>34</v>
      </c>
      <c r="AA189">
        <v>359</v>
      </c>
      <c r="AB189" t="s">
        <v>121</v>
      </c>
      <c r="AC189" t="s">
        <v>121</v>
      </c>
      <c r="AD189" t="str">
        <f t="shared" si="2"/>
        <v>Escobedo → Escobedo</v>
      </c>
      <c r="AE189" t="s">
        <v>1357</v>
      </c>
      <c r="AF189" s="4">
        <v>45689</v>
      </c>
      <c r="AG189" t="str">
        <f>YEAR(Table1[[#This Row],[Fecha]])&amp;" - " &amp;UPPER(TEXT(Table1[[#This Row],[Fecha]],"mm-mmm"))</f>
        <v>2025 - 02-FEB</v>
      </c>
      <c r="AH189" s="5">
        <v>0</v>
      </c>
    </row>
    <row r="190" spans="1:34" x14ac:dyDescent="0.25">
      <c r="A190" t="s">
        <v>954</v>
      </c>
      <c r="B190">
        <v>2025</v>
      </c>
      <c r="C190">
        <v>2</v>
      </c>
      <c r="D190" s="1">
        <v>45696</v>
      </c>
      <c r="E190" s="1">
        <v>45696</v>
      </c>
      <c r="F190" s="1">
        <v>45696</v>
      </c>
      <c r="G190" s="1">
        <v>45696</v>
      </c>
      <c r="H190" s="2">
        <v>45696.657938576391</v>
      </c>
      <c r="I190">
        <v>2039</v>
      </c>
      <c r="J190" t="s">
        <v>30</v>
      </c>
      <c r="K190" t="s">
        <v>31</v>
      </c>
      <c r="L190">
        <v>50</v>
      </c>
      <c r="M190">
        <v>50</v>
      </c>
      <c r="N190" t="s">
        <v>32</v>
      </c>
      <c r="O190">
        <v>1</v>
      </c>
      <c r="P190">
        <v>150</v>
      </c>
      <c r="Q190" t="b">
        <v>1</v>
      </c>
      <c r="R190" t="b">
        <v>0</v>
      </c>
      <c r="S190" t="b">
        <v>0</v>
      </c>
      <c r="T190">
        <v>216</v>
      </c>
      <c r="U190">
        <v>0</v>
      </c>
      <c r="V190" t="s">
        <v>33</v>
      </c>
      <c r="W190" t="s">
        <v>33</v>
      </c>
      <c r="X190">
        <v>50</v>
      </c>
      <c r="Y190">
        <v>359</v>
      </c>
      <c r="Z190" t="s">
        <v>34</v>
      </c>
      <c r="AA190">
        <v>359</v>
      </c>
      <c r="AB190" t="s">
        <v>121</v>
      </c>
      <c r="AC190" t="s">
        <v>121</v>
      </c>
      <c r="AD190" t="str">
        <f t="shared" si="2"/>
        <v>Escobedo → Escobedo</v>
      </c>
      <c r="AE190" t="s">
        <v>1357</v>
      </c>
      <c r="AF190" s="4">
        <v>45689</v>
      </c>
      <c r="AG190" t="str">
        <f>YEAR(Table1[[#This Row],[Fecha]])&amp;" - " &amp;UPPER(TEXT(Table1[[#This Row],[Fecha]],"mm-mmm"))</f>
        <v>2025 - 02-FEB</v>
      </c>
      <c r="AH190" s="5">
        <v>0</v>
      </c>
    </row>
    <row r="191" spans="1:34" x14ac:dyDescent="0.25">
      <c r="A191" t="s">
        <v>955</v>
      </c>
      <c r="B191">
        <v>2025</v>
      </c>
      <c r="C191">
        <v>2</v>
      </c>
      <c r="D191" s="1">
        <v>45696</v>
      </c>
      <c r="E191" s="1">
        <v>45696</v>
      </c>
      <c r="F191" s="1">
        <v>45696</v>
      </c>
      <c r="G191" s="1">
        <v>45696</v>
      </c>
      <c r="H191" s="2">
        <v>45696.658329050922</v>
      </c>
      <c r="I191">
        <v>2039</v>
      </c>
      <c r="J191" t="s">
        <v>30</v>
      </c>
      <c r="K191" t="s">
        <v>31</v>
      </c>
      <c r="L191">
        <v>50</v>
      </c>
      <c r="M191">
        <v>50</v>
      </c>
      <c r="N191" t="s">
        <v>32</v>
      </c>
      <c r="O191">
        <v>1</v>
      </c>
      <c r="P191">
        <v>150</v>
      </c>
      <c r="Q191" t="b">
        <v>1</v>
      </c>
      <c r="R191" t="b">
        <v>0</v>
      </c>
      <c r="S191" t="b">
        <v>0</v>
      </c>
      <c r="T191">
        <v>216</v>
      </c>
      <c r="U191">
        <v>0</v>
      </c>
      <c r="V191" t="s">
        <v>33</v>
      </c>
      <c r="W191" t="s">
        <v>33</v>
      </c>
      <c r="X191">
        <v>50</v>
      </c>
      <c r="Y191">
        <v>359</v>
      </c>
      <c r="Z191" t="s">
        <v>34</v>
      </c>
      <c r="AA191">
        <v>359</v>
      </c>
      <c r="AB191" t="s">
        <v>121</v>
      </c>
      <c r="AC191" t="s">
        <v>121</v>
      </c>
      <c r="AD191" t="str">
        <f t="shared" si="2"/>
        <v>Escobedo → Escobedo</v>
      </c>
      <c r="AE191" t="s">
        <v>1357</v>
      </c>
      <c r="AF191" s="4">
        <v>45689</v>
      </c>
      <c r="AG191" t="str">
        <f>YEAR(Table1[[#This Row],[Fecha]])&amp;" - " &amp;UPPER(TEXT(Table1[[#This Row],[Fecha]],"mm-mmm"))</f>
        <v>2025 - 02-FEB</v>
      </c>
      <c r="AH191" s="5">
        <v>0</v>
      </c>
    </row>
    <row r="192" spans="1:34" x14ac:dyDescent="0.25">
      <c r="A192" t="s">
        <v>956</v>
      </c>
      <c r="B192">
        <v>2025</v>
      </c>
      <c r="C192">
        <v>2</v>
      </c>
      <c r="D192" s="1">
        <v>45696</v>
      </c>
      <c r="E192" s="1">
        <v>45696</v>
      </c>
      <c r="F192" s="1">
        <v>45696</v>
      </c>
      <c r="G192" s="1">
        <v>45696</v>
      </c>
      <c r="H192" s="2">
        <v>45696.658635451386</v>
      </c>
      <c r="I192">
        <v>2039</v>
      </c>
      <c r="J192" t="s">
        <v>30</v>
      </c>
      <c r="K192" t="s">
        <v>31</v>
      </c>
      <c r="L192">
        <v>50</v>
      </c>
      <c r="M192">
        <v>50</v>
      </c>
      <c r="N192" t="s">
        <v>32</v>
      </c>
      <c r="O192">
        <v>1</v>
      </c>
      <c r="P192">
        <v>150</v>
      </c>
      <c r="Q192" t="b">
        <v>1</v>
      </c>
      <c r="R192" t="b">
        <v>0</v>
      </c>
      <c r="S192" t="b">
        <v>0</v>
      </c>
      <c r="T192">
        <v>216</v>
      </c>
      <c r="U192">
        <v>0</v>
      </c>
      <c r="V192" t="s">
        <v>33</v>
      </c>
      <c r="W192" t="s">
        <v>33</v>
      </c>
      <c r="X192">
        <v>50</v>
      </c>
      <c r="Y192">
        <v>359</v>
      </c>
      <c r="Z192" t="s">
        <v>34</v>
      </c>
      <c r="AA192">
        <v>359</v>
      </c>
      <c r="AB192" t="s">
        <v>121</v>
      </c>
      <c r="AC192" t="s">
        <v>121</v>
      </c>
      <c r="AD192" t="str">
        <f t="shared" si="2"/>
        <v>Escobedo → Escobedo</v>
      </c>
      <c r="AE192" t="s">
        <v>1357</v>
      </c>
      <c r="AF192" s="4">
        <v>45689</v>
      </c>
      <c r="AG192" t="str">
        <f>YEAR(Table1[[#This Row],[Fecha]])&amp;" - " &amp;UPPER(TEXT(Table1[[#This Row],[Fecha]],"mm-mmm"))</f>
        <v>2025 - 02-FEB</v>
      </c>
      <c r="AH192" s="5">
        <v>0</v>
      </c>
    </row>
    <row r="193" spans="1:34" x14ac:dyDescent="0.25">
      <c r="A193" t="s">
        <v>957</v>
      </c>
      <c r="B193">
        <v>2025</v>
      </c>
      <c r="C193">
        <v>2</v>
      </c>
      <c r="D193" s="1">
        <v>45696</v>
      </c>
      <c r="E193" s="1">
        <v>45696</v>
      </c>
      <c r="F193" s="1">
        <v>45696</v>
      </c>
      <c r="G193" s="1">
        <v>45696</v>
      </c>
      <c r="H193" s="2">
        <v>45696.658998761573</v>
      </c>
      <c r="I193">
        <v>2039</v>
      </c>
      <c r="J193" t="s">
        <v>30</v>
      </c>
      <c r="K193" t="s">
        <v>31</v>
      </c>
      <c r="L193">
        <v>50</v>
      </c>
      <c r="M193">
        <v>50</v>
      </c>
      <c r="N193" t="s">
        <v>32</v>
      </c>
      <c r="O193">
        <v>1</v>
      </c>
      <c r="P193">
        <v>150</v>
      </c>
      <c r="Q193" t="b">
        <v>1</v>
      </c>
      <c r="R193" t="b">
        <v>0</v>
      </c>
      <c r="S193" t="b">
        <v>0</v>
      </c>
      <c r="T193">
        <v>216</v>
      </c>
      <c r="U193">
        <v>0</v>
      </c>
      <c r="V193" t="s">
        <v>33</v>
      </c>
      <c r="W193" t="s">
        <v>33</v>
      </c>
      <c r="X193">
        <v>50</v>
      </c>
      <c r="Y193">
        <v>359</v>
      </c>
      <c r="Z193" t="s">
        <v>34</v>
      </c>
      <c r="AA193">
        <v>359</v>
      </c>
      <c r="AB193" t="s">
        <v>121</v>
      </c>
      <c r="AC193" t="s">
        <v>121</v>
      </c>
      <c r="AD193" t="str">
        <f t="shared" si="2"/>
        <v>Escobedo → Escobedo</v>
      </c>
      <c r="AE193" t="s">
        <v>1357</v>
      </c>
      <c r="AF193" s="4">
        <v>45689</v>
      </c>
      <c r="AG193" t="str">
        <f>YEAR(Table1[[#This Row],[Fecha]])&amp;" - " &amp;UPPER(TEXT(Table1[[#This Row],[Fecha]],"mm-mmm"))</f>
        <v>2025 - 02-FEB</v>
      </c>
      <c r="AH193" s="5">
        <v>0</v>
      </c>
    </row>
    <row r="194" spans="1:34" x14ac:dyDescent="0.25">
      <c r="A194" t="s">
        <v>611</v>
      </c>
      <c r="B194">
        <v>2025</v>
      </c>
      <c r="C194">
        <v>2</v>
      </c>
      <c r="D194" s="1">
        <v>45698</v>
      </c>
      <c r="E194" s="1">
        <v>45463</v>
      </c>
      <c r="F194" s="1">
        <v>45698</v>
      </c>
      <c r="G194" s="1">
        <v>45698</v>
      </c>
      <c r="H194" s="2">
        <v>45698.664133449071</v>
      </c>
      <c r="I194">
        <v>2039</v>
      </c>
      <c r="J194" t="s">
        <v>30</v>
      </c>
      <c r="K194" t="s">
        <v>31</v>
      </c>
      <c r="L194">
        <v>50</v>
      </c>
      <c r="M194">
        <v>50</v>
      </c>
      <c r="N194" t="s">
        <v>32</v>
      </c>
      <c r="O194">
        <v>1</v>
      </c>
      <c r="P194">
        <v>150</v>
      </c>
      <c r="Q194" t="b">
        <v>1</v>
      </c>
      <c r="R194" t="b">
        <v>0</v>
      </c>
      <c r="S194" t="b">
        <v>0</v>
      </c>
      <c r="T194">
        <v>216</v>
      </c>
      <c r="U194">
        <v>0</v>
      </c>
      <c r="V194" t="s">
        <v>33</v>
      </c>
      <c r="W194" t="s">
        <v>33</v>
      </c>
      <c r="X194">
        <v>50</v>
      </c>
      <c r="Y194">
        <v>2936</v>
      </c>
      <c r="Z194" t="s">
        <v>34</v>
      </c>
      <c r="AA194">
        <v>2936</v>
      </c>
      <c r="AB194" t="s">
        <v>121</v>
      </c>
      <c r="AC194" t="s">
        <v>432</v>
      </c>
      <c r="AD194" t="str">
        <f t="shared" ref="AD194:AD257" si="3">+AB194&amp;" → "&amp;AC194</f>
        <v>Escobedo → Hidalgo</v>
      </c>
      <c r="AE194" t="s">
        <v>1357</v>
      </c>
      <c r="AF194" s="4">
        <v>45689</v>
      </c>
      <c r="AG194" t="str">
        <f>YEAR(Table1[[#This Row],[Fecha]])&amp;" - " &amp;UPPER(TEXT(Table1[[#This Row],[Fecha]],"mm-mmm"))</f>
        <v>2025 - 02-FEB</v>
      </c>
      <c r="AH194" s="5">
        <v>0</v>
      </c>
    </row>
    <row r="195" spans="1:34" x14ac:dyDescent="0.25">
      <c r="A195" t="s">
        <v>612</v>
      </c>
      <c r="B195">
        <v>2025</v>
      </c>
      <c r="C195">
        <v>2</v>
      </c>
      <c r="D195" s="1">
        <v>45698</v>
      </c>
      <c r="E195" s="1">
        <v>45698</v>
      </c>
      <c r="F195" s="1">
        <v>45698</v>
      </c>
      <c r="G195" s="1">
        <v>45698</v>
      </c>
      <c r="H195" s="1">
        <v>45698</v>
      </c>
      <c r="I195">
        <v>2050</v>
      </c>
      <c r="J195" t="s">
        <v>54</v>
      </c>
      <c r="K195" t="s">
        <v>31</v>
      </c>
      <c r="L195">
        <v>50</v>
      </c>
      <c r="M195">
        <v>50</v>
      </c>
      <c r="N195" t="s">
        <v>55</v>
      </c>
      <c r="O195">
        <v>1</v>
      </c>
      <c r="P195">
        <v>150</v>
      </c>
      <c r="Q195" t="b">
        <v>1</v>
      </c>
      <c r="R195" t="b">
        <v>0</v>
      </c>
      <c r="S195" t="b">
        <v>0</v>
      </c>
      <c r="T195">
        <v>216</v>
      </c>
      <c r="U195">
        <v>0</v>
      </c>
      <c r="V195" t="s">
        <v>33</v>
      </c>
      <c r="W195" t="s">
        <v>33</v>
      </c>
      <c r="X195">
        <v>50</v>
      </c>
      <c r="Y195">
        <v>2936</v>
      </c>
      <c r="Z195" t="s">
        <v>34</v>
      </c>
      <c r="AA195">
        <v>2936</v>
      </c>
      <c r="AB195" t="s">
        <v>121</v>
      </c>
      <c r="AC195" t="s">
        <v>432</v>
      </c>
      <c r="AD195" t="str">
        <f t="shared" si="3"/>
        <v>Escobedo → Hidalgo</v>
      </c>
      <c r="AE195" t="s">
        <v>1358</v>
      </c>
      <c r="AF195" s="4">
        <v>45689</v>
      </c>
      <c r="AG195" t="str">
        <f>YEAR(Table1[[#This Row],[Fecha]])&amp;" - " &amp;UPPER(TEXT(Table1[[#This Row],[Fecha]],"mm-mmm"))</f>
        <v>2025 - 02-FEB</v>
      </c>
      <c r="AH195" s="5">
        <v>0</v>
      </c>
    </row>
    <row r="196" spans="1:34" x14ac:dyDescent="0.25">
      <c r="A196" t="s">
        <v>958</v>
      </c>
      <c r="B196">
        <v>2025</v>
      </c>
      <c r="C196">
        <v>2</v>
      </c>
      <c r="D196" s="1">
        <v>45698</v>
      </c>
      <c r="E196" s="1">
        <v>45698</v>
      </c>
      <c r="F196" s="1">
        <v>45698</v>
      </c>
      <c r="G196" s="1">
        <v>45698</v>
      </c>
      <c r="H196" s="2">
        <v>45698.664451817131</v>
      </c>
      <c r="I196">
        <v>2039</v>
      </c>
      <c r="J196" t="s">
        <v>30</v>
      </c>
      <c r="K196" t="s">
        <v>31</v>
      </c>
      <c r="L196">
        <v>50</v>
      </c>
      <c r="M196">
        <v>50</v>
      </c>
      <c r="N196" t="s">
        <v>32</v>
      </c>
      <c r="O196">
        <v>1</v>
      </c>
      <c r="P196">
        <v>150</v>
      </c>
      <c r="Q196" t="b">
        <v>1</v>
      </c>
      <c r="R196" t="b">
        <v>0</v>
      </c>
      <c r="S196" t="b">
        <v>0</v>
      </c>
      <c r="T196">
        <v>216</v>
      </c>
      <c r="U196">
        <v>0</v>
      </c>
      <c r="V196" t="s">
        <v>33</v>
      </c>
      <c r="W196" t="s">
        <v>33</v>
      </c>
      <c r="X196">
        <v>50</v>
      </c>
      <c r="Y196">
        <v>359</v>
      </c>
      <c r="Z196" t="s">
        <v>34</v>
      </c>
      <c r="AA196">
        <v>359</v>
      </c>
      <c r="AB196" t="s">
        <v>121</v>
      </c>
      <c r="AC196" t="s">
        <v>121</v>
      </c>
      <c r="AD196" t="str">
        <f t="shared" si="3"/>
        <v>Escobedo → Escobedo</v>
      </c>
      <c r="AE196" t="s">
        <v>1357</v>
      </c>
      <c r="AF196" s="4">
        <v>45689</v>
      </c>
      <c r="AG196" t="str">
        <f>YEAR(Table1[[#This Row],[Fecha]])&amp;" - " &amp;UPPER(TEXT(Table1[[#This Row],[Fecha]],"mm-mmm"))</f>
        <v>2025 - 02-FEB</v>
      </c>
      <c r="AH196" s="5">
        <v>0</v>
      </c>
    </row>
    <row r="197" spans="1:34" x14ac:dyDescent="0.25">
      <c r="A197" t="s">
        <v>609</v>
      </c>
      <c r="B197">
        <v>2025</v>
      </c>
      <c r="C197">
        <v>2</v>
      </c>
      <c r="D197" s="1">
        <v>45698</v>
      </c>
      <c r="E197" s="1">
        <v>45698</v>
      </c>
      <c r="F197" s="1">
        <v>45698</v>
      </c>
      <c r="G197" s="1">
        <v>45698</v>
      </c>
      <c r="H197" s="2">
        <v>45698.66476767361</v>
      </c>
      <c r="I197">
        <v>2039</v>
      </c>
      <c r="J197" t="s">
        <v>30</v>
      </c>
      <c r="K197" t="s">
        <v>31</v>
      </c>
      <c r="L197">
        <v>50</v>
      </c>
      <c r="M197">
        <v>50</v>
      </c>
      <c r="N197" t="s">
        <v>32</v>
      </c>
      <c r="O197">
        <v>1</v>
      </c>
      <c r="P197">
        <v>150</v>
      </c>
      <c r="Q197" t="b">
        <v>1</v>
      </c>
      <c r="R197" t="b">
        <v>0</v>
      </c>
      <c r="S197" t="b">
        <v>0</v>
      </c>
      <c r="T197">
        <v>216</v>
      </c>
      <c r="U197">
        <v>0</v>
      </c>
      <c r="V197" t="s">
        <v>33</v>
      </c>
      <c r="W197" t="s">
        <v>33</v>
      </c>
      <c r="X197">
        <v>50</v>
      </c>
      <c r="Y197">
        <v>2936</v>
      </c>
      <c r="Z197" t="s">
        <v>34</v>
      </c>
      <c r="AA197">
        <v>2936</v>
      </c>
      <c r="AB197" t="s">
        <v>121</v>
      </c>
      <c r="AC197" t="s">
        <v>432</v>
      </c>
      <c r="AD197" t="str">
        <f t="shared" si="3"/>
        <v>Escobedo → Hidalgo</v>
      </c>
      <c r="AE197" t="s">
        <v>1357</v>
      </c>
      <c r="AF197" s="4">
        <v>45689</v>
      </c>
      <c r="AG197" t="str">
        <f>YEAR(Table1[[#This Row],[Fecha]])&amp;" - " &amp;UPPER(TEXT(Table1[[#This Row],[Fecha]],"mm-mmm"))</f>
        <v>2025 - 02-FEB</v>
      </c>
      <c r="AH197" s="5">
        <v>0</v>
      </c>
    </row>
    <row r="198" spans="1:34" x14ac:dyDescent="0.25">
      <c r="A198" t="s">
        <v>610</v>
      </c>
      <c r="B198">
        <v>2025</v>
      </c>
      <c r="C198">
        <v>2</v>
      </c>
      <c r="D198" s="1">
        <v>45692</v>
      </c>
      <c r="E198" s="1">
        <v>45692</v>
      </c>
      <c r="F198" s="1">
        <v>45692</v>
      </c>
      <c r="G198" s="1">
        <v>45692</v>
      </c>
      <c r="H198" s="2">
        <v>45692.57800991898</v>
      </c>
      <c r="I198">
        <v>2039</v>
      </c>
      <c r="J198" t="s">
        <v>30</v>
      </c>
      <c r="K198" t="s">
        <v>31</v>
      </c>
      <c r="L198">
        <v>50</v>
      </c>
      <c r="M198">
        <v>50</v>
      </c>
      <c r="N198" t="s">
        <v>32</v>
      </c>
      <c r="O198">
        <v>1</v>
      </c>
      <c r="P198">
        <v>150</v>
      </c>
      <c r="Q198" t="b">
        <v>1</v>
      </c>
      <c r="R198" t="b">
        <v>0</v>
      </c>
      <c r="S198" t="b">
        <v>0</v>
      </c>
      <c r="T198">
        <v>216</v>
      </c>
      <c r="U198">
        <v>0</v>
      </c>
      <c r="V198" t="s">
        <v>33</v>
      </c>
      <c r="W198" t="s">
        <v>33</v>
      </c>
      <c r="X198">
        <v>50</v>
      </c>
      <c r="Y198">
        <v>2936</v>
      </c>
      <c r="Z198" t="s">
        <v>34</v>
      </c>
      <c r="AA198">
        <v>2936</v>
      </c>
      <c r="AB198" t="s">
        <v>121</v>
      </c>
      <c r="AC198" t="s">
        <v>432</v>
      </c>
      <c r="AD198" t="str">
        <f t="shared" si="3"/>
        <v>Escobedo → Hidalgo</v>
      </c>
      <c r="AE198" t="s">
        <v>1357</v>
      </c>
      <c r="AF198" s="4">
        <v>45689</v>
      </c>
      <c r="AG198" t="str">
        <f>YEAR(Table1[[#This Row],[Fecha]])&amp;" - " &amp;UPPER(TEXT(Table1[[#This Row],[Fecha]],"mm-mmm"))</f>
        <v>2025 - 02-FEB</v>
      </c>
      <c r="AH198" s="5">
        <v>0</v>
      </c>
    </row>
    <row r="199" spans="1:34" x14ac:dyDescent="0.25">
      <c r="A199" t="s">
        <v>959</v>
      </c>
      <c r="B199">
        <v>2025</v>
      </c>
      <c r="C199">
        <v>2</v>
      </c>
      <c r="D199" s="1">
        <v>45699</v>
      </c>
      <c r="E199" s="1">
        <v>45699</v>
      </c>
      <c r="F199" s="1">
        <v>45699</v>
      </c>
      <c r="G199" s="1">
        <v>45699</v>
      </c>
      <c r="H199" s="2">
        <v>45699.509946909726</v>
      </c>
      <c r="I199">
        <v>2039</v>
      </c>
      <c r="J199" t="s">
        <v>30</v>
      </c>
      <c r="K199" t="s">
        <v>31</v>
      </c>
      <c r="L199">
        <v>50</v>
      </c>
      <c r="M199">
        <v>50</v>
      </c>
      <c r="N199" t="s">
        <v>32</v>
      </c>
      <c r="O199">
        <v>1</v>
      </c>
      <c r="P199">
        <v>150</v>
      </c>
      <c r="Q199" t="b">
        <v>1</v>
      </c>
      <c r="R199" t="b">
        <v>0</v>
      </c>
      <c r="S199" t="b">
        <v>0</v>
      </c>
      <c r="T199">
        <v>216</v>
      </c>
      <c r="U199">
        <v>0</v>
      </c>
      <c r="V199" t="s">
        <v>33</v>
      </c>
      <c r="W199" t="s">
        <v>33</v>
      </c>
      <c r="X199">
        <v>50</v>
      </c>
      <c r="Y199">
        <v>359</v>
      </c>
      <c r="Z199" t="s">
        <v>34</v>
      </c>
      <c r="AA199">
        <v>359</v>
      </c>
      <c r="AB199" t="s">
        <v>121</v>
      </c>
      <c r="AC199" t="s">
        <v>121</v>
      </c>
      <c r="AD199" t="str">
        <f t="shared" si="3"/>
        <v>Escobedo → Escobedo</v>
      </c>
      <c r="AE199" t="s">
        <v>1357</v>
      </c>
      <c r="AF199" s="4">
        <v>45689</v>
      </c>
      <c r="AG199" t="str">
        <f>YEAR(Table1[[#This Row],[Fecha]])&amp;" - " &amp;UPPER(TEXT(Table1[[#This Row],[Fecha]],"mm-mmm"))</f>
        <v>2025 - 02-FEB</v>
      </c>
      <c r="AH199" s="5">
        <v>0</v>
      </c>
    </row>
    <row r="200" spans="1:34" x14ac:dyDescent="0.25">
      <c r="A200" t="s">
        <v>607</v>
      </c>
      <c r="B200">
        <v>2025</v>
      </c>
      <c r="C200">
        <v>2</v>
      </c>
      <c r="D200" s="1">
        <v>45699</v>
      </c>
      <c r="E200" s="1">
        <v>45699</v>
      </c>
      <c r="F200" s="1">
        <v>45699</v>
      </c>
      <c r="G200" s="1">
        <v>45699</v>
      </c>
      <c r="H200" s="2">
        <v>45699.509954710651</v>
      </c>
      <c r="I200">
        <v>2039</v>
      </c>
      <c r="J200" t="s">
        <v>30</v>
      </c>
      <c r="K200" t="s">
        <v>31</v>
      </c>
      <c r="L200">
        <v>50</v>
      </c>
      <c r="M200">
        <v>50</v>
      </c>
      <c r="N200" t="s">
        <v>32</v>
      </c>
      <c r="O200">
        <v>1</v>
      </c>
      <c r="P200">
        <v>150</v>
      </c>
      <c r="Q200" t="b">
        <v>1</v>
      </c>
      <c r="R200" t="b">
        <v>0</v>
      </c>
      <c r="S200" t="b">
        <v>0</v>
      </c>
      <c r="T200">
        <v>216</v>
      </c>
      <c r="U200">
        <v>0</v>
      </c>
      <c r="V200" t="s">
        <v>33</v>
      </c>
      <c r="W200" t="s">
        <v>33</v>
      </c>
      <c r="X200">
        <v>50</v>
      </c>
      <c r="Y200">
        <v>2936</v>
      </c>
      <c r="Z200" t="s">
        <v>34</v>
      </c>
      <c r="AA200">
        <v>2936</v>
      </c>
      <c r="AB200" t="s">
        <v>121</v>
      </c>
      <c r="AC200" t="s">
        <v>432</v>
      </c>
      <c r="AD200" t="str">
        <f t="shared" si="3"/>
        <v>Escobedo → Hidalgo</v>
      </c>
      <c r="AE200" t="s">
        <v>1357</v>
      </c>
      <c r="AF200" s="4">
        <v>45689</v>
      </c>
      <c r="AG200" t="str">
        <f>YEAR(Table1[[#This Row],[Fecha]])&amp;" - " &amp;UPPER(TEXT(Table1[[#This Row],[Fecha]],"mm-mmm"))</f>
        <v>2025 - 02-FEB</v>
      </c>
      <c r="AH200" s="5">
        <v>0</v>
      </c>
    </row>
    <row r="201" spans="1:34" x14ac:dyDescent="0.25">
      <c r="A201" t="s">
        <v>608</v>
      </c>
      <c r="B201">
        <v>2025</v>
      </c>
      <c r="C201">
        <v>2</v>
      </c>
      <c r="D201" s="1">
        <v>45699</v>
      </c>
      <c r="E201" s="1">
        <v>45699</v>
      </c>
      <c r="F201" s="1">
        <v>45699</v>
      </c>
      <c r="G201" s="1">
        <v>45699</v>
      </c>
      <c r="H201" s="1">
        <v>45699</v>
      </c>
      <c r="I201">
        <v>2050</v>
      </c>
      <c r="J201" t="s">
        <v>54</v>
      </c>
      <c r="K201" t="s">
        <v>31</v>
      </c>
      <c r="L201">
        <v>50</v>
      </c>
      <c r="M201">
        <v>50</v>
      </c>
      <c r="N201" t="s">
        <v>55</v>
      </c>
      <c r="O201">
        <v>1</v>
      </c>
      <c r="P201">
        <v>150</v>
      </c>
      <c r="Q201" t="b">
        <v>1</v>
      </c>
      <c r="R201" t="b">
        <v>0</v>
      </c>
      <c r="S201" t="b">
        <v>0</v>
      </c>
      <c r="T201">
        <v>216</v>
      </c>
      <c r="U201">
        <v>0</v>
      </c>
      <c r="V201" t="s">
        <v>33</v>
      </c>
      <c r="W201" t="s">
        <v>33</v>
      </c>
      <c r="X201">
        <v>50</v>
      </c>
      <c r="Y201">
        <v>2936</v>
      </c>
      <c r="Z201" t="s">
        <v>34</v>
      </c>
      <c r="AA201">
        <v>2936</v>
      </c>
      <c r="AB201" t="s">
        <v>121</v>
      </c>
      <c r="AC201" t="s">
        <v>432</v>
      </c>
      <c r="AD201" t="str">
        <f t="shared" si="3"/>
        <v>Escobedo → Hidalgo</v>
      </c>
      <c r="AE201" t="s">
        <v>1358</v>
      </c>
      <c r="AF201" s="4">
        <v>45689</v>
      </c>
      <c r="AG201" t="str">
        <f>YEAR(Table1[[#This Row],[Fecha]])&amp;" - " &amp;UPPER(TEXT(Table1[[#This Row],[Fecha]],"mm-mmm"))</f>
        <v>2025 - 02-FEB</v>
      </c>
      <c r="AH201" s="5">
        <v>0</v>
      </c>
    </row>
    <row r="202" spans="1:34" x14ac:dyDescent="0.25">
      <c r="A202" t="s">
        <v>960</v>
      </c>
      <c r="B202">
        <v>2025</v>
      </c>
      <c r="C202">
        <v>2</v>
      </c>
      <c r="D202" s="1">
        <v>45692</v>
      </c>
      <c r="E202" s="1">
        <v>45692</v>
      </c>
      <c r="F202" s="1">
        <v>45692</v>
      </c>
      <c r="G202" s="1">
        <v>45692</v>
      </c>
      <c r="H202" s="2">
        <v>45692.577997800923</v>
      </c>
      <c r="I202">
        <v>2039</v>
      </c>
      <c r="J202" t="s">
        <v>30</v>
      </c>
      <c r="K202" t="s">
        <v>31</v>
      </c>
      <c r="L202">
        <v>50</v>
      </c>
      <c r="M202">
        <v>50</v>
      </c>
      <c r="N202" t="s">
        <v>32</v>
      </c>
      <c r="O202">
        <v>1</v>
      </c>
      <c r="P202">
        <v>150</v>
      </c>
      <c r="Q202" t="b">
        <v>1</v>
      </c>
      <c r="R202" t="b">
        <v>0</v>
      </c>
      <c r="S202" t="b">
        <v>0</v>
      </c>
      <c r="T202">
        <v>216</v>
      </c>
      <c r="U202">
        <v>0</v>
      </c>
      <c r="V202" t="s">
        <v>33</v>
      </c>
      <c r="W202" t="s">
        <v>33</v>
      </c>
      <c r="X202">
        <v>50</v>
      </c>
      <c r="Y202">
        <v>359</v>
      </c>
      <c r="Z202" t="s">
        <v>34</v>
      </c>
      <c r="AA202">
        <v>359</v>
      </c>
      <c r="AB202" t="s">
        <v>121</v>
      </c>
      <c r="AC202" t="s">
        <v>121</v>
      </c>
      <c r="AD202" t="str">
        <f t="shared" si="3"/>
        <v>Escobedo → Escobedo</v>
      </c>
      <c r="AE202" t="s">
        <v>1357</v>
      </c>
      <c r="AF202" s="4">
        <v>45689</v>
      </c>
      <c r="AG202" t="str">
        <f>YEAR(Table1[[#This Row],[Fecha]])&amp;" - " &amp;UPPER(TEXT(Table1[[#This Row],[Fecha]],"mm-mmm"))</f>
        <v>2025 - 02-FEB</v>
      </c>
      <c r="AH202" s="5">
        <v>0</v>
      </c>
    </row>
    <row r="203" spans="1:34" x14ac:dyDescent="0.25">
      <c r="A203" t="s">
        <v>603</v>
      </c>
      <c r="B203">
        <v>2025</v>
      </c>
      <c r="C203">
        <v>2</v>
      </c>
      <c r="D203" s="1">
        <v>45692</v>
      </c>
      <c r="E203" s="1">
        <v>45692</v>
      </c>
      <c r="F203" s="1">
        <v>45692</v>
      </c>
      <c r="G203" s="1">
        <v>45692</v>
      </c>
      <c r="H203" s="2">
        <v>45692.578763194448</v>
      </c>
      <c r="I203">
        <v>2039</v>
      </c>
      <c r="J203" t="s">
        <v>30</v>
      </c>
      <c r="K203" t="s">
        <v>31</v>
      </c>
      <c r="L203">
        <v>50</v>
      </c>
      <c r="M203">
        <v>50</v>
      </c>
      <c r="N203" t="s">
        <v>32</v>
      </c>
      <c r="O203">
        <v>1</v>
      </c>
      <c r="P203">
        <v>150</v>
      </c>
      <c r="Q203" t="b">
        <v>1</v>
      </c>
      <c r="R203" t="b">
        <v>0</v>
      </c>
      <c r="S203" t="b">
        <v>0</v>
      </c>
      <c r="T203">
        <v>216</v>
      </c>
      <c r="U203">
        <v>0</v>
      </c>
      <c r="V203" t="s">
        <v>33</v>
      </c>
      <c r="W203" t="s">
        <v>33</v>
      </c>
      <c r="X203">
        <v>50</v>
      </c>
      <c r="Y203">
        <v>2936</v>
      </c>
      <c r="Z203" t="s">
        <v>34</v>
      </c>
      <c r="AA203">
        <v>2936</v>
      </c>
      <c r="AB203" t="s">
        <v>121</v>
      </c>
      <c r="AC203" t="s">
        <v>432</v>
      </c>
      <c r="AD203" t="str">
        <f t="shared" si="3"/>
        <v>Escobedo → Hidalgo</v>
      </c>
      <c r="AE203" t="s">
        <v>1357</v>
      </c>
      <c r="AF203" s="4">
        <v>45689</v>
      </c>
      <c r="AG203" t="str">
        <f>YEAR(Table1[[#This Row],[Fecha]])&amp;" - " &amp;UPPER(TEXT(Table1[[#This Row],[Fecha]],"mm-mmm"))</f>
        <v>2025 - 02-FEB</v>
      </c>
      <c r="AH203" s="5">
        <v>0</v>
      </c>
    </row>
    <row r="204" spans="1:34" x14ac:dyDescent="0.25">
      <c r="A204" t="s">
        <v>687</v>
      </c>
      <c r="B204">
        <v>2025</v>
      </c>
      <c r="C204">
        <v>2</v>
      </c>
      <c r="D204" s="1">
        <v>45699</v>
      </c>
      <c r="E204" s="1">
        <v>45699</v>
      </c>
      <c r="F204" s="1">
        <v>45700</v>
      </c>
      <c r="G204" s="1">
        <v>45700</v>
      </c>
      <c r="H204" s="2">
        <v>45700.446550462962</v>
      </c>
      <c r="I204">
        <v>2039</v>
      </c>
      <c r="J204" t="s">
        <v>30</v>
      </c>
      <c r="K204" t="s">
        <v>31</v>
      </c>
      <c r="L204">
        <v>243</v>
      </c>
      <c r="M204">
        <v>243</v>
      </c>
      <c r="N204" t="s">
        <v>32</v>
      </c>
      <c r="O204">
        <v>1</v>
      </c>
      <c r="P204">
        <v>269</v>
      </c>
      <c r="Q204" t="b">
        <v>1</v>
      </c>
      <c r="R204" t="b">
        <v>0</v>
      </c>
      <c r="S204" t="b">
        <v>0</v>
      </c>
      <c r="T204">
        <v>583</v>
      </c>
      <c r="U204">
        <v>0</v>
      </c>
      <c r="V204" t="s">
        <v>33</v>
      </c>
      <c r="W204" t="s">
        <v>33</v>
      </c>
      <c r="X204">
        <v>300</v>
      </c>
      <c r="Y204">
        <v>3875</v>
      </c>
      <c r="Z204" t="s">
        <v>261</v>
      </c>
      <c r="AA204">
        <v>3875</v>
      </c>
      <c r="AB204" t="s">
        <v>121</v>
      </c>
      <c r="AC204" t="s">
        <v>681</v>
      </c>
      <c r="AD204" t="str">
        <f t="shared" si="3"/>
        <v>Escobedo → Anáhuac</v>
      </c>
      <c r="AE204" t="s">
        <v>1357</v>
      </c>
      <c r="AF204" s="4">
        <v>45689</v>
      </c>
      <c r="AG204" t="str">
        <f>YEAR(Table1[[#This Row],[Fecha]])&amp;" - " &amp;UPPER(TEXT(Table1[[#This Row],[Fecha]],"mm-mmm"))</f>
        <v>2025 - 02-FEB</v>
      </c>
      <c r="AH204" s="5">
        <v>0</v>
      </c>
    </row>
    <row r="205" spans="1:34" x14ac:dyDescent="0.25">
      <c r="A205" t="s">
        <v>604</v>
      </c>
      <c r="B205">
        <v>2025</v>
      </c>
      <c r="C205">
        <v>2</v>
      </c>
      <c r="D205" s="1">
        <v>45699</v>
      </c>
      <c r="E205" s="1">
        <v>45699</v>
      </c>
      <c r="F205" s="1">
        <v>45699</v>
      </c>
      <c r="G205" s="1">
        <v>45699</v>
      </c>
      <c r="H205" s="2">
        <v>45700.265085300925</v>
      </c>
      <c r="I205">
        <v>2039</v>
      </c>
      <c r="J205" t="s">
        <v>30</v>
      </c>
      <c r="K205" t="s">
        <v>31</v>
      </c>
      <c r="L205">
        <v>50</v>
      </c>
      <c r="M205">
        <v>50</v>
      </c>
      <c r="N205" t="s">
        <v>32</v>
      </c>
      <c r="O205">
        <v>1</v>
      </c>
      <c r="P205">
        <v>150</v>
      </c>
      <c r="Q205" t="b">
        <v>1</v>
      </c>
      <c r="R205" t="b">
        <v>0</v>
      </c>
      <c r="S205" t="b">
        <v>0</v>
      </c>
      <c r="T205">
        <v>216</v>
      </c>
      <c r="U205">
        <v>0</v>
      </c>
      <c r="V205" t="s">
        <v>33</v>
      </c>
      <c r="W205" t="s">
        <v>33</v>
      </c>
      <c r="X205">
        <v>50</v>
      </c>
      <c r="Y205">
        <v>2936</v>
      </c>
      <c r="Z205" t="s">
        <v>34</v>
      </c>
      <c r="AA205">
        <v>2936</v>
      </c>
      <c r="AB205" t="s">
        <v>121</v>
      </c>
      <c r="AC205" t="s">
        <v>432</v>
      </c>
      <c r="AD205" t="str">
        <f t="shared" si="3"/>
        <v>Escobedo → Hidalgo</v>
      </c>
      <c r="AE205" t="s">
        <v>1357</v>
      </c>
      <c r="AF205" s="4">
        <v>45689</v>
      </c>
      <c r="AG205" t="str">
        <f>YEAR(Table1[[#This Row],[Fecha]])&amp;" - " &amp;UPPER(TEXT(Table1[[#This Row],[Fecha]],"mm-mmm"))</f>
        <v>2025 - 02-FEB</v>
      </c>
      <c r="AH205" s="5">
        <v>0</v>
      </c>
    </row>
    <row r="206" spans="1:34" x14ac:dyDescent="0.25">
      <c r="A206" t="s">
        <v>605</v>
      </c>
      <c r="B206">
        <v>2025</v>
      </c>
      <c r="C206">
        <v>2</v>
      </c>
      <c r="D206" s="1">
        <v>45699</v>
      </c>
      <c r="E206" s="1">
        <v>45699</v>
      </c>
      <c r="F206" s="1">
        <v>45699</v>
      </c>
      <c r="G206" s="1">
        <v>45699</v>
      </c>
      <c r="H206" s="2">
        <v>45700.266147604169</v>
      </c>
      <c r="I206">
        <v>2039</v>
      </c>
      <c r="J206" t="s">
        <v>30</v>
      </c>
      <c r="K206" t="s">
        <v>31</v>
      </c>
      <c r="L206">
        <v>50</v>
      </c>
      <c r="M206">
        <v>50</v>
      </c>
      <c r="N206" t="s">
        <v>32</v>
      </c>
      <c r="O206">
        <v>1</v>
      </c>
      <c r="P206">
        <v>150</v>
      </c>
      <c r="Q206" t="b">
        <v>1</v>
      </c>
      <c r="R206" t="b">
        <v>0</v>
      </c>
      <c r="S206" t="b">
        <v>0</v>
      </c>
      <c r="T206">
        <v>216</v>
      </c>
      <c r="U206">
        <v>0</v>
      </c>
      <c r="V206" t="s">
        <v>33</v>
      </c>
      <c r="W206" t="s">
        <v>33</v>
      </c>
      <c r="X206">
        <v>50</v>
      </c>
      <c r="Y206">
        <v>2936</v>
      </c>
      <c r="Z206" t="s">
        <v>34</v>
      </c>
      <c r="AA206">
        <v>2936</v>
      </c>
      <c r="AB206" t="s">
        <v>121</v>
      </c>
      <c r="AC206" t="s">
        <v>432</v>
      </c>
      <c r="AD206" t="str">
        <f t="shared" si="3"/>
        <v>Escobedo → Hidalgo</v>
      </c>
      <c r="AE206" t="s">
        <v>1357</v>
      </c>
      <c r="AF206" s="4">
        <v>45689</v>
      </c>
      <c r="AG206" t="str">
        <f>YEAR(Table1[[#This Row],[Fecha]])&amp;" - " &amp;UPPER(TEXT(Table1[[#This Row],[Fecha]],"mm-mmm"))</f>
        <v>2025 - 02-FEB</v>
      </c>
      <c r="AH206" s="5">
        <v>0</v>
      </c>
    </row>
    <row r="207" spans="1:34" x14ac:dyDescent="0.25">
      <c r="A207" t="s">
        <v>606</v>
      </c>
      <c r="B207">
        <v>2025</v>
      </c>
      <c r="C207">
        <v>2</v>
      </c>
      <c r="D207" s="1">
        <v>45699</v>
      </c>
      <c r="E207" s="1">
        <v>45699</v>
      </c>
      <c r="F207" s="1">
        <v>45699</v>
      </c>
      <c r="G207" s="1">
        <v>45699</v>
      </c>
      <c r="H207" s="2">
        <v>45700.266711307871</v>
      </c>
      <c r="I207">
        <v>2039</v>
      </c>
      <c r="J207" t="s">
        <v>30</v>
      </c>
      <c r="K207" t="s">
        <v>31</v>
      </c>
      <c r="L207">
        <v>50</v>
      </c>
      <c r="M207">
        <v>50</v>
      </c>
      <c r="N207" t="s">
        <v>32</v>
      </c>
      <c r="O207">
        <v>1</v>
      </c>
      <c r="P207">
        <v>150</v>
      </c>
      <c r="Q207" t="b">
        <v>1</v>
      </c>
      <c r="R207" t="b">
        <v>0</v>
      </c>
      <c r="S207" t="b">
        <v>0</v>
      </c>
      <c r="T207">
        <v>216</v>
      </c>
      <c r="U207">
        <v>0</v>
      </c>
      <c r="V207" t="s">
        <v>33</v>
      </c>
      <c r="W207" t="s">
        <v>33</v>
      </c>
      <c r="X207">
        <v>50</v>
      </c>
      <c r="Y207">
        <v>2936</v>
      </c>
      <c r="Z207" t="s">
        <v>34</v>
      </c>
      <c r="AA207">
        <v>2936</v>
      </c>
      <c r="AB207" t="s">
        <v>121</v>
      </c>
      <c r="AC207" t="s">
        <v>432</v>
      </c>
      <c r="AD207" t="str">
        <f t="shared" si="3"/>
        <v>Escobedo → Hidalgo</v>
      </c>
      <c r="AE207" t="s">
        <v>1357</v>
      </c>
      <c r="AF207" s="4">
        <v>45689</v>
      </c>
      <c r="AG207" t="str">
        <f>YEAR(Table1[[#This Row],[Fecha]])&amp;" - " &amp;UPPER(TEXT(Table1[[#This Row],[Fecha]],"mm-mmm"))</f>
        <v>2025 - 02-FEB</v>
      </c>
      <c r="AH207" s="5">
        <v>0</v>
      </c>
    </row>
    <row r="208" spans="1:34" x14ac:dyDescent="0.25">
      <c r="A208" t="s">
        <v>961</v>
      </c>
      <c r="B208">
        <v>2025</v>
      </c>
      <c r="C208">
        <v>2</v>
      </c>
      <c r="D208" s="1">
        <v>45699</v>
      </c>
      <c r="E208" s="1">
        <v>45699</v>
      </c>
      <c r="F208" s="1">
        <v>45699</v>
      </c>
      <c r="G208" s="1">
        <v>45699</v>
      </c>
      <c r="H208" s="2">
        <v>45700.267251354169</v>
      </c>
      <c r="I208">
        <v>2039</v>
      </c>
      <c r="J208" t="s">
        <v>30</v>
      </c>
      <c r="K208" t="s">
        <v>31</v>
      </c>
      <c r="L208">
        <v>50</v>
      </c>
      <c r="M208">
        <v>50</v>
      </c>
      <c r="N208" t="s">
        <v>32</v>
      </c>
      <c r="O208">
        <v>1</v>
      </c>
      <c r="P208">
        <v>150</v>
      </c>
      <c r="Q208" t="b">
        <v>1</v>
      </c>
      <c r="R208" t="b">
        <v>0</v>
      </c>
      <c r="S208" t="b">
        <v>0</v>
      </c>
      <c r="T208">
        <v>216</v>
      </c>
      <c r="U208">
        <v>0</v>
      </c>
      <c r="V208" t="s">
        <v>33</v>
      </c>
      <c r="W208" t="s">
        <v>33</v>
      </c>
      <c r="X208">
        <v>50</v>
      </c>
      <c r="Y208">
        <v>359</v>
      </c>
      <c r="Z208" t="s">
        <v>34</v>
      </c>
      <c r="AA208">
        <v>359</v>
      </c>
      <c r="AB208" t="s">
        <v>121</v>
      </c>
      <c r="AC208" t="s">
        <v>121</v>
      </c>
      <c r="AD208" t="str">
        <f t="shared" si="3"/>
        <v>Escobedo → Escobedo</v>
      </c>
      <c r="AE208" t="s">
        <v>1357</v>
      </c>
      <c r="AF208" s="4">
        <v>45689</v>
      </c>
      <c r="AG208" t="str">
        <f>YEAR(Table1[[#This Row],[Fecha]])&amp;" - " &amp;UPPER(TEXT(Table1[[#This Row],[Fecha]],"mm-mmm"))</f>
        <v>2025 - 02-FEB</v>
      </c>
      <c r="AH208" s="5">
        <v>0</v>
      </c>
    </row>
    <row r="209" spans="1:34" x14ac:dyDescent="0.25">
      <c r="A209" t="s">
        <v>962</v>
      </c>
      <c r="B209">
        <v>2025</v>
      </c>
      <c r="C209">
        <v>2</v>
      </c>
      <c r="D209" s="1">
        <v>45699</v>
      </c>
      <c r="E209" s="1">
        <v>45699</v>
      </c>
      <c r="F209" s="1">
        <v>45699</v>
      </c>
      <c r="G209" s="1">
        <v>45699</v>
      </c>
      <c r="H209" s="2">
        <v>45700.26760107639</v>
      </c>
      <c r="I209">
        <v>2039</v>
      </c>
      <c r="J209" t="s">
        <v>30</v>
      </c>
      <c r="K209" t="s">
        <v>31</v>
      </c>
      <c r="L209">
        <v>50</v>
      </c>
      <c r="M209">
        <v>50</v>
      </c>
      <c r="N209" t="s">
        <v>32</v>
      </c>
      <c r="O209">
        <v>1</v>
      </c>
      <c r="P209">
        <v>150</v>
      </c>
      <c r="Q209" t="b">
        <v>1</v>
      </c>
      <c r="R209" t="b">
        <v>0</v>
      </c>
      <c r="S209" t="b">
        <v>0</v>
      </c>
      <c r="T209">
        <v>216</v>
      </c>
      <c r="U209">
        <v>0</v>
      </c>
      <c r="V209" t="s">
        <v>33</v>
      </c>
      <c r="W209" t="s">
        <v>33</v>
      </c>
      <c r="X209">
        <v>50</v>
      </c>
      <c r="Y209">
        <v>359</v>
      </c>
      <c r="Z209" t="s">
        <v>34</v>
      </c>
      <c r="AA209">
        <v>359</v>
      </c>
      <c r="AB209" t="s">
        <v>121</v>
      </c>
      <c r="AC209" t="s">
        <v>121</v>
      </c>
      <c r="AD209" t="str">
        <f t="shared" si="3"/>
        <v>Escobedo → Escobedo</v>
      </c>
      <c r="AE209" t="s">
        <v>1357</v>
      </c>
      <c r="AF209" s="4">
        <v>45689</v>
      </c>
      <c r="AG209" t="str">
        <f>YEAR(Table1[[#This Row],[Fecha]])&amp;" - " &amp;UPPER(TEXT(Table1[[#This Row],[Fecha]],"mm-mmm"))</f>
        <v>2025 - 02-FEB</v>
      </c>
      <c r="AH209" s="5">
        <v>0</v>
      </c>
    </row>
    <row r="210" spans="1:34" x14ac:dyDescent="0.25">
      <c r="A210" t="s">
        <v>601</v>
      </c>
      <c r="B210">
        <v>2025</v>
      </c>
      <c r="C210">
        <v>2</v>
      </c>
      <c r="D210" s="1">
        <v>45699</v>
      </c>
      <c r="E210" s="1">
        <v>45699</v>
      </c>
      <c r="F210" s="1">
        <v>45699</v>
      </c>
      <c r="G210" s="1">
        <v>45699</v>
      </c>
      <c r="H210" s="1">
        <v>45699</v>
      </c>
      <c r="I210">
        <v>2050</v>
      </c>
      <c r="J210" t="s">
        <v>54</v>
      </c>
      <c r="K210" t="s">
        <v>31</v>
      </c>
      <c r="L210">
        <v>50</v>
      </c>
      <c r="M210">
        <v>50</v>
      </c>
      <c r="N210" t="s">
        <v>55</v>
      </c>
      <c r="O210">
        <v>1</v>
      </c>
      <c r="P210">
        <v>150</v>
      </c>
      <c r="Q210" t="b">
        <v>1</v>
      </c>
      <c r="R210" t="b">
        <v>0</v>
      </c>
      <c r="S210" t="b">
        <v>0</v>
      </c>
      <c r="T210">
        <v>216</v>
      </c>
      <c r="U210">
        <v>0</v>
      </c>
      <c r="V210" t="s">
        <v>33</v>
      </c>
      <c r="W210" t="s">
        <v>33</v>
      </c>
      <c r="X210">
        <v>50</v>
      </c>
      <c r="Y210">
        <v>2936</v>
      </c>
      <c r="Z210" t="s">
        <v>34</v>
      </c>
      <c r="AA210">
        <v>2936</v>
      </c>
      <c r="AB210" t="s">
        <v>121</v>
      </c>
      <c r="AC210" t="s">
        <v>432</v>
      </c>
      <c r="AD210" t="str">
        <f t="shared" si="3"/>
        <v>Escobedo → Hidalgo</v>
      </c>
      <c r="AE210" t="s">
        <v>1358</v>
      </c>
      <c r="AF210" s="4">
        <v>45689</v>
      </c>
      <c r="AG210" t="str">
        <f>YEAR(Table1[[#This Row],[Fecha]])&amp;" - " &amp;UPPER(TEXT(Table1[[#This Row],[Fecha]],"mm-mmm"))</f>
        <v>2025 - 02-FEB</v>
      </c>
      <c r="AH210" s="5">
        <v>0</v>
      </c>
    </row>
    <row r="211" spans="1:34" x14ac:dyDescent="0.25">
      <c r="A211" t="s">
        <v>602</v>
      </c>
      <c r="B211">
        <v>2025</v>
      </c>
      <c r="C211">
        <v>2</v>
      </c>
      <c r="D211" s="1">
        <v>45699</v>
      </c>
      <c r="E211" s="1">
        <v>45699</v>
      </c>
      <c r="F211" s="1">
        <v>45699</v>
      </c>
      <c r="G211" s="1">
        <v>45699</v>
      </c>
      <c r="H211" s="1">
        <v>45699</v>
      </c>
      <c r="I211">
        <v>2050</v>
      </c>
      <c r="J211" t="s">
        <v>54</v>
      </c>
      <c r="K211" t="s">
        <v>31</v>
      </c>
      <c r="L211">
        <v>50</v>
      </c>
      <c r="M211">
        <v>50</v>
      </c>
      <c r="N211" t="s">
        <v>55</v>
      </c>
      <c r="O211">
        <v>1</v>
      </c>
      <c r="P211">
        <v>150</v>
      </c>
      <c r="Q211" t="b">
        <v>1</v>
      </c>
      <c r="R211" t="b">
        <v>0</v>
      </c>
      <c r="S211" t="b">
        <v>0</v>
      </c>
      <c r="T211">
        <v>216</v>
      </c>
      <c r="U211">
        <v>0</v>
      </c>
      <c r="V211" t="s">
        <v>33</v>
      </c>
      <c r="W211" t="s">
        <v>33</v>
      </c>
      <c r="X211">
        <v>50</v>
      </c>
      <c r="Y211">
        <v>2936</v>
      </c>
      <c r="Z211" t="s">
        <v>34</v>
      </c>
      <c r="AA211">
        <v>2936</v>
      </c>
      <c r="AB211" t="s">
        <v>121</v>
      </c>
      <c r="AC211" t="s">
        <v>432</v>
      </c>
      <c r="AD211" t="str">
        <f t="shared" si="3"/>
        <v>Escobedo → Hidalgo</v>
      </c>
      <c r="AE211" t="s">
        <v>1358</v>
      </c>
      <c r="AF211" s="4">
        <v>45689</v>
      </c>
      <c r="AG211" t="str">
        <f>YEAR(Table1[[#This Row],[Fecha]])&amp;" - " &amp;UPPER(TEXT(Table1[[#This Row],[Fecha]],"mm-mmm"))</f>
        <v>2025 - 02-FEB</v>
      </c>
      <c r="AH211" s="5">
        <v>0</v>
      </c>
    </row>
    <row r="212" spans="1:34" x14ac:dyDescent="0.25">
      <c r="A212" t="s">
        <v>892</v>
      </c>
      <c r="B212">
        <v>2025</v>
      </c>
      <c r="C212">
        <v>2</v>
      </c>
      <c r="D212" s="1">
        <v>45699</v>
      </c>
      <c r="E212" s="1">
        <v>45699</v>
      </c>
      <c r="F212" s="1">
        <v>45699</v>
      </c>
      <c r="G212" s="1">
        <v>45699</v>
      </c>
      <c r="H212" s="2">
        <v>45699.8839246875</v>
      </c>
      <c r="I212">
        <v>2050</v>
      </c>
      <c r="J212" t="s">
        <v>54</v>
      </c>
      <c r="K212" t="s">
        <v>31</v>
      </c>
      <c r="L212">
        <v>50</v>
      </c>
      <c r="M212">
        <v>50</v>
      </c>
      <c r="N212" t="s">
        <v>55</v>
      </c>
      <c r="O212">
        <v>1</v>
      </c>
      <c r="P212">
        <v>150</v>
      </c>
      <c r="Q212" t="b">
        <v>1</v>
      </c>
      <c r="R212" t="b">
        <v>0</v>
      </c>
      <c r="S212" t="b">
        <v>0</v>
      </c>
      <c r="T212">
        <v>216</v>
      </c>
      <c r="U212">
        <v>0</v>
      </c>
      <c r="V212" t="s">
        <v>33</v>
      </c>
      <c r="W212" t="s">
        <v>33</v>
      </c>
      <c r="X212">
        <v>50</v>
      </c>
      <c r="Y212">
        <v>359</v>
      </c>
      <c r="Z212" t="s">
        <v>34</v>
      </c>
      <c r="AA212">
        <v>359</v>
      </c>
      <c r="AB212" t="s">
        <v>121</v>
      </c>
      <c r="AC212" t="s">
        <v>121</v>
      </c>
      <c r="AD212" t="str">
        <f t="shared" si="3"/>
        <v>Escobedo → Escobedo</v>
      </c>
      <c r="AE212" t="s">
        <v>1358</v>
      </c>
      <c r="AF212" s="4">
        <v>45689</v>
      </c>
      <c r="AG212" t="str">
        <f>YEAR(Table1[[#This Row],[Fecha]])&amp;" - " &amp;UPPER(TEXT(Table1[[#This Row],[Fecha]],"mm-mmm"))</f>
        <v>2025 - 02-FEB</v>
      </c>
      <c r="AH212" s="5">
        <v>0</v>
      </c>
    </row>
    <row r="213" spans="1:34" x14ac:dyDescent="0.25">
      <c r="A213" t="s">
        <v>893</v>
      </c>
      <c r="B213">
        <v>2025</v>
      </c>
      <c r="C213">
        <v>2</v>
      </c>
      <c r="D213" s="1">
        <v>45699</v>
      </c>
      <c r="E213" s="1">
        <v>45699</v>
      </c>
      <c r="F213" s="1">
        <v>45699</v>
      </c>
      <c r="G213" s="1">
        <v>45699</v>
      </c>
      <c r="H213" s="2">
        <v>45699.884764386574</v>
      </c>
      <c r="I213">
        <v>2050</v>
      </c>
      <c r="J213" t="s">
        <v>54</v>
      </c>
      <c r="K213" t="s">
        <v>31</v>
      </c>
      <c r="L213">
        <v>50</v>
      </c>
      <c r="M213">
        <v>50</v>
      </c>
      <c r="N213" t="s">
        <v>55</v>
      </c>
      <c r="O213">
        <v>1</v>
      </c>
      <c r="P213">
        <v>150</v>
      </c>
      <c r="Q213" t="b">
        <v>1</v>
      </c>
      <c r="R213" t="b">
        <v>0</v>
      </c>
      <c r="S213" t="b">
        <v>0</v>
      </c>
      <c r="T213">
        <v>216</v>
      </c>
      <c r="U213">
        <v>0</v>
      </c>
      <c r="V213" t="s">
        <v>33</v>
      </c>
      <c r="W213" t="s">
        <v>33</v>
      </c>
      <c r="X213">
        <v>50</v>
      </c>
      <c r="Y213">
        <v>359</v>
      </c>
      <c r="Z213" t="s">
        <v>34</v>
      </c>
      <c r="AA213">
        <v>359</v>
      </c>
      <c r="AB213" t="s">
        <v>121</v>
      </c>
      <c r="AC213" t="s">
        <v>121</v>
      </c>
      <c r="AD213" t="str">
        <f t="shared" si="3"/>
        <v>Escobedo → Escobedo</v>
      </c>
      <c r="AE213" t="s">
        <v>1358</v>
      </c>
      <c r="AF213" s="4">
        <v>45689</v>
      </c>
      <c r="AG213" t="str">
        <f>YEAR(Table1[[#This Row],[Fecha]])&amp;" - " &amp;UPPER(TEXT(Table1[[#This Row],[Fecha]],"mm-mmm"))</f>
        <v>2025 - 02-FEB</v>
      </c>
      <c r="AH213" s="5">
        <v>0</v>
      </c>
    </row>
    <row r="214" spans="1:34" x14ac:dyDescent="0.25">
      <c r="A214" t="s">
        <v>685</v>
      </c>
      <c r="B214">
        <v>2025</v>
      </c>
      <c r="C214">
        <v>2</v>
      </c>
      <c r="D214" s="1">
        <v>45700</v>
      </c>
      <c r="E214" s="1">
        <v>45700</v>
      </c>
      <c r="F214" s="1">
        <v>45701</v>
      </c>
      <c r="G214" s="1">
        <v>45701</v>
      </c>
      <c r="H214" s="2">
        <v>45701.55012068287</v>
      </c>
      <c r="I214">
        <v>2039</v>
      </c>
      <c r="J214" t="s">
        <v>30</v>
      </c>
      <c r="K214" t="s">
        <v>31</v>
      </c>
      <c r="L214">
        <v>243</v>
      </c>
      <c r="M214">
        <v>243</v>
      </c>
      <c r="N214" t="s">
        <v>32</v>
      </c>
      <c r="O214">
        <v>1</v>
      </c>
      <c r="P214">
        <v>269</v>
      </c>
      <c r="Q214" t="b">
        <v>1</v>
      </c>
      <c r="R214" t="b">
        <v>0</v>
      </c>
      <c r="S214" t="b">
        <v>0</v>
      </c>
      <c r="T214">
        <v>583</v>
      </c>
      <c r="U214">
        <v>0</v>
      </c>
      <c r="V214" t="s">
        <v>33</v>
      </c>
      <c r="W214" t="s">
        <v>33</v>
      </c>
      <c r="X214">
        <v>300</v>
      </c>
      <c r="Y214">
        <v>3875</v>
      </c>
      <c r="Z214" t="s">
        <v>106</v>
      </c>
      <c r="AA214">
        <v>3875</v>
      </c>
      <c r="AB214" t="s">
        <v>121</v>
      </c>
      <c r="AC214" t="s">
        <v>681</v>
      </c>
      <c r="AD214" t="str">
        <f t="shared" si="3"/>
        <v>Escobedo → Anáhuac</v>
      </c>
      <c r="AE214" t="s">
        <v>1357</v>
      </c>
      <c r="AF214" s="4">
        <v>45689</v>
      </c>
      <c r="AG214" t="str">
        <f>YEAR(Table1[[#This Row],[Fecha]])&amp;" - " &amp;UPPER(TEXT(Table1[[#This Row],[Fecha]],"mm-mmm"))</f>
        <v>2025 - 02-FEB</v>
      </c>
      <c r="AH214" s="5">
        <v>0</v>
      </c>
    </row>
    <row r="215" spans="1:34" x14ac:dyDescent="0.25">
      <c r="A215" t="s">
        <v>527</v>
      </c>
      <c r="B215">
        <v>2025</v>
      </c>
      <c r="C215">
        <v>2</v>
      </c>
      <c r="D215" s="1">
        <v>45701</v>
      </c>
      <c r="E215" s="1">
        <v>45701</v>
      </c>
      <c r="F215" s="1">
        <v>45701</v>
      </c>
      <c r="G215" s="1">
        <v>45701</v>
      </c>
      <c r="H215" s="2">
        <v>45701.760971412034</v>
      </c>
      <c r="I215">
        <v>2050</v>
      </c>
      <c r="J215" t="s">
        <v>54</v>
      </c>
      <c r="K215" t="s">
        <v>31</v>
      </c>
      <c r="L215">
        <v>50</v>
      </c>
      <c r="M215">
        <v>50</v>
      </c>
      <c r="N215" t="s">
        <v>55</v>
      </c>
      <c r="O215">
        <v>1</v>
      </c>
      <c r="P215">
        <v>150</v>
      </c>
      <c r="Q215" t="b">
        <v>1</v>
      </c>
      <c r="R215" t="b">
        <v>0</v>
      </c>
      <c r="S215" t="b">
        <v>0</v>
      </c>
      <c r="T215">
        <v>216</v>
      </c>
      <c r="U215">
        <v>0</v>
      </c>
      <c r="V215" t="s">
        <v>33</v>
      </c>
      <c r="W215" t="s">
        <v>33</v>
      </c>
      <c r="X215">
        <v>50</v>
      </c>
      <c r="Y215">
        <v>2936</v>
      </c>
      <c r="Z215" t="s">
        <v>34</v>
      </c>
      <c r="AA215">
        <v>2936</v>
      </c>
      <c r="AB215" t="s">
        <v>121</v>
      </c>
      <c r="AC215" t="s">
        <v>432</v>
      </c>
      <c r="AD215" t="str">
        <f t="shared" si="3"/>
        <v>Escobedo → Hidalgo</v>
      </c>
      <c r="AE215" t="s">
        <v>1358</v>
      </c>
      <c r="AF215" s="4">
        <v>45689</v>
      </c>
      <c r="AG215" t="str">
        <f>YEAR(Table1[[#This Row],[Fecha]])&amp;" - " &amp;UPPER(TEXT(Table1[[#This Row],[Fecha]],"mm-mmm"))</f>
        <v>2025 - 02-FEB</v>
      </c>
      <c r="AH215" s="5">
        <v>0</v>
      </c>
    </row>
    <row r="216" spans="1:34" x14ac:dyDescent="0.25">
      <c r="A216" t="s">
        <v>887</v>
      </c>
      <c r="B216">
        <v>2025</v>
      </c>
      <c r="C216">
        <v>2</v>
      </c>
      <c r="D216" s="1">
        <v>45701</v>
      </c>
      <c r="E216" s="1">
        <v>45701</v>
      </c>
      <c r="F216" s="1">
        <v>45701</v>
      </c>
      <c r="G216" s="1">
        <v>45701</v>
      </c>
      <c r="H216" s="2">
        <v>45701.836086342591</v>
      </c>
      <c r="I216">
        <v>2050</v>
      </c>
      <c r="J216" t="s">
        <v>54</v>
      </c>
      <c r="K216" t="s">
        <v>31</v>
      </c>
      <c r="L216">
        <v>50</v>
      </c>
      <c r="M216">
        <v>50</v>
      </c>
      <c r="N216" t="s">
        <v>55</v>
      </c>
      <c r="O216">
        <v>1</v>
      </c>
      <c r="P216">
        <v>150</v>
      </c>
      <c r="Q216" t="b">
        <v>1</v>
      </c>
      <c r="R216" t="b">
        <v>0</v>
      </c>
      <c r="S216" t="b">
        <v>0</v>
      </c>
      <c r="T216">
        <v>216</v>
      </c>
      <c r="U216">
        <v>0</v>
      </c>
      <c r="V216" t="s">
        <v>33</v>
      </c>
      <c r="W216" t="s">
        <v>33</v>
      </c>
      <c r="X216">
        <v>50</v>
      </c>
      <c r="Y216">
        <v>359</v>
      </c>
      <c r="Z216" t="s">
        <v>34</v>
      </c>
      <c r="AA216">
        <v>359</v>
      </c>
      <c r="AB216" t="s">
        <v>121</v>
      </c>
      <c r="AC216" t="s">
        <v>121</v>
      </c>
      <c r="AD216" t="str">
        <f t="shared" si="3"/>
        <v>Escobedo → Escobedo</v>
      </c>
      <c r="AE216" t="s">
        <v>1358</v>
      </c>
      <c r="AF216" s="4">
        <v>45689</v>
      </c>
      <c r="AG216" t="str">
        <f>YEAR(Table1[[#This Row],[Fecha]])&amp;" - " &amp;UPPER(TEXT(Table1[[#This Row],[Fecha]],"mm-mmm"))</f>
        <v>2025 - 02-FEB</v>
      </c>
      <c r="AH216" s="5">
        <v>0</v>
      </c>
    </row>
    <row r="217" spans="1:34" x14ac:dyDescent="0.25">
      <c r="A217" t="s">
        <v>888</v>
      </c>
      <c r="B217">
        <v>2025</v>
      </c>
      <c r="C217">
        <v>2</v>
      </c>
      <c r="D217" s="1">
        <v>45701</v>
      </c>
      <c r="E217" s="1">
        <v>45701</v>
      </c>
      <c r="F217" s="1">
        <v>45701</v>
      </c>
      <c r="G217" s="1">
        <v>45701</v>
      </c>
      <c r="H217" s="2">
        <v>45701.837151354164</v>
      </c>
      <c r="I217">
        <v>2050</v>
      </c>
      <c r="J217" t="s">
        <v>54</v>
      </c>
      <c r="K217" t="s">
        <v>31</v>
      </c>
      <c r="L217">
        <v>50</v>
      </c>
      <c r="M217">
        <v>50</v>
      </c>
      <c r="N217" t="s">
        <v>55</v>
      </c>
      <c r="O217">
        <v>1</v>
      </c>
      <c r="P217">
        <v>150</v>
      </c>
      <c r="Q217" t="b">
        <v>1</v>
      </c>
      <c r="R217" t="b">
        <v>0</v>
      </c>
      <c r="S217" t="b">
        <v>0</v>
      </c>
      <c r="T217">
        <v>216</v>
      </c>
      <c r="U217">
        <v>0</v>
      </c>
      <c r="V217" t="s">
        <v>33</v>
      </c>
      <c r="W217" t="s">
        <v>33</v>
      </c>
      <c r="X217">
        <v>50</v>
      </c>
      <c r="Y217">
        <v>359</v>
      </c>
      <c r="Z217" t="s">
        <v>34</v>
      </c>
      <c r="AA217">
        <v>359</v>
      </c>
      <c r="AB217" t="s">
        <v>121</v>
      </c>
      <c r="AC217" t="s">
        <v>121</v>
      </c>
      <c r="AD217" t="str">
        <f t="shared" si="3"/>
        <v>Escobedo → Escobedo</v>
      </c>
      <c r="AE217" t="s">
        <v>1358</v>
      </c>
      <c r="AF217" s="4">
        <v>45689</v>
      </c>
      <c r="AG217" t="str">
        <f>YEAR(Table1[[#This Row],[Fecha]])&amp;" - " &amp;UPPER(TEXT(Table1[[#This Row],[Fecha]],"mm-mmm"))</f>
        <v>2025 - 02-FEB</v>
      </c>
      <c r="AH217" s="5">
        <v>0</v>
      </c>
    </row>
    <row r="218" spans="1:34" x14ac:dyDescent="0.25">
      <c r="A218" t="s">
        <v>889</v>
      </c>
      <c r="B218">
        <v>2025</v>
      </c>
      <c r="C218">
        <v>2</v>
      </c>
      <c r="D218" s="1">
        <v>45701</v>
      </c>
      <c r="E218" s="1">
        <v>45701</v>
      </c>
      <c r="F218" s="1">
        <v>45701</v>
      </c>
      <c r="G218" s="1">
        <v>45701</v>
      </c>
      <c r="H218" s="2">
        <v>45701.838845057871</v>
      </c>
      <c r="I218">
        <v>2050</v>
      </c>
      <c r="J218" t="s">
        <v>54</v>
      </c>
      <c r="K218" t="s">
        <v>31</v>
      </c>
      <c r="L218">
        <v>50</v>
      </c>
      <c r="M218">
        <v>50</v>
      </c>
      <c r="N218" t="s">
        <v>55</v>
      </c>
      <c r="O218">
        <v>1</v>
      </c>
      <c r="P218">
        <v>150</v>
      </c>
      <c r="Q218" t="b">
        <v>1</v>
      </c>
      <c r="R218" t="b">
        <v>0</v>
      </c>
      <c r="S218" t="b">
        <v>0</v>
      </c>
      <c r="T218">
        <v>216</v>
      </c>
      <c r="U218">
        <v>0</v>
      </c>
      <c r="V218" t="s">
        <v>33</v>
      </c>
      <c r="W218" t="s">
        <v>33</v>
      </c>
      <c r="X218">
        <v>50</v>
      </c>
      <c r="Y218">
        <v>359</v>
      </c>
      <c r="Z218" t="s">
        <v>34</v>
      </c>
      <c r="AA218">
        <v>359</v>
      </c>
      <c r="AB218" t="s">
        <v>121</v>
      </c>
      <c r="AC218" t="s">
        <v>121</v>
      </c>
      <c r="AD218" t="str">
        <f t="shared" si="3"/>
        <v>Escobedo → Escobedo</v>
      </c>
      <c r="AE218" t="s">
        <v>1358</v>
      </c>
      <c r="AF218" s="4">
        <v>45689</v>
      </c>
      <c r="AG218" t="str">
        <f>YEAR(Table1[[#This Row],[Fecha]])&amp;" - " &amp;UPPER(TEXT(Table1[[#This Row],[Fecha]],"mm-mmm"))</f>
        <v>2025 - 02-FEB</v>
      </c>
      <c r="AH218" s="5">
        <v>0</v>
      </c>
    </row>
    <row r="219" spans="1:34" x14ac:dyDescent="0.25">
      <c r="A219" t="s">
        <v>890</v>
      </c>
      <c r="B219">
        <v>2025</v>
      </c>
      <c r="C219">
        <v>2</v>
      </c>
      <c r="D219" s="1">
        <v>45701</v>
      </c>
      <c r="E219" s="1">
        <v>45701</v>
      </c>
      <c r="F219" s="1">
        <v>45701</v>
      </c>
      <c r="G219" s="1">
        <v>45701</v>
      </c>
      <c r="H219" s="2">
        <v>45701.83981542824</v>
      </c>
      <c r="I219">
        <v>2050</v>
      </c>
      <c r="J219" t="s">
        <v>54</v>
      </c>
      <c r="K219" t="s">
        <v>31</v>
      </c>
      <c r="L219">
        <v>50</v>
      </c>
      <c r="M219">
        <v>50</v>
      </c>
      <c r="N219" t="s">
        <v>55</v>
      </c>
      <c r="O219">
        <v>1</v>
      </c>
      <c r="P219">
        <v>150</v>
      </c>
      <c r="Q219" t="b">
        <v>1</v>
      </c>
      <c r="R219" t="b">
        <v>0</v>
      </c>
      <c r="S219" t="b">
        <v>0</v>
      </c>
      <c r="T219">
        <v>216</v>
      </c>
      <c r="U219">
        <v>0</v>
      </c>
      <c r="V219" t="s">
        <v>33</v>
      </c>
      <c r="W219" t="s">
        <v>33</v>
      </c>
      <c r="X219">
        <v>50</v>
      </c>
      <c r="Y219">
        <v>359</v>
      </c>
      <c r="Z219" t="s">
        <v>34</v>
      </c>
      <c r="AA219">
        <v>359</v>
      </c>
      <c r="AB219" t="s">
        <v>121</v>
      </c>
      <c r="AC219" t="s">
        <v>121</v>
      </c>
      <c r="AD219" t="str">
        <f t="shared" si="3"/>
        <v>Escobedo → Escobedo</v>
      </c>
      <c r="AE219" t="s">
        <v>1358</v>
      </c>
      <c r="AF219" s="4">
        <v>45689</v>
      </c>
      <c r="AG219" t="str">
        <f>YEAR(Table1[[#This Row],[Fecha]])&amp;" - " &amp;UPPER(TEXT(Table1[[#This Row],[Fecha]],"mm-mmm"))</f>
        <v>2025 - 02-FEB</v>
      </c>
      <c r="AH219" s="5">
        <v>0</v>
      </c>
    </row>
    <row r="220" spans="1:34" x14ac:dyDescent="0.25">
      <c r="A220" t="s">
        <v>891</v>
      </c>
      <c r="B220">
        <v>2025</v>
      </c>
      <c r="C220">
        <v>2</v>
      </c>
      <c r="D220" s="1">
        <v>45701</v>
      </c>
      <c r="E220" s="1">
        <v>45701</v>
      </c>
      <c r="F220" s="1">
        <v>45701</v>
      </c>
      <c r="G220" s="1">
        <v>45701</v>
      </c>
      <c r="H220" s="2">
        <v>45701.841050578703</v>
      </c>
      <c r="I220">
        <v>2050</v>
      </c>
      <c r="J220" t="s">
        <v>54</v>
      </c>
      <c r="K220" t="s">
        <v>31</v>
      </c>
      <c r="L220">
        <v>50</v>
      </c>
      <c r="M220">
        <v>50</v>
      </c>
      <c r="N220" t="s">
        <v>55</v>
      </c>
      <c r="O220">
        <v>1</v>
      </c>
      <c r="P220">
        <v>150</v>
      </c>
      <c r="Q220" t="b">
        <v>1</v>
      </c>
      <c r="R220" t="b">
        <v>0</v>
      </c>
      <c r="S220" t="b">
        <v>0</v>
      </c>
      <c r="T220">
        <v>216</v>
      </c>
      <c r="U220">
        <v>0</v>
      </c>
      <c r="V220" t="s">
        <v>33</v>
      </c>
      <c r="W220" t="s">
        <v>33</v>
      </c>
      <c r="X220">
        <v>50</v>
      </c>
      <c r="Y220">
        <v>359</v>
      </c>
      <c r="Z220" t="s">
        <v>34</v>
      </c>
      <c r="AA220">
        <v>359</v>
      </c>
      <c r="AB220" t="s">
        <v>121</v>
      </c>
      <c r="AC220" t="s">
        <v>121</v>
      </c>
      <c r="AD220" t="str">
        <f t="shared" si="3"/>
        <v>Escobedo → Escobedo</v>
      </c>
      <c r="AE220" t="s">
        <v>1358</v>
      </c>
      <c r="AF220" s="4">
        <v>45689</v>
      </c>
      <c r="AG220" t="str">
        <f>YEAR(Table1[[#This Row],[Fecha]])&amp;" - " &amp;UPPER(TEXT(Table1[[#This Row],[Fecha]],"mm-mmm"))</f>
        <v>2025 - 02-FEB</v>
      </c>
      <c r="AH220" s="5">
        <v>0</v>
      </c>
    </row>
    <row r="221" spans="1:34" x14ac:dyDescent="0.25">
      <c r="A221" t="s">
        <v>524</v>
      </c>
      <c r="B221">
        <v>2025</v>
      </c>
      <c r="C221">
        <v>2</v>
      </c>
      <c r="D221" s="1">
        <v>45701</v>
      </c>
      <c r="E221" s="1">
        <v>45701</v>
      </c>
      <c r="F221" s="1">
        <v>45701</v>
      </c>
      <c r="G221" s="1">
        <v>45701</v>
      </c>
      <c r="H221" s="2">
        <v>45702.427136192127</v>
      </c>
      <c r="I221">
        <v>2050</v>
      </c>
      <c r="J221" t="s">
        <v>54</v>
      </c>
      <c r="K221" t="s">
        <v>31</v>
      </c>
      <c r="L221">
        <v>50</v>
      </c>
      <c r="M221">
        <v>50</v>
      </c>
      <c r="N221" t="s">
        <v>55</v>
      </c>
      <c r="O221">
        <v>1</v>
      </c>
      <c r="P221">
        <v>150</v>
      </c>
      <c r="Q221" t="b">
        <v>1</v>
      </c>
      <c r="R221" t="b">
        <v>0</v>
      </c>
      <c r="S221" t="b">
        <v>0</v>
      </c>
      <c r="T221">
        <v>216</v>
      </c>
      <c r="U221">
        <v>0</v>
      </c>
      <c r="V221" t="s">
        <v>33</v>
      </c>
      <c r="W221" t="s">
        <v>33</v>
      </c>
      <c r="X221">
        <v>50</v>
      </c>
      <c r="Y221">
        <v>2936</v>
      </c>
      <c r="Z221" t="s">
        <v>34</v>
      </c>
      <c r="AA221">
        <v>2936</v>
      </c>
      <c r="AB221" t="s">
        <v>121</v>
      </c>
      <c r="AC221" t="s">
        <v>432</v>
      </c>
      <c r="AD221" t="str">
        <f t="shared" si="3"/>
        <v>Escobedo → Hidalgo</v>
      </c>
      <c r="AE221" t="s">
        <v>1358</v>
      </c>
      <c r="AF221" s="4">
        <v>45689</v>
      </c>
      <c r="AG221" t="str">
        <f>YEAR(Table1[[#This Row],[Fecha]])&amp;" - " &amp;UPPER(TEXT(Table1[[#This Row],[Fecha]],"mm-mmm"))</f>
        <v>2025 - 02-FEB</v>
      </c>
      <c r="AH221" s="5">
        <v>0</v>
      </c>
    </row>
    <row r="222" spans="1:34" x14ac:dyDescent="0.25">
      <c r="A222" t="s">
        <v>894</v>
      </c>
      <c r="B222">
        <v>2025</v>
      </c>
      <c r="C222">
        <v>2</v>
      </c>
      <c r="D222" s="1">
        <v>45701</v>
      </c>
      <c r="E222" s="1">
        <v>45701</v>
      </c>
      <c r="F222" s="1">
        <v>45701</v>
      </c>
      <c r="G222" s="1">
        <v>45701</v>
      </c>
      <c r="H222" s="2">
        <v>45702.427820520832</v>
      </c>
      <c r="I222">
        <v>2050</v>
      </c>
      <c r="J222" t="s">
        <v>54</v>
      </c>
      <c r="K222" t="s">
        <v>31</v>
      </c>
      <c r="L222">
        <v>50</v>
      </c>
      <c r="M222">
        <v>50</v>
      </c>
      <c r="N222" t="s">
        <v>55</v>
      </c>
      <c r="O222">
        <v>1</v>
      </c>
      <c r="P222">
        <v>150</v>
      </c>
      <c r="Q222" t="b">
        <v>1</v>
      </c>
      <c r="R222" t="b">
        <v>0</v>
      </c>
      <c r="S222" t="b">
        <v>0</v>
      </c>
      <c r="T222">
        <v>216</v>
      </c>
      <c r="U222">
        <v>0</v>
      </c>
      <c r="V222" t="s">
        <v>33</v>
      </c>
      <c r="W222" t="s">
        <v>33</v>
      </c>
      <c r="X222">
        <v>50</v>
      </c>
      <c r="Y222">
        <v>359</v>
      </c>
      <c r="Z222" t="s">
        <v>34</v>
      </c>
      <c r="AA222">
        <v>359</v>
      </c>
      <c r="AB222" t="s">
        <v>121</v>
      </c>
      <c r="AC222" t="s">
        <v>121</v>
      </c>
      <c r="AD222" t="str">
        <f t="shared" si="3"/>
        <v>Escobedo → Escobedo</v>
      </c>
      <c r="AE222" t="s">
        <v>1358</v>
      </c>
      <c r="AF222" s="4">
        <v>45689</v>
      </c>
      <c r="AG222" t="str">
        <f>YEAR(Table1[[#This Row],[Fecha]])&amp;" - " &amp;UPPER(TEXT(Table1[[#This Row],[Fecha]],"mm-mmm"))</f>
        <v>2025 - 02-FEB</v>
      </c>
      <c r="AH222" s="5">
        <v>0</v>
      </c>
    </row>
    <row r="223" spans="1:34" x14ac:dyDescent="0.25">
      <c r="A223" t="s">
        <v>895</v>
      </c>
      <c r="B223">
        <v>2025</v>
      </c>
      <c r="C223">
        <v>2</v>
      </c>
      <c r="D223" s="1">
        <v>45701</v>
      </c>
      <c r="E223" s="1">
        <v>45701</v>
      </c>
      <c r="F223" s="1">
        <v>45701</v>
      </c>
      <c r="G223" s="1">
        <v>45701</v>
      </c>
      <c r="H223" s="2">
        <v>45702.428252928243</v>
      </c>
      <c r="I223">
        <v>2050</v>
      </c>
      <c r="J223" t="s">
        <v>54</v>
      </c>
      <c r="K223" t="s">
        <v>31</v>
      </c>
      <c r="L223">
        <v>50</v>
      </c>
      <c r="M223">
        <v>50</v>
      </c>
      <c r="N223" t="s">
        <v>55</v>
      </c>
      <c r="O223">
        <v>1</v>
      </c>
      <c r="P223">
        <v>150</v>
      </c>
      <c r="Q223" t="b">
        <v>1</v>
      </c>
      <c r="R223" t="b">
        <v>0</v>
      </c>
      <c r="S223" t="b">
        <v>0</v>
      </c>
      <c r="T223">
        <v>216</v>
      </c>
      <c r="U223">
        <v>0</v>
      </c>
      <c r="V223" t="s">
        <v>33</v>
      </c>
      <c r="W223" t="s">
        <v>33</v>
      </c>
      <c r="X223">
        <v>50</v>
      </c>
      <c r="Y223">
        <v>359</v>
      </c>
      <c r="Z223" t="s">
        <v>34</v>
      </c>
      <c r="AA223">
        <v>359</v>
      </c>
      <c r="AB223" t="s">
        <v>121</v>
      </c>
      <c r="AC223" t="s">
        <v>121</v>
      </c>
      <c r="AD223" t="str">
        <f t="shared" si="3"/>
        <v>Escobedo → Escobedo</v>
      </c>
      <c r="AE223" t="s">
        <v>1358</v>
      </c>
      <c r="AF223" s="4">
        <v>45689</v>
      </c>
      <c r="AG223" t="str">
        <f>YEAR(Table1[[#This Row],[Fecha]])&amp;" - " &amp;UPPER(TEXT(Table1[[#This Row],[Fecha]],"mm-mmm"))</f>
        <v>2025 - 02-FEB</v>
      </c>
      <c r="AH223" s="5">
        <v>0</v>
      </c>
    </row>
    <row r="224" spans="1:34" x14ac:dyDescent="0.25">
      <c r="A224" t="s">
        <v>523</v>
      </c>
      <c r="B224">
        <v>2025</v>
      </c>
      <c r="C224">
        <v>2</v>
      </c>
      <c r="D224" s="1">
        <v>45701</v>
      </c>
      <c r="E224" s="1">
        <v>45701</v>
      </c>
      <c r="F224" s="1">
        <v>45701</v>
      </c>
      <c r="G224" s="1">
        <v>45701</v>
      </c>
      <c r="H224" s="2">
        <v>45702.429377581022</v>
      </c>
      <c r="I224">
        <v>2050</v>
      </c>
      <c r="J224" t="s">
        <v>54</v>
      </c>
      <c r="K224" t="s">
        <v>31</v>
      </c>
      <c r="L224">
        <v>50</v>
      </c>
      <c r="M224">
        <v>50</v>
      </c>
      <c r="N224" t="s">
        <v>55</v>
      </c>
      <c r="O224">
        <v>1</v>
      </c>
      <c r="P224">
        <v>150</v>
      </c>
      <c r="Q224" t="b">
        <v>1</v>
      </c>
      <c r="R224" t="b">
        <v>0</v>
      </c>
      <c r="S224" t="b">
        <v>0</v>
      </c>
      <c r="T224">
        <v>216</v>
      </c>
      <c r="U224">
        <v>0</v>
      </c>
      <c r="V224" t="s">
        <v>33</v>
      </c>
      <c r="W224" t="s">
        <v>33</v>
      </c>
      <c r="X224">
        <v>50</v>
      </c>
      <c r="Y224">
        <v>2936</v>
      </c>
      <c r="Z224" t="s">
        <v>34</v>
      </c>
      <c r="AA224">
        <v>2936</v>
      </c>
      <c r="AB224" t="s">
        <v>121</v>
      </c>
      <c r="AC224" t="s">
        <v>432</v>
      </c>
      <c r="AD224" t="str">
        <f t="shared" si="3"/>
        <v>Escobedo → Hidalgo</v>
      </c>
      <c r="AE224" t="s">
        <v>1358</v>
      </c>
      <c r="AF224" s="4">
        <v>45689</v>
      </c>
      <c r="AG224" t="str">
        <f>YEAR(Table1[[#This Row],[Fecha]])&amp;" - " &amp;UPPER(TEXT(Table1[[#This Row],[Fecha]],"mm-mmm"))</f>
        <v>2025 - 02-FEB</v>
      </c>
      <c r="AH224" s="5">
        <v>0</v>
      </c>
    </row>
    <row r="225" spans="1:34" x14ac:dyDescent="0.25">
      <c r="A225" t="s">
        <v>896</v>
      </c>
      <c r="B225">
        <v>2025</v>
      </c>
      <c r="C225">
        <v>2</v>
      </c>
      <c r="D225" s="1">
        <v>45702</v>
      </c>
      <c r="E225" s="1">
        <v>45702</v>
      </c>
      <c r="F225" s="1">
        <v>45702</v>
      </c>
      <c r="G225" s="1">
        <v>45702</v>
      </c>
      <c r="H225" s="2">
        <v>45702.47597835648</v>
      </c>
      <c r="I225">
        <v>2039</v>
      </c>
      <c r="J225" t="s">
        <v>30</v>
      </c>
      <c r="K225" t="s">
        <v>31</v>
      </c>
      <c r="L225">
        <v>50</v>
      </c>
      <c r="M225">
        <v>50</v>
      </c>
      <c r="N225" t="s">
        <v>32</v>
      </c>
      <c r="O225">
        <v>1</v>
      </c>
      <c r="P225">
        <v>150</v>
      </c>
      <c r="Q225" t="b">
        <v>1</v>
      </c>
      <c r="R225" t="b">
        <v>0</v>
      </c>
      <c r="S225" t="b">
        <v>0</v>
      </c>
      <c r="T225">
        <v>216</v>
      </c>
      <c r="U225">
        <v>0</v>
      </c>
      <c r="V225" t="s">
        <v>33</v>
      </c>
      <c r="W225" t="s">
        <v>33</v>
      </c>
      <c r="X225">
        <v>50</v>
      </c>
      <c r="Y225">
        <v>359</v>
      </c>
      <c r="Z225" t="s">
        <v>34</v>
      </c>
      <c r="AA225">
        <v>359</v>
      </c>
      <c r="AB225" t="s">
        <v>121</v>
      </c>
      <c r="AC225" t="s">
        <v>121</v>
      </c>
      <c r="AD225" t="str">
        <f t="shared" si="3"/>
        <v>Escobedo → Escobedo</v>
      </c>
      <c r="AE225" t="s">
        <v>1357</v>
      </c>
      <c r="AF225" s="4">
        <v>45689</v>
      </c>
      <c r="AG225" t="str">
        <f>YEAR(Table1[[#This Row],[Fecha]])&amp;" - " &amp;UPPER(TEXT(Table1[[#This Row],[Fecha]],"mm-mmm"))</f>
        <v>2025 - 02-FEB</v>
      </c>
      <c r="AH225" s="5">
        <v>0</v>
      </c>
    </row>
    <row r="226" spans="1:34" x14ac:dyDescent="0.25">
      <c r="A226" t="s">
        <v>686</v>
      </c>
      <c r="B226">
        <v>2025</v>
      </c>
      <c r="C226">
        <v>2</v>
      </c>
      <c r="D226" s="1">
        <v>45702</v>
      </c>
      <c r="E226" s="1">
        <v>45702</v>
      </c>
      <c r="F226" s="1">
        <v>45702</v>
      </c>
      <c r="G226" s="1">
        <v>45702</v>
      </c>
      <c r="H226" s="2">
        <v>45702.566106631944</v>
      </c>
      <c r="I226">
        <v>2039</v>
      </c>
      <c r="J226" t="s">
        <v>30</v>
      </c>
      <c r="K226" t="s">
        <v>31</v>
      </c>
      <c r="L226">
        <v>243</v>
      </c>
      <c r="M226">
        <v>243</v>
      </c>
      <c r="N226" t="s">
        <v>32</v>
      </c>
      <c r="O226">
        <v>1</v>
      </c>
      <c r="P226">
        <v>269</v>
      </c>
      <c r="Q226" t="b">
        <v>1</v>
      </c>
      <c r="R226" t="b">
        <v>0</v>
      </c>
      <c r="S226" t="b">
        <v>0</v>
      </c>
      <c r="T226">
        <v>583</v>
      </c>
      <c r="U226">
        <v>0</v>
      </c>
      <c r="V226" t="s">
        <v>33</v>
      </c>
      <c r="W226" t="s">
        <v>33</v>
      </c>
      <c r="X226">
        <v>300</v>
      </c>
      <c r="Y226">
        <v>3875</v>
      </c>
      <c r="Z226" t="s">
        <v>106</v>
      </c>
      <c r="AA226">
        <v>3875</v>
      </c>
      <c r="AB226" t="s">
        <v>121</v>
      </c>
      <c r="AC226" t="s">
        <v>681</v>
      </c>
      <c r="AD226" t="str">
        <f t="shared" si="3"/>
        <v>Escobedo → Anáhuac</v>
      </c>
      <c r="AE226" t="s">
        <v>1357</v>
      </c>
      <c r="AF226" s="4">
        <v>45689</v>
      </c>
      <c r="AG226" t="str">
        <f>YEAR(Table1[[#This Row],[Fecha]])&amp;" - " &amp;UPPER(TEXT(Table1[[#This Row],[Fecha]],"mm-mmm"))</f>
        <v>2025 - 02-FEB</v>
      </c>
      <c r="AH226" s="5">
        <v>0</v>
      </c>
    </row>
    <row r="227" spans="1:34" x14ac:dyDescent="0.25">
      <c r="A227" t="s">
        <v>897</v>
      </c>
      <c r="B227">
        <v>2025</v>
      </c>
      <c r="C227">
        <v>2</v>
      </c>
      <c r="D227" s="1">
        <v>45702</v>
      </c>
      <c r="E227" s="1">
        <v>45702</v>
      </c>
      <c r="F227" s="1">
        <v>45702</v>
      </c>
      <c r="G227" s="1">
        <v>45702</v>
      </c>
      <c r="H227" s="2">
        <v>45703.584749421294</v>
      </c>
      <c r="I227">
        <v>2050</v>
      </c>
      <c r="J227" t="s">
        <v>54</v>
      </c>
      <c r="K227" t="s">
        <v>31</v>
      </c>
      <c r="L227">
        <v>50</v>
      </c>
      <c r="M227">
        <v>50</v>
      </c>
      <c r="N227" t="s">
        <v>55</v>
      </c>
      <c r="O227">
        <v>1</v>
      </c>
      <c r="P227">
        <v>150</v>
      </c>
      <c r="Q227" t="b">
        <v>1</v>
      </c>
      <c r="R227" t="b">
        <v>0</v>
      </c>
      <c r="S227" t="b">
        <v>0</v>
      </c>
      <c r="T227">
        <v>216</v>
      </c>
      <c r="U227">
        <v>0</v>
      </c>
      <c r="V227" t="s">
        <v>33</v>
      </c>
      <c r="W227" t="s">
        <v>33</v>
      </c>
      <c r="X227">
        <v>50</v>
      </c>
      <c r="Y227">
        <v>359</v>
      </c>
      <c r="Z227" t="s">
        <v>34</v>
      </c>
      <c r="AA227">
        <v>359</v>
      </c>
      <c r="AB227" t="s">
        <v>121</v>
      </c>
      <c r="AC227" t="s">
        <v>121</v>
      </c>
      <c r="AD227" t="str">
        <f t="shared" si="3"/>
        <v>Escobedo → Escobedo</v>
      </c>
      <c r="AE227" t="s">
        <v>1358</v>
      </c>
      <c r="AF227" s="4">
        <v>45689</v>
      </c>
      <c r="AG227" t="str">
        <f>YEAR(Table1[[#This Row],[Fecha]])&amp;" - " &amp;UPPER(TEXT(Table1[[#This Row],[Fecha]],"mm-mmm"))</f>
        <v>2025 - 02-FEB</v>
      </c>
      <c r="AH227" s="5">
        <v>0</v>
      </c>
    </row>
    <row r="228" spans="1:34" x14ac:dyDescent="0.25">
      <c r="A228" t="s">
        <v>898</v>
      </c>
      <c r="B228">
        <v>2025</v>
      </c>
      <c r="C228">
        <v>2</v>
      </c>
      <c r="D228" s="1">
        <v>45702</v>
      </c>
      <c r="E228" s="1">
        <v>45702</v>
      </c>
      <c r="F228" s="1">
        <v>45702</v>
      </c>
      <c r="G228" s="1">
        <v>45702</v>
      </c>
      <c r="H228" s="2">
        <v>45703.5854869213</v>
      </c>
      <c r="I228">
        <v>2050</v>
      </c>
      <c r="J228" t="s">
        <v>54</v>
      </c>
      <c r="K228" t="s">
        <v>31</v>
      </c>
      <c r="L228">
        <v>50</v>
      </c>
      <c r="M228">
        <v>50</v>
      </c>
      <c r="N228" t="s">
        <v>55</v>
      </c>
      <c r="O228">
        <v>1</v>
      </c>
      <c r="P228">
        <v>150</v>
      </c>
      <c r="Q228" t="b">
        <v>1</v>
      </c>
      <c r="R228" t="b">
        <v>0</v>
      </c>
      <c r="S228" t="b">
        <v>0</v>
      </c>
      <c r="T228">
        <v>216</v>
      </c>
      <c r="U228">
        <v>0</v>
      </c>
      <c r="V228" t="s">
        <v>33</v>
      </c>
      <c r="W228" t="s">
        <v>33</v>
      </c>
      <c r="X228">
        <v>50</v>
      </c>
      <c r="Y228">
        <v>359</v>
      </c>
      <c r="Z228" t="s">
        <v>34</v>
      </c>
      <c r="AA228">
        <v>359</v>
      </c>
      <c r="AB228" t="s">
        <v>121</v>
      </c>
      <c r="AC228" t="s">
        <v>121</v>
      </c>
      <c r="AD228" t="str">
        <f t="shared" si="3"/>
        <v>Escobedo → Escobedo</v>
      </c>
      <c r="AE228" t="s">
        <v>1358</v>
      </c>
      <c r="AF228" s="4">
        <v>45689</v>
      </c>
      <c r="AG228" t="str">
        <f>YEAR(Table1[[#This Row],[Fecha]])&amp;" - " &amp;UPPER(TEXT(Table1[[#This Row],[Fecha]],"mm-mmm"))</f>
        <v>2025 - 02-FEB</v>
      </c>
      <c r="AH228" s="5">
        <v>0</v>
      </c>
    </row>
    <row r="229" spans="1:34" x14ac:dyDescent="0.25">
      <c r="A229" t="s">
        <v>522</v>
      </c>
      <c r="B229">
        <v>2025</v>
      </c>
      <c r="C229">
        <v>2</v>
      </c>
      <c r="D229" s="1">
        <v>45702</v>
      </c>
      <c r="E229" s="1">
        <v>45702</v>
      </c>
      <c r="F229" s="1">
        <v>45702</v>
      </c>
      <c r="G229" s="1">
        <v>45702</v>
      </c>
      <c r="H229" s="2">
        <v>45703.586216469907</v>
      </c>
      <c r="I229">
        <v>2050</v>
      </c>
      <c r="J229" t="s">
        <v>54</v>
      </c>
      <c r="K229" t="s">
        <v>31</v>
      </c>
      <c r="L229">
        <v>50</v>
      </c>
      <c r="M229">
        <v>50</v>
      </c>
      <c r="N229" t="s">
        <v>55</v>
      </c>
      <c r="O229">
        <v>1</v>
      </c>
      <c r="P229">
        <v>150</v>
      </c>
      <c r="Q229" t="b">
        <v>1</v>
      </c>
      <c r="R229" t="b">
        <v>0</v>
      </c>
      <c r="S229" t="b">
        <v>0</v>
      </c>
      <c r="T229">
        <v>216</v>
      </c>
      <c r="U229">
        <v>0</v>
      </c>
      <c r="V229" t="s">
        <v>33</v>
      </c>
      <c r="W229" t="s">
        <v>33</v>
      </c>
      <c r="X229">
        <v>50</v>
      </c>
      <c r="Y229">
        <v>2936</v>
      </c>
      <c r="Z229" t="s">
        <v>34</v>
      </c>
      <c r="AA229">
        <v>2936</v>
      </c>
      <c r="AB229" t="s">
        <v>121</v>
      </c>
      <c r="AC229" t="s">
        <v>432</v>
      </c>
      <c r="AD229" t="str">
        <f t="shared" si="3"/>
        <v>Escobedo → Hidalgo</v>
      </c>
      <c r="AE229" t="s">
        <v>1358</v>
      </c>
      <c r="AF229" s="4">
        <v>45689</v>
      </c>
      <c r="AG229" t="str">
        <f>YEAR(Table1[[#This Row],[Fecha]])&amp;" - " &amp;UPPER(TEXT(Table1[[#This Row],[Fecha]],"mm-mmm"))</f>
        <v>2025 - 02-FEB</v>
      </c>
      <c r="AH229" s="5">
        <v>0</v>
      </c>
    </row>
    <row r="230" spans="1:34" x14ac:dyDescent="0.25">
      <c r="A230" t="s">
        <v>899</v>
      </c>
      <c r="B230">
        <v>2025</v>
      </c>
      <c r="C230">
        <v>2</v>
      </c>
      <c r="D230" s="1">
        <v>45702</v>
      </c>
      <c r="E230" s="1">
        <v>45702</v>
      </c>
      <c r="F230" s="1">
        <v>45702</v>
      </c>
      <c r="G230" s="1">
        <v>45702</v>
      </c>
      <c r="H230" s="2">
        <v>45703.587022569445</v>
      </c>
      <c r="I230">
        <v>2050</v>
      </c>
      <c r="J230" t="s">
        <v>54</v>
      </c>
      <c r="K230" t="s">
        <v>31</v>
      </c>
      <c r="L230">
        <v>50</v>
      </c>
      <c r="M230">
        <v>50</v>
      </c>
      <c r="N230" t="s">
        <v>55</v>
      </c>
      <c r="O230">
        <v>1</v>
      </c>
      <c r="P230">
        <v>150</v>
      </c>
      <c r="Q230" t="b">
        <v>1</v>
      </c>
      <c r="R230" t="b">
        <v>0</v>
      </c>
      <c r="S230" t="b">
        <v>0</v>
      </c>
      <c r="T230">
        <v>216</v>
      </c>
      <c r="U230">
        <v>0</v>
      </c>
      <c r="V230" t="s">
        <v>33</v>
      </c>
      <c r="W230" t="s">
        <v>33</v>
      </c>
      <c r="X230">
        <v>50</v>
      </c>
      <c r="Y230">
        <v>359</v>
      </c>
      <c r="Z230" t="s">
        <v>34</v>
      </c>
      <c r="AA230">
        <v>359</v>
      </c>
      <c r="AB230" t="s">
        <v>121</v>
      </c>
      <c r="AC230" t="s">
        <v>121</v>
      </c>
      <c r="AD230" t="str">
        <f t="shared" si="3"/>
        <v>Escobedo → Escobedo</v>
      </c>
      <c r="AE230" t="s">
        <v>1358</v>
      </c>
      <c r="AF230" s="4">
        <v>45689</v>
      </c>
      <c r="AG230" t="str">
        <f>YEAR(Table1[[#This Row],[Fecha]])&amp;" - " &amp;UPPER(TEXT(Table1[[#This Row],[Fecha]],"mm-mmm"))</f>
        <v>2025 - 02-FEB</v>
      </c>
      <c r="AH230" s="5">
        <v>0</v>
      </c>
    </row>
    <row r="231" spans="1:34" x14ac:dyDescent="0.25">
      <c r="A231" t="s">
        <v>900</v>
      </c>
      <c r="B231">
        <v>2025</v>
      </c>
      <c r="C231">
        <v>2</v>
      </c>
      <c r="D231" s="1">
        <v>45702</v>
      </c>
      <c r="E231" s="1">
        <v>45702</v>
      </c>
      <c r="F231" s="1">
        <v>45702</v>
      </c>
      <c r="G231" s="1">
        <v>45702</v>
      </c>
      <c r="H231" s="2">
        <v>45703.587937696757</v>
      </c>
      <c r="I231">
        <v>2050</v>
      </c>
      <c r="J231" t="s">
        <v>54</v>
      </c>
      <c r="K231" t="s">
        <v>31</v>
      </c>
      <c r="L231">
        <v>50</v>
      </c>
      <c r="M231">
        <v>50</v>
      </c>
      <c r="N231" t="s">
        <v>55</v>
      </c>
      <c r="O231">
        <v>1</v>
      </c>
      <c r="P231">
        <v>150</v>
      </c>
      <c r="Q231" t="b">
        <v>1</v>
      </c>
      <c r="R231" t="b">
        <v>0</v>
      </c>
      <c r="S231" t="b">
        <v>0</v>
      </c>
      <c r="T231">
        <v>216</v>
      </c>
      <c r="U231">
        <v>0</v>
      </c>
      <c r="V231" t="s">
        <v>33</v>
      </c>
      <c r="W231" t="s">
        <v>33</v>
      </c>
      <c r="X231">
        <v>50</v>
      </c>
      <c r="Y231">
        <v>359</v>
      </c>
      <c r="Z231" t="s">
        <v>34</v>
      </c>
      <c r="AA231">
        <v>359</v>
      </c>
      <c r="AB231" t="s">
        <v>121</v>
      </c>
      <c r="AC231" t="s">
        <v>121</v>
      </c>
      <c r="AD231" t="str">
        <f t="shared" si="3"/>
        <v>Escobedo → Escobedo</v>
      </c>
      <c r="AE231" t="s">
        <v>1358</v>
      </c>
      <c r="AF231" s="4">
        <v>45689</v>
      </c>
      <c r="AG231" t="str">
        <f>YEAR(Table1[[#This Row],[Fecha]])&amp;" - " &amp;UPPER(TEXT(Table1[[#This Row],[Fecha]],"mm-mmm"))</f>
        <v>2025 - 02-FEB</v>
      </c>
      <c r="AH231" s="5">
        <v>0</v>
      </c>
    </row>
    <row r="232" spans="1:34" x14ac:dyDescent="0.25">
      <c r="A232" t="s">
        <v>520</v>
      </c>
      <c r="B232">
        <v>2025</v>
      </c>
      <c r="C232">
        <v>2</v>
      </c>
      <c r="D232" s="1">
        <v>45702</v>
      </c>
      <c r="E232" s="1">
        <v>45702</v>
      </c>
      <c r="F232" s="1">
        <v>45702</v>
      </c>
      <c r="G232" s="1">
        <v>45702</v>
      </c>
      <c r="H232" s="2">
        <v>45703.228945567127</v>
      </c>
      <c r="I232">
        <v>2050</v>
      </c>
      <c r="J232" t="s">
        <v>54</v>
      </c>
      <c r="K232" t="s">
        <v>31</v>
      </c>
      <c r="L232">
        <v>50</v>
      </c>
      <c r="M232">
        <v>50</v>
      </c>
      <c r="N232" t="s">
        <v>55</v>
      </c>
      <c r="O232">
        <v>1</v>
      </c>
      <c r="P232">
        <v>150</v>
      </c>
      <c r="Q232" t="b">
        <v>1</v>
      </c>
      <c r="R232" t="b">
        <v>0</v>
      </c>
      <c r="S232" t="b">
        <v>0</v>
      </c>
      <c r="T232">
        <v>216</v>
      </c>
      <c r="U232">
        <v>0</v>
      </c>
      <c r="V232" t="s">
        <v>33</v>
      </c>
      <c r="W232" t="s">
        <v>33</v>
      </c>
      <c r="X232">
        <v>50</v>
      </c>
      <c r="Y232">
        <v>2936</v>
      </c>
      <c r="Z232" t="s">
        <v>34</v>
      </c>
      <c r="AA232">
        <v>2936</v>
      </c>
      <c r="AB232" t="s">
        <v>121</v>
      </c>
      <c r="AC232" t="s">
        <v>432</v>
      </c>
      <c r="AD232" t="str">
        <f t="shared" si="3"/>
        <v>Escobedo → Hidalgo</v>
      </c>
      <c r="AE232" t="s">
        <v>1358</v>
      </c>
      <c r="AF232" s="4">
        <v>45689</v>
      </c>
      <c r="AG232" t="str">
        <f>YEAR(Table1[[#This Row],[Fecha]])&amp;" - " &amp;UPPER(TEXT(Table1[[#This Row],[Fecha]],"mm-mmm"))</f>
        <v>2025 - 02-FEB</v>
      </c>
      <c r="AH232" s="5">
        <v>0</v>
      </c>
    </row>
    <row r="233" spans="1:34" x14ac:dyDescent="0.25">
      <c r="A233" t="s">
        <v>521</v>
      </c>
      <c r="B233">
        <v>2025</v>
      </c>
      <c r="C233">
        <v>2</v>
      </c>
      <c r="D233" s="1">
        <v>45689</v>
      </c>
      <c r="E233" s="1">
        <v>45689</v>
      </c>
      <c r="F233" s="1">
        <v>45689</v>
      </c>
      <c r="G233" s="1">
        <v>45689</v>
      </c>
      <c r="H233" s="2">
        <v>45690.694536493058</v>
      </c>
      <c r="I233">
        <v>2039</v>
      </c>
      <c r="J233" t="s">
        <v>30</v>
      </c>
      <c r="K233" t="s">
        <v>31</v>
      </c>
      <c r="L233">
        <v>50</v>
      </c>
      <c r="M233">
        <v>50</v>
      </c>
      <c r="N233" t="s">
        <v>32</v>
      </c>
      <c r="O233">
        <v>1</v>
      </c>
      <c r="P233">
        <v>150</v>
      </c>
      <c r="Q233" t="b">
        <v>1</v>
      </c>
      <c r="R233" t="b">
        <v>0</v>
      </c>
      <c r="S233" t="b">
        <v>0</v>
      </c>
      <c r="T233">
        <v>216</v>
      </c>
      <c r="U233">
        <v>0</v>
      </c>
      <c r="V233" t="s">
        <v>33</v>
      </c>
      <c r="W233" t="s">
        <v>33</v>
      </c>
      <c r="X233">
        <v>50</v>
      </c>
      <c r="Y233">
        <v>2936</v>
      </c>
      <c r="Z233" t="s">
        <v>34</v>
      </c>
      <c r="AA233">
        <v>2936</v>
      </c>
      <c r="AB233" t="s">
        <v>121</v>
      </c>
      <c r="AC233" t="s">
        <v>432</v>
      </c>
      <c r="AD233" t="str">
        <f t="shared" si="3"/>
        <v>Escobedo → Hidalgo</v>
      </c>
      <c r="AE233" t="s">
        <v>1357</v>
      </c>
      <c r="AF233" s="4">
        <v>45689</v>
      </c>
      <c r="AG233" t="str">
        <f>YEAR(Table1[[#This Row],[Fecha]])&amp;" - " &amp;UPPER(TEXT(Table1[[#This Row],[Fecha]],"mm-mmm"))</f>
        <v>2025 - 02-FEB</v>
      </c>
      <c r="AH233" s="5">
        <v>0</v>
      </c>
    </row>
    <row r="234" spans="1:34" x14ac:dyDescent="0.25">
      <c r="A234" t="s">
        <v>877</v>
      </c>
      <c r="B234">
        <v>2025</v>
      </c>
      <c r="C234">
        <v>2</v>
      </c>
      <c r="D234" s="1">
        <v>45703</v>
      </c>
      <c r="E234" s="1">
        <v>45703</v>
      </c>
      <c r="F234" s="1">
        <v>45703</v>
      </c>
      <c r="G234" s="1">
        <v>45703</v>
      </c>
      <c r="H234" s="2">
        <v>45705.335831099539</v>
      </c>
      <c r="I234">
        <v>2039</v>
      </c>
      <c r="J234" t="s">
        <v>30</v>
      </c>
      <c r="K234" t="s">
        <v>31</v>
      </c>
      <c r="L234">
        <v>50</v>
      </c>
      <c r="M234">
        <v>50</v>
      </c>
      <c r="N234" t="s">
        <v>32</v>
      </c>
      <c r="O234">
        <v>1</v>
      </c>
      <c r="P234">
        <v>150</v>
      </c>
      <c r="Q234" t="b">
        <v>1</v>
      </c>
      <c r="R234" t="b">
        <v>0</v>
      </c>
      <c r="S234" t="b">
        <v>0</v>
      </c>
      <c r="T234">
        <v>216</v>
      </c>
      <c r="U234">
        <v>0</v>
      </c>
      <c r="V234" t="s">
        <v>33</v>
      </c>
      <c r="W234" t="s">
        <v>33</v>
      </c>
      <c r="X234">
        <v>50</v>
      </c>
      <c r="Y234">
        <v>359</v>
      </c>
      <c r="Z234" t="s">
        <v>34</v>
      </c>
      <c r="AA234">
        <v>359</v>
      </c>
      <c r="AB234" t="s">
        <v>121</v>
      </c>
      <c r="AC234" t="s">
        <v>121</v>
      </c>
      <c r="AD234" t="str">
        <f t="shared" si="3"/>
        <v>Escobedo → Escobedo</v>
      </c>
      <c r="AE234" t="s">
        <v>1357</v>
      </c>
      <c r="AF234" s="4">
        <v>45689</v>
      </c>
      <c r="AG234" t="str">
        <f>YEAR(Table1[[#This Row],[Fecha]])&amp;" - " &amp;UPPER(TEXT(Table1[[#This Row],[Fecha]],"mm-mmm"))</f>
        <v>2025 - 02-FEB</v>
      </c>
      <c r="AH234" s="5">
        <v>0</v>
      </c>
    </row>
    <row r="235" spans="1:34" x14ac:dyDescent="0.25">
      <c r="A235" t="s">
        <v>878</v>
      </c>
      <c r="B235">
        <v>2025</v>
      </c>
      <c r="C235">
        <v>2</v>
      </c>
      <c r="D235" s="1">
        <v>45703</v>
      </c>
      <c r="E235" s="1">
        <v>45703</v>
      </c>
      <c r="F235" s="1">
        <v>45703</v>
      </c>
      <c r="G235" s="1">
        <v>45703</v>
      </c>
      <c r="H235" s="2">
        <v>45705.335877581019</v>
      </c>
      <c r="I235">
        <v>2039</v>
      </c>
      <c r="J235" t="s">
        <v>30</v>
      </c>
      <c r="K235" t="s">
        <v>31</v>
      </c>
      <c r="L235">
        <v>50</v>
      </c>
      <c r="M235">
        <v>50</v>
      </c>
      <c r="N235" t="s">
        <v>32</v>
      </c>
      <c r="O235">
        <v>1</v>
      </c>
      <c r="P235">
        <v>150</v>
      </c>
      <c r="Q235" t="b">
        <v>1</v>
      </c>
      <c r="R235" t="b">
        <v>0</v>
      </c>
      <c r="S235" t="b">
        <v>0</v>
      </c>
      <c r="T235">
        <v>216</v>
      </c>
      <c r="U235">
        <v>0</v>
      </c>
      <c r="V235" t="s">
        <v>33</v>
      </c>
      <c r="W235" t="s">
        <v>33</v>
      </c>
      <c r="X235">
        <v>50</v>
      </c>
      <c r="Y235">
        <v>359</v>
      </c>
      <c r="Z235" t="s">
        <v>34</v>
      </c>
      <c r="AA235">
        <v>359</v>
      </c>
      <c r="AB235" t="s">
        <v>121</v>
      </c>
      <c r="AC235" t="s">
        <v>121</v>
      </c>
      <c r="AD235" t="str">
        <f t="shared" si="3"/>
        <v>Escobedo → Escobedo</v>
      </c>
      <c r="AE235" t="s">
        <v>1357</v>
      </c>
      <c r="AF235" s="4">
        <v>45689</v>
      </c>
      <c r="AG235" t="str">
        <f>YEAR(Table1[[#This Row],[Fecha]])&amp;" - " &amp;UPPER(TEXT(Table1[[#This Row],[Fecha]],"mm-mmm"))</f>
        <v>2025 - 02-FEB</v>
      </c>
      <c r="AH235" s="5">
        <v>0</v>
      </c>
    </row>
    <row r="236" spans="1:34" x14ac:dyDescent="0.25">
      <c r="A236" t="s">
        <v>529</v>
      </c>
      <c r="B236">
        <v>2025</v>
      </c>
      <c r="C236">
        <v>2</v>
      </c>
      <c r="D236" s="1">
        <v>45703</v>
      </c>
      <c r="E236" s="1">
        <v>45703</v>
      </c>
      <c r="F236" s="1">
        <v>45703</v>
      </c>
      <c r="G236" s="1">
        <v>45703</v>
      </c>
      <c r="H236" s="2">
        <v>45705.335867094909</v>
      </c>
      <c r="I236">
        <v>2039</v>
      </c>
      <c r="J236" t="s">
        <v>30</v>
      </c>
      <c r="K236" t="s">
        <v>31</v>
      </c>
      <c r="L236">
        <v>50</v>
      </c>
      <c r="M236">
        <v>50</v>
      </c>
      <c r="N236" t="s">
        <v>32</v>
      </c>
      <c r="O236">
        <v>1</v>
      </c>
      <c r="P236">
        <v>150</v>
      </c>
      <c r="Q236" t="b">
        <v>1</v>
      </c>
      <c r="R236" t="b">
        <v>0</v>
      </c>
      <c r="S236" t="b">
        <v>0</v>
      </c>
      <c r="T236">
        <v>216</v>
      </c>
      <c r="U236">
        <v>0</v>
      </c>
      <c r="V236" t="s">
        <v>33</v>
      </c>
      <c r="W236" t="s">
        <v>33</v>
      </c>
      <c r="X236">
        <v>50</v>
      </c>
      <c r="Y236">
        <v>2936</v>
      </c>
      <c r="Z236" t="s">
        <v>34</v>
      </c>
      <c r="AA236">
        <v>2936</v>
      </c>
      <c r="AB236" t="s">
        <v>121</v>
      </c>
      <c r="AC236" t="s">
        <v>432</v>
      </c>
      <c r="AD236" t="str">
        <f t="shared" si="3"/>
        <v>Escobedo → Hidalgo</v>
      </c>
      <c r="AE236" t="s">
        <v>1357</v>
      </c>
      <c r="AF236" s="4">
        <v>45689</v>
      </c>
      <c r="AG236" t="str">
        <f>YEAR(Table1[[#This Row],[Fecha]])&amp;" - " &amp;UPPER(TEXT(Table1[[#This Row],[Fecha]],"mm-mmm"))</f>
        <v>2025 - 02-FEB</v>
      </c>
      <c r="AH236" s="5">
        <v>0</v>
      </c>
    </row>
    <row r="237" spans="1:34" x14ac:dyDescent="0.25">
      <c r="A237" t="s">
        <v>879</v>
      </c>
      <c r="B237">
        <v>2025</v>
      </c>
      <c r="C237">
        <v>2</v>
      </c>
      <c r="D237" s="1">
        <v>45703</v>
      </c>
      <c r="E237" s="1">
        <v>45703</v>
      </c>
      <c r="F237" s="1">
        <v>45703</v>
      </c>
      <c r="G237" s="1">
        <v>45703</v>
      </c>
      <c r="H237" s="2">
        <v>45703.782325196757</v>
      </c>
      <c r="I237">
        <v>2050</v>
      </c>
      <c r="J237" t="s">
        <v>54</v>
      </c>
      <c r="K237" t="s">
        <v>31</v>
      </c>
      <c r="L237">
        <v>50</v>
      </c>
      <c r="M237">
        <v>50</v>
      </c>
      <c r="N237" t="s">
        <v>55</v>
      </c>
      <c r="O237">
        <v>1</v>
      </c>
      <c r="P237">
        <v>150</v>
      </c>
      <c r="Q237" t="b">
        <v>1</v>
      </c>
      <c r="R237" t="b">
        <v>0</v>
      </c>
      <c r="S237" t="b">
        <v>0</v>
      </c>
      <c r="T237">
        <v>216</v>
      </c>
      <c r="U237">
        <v>0</v>
      </c>
      <c r="V237" t="s">
        <v>33</v>
      </c>
      <c r="W237" t="s">
        <v>33</v>
      </c>
      <c r="X237">
        <v>50</v>
      </c>
      <c r="Y237">
        <v>359</v>
      </c>
      <c r="Z237" t="s">
        <v>34</v>
      </c>
      <c r="AA237">
        <v>359</v>
      </c>
      <c r="AB237" t="s">
        <v>121</v>
      </c>
      <c r="AC237" t="s">
        <v>121</v>
      </c>
      <c r="AD237" t="str">
        <f t="shared" si="3"/>
        <v>Escobedo → Escobedo</v>
      </c>
      <c r="AE237" t="s">
        <v>1358</v>
      </c>
      <c r="AF237" s="4">
        <v>45689</v>
      </c>
      <c r="AG237" t="str">
        <f>YEAR(Table1[[#This Row],[Fecha]])&amp;" - " &amp;UPPER(TEXT(Table1[[#This Row],[Fecha]],"mm-mmm"))</f>
        <v>2025 - 02-FEB</v>
      </c>
      <c r="AH237" s="5">
        <v>0</v>
      </c>
    </row>
    <row r="238" spans="1:34" x14ac:dyDescent="0.25">
      <c r="A238" t="s">
        <v>880</v>
      </c>
      <c r="B238">
        <v>2025</v>
      </c>
      <c r="C238">
        <v>2</v>
      </c>
      <c r="D238" s="1">
        <v>45703</v>
      </c>
      <c r="E238" s="1">
        <v>45703</v>
      </c>
      <c r="F238" s="1">
        <v>45703</v>
      </c>
      <c r="G238" s="1">
        <v>45703</v>
      </c>
      <c r="H238" s="2">
        <v>45704.01998125</v>
      </c>
      <c r="I238">
        <v>2050</v>
      </c>
      <c r="J238" t="s">
        <v>54</v>
      </c>
      <c r="K238" t="s">
        <v>31</v>
      </c>
      <c r="L238">
        <v>50</v>
      </c>
      <c r="M238">
        <v>50</v>
      </c>
      <c r="N238" t="s">
        <v>55</v>
      </c>
      <c r="O238">
        <v>1</v>
      </c>
      <c r="P238">
        <v>150</v>
      </c>
      <c r="Q238" t="b">
        <v>1</v>
      </c>
      <c r="R238" t="b">
        <v>0</v>
      </c>
      <c r="S238" t="b">
        <v>0</v>
      </c>
      <c r="T238">
        <v>216</v>
      </c>
      <c r="U238">
        <v>0</v>
      </c>
      <c r="V238" t="s">
        <v>33</v>
      </c>
      <c r="W238" t="s">
        <v>33</v>
      </c>
      <c r="X238">
        <v>50</v>
      </c>
      <c r="Y238">
        <v>359</v>
      </c>
      <c r="Z238" t="s">
        <v>34</v>
      </c>
      <c r="AA238">
        <v>359</v>
      </c>
      <c r="AB238" t="s">
        <v>121</v>
      </c>
      <c r="AC238" t="s">
        <v>121</v>
      </c>
      <c r="AD238" t="str">
        <f t="shared" si="3"/>
        <v>Escobedo → Escobedo</v>
      </c>
      <c r="AE238" t="s">
        <v>1358</v>
      </c>
      <c r="AF238" s="4">
        <v>45689</v>
      </c>
      <c r="AG238" t="str">
        <f>YEAR(Table1[[#This Row],[Fecha]])&amp;" - " &amp;UPPER(TEXT(Table1[[#This Row],[Fecha]],"mm-mmm"))</f>
        <v>2025 - 02-FEB</v>
      </c>
      <c r="AH238" s="5">
        <v>0</v>
      </c>
    </row>
    <row r="239" spans="1:34" x14ac:dyDescent="0.25">
      <c r="A239" t="s">
        <v>240</v>
      </c>
      <c r="B239">
        <v>2025</v>
      </c>
      <c r="C239">
        <v>2</v>
      </c>
      <c r="D239" s="1">
        <v>45705</v>
      </c>
      <c r="E239" s="1">
        <v>45705</v>
      </c>
      <c r="F239" s="1">
        <v>45706</v>
      </c>
      <c r="G239" s="1">
        <v>45705</v>
      </c>
      <c r="H239" s="1">
        <v>45707</v>
      </c>
      <c r="I239">
        <v>2050</v>
      </c>
      <c r="J239" t="s">
        <v>54</v>
      </c>
      <c r="K239" t="s">
        <v>31</v>
      </c>
      <c r="L239">
        <v>504</v>
      </c>
      <c r="M239">
        <v>504</v>
      </c>
      <c r="N239" t="s">
        <v>55</v>
      </c>
      <c r="O239">
        <v>1</v>
      </c>
      <c r="P239">
        <v>504</v>
      </c>
      <c r="Q239" t="b">
        <v>1</v>
      </c>
      <c r="R239" t="b">
        <v>0</v>
      </c>
      <c r="S239" t="b">
        <v>0</v>
      </c>
      <c r="T239">
        <v>880</v>
      </c>
      <c r="U239">
        <v>0</v>
      </c>
      <c r="V239" t="s">
        <v>33</v>
      </c>
      <c r="W239" t="s">
        <v>33</v>
      </c>
      <c r="X239">
        <v>600</v>
      </c>
      <c r="Y239">
        <v>119</v>
      </c>
      <c r="Z239" t="s">
        <v>74</v>
      </c>
      <c r="AA239">
        <v>119</v>
      </c>
      <c r="AB239" t="s">
        <v>121</v>
      </c>
      <c r="AC239" t="s">
        <v>238</v>
      </c>
      <c r="AD239" t="str">
        <f t="shared" si="3"/>
        <v>Escobedo → Altamira</v>
      </c>
      <c r="AE239" t="s">
        <v>1358</v>
      </c>
      <c r="AF239" s="4">
        <v>45689</v>
      </c>
      <c r="AG239" t="str">
        <f>YEAR(Table1[[#This Row],[Fecha]])&amp;" - " &amp;UPPER(TEXT(Table1[[#This Row],[Fecha]],"mm-mmm"))</f>
        <v>2025 - 02-FEB</v>
      </c>
      <c r="AH239" s="5">
        <v>0</v>
      </c>
    </row>
    <row r="240" spans="1:34" x14ac:dyDescent="0.25">
      <c r="A240" t="s">
        <v>875</v>
      </c>
      <c r="B240">
        <v>2025</v>
      </c>
      <c r="C240">
        <v>2</v>
      </c>
      <c r="D240" s="1">
        <v>45705</v>
      </c>
      <c r="E240" s="1">
        <v>45705</v>
      </c>
      <c r="F240" s="1">
        <v>45705</v>
      </c>
      <c r="G240" s="1">
        <v>45705</v>
      </c>
      <c r="H240" s="2">
        <v>45705.871630821763</v>
      </c>
      <c r="I240">
        <v>2039</v>
      </c>
      <c r="J240" t="s">
        <v>30</v>
      </c>
      <c r="K240" t="s">
        <v>31</v>
      </c>
      <c r="L240">
        <v>50</v>
      </c>
      <c r="M240">
        <v>50</v>
      </c>
      <c r="N240" t="s">
        <v>32</v>
      </c>
      <c r="O240">
        <v>1</v>
      </c>
      <c r="P240">
        <v>150</v>
      </c>
      <c r="Q240" t="b">
        <v>1</v>
      </c>
      <c r="R240" t="b">
        <v>0</v>
      </c>
      <c r="S240" t="b">
        <v>0</v>
      </c>
      <c r="T240">
        <v>216</v>
      </c>
      <c r="U240">
        <v>0</v>
      </c>
      <c r="V240" t="s">
        <v>33</v>
      </c>
      <c r="W240" t="s">
        <v>33</v>
      </c>
      <c r="X240">
        <v>50</v>
      </c>
      <c r="Y240">
        <v>359</v>
      </c>
      <c r="Z240" t="s">
        <v>34</v>
      </c>
      <c r="AA240">
        <v>359</v>
      </c>
      <c r="AB240" t="s">
        <v>121</v>
      </c>
      <c r="AC240" t="s">
        <v>121</v>
      </c>
      <c r="AD240" t="str">
        <f t="shared" si="3"/>
        <v>Escobedo → Escobedo</v>
      </c>
      <c r="AE240" t="s">
        <v>1357</v>
      </c>
      <c r="AF240" s="4">
        <v>45689</v>
      </c>
      <c r="AG240" t="str">
        <f>YEAR(Table1[[#This Row],[Fecha]])&amp;" - " &amp;UPPER(TEXT(Table1[[#This Row],[Fecha]],"mm-mmm"))</f>
        <v>2025 - 02-FEB</v>
      </c>
      <c r="AH240" s="5">
        <v>0</v>
      </c>
    </row>
    <row r="241" spans="1:34" x14ac:dyDescent="0.25">
      <c r="A241" t="s">
        <v>876</v>
      </c>
      <c r="B241">
        <v>2025</v>
      </c>
      <c r="C241">
        <v>2</v>
      </c>
      <c r="D241" s="1">
        <v>45705</v>
      </c>
      <c r="E241" s="1">
        <v>45705</v>
      </c>
      <c r="F241" s="1">
        <v>45705</v>
      </c>
      <c r="G241" s="1">
        <v>45705</v>
      </c>
      <c r="H241" s="2">
        <v>45705.872042442126</v>
      </c>
      <c r="I241">
        <v>2039</v>
      </c>
      <c r="J241" t="s">
        <v>30</v>
      </c>
      <c r="K241" t="s">
        <v>31</v>
      </c>
      <c r="L241">
        <v>50</v>
      </c>
      <c r="M241">
        <v>50</v>
      </c>
      <c r="N241" t="s">
        <v>32</v>
      </c>
      <c r="O241">
        <v>1</v>
      </c>
      <c r="P241">
        <v>150</v>
      </c>
      <c r="Q241" t="b">
        <v>1</v>
      </c>
      <c r="R241" t="b">
        <v>0</v>
      </c>
      <c r="S241" t="b">
        <v>0</v>
      </c>
      <c r="T241">
        <v>216</v>
      </c>
      <c r="U241">
        <v>0</v>
      </c>
      <c r="V241" t="s">
        <v>33</v>
      </c>
      <c r="W241" t="s">
        <v>33</v>
      </c>
      <c r="X241">
        <v>50</v>
      </c>
      <c r="Y241">
        <v>359</v>
      </c>
      <c r="Z241" t="s">
        <v>34</v>
      </c>
      <c r="AA241">
        <v>359</v>
      </c>
      <c r="AB241" t="s">
        <v>121</v>
      </c>
      <c r="AC241" t="s">
        <v>121</v>
      </c>
      <c r="AD241" t="str">
        <f t="shared" si="3"/>
        <v>Escobedo → Escobedo</v>
      </c>
      <c r="AE241" t="s">
        <v>1357</v>
      </c>
      <c r="AF241" s="4">
        <v>45689</v>
      </c>
      <c r="AG241" t="str">
        <f>YEAR(Table1[[#This Row],[Fecha]])&amp;" - " &amp;UPPER(TEXT(Table1[[#This Row],[Fecha]],"mm-mmm"))</f>
        <v>2025 - 02-FEB</v>
      </c>
      <c r="AH241" s="5">
        <v>0</v>
      </c>
    </row>
    <row r="242" spans="1:34" x14ac:dyDescent="0.25">
      <c r="A242" t="s">
        <v>530</v>
      </c>
      <c r="B242">
        <v>2025</v>
      </c>
      <c r="C242">
        <v>2</v>
      </c>
      <c r="D242" s="1">
        <v>45705</v>
      </c>
      <c r="E242" s="1">
        <v>45705</v>
      </c>
      <c r="F242" s="1">
        <v>45705</v>
      </c>
      <c r="G242" s="1">
        <v>45705</v>
      </c>
      <c r="H242" s="1">
        <v>45707</v>
      </c>
      <c r="I242">
        <v>2039</v>
      </c>
      <c r="J242" t="s">
        <v>30</v>
      </c>
      <c r="K242" t="s">
        <v>31</v>
      </c>
      <c r="L242">
        <v>50</v>
      </c>
      <c r="M242">
        <v>50</v>
      </c>
      <c r="N242" t="s">
        <v>32</v>
      </c>
      <c r="O242">
        <v>1</v>
      </c>
      <c r="P242">
        <v>150</v>
      </c>
      <c r="Q242" t="b">
        <v>1</v>
      </c>
      <c r="R242" t="b">
        <v>0</v>
      </c>
      <c r="S242" t="b">
        <v>0</v>
      </c>
      <c r="T242">
        <v>216</v>
      </c>
      <c r="U242">
        <v>0</v>
      </c>
      <c r="V242" t="s">
        <v>33</v>
      </c>
      <c r="W242" t="s">
        <v>33</v>
      </c>
      <c r="X242">
        <v>50</v>
      </c>
      <c r="Y242">
        <v>2936</v>
      </c>
      <c r="Z242" t="s">
        <v>34</v>
      </c>
      <c r="AA242">
        <v>2936</v>
      </c>
      <c r="AB242" t="s">
        <v>121</v>
      </c>
      <c r="AC242" t="s">
        <v>432</v>
      </c>
      <c r="AD242" t="str">
        <f t="shared" si="3"/>
        <v>Escobedo → Hidalgo</v>
      </c>
      <c r="AE242" t="s">
        <v>1357</v>
      </c>
      <c r="AF242" s="4">
        <v>45689</v>
      </c>
      <c r="AG242" t="str">
        <f>YEAR(Table1[[#This Row],[Fecha]])&amp;" - " &amp;UPPER(TEXT(Table1[[#This Row],[Fecha]],"mm-mmm"))</f>
        <v>2025 - 02-FEB</v>
      </c>
      <c r="AH242" s="5">
        <v>0</v>
      </c>
    </row>
    <row r="243" spans="1:34" x14ac:dyDescent="0.25">
      <c r="A243" t="s">
        <v>881</v>
      </c>
      <c r="B243">
        <v>2025</v>
      </c>
      <c r="C243">
        <v>2</v>
      </c>
      <c r="D243" s="1">
        <v>45705</v>
      </c>
      <c r="E243" s="1">
        <v>45705</v>
      </c>
      <c r="F243" s="1">
        <v>45705</v>
      </c>
      <c r="G243" s="1">
        <v>45705</v>
      </c>
      <c r="H243" s="2">
        <v>45707.41345644676</v>
      </c>
      <c r="I243">
        <v>2050</v>
      </c>
      <c r="J243" t="s">
        <v>54</v>
      </c>
      <c r="K243" t="s">
        <v>31</v>
      </c>
      <c r="L243">
        <v>50</v>
      </c>
      <c r="M243">
        <v>50</v>
      </c>
      <c r="N243" t="s">
        <v>55</v>
      </c>
      <c r="O243">
        <v>1</v>
      </c>
      <c r="P243">
        <v>150</v>
      </c>
      <c r="Q243" t="b">
        <v>1</v>
      </c>
      <c r="R243" t="b">
        <v>0</v>
      </c>
      <c r="S243" t="b">
        <v>0</v>
      </c>
      <c r="T243">
        <v>216</v>
      </c>
      <c r="U243">
        <v>0</v>
      </c>
      <c r="V243" t="s">
        <v>33</v>
      </c>
      <c r="W243" t="s">
        <v>33</v>
      </c>
      <c r="X243">
        <v>50</v>
      </c>
      <c r="Y243">
        <v>359</v>
      </c>
      <c r="Z243" t="s">
        <v>34</v>
      </c>
      <c r="AA243">
        <v>359</v>
      </c>
      <c r="AB243" t="s">
        <v>121</v>
      </c>
      <c r="AC243" t="s">
        <v>121</v>
      </c>
      <c r="AD243" t="str">
        <f t="shared" si="3"/>
        <v>Escobedo → Escobedo</v>
      </c>
      <c r="AE243" t="s">
        <v>1358</v>
      </c>
      <c r="AF243" s="4">
        <v>45689</v>
      </c>
      <c r="AG243" t="str">
        <f>YEAR(Table1[[#This Row],[Fecha]])&amp;" - " &amp;UPPER(TEXT(Table1[[#This Row],[Fecha]],"mm-mmm"))</f>
        <v>2025 - 02-FEB</v>
      </c>
      <c r="AH243" s="5">
        <v>0</v>
      </c>
    </row>
    <row r="244" spans="1:34" x14ac:dyDescent="0.25">
      <c r="A244" t="s">
        <v>882</v>
      </c>
      <c r="B244">
        <v>2025</v>
      </c>
      <c r="C244">
        <v>2</v>
      </c>
      <c r="D244" s="1">
        <v>45705</v>
      </c>
      <c r="E244" s="1">
        <v>45705</v>
      </c>
      <c r="F244" s="1">
        <v>45705</v>
      </c>
      <c r="G244" s="1">
        <v>45705</v>
      </c>
      <c r="H244" s="2">
        <v>45707.437421296294</v>
      </c>
      <c r="I244">
        <v>2050</v>
      </c>
      <c r="J244" t="s">
        <v>54</v>
      </c>
      <c r="K244" t="s">
        <v>31</v>
      </c>
      <c r="L244">
        <v>50</v>
      </c>
      <c r="M244">
        <v>50</v>
      </c>
      <c r="N244" t="s">
        <v>55</v>
      </c>
      <c r="O244">
        <v>1</v>
      </c>
      <c r="P244">
        <v>150</v>
      </c>
      <c r="Q244" t="b">
        <v>1</v>
      </c>
      <c r="R244" t="b">
        <v>0</v>
      </c>
      <c r="S244" t="b">
        <v>0</v>
      </c>
      <c r="T244">
        <v>216</v>
      </c>
      <c r="U244">
        <v>0</v>
      </c>
      <c r="V244" t="s">
        <v>33</v>
      </c>
      <c r="W244" t="s">
        <v>33</v>
      </c>
      <c r="X244">
        <v>50</v>
      </c>
      <c r="Y244">
        <v>359</v>
      </c>
      <c r="Z244" t="s">
        <v>34</v>
      </c>
      <c r="AA244">
        <v>359</v>
      </c>
      <c r="AB244" t="s">
        <v>121</v>
      </c>
      <c r="AC244" t="s">
        <v>121</v>
      </c>
      <c r="AD244" t="str">
        <f t="shared" si="3"/>
        <v>Escobedo → Escobedo</v>
      </c>
      <c r="AE244" t="s">
        <v>1358</v>
      </c>
      <c r="AF244" s="4">
        <v>45689</v>
      </c>
      <c r="AG244" t="str">
        <f>YEAR(Table1[[#This Row],[Fecha]])&amp;" - " &amp;UPPER(TEXT(Table1[[#This Row],[Fecha]],"mm-mmm"))</f>
        <v>2025 - 02-FEB</v>
      </c>
      <c r="AH244" s="5">
        <v>0</v>
      </c>
    </row>
    <row r="245" spans="1:34" x14ac:dyDescent="0.25">
      <c r="A245" t="s">
        <v>528</v>
      </c>
      <c r="B245">
        <v>2025</v>
      </c>
      <c r="C245">
        <v>2</v>
      </c>
      <c r="D245" s="1">
        <v>45705</v>
      </c>
      <c r="E245" s="1">
        <v>45705</v>
      </c>
      <c r="F245" s="1">
        <v>45705</v>
      </c>
      <c r="G245" s="1">
        <v>45705</v>
      </c>
      <c r="H245" s="1">
        <v>45707</v>
      </c>
      <c r="I245">
        <v>2050</v>
      </c>
      <c r="J245" t="s">
        <v>54</v>
      </c>
      <c r="K245" t="s">
        <v>31</v>
      </c>
      <c r="L245">
        <v>50</v>
      </c>
      <c r="M245">
        <v>50</v>
      </c>
      <c r="N245" t="s">
        <v>55</v>
      </c>
      <c r="O245">
        <v>1</v>
      </c>
      <c r="P245">
        <v>150</v>
      </c>
      <c r="Q245" t="b">
        <v>1</v>
      </c>
      <c r="R245" t="b">
        <v>0</v>
      </c>
      <c r="S245" t="b">
        <v>0</v>
      </c>
      <c r="T245">
        <v>216</v>
      </c>
      <c r="U245">
        <v>0</v>
      </c>
      <c r="V245" t="s">
        <v>33</v>
      </c>
      <c r="W245" t="s">
        <v>33</v>
      </c>
      <c r="X245">
        <v>50</v>
      </c>
      <c r="Y245">
        <v>2936</v>
      </c>
      <c r="Z245" t="s">
        <v>34</v>
      </c>
      <c r="AA245">
        <v>2936</v>
      </c>
      <c r="AB245" t="s">
        <v>121</v>
      </c>
      <c r="AC245" t="s">
        <v>432</v>
      </c>
      <c r="AD245" t="str">
        <f t="shared" si="3"/>
        <v>Escobedo → Hidalgo</v>
      </c>
      <c r="AE245" t="s">
        <v>1358</v>
      </c>
      <c r="AF245" s="4">
        <v>45689</v>
      </c>
      <c r="AG245" t="str">
        <f>YEAR(Table1[[#This Row],[Fecha]])&amp;" - " &amp;UPPER(TEXT(Table1[[#This Row],[Fecha]],"mm-mmm"))</f>
        <v>2025 - 02-FEB</v>
      </c>
      <c r="AH245" s="5">
        <v>0</v>
      </c>
    </row>
    <row r="246" spans="1:34" x14ac:dyDescent="0.25">
      <c r="A246" t="s">
        <v>883</v>
      </c>
      <c r="B246">
        <v>2025</v>
      </c>
      <c r="C246">
        <v>2</v>
      </c>
      <c r="D246" s="1">
        <v>45706</v>
      </c>
      <c r="E246" s="1">
        <v>45706</v>
      </c>
      <c r="F246" s="1">
        <v>45706</v>
      </c>
      <c r="G246" s="1">
        <v>45706</v>
      </c>
      <c r="H246" s="1">
        <v>45706</v>
      </c>
      <c r="I246">
        <v>2246</v>
      </c>
      <c r="J246" t="s">
        <v>30</v>
      </c>
      <c r="K246" t="s">
        <v>31</v>
      </c>
      <c r="L246">
        <v>50</v>
      </c>
      <c r="M246">
        <v>50</v>
      </c>
      <c r="N246" t="s">
        <v>504</v>
      </c>
      <c r="O246">
        <v>1</v>
      </c>
      <c r="P246">
        <v>150</v>
      </c>
      <c r="Q246" t="b">
        <v>1</v>
      </c>
      <c r="R246" t="b">
        <v>0</v>
      </c>
      <c r="S246" t="b">
        <v>0</v>
      </c>
      <c r="T246">
        <v>216</v>
      </c>
      <c r="U246">
        <v>0</v>
      </c>
      <c r="V246" t="s">
        <v>33</v>
      </c>
      <c r="W246" t="s">
        <v>33</v>
      </c>
      <c r="X246">
        <v>50</v>
      </c>
      <c r="Y246">
        <v>359</v>
      </c>
      <c r="Z246" t="s">
        <v>34</v>
      </c>
      <c r="AA246">
        <v>359</v>
      </c>
      <c r="AB246" t="s">
        <v>121</v>
      </c>
      <c r="AC246" t="s">
        <v>121</v>
      </c>
      <c r="AD246" t="str">
        <f t="shared" si="3"/>
        <v>Escobedo → Escobedo</v>
      </c>
      <c r="AE246" t="s">
        <v>1357</v>
      </c>
      <c r="AF246" s="4">
        <v>45689</v>
      </c>
      <c r="AG246" t="str">
        <f>YEAR(Table1[[#This Row],[Fecha]])&amp;" - " &amp;UPPER(TEXT(Table1[[#This Row],[Fecha]],"mm-mmm"))</f>
        <v>2025 - 02-FEB</v>
      </c>
      <c r="AH246" s="5">
        <v>0</v>
      </c>
    </row>
    <row r="247" spans="1:34" x14ac:dyDescent="0.25">
      <c r="A247" t="s">
        <v>239</v>
      </c>
      <c r="B247">
        <v>2025</v>
      </c>
      <c r="C247">
        <v>2</v>
      </c>
      <c r="D247" s="1">
        <v>45707</v>
      </c>
      <c r="E247" s="1">
        <v>45707</v>
      </c>
      <c r="F247" s="1">
        <v>45707</v>
      </c>
      <c r="G247" s="1">
        <v>45707</v>
      </c>
      <c r="H247" s="1">
        <v>45709</v>
      </c>
      <c r="I247">
        <v>2050</v>
      </c>
      <c r="J247" t="s">
        <v>54</v>
      </c>
      <c r="K247" t="s">
        <v>31</v>
      </c>
      <c r="L247">
        <v>504</v>
      </c>
      <c r="M247">
        <v>504</v>
      </c>
      <c r="N247" t="s">
        <v>55</v>
      </c>
      <c r="O247">
        <v>1</v>
      </c>
      <c r="P247">
        <v>504</v>
      </c>
      <c r="Q247" t="b">
        <v>1</v>
      </c>
      <c r="R247" t="b">
        <v>0</v>
      </c>
      <c r="S247" t="b">
        <v>0</v>
      </c>
      <c r="T247">
        <v>880</v>
      </c>
      <c r="U247">
        <v>0</v>
      </c>
      <c r="V247" t="s">
        <v>33</v>
      </c>
      <c r="W247" t="s">
        <v>33</v>
      </c>
      <c r="X247">
        <v>600</v>
      </c>
      <c r="Y247">
        <v>119</v>
      </c>
      <c r="Z247" t="s">
        <v>123</v>
      </c>
      <c r="AA247">
        <v>119</v>
      </c>
      <c r="AB247" t="s">
        <v>121</v>
      </c>
      <c r="AC247" t="s">
        <v>238</v>
      </c>
      <c r="AD247" t="str">
        <f t="shared" si="3"/>
        <v>Escobedo → Altamira</v>
      </c>
      <c r="AE247" t="s">
        <v>1358</v>
      </c>
      <c r="AF247" s="4">
        <v>45689</v>
      </c>
      <c r="AG247" t="str">
        <f>YEAR(Table1[[#This Row],[Fecha]])&amp;" - " &amp;UPPER(TEXT(Table1[[#This Row],[Fecha]],"mm-mmm"))</f>
        <v>2025 - 02-FEB</v>
      </c>
      <c r="AH247" s="5">
        <v>0</v>
      </c>
    </row>
    <row r="248" spans="1:34" x14ac:dyDescent="0.25">
      <c r="A248" t="s">
        <v>863</v>
      </c>
      <c r="B248">
        <v>2025</v>
      </c>
      <c r="C248">
        <v>2</v>
      </c>
      <c r="D248" s="1">
        <v>45689</v>
      </c>
      <c r="E248" s="1">
        <v>45689</v>
      </c>
      <c r="F248" s="1">
        <v>45689</v>
      </c>
      <c r="G248" s="1">
        <v>45689</v>
      </c>
      <c r="H248" s="2">
        <v>45690.694891053237</v>
      </c>
      <c r="I248">
        <v>2039</v>
      </c>
      <c r="J248" t="s">
        <v>30</v>
      </c>
      <c r="K248" t="s">
        <v>31</v>
      </c>
      <c r="L248">
        <v>50</v>
      </c>
      <c r="M248">
        <v>50</v>
      </c>
      <c r="N248" t="s">
        <v>32</v>
      </c>
      <c r="O248">
        <v>1</v>
      </c>
      <c r="P248">
        <v>150</v>
      </c>
      <c r="Q248" t="b">
        <v>1</v>
      </c>
      <c r="R248" t="b">
        <v>0</v>
      </c>
      <c r="S248" t="b">
        <v>0</v>
      </c>
      <c r="T248">
        <v>216</v>
      </c>
      <c r="U248">
        <v>0</v>
      </c>
      <c r="V248" t="s">
        <v>33</v>
      </c>
      <c r="W248" t="s">
        <v>33</v>
      </c>
      <c r="X248">
        <v>50</v>
      </c>
      <c r="Y248">
        <v>359</v>
      </c>
      <c r="Z248" t="s">
        <v>34</v>
      </c>
      <c r="AA248">
        <v>359</v>
      </c>
      <c r="AB248" t="s">
        <v>121</v>
      </c>
      <c r="AC248" t="s">
        <v>121</v>
      </c>
      <c r="AD248" t="str">
        <f t="shared" si="3"/>
        <v>Escobedo → Escobedo</v>
      </c>
      <c r="AE248" t="s">
        <v>1357</v>
      </c>
      <c r="AF248" s="4">
        <v>45689</v>
      </c>
      <c r="AG248" t="str">
        <f>YEAR(Table1[[#This Row],[Fecha]])&amp;" - " &amp;UPPER(TEXT(Table1[[#This Row],[Fecha]],"mm-mmm"))</f>
        <v>2025 - 02-FEB</v>
      </c>
      <c r="AH248" s="5">
        <v>0</v>
      </c>
    </row>
    <row r="249" spans="1:34" x14ac:dyDescent="0.25">
      <c r="A249" t="s">
        <v>503</v>
      </c>
      <c r="B249">
        <v>2025</v>
      </c>
      <c r="C249">
        <v>2</v>
      </c>
      <c r="D249" s="1">
        <v>45707</v>
      </c>
      <c r="E249" s="1">
        <v>45707</v>
      </c>
      <c r="F249" s="1">
        <v>45707</v>
      </c>
      <c r="G249" s="1">
        <v>45707</v>
      </c>
      <c r="H249" s="1">
        <v>45708</v>
      </c>
      <c r="I249">
        <v>2246</v>
      </c>
      <c r="J249" t="s">
        <v>30</v>
      </c>
      <c r="K249" t="s">
        <v>31</v>
      </c>
      <c r="L249">
        <v>50</v>
      </c>
      <c r="M249">
        <v>50</v>
      </c>
      <c r="N249" t="s">
        <v>504</v>
      </c>
      <c r="O249">
        <v>1</v>
      </c>
      <c r="P249">
        <v>150</v>
      </c>
      <c r="Q249" t="b">
        <v>1</v>
      </c>
      <c r="R249" t="b">
        <v>0</v>
      </c>
      <c r="S249" t="b">
        <v>0</v>
      </c>
      <c r="T249">
        <v>216</v>
      </c>
      <c r="U249">
        <v>0</v>
      </c>
      <c r="V249" t="s">
        <v>33</v>
      </c>
      <c r="W249" t="s">
        <v>33</v>
      </c>
      <c r="X249">
        <v>50</v>
      </c>
      <c r="Y249">
        <v>2936</v>
      </c>
      <c r="Z249" t="s">
        <v>34</v>
      </c>
      <c r="AA249">
        <v>2936</v>
      </c>
      <c r="AB249" t="s">
        <v>121</v>
      </c>
      <c r="AC249" t="s">
        <v>432</v>
      </c>
      <c r="AD249" t="str">
        <f t="shared" si="3"/>
        <v>Escobedo → Hidalgo</v>
      </c>
      <c r="AE249" t="s">
        <v>1357</v>
      </c>
      <c r="AF249" s="4">
        <v>45689</v>
      </c>
      <c r="AG249" t="str">
        <f>YEAR(Table1[[#This Row],[Fecha]])&amp;" - " &amp;UPPER(TEXT(Table1[[#This Row],[Fecha]],"mm-mmm"))</f>
        <v>2025 - 02-FEB</v>
      </c>
      <c r="AH249" s="5">
        <v>0</v>
      </c>
    </row>
    <row r="250" spans="1:34" x14ac:dyDescent="0.25">
      <c r="A250" t="s">
        <v>884</v>
      </c>
      <c r="B250">
        <v>2025</v>
      </c>
      <c r="C250">
        <v>2</v>
      </c>
      <c r="D250" s="1">
        <v>45707</v>
      </c>
      <c r="E250" s="1">
        <v>45707</v>
      </c>
      <c r="F250" s="1">
        <v>45707</v>
      </c>
      <c r="G250" s="1">
        <v>45707</v>
      </c>
      <c r="H250" s="2">
        <v>45708.50645015046</v>
      </c>
      <c r="I250">
        <v>2246</v>
      </c>
      <c r="J250" t="s">
        <v>30</v>
      </c>
      <c r="K250" t="s">
        <v>31</v>
      </c>
      <c r="L250">
        <v>50</v>
      </c>
      <c r="M250">
        <v>50</v>
      </c>
      <c r="N250" t="s">
        <v>504</v>
      </c>
      <c r="O250">
        <v>1</v>
      </c>
      <c r="P250">
        <v>150</v>
      </c>
      <c r="Q250" t="b">
        <v>1</v>
      </c>
      <c r="R250" t="b">
        <v>0</v>
      </c>
      <c r="S250" t="b">
        <v>0</v>
      </c>
      <c r="T250">
        <v>216</v>
      </c>
      <c r="U250">
        <v>0</v>
      </c>
      <c r="V250" t="s">
        <v>33</v>
      </c>
      <c r="W250" t="s">
        <v>33</v>
      </c>
      <c r="X250">
        <v>50</v>
      </c>
      <c r="Y250">
        <v>359</v>
      </c>
      <c r="Z250" t="s">
        <v>34</v>
      </c>
      <c r="AA250">
        <v>359</v>
      </c>
      <c r="AB250" t="s">
        <v>121</v>
      </c>
      <c r="AC250" t="s">
        <v>121</v>
      </c>
      <c r="AD250" t="str">
        <f t="shared" si="3"/>
        <v>Escobedo → Escobedo</v>
      </c>
      <c r="AE250" t="s">
        <v>1357</v>
      </c>
      <c r="AF250" s="4">
        <v>45689</v>
      </c>
      <c r="AG250" t="str">
        <f>YEAR(Table1[[#This Row],[Fecha]])&amp;" - " &amp;UPPER(TEXT(Table1[[#This Row],[Fecha]],"mm-mmm"))</f>
        <v>2025 - 02-FEB</v>
      </c>
      <c r="AH250" s="5">
        <v>0</v>
      </c>
    </row>
    <row r="251" spans="1:34" x14ac:dyDescent="0.25">
      <c r="A251" t="s">
        <v>885</v>
      </c>
      <c r="B251">
        <v>2025</v>
      </c>
      <c r="C251">
        <v>2</v>
      </c>
      <c r="D251" s="1">
        <v>45707</v>
      </c>
      <c r="E251" s="1">
        <v>45707</v>
      </c>
      <c r="F251" s="1">
        <v>45707</v>
      </c>
      <c r="G251" s="1">
        <v>45707</v>
      </c>
      <c r="H251" s="2">
        <v>45708.469960300929</v>
      </c>
      <c r="I251">
        <v>2050</v>
      </c>
      <c r="J251" t="s">
        <v>54</v>
      </c>
      <c r="K251" t="s">
        <v>31</v>
      </c>
      <c r="L251">
        <v>50</v>
      </c>
      <c r="M251">
        <v>50</v>
      </c>
      <c r="N251" t="s">
        <v>55</v>
      </c>
      <c r="O251">
        <v>1</v>
      </c>
      <c r="P251">
        <v>150</v>
      </c>
      <c r="Q251" t="b">
        <v>1</v>
      </c>
      <c r="R251" t="b">
        <v>0</v>
      </c>
      <c r="S251" t="b">
        <v>0</v>
      </c>
      <c r="T251">
        <v>216</v>
      </c>
      <c r="U251">
        <v>0</v>
      </c>
      <c r="V251" t="s">
        <v>33</v>
      </c>
      <c r="W251" t="s">
        <v>33</v>
      </c>
      <c r="X251">
        <v>50</v>
      </c>
      <c r="Y251">
        <v>359</v>
      </c>
      <c r="Z251" t="s">
        <v>34</v>
      </c>
      <c r="AA251">
        <v>359</v>
      </c>
      <c r="AB251" t="s">
        <v>121</v>
      </c>
      <c r="AC251" t="s">
        <v>121</v>
      </c>
      <c r="AD251" t="str">
        <f t="shared" si="3"/>
        <v>Escobedo → Escobedo</v>
      </c>
      <c r="AE251" t="s">
        <v>1358</v>
      </c>
      <c r="AF251" s="4">
        <v>45689</v>
      </c>
      <c r="AG251" t="str">
        <f>YEAR(Table1[[#This Row],[Fecha]])&amp;" - " &amp;UPPER(TEXT(Table1[[#This Row],[Fecha]],"mm-mmm"))</f>
        <v>2025 - 02-FEB</v>
      </c>
      <c r="AH251" s="5">
        <v>0</v>
      </c>
    </row>
    <row r="252" spans="1:34" x14ac:dyDescent="0.25">
      <c r="A252" t="s">
        <v>886</v>
      </c>
      <c r="B252">
        <v>2025</v>
      </c>
      <c r="C252">
        <v>2</v>
      </c>
      <c r="D252" s="1">
        <v>45707</v>
      </c>
      <c r="E252" s="1">
        <v>45707</v>
      </c>
      <c r="F252" s="1">
        <v>45707</v>
      </c>
      <c r="G252" s="1">
        <v>45707</v>
      </c>
      <c r="H252" s="2">
        <v>45708.469522106483</v>
      </c>
      <c r="I252">
        <v>2050</v>
      </c>
      <c r="J252" t="s">
        <v>54</v>
      </c>
      <c r="K252" t="s">
        <v>31</v>
      </c>
      <c r="L252">
        <v>50</v>
      </c>
      <c r="M252">
        <v>50</v>
      </c>
      <c r="N252" t="s">
        <v>55</v>
      </c>
      <c r="O252">
        <v>1</v>
      </c>
      <c r="P252">
        <v>150</v>
      </c>
      <c r="Q252" t="b">
        <v>1</v>
      </c>
      <c r="R252" t="b">
        <v>0</v>
      </c>
      <c r="S252" t="b">
        <v>0</v>
      </c>
      <c r="T252">
        <v>216</v>
      </c>
      <c r="U252">
        <v>0</v>
      </c>
      <c r="V252" t="s">
        <v>33</v>
      </c>
      <c r="W252" t="s">
        <v>33</v>
      </c>
      <c r="X252">
        <v>50</v>
      </c>
      <c r="Y252">
        <v>359</v>
      </c>
      <c r="Z252" t="s">
        <v>34</v>
      </c>
      <c r="AA252">
        <v>359</v>
      </c>
      <c r="AB252" t="s">
        <v>121</v>
      </c>
      <c r="AC252" t="s">
        <v>121</v>
      </c>
      <c r="AD252" t="str">
        <f t="shared" si="3"/>
        <v>Escobedo → Escobedo</v>
      </c>
      <c r="AE252" t="s">
        <v>1358</v>
      </c>
      <c r="AF252" s="4">
        <v>45689</v>
      </c>
      <c r="AG252" t="str">
        <f>YEAR(Table1[[#This Row],[Fecha]])&amp;" - " &amp;UPPER(TEXT(Table1[[#This Row],[Fecha]],"mm-mmm"))</f>
        <v>2025 - 02-FEB</v>
      </c>
      <c r="AH252" s="5">
        <v>0</v>
      </c>
    </row>
    <row r="253" spans="1:34" x14ac:dyDescent="0.25">
      <c r="A253" t="s">
        <v>525</v>
      </c>
      <c r="B253">
        <v>2025</v>
      </c>
      <c r="C253">
        <v>2</v>
      </c>
      <c r="D253" s="1">
        <v>45707</v>
      </c>
      <c r="E253" s="1">
        <v>45707</v>
      </c>
      <c r="F253" s="1">
        <v>45707</v>
      </c>
      <c r="G253" s="1">
        <v>45707</v>
      </c>
      <c r="H253" s="2">
        <v>45709.404447337962</v>
      </c>
      <c r="I253">
        <v>2050</v>
      </c>
      <c r="J253" t="s">
        <v>54</v>
      </c>
      <c r="K253" t="s">
        <v>31</v>
      </c>
      <c r="L253">
        <v>50</v>
      </c>
      <c r="M253">
        <v>50</v>
      </c>
      <c r="N253" t="s">
        <v>55</v>
      </c>
      <c r="O253">
        <v>1</v>
      </c>
      <c r="P253">
        <v>150</v>
      </c>
      <c r="Q253" t="b">
        <v>1</v>
      </c>
      <c r="R253" t="b">
        <v>0</v>
      </c>
      <c r="S253" t="b">
        <v>0</v>
      </c>
      <c r="T253">
        <v>216</v>
      </c>
      <c r="U253">
        <v>0</v>
      </c>
      <c r="V253" t="s">
        <v>33</v>
      </c>
      <c r="W253" t="s">
        <v>33</v>
      </c>
      <c r="X253">
        <v>50</v>
      </c>
      <c r="Y253">
        <v>2936</v>
      </c>
      <c r="Z253" t="s">
        <v>34</v>
      </c>
      <c r="AA253">
        <v>2936</v>
      </c>
      <c r="AB253" t="s">
        <v>121</v>
      </c>
      <c r="AC253" t="s">
        <v>432</v>
      </c>
      <c r="AD253" t="str">
        <f t="shared" si="3"/>
        <v>Escobedo → Hidalgo</v>
      </c>
      <c r="AE253" t="s">
        <v>1358</v>
      </c>
      <c r="AF253" s="4">
        <v>45689</v>
      </c>
      <c r="AG253" t="str">
        <f>YEAR(Table1[[#This Row],[Fecha]])&amp;" - " &amp;UPPER(TEXT(Table1[[#This Row],[Fecha]],"mm-mmm"))</f>
        <v>2025 - 02-FEB</v>
      </c>
      <c r="AH253" s="5">
        <v>0</v>
      </c>
    </row>
    <row r="254" spans="1:34" x14ac:dyDescent="0.25">
      <c r="A254" t="s">
        <v>526</v>
      </c>
      <c r="B254">
        <v>2025</v>
      </c>
      <c r="C254">
        <v>2</v>
      </c>
      <c r="D254" s="1">
        <v>45707</v>
      </c>
      <c r="E254" s="1">
        <v>45707</v>
      </c>
      <c r="F254" s="1">
        <v>45707</v>
      </c>
      <c r="G254" s="1">
        <v>45707</v>
      </c>
      <c r="H254" s="2">
        <v>45709.851482673614</v>
      </c>
      <c r="I254">
        <v>2050</v>
      </c>
      <c r="J254" t="s">
        <v>54</v>
      </c>
      <c r="K254" t="s">
        <v>31</v>
      </c>
      <c r="L254">
        <v>50</v>
      </c>
      <c r="M254">
        <v>50</v>
      </c>
      <c r="N254" t="s">
        <v>55</v>
      </c>
      <c r="O254">
        <v>1</v>
      </c>
      <c r="P254">
        <v>150</v>
      </c>
      <c r="Q254" t="b">
        <v>1</v>
      </c>
      <c r="R254" t="b">
        <v>0</v>
      </c>
      <c r="S254" t="b">
        <v>0</v>
      </c>
      <c r="T254">
        <v>216</v>
      </c>
      <c r="U254">
        <v>0</v>
      </c>
      <c r="V254" t="s">
        <v>33</v>
      </c>
      <c r="W254" t="s">
        <v>33</v>
      </c>
      <c r="X254">
        <v>50</v>
      </c>
      <c r="Y254">
        <v>2936</v>
      </c>
      <c r="Z254" t="s">
        <v>34</v>
      </c>
      <c r="AA254">
        <v>2936</v>
      </c>
      <c r="AB254" t="s">
        <v>121</v>
      </c>
      <c r="AC254" t="s">
        <v>432</v>
      </c>
      <c r="AD254" t="str">
        <f t="shared" si="3"/>
        <v>Escobedo → Hidalgo</v>
      </c>
      <c r="AE254" t="s">
        <v>1358</v>
      </c>
      <c r="AF254" s="4">
        <v>45689</v>
      </c>
      <c r="AG254" t="str">
        <f>YEAR(Table1[[#This Row],[Fecha]])&amp;" - " &amp;UPPER(TEXT(Table1[[#This Row],[Fecha]],"mm-mmm"))</f>
        <v>2025 - 02-FEB</v>
      </c>
      <c r="AH254" s="5">
        <v>0</v>
      </c>
    </row>
    <row r="255" spans="1:34" x14ac:dyDescent="0.25">
      <c r="A255" t="s">
        <v>865</v>
      </c>
      <c r="B255">
        <v>2025</v>
      </c>
      <c r="C255">
        <v>2</v>
      </c>
      <c r="D255" s="1">
        <v>45707</v>
      </c>
      <c r="E255" s="1">
        <v>45707</v>
      </c>
      <c r="F255" s="1">
        <v>45707</v>
      </c>
      <c r="G255" s="1">
        <v>45707</v>
      </c>
      <c r="H255" s="2">
        <v>45709.959002974538</v>
      </c>
      <c r="I255">
        <v>2050</v>
      </c>
      <c r="J255" t="s">
        <v>54</v>
      </c>
      <c r="K255" t="s">
        <v>31</v>
      </c>
      <c r="L255">
        <v>50</v>
      </c>
      <c r="M255">
        <v>50</v>
      </c>
      <c r="N255" t="s">
        <v>55</v>
      </c>
      <c r="O255">
        <v>1</v>
      </c>
      <c r="P255">
        <v>150</v>
      </c>
      <c r="Q255" t="b">
        <v>1</v>
      </c>
      <c r="R255" t="b">
        <v>0</v>
      </c>
      <c r="S255" t="b">
        <v>0</v>
      </c>
      <c r="T255">
        <v>216</v>
      </c>
      <c r="U255">
        <v>0</v>
      </c>
      <c r="V255" t="s">
        <v>33</v>
      </c>
      <c r="W255" t="s">
        <v>33</v>
      </c>
      <c r="X255">
        <v>50</v>
      </c>
      <c r="Y255">
        <v>359</v>
      </c>
      <c r="Z255" t="s">
        <v>34</v>
      </c>
      <c r="AA255">
        <v>359</v>
      </c>
      <c r="AB255" t="s">
        <v>121</v>
      </c>
      <c r="AC255" t="s">
        <v>121</v>
      </c>
      <c r="AD255" t="str">
        <f t="shared" si="3"/>
        <v>Escobedo → Escobedo</v>
      </c>
      <c r="AE255" t="s">
        <v>1358</v>
      </c>
      <c r="AF255" s="4">
        <v>45689</v>
      </c>
      <c r="AG255" t="str">
        <f>YEAR(Table1[[#This Row],[Fecha]])&amp;" - " &amp;UPPER(TEXT(Table1[[#This Row],[Fecha]],"mm-mmm"))</f>
        <v>2025 - 02-FEB</v>
      </c>
      <c r="AH255" s="5">
        <v>0</v>
      </c>
    </row>
    <row r="256" spans="1:34" x14ac:dyDescent="0.25">
      <c r="A256" t="s">
        <v>866</v>
      </c>
      <c r="B256">
        <v>2025</v>
      </c>
      <c r="C256">
        <v>2</v>
      </c>
      <c r="D256" s="1">
        <v>45707</v>
      </c>
      <c r="E256" s="1">
        <v>45707</v>
      </c>
      <c r="F256" s="1">
        <v>45707</v>
      </c>
      <c r="G256" s="1">
        <v>45707</v>
      </c>
      <c r="H256" s="2">
        <v>45708.469505821762</v>
      </c>
      <c r="I256">
        <v>2050</v>
      </c>
      <c r="J256" t="s">
        <v>54</v>
      </c>
      <c r="K256" t="s">
        <v>31</v>
      </c>
      <c r="L256">
        <v>50</v>
      </c>
      <c r="M256">
        <v>50</v>
      </c>
      <c r="N256" t="s">
        <v>55</v>
      </c>
      <c r="O256">
        <v>1</v>
      </c>
      <c r="P256">
        <v>150</v>
      </c>
      <c r="Q256" t="b">
        <v>1</v>
      </c>
      <c r="R256" t="b">
        <v>0</v>
      </c>
      <c r="S256" t="b">
        <v>0</v>
      </c>
      <c r="T256">
        <v>216</v>
      </c>
      <c r="U256">
        <v>0</v>
      </c>
      <c r="V256" t="s">
        <v>33</v>
      </c>
      <c r="W256" t="s">
        <v>33</v>
      </c>
      <c r="X256">
        <v>50</v>
      </c>
      <c r="Y256">
        <v>359</v>
      </c>
      <c r="Z256" t="s">
        <v>34</v>
      </c>
      <c r="AA256">
        <v>359</v>
      </c>
      <c r="AB256" t="s">
        <v>121</v>
      </c>
      <c r="AC256" t="s">
        <v>121</v>
      </c>
      <c r="AD256" t="str">
        <f t="shared" si="3"/>
        <v>Escobedo → Escobedo</v>
      </c>
      <c r="AE256" t="s">
        <v>1358</v>
      </c>
      <c r="AF256" s="4">
        <v>45689</v>
      </c>
      <c r="AG256" t="str">
        <f>YEAR(Table1[[#This Row],[Fecha]])&amp;" - " &amp;UPPER(TEXT(Table1[[#This Row],[Fecha]],"mm-mmm"))</f>
        <v>2025 - 02-FEB</v>
      </c>
      <c r="AH256" s="5">
        <v>0</v>
      </c>
    </row>
    <row r="257" spans="1:34" x14ac:dyDescent="0.25">
      <c r="A257" t="s">
        <v>867</v>
      </c>
      <c r="B257">
        <v>2025</v>
      </c>
      <c r="C257">
        <v>2</v>
      </c>
      <c r="D257" s="1">
        <v>45708</v>
      </c>
      <c r="E257" s="1">
        <v>45708</v>
      </c>
      <c r="F257" s="1">
        <v>45708</v>
      </c>
      <c r="G257" s="1">
        <v>45708</v>
      </c>
      <c r="H257" s="1">
        <v>45709</v>
      </c>
      <c r="I257">
        <v>2321</v>
      </c>
      <c r="J257" t="s">
        <v>30</v>
      </c>
      <c r="K257" t="s">
        <v>31</v>
      </c>
      <c r="L257">
        <v>50</v>
      </c>
      <c r="M257">
        <v>50</v>
      </c>
      <c r="N257" t="s">
        <v>506</v>
      </c>
      <c r="O257">
        <v>1</v>
      </c>
      <c r="P257">
        <v>150</v>
      </c>
      <c r="Q257" t="b">
        <v>1</v>
      </c>
      <c r="R257" t="b">
        <v>0</v>
      </c>
      <c r="S257" t="b">
        <v>0</v>
      </c>
      <c r="T257">
        <v>216</v>
      </c>
      <c r="U257">
        <v>0</v>
      </c>
      <c r="V257" t="s">
        <v>33</v>
      </c>
      <c r="W257" t="s">
        <v>33</v>
      </c>
      <c r="X257">
        <v>50</v>
      </c>
      <c r="Y257">
        <v>359</v>
      </c>
      <c r="Z257" t="s">
        <v>34</v>
      </c>
      <c r="AA257">
        <v>359</v>
      </c>
      <c r="AB257" t="s">
        <v>121</v>
      </c>
      <c r="AC257" t="s">
        <v>121</v>
      </c>
      <c r="AD257" t="str">
        <f t="shared" si="3"/>
        <v>Escobedo → Escobedo</v>
      </c>
      <c r="AE257" t="s">
        <v>1357</v>
      </c>
      <c r="AF257" s="4">
        <v>45689</v>
      </c>
      <c r="AG257" t="str">
        <f>YEAR(Table1[[#This Row],[Fecha]])&amp;" - " &amp;UPPER(TEXT(Table1[[#This Row],[Fecha]],"mm-mmm"))</f>
        <v>2025 - 02-FEB</v>
      </c>
      <c r="AH257" s="5">
        <v>0</v>
      </c>
    </row>
    <row r="258" spans="1:34" x14ac:dyDescent="0.25">
      <c r="A258" t="s">
        <v>868</v>
      </c>
      <c r="B258">
        <v>2025</v>
      </c>
      <c r="C258">
        <v>2</v>
      </c>
      <c r="D258" s="1">
        <v>45708</v>
      </c>
      <c r="E258" s="1">
        <v>45708</v>
      </c>
      <c r="F258" s="1">
        <v>45708</v>
      </c>
      <c r="G258" s="1">
        <v>45708</v>
      </c>
      <c r="H258" s="1">
        <v>45709</v>
      </c>
      <c r="I258">
        <v>2321</v>
      </c>
      <c r="J258" t="s">
        <v>30</v>
      </c>
      <c r="K258" t="s">
        <v>31</v>
      </c>
      <c r="L258">
        <v>50</v>
      </c>
      <c r="M258">
        <v>50</v>
      </c>
      <c r="N258" t="s">
        <v>506</v>
      </c>
      <c r="O258">
        <v>1</v>
      </c>
      <c r="P258">
        <v>150</v>
      </c>
      <c r="Q258" t="b">
        <v>1</v>
      </c>
      <c r="R258" t="b">
        <v>0</v>
      </c>
      <c r="S258" t="b">
        <v>0</v>
      </c>
      <c r="T258">
        <v>216</v>
      </c>
      <c r="U258">
        <v>0</v>
      </c>
      <c r="V258" t="s">
        <v>33</v>
      </c>
      <c r="W258" t="s">
        <v>33</v>
      </c>
      <c r="X258">
        <v>50</v>
      </c>
      <c r="Y258">
        <v>359</v>
      </c>
      <c r="Z258" t="s">
        <v>34</v>
      </c>
      <c r="AA258">
        <v>359</v>
      </c>
      <c r="AB258" t="s">
        <v>121</v>
      </c>
      <c r="AC258" t="s">
        <v>121</v>
      </c>
      <c r="AD258" t="str">
        <f t="shared" ref="AD258:AD321" si="4">+AB258&amp;" → "&amp;AC258</f>
        <v>Escobedo → Escobedo</v>
      </c>
      <c r="AE258" t="s">
        <v>1357</v>
      </c>
      <c r="AF258" s="4">
        <v>45689</v>
      </c>
      <c r="AG258" t="str">
        <f>YEAR(Table1[[#This Row],[Fecha]])&amp;" - " &amp;UPPER(TEXT(Table1[[#This Row],[Fecha]],"mm-mmm"))</f>
        <v>2025 - 02-FEB</v>
      </c>
      <c r="AH258" s="5">
        <v>0</v>
      </c>
    </row>
    <row r="259" spans="1:34" x14ac:dyDescent="0.25">
      <c r="A259" t="s">
        <v>505</v>
      </c>
      <c r="B259">
        <v>2025</v>
      </c>
      <c r="C259">
        <v>2</v>
      </c>
      <c r="D259" s="1">
        <v>45708</v>
      </c>
      <c r="E259" s="1">
        <v>45708</v>
      </c>
      <c r="F259" s="1">
        <v>45708</v>
      </c>
      <c r="G259" s="1">
        <v>45708</v>
      </c>
      <c r="H259" s="1">
        <v>45709</v>
      </c>
      <c r="I259">
        <v>2321</v>
      </c>
      <c r="J259" t="s">
        <v>30</v>
      </c>
      <c r="K259" t="s">
        <v>31</v>
      </c>
      <c r="L259">
        <v>50</v>
      </c>
      <c r="M259">
        <v>50</v>
      </c>
      <c r="N259" t="s">
        <v>506</v>
      </c>
      <c r="O259">
        <v>1</v>
      </c>
      <c r="P259">
        <v>150</v>
      </c>
      <c r="Q259" t="b">
        <v>1</v>
      </c>
      <c r="R259" t="b">
        <v>0</v>
      </c>
      <c r="S259" t="b">
        <v>0</v>
      </c>
      <c r="T259">
        <v>216</v>
      </c>
      <c r="U259">
        <v>0</v>
      </c>
      <c r="V259" t="s">
        <v>33</v>
      </c>
      <c r="W259" t="s">
        <v>33</v>
      </c>
      <c r="X259">
        <v>50</v>
      </c>
      <c r="Y259">
        <v>2936</v>
      </c>
      <c r="Z259" t="s">
        <v>34</v>
      </c>
      <c r="AA259">
        <v>2936</v>
      </c>
      <c r="AB259" t="s">
        <v>121</v>
      </c>
      <c r="AC259" t="s">
        <v>432</v>
      </c>
      <c r="AD259" t="str">
        <f t="shared" si="4"/>
        <v>Escobedo → Hidalgo</v>
      </c>
      <c r="AE259" t="s">
        <v>1357</v>
      </c>
      <c r="AF259" s="4">
        <v>45689</v>
      </c>
      <c r="AG259" t="str">
        <f>YEAR(Table1[[#This Row],[Fecha]])&amp;" - " &amp;UPPER(TEXT(Table1[[#This Row],[Fecha]],"mm-mmm"))</f>
        <v>2025 - 02-FEB</v>
      </c>
      <c r="AH259" s="5">
        <v>0</v>
      </c>
    </row>
    <row r="260" spans="1:34" x14ac:dyDescent="0.25">
      <c r="A260" t="s">
        <v>507</v>
      </c>
      <c r="B260">
        <v>2025</v>
      </c>
      <c r="C260">
        <v>2</v>
      </c>
      <c r="D260" s="1">
        <v>45709</v>
      </c>
      <c r="E260" s="1">
        <v>45709</v>
      </c>
      <c r="F260" s="1">
        <v>45709</v>
      </c>
      <c r="G260" s="1">
        <v>45709</v>
      </c>
      <c r="H260" s="1">
        <v>45709</v>
      </c>
      <c r="I260">
        <v>2039</v>
      </c>
      <c r="J260" t="s">
        <v>30</v>
      </c>
      <c r="K260" t="s">
        <v>31</v>
      </c>
      <c r="L260">
        <v>50</v>
      </c>
      <c r="M260">
        <v>50</v>
      </c>
      <c r="N260" t="s">
        <v>32</v>
      </c>
      <c r="O260">
        <v>1</v>
      </c>
      <c r="P260">
        <v>150</v>
      </c>
      <c r="Q260" t="b">
        <v>1</v>
      </c>
      <c r="R260" t="b">
        <v>0</v>
      </c>
      <c r="S260" t="b">
        <v>0</v>
      </c>
      <c r="T260">
        <v>216</v>
      </c>
      <c r="U260">
        <v>0</v>
      </c>
      <c r="V260" t="s">
        <v>33</v>
      </c>
      <c r="W260" t="s">
        <v>33</v>
      </c>
      <c r="X260">
        <v>50</v>
      </c>
      <c r="Y260">
        <v>2936</v>
      </c>
      <c r="Z260" t="s">
        <v>34</v>
      </c>
      <c r="AA260">
        <v>2936</v>
      </c>
      <c r="AB260" t="s">
        <v>121</v>
      </c>
      <c r="AC260" t="s">
        <v>432</v>
      </c>
      <c r="AD260" t="str">
        <f t="shared" si="4"/>
        <v>Escobedo → Hidalgo</v>
      </c>
      <c r="AE260" t="s">
        <v>1357</v>
      </c>
      <c r="AF260" s="4">
        <v>45689</v>
      </c>
      <c r="AG260" t="str">
        <f>YEAR(Table1[[#This Row],[Fecha]])&amp;" - " &amp;UPPER(TEXT(Table1[[#This Row],[Fecha]],"mm-mmm"))</f>
        <v>2025 - 02-FEB</v>
      </c>
      <c r="AH260" s="5">
        <v>0</v>
      </c>
    </row>
    <row r="261" spans="1:34" x14ac:dyDescent="0.25">
      <c r="A261" t="s">
        <v>864</v>
      </c>
      <c r="B261">
        <v>2025</v>
      </c>
      <c r="C261">
        <v>2</v>
      </c>
      <c r="D261" s="1">
        <v>45709</v>
      </c>
      <c r="E261" s="1">
        <v>45709</v>
      </c>
      <c r="F261" s="1">
        <v>45709</v>
      </c>
      <c r="G261" s="1">
        <v>45709</v>
      </c>
      <c r="H261" s="1">
        <v>45709</v>
      </c>
      <c r="I261">
        <v>2039</v>
      </c>
      <c r="J261" t="s">
        <v>30</v>
      </c>
      <c r="K261" t="s">
        <v>31</v>
      </c>
      <c r="L261">
        <v>50</v>
      </c>
      <c r="M261">
        <v>50</v>
      </c>
      <c r="N261" t="s">
        <v>32</v>
      </c>
      <c r="O261">
        <v>1</v>
      </c>
      <c r="P261">
        <v>150</v>
      </c>
      <c r="Q261" t="b">
        <v>1</v>
      </c>
      <c r="R261" t="b">
        <v>0</v>
      </c>
      <c r="S261" t="b">
        <v>0</v>
      </c>
      <c r="T261">
        <v>216</v>
      </c>
      <c r="U261">
        <v>0</v>
      </c>
      <c r="V261" t="s">
        <v>33</v>
      </c>
      <c r="W261" t="s">
        <v>33</v>
      </c>
      <c r="X261">
        <v>50</v>
      </c>
      <c r="Y261">
        <v>359</v>
      </c>
      <c r="Z261" t="s">
        <v>34</v>
      </c>
      <c r="AA261">
        <v>359</v>
      </c>
      <c r="AB261" t="s">
        <v>121</v>
      </c>
      <c r="AC261" t="s">
        <v>121</v>
      </c>
      <c r="AD261" t="str">
        <f t="shared" si="4"/>
        <v>Escobedo → Escobedo</v>
      </c>
      <c r="AE261" t="s">
        <v>1357</v>
      </c>
      <c r="AF261" s="4">
        <v>45689</v>
      </c>
      <c r="AG261" t="str">
        <f>YEAR(Table1[[#This Row],[Fecha]])&amp;" - " &amp;UPPER(TEXT(Table1[[#This Row],[Fecha]],"mm-mmm"))</f>
        <v>2025 - 02-FEB</v>
      </c>
      <c r="AH261" s="5">
        <v>0</v>
      </c>
    </row>
    <row r="262" spans="1:34" x14ac:dyDescent="0.25">
      <c r="A262" t="s">
        <v>375</v>
      </c>
      <c r="B262">
        <v>2025</v>
      </c>
      <c r="C262">
        <v>2</v>
      </c>
      <c r="D262" s="1">
        <v>45709</v>
      </c>
      <c r="E262" s="1">
        <v>45709</v>
      </c>
      <c r="F262" s="1">
        <v>45712</v>
      </c>
      <c r="G262" s="1">
        <v>45711</v>
      </c>
      <c r="H262" s="1">
        <v>45712</v>
      </c>
      <c r="I262">
        <v>2039</v>
      </c>
      <c r="J262" t="s">
        <v>30</v>
      </c>
      <c r="K262" t="s">
        <v>31</v>
      </c>
      <c r="L262">
        <v>842</v>
      </c>
      <c r="M262">
        <v>842</v>
      </c>
      <c r="N262" t="s">
        <v>32</v>
      </c>
      <c r="O262">
        <v>1</v>
      </c>
      <c r="P262">
        <v>863</v>
      </c>
      <c r="Q262" t="b">
        <v>1</v>
      </c>
      <c r="R262" t="b">
        <v>0</v>
      </c>
      <c r="S262" t="b">
        <v>0</v>
      </c>
      <c r="T262">
        <v>1134</v>
      </c>
      <c r="U262">
        <v>0</v>
      </c>
      <c r="V262" t="s">
        <v>33</v>
      </c>
      <c r="W262" t="s">
        <v>33</v>
      </c>
      <c r="X262">
        <v>900</v>
      </c>
      <c r="Y262">
        <v>1843</v>
      </c>
      <c r="Z262" t="s">
        <v>123</v>
      </c>
      <c r="AA262">
        <v>1843</v>
      </c>
      <c r="AB262" t="s">
        <v>121</v>
      </c>
      <c r="AC262" t="s">
        <v>364</v>
      </c>
      <c r="AD262" t="str">
        <f t="shared" si="4"/>
        <v>Escobedo → Mazatlan</v>
      </c>
      <c r="AE262" t="s">
        <v>1357</v>
      </c>
      <c r="AF262" s="4">
        <v>45689</v>
      </c>
      <c r="AG262" t="str">
        <f>YEAR(Table1[[#This Row],[Fecha]])&amp;" - " &amp;UPPER(TEXT(Table1[[#This Row],[Fecha]],"mm-mmm"))</f>
        <v>2025 - 02-FEB</v>
      </c>
      <c r="AH262" s="5">
        <v>0</v>
      </c>
    </row>
    <row r="263" spans="1:34" x14ac:dyDescent="0.25">
      <c r="A263" t="s">
        <v>870</v>
      </c>
      <c r="B263">
        <v>2025</v>
      </c>
      <c r="C263">
        <v>2</v>
      </c>
      <c r="D263" s="1">
        <v>45709</v>
      </c>
      <c r="E263" s="1">
        <v>45709</v>
      </c>
      <c r="F263" s="1">
        <v>45709</v>
      </c>
      <c r="G263" s="1">
        <v>45709</v>
      </c>
      <c r="H263" s="2">
        <v>45710.449408645836</v>
      </c>
      <c r="I263">
        <v>2050</v>
      </c>
      <c r="J263" t="s">
        <v>54</v>
      </c>
      <c r="K263" t="s">
        <v>31</v>
      </c>
      <c r="L263">
        <v>50</v>
      </c>
      <c r="M263">
        <v>50</v>
      </c>
      <c r="N263" t="s">
        <v>55</v>
      </c>
      <c r="O263">
        <v>1</v>
      </c>
      <c r="P263">
        <v>150</v>
      </c>
      <c r="Q263" t="b">
        <v>1</v>
      </c>
      <c r="R263" t="b">
        <v>0</v>
      </c>
      <c r="S263" t="b">
        <v>0</v>
      </c>
      <c r="T263">
        <v>216</v>
      </c>
      <c r="U263">
        <v>0</v>
      </c>
      <c r="V263" t="s">
        <v>33</v>
      </c>
      <c r="W263" t="s">
        <v>33</v>
      </c>
      <c r="X263">
        <v>50</v>
      </c>
      <c r="Y263">
        <v>359</v>
      </c>
      <c r="Z263" t="s">
        <v>34</v>
      </c>
      <c r="AA263">
        <v>359</v>
      </c>
      <c r="AB263" t="s">
        <v>121</v>
      </c>
      <c r="AC263" t="s">
        <v>121</v>
      </c>
      <c r="AD263" t="str">
        <f t="shared" si="4"/>
        <v>Escobedo → Escobedo</v>
      </c>
      <c r="AE263" t="s">
        <v>1358</v>
      </c>
      <c r="AF263" s="4">
        <v>45689</v>
      </c>
      <c r="AG263" t="str">
        <f>YEAR(Table1[[#This Row],[Fecha]])&amp;" - " &amp;UPPER(TEXT(Table1[[#This Row],[Fecha]],"mm-mmm"))</f>
        <v>2025 - 02-FEB</v>
      </c>
      <c r="AH263" s="5">
        <v>0</v>
      </c>
    </row>
    <row r="264" spans="1:34" x14ac:dyDescent="0.25">
      <c r="A264" t="s">
        <v>510</v>
      </c>
      <c r="B264">
        <v>2025</v>
      </c>
      <c r="C264">
        <v>2</v>
      </c>
      <c r="D264" s="1">
        <v>45709</v>
      </c>
      <c r="E264" s="1">
        <v>45709</v>
      </c>
      <c r="F264" s="1">
        <v>45709</v>
      </c>
      <c r="G264" s="1">
        <v>45709</v>
      </c>
      <c r="H264" s="2">
        <v>45710.626138692132</v>
      </c>
      <c r="I264">
        <v>2050</v>
      </c>
      <c r="J264" t="s">
        <v>54</v>
      </c>
      <c r="K264" t="s">
        <v>31</v>
      </c>
      <c r="L264">
        <v>50</v>
      </c>
      <c r="M264">
        <v>50</v>
      </c>
      <c r="N264" t="s">
        <v>55</v>
      </c>
      <c r="O264">
        <v>1</v>
      </c>
      <c r="P264">
        <v>150</v>
      </c>
      <c r="Q264" t="b">
        <v>1</v>
      </c>
      <c r="R264" t="b">
        <v>0</v>
      </c>
      <c r="S264" t="b">
        <v>0</v>
      </c>
      <c r="T264">
        <v>216</v>
      </c>
      <c r="U264">
        <v>0</v>
      </c>
      <c r="V264" t="s">
        <v>33</v>
      </c>
      <c r="W264" t="s">
        <v>33</v>
      </c>
      <c r="X264">
        <v>50</v>
      </c>
      <c r="Y264">
        <v>2936</v>
      </c>
      <c r="Z264" t="s">
        <v>34</v>
      </c>
      <c r="AA264">
        <v>2936</v>
      </c>
      <c r="AB264" t="s">
        <v>121</v>
      </c>
      <c r="AC264" t="s">
        <v>432</v>
      </c>
      <c r="AD264" t="str">
        <f t="shared" si="4"/>
        <v>Escobedo → Hidalgo</v>
      </c>
      <c r="AE264" t="s">
        <v>1358</v>
      </c>
      <c r="AF264" s="4">
        <v>45689</v>
      </c>
      <c r="AG264" t="str">
        <f>YEAR(Table1[[#This Row],[Fecha]])&amp;" - " &amp;UPPER(TEXT(Table1[[#This Row],[Fecha]],"mm-mmm"))</f>
        <v>2025 - 02-FEB</v>
      </c>
      <c r="AH264" s="5">
        <v>0</v>
      </c>
    </row>
    <row r="265" spans="1:34" x14ac:dyDescent="0.25">
      <c r="A265" t="s">
        <v>924</v>
      </c>
      <c r="B265">
        <v>2025</v>
      </c>
      <c r="C265">
        <v>2</v>
      </c>
      <c r="D265" s="1">
        <v>45710</v>
      </c>
      <c r="E265" s="1">
        <v>45710</v>
      </c>
      <c r="F265" s="1">
        <v>45710</v>
      </c>
      <c r="G265" s="1">
        <v>45710</v>
      </c>
      <c r="H265" s="1">
        <v>45710</v>
      </c>
      <c r="I265">
        <v>2039</v>
      </c>
      <c r="J265" t="s">
        <v>30</v>
      </c>
      <c r="K265" t="s">
        <v>31</v>
      </c>
      <c r="L265">
        <v>50</v>
      </c>
      <c r="M265">
        <v>50</v>
      </c>
      <c r="N265" t="s">
        <v>32</v>
      </c>
      <c r="O265">
        <v>1</v>
      </c>
      <c r="P265">
        <v>150</v>
      </c>
      <c r="Q265" t="b">
        <v>1</v>
      </c>
      <c r="R265" t="b">
        <v>0</v>
      </c>
      <c r="S265" t="b">
        <v>0</v>
      </c>
      <c r="T265">
        <v>216</v>
      </c>
      <c r="U265">
        <v>0</v>
      </c>
      <c r="V265" t="s">
        <v>33</v>
      </c>
      <c r="W265" t="s">
        <v>33</v>
      </c>
      <c r="X265">
        <v>50</v>
      </c>
      <c r="Y265">
        <v>359</v>
      </c>
      <c r="Z265" t="s">
        <v>34</v>
      </c>
      <c r="AA265">
        <v>359</v>
      </c>
      <c r="AB265" t="s">
        <v>121</v>
      </c>
      <c r="AC265" t="s">
        <v>121</v>
      </c>
      <c r="AD265" t="str">
        <f t="shared" si="4"/>
        <v>Escobedo → Escobedo</v>
      </c>
      <c r="AE265" t="s">
        <v>1357</v>
      </c>
      <c r="AF265" s="4">
        <v>45689</v>
      </c>
      <c r="AG265" t="str">
        <f>YEAR(Table1[[#This Row],[Fecha]])&amp;" - " &amp;UPPER(TEXT(Table1[[#This Row],[Fecha]],"mm-mmm"))</f>
        <v>2025 - 02-FEB</v>
      </c>
      <c r="AH265" s="5">
        <v>0</v>
      </c>
    </row>
    <row r="266" spans="1:34" x14ac:dyDescent="0.25">
      <c r="A266" t="s">
        <v>217</v>
      </c>
      <c r="B266">
        <v>2025</v>
      </c>
      <c r="C266">
        <v>2</v>
      </c>
      <c r="D266" s="1">
        <v>45712</v>
      </c>
      <c r="E266" s="1">
        <v>45712</v>
      </c>
      <c r="F266" s="1">
        <v>45713</v>
      </c>
      <c r="G266" s="1">
        <v>45712</v>
      </c>
      <c r="H266" s="1">
        <v>45713</v>
      </c>
      <c r="I266">
        <v>2039</v>
      </c>
      <c r="J266" t="s">
        <v>30</v>
      </c>
      <c r="K266" t="s">
        <v>31</v>
      </c>
      <c r="L266">
        <v>0</v>
      </c>
      <c r="M266">
        <v>0</v>
      </c>
      <c r="N266" t="s">
        <v>32</v>
      </c>
      <c r="O266">
        <v>1</v>
      </c>
      <c r="P266">
        <v>0</v>
      </c>
      <c r="Q266" t="b">
        <v>1</v>
      </c>
      <c r="R266" t="b">
        <v>0</v>
      </c>
      <c r="S266" t="b">
        <v>0</v>
      </c>
      <c r="T266">
        <v>0</v>
      </c>
      <c r="U266">
        <v>0</v>
      </c>
      <c r="V266" t="s">
        <v>33</v>
      </c>
      <c r="W266" t="s">
        <v>33</v>
      </c>
      <c r="X266">
        <v>0</v>
      </c>
      <c r="Y266">
        <v>64</v>
      </c>
      <c r="Z266" t="s">
        <v>123</v>
      </c>
      <c r="AA266">
        <v>64</v>
      </c>
      <c r="AB266" t="s">
        <v>121</v>
      </c>
      <c r="AC266" t="s">
        <v>60</v>
      </c>
      <c r="AD266" t="str">
        <f t="shared" si="4"/>
        <v>Escobedo → Culiacan</v>
      </c>
      <c r="AE266" t="s">
        <v>1357</v>
      </c>
      <c r="AF266" s="4">
        <v>45689</v>
      </c>
      <c r="AG266" t="str">
        <f>YEAR(Table1[[#This Row],[Fecha]])&amp;" - " &amp;UPPER(TEXT(Table1[[#This Row],[Fecha]],"mm-mmm"))</f>
        <v>2025 - 02-FEB</v>
      </c>
      <c r="AH266" s="5">
        <v>0</v>
      </c>
    </row>
    <row r="267" spans="1:34" x14ac:dyDescent="0.25">
      <c r="A267" t="s">
        <v>869</v>
      </c>
      <c r="B267">
        <v>2025</v>
      </c>
      <c r="C267">
        <v>2</v>
      </c>
      <c r="D267" s="1">
        <v>45712</v>
      </c>
      <c r="E267" s="1">
        <v>45712</v>
      </c>
      <c r="F267" s="1">
        <v>45712</v>
      </c>
      <c r="G267" s="1">
        <v>45712</v>
      </c>
      <c r="H267" s="2">
        <v>45713.36119447917</v>
      </c>
      <c r="I267">
        <v>2050</v>
      </c>
      <c r="J267" t="s">
        <v>54</v>
      </c>
      <c r="K267" t="s">
        <v>31</v>
      </c>
      <c r="L267">
        <v>50</v>
      </c>
      <c r="M267">
        <v>50</v>
      </c>
      <c r="N267" t="s">
        <v>55</v>
      </c>
      <c r="O267">
        <v>1</v>
      </c>
      <c r="P267">
        <v>150</v>
      </c>
      <c r="Q267" t="b">
        <v>1</v>
      </c>
      <c r="R267" t="b">
        <v>0</v>
      </c>
      <c r="S267" t="b">
        <v>0</v>
      </c>
      <c r="T267">
        <v>216</v>
      </c>
      <c r="U267">
        <v>0</v>
      </c>
      <c r="V267" t="s">
        <v>33</v>
      </c>
      <c r="W267" t="s">
        <v>33</v>
      </c>
      <c r="X267">
        <v>50</v>
      </c>
      <c r="Y267">
        <v>359</v>
      </c>
      <c r="Z267" t="s">
        <v>34</v>
      </c>
      <c r="AA267">
        <v>359</v>
      </c>
      <c r="AB267" t="s">
        <v>121</v>
      </c>
      <c r="AC267" t="s">
        <v>121</v>
      </c>
      <c r="AD267" t="str">
        <f t="shared" si="4"/>
        <v>Escobedo → Escobedo</v>
      </c>
      <c r="AE267" t="s">
        <v>1358</v>
      </c>
      <c r="AF267" s="4">
        <v>45689</v>
      </c>
      <c r="AG267" t="str">
        <f>YEAR(Table1[[#This Row],[Fecha]])&amp;" - " &amp;UPPER(TEXT(Table1[[#This Row],[Fecha]],"mm-mmm"))</f>
        <v>2025 - 02-FEB</v>
      </c>
      <c r="AH267" s="5">
        <v>0</v>
      </c>
    </row>
    <row r="268" spans="1:34" x14ac:dyDescent="0.25">
      <c r="A268" t="s">
        <v>511</v>
      </c>
      <c r="B268">
        <v>2025</v>
      </c>
      <c r="C268">
        <v>2</v>
      </c>
      <c r="D268" s="1">
        <v>45712</v>
      </c>
      <c r="E268" s="1">
        <v>45712</v>
      </c>
      <c r="F268" s="1">
        <v>45712</v>
      </c>
      <c r="G268" s="1">
        <v>45712</v>
      </c>
      <c r="H268" s="2">
        <v>45713.681296180555</v>
      </c>
      <c r="I268">
        <v>2050</v>
      </c>
      <c r="J268" t="s">
        <v>54</v>
      </c>
      <c r="K268" t="s">
        <v>31</v>
      </c>
      <c r="L268">
        <v>50</v>
      </c>
      <c r="M268">
        <v>50</v>
      </c>
      <c r="N268" t="s">
        <v>55</v>
      </c>
      <c r="O268">
        <v>1</v>
      </c>
      <c r="P268">
        <v>150</v>
      </c>
      <c r="Q268" t="b">
        <v>1</v>
      </c>
      <c r="R268" t="b">
        <v>0</v>
      </c>
      <c r="S268" t="b">
        <v>0</v>
      </c>
      <c r="T268">
        <v>216</v>
      </c>
      <c r="U268">
        <v>0</v>
      </c>
      <c r="V268" t="s">
        <v>33</v>
      </c>
      <c r="W268" t="s">
        <v>33</v>
      </c>
      <c r="X268">
        <v>50</v>
      </c>
      <c r="Y268">
        <v>2936</v>
      </c>
      <c r="Z268" t="s">
        <v>34</v>
      </c>
      <c r="AA268">
        <v>2936</v>
      </c>
      <c r="AB268" t="s">
        <v>121</v>
      </c>
      <c r="AC268" t="s">
        <v>432</v>
      </c>
      <c r="AD268" t="str">
        <f t="shared" si="4"/>
        <v>Escobedo → Hidalgo</v>
      </c>
      <c r="AE268" t="s">
        <v>1358</v>
      </c>
      <c r="AF268" s="4">
        <v>45689</v>
      </c>
      <c r="AG268" t="str">
        <f>YEAR(Table1[[#This Row],[Fecha]])&amp;" - " &amp;UPPER(TEXT(Table1[[#This Row],[Fecha]],"mm-mmm"))</f>
        <v>2025 - 02-FEB</v>
      </c>
      <c r="AH268" s="5">
        <v>0</v>
      </c>
    </row>
    <row r="269" spans="1:34" x14ac:dyDescent="0.25">
      <c r="A269" t="s">
        <v>871</v>
      </c>
      <c r="B269">
        <v>2025</v>
      </c>
      <c r="C269">
        <v>2</v>
      </c>
      <c r="D269" s="1">
        <v>45689</v>
      </c>
      <c r="E269" s="1">
        <v>45689</v>
      </c>
      <c r="F269" s="1">
        <v>45689</v>
      </c>
      <c r="G269" s="1">
        <v>45689</v>
      </c>
      <c r="H269" s="2">
        <v>45690.695255671293</v>
      </c>
      <c r="I269">
        <v>2039</v>
      </c>
      <c r="J269" t="s">
        <v>30</v>
      </c>
      <c r="K269" t="s">
        <v>31</v>
      </c>
      <c r="L269">
        <v>50</v>
      </c>
      <c r="M269">
        <v>50</v>
      </c>
      <c r="N269" t="s">
        <v>32</v>
      </c>
      <c r="O269">
        <v>1</v>
      </c>
      <c r="P269">
        <v>150</v>
      </c>
      <c r="Q269" t="b">
        <v>1</v>
      </c>
      <c r="R269" t="b">
        <v>0</v>
      </c>
      <c r="S269" t="b">
        <v>0</v>
      </c>
      <c r="T269">
        <v>216</v>
      </c>
      <c r="U269">
        <v>0</v>
      </c>
      <c r="V269" t="s">
        <v>33</v>
      </c>
      <c r="W269" t="s">
        <v>33</v>
      </c>
      <c r="X269">
        <v>50</v>
      </c>
      <c r="Y269">
        <v>359</v>
      </c>
      <c r="Z269" t="s">
        <v>34</v>
      </c>
      <c r="AA269">
        <v>359</v>
      </c>
      <c r="AB269" t="s">
        <v>121</v>
      </c>
      <c r="AC269" t="s">
        <v>121</v>
      </c>
      <c r="AD269" t="str">
        <f t="shared" si="4"/>
        <v>Escobedo → Escobedo</v>
      </c>
      <c r="AE269" t="s">
        <v>1357</v>
      </c>
      <c r="AF269" s="4">
        <v>45689</v>
      </c>
      <c r="AG269" t="str">
        <f>YEAR(Table1[[#This Row],[Fecha]])&amp;" - " &amp;UPPER(TEXT(Table1[[#This Row],[Fecha]],"mm-mmm"))</f>
        <v>2025 - 02-FEB</v>
      </c>
      <c r="AH269" s="5">
        <v>0</v>
      </c>
    </row>
    <row r="270" spans="1:34" x14ac:dyDescent="0.25">
      <c r="A270" t="s">
        <v>872</v>
      </c>
      <c r="B270">
        <v>2025</v>
      </c>
      <c r="C270">
        <v>2</v>
      </c>
      <c r="D270" s="1">
        <v>45714</v>
      </c>
      <c r="E270" s="1">
        <v>45714</v>
      </c>
      <c r="F270" s="1">
        <v>45714</v>
      </c>
      <c r="G270" s="1">
        <v>45714</v>
      </c>
      <c r="H270" s="2">
        <v>45714.593953090276</v>
      </c>
      <c r="I270">
        <v>2050</v>
      </c>
      <c r="J270" t="s">
        <v>54</v>
      </c>
      <c r="K270" t="s">
        <v>31</v>
      </c>
      <c r="L270">
        <v>50</v>
      </c>
      <c r="M270">
        <v>50</v>
      </c>
      <c r="N270" t="s">
        <v>55</v>
      </c>
      <c r="O270">
        <v>1</v>
      </c>
      <c r="P270">
        <v>150</v>
      </c>
      <c r="Q270" t="b">
        <v>1</v>
      </c>
      <c r="R270" t="b">
        <v>0</v>
      </c>
      <c r="S270" t="b">
        <v>0</v>
      </c>
      <c r="T270">
        <v>216</v>
      </c>
      <c r="U270">
        <v>0</v>
      </c>
      <c r="V270" t="s">
        <v>33</v>
      </c>
      <c r="W270" t="s">
        <v>33</v>
      </c>
      <c r="X270">
        <v>50</v>
      </c>
      <c r="Y270">
        <v>359</v>
      </c>
      <c r="Z270" t="s">
        <v>34</v>
      </c>
      <c r="AA270">
        <v>359</v>
      </c>
      <c r="AB270" t="s">
        <v>121</v>
      </c>
      <c r="AC270" t="s">
        <v>121</v>
      </c>
      <c r="AD270" t="str">
        <f t="shared" si="4"/>
        <v>Escobedo → Escobedo</v>
      </c>
      <c r="AE270" t="s">
        <v>1358</v>
      </c>
      <c r="AF270" s="4">
        <v>45689</v>
      </c>
      <c r="AG270" t="str">
        <f>YEAR(Table1[[#This Row],[Fecha]])&amp;" - " &amp;UPPER(TEXT(Table1[[#This Row],[Fecha]],"mm-mmm"))</f>
        <v>2025 - 02-FEB</v>
      </c>
      <c r="AH270" s="5">
        <v>0</v>
      </c>
    </row>
    <row r="271" spans="1:34" x14ac:dyDescent="0.25">
      <c r="A271" t="s">
        <v>509</v>
      </c>
      <c r="B271">
        <v>2025</v>
      </c>
      <c r="C271">
        <v>2</v>
      </c>
      <c r="D271" s="1">
        <v>45714</v>
      </c>
      <c r="E271" s="1">
        <v>45714</v>
      </c>
      <c r="F271" s="1">
        <v>45714</v>
      </c>
      <c r="G271" s="1">
        <v>45714</v>
      </c>
      <c r="H271" s="2">
        <v>45714.619579826387</v>
      </c>
      <c r="I271">
        <v>2050</v>
      </c>
      <c r="J271" t="s">
        <v>54</v>
      </c>
      <c r="K271" t="s">
        <v>31</v>
      </c>
      <c r="L271">
        <v>50</v>
      </c>
      <c r="M271">
        <v>50</v>
      </c>
      <c r="N271" t="s">
        <v>55</v>
      </c>
      <c r="O271">
        <v>1</v>
      </c>
      <c r="P271">
        <v>150</v>
      </c>
      <c r="Q271" t="b">
        <v>1</v>
      </c>
      <c r="R271" t="b">
        <v>0</v>
      </c>
      <c r="S271" t="b">
        <v>0</v>
      </c>
      <c r="T271">
        <v>216</v>
      </c>
      <c r="U271">
        <v>0</v>
      </c>
      <c r="V271" t="s">
        <v>33</v>
      </c>
      <c r="W271" t="s">
        <v>33</v>
      </c>
      <c r="X271">
        <v>50</v>
      </c>
      <c r="Y271">
        <v>2936</v>
      </c>
      <c r="Z271" t="s">
        <v>34</v>
      </c>
      <c r="AA271">
        <v>2936</v>
      </c>
      <c r="AB271" t="s">
        <v>121</v>
      </c>
      <c r="AC271" t="s">
        <v>432</v>
      </c>
      <c r="AD271" t="str">
        <f t="shared" si="4"/>
        <v>Escobedo → Hidalgo</v>
      </c>
      <c r="AE271" t="s">
        <v>1358</v>
      </c>
      <c r="AF271" s="4">
        <v>45689</v>
      </c>
      <c r="AG271" t="str">
        <f>YEAR(Table1[[#This Row],[Fecha]])&amp;" - " &amp;UPPER(TEXT(Table1[[#This Row],[Fecha]],"mm-mmm"))</f>
        <v>2025 - 02-FEB</v>
      </c>
      <c r="AH271" s="5">
        <v>0</v>
      </c>
    </row>
    <row r="272" spans="1:34" x14ac:dyDescent="0.25">
      <c r="A272" t="s">
        <v>873</v>
      </c>
      <c r="B272">
        <v>2025</v>
      </c>
      <c r="C272">
        <v>2</v>
      </c>
      <c r="D272" s="1">
        <v>45714</v>
      </c>
      <c r="E272" s="1">
        <v>45714</v>
      </c>
      <c r="F272" s="1">
        <v>45714</v>
      </c>
      <c r="G272" s="1">
        <v>45714</v>
      </c>
      <c r="H272" s="2">
        <v>45714.715100381945</v>
      </c>
      <c r="I272">
        <v>2050</v>
      </c>
      <c r="J272" t="s">
        <v>54</v>
      </c>
      <c r="K272" t="s">
        <v>31</v>
      </c>
      <c r="L272">
        <v>50</v>
      </c>
      <c r="M272">
        <v>50</v>
      </c>
      <c r="N272" t="s">
        <v>55</v>
      </c>
      <c r="O272">
        <v>1</v>
      </c>
      <c r="P272">
        <v>150</v>
      </c>
      <c r="Q272" t="b">
        <v>1</v>
      </c>
      <c r="R272" t="b">
        <v>0</v>
      </c>
      <c r="S272" t="b">
        <v>0</v>
      </c>
      <c r="T272">
        <v>216</v>
      </c>
      <c r="U272">
        <v>0</v>
      </c>
      <c r="V272" t="s">
        <v>33</v>
      </c>
      <c r="W272" t="s">
        <v>33</v>
      </c>
      <c r="X272">
        <v>50</v>
      </c>
      <c r="Y272">
        <v>359</v>
      </c>
      <c r="Z272" t="s">
        <v>34</v>
      </c>
      <c r="AA272">
        <v>359</v>
      </c>
      <c r="AB272" t="s">
        <v>121</v>
      </c>
      <c r="AC272" t="s">
        <v>121</v>
      </c>
      <c r="AD272" t="str">
        <f t="shared" si="4"/>
        <v>Escobedo → Escobedo</v>
      </c>
      <c r="AE272" t="s">
        <v>1358</v>
      </c>
      <c r="AF272" s="4">
        <v>45689</v>
      </c>
      <c r="AG272" t="str">
        <f>YEAR(Table1[[#This Row],[Fecha]])&amp;" - " &amp;UPPER(TEXT(Table1[[#This Row],[Fecha]],"mm-mmm"))</f>
        <v>2025 - 02-FEB</v>
      </c>
      <c r="AH272" s="5">
        <v>0</v>
      </c>
    </row>
    <row r="273" spans="1:34" x14ac:dyDescent="0.25">
      <c r="A273" t="s">
        <v>874</v>
      </c>
      <c r="B273">
        <v>2025</v>
      </c>
      <c r="C273">
        <v>2</v>
      </c>
      <c r="D273" s="1">
        <v>45714</v>
      </c>
      <c r="E273" s="1">
        <v>45714</v>
      </c>
      <c r="F273" s="1">
        <v>45714</v>
      </c>
      <c r="G273" s="1">
        <v>45714</v>
      </c>
      <c r="H273" s="2">
        <v>45714.713061539354</v>
      </c>
      <c r="I273">
        <v>2050</v>
      </c>
      <c r="J273" t="s">
        <v>54</v>
      </c>
      <c r="K273" t="s">
        <v>31</v>
      </c>
      <c r="L273">
        <v>50</v>
      </c>
      <c r="M273">
        <v>50</v>
      </c>
      <c r="N273" t="s">
        <v>55</v>
      </c>
      <c r="O273">
        <v>1</v>
      </c>
      <c r="P273">
        <v>150</v>
      </c>
      <c r="Q273" t="b">
        <v>1</v>
      </c>
      <c r="R273" t="b">
        <v>0</v>
      </c>
      <c r="S273" t="b">
        <v>0</v>
      </c>
      <c r="T273">
        <v>216</v>
      </c>
      <c r="U273">
        <v>0</v>
      </c>
      <c r="V273" t="s">
        <v>33</v>
      </c>
      <c r="W273" t="s">
        <v>33</v>
      </c>
      <c r="X273">
        <v>50</v>
      </c>
      <c r="Y273">
        <v>359</v>
      </c>
      <c r="Z273" t="s">
        <v>34</v>
      </c>
      <c r="AA273">
        <v>359</v>
      </c>
      <c r="AB273" t="s">
        <v>121</v>
      </c>
      <c r="AC273" t="s">
        <v>121</v>
      </c>
      <c r="AD273" t="str">
        <f t="shared" si="4"/>
        <v>Escobedo → Escobedo</v>
      </c>
      <c r="AE273" t="s">
        <v>1358</v>
      </c>
      <c r="AF273" s="4">
        <v>45689</v>
      </c>
      <c r="AG273" t="str">
        <f>YEAR(Table1[[#This Row],[Fecha]])&amp;" - " &amp;UPPER(TEXT(Table1[[#This Row],[Fecha]],"mm-mmm"))</f>
        <v>2025 - 02-FEB</v>
      </c>
      <c r="AH273" s="5">
        <v>0</v>
      </c>
    </row>
    <row r="274" spans="1:34" x14ac:dyDescent="0.25">
      <c r="A274" t="s">
        <v>508</v>
      </c>
      <c r="B274">
        <v>2025</v>
      </c>
      <c r="C274">
        <v>2</v>
      </c>
      <c r="D274" s="1">
        <v>45714</v>
      </c>
      <c r="E274" s="1">
        <v>45714</v>
      </c>
      <c r="F274" s="1">
        <v>45714</v>
      </c>
      <c r="G274" s="1">
        <v>45714</v>
      </c>
      <c r="H274" s="2">
        <v>45714.713069328704</v>
      </c>
      <c r="I274">
        <v>2050</v>
      </c>
      <c r="J274" t="s">
        <v>54</v>
      </c>
      <c r="K274" t="s">
        <v>31</v>
      </c>
      <c r="L274">
        <v>50</v>
      </c>
      <c r="M274">
        <v>50</v>
      </c>
      <c r="N274" t="s">
        <v>55</v>
      </c>
      <c r="O274">
        <v>1</v>
      </c>
      <c r="P274">
        <v>150</v>
      </c>
      <c r="Q274" t="b">
        <v>1</v>
      </c>
      <c r="R274" t="b">
        <v>0</v>
      </c>
      <c r="S274" t="b">
        <v>0</v>
      </c>
      <c r="T274">
        <v>216</v>
      </c>
      <c r="U274">
        <v>0</v>
      </c>
      <c r="V274" t="s">
        <v>33</v>
      </c>
      <c r="W274" t="s">
        <v>33</v>
      </c>
      <c r="X274">
        <v>50</v>
      </c>
      <c r="Y274">
        <v>2936</v>
      </c>
      <c r="Z274" t="s">
        <v>34</v>
      </c>
      <c r="AA274">
        <v>2936</v>
      </c>
      <c r="AB274" t="s">
        <v>121</v>
      </c>
      <c r="AC274" t="s">
        <v>432</v>
      </c>
      <c r="AD274" t="str">
        <f t="shared" si="4"/>
        <v>Escobedo → Hidalgo</v>
      </c>
      <c r="AE274" t="s">
        <v>1358</v>
      </c>
      <c r="AF274" s="4">
        <v>45689</v>
      </c>
      <c r="AG274" t="str">
        <f>YEAR(Table1[[#This Row],[Fecha]])&amp;" - " &amp;UPPER(TEXT(Table1[[#This Row],[Fecha]],"mm-mmm"))</f>
        <v>2025 - 02-FEB</v>
      </c>
      <c r="AH274" s="5">
        <v>0</v>
      </c>
    </row>
    <row r="275" spans="1:34" x14ac:dyDescent="0.25">
      <c r="A275" t="s">
        <v>179</v>
      </c>
      <c r="B275">
        <v>2025</v>
      </c>
      <c r="C275">
        <v>2</v>
      </c>
      <c r="D275" s="1">
        <v>45714</v>
      </c>
      <c r="E275" s="1">
        <v>45714</v>
      </c>
      <c r="F275" s="1">
        <v>45714</v>
      </c>
      <c r="G275" s="1">
        <v>45714</v>
      </c>
      <c r="H275" s="2">
        <v>45714.713632951389</v>
      </c>
      <c r="I275">
        <v>2050</v>
      </c>
      <c r="J275" t="s">
        <v>54</v>
      </c>
      <c r="K275" t="s">
        <v>31</v>
      </c>
      <c r="L275">
        <v>50</v>
      </c>
      <c r="M275">
        <v>50</v>
      </c>
      <c r="N275" t="s">
        <v>55</v>
      </c>
      <c r="O275">
        <v>1</v>
      </c>
      <c r="P275">
        <v>150</v>
      </c>
      <c r="Q275" t="b">
        <v>1</v>
      </c>
      <c r="R275" t="b">
        <v>0</v>
      </c>
      <c r="S275" t="b">
        <v>0</v>
      </c>
      <c r="T275">
        <v>216</v>
      </c>
      <c r="U275">
        <v>0</v>
      </c>
      <c r="V275" t="s">
        <v>33</v>
      </c>
      <c r="W275" t="s">
        <v>33</v>
      </c>
      <c r="X275">
        <v>50</v>
      </c>
      <c r="Y275">
        <v>308</v>
      </c>
      <c r="Z275" t="s">
        <v>106</v>
      </c>
      <c r="AA275">
        <v>308</v>
      </c>
      <c r="AB275" t="s">
        <v>121</v>
      </c>
      <c r="AC275" t="s">
        <v>174</v>
      </c>
      <c r="AD275" t="str">
        <f t="shared" si="4"/>
        <v>Escobedo → Guadalupe</v>
      </c>
      <c r="AE275" t="s">
        <v>1358</v>
      </c>
      <c r="AF275" s="4">
        <v>45689</v>
      </c>
      <c r="AG275" t="str">
        <f>YEAR(Table1[[#This Row],[Fecha]])&amp;" - " &amp;UPPER(TEXT(Table1[[#This Row],[Fecha]],"mm-mmm"))</f>
        <v>2025 - 02-FEB</v>
      </c>
      <c r="AH275" s="5">
        <v>0</v>
      </c>
    </row>
    <row r="276" spans="1:34" x14ac:dyDescent="0.25">
      <c r="A276" t="s">
        <v>519</v>
      </c>
      <c r="B276">
        <v>2025</v>
      </c>
      <c r="C276">
        <v>2</v>
      </c>
      <c r="D276" s="1">
        <v>45715</v>
      </c>
      <c r="E276" s="1">
        <v>45715</v>
      </c>
      <c r="F276" s="1">
        <v>45715</v>
      </c>
      <c r="G276" s="1">
        <v>45715</v>
      </c>
      <c r="H276" s="2">
        <v>45715.669436539349</v>
      </c>
      <c r="I276">
        <v>2024</v>
      </c>
      <c r="J276" t="s">
        <v>54</v>
      </c>
      <c r="K276" t="s">
        <v>31</v>
      </c>
      <c r="L276">
        <v>50</v>
      </c>
      <c r="M276">
        <v>50</v>
      </c>
      <c r="N276" t="s">
        <v>115</v>
      </c>
      <c r="O276">
        <v>1</v>
      </c>
      <c r="P276">
        <v>150</v>
      </c>
      <c r="Q276" t="b">
        <v>1</v>
      </c>
      <c r="R276" t="b">
        <v>0</v>
      </c>
      <c r="S276" t="b">
        <v>0</v>
      </c>
      <c r="T276">
        <v>0</v>
      </c>
      <c r="U276">
        <v>0</v>
      </c>
      <c r="V276" t="s">
        <v>33</v>
      </c>
      <c r="W276" t="s">
        <v>33</v>
      </c>
      <c r="X276">
        <v>50</v>
      </c>
      <c r="Y276">
        <v>2936</v>
      </c>
      <c r="Z276" t="s">
        <v>350</v>
      </c>
      <c r="AA276">
        <v>2936</v>
      </c>
      <c r="AB276" t="s">
        <v>121</v>
      </c>
      <c r="AC276" t="s">
        <v>432</v>
      </c>
      <c r="AD276" t="str">
        <f t="shared" si="4"/>
        <v>Escobedo → Hidalgo</v>
      </c>
      <c r="AE276" t="s">
        <v>1358</v>
      </c>
      <c r="AF276" s="4">
        <v>45689</v>
      </c>
      <c r="AG276" t="str">
        <f>YEAR(Table1[[#This Row],[Fecha]])&amp;" - " &amp;UPPER(TEXT(Table1[[#This Row],[Fecha]],"mm-mmm"))</f>
        <v>2025 - 02-FEB</v>
      </c>
      <c r="AH276" s="5">
        <v>0</v>
      </c>
    </row>
    <row r="277" spans="1:34" x14ac:dyDescent="0.25">
      <c r="A277" t="s">
        <v>852</v>
      </c>
      <c r="B277">
        <v>2025</v>
      </c>
      <c r="C277">
        <v>2</v>
      </c>
      <c r="D277" s="1">
        <v>45693</v>
      </c>
      <c r="E277" s="1">
        <v>45693</v>
      </c>
      <c r="F277" s="1">
        <v>45693</v>
      </c>
      <c r="G277" s="1">
        <v>45693</v>
      </c>
      <c r="H277" s="2">
        <v>45693.72554255787</v>
      </c>
      <c r="I277">
        <v>2039</v>
      </c>
      <c r="J277" t="s">
        <v>30</v>
      </c>
      <c r="K277" t="s">
        <v>31</v>
      </c>
      <c r="L277">
        <v>50</v>
      </c>
      <c r="M277">
        <v>50</v>
      </c>
      <c r="N277" t="s">
        <v>32</v>
      </c>
      <c r="O277">
        <v>1</v>
      </c>
      <c r="P277">
        <v>150</v>
      </c>
      <c r="Q277" t="b">
        <v>1</v>
      </c>
      <c r="R277" t="b">
        <v>0</v>
      </c>
      <c r="S277" t="b">
        <v>0</v>
      </c>
      <c r="T277">
        <v>216</v>
      </c>
      <c r="U277">
        <v>0</v>
      </c>
      <c r="V277" t="s">
        <v>33</v>
      </c>
      <c r="W277" t="s">
        <v>33</v>
      </c>
      <c r="X277">
        <v>50</v>
      </c>
      <c r="Y277">
        <v>359</v>
      </c>
      <c r="Z277" t="s">
        <v>34</v>
      </c>
      <c r="AA277">
        <v>359</v>
      </c>
      <c r="AB277" t="s">
        <v>121</v>
      </c>
      <c r="AC277" t="s">
        <v>121</v>
      </c>
      <c r="AD277" t="str">
        <f t="shared" si="4"/>
        <v>Escobedo → Escobedo</v>
      </c>
      <c r="AE277" t="s">
        <v>1357</v>
      </c>
      <c r="AF277" s="4">
        <v>45689</v>
      </c>
      <c r="AG277" t="str">
        <f>YEAR(Table1[[#This Row],[Fecha]])&amp;" - " &amp;UPPER(TEXT(Table1[[#This Row],[Fecha]],"mm-mmm"))</f>
        <v>2025 - 02-FEB</v>
      </c>
      <c r="AH277" s="5">
        <v>0</v>
      </c>
    </row>
    <row r="278" spans="1:34" x14ac:dyDescent="0.25">
      <c r="A278" t="s">
        <v>517</v>
      </c>
      <c r="B278">
        <v>2025</v>
      </c>
      <c r="C278">
        <v>2</v>
      </c>
      <c r="D278" s="1">
        <v>45716</v>
      </c>
      <c r="E278" s="1">
        <v>45716</v>
      </c>
      <c r="F278" s="1">
        <v>45716</v>
      </c>
      <c r="G278" s="1">
        <v>45716</v>
      </c>
      <c r="H278" s="1">
        <v>45716</v>
      </c>
      <c r="I278">
        <v>2024</v>
      </c>
      <c r="J278" t="s">
        <v>54</v>
      </c>
      <c r="K278" t="s">
        <v>31</v>
      </c>
      <c r="L278">
        <v>50</v>
      </c>
      <c r="M278">
        <v>50</v>
      </c>
      <c r="N278" t="s">
        <v>115</v>
      </c>
      <c r="O278">
        <v>1</v>
      </c>
      <c r="P278">
        <v>150</v>
      </c>
      <c r="Q278" t="b">
        <v>1</v>
      </c>
      <c r="R278" t="b">
        <v>0</v>
      </c>
      <c r="S278" t="b">
        <v>0</v>
      </c>
      <c r="T278">
        <v>216</v>
      </c>
      <c r="U278">
        <v>0</v>
      </c>
      <c r="V278" t="s">
        <v>33</v>
      </c>
      <c r="W278" t="s">
        <v>33</v>
      </c>
      <c r="X278">
        <v>50</v>
      </c>
      <c r="Y278">
        <v>2936</v>
      </c>
      <c r="Z278" t="s">
        <v>34</v>
      </c>
      <c r="AA278">
        <v>2936</v>
      </c>
      <c r="AB278" t="s">
        <v>121</v>
      </c>
      <c r="AC278" t="s">
        <v>432</v>
      </c>
      <c r="AD278" t="str">
        <f t="shared" si="4"/>
        <v>Escobedo → Hidalgo</v>
      </c>
      <c r="AE278" t="s">
        <v>1358</v>
      </c>
      <c r="AF278" s="4">
        <v>45689</v>
      </c>
      <c r="AG278" t="str">
        <f>YEAR(Table1[[#This Row],[Fecha]])&amp;" - " &amp;UPPER(TEXT(Table1[[#This Row],[Fecha]],"mm-mmm"))</f>
        <v>2025 - 02-FEB</v>
      </c>
      <c r="AH278" s="5">
        <v>0</v>
      </c>
    </row>
    <row r="279" spans="1:34" x14ac:dyDescent="0.25">
      <c r="A279" t="s">
        <v>518</v>
      </c>
      <c r="B279">
        <v>2025</v>
      </c>
      <c r="C279">
        <v>2</v>
      </c>
      <c r="D279" s="1">
        <v>45716</v>
      </c>
      <c r="E279" s="1">
        <v>45716</v>
      </c>
      <c r="F279" s="1">
        <v>45716</v>
      </c>
      <c r="G279" s="1">
        <v>45716</v>
      </c>
      <c r="H279" s="1">
        <v>45716</v>
      </c>
      <c r="I279">
        <v>2050</v>
      </c>
      <c r="J279" t="s">
        <v>54</v>
      </c>
      <c r="K279" t="s">
        <v>31</v>
      </c>
      <c r="L279">
        <v>50</v>
      </c>
      <c r="M279">
        <v>50</v>
      </c>
      <c r="N279" t="s">
        <v>55</v>
      </c>
      <c r="O279">
        <v>1</v>
      </c>
      <c r="P279">
        <v>150</v>
      </c>
      <c r="Q279" t="b">
        <v>1</v>
      </c>
      <c r="R279" t="b">
        <v>1</v>
      </c>
      <c r="S279" t="b">
        <v>0</v>
      </c>
      <c r="T279">
        <v>216</v>
      </c>
      <c r="U279">
        <v>0</v>
      </c>
      <c r="V279" t="s">
        <v>33</v>
      </c>
      <c r="W279" t="s">
        <v>33</v>
      </c>
      <c r="X279">
        <v>50</v>
      </c>
      <c r="Y279">
        <v>2936</v>
      </c>
      <c r="Z279" t="s">
        <v>261</v>
      </c>
      <c r="AA279">
        <v>2936</v>
      </c>
      <c r="AB279" t="s">
        <v>121</v>
      </c>
      <c r="AC279" t="s">
        <v>432</v>
      </c>
      <c r="AD279" t="str">
        <f t="shared" si="4"/>
        <v>Escobedo → Hidalgo</v>
      </c>
      <c r="AE279" t="s">
        <v>1358</v>
      </c>
      <c r="AF279" s="4">
        <v>45689</v>
      </c>
      <c r="AG279" t="str">
        <f>YEAR(Table1[[#This Row],[Fecha]])&amp;" - " &amp;UPPER(TEXT(Table1[[#This Row],[Fecha]],"mm-mmm"))</f>
        <v>2025 - 02-FEB</v>
      </c>
      <c r="AH279" s="5">
        <v>0</v>
      </c>
    </row>
    <row r="280" spans="1:34" x14ac:dyDescent="0.25">
      <c r="A280" t="s">
        <v>853</v>
      </c>
      <c r="B280">
        <v>2025</v>
      </c>
      <c r="C280">
        <v>2</v>
      </c>
      <c r="D280" s="1">
        <v>45716</v>
      </c>
      <c r="E280" s="1">
        <v>45716</v>
      </c>
      <c r="F280" s="1">
        <v>45716</v>
      </c>
      <c r="G280" s="1">
        <v>45716</v>
      </c>
      <c r="H280" s="2">
        <v>45716.77106767361</v>
      </c>
      <c r="I280">
        <v>2050</v>
      </c>
      <c r="J280" t="s">
        <v>54</v>
      </c>
      <c r="K280" t="s">
        <v>31</v>
      </c>
      <c r="L280">
        <v>50</v>
      </c>
      <c r="M280">
        <v>50</v>
      </c>
      <c r="N280" t="s">
        <v>55</v>
      </c>
      <c r="O280">
        <v>1</v>
      </c>
      <c r="P280">
        <v>150</v>
      </c>
      <c r="Q280" t="b">
        <v>1</v>
      </c>
      <c r="R280" t="b">
        <v>0</v>
      </c>
      <c r="S280" t="b">
        <v>0</v>
      </c>
      <c r="T280">
        <v>216</v>
      </c>
      <c r="U280">
        <v>0</v>
      </c>
      <c r="V280" t="s">
        <v>33</v>
      </c>
      <c r="W280" t="s">
        <v>33</v>
      </c>
      <c r="X280">
        <v>50</v>
      </c>
      <c r="Y280">
        <v>359</v>
      </c>
      <c r="Z280" t="s">
        <v>34</v>
      </c>
      <c r="AA280">
        <v>359</v>
      </c>
      <c r="AB280" t="s">
        <v>121</v>
      </c>
      <c r="AC280" t="s">
        <v>121</v>
      </c>
      <c r="AD280" t="str">
        <f t="shared" si="4"/>
        <v>Escobedo → Escobedo</v>
      </c>
      <c r="AE280" t="s">
        <v>1358</v>
      </c>
      <c r="AF280" s="4">
        <v>45689</v>
      </c>
      <c r="AG280" t="str">
        <f>YEAR(Table1[[#This Row],[Fecha]])&amp;" - " &amp;UPPER(TEXT(Table1[[#This Row],[Fecha]],"mm-mmm"))</f>
        <v>2025 - 02-FEB</v>
      </c>
      <c r="AH280" s="5">
        <v>0</v>
      </c>
    </row>
    <row r="281" spans="1:34" x14ac:dyDescent="0.25">
      <c r="A281" t="s">
        <v>854</v>
      </c>
      <c r="B281">
        <v>2025</v>
      </c>
      <c r="C281">
        <v>2</v>
      </c>
      <c r="D281" s="1">
        <v>45693</v>
      </c>
      <c r="E281" s="1">
        <v>45693</v>
      </c>
      <c r="F281" s="1">
        <v>45693</v>
      </c>
      <c r="G281" s="1">
        <v>45693</v>
      </c>
      <c r="H281" s="2">
        <v>45693.725536226855</v>
      </c>
      <c r="I281">
        <v>2039</v>
      </c>
      <c r="J281" t="s">
        <v>30</v>
      </c>
      <c r="K281" t="s">
        <v>31</v>
      </c>
      <c r="L281">
        <v>50</v>
      </c>
      <c r="M281">
        <v>50</v>
      </c>
      <c r="N281" t="s">
        <v>32</v>
      </c>
      <c r="O281">
        <v>1</v>
      </c>
      <c r="P281">
        <v>150</v>
      </c>
      <c r="Q281" t="b">
        <v>1</v>
      </c>
      <c r="R281" t="b">
        <v>0</v>
      </c>
      <c r="S281" t="b">
        <v>0</v>
      </c>
      <c r="T281">
        <v>216</v>
      </c>
      <c r="U281">
        <v>0</v>
      </c>
      <c r="V281" t="s">
        <v>33</v>
      </c>
      <c r="W281" t="s">
        <v>33</v>
      </c>
      <c r="X281">
        <v>50</v>
      </c>
      <c r="Y281">
        <v>359</v>
      </c>
      <c r="Z281" t="s">
        <v>34</v>
      </c>
      <c r="AA281">
        <v>359</v>
      </c>
      <c r="AB281" t="s">
        <v>121</v>
      </c>
      <c r="AC281" t="s">
        <v>121</v>
      </c>
      <c r="AD281" t="str">
        <f t="shared" si="4"/>
        <v>Escobedo → Escobedo</v>
      </c>
      <c r="AE281" t="s">
        <v>1357</v>
      </c>
      <c r="AF281" s="4">
        <v>45689</v>
      </c>
      <c r="AG281" t="str">
        <f>YEAR(Table1[[#This Row],[Fecha]])&amp;" - " &amp;UPPER(TEXT(Table1[[#This Row],[Fecha]],"mm-mmm"))</f>
        <v>2025 - 02-FEB</v>
      </c>
      <c r="AH281" s="5">
        <v>0</v>
      </c>
    </row>
    <row r="282" spans="1:34" x14ac:dyDescent="0.25">
      <c r="A282" t="s">
        <v>855</v>
      </c>
      <c r="B282">
        <v>2025</v>
      </c>
      <c r="C282">
        <v>2</v>
      </c>
      <c r="D282" s="1">
        <v>45716</v>
      </c>
      <c r="E282" s="1">
        <v>45716</v>
      </c>
      <c r="F282" s="1">
        <v>45716</v>
      </c>
      <c r="G282" s="1">
        <v>45716</v>
      </c>
      <c r="H282" s="2">
        <v>45716.891387615738</v>
      </c>
      <c r="I282">
        <v>2050</v>
      </c>
      <c r="J282" t="s">
        <v>54</v>
      </c>
      <c r="K282" t="s">
        <v>31</v>
      </c>
      <c r="L282">
        <v>50</v>
      </c>
      <c r="M282">
        <v>50</v>
      </c>
      <c r="N282" t="s">
        <v>55</v>
      </c>
      <c r="O282">
        <v>1</v>
      </c>
      <c r="P282">
        <v>150</v>
      </c>
      <c r="Q282" t="b">
        <v>1</v>
      </c>
      <c r="R282" t="b">
        <v>0</v>
      </c>
      <c r="S282" t="b">
        <v>0</v>
      </c>
      <c r="T282">
        <v>216</v>
      </c>
      <c r="U282">
        <v>0</v>
      </c>
      <c r="V282" t="s">
        <v>33</v>
      </c>
      <c r="W282" t="s">
        <v>33</v>
      </c>
      <c r="X282">
        <v>50</v>
      </c>
      <c r="Y282">
        <v>359</v>
      </c>
      <c r="Z282" t="s">
        <v>34</v>
      </c>
      <c r="AA282">
        <v>359</v>
      </c>
      <c r="AB282" t="s">
        <v>121</v>
      </c>
      <c r="AC282" t="s">
        <v>121</v>
      </c>
      <c r="AD282" t="str">
        <f t="shared" si="4"/>
        <v>Escobedo → Escobedo</v>
      </c>
      <c r="AE282" t="s">
        <v>1358</v>
      </c>
      <c r="AF282" s="4">
        <v>45689</v>
      </c>
      <c r="AG282" t="str">
        <f>YEAR(Table1[[#This Row],[Fecha]])&amp;" - " &amp;UPPER(TEXT(Table1[[#This Row],[Fecha]],"mm-mmm"))</f>
        <v>2025 - 02-FEB</v>
      </c>
      <c r="AH282" s="5">
        <v>0</v>
      </c>
    </row>
    <row r="283" spans="1:34" x14ac:dyDescent="0.25">
      <c r="A283" t="s">
        <v>856</v>
      </c>
      <c r="B283">
        <v>2025</v>
      </c>
      <c r="C283">
        <v>2</v>
      </c>
      <c r="D283" s="1">
        <v>45716</v>
      </c>
      <c r="E283" s="1">
        <v>45716</v>
      </c>
      <c r="F283" s="1">
        <v>45716</v>
      </c>
      <c r="G283" s="1">
        <v>45716</v>
      </c>
      <c r="H283" s="2">
        <v>45716.924522106485</v>
      </c>
      <c r="I283">
        <v>2050</v>
      </c>
      <c r="J283" t="s">
        <v>54</v>
      </c>
      <c r="K283" t="s">
        <v>31</v>
      </c>
      <c r="L283">
        <v>50</v>
      </c>
      <c r="M283">
        <v>50</v>
      </c>
      <c r="N283" t="s">
        <v>55</v>
      </c>
      <c r="O283">
        <v>1</v>
      </c>
      <c r="P283">
        <v>150</v>
      </c>
      <c r="Q283" t="b">
        <v>1</v>
      </c>
      <c r="R283" t="b">
        <v>0</v>
      </c>
      <c r="S283" t="b">
        <v>0</v>
      </c>
      <c r="T283">
        <v>216</v>
      </c>
      <c r="U283">
        <v>0</v>
      </c>
      <c r="V283" t="s">
        <v>33</v>
      </c>
      <c r="W283" t="s">
        <v>33</v>
      </c>
      <c r="X283">
        <v>50</v>
      </c>
      <c r="Y283">
        <v>359</v>
      </c>
      <c r="Z283" t="s">
        <v>34</v>
      </c>
      <c r="AA283">
        <v>359</v>
      </c>
      <c r="AB283" t="s">
        <v>121</v>
      </c>
      <c r="AC283" t="s">
        <v>121</v>
      </c>
      <c r="AD283" t="str">
        <f t="shared" si="4"/>
        <v>Escobedo → Escobedo</v>
      </c>
      <c r="AE283" t="s">
        <v>1358</v>
      </c>
      <c r="AF283" s="4">
        <v>45689</v>
      </c>
      <c r="AG283" t="str">
        <f>YEAR(Table1[[#This Row],[Fecha]])&amp;" - " &amp;UPPER(TEXT(Table1[[#This Row],[Fecha]],"mm-mmm"))</f>
        <v>2025 - 02-FEB</v>
      </c>
      <c r="AH283" s="5">
        <v>0</v>
      </c>
    </row>
    <row r="284" spans="1:34" x14ac:dyDescent="0.25">
      <c r="A284" t="s">
        <v>857</v>
      </c>
      <c r="B284">
        <v>2025</v>
      </c>
      <c r="C284">
        <v>2</v>
      </c>
      <c r="D284" s="1">
        <v>45716</v>
      </c>
      <c r="E284" s="1">
        <v>45716</v>
      </c>
      <c r="F284" s="1">
        <v>45716</v>
      </c>
      <c r="G284" s="1">
        <v>45716</v>
      </c>
      <c r="H284" s="2">
        <v>45716.953590821759</v>
      </c>
      <c r="I284">
        <v>2050</v>
      </c>
      <c r="J284" t="s">
        <v>54</v>
      </c>
      <c r="K284" t="s">
        <v>31</v>
      </c>
      <c r="L284">
        <v>50</v>
      </c>
      <c r="M284">
        <v>50</v>
      </c>
      <c r="N284" t="s">
        <v>55</v>
      </c>
      <c r="O284">
        <v>1</v>
      </c>
      <c r="P284">
        <v>150</v>
      </c>
      <c r="Q284" t="b">
        <v>1</v>
      </c>
      <c r="R284" t="b">
        <v>0</v>
      </c>
      <c r="S284" t="b">
        <v>0</v>
      </c>
      <c r="T284">
        <v>216</v>
      </c>
      <c r="U284">
        <v>0</v>
      </c>
      <c r="V284" t="s">
        <v>33</v>
      </c>
      <c r="W284" t="s">
        <v>33</v>
      </c>
      <c r="X284">
        <v>50</v>
      </c>
      <c r="Y284">
        <v>359</v>
      </c>
      <c r="Z284" t="s">
        <v>34</v>
      </c>
      <c r="AA284">
        <v>359</v>
      </c>
      <c r="AB284" t="s">
        <v>121</v>
      </c>
      <c r="AC284" t="s">
        <v>121</v>
      </c>
      <c r="AD284" t="str">
        <f t="shared" si="4"/>
        <v>Escobedo → Escobedo</v>
      </c>
      <c r="AE284" t="s">
        <v>1358</v>
      </c>
      <c r="AF284" s="4">
        <v>45689</v>
      </c>
      <c r="AG284" t="str">
        <f>YEAR(Table1[[#This Row],[Fecha]])&amp;" - " &amp;UPPER(TEXT(Table1[[#This Row],[Fecha]],"mm-mmm"))</f>
        <v>2025 - 02-FEB</v>
      </c>
      <c r="AH284" s="5">
        <v>0</v>
      </c>
    </row>
    <row r="285" spans="1:34" x14ac:dyDescent="0.25">
      <c r="A285" t="s">
        <v>516</v>
      </c>
      <c r="B285">
        <v>2025</v>
      </c>
      <c r="C285">
        <v>2</v>
      </c>
      <c r="D285" s="1">
        <v>45693</v>
      </c>
      <c r="E285" s="1">
        <v>45693</v>
      </c>
      <c r="F285" s="1">
        <v>45693</v>
      </c>
      <c r="G285" s="1">
        <v>45693</v>
      </c>
      <c r="H285" s="2">
        <v>45693.72552954861</v>
      </c>
      <c r="I285">
        <v>2039</v>
      </c>
      <c r="J285" t="s">
        <v>30</v>
      </c>
      <c r="K285" t="s">
        <v>31</v>
      </c>
      <c r="L285">
        <v>50</v>
      </c>
      <c r="M285">
        <v>50</v>
      </c>
      <c r="N285" t="s">
        <v>32</v>
      </c>
      <c r="O285">
        <v>1</v>
      </c>
      <c r="P285">
        <v>150</v>
      </c>
      <c r="Q285" t="b">
        <v>1</v>
      </c>
      <c r="R285" t="b">
        <v>0</v>
      </c>
      <c r="S285" t="b">
        <v>0</v>
      </c>
      <c r="T285">
        <v>216</v>
      </c>
      <c r="U285">
        <v>0</v>
      </c>
      <c r="V285" t="s">
        <v>33</v>
      </c>
      <c r="W285" t="s">
        <v>33</v>
      </c>
      <c r="X285">
        <v>50</v>
      </c>
      <c r="Y285">
        <v>2936</v>
      </c>
      <c r="Z285" t="s">
        <v>34</v>
      </c>
      <c r="AA285">
        <v>2936</v>
      </c>
      <c r="AB285" t="s">
        <v>121</v>
      </c>
      <c r="AC285" t="s">
        <v>432</v>
      </c>
      <c r="AD285" t="str">
        <f t="shared" si="4"/>
        <v>Escobedo → Hidalgo</v>
      </c>
      <c r="AE285" t="s">
        <v>1357</v>
      </c>
      <c r="AF285" s="4">
        <v>45689</v>
      </c>
      <c r="AG285" t="str">
        <f>YEAR(Table1[[#This Row],[Fecha]])&amp;" - " &amp;UPPER(TEXT(Table1[[#This Row],[Fecha]],"mm-mmm"))</f>
        <v>2025 - 02-FEB</v>
      </c>
      <c r="AH285" s="5">
        <v>0</v>
      </c>
    </row>
    <row r="286" spans="1:34" x14ac:dyDescent="0.25">
      <c r="A286" t="s">
        <v>861</v>
      </c>
      <c r="B286">
        <v>2025</v>
      </c>
      <c r="C286">
        <v>2</v>
      </c>
      <c r="D286" s="1">
        <v>45693</v>
      </c>
      <c r="E286" s="1">
        <v>45693</v>
      </c>
      <c r="F286" s="1">
        <v>45693</v>
      </c>
      <c r="G286" s="1">
        <v>45693</v>
      </c>
      <c r="H286" s="2">
        <v>45693.725515821759</v>
      </c>
      <c r="I286">
        <v>2039</v>
      </c>
      <c r="J286" t="s">
        <v>30</v>
      </c>
      <c r="K286" t="s">
        <v>31</v>
      </c>
      <c r="L286">
        <v>50</v>
      </c>
      <c r="M286">
        <v>50</v>
      </c>
      <c r="N286" t="s">
        <v>32</v>
      </c>
      <c r="O286">
        <v>1</v>
      </c>
      <c r="P286">
        <v>150</v>
      </c>
      <c r="Q286" t="b">
        <v>1</v>
      </c>
      <c r="R286" t="b">
        <v>0</v>
      </c>
      <c r="S286" t="b">
        <v>0</v>
      </c>
      <c r="T286">
        <v>216</v>
      </c>
      <c r="U286">
        <v>0</v>
      </c>
      <c r="V286" t="s">
        <v>33</v>
      </c>
      <c r="W286" t="s">
        <v>33</v>
      </c>
      <c r="X286">
        <v>50</v>
      </c>
      <c r="Y286">
        <v>359</v>
      </c>
      <c r="Z286" t="s">
        <v>34</v>
      </c>
      <c r="AA286">
        <v>359</v>
      </c>
      <c r="AB286" t="s">
        <v>121</v>
      </c>
      <c r="AC286" t="s">
        <v>121</v>
      </c>
      <c r="AD286" t="str">
        <f t="shared" si="4"/>
        <v>Escobedo → Escobedo</v>
      </c>
      <c r="AE286" t="s">
        <v>1357</v>
      </c>
      <c r="AF286" s="4">
        <v>45689</v>
      </c>
      <c r="AG286" t="str">
        <f>YEAR(Table1[[#This Row],[Fecha]])&amp;" - " &amp;UPPER(TEXT(Table1[[#This Row],[Fecha]],"mm-mmm"))</f>
        <v>2025 - 02-FEB</v>
      </c>
      <c r="AH286" s="5">
        <v>0</v>
      </c>
    </row>
    <row r="287" spans="1:34" x14ac:dyDescent="0.25">
      <c r="A287" t="s">
        <v>514</v>
      </c>
      <c r="B287">
        <v>2025</v>
      </c>
      <c r="C287">
        <v>2</v>
      </c>
      <c r="D287" s="1">
        <v>45693</v>
      </c>
      <c r="E287" s="1">
        <v>45693</v>
      </c>
      <c r="F287" s="1">
        <v>45693</v>
      </c>
      <c r="G287" s="1">
        <v>45693</v>
      </c>
      <c r="H287" s="2">
        <v>45693.753746678238</v>
      </c>
      <c r="I287">
        <v>2039</v>
      </c>
      <c r="J287" t="s">
        <v>30</v>
      </c>
      <c r="K287" t="s">
        <v>31</v>
      </c>
      <c r="L287">
        <v>50</v>
      </c>
      <c r="M287">
        <v>50</v>
      </c>
      <c r="N287" t="s">
        <v>32</v>
      </c>
      <c r="O287">
        <v>1</v>
      </c>
      <c r="P287">
        <v>150</v>
      </c>
      <c r="Q287" t="b">
        <v>1</v>
      </c>
      <c r="R287" t="b">
        <v>0</v>
      </c>
      <c r="S287" t="b">
        <v>0</v>
      </c>
      <c r="T287">
        <v>216</v>
      </c>
      <c r="U287">
        <v>0</v>
      </c>
      <c r="V287" t="s">
        <v>33</v>
      </c>
      <c r="W287" t="s">
        <v>33</v>
      </c>
      <c r="X287">
        <v>50</v>
      </c>
      <c r="Y287">
        <v>2936</v>
      </c>
      <c r="Z287" t="s">
        <v>34</v>
      </c>
      <c r="AA287">
        <v>2936</v>
      </c>
      <c r="AB287" t="s">
        <v>121</v>
      </c>
      <c r="AC287" t="s">
        <v>432</v>
      </c>
      <c r="AD287" t="str">
        <f t="shared" si="4"/>
        <v>Escobedo → Hidalgo</v>
      </c>
      <c r="AE287" t="s">
        <v>1357</v>
      </c>
      <c r="AF287" s="4">
        <v>45689</v>
      </c>
      <c r="AG287" t="str">
        <f>YEAR(Table1[[#This Row],[Fecha]])&amp;" - " &amp;UPPER(TEXT(Table1[[#This Row],[Fecha]],"mm-mmm"))</f>
        <v>2025 - 02-FEB</v>
      </c>
      <c r="AH287" s="5">
        <v>0</v>
      </c>
    </row>
    <row r="288" spans="1:34" x14ac:dyDescent="0.25">
      <c r="A288" t="s">
        <v>858</v>
      </c>
      <c r="B288">
        <v>2025</v>
      </c>
      <c r="C288">
        <v>2</v>
      </c>
      <c r="D288" s="1">
        <v>45693</v>
      </c>
      <c r="E288" s="1">
        <v>45693</v>
      </c>
      <c r="F288" s="1">
        <v>45693</v>
      </c>
      <c r="G288" s="1">
        <v>45693</v>
      </c>
      <c r="H288" s="1">
        <v>45693</v>
      </c>
      <c r="I288">
        <v>2050</v>
      </c>
      <c r="J288" t="s">
        <v>54</v>
      </c>
      <c r="K288" t="s">
        <v>31</v>
      </c>
      <c r="L288">
        <v>50</v>
      </c>
      <c r="M288">
        <v>50</v>
      </c>
      <c r="N288" t="s">
        <v>55</v>
      </c>
      <c r="O288">
        <v>1</v>
      </c>
      <c r="P288">
        <v>150</v>
      </c>
      <c r="Q288" t="b">
        <v>1</v>
      </c>
      <c r="R288" t="b">
        <v>0</v>
      </c>
      <c r="S288" t="b">
        <v>0</v>
      </c>
      <c r="T288">
        <v>216</v>
      </c>
      <c r="U288">
        <v>0</v>
      </c>
      <c r="V288" t="s">
        <v>33</v>
      </c>
      <c r="W288" t="s">
        <v>33</v>
      </c>
      <c r="X288">
        <v>50</v>
      </c>
      <c r="Y288">
        <v>359</v>
      </c>
      <c r="Z288" t="s">
        <v>34</v>
      </c>
      <c r="AA288">
        <v>359</v>
      </c>
      <c r="AB288" t="s">
        <v>121</v>
      </c>
      <c r="AC288" t="s">
        <v>121</v>
      </c>
      <c r="AD288" t="str">
        <f t="shared" si="4"/>
        <v>Escobedo → Escobedo</v>
      </c>
      <c r="AE288" t="s">
        <v>1358</v>
      </c>
      <c r="AF288" s="4">
        <v>45689</v>
      </c>
      <c r="AG288" t="str">
        <f>YEAR(Table1[[#This Row],[Fecha]])&amp;" - " &amp;UPPER(TEXT(Table1[[#This Row],[Fecha]],"mm-mmm"))</f>
        <v>2025 - 02-FEB</v>
      </c>
      <c r="AH288" s="5">
        <v>0</v>
      </c>
    </row>
    <row r="289" spans="1:34" x14ac:dyDescent="0.25">
      <c r="A289" t="s">
        <v>859</v>
      </c>
      <c r="B289">
        <v>2025</v>
      </c>
      <c r="C289">
        <v>2</v>
      </c>
      <c r="D289" s="1">
        <v>45689</v>
      </c>
      <c r="E289" s="1">
        <v>45689</v>
      </c>
      <c r="F289" s="1">
        <v>45689</v>
      </c>
      <c r="G289" s="1">
        <v>45689</v>
      </c>
      <c r="H289" s="2">
        <v>45690.695708715277</v>
      </c>
      <c r="I289">
        <v>2039</v>
      </c>
      <c r="J289" t="s">
        <v>30</v>
      </c>
      <c r="K289" t="s">
        <v>31</v>
      </c>
      <c r="L289">
        <v>50</v>
      </c>
      <c r="M289">
        <v>50</v>
      </c>
      <c r="N289" t="s">
        <v>32</v>
      </c>
      <c r="O289">
        <v>1</v>
      </c>
      <c r="P289">
        <v>150</v>
      </c>
      <c r="Q289" t="b">
        <v>1</v>
      </c>
      <c r="R289" t="b">
        <v>0</v>
      </c>
      <c r="S289" t="b">
        <v>0</v>
      </c>
      <c r="T289">
        <v>216</v>
      </c>
      <c r="U289">
        <v>0</v>
      </c>
      <c r="V289" t="s">
        <v>33</v>
      </c>
      <c r="W289" t="s">
        <v>33</v>
      </c>
      <c r="X289">
        <v>50</v>
      </c>
      <c r="Y289">
        <v>359</v>
      </c>
      <c r="Z289" t="s">
        <v>34</v>
      </c>
      <c r="AA289">
        <v>359</v>
      </c>
      <c r="AB289" t="s">
        <v>121</v>
      </c>
      <c r="AC289" t="s">
        <v>121</v>
      </c>
      <c r="AD289" t="str">
        <f t="shared" si="4"/>
        <v>Escobedo → Escobedo</v>
      </c>
      <c r="AE289" t="s">
        <v>1357</v>
      </c>
      <c r="AF289" s="4">
        <v>45689</v>
      </c>
      <c r="AG289" t="str">
        <f>YEAR(Table1[[#This Row],[Fecha]])&amp;" - " &amp;UPPER(TEXT(Table1[[#This Row],[Fecha]],"mm-mmm"))</f>
        <v>2025 - 02-FEB</v>
      </c>
      <c r="AH289" s="5">
        <v>0</v>
      </c>
    </row>
    <row r="290" spans="1:34" x14ac:dyDescent="0.25">
      <c r="A290" t="s">
        <v>860</v>
      </c>
      <c r="B290">
        <v>2025</v>
      </c>
      <c r="C290">
        <v>2</v>
      </c>
      <c r="D290" s="1">
        <v>45693</v>
      </c>
      <c r="E290" s="1">
        <v>45693</v>
      </c>
      <c r="F290" s="1">
        <v>45693</v>
      </c>
      <c r="G290" s="1">
        <v>45693</v>
      </c>
      <c r="H290" s="1">
        <v>45693</v>
      </c>
      <c r="I290">
        <v>2050</v>
      </c>
      <c r="J290" t="s">
        <v>54</v>
      </c>
      <c r="K290" t="s">
        <v>31</v>
      </c>
      <c r="L290">
        <v>50</v>
      </c>
      <c r="M290">
        <v>50</v>
      </c>
      <c r="N290" t="s">
        <v>55</v>
      </c>
      <c r="O290">
        <v>1</v>
      </c>
      <c r="P290">
        <v>150</v>
      </c>
      <c r="Q290" t="b">
        <v>1</v>
      </c>
      <c r="R290" t="b">
        <v>0</v>
      </c>
      <c r="S290" t="b">
        <v>0</v>
      </c>
      <c r="T290">
        <v>216</v>
      </c>
      <c r="U290">
        <v>0</v>
      </c>
      <c r="V290" t="s">
        <v>33</v>
      </c>
      <c r="W290" t="s">
        <v>33</v>
      </c>
      <c r="X290">
        <v>50</v>
      </c>
      <c r="Y290">
        <v>359</v>
      </c>
      <c r="Z290" t="s">
        <v>34</v>
      </c>
      <c r="AA290">
        <v>359</v>
      </c>
      <c r="AB290" t="s">
        <v>121</v>
      </c>
      <c r="AC290" t="s">
        <v>121</v>
      </c>
      <c r="AD290" t="str">
        <f t="shared" si="4"/>
        <v>Escobedo → Escobedo</v>
      </c>
      <c r="AE290" t="s">
        <v>1358</v>
      </c>
      <c r="AF290" s="4">
        <v>45689</v>
      </c>
      <c r="AG290" t="str">
        <f>YEAR(Table1[[#This Row],[Fecha]])&amp;" - " &amp;UPPER(TEXT(Table1[[#This Row],[Fecha]],"mm-mmm"))</f>
        <v>2025 - 02-FEB</v>
      </c>
      <c r="AH290" s="5">
        <v>0</v>
      </c>
    </row>
    <row r="291" spans="1:34" x14ac:dyDescent="0.25">
      <c r="A291" t="s">
        <v>515</v>
      </c>
      <c r="B291">
        <v>2025</v>
      </c>
      <c r="C291">
        <v>2</v>
      </c>
      <c r="D291" s="1">
        <v>45693</v>
      </c>
      <c r="E291" s="1">
        <v>45693</v>
      </c>
      <c r="F291" s="1">
        <v>45693</v>
      </c>
      <c r="G291" s="1">
        <v>45693</v>
      </c>
      <c r="H291" s="1">
        <v>45693</v>
      </c>
      <c r="I291">
        <v>2050</v>
      </c>
      <c r="J291" t="s">
        <v>54</v>
      </c>
      <c r="K291" t="s">
        <v>31</v>
      </c>
      <c r="L291">
        <v>50</v>
      </c>
      <c r="M291">
        <v>50</v>
      </c>
      <c r="N291" t="s">
        <v>55</v>
      </c>
      <c r="O291">
        <v>1</v>
      </c>
      <c r="P291">
        <v>150</v>
      </c>
      <c r="Q291" t="b">
        <v>1</v>
      </c>
      <c r="R291" t="b">
        <v>0</v>
      </c>
      <c r="S291" t="b">
        <v>0</v>
      </c>
      <c r="T291">
        <v>216</v>
      </c>
      <c r="U291">
        <v>0</v>
      </c>
      <c r="V291" t="s">
        <v>33</v>
      </c>
      <c r="W291" t="s">
        <v>33</v>
      </c>
      <c r="X291">
        <v>50</v>
      </c>
      <c r="Y291">
        <v>2936</v>
      </c>
      <c r="Z291" t="s">
        <v>34</v>
      </c>
      <c r="AA291">
        <v>2936</v>
      </c>
      <c r="AB291" t="s">
        <v>121</v>
      </c>
      <c r="AC291" t="s">
        <v>432</v>
      </c>
      <c r="AD291" t="str">
        <f t="shared" si="4"/>
        <v>Escobedo → Hidalgo</v>
      </c>
      <c r="AE291" t="s">
        <v>1358</v>
      </c>
      <c r="AF291" s="4">
        <v>45689</v>
      </c>
      <c r="AG291" t="str">
        <f>YEAR(Table1[[#This Row],[Fecha]])&amp;" - " &amp;UPPER(TEXT(Table1[[#This Row],[Fecha]],"mm-mmm"))</f>
        <v>2025 - 02-FEB</v>
      </c>
      <c r="AH291" s="5">
        <v>0</v>
      </c>
    </row>
    <row r="292" spans="1:34" x14ac:dyDescent="0.25">
      <c r="A292" t="s">
        <v>862</v>
      </c>
      <c r="B292">
        <v>2025</v>
      </c>
      <c r="C292">
        <v>2</v>
      </c>
      <c r="D292" s="1">
        <v>45693</v>
      </c>
      <c r="E292" s="1">
        <v>45693</v>
      </c>
      <c r="F292" s="1">
        <v>45693</v>
      </c>
      <c r="G292" s="1">
        <v>45693</v>
      </c>
      <c r="H292" s="2">
        <v>45694.433876886571</v>
      </c>
      <c r="I292">
        <v>2039</v>
      </c>
      <c r="J292" t="s">
        <v>30</v>
      </c>
      <c r="K292" t="s">
        <v>31</v>
      </c>
      <c r="L292">
        <v>50</v>
      </c>
      <c r="M292">
        <v>50</v>
      </c>
      <c r="N292" t="s">
        <v>32</v>
      </c>
      <c r="O292">
        <v>1</v>
      </c>
      <c r="P292">
        <v>150</v>
      </c>
      <c r="Q292" t="b">
        <v>1</v>
      </c>
      <c r="R292" t="b">
        <v>0</v>
      </c>
      <c r="S292" t="b">
        <v>0</v>
      </c>
      <c r="T292">
        <v>216</v>
      </c>
      <c r="U292">
        <v>0</v>
      </c>
      <c r="V292" t="s">
        <v>33</v>
      </c>
      <c r="W292" t="s">
        <v>33</v>
      </c>
      <c r="X292">
        <v>50</v>
      </c>
      <c r="Y292">
        <v>359</v>
      </c>
      <c r="Z292" t="s">
        <v>34</v>
      </c>
      <c r="AA292">
        <v>359</v>
      </c>
      <c r="AB292" t="s">
        <v>121</v>
      </c>
      <c r="AC292" t="s">
        <v>121</v>
      </c>
      <c r="AD292" t="str">
        <f t="shared" si="4"/>
        <v>Escobedo → Escobedo</v>
      </c>
      <c r="AE292" t="s">
        <v>1357</v>
      </c>
      <c r="AF292" s="4">
        <v>45689</v>
      </c>
      <c r="AG292" t="str">
        <f>YEAR(Table1[[#This Row],[Fecha]])&amp;" - " &amp;UPPER(TEXT(Table1[[#This Row],[Fecha]],"mm-mmm"))</f>
        <v>2025 - 02-FEB</v>
      </c>
      <c r="AH292" s="5">
        <v>0</v>
      </c>
    </row>
    <row r="293" spans="1:34" x14ac:dyDescent="0.25">
      <c r="A293" t="s">
        <v>512</v>
      </c>
      <c r="B293">
        <v>2025</v>
      </c>
      <c r="C293">
        <v>2</v>
      </c>
      <c r="D293" s="1">
        <v>45689</v>
      </c>
      <c r="E293" s="1">
        <v>45689</v>
      </c>
      <c r="F293" s="1">
        <v>45689</v>
      </c>
      <c r="G293" s="1">
        <v>45689</v>
      </c>
      <c r="H293" s="2">
        <v>45690.696028854167</v>
      </c>
      <c r="I293">
        <v>2039</v>
      </c>
      <c r="J293" t="s">
        <v>30</v>
      </c>
      <c r="K293" t="s">
        <v>31</v>
      </c>
      <c r="L293">
        <v>50</v>
      </c>
      <c r="M293">
        <v>50</v>
      </c>
      <c r="N293" t="s">
        <v>32</v>
      </c>
      <c r="O293">
        <v>1</v>
      </c>
      <c r="P293">
        <v>150</v>
      </c>
      <c r="Q293" t="b">
        <v>1</v>
      </c>
      <c r="R293" t="b">
        <v>0</v>
      </c>
      <c r="S293" t="b">
        <v>0</v>
      </c>
      <c r="T293">
        <v>216</v>
      </c>
      <c r="U293">
        <v>0</v>
      </c>
      <c r="V293" t="s">
        <v>33</v>
      </c>
      <c r="W293" t="s">
        <v>33</v>
      </c>
      <c r="X293">
        <v>50</v>
      </c>
      <c r="Y293">
        <v>2936</v>
      </c>
      <c r="Z293" t="s">
        <v>34</v>
      </c>
      <c r="AA293">
        <v>2936</v>
      </c>
      <c r="AB293" t="s">
        <v>121</v>
      </c>
      <c r="AC293" t="s">
        <v>432</v>
      </c>
      <c r="AD293" t="str">
        <f t="shared" si="4"/>
        <v>Escobedo → Hidalgo</v>
      </c>
      <c r="AE293" t="s">
        <v>1357</v>
      </c>
      <c r="AF293" s="4">
        <v>45689</v>
      </c>
      <c r="AG293" t="str">
        <f>YEAR(Table1[[#This Row],[Fecha]])&amp;" - " &amp;UPPER(TEXT(Table1[[#This Row],[Fecha]],"mm-mmm"))</f>
        <v>2025 - 02-FEB</v>
      </c>
      <c r="AH293" s="5">
        <v>0</v>
      </c>
    </row>
    <row r="294" spans="1:34" x14ac:dyDescent="0.25">
      <c r="A294" t="s">
        <v>513</v>
      </c>
      <c r="B294">
        <v>2025</v>
      </c>
      <c r="C294">
        <v>2</v>
      </c>
      <c r="D294" s="1">
        <v>45694</v>
      </c>
      <c r="E294" s="1">
        <v>45694</v>
      </c>
      <c r="F294" s="1">
        <v>45694</v>
      </c>
      <c r="G294" s="1">
        <v>45694</v>
      </c>
      <c r="H294" s="2">
        <v>45694.909872372686</v>
      </c>
      <c r="I294">
        <v>2039</v>
      </c>
      <c r="J294" t="s">
        <v>30</v>
      </c>
      <c r="K294" t="s">
        <v>31</v>
      </c>
      <c r="L294">
        <v>50</v>
      </c>
      <c r="M294">
        <v>50</v>
      </c>
      <c r="N294" t="s">
        <v>32</v>
      </c>
      <c r="O294">
        <v>1</v>
      </c>
      <c r="P294">
        <v>150</v>
      </c>
      <c r="Q294" t="b">
        <v>1</v>
      </c>
      <c r="R294" t="b">
        <v>0</v>
      </c>
      <c r="S294" t="b">
        <v>0</v>
      </c>
      <c r="T294">
        <v>216</v>
      </c>
      <c r="U294">
        <v>0</v>
      </c>
      <c r="V294" t="s">
        <v>33</v>
      </c>
      <c r="W294" t="s">
        <v>33</v>
      </c>
      <c r="X294">
        <v>50</v>
      </c>
      <c r="Y294">
        <v>2936</v>
      </c>
      <c r="Z294" t="s">
        <v>34</v>
      </c>
      <c r="AA294">
        <v>2936</v>
      </c>
      <c r="AB294" t="s">
        <v>121</v>
      </c>
      <c r="AC294" t="s">
        <v>432</v>
      </c>
      <c r="AD294" t="str">
        <f t="shared" si="4"/>
        <v>Escobedo → Hidalgo</v>
      </c>
      <c r="AE294" t="s">
        <v>1357</v>
      </c>
      <c r="AF294" s="4">
        <v>45689</v>
      </c>
      <c r="AG294" t="str">
        <f>YEAR(Table1[[#This Row],[Fecha]])&amp;" - " &amp;UPPER(TEXT(Table1[[#This Row],[Fecha]],"mm-mmm"))</f>
        <v>2025 - 02-FEB</v>
      </c>
      <c r="AH294" s="5">
        <v>0</v>
      </c>
    </row>
    <row r="295" spans="1:34" x14ac:dyDescent="0.25">
      <c r="A295" t="s">
        <v>943</v>
      </c>
      <c r="B295">
        <v>2025</v>
      </c>
      <c r="C295">
        <v>2</v>
      </c>
      <c r="D295" s="1">
        <v>45694</v>
      </c>
      <c r="E295" s="1">
        <v>45694</v>
      </c>
      <c r="F295" s="1">
        <v>45694</v>
      </c>
      <c r="G295" s="1">
        <v>45694</v>
      </c>
      <c r="H295" s="1">
        <v>45695</v>
      </c>
      <c r="I295">
        <v>2050</v>
      </c>
      <c r="J295" t="s">
        <v>54</v>
      </c>
      <c r="K295" t="s">
        <v>31</v>
      </c>
      <c r="L295">
        <v>50</v>
      </c>
      <c r="M295">
        <v>50</v>
      </c>
      <c r="N295" t="s">
        <v>55</v>
      </c>
      <c r="O295">
        <v>1</v>
      </c>
      <c r="P295">
        <v>150</v>
      </c>
      <c r="Q295" t="b">
        <v>1</v>
      </c>
      <c r="R295" t="b">
        <v>0</v>
      </c>
      <c r="S295" t="b">
        <v>0</v>
      </c>
      <c r="T295">
        <v>216</v>
      </c>
      <c r="U295">
        <v>0</v>
      </c>
      <c r="V295" t="s">
        <v>33</v>
      </c>
      <c r="W295" t="s">
        <v>33</v>
      </c>
      <c r="X295">
        <v>50</v>
      </c>
      <c r="Y295">
        <v>359</v>
      </c>
      <c r="Z295" t="s">
        <v>34</v>
      </c>
      <c r="AA295">
        <v>359</v>
      </c>
      <c r="AB295" t="s">
        <v>121</v>
      </c>
      <c r="AC295" t="s">
        <v>121</v>
      </c>
      <c r="AD295" t="str">
        <f t="shared" si="4"/>
        <v>Escobedo → Escobedo</v>
      </c>
      <c r="AE295" t="s">
        <v>1358</v>
      </c>
      <c r="AF295" s="4">
        <v>45689</v>
      </c>
      <c r="AG295" t="str">
        <f>YEAR(Table1[[#This Row],[Fecha]])&amp;" - " &amp;UPPER(TEXT(Table1[[#This Row],[Fecha]],"mm-mmm"))</f>
        <v>2025 - 02-FEB</v>
      </c>
      <c r="AH295" s="5">
        <v>0</v>
      </c>
    </row>
    <row r="296" spans="1:34" x14ac:dyDescent="0.25">
      <c r="A296" t="s">
        <v>944</v>
      </c>
      <c r="B296">
        <v>2025</v>
      </c>
      <c r="C296">
        <v>2</v>
      </c>
      <c r="D296" s="1">
        <v>45689</v>
      </c>
      <c r="E296" s="1">
        <v>45689</v>
      </c>
      <c r="F296" s="1">
        <v>45689</v>
      </c>
      <c r="G296" s="1">
        <v>45689</v>
      </c>
      <c r="H296" s="2">
        <v>45690.696361886578</v>
      </c>
      <c r="I296">
        <v>2039</v>
      </c>
      <c r="J296" t="s">
        <v>30</v>
      </c>
      <c r="K296" t="s">
        <v>31</v>
      </c>
      <c r="L296">
        <v>50</v>
      </c>
      <c r="M296">
        <v>50</v>
      </c>
      <c r="N296" t="s">
        <v>32</v>
      </c>
      <c r="O296">
        <v>1</v>
      </c>
      <c r="P296">
        <v>150</v>
      </c>
      <c r="Q296" t="b">
        <v>1</v>
      </c>
      <c r="R296" t="b">
        <v>0</v>
      </c>
      <c r="S296" t="b">
        <v>0</v>
      </c>
      <c r="T296">
        <v>216</v>
      </c>
      <c r="U296">
        <v>0</v>
      </c>
      <c r="V296" t="s">
        <v>33</v>
      </c>
      <c r="W296" t="s">
        <v>33</v>
      </c>
      <c r="X296">
        <v>50</v>
      </c>
      <c r="Y296">
        <v>359</v>
      </c>
      <c r="Z296" t="s">
        <v>34</v>
      </c>
      <c r="AA296">
        <v>359</v>
      </c>
      <c r="AB296" t="s">
        <v>121</v>
      </c>
      <c r="AC296" t="s">
        <v>121</v>
      </c>
      <c r="AD296" t="str">
        <f t="shared" si="4"/>
        <v>Escobedo → Escobedo</v>
      </c>
      <c r="AE296" t="s">
        <v>1357</v>
      </c>
      <c r="AF296" s="4">
        <v>45689</v>
      </c>
      <c r="AG296" t="str">
        <f>YEAR(Table1[[#This Row],[Fecha]])&amp;" - " &amp;UPPER(TEXT(Table1[[#This Row],[Fecha]],"mm-mmm"))</f>
        <v>2025 - 02-FEB</v>
      </c>
      <c r="AH296" s="5">
        <v>0</v>
      </c>
    </row>
    <row r="297" spans="1:34" x14ac:dyDescent="0.25">
      <c r="A297" t="s">
        <v>945</v>
      </c>
      <c r="B297">
        <v>2025</v>
      </c>
      <c r="C297">
        <v>2</v>
      </c>
      <c r="D297" s="1">
        <v>45694</v>
      </c>
      <c r="E297" s="1">
        <v>45694</v>
      </c>
      <c r="F297" s="1">
        <v>45694</v>
      </c>
      <c r="G297" s="1">
        <v>45694</v>
      </c>
      <c r="H297" s="1">
        <v>45695</v>
      </c>
      <c r="I297">
        <v>2050</v>
      </c>
      <c r="J297" t="s">
        <v>54</v>
      </c>
      <c r="K297" t="s">
        <v>31</v>
      </c>
      <c r="L297">
        <v>50</v>
      </c>
      <c r="M297">
        <v>50</v>
      </c>
      <c r="N297" t="s">
        <v>55</v>
      </c>
      <c r="O297">
        <v>1</v>
      </c>
      <c r="P297">
        <v>150</v>
      </c>
      <c r="Q297" t="b">
        <v>1</v>
      </c>
      <c r="R297" t="b">
        <v>0</v>
      </c>
      <c r="S297" t="b">
        <v>0</v>
      </c>
      <c r="T297">
        <v>216</v>
      </c>
      <c r="U297">
        <v>0</v>
      </c>
      <c r="V297" t="s">
        <v>33</v>
      </c>
      <c r="W297" t="s">
        <v>33</v>
      </c>
      <c r="X297">
        <v>50</v>
      </c>
      <c r="Y297">
        <v>359</v>
      </c>
      <c r="Z297" t="s">
        <v>34</v>
      </c>
      <c r="AA297">
        <v>359</v>
      </c>
      <c r="AB297" t="s">
        <v>121</v>
      </c>
      <c r="AC297" t="s">
        <v>121</v>
      </c>
      <c r="AD297" t="str">
        <f t="shared" si="4"/>
        <v>Escobedo → Escobedo</v>
      </c>
      <c r="AE297" t="s">
        <v>1358</v>
      </c>
      <c r="AF297" s="4">
        <v>45689</v>
      </c>
      <c r="AG297" t="str">
        <f>YEAR(Table1[[#This Row],[Fecha]])&amp;" - " &amp;UPPER(TEXT(Table1[[#This Row],[Fecha]],"mm-mmm"))</f>
        <v>2025 - 02-FEB</v>
      </c>
      <c r="AH297" s="5">
        <v>0</v>
      </c>
    </row>
    <row r="298" spans="1:34" x14ac:dyDescent="0.25">
      <c r="A298" t="s">
        <v>531</v>
      </c>
      <c r="B298">
        <v>2025</v>
      </c>
      <c r="C298">
        <v>2</v>
      </c>
      <c r="D298" s="1">
        <v>45694</v>
      </c>
      <c r="E298" s="1">
        <v>45694</v>
      </c>
      <c r="F298" s="1">
        <v>45694</v>
      </c>
      <c r="G298" s="1">
        <v>45694</v>
      </c>
      <c r="H298" s="1">
        <v>45695</v>
      </c>
      <c r="I298">
        <v>2050</v>
      </c>
      <c r="J298" t="s">
        <v>54</v>
      </c>
      <c r="K298" t="s">
        <v>31</v>
      </c>
      <c r="L298">
        <v>50</v>
      </c>
      <c r="M298">
        <v>50</v>
      </c>
      <c r="N298" t="s">
        <v>55</v>
      </c>
      <c r="O298">
        <v>1</v>
      </c>
      <c r="P298">
        <v>150</v>
      </c>
      <c r="Q298" t="b">
        <v>1</v>
      </c>
      <c r="R298" t="b">
        <v>0</v>
      </c>
      <c r="S298" t="b">
        <v>0</v>
      </c>
      <c r="T298">
        <v>216</v>
      </c>
      <c r="U298">
        <v>0</v>
      </c>
      <c r="V298" t="s">
        <v>33</v>
      </c>
      <c r="W298" t="s">
        <v>33</v>
      </c>
      <c r="X298">
        <v>50</v>
      </c>
      <c r="Y298">
        <v>2936</v>
      </c>
      <c r="Z298" t="s">
        <v>34</v>
      </c>
      <c r="AA298">
        <v>2936</v>
      </c>
      <c r="AB298" t="s">
        <v>121</v>
      </c>
      <c r="AC298" t="s">
        <v>432</v>
      </c>
      <c r="AD298" t="str">
        <f t="shared" si="4"/>
        <v>Escobedo → Hidalgo</v>
      </c>
      <c r="AE298" t="s">
        <v>1358</v>
      </c>
      <c r="AF298" s="4">
        <v>45689</v>
      </c>
      <c r="AG298" t="str">
        <f>YEAR(Table1[[#This Row],[Fecha]])&amp;" - " &amp;UPPER(TEXT(Table1[[#This Row],[Fecha]],"mm-mmm"))</f>
        <v>2025 - 02-FEB</v>
      </c>
      <c r="AH298" s="5">
        <v>0</v>
      </c>
    </row>
    <row r="299" spans="1:34" x14ac:dyDescent="0.25">
      <c r="A299" t="s">
        <v>532</v>
      </c>
      <c r="B299">
        <v>2025</v>
      </c>
      <c r="C299">
        <v>2</v>
      </c>
      <c r="D299" s="1">
        <v>45689</v>
      </c>
      <c r="E299" s="1">
        <v>45689</v>
      </c>
      <c r="F299" s="1">
        <v>45689</v>
      </c>
      <c r="G299" s="1">
        <v>45689</v>
      </c>
      <c r="H299" s="2">
        <v>45690.696790162037</v>
      </c>
      <c r="I299">
        <v>2039</v>
      </c>
      <c r="J299" t="s">
        <v>30</v>
      </c>
      <c r="K299" t="s">
        <v>31</v>
      </c>
      <c r="L299">
        <v>50</v>
      </c>
      <c r="M299">
        <v>50</v>
      </c>
      <c r="N299" t="s">
        <v>32</v>
      </c>
      <c r="O299">
        <v>1</v>
      </c>
      <c r="P299">
        <v>150</v>
      </c>
      <c r="Q299" t="b">
        <v>1</v>
      </c>
      <c r="R299" t="b">
        <v>0</v>
      </c>
      <c r="S299" t="b">
        <v>0</v>
      </c>
      <c r="T299">
        <v>216</v>
      </c>
      <c r="U299">
        <v>0</v>
      </c>
      <c r="V299" t="s">
        <v>33</v>
      </c>
      <c r="W299" t="s">
        <v>33</v>
      </c>
      <c r="X299">
        <v>50</v>
      </c>
      <c r="Y299">
        <v>2936</v>
      </c>
      <c r="Z299" t="s">
        <v>34</v>
      </c>
      <c r="AA299">
        <v>2936</v>
      </c>
      <c r="AB299" t="s">
        <v>121</v>
      </c>
      <c r="AC299" t="s">
        <v>432</v>
      </c>
      <c r="AD299" t="str">
        <f t="shared" si="4"/>
        <v>Escobedo → Hidalgo</v>
      </c>
      <c r="AE299" t="s">
        <v>1357</v>
      </c>
      <c r="AF299" s="4">
        <v>45689</v>
      </c>
      <c r="AG299" t="str">
        <f>YEAR(Table1[[#This Row],[Fecha]])&amp;" - " &amp;UPPER(TEXT(Table1[[#This Row],[Fecha]],"mm-mmm"))</f>
        <v>2025 - 02-FEB</v>
      </c>
      <c r="AH299" s="5">
        <v>0</v>
      </c>
    </row>
    <row r="300" spans="1:34" x14ac:dyDescent="0.25">
      <c r="A300" t="s">
        <v>357</v>
      </c>
      <c r="B300">
        <v>2025</v>
      </c>
      <c r="C300">
        <v>2</v>
      </c>
      <c r="D300" s="1">
        <v>45695</v>
      </c>
      <c r="E300" s="1">
        <v>45695</v>
      </c>
      <c r="F300" s="1">
        <v>45696</v>
      </c>
      <c r="G300" s="1">
        <v>45695</v>
      </c>
      <c r="H300" s="1">
        <v>45696</v>
      </c>
      <c r="I300">
        <v>2050</v>
      </c>
      <c r="J300" t="s">
        <v>54</v>
      </c>
      <c r="K300" t="s">
        <v>31</v>
      </c>
      <c r="L300">
        <v>961</v>
      </c>
      <c r="M300">
        <v>1059</v>
      </c>
      <c r="N300" t="s">
        <v>55</v>
      </c>
      <c r="O300">
        <v>1</v>
      </c>
      <c r="P300">
        <v>964</v>
      </c>
      <c r="Q300" t="b">
        <v>1</v>
      </c>
      <c r="R300" t="b">
        <v>0</v>
      </c>
      <c r="S300" t="b">
        <v>0</v>
      </c>
      <c r="T300">
        <v>1396</v>
      </c>
      <c r="U300">
        <v>0</v>
      </c>
      <c r="V300" t="s">
        <v>33</v>
      </c>
      <c r="W300" t="s">
        <v>33</v>
      </c>
      <c r="X300">
        <v>1100</v>
      </c>
      <c r="Y300">
        <v>8</v>
      </c>
      <c r="Z300" t="s">
        <v>123</v>
      </c>
      <c r="AA300">
        <v>8</v>
      </c>
      <c r="AB300" t="s">
        <v>121</v>
      </c>
      <c r="AC300" t="s">
        <v>56</v>
      </c>
      <c r="AD300" t="str">
        <f t="shared" si="4"/>
        <v>Escobedo → Cd Sahagún</v>
      </c>
      <c r="AE300" t="s">
        <v>1358</v>
      </c>
      <c r="AF300" s="4">
        <v>45689</v>
      </c>
      <c r="AG300" t="str">
        <f>YEAR(Table1[[#This Row],[Fecha]])&amp;" - " &amp;UPPER(TEXT(Table1[[#This Row],[Fecha]],"mm-mmm"))</f>
        <v>2025 - 02-FEB</v>
      </c>
      <c r="AH300" s="5">
        <v>0</v>
      </c>
    </row>
    <row r="301" spans="1:34" x14ac:dyDescent="0.25">
      <c r="A301" t="s">
        <v>158</v>
      </c>
      <c r="B301">
        <v>2025</v>
      </c>
      <c r="C301">
        <v>2</v>
      </c>
      <c r="D301" s="1">
        <v>45707</v>
      </c>
      <c r="E301" s="1">
        <v>45707</v>
      </c>
      <c r="F301" s="1">
        <v>45708</v>
      </c>
      <c r="G301" s="1">
        <v>45708</v>
      </c>
      <c r="H301" s="1">
        <v>45708</v>
      </c>
      <c r="I301">
        <v>2024</v>
      </c>
      <c r="J301" t="s">
        <v>41</v>
      </c>
      <c r="K301" t="s">
        <v>42</v>
      </c>
      <c r="L301">
        <v>49</v>
      </c>
      <c r="M301">
        <v>49</v>
      </c>
      <c r="N301" t="s">
        <v>115</v>
      </c>
      <c r="O301">
        <v>1</v>
      </c>
      <c r="P301">
        <v>150</v>
      </c>
      <c r="Q301" t="b">
        <v>1</v>
      </c>
      <c r="R301" t="b">
        <v>0</v>
      </c>
      <c r="S301" t="b">
        <v>0</v>
      </c>
      <c r="T301">
        <v>216</v>
      </c>
      <c r="U301">
        <v>0</v>
      </c>
      <c r="V301" t="s">
        <v>33</v>
      </c>
      <c r="W301" t="s">
        <v>159</v>
      </c>
      <c r="X301">
        <v>50</v>
      </c>
      <c r="Y301">
        <v>694</v>
      </c>
      <c r="Z301" t="s">
        <v>38</v>
      </c>
      <c r="AA301">
        <v>694</v>
      </c>
      <c r="AB301" t="s">
        <v>154</v>
      </c>
      <c r="AC301" t="s">
        <v>56</v>
      </c>
      <c r="AD301" t="str">
        <f t="shared" si="4"/>
        <v>Pachuca → Cd Sahagún</v>
      </c>
      <c r="AE301" t="s">
        <v>1359</v>
      </c>
      <c r="AF301" s="4">
        <v>45689</v>
      </c>
      <c r="AG301" t="str">
        <f>YEAR(Table1[[#This Row],[Fecha]])&amp;" - " &amp;UPPER(TEXT(Table1[[#This Row],[Fecha]],"mm-mmm"))</f>
        <v>2025 - 02-FEB</v>
      </c>
      <c r="AH301" s="5">
        <v>0</v>
      </c>
    </row>
    <row r="302" spans="1:34" x14ac:dyDescent="0.25">
      <c r="A302" t="s">
        <v>358</v>
      </c>
      <c r="B302">
        <v>2025</v>
      </c>
      <c r="C302">
        <v>2</v>
      </c>
      <c r="D302" s="1">
        <v>45716</v>
      </c>
      <c r="E302" s="1">
        <v>45716</v>
      </c>
      <c r="F302" s="1">
        <v>45719</v>
      </c>
      <c r="G302" s="1">
        <v>45718</v>
      </c>
      <c r="H302" s="1">
        <v>45718</v>
      </c>
      <c r="I302">
        <v>2050</v>
      </c>
      <c r="J302" t="s">
        <v>54</v>
      </c>
      <c r="K302" t="s">
        <v>31</v>
      </c>
      <c r="L302">
        <v>961</v>
      </c>
      <c r="M302">
        <v>0</v>
      </c>
      <c r="N302" t="s">
        <v>55</v>
      </c>
      <c r="O302">
        <v>1</v>
      </c>
      <c r="P302">
        <v>964</v>
      </c>
      <c r="Q302" t="b">
        <v>1</v>
      </c>
      <c r="R302" t="b">
        <v>0</v>
      </c>
      <c r="S302" t="b">
        <v>0</v>
      </c>
      <c r="T302">
        <v>0</v>
      </c>
      <c r="U302">
        <v>0</v>
      </c>
      <c r="V302" t="s">
        <v>33</v>
      </c>
      <c r="W302" t="s">
        <v>33</v>
      </c>
      <c r="X302">
        <v>0</v>
      </c>
      <c r="Y302">
        <v>8</v>
      </c>
      <c r="Z302" t="s">
        <v>38</v>
      </c>
      <c r="AA302">
        <v>8</v>
      </c>
      <c r="AB302" t="s">
        <v>121</v>
      </c>
      <c r="AC302" t="s">
        <v>56</v>
      </c>
      <c r="AD302" t="str">
        <f t="shared" si="4"/>
        <v>Escobedo → Cd Sahagún</v>
      </c>
      <c r="AE302" t="s">
        <v>1358</v>
      </c>
      <c r="AF302" s="4">
        <v>45689</v>
      </c>
      <c r="AG302" t="str">
        <f>YEAR(Table1[[#This Row],[Fecha]])&amp;" - " &amp;UPPER(TEXT(Table1[[#This Row],[Fecha]],"mm-mmm"))</f>
        <v>2025 - 02-FEB</v>
      </c>
      <c r="AH302" s="5">
        <v>0</v>
      </c>
    </row>
    <row r="303" spans="1:34" x14ac:dyDescent="0.25">
      <c r="A303" t="s">
        <v>99</v>
      </c>
      <c r="B303">
        <v>2025</v>
      </c>
      <c r="C303">
        <v>2</v>
      </c>
      <c r="D303" s="1">
        <v>45693</v>
      </c>
      <c r="E303" s="1">
        <v>45562</v>
      </c>
      <c r="F303" s="1">
        <v>45698</v>
      </c>
      <c r="G303" s="1">
        <v>45697</v>
      </c>
      <c r="H303" s="1">
        <v>45696</v>
      </c>
      <c r="I303">
        <v>2050</v>
      </c>
      <c r="J303" t="s">
        <v>54</v>
      </c>
      <c r="K303" t="s">
        <v>31</v>
      </c>
      <c r="L303">
        <v>981</v>
      </c>
      <c r="M303">
        <v>0</v>
      </c>
      <c r="N303" t="s">
        <v>55</v>
      </c>
      <c r="O303">
        <v>1</v>
      </c>
      <c r="P303">
        <v>961</v>
      </c>
      <c r="Q303" t="b">
        <v>0</v>
      </c>
      <c r="R303" t="b">
        <v>0</v>
      </c>
      <c r="S303" t="b">
        <v>0</v>
      </c>
      <c r="T303">
        <v>0</v>
      </c>
      <c r="U303">
        <v>13.23</v>
      </c>
      <c r="V303" t="s">
        <v>33</v>
      </c>
      <c r="W303" t="s">
        <v>100</v>
      </c>
      <c r="X303">
        <v>0</v>
      </c>
      <c r="Y303">
        <v>1180</v>
      </c>
      <c r="Z303" t="s">
        <v>38</v>
      </c>
      <c r="AA303">
        <v>1180</v>
      </c>
      <c r="AB303" t="s">
        <v>56</v>
      </c>
      <c r="AC303" t="s">
        <v>101</v>
      </c>
      <c r="AD303" t="str">
        <f t="shared" si="4"/>
        <v>Cd Sahagún → Tequixquiac</v>
      </c>
      <c r="AE303" t="s">
        <v>1358</v>
      </c>
      <c r="AF303" s="4">
        <v>45689</v>
      </c>
      <c r="AG303" t="str">
        <f>YEAR(Table1[[#This Row],[Fecha]])&amp;" - " &amp;UPPER(TEXT(Table1[[#This Row],[Fecha]],"mm-mmm"))</f>
        <v>2025 - 02-FEB</v>
      </c>
      <c r="AH303" s="5">
        <v>0</v>
      </c>
    </row>
    <row r="304" spans="1:34" x14ac:dyDescent="0.25">
      <c r="A304" t="s">
        <v>359</v>
      </c>
      <c r="B304">
        <v>2025</v>
      </c>
      <c r="C304">
        <v>3</v>
      </c>
      <c r="D304" s="1">
        <v>45717</v>
      </c>
      <c r="E304" s="1">
        <v>45717</v>
      </c>
      <c r="F304" s="1">
        <v>45718</v>
      </c>
      <c r="G304" s="1">
        <v>45717</v>
      </c>
      <c r="H304" s="1">
        <v>45718</v>
      </c>
      <c r="I304">
        <v>2050</v>
      </c>
      <c r="J304" t="s">
        <v>54</v>
      </c>
      <c r="K304" t="s">
        <v>31</v>
      </c>
      <c r="L304">
        <v>961</v>
      </c>
      <c r="M304">
        <v>1059</v>
      </c>
      <c r="N304" t="s">
        <v>55</v>
      </c>
      <c r="O304">
        <v>1</v>
      </c>
      <c r="P304">
        <v>964</v>
      </c>
      <c r="Q304" t="b">
        <v>1</v>
      </c>
      <c r="R304" t="b">
        <v>0</v>
      </c>
      <c r="S304" t="b">
        <v>0</v>
      </c>
      <c r="T304">
        <v>1494</v>
      </c>
      <c r="U304">
        <v>0</v>
      </c>
      <c r="V304" t="s">
        <v>33</v>
      </c>
      <c r="W304" t="s">
        <v>33</v>
      </c>
      <c r="X304">
        <v>1100</v>
      </c>
      <c r="Y304">
        <v>8</v>
      </c>
      <c r="Z304" t="s">
        <v>106</v>
      </c>
      <c r="AA304">
        <v>8</v>
      </c>
      <c r="AB304" t="s">
        <v>121</v>
      </c>
      <c r="AC304" t="s">
        <v>56</v>
      </c>
      <c r="AD304" t="str">
        <f t="shared" si="4"/>
        <v>Escobedo → Cd Sahagún</v>
      </c>
      <c r="AE304" t="s">
        <v>1358</v>
      </c>
      <c r="AF304" s="4">
        <v>45717</v>
      </c>
      <c r="AG304" t="str">
        <f>YEAR(Table1[[#This Row],[Fecha]])&amp;" - " &amp;UPPER(TEXT(Table1[[#This Row],[Fecha]],"mm-mmm"))</f>
        <v>2025 - 03-MAR</v>
      </c>
      <c r="AH304" s="5">
        <v>0</v>
      </c>
    </row>
    <row r="305" spans="1:34" x14ac:dyDescent="0.25">
      <c r="A305" t="s">
        <v>534</v>
      </c>
      <c r="B305">
        <v>2025</v>
      </c>
      <c r="C305">
        <v>3</v>
      </c>
      <c r="D305" s="1">
        <v>45717</v>
      </c>
      <c r="E305" s="1">
        <v>45717</v>
      </c>
      <c r="F305" s="1">
        <v>45717</v>
      </c>
      <c r="G305" s="1">
        <v>45717</v>
      </c>
      <c r="H305" s="1">
        <v>45717</v>
      </c>
      <c r="I305">
        <v>2309</v>
      </c>
      <c r="J305" t="s">
        <v>54</v>
      </c>
      <c r="K305" t="s">
        <v>33</v>
      </c>
      <c r="L305">
        <v>50</v>
      </c>
      <c r="M305">
        <v>50</v>
      </c>
      <c r="N305" t="s">
        <v>535</v>
      </c>
      <c r="O305">
        <v>1</v>
      </c>
      <c r="P305">
        <v>150</v>
      </c>
      <c r="Q305" t="b">
        <v>1</v>
      </c>
      <c r="R305" t="b">
        <v>0</v>
      </c>
      <c r="S305" t="b">
        <v>0</v>
      </c>
      <c r="T305">
        <v>231</v>
      </c>
      <c r="U305">
        <v>0</v>
      </c>
      <c r="V305" t="s">
        <v>33</v>
      </c>
      <c r="W305" t="s">
        <v>33</v>
      </c>
      <c r="X305">
        <v>50</v>
      </c>
      <c r="Y305">
        <v>2936</v>
      </c>
      <c r="Z305" t="s">
        <v>350</v>
      </c>
      <c r="AA305">
        <v>2936</v>
      </c>
      <c r="AB305" t="s">
        <v>121</v>
      </c>
      <c r="AC305" t="s">
        <v>432</v>
      </c>
      <c r="AD305" t="str">
        <f t="shared" si="4"/>
        <v>Escobedo → Hidalgo</v>
      </c>
      <c r="AE305" t="s">
        <v>1358</v>
      </c>
      <c r="AF305" s="4">
        <v>45717</v>
      </c>
      <c r="AG305" t="str">
        <f>YEAR(Table1[[#This Row],[Fecha]])&amp;" - " &amp;UPPER(TEXT(Table1[[#This Row],[Fecha]],"mm-mmm"))</f>
        <v>2025 - 03-MAR</v>
      </c>
      <c r="AH305" s="5">
        <v>0</v>
      </c>
    </row>
    <row r="306" spans="1:34" x14ac:dyDescent="0.25">
      <c r="A306" t="s">
        <v>536</v>
      </c>
      <c r="B306">
        <v>2025</v>
      </c>
      <c r="C306">
        <v>3</v>
      </c>
      <c r="D306" s="1">
        <v>45722</v>
      </c>
      <c r="E306" s="1">
        <v>45722</v>
      </c>
      <c r="F306" s="1">
        <v>45722</v>
      </c>
      <c r="G306" s="1">
        <v>45722</v>
      </c>
      <c r="H306" s="2">
        <v>45722.772522303239</v>
      </c>
      <c r="I306">
        <v>2039</v>
      </c>
      <c r="J306" t="s">
        <v>54</v>
      </c>
      <c r="K306" t="s">
        <v>31</v>
      </c>
      <c r="L306">
        <v>50</v>
      </c>
      <c r="M306">
        <v>50</v>
      </c>
      <c r="N306" t="s">
        <v>32</v>
      </c>
      <c r="O306">
        <v>1</v>
      </c>
      <c r="P306">
        <v>150</v>
      </c>
      <c r="Q306" t="b">
        <v>1</v>
      </c>
      <c r="R306" t="b">
        <v>0</v>
      </c>
      <c r="S306" t="b">
        <v>0</v>
      </c>
      <c r="T306">
        <v>231</v>
      </c>
      <c r="U306">
        <v>0</v>
      </c>
      <c r="V306" t="s">
        <v>33</v>
      </c>
      <c r="W306" t="s">
        <v>33</v>
      </c>
      <c r="X306">
        <v>50</v>
      </c>
      <c r="Y306">
        <v>2936</v>
      </c>
      <c r="Z306" t="s">
        <v>34</v>
      </c>
      <c r="AA306">
        <v>2936</v>
      </c>
      <c r="AB306" t="s">
        <v>121</v>
      </c>
      <c r="AC306" t="s">
        <v>432</v>
      </c>
      <c r="AD306" t="str">
        <f t="shared" si="4"/>
        <v>Escobedo → Hidalgo</v>
      </c>
      <c r="AE306" t="s">
        <v>1358</v>
      </c>
      <c r="AF306" s="4">
        <v>45717</v>
      </c>
      <c r="AG306" t="str">
        <f>YEAR(Table1[[#This Row],[Fecha]])&amp;" - " &amp;UPPER(TEXT(Table1[[#This Row],[Fecha]],"mm-mmm"))</f>
        <v>2025 - 03-MAR</v>
      </c>
      <c r="AH306" s="5">
        <v>0</v>
      </c>
    </row>
    <row r="307" spans="1:34" x14ac:dyDescent="0.25">
      <c r="A307" t="s">
        <v>537</v>
      </c>
      <c r="B307">
        <v>2025</v>
      </c>
      <c r="C307">
        <v>3</v>
      </c>
      <c r="D307" s="1">
        <v>45717</v>
      </c>
      <c r="E307" s="1">
        <v>45717</v>
      </c>
      <c r="F307" s="1">
        <v>45717</v>
      </c>
      <c r="G307" s="1">
        <v>45717</v>
      </c>
      <c r="H307" s="1">
        <v>45717</v>
      </c>
      <c r="I307">
        <v>2274</v>
      </c>
      <c r="J307" t="s">
        <v>54</v>
      </c>
      <c r="K307" t="s">
        <v>31</v>
      </c>
      <c r="L307">
        <v>50</v>
      </c>
      <c r="M307">
        <v>50</v>
      </c>
      <c r="N307" t="s">
        <v>538</v>
      </c>
      <c r="O307">
        <v>1</v>
      </c>
      <c r="P307">
        <v>150</v>
      </c>
      <c r="Q307" t="b">
        <v>1</v>
      </c>
      <c r="R307" t="b">
        <v>0</v>
      </c>
      <c r="S307" t="b">
        <v>0</v>
      </c>
      <c r="T307">
        <v>231</v>
      </c>
      <c r="U307">
        <v>0</v>
      </c>
      <c r="V307" t="s">
        <v>33</v>
      </c>
      <c r="W307" t="s">
        <v>33</v>
      </c>
      <c r="X307">
        <v>50</v>
      </c>
      <c r="Y307">
        <v>2936</v>
      </c>
      <c r="Z307" t="s">
        <v>350</v>
      </c>
      <c r="AA307">
        <v>2936</v>
      </c>
      <c r="AB307" t="s">
        <v>121</v>
      </c>
      <c r="AC307" t="s">
        <v>432</v>
      </c>
      <c r="AD307" t="str">
        <f t="shared" si="4"/>
        <v>Escobedo → Hidalgo</v>
      </c>
      <c r="AE307" t="s">
        <v>1358</v>
      </c>
      <c r="AF307" s="4">
        <v>45717</v>
      </c>
      <c r="AG307" t="str">
        <f>YEAR(Table1[[#This Row],[Fecha]])&amp;" - " &amp;UPPER(TEXT(Table1[[#This Row],[Fecha]],"mm-mmm"))</f>
        <v>2025 - 03-MAR</v>
      </c>
      <c r="AH307" s="5">
        <v>0</v>
      </c>
    </row>
    <row r="308" spans="1:34" x14ac:dyDescent="0.25">
      <c r="A308" t="s">
        <v>940</v>
      </c>
      <c r="B308">
        <v>2025</v>
      </c>
      <c r="C308">
        <v>3</v>
      </c>
      <c r="D308" s="1">
        <v>45722</v>
      </c>
      <c r="E308" s="1">
        <v>45722</v>
      </c>
      <c r="F308" s="1">
        <v>45722</v>
      </c>
      <c r="G308" s="1">
        <v>45722</v>
      </c>
      <c r="H308" s="2">
        <v>45722.772862349535</v>
      </c>
      <c r="I308">
        <v>2039</v>
      </c>
      <c r="J308" t="s">
        <v>54</v>
      </c>
      <c r="K308" t="s">
        <v>31</v>
      </c>
      <c r="L308">
        <v>50</v>
      </c>
      <c r="M308">
        <v>50</v>
      </c>
      <c r="N308" t="s">
        <v>32</v>
      </c>
      <c r="O308">
        <v>1</v>
      </c>
      <c r="P308">
        <v>150</v>
      </c>
      <c r="Q308" t="b">
        <v>1</v>
      </c>
      <c r="R308" t="b">
        <v>0</v>
      </c>
      <c r="S308" t="b">
        <v>0</v>
      </c>
      <c r="T308">
        <v>231</v>
      </c>
      <c r="U308">
        <v>0</v>
      </c>
      <c r="V308" t="s">
        <v>33</v>
      </c>
      <c r="W308" t="s">
        <v>33</v>
      </c>
      <c r="X308">
        <v>50</v>
      </c>
      <c r="Y308">
        <v>359</v>
      </c>
      <c r="Z308" t="s">
        <v>34</v>
      </c>
      <c r="AA308">
        <v>359</v>
      </c>
      <c r="AB308" t="s">
        <v>121</v>
      </c>
      <c r="AC308" t="s">
        <v>121</v>
      </c>
      <c r="AD308" t="str">
        <f t="shared" si="4"/>
        <v>Escobedo → Escobedo</v>
      </c>
      <c r="AE308" t="s">
        <v>1358</v>
      </c>
      <c r="AF308" s="4">
        <v>45717</v>
      </c>
      <c r="AG308" t="str">
        <f>YEAR(Table1[[#This Row],[Fecha]])&amp;" - " &amp;UPPER(TEXT(Table1[[#This Row],[Fecha]],"mm-mmm"))</f>
        <v>2025 - 03-MAR</v>
      </c>
      <c r="AH308" s="5">
        <v>0</v>
      </c>
    </row>
    <row r="309" spans="1:34" x14ac:dyDescent="0.25">
      <c r="A309" t="s">
        <v>941</v>
      </c>
      <c r="B309">
        <v>2025</v>
      </c>
      <c r="C309">
        <v>3</v>
      </c>
      <c r="D309" s="1">
        <v>45722</v>
      </c>
      <c r="E309" s="1">
        <v>45722</v>
      </c>
      <c r="F309" s="1">
        <v>45722</v>
      </c>
      <c r="G309" s="1">
        <v>45722</v>
      </c>
      <c r="H309" s="2">
        <v>45722.77251072917</v>
      </c>
      <c r="I309">
        <v>2050</v>
      </c>
      <c r="J309" t="s">
        <v>54</v>
      </c>
      <c r="K309" t="s">
        <v>31</v>
      </c>
      <c r="L309">
        <v>50</v>
      </c>
      <c r="M309">
        <v>50</v>
      </c>
      <c r="N309" t="s">
        <v>55</v>
      </c>
      <c r="O309">
        <v>1</v>
      </c>
      <c r="P309">
        <v>150</v>
      </c>
      <c r="Q309" t="b">
        <v>1</v>
      </c>
      <c r="R309" t="b">
        <v>0</v>
      </c>
      <c r="S309" t="b">
        <v>0</v>
      </c>
      <c r="T309">
        <v>231</v>
      </c>
      <c r="U309">
        <v>0</v>
      </c>
      <c r="V309" t="s">
        <v>33</v>
      </c>
      <c r="W309" t="s">
        <v>33</v>
      </c>
      <c r="X309">
        <v>50</v>
      </c>
      <c r="Y309">
        <v>359</v>
      </c>
      <c r="Z309" t="s">
        <v>34</v>
      </c>
      <c r="AA309">
        <v>359</v>
      </c>
      <c r="AB309" t="s">
        <v>121</v>
      </c>
      <c r="AC309" t="s">
        <v>121</v>
      </c>
      <c r="AD309" t="str">
        <f t="shared" si="4"/>
        <v>Escobedo → Escobedo</v>
      </c>
      <c r="AE309" t="s">
        <v>1358</v>
      </c>
      <c r="AF309" s="4">
        <v>45717</v>
      </c>
      <c r="AG309" t="str">
        <f>YEAR(Table1[[#This Row],[Fecha]])&amp;" - " &amp;UPPER(TEXT(Table1[[#This Row],[Fecha]],"mm-mmm"))</f>
        <v>2025 - 03-MAR</v>
      </c>
      <c r="AH309" s="5">
        <v>0</v>
      </c>
    </row>
    <row r="310" spans="1:34" x14ac:dyDescent="0.25">
      <c r="A310" t="s">
        <v>942</v>
      </c>
      <c r="B310">
        <v>2025</v>
      </c>
      <c r="C310">
        <v>3</v>
      </c>
      <c r="D310" s="1">
        <v>45722</v>
      </c>
      <c r="E310" s="1">
        <v>45722</v>
      </c>
      <c r="F310" s="1">
        <v>45722</v>
      </c>
      <c r="G310" s="1">
        <v>45722</v>
      </c>
      <c r="H310" s="2">
        <v>45722.772529895832</v>
      </c>
      <c r="I310">
        <v>2050</v>
      </c>
      <c r="J310" t="s">
        <v>54</v>
      </c>
      <c r="K310" t="s">
        <v>31</v>
      </c>
      <c r="L310">
        <v>50</v>
      </c>
      <c r="M310">
        <v>50</v>
      </c>
      <c r="N310" t="s">
        <v>55</v>
      </c>
      <c r="O310">
        <v>1</v>
      </c>
      <c r="P310">
        <v>150</v>
      </c>
      <c r="Q310" t="b">
        <v>1</v>
      </c>
      <c r="R310" t="b">
        <v>0</v>
      </c>
      <c r="S310" t="b">
        <v>0</v>
      </c>
      <c r="T310">
        <v>231</v>
      </c>
      <c r="U310">
        <v>0</v>
      </c>
      <c r="V310" t="s">
        <v>33</v>
      </c>
      <c r="W310" t="s">
        <v>33</v>
      </c>
      <c r="X310">
        <v>50</v>
      </c>
      <c r="Y310">
        <v>359</v>
      </c>
      <c r="Z310" t="s">
        <v>34</v>
      </c>
      <c r="AA310">
        <v>359</v>
      </c>
      <c r="AB310" t="s">
        <v>121</v>
      </c>
      <c r="AC310" t="s">
        <v>121</v>
      </c>
      <c r="AD310" t="str">
        <f t="shared" si="4"/>
        <v>Escobedo → Escobedo</v>
      </c>
      <c r="AE310" t="s">
        <v>1358</v>
      </c>
      <c r="AF310" s="4">
        <v>45717</v>
      </c>
      <c r="AG310" t="str">
        <f>YEAR(Table1[[#This Row],[Fecha]])&amp;" - " &amp;UPPER(TEXT(Table1[[#This Row],[Fecha]],"mm-mmm"))</f>
        <v>2025 - 03-MAR</v>
      </c>
      <c r="AH310" s="5">
        <v>0</v>
      </c>
    </row>
    <row r="311" spans="1:34" x14ac:dyDescent="0.25">
      <c r="A311" t="s">
        <v>533</v>
      </c>
      <c r="B311">
        <v>2025</v>
      </c>
      <c r="C311">
        <v>3</v>
      </c>
      <c r="D311" s="1">
        <v>45722</v>
      </c>
      <c r="E311" s="1">
        <v>45722</v>
      </c>
      <c r="F311" s="1">
        <v>45722</v>
      </c>
      <c r="G311" s="1">
        <v>45722</v>
      </c>
      <c r="H311" s="2">
        <v>45722.772536226854</v>
      </c>
      <c r="I311">
        <v>2050</v>
      </c>
      <c r="J311" t="s">
        <v>54</v>
      </c>
      <c r="K311" t="s">
        <v>31</v>
      </c>
      <c r="L311">
        <v>50</v>
      </c>
      <c r="M311">
        <v>50</v>
      </c>
      <c r="N311" t="s">
        <v>55</v>
      </c>
      <c r="O311">
        <v>1</v>
      </c>
      <c r="P311">
        <v>150</v>
      </c>
      <c r="Q311" t="b">
        <v>1</v>
      </c>
      <c r="R311" t="b">
        <v>0</v>
      </c>
      <c r="S311" t="b">
        <v>0</v>
      </c>
      <c r="T311">
        <v>231</v>
      </c>
      <c r="U311">
        <v>0</v>
      </c>
      <c r="V311" t="s">
        <v>33</v>
      </c>
      <c r="W311" t="s">
        <v>33</v>
      </c>
      <c r="X311">
        <v>50</v>
      </c>
      <c r="Y311">
        <v>2936</v>
      </c>
      <c r="Z311" t="s">
        <v>34</v>
      </c>
      <c r="AA311">
        <v>2936</v>
      </c>
      <c r="AB311" t="s">
        <v>121</v>
      </c>
      <c r="AC311" t="s">
        <v>432</v>
      </c>
      <c r="AD311" t="str">
        <f t="shared" si="4"/>
        <v>Escobedo → Hidalgo</v>
      </c>
      <c r="AE311" t="s">
        <v>1358</v>
      </c>
      <c r="AF311" s="4">
        <v>45717</v>
      </c>
      <c r="AG311" t="str">
        <f>YEAR(Table1[[#This Row],[Fecha]])&amp;" - " &amp;UPPER(TEXT(Table1[[#This Row],[Fecha]],"mm-mmm"))</f>
        <v>2025 - 03-MAR</v>
      </c>
      <c r="AH311" s="5">
        <v>0</v>
      </c>
    </row>
    <row r="312" spans="1:34" x14ac:dyDescent="0.25">
      <c r="A312" t="s">
        <v>929</v>
      </c>
      <c r="B312">
        <v>2025</v>
      </c>
      <c r="C312">
        <v>3</v>
      </c>
      <c r="D312" s="1">
        <v>45723</v>
      </c>
      <c r="E312" s="1">
        <v>45723</v>
      </c>
      <c r="F312" s="1">
        <v>45723</v>
      </c>
      <c r="G312" s="1">
        <v>45723</v>
      </c>
      <c r="H312" s="2">
        <v>45723.500041701387</v>
      </c>
      <c r="I312">
        <v>2050</v>
      </c>
      <c r="J312" t="s">
        <v>54</v>
      </c>
      <c r="K312" t="s">
        <v>31</v>
      </c>
      <c r="L312">
        <v>50</v>
      </c>
      <c r="M312">
        <v>50</v>
      </c>
      <c r="N312" t="s">
        <v>55</v>
      </c>
      <c r="O312">
        <v>1</v>
      </c>
      <c r="P312">
        <v>150</v>
      </c>
      <c r="Q312" t="b">
        <v>1</v>
      </c>
      <c r="R312" t="b">
        <v>0</v>
      </c>
      <c r="S312" t="b">
        <v>0</v>
      </c>
      <c r="T312">
        <v>231</v>
      </c>
      <c r="U312">
        <v>0</v>
      </c>
      <c r="V312" t="s">
        <v>33</v>
      </c>
      <c r="W312" t="s">
        <v>33</v>
      </c>
      <c r="X312">
        <v>50</v>
      </c>
      <c r="Y312">
        <v>359</v>
      </c>
      <c r="Z312" t="s">
        <v>34</v>
      </c>
      <c r="AA312">
        <v>359</v>
      </c>
      <c r="AB312" t="s">
        <v>121</v>
      </c>
      <c r="AC312" t="s">
        <v>121</v>
      </c>
      <c r="AD312" t="str">
        <f t="shared" si="4"/>
        <v>Escobedo → Escobedo</v>
      </c>
      <c r="AE312" t="s">
        <v>1358</v>
      </c>
      <c r="AF312" s="4">
        <v>45717</v>
      </c>
      <c r="AG312" t="str">
        <f>YEAR(Table1[[#This Row],[Fecha]])&amp;" - " &amp;UPPER(TEXT(Table1[[#This Row],[Fecha]],"mm-mmm"))</f>
        <v>2025 - 03-MAR</v>
      </c>
      <c r="AH312" s="5">
        <v>0</v>
      </c>
    </row>
    <row r="313" spans="1:34" x14ac:dyDescent="0.25">
      <c r="A313" t="s">
        <v>930</v>
      </c>
      <c r="B313">
        <v>2025</v>
      </c>
      <c r="C313">
        <v>3</v>
      </c>
      <c r="D313" s="1">
        <v>45717</v>
      </c>
      <c r="E313" s="1">
        <v>45717</v>
      </c>
      <c r="F313" s="1">
        <v>45717</v>
      </c>
      <c r="G313" s="1">
        <v>45717</v>
      </c>
      <c r="H313" s="1">
        <v>45717</v>
      </c>
      <c r="I313">
        <v>2348</v>
      </c>
      <c r="J313" t="s">
        <v>54</v>
      </c>
      <c r="K313" t="s">
        <v>31</v>
      </c>
      <c r="L313">
        <v>50</v>
      </c>
      <c r="M313">
        <v>0</v>
      </c>
      <c r="N313" t="s">
        <v>931</v>
      </c>
      <c r="O313">
        <v>1</v>
      </c>
      <c r="P313">
        <v>0</v>
      </c>
      <c r="Q313" t="b">
        <v>1</v>
      </c>
      <c r="R313" t="b">
        <v>1</v>
      </c>
      <c r="S313" t="b">
        <v>0</v>
      </c>
      <c r="T313">
        <v>0</v>
      </c>
      <c r="U313">
        <v>0</v>
      </c>
      <c r="V313" t="s">
        <v>33</v>
      </c>
      <c r="W313" t="s">
        <v>33</v>
      </c>
      <c r="X313">
        <v>0</v>
      </c>
      <c r="Y313">
        <v>359</v>
      </c>
      <c r="Z313" t="s">
        <v>156</v>
      </c>
      <c r="AA313">
        <v>359</v>
      </c>
      <c r="AB313" t="s">
        <v>121</v>
      </c>
      <c r="AC313" t="s">
        <v>121</v>
      </c>
      <c r="AD313" t="str">
        <f t="shared" si="4"/>
        <v>Escobedo → Escobedo</v>
      </c>
      <c r="AE313" t="s">
        <v>1358</v>
      </c>
      <c r="AF313" s="4">
        <v>45717</v>
      </c>
      <c r="AG313" t="str">
        <f>YEAR(Table1[[#This Row],[Fecha]])&amp;" - " &amp;UPPER(TEXT(Table1[[#This Row],[Fecha]],"mm-mmm"))</f>
        <v>2025 - 03-MAR</v>
      </c>
      <c r="AH313" s="5">
        <v>0</v>
      </c>
    </row>
    <row r="314" spans="1:34" x14ac:dyDescent="0.25">
      <c r="A314" t="s">
        <v>543</v>
      </c>
      <c r="B314">
        <v>2025</v>
      </c>
      <c r="C314">
        <v>3</v>
      </c>
      <c r="D314" s="1">
        <v>45723</v>
      </c>
      <c r="E314" s="1">
        <v>45723</v>
      </c>
      <c r="F314" s="1">
        <v>45723</v>
      </c>
      <c r="G314" s="1">
        <v>45723</v>
      </c>
      <c r="H314" s="2">
        <v>45723.500033912038</v>
      </c>
      <c r="I314">
        <v>2050</v>
      </c>
      <c r="J314" t="s">
        <v>54</v>
      </c>
      <c r="K314" t="s">
        <v>31</v>
      </c>
      <c r="L314">
        <v>50</v>
      </c>
      <c r="M314">
        <v>50</v>
      </c>
      <c r="N314" t="s">
        <v>55</v>
      </c>
      <c r="O314">
        <v>1</v>
      </c>
      <c r="P314">
        <v>150</v>
      </c>
      <c r="Q314" t="b">
        <v>1</v>
      </c>
      <c r="R314" t="b">
        <v>0</v>
      </c>
      <c r="S314" t="b">
        <v>0</v>
      </c>
      <c r="T314">
        <v>231</v>
      </c>
      <c r="U314">
        <v>0</v>
      </c>
      <c r="V314" t="s">
        <v>33</v>
      </c>
      <c r="W314" t="s">
        <v>33</v>
      </c>
      <c r="X314">
        <v>50</v>
      </c>
      <c r="Y314">
        <v>2936</v>
      </c>
      <c r="Z314" t="s">
        <v>34</v>
      </c>
      <c r="AA314">
        <v>2936</v>
      </c>
      <c r="AB314" t="s">
        <v>121</v>
      </c>
      <c r="AC314" t="s">
        <v>432</v>
      </c>
      <c r="AD314" t="str">
        <f t="shared" si="4"/>
        <v>Escobedo → Hidalgo</v>
      </c>
      <c r="AE314" t="s">
        <v>1358</v>
      </c>
      <c r="AF314" s="4">
        <v>45717</v>
      </c>
      <c r="AG314" t="str">
        <f>YEAR(Table1[[#This Row],[Fecha]])&amp;" - " &amp;UPPER(TEXT(Table1[[#This Row],[Fecha]],"mm-mmm"))</f>
        <v>2025 - 03-MAR</v>
      </c>
      <c r="AH314" s="5">
        <v>0</v>
      </c>
    </row>
    <row r="315" spans="1:34" x14ac:dyDescent="0.25">
      <c r="A315" t="s">
        <v>932</v>
      </c>
      <c r="B315">
        <v>2025</v>
      </c>
      <c r="C315">
        <v>3</v>
      </c>
      <c r="D315" s="1">
        <v>45723</v>
      </c>
      <c r="E315" s="1">
        <v>45723</v>
      </c>
      <c r="F315" s="1">
        <v>45723</v>
      </c>
      <c r="G315" s="1">
        <v>45723</v>
      </c>
      <c r="H315" s="2">
        <v>45723.500047835645</v>
      </c>
      <c r="I315">
        <v>2050</v>
      </c>
      <c r="J315" t="s">
        <v>54</v>
      </c>
      <c r="K315" t="s">
        <v>31</v>
      </c>
      <c r="L315">
        <v>50</v>
      </c>
      <c r="M315">
        <v>50</v>
      </c>
      <c r="N315" t="s">
        <v>55</v>
      </c>
      <c r="O315">
        <v>1</v>
      </c>
      <c r="P315">
        <v>150</v>
      </c>
      <c r="Q315" t="b">
        <v>1</v>
      </c>
      <c r="R315" t="b">
        <v>0</v>
      </c>
      <c r="S315" t="b">
        <v>0</v>
      </c>
      <c r="T315">
        <v>231</v>
      </c>
      <c r="U315">
        <v>0</v>
      </c>
      <c r="V315" t="s">
        <v>33</v>
      </c>
      <c r="W315" t="s">
        <v>33</v>
      </c>
      <c r="X315">
        <v>50</v>
      </c>
      <c r="Y315">
        <v>359</v>
      </c>
      <c r="Z315" t="s">
        <v>34</v>
      </c>
      <c r="AA315">
        <v>359</v>
      </c>
      <c r="AB315" t="s">
        <v>121</v>
      </c>
      <c r="AC315" t="s">
        <v>121</v>
      </c>
      <c r="AD315" t="str">
        <f t="shared" si="4"/>
        <v>Escobedo → Escobedo</v>
      </c>
      <c r="AE315" t="s">
        <v>1358</v>
      </c>
      <c r="AF315" s="4">
        <v>45717</v>
      </c>
      <c r="AG315" t="str">
        <f>YEAR(Table1[[#This Row],[Fecha]])&amp;" - " &amp;UPPER(TEXT(Table1[[#This Row],[Fecha]],"mm-mmm"))</f>
        <v>2025 - 03-MAR</v>
      </c>
      <c r="AH315" s="5">
        <v>0</v>
      </c>
    </row>
    <row r="316" spans="1:34" x14ac:dyDescent="0.25">
      <c r="A316" t="s">
        <v>541</v>
      </c>
      <c r="B316">
        <v>2025</v>
      </c>
      <c r="C316">
        <v>3</v>
      </c>
      <c r="D316" s="1">
        <v>45723</v>
      </c>
      <c r="E316" s="1">
        <v>45723</v>
      </c>
      <c r="F316" s="1">
        <v>45723</v>
      </c>
      <c r="G316" s="1">
        <v>45723</v>
      </c>
      <c r="H316" s="2">
        <v>45723.500022881941</v>
      </c>
      <c r="I316">
        <v>2050</v>
      </c>
      <c r="J316" t="s">
        <v>54</v>
      </c>
      <c r="K316" t="s">
        <v>542</v>
      </c>
      <c r="L316">
        <v>50</v>
      </c>
      <c r="M316">
        <v>50</v>
      </c>
      <c r="N316" t="s">
        <v>55</v>
      </c>
      <c r="O316">
        <v>1</v>
      </c>
      <c r="P316">
        <v>150</v>
      </c>
      <c r="Q316" t="b">
        <v>1</v>
      </c>
      <c r="R316" t="b">
        <v>0</v>
      </c>
      <c r="S316" t="b">
        <v>0</v>
      </c>
      <c r="T316">
        <v>231</v>
      </c>
      <c r="U316">
        <v>0</v>
      </c>
      <c r="V316" t="s">
        <v>33</v>
      </c>
      <c r="W316" t="s">
        <v>33</v>
      </c>
      <c r="X316">
        <v>50</v>
      </c>
      <c r="Y316">
        <v>2936</v>
      </c>
      <c r="Z316" t="s">
        <v>34</v>
      </c>
      <c r="AA316">
        <v>2936</v>
      </c>
      <c r="AB316" t="s">
        <v>121</v>
      </c>
      <c r="AC316" t="s">
        <v>432</v>
      </c>
      <c r="AD316" t="str">
        <f t="shared" si="4"/>
        <v>Escobedo → Hidalgo</v>
      </c>
      <c r="AE316" t="s">
        <v>1358</v>
      </c>
      <c r="AF316" s="4">
        <v>45717</v>
      </c>
      <c r="AG316" t="str">
        <f>YEAR(Table1[[#This Row],[Fecha]])&amp;" - " &amp;UPPER(TEXT(Table1[[#This Row],[Fecha]],"mm-mmm"))</f>
        <v>2025 - 03-MAR</v>
      </c>
      <c r="AH316" s="5">
        <v>0</v>
      </c>
    </row>
    <row r="317" spans="1:34" x14ac:dyDescent="0.25">
      <c r="A317" t="s">
        <v>73</v>
      </c>
      <c r="B317">
        <v>2025</v>
      </c>
      <c r="C317">
        <v>3</v>
      </c>
      <c r="D317" s="1">
        <v>45723</v>
      </c>
      <c r="E317" s="1">
        <v>45723</v>
      </c>
      <c r="F317" s="1">
        <v>45723</v>
      </c>
      <c r="G317" s="1">
        <v>45723</v>
      </c>
      <c r="H317" s="2">
        <v>45723.817489814814</v>
      </c>
      <c r="I317">
        <v>2039</v>
      </c>
      <c r="J317" t="s">
        <v>30</v>
      </c>
      <c r="K317" t="s">
        <v>31</v>
      </c>
      <c r="L317">
        <v>328</v>
      </c>
      <c r="M317">
        <v>328</v>
      </c>
      <c r="N317" t="s">
        <v>46</v>
      </c>
      <c r="O317">
        <v>1</v>
      </c>
      <c r="P317">
        <v>328</v>
      </c>
      <c r="Q317" t="b">
        <v>1</v>
      </c>
      <c r="R317" t="b">
        <v>0</v>
      </c>
      <c r="S317" t="b">
        <v>0</v>
      </c>
      <c r="T317">
        <v>730</v>
      </c>
      <c r="U317">
        <v>0</v>
      </c>
      <c r="V317" t="s">
        <v>33</v>
      </c>
      <c r="W317" t="s">
        <v>33</v>
      </c>
      <c r="X317">
        <v>400</v>
      </c>
      <c r="Y317">
        <v>236</v>
      </c>
      <c r="Z317" t="s">
        <v>74</v>
      </c>
      <c r="AA317">
        <v>236</v>
      </c>
      <c r="AB317" t="s">
        <v>56</v>
      </c>
      <c r="AC317" t="s">
        <v>75</v>
      </c>
      <c r="AD317" t="str">
        <f t="shared" si="4"/>
        <v>Cd Sahagún → Morelia</v>
      </c>
      <c r="AE317" t="s">
        <v>1357</v>
      </c>
      <c r="AF317" s="4">
        <v>45717</v>
      </c>
      <c r="AG317" t="str">
        <f>YEAR(Table1[[#This Row],[Fecha]])&amp;" - " &amp;UPPER(TEXT(Table1[[#This Row],[Fecha]],"mm-mmm"))</f>
        <v>2025 - 03-MAR</v>
      </c>
      <c r="AH317" s="5">
        <v>0</v>
      </c>
    </row>
    <row r="318" spans="1:34" x14ac:dyDescent="0.25">
      <c r="A318" t="s">
        <v>927</v>
      </c>
      <c r="B318">
        <v>2025</v>
      </c>
      <c r="C318">
        <v>3</v>
      </c>
      <c r="D318" s="1">
        <v>45723</v>
      </c>
      <c r="E318" s="1">
        <v>45723</v>
      </c>
      <c r="F318" s="1">
        <v>45723</v>
      </c>
      <c r="G318" s="1">
        <v>45723</v>
      </c>
      <c r="H318" s="2">
        <v>45723.663061805557</v>
      </c>
      <c r="I318">
        <v>2050</v>
      </c>
      <c r="J318" t="s">
        <v>54</v>
      </c>
      <c r="K318" t="s">
        <v>31</v>
      </c>
      <c r="L318">
        <v>50</v>
      </c>
      <c r="M318">
        <v>50</v>
      </c>
      <c r="N318" t="s">
        <v>55</v>
      </c>
      <c r="O318">
        <v>1</v>
      </c>
      <c r="P318">
        <v>150</v>
      </c>
      <c r="Q318" t="b">
        <v>1</v>
      </c>
      <c r="R318" t="b">
        <v>0</v>
      </c>
      <c r="S318" t="b">
        <v>0</v>
      </c>
      <c r="T318">
        <v>231</v>
      </c>
      <c r="U318">
        <v>0</v>
      </c>
      <c r="V318" t="s">
        <v>33</v>
      </c>
      <c r="W318" t="s">
        <v>33</v>
      </c>
      <c r="X318">
        <v>50</v>
      </c>
      <c r="Y318">
        <v>359</v>
      </c>
      <c r="Z318" t="s">
        <v>34</v>
      </c>
      <c r="AA318">
        <v>359</v>
      </c>
      <c r="AB318" t="s">
        <v>121</v>
      </c>
      <c r="AC318" t="s">
        <v>121</v>
      </c>
      <c r="AD318" t="str">
        <f t="shared" si="4"/>
        <v>Escobedo → Escobedo</v>
      </c>
      <c r="AE318" t="s">
        <v>1358</v>
      </c>
      <c r="AF318" s="4">
        <v>45717</v>
      </c>
      <c r="AG318" t="str">
        <f>YEAR(Table1[[#This Row],[Fecha]])&amp;" - " &amp;UPPER(TEXT(Table1[[#This Row],[Fecha]],"mm-mmm"))</f>
        <v>2025 - 03-MAR</v>
      </c>
      <c r="AH318" s="5">
        <v>0</v>
      </c>
    </row>
    <row r="319" spans="1:34" x14ac:dyDescent="0.25">
      <c r="A319" t="s">
        <v>928</v>
      </c>
      <c r="B319">
        <v>2025</v>
      </c>
      <c r="C319">
        <v>3</v>
      </c>
      <c r="D319" s="1">
        <v>45723</v>
      </c>
      <c r="E319" s="1">
        <v>45723</v>
      </c>
      <c r="F319" s="1">
        <v>45723</v>
      </c>
      <c r="G319" s="1">
        <v>45723</v>
      </c>
      <c r="H319" s="2">
        <v>45723.663042442131</v>
      </c>
      <c r="I319">
        <v>2050</v>
      </c>
      <c r="J319" t="s">
        <v>54</v>
      </c>
      <c r="K319" t="s">
        <v>31</v>
      </c>
      <c r="L319">
        <v>50</v>
      </c>
      <c r="M319">
        <v>50</v>
      </c>
      <c r="N319" t="s">
        <v>55</v>
      </c>
      <c r="O319">
        <v>1</v>
      </c>
      <c r="P319">
        <v>150</v>
      </c>
      <c r="Q319" t="b">
        <v>1</v>
      </c>
      <c r="R319" t="b">
        <v>0</v>
      </c>
      <c r="S319" t="b">
        <v>0</v>
      </c>
      <c r="T319">
        <v>231</v>
      </c>
      <c r="U319">
        <v>0</v>
      </c>
      <c r="V319" t="s">
        <v>33</v>
      </c>
      <c r="W319" t="s">
        <v>33</v>
      </c>
      <c r="X319">
        <v>50</v>
      </c>
      <c r="Y319">
        <v>359</v>
      </c>
      <c r="Z319" t="s">
        <v>34</v>
      </c>
      <c r="AA319">
        <v>359</v>
      </c>
      <c r="AB319" t="s">
        <v>121</v>
      </c>
      <c r="AC319" t="s">
        <v>121</v>
      </c>
      <c r="AD319" t="str">
        <f t="shared" si="4"/>
        <v>Escobedo → Escobedo</v>
      </c>
      <c r="AE319" t="s">
        <v>1358</v>
      </c>
      <c r="AF319" s="4">
        <v>45717</v>
      </c>
      <c r="AG319" t="str">
        <f>YEAR(Table1[[#This Row],[Fecha]])&amp;" - " &amp;UPPER(TEXT(Table1[[#This Row],[Fecha]],"mm-mmm"))</f>
        <v>2025 - 03-MAR</v>
      </c>
      <c r="AH319" s="5">
        <v>0</v>
      </c>
    </row>
    <row r="320" spans="1:34" x14ac:dyDescent="0.25">
      <c r="A320" t="s">
        <v>544</v>
      </c>
      <c r="B320">
        <v>2025</v>
      </c>
      <c r="C320">
        <v>3</v>
      </c>
      <c r="D320" s="1">
        <v>45723</v>
      </c>
      <c r="E320" s="1">
        <v>45723</v>
      </c>
      <c r="F320" s="1">
        <v>45723</v>
      </c>
      <c r="G320" s="1">
        <v>45723</v>
      </c>
      <c r="H320" s="2">
        <v>45723.663054745368</v>
      </c>
      <c r="I320">
        <v>2050</v>
      </c>
      <c r="J320" t="s">
        <v>54</v>
      </c>
      <c r="K320" t="s">
        <v>31</v>
      </c>
      <c r="L320">
        <v>50</v>
      </c>
      <c r="M320">
        <v>50</v>
      </c>
      <c r="N320" t="s">
        <v>55</v>
      </c>
      <c r="O320">
        <v>1</v>
      </c>
      <c r="P320">
        <v>150</v>
      </c>
      <c r="Q320" t="b">
        <v>1</v>
      </c>
      <c r="R320" t="b">
        <v>0</v>
      </c>
      <c r="S320" t="b">
        <v>0</v>
      </c>
      <c r="T320">
        <v>231</v>
      </c>
      <c r="U320">
        <v>0</v>
      </c>
      <c r="V320" t="s">
        <v>33</v>
      </c>
      <c r="W320" t="s">
        <v>33</v>
      </c>
      <c r="X320">
        <v>50</v>
      </c>
      <c r="Y320">
        <v>2936</v>
      </c>
      <c r="Z320" t="s">
        <v>34</v>
      </c>
      <c r="AA320">
        <v>2936</v>
      </c>
      <c r="AB320" t="s">
        <v>121</v>
      </c>
      <c r="AC320" t="s">
        <v>432</v>
      </c>
      <c r="AD320" t="str">
        <f t="shared" si="4"/>
        <v>Escobedo → Hidalgo</v>
      </c>
      <c r="AE320" t="s">
        <v>1358</v>
      </c>
      <c r="AF320" s="4">
        <v>45717</v>
      </c>
      <c r="AG320" t="str">
        <f>YEAR(Table1[[#This Row],[Fecha]])&amp;" - " &amp;UPPER(TEXT(Table1[[#This Row],[Fecha]],"mm-mmm"))</f>
        <v>2025 - 03-MAR</v>
      </c>
      <c r="AH320" s="5">
        <v>0</v>
      </c>
    </row>
    <row r="321" spans="1:34" x14ac:dyDescent="0.25">
      <c r="A321" t="s">
        <v>916</v>
      </c>
      <c r="B321">
        <v>2025</v>
      </c>
      <c r="C321">
        <v>3</v>
      </c>
      <c r="D321" s="1">
        <v>45724</v>
      </c>
      <c r="E321" s="1">
        <v>45724</v>
      </c>
      <c r="F321" s="1">
        <v>45724</v>
      </c>
      <c r="G321" s="1">
        <v>45724</v>
      </c>
      <c r="H321" s="2">
        <v>45725.355300000003</v>
      </c>
      <c r="I321">
        <v>2050</v>
      </c>
      <c r="J321" t="s">
        <v>54</v>
      </c>
      <c r="K321" t="s">
        <v>31</v>
      </c>
      <c r="L321">
        <v>50</v>
      </c>
      <c r="M321">
        <v>50</v>
      </c>
      <c r="N321" t="s">
        <v>55</v>
      </c>
      <c r="O321">
        <v>1</v>
      </c>
      <c r="P321">
        <v>150</v>
      </c>
      <c r="Q321" t="b">
        <v>1</v>
      </c>
      <c r="R321" t="b">
        <v>0</v>
      </c>
      <c r="S321" t="b">
        <v>0</v>
      </c>
      <c r="T321">
        <v>231</v>
      </c>
      <c r="U321">
        <v>0</v>
      </c>
      <c r="V321" t="s">
        <v>33</v>
      </c>
      <c r="W321" t="s">
        <v>33</v>
      </c>
      <c r="X321">
        <v>50</v>
      </c>
      <c r="Y321">
        <v>359</v>
      </c>
      <c r="Z321" t="s">
        <v>34</v>
      </c>
      <c r="AA321">
        <v>359</v>
      </c>
      <c r="AB321" t="s">
        <v>121</v>
      </c>
      <c r="AC321" t="s">
        <v>121</v>
      </c>
      <c r="AD321" t="str">
        <f t="shared" si="4"/>
        <v>Escobedo → Escobedo</v>
      </c>
      <c r="AE321" t="s">
        <v>1358</v>
      </c>
      <c r="AF321" s="4">
        <v>45717</v>
      </c>
      <c r="AG321" t="str">
        <f>YEAR(Table1[[#This Row],[Fecha]])&amp;" - " &amp;UPPER(TEXT(Table1[[#This Row],[Fecha]],"mm-mmm"))</f>
        <v>2025 - 03-MAR</v>
      </c>
      <c r="AH321" s="5">
        <v>0</v>
      </c>
    </row>
    <row r="322" spans="1:34" x14ac:dyDescent="0.25">
      <c r="A322" t="s">
        <v>917</v>
      </c>
      <c r="B322">
        <v>2025</v>
      </c>
      <c r="C322">
        <v>3</v>
      </c>
      <c r="D322" s="1">
        <v>45724</v>
      </c>
      <c r="E322" s="1">
        <v>45724</v>
      </c>
      <c r="F322" s="1">
        <v>45724</v>
      </c>
      <c r="G322" s="1">
        <v>45724</v>
      </c>
      <c r="H322" s="2">
        <v>45725.473265081018</v>
      </c>
      <c r="I322">
        <v>2050</v>
      </c>
      <c r="J322" t="s">
        <v>54</v>
      </c>
      <c r="K322" t="s">
        <v>31</v>
      </c>
      <c r="L322">
        <v>50</v>
      </c>
      <c r="M322">
        <v>50</v>
      </c>
      <c r="N322" t="s">
        <v>55</v>
      </c>
      <c r="O322">
        <v>1</v>
      </c>
      <c r="P322">
        <v>150</v>
      </c>
      <c r="Q322" t="b">
        <v>1</v>
      </c>
      <c r="R322" t="b">
        <v>0</v>
      </c>
      <c r="S322" t="b">
        <v>0</v>
      </c>
      <c r="T322">
        <v>231</v>
      </c>
      <c r="U322">
        <v>0</v>
      </c>
      <c r="V322" t="s">
        <v>33</v>
      </c>
      <c r="W322" t="s">
        <v>33</v>
      </c>
      <c r="X322">
        <v>50</v>
      </c>
      <c r="Y322">
        <v>359</v>
      </c>
      <c r="Z322" t="s">
        <v>34</v>
      </c>
      <c r="AA322">
        <v>359</v>
      </c>
      <c r="AB322" t="s">
        <v>121</v>
      </c>
      <c r="AC322" t="s">
        <v>121</v>
      </c>
      <c r="AD322" t="str">
        <f t="shared" ref="AD322:AD385" si="5">+AB322&amp;" → "&amp;AC322</f>
        <v>Escobedo → Escobedo</v>
      </c>
      <c r="AE322" t="s">
        <v>1358</v>
      </c>
      <c r="AF322" s="4">
        <v>45717</v>
      </c>
      <c r="AG322" t="str">
        <f>YEAR(Table1[[#This Row],[Fecha]])&amp;" - " &amp;UPPER(TEXT(Table1[[#This Row],[Fecha]],"mm-mmm"))</f>
        <v>2025 - 03-MAR</v>
      </c>
      <c r="AH322" s="5">
        <v>0</v>
      </c>
    </row>
    <row r="323" spans="1:34" x14ac:dyDescent="0.25">
      <c r="A323" t="s">
        <v>360</v>
      </c>
      <c r="B323">
        <v>2025</v>
      </c>
      <c r="C323">
        <v>3</v>
      </c>
      <c r="D323" s="1">
        <v>45726</v>
      </c>
      <c r="E323" s="1">
        <v>45726</v>
      </c>
      <c r="F323" s="1">
        <v>45727</v>
      </c>
      <c r="G323" s="1">
        <v>45726</v>
      </c>
      <c r="H323" s="1">
        <v>45727</v>
      </c>
      <c r="I323">
        <v>2050</v>
      </c>
      <c r="J323" t="s">
        <v>54</v>
      </c>
      <c r="K323" t="s">
        <v>31</v>
      </c>
      <c r="L323">
        <v>961</v>
      </c>
      <c r="M323">
        <v>1059</v>
      </c>
      <c r="N323" t="s">
        <v>55</v>
      </c>
      <c r="O323">
        <v>1</v>
      </c>
      <c r="P323">
        <v>964</v>
      </c>
      <c r="Q323" t="b">
        <v>1</v>
      </c>
      <c r="R323" t="b">
        <v>0</v>
      </c>
      <c r="S323" t="b">
        <v>0</v>
      </c>
      <c r="T323">
        <v>1494</v>
      </c>
      <c r="U323">
        <v>0</v>
      </c>
      <c r="V323" t="s">
        <v>33</v>
      </c>
      <c r="W323" t="s">
        <v>33</v>
      </c>
      <c r="X323">
        <v>1100</v>
      </c>
      <c r="Y323">
        <v>8</v>
      </c>
      <c r="Z323" t="s">
        <v>123</v>
      </c>
      <c r="AA323">
        <v>8</v>
      </c>
      <c r="AB323" t="s">
        <v>121</v>
      </c>
      <c r="AC323" t="s">
        <v>56</v>
      </c>
      <c r="AD323" t="str">
        <f t="shared" si="5"/>
        <v>Escobedo → Cd Sahagún</v>
      </c>
      <c r="AE323" t="s">
        <v>1358</v>
      </c>
      <c r="AF323" s="4">
        <v>45717</v>
      </c>
      <c r="AG323" t="str">
        <f>YEAR(Table1[[#This Row],[Fecha]])&amp;" - " &amp;UPPER(TEXT(Table1[[#This Row],[Fecha]],"mm-mmm"))</f>
        <v>2025 - 03-MAR</v>
      </c>
      <c r="AH323" s="5">
        <v>0</v>
      </c>
    </row>
    <row r="324" spans="1:34" x14ac:dyDescent="0.25">
      <c r="A324" t="s">
        <v>933</v>
      </c>
      <c r="B324">
        <v>2025</v>
      </c>
      <c r="C324">
        <v>3</v>
      </c>
      <c r="D324" s="1">
        <v>45726</v>
      </c>
      <c r="E324" s="1">
        <v>45726</v>
      </c>
      <c r="F324" s="1">
        <v>45726</v>
      </c>
      <c r="G324" s="1">
        <v>45726</v>
      </c>
      <c r="H324" s="1">
        <v>45726</v>
      </c>
      <c r="I324">
        <v>2050</v>
      </c>
      <c r="J324" t="s">
        <v>54</v>
      </c>
      <c r="K324" t="s">
        <v>31</v>
      </c>
      <c r="L324">
        <v>50</v>
      </c>
      <c r="M324">
        <v>50</v>
      </c>
      <c r="N324" t="s">
        <v>55</v>
      </c>
      <c r="O324">
        <v>1</v>
      </c>
      <c r="P324">
        <v>150</v>
      </c>
      <c r="Q324" t="b">
        <v>1</v>
      </c>
      <c r="R324" t="b">
        <v>0</v>
      </c>
      <c r="S324" t="b">
        <v>0</v>
      </c>
      <c r="T324">
        <v>231</v>
      </c>
      <c r="U324">
        <v>0</v>
      </c>
      <c r="V324" t="s">
        <v>33</v>
      </c>
      <c r="W324" t="s">
        <v>33</v>
      </c>
      <c r="X324">
        <v>50</v>
      </c>
      <c r="Y324">
        <v>359</v>
      </c>
      <c r="Z324" t="s">
        <v>34</v>
      </c>
      <c r="AA324">
        <v>359</v>
      </c>
      <c r="AB324" t="s">
        <v>121</v>
      </c>
      <c r="AC324" t="s">
        <v>121</v>
      </c>
      <c r="AD324" t="str">
        <f t="shared" si="5"/>
        <v>Escobedo → Escobedo</v>
      </c>
      <c r="AE324" t="s">
        <v>1358</v>
      </c>
      <c r="AF324" s="4">
        <v>45717</v>
      </c>
      <c r="AG324" t="str">
        <f>YEAR(Table1[[#This Row],[Fecha]])&amp;" - " &amp;UPPER(TEXT(Table1[[#This Row],[Fecha]],"mm-mmm"))</f>
        <v>2025 - 03-MAR</v>
      </c>
      <c r="AH324" s="5">
        <v>0</v>
      </c>
    </row>
    <row r="325" spans="1:34" x14ac:dyDescent="0.25">
      <c r="A325" t="s">
        <v>934</v>
      </c>
      <c r="B325">
        <v>2025</v>
      </c>
      <c r="C325">
        <v>3</v>
      </c>
      <c r="D325" s="1">
        <v>45726</v>
      </c>
      <c r="E325" s="1">
        <v>45726</v>
      </c>
      <c r="F325" s="1">
        <v>45726</v>
      </c>
      <c r="G325" s="1">
        <v>45726</v>
      </c>
      <c r="H325" s="2">
        <v>45726.688464733794</v>
      </c>
      <c r="I325">
        <v>2050</v>
      </c>
      <c r="J325" t="s">
        <v>54</v>
      </c>
      <c r="K325" t="s">
        <v>31</v>
      </c>
      <c r="L325">
        <v>50</v>
      </c>
      <c r="M325">
        <v>50</v>
      </c>
      <c r="N325" t="s">
        <v>55</v>
      </c>
      <c r="O325">
        <v>1</v>
      </c>
      <c r="P325">
        <v>150</v>
      </c>
      <c r="Q325" t="b">
        <v>1</v>
      </c>
      <c r="R325" t="b">
        <v>0</v>
      </c>
      <c r="S325" t="b">
        <v>0</v>
      </c>
      <c r="T325">
        <v>231</v>
      </c>
      <c r="U325">
        <v>0</v>
      </c>
      <c r="V325" t="s">
        <v>33</v>
      </c>
      <c r="W325" t="s">
        <v>33</v>
      </c>
      <c r="X325">
        <v>50</v>
      </c>
      <c r="Y325">
        <v>359</v>
      </c>
      <c r="Z325" t="s">
        <v>34</v>
      </c>
      <c r="AA325">
        <v>359</v>
      </c>
      <c r="AB325" t="s">
        <v>121</v>
      </c>
      <c r="AC325" t="s">
        <v>121</v>
      </c>
      <c r="AD325" t="str">
        <f t="shared" si="5"/>
        <v>Escobedo → Escobedo</v>
      </c>
      <c r="AE325" t="s">
        <v>1358</v>
      </c>
      <c r="AF325" s="4">
        <v>45717</v>
      </c>
      <c r="AG325" t="str">
        <f>YEAR(Table1[[#This Row],[Fecha]])&amp;" - " &amp;UPPER(TEXT(Table1[[#This Row],[Fecha]],"mm-mmm"))</f>
        <v>2025 - 03-MAR</v>
      </c>
      <c r="AH325" s="5">
        <v>0</v>
      </c>
    </row>
    <row r="326" spans="1:34" x14ac:dyDescent="0.25">
      <c r="A326" t="s">
        <v>935</v>
      </c>
      <c r="B326">
        <v>2025</v>
      </c>
      <c r="C326">
        <v>3</v>
      </c>
      <c r="D326" s="1">
        <v>45726</v>
      </c>
      <c r="E326" s="1">
        <v>45726</v>
      </c>
      <c r="F326" s="1">
        <v>45726</v>
      </c>
      <c r="G326" s="1">
        <v>45726</v>
      </c>
      <c r="H326" s="1">
        <v>45726</v>
      </c>
      <c r="I326">
        <v>2050</v>
      </c>
      <c r="J326" t="s">
        <v>54</v>
      </c>
      <c r="K326" t="s">
        <v>31</v>
      </c>
      <c r="L326">
        <v>50</v>
      </c>
      <c r="M326">
        <v>50</v>
      </c>
      <c r="N326" t="s">
        <v>55</v>
      </c>
      <c r="O326">
        <v>1</v>
      </c>
      <c r="P326">
        <v>150</v>
      </c>
      <c r="Q326" t="b">
        <v>1</v>
      </c>
      <c r="R326" t="b">
        <v>0</v>
      </c>
      <c r="S326" t="b">
        <v>0</v>
      </c>
      <c r="T326">
        <v>231</v>
      </c>
      <c r="U326">
        <v>0</v>
      </c>
      <c r="V326" t="s">
        <v>33</v>
      </c>
      <c r="W326" t="s">
        <v>33</v>
      </c>
      <c r="X326">
        <v>50</v>
      </c>
      <c r="Y326">
        <v>359</v>
      </c>
      <c r="Z326" t="s">
        <v>34</v>
      </c>
      <c r="AA326">
        <v>359</v>
      </c>
      <c r="AB326" t="s">
        <v>121</v>
      </c>
      <c r="AC326" t="s">
        <v>121</v>
      </c>
      <c r="AD326" t="str">
        <f t="shared" si="5"/>
        <v>Escobedo → Escobedo</v>
      </c>
      <c r="AE326" t="s">
        <v>1358</v>
      </c>
      <c r="AF326" s="4">
        <v>45717</v>
      </c>
      <c r="AG326" t="str">
        <f>YEAR(Table1[[#This Row],[Fecha]])&amp;" - " &amp;UPPER(TEXT(Table1[[#This Row],[Fecha]],"mm-mmm"))</f>
        <v>2025 - 03-MAR</v>
      </c>
      <c r="AH326" s="5">
        <v>0</v>
      </c>
    </row>
    <row r="327" spans="1:34" x14ac:dyDescent="0.25">
      <c r="A327" t="s">
        <v>936</v>
      </c>
      <c r="B327">
        <v>2025</v>
      </c>
      <c r="C327">
        <v>3</v>
      </c>
      <c r="D327" s="1">
        <v>45726</v>
      </c>
      <c r="E327" s="1">
        <v>45726</v>
      </c>
      <c r="F327" s="1">
        <v>45726</v>
      </c>
      <c r="G327" s="1">
        <v>45726</v>
      </c>
      <c r="H327" s="2">
        <v>45726.688490243054</v>
      </c>
      <c r="I327">
        <v>2039</v>
      </c>
      <c r="J327" t="s">
        <v>30</v>
      </c>
      <c r="K327" t="s">
        <v>31</v>
      </c>
      <c r="L327">
        <v>50</v>
      </c>
      <c r="M327">
        <v>50</v>
      </c>
      <c r="N327" t="s">
        <v>32</v>
      </c>
      <c r="O327">
        <v>1</v>
      </c>
      <c r="P327">
        <v>150</v>
      </c>
      <c r="Q327" t="b">
        <v>1</v>
      </c>
      <c r="R327" t="b">
        <v>0</v>
      </c>
      <c r="S327" t="b">
        <v>0</v>
      </c>
      <c r="T327">
        <v>231</v>
      </c>
      <c r="U327">
        <v>0</v>
      </c>
      <c r="V327" t="s">
        <v>33</v>
      </c>
      <c r="W327" t="s">
        <v>33</v>
      </c>
      <c r="X327">
        <v>50</v>
      </c>
      <c r="Y327">
        <v>359</v>
      </c>
      <c r="Z327" t="s">
        <v>34</v>
      </c>
      <c r="AA327">
        <v>359</v>
      </c>
      <c r="AB327" t="s">
        <v>121</v>
      </c>
      <c r="AC327" t="s">
        <v>121</v>
      </c>
      <c r="AD327" t="str">
        <f t="shared" si="5"/>
        <v>Escobedo → Escobedo</v>
      </c>
      <c r="AE327" t="s">
        <v>1357</v>
      </c>
      <c r="AF327" s="4">
        <v>45717</v>
      </c>
      <c r="AG327" t="str">
        <f>YEAR(Table1[[#This Row],[Fecha]])&amp;" - " &amp;UPPER(TEXT(Table1[[#This Row],[Fecha]],"mm-mmm"))</f>
        <v>2025 - 03-MAR</v>
      </c>
      <c r="AH327" s="5">
        <v>0</v>
      </c>
    </row>
    <row r="328" spans="1:34" x14ac:dyDescent="0.25">
      <c r="A328" t="s">
        <v>540</v>
      </c>
      <c r="B328">
        <v>2025</v>
      </c>
      <c r="C328">
        <v>3</v>
      </c>
      <c r="D328" s="1">
        <v>45727</v>
      </c>
      <c r="E328" s="1">
        <v>45727</v>
      </c>
      <c r="F328" s="1">
        <v>45727</v>
      </c>
      <c r="G328" s="1">
        <v>45727</v>
      </c>
      <c r="H328" s="1">
        <v>45727</v>
      </c>
      <c r="I328">
        <v>2321</v>
      </c>
      <c r="J328" t="s">
        <v>30</v>
      </c>
      <c r="K328" t="s">
        <v>31</v>
      </c>
      <c r="L328">
        <v>50</v>
      </c>
      <c r="M328">
        <v>50</v>
      </c>
      <c r="N328" t="s">
        <v>506</v>
      </c>
      <c r="O328">
        <v>1</v>
      </c>
      <c r="P328">
        <v>150</v>
      </c>
      <c r="Q328" t="b">
        <v>1</v>
      </c>
      <c r="R328" t="b">
        <v>0</v>
      </c>
      <c r="S328" t="b">
        <v>0</v>
      </c>
      <c r="T328">
        <v>231</v>
      </c>
      <c r="U328">
        <v>0</v>
      </c>
      <c r="V328" t="s">
        <v>33</v>
      </c>
      <c r="W328" t="s">
        <v>33</v>
      </c>
      <c r="X328">
        <v>50</v>
      </c>
      <c r="Y328">
        <v>2936</v>
      </c>
      <c r="Z328" t="s">
        <v>34</v>
      </c>
      <c r="AA328">
        <v>2936</v>
      </c>
      <c r="AB328" t="s">
        <v>121</v>
      </c>
      <c r="AC328" t="s">
        <v>432</v>
      </c>
      <c r="AD328" t="str">
        <f t="shared" si="5"/>
        <v>Escobedo → Hidalgo</v>
      </c>
      <c r="AE328" t="s">
        <v>1357</v>
      </c>
      <c r="AF328" s="4">
        <v>45717</v>
      </c>
      <c r="AG328" t="str">
        <f>YEAR(Table1[[#This Row],[Fecha]])&amp;" - " &amp;UPPER(TEXT(Table1[[#This Row],[Fecha]],"mm-mmm"))</f>
        <v>2025 - 03-MAR</v>
      </c>
      <c r="AH328" s="5">
        <v>0</v>
      </c>
    </row>
    <row r="329" spans="1:34" x14ac:dyDescent="0.25">
      <c r="A329" t="s">
        <v>937</v>
      </c>
      <c r="B329">
        <v>2025</v>
      </c>
      <c r="C329">
        <v>3</v>
      </c>
      <c r="D329" s="1">
        <v>45727</v>
      </c>
      <c r="E329" s="1">
        <v>45727</v>
      </c>
      <c r="F329" s="1">
        <v>45727</v>
      </c>
      <c r="G329" s="1">
        <v>45727</v>
      </c>
      <c r="H329" s="1">
        <v>45727</v>
      </c>
      <c r="I329">
        <v>2321</v>
      </c>
      <c r="J329" t="s">
        <v>30</v>
      </c>
      <c r="K329" t="s">
        <v>31</v>
      </c>
      <c r="L329">
        <v>50</v>
      </c>
      <c r="M329">
        <v>50</v>
      </c>
      <c r="N329" t="s">
        <v>506</v>
      </c>
      <c r="O329">
        <v>1</v>
      </c>
      <c r="P329">
        <v>150</v>
      </c>
      <c r="Q329" t="b">
        <v>1</v>
      </c>
      <c r="R329" t="b">
        <v>0</v>
      </c>
      <c r="S329" t="b">
        <v>0</v>
      </c>
      <c r="T329">
        <v>231</v>
      </c>
      <c r="U329">
        <v>0</v>
      </c>
      <c r="V329" t="s">
        <v>33</v>
      </c>
      <c r="W329" t="s">
        <v>33</v>
      </c>
      <c r="X329">
        <v>50</v>
      </c>
      <c r="Y329">
        <v>359</v>
      </c>
      <c r="Z329" t="s">
        <v>34</v>
      </c>
      <c r="AA329">
        <v>359</v>
      </c>
      <c r="AB329" t="s">
        <v>121</v>
      </c>
      <c r="AC329" t="s">
        <v>121</v>
      </c>
      <c r="AD329" t="str">
        <f t="shared" si="5"/>
        <v>Escobedo → Escobedo</v>
      </c>
      <c r="AE329" t="s">
        <v>1357</v>
      </c>
      <c r="AF329" s="4">
        <v>45717</v>
      </c>
      <c r="AG329" t="str">
        <f>YEAR(Table1[[#This Row],[Fecha]])&amp;" - " &amp;UPPER(TEXT(Table1[[#This Row],[Fecha]],"mm-mmm"))</f>
        <v>2025 - 03-MAR</v>
      </c>
      <c r="AH329" s="5">
        <v>0</v>
      </c>
    </row>
    <row r="330" spans="1:34" x14ac:dyDescent="0.25">
      <c r="A330" t="s">
        <v>938</v>
      </c>
      <c r="B330">
        <v>2025</v>
      </c>
      <c r="C330">
        <v>3</v>
      </c>
      <c r="D330" s="1">
        <v>45727</v>
      </c>
      <c r="E330" s="1">
        <v>45727</v>
      </c>
      <c r="F330" s="1">
        <v>45727</v>
      </c>
      <c r="G330" s="1">
        <v>45727</v>
      </c>
      <c r="H330" s="1">
        <v>45727</v>
      </c>
      <c r="I330">
        <v>2321</v>
      </c>
      <c r="J330" t="s">
        <v>30</v>
      </c>
      <c r="K330" t="s">
        <v>31</v>
      </c>
      <c r="L330">
        <v>50</v>
      </c>
      <c r="M330">
        <v>50</v>
      </c>
      <c r="N330" t="s">
        <v>506</v>
      </c>
      <c r="O330">
        <v>1</v>
      </c>
      <c r="P330">
        <v>150</v>
      </c>
      <c r="Q330" t="b">
        <v>1</v>
      </c>
      <c r="R330" t="b">
        <v>0</v>
      </c>
      <c r="S330" t="b">
        <v>0</v>
      </c>
      <c r="T330">
        <v>231</v>
      </c>
      <c r="U330">
        <v>0</v>
      </c>
      <c r="V330" t="s">
        <v>33</v>
      </c>
      <c r="W330" t="s">
        <v>33</v>
      </c>
      <c r="X330">
        <v>50</v>
      </c>
      <c r="Y330">
        <v>359</v>
      </c>
      <c r="Z330" t="s">
        <v>34</v>
      </c>
      <c r="AA330">
        <v>359</v>
      </c>
      <c r="AB330" t="s">
        <v>121</v>
      </c>
      <c r="AC330" t="s">
        <v>121</v>
      </c>
      <c r="AD330" t="str">
        <f t="shared" si="5"/>
        <v>Escobedo → Escobedo</v>
      </c>
      <c r="AE330" t="s">
        <v>1357</v>
      </c>
      <c r="AF330" s="4">
        <v>45717</v>
      </c>
      <c r="AG330" t="str">
        <f>YEAR(Table1[[#This Row],[Fecha]])&amp;" - " &amp;UPPER(TEXT(Table1[[#This Row],[Fecha]],"mm-mmm"))</f>
        <v>2025 - 03-MAR</v>
      </c>
      <c r="AH330" s="5">
        <v>0</v>
      </c>
    </row>
    <row r="331" spans="1:34" x14ac:dyDescent="0.25">
      <c r="A331" t="s">
        <v>939</v>
      </c>
      <c r="B331">
        <v>2025</v>
      </c>
      <c r="C331">
        <v>3</v>
      </c>
      <c r="D331" s="1">
        <v>45727</v>
      </c>
      <c r="E331" s="1">
        <v>45727</v>
      </c>
      <c r="F331" s="1">
        <v>45727</v>
      </c>
      <c r="G331" s="1">
        <v>45727</v>
      </c>
      <c r="H331" s="1">
        <v>45727</v>
      </c>
      <c r="I331">
        <v>2321</v>
      </c>
      <c r="J331" t="s">
        <v>30</v>
      </c>
      <c r="K331" t="s">
        <v>31</v>
      </c>
      <c r="L331">
        <v>50</v>
      </c>
      <c r="M331">
        <v>50</v>
      </c>
      <c r="N331" t="s">
        <v>506</v>
      </c>
      <c r="O331">
        <v>1</v>
      </c>
      <c r="P331">
        <v>150</v>
      </c>
      <c r="Q331" t="b">
        <v>1</v>
      </c>
      <c r="R331" t="b">
        <v>0</v>
      </c>
      <c r="S331" t="b">
        <v>0</v>
      </c>
      <c r="T331">
        <v>231</v>
      </c>
      <c r="U331">
        <v>0</v>
      </c>
      <c r="V331" t="s">
        <v>33</v>
      </c>
      <c r="W331" t="s">
        <v>33</v>
      </c>
      <c r="X331">
        <v>50</v>
      </c>
      <c r="Y331">
        <v>359</v>
      </c>
      <c r="Z331" t="s">
        <v>34</v>
      </c>
      <c r="AA331">
        <v>359</v>
      </c>
      <c r="AB331" t="s">
        <v>121</v>
      </c>
      <c r="AC331" t="s">
        <v>121</v>
      </c>
      <c r="AD331" t="str">
        <f t="shared" si="5"/>
        <v>Escobedo → Escobedo</v>
      </c>
      <c r="AE331" t="s">
        <v>1357</v>
      </c>
      <c r="AF331" s="4">
        <v>45717</v>
      </c>
      <c r="AG331" t="str">
        <f>YEAR(Table1[[#This Row],[Fecha]])&amp;" - " &amp;UPPER(TEXT(Table1[[#This Row],[Fecha]],"mm-mmm"))</f>
        <v>2025 - 03-MAR</v>
      </c>
      <c r="AH331" s="5">
        <v>0</v>
      </c>
    </row>
    <row r="332" spans="1:34" x14ac:dyDescent="0.25">
      <c r="A332" t="s">
        <v>539</v>
      </c>
      <c r="B332">
        <v>2025</v>
      </c>
      <c r="C332">
        <v>3</v>
      </c>
      <c r="D332" s="1">
        <v>45728</v>
      </c>
      <c r="E332" s="1">
        <v>45728</v>
      </c>
      <c r="F332" s="1">
        <v>45728</v>
      </c>
      <c r="G332" s="1">
        <v>45728</v>
      </c>
      <c r="H332" s="1">
        <v>45728</v>
      </c>
      <c r="I332">
        <v>2321</v>
      </c>
      <c r="J332" t="s">
        <v>30</v>
      </c>
      <c r="K332" t="s">
        <v>31</v>
      </c>
      <c r="L332">
        <v>50</v>
      </c>
      <c r="M332">
        <v>50</v>
      </c>
      <c r="N332" t="s">
        <v>506</v>
      </c>
      <c r="O332">
        <v>1</v>
      </c>
      <c r="P332">
        <v>150</v>
      </c>
      <c r="Q332" t="b">
        <v>1</v>
      </c>
      <c r="R332" t="b">
        <v>0</v>
      </c>
      <c r="S332" t="b">
        <v>0</v>
      </c>
      <c r="T332">
        <v>231</v>
      </c>
      <c r="U332">
        <v>0</v>
      </c>
      <c r="V332" t="s">
        <v>33</v>
      </c>
      <c r="W332" t="s">
        <v>33</v>
      </c>
      <c r="X332">
        <v>50</v>
      </c>
      <c r="Y332">
        <v>2936</v>
      </c>
      <c r="Z332" t="s">
        <v>34</v>
      </c>
      <c r="AA332">
        <v>2936</v>
      </c>
      <c r="AB332" t="s">
        <v>121</v>
      </c>
      <c r="AC332" t="s">
        <v>432</v>
      </c>
      <c r="AD332" t="str">
        <f t="shared" si="5"/>
        <v>Escobedo → Hidalgo</v>
      </c>
      <c r="AE332" t="s">
        <v>1357</v>
      </c>
      <c r="AF332" s="4">
        <v>45717</v>
      </c>
      <c r="AG332" t="str">
        <f>YEAR(Table1[[#This Row],[Fecha]])&amp;" - " &amp;UPPER(TEXT(Table1[[#This Row],[Fecha]],"mm-mmm"))</f>
        <v>2025 - 03-MAR</v>
      </c>
      <c r="AH332" s="5">
        <v>0</v>
      </c>
    </row>
    <row r="333" spans="1:34" x14ac:dyDescent="0.25">
      <c r="A333" t="s">
        <v>913</v>
      </c>
      <c r="B333">
        <v>2025</v>
      </c>
      <c r="C333">
        <v>3</v>
      </c>
      <c r="D333" s="1">
        <v>45728</v>
      </c>
      <c r="E333" s="1">
        <v>45728</v>
      </c>
      <c r="F333" s="1">
        <v>45728</v>
      </c>
      <c r="G333" s="1">
        <v>45728</v>
      </c>
      <c r="H333" s="1">
        <v>45728</v>
      </c>
      <c r="I333">
        <v>2321</v>
      </c>
      <c r="J333" t="s">
        <v>30</v>
      </c>
      <c r="K333" t="s">
        <v>31</v>
      </c>
      <c r="L333">
        <v>50</v>
      </c>
      <c r="M333">
        <v>50</v>
      </c>
      <c r="N333" t="s">
        <v>506</v>
      </c>
      <c r="O333">
        <v>1</v>
      </c>
      <c r="P333">
        <v>150</v>
      </c>
      <c r="Q333" t="b">
        <v>1</v>
      </c>
      <c r="R333" t="b">
        <v>0</v>
      </c>
      <c r="S333" t="b">
        <v>0</v>
      </c>
      <c r="T333">
        <v>231</v>
      </c>
      <c r="U333">
        <v>0</v>
      </c>
      <c r="V333" t="s">
        <v>33</v>
      </c>
      <c r="W333" t="s">
        <v>33</v>
      </c>
      <c r="X333">
        <v>50</v>
      </c>
      <c r="Y333">
        <v>359</v>
      </c>
      <c r="Z333" t="s">
        <v>34</v>
      </c>
      <c r="AA333">
        <v>359</v>
      </c>
      <c r="AB333" t="s">
        <v>121</v>
      </c>
      <c r="AC333" t="s">
        <v>121</v>
      </c>
      <c r="AD333" t="str">
        <f t="shared" si="5"/>
        <v>Escobedo → Escobedo</v>
      </c>
      <c r="AE333" t="s">
        <v>1357</v>
      </c>
      <c r="AF333" s="4">
        <v>45717</v>
      </c>
      <c r="AG333" t="str">
        <f>YEAR(Table1[[#This Row],[Fecha]])&amp;" - " &amp;UPPER(TEXT(Table1[[#This Row],[Fecha]],"mm-mmm"))</f>
        <v>2025 - 03-MAR</v>
      </c>
      <c r="AH333" s="5">
        <v>0</v>
      </c>
    </row>
    <row r="334" spans="1:34" x14ac:dyDescent="0.25">
      <c r="A334" t="s">
        <v>914</v>
      </c>
      <c r="B334">
        <v>2025</v>
      </c>
      <c r="C334">
        <v>3</v>
      </c>
      <c r="D334" s="1">
        <v>45730</v>
      </c>
      <c r="E334" s="1">
        <v>45730</v>
      </c>
      <c r="F334" s="1">
        <v>45730</v>
      </c>
      <c r="G334" s="1">
        <v>45730</v>
      </c>
      <c r="H334" s="2">
        <v>45730.688966701389</v>
      </c>
      <c r="I334">
        <v>2039</v>
      </c>
      <c r="J334" t="s">
        <v>30</v>
      </c>
      <c r="K334" t="s">
        <v>31</v>
      </c>
      <c r="L334">
        <v>50</v>
      </c>
      <c r="M334">
        <v>50</v>
      </c>
      <c r="N334" t="s">
        <v>32</v>
      </c>
      <c r="O334">
        <v>1</v>
      </c>
      <c r="P334">
        <v>150</v>
      </c>
      <c r="Q334" t="b">
        <v>1</v>
      </c>
      <c r="R334" t="b">
        <v>0</v>
      </c>
      <c r="S334" t="b">
        <v>0</v>
      </c>
      <c r="T334">
        <v>231</v>
      </c>
      <c r="U334">
        <v>0</v>
      </c>
      <c r="V334" t="s">
        <v>33</v>
      </c>
      <c r="W334" t="s">
        <v>33</v>
      </c>
      <c r="X334">
        <v>50</v>
      </c>
      <c r="Y334">
        <v>359</v>
      </c>
      <c r="Z334" t="s">
        <v>34</v>
      </c>
      <c r="AA334">
        <v>359</v>
      </c>
      <c r="AB334" t="s">
        <v>121</v>
      </c>
      <c r="AC334" t="s">
        <v>121</v>
      </c>
      <c r="AD334" t="str">
        <f t="shared" si="5"/>
        <v>Escobedo → Escobedo</v>
      </c>
      <c r="AE334" t="s">
        <v>1357</v>
      </c>
      <c r="AF334" s="4">
        <v>45717</v>
      </c>
      <c r="AG334" t="str">
        <f>YEAR(Table1[[#This Row],[Fecha]])&amp;" - " &amp;UPPER(TEXT(Table1[[#This Row],[Fecha]],"mm-mmm"))</f>
        <v>2025 - 03-MAR</v>
      </c>
      <c r="AH334" s="5">
        <v>0</v>
      </c>
    </row>
    <row r="335" spans="1:34" x14ac:dyDescent="0.25">
      <c r="A335" t="s">
        <v>915</v>
      </c>
      <c r="B335">
        <v>2025</v>
      </c>
      <c r="C335">
        <v>3</v>
      </c>
      <c r="D335" s="1">
        <v>45730</v>
      </c>
      <c r="E335" s="1">
        <v>45730</v>
      </c>
      <c r="F335" s="1">
        <v>45730</v>
      </c>
      <c r="G335" s="1">
        <v>45730</v>
      </c>
      <c r="H335" s="2">
        <v>45730.689421909723</v>
      </c>
      <c r="I335">
        <v>2039</v>
      </c>
      <c r="J335" t="s">
        <v>30</v>
      </c>
      <c r="K335" t="s">
        <v>31</v>
      </c>
      <c r="L335">
        <v>50</v>
      </c>
      <c r="M335">
        <v>50</v>
      </c>
      <c r="N335" t="s">
        <v>32</v>
      </c>
      <c r="O335">
        <v>1</v>
      </c>
      <c r="P335">
        <v>150</v>
      </c>
      <c r="Q335" t="b">
        <v>1</v>
      </c>
      <c r="R335" t="b">
        <v>0</v>
      </c>
      <c r="S335" t="b">
        <v>0</v>
      </c>
      <c r="T335">
        <v>231</v>
      </c>
      <c r="U335">
        <v>0</v>
      </c>
      <c r="V335" t="s">
        <v>33</v>
      </c>
      <c r="W335" t="s">
        <v>33</v>
      </c>
      <c r="X335">
        <v>50</v>
      </c>
      <c r="Y335">
        <v>359</v>
      </c>
      <c r="Z335" t="s">
        <v>34</v>
      </c>
      <c r="AA335">
        <v>359</v>
      </c>
      <c r="AB335" t="s">
        <v>121</v>
      </c>
      <c r="AC335" t="s">
        <v>121</v>
      </c>
      <c r="AD335" t="str">
        <f t="shared" si="5"/>
        <v>Escobedo → Escobedo</v>
      </c>
      <c r="AE335" t="s">
        <v>1357</v>
      </c>
      <c r="AF335" s="4">
        <v>45717</v>
      </c>
      <c r="AG335" t="str">
        <f>YEAR(Table1[[#This Row],[Fecha]])&amp;" - " &amp;UPPER(TEXT(Table1[[#This Row],[Fecha]],"mm-mmm"))</f>
        <v>2025 - 03-MAR</v>
      </c>
      <c r="AH335" s="5">
        <v>0</v>
      </c>
    </row>
    <row r="336" spans="1:34" x14ac:dyDescent="0.25">
      <c r="A336" t="s">
        <v>547</v>
      </c>
      <c r="B336">
        <v>2025</v>
      </c>
      <c r="C336">
        <v>3</v>
      </c>
      <c r="D336" s="1">
        <v>45730</v>
      </c>
      <c r="E336" s="1">
        <v>45730</v>
      </c>
      <c r="F336" s="1">
        <v>45730</v>
      </c>
      <c r="G336" s="1">
        <v>45730</v>
      </c>
      <c r="H336" s="2">
        <v>45730.689727743054</v>
      </c>
      <c r="I336">
        <v>2039</v>
      </c>
      <c r="J336" t="s">
        <v>30</v>
      </c>
      <c r="K336" t="s">
        <v>31</v>
      </c>
      <c r="L336">
        <v>50</v>
      </c>
      <c r="M336">
        <v>50</v>
      </c>
      <c r="N336" t="s">
        <v>32</v>
      </c>
      <c r="O336">
        <v>1</v>
      </c>
      <c r="P336">
        <v>150</v>
      </c>
      <c r="Q336" t="b">
        <v>1</v>
      </c>
      <c r="R336" t="b">
        <v>0</v>
      </c>
      <c r="S336" t="b">
        <v>0</v>
      </c>
      <c r="T336">
        <v>231</v>
      </c>
      <c r="U336">
        <v>0</v>
      </c>
      <c r="V336" t="s">
        <v>33</v>
      </c>
      <c r="W336" t="s">
        <v>33</v>
      </c>
      <c r="X336">
        <v>50</v>
      </c>
      <c r="Y336">
        <v>2936</v>
      </c>
      <c r="Z336" t="s">
        <v>34</v>
      </c>
      <c r="AA336">
        <v>2936</v>
      </c>
      <c r="AB336" t="s">
        <v>121</v>
      </c>
      <c r="AC336" t="s">
        <v>432</v>
      </c>
      <c r="AD336" t="str">
        <f t="shared" si="5"/>
        <v>Escobedo → Hidalgo</v>
      </c>
      <c r="AE336" t="s">
        <v>1357</v>
      </c>
      <c r="AF336" s="4">
        <v>45717</v>
      </c>
      <c r="AG336" t="str">
        <f>YEAR(Table1[[#This Row],[Fecha]])&amp;" - " &amp;UPPER(TEXT(Table1[[#This Row],[Fecha]],"mm-mmm"))</f>
        <v>2025 - 03-MAR</v>
      </c>
      <c r="AH336" s="5">
        <v>0</v>
      </c>
    </row>
    <row r="337" spans="1:34" x14ac:dyDescent="0.25">
      <c r="A337" t="s">
        <v>548</v>
      </c>
      <c r="B337">
        <v>2025</v>
      </c>
      <c r="C337">
        <v>3</v>
      </c>
      <c r="D337" s="1">
        <v>45730</v>
      </c>
      <c r="E337" s="1">
        <v>45730</v>
      </c>
      <c r="F337" s="1">
        <v>45730</v>
      </c>
      <c r="G337" s="1">
        <v>45730</v>
      </c>
      <c r="H337" s="2">
        <v>45730.690218321761</v>
      </c>
      <c r="I337">
        <v>2039</v>
      </c>
      <c r="J337" t="s">
        <v>30</v>
      </c>
      <c r="K337" t="s">
        <v>31</v>
      </c>
      <c r="L337">
        <v>50</v>
      </c>
      <c r="M337">
        <v>50</v>
      </c>
      <c r="N337" t="s">
        <v>32</v>
      </c>
      <c r="O337">
        <v>1</v>
      </c>
      <c r="P337">
        <v>150</v>
      </c>
      <c r="Q337" t="b">
        <v>1</v>
      </c>
      <c r="R337" t="b">
        <v>0</v>
      </c>
      <c r="S337" t="b">
        <v>0</v>
      </c>
      <c r="T337">
        <v>231</v>
      </c>
      <c r="U337">
        <v>0</v>
      </c>
      <c r="V337" t="s">
        <v>33</v>
      </c>
      <c r="W337" t="s">
        <v>33</v>
      </c>
      <c r="X337">
        <v>50</v>
      </c>
      <c r="Y337">
        <v>2936</v>
      </c>
      <c r="Z337" t="s">
        <v>34</v>
      </c>
      <c r="AA337">
        <v>2936</v>
      </c>
      <c r="AB337" t="s">
        <v>121</v>
      </c>
      <c r="AC337" t="s">
        <v>432</v>
      </c>
      <c r="AD337" t="str">
        <f t="shared" si="5"/>
        <v>Escobedo → Hidalgo</v>
      </c>
      <c r="AE337" t="s">
        <v>1357</v>
      </c>
      <c r="AF337" s="4">
        <v>45717</v>
      </c>
      <c r="AG337" t="str">
        <f>YEAR(Table1[[#This Row],[Fecha]])&amp;" - " &amp;UPPER(TEXT(Table1[[#This Row],[Fecha]],"mm-mmm"))</f>
        <v>2025 - 03-MAR</v>
      </c>
      <c r="AH337" s="5">
        <v>0</v>
      </c>
    </row>
    <row r="338" spans="1:34" x14ac:dyDescent="0.25">
      <c r="A338" t="s">
        <v>918</v>
      </c>
      <c r="B338">
        <v>2025</v>
      </c>
      <c r="C338">
        <v>3</v>
      </c>
      <c r="D338" s="1">
        <v>45730</v>
      </c>
      <c r="E338" s="1">
        <v>45730</v>
      </c>
      <c r="F338" s="1">
        <v>45730</v>
      </c>
      <c r="G338" s="1">
        <v>45730</v>
      </c>
      <c r="H338" s="2">
        <v>45730.690630983794</v>
      </c>
      <c r="I338">
        <v>2039</v>
      </c>
      <c r="J338" t="s">
        <v>30</v>
      </c>
      <c r="K338" t="s">
        <v>31</v>
      </c>
      <c r="L338">
        <v>50</v>
      </c>
      <c r="M338">
        <v>50</v>
      </c>
      <c r="N338" t="s">
        <v>32</v>
      </c>
      <c r="O338">
        <v>1</v>
      </c>
      <c r="P338">
        <v>150</v>
      </c>
      <c r="Q338" t="b">
        <v>1</v>
      </c>
      <c r="R338" t="b">
        <v>0</v>
      </c>
      <c r="S338" t="b">
        <v>0</v>
      </c>
      <c r="T338">
        <v>231</v>
      </c>
      <c r="U338">
        <v>0</v>
      </c>
      <c r="V338" t="s">
        <v>33</v>
      </c>
      <c r="W338" t="s">
        <v>33</v>
      </c>
      <c r="X338">
        <v>50</v>
      </c>
      <c r="Y338">
        <v>359</v>
      </c>
      <c r="Z338" t="s">
        <v>34</v>
      </c>
      <c r="AA338">
        <v>359</v>
      </c>
      <c r="AB338" t="s">
        <v>121</v>
      </c>
      <c r="AC338" t="s">
        <v>121</v>
      </c>
      <c r="AD338" t="str">
        <f t="shared" si="5"/>
        <v>Escobedo → Escobedo</v>
      </c>
      <c r="AE338" t="s">
        <v>1357</v>
      </c>
      <c r="AF338" s="4">
        <v>45717</v>
      </c>
      <c r="AG338" t="str">
        <f>YEAR(Table1[[#This Row],[Fecha]])&amp;" - " &amp;UPPER(TEXT(Table1[[#This Row],[Fecha]],"mm-mmm"))</f>
        <v>2025 - 03-MAR</v>
      </c>
      <c r="AH338" s="5">
        <v>0</v>
      </c>
    </row>
    <row r="339" spans="1:34" x14ac:dyDescent="0.25">
      <c r="A339" t="s">
        <v>919</v>
      </c>
      <c r="B339">
        <v>2025</v>
      </c>
      <c r="C339">
        <v>3</v>
      </c>
      <c r="D339" s="1">
        <v>45730</v>
      </c>
      <c r="E339" s="1">
        <v>45730</v>
      </c>
      <c r="F339" s="1">
        <v>45730</v>
      </c>
      <c r="G339" s="1">
        <v>45730</v>
      </c>
      <c r="H339" s="2">
        <v>45730.69108113426</v>
      </c>
      <c r="I339">
        <v>2039</v>
      </c>
      <c r="J339" t="s">
        <v>30</v>
      </c>
      <c r="K339" t="s">
        <v>31</v>
      </c>
      <c r="L339">
        <v>50</v>
      </c>
      <c r="M339">
        <v>50</v>
      </c>
      <c r="N339" t="s">
        <v>32</v>
      </c>
      <c r="O339">
        <v>1</v>
      </c>
      <c r="P339">
        <v>150</v>
      </c>
      <c r="Q339" t="b">
        <v>1</v>
      </c>
      <c r="R339" t="b">
        <v>0</v>
      </c>
      <c r="S339" t="b">
        <v>0</v>
      </c>
      <c r="T339">
        <v>231</v>
      </c>
      <c r="U339">
        <v>0</v>
      </c>
      <c r="V339" t="s">
        <v>33</v>
      </c>
      <c r="W339" t="s">
        <v>33</v>
      </c>
      <c r="X339">
        <v>50</v>
      </c>
      <c r="Y339">
        <v>359</v>
      </c>
      <c r="Z339" t="s">
        <v>34</v>
      </c>
      <c r="AA339">
        <v>359</v>
      </c>
      <c r="AB339" t="s">
        <v>121</v>
      </c>
      <c r="AC339" t="s">
        <v>121</v>
      </c>
      <c r="AD339" t="str">
        <f t="shared" si="5"/>
        <v>Escobedo → Escobedo</v>
      </c>
      <c r="AE339" t="s">
        <v>1357</v>
      </c>
      <c r="AF339" s="4">
        <v>45717</v>
      </c>
      <c r="AG339" t="str">
        <f>YEAR(Table1[[#This Row],[Fecha]])&amp;" - " &amp;UPPER(TEXT(Table1[[#This Row],[Fecha]],"mm-mmm"))</f>
        <v>2025 - 03-MAR</v>
      </c>
      <c r="AH339" s="5">
        <v>0</v>
      </c>
    </row>
    <row r="340" spans="1:34" x14ac:dyDescent="0.25">
      <c r="A340" t="s">
        <v>546</v>
      </c>
      <c r="B340">
        <v>2025</v>
      </c>
      <c r="C340">
        <v>3</v>
      </c>
      <c r="D340" s="1">
        <v>45730</v>
      </c>
      <c r="E340" s="1">
        <v>45730</v>
      </c>
      <c r="F340" s="1">
        <v>45730</v>
      </c>
      <c r="G340" s="1">
        <v>45730</v>
      </c>
      <c r="H340" s="2">
        <v>45730.691467476849</v>
      </c>
      <c r="I340">
        <v>2039</v>
      </c>
      <c r="J340" t="s">
        <v>30</v>
      </c>
      <c r="K340" t="s">
        <v>31</v>
      </c>
      <c r="L340">
        <v>50</v>
      </c>
      <c r="M340">
        <v>50</v>
      </c>
      <c r="N340" t="s">
        <v>32</v>
      </c>
      <c r="O340">
        <v>1</v>
      </c>
      <c r="P340">
        <v>150</v>
      </c>
      <c r="Q340" t="b">
        <v>1</v>
      </c>
      <c r="R340" t="b">
        <v>0</v>
      </c>
      <c r="S340" t="b">
        <v>0</v>
      </c>
      <c r="T340">
        <v>231</v>
      </c>
      <c r="U340">
        <v>0</v>
      </c>
      <c r="V340" t="s">
        <v>33</v>
      </c>
      <c r="W340" t="s">
        <v>33</v>
      </c>
      <c r="X340">
        <v>50</v>
      </c>
      <c r="Y340">
        <v>2936</v>
      </c>
      <c r="Z340" t="s">
        <v>34</v>
      </c>
      <c r="AA340">
        <v>2936</v>
      </c>
      <c r="AB340" t="s">
        <v>121</v>
      </c>
      <c r="AC340" t="s">
        <v>432</v>
      </c>
      <c r="AD340" t="str">
        <f t="shared" si="5"/>
        <v>Escobedo → Hidalgo</v>
      </c>
      <c r="AE340" t="s">
        <v>1357</v>
      </c>
      <c r="AF340" s="4">
        <v>45717</v>
      </c>
      <c r="AG340" t="str">
        <f>YEAR(Table1[[#This Row],[Fecha]])&amp;" - " &amp;UPPER(TEXT(Table1[[#This Row],[Fecha]],"mm-mmm"))</f>
        <v>2025 - 03-MAR</v>
      </c>
      <c r="AH340" s="5">
        <v>0</v>
      </c>
    </row>
    <row r="341" spans="1:34" x14ac:dyDescent="0.25">
      <c r="A341" t="s">
        <v>920</v>
      </c>
      <c r="B341">
        <v>2025</v>
      </c>
      <c r="C341">
        <v>3</v>
      </c>
      <c r="D341" s="1">
        <v>45730</v>
      </c>
      <c r="E341" s="1">
        <v>45730</v>
      </c>
      <c r="F341" s="1">
        <v>45730</v>
      </c>
      <c r="G341" s="1">
        <v>45730</v>
      </c>
      <c r="H341" s="2">
        <v>45730.692655057872</v>
      </c>
      <c r="I341">
        <v>2039</v>
      </c>
      <c r="J341" t="s">
        <v>30</v>
      </c>
      <c r="K341" t="s">
        <v>31</v>
      </c>
      <c r="L341">
        <v>50</v>
      </c>
      <c r="M341">
        <v>50</v>
      </c>
      <c r="N341" t="s">
        <v>32</v>
      </c>
      <c r="O341">
        <v>1</v>
      </c>
      <c r="P341">
        <v>150</v>
      </c>
      <c r="Q341" t="b">
        <v>1</v>
      </c>
      <c r="R341" t="b">
        <v>0</v>
      </c>
      <c r="S341" t="b">
        <v>0</v>
      </c>
      <c r="T341">
        <v>231</v>
      </c>
      <c r="U341">
        <v>0</v>
      </c>
      <c r="V341" t="s">
        <v>33</v>
      </c>
      <c r="W341" t="s">
        <v>33</v>
      </c>
      <c r="X341">
        <v>50</v>
      </c>
      <c r="Y341">
        <v>359</v>
      </c>
      <c r="Z341" t="s">
        <v>34</v>
      </c>
      <c r="AA341">
        <v>359</v>
      </c>
      <c r="AB341" t="s">
        <v>121</v>
      </c>
      <c r="AC341" t="s">
        <v>121</v>
      </c>
      <c r="AD341" t="str">
        <f t="shared" si="5"/>
        <v>Escobedo → Escobedo</v>
      </c>
      <c r="AE341" t="s">
        <v>1357</v>
      </c>
      <c r="AF341" s="4">
        <v>45717</v>
      </c>
      <c r="AG341" t="str">
        <f>YEAR(Table1[[#This Row],[Fecha]])&amp;" - " &amp;UPPER(TEXT(Table1[[#This Row],[Fecha]],"mm-mmm"))</f>
        <v>2025 - 03-MAR</v>
      </c>
      <c r="AH341" s="5">
        <v>0</v>
      </c>
    </row>
    <row r="342" spans="1:34" x14ac:dyDescent="0.25">
      <c r="A342" t="s">
        <v>921</v>
      </c>
      <c r="B342">
        <v>2025</v>
      </c>
      <c r="C342">
        <v>3</v>
      </c>
      <c r="D342" s="1">
        <v>45730</v>
      </c>
      <c r="E342" s="1">
        <v>45730</v>
      </c>
      <c r="F342" s="1">
        <v>45730</v>
      </c>
      <c r="G342" s="1">
        <v>45730</v>
      </c>
      <c r="H342" s="2">
        <v>45730.693043784719</v>
      </c>
      <c r="I342">
        <v>2039</v>
      </c>
      <c r="J342" t="s">
        <v>30</v>
      </c>
      <c r="K342" t="s">
        <v>31</v>
      </c>
      <c r="L342">
        <v>50</v>
      </c>
      <c r="M342">
        <v>50</v>
      </c>
      <c r="N342" t="s">
        <v>32</v>
      </c>
      <c r="O342">
        <v>1</v>
      </c>
      <c r="P342">
        <v>150</v>
      </c>
      <c r="Q342" t="b">
        <v>1</v>
      </c>
      <c r="R342" t="b">
        <v>0</v>
      </c>
      <c r="S342" t="b">
        <v>0</v>
      </c>
      <c r="T342">
        <v>231</v>
      </c>
      <c r="U342">
        <v>0</v>
      </c>
      <c r="V342" t="s">
        <v>33</v>
      </c>
      <c r="W342" t="s">
        <v>33</v>
      </c>
      <c r="X342">
        <v>50</v>
      </c>
      <c r="Y342">
        <v>359</v>
      </c>
      <c r="Z342" t="s">
        <v>34</v>
      </c>
      <c r="AA342">
        <v>359</v>
      </c>
      <c r="AB342" t="s">
        <v>121</v>
      </c>
      <c r="AC342" t="s">
        <v>121</v>
      </c>
      <c r="AD342" t="str">
        <f t="shared" si="5"/>
        <v>Escobedo → Escobedo</v>
      </c>
      <c r="AE342" t="s">
        <v>1357</v>
      </c>
      <c r="AF342" s="4">
        <v>45717</v>
      </c>
      <c r="AG342" t="str">
        <f>YEAR(Table1[[#This Row],[Fecha]])&amp;" - " &amp;UPPER(TEXT(Table1[[#This Row],[Fecha]],"mm-mmm"))</f>
        <v>2025 - 03-MAR</v>
      </c>
      <c r="AH342" s="5">
        <v>0</v>
      </c>
    </row>
    <row r="343" spans="1:34" x14ac:dyDescent="0.25">
      <c r="A343" t="s">
        <v>922</v>
      </c>
      <c r="B343">
        <v>2025</v>
      </c>
      <c r="C343">
        <v>3</v>
      </c>
      <c r="D343" s="1">
        <v>45730</v>
      </c>
      <c r="E343" s="1">
        <v>45730</v>
      </c>
      <c r="F343" s="1">
        <v>45730</v>
      </c>
      <c r="G343" s="1">
        <v>45730</v>
      </c>
      <c r="H343" s="2">
        <v>45730.694368865741</v>
      </c>
      <c r="I343">
        <v>2039</v>
      </c>
      <c r="J343" t="s">
        <v>30</v>
      </c>
      <c r="K343" t="s">
        <v>31</v>
      </c>
      <c r="L343">
        <v>50</v>
      </c>
      <c r="M343">
        <v>50</v>
      </c>
      <c r="N343" t="s">
        <v>32</v>
      </c>
      <c r="O343">
        <v>1</v>
      </c>
      <c r="P343">
        <v>150</v>
      </c>
      <c r="Q343" t="b">
        <v>1</v>
      </c>
      <c r="R343" t="b">
        <v>0</v>
      </c>
      <c r="S343" t="b">
        <v>0</v>
      </c>
      <c r="T343">
        <v>231</v>
      </c>
      <c r="U343">
        <v>0</v>
      </c>
      <c r="V343" t="s">
        <v>33</v>
      </c>
      <c r="W343" t="s">
        <v>33</v>
      </c>
      <c r="X343">
        <v>50</v>
      </c>
      <c r="Y343">
        <v>359</v>
      </c>
      <c r="Z343" t="s">
        <v>34</v>
      </c>
      <c r="AA343">
        <v>359</v>
      </c>
      <c r="AB343" t="s">
        <v>121</v>
      </c>
      <c r="AC343" t="s">
        <v>121</v>
      </c>
      <c r="AD343" t="str">
        <f t="shared" si="5"/>
        <v>Escobedo → Escobedo</v>
      </c>
      <c r="AE343" t="s">
        <v>1357</v>
      </c>
      <c r="AF343" s="4">
        <v>45717</v>
      </c>
      <c r="AG343" t="str">
        <f>YEAR(Table1[[#This Row],[Fecha]])&amp;" - " &amp;UPPER(TEXT(Table1[[#This Row],[Fecha]],"mm-mmm"))</f>
        <v>2025 - 03-MAR</v>
      </c>
      <c r="AH343" s="5">
        <v>0</v>
      </c>
    </row>
    <row r="344" spans="1:34" x14ac:dyDescent="0.25">
      <c r="A344" t="s">
        <v>923</v>
      </c>
      <c r="B344">
        <v>2025</v>
      </c>
      <c r="C344">
        <v>3</v>
      </c>
      <c r="D344" s="1">
        <v>45731</v>
      </c>
      <c r="E344" s="1">
        <v>45731</v>
      </c>
      <c r="F344" s="1">
        <v>45731</v>
      </c>
      <c r="G344" s="1">
        <v>45731</v>
      </c>
      <c r="H344" s="2">
        <v>45732.668706944445</v>
      </c>
      <c r="I344">
        <v>2039</v>
      </c>
      <c r="J344" t="s">
        <v>30</v>
      </c>
      <c r="K344" t="s">
        <v>31</v>
      </c>
      <c r="L344">
        <v>50</v>
      </c>
      <c r="M344">
        <v>50</v>
      </c>
      <c r="N344" t="s">
        <v>32</v>
      </c>
      <c r="O344">
        <v>1</v>
      </c>
      <c r="P344">
        <v>150</v>
      </c>
      <c r="Q344" t="b">
        <v>1</v>
      </c>
      <c r="R344" t="b">
        <v>0</v>
      </c>
      <c r="S344" t="b">
        <v>0</v>
      </c>
      <c r="T344">
        <v>231</v>
      </c>
      <c r="U344">
        <v>0</v>
      </c>
      <c r="V344" t="s">
        <v>33</v>
      </c>
      <c r="W344" t="s">
        <v>33</v>
      </c>
      <c r="X344">
        <v>50</v>
      </c>
      <c r="Y344">
        <v>359</v>
      </c>
      <c r="Z344" t="s">
        <v>34</v>
      </c>
      <c r="AA344">
        <v>359</v>
      </c>
      <c r="AB344" t="s">
        <v>121</v>
      </c>
      <c r="AC344" t="s">
        <v>121</v>
      </c>
      <c r="AD344" t="str">
        <f t="shared" si="5"/>
        <v>Escobedo → Escobedo</v>
      </c>
      <c r="AE344" t="s">
        <v>1357</v>
      </c>
      <c r="AF344" s="4">
        <v>45717</v>
      </c>
      <c r="AG344" t="str">
        <f>YEAR(Table1[[#This Row],[Fecha]])&amp;" - " &amp;UPPER(TEXT(Table1[[#This Row],[Fecha]],"mm-mmm"))</f>
        <v>2025 - 03-MAR</v>
      </c>
      <c r="AH344" s="5">
        <v>0</v>
      </c>
    </row>
    <row r="345" spans="1:34" x14ac:dyDescent="0.25">
      <c r="A345" t="s">
        <v>199</v>
      </c>
      <c r="B345">
        <v>2025</v>
      </c>
      <c r="C345">
        <v>3</v>
      </c>
      <c r="D345" s="1">
        <v>45734</v>
      </c>
      <c r="E345" s="1">
        <v>45734</v>
      </c>
      <c r="F345" s="1">
        <v>45734</v>
      </c>
      <c r="G345" s="1">
        <v>45734</v>
      </c>
      <c r="H345" s="2">
        <v>45734.808889618056</v>
      </c>
      <c r="I345">
        <v>2039</v>
      </c>
      <c r="J345" t="s">
        <v>30</v>
      </c>
      <c r="K345" t="s">
        <v>31</v>
      </c>
      <c r="L345">
        <v>50</v>
      </c>
      <c r="M345">
        <v>50</v>
      </c>
      <c r="N345" t="s">
        <v>32</v>
      </c>
      <c r="O345">
        <v>1</v>
      </c>
      <c r="P345">
        <v>150</v>
      </c>
      <c r="Q345" t="b">
        <v>1</v>
      </c>
      <c r="R345" t="b">
        <v>0</v>
      </c>
      <c r="S345" t="b">
        <v>0</v>
      </c>
      <c r="T345">
        <v>231</v>
      </c>
      <c r="U345">
        <v>0</v>
      </c>
      <c r="V345" t="s">
        <v>33</v>
      </c>
      <c r="W345" t="s">
        <v>33</v>
      </c>
      <c r="X345">
        <v>50</v>
      </c>
      <c r="Y345">
        <v>966</v>
      </c>
      <c r="Z345" t="s">
        <v>178</v>
      </c>
      <c r="AA345">
        <v>966</v>
      </c>
      <c r="AB345" t="s">
        <v>121</v>
      </c>
      <c r="AC345" t="s">
        <v>192</v>
      </c>
      <c r="AD345" t="str">
        <f t="shared" si="5"/>
        <v>Escobedo → Cienega de Flores</v>
      </c>
      <c r="AE345" t="s">
        <v>1357</v>
      </c>
      <c r="AF345" s="4">
        <v>45717</v>
      </c>
      <c r="AG345" t="str">
        <f>YEAR(Table1[[#This Row],[Fecha]])&amp;" - " &amp;UPPER(TEXT(Table1[[#This Row],[Fecha]],"mm-mmm"))</f>
        <v>2025 - 03-MAR</v>
      </c>
      <c r="AH345" s="5">
        <v>0</v>
      </c>
    </row>
    <row r="346" spans="1:34" x14ac:dyDescent="0.25">
      <c r="A346" t="s">
        <v>200</v>
      </c>
      <c r="B346">
        <v>2025</v>
      </c>
      <c r="C346">
        <v>3</v>
      </c>
      <c r="D346" s="1">
        <v>45734</v>
      </c>
      <c r="E346" s="1">
        <v>45734</v>
      </c>
      <c r="F346" s="1">
        <v>45734</v>
      </c>
      <c r="G346" s="1">
        <v>45734</v>
      </c>
      <c r="H346" s="2">
        <v>45734.808896296294</v>
      </c>
      <c r="I346">
        <v>2039</v>
      </c>
      <c r="J346" t="s">
        <v>30</v>
      </c>
      <c r="K346" t="s">
        <v>31</v>
      </c>
      <c r="L346">
        <v>50</v>
      </c>
      <c r="M346">
        <v>50</v>
      </c>
      <c r="N346" t="s">
        <v>32</v>
      </c>
      <c r="O346">
        <v>1</v>
      </c>
      <c r="P346">
        <v>150</v>
      </c>
      <c r="Q346" t="b">
        <v>1</v>
      </c>
      <c r="R346" t="b">
        <v>0</v>
      </c>
      <c r="S346" t="b">
        <v>0</v>
      </c>
      <c r="T346">
        <v>231</v>
      </c>
      <c r="U346">
        <v>0</v>
      </c>
      <c r="V346" t="s">
        <v>33</v>
      </c>
      <c r="W346" t="s">
        <v>33</v>
      </c>
      <c r="X346">
        <v>50</v>
      </c>
      <c r="Y346">
        <v>966</v>
      </c>
      <c r="Z346" t="s">
        <v>178</v>
      </c>
      <c r="AA346">
        <v>966</v>
      </c>
      <c r="AB346" t="s">
        <v>121</v>
      </c>
      <c r="AC346" t="s">
        <v>192</v>
      </c>
      <c r="AD346" t="str">
        <f t="shared" si="5"/>
        <v>Escobedo → Cienega de Flores</v>
      </c>
      <c r="AE346" t="s">
        <v>1357</v>
      </c>
      <c r="AF346" s="4">
        <v>45717</v>
      </c>
      <c r="AG346" t="str">
        <f>YEAR(Table1[[#This Row],[Fecha]])&amp;" - " &amp;UPPER(TEXT(Table1[[#This Row],[Fecha]],"mm-mmm"))</f>
        <v>2025 - 03-MAR</v>
      </c>
      <c r="AH346" s="5">
        <v>0</v>
      </c>
    </row>
    <row r="347" spans="1:34" x14ac:dyDescent="0.25">
      <c r="A347" t="s">
        <v>429</v>
      </c>
      <c r="B347">
        <v>2025</v>
      </c>
      <c r="C347">
        <v>3</v>
      </c>
      <c r="D347" s="1">
        <v>45734</v>
      </c>
      <c r="E347" s="1">
        <v>45734</v>
      </c>
      <c r="F347" s="1">
        <v>45734</v>
      </c>
      <c r="G347" s="1">
        <v>45734</v>
      </c>
      <c r="H347" s="2">
        <v>45734.808877314812</v>
      </c>
      <c r="I347">
        <v>2039</v>
      </c>
      <c r="J347" t="s">
        <v>30</v>
      </c>
      <c r="K347" t="s">
        <v>31</v>
      </c>
      <c r="L347">
        <v>50</v>
      </c>
      <c r="M347">
        <v>50</v>
      </c>
      <c r="N347" t="s">
        <v>32</v>
      </c>
      <c r="O347">
        <v>1</v>
      </c>
      <c r="P347">
        <v>150</v>
      </c>
      <c r="Q347" t="b">
        <v>1</v>
      </c>
      <c r="R347" t="b">
        <v>0</v>
      </c>
      <c r="S347" t="b">
        <v>0</v>
      </c>
      <c r="T347">
        <v>231</v>
      </c>
      <c r="U347">
        <v>0</v>
      </c>
      <c r="V347" t="s">
        <v>33</v>
      </c>
      <c r="W347" t="s">
        <v>33</v>
      </c>
      <c r="X347">
        <v>50</v>
      </c>
      <c r="Y347">
        <v>461</v>
      </c>
      <c r="Z347" t="s">
        <v>178</v>
      </c>
      <c r="AA347">
        <v>461</v>
      </c>
      <c r="AB347" t="s">
        <v>121</v>
      </c>
      <c r="AC347" t="s">
        <v>35</v>
      </c>
      <c r="AD347" t="str">
        <f t="shared" si="5"/>
        <v>Escobedo → Monterrey</v>
      </c>
      <c r="AE347" t="s">
        <v>1357</v>
      </c>
      <c r="AF347" s="4">
        <v>45717</v>
      </c>
      <c r="AG347" t="str">
        <f>YEAR(Table1[[#This Row],[Fecha]])&amp;" - " &amp;UPPER(TEXT(Table1[[#This Row],[Fecha]],"mm-mmm"))</f>
        <v>2025 - 03-MAR</v>
      </c>
      <c r="AH347" s="5">
        <v>0</v>
      </c>
    </row>
    <row r="348" spans="1:34" x14ac:dyDescent="0.25">
      <c r="A348" t="s">
        <v>925</v>
      </c>
      <c r="B348">
        <v>2025</v>
      </c>
      <c r="C348">
        <v>3</v>
      </c>
      <c r="D348" s="1">
        <v>45734</v>
      </c>
      <c r="E348" s="1">
        <v>45734</v>
      </c>
      <c r="F348" s="1">
        <v>45734</v>
      </c>
      <c r="G348" s="1">
        <v>45734</v>
      </c>
      <c r="H348" s="2">
        <v>45734.808848726854</v>
      </c>
      <c r="I348">
        <v>2039</v>
      </c>
      <c r="J348" t="s">
        <v>30</v>
      </c>
      <c r="K348" t="s">
        <v>31</v>
      </c>
      <c r="L348">
        <v>50</v>
      </c>
      <c r="M348">
        <v>50</v>
      </c>
      <c r="N348" t="s">
        <v>32</v>
      </c>
      <c r="O348">
        <v>1</v>
      </c>
      <c r="P348">
        <v>150</v>
      </c>
      <c r="Q348" t="b">
        <v>1</v>
      </c>
      <c r="R348" t="b">
        <v>0</v>
      </c>
      <c r="S348" t="b">
        <v>0</v>
      </c>
      <c r="T348">
        <v>231</v>
      </c>
      <c r="U348">
        <v>0</v>
      </c>
      <c r="V348" t="s">
        <v>33</v>
      </c>
      <c r="W348" t="s">
        <v>33</v>
      </c>
      <c r="X348">
        <v>50</v>
      </c>
      <c r="Y348">
        <v>359</v>
      </c>
      <c r="Z348" t="s">
        <v>178</v>
      </c>
      <c r="AA348">
        <v>359</v>
      </c>
      <c r="AB348" t="s">
        <v>121</v>
      </c>
      <c r="AC348" t="s">
        <v>121</v>
      </c>
      <c r="AD348" t="str">
        <f t="shared" si="5"/>
        <v>Escobedo → Escobedo</v>
      </c>
      <c r="AE348" t="s">
        <v>1357</v>
      </c>
      <c r="AF348" s="4">
        <v>45717</v>
      </c>
      <c r="AG348" t="str">
        <f>YEAR(Table1[[#This Row],[Fecha]])&amp;" - " &amp;UPPER(TEXT(Table1[[#This Row],[Fecha]],"mm-mmm"))</f>
        <v>2025 - 03-MAR</v>
      </c>
      <c r="AH348" s="5">
        <v>0</v>
      </c>
    </row>
    <row r="349" spans="1:34" x14ac:dyDescent="0.25">
      <c r="A349" t="s">
        <v>926</v>
      </c>
      <c r="B349">
        <v>2025</v>
      </c>
      <c r="C349">
        <v>3</v>
      </c>
      <c r="D349" s="1">
        <v>45734</v>
      </c>
      <c r="E349" s="1">
        <v>45734</v>
      </c>
      <c r="F349" s="1">
        <v>45734</v>
      </c>
      <c r="G349" s="1">
        <v>45734</v>
      </c>
      <c r="H349" s="2">
        <v>45734.808871527777</v>
      </c>
      <c r="I349">
        <v>2039</v>
      </c>
      <c r="J349" t="s">
        <v>30</v>
      </c>
      <c r="K349" t="s">
        <v>31</v>
      </c>
      <c r="L349">
        <v>50</v>
      </c>
      <c r="M349">
        <v>50</v>
      </c>
      <c r="N349" t="s">
        <v>32</v>
      </c>
      <c r="O349">
        <v>1</v>
      </c>
      <c r="P349">
        <v>150</v>
      </c>
      <c r="Q349" t="b">
        <v>1</v>
      </c>
      <c r="R349" t="b">
        <v>0</v>
      </c>
      <c r="S349" t="b">
        <v>0</v>
      </c>
      <c r="T349">
        <v>231</v>
      </c>
      <c r="U349">
        <v>0</v>
      </c>
      <c r="V349" t="s">
        <v>33</v>
      </c>
      <c r="W349" t="s">
        <v>33</v>
      </c>
      <c r="X349">
        <v>50</v>
      </c>
      <c r="Y349">
        <v>359</v>
      </c>
      <c r="Z349" t="s">
        <v>178</v>
      </c>
      <c r="AA349">
        <v>359</v>
      </c>
      <c r="AB349" t="s">
        <v>121</v>
      </c>
      <c r="AC349" t="s">
        <v>121</v>
      </c>
      <c r="AD349" t="str">
        <f t="shared" si="5"/>
        <v>Escobedo → Escobedo</v>
      </c>
      <c r="AE349" t="s">
        <v>1357</v>
      </c>
      <c r="AF349" s="4">
        <v>45717</v>
      </c>
      <c r="AG349" t="str">
        <f>YEAR(Table1[[#This Row],[Fecha]])&amp;" - " &amp;UPPER(TEXT(Table1[[#This Row],[Fecha]],"mm-mmm"))</f>
        <v>2025 - 03-MAR</v>
      </c>
      <c r="AH349" s="5">
        <v>0</v>
      </c>
    </row>
    <row r="350" spans="1:34" x14ac:dyDescent="0.25">
      <c r="A350" t="s">
        <v>545</v>
      </c>
      <c r="B350">
        <v>2025</v>
      </c>
      <c r="C350">
        <v>3</v>
      </c>
      <c r="D350" s="1">
        <v>45734</v>
      </c>
      <c r="E350" s="1">
        <v>45734</v>
      </c>
      <c r="F350" s="1">
        <v>45734</v>
      </c>
      <c r="G350" s="1">
        <v>45734</v>
      </c>
      <c r="H350" s="2">
        <v>45734.808865046296</v>
      </c>
      <c r="I350">
        <v>2039</v>
      </c>
      <c r="J350" t="s">
        <v>30</v>
      </c>
      <c r="K350" t="s">
        <v>31</v>
      </c>
      <c r="L350">
        <v>50</v>
      </c>
      <c r="M350">
        <v>50</v>
      </c>
      <c r="N350" t="s">
        <v>32</v>
      </c>
      <c r="O350">
        <v>1</v>
      </c>
      <c r="P350">
        <v>150</v>
      </c>
      <c r="Q350" t="b">
        <v>1</v>
      </c>
      <c r="R350" t="b">
        <v>0</v>
      </c>
      <c r="S350" t="b">
        <v>0</v>
      </c>
      <c r="T350">
        <v>231</v>
      </c>
      <c r="U350">
        <v>0</v>
      </c>
      <c r="V350" t="s">
        <v>33</v>
      </c>
      <c r="W350" t="s">
        <v>33</v>
      </c>
      <c r="X350">
        <v>50</v>
      </c>
      <c r="Y350">
        <v>2936</v>
      </c>
      <c r="Z350" t="s">
        <v>178</v>
      </c>
      <c r="AA350">
        <v>2936</v>
      </c>
      <c r="AB350" t="s">
        <v>121</v>
      </c>
      <c r="AC350" t="s">
        <v>432</v>
      </c>
      <c r="AD350" t="str">
        <f t="shared" si="5"/>
        <v>Escobedo → Hidalgo</v>
      </c>
      <c r="AE350" t="s">
        <v>1357</v>
      </c>
      <c r="AF350" s="4">
        <v>45717</v>
      </c>
      <c r="AG350" t="str">
        <f>YEAR(Table1[[#This Row],[Fecha]])&amp;" - " &amp;UPPER(TEXT(Table1[[#This Row],[Fecha]],"mm-mmm"))</f>
        <v>2025 - 03-MAR</v>
      </c>
      <c r="AH350" s="5">
        <v>0</v>
      </c>
    </row>
    <row r="351" spans="1:34" x14ac:dyDescent="0.25">
      <c r="A351" t="s">
        <v>904</v>
      </c>
      <c r="B351">
        <v>2025</v>
      </c>
      <c r="C351">
        <v>3</v>
      </c>
      <c r="D351" s="1">
        <v>45734</v>
      </c>
      <c r="E351" s="1">
        <v>45734</v>
      </c>
      <c r="F351" s="1">
        <v>45734</v>
      </c>
      <c r="G351" s="1">
        <v>45734</v>
      </c>
      <c r="H351" s="2">
        <v>45734.808881828707</v>
      </c>
      <c r="I351">
        <v>2039</v>
      </c>
      <c r="J351" t="s">
        <v>30</v>
      </c>
      <c r="K351" t="s">
        <v>31</v>
      </c>
      <c r="L351">
        <v>50</v>
      </c>
      <c r="M351">
        <v>50</v>
      </c>
      <c r="N351" t="s">
        <v>32</v>
      </c>
      <c r="O351">
        <v>1</v>
      </c>
      <c r="P351">
        <v>150</v>
      </c>
      <c r="Q351" t="b">
        <v>1</v>
      </c>
      <c r="R351" t="b">
        <v>0</v>
      </c>
      <c r="S351" t="b">
        <v>0</v>
      </c>
      <c r="T351">
        <v>231</v>
      </c>
      <c r="U351">
        <v>0</v>
      </c>
      <c r="V351" t="s">
        <v>33</v>
      </c>
      <c r="W351" t="s">
        <v>33</v>
      </c>
      <c r="X351">
        <v>50</v>
      </c>
      <c r="Y351">
        <v>359</v>
      </c>
      <c r="Z351" t="s">
        <v>178</v>
      </c>
      <c r="AA351">
        <v>359</v>
      </c>
      <c r="AB351" t="s">
        <v>121</v>
      </c>
      <c r="AC351" t="s">
        <v>121</v>
      </c>
      <c r="AD351" t="str">
        <f t="shared" si="5"/>
        <v>Escobedo → Escobedo</v>
      </c>
      <c r="AE351" t="s">
        <v>1357</v>
      </c>
      <c r="AF351" s="4">
        <v>45717</v>
      </c>
      <c r="AG351" t="str">
        <f>YEAR(Table1[[#This Row],[Fecha]])&amp;" - " &amp;UPPER(TEXT(Table1[[#This Row],[Fecha]],"mm-mmm"))</f>
        <v>2025 - 03-MAR</v>
      </c>
      <c r="AH351" s="5">
        <v>0</v>
      </c>
    </row>
    <row r="352" spans="1:34" x14ac:dyDescent="0.25">
      <c r="A352" t="s">
        <v>197</v>
      </c>
      <c r="B352">
        <v>2025</v>
      </c>
      <c r="C352">
        <v>3</v>
      </c>
      <c r="D352" s="1">
        <v>45736</v>
      </c>
      <c r="E352" s="1">
        <v>45736</v>
      </c>
      <c r="F352" s="1">
        <v>45736</v>
      </c>
      <c r="G352" s="1">
        <v>45736</v>
      </c>
      <c r="H352" s="2">
        <v>45736.459012465275</v>
      </c>
      <c r="I352">
        <v>2039</v>
      </c>
      <c r="J352" t="s">
        <v>30</v>
      </c>
      <c r="K352" t="s">
        <v>31</v>
      </c>
      <c r="L352">
        <v>50</v>
      </c>
      <c r="M352">
        <v>50</v>
      </c>
      <c r="N352" t="s">
        <v>32</v>
      </c>
      <c r="O352">
        <v>1</v>
      </c>
      <c r="P352">
        <v>150</v>
      </c>
      <c r="Q352" t="b">
        <v>1</v>
      </c>
      <c r="R352" t="b">
        <v>0</v>
      </c>
      <c r="S352" t="b">
        <v>0</v>
      </c>
      <c r="T352">
        <v>231</v>
      </c>
      <c r="U352">
        <v>0</v>
      </c>
      <c r="V352" t="s">
        <v>33</v>
      </c>
      <c r="W352" t="s">
        <v>33</v>
      </c>
      <c r="X352">
        <v>50</v>
      </c>
      <c r="Y352">
        <v>966</v>
      </c>
      <c r="Z352" t="s">
        <v>178</v>
      </c>
      <c r="AA352">
        <v>966</v>
      </c>
      <c r="AB352" t="s">
        <v>121</v>
      </c>
      <c r="AC352" t="s">
        <v>192</v>
      </c>
      <c r="AD352" t="str">
        <f t="shared" si="5"/>
        <v>Escobedo → Cienega de Flores</v>
      </c>
      <c r="AE352" t="s">
        <v>1357</v>
      </c>
      <c r="AF352" s="4">
        <v>45717</v>
      </c>
      <c r="AG352" t="str">
        <f>YEAR(Table1[[#This Row],[Fecha]])&amp;" - " &amp;UPPER(TEXT(Table1[[#This Row],[Fecha]],"mm-mmm"))</f>
        <v>2025 - 03-MAR</v>
      </c>
      <c r="AH352" s="5">
        <v>0</v>
      </c>
    </row>
    <row r="353" spans="1:34" x14ac:dyDescent="0.25">
      <c r="A353" t="s">
        <v>198</v>
      </c>
      <c r="B353">
        <v>2025</v>
      </c>
      <c r="C353">
        <v>3</v>
      </c>
      <c r="D353" s="1">
        <v>45736</v>
      </c>
      <c r="E353" s="1">
        <v>45736</v>
      </c>
      <c r="F353" s="1">
        <v>45736</v>
      </c>
      <c r="G353" s="1">
        <v>45736</v>
      </c>
      <c r="H353" s="2">
        <v>45736.45897013889</v>
      </c>
      <c r="I353">
        <v>2039</v>
      </c>
      <c r="J353" t="s">
        <v>30</v>
      </c>
      <c r="K353" t="s">
        <v>31</v>
      </c>
      <c r="L353">
        <v>50</v>
      </c>
      <c r="M353">
        <v>50</v>
      </c>
      <c r="N353" t="s">
        <v>32</v>
      </c>
      <c r="O353">
        <v>1</v>
      </c>
      <c r="P353">
        <v>150</v>
      </c>
      <c r="Q353" t="b">
        <v>1</v>
      </c>
      <c r="R353" t="b">
        <v>0</v>
      </c>
      <c r="S353" t="b">
        <v>0</v>
      </c>
      <c r="T353">
        <v>231</v>
      </c>
      <c r="U353">
        <v>0</v>
      </c>
      <c r="V353" t="s">
        <v>33</v>
      </c>
      <c r="W353" t="s">
        <v>33</v>
      </c>
      <c r="X353">
        <v>50</v>
      </c>
      <c r="Y353">
        <v>966</v>
      </c>
      <c r="Z353" t="s">
        <v>178</v>
      </c>
      <c r="AA353">
        <v>966</v>
      </c>
      <c r="AB353" t="s">
        <v>121</v>
      </c>
      <c r="AC353" t="s">
        <v>192</v>
      </c>
      <c r="AD353" t="str">
        <f t="shared" si="5"/>
        <v>Escobedo → Cienega de Flores</v>
      </c>
      <c r="AE353" t="s">
        <v>1357</v>
      </c>
      <c r="AF353" s="4">
        <v>45717</v>
      </c>
      <c r="AG353" t="str">
        <f>YEAR(Table1[[#This Row],[Fecha]])&amp;" - " &amp;UPPER(TEXT(Table1[[#This Row],[Fecha]],"mm-mmm"))</f>
        <v>2025 - 03-MAR</v>
      </c>
      <c r="AH353" s="5">
        <v>0</v>
      </c>
    </row>
    <row r="354" spans="1:34" x14ac:dyDescent="0.25">
      <c r="A354" t="s">
        <v>905</v>
      </c>
      <c r="B354">
        <v>2025</v>
      </c>
      <c r="C354">
        <v>3</v>
      </c>
      <c r="D354" s="1">
        <v>45736</v>
      </c>
      <c r="E354" s="1">
        <v>45736</v>
      </c>
      <c r="F354" s="1">
        <v>45736</v>
      </c>
      <c r="G354" s="1">
        <v>45736</v>
      </c>
      <c r="H354" s="2">
        <v>45736.458976273148</v>
      </c>
      <c r="I354">
        <v>2039</v>
      </c>
      <c r="J354" t="s">
        <v>30</v>
      </c>
      <c r="K354" t="s">
        <v>31</v>
      </c>
      <c r="L354">
        <v>50</v>
      </c>
      <c r="M354">
        <v>50</v>
      </c>
      <c r="N354" t="s">
        <v>32</v>
      </c>
      <c r="O354">
        <v>1</v>
      </c>
      <c r="P354">
        <v>150</v>
      </c>
      <c r="Q354" t="b">
        <v>1</v>
      </c>
      <c r="R354" t="b">
        <v>0</v>
      </c>
      <c r="S354" t="b">
        <v>0</v>
      </c>
      <c r="T354">
        <v>231</v>
      </c>
      <c r="U354">
        <v>0</v>
      </c>
      <c r="V354" t="s">
        <v>33</v>
      </c>
      <c r="W354" t="s">
        <v>33</v>
      </c>
      <c r="X354">
        <v>50</v>
      </c>
      <c r="Y354">
        <v>359</v>
      </c>
      <c r="Z354" t="s">
        <v>178</v>
      </c>
      <c r="AA354">
        <v>359</v>
      </c>
      <c r="AB354" t="s">
        <v>121</v>
      </c>
      <c r="AC354" t="s">
        <v>121</v>
      </c>
      <c r="AD354" t="str">
        <f t="shared" si="5"/>
        <v>Escobedo → Escobedo</v>
      </c>
      <c r="AE354" t="s">
        <v>1357</v>
      </c>
      <c r="AF354" s="4">
        <v>45717</v>
      </c>
      <c r="AG354" t="str">
        <f>YEAR(Table1[[#This Row],[Fecha]])&amp;" - " &amp;UPPER(TEXT(Table1[[#This Row],[Fecha]],"mm-mmm"))</f>
        <v>2025 - 03-MAR</v>
      </c>
      <c r="AH354" s="5">
        <v>0</v>
      </c>
    </row>
    <row r="355" spans="1:34" x14ac:dyDescent="0.25">
      <c r="A355" t="s">
        <v>221</v>
      </c>
      <c r="B355">
        <v>2025</v>
      </c>
      <c r="C355">
        <v>3</v>
      </c>
      <c r="D355" s="1">
        <v>45736</v>
      </c>
      <c r="E355" s="1">
        <v>45736</v>
      </c>
      <c r="F355" s="1">
        <v>45736</v>
      </c>
      <c r="G355" s="1">
        <v>45736</v>
      </c>
      <c r="H355" s="2">
        <v>45736.458963078701</v>
      </c>
      <c r="I355">
        <v>2039</v>
      </c>
      <c r="J355" t="s">
        <v>30</v>
      </c>
      <c r="K355" t="s">
        <v>31</v>
      </c>
      <c r="L355">
        <v>50</v>
      </c>
      <c r="M355">
        <v>50</v>
      </c>
      <c r="N355" t="s">
        <v>32</v>
      </c>
      <c r="O355">
        <v>1</v>
      </c>
      <c r="P355">
        <v>150</v>
      </c>
      <c r="Q355" t="b">
        <v>1</v>
      </c>
      <c r="R355" t="b">
        <v>0</v>
      </c>
      <c r="S355" t="b">
        <v>0</v>
      </c>
      <c r="T355">
        <v>231</v>
      </c>
      <c r="U355">
        <v>0</v>
      </c>
      <c r="V355" t="s">
        <v>33</v>
      </c>
      <c r="W355" t="s">
        <v>33</v>
      </c>
      <c r="X355">
        <v>50</v>
      </c>
      <c r="Y355">
        <v>3080</v>
      </c>
      <c r="Z355" t="s">
        <v>178</v>
      </c>
      <c r="AA355">
        <v>3080</v>
      </c>
      <c r="AB355" t="s">
        <v>121</v>
      </c>
      <c r="AC355" t="s">
        <v>222</v>
      </c>
      <c r="AD355" t="str">
        <f t="shared" si="5"/>
        <v>Escobedo → Santa Catarina</v>
      </c>
      <c r="AE355" t="s">
        <v>1357</v>
      </c>
      <c r="AF355" s="4">
        <v>45717</v>
      </c>
      <c r="AG355" t="str">
        <f>YEAR(Table1[[#This Row],[Fecha]])&amp;" - " &amp;UPPER(TEXT(Table1[[#This Row],[Fecha]],"mm-mmm"))</f>
        <v>2025 - 03-MAR</v>
      </c>
      <c r="AH355" s="5">
        <v>0</v>
      </c>
    </row>
    <row r="356" spans="1:34" x14ac:dyDescent="0.25">
      <c r="A356" t="s">
        <v>906</v>
      </c>
      <c r="B356">
        <v>2025</v>
      </c>
      <c r="C356">
        <v>3</v>
      </c>
      <c r="D356" s="1">
        <v>45736</v>
      </c>
      <c r="E356" s="1">
        <v>45736</v>
      </c>
      <c r="F356" s="1">
        <v>45736</v>
      </c>
      <c r="G356" s="1">
        <v>45736</v>
      </c>
      <c r="H356" s="2">
        <v>45736.458990740743</v>
      </c>
      <c r="I356">
        <v>2039</v>
      </c>
      <c r="J356" t="s">
        <v>30</v>
      </c>
      <c r="K356" t="s">
        <v>31</v>
      </c>
      <c r="L356">
        <v>50</v>
      </c>
      <c r="M356">
        <v>50</v>
      </c>
      <c r="N356" t="s">
        <v>32</v>
      </c>
      <c r="O356">
        <v>1</v>
      </c>
      <c r="P356">
        <v>150</v>
      </c>
      <c r="Q356" t="b">
        <v>1</v>
      </c>
      <c r="R356" t="b">
        <v>0</v>
      </c>
      <c r="S356" t="b">
        <v>0</v>
      </c>
      <c r="T356">
        <v>231</v>
      </c>
      <c r="U356">
        <v>0</v>
      </c>
      <c r="V356" t="s">
        <v>33</v>
      </c>
      <c r="W356" t="s">
        <v>33</v>
      </c>
      <c r="X356">
        <v>50</v>
      </c>
      <c r="Y356">
        <v>359</v>
      </c>
      <c r="Z356" t="s">
        <v>178</v>
      </c>
      <c r="AA356">
        <v>359</v>
      </c>
      <c r="AB356" t="s">
        <v>121</v>
      </c>
      <c r="AC356" t="s">
        <v>121</v>
      </c>
      <c r="AD356" t="str">
        <f t="shared" si="5"/>
        <v>Escobedo → Escobedo</v>
      </c>
      <c r="AE356" t="s">
        <v>1357</v>
      </c>
      <c r="AF356" s="4">
        <v>45717</v>
      </c>
      <c r="AG356" t="str">
        <f>YEAR(Table1[[#This Row],[Fecha]])&amp;" - " &amp;UPPER(TEXT(Table1[[#This Row],[Fecha]],"mm-mmm"))</f>
        <v>2025 - 03-MAR</v>
      </c>
      <c r="AH356" s="5">
        <v>0</v>
      </c>
    </row>
    <row r="357" spans="1:34" x14ac:dyDescent="0.25">
      <c r="A357" t="s">
        <v>177</v>
      </c>
      <c r="B357">
        <v>2025</v>
      </c>
      <c r="C357">
        <v>3</v>
      </c>
      <c r="D357" s="1">
        <v>45736</v>
      </c>
      <c r="E357" s="1">
        <v>45736</v>
      </c>
      <c r="F357" s="1">
        <v>45736</v>
      </c>
      <c r="G357" s="1">
        <v>45736</v>
      </c>
      <c r="H357" s="2">
        <v>45736.458955671296</v>
      </c>
      <c r="I357">
        <v>2039</v>
      </c>
      <c r="J357" t="s">
        <v>30</v>
      </c>
      <c r="K357" t="s">
        <v>31</v>
      </c>
      <c r="L357">
        <v>50</v>
      </c>
      <c r="M357">
        <v>50</v>
      </c>
      <c r="N357" t="s">
        <v>32</v>
      </c>
      <c r="O357">
        <v>1</v>
      </c>
      <c r="P357">
        <v>150</v>
      </c>
      <c r="Q357" t="b">
        <v>1</v>
      </c>
      <c r="R357" t="b">
        <v>0</v>
      </c>
      <c r="S357" t="b">
        <v>0</v>
      </c>
      <c r="T357">
        <v>231</v>
      </c>
      <c r="U357">
        <v>0</v>
      </c>
      <c r="V357" t="s">
        <v>33</v>
      </c>
      <c r="W357" t="s">
        <v>33</v>
      </c>
      <c r="X357">
        <v>50</v>
      </c>
      <c r="Y357">
        <v>308</v>
      </c>
      <c r="Z357" t="s">
        <v>178</v>
      </c>
      <c r="AA357">
        <v>308</v>
      </c>
      <c r="AB357" t="s">
        <v>121</v>
      </c>
      <c r="AC357" t="s">
        <v>174</v>
      </c>
      <c r="AD357" t="str">
        <f t="shared" si="5"/>
        <v>Escobedo → Guadalupe</v>
      </c>
      <c r="AE357" t="s">
        <v>1357</v>
      </c>
      <c r="AF357" s="4">
        <v>45717</v>
      </c>
      <c r="AG357" t="str">
        <f>YEAR(Table1[[#This Row],[Fecha]])&amp;" - " &amp;UPPER(TEXT(Table1[[#This Row],[Fecha]],"mm-mmm"))</f>
        <v>2025 - 03-MAR</v>
      </c>
      <c r="AH357" s="5">
        <v>0</v>
      </c>
    </row>
    <row r="358" spans="1:34" x14ac:dyDescent="0.25">
      <c r="A358" t="s">
        <v>901</v>
      </c>
      <c r="B358">
        <v>2025</v>
      </c>
      <c r="C358">
        <v>3</v>
      </c>
      <c r="D358" s="1">
        <v>45736</v>
      </c>
      <c r="E358" s="1">
        <v>45736</v>
      </c>
      <c r="F358" s="1">
        <v>45736</v>
      </c>
      <c r="G358" s="1">
        <v>45736</v>
      </c>
      <c r="H358" s="2">
        <v>45736.458982256947</v>
      </c>
      <c r="I358">
        <v>2039</v>
      </c>
      <c r="J358" t="s">
        <v>30</v>
      </c>
      <c r="K358" t="s">
        <v>31</v>
      </c>
      <c r="L358">
        <v>50</v>
      </c>
      <c r="M358">
        <v>50</v>
      </c>
      <c r="N358" t="s">
        <v>32</v>
      </c>
      <c r="O358">
        <v>1</v>
      </c>
      <c r="P358">
        <v>150</v>
      </c>
      <c r="Q358" t="b">
        <v>1</v>
      </c>
      <c r="R358" t="b">
        <v>0</v>
      </c>
      <c r="S358" t="b">
        <v>0</v>
      </c>
      <c r="T358">
        <v>231</v>
      </c>
      <c r="U358">
        <v>0</v>
      </c>
      <c r="V358" t="s">
        <v>33</v>
      </c>
      <c r="W358" t="s">
        <v>33</v>
      </c>
      <c r="X358">
        <v>50</v>
      </c>
      <c r="Y358">
        <v>359</v>
      </c>
      <c r="Z358" t="s">
        <v>178</v>
      </c>
      <c r="AA358">
        <v>359</v>
      </c>
      <c r="AB358" t="s">
        <v>121</v>
      </c>
      <c r="AC358" t="s">
        <v>121</v>
      </c>
      <c r="AD358" t="str">
        <f t="shared" si="5"/>
        <v>Escobedo → Escobedo</v>
      </c>
      <c r="AE358" t="s">
        <v>1357</v>
      </c>
      <c r="AF358" s="4">
        <v>45717</v>
      </c>
      <c r="AG358" t="str">
        <f>YEAR(Table1[[#This Row],[Fecha]])&amp;" - " &amp;UPPER(TEXT(Table1[[#This Row],[Fecha]],"mm-mmm"))</f>
        <v>2025 - 03-MAR</v>
      </c>
      <c r="AH358" s="5">
        <v>0</v>
      </c>
    </row>
    <row r="359" spans="1:34" x14ac:dyDescent="0.25">
      <c r="A359" t="s">
        <v>902</v>
      </c>
      <c r="B359">
        <v>2025</v>
      </c>
      <c r="C359">
        <v>3</v>
      </c>
      <c r="D359" s="1">
        <v>45736</v>
      </c>
      <c r="E359" s="1">
        <v>45736</v>
      </c>
      <c r="F359" s="1">
        <v>45736</v>
      </c>
      <c r="G359" s="1">
        <v>45736</v>
      </c>
      <c r="H359" s="2">
        <v>45736.458997800924</v>
      </c>
      <c r="I359">
        <v>2039</v>
      </c>
      <c r="J359" t="s">
        <v>30</v>
      </c>
      <c r="K359" t="s">
        <v>31</v>
      </c>
      <c r="L359">
        <v>50</v>
      </c>
      <c r="M359">
        <v>50</v>
      </c>
      <c r="N359" t="s">
        <v>32</v>
      </c>
      <c r="O359">
        <v>1</v>
      </c>
      <c r="P359">
        <v>150</v>
      </c>
      <c r="Q359" t="b">
        <v>1</v>
      </c>
      <c r="R359" t="b">
        <v>0</v>
      </c>
      <c r="S359" t="b">
        <v>0</v>
      </c>
      <c r="T359">
        <v>231</v>
      </c>
      <c r="U359">
        <v>0</v>
      </c>
      <c r="V359" t="s">
        <v>33</v>
      </c>
      <c r="W359" t="s">
        <v>33</v>
      </c>
      <c r="X359">
        <v>50</v>
      </c>
      <c r="Y359">
        <v>359</v>
      </c>
      <c r="Z359" t="s">
        <v>178</v>
      </c>
      <c r="AA359">
        <v>359</v>
      </c>
      <c r="AB359" t="s">
        <v>121</v>
      </c>
      <c r="AC359" t="s">
        <v>121</v>
      </c>
      <c r="AD359" t="str">
        <f t="shared" si="5"/>
        <v>Escobedo → Escobedo</v>
      </c>
      <c r="AE359" t="s">
        <v>1357</v>
      </c>
      <c r="AF359" s="4">
        <v>45717</v>
      </c>
      <c r="AG359" t="str">
        <f>YEAR(Table1[[#This Row],[Fecha]])&amp;" - " &amp;UPPER(TEXT(Table1[[#This Row],[Fecha]],"mm-mmm"))</f>
        <v>2025 - 03-MAR</v>
      </c>
      <c r="AH359" s="5">
        <v>0</v>
      </c>
    </row>
    <row r="360" spans="1:34" x14ac:dyDescent="0.25">
      <c r="A360" t="s">
        <v>903</v>
      </c>
      <c r="B360">
        <v>2025</v>
      </c>
      <c r="C360">
        <v>3</v>
      </c>
      <c r="D360" s="1">
        <v>45736</v>
      </c>
      <c r="E360" s="1">
        <v>45736</v>
      </c>
      <c r="F360" s="1">
        <v>45736</v>
      </c>
      <c r="G360" s="1">
        <v>45736</v>
      </c>
      <c r="H360" s="2">
        <v>45736.459005555553</v>
      </c>
      <c r="I360">
        <v>2039</v>
      </c>
      <c r="J360" t="s">
        <v>30</v>
      </c>
      <c r="K360" t="s">
        <v>31</v>
      </c>
      <c r="L360">
        <v>50</v>
      </c>
      <c r="M360">
        <v>50</v>
      </c>
      <c r="N360" t="s">
        <v>32</v>
      </c>
      <c r="O360">
        <v>1</v>
      </c>
      <c r="P360">
        <v>150</v>
      </c>
      <c r="Q360" t="b">
        <v>1</v>
      </c>
      <c r="R360" t="b">
        <v>0</v>
      </c>
      <c r="S360" t="b">
        <v>0</v>
      </c>
      <c r="T360">
        <v>231</v>
      </c>
      <c r="U360">
        <v>0</v>
      </c>
      <c r="V360" t="s">
        <v>33</v>
      </c>
      <c r="W360" t="s">
        <v>33</v>
      </c>
      <c r="X360">
        <v>50</v>
      </c>
      <c r="Y360">
        <v>359</v>
      </c>
      <c r="Z360" t="s">
        <v>178</v>
      </c>
      <c r="AA360">
        <v>359</v>
      </c>
      <c r="AB360" t="s">
        <v>121</v>
      </c>
      <c r="AC360" t="s">
        <v>121</v>
      </c>
      <c r="AD360" t="str">
        <f t="shared" si="5"/>
        <v>Escobedo → Escobedo</v>
      </c>
      <c r="AE360" t="s">
        <v>1357</v>
      </c>
      <c r="AF360" s="4">
        <v>45717</v>
      </c>
      <c r="AG360" t="str">
        <f>YEAR(Table1[[#This Row],[Fecha]])&amp;" - " &amp;UPPER(TEXT(Table1[[#This Row],[Fecha]],"mm-mmm"))</f>
        <v>2025 - 03-MAR</v>
      </c>
      <c r="AH360" s="5">
        <v>0</v>
      </c>
    </row>
    <row r="361" spans="1:34" x14ac:dyDescent="0.25">
      <c r="A361" t="s">
        <v>549</v>
      </c>
      <c r="B361">
        <v>2025</v>
      </c>
      <c r="C361">
        <v>3</v>
      </c>
      <c r="D361" s="1">
        <v>45736</v>
      </c>
      <c r="E361" s="1">
        <v>45736</v>
      </c>
      <c r="F361" s="1">
        <v>45736</v>
      </c>
      <c r="G361" s="1">
        <v>45736</v>
      </c>
      <c r="H361" s="2">
        <v>45736.458944247686</v>
      </c>
      <c r="I361">
        <v>2039</v>
      </c>
      <c r="J361" t="s">
        <v>30</v>
      </c>
      <c r="K361" t="s">
        <v>31</v>
      </c>
      <c r="L361">
        <v>50</v>
      </c>
      <c r="M361">
        <v>50</v>
      </c>
      <c r="N361" t="s">
        <v>32</v>
      </c>
      <c r="O361">
        <v>1</v>
      </c>
      <c r="P361">
        <v>150</v>
      </c>
      <c r="Q361" t="b">
        <v>1</v>
      </c>
      <c r="R361" t="b">
        <v>0</v>
      </c>
      <c r="S361" t="b">
        <v>0</v>
      </c>
      <c r="T361">
        <v>231</v>
      </c>
      <c r="U361">
        <v>0</v>
      </c>
      <c r="V361" t="s">
        <v>33</v>
      </c>
      <c r="W361" t="s">
        <v>33</v>
      </c>
      <c r="X361">
        <v>50</v>
      </c>
      <c r="Y361">
        <v>2936</v>
      </c>
      <c r="Z361" t="s">
        <v>178</v>
      </c>
      <c r="AA361">
        <v>2936</v>
      </c>
      <c r="AB361" t="s">
        <v>121</v>
      </c>
      <c r="AC361" t="s">
        <v>432</v>
      </c>
      <c r="AD361" t="str">
        <f t="shared" si="5"/>
        <v>Escobedo → Hidalgo</v>
      </c>
      <c r="AE361" t="s">
        <v>1357</v>
      </c>
      <c r="AF361" s="4">
        <v>45717</v>
      </c>
      <c r="AG361" t="str">
        <f>YEAR(Table1[[#This Row],[Fecha]])&amp;" - " &amp;UPPER(TEXT(Table1[[#This Row],[Fecha]],"mm-mmm"))</f>
        <v>2025 - 03-MAR</v>
      </c>
      <c r="AH361" s="5">
        <v>0</v>
      </c>
    </row>
    <row r="362" spans="1:34" x14ac:dyDescent="0.25">
      <c r="A362" t="s">
        <v>430</v>
      </c>
      <c r="B362">
        <v>2025</v>
      </c>
      <c r="C362">
        <v>3</v>
      </c>
      <c r="D362" s="1">
        <v>45737</v>
      </c>
      <c r="E362" s="1">
        <v>45737</v>
      </c>
      <c r="F362" s="1">
        <v>45737</v>
      </c>
      <c r="G362" s="1">
        <v>45737</v>
      </c>
      <c r="H362" s="2">
        <v>45737.536480902774</v>
      </c>
      <c r="I362">
        <v>2039</v>
      </c>
      <c r="J362" t="s">
        <v>30</v>
      </c>
      <c r="K362" t="s">
        <v>31</v>
      </c>
      <c r="L362">
        <v>50</v>
      </c>
      <c r="M362">
        <v>50</v>
      </c>
      <c r="N362" t="s">
        <v>32</v>
      </c>
      <c r="O362">
        <v>1</v>
      </c>
      <c r="P362">
        <v>150</v>
      </c>
      <c r="Q362" t="b">
        <v>1</v>
      </c>
      <c r="R362" t="b">
        <v>0</v>
      </c>
      <c r="S362" t="b">
        <v>0</v>
      </c>
      <c r="T362">
        <v>231</v>
      </c>
      <c r="U362">
        <v>0</v>
      </c>
      <c r="V362" t="s">
        <v>33</v>
      </c>
      <c r="W362" t="s">
        <v>33</v>
      </c>
      <c r="X362">
        <v>50</v>
      </c>
      <c r="Y362">
        <v>461</v>
      </c>
      <c r="Z362" t="s">
        <v>34</v>
      </c>
      <c r="AA362">
        <v>461</v>
      </c>
      <c r="AB362" t="s">
        <v>121</v>
      </c>
      <c r="AC362" t="s">
        <v>35</v>
      </c>
      <c r="AD362" t="str">
        <f t="shared" si="5"/>
        <v>Escobedo → Monterrey</v>
      </c>
      <c r="AE362" t="s">
        <v>1357</v>
      </c>
      <c r="AF362" s="4">
        <v>45717</v>
      </c>
      <c r="AG362" t="str">
        <f>YEAR(Table1[[#This Row],[Fecha]])&amp;" - " &amp;UPPER(TEXT(Table1[[#This Row],[Fecha]],"mm-mmm"))</f>
        <v>2025 - 03-MAR</v>
      </c>
      <c r="AH362" s="5">
        <v>0</v>
      </c>
    </row>
    <row r="363" spans="1:34" x14ac:dyDescent="0.25">
      <c r="A363" t="s">
        <v>907</v>
      </c>
      <c r="B363">
        <v>2025</v>
      </c>
      <c r="C363">
        <v>3</v>
      </c>
      <c r="D363" s="1">
        <v>45737</v>
      </c>
      <c r="E363" s="1">
        <v>45737</v>
      </c>
      <c r="F363" s="1">
        <v>45737</v>
      </c>
      <c r="G363" s="1">
        <v>45737</v>
      </c>
      <c r="H363" s="2">
        <v>45737.536892974538</v>
      </c>
      <c r="I363">
        <v>2039</v>
      </c>
      <c r="J363" t="s">
        <v>30</v>
      </c>
      <c r="K363" t="s">
        <v>31</v>
      </c>
      <c r="L363">
        <v>50</v>
      </c>
      <c r="M363">
        <v>50</v>
      </c>
      <c r="N363" t="s">
        <v>32</v>
      </c>
      <c r="O363">
        <v>1</v>
      </c>
      <c r="P363">
        <v>150</v>
      </c>
      <c r="Q363" t="b">
        <v>1</v>
      </c>
      <c r="R363" t="b">
        <v>0</v>
      </c>
      <c r="S363" t="b">
        <v>0</v>
      </c>
      <c r="T363">
        <v>231</v>
      </c>
      <c r="U363">
        <v>0</v>
      </c>
      <c r="V363" t="s">
        <v>33</v>
      </c>
      <c r="W363" t="s">
        <v>33</v>
      </c>
      <c r="X363">
        <v>50</v>
      </c>
      <c r="Y363">
        <v>359</v>
      </c>
      <c r="Z363" t="s">
        <v>34</v>
      </c>
      <c r="AA363">
        <v>359</v>
      </c>
      <c r="AB363" t="s">
        <v>121</v>
      </c>
      <c r="AC363" t="s">
        <v>121</v>
      </c>
      <c r="AD363" t="str">
        <f t="shared" si="5"/>
        <v>Escobedo → Escobedo</v>
      </c>
      <c r="AE363" t="s">
        <v>1357</v>
      </c>
      <c r="AF363" s="4">
        <v>45717</v>
      </c>
      <c r="AG363" t="str">
        <f>YEAR(Table1[[#This Row],[Fecha]])&amp;" - " &amp;UPPER(TEXT(Table1[[#This Row],[Fecha]],"mm-mmm"))</f>
        <v>2025 - 03-MAR</v>
      </c>
      <c r="AH363" s="5">
        <v>0</v>
      </c>
    </row>
    <row r="364" spans="1:34" x14ac:dyDescent="0.25">
      <c r="A364" t="s">
        <v>191</v>
      </c>
      <c r="B364">
        <v>2025</v>
      </c>
      <c r="C364">
        <v>3</v>
      </c>
      <c r="D364" s="1">
        <v>45737</v>
      </c>
      <c r="E364" s="1">
        <v>45737</v>
      </c>
      <c r="F364" s="1">
        <v>45737</v>
      </c>
      <c r="G364" s="1">
        <v>45737</v>
      </c>
      <c r="H364" s="2">
        <v>45737.537384224539</v>
      </c>
      <c r="I364">
        <v>2039</v>
      </c>
      <c r="J364" t="s">
        <v>30</v>
      </c>
      <c r="K364" t="s">
        <v>31</v>
      </c>
      <c r="L364">
        <v>50</v>
      </c>
      <c r="M364">
        <v>50</v>
      </c>
      <c r="N364" t="s">
        <v>32</v>
      </c>
      <c r="O364">
        <v>1</v>
      </c>
      <c r="P364">
        <v>150</v>
      </c>
      <c r="Q364" t="b">
        <v>1</v>
      </c>
      <c r="R364" t="b">
        <v>0</v>
      </c>
      <c r="S364" t="b">
        <v>0</v>
      </c>
      <c r="T364">
        <v>231</v>
      </c>
      <c r="U364">
        <v>0</v>
      </c>
      <c r="V364" t="s">
        <v>33</v>
      </c>
      <c r="W364" t="s">
        <v>33</v>
      </c>
      <c r="X364">
        <v>50</v>
      </c>
      <c r="Y364">
        <v>966</v>
      </c>
      <c r="Z364" t="s">
        <v>34</v>
      </c>
      <c r="AA364">
        <v>966</v>
      </c>
      <c r="AB364" t="s">
        <v>121</v>
      </c>
      <c r="AC364" t="s">
        <v>192</v>
      </c>
      <c r="AD364" t="str">
        <f t="shared" si="5"/>
        <v>Escobedo → Cienega de Flores</v>
      </c>
      <c r="AE364" t="s">
        <v>1357</v>
      </c>
      <c r="AF364" s="4">
        <v>45717</v>
      </c>
      <c r="AG364" t="str">
        <f>YEAR(Table1[[#This Row],[Fecha]])&amp;" - " &amp;UPPER(TEXT(Table1[[#This Row],[Fecha]],"mm-mmm"))</f>
        <v>2025 - 03-MAR</v>
      </c>
      <c r="AH364" s="5">
        <v>0</v>
      </c>
    </row>
    <row r="365" spans="1:34" x14ac:dyDescent="0.25">
      <c r="A365" t="s">
        <v>193</v>
      </c>
      <c r="B365">
        <v>2025</v>
      </c>
      <c r="C365">
        <v>3</v>
      </c>
      <c r="D365" s="1">
        <v>45737</v>
      </c>
      <c r="E365" s="1">
        <v>45737</v>
      </c>
      <c r="F365" s="1">
        <v>45737</v>
      </c>
      <c r="G365" s="1">
        <v>45737</v>
      </c>
      <c r="H365" s="2">
        <v>45737.538005752314</v>
      </c>
      <c r="I365">
        <v>2039</v>
      </c>
      <c r="J365" t="s">
        <v>30</v>
      </c>
      <c r="K365" t="s">
        <v>31</v>
      </c>
      <c r="L365">
        <v>50</v>
      </c>
      <c r="M365">
        <v>50</v>
      </c>
      <c r="N365" t="s">
        <v>32</v>
      </c>
      <c r="O365">
        <v>1</v>
      </c>
      <c r="P365">
        <v>150</v>
      </c>
      <c r="Q365" t="b">
        <v>1</v>
      </c>
      <c r="R365" t="b">
        <v>0</v>
      </c>
      <c r="S365" t="b">
        <v>0</v>
      </c>
      <c r="T365">
        <v>231</v>
      </c>
      <c r="U365">
        <v>0</v>
      </c>
      <c r="V365" t="s">
        <v>33</v>
      </c>
      <c r="W365" t="s">
        <v>33</v>
      </c>
      <c r="X365">
        <v>50</v>
      </c>
      <c r="Y365">
        <v>966</v>
      </c>
      <c r="Z365" t="s">
        <v>34</v>
      </c>
      <c r="AA365">
        <v>966</v>
      </c>
      <c r="AB365" t="s">
        <v>121</v>
      </c>
      <c r="AC365" t="s">
        <v>192</v>
      </c>
      <c r="AD365" t="str">
        <f t="shared" si="5"/>
        <v>Escobedo → Cienega de Flores</v>
      </c>
      <c r="AE365" t="s">
        <v>1357</v>
      </c>
      <c r="AF365" s="4">
        <v>45717</v>
      </c>
      <c r="AG365" t="str">
        <f>YEAR(Table1[[#This Row],[Fecha]])&amp;" - " &amp;UPPER(TEXT(Table1[[#This Row],[Fecha]],"mm-mmm"))</f>
        <v>2025 - 03-MAR</v>
      </c>
      <c r="AH365" s="5">
        <v>0</v>
      </c>
    </row>
    <row r="366" spans="1:34" x14ac:dyDescent="0.25">
      <c r="A366" t="s">
        <v>908</v>
      </c>
      <c r="B366">
        <v>2025</v>
      </c>
      <c r="C366">
        <v>3</v>
      </c>
      <c r="D366" s="1">
        <v>45737</v>
      </c>
      <c r="E366" s="1">
        <v>45737</v>
      </c>
      <c r="F366" s="1">
        <v>45737</v>
      </c>
      <c r="G366" s="1">
        <v>45737</v>
      </c>
      <c r="H366" s="2">
        <v>45737.537999224536</v>
      </c>
      <c r="I366">
        <v>2039</v>
      </c>
      <c r="J366" t="s">
        <v>30</v>
      </c>
      <c r="K366" t="s">
        <v>31</v>
      </c>
      <c r="L366">
        <v>50</v>
      </c>
      <c r="M366">
        <v>50</v>
      </c>
      <c r="N366" t="s">
        <v>32</v>
      </c>
      <c r="O366">
        <v>1</v>
      </c>
      <c r="P366">
        <v>150</v>
      </c>
      <c r="Q366" t="b">
        <v>1</v>
      </c>
      <c r="R366" t="b">
        <v>0</v>
      </c>
      <c r="S366" t="b">
        <v>0</v>
      </c>
      <c r="T366">
        <v>231</v>
      </c>
      <c r="U366">
        <v>0</v>
      </c>
      <c r="V366" t="s">
        <v>33</v>
      </c>
      <c r="W366" t="s">
        <v>33</v>
      </c>
      <c r="X366">
        <v>50</v>
      </c>
      <c r="Y366">
        <v>359</v>
      </c>
      <c r="Z366" t="s">
        <v>34</v>
      </c>
      <c r="AA366">
        <v>359</v>
      </c>
      <c r="AB366" t="s">
        <v>121</v>
      </c>
      <c r="AC366" t="s">
        <v>121</v>
      </c>
      <c r="AD366" t="str">
        <f t="shared" si="5"/>
        <v>Escobedo → Escobedo</v>
      </c>
      <c r="AE366" t="s">
        <v>1357</v>
      </c>
      <c r="AF366" s="4">
        <v>45717</v>
      </c>
      <c r="AG366" t="str">
        <f>YEAR(Table1[[#This Row],[Fecha]])&amp;" - " &amp;UPPER(TEXT(Table1[[#This Row],[Fecha]],"mm-mmm"))</f>
        <v>2025 - 03-MAR</v>
      </c>
      <c r="AH366" s="5">
        <v>0</v>
      </c>
    </row>
    <row r="367" spans="1:34" x14ac:dyDescent="0.25">
      <c r="A367" t="s">
        <v>909</v>
      </c>
      <c r="B367">
        <v>2025</v>
      </c>
      <c r="C367">
        <v>3</v>
      </c>
      <c r="D367" s="1">
        <v>45737</v>
      </c>
      <c r="E367" s="1">
        <v>45737</v>
      </c>
      <c r="F367" s="1">
        <v>45737</v>
      </c>
      <c r="G367" s="1">
        <v>45737</v>
      </c>
      <c r="H367" s="2">
        <v>45737.537993090278</v>
      </c>
      <c r="I367">
        <v>2039</v>
      </c>
      <c r="J367" t="s">
        <v>30</v>
      </c>
      <c r="K367" t="s">
        <v>31</v>
      </c>
      <c r="L367">
        <v>50</v>
      </c>
      <c r="M367">
        <v>50</v>
      </c>
      <c r="N367" t="s">
        <v>32</v>
      </c>
      <c r="O367">
        <v>1</v>
      </c>
      <c r="P367">
        <v>150</v>
      </c>
      <c r="Q367" t="b">
        <v>1</v>
      </c>
      <c r="R367" t="b">
        <v>0</v>
      </c>
      <c r="S367" t="b">
        <v>0</v>
      </c>
      <c r="T367">
        <v>231</v>
      </c>
      <c r="U367">
        <v>0</v>
      </c>
      <c r="V367" t="s">
        <v>33</v>
      </c>
      <c r="W367" t="s">
        <v>33</v>
      </c>
      <c r="X367">
        <v>50</v>
      </c>
      <c r="Y367">
        <v>359</v>
      </c>
      <c r="Z367" t="s">
        <v>34</v>
      </c>
      <c r="AA367">
        <v>359</v>
      </c>
      <c r="AB367" t="s">
        <v>121</v>
      </c>
      <c r="AC367" t="s">
        <v>121</v>
      </c>
      <c r="AD367" t="str">
        <f t="shared" si="5"/>
        <v>Escobedo → Escobedo</v>
      </c>
      <c r="AE367" t="s">
        <v>1357</v>
      </c>
      <c r="AF367" s="4">
        <v>45717</v>
      </c>
      <c r="AG367" t="str">
        <f>YEAR(Table1[[#This Row],[Fecha]])&amp;" - " &amp;UPPER(TEXT(Table1[[#This Row],[Fecha]],"mm-mmm"))</f>
        <v>2025 - 03-MAR</v>
      </c>
      <c r="AH367" s="5">
        <v>0</v>
      </c>
    </row>
    <row r="368" spans="1:34" x14ac:dyDescent="0.25">
      <c r="A368" t="s">
        <v>910</v>
      </c>
      <c r="B368">
        <v>2025</v>
      </c>
      <c r="C368">
        <v>3</v>
      </c>
      <c r="D368" s="1">
        <v>45737</v>
      </c>
      <c r="E368" s="1">
        <v>45737</v>
      </c>
      <c r="F368" s="1">
        <v>45737</v>
      </c>
      <c r="G368" s="1">
        <v>45737</v>
      </c>
      <c r="H368" s="2">
        <v>45737.537986226853</v>
      </c>
      <c r="I368">
        <v>2039</v>
      </c>
      <c r="J368" t="s">
        <v>30</v>
      </c>
      <c r="K368" t="s">
        <v>31</v>
      </c>
      <c r="L368">
        <v>50</v>
      </c>
      <c r="M368">
        <v>50</v>
      </c>
      <c r="N368" t="s">
        <v>32</v>
      </c>
      <c r="O368">
        <v>1</v>
      </c>
      <c r="P368">
        <v>150</v>
      </c>
      <c r="Q368" t="b">
        <v>1</v>
      </c>
      <c r="R368" t="b">
        <v>0</v>
      </c>
      <c r="S368" t="b">
        <v>0</v>
      </c>
      <c r="T368">
        <v>231</v>
      </c>
      <c r="U368">
        <v>0</v>
      </c>
      <c r="V368" t="s">
        <v>33</v>
      </c>
      <c r="W368" t="s">
        <v>33</v>
      </c>
      <c r="X368">
        <v>50</v>
      </c>
      <c r="Y368">
        <v>359</v>
      </c>
      <c r="Z368" t="s">
        <v>34</v>
      </c>
      <c r="AA368">
        <v>359</v>
      </c>
      <c r="AB368" t="s">
        <v>121</v>
      </c>
      <c r="AC368" t="s">
        <v>121</v>
      </c>
      <c r="AD368" t="str">
        <f t="shared" si="5"/>
        <v>Escobedo → Escobedo</v>
      </c>
      <c r="AE368" t="s">
        <v>1357</v>
      </c>
      <c r="AF368" s="4">
        <v>45717</v>
      </c>
      <c r="AG368" t="str">
        <f>YEAR(Table1[[#This Row],[Fecha]])&amp;" - " &amp;UPPER(TEXT(Table1[[#This Row],[Fecha]],"mm-mmm"))</f>
        <v>2025 - 03-MAR</v>
      </c>
      <c r="AH368" s="5">
        <v>0</v>
      </c>
    </row>
    <row r="369" spans="1:34" x14ac:dyDescent="0.25">
      <c r="A369" t="s">
        <v>911</v>
      </c>
      <c r="B369">
        <v>2025</v>
      </c>
      <c r="C369">
        <v>3</v>
      </c>
      <c r="D369" s="1">
        <v>45737</v>
      </c>
      <c r="E369" s="1">
        <v>45737</v>
      </c>
      <c r="F369" s="1">
        <v>45737</v>
      </c>
      <c r="G369" s="1">
        <v>45737</v>
      </c>
      <c r="H369" s="2">
        <v>45737.537977893517</v>
      </c>
      <c r="I369">
        <v>2039</v>
      </c>
      <c r="J369" t="s">
        <v>30</v>
      </c>
      <c r="K369" t="s">
        <v>31</v>
      </c>
      <c r="L369">
        <v>50</v>
      </c>
      <c r="M369">
        <v>50</v>
      </c>
      <c r="N369" t="s">
        <v>32</v>
      </c>
      <c r="O369">
        <v>1</v>
      </c>
      <c r="P369">
        <v>150</v>
      </c>
      <c r="Q369" t="b">
        <v>1</v>
      </c>
      <c r="R369" t="b">
        <v>0</v>
      </c>
      <c r="S369" t="b">
        <v>0</v>
      </c>
      <c r="T369">
        <v>231</v>
      </c>
      <c r="U369">
        <v>0</v>
      </c>
      <c r="V369" t="s">
        <v>33</v>
      </c>
      <c r="W369" t="s">
        <v>33</v>
      </c>
      <c r="X369">
        <v>50</v>
      </c>
      <c r="Y369">
        <v>359</v>
      </c>
      <c r="Z369" t="s">
        <v>34</v>
      </c>
      <c r="AA369">
        <v>359</v>
      </c>
      <c r="AB369" t="s">
        <v>121</v>
      </c>
      <c r="AC369" t="s">
        <v>121</v>
      </c>
      <c r="AD369" t="str">
        <f t="shared" si="5"/>
        <v>Escobedo → Escobedo</v>
      </c>
      <c r="AE369" t="s">
        <v>1357</v>
      </c>
      <c r="AF369" s="4">
        <v>45717</v>
      </c>
      <c r="AG369" t="str">
        <f>YEAR(Table1[[#This Row],[Fecha]])&amp;" - " &amp;UPPER(TEXT(Table1[[#This Row],[Fecha]],"mm-mmm"))</f>
        <v>2025 - 03-MAR</v>
      </c>
      <c r="AH369" s="5">
        <v>0</v>
      </c>
    </row>
    <row r="370" spans="1:34" x14ac:dyDescent="0.25">
      <c r="A370" t="s">
        <v>912</v>
      </c>
      <c r="B370">
        <v>2025</v>
      </c>
      <c r="C370">
        <v>3</v>
      </c>
      <c r="D370" s="1">
        <v>45737</v>
      </c>
      <c r="E370" s="1">
        <v>45737</v>
      </c>
      <c r="F370" s="1">
        <v>45737</v>
      </c>
      <c r="G370" s="1">
        <v>45737</v>
      </c>
      <c r="H370" s="2">
        <v>45737.537969409721</v>
      </c>
      <c r="I370">
        <v>2039</v>
      </c>
      <c r="J370" t="s">
        <v>30</v>
      </c>
      <c r="K370" t="s">
        <v>31</v>
      </c>
      <c r="L370">
        <v>50</v>
      </c>
      <c r="M370">
        <v>50</v>
      </c>
      <c r="N370" t="s">
        <v>32</v>
      </c>
      <c r="O370">
        <v>1</v>
      </c>
      <c r="P370">
        <v>150</v>
      </c>
      <c r="Q370" t="b">
        <v>1</v>
      </c>
      <c r="R370" t="b">
        <v>0</v>
      </c>
      <c r="S370" t="b">
        <v>0</v>
      </c>
      <c r="T370">
        <v>231</v>
      </c>
      <c r="U370">
        <v>0</v>
      </c>
      <c r="V370" t="s">
        <v>33</v>
      </c>
      <c r="W370" t="s">
        <v>33</v>
      </c>
      <c r="X370">
        <v>50</v>
      </c>
      <c r="Y370">
        <v>359</v>
      </c>
      <c r="Z370" t="s">
        <v>34</v>
      </c>
      <c r="AA370">
        <v>359</v>
      </c>
      <c r="AB370" t="s">
        <v>121</v>
      </c>
      <c r="AC370" t="s">
        <v>121</v>
      </c>
      <c r="AD370" t="str">
        <f t="shared" si="5"/>
        <v>Escobedo → Escobedo</v>
      </c>
      <c r="AE370" t="s">
        <v>1357</v>
      </c>
      <c r="AF370" s="4">
        <v>45717</v>
      </c>
      <c r="AG370" t="str">
        <f>YEAR(Table1[[#This Row],[Fecha]])&amp;" - " &amp;UPPER(TEXT(Table1[[#This Row],[Fecha]],"mm-mmm"))</f>
        <v>2025 - 03-MAR</v>
      </c>
      <c r="AH370" s="5">
        <v>0</v>
      </c>
    </row>
    <row r="371" spans="1:34" x14ac:dyDescent="0.25">
      <c r="A371" t="s">
        <v>194</v>
      </c>
      <c r="B371">
        <v>2025</v>
      </c>
      <c r="C371">
        <v>3</v>
      </c>
      <c r="D371" s="1">
        <v>45737</v>
      </c>
      <c r="E371" s="1">
        <v>45737</v>
      </c>
      <c r="F371" s="1">
        <v>45737</v>
      </c>
      <c r="G371" s="1">
        <v>45737</v>
      </c>
      <c r="H371" s="1">
        <v>45737</v>
      </c>
      <c r="I371">
        <v>1867</v>
      </c>
      <c r="J371" t="s">
        <v>30</v>
      </c>
      <c r="K371" t="s">
        <v>31</v>
      </c>
      <c r="L371">
        <v>50</v>
      </c>
      <c r="M371">
        <v>50</v>
      </c>
      <c r="N371" t="s">
        <v>195</v>
      </c>
      <c r="O371">
        <v>1</v>
      </c>
      <c r="P371">
        <v>150</v>
      </c>
      <c r="Q371" t="b">
        <v>1</v>
      </c>
      <c r="R371" t="b">
        <v>0</v>
      </c>
      <c r="S371" t="b">
        <v>0</v>
      </c>
      <c r="T371">
        <v>231</v>
      </c>
      <c r="U371">
        <v>0</v>
      </c>
      <c r="V371" t="s">
        <v>33</v>
      </c>
      <c r="W371" t="s">
        <v>33</v>
      </c>
      <c r="X371">
        <v>50</v>
      </c>
      <c r="Y371">
        <v>966</v>
      </c>
      <c r="Z371" t="s">
        <v>34</v>
      </c>
      <c r="AA371">
        <v>966</v>
      </c>
      <c r="AB371" t="s">
        <v>121</v>
      </c>
      <c r="AC371" t="s">
        <v>192</v>
      </c>
      <c r="AD371" t="str">
        <f t="shared" si="5"/>
        <v>Escobedo → Cienega de Flores</v>
      </c>
      <c r="AE371" t="s">
        <v>1357</v>
      </c>
      <c r="AF371" s="4">
        <v>45717</v>
      </c>
      <c r="AG371" t="str">
        <f>YEAR(Table1[[#This Row],[Fecha]])&amp;" - " &amp;UPPER(TEXT(Table1[[#This Row],[Fecha]],"mm-mmm"))</f>
        <v>2025 - 03-MAR</v>
      </c>
      <c r="AH371" s="5">
        <v>0</v>
      </c>
    </row>
    <row r="372" spans="1:34" x14ac:dyDescent="0.25">
      <c r="A372" t="s">
        <v>196</v>
      </c>
      <c r="B372">
        <v>2025</v>
      </c>
      <c r="C372">
        <v>3</v>
      </c>
      <c r="D372" s="1">
        <v>45737</v>
      </c>
      <c r="E372" s="1">
        <v>45737</v>
      </c>
      <c r="F372" s="1">
        <v>45737</v>
      </c>
      <c r="G372" s="1">
        <v>45737</v>
      </c>
      <c r="H372" s="1">
        <v>45737</v>
      </c>
      <c r="I372">
        <v>1867</v>
      </c>
      <c r="J372" t="s">
        <v>30</v>
      </c>
      <c r="K372" t="s">
        <v>31</v>
      </c>
      <c r="L372">
        <v>50</v>
      </c>
      <c r="M372">
        <v>50</v>
      </c>
      <c r="N372" t="s">
        <v>195</v>
      </c>
      <c r="O372">
        <v>1</v>
      </c>
      <c r="P372">
        <v>150</v>
      </c>
      <c r="Q372" t="b">
        <v>1</v>
      </c>
      <c r="R372" t="b">
        <v>0</v>
      </c>
      <c r="S372" t="b">
        <v>0</v>
      </c>
      <c r="T372">
        <v>231</v>
      </c>
      <c r="U372">
        <v>0</v>
      </c>
      <c r="V372" t="s">
        <v>33</v>
      </c>
      <c r="W372" t="s">
        <v>33</v>
      </c>
      <c r="X372">
        <v>50</v>
      </c>
      <c r="Y372">
        <v>966</v>
      </c>
      <c r="Z372" t="s">
        <v>34</v>
      </c>
      <c r="AA372">
        <v>966</v>
      </c>
      <c r="AB372" t="s">
        <v>121</v>
      </c>
      <c r="AC372" t="s">
        <v>192</v>
      </c>
      <c r="AD372" t="str">
        <f t="shared" si="5"/>
        <v>Escobedo → Cienega de Flores</v>
      </c>
      <c r="AE372" t="s">
        <v>1357</v>
      </c>
      <c r="AF372" s="4">
        <v>45717</v>
      </c>
      <c r="AG372" t="str">
        <f>YEAR(Table1[[#This Row],[Fecha]])&amp;" - " &amp;UPPER(TEXT(Table1[[#This Row],[Fecha]],"mm-mmm"))</f>
        <v>2025 - 03-MAR</v>
      </c>
      <c r="AH372" s="5">
        <v>0</v>
      </c>
    </row>
    <row r="373" spans="1:34" x14ac:dyDescent="0.25">
      <c r="A373" t="s">
        <v>705</v>
      </c>
      <c r="B373">
        <v>2025</v>
      </c>
      <c r="C373">
        <v>3</v>
      </c>
      <c r="D373" s="1">
        <v>45737</v>
      </c>
      <c r="E373" s="1">
        <v>45737</v>
      </c>
      <c r="F373" s="1">
        <v>45737</v>
      </c>
      <c r="G373" s="1">
        <v>45737</v>
      </c>
      <c r="H373" s="1">
        <v>45737</v>
      </c>
      <c r="I373">
        <v>1867</v>
      </c>
      <c r="J373" t="s">
        <v>30</v>
      </c>
      <c r="K373" t="s">
        <v>31</v>
      </c>
      <c r="L373">
        <v>50</v>
      </c>
      <c r="M373">
        <v>50</v>
      </c>
      <c r="N373" t="s">
        <v>195</v>
      </c>
      <c r="O373">
        <v>1</v>
      </c>
      <c r="P373">
        <v>150</v>
      </c>
      <c r="Q373" t="b">
        <v>1</v>
      </c>
      <c r="R373" t="b">
        <v>0</v>
      </c>
      <c r="S373" t="b">
        <v>0</v>
      </c>
      <c r="T373">
        <v>231</v>
      </c>
      <c r="U373">
        <v>0</v>
      </c>
      <c r="V373" t="s">
        <v>33</v>
      </c>
      <c r="W373" t="s">
        <v>33</v>
      </c>
      <c r="X373">
        <v>50</v>
      </c>
      <c r="Y373">
        <v>359</v>
      </c>
      <c r="Z373" t="s">
        <v>34</v>
      </c>
      <c r="AA373">
        <v>359</v>
      </c>
      <c r="AB373" t="s">
        <v>121</v>
      </c>
      <c r="AC373" t="s">
        <v>121</v>
      </c>
      <c r="AD373" t="str">
        <f t="shared" si="5"/>
        <v>Escobedo → Escobedo</v>
      </c>
      <c r="AE373" t="s">
        <v>1357</v>
      </c>
      <c r="AF373" s="4">
        <v>45717</v>
      </c>
      <c r="AG373" t="str">
        <f>YEAR(Table1[[#This Row],[Fecha]])&amp;" - " &amp;UPPER(TEXT(Table1[[#This Row],[Fecha]],"mm-mmm"))</f>
        <v>2025 - 03-MAR</v>
      </c>
      <c r="AH373" s="5">
        <v>0</v>
      </c>
    </row>
    <row r="374" spans="1:34" x14ac:dyDescent="0.25">
      <c r="A374" t="s">
        <v>706</v>
      </c>
      <c r="B374">
        <v>2025</v>
      </c>
      <c r="C374">
        <v>3</v>
      </c>
      <c r="D374" s="1">
        <v>45738</v>
      </c>
      <c r="E374" s="1">
        <v>45738</v>
      </c>
      <c r="F374" s="1">
        <v>45738</v>
      </c>
      <c r="G374" s="1">
        <v>45738</v>
      </c>
      <c r="H374" s="2">
        <v>45738.531170023147</v>
      </c>
      <c r="I374">
        <v>2039</v>
      </c>
      <c r="J374" t="s">
        <v>30</v>
      </c>
      <c r="K374" t="s">
        <v>31</v>
      </c>
      <c r="L374">
        <v>50</v>
      </c>
      <c r="M374">
        <v>50</v>
      </c>
      <c r="N374" t="s">
        <v>32</v>
      </c>
      <c r="O374">
        <v>1</v>
      </c>
      <c r="P374">
        <v>150</v>
      </c>
      <c r="Q374" t="b">
        <v>1</v>
      </c>
      <c r="R374" t="b">
        <v>0</v>
      </c>
      <c r="S374" t="b">
        <v>0</v>
      </c>
      <c r="T374">
        <v>231</v>
      </c>
      <c r="U374">
        <v>0</v>
      </c>
      <c r="V374" t="s">
        <v>33</v>
      </c>
      <c r="W374" t="s">
        <v>33</v>
      </c>
      <c r="X374">
        <v>50</v>
      </c>
      <c r="Y374">
        <v>359</v>
      </c>
      <c r="Z374" t="s">
        <v>34</v>
      </c>
      <c r="AA374">
        <v>359</v>
      </c>
      <c r="AB374" t="s">
        <v>121</v>
      </c>
      <c r="AC374" t="s">
        <v>121</v>
      </c>
      <c r="AD374" t="str">
        <f t="shared" si="5"/>
        <v>Escobedo → Escobedo</v>
      </c>
      <c r="AE374" t="s">
        <v>1357</v>
      </c>
      <c r="AF374" s="4">
        <v>45717</v>
      </c>
      <c r="AG374" t="str">
        <f>YEAR(Table1[[#This Row],[Fecha]])&amp;" - " &amp;UPPER(TEXT(Table1[[#This Row],[Fecha]],"mm-mmm"))</f>
        <v>2025 - 03-MAR</v>
      </c>
      <c r="AH374" s="5">
        <v>0</v>
      </c>
    </row>
    <row r="375" spans="1:34" x14ac:dyDescent="0.25">
      <c r="A375" t="s">
        <v>707</v>
      </c>
      <c r="B375">
        <v>2025</v>
      </c>
      <c r="C375">
        <v>3</v>
      </c>
      <c r="D375" s="1">
        <v>45717</v>
      </c>
      <c r="E375" s="1">
        <v>45717</v>
      </c>
      <c r="F375" s="1">
        <v>45717</v>
      </c>
      <c r="G375" s="1">
        <v>45717</v>
      </c>
      <c r="H375" s="2">
        <v>45718.361639386574</v>
      </c>
      <c r="I375">
        <v>2050</v>
      </c>
      <c r="J375" t="s">
        <v>54</v>
      </c>
      <c r="K375" t="s">
        <v>31</v>
      </c>
      <c r="L375">
        <v>50</v>
      </c>
      <c r="M375">
        <v>50</v>
      </c>
      <c r="N375" t="s">
        <v>55</v>
      </c>
      <c r="O375">
        <v>1</v>
      </c>
      <c r="P375">
        <v>150</v>
      </c>
      <c r="Q375" t="b">
        <v>1</v>
      </c>
      <c r="R375" t="b">
        <v>0</v>
      </c>
      <c r="S375" t="b">
        <v>0</v>
      </c>
      <c r="T375">
        <v>231</v>
      </c>
      <c r="U375">
        <v>0</v>
      </c>
      <c r="V375" t="s">
        <v>33</v>
      </c>
      <c r="W375" t="s">
        <v>33</v>
      </c>
      <c r="X375">
        <v>50</v>
      </c>
      <c r="Y375">
        <v>359</v>
      </c>
      <c r="Z375" t="s">
        <v>34</v>
      </c>
      <c r="AA375">
        <v>359</v>
      </c>
      <c r="AB375" t="s">
        <v>121</v>
      </c>
      <c r="AC375" t="s">
        <v>121</v>
      </c>
      <c r="AD375" t="str">
        <f t="shared" si="5"/>
        <v>Escobedo → Escobedo</v>
      </c>
      <c r="AE375" t="s">
        <v>1358</v>
      </c>
      <c r="AF375" s="4">
        <v>45717</v>
      </c>
      <c r="AG375" t="str">
        <f>YEAR(Table1[[#This Row],[Fecha]])&amp;" - " &amp;UPPER(TEXT(Table1[[#This Row],[Fecha]],"mm-mmm"))</f>
        <v>2025 - 03-MAR</v>
      </c>
      <c r="AH375" s="5">
        <v>0</v>
      </c>
    </row>
    <row r="376" spans="1:34" x14ac:dyDescent="0.25">
      <c r="A376" t="s">
        <v>708</v>
      </c>
      <c r="B376">
        <v>2025</v>
      </c>
      <c r="C376">
        <v>3</v>
      </c>
      <c r="D376" s="1">
        <v>45738</v>
      </c>
      <c r="E376" s="1">
        <v>45738</v>
      </c>
      <c r="F376" s="1">
        <v>45738</v>
      </c>
      <c r="G376" s="1">
        <v>45738</v>
      </c>
      <c r="H376" s="2">
        <v>45738.57603434028</v>
      </c>
      <c r="I376">
        <v>2039</v>
      </c>
      <c r="J376" t="s">
        <v>30</v>
      </c>
      <c r="K376" t="s">
        <v>31</v>
      </c>
      <c r="L376">
        <v>50</v>
      </c>
      <c r="M376">
        <v>50</v>
      </c>
      <c r="N376" t="s">
        <v>32</v>
      </c>
      <c r="O376">
        <v>1</v>
      </c>
      <c r="P376">
        <v>150</v>
      </c>
      <c r="Q376" t="b">
        <v>1</v>
      </c>
      <c r="R376" t="b">
        <v>0</v>
      </c>
      <c r="S376" t="b">
        <v>0</v>
      </c>
      <c r="T376">
        <v>231</v>
      </c>
      <c r="U376">
        <v>0</v>
      </c>
      <c r="V376" t="s">
        <v>33</v>
      </c>
      <c r="W376" t="s">
        <v>33</v>
      </c>
      <c r="X376">
        <v>50</v>
      </c>
      <c r="Y376">
        <v>359</v>
      </c>
      <c r="Z376" t="s">
        <v>34</v>
      </c>
      <c r="AA376">
        <v>359</v>
      </c>
      <c r="AB376" t="s">
        <v>121</v>
      </c>
      <c r="AC376" t="s">
        <v>121</v>
      </c>
      <c r="AD376" t="str">
        <f t="shared" si="5"/>
        <v>Escobedo → Escobedo</v>
      </c>
      <c r="AE376" t="s">
        <v>1357</v>
      </c>
      <c r="AF376" s="4">
        <v>45717</v>
      </c>
      <c r="AG376" t="str">
        <f>YEAR(Table1[[#This Row],[Fecha]])&amp;" - " &amp;UPPER(TEXT(Table1[[#This Row],[Fecha]],"mm-mmm"))</f>
        <v>2025 - 03-MAR</v>
      </c>
      <c r="AH376" s="5">
        <v>0</v>
      </c>
    </row>
    <row r="377" spans="1:34" x14ac:dyDescent="0.25">
      <c r="A377" t="s">
        <v>709</v>
      </c>
      <c r="B377">
        <v>2025</v>
      </c>
      <c r="C377">
        <v>3</v>
      </c>
      <c r="D377" s="1">
        <v>45717</v>
      </c>
      <c r="E377" s="1">
        <v>45717</v>
      </c>
      <c r="F377" s="1">
        <v>45717</v>
      </c>
      <c r="G377" s="1">
        <v>45717</v>
      </c>
      <c r="H377" s="2">
        <v>45718.361629629631</v>
      </c>
      <c r="I377">
        <v>2050</v>
      </c>
      <c r="J377" t="s">
        <v>54</v>
      </c>
      <c r="K377" t="s">
        <v>31</v>
      </c>
      <c r="L377">
        <v>50</v>
      </c>
      <c r="M377">
        <v>50</v>
      </c>
      <c r="N377" t="s">
        <v>55</v>
      </c>
      <c r="O377">
        <v>1</v>
      </c>
      <c r="P377">
        <v>150</v>
      </c>
      <c r="Q377" t="b">
        <v>1</v>
      </c>
      <c r="R377" t="b">
        <v>0</v>
      </c>
      <c r="S377" t="b">
        <v>0</v>
      </c>
      <c r="T377">
        <v>231</v>
      </c>
      <c r="U377">
        <v>0</v>
      </c>
      <c r="V377" t="s">
        <v>33</v>
      </c>
      <c r="W377" t="s">
        <v>33</v>
      </c>
      <c r="X377">
        <v>50</v>
      </c>
      <c r="Y377">
        <v>359</v>
      </c>
      <c r="Z377" t="s">
        <v>34</v>
      </c>
      <c r="AA377">
        <v>359</v>
      </c>
      <c r="AB377" t="s">
        <v>121</v>
      </c>
      <c r="AC377" t="s">
        <v>121</v>
      </c>
      <c r="AD377" t="str">
        <f t="shared" si="5"/>
        <v>Escobedo → Escobedo</v>
      </c>
      <c r="AE377" t="s">
        <v>1358</v>
      </c>
      <c r="AF377" s="4">
        <v>45717</v>
      </c>
      <c r="AG377" t="str">
        <f>YEAR(Table1[[#This Row],[Fecha]])&amp;" - " &amp;UPPER(TEXT(Table1[[#This Row],[Fecha]],"mm-mmm"))</f>
        <v>2025 - 03-MAR</v>
      </c>
      <c r="AH377" s="5">
        <v>0</v>
      </c>
    </row>
    <row r="378" spans="1:34" x14ac:dyDescent="0.25">
      <c r="A378" t="s">
        <v>460</v>
      </c>
      <c r="B378">
        <v>2025</v>
      </c>
      <c r="C378">
        <v>3</v>
      </c>
      <c r="D378" s="1">
        <v>45717</v>
      </c>
      <c r="E378" s="1">
        <v>45717</v>
      </c>
      <c r="F378" s="1">
        <v>45717</v>
      </c>
      <c r="G378" s="1">
        <v>45717</v>
      </c>
      <c r="H378" s="2">
        <v>45718.361621643518</v>
      </c>
      <c r="I378">
        <v>2050</v>
      </c>
      <c r="J378" t="s">
        <v>54</v>
      </c>
      <c r="K378" t="s">
        <v>31</v>
      </c>
      <c r="L378">
        <v>50</v>
      </c>
      <c r="M378">
        <v>50</v>
      </c>
      <c r="N378" t="s">
        <v>55</v>
      </c>
      <c r="O378">
        <v>1</v>
      </c>
      <c r="P378">
        <v>150</v>
      </c>
      <c r="Q378" t="b">
        <v>1</v>
      </c>
      <c r="R378" t="b">
        <v>0</v>
      </c>
      <c r="S378" t="b">
        <v>0</v>
      </c>
      <c r="T378">
        <v>231</v>
      </c>
      <c r="U378">
        <v>0</v>
      </c>
      <c r="V378" t="s">
        <v>33</v>
      </c>
      <c r="W378" t="s">
        <v>33</v>
      </c>
      <c r="X378">
        <v>50</v>
      </c>
      <c r="Y378">
        <v>2936</v>
      </c>
      <c r="Z378" t="s">
        <v>34</v>
      </c>
      <c r="AA378">
        <v>2936</v>
      </c>
      <c r="AB378" t="s">
        <v>121</v>
      </c>
      <c r="AC378" t="s">
        <v>432</v>
      </c>
      <c r="AD378" t="str">
        <f t="shared" si="5"/>
        <v>Escobedo → Hidalgo</v>
      </c>
      <c r="AE378" t="s">
        <v>1358</v>
      </c>
      <c r="AF378" s="4">
        <v>45717</v>
      </c>
      <c r="AG378" t="str">
        <f>YEAR(Table1[[#This Row],[Fecha]])&amp;" - " &amp;UPPER(TEXT(Table1[[#This Row],[Fecha]],"mm-mmm"))</f>
        <v>2025 - 03-MAR</v>
      </c>
      <c r="AH378" s="5">
        <v>0</v>
      </c>
    </row>
    <row r="379" spans="1:34" x14ac:dyDescent="0.25">
      <c r="A379" t="s">
        <v>713</v>
      </c>
      <c r="B379">
        <v>2025</v>
      </c>
      <c r="C379">
        <v>3</v>
      </c>
      <c r="D379" s="1">
        <v>45717</v>
      </c>
      <c r="E379" s="1">
        <v>45717</v>
      </c>
      <c r="F379" s="1">
        <v>45717</v>
      </c>
      <c r="G379" s="1">
        <v>45717</v>
      </c>
      <c r="H379" s="2">
        <v>45718.361612465276</v>
      </c>
      <c r="I379">
        <v>2050</v>
      </c>
      <c r="J379" t="s">
        <v>54</v>
      </c>
      <c r="K379" t="s">
        <v>31</v>
      </c>
      <c r="L379">
        <v>50</v>
      </c>
      <c r="M379">
        <v>50</v>
      </c>
      <c r="N379" t="s">
        <v>55</v>
      </c>
      <c r="O379">
        <v>1</v>
      </c>
      <c r="P379">
        <v>150</v>
      </c>
      <c r="Q379" t="b">
        <v>1</v>
      </c>
      <c r="R379" t="b">
        <v>0</v>
      </c>
      <c r="S379" t="b">
        <v>0</v>
      </c>
      <c r="T379">
        <v>231</v>
      </c>
      <c r="U379">
        <v>0</v>
      </c>
      <c r="V379" t="s">
        <v>33</v>
      </c>
      <c r="W379" t="s">
        <v>33</v>
      </c>
      <c r="X379">
        <v>50</v>
      </c>
      <c r="Y379">
        <v>359</v>
      </c>
      <c r="Z379" t="s">
        <v>34</v>
      </c>
      <c r="AA379">
        <v>359</v>
      </c>
      <c r="AB379" t="s">
        <v>121</v>
      </c>
      <c r="AC379" t="s">
        <v>121</v>
      </c>
      <c r="AD379" t="str">
        <f t="shared" si="5"/>
        <v>Escobedo → Escobedo</v>
      </c>
      <c r="AE379" t="s">
        <v>1358</v>
      </c>
      <c r="AF379" s="4">
        <v>45717</v>
      </c>
      <c r="AG379" t="str">
        <f>YEAR(Table1[[#This Row],[Fecha]])&amp;" - " &amp;UPPER(TEXT(Table1[[#This Row],[Fecha]],"mm-mmm"))</f>
        <v>2025 - 03-MAR</v>
      </c>
      <c r="AH379" s="5">
        <v>0</v>
      </c>
    </row>
    <row r="380" spans="1:34" x14ac:dyDescent="0.25">
      <c r="A380" t="s">
        <v>463</v>
      </c>
      <c r="B380">
        <v>2025</v>
      </c>
      <c r="C380">
        <v>3</v>
      </c>
      <c r="D380" s="1">
        <v>45717</v>
      </c>
      <c r="E380" s="1">
        <v>45717</v>
      </c>
      <c r="F380" s="1">
        <v>45717</v>
      </c>
      <c r="G380" s="1">
        <v>45717</v>
      </c>
      <c r="H380" s="2">
        <v>45718.361592627312</v>
      </c>
      <c r="I380">
        <v>2050</v>
      </c>
      <c r="J380" t="s">
        <v>54</v>
      </c>
      <c r="K380" t="s">
        <v>31</v>
      </c>
      <c r="L380">
        <v>50</v>
      </c>
      <c r="M380">
        <v>50</v>
      </c>
      <c r="N380" t="s">
        <v>55</v>
      </c>
      <c r="O380">
        <v>1</v>
      </c>
      <c r="P380">
        <v>150</v>
      </c>
      <c r="Q380" t="b">
        <v>1</v>
      </c>
      <c r="R380" t="b">
        <v>0</v>
      </c>
      <c r="S380" t="b">
        <v>0</v>
      </c>
      <c r="T380">
        <v>231</v>
      </c>
      <c r="U380">
        <v>0</v>
      </c>
      <c r="V380" t="s">
        <v>33</v>
      </c>
      <c r="W380" t="s">
        <v>33</v>
      </c>
      <c r="X380">
        <v>50</v>
      </c>
      <c r="Y380">
        <v>2936</v>
      </c>
      <c r="Z380" t="s">
        <v>34</v>
      </c>
      <c r="AA380">
        <v>2936</v>
      </c>
      <c r="AB380" t="s">
        <v>121</v>
      </c>
      <c r="AC380" t="s">
        <v>432</v>
      </c>
      <c r="AD380" t="str">
        <f t="shared" si="5"/>
        <v>Escobedo → Hidalgo</v>
      </c>
      <c r="AE380" t="s">
        <v>1358</v>
      </c>
      <c r="AF380" s="4">
        <v>45717</v>
      </c>
      <c r="AG380" t="str">
        <f>YEAR(Table1[[#This Row],[Fecha]])&amp;" - " &amp;UPPER(TEXT(Table1[[#This Row],[Fecha]],"mm-mmm"))</f>
        <v>2025 - 03-MAR</v>
      </c>
      <c r="AH380" s="5">
        <v>0</v>
      </c>
    </row>
    <row r="381" spans="1:34" x14ac:dyDescent="0.25">
      <c r="A381" t="s">
        <v>464</v>
      </c>
      <c r="B381">
        <v>2025</v>
      </c>
      <c r="C381">
        <v>3</v>
      </c>
      <c r="D381" s="1">
        <v>45741</v>
      </c>
      <c r="E381" s="1">
        <v>45741</v>
      </c>
      <c r="F381" s="1">
        <v>45741</v>
      </c>
      <c r="G381" s="1">
        <v>45741</v>
      </c>
      <c r="H381" s="2">
        <v>45741.630024155093</v>
      </c>
      <c r="I381">
        <v>2039</v>
      </c>
      <c r="J381" t="s">
        <v>30</v>
      </c>
      <c r="K381" t="s">
        <v>31</v>
      </c>
      <c r="L381">
        <v>50</v>
      </c>
      <c r="M381">
        <v>50</v>
      </c>
      <c r="N381" t="s">
        <v>32</v>
      </c>
      <c r="O381">
        <v>1</v>
      </c>
      <c r="P381">
        <v>150</v>
      </c>
      <c r="Q381" t="b">
        <v>1</v>
      </c>
      <c r="R381" t="b">
        <v>0</v>
      </c>
      <c r="S381" t="b">
        <v>0</v>
      </c>
      <c r="T381">
        <v>231</v>
      </c>
      <c r="U381">
        <v>0</v>
      </c>
      <c r="V381" t="s">
        <v>33</v>
      </c>
      <c r="W381" t="s">
        <v>33</v>
      </c>
      <c r="X381">
        <v>50</v>
      </c>
      <c r="Y381">
        <v>2936</v>
      </c>
      <c r="Z381" t="s">
        <v>34</v>
      </c>
      <c r="AA381">
        <v>2936</v>
      </c>
      <c r="AB381" t="s">
        <v>121</v>
      </c>
      <c r="AC381" t="s">
        <v>432</v>
      </c>
      <c r="AD381" t="str">
        <f t="shared" si="5"/>
        <v>Escobedo → Hidalgo</v>
      </c>
      <c r="AE381" t="s">
        <v>1357</v>
      </c>
      <c r="AF381" s="4">
        <v>45717</v>
      </c>
      <c r="AG381" t="str">
        <f>YEAR(Table1[[#This Row],[Fecha]])&amp;" - " &amp;UPPER(TEXT(Table1[[#This Row],[Fecha]],"mm-mmm"))</f>
        <v>2025 - 03-MAR</v>
      </c>
      <c r="AH381" s="5">
        <v>0</v>
      </c>
    </row>
    <row r="382" spans="1:34" x14ac:dyDescent="0.25">
      <c r="A382" t="s">
        <v>710</v>
      </c>
      <c r="B382">
        <v>2025</v>
      </c>
      <c r="C382">
        <v>3</v>
      </c>
      <c r="D382" s="1">
        <v>45741</v>
      </c>
      <c r="E382" s="1">
        <v>45741</v>
      </c>
      <c r="F382" s="1">
        <v>45741</v>
      </c>
      <c r="G382" s="1">
        <v>45741</v>
      </c>
      <c r="H382" s="2">
        <v>45741.630017627314</v>
      </c>
      <c r="I382">
        <v>2039</v>
      </c>
      <c r="J382" t="s">
        <v>30</v>
      </c>
      <c r="K382" t="s">
        <v>31</v>
      </c>
      <c r="L382">
        <v>50</v>
      </c>
      <c r="M382">
        <v>50</v>
      </c>
      <c r="N382" t="s">
        <v>32</v>
      </c>
      <c r="O382">
        <v>1</v>
      </c>
      <c r="P382">
        <v>150</v>
      </c>
      <c r="Q382" t="b">
        <v>1</v>
      </c>
      <c r="R382" t="b">
        <v>0</v>
      </c>
      <c r="S382" t="b">
        <v>0</v>
      </c>
      <c r="T382">
        <v>231</v>
      </c>
      <c r="U382">
        <v>0</v>
      </c>
      <c r="V382" t="s">
        <v>33</v>
      </c>
      <c r="W382" t="s">
        <v>33</v>
      </c>
      <c r="X382">
        <v>50</v>
      </c>
      <c r="Y382">
        <v>359</v>
      </c>
      <c r="Z382" t="s">
        <v>34</v>
      </c>
      <c r="AA382">
        <v>359</v>
      </c>
      <c r="AB382" t="s">
        <v>121</v>
      </c>
      <c r="AC382" t="s">
        <v>121</v>
      </c>
      <c r="AD382" t="str">
        <f t="shared" si="5"/>
        <v>Escobedo → Escobedo</v>
      </c>
      <c r="AE382" t="s">
        <v>1357</v>
      </c>
      <c r="AF382" s="4">
        <v>45717</v>
      </c>
      <c r="AG382" t="str">
        <f>YEAR(Table1[[#This Row],[Fecha]])&amp;" - " &amp;UPPER(TEXT(Table1[[#This Row],[Fecha]],"mm-mmm"))</f>
        <v>2025 - 03-MAR</v>
      </c>
      <c r="AH382" s="5">
        <v>0</v>
      </c>
    </row>
    <row r="383" spans="1:34" x14ac:dyDescent="0.25">
      <c r="A383" t="s">
        <v>711</v>
      </c>
      <c r="B383">
        <v>2025</v>
      </c>
      <c r="C383">
        <v>3</v>
      </c>
      <c r="D383" s="1">
        <v>45741</v>
      </c>
      <c r="E383" s="1">
        <v>45741</v>
      </c>
      <c r="F383" s="1">
        <v>45741</v>
      </c>
      <c r="G383" s="1">
        <v>45741</v>
      </c>
      <c r="H383" s="2">
        <v>45741.630010381945</v>
      </c>
      <c r="I383">
        <v>2039</v>
      </c>
      <c r="J383" t="s">
        <v>30</v>
      </c>
      <c r="K383" t="s">
        <v>31</v>
      </c>
      <c r="L383">
        <v>50</v>
      </c>
      <c r="M383">
        <v>50</v>
      </c>
      <c r="N383" t="s">
        <v>32</v>
      </c>
      <c r="O383">
        <v>1</v>
      </c>
      <c r="P383">
        <v>150</v>
      </c>
      <c r="Q383" t="b">
        <v>1</v>
      </c>
      <c r="R383" t="b">
        <v>0</v>
      </c>
      <c r="S383" t="b">
        <v>0</v>
      </c>
      <c r="T383">
        <v>231</v>
      </c>
      <c r="U383">
        <v>0</v>
      </c>
      <c r="V383" t="s">
        <v>33</v>
      </c>
      <c r="W383" t="s">
        <v>33</v>
      </c>
      <c r="X383">
        <v>50</v>
      </c>
      <c r="Y383">
        <v>359</v>
      </c>
      <c r="Z383" t="s">
        <v>34</v>
      </c>
      <c r="AA383">
        <v>359</v>
      </c>
      <c r="AB383" t="s">
        <v>121</v>
      </c>
      <c r="AC383" t="s">
        <v>121</v>
      </c>
      <c r="AD383" t="str">
        <f t="shared" si="5"/>
        <v>Escobedo → Escobedo</v>
      </c>
      <c r="AE383" t="s">
        <v>1357</v>
      </c>
      <c r="AF383" s="4">
        <v>45717</v>
      </c>
      <c r="AG383" t="str">
        <f>YEAR(Table1[[#This Row],[Fecha]])&amp;" - " &amp;UPPER(TEXT(Table1[[#This Row],[Fecha]],"mm-mmm"))</f>
        <v>2025 - 03-MAR</v>
      </c>
      <c r="AH383" s="5">
        <v>0</v>
      </c>
    </row>
    <row r="384" spans="1:34" x14ac:dyDescent="0.25">
      <c r="A384" t="s">
        <v>712</v>
      </c>
      <c r="B384">
        <v>2025</v>
      </c>
      <c r="C384">
        <v>3</v>
      </c>
      <c r="D384" s="1">
        <v>45741</v>
      </c>
      <c r="E384" s="1">
        <v>45741</v>
      </c>
      <c r="F384" s="1">
        <v>45741</v>
      </c>
      <c r="G384" s="1">
        <v>45741</v>
      </c>
      <c r="H384" s="2">
        <v>45741.629996990741</v>
      </c>
      <c r="I384">
        <v>2039</v>
      </c>
      <c r="J384" t="s">
        <v>30</v>
      </c>
      <c r="K384" t="s">
        <v>31</v>
      </c>
      <c r="L384">
        <v>50</v>
      </c>
      <c r="M384">
        <v>50</v>
      </c>
      <c r="N384" t="s">
        <v>32</v>
      </c>
      <c r="O384">
        <v>1</v>
      </c>
      <c r="P384">
        <v>150</v>
      </c>
      <c r="Q384" t="b">
        <v>1</v>
      </c>
      <c r="R384" t="b">
        <v>0</v>
      </c>
      <c r="S384" t="b">
        <v>0</v>
      </c>
      <c r="T384">
        <v>231</v>
      </c>
      <c r="U384">
        <v>0</v>
      </c>
      <c r="V384" t="s">
        <v>33</v>
      </c>
      <c r="W384" t="s">
        <v>33</v>
      </c>
      <c r="X384">
        <v>50</v>
      </c>
      <c r="Y384">
        <v>359</v>
      </c>
      <c r="Z384" t="s">
        <v>34</v>
      </c>
      <c r="AA384">
        <v>359</v>
      </c>
      <c r="AB384" t="s">
        <v>121</v>
      </c>
      <c r="AC384" t="s">
        <v>121</v>
      </c>
      <c r="AD384" t="str">
        <f t="shared" si="5"/>
        <v>Escobedo → Escobedo</v>
      </c>
      <c r="AE384" t="s">
        <v>1357</v>
      </c>
      <c r="AF384" s="4">
        <v>45717</v>
      </c>
      <c r="AG384" t="str">
        <f>YEAR(Table1[[#This Row],[Fecha]])&amp;" - " &amp;UPPER(TEXT(Table1[[#This Row],[Fecha]],"mm-mmm"))</f>
        <v>2025 - 03-MAR</v>
      </c>
      <c r="AH384" s="5">
        <v>0</v>
      </c>
    </row>
    <row r="385" spans="1:34" x14ac:dyDescent="0.25">
      <c r="A385" t="s">
        <v>209</v>
      </c>
      <c r="B385">
        <v>2025</v>
      </c>
      <c r="C385">
        <v>3</v>
      </c>
      <c r="D385" s="1">
        <v>45743</v>
      </c>
      <c r="E385" s="1">
        <v>45743</v>
      </c>
      <c r="F385" s="1">
        <v>45743</v>
      </c>
      <c r="G385" s="1">
        <v>45743</v>
      </c>
      <c r="H385" s="2">
        <v>45743.489372569442</v>
      </c>
      <c r="I385">
        <v>2039</v>
      </c>
      <c r="J385" t="s">
        <v>30</v>
      </c>
      <c r="K385" t="s">
        <v>31</v>
      </c>
      <c r="L385">
        <v>50</v>
      </c>
      <c r="M385">
        <v>50</v>
      </c>
      <c r="N385" t="s">
        <v>32</v>
      </c>
      <c r="O385">
        <v>1</v>
      </c>
      <c r="P385">
        <v>150</v>
      </c>
      <c r="Q385" t="b">
        <v>1</v>
      </c>
      <c r="R385" t="b">
        <v>0</v>
      </c>
      <c r="S385" t="b">
        <v>0</v>
      </c>
      <c r="T385">
        <v>231</v>
      </c>
      <c r="U385">
        <v>0</v>
      </c>
      <c r="V385" t="s">
        <v>33</v>
      </c>
      <c r="W385" t="s">
        <v>33</v>
      </c>
      <c r="X385">
        <v>50</v>
      </c>
      <c r="Y385">
        <v>966</v>
      </c>
      <c r="Z385" t="s">
        <v>34</v>
      </c>
      <c r="AA385">
        <v>966</v>
      </c>
      <c r="AB385" t="s">
        <v>121</v>
      </c>
      <c r="AC385" t="s">
        <v>192</v>
      </c>
      <c r="AD385" t="str">
        <f t="shared" si="5"/>
        <v>Escobedo → Cienega de Flores</v>
      </c>
      <c r="AE385" t="s">
        <v>1357</v>
      </c>
      <c r="AF385" s="4">
        <v>45717</v>
      </c>
      <c r="AG385" t="str">
        <f>YEAR(Table1[[#This Row],[Fecha]])&amp;" - " &amp;UPPER(TEXT(Table1[[#This Row],[Fecha]],"mm-mmm"))</f>
        <v>2025 - 03-MAR</v>
      </c>
      <c r="AH385" s="5">
        <v>0</v>
      </c>
    </row>
    <row r="386" spans="1:34" x14ac:dyDescent="0.25">
      <c r="A386" t="s">
        <v>210</v>
      </c>
      <c r="B386">
        <v>2025</v>
      </c>
      <c r="C386">
        <v>3</v>
      </c>
      <c r="D386" s="1">
        <v>45743</v>
      </c>
      <c r="E386" s="1">
        <v>45743</v>
      </c>
      <c r="F386" s="1">
        <v>45743</v>
      </c>
      <c r="G386" s="1">
        <v>45743</v>
      </c>
      <c r="H386" s="2">
        <v>45743.489849618054</v>
      </c>
      <c r="I386">
        <v>2039</v>
      </c>
      <c r="J386" t="s">
        <v>30</v>
      </c>
      <c r="K386" t="s">
        <v>31</v>
      </c>
      <c r="L386">
        <v>50</v>
      </c>
      <c r="M386">
        <v>50</v>
      </c>
      <c r="N386" t="s">
        <v>32</v>
      </c>
      <c r="O386">
        <v>1</v>
      </c>
      <c r="P386">
        <v>150</v>
      </c>
      <c r="Q386" t="b">
        <v>1</v>
      </c>
      <c r="R386" t="b">
        <v>0</v>
      </c>
      <c r="S386" t="b">
        <v>0</v>
      </c>
      <c r="T386">
        <v>231</v>
      </c>
      <c r="U386">
        <v>0</v>
      </c>
      <c r="V386" t="s">
        <v>33</v>
      </c>
      <c r="W386" t="s">
        <v>33</v>
      </c>
      <c r="X386">
        <v>50</v>
      </c>
      <c r="Y386">
        <v>966</v>
      </c>
      <c r="Z386" t="s">
        <v>34</v>
      </c>
      <c r="AA386">
        <v>966</v>
      </c>
      <c r="AB386" t="s">
        <v>121</v>
      </c>
      <c r="AC386" t="s">
        <v>192</v>
      </c>
      <c r="AD386" t="str">
        <f t="shared" ref="AD386:AD449" si="6">+AB386&amp;" → "&amp;AC386</f>
        <v>Escobedo → Cienega de Flores</v>
      </c>
      <c r="AE386" t="s">
        <v>1357</v>
      </c>
      <c r="AF386" s="4">
        <v>45717</v>
      </c>
      <c r="AG386" t="str">
        <f>YEAR(Table1[[#This Row],[Fecha]])&amp;" - " &amp;UPPER(TEXT(Table1[[#This Row],[Fecha]],"mm-mmm"))</f>
        <v>2025 - 03-MAR</v>
      </c>
      <c r="AH386" s="5">
        <v>0</v>
      </c>
    </row>
    <row r="387" spans="1:34" x14ac:dyDescent="0.25">
      <c r="A387" t="s">
        <v>714</v>
      </c>
      <c r="B387">
        <v>2025</v>
      </c>
      <c r="C387">
        <v>3</v>
      </c>
      <c r="D387" s="1">
        <v>45743</v>
      </c>
      <c r="E387" s="1">
        <v>45743</v>
      </c>
      <c r="F387" s="1">
        <v>45743</v>
      </c>
      <c r="G387" s="1">
        <v>45743</v>
      </c>
      <c r="H387" s="2">
        <v>45743.49053815972</v>
      </c>
      <c r="I387">
        <v>2039</v>
      </c>
      <c r="J387" t="s">
        <v>30</v>
      </c>
      <c r="K387" t="s">
        <v>31</v>
      </c>
      <c r="L387">
        <v>50</v>
      </c>
      <c r="M387">
        <v>50</v>
      </c>
      <c r="N387" t="s">
        <v>32</v>
      </c>
      <c r="O387">
        <v>1</v>
      </c>
      <c r="P387">
        <v>150</v>
      </c>
      <c r="Q387" t="b">
        <v>1</v>
      </c>
      <c r="R387" t="b">
        <v>0</v>
      </c>
      <c r="S387" t="b">
        <v>0</v>
      </c>
      <c r="T387">
        <v>231</v>
      </c>
      <c r="U387">
        <v>0</v>
      </c>
      <c r="V387" t="s">
        <v>33</v>
      </c>
      <c r="W387" t="s">
        <v>33</v>
      </c>
      <c r="X387">
        <v>50</v>
      </c>
      <c r="Y387">
        <v>359</v>
      </c>
      <c r="Z387" t="s">
        <v>34</v>
      </c>
      <c r="AA387">
        <v>359</v>
      </c>
      <c r="AB387" t="s">
        <v>121</v>
      </c>
      <c r="AC387" t="s">
        <v>121</v>
      </c>
      <c r="AD387" t="str">
        <f t="shared" si="6"/>
        <v>Escobedo → Escobedo</v>
      </c>
      <c r="AE387" t="s">
        <v>1357</v>
      </c>
      <c r="AF387" s="4">
        <v>45717</v>
      </c>
      <c r="AG387" t="str">
        <f>YEAR(Table1[[#This Row],[Fecha]])&amp;" - " &amp;UPPER(TEXT(Table1[[#This Row],[Fecha]],"mm-mmm"))</f>
        <v>2025 - 03-MAR</v>
      </c>
      <c r="AH387" s="5">
        <v>0</v>
      </c>
    </row>
    <row r="388" spans="1:34" x14ac:dyDescent="0.25">
      <c r="A388" t="s">
        <v>715</v>
      </c>
      <c r="B388">
        <v>2025</v>
      </c>
      <c r="C388">
        <v>3</v>
      </c>
      <c r="D388" s="1">
        <v>45743</v>
      </c>
      <c r="E388" s="1">
        <v>45743</v>
      </c>
      <c r="F388" s="1">
        <v>45743</v>
      </c>
      <c r="G388" s="1">
        <v>45743</v>
      </c>
      <c r="H388" s="2">
        <v>45743.49117523148</v>
      </c>
      <c r="I388">
        <v>2039</v>
      </c>
      <c r="J388" t="s">
        <v>30</v>
      </c>
      <c r="K388" t="s">
        <v>31</v>
      </c>
      <c r="L388">
        <v>50</v>
      </c>
      <c r="M388">
        <v>50</v>
      </c>
      <c r="N388" t="s">
        <v>32</v>
      </c>
      <c r="O388">
        <v>1</v>
      </c>
      <c r="P388">
        <v>150</v>
      </c>
      <c r="Q388" t="b">
        <v>1</v>
      </c>
      <c r="R388" t="b">
        <v>0</v>
      </c>
      <c r="S388" t="b">
        <v>0</v>
      </c>
      <c r="T388">
        <v>231</v>
      </c>
      <c r="U388">
        <v>0</v>
      </c>
      <c r="V388" t="s">
        <v>33</v>
      </c>
      <c r="W388" t="s">
        <v>33</v>
      </c>
      <c r="X388">
        <v>50</v>
      </c>
      <c r="Y388">
        <v>359</v>
      </c>
      <c r="Z388" t="s">
        <v>34</v>
      </c>
      <c r="AA388">
        <v>359</v>
      </c>
      <c r="AB388" t="s">
        <v>121</v>
      </c>
      <c r="AC388" t="s">
        <v>121</v>
      </c>
      <c r="AD388" t="str">
        <f t="shared" si="6"/>
        <v>Escobedo → Escobedo</v>
      </c>
      <c r="AE388" t="s">
        <v>1357</v>
      </c>
      <c r="AF388" s="4">
        <v>45717</v>
      </c>
      <c r="AG388" t="str">
        <f>YEAR(Table1[[#This Row],[Fecha]])&amp;" - " &amp;UPPER(TEXT(Table1[[#This Row],[Fecha]],"mm-mmm"))</f>
        <v>2025 - 03-MAR</v>
      </c>
      <c r="AH388" s="5">
        <v>0</v>
      </c>
    </row>
    <row r="389" spans="1:34" x14ac:dyDescent="0.25">
      <c r="A389" t="s">
        <v>462</v>
      </c>
      <c r="B389">
        <v>2025</v>
      </c>
      <c r="C389">
        <v>3</v>
      </c>
      <c r="D389" s="1">
        <v>45743</v>
      </c>
      <c r="E389" s="1">
        <v>45743</v>
      </c>
      <c r="F389" s="1">
        <v>45743</v>
      </c>
      <c r="G389" s="1">
        <v>45743</v>
      </c>
      <c r="H389" s="2">
        <v>45743.491633368052</v>
      </c>
      <c r="I389">
        <v>2039</v>
      </c>
      <c r="J389" t="s">
        <v>30</v>
      </c>
      <c r="K389" t="s">
        <v>31</v>
      </c>
      <c r="L389">
        <v>50</v>
      </c>
      <c r="M389">
        <v>50</v>
      </c>
      <c r="N389" t="s">
        <v>32</v>
      </c>
      <c r="O389">
        <v>1</v>
      </c>
      <c r="P389">
        <v>150</v>
      </c>
      <c r="Q389" t="b">
        <v>1</v>
      </c>
      <c r="R389" t="b">
        <v>0</v>
      </c>
      <c r="S389" t="b">
        <v>0</v>
      </c>
      <c r="T389">
        <v>231</v>
      </c>
      <c r="U389">
        <v>0</v>
      </c>
      <c r="V389" t="s">
        <v>33</v>
      </c>
      <c r="W389" t="s">
        <v>33</v>
      </c>
      <c r="X389">
        <v>50</v>
      </c>
      <c r="Y389">
        <v>2936</v>
      </c>
      <c r="Z389" t="s">
        <v>34</v>
      </c>
      <c r="AA389">
        <v>2936</v>
      </c>
      <c r="AB389" t="s">
        <v>121</v>
      </c>
      <c r="AC389" t="s">
        <v>432</v>
      </c>
      <c r="AD389" t="str">
        <f t="shared" si="6"/>
        <v>Escobedo → Hidalgo</v>
      </c>
      <c r="AE389" t="s">
        <v>1357</v>
      </c>
      <c r="AF389" s="4">
        <v>45717</v>
      </c>
      <c r="AG389" t="str">
        <f>YEAR(Table1[[#This Row],[Fecha]])&amp;" - " &amp;UPPER(TEXT(Table1[[#This Row],[Fecha]],"mm-mmm"))</f>
        <v>2025 - 03-MAR</v>
      </c>
      <c r="AH389" s="5">
        <v>0</v>
      </c>
    </row>
    <row r="390" spans="1:34" x14ac:dyDescent="0.25">
      <c r="A390" t="s">
        <v>716</v>
      </c>
      <c r="B390">
        <v>2025</v>
      </c>
      <c r="C390">
        <v>3</v>
      </c>
      <c r="D390" s="1">
        <v>45743</v>
      </c>
      <c r="E390" s="1">
        <v>45743</v>
      </c>
      <c r="F390" s="1">
        <v>45743</v>
      </c>
      <c r="G390" s="1">
        <v>45743</v>
      </c>
      <c r="H390" s="2">
        <v>45743.492624224535</v>
      </c>
      <c r="I390">
        <v>2039</v>
      </c>
      <c r="J390" t="s">
        <v>30</v>
      </c>
      <c r="K390" t="s">
        <v>31</v>
      </c>
      <c r="L390">
        <v>50</v>
      </c>
      <c r="M390">
        <v>50</v>
      </c>
      <c r="N390" t="s">
        <v>32</v>
      </c>
      <c r="O390">
        <v>1</v>
      </c>
      <c r="P390">
        <v>150</v>
      </c>
      <c r="Q390" t="b">
        <v>1</v>
      </c>
      <c r="R390" t="b">
        <v>0</v>
      </c>
      <c r="S390" t="b">
        <v>0</v>
      </c>
      <c r="T390">
        <v>231</v>
      </c>
      <c r="U390">
        <v>0</v>
      </c>
      <c r="V390" t="s">
        <v>33</v>
      </c>
      <c r="W390" t="s">
        <v>33</v>
      </c>
      <c r="X390">
        <v>50</v>
      </c>
      <c r="Y390">
        <v>359</v>
      </c>
      <c r="Z390" t="s">
        <v>34</v>
      </c>
      <c r="AA390">
        <v>359</v>
      </c>
      <c r="AB390" t="s">
        <v>121</v>
      </c>
      <c r="AC390" t="s">
        <v>121</v>
      </c>
      <c r="AD390" t="str">
        <f t="shared" si="6"/>
        <v>Escobedo → Escobedo</v>
      </c>
      <c r="AE390" t="s">
        <v>1357</v>
      </c>
      <c r="AF390" s="4">
        <v>45717</v>
      </c>
      <c r="AG390" t="str">
        <f>YEAR(Table1[[#This Row],[Fecha]])&amp;" - " &amp;UPPER(TEXT(Table1[[#This Row],[Fecha]],"mm-mmm"))</f>
        <v>2025 - 03-MAR</v>
      </c>
      <c r="AH390" s="5">
        <v>0</v>
      </c>
    </row>
    <row r="391" spans="1:34" x14ac:dyDescent="0.25">
      <c r="A391" t="s">
        <v>207</v>
      </c>
      <c r="B391">
        <v>2025</v>
      </c>
      <c r="C391">
        <v>3</v>
      </c>
      <c r="D391" s="1">
        <v>45743</v>
      </c>
      <c r="E391" s="1">
        <v>45743</v>
      </c>
      <c r="F391" s="1">
        <v>45743</v>
      </c>
      <c r="G391" s="1">
        <v>45743</v>
      </c>
      <c r="H391" s="2">
        <v>45743.493104201392</v>
      </c>
      <c r="I391">
        <v>2039</v>
      </c>
      <c r="J391" t="s">
        <v>30</v>
      </c>
      <c r="K391" t="s">
        <v>31</v>
      </c>
      <c r="L391">
        <v>50</v>
      </c>
      <c r="M391">
        <v>50</v>
      </c>
      <c r="N391" t="s">
        <v>32</v>
      </c>
      <c r="O391">
        <v>1</v>
      </c>
      <c r="P391">
        <v>150</v>
      </c>
      <c r="Q391" t="b">
        <v>1</v>
      </c>
      <c r="R391" t="b">
        <v>0</v>
      </c>
      <c r="S391" t="b">
        <v>0</v>
      </c>
      <c r="T391">
        <v>231</v>
      </c>
      <c r="U391">
        <v>0</v>
      </c>
      <c r="V391" t="s">
        <v>33</v>
      </c>
      <c r="W391" t="s">
        <v>33</v>
      </c>
      <c r="X391">
        <v>50</v>
      </c>
      <c r="Y391">
        <v>966</v>
      </c>
      <c r="Z391" t="s">
        <v>34</v>
      </c>
      <c r="AA391">
        <v>966</v>
      </c>
      <c r="AB391" t="s">
        <v>121</v>
      </c>
      <c r="AC391" t="s">
        <v>192</v>
      </c>
      <c r="AD391" t="str">
        <f t="shared" si="6"/>
        <v>Escobedo → Cienega de Flores</v>
      </c>
      <c r="AE391" t="s">
        <v>1357</v>
      </c>
      <c r="AF391" s="4">
        <v>45717</v>
      </c>
      <c r="AG391" t="str">
        <f>YEAR(Table1[[#This Row],[Fecha]])&amp;" - " &amp;UPPER(TEXT(Table1[[#This Row],[Fecha]],"mm-mmm"))</f>
        <v>2025 - 03-MAR</v>
      </c>
      <c r="AH391" s="5">
        <v>0</v>
      </c>
    </row>
    <row r="392" spans="1:34" x14ac:dyDescent="0.25">
      <c r="A392" t="s">
        <v>208</v>
      </c>
      <c r="B392">
        <v>2025</v>
      </c>
      <c r="C392">
        <v>3</v>
      </c>
      <c r="D392" s="1">
        <v>45743</v>
      </c>
      <c r="E392" s="1">
        <v>45743</v>
      </c>
      <c r="F392" s="1">
        <v>45743</v>
      </c>
      <c r="G392" s="1">
        <v>45743</v>
      </c>
      <c r="H392" s="2">
        <v>45743.493393402779</v>
      </c>
      <c r="I392">
        <v>2039</v>
      </c>
      <c r="J392" t="s">
        <v>30</v>
      </c>
      <c r="K392" t="s">
        <v>31</v>
      </c>
      <c r="L392">
        <v>50</v>
      </c>
      <c r="M392">
        <v>50</v>
      </c>
      <c r="N392" t="s">
        <v>32</v>
      </c>
      <c r="O392">
        <v>1</v>
      </c>
      <c r="P392">
        <v>150</v>
      </c>
      <c r="Q392" t="b">
        <v>1</v>
      </c>
      <c r="R392" t="b">
        <v>0</v>
      </c>
      <c r="S392" t="b">
        <v>0</v>
      </c>
      <c r="T392">
        <v>231</v>
      </c>
      <c r="U392">
        <v>0</v>
      </c>
      <c r="V392" t="s">
        <v>33</v>
      </c>
      <c r="W392" t="s">
        <v>33</v>
      </c>
      <c r="X392">
        <v>50</v>
      </c>
      <c r="Y392">
        <v>966</v>
      </c>
      <c r="Z392" t="s">
        <v>34</v>
      </c>
      <c r="AA392">
        <v>966</v>
      </c>
      <c r="AB392" t="s">
        <v>121</v>
      </c>
      <c r="AC392" t="s">
        <v>192</v>
      </c>
      <c r="AD392" t="str">
        <f t="shared" si="6"/>
        <v>Escobedo → Cienega de Flores</v>
      </c>
      <c r="AE392" t="s">
        <v>1357</v>
      </c>
      <c r="AF392" s="4">
        <v>45717</v>
      </c>
      <c r="AG392" t="str">
        <f>YEAR(Table1[[#This Row],[Fecha]])&amp;" - " &amp;UPPER(TEXT(Table1[[#This Row],[Fecha]],"mm-mmm"))</f>
        <v>2025 - 03-MAR</v>
      </c>
      <c r="AH392" s="5">
        <v>0</v>
      </c>
    </row>
    <row r="393" spans="1:34" x14ac:dyDescent="0.25">
      <c r="A393" t="s">
        <v>461</v>
      </c>
      <c r="B393">
        <v>2025</v>
      </c>
      <c r="C393">
        <v>3</v>
      </c>
      <c r="D393" s="1">
        <v>45743</v>
      </c>
      <c r="E393" s="1">
        <v>45743</v>
      </c>
      <c r="F393" s="1">
        <v>45743</v>
      </c>
      <c r="G393" s="1">
        <v>45743</v>
      </c>
      <c r="H393" s="2">
        <v>45743.493824849538</v>
      </c>
      <c r="I393">
        <v>2039</v>
      </c>
      <c r="J393" t="s">
        <v>30</v>
      </c>
      <c r="K393" t="s">
        <v>31</v>
      </c>
      <c r="L393">
        <v>50</v>
      </c>
      <c r="M393">
        <v>50</v>
      </c>
      <c r="N393" t="s">
        <v>32</v>
      </c>
      <c r="O393">
        <v>1</v>
      </c>
      <c r="P393">
        <v>150</v>
      </c>
      <c r="Q393" t="b">
        <v>1</v>
      </c>
      <c r="R393" t="b">
        <v>0</v>
      </c>
      <c r="S393" t="b">
        <v>0</v>
      </c>
      <c r="T393">
        <v>231</v>
      </c>
      <c r="U393">
        <v>0</v>
      </c>
      <c r="V393" t="s">
        <v>33</v>
      </c>
      <c r="W393" t="s">
        <v>33</v>
      </c>
      <c r="X393">
        <v>50</v>
      </c>
      <c r="Y393">
        <v>2936</v>
      </c>
      <c r="Z393" t="s">
        <v>34</v>
      </c>
      <c r="AA393">
        <v>2936</v>
      </c>
      <c r="AB393" t="s">
        <v>121</v>
      </c>
      <c r="AC393" t="s">
        <v>432</v>
      </c>
      <c r="AD393" t="str">
        <f t="shared" si="6"/>
        <v>Escobedo → Hidalgo</v>
      </c>
      <c r="AE393" t="s">
        <v>1357</v>
      </c>
      <c r="AF393" s="4">
        <v>45717</v>
      </c>
      <c r="AG393" t="str">
        <f>YEAR(Table1[[#This Row],[Fecha]])&amp;" - " &amp;UPPER(TEXT(Table1[[#This Row],[Fecha]],"mm-mmm"))</f>
        <v>2025 - 03-MAR</v>
      </c>
      <c r="AH393" s="5">
        <v>0</v>
      </c>
    </row>
    <row r="394" spans="1:34" x14ac:dyDescent="0.25">
      <c r="A394" t="s">
        <v>717</v>
      </c>
      <c r="B394">
        <v>2025</v>
      </c>
      <c r="C394">
        <v>3</v>
      </c>
      <c r="D394" s="1">
        <v>45743</v>
      </c>
      <c r="E394" s="1">
        <v>45743</v>
      </c>
      <c r="F394" s="1">
        <v>45743</v>
      </c>
      <c r="G394" s="1">
        <v>45743</v>
      </c>
      <c r="H394" s="2">
        <v>45743.494230208336</v>
      </c>
      <c r="I394">
        <v>2039</v>
      </c>
      <c r="J394" t="s">
        <v>30</v>
      </c>
      <c r="K394" t="s">
        <v>31</v>
      </c>
      <c r="L394">
        <v>50</v>
      </c>
      <c r="M394">
        <v>50</v>
      </c>
      <c r="N394" t="s">
        <v>32</v>
      </c>
      <c r="O394">
        <v>1</v>
      </c>
      <c r="P394">
        <v>150</v>
      </c>
      <c r="Q394" t="b">
        <v>1</v>
      </c>
      <c r="R394" t="b">
        <v>0</v>
      </c>
      <c r="S394" t="b">
        <v>0</v>
      </c>
      <c r="T394">
        <v>231</v>
      </c>
      <c r="U394">
        <v>0</v>
      </c>
      <c r="V394" t="s">
        <v>33</v>
      </c>
      <c r="W394" t="s">
        <v>33</v>
      </c>
      <c r="X394">
        <v>50</v>
      </c>
      <c r="Y394">
        <v>359</v>
      </c>
      <c r="Z394" t="s">
        <v>34</v>
      </c>
      <c r="AA394">
        <v>359</v>
      </c>
      <c r="AB394" t="s">
        <v>121</v>
      </c>
      <c r="AC394" t="s">
        <v>121</v>
      </c>
      <c r="AD394" t="str">
        <f t="shared" si="6"/>
        <v>Escobedo → Escobedo</v>
      </c>
      <c r="AE394" t="s">
        <v>1357</v>
      </c>
      <c r="AF394" s="4">
        <v>45717</v>
      </c>
      <c r="AG394" t="str">
        <f>YEAR(Table1[[#This Row],[Fecha]])&amp;" - " &amp;UPPER(TEXT(Table1[[#This Row],[Fecha]],"mm-mmm"))</f>
        <v>2025 - 03-MAR</v>
      </c>
      <c r="AH394" s="5">
        <v>0</v>
      </c>
    </row>
    <row r="395" spans="1:34" x14ac:dyDescent="0.25">
      <c r="A395" t="s">
        <v>718</v>
      </c>
      <c r="B395">
        <v>2025</v>
      </c>
      <c r="C395">
        <v>3</v>
      </c>
      <c r="D395" s="1">
        <v>45743</v>
      </c>
      <c r="E395" s="1">
        <v>45743</v>
      </c>
      <c r="F395" s="1">
        <v>45743</v>
      </c>
      <c r="G395" s="1">
        <v>45743</v>
      </c>
      <c r="H395" s="2">
        <v>45743.494696030095</v>
      </c>
      <c r="I395">
        <v>2039</v>
      </c>
      <c r="J395" t="s">
        <v>30</v>
      </c>
      <c r="K395" t="s">
        <v>31</v>
      </c>
      <c r="L395">
        <v>50</v>
      </c>
      <c r="M395">
        <v>50</v>
      </c>
      <c r="N395" t="s">
        <v>32</v>
      </c>
      <c r="O395">
        <v>1</v>
      </c>
      <c r="P395">
        <v>150</v>
      </c>
      <c r="Q395" t="b">
        <v>1</v>
      </c>
      <c r="R395" t="b">
        <v>0</v>
      </c>
      <c r="S395" t="b">
        <v>0</v>
      </c>
      <c r="T395">
        <v>231</v>
      </c>
      <c r="U395">
        <v>0</v>
      </c>
      <c r="V395" t="s">
        <v>33</v>
      </c>
      <c r="W395" t="s">
        <v>33</v>
      </c>
      <c r="X395">
        <v>50</v>
      </c>
      <c r="Y395">
        <v>359</v>
      </c>
      <c r="Z395" t="s">
        <v>34</v>
      </c>
      <c r="AA395">
        <v>359</v>
      </c>
      <c r="AB395" t="s">
        <v>121</v>
      </c>
      <c r="AC395" t="s">
        <v>121</v>
      </c>
      <c r="AD395" t="str">
        <f t="shared" si="6"/>
        <v>Escobedo → Escobedo</v>
      </c>
      <c r="AE395" t="s">
        <v>1357</v>
      </c>
      <c r="AF395" s="4">
        <v>45717</v>
      </c>
      <c r="AG395" t="str">
        <f>YEAR(Table1[[#This Row],[Fecha]])&amp;" - " &amp;UPPER(TEXT(Table1[[#This Row],[Fecha]],"mm-mmm"))</f>
        <v>2025 - 03-MAR</v>
      </c>
      <c r="AH395" s="5">
        <v>0</v>
      </c>
    </row>
    <row r="396" spans="1:34" x14ac:dyDescent="0.25">
      <c r="A396" t="s">
        <v>719</v>
      </c>
      <c r="B396">
        <v>2025</v>
      </c>
      <c r="C396">
        <v>3</v>
      </c>
      <c r="D396" s="1">
        <v>45743</v>
      </c>
      <c r="E396" s="1">
        <v>45743</v>
      </c>
      <c r="F396" s="1">
        <v>45743</v>
      </c>
      <c r="G396" s="1">
        <v>45743</v>
      </c>
      <c r="H396" s="2">
        <v>45743.495178275465</v>
      </c>
      <c r="I396">
        <v>2039</v>
      </c>
      <c r="J396" t="s">
        <v>30</v>
      </c>
      <c r="K396" t="s">
        <v>31</v>
      </c>
      <c r="L396">
        <v>50</v>
      </c>
      <c r="M396">
        <v>50</v>
      </c>
      <c r="N396" t="s">
        <v>32</v>
      </c>
      <c r="O396">
        <v>1</v>
      </c>
      <c r="P396">
        <v>150</v>
      </c>
      <c r="Q396" t="b">
        <v>1</v>
      </c>
      <c r="R396" t="b">
        <v>0</v>
      </c>
      <c r="S396" t="b">
        <v>0</v>
      </c>
      <c r="T396">
        <v>231</v>
      </c>
      <c r="U396">
        <v>0</v>
      </c>
      <c r="V396" t="s">
        <v>33</v>
      </c>
      <c r="W396" t="s">
        <v>33</v>
      </c>
      <c r="X396">
        <v>50</v>
      </c>
      <c r="Y396">
        <v>359</v>
      </c>
      <c r="Z396" t="s">
        <v>34</v>
      </c>
      <c r="AA396">
        <v>359</v>
      </c>
      <c r="AB396" t="s">
        <v>121</v>
      </c>
      <c r="AC396" t="s">
        <v>121</v>
      </c>
      <c r="AD396" t="str">
        <f t="shared" si="6"/>
        <v>Escobedo → Escobedo</v>
      </c>
      <c r="AE396" t="s">
        <v>1357</v>
      </c>
      <c r="AF396" s="4">
        <v>45717</v>
      </c>
      <c r="AG396" t="str">
        <f>YEAR(Table1[[#This Row],[Fecha]])&amp;" - " &amp;UPPER(TEXT(Table1[[#This Row],[Fecha]],"mm-mmm"))</f>
        <v>2025 - 03-MAR</v>
      </c>
      <c r="AH396" s="5">
        <v>0</v>
      </c>
    </row>
    <row r="397" spans="1:34" x14ac:dyDescent="0.25">
      <c r="A397" t="s">
        <v>206</v>
      </c>
      <c r="B397">
        <v>2025</v>
      </c>
      <c r="C397">
        <v>3</v>
      </c>
      <c r="D397" s="1">
        <v>45744</v>
      </c>
      <c r="E397" s="1">
        <v>45744</v>
      </c>
      <c r="F397" s="1">
        <v>45744</v>
      </c>
      <c r="G397" s="1">
        <v>45744</v>
      </c>
      <c r="H397" s="1">
        <v>45744</v>
      </c>
      <c r="I397">
        <v>2192</v>
      </c>
      <c r="J397" t="s">
        <v>30</v>
      </c>
      <c r="K397" t="s">
        <v>31</v>
      </c>
      <c r="L397">
        <v>50</v>
      </c>
      <c r="M397">
        <v>50</v>
      </c>
      <c r="N397" t="s">
        <v>37</v>
      </c>
      <c r="O397">
        <v>1</v>
      </c>
      <c r="P397">
        <v>150</v>
      </c>
      <c r="Q397" t="b">
        <v>1</v>
      </c>
      <c r="R397" t="b">
        <v>0</v>
      </c>
      <c r="S397" t="b">
        <v>0</v>
      </c>
      <c r="T397">
        <v>231</v>
      </c>
      <c r="U397">
        <v>0</v>
      </c>
      <c r="V397" t="s">
        <v>33</v>
      </c>
      <c r="W397" t="s">
        <v>33</v>
      </c>
      <c r="X397">
        <v>50</v>
      </c>
      <c r="Y397">
        <v>966</v>
      </c>
      <c r="Z397" t="s">
        <v>34</v>
      </c>
      <c r="AA397">
        <v>966</v>
      </c>
      <c r="AB397" t="s">
        <v>121</v>
      </c>
      <c r="AC397" t="s">
        <v>192</v>
      </c>
      <c r="AD397" t="str">
        <f t="shared" si="6"/>
        <v>Escobedo → Cienega de Flores</v>
      </c>
      <c r="AE397" t="s">
        <v>1357</v>
      </c>
      <c r="AF397" s="4">
        <v>45717</v>
      </c>
      <c r="AG397" t="str">
        <f>YEAR(Table1[[#This Row],[Fecha]])&amp;" - " &amp;UPPER(TEXT(Table1[[#This Row],[Fecha]],"mm-mmm"))</f>
        <v>2025 - 03-MAR</v>
      </c>
      <c r="AH397" s="5">
        <v>0</v>
      </c>
    </row>
    <row r="398" spans="1:34" x14ac:dyDescent="0.25">
      <c r="A398" t="s">
        <v>720</v>
      </c>
      <c r="B398">
        <v>2025</v>
      </c>
      <c r="C398">
        <v>3</v>
      </c>
      <c r="D398" s="1">
        <v>45744</v>
      </c>
      <c r="E398" s="1">
        <v>45744</v>
      </c>
      <c r="F398" s="1">
        <v>45744</v>
      </c>
      <c r="G398" s="1">
        <v>45744</v>
      </c>
      <c r="H398" s="1">
        <v>45744</v>
      </c>
      <c r="I398">
        <v>2192</v>
      </c>
      <c r="J398" t="s">
        <v>30</v>
      </c>
      <c r="K398" t="s">
        <v>31</v>
      </c>
      <c r="L398">
        <v>50</v>
      </c>
      <c r="M398">
        <v>50</v>
      </c>
      <c r="N398" t="s">
        <v>37</v>
      </c>
      <c r="O398">
        <v>1</v>
      </c>
      <c r="P398">
        <v>150</v>
      </c>
      <c r="Q398" t="b">
        <v>1</v>
      </c>
      <c r="R398" t="b">
        <v>0</v>
      </c>
      <c r="S398" t="b">
        <v>0</v>
      </c>
      <c r="T398">
        <v>231</v>
      </c>
      <c r="U398">
        <v>0</v>
      </c>
      <c r="V398" t="s">
        <v>33</v>
      </c>
      <c r="W398" t="s">
        <v>33</v>
      </c>
      <c r="X398">
        <v>50</v>
      </c>
      <c r="Y398">
        <v>359</v>
      </c>
      <c r="Z398" t="s">
        <v>34</v>
      </c>
      <c r="AA398">
        <v>359</v>
      </c>
      <c r="AB398" t="s">
        <v>121</v>
      </c>
      <c r="AC398" t="s">
        <v>121</v>
      </c>
      <c r="AD398" t="str">
        <f t="shared" si="6"/>
        <v>Escobedo → Escobedo</v>
      </c>
      <c r="AE398" t="s">
        <v>1357</v>
      </c>
      <c r="AF398" s="4">
        <v>45717</v>
      </c>
      <c r="AG398" t="str">
        <f>YEAR(Table1[[#This Row],[Fecha]])&amp;" - " &amp;UPPER(TEXT(Table1[[#This Row],[Fecha]],"mm-mmm"))</f>
        <v>2025 - 03-MAR</v>
      </c>
      <c r="AH398" s="5">
        <v>0</v>
      </c>
    </row>
    <row r="399" spans="1:34" x14ac:dyDescent="0.25">
      <c r="A399" t="s">
        <v>465</v>
      </c>
      <c r="B399">
        <v>2025</v>
      </c>
      <c r="C399">
        <v>3</v>
      </c>
      <c r="D399" s="1">
        <v>45744</v>
      </c>
      <c r="E399" s="1">
        <v>45744</v>
      </c>
      <c r="F399" s="1">
        <v>45744</v>
      </c>
      <c r="G399" s="1">
        <v>45744</v>
      </c>
      <c r="H399" s="1">
        <v>45744</v>
      </c>
      <c r="I399">
        <v>2192</v>
      </c>
      <c r="J399" t="s">
        <v>30</v>
      </c>
      <c r="K399" t="s">
        <v>31</v>
      </c>
      <c r="L399">
        <v>50</v>
      </c>
      <c r="M399">
        <v>50</v>
      </c>
      <c r="N399" t="s">
        <v>37</v>
      </c>
      <c r="O399">
        <v>1</v>
      </c>
      <c r="P399">
        <v>150</v>
      </c>
      <c r="Q399" t="b">
        <v>1</v>
      </c>
      <c r="R399" t="b">
        <v>0</v>
      </c>
      <c r="S399" t="b">
        <v>0</v>
      </c>
      <c r="T399">
        <v>231</v>
      </c>
      <c r="U399">
        <v>0</v>
      </c>
      <c r="V399" t="s">
        <v>33</v>
      </c>
      <c r="W399" t="s">
        <v>33</v>
      </c>
      <c r="X399">
        <v>50</v>
      </c>
      <c r="Y399">
        <v>2936</v>
      </c>
      <c r="Z399" t="s">
        <v>34</v>
      </c>
      <c r="AA399">
        <v>2936</v>
      </c>
      <c r="AB399" t="s">
        <v>121</v>
      </c>
      <c r="AC399" t="s">
        <v>432</v>
      </c>
      <c r="AD399" t="str">
        <f t="shared" si="6"/>
        <v>Escobedo → Hidalgo</v>
      </c>
      <c r="AE399" t="s">
        <v>1357</v>
      </c>
      <c r="AF399" s="4">
        <v>45717</v>
      </c>
      <c r="AG399" t="str">
        <f>YEAR(Table1[[#This Row],[Fecha]])&amp;" - " &amp;UPPER(TEXT(Table1[[#This Row],[Fecha]],"mm-mmm"))</f>
        <v>2025 - 03-MAR</v>
      </c>
      <c r="AH399" s="5">
        <v>0</v>
      </c>
    </row>
    <row r="400" spans="1:34" x14ac:dyDescent="0.25">
      <c r="A400" t="s">
        <v>466</v>
      </c>
      <c r="B400">
        <v>2025</v>
      </c>
      <c r="C400">
        <v>3</v>
      </c>
      <c r="D400" s="1">
        <v>45719</v>
      </c>
      <c r="E400" s="1">
        <v>45719</v>
      </c>
      <c r="F400" s="1">
        <v>45719</v>
      </c>
      <c r="G400" s="1">
        <v>45719</v>
      </c>
      <c r="H400" s="2">
        <v>45719.62620165509</v>
      </c>
      <c r="I400">
        <v>2050</v>
      </c>
      <c r="J400" t="s">
        <v>54</v>
      </c>
      <c r="K400" t="s">
        <v>31</v>
      </c>
      <c r="L400">
        <v>50</v>
      </c>
      <c r="M400">
        <v>50</v>
      </c>
      <c r="N400" t="s">
        <v>55</v>
      </c>
      <c r="O400">
        <v>1</v>
      </c>
      <c r="P400">
        <v>150</v>
      </c>
      <c r="Q400" t="b">
        <v>1</v>
      </c>
      <c r="R400" t="b">
        <v>0</v>
      </c>
      <c r="S400" t="b">
        <v>0</v>
      </c>
      <c r="T400">
        <v>231</v>
      </c>
      <c r="U400">
        <v>0</v>
      </c>
      <c r="V400" t="s">
        <v>33</v>
      </c>
      <c r="W400" t="s">
        <v>33</v>
      </c>
      <c r="X400">
        <v>50</v>
      </c>
      <c r="Y400">
        <v>2936</v>
      </c>
      <c r="Z400" t="s">
        <v>34</v>
      </c>
      <c r="AA400">
        <v>2936</v>
      </c>
      <c r="AB400" t="s">
        <v>121</v>
      </c>
      <c r="AC400" t="s">
        <v>432</v>
      </c>
      <c r="AD400" t="str">
        <f t="shared" si="6"/>
        <v>Escobedo → Hidalgo</v>
      </c>
      <c r="AE400" t="s">
        <v>1358</v>
      </c>
      <c r="AF400" s="4">
        <v>45717</v>
      </c>
      <c r="AG400" t="str">
        <f>YEAR(Table1[[#This Row],[Fecha]])&amp;" - " &amp;UPPER(TEXT(Table1[[#This Row],[Fecha]],"mm-mmm"))</f>
        <v>2025 - 03-MAR</v>
      </c>
      <c r="AH400" s="5">
        <v>0</v>
      </c>
    </row>
    <row r="401" spans="1:34" x14ac:dyDescent="0.25">
      <c r="A401" t="s">
        <v>721</v>
      </c>
      <c r="B401">
        <v>2025</v>
      </c>
      <c r="C401">
        <v>3</v>
      </c>
      <c r="D401" s="1">
        <v>45744</v>
      </c>
      <c r="E401" s="1">
        <v>45744</v>
      </c>
      <c r="F401" s="1">
        <v>45744</v>
      </c>
      <c r="G401" s="1">
        <v>45744</v>
      </c>
      <c r="H401" s="1">
        <v>45744</v>
      </c>
      <c r="I401">
        <v>2192</v>
      </c>
      <c r="J401" t="s">
        <v>30</v>
      </c>
      <c r="K401" t="s">
        <v>31</v>
      </c>
      <c r="L401">
        <v>50</v>
      </c>
      <c r="M401">
        <v>50</v>
      </c>
      <c r="N401" t="s">
        <v>37</v>
      </c>
      <c r="O401">
        <v>1</v>
      </c>
      <c r="P401">
        <v>150</v>
      </c>
      <c r="Q401" t="b">
        <v>1</v>
      </c>
      <c r="R401" t="b">
        <v>0</v>
      </c>
      <c r="S401" t="b">
        <v>0</v>
      </c>
      <c r="T401">
        <v>231</v>
      </c>
      <c r="U401">
        <v>0</v>
      </c>
      <c r="V401" t="s">
        <v>33</v>
      </c>
      <c r="W401" t="s">
        <v>33</v>
      </c>
      <c r="X401">
        <v>50</v>
      </c>
      <c r="Y401">
        <v>359</v>
      </c>
      <c r="Z401" t="s">
        <v>34</v>
      </c>
      <c r="AA401">
        <v>359</v>
      </c>
      <c r="AB401" t="s">
        <v>121</v>
      </c>
      <c r="AC401" t="s">
        <v>121</v>
      </c>
      <c r="AD401" t="str">
        <f t="shared" si="6"/>
        <v>Escobedo → Escobedo</v>
      </c>
      <c r="AE401" t="s">
        <v>1357</v>
      </c>
      <c r="AF401" s="4">
        <v>45717</v>
      </c>
      <c r="AG401" t="str">
        <f>YEAR(Table1[[#This Row],[Fecha]])&amp;" - " &amp;UPPER(TEXT(Table1[[#This Row],[Fecha]],"mm-mmm"))</f>
        <v>2025 - 03-MAR</v>
      </c>
      <c r="AH401" s="5">
        <v>0</v>
      </c>
    </row>
    <row r="402" spans="1:34" x14ac:dyDescent="0.25">
      <c r="A402" t="s">
        <v>205</v>
      </c>
      <c r="B402">
        <v>2025</v>
      </c>
      <c r="C402">
        <v>3</v>
      </c>
      <c r="D402" s="1">
        <v>45744</v>
      </c>
      <c r="E402" s="1">
        <v>45744</v>
      </c>
      <c r="F402" s="1">
        <v>45744</v>
      </c>
      <c r="G402" s="1">
        <v>45744</v>
      </c>
      <c r="H402" s="2">
        <v>45744.887385879629</v>
      </c>
      <c r="I402">
        <v>2039</v>
      </c>
      <c r="J402" t="s">
        <v>30</v>
      </c>
      <c r="K402" t="s">
        <v>31</v>
      </c>
      <c r="L402">
        <v>50</v>
      </c>
      <c r="M402">
        <v>50</v>
      </c>
      <c r="N402" t="s">
        <v>32</v>
      </c>
      <c r="O402">
        <v>1</v>
      </c>
      <c r="P402">
        <v>150</v>
      </c>
      <c r="Q402" t="b">
        <v>1</v>
      </c>
      <c r="R402" t="b">
        <v>0</v>
      </c>
      <c r="S402" t="b">
        <v>0</v>
      </c>
      <c r="T402">
        <v>231</v>
      </c>
      <c r="U402">
        <v>0</v>
      </c>
      <c r="V402" t="s">
        <v>33</v>
      </c>
      <c r="W402" t="s">
        <v>33</v>
      </c>
      <c r="X402">
        <v>50</v>
      </c>
      <c r="Y402">
        <v>966</v>
      </c>
      <c r="Z402" t="s">
        <v>34</v>
      </c>
      <c r="AA402">
        <v>966</v>
      </c>
      <c r="AB402" t="s">
        <v>121</v>
      </c>
      <c r="AC402" t="s">
        <v>192</v>
      </c>
      <c r="AD402" t="str">
        <f t="shared" si="6"/>
        <v>Escobedo → Cienega de Flores</v>
      </c>
      <c r="AE402" t="s">
        <v>1357</v>
      </c>
      <c r="AF402" s="4">
        <v>45717</v>
      </c>
      <c r="AG402" t="str">
        <f>YEAR(Table1[[#This Row],[Fecha]])&amp;" - " &amp;UPPER(TEXT(Table1[[#This Row],[Fecha]],"mm-mmm"))</f>
        <v>2025 - 03-MAR</v>
      </c>
      <c r="AH402" s="5">
        <v>0</v>
      </c>
    </row>
    <row r="403" spans="1:34" x14ac:dyDescent="0.25">
      <c r="A403" t="s">
        <v>723</v>
      </c>
      <c r="B403">
        <v>2025</v>
      </c>
      <c r="C403">
        <v>3</v>
      </c>
      <c r="D403" s="1">
        <v>45744</v>
      </c>
      <c r="E403" s="1">
        <v>45744</v>
      </c>
      <c r="F403" s="1">
        <v>45744</v>
      </c>
      <c r="G403" s="1">
        <v>45744</v>
      </c>
      <c r="H403" s="2">
        <v>45744.887711655094</v>
      </c>
      <c r="I403">
        <v>2039</v>
      </c>
      <c r="J403" t="s">
        <v>30</v>
      </c>
      <c r="K403" t="s">
        <v>31</v>
      </c>
      <c r="L403">
        <v>50</v>
      </c>
      <c r="M403">
        <v>50</v>
      </c>
      <c r="N403" t="s">
        <v>32</v>
      </c>
      <c r="O403">
        <v>1</v>
      </c>
      <c r="P403">
        <v>150</v>
      </c>
      <c r="Q403" t="b">
        <v>1</v>
      </c>
      <c r="R403" t="b">
        <v>0</v>
      </c>
      <c r="S403" t="b">
        <v>0</v>
      </c>
      <c r="T403">
        <v>231</v>
      </c>
      <c r="U403">
        <v>0</v>
      </c>
      <c r="V403" t="s">
        <v>33</v>
      </c>
      <c r="W403" t="s">
        <v>33</v>
      </c>
      <c r="X403">
        <v>50</v>
      </c>
      <c r="Y403">
        <v>359</v>
      </c>
      <c r="Z403" t="s">
        <v>34</v>
      </c>
      <c r="AA403">
        <v>359</v>
      </c>
      <c r="AB403" t="s">
        <v>121</v>
      </c>
      <c r="AC403" t="s">
        <v>121</v>
      </c>
      <c r="AD403" t="str">
        <f t="shared" si="6"/>
        <v>Escobedo → Escobedo</v>
      </c>
      <c r="AE403" t="s">
        <v>1357</v>
      </c>
      <c r="AF403" s="4">
        <v>45717</v>
      </c>
      <c r="AG403" t="str">
        <f>YEAR(Table1[[#This Row],[Fecha]])&amp;" - " &amp;UPPER(TEXT(Table1[[#This Row],[Fecha]],"mm-mmm"))</f>
        <v>2025 - 03-MAR</v>
      </c>
      <c r="AH403" s="5">
        <v>0</v>
      </c>
    </row>
    <row r="404" spans="1:34" x14ac:dyDescent="0.25">
      <c r="A404" t="s">
        <v>469</v>
      </c>
      <c r="B404">
        <v>2025</v>
      </c>
      <c r="C404">
        <v>3</v>
      </c>
      <c r="D404" s="1">
        <v>45744</v>
      </c>
      <c r="E404" s="1">
        <v>45744</v>
      </c>
      <c r="F404" s="1">
        <v>45744</v>
      </c>
      <c r="G404" s="1">
        <v>45744</v>
      </c>
      <c r="H404" s="2">
        <v>45744.88802658565</v>
      </c>
      <c r="I404">
        <v>2039</v>
      </c>
      <c r="J404" t="s">
        <v>30</v>
      </c>
      <c r="K404" t="s">
        <v>31</v>
      </c>
      <c r="L404">
        <v>50</v>
      </c>
      <c r="M404">
        <v>50</v>
      </c>
      <c r="N404" t="s">
        <v>32</v>
      </c>
      <c r="O404">
        <v>1</v>
      </c>
      <c r="P404">
        <v>150</v>
      </c>
      <c r="Q404" t="b">
        <v>1</v>
      </c>
      <c r="R404" t="b">
        <v>0</v>
      </c>
      <c r="S404" t="b">
        <v>0</v>
      </c>
      <c r="T404">
        <v>231</v>
      </c>
      <c r="U404">
        <v>0</v>
      </c>
      <c r="V404" t="s">
        <v>33</v>
      </c>
      <c r="W404" t="s">
        <v>33</v>
      </c>
      <c r="X404">
        <v>50</v>
      </c>
      <c r="Y404">
        <v>2936</v>
      </c>
      <c r="Z404" t="s">
        <v>34</v>
      </c>
      <c r="AA404">
        <v>2936</v>
      </c>
      <c r="AB404" t="s">
        <v>121</v>
      </c>
      <c r="AC404" t="s">
        <v>432</v>
      </c>
      <c r="AD404" t="str">
        <f t="shared" si="6"/>
        <v>Escobedo → Hidalgo</v>
      </c>
      <c r="AE404" t="s">
        <v>1357</v>
      </c>
      <c r="AF404" s="4">
        <v>45717</v>
      </c>
      <c r="AG404" t="str">
        <f>YEAR(Table1[[#This Row],[Fecha]])&amp;" - " &amp;UPPER(TEXT(Table1[[#This Row],[Fecha]],"mm-mmm"))</f>
        <v>2025 - 03-MAR</v>
      </c>
      <c r="AH404" s="5">
        <v>0</v>
      </c>
    </row>
    <row r="405" spans="1:34" x14ac:dyDescent="0.25">
      <c r="A405" t="s">
        <v>470</v>
      </c>
      <c r="B405">
        <v>2025</v>
      </c>
      <c r="C405">
        <v>3</v>
      </c>
      <c r="D405" s="1">
        <v>45745</v>
      </c>
      <c r="E405" s="1">
        <v>45745</v>
      </c>
      <c r="F405" s="1">
        <v>45745</v>
      </c>
      <c r="G405" s="1">
        <v>45745</v>
      </c>
      <c r="H405" s="2">
        <v>45745.559140509256</v>
      </c>
      <c r="I405">
        <v>2039</v>
      </c>
      <c r="J405" t="s">
        <v>30</v>
      </c>
      <c r="K405" t="s">
        <v>31</v>
      </c>
      <c r="L405">
        <v>50</v>
      </c>
      <c r="M405">
        <v>50</v>
      </c>
      <c r="N405" t="s">
        <v>32</v>
      </c>
      <c r="O405">
        <v>1</v>
      </c>
      <c r="P405">
        <v>150</v>
      </c>
      <c r="Q405" t="b">
        <v>1</v>
      </c>
      <c r="R405" t="b">
        <v>0</v>
      </c>
      <c r="S405" t="b">
        <v>0</v>
      </c>
      <c r="T405">
        <v>231</v>
      </c>
      <c r="U405">
        <v>0</v>
      </c>
      <c r="V405" t="s">
        <v>33</v>
      </c>
      <c r="W405" t="s">
        <v>33</v>
      </c>
      <c r="X405">
        <v>50</v>
      </c>
      <c r="Y405">
        <v>2936</v>
      </c>
      <c r="Z405" t="s">
        <v>34</v>
      </c>
      <c r="AA405">
        <v>2936</v>
      </c>
      <c r="AB405" t="s">
        <v>121</v>
      </c>
      <c r="AC405" t="s">
        <v>432</v>
      </c>
      <c r="AD405" t="str">
        <f t="shared" si="6"/>
        <v>Escobedo → Hidalgo</v>
      </c>
      <c r="AE405" t="s">
        <v>1357</v>
      </c>
      <c r="AF405" s="4">
        <v>45717</v>
      </c>
      <c r="AG405" t="str">
        <f>YEAR(Table1[[#This Row],[Fecha]])&amp;" - " &amp;UPPER(TEXT(Table1[[#This Row],[Fecha]],"mm-mmm"))</f>
        <v>2025 - 03-MAR</v>
      </c>
      <c r="AH405" s="5">
        <v>0</v>
      </c>
    </row>
    <row r="406" spans="1:34" x14ac:dyDescent="0.25">
      <c r="A406" t="s">
        <v>722</v>
      </c>
      <c r="B406">
        <v>2025</v>
      </c>
      <c r="C406">
        <v>3</v>
      </c>
      <c r="D406" s="1">
        <v>45719</v>
      </c>
      <c r="E406" s="1">
        <v>45719</v>
      </c>
      <c r="F406" s="1">
        <v>45719</v>
      </c>
      <c r="G406" s="1">
        <v>45719</v>
      </c>
      <c r="H406" s="2">
        <v>45720.385699849539</v>
      </c>
      <c r="I406">
        <v>2050</v>
      </c>
      <c r="J406" t="s">
        <v>54</v>
      </c>
      <c r="K406" t="s">
        <v>31</v>
      </c>
      <c r="L406">
        <v>50</v>
      </c>
      <c r="M406">
        <v>50</v>
      </c>
      <c r="N406" t="s">
        <v>55</v>
      </c>
      <c r="O406">
        <v>1</v>
      </c>
      <c r="P406">
        <v>150</v>
      </c>
      <c r="Q406" t="b">
        <v>1</v>
      </c>
      <c r="R406" t="b">
        <v>0</v>
      </c>
      <c r="S406" t="b">
        <v>0</v>
      </c>
      <c r="T406">
        <v>231</v>
      </c>
      <c r="U406">
        <v>0</v>
      </c>
      <c r="V406" t="s">
        <v>33</v>
      </c>
      <c r="W406" t="s">
        <v>33</v>
      </c>
      <c r="X406">
        <v>50</v>
      </c>
      <c r="Y406">
        <v>359</v>
      </c>
      <c r="Z406" t="s">
        <v>34</v>
      </c>
      <c r="AA406">
        <v>359</v>
      </c>
      <c r="AB406" t="s">
        <v>121</v>
      </c>
      <c r="AC406" t="s">
        <v>121</v>
      </c>
      <c r="AD406" t="str">
        <f t="shared" si="6"/>
        <v>Escobedo → Escobedo</v>
      </c>
      <c r="AE406" t="s">
        <v>1358</v>
      </c>
      <c r="AF406" s="4">
        <v>45717</v>
      </c>
      <c r="AG406" t="str">
        <f>YEAR(Table1[[#This Row],[Fecha]])&amp;" - " &amp;UPPER(TEXT(Table1[[#This Row],[Fecha]],"mm-mmm"))</f>
        <v>2025 - 03-MAR</v>
      </c>
      <c r="AH406" s="5">
        <v>0</v>
      </c>
    </row>
    <row r="407" spans="1:34" x14ac:dyDescent="0.25">
      <c r="A407" t="s">
        <v>203</v>
      </c>
      <c r="B407">
        <v>2025</v>
      </c>
      <c r="C407">
        <v>3</v>
      </c>
      <c r="D407" s="1">
        <v>45747</v>
      </c>
      <c r="E407" s="1">
        <v>45747</v>
      </c>
      <c r="F407" s="1">
        <v>45747</v>
      </c>
      <c r="G407" s="1">
        <v>45747</v>
      </c>
      <c r="H407" s="2">
        <v>45747.562453819446</v>
      </c>
      <c r="I407">
        <v>2039</v>
      </c>
      <c r="J407" t="s">
        <v>30</v>
      </c>
      <c r="K407" t="s">
        <v>31</v>
      </c>
      <c r="L407">
        <v>50</v>
      </c>
      <c r="M407">
        <v>50</v>
      </c>
      <c r="N407" t="s">
        <v>32</v>
      </c>
      <c r="O407">
        <v>1</v>
      </c>
      <c r="P407">
        <v>150</v>
      </c>
      <c r="Q407" t="b">
        <v>1</v>
      </c>
      <c r="R407" t="b">
        <v>0</v>
      </c>
      <c r="S407" t="b">
        <v>0</v>
      </c>
      <c r="T407">
        <v>231</v>
      </c>
      <c r="U407">
        <v>0</v>
      </c>
      <c r="V407" t="s">
        <v>33</v>
      </c>
      <c r="W407" t="s">
        <v>33</v>
      </c>
      <c r="X407">
        <v>50</v>
      </c>
      <c r="Y407">
        <v>966</v>
      </c>
      <c r="Z407" t="s">
        <v>34</v>
      </c>
      <c r="AA407">
        <v>966</v>
      </c>
      <c r="AB407" t="s">
        <v>121</v>
      </c>
      <c r="AC407" t="s">
        <v>192</v>
      </c>
      <c r="AD407" t="str">
        <f t="shared" si="6"/>
        <v>Escobedo → Cienega de Flores</v>
      </c>
      <c r="AE407" t="s">
        <v>1357</v>
      </c>
      <c r="AF407" s="4">
        <v>45717</v>
      </c>
      <c r="AG407" t="str">
        <f>YEAR(Table1[[#This Row],[Fecha]])&amp;" - " &amp;UPPER(TEXT(Table1[[#This Row],[Fecha]],"mm-mmm"))</f>
        <v>2025 - 03-MAR</v>
      </c>
      <c r="AH407" s="5">
        <v>0</v>
      </c>
    </row>
    <row r="408" spans="1:34" x14ac:dyDescent="0.25">
      <c r="A408" t="s">
        <v>204</v>
      </c>
      <c r="B408">
        <v>2025</v>
      </c>
      <c r="C408">
        <v>3</v>
      </c>
      <c r="D408" s="1">
        <v>45747</v>
      </c>
      <c r="E408" s="1">
        <v>45747</v>
      </c>
      <c r="F408" s="1">
        <v>45747</v>
      </c>
      <c r="G408" s="1">
        <v>45747</v>
      </c>
      <c r="H408" s="2">
        <v>45747.562463043978</v>
      </c>
      <c r="I408">
        <v>2039</v>
      </c>
      <c r="J408" t="s">
        <v>30</v>
      </c>
      <c r="K408" t="s">
        <v>31</v>
      </c>
      <c r="L408">
        <v>50</v>
      </c>
      <c r="M408">
        <v>50</v>
      </c>
      <c r="N408" t="s">
        <v>32</v>
      </c>
      <c r="O408">
        <v>1</v>
      </c>
      <c r="P408">
        <v>150</v>
      </c>
      <c r="Q408" t="b">
        <v>1</v>
      </c>
      <c r="R408" t="b">
        <v>0</v>
      </c>
      <c r="S408" t="b">
        <v>0</v>
      </c>
      <c r="T408">
        <v>231</v>
      </c>
      <c r="U408">
        <v>0</v>
      </c>
      <c r="V408" t="s">
        <v>33</v>
      </c>
      <c r="W408" t="s">
        <v>33</v>
      </c>
      <c r="X408">
        <v>50</v>
      </c>
      <c r="Y408">
        <v>966</v>
      </c>
      <c r="Z408" t="s">
        <v>34</v>
      </c>
      <c r="AA408">
        <v>966</v>
      </c>
      <c r="AB408" t="s">
        <v>121</v>
      </c>
      <c r="AC408" t="s">
        <v>192</v>
      </c>
      <c r="AD408" t="str">
        <f t="shared" si="6"/>
        <v>Escobedo → Cienega de Flores</v>
      </c>
      <c r="AE408" t="s">
        <v>1357</v>
      </c>
      <c r="AF408" s="4">
        <v>45717</v>
      </c>
      <c r="AG408" t="str">
        <f>YEAR(Table1[[#This Row],[Fecha]])&amp;" - " &amp;UPPER(TEXT(Table1[[#This Row],[Fecha]],"mm-mmm"))</f>
        <v>2025 - 03-MAR</v>
      </c>
      <c r="AH408" s="5">
        <v>0</v>
      </c>
    </row>
    <row r="409" spans="1:34" x14ac:dyDescent="0.25">
      <c r="A409" t="s">
        <v>467</v>
      </c>
      <c r="B409">
        <v>2025</v>
      </c>
      <c r="C409">
        <v>3</v>
      </c>
      <c r="D409" s="1">
        <v>45747</v>
      </c>
      <c r="E409" s="1">
        <v>45747</v>
      </c>
      <c r="F409" s="1">
        <v>45747</v>
      </c>
      <c r="G409" s="1">
        <v>45747</v>
      </c>
      <c r="H409" s="2">
        <v>45747.562469907411</v>
      </c>
      <c r="I409">
        <v>2039</v>
      </c>
      <c r="J409" t="s">
        <v>30</v>
      </c>
      <c r="K409" t="s">
        <v>31</v>
      </c>
      <c r="L409">
        <v>50</v>
      </c>
      <c r="M409">
        <v>50</v>
      </c>
      <c r="N409" t="s">
        <v>32</v>
      </c>
      <c r="O409">
        <v>1</v>
      </c>
      <c r="P409">
        <v>150</v>
      </c>
      <c r="Q409" t="b">
        <v>1</v>
      </c>
      <c r="R409" t="b">
        <v>0</v>
      </c>
      <c r="S409" t="b">
        <v>0</v>
      </c>
      <c r="T409">
        <v>231</v>
      </c>
      <c r="U409">
        <v>0</v>
      </c>
      <c r="V409" t="s">
        <v>33</v>
      </c>
      <c r="W409" t="s">
        <v>33</v>
      </c>
      <c r="X409">
        <v>50</v>
      </c>
      <c r="Y409">
        <v>2936</v>
      </c>
      <c r="Z409" t="s">
        <v>34</v>
      </c>
      <c r="AA409">
        <v>2936</v>
      </c>
      <c r="AB409" t="s">
        <v>121</v>
      </c>
      <c r="AC409" t="s">
        <v>432</v>
      </c>
      <c r="AD409" t="str">
        <f t="shared" si="6"/>
        <v>Escobedo → Hidalgo</v>
      </c>
      <c r="AE409" t="s">
        <v>1357</v>
      </c>
      <c r="AF409" s="4">
        <v>45717</v>
      </c>
      <c r="AG409" t="str">
        <f>YEAR(Table1[[#This Row],[Fecha]])&amp;" - " &amp;UPPER(TEXT(Table1[[#This Row],[Fecha]],"mm-mmm"))</f>
        <v>2025 - 03-MAR</v>
      </c>
      <c r="AH409" s="5">
        <v>0</v>
      </c>
    </row>
    <row r="410" spans="1:34" x14ac:dyDescent="0.25">
      <c r="A410" t="s">
        <v>724</v>
      </c>
      <c r="B410">
        <v>2025</v>
      </c>
      <c r="C410">
        <v>3</v>
      </c>
      <c r="D410" s="1">
        <v>45747</v>
      </c>
      <c r="E410" s="1">
        <v>45747</v>
      </c>
      <c r="F410" s="1">
        <v>45747</v>
      </c>
      <c r="G410" s="1">
        <v>45747</v>
      </c>
      <c r="H410" s="2">
        <v>45747.562439004629</v>
      </c>
      <c r="I410">
        <v>2039</v>
      </c>
      <c r="J410" t="s">
        <v>30</v>
      </c>
      <c r="K410" t="s">
        <v>31</v>
      </c>
      <c r="L410">
        <v>50</v>
      </c>
      <c r="M410">
        <v>50</v>
      </c>
      <c r="N410" t="s">
        <v>32</v>
      </c>
      <c r="O410">
        <v>1</v>
      </c>
      <c r="P410">
        <v>150</v>
      </c>
      <c r="Q410" t="b">
        <v>1</v>
      </c>
      <c r="R410" t="b">
        <v>0</v>
      </c>
      <c r="S410" t="b">
        <v>0</v>
      </c>
      <c r="T410">
        <v>231</v>
      </c>
      <c r="U410">
        <v>0</v>
      </c>
      <c r="V410" t="s">
        <v>33</v>
      </c>
      <c r="W410" t="s">
        <v>33</v>
      </c>
      <c r="X410">
        <v>50</v>
      </c>
      <c r="Y410">
        <v>359</v>
      </c>
      <c r="Z410" t="s">
        <v>34</v>
      </c>
      <c r="AA410">
        <v>359</v>
      </c>
      <c r="AB410" t="s">
        <v>121</v>
      </c>
      <c r="AC410" t="s">
        <v>121</v>
      </c>
      <c r="AD410" t="str">
        <f t="shared" si="6"/>
        <v>Escobedo → Escobedo</v>
      </c>
      <c r="AE410" t="s">
        <v>1357</v>
      </c>
      <c r="AF410" s="4">
        <v>45717</v>
      </c>
      <c r="AG410" t="str">
        <f>YEAR(Table1[[#This Row],[Fecha]])&amp;" - " &amp;UPPER(TEXT(Table1[[#This Row],[Fecha]],"mm-mmm"))</f>
        <v>2025 - 03-MAR</v>
      </c>
      <c r="AH410" s="5">
        <v>0</v>
      </c>
    </row>
    <row r="411" spans="1:34" x14ac:dyDescent="0.25">
      <c r="A411" t="s">
        <v>725</v>
      </c>
      <c r="B411">
        <v>2025</v>
      </c>
      <c r="C411">
        <v>3</v>
      </c>
      <c r="D411" s="1">
        <v>45747</v>
      </c>
      <c r="E411" s="1">
        <v>45747</v>
      </c>
      <c r="F411" s="1">
        <v>45747</v>
      </c>
      <c r="G411" s="1">
        <v>45747</v>
      </c>
      <c r="H411" s="2">
        <v>45747.770398761575</v>
      </c>
      <c r="I411">
        <v>2039</v>
      </c>
      <c r="J411" t="s">
        <v>30</v>
      </c>
      <c r="K411" t="s">
        <v>31</v>
      </c>
      <c r="L411">
        <v>50</v>
      </c>
      <c r="M411">
        <v>50</v>
      </c>
      <c r="N411" t="s">
        <v>32</v>
      </c>
      <c r="O411">
        <v>1</v>
      </c>
      <c r="P411">
        <v>150</v>
      </c>
      <c r="Q411" t="b">
        <v>1</v>
      </c>
      <c r="R411" t="b">
        <v>0</v>
      </c>
      <c r="S411" t="b">
        <v>0</v>
      </c>
      <c r="T411">
        <v>231</v>
      </c>
      <c r="U411">
        <v>0</v>
      </c>
      <c r="V411" t="s">
        <v>33</v>
      </c>
      <c r="W411" t="s">
        <v>33</v>
      </c>
      <c r="X411">
        <v>50</v>
      </c>
      <c r="Y411">
        <v>359</v>
      </c>
      <c r="Z411" t="s">
        <v>34</v>
      </c>
      <c r="AA411">
        <v>359</v>
      </c>
      <c r="AB411" t="s">
        <v>121</v>
      </c>
      <c r="AC411" t="s">
        <v>121</v>
      </c>
      <c r="AD411" t="str">
        <f t="shared" si="6"/>
        <v>Escobedo → Escobedo</v>
      </c>
      <c r="AE411" t="s">
        <v>1357</v>
      </c>
      <c r="AF411" s="4">
        <v>45717</v>
      </c>
      <c r="AG411" t="str">
        <f>YEAR(Table1[[#This Row],[Fecha]])&amp;" - " &amp;UPPER(TEXT(Table1[[#This Row],[Fecha]],"mm-mmm"))</f>
        <v>2025 - 03-MAR</v>
      </c>
      <c r="AH411" s="5">
        <v>0</v>
      </c>
    </row>
    <row r="412" spans="1:34" x14ac:dyDescent="0.25">
      <c r="A412" t="s">
        <v>468</v>
      </c>
      <c r="B412">
        <v>2025</v>
      </c>
      <c r="C412">
        <v>3</v>
      </c>
      <c r="D412" s="1">
        <v>45720</v>
      </c>
      <c r="E412" s="1">
        <v>45720</v>
      </c>
      <c r="F412" s="1">
        <v>45720</v>
      </c>
      <c r="G412" s="1">
        <v>45720</v>
      </c>
      <c r="H412" s="2">
        <v>45720.733735381946</v>
      </c>
      <c r="I412">
        <v>2039</v>
      </c>
      <c r="J412" t="s">
        <v>30</v>
      </c>
      <c r="K412" t="s">
        <v>31</v>
      </c>
      <c r="L412">
        <v>50</v>
      </c>
      <c r="M412">
        <v>50</v>
      </c>
      <c r="N412" t="s">
        <v>32</v>
      </c>
      <c r="O412">
        <v>1</v>
      </c>
      <c r="P412">
        <v>150</v>
      </c>
      <c r="Q412" t="b">
        <v>1</v>
      </c>
      <c r="R412" t="b">
        <v>0</v>
      </c>
      <c r="S412" t="b">
        <v>0</v>
      </c>
      <c r="T412">
        <v>231</v>
      </c>
      <c r="U412">
        <v>0</v>
      </c>
      <c r="V412" t="s">
        <v>33</v>
      </c>
      <c r="W412" t="s">
        <v>33</v>
      </c>
      <c r="X412">
        <v>50</v>
      </c>
      <c r="Y412">
        <v>2936</v>
      </c>
      <c r="Z412" t="s">
        <v>34</v>
      </c>
      <c r="AA412">
        <v>2936</v>
      </c>
      <c r="AB412" t="s">
        <v>121</v>
      </c>
      <c r="AC412" t="s">
        <v>432</v>
      </c>
      <c r="AD412" t="str">
        <f t="shared" si="6"/>
        <v>Escobedo → Hidalgo</v>
      </c>
      <c r="AE412" t="s">
        <v>1357</v>
      </c>
      <c r="AF412" s="4">
        <v>45717</v>
      </c>
      <c r="AG412" t="str">
        <f>YEAR(Table1[[#This Row],[Fecha]])&amp;" - " &amp;UPPER(TEXT(Table1[[#This Row],[Fecha]],"mm-mmm"))</f>
        <v>2025 - 03-MAR</v>
      </c>
      <c r="AH412" s="5">
        <v>0</v>
      </c>
    </row>
    <row r="413" spans="1:34" x14ac:dyDescent="0.25">
      <c r="A413" t="s">
        <v>695</v>
      </c>
      <c r="B413">
        <v>2025</v>
      </c>
      <c r="C413">
        <v>3</v>
      </c>
      <c r="D413" s="1">
        <v>45720</v>
      </c>
      <c r="E413" s="1">
        <v>45720</v>
      </c>
      <c r="F413" s="1">
        <v>45720</v>
      </c>
      <c r="G413" s="1">
        <v>45720</v>
      </c>
      <c r="H413" s="2">
        <v>45720.734290277775</v>
      </c>
      <c r="I413">
        <v>2039</v>
      </c>
      <c r="J413" t="s">
        <v>54</v>
      </c>
      <c r="K413" t="s">
        <v>31</v>
      </c>
      <c r="L413">
        <v>50</v>
      </c>
      <c r="M413">
        <v>50</v>
      </c>
      <c r="N413" t="s">
        <v>32</v>
      </c>
      <c r="O413">
        <v>1</v>
      </c>
      <c r="P413">
        <v>150</v>
      </c>
      <c r="Q413" t="b">
        <v>1</v>
      </c>
      <c r="R413" t="b">
        <v>0</v>
      </c>
      <c r="S413" t="b">
        <v>0</v>
      </c>
      <c r="T413">
        <v>231</v>
      </c>
      <c r="U413">
        <v>0</v>
      </c>
      <c r="V413" t="s">
        <v>33</v>
      </c>
      <c r="W413" t="s">
        <v>33</v>
      </c>
      <c r="X413">
        <v>50</v>
      </c>
      <c r="Y413">
        <v>359</v>
      </c>
      <c r="Z413" t="s">
        <v>34</v>
      </c>
      <c r="AA413">
        <v>359</v>
      </c>
      <c r="AB413" t="s">
        <v>121</v>
      </c>
      <c r="AC413" t="s">
        <v>121</v>
      </c>
      <c r="AD413" t="str">
        <f t="shared" si="6"/>
        <v>Escobedo → Escobedo</v>
      </c>
      <c r="AE413" t="s">
        <v>1358</v>
      </c>
      <c r="AF413" s="4">
        <v>45717</v>
      </c>
      <c r="AG413" t="str">
        <f>YEAR(Table1[[#This Row],[Fecha]])&amp;" - " &amp;UPPER(TEXT(Table1[[#This Row],[Fecha]],"mm-mmm"))</f>
        <v>2025 - 03-MAR</v>
      </c>
      <c r="AH413" s="5">
        <v>0</v>
      </c>
    </row>
    <row r="414" spans="1:34" x14ac:dyDescent="0.25">
      <c r="A414" t="s">
        <v>696</v>
      </c>
      <c r="B414">
        <v>2025</v>
      </c>
      <c r="C414">
        <v>3</v>
      </c>
      <c r="D414" s="1">
        <v>45720</v>
      </c>
      <c r="E414" s="1">
        <v>45720</v>
      </c>
      <c r="F414" s="1">
        <v>45720</v>
      </c>
      <c r="G414" s="1">
        <v>45720</v>
      </c>
      <c r="H414" s="2">
        <v>45720.857112268517</v>
      </c>
      <c r="I414">
        <v>2039</v>
      </c>
      <c r="J414" t="s">
        <v>54</v>
      </c>
      <c r="K414" t="s">
        <v>31</v>
      </c>
      <c r="L414">
        <v>50</v>
      </c>
      <c r="M414">
        <v>50</v>
      </c>
      <c r="N414" t="s">
        <v>32</v>
      </c>
      <c r="O414">
        <v>1</v>
      </c>
      <c r="P414">
        <v>150</v>
      </c>
      <c r="Q414" t="b">
        <v>1</v>
      </c>
      <c r="R414" t="b">
        <v>0</v>
      </c>
      <c r="S414" t="b">
        <v>0</v>
      </c>
      <c r="T414">
        <v>231</v>
      </c>
      <c r="U414">
        <v>0</v>
      </c>
      <c r="V414" t="s">
        <v>33</v>
      </c>
      <c r="W414" t="s">
        <v>33</v>
      </c>
      <c r="X414">
        <v>50</v>
      </c>
      <c r="Y414">
        <v>359</v>
      </c>
      <c r="Z414" t="s">
        <v>34</v>
      </c>
      <c r="AA414">
        <v>359</v>
      </c>
      <c r="AB414" t="s">
        <v>121</v>
      </c>
      <c r="AC414" t="s">
        <v>121</v>
      </c>
      <c r="AD414" t="str">
        <f t="shared" si="6"/>
        <v>Escobedo → Escobedo</v>
      </c>
      <c r="AE414" t="s">
        <v>1358</v>
      </c>
      <c r="AF414" s="4">
        <v>45717</v>
      </c>
      <c r="AG414" t="str">
        <f>YEAR(Table1[[#This Row],[Fecha]])&amp;" - " &amp;UPPER(TEXT(Table1[[#This Row],[Fecha]],"mm-mmm"))</f>
        <v>2025 - 03-MAR</v>
      </c>
      <c r="AH414" s="5">
        <v>0</v>
      </c>
    </row>
    <row r="415" spans="1:34" x14ac:dyDescent="0.25">
      <c r="A415" t="s">
        <v>697</v>
      </c>
      <c r="B415">
        <v>2025</v>
      </c>
      <c r="C415">
        <v>3</v>
      </c>
      <c r="D415" s="1">
        <v>45720</v>
      </c>
      <c r="E415" s="1">
        <v>45720</v>
      </c>
      <c r="F415" s="1">
        <v>45720</v>
      </c>
      <c r="G415" s="1">
        <v>45720</v>
      </c>
      <c r="H415" s="2">
        <v>45721.497982060187</v>
      </c>
      <c r="I415">
        <v>2050</v>
      </c>
      <c r="J415" t="s">
        <v>54</v>
      </c>
      <c r="K415" t="s">
        <v>31</v>
      </c>
      <c r="L415">
        <v>50</v>
      </c>
      <c r="M415">
        <v>50</v>
      </c>
      <c r="N415" t="s">
        <v>55</v>
      </c>
      <c r="O415">
        <v>1</v>
      </c>
      <c r="P415">
        <v>150</v>
      </c>
      <c r="Q415" t="b">
        <v>1</v>
      </c>
      <c r="R415" t="b">
        <v>0</v>
      </c>
      <c r="S415" t="b">
        <v>0</v>
      </c>
      <c r="T415">
        <v>231</v>
      </c>
      <c r="U415">
        <v>0</v>
      </c>
      <c r="V415" t="s">
        <v>33</v>
      </c>
      <c r="W415" t="s">
        <v>33</v>
      </c>
      <c r="X415">
        <v>50</v>
      </c>
      <c r="Y415">
        <v>359</v>
      </c>
      <c r="Z415" t="s">
        <v>34</v>
      </c>
      <c r="AA415">
        <v>359</v>
      </c>
      <c r="AB415" t="s">
        <v>121</v>
      </c>
      <c r="AC415" t="s">
        <v>121</v>
      </c>
      <c r="AD415" t="str">
        <f t="shared" si="6"/>
        <v>Escobedo → Escobedo</v>
      </c>
      <c r="AE415" t="s">
        <v>1358</v>
      </c>
      <c r="AF415" s="4">
        <v>45717</v>
      </c>
      <c r="AG415" t="str">
        <f>YEAR(Table1[[#This Row],[Fecha]])&amp;" - " &amp;UPPER(TEXT(Table1[[#This Row],[Fecha]],"mm-mmm"))</f>
        <v>2025 - 03-MAR</v>
      </c>
      <c r="AH415" s="5">
        <v>0</v>
      </c>
    </row>
    <row r="416" spans="1:34" x14ac:dyDescent="0.25">
      <c r="A416" t="s">
        <v>698</v>
      </c>
      <c r="B416">
        <v>2025</v>
      </c>
      <c r="C416">
        <v>3</v>
      </c>
      <c r="D416" s="1">
        <v>45720</v>
      </c>
      <c r="E416" s="1">
        <v>45720</v>
      </c>
      <c r="F416" s="1">
        <v>45720</v>
      </c>
      <c r="G416" s="1">
        <v>45720</v>
      </c>
      <c r="H416" s="2">
        <v>45721.497589432867</v>
      </c>
      <c r="I416">
        <v>2050</v>
      </c>
      <c r="J416" t="s">
        <v>54</v>
      </c>
      <c r="K416" t="s">
        <v>31</v>
      </c>
      <c r="L416">
        <v>50</v>
      </c>
      <c r="M416">
        <v>50</v>
      </c>
      <c r="N416" t="s">
        <v>55</v>
      </c>
      <c r="O416">
        <v>1</v>
      </c>
      <c r="P416">
        <v>150</v>
      </c>
      <c r="Q416" t="b">
        <v>1</v>
      </c>
      <c r="R416" t="b">
        <v>0</v>
      </c>
      <c r="S416" t="b">
        <v>0</v>
      </c>
      <c r="T416">
        <v>231</v>
      </c>
      <c r="U416">
        <v>0</v>
      </c>
      <c r="V416" t="s">
        <v>33</v>
      </c>
      <c r="W416" t="s">
        <v>33</v>
      </c>
      <c r="X416">
        <v>50</v>
      </c>
      <c r="Y416">
        <v>359</v>
      </c>
      <c r="Z416" t="s">
        <v>34</v>
      </c>
      <c r="AA416">
        <v>359</v>
      </c>
      <c r="AB416" t="s">
        <v>121</v>
      </c>
      <c r="AC416" t="s">
        <v>121</v>
      </c>
      <c r="AD416" t="str">
        <f t="shared" si="6"/>
        <v>Escobedo → Escobedo</v>
      </c>
      <c r="AE416" t="s">
        <v>1358</v>
      </c>
      <c r="AF416" s="4">
        <v>45717</v>
      </c>
      <c r="AG416" t="str">
        <f>YEAR(Table1[[#This Row],[Fecha]])&amp;" - " &amp;UPPER(TEXT(Table1[[#This Row],[Fecha]],"mm-mmm"))</f>
        <v>2025 - 03-MAR</v>
      </c>
      <c r="AH416" s="5">
        <v>0</v>
      </c>
    </row>
    <row r="417" spans="1:34" x14ac:dyDescent="0.25">
      <c r="A417" t="s">
        <v>459</v>
      </c>
      <c r="B417">
        <v>2025</v>
      </c>
      <c r="C417">
        <v>3</v>
      </c>
      <c r="D417" s="1">
        <v>45720</v>
      </c>
      <c r="E417" s="1">
        <v>45720</v>
      </c>
      <c r="F417" s="1">
        <v>45720</v>
      </c>
      <c r="G417" s="1">
        <v>45720</v>
      </c>
      <c r="H417" s="2">
        <v>45721.497601006944</v>
      </c>
      <c r="I417">
        <v>2050</v>
      </c>
      <c r="J417" t="s">
        <v>54</v>
      </c>
      <c r="K417" t="s">
        <v>31</v>
      </c>
      <c r="L417">
        <v>50</v>
      </c>
      <c r="M417">
        <v>50</v>
      </c>
      <c r="N417" t="s">
        <v>55</v>
      </c>
      <c r="O417">
        <v>1</v>
      </c>
      <c r="P417">
        <v>150</v>
      </c>
      <c r="Q417" t="b">
        <v>1</v>
      </c>
      <c r="R417" t="b">
        <v>0</v>
      </c>
      <c r="S417" t="b">
        <v>0</v>
      </c>
      <c r="T417">
        <v>231</v>
      </c>
      <c r="U417">
        <v>0</v>
      </c>
      <c r="V417" t="s">
        <v>33</v>
      </c>
      <c r="W417" t="s">
        <v>33</v>
      </c>
      <c r="X417">
        <v>50</v>
      </c>
      <c r="Y417">
        <v>2936</v>
      </c>
      <c r="Z417" t="s">
        <v>34</v>
      </c>
      <c r="AA417">
        <v>2936</v>
      </c>
      <c r="AB417" t="s">
        <v>121</v>
      </c>
      <c r="AC417" t="s">
        <v>432</v>
      </c>
      <c r="AD417" t="str">
        <f t="shared" si="6"/>
        <v>Escobedo → Hidalgo</v>
      </c>
      <c r="AE417" t="s">
        <v>1358</v>
      </c>
      <c r="AF417" s="4">
        <v>45717</v>
      </c>
      <c r="AG417" t="str">
        <f>YEAR(Table1[[#This Row],[Fecha]])&amp;" - " &amp;UPPER(TEXT(Table1[[#This Row],[Fecha]],"mm-mmm"))</f>
        <v>2025 - 03-MAR</v>
      </c>
      <c r="AH417" s="5">
        <v>0</v>
      </c>
    </row>
    <row r="418" spans="1:34" x14ac:dyDescent="0.25">
      <c r="A418" t="s">
        <v>186</v>
      </c>
      <c r="B418">
        <v>2025</v>
      </c>
      <c r="C418">
        <v>3</v>
      </c>
      <c r="D418" s="1">
        <v>45721</v>
      </c>
      <c r="E418" s="1">
        <v>45721</v>
      </c>
      <c r="F418" s="1">
        <v>45721</v>
      </c>
      <c r="G418" s="1">
        <v>45721</v>
      </c>
      <c r="H418" s="2">
        <v>45721.592455011574</v>
      </c>
      <c r="I418">
        <v>2039</v>
      </c>
      <c r="J418" t="s">
        <v>54</v>
      </c>
      <c r="K418" t="s">
        <v>31</v>
      </c>
      <c r="L418">
        <v>50</v>
      </c>
      <c r="M418">
        <v>50</v>
      </c>
      <c r="N418" t="s">
        <v>32</v>
      </c>
      <c r="O418">
        <v>1</v>
      </c>
      <c r="P418">
        <v>150</v>
      </c>
      <c r="Q418" t="b">
        <v>1</v>
      </c>
      <c r="R418" t="b">
        <v>0</v>
      </c>
      <c r="S418" t="b">
        <v>0</v>
      </c>
      <c r="T418">
        <v>231</v>
      </c>
      <c r="U418">
        <v>0</v>
      </c>
      <c r="V418" t="s">
        <v>33</v>
      </c>
      <c r="W418" t="s">
        <v>33</v>
      </c>
      <c r="X418">
        <v>50</v>
      </c>
      <c r="Y418">
        <v>308</v>
      </c>
      <c r="Z418" t="s">
        <v>178</v>
      </c>
      <c r="AA418">
        <v>308</v>
      </c>
      <c r="AB418" t="s">
        <v>121</v>
      </c>
      <c r="AC418" t="s">
        <v>174</v>
      </c>
      <c r="AD418" t="str">
        <f t="shared" si="6"/>
        <v>Escobedo → Guadalupe</v>
      </c>
      <c r="AE418" t="s">
        <v>1358</v>
      </c>
      <c r="AF418" s="4">
        <v>45717</v>
      </c>
      <c r="AG418" t="str">
        <f>YEAR(Table1[[#This Row],[Fecha]])&amp;" - " &amp;UPPER(TEXT(Table1[[#This Row],[Fecha]],"mm-mmm"))</f>
        <v>2025 - 03-MAR</v>
      </c>
      <c r="AH418" s="5">
        <v>0</v>
      </c>
    </row>
    <row r="419" spans="1:34" x14ac:dyDescent="0.25">
      <c r="A419" t="s">
        <v>457</v>
      </c>
      <c r="B419">
        <v>2025</v>
      </c>
      <c r="C419">
        <v>3</v>
      </c>
      <c r="D419" s="1">
        <v>45721</v>
      </c>
      <c r="E419" s="1">
        <v>45721</v>
      </c>
      <c r="F419" s="1">
        <v>45721</v>
      </c>
      <c r="G419" s="1">
        <v>45721</v>
      </c>
      <c r="H419" s="2">
        <v>45721.686992326388</v>
      </c>
      <c r="I419">
        <v>2039</v>
      </c>
      <c r="J419" t="s">
        <v>54</v>
      </c>
      <c r="K419" t="s">
        <v>31</v>
      </c>
      <c r="L419">
        <v>50</v>
      </c>
      <c r="M419">
        <v>50</v>
      </c>
      <c r="N419" t="s">
        <v>32</v>
      </c>
      <c r="O419">
        <v>1</v>
      </c>
      <c r="P419">
        <v>150</v>
      </c>
      <c r="Q419" t="b">
        <v>1</v>
      </c>
      <c r="R419" t="b">
        <v>0</v>
      </c>
      <c r="S419" t="b">
        <v>0</v>
      </c>
      <c r="T419">
        <v>231</v>
      </c>
      <c r="U419">
        <v>0</v>
      </c>
      <c r="V419" t="s">
        <v>33</v>
      </c>
      <c r="W419" t="s">
        <v>33</v>
      </c>
      <c r="X419">
        <v>50</v>
      </c>
      <c r="Y419">
        <v>2936</v>
      </c>
      <c r="Z419" t="s">
        <v>34</v>
      </c>
      <c r="AA419">
        <v>2936</v>
      </c>
      <c r="AB419" t="s">
        <v>121</v>
      </c>
      <c r="AC419" t="s">
        <v>432</v>
      </c>
      <c r="AD419" t="str">
        <f t="shared" si="6"/>
        <v>Escobedo → Hidalgo</v>
      </c>
      <c r="AE419" t="s">
        <v>1358</v>
      </c>
      <c r="AF419" s="4">
        <v>45717</v>
      </c>
      <c r="AG419" t="str">
        <f>YEAR(Table1[[#This Row],[Fecha]])&amp;" - " &amp;UPPER(TEXT(Table1[[#This Row],[Fecha]],"mm-mmm"))</f>
        <v>2025 - 03-MAR</v>
      </c>
      <c r="AH419" s="5">
        <v>0</v>
      </c>
    </row>
    <row r="420" spans="1:34" x14ac:dyDescent="0.25">
      <c r="A420" t="s">
        <v>699</v>
      </c>
      <c r="B420">
        <v>2025</v>
      </c>
      <c r="C420">
        <v>3</v>
      </c>
      <c r="D420" s="1">
        <v>45721</v>
      </c>
      <c r="E420" s="1">
        <v>45721</v>
      </c>
      <c r="F420" s="1">
        <v>45721</v>
      </c>
      <c r="G420" s="1">
        <v>45721</v>
      </c>
      <c r="H420" s="2">
        <v>45721.692863807868</v>
      </c>
      <c r="I420">
        <v>2039</v>
      </c>
      <c r="J420" t="s">
        <v>54</v>
      </c>
      <c r="K420" t="s">
        <v>31</v>
      </c>
      <c r="L420">
        <v>50</v>
      </c>
      <c r="M420">
        <v>50</v>
      </c>
      <c r="N420" t="s">
        <v>32</v>
      </c>
      <c r="O420">
        <v>1</v>
      </c>
      <c r="P420">
        <v>150</v>
      </c>
      <c r="Q420" t="b">
        <v>1</v>
      </c>
      <c r="R420" t="b">
        <v>0</v>
      </c>
      <c r="S420" t="b">
        <v>0</v>
      </c>
      <c r="T420">
        <v>231</v>
      </c>
      <c r="U420">
        <v>0</v>
      </c>
      <c r="V420" t="s">
        <v>33</v>
      </c>
      <c r="W420" t="s">
        <v>33</v>
      </c>
      <c r="X420">
        <v>50</v>
      </c>
      <c r="Y420">
        <v>359</v>
      </c>
      <c r="Z420" t="s">
        <v>34</v>
      </c>
      <c r="AA420">
        <v>359</v>
      </c>
      <c r="AB420" t="s">
        <v>121</v>
      </c>
      <c r="AC420" t="s">
        <v>121</v>
      </c>
      <c r="AD420" t="str">
        <f t="shared" si="6"/>
        <v>Escobedo → Escobedo</v>
      </c>
      <c r="AE420" t="s">
        <v>1358</v>
      </c>
      <c r="AF420" s="4">
        <v>45717</v>
      </c>
      <c r="AG420" t="str">
        <f>YEAR(Table1[[#This Row],[Fecha]])&amp;" - " &amp;UPPER(TEXT(Table1[[#This Row],[Fecha]],"mm-mmm"))</f>
        <v>2025 - 03-MAR</v>
      </c>
      <c r="AH420" s="5">
        <v>0</v>
      </c>
    </row>
    <row r="421" spans="1:34" x14ac:dyDescent="0.25">
      <c r="A421" t="s">
        <v>700</v>
      </c>
      <c r="B421">
        <v>2025</v>
      </c>
      <c r="C421">
        <v>3</v>
      </c>
      <c r="D421" s="1">
        <v>45721</v>
      </c>
      <c r="E421" s="1">
        <v>45721</v>
      </c>
      <c r="F421" s="1">
        <v>45721</v>
      </c>
      <c r="G421" s="1">
        <v>45721</v>
      </c>
      <c r="H421" s="2">
        <v>45721.693337847224</v>
      </c>
      <c r="I421">
        <v>2039</v>
      </c>
      <c r="J421" t="s">
        <v>54</v>
      </c>
      <c r="K421" t="s">
        <v>31</v>
      </c>
      <c r="L421">
        <v>50</v>
      </c>
      <c r="M421">
        <v>50</v>
      </c>
      <c r="N421" t="s">
        <v>32</v>
      </c>
      <c r="O421">
        <v>1</v>
      </c>
      <c r="P421">
        <v>150</v>
      </c>
      <c r="Q421" t="b">
        <v>1</v>
      </c>
      <c r="R421" t="b">
        <v>0</v>
      </c>
      <c r="S421" t="b">
        <v>0</v>
      </c>
      <c r="T421">
        <v>231</v>
      </c>
      <c r="U421">
        <v>0</v>
      </c>
      <c r="V421" t="s">
        <v>33</v>
      </c>
      <c r="W421" t="s">
        <v>33</v>
      </c>
      <c r="X421">
        <v>50</v>
      </c>
      <c r="Y421">
        <v>359</v>
      </c>
      <c r="Z421" t="s">
        <v>34</v>
      </c>
      <c r="AA421">
        <v>359</v>
      </c>
      <c r="AB421" t="s">
        <v>121</v>
      </c>
      <c r="AC421" t="s">
        <v>121</v>
      </c>
      <c r="AD421" t="str">
        <f t="shared" si="6"/>
        <v>Escobedo → Escobedo</v>
      </c>
      <c r="AE421" t="s">
        <v>1358</v>
      </c>
      <c r="AF421" s="4">
        <v>45717</v>
      </c>
      <c r="AG421" t="str">
        <f>YEAR(Table1[[#This Row],[Fecha]])&amp;" - " &amp;UPPER(TEXT(Table1[[#This Row],[Fecha]],"mm-mmm"))</f>
        <v>2025 - 03-MAR</v>
      </c>
      <c r="AH421" s="5">
        <v>0</v>
      </c>
    </row>
    <row r="422" spans="1:34" x14ac:dyDescent="0.25">
      <c r="A422" t="s">
        <v>701</v>
      </c>
      <c r="B422">
        <v>2025</v>
      </c>
      <c r="C422">
        <v>3</v>
      </c>
      <c r="D422" s="1">
        <v>45721</v>
      </c>
      <c r="E422" s="1">
        <v>45721</v>
      </c>
      <c r="F422" s="1">
        <v>45721</v>
      </c>
      <c r="G422" s="1">
        <v>45721</v>
      </c>
      <c r="H422" s="2">
        <v>45721.69383329861</v>
      </c>
      <c r="I422">
        <v>2039</v>
      </c>
      <c r="J422" t="s">
        <v>54</v>
      </c>
      <c r="K422" t="s">
        <v>31</v>
      </c>
      <c r="L422">
        <v>50</v>
      </c>
      <c r="M422">
        <v>50</v>
      </c>
      <c r="N422" t="s">
        <v>32</v>
      </c>
      <c r="O422">
        <v>1</v>
      </c>
      <c r="P422">
        <v>150</v>
      </c>
      <c r="Q422" t="b">
        <v>1</v>
      </c>
      <c r="R422" t="b">
        <v>0</v>
      </c>
      <c r="S422" t="b">
        <v>0</v>
      </c>
      <c r="T422">
        <v>231</v>
      </c>
      <c r="U422">
        <v>0</v>
      </c>
      <c r="V422" t="s">
        <v>33</v>
      </c>
      <c r="W422" t="s">
        <v>33</v>
      </c>
      <c r="X422">
        <v>50</v>
      </c>
      <c r="Y422">
        <v>359</v>
      </c>
      <c r="Z422" t="s">
        <v>34</v>
      </c>
      <c r="AA422">
        <v>359</v>
      </c>
      <c r="AB422" t="s">
        <v>121</v>
      </c>
      <c r="AC422" t="s">
        <v>121</v>
      </c>
      <c r="AD422" t="str">
        <f t="shared" si="6"/>
        <v>Escobedo → Escobedo</v>
      </c>
      <c r="AE422" t="s">
        <v>1358</v>
      </c>
      <c r="AF422" s="4">
        <v>45717</v>
      </c>
      <c r="AG422" t="str">
        <f>YEAR(Table1[[#This Row],[Fecha]])&amp;" - " &amp;UPPER(TEXT(Table1[[#This Row],[Fecha]],"mm-mmm"))</f>
        <v>2025 - 03-MAR</v>
      </c>
      <c r="AH422" s="5">
        <v>0</v>
      </c>
    </row>
    <row r="423" spans="1:34" x14ac:dyDescent="0.25">
      <c r="A423" t="s">
        <v>702</v>
      </c>
      <c r="B423">
        <v>2025</v>
      </c>
      <c r="C423">
        <v>3</v>
      </c>
      <c r="D423" s="1">
        <v>45721</v>
      </c>
      <c r="E423" s="1">
        <v>45721</v>
      </c>
      <c r="F423" s="1">
        <v>45721</v>
      </c>
      <c r="G423" s="1">
        <v>45721</v>
      </c>
      <c r="H423" s="2">
        <v>45722.444104710645</v>
      </c>
      <c r="I423">
        <v>2039</v>
      </c>
      <c r="J423" t="s">
        <v>54</v>
      </c>
      <c r="K423" t="s">
        <v>31</v>
      </c>
      <c r="L423">
        <v>50</v>
      </c>
      <c r="M423">
        <v>50</v>
      </c>
      <c r="N423" t="s">
        <v>32</v>
      </c>
      <c r="O423">
        <v>1</v>
      </c>
      <c r="P423">
        <v>150</v>
      </c>
      <c r="Q423" t="b">
        <v>1</v>
      </c>
      <c r="R423" t="b">
        <v>0</v>
      </c>
      <c r="S423" t="b">
        <v>0</v>
      </c>
      <c r="T423">
        <v>231</v>
      </c>
      <c r="U423">
        <v>0</v>
      </c>
      <c r="V423" t="s">
        <v>33</v>
      </c>
      <c r="W423" t="s">
        <v>33</v>
      </c>
      <c r="X423">
        <v>50</v>
      </c>
      <c r="Y423">
        <v>359</v>
      </c>
      <c r="Z423" t="s">
        <v>34</v>
      </c>
      <c r="AA423">
        <v>359</v>
      </c>
      <c r="AB423" t="s">
        <v>121</v>
      </c>
      <c r="AC423" t="s">
        <v>121</v>
      </c>
      <c r="AD423" t="str">
        <f t="shared" si="6"/>
        <v>Escobedo → Escobedo</v>
      </c>
      <c r="AE423" t="s">
        <v>1358</v>
      </c>
      <c r="AF423" s="4">
        <v>45717</v>
      </c>
      <c r="AG423" t="str">
        <f>YEAR(Table1[[#This Row],[Fecha]])&amp;" - " &amp;UPPER(TEXT(Table1[[#This Row],[Fecha]],"mm-mmm"))</f>
        <v>2025 - 03-MAR</v>
      </c>
      <c r="AH423" s="5">
        <v>0</v>
      </c>
    </row>
    <row r="424" spans="1:34" x14ac:dyDescent="0.25">
      <c r="A424" t="s">
        <v>703</v>
      </c>
      <c r="B424">
        <v>2025</v>
      </c>
      <c r="C424">
        <v>3</v>
      </c>
      <c r="D424" s="1">
        <v>45721</v>
      </c>
      <c r="E424" s="1">
        <v>45721</v>
      </c>
      <c r="F424" s="1">
        <v>45721</v>
      </c>
      <c r="G424" s="1">
        <v>45721</v>
      </c>
      <c r="H424" s="2">
        <v>45722.416680671296</v>
      </c>
      <c r="I424">
        <v>2050</v>
      </c>
      <c r="J424" t="s">
        <v>54</v>
      </c>
      <c r="K424" t="s">
        <v>31</v>
      </c>
      <c r="L424">
        <v>50</v>
      </c>
      <c r="M424">
        <v>50</v>
      </c>
      <c r="N424" t="s">
        <v>55</v>
      </c>
      <c r="O424">
        <v>1</v>
      </c>
      <c r="P424">
        <v>150</v>
      </c>
      <c r="Q424" t="b">
        <v>1</v>
      </c>
      <c r="R424" t="b">
        <v>0</v>
      </c>
      <c r="S424" t="b">
        <v>0</v>
      </c>
      <c r="T424">
        <v>231</v>
      </c>
      <c r="U424">
        <v>0</v>
      </c>
      <c r="V424" t="s">
        <v>33</v>
      </c>
      <c r="W424" t="s">
        <v>33</v>
      </c>
      <c r="X424">
        <v>50</v>
      </c>
      <c r="Y424">
        <v>359</v>
      </c>
      <c r="Z424" t="s">
        <v>34</v>
      </c>
      <c r="AA424">
        <v>359</v>
      </c>
      <c r="AB424" t="s">
        <v>121</v>
      </c>
      <c r="AC424" t="s">
        <v>121</v>
      </c>
      <c r="AD424" t="str">
        <f t="shared" si="6"/>
        <v>Escobedo → Escobedo</v>
      </c>
      <c r="AE424" t="s">
        <v>1358</v>
      </c>
      <c r="AF424" s="4">
        <v>45717</v>
      </c>
      <c r="AG424" t="str">
        <f>YEAR(Table1[[#This Row],[Fecha]])&amp;" - " &amp;UPPER(TEXT(Table1[[#This Row],[Fecha]],"mm-mmm"))</f>
        <v>2025 - 03-MAR</v>
      </c>
      <c r="AH424" s="5">
        <v>0</v>
      </c>
    </row>
    <row r="425" spans="1:34" x14ac:dyDescent="0.25">
      <c r="A425" t="s">
        <v>704</v>
      </c>
      <c r="B425">
        <v>2025</v>
      </c>
      <c r="C425">
        <v>3</v>
      </c>
      <c r="D425" s="1">
        <v>45721</v>
      </c>
      <c r="E425" s="1">
        <v>45721</v>
      </c>
      <c r="F425" s="1">
        <v>45721</v>
      </c>
      <c r="G425" s="1">
        <v>45721</v>
      </c>
      <c r="H425" s="2">
        <v>45722.417349074072</v>
      </c>
      <c r="I425">
        <v>2050</v>
      </c>
      <c r="J425" t="s">
        <v>54</v>
      </c>
      <c r="K425" t="s">
        <v>31</v>
      </c>
      <c r="L425">
        <v>50</v>
      </c>
      <c r="M425">
        <v>50</v>
      </c>
      <c r="N425" t="s">
        <v>55</v>
      </c>
      <c r="O425">
        <v>1</v>
      </c>
      <c r="P425">
        <v>150</v>
      </c>
      <c r="Q425" t="b">
        <v>1</v>
      </c>
      <c r="R425" t="b">
        <v>0</v>
      </c>
      <c r="S425" t="b">
        <v>0</v>
      </c>
      <c r="T425">
        <v>231</v>
      </c>
      <c r="U425">
        <v>0</v>
      </c>
      <c r="V425" t="s">
        <v>33</v>
      </c>
      <c r="W425" t="s">
        <v>33</v>
      </c>
      <c r="X425">
        <v>50</v>
      </c>
      <c r="Y425">
        <v>359</v>
      </c>
      <c r="Z425" t="s">
        <v>34</v>
      </c>
      <c r="AA425">
        <v>359</v>
      </c>
      <c r="AB425" t="s">
        <v>121</v>
      </c>
      <c r="AC425" t="s">
        <v>121</v>
      </c>
      <c r="AD425" t="str">
        <f t="shared" si="6"/>
        <v>Escobedo → Escobedo</v>
      </c>
      <c r="AE425" t="s">
        <v>1358</v>
      </c>
      <c r="AF425" s="4">
        <v>45717</v>
      </c>
      <c r="AG425" t="str">
        <f>YEAR(Table1[[#This Row],[Fecha]])&amp;" - " &amp;UPPER(TEXT(Table1[[#This Row],[Fecha]],"mm-mmm"))</f>
        <v>2025 - 03-MAR</v>
      </c>
      <c r="AH425" s="5">
        <v>0</v>
      </c>
    </row>
    <row r="426" spans="1:34" x14ac:dyDescent="0.25">
      <c r="A426" t="s">
        <v>458</v>
      </c>
      <c r="B426">
        <v>2025</v>
      </c>
      <c r="C426">
        <v>3</v>
      </c>
      <c r="D426" s="1">
        <v>45721</v>
      </c>
      <c r="E426" s="1">
        <v>45721</v>
      </c>
      <c r="F426" s="1">
        <v>45721</v>
      </c>
      <c r="G426" s="1">
        <v>45721</v>
      </c>
      <c r="H426" s="2">
        <v>45722.444094016202</v>
      </c>
      <c r="I426">
        <v>2050</v>
      </c>
      <c r="J426" t="s">
        <v>54</v>
      </c>
      <c r="K426" t="s">
        <v>31</v>
      </c>
      <c r="L426">
        <v>50</v>
      </c>
      <c r="M426">
        <v>50</v>
      </c>
      <c r="N426" t="s">
        <v>55</v>
      </c>
      <c r="O426">
        <v>1</v>
      </c>
      <c r="P426">
        <v>150</v>
      </c>
      <c r="Q426" t="b">
        <v>1</v>
      </c>
      <c r="R426" t="b">
        <v>0</v>
      </c>
      <c r="S426" t="b">
        <v>0</v>
      </c>
      <c r="T426">
        <v>231</v>
      </c>
      <c r="U426">
        <v>0</v>
      </c>
      <c r="V426" t="s">
        <v>33</v>
      </c>
      <c r="W426" t="s">
        <v>33</v>
      </c>
      <c r="X426">
        <v>50</v>
      </c>
      <c r="Y426">
        <v>2936</v>
      </c>
      <c r="Z426" t="s">
        <v>34</v>
      </c>
      <c r="AA426">
        <v>2936</v>
      </c>
      <c r="AB426" t="s">
        <v>121</v>
      </c>
      <c r="AC426" t="s">
        <v>432</v>
      </c>
      <c r="AD426" t="str">
        <f t="shared" si="6"/>
        <v>Escobedo → Hidalgo</v>
      </c>
      <c r="AE426" t="s">
        <v>1358</v>
      </c>
      <c r="AF426" s="4">
        <v>45717</v>
      </c>
      <c r="AG426" t="str">
        <f>YEAR(Table1[[#This Row],[Fecha]])&amp;" - " &amp;UPPER(TEXT(Table1[[#This Row],[Fecha]],"mm-mmm"))</f>
        <v>2025 - 03-MAR</v>
      </c>
      <c r="AH426" s="5">
        <v>0</v>
      </c>
    </row>
    <row r="427" spans="1:34" x14ac:dyDescent="0.25">
      <c r="A427" t="s">
        <v>328</v>
      </c>
      <c r="B427">
        <v>2025</v>
      </c>
      <c r="C427">
        <v>3</v>
      </c>
      <c r="D427" s="1">
        <v>45724</v>
      </c>
      <c r="E427" s="1">
        <v>45724</v>
      </c>
      <c r="F427" s="1">
        <v>45724</v>
      </c>
      <c r="G427" s="1">
        <v>45724</v>
      </c>
      <c r="H427" s="1">
        <v>45726</v>
      </c>
      <c r="I427">
        <v>2039</v>
      </c>
      <c r="J427" t="s">
        <v>30</v>
      </c>
      <c r="K427" t="s">
        <v>31</v>
      </c>
      <c r="L427">
        <v>961</v>
      </c>
      <c r="M427">
        <v>1059</v>
      </c>
      <c r="N427" t="s">
        <v>46</v>
      </c>
      <c r="O427">
        <v>1</v>
      </c>
      <c r="P427">
        <v>964</v>
      </c>
      <c r="Q427" t="b">
        <v>1</v>
      </c>
      <c r="R427" t="b">
        <v>0</v>
      </c>
      <c r="S427" t="b">
        <v>0</v>
      </c>
      <c r="T427">
        <v>1494</v>
      </c>
      <c r="U427">
        <v>0</v>
      </c>
      <c r="V427" t="s">
        <v>33</v>
      </c>
      <c r="W427" t="s">
        <v>33</v>
      </c>
      <c r="X427">
        <v>1100</v>
      </c>
      <c r="Y427">
        <v>8</v>
      </c>
      <c r="Z427" t="s">
        <v>44</v>
      </c>
      <c r="AA427">
        <v>8</v>
      </c>
      <c r="AB427" t="s">
        <v>121</v>
      </c>
      <c r="AC427" t="s">
        <v>56</v>
      </c>
      <c r="AD427" t="str">
        <f t="shared" si="6"/>
        <v>Escobedo → Cd Sahagún</v>
      </c>
      <c r="AE427" t="s">
        <v>1357</v>
      </c>
      <c r="AF427" s="4">
        <v>45717</v>
      </c>
      <c r="AG427" t="str">
        <f>YEAR(Table1[[#This Row],[Fecha]])&amp;" - " &amp;UPPER(TEXT(Table1[[#This Row],[Fecha]],"mm-mmm"))</f>
        <v>2025 - 03-MAR</v>
      </c>
      <c r="AH427" s="5">
        <v>0</v>
      </c>
    </row>
    <row r="428" spans="1:34" x14ac:dyDescent="0.25">
      <c r="A428" t="s">
        <v>329</v>
      </c>
      <c r="B428">
        <v>2025</v>
      </c>
      <c r="C428">
        <v>3</v>
      </c>
      <c r="D428" s="1">
        <v>45730</v>
      </c>
      <c r="E428" s="1">
        <v>45730</v>
      </c>
      <c r="F428" s="1">
        <v>45731</v>
      </c>
      <c r="G428" s="1">
        <v>45730</v>
      </c>
      <c r="H428" s="1">
        <v>45732</v>
      </c>
      <c r="I428">
        <v>2050</v>
      </c>
      <c r="J428" t="s">
        <v>54</v>
      </c>
      <c r="K428" t="s">
        <v>31</v>
      </c>
      <c r="L428">
        <v>961</v>
      </c>
      <c r="M428">
        <v>1059</v>
      </c>
      <c r="N428" t="s">
        <v>55</v>
      </c>
      <c r="O428">
        <v>1</v>
      </c>
      <c r="P428">
        <v>964</v>
      </c>
      <c r="Q428" t="b">
        <v>1</v>
      </c>
      <c r="R428" t="b">
        <v>0</v>
      </c>
      <c r="S428" t="b">
        <v>0</v>
      </c>
      <c r="T428">
        <v>1494</v>
      </c>
      <c r="U428">
        <v>0</v>
      </c>
      <c r="V428" t="s">
        <v>33</v>
      </c>
      <c r="W428" t="s">
        <v>330</v>
      </c>
      <c r="X428">
        <v>1100</v>
      </c>
      <c r="Y428">
        <v>8</v>
      </c>
      <c r="Z428" t="s">
        <v>67</v>
      </c>
      <c r="AA428">
        <v>8</v>
      </c>
      <c r="AB428" t="s">
        <v>121</v>
      </c>
      <c r="AC428" t="s">
        <v>56</v>
      </c>
      <c r="AD428" t="str">
        <f t="shared" si="6"/>
        <v>Escobedo → Cd Sahagún</v>
      </c>
      <c r="AE428" t="s">
        <v>1358</v>
      </c>
      <c r="AF428" s="4">
        <v>45717</v>
      </c>
      <c r="AG428" t="str">
        <f>YEAR(Table1[[#This Row],[Fecha]])&amp;" - " &amp;UPPER(TEXT(Table1[[#This Row],[Fecha]],"mm-mmm"))</f>
        <v>2025 - 03-MAR</v>
      </c>
      <c r="AH428" s="5">
        <v>0</v>
      </c>
    </row>
    <row r="429" spans="1:34" x14ac:dyDescent="0.25">
      <c r="A429" t="s">
        <v>331</v>
      </c>
      <c r="B429">
        <v>2025</v>
      </c>
      <c r="C429">
        <v>3</v>
      </c>
      <c r="D429" s="1">
        <v>45736</v>
      </c>
      <c r="E429" s="1">
        <v>45736</v>
      </c>
      <c r="F429" s="1">
        <v>45734</v>
      </c>
      <c r="G429" s="1">
        <v>45733</v>
      </c>
      <c r="H429" s="1">
        <v>45737</v>
      </c>
      <c r="I429">
        <v>2050</v>
      </c>
      <c r="J429" t="s">
        <v>54</v>
      </c>
      <c r="K429" t="s">
        <v>31</v>
      </c>
      <c r="L429">
        <v>961</v>
      </c>
      <c r="M429">
        <v>1059</v>
      </c>
      <c r="N429" t="s">
        <v>55</v>
      </c>
      <c r="O429">
        <v>1</v>
      </c>
      <c r="P429">
        <v>964</v>
      </c>
      <c r="Q429" t="b">
        <v>1</v>
      </c>
      <c r="R429" t="b">
        <v>0</v>
      </c>
      <c r="S429" t="b">
        <v>0</v>
      </c>
      <c r="T429">
        <v>1494</v>
      </c>
      <c r="U429">
        <v>0</v>
      </c>
      <c r="V429" t="s">
        <v>33</v>
      </c>
      <c r="W429" t="s">
        <v>332</v>
      </c>
      <c r="X429">
        <v>1100</v>
      </c>
      <c r="Y429">
        <v>8</v>
      </c>
      <c r="Z429" t="s">
        <v>67</v>
      </c>
      <c r="AA429">
        <v>8</v>
      </c>
      <c r="AB429" t="s">
        <v>121</v>
      </c>
      <c r="AC429" t="s">
        <v>56</v>
      </c>
      <c r="AD429" t="str">
        <f t="shared" si="6"/>
        <v>Escobedo → Cd Sahagún</v>
      </c>
      <c r="AE429" t="s">
        <v>1358</v>
      </c>
      <c r="AF429" s="4">
        <v>45717</v>
      </c>
      <c r="AG429" t="str">
        <f>YEAR(Table1[[#This Row],[Fecha]])&amp;" - " &amp;UPPER(TEXT(Table1[[#This Row],[Fecha]],"mm-mmm"))</f>
        <v>2025 - 03-MAR</v>
      </c>
      <c r="AH429" s="5">
        <v>0</v>
      </c>
    </row>
    <row r="430" spans="1:34" x14ac:dyDescent="0.25">
      <c r="A430" t="s">
        <v>107</v>
      </c>
      <c r="B430">
        <v>2025</v>
      </c>
      <c r="C430">
        <v>3</v>
      </c>
      <c r="D430" s="1">
        <v>45737</v>
      </c>
      <c r="E430" s="1">
        <v>45737</v>
      </c>
      <c r="F430" s="1">
        <v>45737</v>
      </c>
      <c r="G430" s="1">
        <v>45737</v>
      </c>
      <c r="H430" s="1">
        <v>45737</v>
      </c>
      <c r="I430">
        <v>2303</v>
      </c>
      <c r="J430" t="s">
        <v>54</v>
      </c>
      <c r="K430" t="s">
        <v>31</v>
      </c>
      <c r="L430">
        <v>96</v>
      </c>
      <c r="M430">
        <v>96</v>
      </c>
      <c r="N430" t="s">
        <v>108</v>
      </c>
      <c r="O430">
        <v>1</v>
      </c>
      <c r="P430">
        <v>150</v>
      </c>
      <c r="Q430" t="b">
        <v>1</v>
      </c>
      <c r="R430" t="b">
        <v>0</v>
      </c>
      <c r="S430" t="b">
        <v>0</v>
      </c>
      <c r="T430">
        <v>356</v>
      </c>
      <c r="U430">
        <v>0</v>
      </c>
      <c r="V430" t="s">
        <v>33</v>
      </c>
      <c r="W430" t="s">
        <v>33</v>
      </c>
      <c r="X430">
        <v>100</v>
      </c>
      <c r="Y430">
        <v>1606</v>
      </c>
      <c r="Z430" t="s">
        <v>38</v>
      </c>
      <c r="AA430">
        <v>1606</v>
      </c>
      <c r="AB430" t="s">
        <v>56</v>
      </c>
      <c r="AC430" t="s">
        <v>104</v>
      </c>
      <c r="AD430" t="str">
        <f t="shared" si="6"/>
        <v>Cd Sahagún → Azcapotzalco</v>
      </c>
      <c r="AE430" t="s">
        <v>1358</v>
      </c>
      <c r="AF430" s="4">
        <v>45717</v>
      </c>
      <c r="AG430" t="str">
        <f>YEAR(Table1[[#This Row],[Fecha]])&amp;" - " &amp;UPPER(TEXT(Table1[[#This Row],[Fecha]],"mm-mmm"))</f>
        <v>2025 - 03-MAR</v>
      </c>
      <c r="AH430" s="5">
        <v>0</v>
      </c>
    </row>
    <row r="431" spans="1:34" x14ac:dyDescent="0.25">
      <c r="A431" t="s">
        <v>333</v>
      </c>
      <c r="B431">
        <v>2025</v>
      </c>
      <c r="C431">
        <v>3</v>
      </c>
      <c r="D431" s="1">
        <v>45745</v>
      </c>
      <c r="E431" s="1">
        <v>45745</v>
      </c>
      <c r="F431" s="1">
        <v>45746</v>
      </c>
      <c r="G431" s="1">
        <v>45746</v>
      </c>
      <c r="H431" s="1">
        <v>45747</v>
      </c>
      <c r="I431">
        <v>2050</v>
      </c>
      <c r="J431" t="s">
        <v>54</v>
      </c>
      <c r="K431" t="s">
        <v>31</v>
      </c>
      <c r="L431">
        <v>961</v>
      </c>
      <c r="M431">
        <v>0</v>
      </c>
      <c r="N431" t="s">
        <v>55</v>
      </c>
      <c r="O431">
        <v>1</v>
      </c>
      <c r="P431">
        <v>964</v>
      </c>
      <c r="Q431" t="b">
        <v>1</v>
      </c>
      <c r="R431" t="b">
        <v>0</v>
      </c>
      <c r="S431" t="b">
        <v>0</v>
      </c>
      <c r="T431">
        <v>0</v>
      </c>
      <c r="U431">
        <v>0</v>
      </c>
      <c r="V431" t="s">
        <v>33</v>
      </c>
      <c r="W431" t="s">
        <v>334</v>
      </c>
      <c r="X431">
        <v>0</v>
      </c>
      <c r="Y431">
        <v>8</v>
      </c>
      <c r="Z431" t="s">
        <v>44</v>
      </c>
      <c r="AA431">
        <v>8</v>
      </c>
      <c r="AB431" t="s">
        <v>121</v>
      </c>
      <c r="AC431" t="s">
        <v>56</v>
      </c>
      <c r="AD431" t="str">
        <f t="shared" si="6"/>
        <v>Escobedo → Cd Sahagún</v>
      </c>
      <c r="AE431" t="s">
        <v>1358</v>
      </c>
      <c r="AF431" s="4">
        <v>45717</v>
      </c>
      <c r="AG431" t="str">
        <f>YEAR(Table1[[#This Row],[Fecha]])&amp;" - " &amp;UPPER(TEXT(Table1[[#This Row],[Fecha]],"mm-mmm"))</f>
        <v>2025 - 03-MAR</v>
      </c>
      <c r="AH431" s="5">
        <v>0</v>
      </c>
    </row>
    <row r="432" spans="1:34" x14ac:dyDescent="0.25">
      <c r="A432" t="s">
        <v>419</v>
      </c>
      <c r="B432">
        <v>2025</v>
      </c>
      <c r="C432">
        <v>4</v>
      </c>
      <c r="D432" s="1">
        <v>45756</v>
      </c>
      <c r="E432" s="1">
        <v>45756</v>
      </c>
      <c r="F432" s="1">
        <v>45756</v>
      </c>
      <c r="G432" s="1">
        <v>45756</v>
      </c>
      <c r="H432" s="2">
        <v>45756.629175925926</v>
      </c>
      <c r="I432">
        <v>2039</v>
      </c>
      <c r="J432" t="s">
        <v>30</v>
      </c>
      <c r="K432" t="s">
        <v>31</v>
      </c>
      <c r="L432">
        <v>50</v>
      </c>
      <c r="M432">
        <v>50</v>
      </c>
      <c r="N432" t="s">
        <v>32</v>
      </c>
      <c r="O432">
        <v>1</v>
      </c>
      <c r="P432">
        <v>150</v>
      </c>
      <c r="Q432" t="b">
        <v>1</v>
      </c>
      <c r="R432" t="b">
        <v>0</v>
      </c>
      <c r="S432" t="b">
        <v>0</v>
      </c>
      <c r="T432">
        <v>231</v>
      </c>
      <c r="U432">
        <v>0</v>
      </c>
      <c r="V432" t="s">
        <v>33</v>
      </c>
      <c r="W432" t="s">
        <v>33</v>
      </c>
      <c r="X432">
        <v>50</v>
      </c>
      <c r="Y432">
        <v>461</v>
      </c>
      <c r="Z432" t="s">
        <v>34</v>
      </c>
      <c r="AA432">
        <v>461</v>
      </c>
      <c r="AB432" t="s">
        <v>121</v>
      </c>
      <c r="AC432" t="s">
        <v>35</v>
      </c>
      <c r="AD432" t="str">
        <f t="shared" si="6"/>
        <v>Escobedo → Monterrey</v>
      </c>
      <c r="AE432" t="s">
        <v>1357</v>
      </c>
      <c r="AF432" s="4">
        <v>45748</v>
      </c>
      <c r="AG432" t="str">
        <f>YEAR(Table1[[#This Row],[Fecha]])&amp;" - " &amp;UPPER(TEXT(Table1[[#This Row],[Fecha]],"mm-mmm"))</f>
        <v>2025 - 04-ABR</v>
      </c>
      <c r="AH432" s="5">
        <v>0</v>
      </c>
    </row>
    <row r="433" spans="1:34" x14ac:dyDescent="0.25">
      <c r="A433" t="s">
        <v>420</v>
      </c>
      <c r="B433">
        <v>2025</v>
      </c>
      <c r="C433">
        <v>4</v>
      </c>
      <c r="D433" s="1">
        <v>45756</v>
      </c>
      <c r="E433" s="1">
        <v>45756</v>
      </c>
      <c r="F433" s="1">
        <v>45756</v>
      </c>
      <c r="G433" s="1">
        <v>45756</v>
      </c>
      <c r="H433" s="2">
        <v>45756.626270717592</v>
      </c>
      <c r="I433">
        <v>2039</v>
      </c>
      <c r="J433" t="s">
        <v>30</v>
      </c>
      <c r="K433" t="s">
        <v>31</v>
      </c>
      <c r="L433">
        <v>50</v>
      </c>
      <c r="M433">
        <v>50</v>
      </c>
      <c r="N433" t="s">
        <v>32</v>
      </c>
      <c r="O433">
        <v>1</v>
      </c>
      <c r="P433">
        <v>150</v>
      </c>
      <c r="Q433" t="b">
        <v>1</v>
      </c>
      <c r="R433" t="b">
        <v>0</v>
      </c>
      <c r="S433" t="b">
        <v>0</v>
      </c>
      <c r="T433">
        <v>231</v>
      </c>
      <c r="U433">
        <v>0</v>
      </c>
      <c r="V433" t="s">
        <v>33</v>
      </c>
      <c r="W433" t="s">
        <v>33</v>
      </c>
      <c r="X433">
        <v>50</v>
      </c>
      <c r="Y433">
        <v>461</v>
      </c>
      <c r="Z433" t="s">
        <v>34</v>
      </c>
      <c r="AA433">
        <v>461</v>
      </c>
      <c r="AB433" t="s">
        <v>121</v>
      </c>
      <c r="AC433" t="s">
        <v>35</v>
      </c>
      <c r="AD433" t="str">
        <f t="shared" si="6"/>
        <v>Escobedo → Monterrey</v>
      </c>
      <c r="AE433" t="s">
        <v>1357</v>
      </c>
      <c r="AF433" s="4">
        <v>45748</v>
      </c>
      <c r="AG433" t="str">
        <f>YEAR(Table1[[#This Row],[Fecha]])&amp;" - " &amp;UPPER(TEXT(Table1[[#This Row],[Fecha]],"mm-mmm"))</f>
        <v>2025 - 04-ABR</v>
      </c>
      <c r="AH433" s="5">
        <v>0</v>
      </c>
    </row>
    <row r="434" spans="1:34" x14ac:dyDescent="0.25">
      <c r="A434" t="s">
        <v>689</v>
      </c>
      <c r="B434">
        <v>2025</v>
      </c>
      <c r="C434">
        <v>4</v>
      </c>
      <c r="D434" s="1">
        <v>45756</v>
      </c>
      <c r="E434" s="1">
        <v>45756</v>
      </c>
      <c r="F434" s="1">
        <v>45756</v>
      </c>
      <c r="G434" s="1">
        <v>45756</v>
      </c>
      <c r="H434" s="2">
        <v>45756.626254479168</v>
      </c>
      <c r="I434">
        <v>2039</v>
      </c>
      <c r="J434" t="s">
        <v>30</v>
      </c>
      <c r="K434" t="s">
        <v>31</v>
      </c>
      <c r="L434">
        <v>50</v>
      </c>
      <c r="M434">
        <v>50</v>
      </c>
      <c r="N434" t="s">
        <v>32</v>
      </c>
      <c r="O434">
        <v>1</v>
      </c>
      <c r="P434">
        <v>150</v>
      </c>
      <c r="Q434" t="b">
        <v>1</v>
      </c>
      <c r="R434" t="b">
        <v>0</v>
      </c>
      <c r="S434" t="b">
        <v>0</v>
      </c>
      <c r="T434">
        <v>231</v>
      </c>
      <c r="U434">
        <v>0</v>
      </c>
      <c r="V434" t="s">
        <v>33</v>
      </c>
      <c r="W434" t="s">
        <v>33</v>
      </c>
      <c r="X434">
        <v>50</v>
      </c>
      <c r="Y434">
        <v>359</v>
      </c>
      <c r="Z434" t="s">
        <v>34</v>
      </c>
      <c r="AA434">
        <v>359</v>
      </c>
      <c r="AB434" t="s">
        <v>121</v>
      </c>
      <c r="AC434" t="s">
        <v>121</v>
      </c>
      <c r="AD434" t="str">
        <f t="shared" si="6"/>
        <v>Escobedo → Escobedo</v>
      </c>
      <c r="AE434" t="s">
        <v>1357</v>
      </c>
      <c r="AF434" s="4">
        <v>45748</v>
      </c>
      <c r="AG434" t="str">
        <f>YEAR(Table1[[#This Row],[Fecha]])&amp;" - " &amp;UPPER(TEXT(Table1[[#This Row],[Fecha]],"mm-mmm"))</f>
        <v>2025 - 04-ABR</v>
      </c>
      <c r="AH434" s="5">
        <v>0</v>
      </c>
    </row>
    <row r="435" spans="1:34" x14ac:dyDescent="0.25">
      <c r="A435" t="s">
        <v>453</v>
      </c>
      <c r="B435">
        <v>2025</v>
      </c>
      <c r="C435">
        <v>4</v>
      </c>
      <c r="D435" s="1">
        <v>45756</v>
      </c>
      <c r="E435" s="1">
        <v>45756</v>
      </c>
      <c r="F435" s="1">
        <v>45756</v>
      </c>
      <c r="G435" s="1">
        <v>45756</v>
      </c>
      <c r="H435" s="2">
        <v>45756.626290821761</v>
      </c>
      <c r="I435">
        <v>2039</v>
      </c>
      <c r="J435" t="s">
        <v>30</v>
      </c>
      <c r="K435" t="s">
        <v>31</v>
      </c>
      <c r="L435">
        <v>50</v>
      </c>
      <c r="M435">
        <v>50</v>
      </c>
      <c r="N435" t="s">
        <v>32</v>
      </c>
      <c r="O435">
        <v>1</v>
      </c>
      <c r="P435">
        <v>150</v>
      </c>
      <c r="Q435" t="b">
        <v>1</v>
      </c>
      <c r="R435" t="b">
        <v>0</v>
      </c>
      <c r="S435" t="b">
        <v>0</v>
      </c>
      <c r="T435">
        <v>231</v>
      </c>
      <c r="U435">
        <v>0</v>
      </c>
      <c r="V435" t="s">
        <v>33</v>
      </c>
      <c r="W435" t="s">
        <v>33</v>
      </c>
      <c r="X435">
        <v>50</v>
      </c>
      <c r="Y435">
        <v>2936</v>
      </c>
      <c r="Z435" t="s">
        <v>34</v>
      </c>
      <c r="AA435">
        <v>2936</v>
      </c>
      <c r="AB435" t="s">
        <v>121</v>
      </c>
      <c r="AC435" t="s">
        <v>432</v>
      </c>
      <c r="AD435" t="str">
        <f t="shared" si="6"/>
        <v>Escobedo → Hidalgo</v>
      </c>
      <c r="AE435" t="s">
        <v>1357</v>
      </c>
      <c r="AF435" s="4">
        <v>45748</v>
      </c>
      <c r="AG435" t="str">
        <f>YEAR(Table1[[#This Row],[Fecha]])&amp;" - " &amp;UPPER(TEXT(Table1[[#This Row],[Fecha]],"mm-mmm"))</f>
        <v>2025 - 04-ABR</v>
      </c>
      <c r="AH435" s="5">
        <v>0</v>
      </c>
    </row>
    <row r="436" spans="1:34" x14ac:dyDescent="0.25">
      <c r="A436" t="s">
        <v>691</v>
      </c>
      <c r="B436">
        <v>2025</v>
      </c>
      <c r="C436">
        <v>4</v>
      </c>
      <c r="D436" s="1">
        <v>45756</v>
      </c>
      <c r="E436" s="1">
        <v>45756</v>
      </c>
      <c r="F436" s="1">
        <v>45756</v>
      </c>
      <c r="G436" s="1">
        <v>45756</v>
      </c>
      <c r="H436" s="2">
        <v>45756.626283761572</v>
      </c>
      <c r="I436">
        <v>2039</v>
      </c>
      <c r="J436" t="s">
        <v>30</v>
      </c>
      <c r="K436" t="s">
        <v>31</v>
      </c>
      <c r="L436">
        <v>50</v>
      </c>
      <c r="M436">
        <v>50</v>
      </c>
      <c r="N436" t="s">
        <v>32</v>
      </c>
      <c r="O436">
        <v>1</v>
      </c>
      <c r="P436">
        <v>150</v>
      </c>
      <c r="Q436" t="b">
        <v>1</v>
      </c>
      <c r="R436" t="b">
        <v>0</v>
      </c>
      <c r="S436" t="b">
        <v>0</v>
      </c>
      <c r="T436">
        <v>231</v>
      </c>
      <c r="U436">
        <v>0</v>
      </c>
      <c r="V436" t="s">
        <v>33</v>
      </c>
      <c r="W436" t="s">
        <v>33</v>
      </c>
      <c r="X436">
        <v>50</v>
      </c>
      <c r="Y436">
        <v>359</v>
      </c>
      <c r="Z436" t="s">
        <v>34</v>
      </c>
      <c r="AA436">
        <v>359</v>
      </c>
      <c r="AB436" t="s">
        <v>121</v>
      </c>
      <c r="AC436" t="s">
        <v>121</v>
      </c>
      <c r="AD436" t="str">
        <f t="shared" si="6"/>
        <v>Escobedo → Escobedo</v>
      </c>
      <c r="AE436" t="s">
        <v>1357</v>
      </c>
      <c r="AF436" s="4">
        <v>45748</v>
      </c>
      <c r="AG436" t="str">
        <f>YEAR(Table1[[#This Row],[Fecha]])&amp;" - " &amp;UPPER(TEXT(Table1[[#This Row],[Fecha]],"mm-mmm"))</f>
        <v>2025 - 04-ABR</v>
      </c>
      <c r="AH436" s="5">
        <v>0</v>
      </c>
    </row>
    <row r="437" spans="1:34" x14ac:dyDescent="0.25">
      <c r="A437" t="s">
        <v>692</v>
      </c>
      <c r="B437">
        <v>2025</v>
      </c>
      <c r="C437">
        <v>4</v>
      </c>
      <c r="D437" s="1">
        <v>45756</v>
      </c>
      <c r="E437" s="1">
        <v>45756</v>
      </c>
      <c r="F437" s="1">
        <v>45756</v>
      </c>
      <c r="G437" s="1">
        <v>45756</v>
      </c>
      <c r="H437" s="2">
        <v>45756.626278159725</v>
      </c>
      <c r="I437">
        <v>2039</v>
      </c>
      <c r="J437" t="s">
        <v>30</v>
      </c>
      <c r="K437" t="s">
        <v>31</v>
      </c>
      <c r="L437">
        <v>50</v>
      </c>
      <c r="M437">
        <v>50</v>
      </c>
      <c r="N437" t="s">
        <v>32</v>
      </c>
      <c r="O437">
        <v>1</v>
      </c>
      <c r="P437">
        <v>150</v>
      </c>
      <c r="Q437" t="b">
        <v>1</v>
      </c>
      <c r="R437" t="b">
        <v>0</v>
      </c>
      <c r="S437" t="b">
        <v>0</v>
      </c>
      <c r="T437">
        <v>231</v>
      </c>
      <c r="U437">
        <v>0</v>
      </c>
      <c r="V437" t="s">
        <v>33</v>
      </c>
      <c r="W437" t="s">
        <v>33</v>
      </c>
      <c r="X437">
        <v>50</v>
      </c>
      <c r="Y437">
        <v>359</v>
      </c>
      <c r="Z437" t="s">
        <v>34</v>
      </c>
      <c r="AA437">
        <v>359</v>
      </c>
      <c r="AB437" t="s">
        <v>121</v>
      </c>
      <c r="AC437" t="s">
        <v>121</v>
      </c>
      <c r="AD437" t="str">
        <f t="shared" si="6"/>
        <v>Escobedo → Escobedo</v>
      </c>
      <c r="AE437" t="s">
        <v>1357</v>
      </c>
      <c r="AF437" s="4">
        <v>45748</v>
      </c>
      <c r="AG437" t="str">
        <f>YEAR(Table1[[#This Row],[Fecha]])&amp;" - " &amp;UPPER(TEXT(Table1[[#This Row],[Fecha]],"mm-mmm"))</f>
        <v>2025 - 04-ABR</v>
      </c>
      <c r="AH437" s="5">
        <v>0</v>
      </c>
    </row>
    <row r="438" spans="1:34" x14ac:dyDescent="0.25">
      <c r="A438" t="s">
        <v>201</v>
      </c>
      <c r="B438">
        <v>2025</v>
      </c>
      <c r="C438">
        <v>4</v>
      </c>
      <c r="D438" s="1">
        <v>45748</v>
      </c>
      <c r="E438" s="1">
        <v>45748</v>
      </c>
      <c r="F438" s="1">
        <v>45748</v>
      </c>
      <c r="G438" s="1">
        <v>45748</v>
      </c>
      <c r="H438" s="2">
        <v>45748.701327777781</v>
      </c>
      <c r="I438">
        <v>2039</v>
      </c>
      <c r="J438" t="s">
        <v>30</v>
      </c>
      <c r="K438" t="s">
        <v>31</v>
      </c>
      <c r="L438">
        <v>50</v>
      </c>
      <c r="M438">
        <v>50</v>
      </c>
      <c r="N438" t="s">
        <v>32</v>
      </c>
      <c r="O438">
        <v>1</v>
      </c>
      <c r="P438">
        <v>150</v>
      </c>
      <c r="Q438" t="b">
        <v>1</v>
      </c>
      <c r="R438" t="b">
        <v>0</v>
      </c>
      <c r="S438" t="b">
        <v>0</v>
      </c>
      <c r="T438">
        <v>231</v>
      </c>
      <c r="U438">
        <v>0</v>
      </c>
      <c r="V438" t="s">
        <v>33</v>
      </c>
      <c r="W438" t="s">
        <v>33</v>
      </c>
      <c r="X438">
        <v>50</v>
      </c>
      <c r="Y438">
        <v>966</v>
      </c>
      <c r="Z438" t="s">
        <v>34</v>
      </c>
      <c r="AA438">
        <v>966</v>
      </c>
      <c r="AB438" t="s">
        <v>121</v>
      </c>
      <c r="AC438" t="s">
        <v>192</v>
      </c>
      <c r="AD438" t="str">
        <f t="shared" si="6"/>
        <v>Escobedo → Cienega de Flores</v>
      </c>
      <c r="AE438" t="s">
        <v>1357</v>
      </c>
      <c r="AF438" s="4">
        <v>45748</v>
      </c>
      <c r="AG438" t="str">
        <f>YEAR(Table1[[#This Row],[Fecha]])&amp;" - " &amp;UPPER(TEXT(Table1[[#This Row],[Fecha]],"mm-mmm"))</f>
        <v>2025 - 04-ABR</v>
      </c>
      <c r="AH438" s="5">
        <v>0</v>
      </c>
    </row>
    <row r="439" spans="1:34" x14ac:dyDescent="0.25">
      <c r="A439" t="s">
        <v>454</v>
      </c>
      <c r="B439">
        <v>2025</v>
      </c>
      <c r="C439">
        <v>4</v>
      </c>
      <c r="D439" s="1">
        <v>45756</v>
      </c>
      <c r="E439" s="1">
        <v>45756</v>
      </c>
      <c r="F439" s="1">
        <v>45756</v>
      </c>
      <c r="G439" s="1">
        <v>45756</v>
      </c>
      <c r="H439" s="2">
        <v>45756.626296759256</v>
      </c>
      <c r="I439">
        <v>2039</v>
      </c>
      <c r="J439" t="s">
        <v>30</v>
      </c>
      <c r="K439" t="s">
        <v>31</v>
      </c>
      <c r="L439">
        <v>50</v>
      </c>
      <c r="M439">
        <v>50</v>
      </c>
      <c r="N439" t="s">
        <v>32</v>
      </c>
      <c r="O439">
        <v>1</v>
      </c>
      <c r="P439">
        <v>150</v>
      </c>
      <c r="Q439" t="b">
        <v>1</v>
      </c>
      <c r="R439" t="b">
        <v>0</v>
      </c>
      <c r="S439" t="b">
        <v>0</v>
      </c>
      <c r="T439">
        <v>231</v>
      </c>
      <c r="U439">
        <v>0</v>
      </c>
      <c r="V439" t="s">
        <v>33</v>
      </c>
      <c r="W439" t="s">
        <v>33</v>
      </c>
      <c r="X439">
        <v>50</v>
      </c>
      <c r="Y439">
        <v>2936</v>
      </c>
      <c r="Z439" t="s">
        <v>34</v>
      </c>
      <c r="AA439">
        <v>2936</v>
      </c>
      <c r="AB439" t="s">
        <v>121</v>
      </c>
      <c r="AC439" t="s">
        <v>432</v>
      </c>
      <c r="AD439" t="str">
        <f t="shared" si="6"/>
        <v>Escobedo → Hidalgo</v>
      </c>
      <c r="AE439" t="s">
        <v>1357</v>
      </c>
      <c r="AF439" s="4">
        <v>45748</v>
      </c>
      <c r="AG439" t="str">
        <f>YEAR(Table1[[#This Row],[Fecha]])&amp;" - " &amp;UPPER(TEXT(Table1[[#This Row],[Fecha]],"mm-mmm"))</f>
        <v>2025 - 04-ABR</v>
      </c>
      <c r="AH439" s="5">
        <v>0</v>
      </c>
    </row>
    <row r="440" spans="1:34" x14ac:dyDescent="0.25">
      <c r="A440" t="s">
        <v>693</v>
      </c>
      <c r="B440">
        <v>2025</v>
      </c>
      <c r="C440">
        <v>4</v>
      </c>
      <c r="D440" s="1">
        <v>45757</v>
      </c>
      <c r="E440" s="1">
        <v>45757</v>
      </c>
      <c r="F440" s="1">
        <v>45757</v>
      </c>
      <c r="G440" s="1">
        <v>45757</v>
      </c>
      <c r="H440" s="2">
        <v>45757.499417210645</v>
      </c>
      <c r="I440">
        <v>2039</v>
      </c>
      <c r="J440" t="s">
        <v>30</v>
      </c>
      <c r="K440" t="s">
        <v>31</v>
      </c>
      <c r="L440">
        <v>50</v>
      </c>
      <c r="M440">
        <v>50</v>
      </c>
      <c r="N440" t="s">
        <v>32</v>
      </c>
      <c r="O440">
        <v>1</v>
      </c>
      <c r="P440">
        <v>150</v>
      </c>
      <c r="Q440" t="b">
        <v>1</v>
      </c>
      <c r="R440" t="b">
        <v>0</v>
      </c>
      <c r="S440" t="b">
        <v>0</v>
      </c>
      <c r="T440">
        <v>231</v>
      </c>
      <c r="U440">
        <v>0</v>
      </c>
      <c r="V440" t="s">
        <v>33</v>
      </c>
      <c r="W440" t="s">
        <v>33</v>
      </c>
      <c r="X440">
        <v>50</v>
      </c>
      <c r="Y440">
        <v>359</v>
      </c>
      <c r="Z440" t="s">
        <v>34</v>
      </c>
      <c r="AA440">
        <v>359</v>
      </c>
      <c r="AB440" t="s">
        <v>121</v>
      </c>
      <c r="AC440" t="s">
        <v>121</v>
      </c>
      <c r="AD440" t="str">
        <f t="shared" si="6"/>
        <v>Escobedo → Escobedo</v>
      </c>
      <c r="AE440" t="s">
        <v>1357</v>
      </c>
      <c r="AF440" s="4">
        <v>45748</v>
      </c>
      <c r="AG440" t="str">
        <f>YEAR(Table1[[#This Row],[Fecha]])&amp;" - " &amp;UPPER(TEXT(Table1[[#This Row],[Fecha]],"mm-mmm"))</f>
        <v>2025 - 04-ABR</v>
      </c>
      <c r="AH440" s="5">
        <v>0</v>
      </c>
    </row>
    <row r="441" spans="1:34" x14ac:dyDescent="0.25">
      <c r="A441" t="s">
        <v>694</v>
      </c>
      <c r="B441">
        <v>2025</v>
      </c>
      <c r="C441">
        <v>4</v>
      </c>
      <c r="D441" s="1">
        <v>45757</v>
      </c>
      <c r="E441" s="1">
        <v>45757</v>
      </c>
      <c r="F441" s="1">
        <v>45757</v>
      </c>
      <c r="G441" s="1">
        <v>45757</v>
      </c>
      <c r="H441" s="2">
        <v>45757.499736192127</v>
      </c>
      <c r="I441">
        <v>2039</v>
      </c>
      <c r="J441" t="s">
        <v>30</v>
      </c>
      <c r="K441" t="s">
        <v>31</v>
      </c>
      <c r="L441">
        <v>50</v>
      </c>
      <c r="M441">
        <v>50</v>
      </c>
      <c r="N441" t="s">
        <v>32</v>
      </c>
      <c r="O441">
        <v>1</v>
      </c>
      <c r="P441">
        <v>150</v>
      </c>
      <c r="Q441" t="b">
        <v>1</v>
      </c>
      <c r="R441" t="b">
        <v>0</v>
      </c>
      <c r="S441" t="b">
        <v>0</v>
      </c>
      <c r="T441">
        <v>231</v>
      </c>
      <c r="U441">
        <v>0</v>
      </c>
      <c r="V441" t="s">
        <v>33</v>
      </c>
      <c r="W441" t="s">
        <v>33</v>
      </c>
      <c r="X441">
        <v>50</v>
      </c>
      <c r="Y441">
        <v>359</v>
      </c>
      <c r="Z441" t="s">
        <v>34</v>
      </c>
      <c r="AA441">
        <v>359</v>
      </c>
      <c r="AB441" t="s">
        <v>121</v>
      </c>
      <c r="AC441" t="s">
        <v>121</v>
      </c>
      <c r="AD441" t="str">
        <f t="shared" si="6"/>
        <v>Escobedo → Escobedo</v>
      </c>
      <c r="AE441" t="s">
        <v>1357</v>
      </c>
      <c r="AF441" s="4">
        <v>45748</v>
      </c>
      <c r="AG441" t="str">
        <f>YEAR(Table1[[#This Row],[Fecha]])&amp;" - " &amp;UPPER(TEXT(Table1[[#This Row],[Fecha]],"mm-mmm"))</f>
        <v>2025 - 04-ABR</v>
      </c>
      <c r="AH441" s="5">
        <v>0</v>
      </c>
    </row>
    <row r="442" spans="1:34" x14ac:dyDescent="0.25">
      <c r="A442" t="s">
        <v>455</v>
      </c>
      <c r="B442">
        <v>2025</v>
      </c>
      <c r="C442">
        <v>4</v>
      </c>
      <c r="D442" s="1">
        <v>45757</v>
      </c>
      <c r="E442" s="1">
        <v>45757</v>
      </c>
      <c r="F442" s="1">
        <v>45757</v>
      </c>
      <c r="G442" s="1">
        <v>45757</v>
      </c>
      <c r="H442" s="2">
        <v>45757.500497141205</v>
      </c>
      <c r="I442">
        <v>2039</v>
      </c>
      <c r="J442" t="s">
        <v>30</v>
      </c>
      <c r="K442" t="s">
        <v>31</v>
      </c>
      <c r="L442">
        <v>50</v>
      </c>
      <c r="M442">
        <v>50</v>
      </c>
      <c r="N442" t="s">
        <v>32</v>
      </c>
      <c r="O442">
        <v>1</v>
      </c>
      <c r="P442">
        <v>150</v>
      </c>
      <c r="Q442" t="b">
        <v>1</v>
      </c>
      <c r="R442" t="b">
        <v>0</v>
      </c>
      <c r="S442" t="b">
        <v>0</v>
      </c>
      <c r="T442">
        <v>231</v>
      </c>
      <c r="U442">
        <v>0</v>
      </c>
      <c r="V442" t="s">
        <v>33</v>
      </c>
      <c r="W442" t="s">
        <v>33</v>
      </c>
      <c r="X442">
        <v>50</v>
      </c>
      <c r="Y442">
        <v>2936</v>
      </c>
      <c r="Z442" t="s">
        <v>34</v>
      </c>
      <c r="AA442">
        <v>2936</v>
      </c>
      <c r="AB442" t="s">
        <v>121</v>
      </c>
      <c r="AC442" t="s">
        <v>432</v>
      </c>
      <c r="AD442" t="str">
        <f t="shared" si="6"/>
        <v>Escobedo → Hidalgo</v>
      </c>
      <c r="AE442" t="s">
        <v>1357</v>
      </c>
      <c r="AF442" s="4">
        <v>45748</v>
      </c>
      <c r="AG442" t="str">
        <f>YEAR(Table1[[#This Row],[Fecha]])&amp;" - " &amp;UPPER(TEXT(Table1[[#This Row],[Fecha]],"mm-mmm"))</f>
        <v>2025 - 04-ABR</v>
      </c>
      <c r="AH442" s="5">
        <v>0</v>
      </c>
    </row>
    <row r="443" spans="1:34" x14ac:dyDescent="0.25">
      <c r="A443" t="s">
        <v>456</v>
      </c>
      <c r="B443">
        <v>2025</v>
      </c>
      <c r="C443">
        <v>4</v>
      </c>
      <c r="D443" s="1">
        <v>45757</v>
      </c>
      <c r="E443" s="1">
        <v>45757</v>
      </c>
      <c r="F443" s="1">
        <v>45757</v>
      </c>
      <c r="G443" s="1">
        <v>45757</v>
      </c>
      <c r="H443" s="2">
        <v>45757.501732060184</v>
      </c>
      <c r="I443">
        <v>2039</v>
      </c>
      <c r="J443" t="s">
        <v>30</v>
      </c>
      <c r="K443" t="s">
        <v>31</v>
      </c>
      <c r="L443">
        <v>50</v>
      </c>
      <c r="M443">
        <v>50</v>
      </c>
      <c r="N443" t="s">
        <v>32</v>
      </c>
      <c r="O443">
        <v>1</v>
      </c>
      <c r="P443">
        <v>150</v>
      </c>
      <c r="Q443" t="b">
        <v>1</v>
      </c>
      <c r="R443" t="b">
        <v>0</v>
      </c>
      <c r="S443" t="b">
        <v>0</v>
      </c>
      <c r="T443">
        <v>231</v>
      </c>
      <c r="U443">
        <v>0</v>
      </c>
      <c r="V443" t="s">
        <v>33</v>
      </c>
      <c r="W443" t="s">
        <v>33</v>
      </c>
      <c r="X443">
        <v>50</v>
      </c>
      <c r="Y443">
        <v>2936</v>
      </c>
      <c r="Z443" t="s">
        <v>34</v>
      </c>
      <c r="AA443">
        <v>2936</v>
      </c>
      <c r="AB443" t="s">
        <v>121</v>
      </c>
      <c r="AC443" t="s">
        <v>432</v>
      </c>
      <c r="AD443" t="str">
        <f t="shared" si="6"/>
        <v>Escobedo → Hidalgo</v>
      </c>
      <c r="AE443" t="s">
        <v>1357</v>
      </c>
      <c r="AF443" s="4">
        <v>45748</v>
      </c>
      <c r="AG443" t="str">
        <f>YEAR(Table1[[#This Row],[Fecha]])&amp;" - " &amp;UPPER(TEXT(Table1[[#This Row],[Fecha]],"mm-mmm"))</f>
        <v>2025 - 04-ABR</v>
      </c>
      <c r="AH443" s="5">
        <v>0</v>
      </c>
    </row>
    <row r="444" spans="1:34" x14ac:dyDescent="0.25">
      <c r="A444" t="s">
        <v>202</v>
      </c>
      <c r="B444">
        <v>2025</v>
      </c>
      <c r="C444">
        <v>4</v>
      </c>
      <c r="D444" s="1">
        <v>45748</v>
      </c>
      <c r="E444" s="1">
        <v>45748</v>
      </c>
      <c r="F444" s="1">
        <v>45748</v>
      </c>
      <c r="G444" s="1">
        <v>45748</v>
      </c>
      <c r="H444" s="2">
        <v>45748.702008298613</v>
      </c>
      <c r="I444">
        <v>2039</v>
      </c>
      <c r="J444" t="s">
        <v>30</v>
      </c>
      <c r="K444" t="s">
        <v>31</v>
      </c>
      <c r="L444">
        <v>50</v>
      </c>
      <c r="M444">
        <v>50</v>
      </c>
      <c r="N444" t="s">
        <v>32</v>
      </c>
      <c r="O444">
        <v>1</v>
      </c>
      <c r="P444">
        <v>150</v>
      </c>
      <c r="Q444" t="b">
        <v>1</v>
      </c>
      <c r="R444" t="b">
        <v>0</v>
      </c>
      <c r="S444" t="b">
        <v>0</v>
      </c>
      <c r="T444">
        <v>231</v>
      </c>
      <c r="U444">
        <v>0</v>
      </c>
      <c r="V444" t="s">
        <v>33</v>
      </c>
      <c r="W444" t="s">
        <v>33</v>
      </c>
      <c r="X444">
        <v>50</v>
      </c>
      <c r="Y444">
        <v>966</v>
      </c>
      <c r="Z444" t="s">
        <v>34</v>
      </c>
      <c r="AA444">
        <v>966</v>
      </c>
      <c r="AB444" t="s">
        <v>121</v>
      </c>
      <c r="AC444" t="s">
        <v>192</v>
      </c>
      <c r="AD444" t="str">
        <f t="shared" si="6"/>
        <v>Escobedo → Cienega de Flores</v>
      </c>
      <c r="AE444" t="s">
        <v>1357</v>
      </c>
      <c r="AF444" s="4">
        <v>45748</v>
      </c>
      <c r="AG444" t="str">
        <f>YEAR(Table1[[#This Row],[Fecha]])&amp;" - " &amp;UPPER(TEXT(Table1[[#This Row],[Fecha]],"mm-mmm"))</f>
        <v>2025 - 04-ABR</v>
      </c>
      <c r="AH444" s="5">
        <v>0</v>
      </c>
    </row>
    <row r="445" spans="1:34" x14ac:dyDescent="0.25">
      <c r="A445" t="s">
        <v>690</v>
      </c>
      <c r="B445">
        <v>2025</v>
      </c>
      <c r="C445">
        <v>4</v>
      </c>
      <c r="D445" s="1">
        <v>45758</v>
      </c>
      <c r="E445" s="1">
        <v>45758</v>
      </c>
      <c r="F445" s="1">
        <v>45758</v>
      </c>
      <c r="G445" s="1">
        <v>45758</v>
      </c>
      <c r="H445" s="1">
        <v>45758</v>
      </c>
      <c r="I445">
        <v>2039</v>
      </c>
      <c r="J445" t="s">
        <v>30</v>
      </c>
      <c r="K445" t="s">
        <v>31</v>
      </c>
      <c r="L445">
        <v>50</v>
      </c>
      <c r="M445">
        <v>50</v>
      </c>
      <c r="N445" t="s">
        <v>32</v>
      </c>
      <c r="O445">
        <v>1</v>
      </c>
      <c r="P445">
        <v>150</v>
      </c>
      <c r="Q445" t="b">
        <v>1</v>
      </c>
      <c r="R445" t="b">
        <v>0</v>
      </c>
      <c r="S445" t="b">
        <v>0</v>
      </c>
      <c r="T445">
        <v>231</v>
      </c>
      <c r="U445">
        <v>0</v>
      </c>
      <c r="V445" t="s">
        <v>33</v>
      </c>
      <c r="W445" t="s">
        <v>33</v>
      </c>
      <c r="X445">
        <v>50</v>
      </c>
      <c r="Y445">
        <v>359</v>
      </c>
      <c r="Z445" t="s">
        <v>34</v>
      </c>
      <c r="AA445">
        <v>359</v>
      </c>
      <c r="AB445" t="s">
        <v>121</v>
      </c>
      <c r="AC445" t="s">
        <v>121</v>
      </c>
      <c r="AD445" t="str">
        <f t="shared" si="6"/>
        <v>Escobedo → Escobedo</v>
      </c>
      <c r="AE445" t="s">
        <v>1357</v>
      </c>
      <c r="AF445" s="4">
        <v>45748</v>
      </c>
      <c r="AG445" t="str">
        <f>YEAR(Table1[[#This Row],[Fecha]])&amp;" - " &amp;UPPER(TEXT(Table1[[#This Row],[Fecha]],"mm-mmm"))</f>
        <v>2025 - 04-ABR</v>
      </c>
      <c r="AH445" s="5">
        <v>0</v>
      </c>
    </row>
    <row r="446" spans="1:34" x14ac:dyDescent="0.25">
      <c r="A446" t="s">
        <v>377</v>
      </c>
      <c r="B446">
        <v>2025</v>
      </c>
      <c r="C446">
        <v>4</v>
      </c>
      <c r="D446" s="1">
        <v>45758</v>
      </c>
      <c r="E446" s="1">
        <v>45758</v>
      </c>
      <c r="F446" s="1">
        <v>45759</v>
      </c>
      <c r="G446" s="1">
        <v>45758</v>
      </c>
      <c r="H446" s="1">
        <v>45759</v>
      </c>
      <c r="I446">
        <v>2039</v>
      </c>
      <c r="J446" t="s">
        <v>30</v>
      </c>
      <c r="K446" t="s">
        <v>31</v>
      </c>
      <c r="L446">
        <v>1052</v>
      </c>
      <c r="M446">
        <v>1052</v>
      </c>
      <c r="N446" t="s">
        <v>46</v>
      </c>
      <c r="O446">
        <v>1</v>
      </c>
      <c r="P446">
        <v>1076</v>
      </c>
      <c r="Q446" t="b">
        <v>1</v>
      </c>
      <c r="R446" t="b">
        <v>0</v>
      </c>
      <c r="S446" t="b">
        <v>0</v>
      </c>
      <c r="T446">
        <v>1494</v>
      </c>
      <c r="U446">
        <v>0</v>
      </c>
      <c r="V446" t="s">
        <v>33</v>
      </c>
      <c r="W446" t="s">
        <v>33</v>
      </c>
      <c r="X446">
        <v>1100</v>
      </c>
      <c r="Y446">
        <v>336</v>
      </c>
      <c r="Z446" t="s">
        <v>74</v>
      </c>
      <c r="AA446">
        <v>336</v>
      </c>
      <c r="AB446" t="s">
        <v>121</v>
      </c>
      <c r="AC446" t="s">
        <v>60</v>
      </c>
      <c r="AD446" t="str">
        <f t="shared" si="6"/>
        <v>Escobedo → Culiacan</v>
      </c>
      <c r="AE446" t="s">
        <v>1357</v>
      </c>
      <c r="AF446" s="4">
        <v>45748</v>
      </c>
      <c r="AG446" t="str">
        <f>YEAR(Table1[[#This Row],[Fecha]])&amp;" - " &amp;UPPER(TEXT(Table1[[#This Row],[Fecha]],"mm-mmm"))</f>
        <v>2025 - 04-ABR</v>
      </c>
      <c r="AH446" s="5">
        <v>0</v>
      </c>
    </row>
    <row r="447" spans="1:34" x14ac:dyDescent="0.25">
      <c r="A447" t="s">
        <v>263</v>
      </c>
      <c r="B447">
        <v>2025</v>
      </c>
      <c r="C447">
        <v>4</v>
      </c>
      <c r="D447" s="1">
        <v>45758</v>
      </c>
      <c r="E447" s="1">
        <v>45758</v>
      </c>
      <c r="F447" s="1">
        <v>45761</v>
      </c>
      <c r="G447" s="1">
        <v>45760</v>
      </c>
      <c r="H447" s="1">
        <v>45760</v>
      </c>
      <c r="I447">
        <v>2039</v>
      </c>
      <c r="J447" t="s">
        <v>30</v>
      </c>
      <c r="K447" t="s">
        <v>31</v>
      </c>
      <c r="L447">
        <v>1264</v>
      </c>
      <c r="M447">
        <v>1264</v>
      </c>
      <c r="N447" t="s">
        <v>32</v>
      </c>
      <c r="O447">
        <v>1</v>
      </c>
      <c r="P447">
        <v>1264</v>
      </c>
      <c r="Q447" t="b">
        <v>1</v>
      </c>
      <c r="R447" t="b">
        <v>0</v>
      </c>
      <c r="S447" t="b">
        <v>0</v>
      </c>
      <c r="T447">
        <v>1746</v>
      </c>
      <c r="U447">
        <v>0</v>
      </c>
      <c r="V447" t="s">
        <v>33</v>
      </c>
      <c r="W447" t="s">
        <v>33</v>
      </c>
      <c r="X447">
        <v>1300</v>
      </c>
      <c r="Y447">
        <v>2737</v>
      </c>
      <c r="Z447" t="s">
        <v>74</v>
      </c>
      <c r="AA447">
        <v>2737</v>
      </c>
      <c r="AB447" t="s">
        <v>121</v>
      </c>
      <c r="AC447" t="s">
        <v>262</v>
      </c>
      <c r="AD447" t="str">
        <f t="shared" si="6"/>
        <v>Escobedo → Tepotzotlan</v>
      </c>
      <c r="AE447" t="s">
        <v>1357</v>
      </c>
      <c r="AF447" s="4">
        <v>45748</v>
      </c>
      <c r="AG447" t="str">
        <f>YEAR(Table1[[#This Row],[Fecha]])&amp;" - " &amp;UPPER(TEXT(Table1[[#This Row],[Fecha]],"mm-mmm"))</f>
        <v>2025 - 04-ABR</v>
      </c>
      <c r="AH447" s="5">
        <v>0</v>
      </c>
    </row>
    <row r="448" spans="1:34" x14ac:dyDescent="0.25">
      <c r="A448" t="s">
        <v>688</v>
      </c>
      <c r="B448">
        <v>2025</v>
      </c>
      <c r="C448">
        <v>4</v>
      </c>
      <c r="D448" s="1">
        <v>45748</v>
      </c>
      <c r="E448" s="1">
        <v>45748</v>
      </c>
      <c r="F448" s="1">
        <v>45748</v>
      </c>
      <c r="G448" s="1">
        <v>45748</v>
      </c>
      <c r="H448" s="2">
        <v>45748.743802083336</v>
      </c>
      <c r="I448">
        <v>2039</v>
      </c>
      <c r="J448" t="s">
        <v>30</v>
      </c>
      <c r="K448" t="s">
        <v>31</v>
      </c>
      <c r="L448">
        <v>50</v>
      </c>
      <c r="M448">
        <v>50</v>
      </c>
      <c r="N448" t="s">
        <v>32</v>
      </c>
      <c r="O448">
        <v>1</v>
      </c>
      <c r="P448">
        <v>150</v>
      </c>
      <c r="Q448" t="b">
        <v>1</v>
      </c>
      <c r="R448" t="b">
        <v>0</v>
      </c>
      <c r="S448" t="b">
        <v>0</v>
      </c>
      <c r="T448">
        <v>231</v>
      </c>
      <c r="U448">
        <v>0</v>
      </c>
      <c r="V448" t="s">
        <v>33</v>
      </c>
      <c r="W448" t="s">
        <v>33</v>
      </c>
      <c r="X448">
        <v>50</v>
      </c>
      <c r="Y448">
        <v>359</v>
      </c>
      <c r="Z448" t="s">
        <v>34</v>
      </c>
      <c r="AA448">
        <v>359</v>
      </c>
      <c r="AB448" t="s">
        <v>121</v>
      </c>
      <c r="AC448" t="s">
        <v>121</v>
      </c>
      <c r="AD448" t="str">
        <f t="shared" si="6"/>
        <v>Escobedo → Escobedo</v>
      </c>
      <c r="AE448" t="s">
        <v>1357</v>
      </c>
      <c r="AF448" s="4">
        <v>45748</v>
      </c>
      <c r="AG448" t="str">
        <f>YEAR(Table1[[#This Row],[Fecha]])&amp;" - " &amp;UPPER(TEXT(Table1[[#This Row],[Fecha]],"mm-mmm"))</f>
        <v>2025 - 04-ABR</v>
      </c>
      <c r="AH448" s="5">
        <v>0</v>
      </c>
    </row>
    <row r="449" spans="1:34" x14ac:dyDescent="0.25">
      <c r="A449" t="s">
        <v>452</v>
      </c>
      <c r="B449">
        <v>2025</v>
      </c>
      <c r="C449">
        <v>4</v>
      </c>
      <c r="D449" s="1">
        <v>45761</v>
      </c>
      <c r="E449" s="1">
        <v>45761</v>
      </c>
      <c r="F449" s="1">
        <v>45761</v>
      </c>
      <c r="G449" s="1">
        <v>45761</v>
      </c>
      <c r="H449" s="1">
        <v>45761</v>
      </c>
      <c r="I449">
        <v>2039</v>
      </c>
      <c r="J449" t="s">
        <v>30</v>
      </c>
      <c r="K449" t="s">
        <v>31</v>
      </c>
      <c r="L449">
        <v>50</v>
      </c>
      <c r="M449">
        <v>50</v>
      </c>
      <c r="N449" t="s">
        <v>32</v>
      </c>
      <c r="O449">
        <v>1</v>
      </c>
      <c r="P449">
        <v>150</v>
      </c>
      <c r="Q449" t="b">
        <v>1</v>
      </c>
      <c r="R449" t="b">
        <v>0</v>
      </c>
      <c r="S449" t="b">
        <v>0</v>
      </c>
      <c r="T449">
        <v>231</v>
      </c>
      <c r="U449">
        <v>0</v>
      </c>
      <c r="V449" t="s">
        <v>33</v>
      </c>
      <c r="W449" t="s">
        <v>33</v>
      </c>
      <c r="X449">
        <v>50</v>
      </c>
      <c r="Y449">
        <v>2936</v>
      </c>
      <c r="Z449" t="s">
        <v>34</v>
      </c>
      <c r="AA449">
        <v>2936</v>
      </c>
      <c r="AB449" t="s">
        <v>121</v>
      </c>
      <c r="AC449" t="s">
        <v>432</v>
      </c>
      <c r="AD449" t="str">
        <f t="shared" si="6"/>
        <v>Escobedo → Hidalgo</v>
      </c>
      <c r="AE449" t="s">
        <v>1357</v>
      </c>
      <c r="AF449" s="4">
        <v>45748</v>
      </c>
      <c r="AG449" t="str">
        <f>YEAR(Table1[[#This Row],[Fecha]])&amp;" - " &amp;UPPER(TEXT(Table1[[#This Row],[Fecha]],"mm-mmm"))</f>
        <v>2025 - 04-ABR</v>
      </c>
      <c r="AH449" s="5">
        <v>0</v>
      </c>
    </row>
    <row r="450" spans="1:34" x14ac:dyDescent="0.25">
      <c r="A450" t="s">
        <v>743</v>
      </c>
      <c r="B450">
        <v>2025</v>
      </c>
      <c r="C450">
        <v>4</v>
      </c>
      <c r="D450" s="1">
        <v>45761</v>
      </c>
      <c r="E450" s="1">
        <v>45761</v>
      </c>
      <c r="F450" s="1">
        <v>45761</v>
      </c>
      <c r="G450" s="1">
        <v>45761</v>
      </c>
      <c r="H450" s="1">
        <v>45761</v>
      </c>
      <c r="I450">
        <v>2039</v>
      </c>
      <c r="J450" t="s">
        <v>30</v>
      </c>
      <c r="K450" t="s">
        <v>31</v>
      </c>
      <c r="L450">
        <v>50</v>
      </c>
      <c r="M450">
        <v>50</v>
      </c>
      <c r="N450" t="s">
        <v>32</v>
      </c>
      <c r="O450">
        <v>1</v>
      </c>
      <c r="P450">
        <v>150</v>
      </c>
      <c r="Q450" t="b">
        <v>1</v>
      </c>
      <c r="R450" t="b">
        <v>0</v>
      </c>
      <c r="S450" t="b">
        <v>0</v>
      </c>
      <c r="T450">
        <v>231</v>
      </c>
      <c r="U450">
        <v>0</v>
      </c>
      <c r="V450" t="s">
        <v>33</v>
      </c>
      <c r="W450" t="s">
        <v>33</v>
      </c>
      <c r="X450">
        <v>50</v>
      </c>
      <c r="Y450">
        <v>359</v>
      </c>
      <c r="Z450" t="s">
        <v>34</v>
      </c>
      <c r="AA450">
        <v>359</v>
      </c>
      <c r="AB450" t="s">
        <v>121</v>
      </c>
      <c r="AC450" t="s">
        <v>121</v>
      </c>
      <c r="AD450" t="str">
        <f t="shared" ref="AD450:AD513" si="7">+AB450&amp;" → "&amp;AC450</f>
        <v>Escobedo → Escobedo</v>
      </c>
      <c r="AE450" t="s">
        <v>1357</v>
      </c>
      <c r="AF450" s="4">
        <v>45748</v>
      </c>
      <c r="AG450" t="str">
        <f>YEAR(Table1[[#This Row],[Fecha]])&amp;" - " &amp;UPPER(TEXT(Table1[[#This Row],[Fecha]],"mm-mmm"))</f>
        <v>2025 - 04-ABR</v>
      </c>
      <c r="AH450" s="5">
        <v>0</v>
      </c>
    </row>
    <row r="451" spans="1:34" x14ac:dyDescent="0.25">
      <c r="A451" t="s">
        <v>449</v>
      </c>
      <c r="B451">
        <v>2025</v>
      </c>
      <c r="C451">
        <v>4</v>
      </c>
      <c r="D451" s="1">
        <v>45761</v>
      </c>
      <c r="E451" s="1">
        <v>45761</v>
      </c>
      <c r="F451" s="1">
        <v>45761</v>
      </c>
      <c r="G451" s="1">
        <v>45761</v>
      </c>
      <c r="H451" s="1">
        <v>45761</v>
      </c>
      <c r="I451">
        <v>2039</v>
      </c>
      <c r="J451" t="s">
        <v>30</v>
      </c>
      <c r="K451" t="s">
        <v>31</v>
      </c>
      <c r="L451">
        <v>50</v>
      </c>
      <c r="M451">
        <v>50</v>
      </c>
      <c r="N451" t="s">
        <v>32</v>
      </c>
      <c r="O451">
        <v>1</v>
      </c>
      <c r="P451">
        <v>150</v>
      </c>
      <c r="Q451" t="b">
        <v>1</v>
      </c>
      <c r="R451" t="b">
        <v>0</v>
      </c>
      <c r="S451" t="b">
        <v>0</v>
      </c>
      <c r="T451">
        <v>231</v>
      </c>
      <c r="U451">
        <v>0</v>
      </c>
      <c r="V451" t="s">
        <v>33</v>
      </c>
      <c r="W451" t="s">
        <v>33</v>
      </c>
      <c r="X451">
        <v>50</v>
      </c>
      <c r="Y451">
        <v>2936</v>
      </c>
      <c r="Z451" t="s">
        <v>34</v>
      </c>
      <c r="AA451">
        <v>2936</v>
      </c>
      <c r="AB451" t="s">
        <v>121</v>
      </c>
      <c r="AC451" t="s">
        <v>432</v>
      </c>
      <c r="AD451" t="str">
        <f t="shared" si="7"/>
        <v>Escobedo → Hidalgo</v>
      </c>
      <c r="AE451" t="s">
        <v>1357</v>
      </c>
      <c r="AF451" s="4">
        <v>45748</v>
      </c>
      <c r="AG451" t="str">
        <f>YEAR(Table1[[#This Row],[Fecha]])&amp;" - " &amp;UPPER(TEXT(Table1[[#This Row],[Fecha]],"mm-mmm"))</f>
        <v>2025 - 04-ABR</v>
      </c>
      <c r="AH451" s="5">
        <v>0</v>
      </c>
    </row>
    <row r="452" spans="1:34" x14ac:dyDescent="0.25">
      <c r="A452" t="s">
        <v>450</v>
      </c>
      <c r="B452">
        <v>2025</v>
      </c>
      <c r="C452">
        <v>4</v>
      </c>
      <c r="D452" s="1">
        <v>45748</v>
      </c>
      <c r="E452" s="1">
        <v>45748</v>
      </c>
      <c r="F452" s="1">
        <v>45748</v>
      </c>
      <c r="G452" s="1">
        <v>45748</v>
      </c>
      <c r="H452" s="2">
        <v>45748.744369444445</v>
      </c>
      <c r="I452">
        <v>2039</v>
      </c>
      <c r="J452" t="s">
        <v>30</v>
      </c>
      <c r="K452" t="s">
        <v>31</v>
      </c>
      <c r="L452">
        <v>50</v>
      </c>
      <c r="M452">
        <v>50</v>
      </c>
      <c r="N452" t="s">
        <v>32</v>
      </c>
      <c r="O452">
        <v>1</v>
      </c>
      <c r="P452">
        <v>150</v>
      </c>
      <c r="Q452" t="b">
        <v>1</v>
      </c>
      <c r="R452" t="b">
        <v>0</v>
      </c>
      <c r="S452" t="b">
        <v>0</v>
      </c>
      <c r="T452">
        <v>231</v>
      </c>
      <c r="U452">
        <v>0</v>
      </c>
      <c r="V452" t="s">
        <v>33</v>
      </c>
      <c r="W452" t="s">
        <v>33</v>
      </c>
      <c r="X452">
        <v>50</v>
      </c>
      <c r="Y452">
        <v>2936</v>
      </c>
      <c r="Z452" t="s">
        <v>34</v>
      </c>
      <c r="AA452">
        <v>2936</v>
      </c>
      <c r="AB452" t="s">
        <v>121</v>
      </c>
      <c r="AC452" t="s">
        <v>432</v>
      </c>
      <c r="AD452" t="str">
        <f t="shared" si="7"/>
        <v>Escobedo → Hidalgo</v>
      </c>
      <c r="AE452" t="s">
        <v>1357</v>
      </c>
      <c r="AF452" s="4">
        <v>45748</v>
      </c>
      <c r="AG452" t="str">
        <f>YEAR(Table1[[#This Row],[Fecha]])&amp;" - " &amp;UPPER(TEXT(Table1[[#This Row],[Fecha]],"mm-mmm"))</f>
        <v>2025 - 04-ABR</v>
      </c>
      <c r="AH452" s="5">
        <v>0</v>
      </c>
    </row>
    <row r="453" spans="1:34" x14ac:dyDescent="0.25">
      <c r="A453" t="s">
        <v>740</v>
      </c>
      <c r="B453">
        <v>2025</v>
      </c>
      <c r="C453">
        <v>4</v>
      </c>
      <c r="D453" s="1">
        <v>45762</v>
      </c>
      <c r="E453" s="1">
        <v>45762</v>
      </c>
      <c r="F453" s="1">
        <v>45762</v>
      </c>
      <c r="G453" s="1">
        <v>45762</v>
      </c>
      <c r="H453" s="2">
        <v>45763.520804398147</v>
      </c>
      <c r="I453">
        <v>2039</v>
      </c>
      <c r="J453" t="s">
        <v>30</v>
      </c>
      <c r="K453" t="s">
        <v>31</v>
      </c>
      <c r="L453">
        <v>50</v>
      </c>
      <c r="M453">
        <v>50</v>
      </c>
      <c r="N453" t="s">
        <v>46</v>
      </c>
      <c r="O453">
        <v>1</v>
      </c>
      <c r="P453">
        <v>150</v>
      </c>
      <c r="Q453" t="b">
        <v>1</v>
      </c>
      <c r="R453" t="b">
        <v>0</v>
      </c>
      <c r="S453" t="b">
        <v>0</v>
      </c>
      <c r="T453">
        <v>231</v>
      </c>
      <c r="U453">
        <v>0</v>
      </c>
      <c r="V453" t="s">
        <v>33</v>
      </c>
      <c r="W453" t="s">
        <v>33</v>
      </c>
      <c r="X453">
        <v>50</v>
      </c>
      <c r="Y453">
        <v>359</v>
      </c>
      <c r="Z453" t="s">
        <v>178</v>
      </c>
      <c r="AA453">
        <v>359</v>
      </c>
      <c r="AB453" t="s">
        <v>121</v>
      </c>
      <c r="AC453" t="s">
        <v>121</v>
      </c>
      <c r="AD453" t="str">
        <f t="shared" si="7"/>
        <v>Escobedo → Escobedo</v>
      </c>
      <c r="AE453" t="s">
        <v>1357</v>
      </c>
      <c r="AF453" s="4">
        <v>45748</v>
      </c>
      <c r="AG453" t="str">
        <f>YEAR(Table1[[#This Row],[Fecha]])&amp;" - " &amp;UPPER(TEXT(Table1[[#This Row],[Fecha]],"mm-mmm"))</f>
        <v>2025 - 04-ABR</v>
      </c>
      <c r="AH453" s="5">
        <v>0</v>
      </c>
    </row>
    <row r="454" spans="1:34" x14ac:dyDescent="0.25">
      <c r="A454" t="s">
        <v>741</v>
      </c>
      <c r="B454">
        <v>2025</v>
      </c>
      <c r="C454">
        <v>4</v>
      </c>
      <c r="D454" s="1">
        <v>45762</v>
      </c>
      <c r="E454" s="1">
        <v>45762</v>
      </c>
      <c r="F454" s="1">
        <v>45762</v>
      </c>
      <c r="G454" s="1">
        <v>45762</v>
      </c>
      <c r="H454" s="2">
        <v>45763.520843784725</v>
      </c>
      <c r="I454">
        <v>2039</v>
      </c>
      <c r="J454" t="s">
        <v>30</v>
      </c>
      <c r="K454" t="s">
        <v>31</v>
      </c>
      <c r="L454">
        <v>50</v>
      </c>
      <c r="M454">
        <v>50</v>
      </c>
      <c r="N454" t="s">
        <v>46</v>
      </c>
      <c r="O454">
        <v>1</v>
      </c>
      <c r="P454">
        <v>150</v>
      </c>
      <c r="Q454" t="b">
        <v>1</v>
      </c>
      <c r="R454" t="b">
        <v>0</v>
      </c>
      <c r="S454" t="b">
        <v>0</v>
      </c>
      <c r="T454">
        <v>231</v>
      </c>
      <c r="U454">
        <v>0</v>
      </c>
      <c r="V454" t="s">
        <v>33</v>
      </c>
      <c r="W454" t="s">
        <v>33</v>
      </c>
      <c r="X454">
        <v>50</v>
      </c>
      <c r="Y454">
        <v>359</v>
      </c>
      <c r="Z454" t="s">
        <v>178</v>
      </c>
      <c r="AA454">
        <v>359</v>
      </c>
      <c r="AB454" t="s">
        <v>121</v>
      </c>
      <c r="AC454" t="s">
        <v>121</v>
      </c>
      <c r="AD454" t="str">
        <f t="shared" si="7"/>
        <v>Escobedo → Escobedo</v>
      </c>
      <c r="AE454" t="s">
        <v>1357</v>
      </c>
      <c r="AF454" s="4">
        <v>45748</v>
      </c>
      <c r="AG454" t="str">
        <f>YEAR(Table1[[#This Row],[Fecha]])&amp;" - " &amp;UPPER(TEXT(Table1[[#This Row],[Fecha]],"mm-mmm"))</f>
        <v>2025 - 04-ABR</v>
      </c>
      <c r="AH454" s="5">
        <v>0</v>
      </c>
    </row>
    <row r="455" spans="1:34" x14ac:dyDescent="0.25">
      <c r="A455" t="s">
        <v>742</v>
      </c>
      <c r="B455">
        <v>2025</v>
      </c>
      <c r="C455">
        <v>4</v>
      </c>
      <c r="D455" s="1">
        <v>45762</v>
      </c>
      <c r="E455" s="1">
        <v>45762</v>
      </c>
      <c r="F455" s="1">
        <v>45762</v>
      </c>
      <c r="G455" s="1">
        <v>45762</v>
      </c>
      <c r="H455" s="2">
        <v>45763.520834953706</v>
      </c>
      <c r="I455">
        <v>2039</v>
      </c>
      <c r="J455" t="s">
        <v>30</v>
      </c>
      <c r="K455" t="s">
        <v>31</v>
      </c>
      <c r="L455">
        <v>50</v>
      </c>
      <c r="M455">
        <v>50</v>
      </c>
      <c r="N455" t="s">
        <v>46</v>
      </c>
      <c r="O455">
        <v>1</v>
      </c>
      <c r="P455">
        <v>150</v>
      </c>
      <c r="Q455" t="b">
        <v>1</v>
      </c>
      <c r="R455" t="b">
        <v>0</v>
      </c>
      <c r="S455" t="b">
        <v>0</v>
      </c>
      <c r="T455">
        <v>231</v>
      </c>
      <c r="U455">
        <v>0</v>
      </c>
      <c r="V455" t="s">
        <v>33</v>
      </c>
      <c r="W455" t="s">
        <v>33</v>
      </c>
      <c r="X455">
        <v>50</v>
      </c>
      <c r="Y455">
        <v>359</v>
      </c>
      <c r="Z455" t="s">
        <v>178</v>
      </c>
      <c r="AA455">
        <v>359</v>
      </c>
      <c r="AB455" t="s">
        <v>121</v>
      </c>
      <c r="AC455" t="s">
        <v>121</v>
      </c>
      <c r="AD455" t="str">
        <f t="shared" si="7"/>
        <v>Escobedo → Escobedo</v>
      </c>
      <c r="AE455" t="s">
        <v>1357</v>
      </c>
      <c r="AF455" s="4">
        <v>45748</v>
      </c>
      <c r="AG455" t="str">
        <f>YEAR(Table1[[#This Row],[Fecha]])&amp;" - " &amp;UPPER(TEXT(Table1[[#This Row],[Fecha]],"mm-mmm"))</f>
        <v>2025 - 04-ABR</v>
      </c>
      <c r="AH455" s="5">
        <v>0</v>
      </c>
    </row>
    <row r="456" spans="1:34" x14ac:dyDescent="0.25">
      <c r="A456" t="s">
        <v>451</v>
      </c>
      <c r="B456">
        <v>2025</v>
      </c>
      <c r="C456">
        <v>4</v>
      </c>
      <c r="D456" s="1">
        <v>45762</v>
      </c>
      <c r="E456" s="1">
        <v>45762</v>
      </c>
      <c r="F456" s="1">
        <v>45762</v>
      </c>
      <c r="G456" s="1">
        <v>45762</v>
      </c>
      <c r="H456" s="2">
        <v>45763.520821759259</v>
      </c>
      <c r="I456">
        <v>2039</v>
      </c>
      <c r="J456" t="s">
        <v>30</v>
      </c>
      <c r="K456" t="s">
        <v>31</v>
      </c>
      <c r="L456">
        <v>50</v>
      </c>
      <c r="M456">
        <v>50</v>
      </c>
      <c r="N456" t="s">
        <v>46</v>
      </c>
      <c r="O456">
        <v>1</v>
      </c>
      <c r="P456">
        <v>150</v>
      </c>
      <c r="Q456" t="b">
        <v>1</v>
      </c>
      <c r="R456" t="b">
        <v>0</v>
      </c>
      <c r="S456" t="b">
        <v>0</v>
      </c>
      <c r="T456">
        <v>231</v>
      </c>
      <c r="U456">
        <v>0</v>
      </c>
      <c r="V456" t="s">
        <v>33</v>
      </c>
      <c r="W456" t="s">
        <v>33</v>
      </c>
      <c r="X456">
        <v>50</v>
      </c>
      <c r="Y456">
        <v>2936</v>
      </c>
      <c r="Z456" t="s">
        <v>178</v>
      </c>
      <c r="AA456">
        <v>2936</v>
      </c>
      <c r="AB456" t="s">
        <v>121</v>
      </c>
      <c r="AC456" t="s">
        <v>432</v>
      </c>
      <c r="AD456" t="str">
        <f t="shared" si="7"/>
        <v>Escobedo → Hidalgo</v>
      </c>
      <c r="AE456" t="s">
        <v>1357</v>
      </c>
      <c r="AF456" s="4">
        <v>45748</v>
      </c>
      <c r="AG456" t="str">
        <f>YEAR(Table1[[#This Row],[Fecha]])&amp;" - " &amp;UPPER(TEXT(Table1[[#This Row],[Fecha]],"mm-mmm"))</f>
        <v>2025 - 04-ABR</v>
      </c>
      <c r="AH456" s="5">
        <v>0</v>
      </c>
    </row>
    <row r="457" spans="1:34" x14ac:dyDescent="0.25">
      <c r="A457" t="s">
        <v>744</v>
      </c>
      <c r="B457">
        <v>2025</v>
      </c>
      <c r="C457">
        <v>4</v>
      </c>
      <c r="D457" s="1">
        <v>45763</v>
      </c>
      <c r="E457" s="1">
        <v>45763</v>
      </c>
      <c r="F457" s="1">
        <v>45763</v>
      </c>
      <c r="G457" s="1">
        <v>45763</v>
      </c>
      <c r="H457" s="2">
        <v>45763.52081415509</v>
      </c>
      <c r="I457">
        <v>2039</v>
      </c>
      <c r="J457" t="s">
        <v>30</v>
      </c>
      <c r="K457" t="s">
        <v>31</v>
      </c>
      <c r="L457">
        <v>50</v>
      </c>
      <c r="M457">
        <v>50</v>
      </c>
      <c r="N457" t="s">
        <v>46</v>
      </c>
      <c r="O457">
        <v>1</v>
      </c>
      <c r="P457">
        <v>150</v>
      </c>
      <c r="Q457" t="b">
        <v>1</v>
      </c>
      <c r="R457" t="b">
        <v>0</v>
      </c>
      <c r="S457" t="b">
        <v>0</v>
      </c>
      <c r="T457">
        <v>231</v>
      </c>
      <c r="U457">
        <v>0</v>
      </c>
      <c r="V457" t="s">
        <v>33</v>
      </c>
      <c r="W457" t="s">
        <v>33</v>
      </c>
      <c r="X457">
        <v>50</v>
      </c>
      <c r="Y457">
        <v>359</v>
      </c>
      <c r="Z457" t="s">
        <v>178</v>
      </c>
      <c r="AA457">
        <v>359</v>
      </c>
      <c r="AB457" t="s">
        <v>121</v>
      </c>
      <c r="AC457" t="s">
        <v>121</v>
      </c>
      <c r="AD457" t="str">
        <f t="shared" si="7"/>
        <v>Escobedo → Escobedo</v>
      </c>
      <c r="AE457" t="s">
        <v>1357</v>
      </c>
      <c r="AF457" s="4">
        <v>45748</v>
      </c>
      <c r="AG457" t="str">
        <f>YEAR(Table1[[#This Row],[Fecha]])&amp;" - " &amp;UPPER(TEXT(Table1[[#This Row],[Fecha]],"mm-mmm"))</f>
        <v>2025 - 04-ABR</v>
      </c>
      <c r="AH457" s="5">
        <v>0</v>
      </c>
    </row>
    <row r="458" spans="1:34" x14ac:dyDescent="0.25">
      <c r="A458" t="s">
        <v>745</v>
      </c>
      <c r="B458">
        <v>2025</v>
      </c>
      <c r="C458">
        <v>4</v>
      </c>
      <c r="D458" s="1">
        <v>45763</v>
      </c>
      <c r="E458" s="1">
        <v>45763</v>
      </c>
      <c r="F458" s="1">
        <v>45763</v>
      </c>
      <c r="G458" s="1">
        <v>45763</v>
      </c>
      <c r="H458" s="2">
        <v>45763.520781400461</v>
      </c>
      <c r="I458">
        <v>2039</v>
      </c>
      <c r="J458" t="s">
        <v>30</v>
      </c>
      <c r="K458" t="s">
        <v>31</v>
      </c>
      <c r="L458">
        <v>50</v>
      </c>
      <c r="M458">
        <v>50</v>
      </c>
      <c r="N458" t="s">
        <v>46</v>
      </c>
      <c r="O458">
        <v>1</v>
      </c>
      <c r="P458">
        <v>150</v>
      </c>
      <c r="Q458" t="b">
        <v>1</v>
      </c>
      <c r="R458" t="b">
        <v>0</v>
      </c>
      <c r="S458" t="b">
        <v>0</v>
      </c>
      <c r="T458">
        <v>231</v>
      </c>
      <c r="U458">
        <v>0</v>
      </c>
      <c r="V458" t="s">
        <v>33</v>
      </c>
      <c r="W458" t="s">
        <v>33</v>
      </c>
      <c r="X458">
        <v>50</v>
      </c>
      <c r="Y458">
        <v>359</v>
      </c>
      <c r="Z458" t="s">
        <v>178</v>
      </c>
      <c r="AA458">
        <v>359</v>
      </c>
      <c r="AB458" t="s">
        <v>121</v>
      </c>
      <c r="AC458" t="s">
        <v>121</v>
      </c>
      <c r="AD458" t="str">
        <f t="shared" si="7"/>
        <v>Escobedo → Escobedo</v>
      </c>
      <c r="AE458" t="s">
        <v>1357</v>
      </c>
      <c r="AF458" s="4">
        <v>45748</v>
      </c>
      <c r="AG458" t="str">
        <f>YEAR(Table1[[#This Row],[Fecha]])&amp;" - " &amp;UPPER(TEXT(Table1[[#This Row],[Fecha]],"mm-mmm"))</f>
        <v>2025 - 04-ABR</v>
      </c>
      <c r="AH458" s="5">
        <v>0</v>
      </c>
    </row>
    <row r="459" spans="1:34" x14ac:dyDescent="0.25">
      <c r="A459" t="s">
        <v>448</v>
      </c>
      <c r="B459">
        <v>2025</v>
      </c>
      <c r="C459">
        <v>4</v>
      </c>
      <c r="D459" s="1">
        <v>45763</v>
      </c>
      <c r="E459" s="1">
        <v>45763</v>
      </c>
      <c r="F459" s="1">
        <v>45763</v>
      </c>
      <c r="G459" s="1">
        <v>45763</v>
      </c>
      <c r="H459" s="2">
        <v>45764.60203587963</v>
      </c>
      <c r="I459">
        <v>2039</v>
      </c>
      <c r="J459" t="s">
        <v>30</v>
      </c>
      <c r="K459" t="s">
        <v>31</v>
      </c>
      <c r="L459">
        <v>50</v>
      </c>
      <c r="M459">
        <v>50</v>
      </c>
      <c r="N459" t="s">
        <v>46</v>
      </c>
      <c r="O459">
        <v>1</v>
      </c>
      <c r="P459">
        <v>150</v>
      </c>
      <c r="Q459" t="b">
        <v>1</v>
      </c>
      <c r="R459" t="b">
        <v>0</v>
      </c>
      <c r="S459" t="b">
        <v>0</v>
      </c>
      <c r="T459">
        <v>231</v>
      </c>
      <c r="U459">
        <v>0</v>
      </c>
      <c r="V459" t="s">
        <v>33</v>
      </c>
      <c r="W459" t="s">
        <v>33</v>
      </c>
      <c r="X459">
        <v>50</v>
      </c>
      <c r="Y459">
        <v>2936</v>
      </c>
      <c r="Z459" t="s">
        <v>178</v>
      </c>
      <c r="AA459">
        <v>2936</v>
      </c>
      <c r="AB459" t="s">
        <v>121</v>
      </c>
      <c r="AC459" t="s">
        <v>432</v>
      </c>
      <c r="AD459" t="str">
        <f t="shared" si="7"/>
        <v>Escobedo → Hidalgo</v>
      </c>
      <c r="AE459" t="s">
        <v>1357</v>
      </c>
      <c r="AF459" s="4">
        <v>45748</v>
      </c>
      <c r="AG459" t="str">
        <f>YEAR(Table1[[#This Row],[Fecha]])&amp;" - " &amp;UPPER(TEXT(Table1[[#This Row],[Fecha]],"mm-mmm"))</f>
        <v>2025 - 04-ABR</v>
      </c>
      <c r="AH459" s="5">
        <v>0</v>
      </c>
    </row>
    <row r="460" spans="1:34" x14ac:dyDescent="0.25">
      <c r="A460" t="s">
        <v>746</v>
      </c>
      <c r="B460">
        <v>2025</v>
      </c>
      <c r="C460">
        <v>4</v>
      </c>
      <c r="D460" s="1">
        <v>45763</v>
      </c>
      <c r="E460" s="1">
        <v>45763</v>
      </c>
      <c r="F460" s="1">
        <v>45763</v>
      </c>
      <c r="G460" s="1">
        <v>45763</v>
      </c>
      <c r="H460" s="2">
        <v>45764.602804016205</v>
      </c>
      <c r="I460">
        <v>2039</v>
      </c>
      <c r="J460" t="s">
        <v>30</v>
      </c>
      <c r="K460" t="s">
        <v>31</v>
      </c>
      <c r="L460">
        <v>50</v>
      </c>
      <c r="M460">
        <v>50</v>
      </c>
      <c r="N460" t="s">
        <v>46</v>
      </c>
      <c r="O460">
        <v>1</v>
      </c>
      <c r="P460">
        <v>150</v>
      </c>
      <c r="Q460" t="b">
        <v>1</v>
      </c>
      <c r="R460" t="b">
        <v>0</v>
      </c>
      <c r="S460" t="b">
        <v>0</v>
      </c>
      <c r="T460">
        <v>231</v>
      </c>
      <c r="U460">
        <v>0</v>
      </c>
      <c r="V460" t="s">
        <v>33</v>
      </c>
      <c r="W460" t="s">
        <v>33</v>
      </c>
      <c r="X460">
        <v>50</v>
      </c>
      <c r="Y460">
        <v>359</v>
      </c>
      <c r="Z460" t="s">
        <v>178</v>
      </c>
      <c r="AA460">
        <v>359</v>
      </c>
      <c r="AB460" t="s">
        <v>121</v>
      </c>
      <c r="AC460" t="s">
        <v>121</v>
      </c>
      <c r="AD460" t="str">
        <f t="shared" si="7"/>
        <v>Escobedo → Escobedo</v>
      </c>
      <c r="AE460" t="s">
        <v>1357</v>
      </c>
      <c r="AF460" s="4">
        <v>45748</v>
      </c>
      <c r="AG460" t="str">
        <f>YEAR(Table1[[#This Row],[Fecha]])&amp;" - " &amp;UPPER(TEXT(Table1[[#This Row],[Fecha]],"mm-mmm"))</f>
        <v>2025 - 04-ABR</v>
      </c>
      <c r="AH460" s="5">
        <v>0</v>
      </c>
    </row>
    <row r="461" spans="1:34" x14ac:dyDescent="0.25">
      <c r="A461" t="s">
        <v>747</v>
      </c>
      <c r="B461">
        <v>2025</v>
      </c>
      <c r="C461">
        <v>4</v>
      </c>
      <c r="D461" s="1">
        <v>45763</v>
      </c>
      <c r="E461" s="1">
        <v>45763</v>
      </c>
      <c r="F461" s="1">
        <v>45763</v>
      </c>
      <c r="G461" s="1">
        <v>45763</v>
      </c>
      <c r="H461" s="2">
        <v>45764.603229479166</v>
      </c>
      <c r="I461">
        <v>2039</v>
      </c>
      <c r="J461" t="s">
        <v>30</v>
      </c>
      <c r="K461" t="s">
        <v>31</v>
      </c>
      <c r="L461">
        <v>50</v>
      </c>
      <c r="M461">
        <v>50</v>
      </c>
      <c r="N461" t="s">
        <v>46</v>
      </c>
      <c r="O461">
        <v>1</v>
      </c>
      <c r="P461">
        <v>150</v>
      </c>
      <c r="Q461" t="b">
        <v>1</v>
      </c>
      <c r="R461" t="b">
        <v>0</v>
      </c>
      <c r="S461" t="b">
        <v>0</v>
      </c>
      <c r="T461">
        <v>231</v>
      </c>
      <c r="U461">
        <v>0</v>
      </c>
      <c r="V461" t="s">
        <v>33</v>
      </c>
      <c r="W461" t="s">
        <v>33</v>
      </c>
      <c r="X461">
        <v>50</v>
      </c>
      <c r="Y461">
        <v>359</v>
      </c>
      <c r="Z461" t="s">
        <v>178</v>
      </c>
      <c r="AA461">
        <v>359</v>
      </c>
      <c r="AB461" t="s">
        <v>121</v>
      </c>
      <c r="AC461" t="s">
        <v>121</v>
      </c>
      <c r="AD461" t="str">
        <f t="shared" si="7"/>
        <v>Escobedo → Escobedo</v>
      </c>
      <c r="AE461" t="s">
        <v>1357</v>
      </c>
      <c r="AF461" s="4">
        <v>45748</v>
      </c>
      <c r="AG461" t="str">
        <f>YEAR(Table1[[#This Row],[Fecha]])&amp;" - " &amp;UPPER(TEXT(Table1[[#This Row],[Fecha]],"mm-mmm"))</f>
        <v>2025 - 04-ABR</v>
      </c>
      <c r="AH461" s="5">
        <v>0</v>
      </c>
    </row>
    <row r="462" spans="1:34" x14ac:dyDescent="0.25">
      <c r="A462" t="s">
        <v>447</v>
      </c>
      <c r="B462">
        <v>2025</v>
      </c>
      <c r="C462">
        <v>4</v>
      </c>
      <c r="D462" s="1">
        <v>45763</v>
      </c>
      <c r="E462" s="1">
        <v>45763</v>
      </c>
      <c r="F462" s="1">
        <v>45763</v>
      </c>
      <c r="G462" s="1">
        <v>45763</v>
      </c>
      <c r="H462" s="2">
        <v>45764.604068599539</v>
      </c>
      <c r="I462">
        <v>2039</v>
      </c>
      <c r="J462" t="s">
        <v>30</v>
      </c>
      <c r="K462" t="s">
        <v>31</v>
      </c>
      <c r="L462">
        <v>50</v>
      </c>
      <c r="M462">
        <v>50</v>
      </c>
      <c r="N462" t="s">
        <v>46</v>
      </c>
      <c r="O462">
        <v>1</v>
      </c>
      <c r="P462">
        <v>150</v>
      </c>
      <c r="Q462" t="b">
        <v>1</v>
      </c>
      <c r="R462" t="b">
        <v>0</v>
      </c>
      <c r="S462" t="b">
        <v>0</v>
      </c>
      <c r="T462">
        <v>231</v>
      </c>
      <c r="U462">
        <v>0</v>
      </c>
      <c r="V462" t="s">
        <v>33</v>
      </c>
      <c r="W462" t="s">
        <v>33</v>
      </c>
      <c r="X462">
        <v>50</v>
      </c>
      <c r="Y462">
        <v>2936</v>
      </c>
      <c r="Z462" t="s">
        <v>178</v>
      </c>
      <c r="AA462">
        <v>2936</v>
      </c>
      <c r="AB462" t="s">
        <v>121</v>
      </c>
      <c r="AC462" t="s">
        <v>432</v>
      </c>
      <c r="AD462" t="str">
        <f t="shared" si="7"/>
        <v>Escobedo → Hidalgo</v>
      </c>
      <c r="AE462" t="s">
        <v>1357</v>
      </c>
      <c r="AF462" s="4">
        <v>45748</v>
      </c>
      <c r="AG462" t="str">
        <f>YEAR(Table1[[#This Row],[Fecha]])&amp;" - " &amp;UPPER(TEXT(Table1[[#This Row],[Fecha]],"mm-mmm"))</f>
        <v>2025 - 04-ABR</v>
      </c>
      <c r="AH462" s="5">
        <v>0</v>
      </c>
    </row>
    <row r="463" spans="1:34" x14ac:dyDescent="0.25">
      <c r="A463" t="s">
        <v>415</v>
      </c>
      <c r="B463">
        <v>2025</v>
      </c>
      <c r="C463">
        <v>4</v>
      </c>
      <c r="D463" s="1">
        <v>45764</v>
      </c>
      <c r="E463" s="1">
        <v>45764</v>
      </c>
      <c r="F463" s="1">
        <v>45764</v>
      </c>
      <c r="G463" s="1">
        <v>45764</v>
      </c>
      <c r="H463" s="2">
        <v>45764.604463425923</v>
      </c>
      <c r="I463">
        <v>2039</v>
      </c>
      <c r="J463" t="s">
        <v>30</v>
      </c>
      <c r="K463" t="s">
        <v>31</v>
      </c>
      <c r="L463">
        <v>50</v>
      </c>
      <c r="M463">
        <v>50</v>
      </c>
      <c r="N463" t="s">
        <v>46</v>
      </c>
      <c r="O463">
        <v>1</v>
      </c>
      <c r="P463">
        <v>150</v>
      </c>
      <c r="Q463" t="b">
        <v>1</v>
      </c>
      <c r="R463" t="b">
        <v>0</v>
      </c>
      <c r="S463" t="b">
        <v>0</v>
      </c>
      <c r="T463">
        <v>231</v>
      </c>
      <c r="U463">
        <v>0</v>
      </c>
      <c r="V463" t="s">
        <v>33</v>
      </c>
      <c r="W463" t="s">
        <v>33</v>
      </c>
      <c r="X463">
        <v>50</v>
      </c>
      <c r="Y463">
        <v>461</v>
      </c>
      <c r="Z463" t="s">
        <v>178</v>
      </c>
      <c r="AA463">
        <v>461</v>
      </c>
      <c r="AB463" t="s">
        <v>121</v>
      </c>
      <c r="AC463" t="s">
        <v>35</v>
      </c>
      <c r="AD463" t="str">
        <f t="shared" si="7"/>
        <v>Escobedo → Monterrey</v>
      </c>
      <c r="AE463" t="s">
        <v>1357</v>
      </c>
      <c r="AF463" s="4">
        <v>45748</v>
      </c>
      <c r="AG463" t="str">
        <f>YEAR(Table1[[#This Row],[Fecha]])&amp;" - " &amp;UPPER(TEXT(Table1[[#This Row],[Fecha]],"mm-mmm"))</f>
        <v>2025 - 04-ABR</v>
      </c>
      <c r="AH463" s="5">
        <v>0</v>
      </c>
    </row>
    <row r="464" spans="1:34" x14ac:dyDescent="0.25">
      <c r="A464" t="s">
        <v>748</v>
      </c>
      <c r="B464">
        <v>2025</v>
      </c>
      <c r="C464">
        <v>4</v>
      </c>
      <c r="D464" s="1">
        <v>45764</v>
      </c>
      <c r="E464" s="1">
        <v>45764</v>
      </c>
      <c r="F464" s="1">
        <v>45764</v>
      </c>
      <c r="G464" s="1">
        <v>45764</v>
      </c>
      <c r="H464" s="2">
        <v>45764.604782025461</v>
      </c>
      <c r="I464">
        <v>2039</v>
      </c>
      <c r="J464" t="s">
        <v>30</v>
      </c>
      <c r="K464" t="s">
        <v>31</v>
      </c>
      <c r="L464">
        <v>50</v>
      </c>
      <c r="M464">
        <v>50</v>
      </c>
      <c r="N464" t="s">
        <v>46</v>
      </c>
      <c r="O464">
        <v>1</v>
      </c>
      <c r="P464">
        <v>150</v>
      </c>
      <c r="Q464" t="b">
        <v>1</v>
      </c>
      <c r="R464" t="b">
        <v>0</v>
      </c>
      <c r="S464" t="b">
        <v>0</v>
      </c>
      <c r="T464">
        <v>231</v>
      </c>
      <c r="U464">
        <v>0</v>
      </c>
      <c r="V464" t="s">
        <v>33</v>
      </c>
      <c r="W464" t="s">
        <v>33</v>
      </c>
      <c r="X464">
        <v>50</v>
      </c>
      <c r="Y464">
        <v>359</v>
      </c>
      <c r="Z464" t="s">
        <v>178</v>
      </c>
      <c r="AA464">
        <v>359</v>
      </c>
      <c r="AB464" t="s">
        <v>121</v>
      </c>
      <c r="AC464" t="s">
        <v>121</v>
      </c>
      <c r="AD464" t="str">
        <f t="shared" si="7"/>
        <v>Escobedo → Escobedo</v>
      </c>
      <c r="AE464" t="s">
        <v>1357</v>
      </c>
      <c r="AF464" s="4">
        <v>45748</v>
      </c>
      <c r="AG464" t="str">
        <f>YEAR(Table1[[#This Row],[Fecha]])&amp;" - " &amp;UPPER(TEXT(Table1[[#This Row],[Fecha]],"mm-mmm"))</f>
        <v>2025 - 04-ABR</v>
      </c>
      <c r="AH464" s="5">
        <v>0</v>
      </c>
    </row>
    <row r="465" spans="1:34" x14ac:dyDescent="0.25">
      <c r="A465" t="s">
        <v>749</v>
      </c>
      <c r="B465">
        <v>2025</v>
      </c>
      <c r="C465">
        <v>4</v>
      </c>
      <c r="D465" s="1">
        <v>45764</v>
      </c>
      <c r="E465" s="1">
        <v>45764</v>
      </c>
      <c r="F465" s="1">
        <v>45764</v>
      </c>
      <c r="G465" s="1">
        <v>45764</v>
      </c>
      <c r="H465" s="2">
        <v>45764.607036261572</v>
      </c>
      <c r="I465">
        <v>2039</v>
      </c>
      <c r="J465" t="s">
        <v>30</v>
      </c>
      <c r="K465" t="s">
        <v>31</v>
      </c>
      <c r="L465">
        <v>50</v>
      </c>
      <c r="M465">
        <v>50</v>
      </c>
      <c r="N465" t="s">
        <v>46</v>
      </c>
      <c r="O465">
        <v>1</v>
      </c>
      <c r="P465">
        <v>150</v>
      </c>
      <c r="Q465" t="b">
        <v>1</v>
      </c>
      <c r="R465" t="b">
        <v>0</v>
      </c>
      <c r="S465" t="b">
        <v>0</v>
      </c>
      <c r="T465">
        <v>231</v>
      </c>
      <c r="U465">
        <v>0</v>
      </c>
      <c r="V465" t="s">
        <v>33</v>
      </c>
      <c r="W465" t="s">
        <v>33</v>
      </c>
      <c r="X465">
        <v>50</v>
      </c>
      <c r="Y465">
        <v>359</v>
      </c>
      <c r="Z465" t="s">
        <v>178</v>
      </c>
      <c r="AA465">
        <v>359</v>
      </c>
      <c r="AB465" t="s">
        <v>121</v>
      </c>
      <c r="AC465" t="s">
        <v>121</v>
      </c>
      <c r="AD465" t="str">
        <f t="shared" si="7"/>
        <v>Escobedo → Escobedo</v>
      </c>
      <c r="AE465" t="s">
        <v>1357</v>
      </c>
      <c r="AF465" s="4">
        <v>45748</v>
      </c>
      <c r="AG465" t="str">
        <f>YEAR(Table1[[#This Row],[Fecha]])&amp;" - " &amp;UPPER(TEXT(Table1[[#This Row],[Fecha]],"mm-mmm"))</f>
        <v>2025 - 04-ABR</v>
      </c>
      <c r="AH465" s="5">
        <v>0</v>
      </c>
    </row>
    <row r="466" spans="1:34" x14ac:dyDescent="0.25">
      <c r="A466" t="s">
        <v>29</v>
      </c>
      <c r="B466">
        <v>2025</v>
      </c>
      <c r="C466">
        <v>4</v>
      </c>
      <c r="D466" s="1">
        <v>45768</v>
      </c>
      <c r="E466" s="1">
        <v>45768</v>
      </c>
      <c r="F466" s="1">
        <v>45768</v>
      </c>
      <c r="G466" s="1">
        <v>45768</v>
      </c>
      <c r="H466" s="2">
        <v>45768.75337716435</v>
      </c>
      <c r="I466">
        <v>2039</v>
      </c>
      <c r="J466" t="s">
        <v>30</v>
      </c>
      <c r="K466" t="s">
        <v>31</v>
      </c>
      <c r="L466">
        <v>7</v>
      </c>
      <c r="M466">
        <v>7</v>
      </c>
      <c r="N466" t="s">
        <v>32</v>
      </c>
      <c r="O466">
        <v>1</v>
      </c>
      <c r="P466">
        <v>7</v>
      </c>
      <c r="Q466" t="b">
        <v>1</v>
      </c>
      <c r="R466" t="b">
        <v>0</v>
      </c>
      <c r="S466" t="b">
        <v>0</v>
      </c>
      <c r="T466">
        <v>231</v>
      </c>
      <c r="U466">
        <v>0</v>
      </c>
      <c r="V466" t="s">
        <v>33</v>
      </c>
      <c r="W466" t="s">
        <v>33</v>
      </c>
      <c r="X466">
        <v>50</v>
      </c>
      <c r="Y466">
        <v>4395</v>
      </c>
      <c r="Z466" t="s">
        <v>34</v>
      </c>
      <c r="AA466">
        <v>4395</v>
      </c>
      <c r="AB466" t="s">
        <v>35</v>
      </c>
      <c r="AC466" t="s">
        <v>35</v>
      </c>
      <c r="AD466" t="str">
        <f t="shared" si="7"/>
        <v>Monterrey → Monterrey</v>
      </c>
      <c r="AE466" t="s">
        <v>1357</v>
      </c>
      <c r="AF466" s="4">
        <v>45748</v>
      </c>
      <c r="AG466" t="str">
        <f>YEAR(Table1[[#This Row],[Fecha]])&amp;" - " &amp;UPPER(TEXT(Table1[[#This Row],[Fecha]],"mm-mmm"))</f>
        <v>2025 - 04-ABR</v>
      </c>
      <c r="AH466" s="5">
        <v>0</v>
      </c>
    </row>
    <row r="467" spans="1:34" x14ac:dyDescent="0.25">
      <c r="A467" t="s">
        <v>416</v>
      </c>
      <c r="B467">
        <v>2025</v>
      </c>
      <c r="C467">
        <v>4</v>
      </c>
      <c r="D467" s="1">
        <v>45768</v>
      </c>
      <c r="E467" s="1">
        <v>45768</v>
      </c>
      <c r="F467" s="1">
        <v>45768</v>
      </c>
      <c r="G467" s="1">
        <v>45768</v>
      </c>
      <c r="H467" s="2">
        <v>45768.753369907405</v>
      </c>
      <c r="I467">
        <v>2039</v>
      </c>
      <c r="J467" t="s">
        <v>30</v>
      </c>
      <c r="K467" t="s">
        <v>31</v>
      </c>
      <c r="L467">
        <v>50</v>
      </c>
      <c r="M467">
        <v>50</v>
      </c>
      <c r="N467" t="s">
        <v>32</v>
      </c>
      <c r="O467">
        <v>1</v>
      </c>
      <c r="P467">
        <v>150</v>
      </c>
      <c r="Q467" t="b">
        <v>1</v>
      </c>
      <c r="R467" t="b">
        <v>0</v>
      </c>
      <c r="S467" t="b">
        <v>0</v>
      </c>
      <c r="T467">
        <v>231</v>
      </c>
      <c r="U467">
        <v>0</v>
      </c>
      <c r="V467" t="s">
        <v>33</v>
      </c>
      <c r="W467" t="s">
        <v>33</v>
      </c>
      <c r="X467">
        <v>50</v>
      </c>
      <c r="Y467">
        <v>461</v>
      </c>
      <c r="Z467" t="s">
        <v>34</v>
      </c>
      <c r="AA467">
        <v>461</v>
      </c>
      <c r="AB467" t="s">
        <v>121</v>
      </c>
      <c r="AC467" t="s">
        <v>35</v>
      </c>
      <c r="AD467" t="str">
        <f t="shared" si="7"/>
        <v>Escobedo → Monterrey</v>
      </c>
      <c r="AE467" t="s">
        <v>1357</v>
      </c>
      <c r="AF467" s="4">
        <v>45748</v>
      </c>
      <c r="AG467" t="str">
        <f>YEAR(Table1[[#This Row],[Fecha]])&amp;" - " &amp;UPPER(TEXT(Table1[[#This Row],[Fecha]],"mm-mmm"))</f>
        <v>2025 - 04-ABR</v>
      </c>
      <c r="AH467" s="5">
        <v>0</v>
      </c>
    </row>
    <row r="468" spans="1:34" x14ac:dyDescent="0.25">
      <c r="A468" t="s">
        <v>417</v>
      </c>
      <c r="B468">
        <v>2025</v>
      </c>
      <c r="C468">
        <v>4</v>
      </c>
      <c r="D468" s="1">
        <v>45768</v>
      </c>
      <c r="E468" s="1">
        <v>45768</v>
      </c>
      <c r="F468" s="1">
        <v>45768</v>
      </c>
      <c r="G468" s="1">
        <v>45768</v>
      </c>
      <c r="H468" s="2">
        <v>45768.753361770832</v>
      </c>
      <c r="I468">
        <v>2039</v>
      </c>
      <c r="J468" t="s">
        <v>30</v>
      </c>
      <c r="K468" t="s">
        <v>31</v>
      </c>
      <c r="L468">
        <v>50</v>
      </c>
      <c r="M468">
        <v>50</v>
      </c>
      <c r="N468" t="s">
        <v>32</v>
      </c>
      <c r="O468">
        <v>1</v>
      </c>
      <c r="P468">
        <v>150</v>
      </c>
      <c r="Q468" t="b">
        <v>1</v>
      </c>
      <c r="R468" t="b">
        <v>0</v>
      </c>
      <c r="S468" t="b">
        <v>0</v>
      </c>
      <c r="T468">
        <v>231</v>
      </c>
      <c r="U468">
        <v>0</v>
      </c>
      <c r="V468" t="s">
        <v>33</v>
      </c>
      <c r="W468" t="s">
        <v>33</v>
      </c>
      <c r="X468">
        <v>50</v>
      </c>
      <c r="Y468">
        <v>461</v>
      </c>
      <c r="Z468" t="s">
        <v>34</v>
      </c>
      <c r="AA468">
        <v>461</v>
      </c>
      <c r="AB468" t="s">
        <v>121</v>
      </c>
      <c r="AC468" t="s">
        <v>35</v>
      </c>
      <c r="AD468" t="str">
        <f t="shared" si="7"/>
        <v>Escobedo → Monterrey</v>
      </c>
      <c r="AE468" t="s">
        <v>1357</v>
      </c>
      <c r="AF468" s="4">
        <v>45748</v>
      </c>
      <c r="AG468" t="str">
        <f>YEAR(Table1[[#This Row],[Fecha]])&amp;" - " &amp;UPPER(TEXT(Table1[[#This Row],[Fecha]],"mm-mmm"))</f>
        <v>2025 - 04-ABR</v>
      </c>
      <c r="AH468" s="5">
        <v>0</v>
      </c>
    </row>
    <row r="469" spans="1:34" x14ac:dyDescent="0.25">
      <c r="A469" t="s">
        <v>446</v>
      </c>
      <c r="B469">
        <v>2025</v>
      </c>
      <c r="C469">
        <v>4</v>
      </c>
      <c r="D469" s="1">
        <v>45768</v>
      </c>
      <c r="E469" s="1">
        <v>45768</v>
      </c>
      <c r="F469" s="1">
        <v>45768</v>
      </c>
      <c r="G469" s="1">
        <v>45768</v>
      </c>
      <c r="H469" s="2">
        <v>45768.753351620369</v>
      </c>
      <c r="I469">
        <v>2039</v>
      </c>
      <c r="J469" t="s">
        <v>30</v>
      </c>
      <c r="K469" t="s">
        <v>31</v>
      </c>
      <c r="L469">
        <v>50</v>
      </c>
      <c r="M469">
        <v>50</v>
      </c>
      <c r="N469" t="s">
        <v>32</v>
      </c>
      <c r="O469">
        <v>1</v>
      </c>
      <c r="P469">
        <v>150</v>
      </c>
      <c r="Q469" t="b">
        <v>1</v>
      </c>
      <c r="R469" t="b">
        <v>0</v>
      </c>
      <c r="S469" t="b">
        <v>0</v>
      </c>
      <c r="T469">
        <v>231</v>
      </c>
      <c r="U469">
        <v>0</v>
      </c>
      <c r="V469" t="s">
        <v>33</v>
      </c>
      <c r="W469" t="s">
        <v>33</v>
      </c>
      <c r="X469">
        <v>50</v>
      </c>
      <c r="Y469">
        <v>2936</v>
      </c>
      <c r="Z469" t="s">
        <v>34</v>
      </c>
      <c r="AA469">
        <v>2936</v>
      </c>
      <c r="AB469" t="s">
        <v>121</v>
      </c>
      <c r="AC469" t="s">
        <v>432</v>
      </c>
      <c r="AD469" t="str">
        <f t="shared" si="7"/>
        <v>Escobedo → Hidalgo</v>
      </c>
      <c r="AE469" t="s">
        <v>1357</v>
      </c>
      <c r="AF469" s="4">
        <v>45748</v>
      </c>
      <c r="AG469" t="str">
        <f>YEAR(Table1[[#This Row],[Fecha]])&amp;" - " &amp;UPPER(TEXT(Table1[[#This Row],[Fecha]],"mm-mmm"))</f>
        <v>2025 - 04-ABR</v>
      </c>
      <c r="AH469" s="5">
        <v>0</v>
      </c>
    </row>
    <row r="470" spans="1:34" x14ac:dyDescent="0.25">
      <c r="A470" t="s">
        <v>750</v>
      </c>
      <c r="B470">
        <v>2025</v>
      </c>
      <c r="C470">
        <v>4</v>
      </c>
      <c r="D470" s="1">
        <v>45769</v>
      </c>
      <c r="E470" s="1">
        <v>45769</v>
      </c>
      <c r="F470" s="1">
        <v>45769</v>
      </c>
      <c r="G470" s="1">
        <v>45769</v>
      </c>
      <c r="H470" s="2">
        <v>45769.837921678241</v>
      </c>
      <c r="I470">
        <v>2039</v>
      </c>
      <c r="J470" t="s">
        <v>30</v>
      </c>
      <c r="K470" t="s">
        <v>31</v>
      </c>
      <c r="L470">
        <v>50</v>
      </c>
      <c r="M470">
        <v>50</v>
      </c>
      <c r="N470" t="s">
        <v>32</v>
      </c>
      <c r="O470">
        <v>1</v>
      </c>
      <c r="P470">
        <v>150</v>
      </c>
      <c r="Q470" t="b">
        <v>1</v>
      </c>
      <c r="R470" t="b">
        <v>0</v>
      </c>
      <c r="S470" t="b">
        <v>0</v>
      </c>
      <c r="T470">
        <v>231</v>
      </c>
      <c r="U470">
        <v>0</v>
      </c>
      <c r="V470" t="s">
        <v>33</v>
      </c>
      <c r="W470" t="s">
        <v>33</v>
      </c>
      <c r="X470">
        <v>50</v>
      </c>
      <c r="Y470">
        <v>359</v>
      </c>
      <c r="Z470" t="s">
        <v>34</v>
      </c>
      <c r="AA470">
        <v>359</v>
      </c>
      <c r="AB470" t="s">
        <v>121</v>
      </c>
      <c r="AC470" t="s">
        <v>121</v>
      </c>
      <c r="AD470" t="str">
        <f t="shared" si="7"/>
        <v>Escobedo → Escobedo</v>
      </c>
      <c r="AE470" t="s">
        <v>1357</v>
      </c>
      <c r="AF470" s="4">
        <v>45748</v>
      </c>
      <c r="AG470" t="str">
        <f>YEAR(Table1[[#This Row],[Fecha]])&amp;" - " &amp;UPPER(TEXT(Table1[[#This Row],[Fecha]],"mm-mmm"))</f>
        <v>2025 - 04-ABR</v>
      </c>
      <c r="AH470" s="5">
        <v>0</v>
      </c>
    </row>
    <row r="471" spans="1:34" x14ac:dyDescent="0.25">
      <c r="A471" t="s">
        <v>185</v>
      </c>
      <c r="B471">
        <v>2025</v>
      </c>
      <c r="C471">
        <v>4</v>
      </c>
      <c r="D471" s="1">
        <v>45769</v>
      </c>
      <c r="E471" s="1">
        <v>45769</v>
      </c>
      <c r="F471" s="1">
        <v>45769</v>
      </c>
      <c r="G471" s="1">
        <v>45769</v>
      </c>
      <c r="H471" s="2">
        <v>45769.838210381946</v>
      </c>
      <c r="I471">
        <v>2039</v>
      </c>
      <c r="J471" t="s">
        <v>30</v>
      </c>
      <c r="K471" t="s">
        <v>31</v>
      </c>
      <c r="L471">
        <v>50</v>
      </c>
      <c r="M471">
        <v>50</v>
      </c>
      <c r="N471" t="s">
        <v>32</v>
      </c>
      <c r="O471">
        <v>1</v>
      </c>
      <c r="P471">
        <v>150</v>
      </c>
      <c r="Q471" t="b">
        <v>1</v>
      </c>
      <c r="R471" t="b">
        <v>0</v>
      </c>
      <c r="S471" t="b">
        <v>0</v>
      </c>
      <c r="T471">
        <v>231</v>
      </c>
      <c r="U471">
        <v>0</v>
      </c>
      <c r="V471" t="s">
        <v>33</v>
      </c>
      <c r="W471" t="s">
        <v>33</v>
      </c>
      <c r="X471">
        <v>50</v>
      </c>
      <c r="Y471">
        <v>308</v>
      </c>
      <c r="Z471" t="s">
        <v>34</v>
      </c>
      <c r="AA471">
        <v>308</v>
      </c>
      <c r="AB471" t="s">
        <v>121</v>
      </c>
      <c r="AC471" t="s">
        <v>174</v>
      </c>
      <c r="AD471" t="str">
        <f t="shared" si="7"/>
        <v>Escobedo → Guadalupe</v>
      </c>
      <c r="AE471" t="s">
        <v>1357</v>
      </c>
      <c r="AF471" s="4">
        <v>45748</v>
      </c>
      <c r="AG471" t="str">
        <f>YEAR(Table1[[#This Row],[Fecha]])&amp;" - " &amp;UPPER(TEXT(Table1[[#This Row],[Fecha]],"mm-mmm"))</f>
        <v>2025 - 04-ABR</v>
      </c>
      <c r="AH471" s="5">
        <v>0</v>
      </c>
    </row>
    <row r="472" spans="1:34" x14ac:dyDescent="0.25">
      <c r="A472" t="s">
        <v>726</v>
      </c>
      <c r="B472">
        <v>2025</v>
      </c>
      <c r="C472">
        <v>4</v>
      </c>
      <c r="D472" s="1">
        <v>45769</v>
      </c>
      <c r="E472" s="1">
        <v>45769</v>
      </c>
      <c r="F472" s="1">
        <v>45769</v>
      </c>
      <c r="G472" s="1">
        <v>45769</v>
      </c>
      <c r="H472" s="2">
        <v>45769.838503206018</v>
      </c>
      <c r="I472">
        <v>2039</v>
      </c>
      <c r="J472" t="s">
        <v>30</v>
      </c>
      <c r="K472" t="s">
        <v>31</v>
      </c>
      <c r="L472">
        <v>50</v>
      </c>
      <c r="M472">
        <v>50</v>
      </c>
      <c r="N472" t="s">
        <v>32</v>
      </c>
      <c r="O472">
        <v>1</v>
      </c>
      <c r="P472">
        <v>150</v>
      </c>
      <c r="Q472" t="b">
        <v>1</v>
      </c>
      <c r="R472" t="b">
        <v>0</v>
      </c>
      <c r="S472" t="b">
        <v>0</v>
      </c>
      <c r="T472">
        <v>231</v>
      </c>
      <c r="U472">
        <v>0</v>
      </c>
      <c r="V472" t="s">
        <v>33</v>
      </c>
      <c r="W472" t="s">
        <v>33</v>
      </c>
      <c r="X472">
        <v>50</v>
      </c>
      <c r="Y472">
        <v>359</v>
      </c>
      <c r="Z472" t="s">
        <v>34</v>
      </c>
      <c r="AA472">
        <v>359</v>
      </c>
      <c r="AB472" t="s">
        <v>121</v>
      </c>
      <c r="AC472" t="s">
        <v>121</v>
      </c>
      <c r="AD472" t="str">
        <f t="shared" si="7"/>
        <v>Escobedo → Escobedo</v>
      </c>
      <c r="AE472" t="s">
        <v>1357</v>
      </c>
      <c r="AF472" s="4">
        <v>45748</v>
      </c>
      <c r="AG472" t="str">
        <f>YEAR(Table1[[#This Row],[Fecha]])&amp;" - " &amp;UPPER(TEXT(Table1[[#This Row],[Fecha]],"mm-mmm"))</f>
        <v>2025 - 04-ABR</v>
      </c>
      <c r="AH472" s="5">
        <v>0</v>
      </c>
    </row>
    <row r="473" spans="1:34" x14ac:dyDescent="0.25">
      <c r="A473" t="s">
        <v>727</v>
      </c>
      <c r="B473">
        <v>2025</v>
      </c>
      <c r="C473">
        <v>4</v>
      </c>
      <c r="D473" s="1">
        <v>45769</v>
      </c>
      <c r="E473" s="1">
        <v>45769</v>
      </c>
      <c r="F473" s="1">
        <v>45769</v>
      </c>
      <c r="G473" s="1">
        <v>45769</v>
      </c>
      <c r="H473" s="2">
        <v>45769.838792245369</v>
      </c>
      <c r="I473">
        <v>2039</v>
      </c>
      <c r="J473" t="s">
        <v>30</v>
      </c>
      <c r="K473" t="s">
        <v>31</v>
      </c>
      <c r="L473">
        <v>50</v>
      </c>
      <c r="M473">
        <v>50</v>
      </c>
      <c r="N473" t="s">
        <v>32</v>
      </c>
      <c r="O473">
        <v>1</v>
      </c>
      <c r="P473">
        <v>150</v>
      </c>
      <c r="Q473" t="b">
        <v>1</v>
      </c>
      <c r="R473" t="b">
        <v>0</v>
      </c>
      <c r="S473" t="b">
        <v>0</v>
      </c>
      <c r="T473">
        <v>231</v>
      </c>
      <c r="U473">
        <v>0</v>
      </c>
      <c r="V473" t="s">
        <v>33</v>
      </c>
      <c r="W473" t="s">
        <v>33</v>
      </c>
      <c r="X473">
        <v>50</v>
      </c>
      <c r="Y473">
        <v>359</v>
      </c>
      <c r="Z473" t="s">
        <v>34</v>
      </c>
      <c r="AA473">
        <v>359</v>
      </c>
      <c r="AB473" t="s">
        <v>121</v>
      </c>
      <c r="AC473" t="s">
        <v>121</v>
      </c>
      <c r="AD473" t="str">
        <f t="shared" si="7"/>
        <v>Escobedo → Escobedo</v>
      </c>
      <c r="AE473" t="s">
        <v>1357</v>
      </c>
      <c r="AF473" s="4">
        <v>45748</v>
      </c>
      <c r="AG473" t="str">
        <f>YEAR(Table1[[#This Row],[Fecha]])&amp;" - " &amp;UPPER(TEXT(Table1[[#This Row],[Fecha]],"mm-mmm"))</f>
        <v>2025 - 04-ABR</v>
      </c>
      <c r="AH473" s="5">
        <v>0</v>
      </c>
    </row>
    <row r="474" spans="1:34" x14ac:dyDescent="0.25">
      <c r="A474" t="s">
        <v>728</v>
      </c>
      <c r="B474">
        <v>2025</v>
      </c>
      <c r="C474">
        <v>4</v>
      </c>
      <c r="D474" s="1">
        <v>45769</v>
      </c>
      <c r="E474" s="1">
        <v>45769</v>
      </c>
      <c r="F474" s="1">
        <v>45769</v>
      </c>
      <c r="G474" s="1">
        <v>45769</v>
      </c>
      <c r="H474" s="2">
        <v>45769.839066435183</v>
      </c>
      <c r="I474">
        <v>2039</v>
      </c>
      <c r="J474" t="s">
        <v>30</v>
      </c>
      <c r="K474" t="s">
        <v>31</v>
      </c>
      <c r="L474">
        <v>50</v>
      </c>
      <c r="M474">
        <v>50</v>
      </c>
      <c r="N474" t="s">
        <v>32</v>
      </c>
      <c r="O474">
        <v>1</v>
      </c>
      <c r="P474">
        <v>150</v>
      </c>
      <c r="Q474" t="b">
        <v>1</v>
      </c>
      <c r="R474" t="b">
        <v>0</v>
      </c>
      <c r="S474" t="b">
        <v>0</v>
      </c>
      <c r="T474">
        <v>231</v>
      </c>
      <c r="U474">
        <v>0</v>
      </c>
      <c r="V474" t="s">
        <v>33</v>
      </c>
      <c r="W474" t="s">
        <v>33</v>
      </c>
      <c r="X474">
        <v>50</v>
      </c>
      <c r="Y474">
        <v>359</v>
      </c>
      <c r="Z474" t="s">
        <v>34</v>
      </c>
      <c r="AA474">
        <v>359</v>
      </c>
      <c r="AB474" t="s">
        <v>121</v>
      </c>
      <c r="AC474" t="s">
        <v>121</v>
      </c>
      <c r="AD474" t="str">
        <f t="shared" si="7"/>
        <v>Escobedo → Escobedo</v>
      </c>
      <c r="AE474" t="s">
        <v>1357</v>
      </c>
      <c r="AF474" s="4">
        <v>45748</v>
      </c>
      <c r="AG474" t="str">
        <f>YEAR(Table1[[#This Row],[Fecha]])&amp;" - " &amp;UPPER(TEXT(Table1[[#This Row],[Fecha]],"mm-mmm"))</f>
        <v>2025 - 04-ABR</v>
      </c>
      <c r="AH474" s="5">
        <v>0</v>
      </c>
    </row>
    <row r="475" spans="1:34" x14ac:dyDescent="0.25">
      <c r="A475" t="s">
        <v>418</v>
      </c>
      <c r="B475">
        <v>2025</v>
      </c>
      <c r="C475">
        <v>4</v>
      </c>
      <c r="D475" s="1">
        <v>45769</v>
      </c>
      <c r="E475" s="1">
        <v>45572</v>
      </c>
      <c r="F475" s="1">
        <v>45769</v>
      </c>
      <c r="G475" s="1">
        <v>45769</v>
      </c>
      <c r="H475" s="2">
        <v>45769.839333101852</v>
      </c>
      <c r="I475">
        <v>2039</v>
      </c>
      <c r="J475" t="s">
        <v>30</v>
      </c>
      <c r="K475" t="s">
        <v>31</v>
      </c>
      <c r="L475">
        <v>50</v>
      </c>
      <c r="M475">
        <v>50</v>
      </c>
      <c r="N475" t="s">
        <v>32</v>
      </c>
      <c r="O475">
        <v>1</v>
      </c>
      <c r="P475">
        <v>150</v>
      </c>
      <c r="Q475" t="b">
        <v>1</v>
      </c>
      <c r="R475" t="b">
        <v>0</v>
      </c>
      <c r="S475" t="b">
        <v>0</v>
      </c>
      <c r="T475">
        <v>231</v>
      </c>
      <c r="U475">
        <v>0</v>
      </c>
      <c r="V475" t="s">
        <v>33</v>
      </c>
      <c r="W475" t="s">
        <v>33</v>
      </c>
      <c r="X475">
        <v>50</v>
      </c>
      <c r="Y475">
        <v>461</v>
      </c>
      <c r="Z475" t="s">
        <v>34</v>
      </c>
      <c r="AA475">
        <v>461</v>
      </c>
      <c r="AB475" t="s">
        <v>121</v>
      </c>
      <c r="AC475" t="s">
        <v>35</v>
      </c>
      <c r="AD475" t="str">
        <f t="shared" si="7"/>
        <v>Escobedo → Monterrey</v>
      </c>
      <c r="AE475" t="s">
        <v>1357</v>
      </c>
      <c r="AF475" s="4">
        <v>45748</v>
      </c>
      <c r="AG475" t="str">
        <f>YEAR(Table1[[#This Row],[Fecha]])&amp;" - " &amp;UPPER(TEXT(Table1[[#This Row],[Fecha]],"mm-mmm"))</f>
        <v>2025 - 04-ABR</v>
      </c>
      <c r="AH475" s="5">
        <v>0</v>
      </c>
    </row>
    <row r="476" spans="1:34" x14ac:dyDescent="0.25">
      <c r="A476" t="s">
        <v>440</v>
      </c>
      <c r="B476">
        <v>2025</v>
      </c>
      <c r="C476">
        <v>4</v>
      </c>
      <c r="D476" s="1">
        <v>45770</v>
      </c>
      <c r="E476" s="1">
        <v>45770</v>
      </c>
      <c r="F476" s="1">
        <v>45770</v>
      </c>
      <c r="G476" s="1">
        <v>45770</v>
      </c>
      <c r="H476" s="2">
        <v>45770.817376701387</v>
      </c>
      <c r="I476">
        <v>2039</v>
      </c>
      <c r="J476" t="s">
        <v>30</v>
      </c>
      <c r="K476" t="s">
        <v>31</v>
      </c>
      <c r="L476">
        <v>50</v>
      </c>
      <c r="M476">
        <v>50</v>
      </c>
      <c r="N476" t="s">
        <v>32</v>
      </c>
      <c r="O476">
        <v>1</v>
      </c>
      <c r="P476">
        <v>150</v>
      </c>
      <c r="Q476" t="b">
        <v>1</v>
      </c>
      <c r="R476" t="b">
        <v>0</v>
      </c>
      <c r="S476" t="b">
        <v>0</v>
      </c>
      <c r="T476">
        <v>231</v>
      </c>
      <c r="U476">
        <v>0</v>
      </c>
      <c r="V476" t="s">
        <v>33</v>
      </c>
      <c r="W476" t="s">
        <v>33</v>
      </c>
      <c r="X476">
        <v>50</v>
      </c>
      <c r="Y476">
        <v>2936</v>
      </c>
      <c r="Z476" t="s">
        <v>34</v>
      </c>
      <c r="AA476">
        <v>2936</v>
      </c>
      <c r="AB476" t="s">
        <v>121</v>
      </c>
      <c r="AC476" t="s">
        <v>432</v>
      </c>
      <c r="AD476" t="str">
        <f t="shared" si="7"/>
        <v>Escobedo → Hidalgo</v>
      </c>
      <c r="AE476" t="s">
        <v>1357</v>
      </c>
      <c r="AF476" s="4">
        <v>45748</v>
      </c>
      <c r="AG476" t="str">
        <f>YEAR(Table1[[#This Row],[Fecha]])&amp;" - " &amp;UPPER(TEXT(Table1[[#This Row],[Fecha]],"mm-mmm"))</f>
        <v>2025 - 04-ABR</v>
      </c>
      <c r="AH476" s="5">
        <v>0</v>
      </c>
    </row>
    <row r="477" spans="1:34" x14ac:dyDescent="0.25">
      <c r="A477" t="s">
        <v>729</v>
      </c>
      <c r="B477">
        <v>2025</v>
      </c>
      <c r="C477">
        <v>4</v>
      </c>
      <c r="D477" s="1">
        <v>45770</v>
      </c>
      <c r="E477" s="1">
        <v>45770</v>
      </c>
      <c r="F477" s="1">
        <v>45770</v>
      </c>
      <c r="G477" s="1">
        <v>45770</v>
      </c>
      <c r="H477" s="2">
        <v>45771.745880868053</v>
      </c>
      <c r="I477">
        <v>2039</v>
      </c>
      <c r="J477" t="s">
        <v>30</v>
      </c>
      <c r="K477" t="s">
        <v>31</v>
      </c>
      <c r="L477">
        <v>50</v>
      </c>
      <c r="M477">
        <v>50</v>
      </c>
      <c r="N477" t="s">
        <v>32</v>
      </c>
      <c r="O477">
        <v>1</v>
      </c>
      <c r="P477">
        <v>150</v>
      </c>
      <c r="Q477" t="b">
        <v>1</v>
      </c>
      <c r="R477" t="b">
        <v>0</v>
      </c>
      <c r="S477" t="b">
        <v>0</v>
      </c>
      <c r="T477">
        <v>231</v>
      </c>
      <c r="U477">
        <v>0</v>
      </c>
      <c r="V477" t="s">
        <v>33</v>
      </c>
      <c r="W477" t="s">
        <v>33</v>
      </c>
      <c r="X477">
        <v>50</v>
      </c>
      <c r="Y477">
        <v>359</v>
      </c>
      <c r="Z477" t="s">
        <v>106</v>
      </c>
      <c r="AA477">
        <v>359</v>
      </c>
      <c r="AB477" t="s">
        <v>121</v>
      </c>
      <c r="AC477" t="s">
        <v>121</v>
      </c>
      <c r="AD477" t="str">
        <f t="shared" si="7"/>
        <v>Escobedo → Escobedo</v>
      </c>
      <c r="AE477" t="s">
        <v>1357</v>
      </c>
      <c r="AF477" s="4">
        <v>45748</v>
      </c>
      <c r="AG477" t="str">
        <f>YEAR(Table1[[#This Row],[Fecha]])&amp;" - " &amp;UPPER(TEXT(Table1[[#This Row],[Fecha]],"mm-mmm"))</f>
        <v>2025 - 04-ABR</v>
      </c>
      <c r="AH477" s="5">
        <v>0</v>
      </c>
    </row>
    <row r="478" spans="1:34" x14ac:dyDescent="0.25">
      <c r="A478" t="s">
        <v>730</v>
      </c>
      <c r="B478">
        <v>2025</v>
      </c>
      <c r="C478">
        <v>4</v>
      </c>
      <c r="D478" s="1">
        <v>45771</v>
      </c>
      <c r="E478" s="1">
        <v>45771</v>
      </c>
      <c r="F478" s="1">
        <v>45771</v>
      </c>
      <c r="G478" s="1">
        <v>45771</v>
      </c>
      <c r="H478" s="2">
        <v>45771.746256562503</v>
      </c>
      <c r="I478">
        <v>2039</v>
      </c>
      <c r="J478" t="s">
        <v>30</v>
      </c>
      <c r="K478" t="s">
        <v>31</v>
      </c>
      <c r="L478">
        <v>50</v>
      </c>
      <c r="M478">
        <v>50</v>
      </c>
      <c r="N478" t="s">
        <v>32</v>
      </c>
      <c r="O478">
        <v>1</v>
      </c>
      <c r="P478">
        <v>150</v>
      </c>
      <c r="Q478" t="b">
        <v>1</v>
      </c>
      <c r="R478" t="b">
        <v>0</v>
      </c>
      <c r="S478" t="b">
        <v>0</v>
      </c>
      <c r="T478">
        <v>231</v>
      </c>
      <c r="U478">
        <v>0</v>
      </c>
      <c r="V478" t="s">
        <v>33</v>
      </c>
      <c r="W478" t="s">
        <v>33</v>
      </c>
      <c r="X478">
        <v>50</v>
      </c>
      <c r="Y478">
        <v>359</v>
      </c>
      <c r="Z478" t="s">
        <v>34</v>
      </c>
      <c r="AA478">
        <v>359</v>
      </c>
      <c r="AB478" t="s">
        <v>121</v>
      </c>
      <c r="AC478" t="s">
        <v>121</v>
      </c>
      <c r="AD478" t="str">
        <f t="shared" si="7"/>
        <v>Escobedo → Escobedo</v>
      </c>
      <c r="AE478" t="s">
        <v>1357</v>
      </c>
      <c r="AF478" s="4">
        <v>45748</v>
      </c>
      <c r="AG478" t="str">
        <f>YEAR(Table1[[#This Row],[Fecha]])&amp;" - " &amp;UPPER(TEXT(Table1[[#This Row],[Fecha]],"mm-mmm"))</f>
        <v>2025 - 04-ABR</v>
      </c>
      <c r="AH478" s="5">
        <v>0</v>
      </c>
    </row>
    <row r="479" spans="1:34" x14ac:dyDescent="0.25">
      <c r="A479" t="s">
        <v>442</v>
      </c>
      <c r="B479">
        <v>2025</v>
      </c>
      <c r="C479">
        <v>4</v>
      </c>
      <c r="D479" s="1">
        <v>45771</v>
      </c>
      <c r="E479" s="1">
        <v>45771</v>
      </c>
      <c r="F479" s="1">
        <v>45771</v>
      </c>
      <c r="G479" s="1">
        <v>45771</v>
      </c>
      <c r="H479" s="2">
        <v>45771.74659609954</v>
      </c>
      <c r="I479">
        <v>2039</v>
      </c>
      <c r="J479" t="s">
        <v>30</v>
      </c>
      <c r="K479" t="s">
        <v>31</v>
      </c>
      <c r="L479">
        <v>50</v>
      </c>
      <c r="M479">
        <v>50</v>
      </c>
      <c r="N479" t="s">
        <v>32</v>
      </c>
      <c r="O479">
        <v>1</v>
      </c>
      <c r="P479">
        <v>150</v>
      </c>
      <c r="Q479" t="b">
        <v>1</v>
      </c>
      <c r="R479" t="b">
        <v>0</v>
      </c>
      <c r="S479" t="b">
        <v>0</v>
      </c>
      <c r="T479">
        <v>231</v>
      </c>
      <c r="U479">
        <v>0</v>
      </c>
      <c r="V479" t="s">
        <v>33</v>
      </c>
      <c r="W479" t="s">
        <v>33</v>
      </c>
      <c r="X479">
        <v>50</v>
      </c>
      <c r="Y479">
        <v>2936</v>
      </c>
      <c r="Z479" t="s">
        <v>34</v>
      </c>
      <c r="AA479">
        <v>2936</v>
      </c>
      <c r="AB479" t="s">
        <v>121</v>
      </c>
      <c r="AC479" t="s">
        <v>432</v>
      </c>
      <c r="AD479" t="str">
        <f t="shared" si="7"/>
        <v>Escobedo → Hidalgo</v>
      </c>
      <c r="AE479" t="s">
        <v>1357</v>
      </c>
      <c r="AF479" s="4">
        <v>45748</v>
      </c>
      <c r="AG479" t="str">
        <f>YEAR(Table1[[#This Row],[Fecha]])&amp;" - " &amp;UPPER(TEXT(Table1[[#This Row],[Fecha]],"mm-mmm"))</f>
        <v>2025 - 04-ABR</v>
      </c>
      <c r="AH479" s="5">
        <v>0</v>
      </c>
    </row>
    <row r="480" spans="1:34" x14ac:dyDescent="0.25">
      <c r="A480" t="s">
        <v>414</v>
      </c>
      <c r="B480">
        <v>2025</v>
      </c>
      <c r="C480">
        <v>4</v>
      </c>
      <c r="D480" s="1">
        <v>45771</v>
      </c>
      <c r="E480" s="1">
        <v>45771</v>
      </c>
      <c r="F480" s="1">
        <v>45771</v>
      </c>
      <c r="G480" s="1">
        <v>45771</v>
      </c>
      <c r="H480" s="2">
        <v>45771.747016354166</v>
      </c>
      <c r="I480">
        <v>2039</v>
      </c>
      <c r="J480" t="s">
        <v>30</v>
      </c>
      <c r="K480" t="s">
        <v>31</v>
      </c>
      <c r="L480">
        <v>50</v>
      </c>
      <c r="M480">
        <v>50</v>
      </c>
      <c r="N480" t="s">
        <v>32</v>
      </c>
      <c r="O480">
        <v>1</v>
      </c>
      <c r="P480">
        <v>150</v>
      </c>
      <c r="Q480" t="b">
        <v>1</v>
      </c>
      <c r="R480" t="b">
        <v>0</v>
      </c>
      <c r="S480" t="b">
        <v>0</v>
      </c>
      <c r="T480">
        <v>231</v>
      </c>
      <c r="U480">
        <v>0</v>
      </c>
      <c r="V480" t="s">
        <v>33</v>
      </c>
      <c r="W480" t="s">
        <v>33</v>
      </c>
      <c r="X480">
        <v>50</v>
      </c>
      <c r="Y480">
        <v>461</v>
      </c>
      <c r="Z480" t="s">
        <v>34</v>
      </c>
      <c r="AA480">
        <v>461</v>
      </c>
      <c r="AB480" t="s">
        <v>121</v>
      </c>
      <c r="AC480" t="s">
        <v>35</v>
      </c>
      <c r="AD480" t="str">
        <f t="shared" si="7"/>
        <v>Escobedo → Monterrey</v>
      </c>
      <c r="AE480" t="s">
        <v>1357</v>
      </c>
      <c r="AF480" s="4">
        <v>45748</v>
      </c>
      <c r="AG480" t="str">
        <f>YEAR(Table1[[#This Row],[Fecha]])&amp;" - " &amp;UPPER(TEXT(Table1[[#This Row],[Fecha]],"mm-mmm"))</f>
        <v>2025 - 04-ABR</v>
      </c>
      <c r="AH480" s="5">
        <v>0</v>
      </c>
    </row>
    <row r="481" spans="1:34" x14ac:dyDescent="0.25">
      <c r="A481" t="s">
        <v>731</v>
      </c>
      <c r="B481">
        <v>2025</v>
      </c>
      <c r="C481">
        <v>4</v>
      </c>
      <c r="D481" s="1">
        <v>45771</v>
      </c>
      <c r="E481" s="1">
        <v>45771</v>
      </c>
      <c r="F481" s="1">
        <v>45771</v>
      </c>
      <c r="G481" s="1">
        <v>45771</v>
      </c>
      <c r="H481" s="2">
        <v>45771.74735046296</v>
      </c>
      <c r="I481">
        <v>2039</v>
      </c>
      <c r="J481" t="s">
        <v>30</v>
      </c>
      <c r="K481" t="s">
        <v>31</v>
      </c>
      <c r="L481">
        <v>50</v>
      </c>
      <c r="M481">
        <v>50</v>
      </c>
      <c r="N481" t="s">
        <v>32</v>
      </c>
      <c r="O481">
        <v>1</v>
      </c>
      <c r="P481">
        <v>150</v>
      </c>
      <c r="Q481" t="b">
        <v>1</v>
      </c>
      <c r="R481" t="b">
        <v>0</v>
      </c>
      <c r="S481" t="b">
        <v>0</v>
      </c>
      <c r="T481">
        <v>231</v>
      </c>
      <c r="U481">
        <v>0</v>
      </c>
      <c r="V481" t="s">
        <v>33</v>
      </c>
      <c r="W481" t="s">
        <v>33</v>
      </c>
      <c r="X481">
        <v>50</v>
      </c>
      <c r="Y481">
        <v>359</v>
      </c>
      <c r="Z481" t="s">
        <v>34</v>
      </c>
      <c r="AA481">
        <v>359</v>
      </c>
      <c r="AB481" t="s">
        <v>121</v>
      </c>
      <c r="AC481" t="s">
        <v>121</v>
      </c>
      <c r="AD481" t="str">
        <f t="shared" si="7"/>
        <v>Escobedo → Escobedo</v>
      </c>
      <c r="AE481" t="s">
        <v>1357</v>
      </c>
      <c r="AF481" s="4">
        <v>45748</v>
      </c>
      <c r="AG481" t="str">
        <f>YEAR(Table1[[#This Row],[Fecha]])&amp;" - " &amp;UPPER(TEXT(Table1[[#This Row],[Fecha]],"mm-mmm"))</f>
        <v>2025 - 04-ABR</v>
      </c>
      <c r="AH481" s="5">
        <v>0</v>
      </c>
    </row>
    <row r="482" spans="1:34" x14ac:dyDescent="0.25">
      <c r="A482" t="s">
        <v>441</v>
      </c>
      <c r="B482">
        <v>2025</v>
      </c>
      <c r="C482">
        <v>4</v>
      </c>
      <c r="D482" s="1">
        <v>45771</v>
      </c>
      <c r="E482" s="1">
        <v>45771</v>
      </c>
      <c r="F482" s="1">
        <v>45771</v>
      </c>
      <c r="G482" s="1">
        <v>45771</v>
      </c>
      <c r="H482" s="2">
        <v>45771.747708483796</v>
      </c>
      <c r="I482">
        <v>2039</v>
      </c>
      <c r="J482" t="s">
        <v>30</v>
      </c>
      <c r="K482" t="s">
        <v>31</v>
      </c>
      <c r="L482">
        <v>50</v>
      </c>
      <c r="M482">
        <v>50</v>
      </c>
      <c r="N482" t="s">
        <v>32</v>
      </c>
      <c r="O482">
        <v>1</v>
      </c>
      <c r="P482">
        <v>150</v>
      </c>
      <c r="Q482" t="b">
        <v>1</v>
      </c>
      <c r="R482" t="b">
        <v>0</v>
      </c>
      <c r="S482" t="b">
        <v>0</v>
      </c>
      <c r="T482">
        <v>231</v>
      </c>
      <c r="U482">
        <v>0</v>
      </c>
      <c r="V482" t="s">
        <v>33</v>
      </c>
      <c r="W482" t="s">
        <v>33</v>
      </c>
      <c r="X482">
        <v>50</v>
      </c>
      <c r="Y482">
        <v>2936</v>
      </c>
      <c r="Z482" t="s">
        <v>34</v>
      </c>
      <c r="AA482">
        <v>2936</v>
      </c>
      <c r="AB482" t="s">
        <v>121</v>
      </c>
      <c r="AC482" t="s">
        <v>432</v>
      </c>
      <c r="AD482" t="str">
        <f t="shared" si="7"/>
        <v>Escobedo → Hidalgo</v>
      </c>
      <c r="AE482" t="s">
        <v>1357</v>
      </c>
      <c r="AF482" s="4">
        <v>45748</v>
      </c>
      <c r="AG482" t="str">
        <f>YEAR(Table1[[#This Row],[Fecha]])&amp;" - " &amp;UPPER(TEXT(Table1[[#This Row],[Fecha]],"mm-mmm"))</f>
        <v>2025 - 04-ABR</v>
      </c>
      <c r="AH482" s="5">
        <v>0</v>
      </c>
    </row>
    <row r="483" spans="1:34" x14ac:dyDescent="0.25">
      <c r="A483" t="s">
        <v>732</v>
      </c>
      <c r="B483">
        <v>2025</v>
      </c>
      <c r="C483">
        <v>4</v>
      </c>
      <c r="D483" s="1">
        <v>45771</v>
      </c>
      <c r="E483" s="1">
        <v>45771</v>
      </c>
      <c r="F483" s="1">
        <v>45771</v>
      </c>
      <c r="G483" s="1">
        <v>45771</v>
      </c>
      <c r="H483" s="2">
        <v>45771.748764467593</v>
      </c>
      <c r="I483">
        <v>2039</v>
      </c>
      <c r="J483" t="s">
        <v>30</v>
      </c>
      <c r="K483" t="s">
        <v>31</v>
      </c>
      <c r="L483">
        <v>50</v>
      </c>
      <c r="M483">
        <v>50</v>
      </c>
      <c r="N483" t="s">
        <v>32</v>
      </c>
      <c r="O483">
        <v>1</v>
      </c>
      <c r="P483">
        <v>150</v>
      </c>
      <c r="Q483" t="b">
        <v>1</v>
      </c>
      <c r="R483" t="b">
        <v>0</v>
      </c>
      <c r="S483" t="b">
        <v>0</v>
      </c>
      <c r="T483">
        <v>231</v>
      </c>
      <c r="U483">
        <v>0</v>
      </c>
      <c r="V483" t="s">
        <v>33</v>
      </c>
      <c r="W483" t="s">
        <v>33</v>
      </c>
      <c r="X483">
        <v>50</v>
      </c>
      <c r="Y483">
        <v>359</v>
      </c>
      <c r="Z483" t="s">
        <v>34</v>
      </c>
      <c r="AA483">
        <v>359</v>
      </c>
      <c r="AB483" t="s">
        <v>121</v>
      </c>
      <c r="AC483" t="s">
        <v>121</v>
      </c>
      <c r="AD483" t="str">
        <f t="shared" si="7"/>
        <v>Escobedo → Escobedo</v>
      </c>
      <c r="AE483" t="s">
        <v>1357</v>
      </c>
      <c r="AF483" s="4">
        <v>45748</v>
      </c>
      <c r="AG483" t="str">
        <f>YEAR(Table1[[#This Row],[Fecha]])&amp;" - " &amp;UPPER(TEXT(Table1[[#This Row],[Fecha]],"mm-mmm"))</f>
        <v>2025 - 04-ABR</v>
      </c>
      <c r="AH483" s="5">
        <v>0</v>
      </c>
    </row>
    <row r="484" spans="1:34" x14ac:dyDescent="0.25">
      <c r="A484" t="s">
        <v>445</v>
      </c>
      <c r="B484">
        <v>2025</v>
      </c>
      <c r="C484">
        <v>4</v>
      </c>
      <c r="D484" s="1">
        <v>45772</v>
      </c>
      <c r="E484" s="1">
        <v>45772</v>
      </c>
      <c r="F484" s="1">
        <v>45772</v>
      </c>
      <c r="G484" s="1">
        <v>45772</v>
      </c>
      <c r="H484" s="2">
        <v>45772.642082789353</v>
      </c>
      <c r="I484">
        <v>2039</v>
      </c>
      <c r="J484" t="s">
        <v>30</v>
      </c>
      <c r="K484" t="s">
        <v>31</v>
      </c>
      <c r="L484">
        <v>50</v>
      </c>
      <c r="M484">
        <v>50</v>
      </c>
      <c r="N484" t="s">
        <v>32</v>
      </c>
      <c r="O484">
        <v>1</v>
      </c>
      <c r="P484">
        <v>150</v>
      </c>
      <c r="Q484" t="b">
        <v>1</v>
      </c>
      <c r="R484" t="b">
        <v>0</v>
      </c>
      <c r="S484" t="b">
        <v>0</v>
      </c>
      <c r="T484">
        <v>231</v>
      </c>
      <c r="U484">
        <v>0</v>
      </c>
      <c r="V484" t="s">
        <v>33</v>
      </c>
      <c r="W484" t="s">
        <v>33</v>
      </c>
      <c r="X484">
        <v>50</v>
      </c>
      <c r="Y484">
        <v>2936</v>
      </c>
      <c r="Z484" t="s">
        <v>34</v>
      </c>
      <c r="AA484">
        <v>2936</v>
      </c>
      <c r="AB484" t="s">
        <v>121</v>
      </c>
      <c r="AC484" t="s">
        <v>432</v>
      </c>
      <c r="AD484" t="str">
        <f t="shared" si="7"/>
        <v>Escobedo → Hidalgo</v>
      </c>
      <c r="AE484" t="s">
        <v>1357</v>
      </c>
      <c r="AF484" s="4">
        <v>45748</v>
      </c>
      <c r="AG484" t="str">
        <f>YEAR(Table1[[#This Row],[Fecha]])&amp;" - " &amp;UPPER(TEXT(Table1[[#This Row],[Fecha]],"mm-mmm"))</f>
        <v>2025 - 04-ABR</v>
      </c>
      <c r="AH484" s="5">
        <v>0</v>
      </c>
    </row>
    <row r="485" spans="1:34" x14ac:dyDescent="0.25">
      <c r="A485" t="s">
        <v>733</v>
      </c>
      <c r="B485">
        <v>2025</v>
      </c>
      <c r="C485">
        <v>4</v>
      </c>
      <c r="D485" s="1">
        <v>45772</v>
      </c>
      <c r="E485" s="1">
        <v>45772</v>
      </c>
      <c r="F485" s="1">
        <v>45772</v>
      </c>
      <c r="G485" s="1">
        <v>45772</v>
      </c>
      <c r="H485" s="2">
        <v>45772.642442592594</v>
      </c>
      <c r="I485">
        <v>2039</v>
      </c>
      <c r="J485" t="s">
        <v>30</v>
      </c>
      <c r="K485" t="s">
        <v>31</v>
      </c>
      <c r="L485">
        <v>50</v>
      </c>
      <c r="M485">
        <v>50</v>
      </c>
      <c r="N485" t="s">
        <v>32</v>
      </c>
      <c r="O485">
        <v>1</v>
      </c>
      <c r="P485">
        <v>150</v>
      </c>
      <c r="Q485" t="b">
        <v>1</v>
      </c>
      <c r="R485" t="b">
        <v>0</v>
      </c>
      <c r="S485" t="b">
        <v>0</v>
      </c>
      <c r="T485">
        <v>231</v>
      </c>
      <c r="U485">
        <v>0</v>
      </c>
      <c r="V485" t="s">
        <v>33</v>
      </c>
      <c r="W485" t="s">
        <v>33</v>
      </c>
      <c r="X485">
        <v>50</v>
      </c>
      <c r="Y485">
        <v>359</v>
      </c>
      <c r="Z485" t="s">
        <v>34</v>
      </c>
      <c r="AA485">
        <v>359</v>
      </c>
      <c r="AB485" t="s">
        <v>121</v>
      </c>
      <c r="AC485" t="s">
        <v>121</v>
      </c>
      <c r="AD485" t="str">
        <f t="shared" si="7"/>
        <v>Escobedo → Escobedo</v>
      </c>
      <c r="AE485" t="s">
        <v>1357</v>
      </c>
      <c r="AF485" s="4">
        <v>45748</v>
      </c>
      <c r="AG485" t="str">
        <f>YEAR(Table1[[#This Row],[Fecha]])&amp;" - " &amp;UPPER(TEXT(Table1[[#This Row],[Fecha]],"mm-mmm"))</f>
        <v>2025 - 04-ABR</v>
      </c>
      <c r="AH485" s="5">
        <v>0</v>
      </c>
    </row>
    <row r="486" spans="1:34" x14ac:dyDescent="0.25">
      <c r="A486" t="s">
        <v>734</v>
      </c>
      <c r="B486">
        <v>2025</v>
      </c>
      <c r="C486">
        <v>4</v>
      </c>
      <c r="D486" s="1">
        <v>45772</v>
      </c>
      <c r="E486" s="1">
        <v>45772</v>
      </c>
      <c r="F486" s="1">
        <v>45772</v>
      </c>
      <c r="G486" s="1">
        <v>45772</v>
      </c>
      <c r="H486" s="2">
        <v>45772.642788344907</v>
      </c>
      <c r="I486">
        <v>2039</v>
      </c>
      <c r="J486" t="s">
        <v>30</v>
      </c>
      <c r="K486" t="s">
        <v>31</v>
      </c>
      <c r="L486">
        <v>50</v>
      </c>
      <c r="M486">
        <v>50</v>
      </c>
      <c r="N486" t="s">
        <v>32</v>
      </c>
      <c r="O486">
        <v>1</v>
      </c>
      <c r="P486">
        <v>150</v>
      </c>
      <c r="Q486" t="b">
        <v>1</v>
      </c>
      <c r="R486" t="b">
        <v>0</v>
      </c>
      <c r="S486" t="b">
        <v>0</v>
      </c>
      <c r="T486">
        <v>231</v>
      </c>
      <c r="U486">
        <v>0</v>
      </c>
      <c r="V486" t="s">
        <v>33</v>
      </c>
      <c r="W486" t="s">
        <v>33</v>
      </c>
      <c r="X486">
        <v>50</v>
      </c>
      <c r="Y486">
        <v>359</v>
      </c>
      <c r="Z486" t="s">
        <v>34</v>
      </c>
      <c r="AA486">
        <v>359</v>
      </c>
      <c r="AB486" t="s">
        <v>121</v>
      </c>
      <c r="AC486" t="s">
        <v>121</v>
      </c>
      <c r="AD486" t="str">
        <f t="shared" si="7"/>
        <v>Escobedo → Escobedo</v>
      </c>
      <c r="AE486" t="s">
        <v>1357</v>
      </c>
      <c r="AF486" s="4">
        <v>45748</v>
      </c>
      <c r="AG486" t="str">
        <f>YEAR(Table1[[#This Row],[Fecha]])&amp;" - " &amp;UPPER(TEXT(Table1[[#This Row],[Fecha]],"mm-mmm"))</f>
        <v>2025 - 04-ABR</v>
      </c>
      <c r="AH486" s="5">
        <v>0</v>
      </c>
    </row>
    <row r="487" spans="1:34" x14ac:dyDescent="0.25">
      <c r="A487" t="s">
        <v>444</v>
      </c>
      <c r="B487">
        <v>2025</v>
      </c>
      <c r="C487">
        <v>4</v>
      </c>
      <c r="D487" s="1">
        <v>45772</v>
      </c>
      <c r="E487" s="1">
        <v>45772</v>
      </c>
      <c r="F487" s="1">
        <v>45772</v>
      </c>
      <c r="G487" s="1">
        <v>45772</v>
      </c>
      <c r="H487" s="2">
        <v>45772.643560150464</v>
      </c>
      <c r="I487">
        <v>2039</v>
      </c>
      <c r="J487" t="s">
        <v>30</v>
      </c>
      <c r="K487" t="s">
        <v>31</v>
      </c>
      <c r="L487">
        <v>50</v>
      </c>
      <c r="M487">
        <v>50</v>
      </c>
      <c r="N487" t="s">
        <v>32</v>
      </c>
      <c r="O487">
        <v>1</v>
      </c>
      <c r="P487">
        <v>150</v>
      </c>
      <c r="Q487" t="b">
        <v>1</v>
      </c>
      <c r="R487" t="b">
        <v>0</v>
      </c>
      <c r="S487" t="b">
        <v>0</v>
      </c>
      <c r="T487">
        <v>231</v>
      </c>
      <c r="U487">
        <v>0</v>
      </c>
      <c r="V487" t="s">
        <v>33</v>
      </c>
      <c r="W487" t="s">
        <v>33</v>
      </c>
      <c r="X487">
        <v>50</v>
      </c>
      <c r="Y487">
        <v>2936</v>
      </c>
      <c r="Z487" t="s">
        <v>34</v>
      </c>
      <c r="AA487">
        <v>2936</v>
      </c>
      <c r="AB487" t="s">
        <v>121</v>
      </c>
      <c r="AC487" t="s">
        <v>432</v>
      </c>
      <c r="AD487" t="str">
        <f t="shared" si="7"/>
        <v>Escobedo → Hidalgo</v>
      </c>
      <c r="AE487" t="s">
        <v>1357</v>
      </c>
      <c r="AF487" s="4">
        <v>45748</v>
      </c>
      <c r="AG487" t="str">
        <f>YEAR(Table1[[#This Row],[Fecha]])&amp;" - " &amp;UPPER(TEXT(Table1[[#This Row],[Fecha]],"mm-mmm"))</f>
        <v>2025 - 04-ABR</v>
      </c>
      <c r="AH487" s="5">
        <v>0</v>
      </c>
    </row>
    <row r="488" spans="1:34" x14ac:dyDescent="0.25">
      <c r="A488" t="s">
        <v>735</v>
      </c>
      <c r="B488">
        <v>2025</v>
      </c>
      <c r="C488">
        <v>4</v>
      </c>
      <c r="D488" s="1">
        <v>45772</v>
      </c>
      <c r="E488" s="1">
        <v>45772</v>
      </c>
      <c r="F488" s="1">
        <v>45772</v>
      </c>
      <c r="G488" s="1">
        <v>45772</v>
      </c>
      <c r="H488" s="2">
        <v>45772.643992673613</v>
      </c>
      <c r="I488">
        <v>2039</v>
      </c>
      <c r="J488" t="s">
        <v>30</v>
      </c>
      <c r="K488" t="s">
        <v>31</v>
      </c>
      <c r="L488">
        <v>50</v>
      </c>
      <c r="M488">
        <v>50</v>
      </c>
      <c r="N488" t="s">
        <v>32</v>
      </c>
      <c r="O488">
        <v>1</v>
      </c>
      <c r="P488">
        <v>150</v>
      </c>
      <c r="Q488" t="b">
        <v>1</v>
      </c>
      <c r="R488" t="b">
        <v>0</v>
      </c>
      <c r="S488" t="b">
        <v>0</v>
      </c>
      <c r="T488">
        <v>231</v>
      </c>
      <c r="U488">
        <v>0</v>
      </c>
      <c r="V488" t="s">
        <v>33</v>
      </c>
      <c r="W488" t="s">
        <v>33</v>
      </c>
      <c r="X488">
        <v>50</v>
      </c>
      <c r="Y488">
        <v>359</v>
      </c>
      <c r="Z488" t="s">
        <v>34</v>
      </c>
      <c r="AA488">
        <v>359</v>
      </c>
      <c r="AB488" t="s">
        <v>121</v>
      </c>
      <c r="AC488" t="s">
        <v>121</v>
      </c>
      <c r="AD488" t="str">
        <f t="shared" si="7"/>
        <v>Escobedo → Escobedo</v>
      </c>
      <c r="AE488" t="s">
        <v>1357</v>
      </c>
      <c r="AF488" s="4">
        <v>45748</v>
      </c>
      <c r="AG488" t="str">
        <f>YEAR(Table1[[#This Row],[Fecha]])&amp;" - " &amp;UPPER(TEXT(Table1[[#This Row],[Fecha]],"mm-mmm"))</f>
        <v>2025 - 04-ABR</v>
      </c>
      <c r="AH488" s="5">
        <v>0</v>
      </c>
    </row>
    <row r="489" spans="1:34" x14ac:dyDescent="0.25">
      <c r="A489" t="s">
        <v>736</v>
      </c>
      <c r="B489">
        <v>2025</v>
      </c>
      <c r="C489">
        <v>4</v>
      </c>
      <c r="D489" s="1">
        <v>45772</v>
      </c>
      <c r="E489" s="1">
        <v>45772</v>
      </c>
      <c r="F489" s="1">
        <v>45772</v>
      </c>
      <c r="G489" s="1">
        <v>45772</v>
      </c>
      <c r="H489" s="2">
        <v>45772.644367048611</v>
      </c>
      <c r="I489">
        <v>2039</v>
      </c>
      <c r="J489" t="s">
        <v>30</v>
      </c>
      <c r="K489" t="s">
        <v>31</v>
      </c>
      <c r="L489">
        <v>50</v>
      </c>
      <c r="M489">
        <v>50</v>
      </c>
      <c r="N489" t="s">
        <v>32</v>
      </c>
      <c r="O489">
        <v>1</v>
      </c>
      <c r="P489">
        <v>150</v>
      </c>
      <c r="Q489" t="b">
        <v>1</v>
      </c>
      <c r="R489" t="b">
        <v>0</v>
      </c>
      <c r="S489" t="b">
        <v>0</v>
      </c>
      <c r="T489">
        <v>231</v>
      </c>
      <c r="U489">
        <v>0</v>
      </c>
      <c r="V489" t="s">
        <v>33</v>
      </c>
      <c r="W489" t="s">
        <v>33</v>
      </c>
      <c r="X489">
        <v>50</v>
      </c>
      <c r="Y489">
        <v>359</v>
      </c>
      <c r="Z489" t="s">
        <v>34</v>
      </c>
      <c r="AA489">
        <v>359</v>
      </c>
      <c r="AB489" t="s">
        <v>121</v>
      </c>
      <c r="AC489" t="s">
        <v>121</v>
      </c>
      <c r="AD489" t="str">
        <f t="shared" si="7"/>
        <v>Escobedo → Escobedo</v>
      </c>
      <c r="AE489" t="s">
        <v>1357</v>
      </c>
      <c r="AF489" s="4">
        <v>45748</v>
      </c>
      <c r="AG489" t="str">
        <f>YEAR(Table1[[#This Row],[Fecha]])&amp;" - " &amp;UPPER(TEXT(Table1[[#This Row],[Fecha]],"mm-mmm"))</f>
        <v>2025 - 04-ABR</v>
      </c>
      <c r="AH489" s="5">
        <v>0</v>
      </c>
    </row>
    <row r="490" spans="1:34" x14ac:dyDescent="0.25">
      <c r="A490" t="s">
        <v>737</v>
      </c>
      <c r="B490">
        <v>2025</v>
      </c>
      <c r="C490">
        <v>4</v>
      </c>
      <c r="D490" s="1">
        <v>45772</v>
      </c>
      <c r="E490" s="1">
        <v>45772</v>
      </c>
      <c r="F490" s="1">
        <v>45772</v>
      </c>
      <c r="G490" s="1">
        <v>45772</v>
      </c>
      <c r="H490" s="2">
        <v>45772.644835266205</v>
      </c>
      <c r="I490">
        <v>2039</v>
      </c>
      <c r="J490" t="s">
        <v>30</v>
      </c>
      <c r="K490" t="s">
        <v>31</v>
      </c>
      <c r="L490">
        <v>50</v>
      </c>
      <c r="M490">
        <v>50</v>
      </c>
      <c r="N490" t="s">
        <v>32</v>
      </c>
      <c r="O490">
        <v>1</v>
      </c>
      <c r="P490">
        <v>150</v>
      </c>
      <c r="Q490" t="b">
        <v>1</v>
      </c>
      <c r="R490" t="b">
        <v>0</v>
      </c>
      <c r="S490" t="b">
        <v>0</v>
      </c>
      <c r="T490">
        <v>231</v>
      </c>
      <c r="U490">
        <v>0</v>
      </c>
      <c r="V490" t="s">
        <v>33</v>
      </c>
      <c r="W490" t="s">
        <v>33</v>
      </c>
      <c r="X490">
        <v>50</v>
      </c>
      <c r="Y490">
        <v>359</v>
      </c>
      <c r="Z490" t="s">
        <v>34</v>
      </c>
      <c r="AA490">
        <v>359</v>
      </c>
      <c r="AB490" t="s">
        <v>121</v>
      </c>
      <c r="AC490" t="s">
        <v>121</v>
      </c>
      <c r="AD490" t="str">
        <f t="shared" si="7"/>
        <v>Escobedo → Escobedo</v>
      </c>
      <c r="AE490" t="s">
        <v>1357</v>
      </c>
      <c r="AF490" s="4">
        <v>45748</v>
      </c>
      <c r="AG490" t="str">
        <f>YEAR(Table1[[#This Row],[Fecha]])&amp;" - " &amp;UPPER(TEXT(Table1[[#This Row],[Fecha]],"mm-mmm"))</f>
        <v>2025 - 04-ABR</v>
      </c>
      <c r="AH490" s="5">
        <v>0</v>
      </c>
    </row>
    <row r="491" spans="1:34" x14ac:dyDescent="0.25">
      <c r="A491" t="s">
        <v>738</v>
      </c>
      <c r="B491">
        <v>2025</v>
      </c>
      <c r="C491">
        <v>4</v>
      </c>
      <c r="D491" s="1">
        <v>45772</v>
      </c>
      <c r="E491" s="1">
        <v>45772</v>
      </c>
      <c r="F491" s="1">
        <v>45772</v>
      </c>
      <c r="G491" s="1">
        <v>45772</v>
      </c>
      <c r="H491" s="2">
        <v>45772.645507557871</v>
      </c>
      <c r="I491">
        <v>2039</v>
      </c>
      <c r="J491" t="s">
        <v>30</v>
      </c>
      <c r="K491" t="s">
        <v>31</v>
      </c>
      <c r="L491">
        <v>50</v>
      </c>
      <c r="M491">
        <v>50</v>
      </c>
      <c r="N491" t="s">
        <v>32</v>
      </c>
      <c r="O491">
        <v>1</v>
      </c>
      <c r="P491">
        <v>150</v>
      </c>
      <c r="Q491" t="b">
        <v>1</v>
      </c>
      <c r="R491" t="b">
        <v>0</v>
      </c>
      <c r="S491" t="b">
        <v>0</v>
      </c>
      <c r="T491">
        <v>231</v>
      </c>
      <c r="U491">
        <v>0</v>
      </c>
      <c r="V491" t="s">
        <v>33</v>
      </c>
      <c r="W491" t="s">
        <v>33</v>
      </c>
      <c r="X491">
        <v>50</v>
      </c>
      <c r="Y491">
        <v>359</v>
      </c>
      <c r="Z491" t="s">
        <v>34</v>
      </c>
      <c r="AA491">
        <v>359</v>
      </c>
      <c r="AB491" t="s">
        <v>121</v>
      </c>
      <c r="AC491" t="s">
        <v>121</v>
      </c>
      <c r="AD491" t="str">
        <f t="shared" si="7"/>
        <v>Escobedo → Escobedo</v>
      </c>
      <c r="AE491" t="s">
        <v>1357</v>
      </c>
      <c r="AF491" s="4">
        <v>45748</v>
      </c>
      <c r="AG491" t="str">
        <f>YEAR(Table1[[#This Row],[Fecha]])&amp;" - " &amp;UPPER(TEXT(Table1[[#This Row],[Fecha]],"mm-mmm"))</f>
        <v>2025 - 04-ABR</v>
      </c>
      <c r="AH491" s="5">
        <v>0</v>
      </c>
    </row>
    <row r="492" spans="1:34" x14ac:dyDescent="0.25">
      <c r="A492" t="s">
        <v>739</v>
      </c>
      <c r="B492">
        <v>2025</v>
      </c>
      <c r="C492">
        <v>4</v>
      </c>
      <c r="D492" s="1">
        <v>45774</v>
      </c>
      <c r="E492" s="1">
        <v>45774</v>
      </c>
      <c r="F492" s="1">
        <v>45773</v>
      </c>
      <c r="G492" s="1">
        <v>45773</v>
      </c>
      <c r="H492" s="2">
        <v>45774.482863622688</v>
      </c>
      <c r="I492">
        <v>2039</v>
      </c>
      <c r="J492" t="s">
        <v>30</v>
      </c>
      <c r="K492" t="s">
        <v>31</v>
      </c>
      <c r="L492">
        <v>50</v>
      </c>
      <c r="M492">
        <v>50</v>
      </c>
      <c r="N492" t="s">
        <v>32</v>
      </c>
      <c r="O492">
        <v>1</v>
      </c>
      <c r="P492">
        <v>150</v>
      </c>
      <c r="Q492" t="b">
        <v>1</v>
      </c>
      <c r="R492" t="b">
        <v>0</v>
      </c>
      <c r="S492" t="b">
        <v>0</v>
      </c>
      <c r="T492">
        <v>231</v>
      </c>
      <c r="U492">
        <v>0</v>
      </c>
      <c r="V492" t="s">
        <v>33</v>
      </c>
      <c r="W492" t="s">
        <v>33</v>
      </c>
      <c r="X492">
        <v>50</v>
      </c>
      <c r="Y492">
        <v>359</v>
      </c>
      <c r="Z492" t="s">
        <v>123</v>
      </c>
      <c r="AA492">
        <v>359</v>
      </c>
      <c r="AB492" t="s">
        <v>121</v>
      </c>
      <c r="AC492" t="s">
        <v>121</v>
      </c>
      <c r="AD492" t="str">
        <f t="shared" si="7"/>
        <v>Escobedo → Escobedo</v>
      </c>
      <c r="AE492" t="s">
        <v>1357</v>
      </c>
      <c r="AF492" s="4">
        <v>45748</v>
      </c>
      <c r="AG492" t="str">
        <f>YEAR(Table1[[#This Row],[Fecha]])&amp;" - " &amp;UPPER(TEXT(Table1[[#This Row],[Fecha]],"mm-mmm"))</f>
        <v>2025 - 04-ABR</v>
      </c>
      <c r="AH492" s="5">
        <v>0</v>
      </c>
    </row>
    <row r="493" spans="1:34" x14ac:dyDescent="0.25">
      <c r="A493" t="s">
        <v>443</v>
      </c>
      <c r="B493">
        <v>2025</v>
      </c>
      <c r="C493">
        <v>4</v>
      </c>
      <c r="D493" s="1">
        <v>45774</v>
      </c>
      <c r="E493" s="1">
        <v>45774</v>
      </c>
      <c r="F493" s="1">
        <v>45773</v>
      </c>
      <c r="G493" s="1">
        <v>45773</v>
      </c>
      <c r="H493" s="2">
        <v>45774.483161724536</v>
      </c>
      <c r="I493">
        <v>2039</v>
      </c>
      <c r="J493" t="s">
        <v>30</v>
      </c>
      <c r="K493" t="s">
        <v>31</v>
      </c>
      <c r="L493">
        <v>50</v>
      </c>
      <c r="M493">
        <v>50</v>
      </c>
      <c r="N493" t="s">
        <v>32</v>
      </c>
      <c r="O493">
        <v>1</v>
      </c>
      <c r="P493">
        <v>150</v>
      </c>
      <c r="Q493" t="b">
        <v>1</v>
      </c>
      <c r="R493" t="b">
        <v>0</v>
      </c>
      <c r="S493" t="b">
        <v>0</v>
      </c>
      <c r="T493">
        <v>231</v>
      </c>
      <c r="U493">
        <v>0</v>
      </c>
      <c r="V493" t="s">
        <v>33</v>
      </c>
      <c r="W493" t="s">
        <v>33</v>
      </c>
      <c r="X493">
        <v>50</v>
      </c>
      <c r="Y493">
        <v>2936</v>
      </c>
      <c r="Z493" t="s">
        <v>123</v>
      </c>
      <c r="AA493">
        <v>2936</v>
      </c>
      <c r="AB493" t="s">
        <v>121</v>
      </c>
      <c r="AC493" t="s">
        <v>432</v>
      </c>
      <c r="AD493" t="str">
        <f t="shared" si="7"/>
        <v>Escobedo → Hidalgo</v>
      </c>
      <c r="AE493" t="s">
        <v>1357</v>
      </c>
      <c r="AF493" s="4">
        <v>45748</v>
      </c>
      <c r="AG493" t="str">
        <f>YEAR(Table1[[#This Row],[Fecha]])&amp;" - " &amp;UPPER(TEXT(Table1[[#This Row],[Fecha]],"mm-mmm"))</f>
        <v>2025 - 04-ABR</v>
      </c>
      <c r="AH493" s="5">
        <v>0</v>
      </c>
    </row>
    <row r="494" spans="1:34" x14ac:dyDescent="0.25">
      <c r="A494" t="s">
        <v>265</v>
      </c>
      <c r="B494">
        <v>2025</v>
      </c>
      <c r="C494">
        <v>4</v>
      </c>
      <c r="D494" s="1">
        <v>45774</v>
      </c>
      <c r="E494" s="1">
        <v>45774</v>
      </c>
      <c r="F494" s="1">
        <v>45773</v>
      </c>
      <c r="G494" s="1">
        <v>45773</v>
      </c>
      <c r="H494" s="2">
        <v>45774.483449652776</v>
      </c>
      <c r="I494">
        <v>2039</v>
      </c>
      <c r="J494" t="s">
        <v>30</v>
      </c>
      <c r="K494" t="s">
        <v>31</v>
      </c>
      <c r="L494">
        <v>50</v>
      </c>
      <c r="M494">
        <v>50</v>
      </c>
      <c r="N494" t="s">
        <v>32</v>
      </c>
      <c r="O494">
        <v>1</v>
      </c>
      <c r="P494">
        <v>150</v>
      </c>
      <c r="Q494" t="b">
        <v>1</v>
      </c>
      <c r="R494" t="b">
        <v>0</v>
      </c>
      <c r="S494" t="b">
        <v>0</v>
      </c>
      <c r="T494">
        <v>231</v>
      </c>
      <c r="U494">
        <v>0</v>
      </c>
      <c r="V494" t="s">
        <v>33</v>
      </c>
      <c r="W494" t="s">
        <v>33</v>
      </c>
      <c r="X494">
        <v>50</v>
      </c>
      <c r="Y494">
        <v>2737</v>
      </c>
      <c r="Z494" t="s">
        <v>123</v>
      </c>
      <c r="AA494">
        <v>2737</v>
      </c>
      <c r="AB494" t="s">
        <v>121</v>
      </c>
      <c r="AC494" t="s">
        <v>262</v>
      </c>
      <c r="AD494" t="str">
        <f t="shared" si="7"/>
        <v>Escobedo → Tepotzotlan</v>
      </c>
      <c r="AE494" t="s">
        <v>1357</v>
      </c>
      <c r="AF494" s="4">
        <v>45748</v>
      </c>
      <c r="AG494" t="str">
        <f>YEAR(Table1[[#This Row],[Fecha]])&amp;" - " &amp;UPPER(TEXT(Table1[[#This Row],[Fecha]],"mm-mmm"))</f>
        <v>2025 - 04-ABR</v>
      </c>
      <c r="AH494" s="5">
        <v>0</v>
      </c>
    </row>
    <row r="495" spans="1:34" x14ac:dyDescent="0.25">
      <c r="A495" t="s">
        <v>266</v>
      </c>
      <c r="B495">
        <v>2025</v>
      </c>
      <c r="C495">
        <v>4</v>
      </c>
      <c r="D495" s="1">
        <v>45774</v>
      </c>
      <c r="E495" s="1">
        <v>45774</v>
      </c>
      <c r="F495" s="1">
        <v>45773</v>
      </c>
      <c r="G495" s="1">
        <v>45773</v>
      </c>
      <c r="H495" s="2">
        <v>45774.483713773145</v>
      </c>
      <c r="I495">
        <v>2039</v>
      </c>
      <c r="J495" t="s">
        <v>30</v>
      </c>
      <c r="K495" t="s">
        <v>31</v>
      </c>
      <c r="L495">
        <v>50</v>
      </c>
      <c r="M495">
        <v>50</v>
      </c>
      <c r="N495" t="s">
        <v>32</v>
      </c>
      <c r="O495">
        <v>1</v>
      </c>
      <c r="P495">
        <v>150</v>
      </c>
      <c r="Q495" t="b">
        <v>1</v>
      </c>
      <c r="R495" t="b">
        <v>0</v>
      </c>
      <c r="S495" t="b">
        <v>0</v>
      </c>
      <c r="T495">
        <v>231</v>
      </c>
      <c r="U495">
        <v>0</v>
      </c>
      <c r="V495" t="s">
        <v>33</v>
      </c>
      <c r="W495" t="s">
        <v>33</v>
      </c>
      <c r="X495">
        <v>50</v>
      </c>
      <c r="Y495">
        <v>2737</v>
      </c>
      <c r="Z495" t="s">
        <v>123</v>
      </c>
      <c r="AA495">
        <v>2737</v>
      </c>
      <c r="AB495" t="s">
        <v>121</v>
      </c>
      <c r="AC495" t="s">
        <v>262</v>
      </c>
      <c r="AD495" t="str">
        <f t="shared" si="7"/>
        <v>Escobedo → Tepotzotlan</v>
      </c>
      <c r="AE495" t="s">
        <v>1357</v>
      </c>
      <c r="AF495" s="4">
        <v>45748</v>
      </c>
      <c r="AG495" t="str">
        <f>YEAR(Table1[[#This Row],[Fecha]])&amp;" - " &amp;UPPER(TEXT(Table1[[#This Row],[Fecha]],"mm-mmm"))</f>
        <v>2025 - 04-ABR</v>
      </c>
      <c r="AH495" s="5">
        <v>0</v>
      </c>
    </row>
    <row r="496" spans="1:34" x14ac:dyDescent="0.25">
      <c r="A496" t="s">
        <v>267</v>
      </c>
      <c r="B496">
        <v>2025</v>
      </c>
      <c r="C496">
        <v>4</v>
      </c>
      <c r="D496" s="1">
        <v>45774</v>
      </c>
      <c r="E496" s="1">
        <v>45774</v>
      </c>
      <c r="F496" s="1">
        <v>45774</v>
      </c>
      <c r="G496" s="1">
        <v>45774</v>
      </c>
      <c r="H496" s="2">
        <v>45774.487439583332</v>
      </c>
      <c r="I496">
        <v>2039</v>
      </c>
      <c r="J496" t="s">
        <v>30</v>
      </c>
      <c r="K496" t="s">
        <v>31</v>
      </c>
      <c r="L496">
        <v>50</v>
      </c>
      <c r="M496">
        <v>50</v>
      </c>
      <c r="N496" t="s">
        <v>32</v>
      </c>
      <c r="O496">
        <v>1</v>
      </c>
      <c r="P496">
        <v>150</v>
      </c>
      <c r="Q496" t="b">
        <v>1</v>
      </c>
      <c r="R496" t="b">
        <v>0</v>
      </c>
      <c r="S496" t="b">
        <v>0</v>
      </c>
      <c r="T496">
        <v>231</v>
      </c>
      <c r="U496">
        <v>0</v>
      </c>
      <c r="V496" t="s">
        <v>33</v>
      </c>
      <c r="W496" t="s">
        <v>33</v>
      </c>
      <c r="X496">
        <v>50</v>
      </c>
      <c r="Y496">
        <v>2737</v>
      </c>
      <c r="Z496" t="s">
        <v>123</v>
      </c>
      <c r="AA496">
        <v>2737</v>
      </c>
      <c r="AB496" t="s">
        <v>121</v>
      </c>
      <c r="AC496" t="s">
        <v>262</v>
      </c>
      <c r="AD496" t="str">
        <f t="shared" si="7"/>
        <v>Escobedo → Tepotzotlan</v>
      </c>
      <c r="AE496" t="s">
        <v>1357</v>
      </c>
      <c r="AF496" s="4">
        <v>45748</v>
      </c>
      <c r="AG496" t="str">
        <f>YEAR(Table1[[#This Row],[Fecha]])&amp;" - " &amp;UPPER(TEXT(Table1[[#This Row],[Fecha]],"mm-mmm"))</f>
        <v>2025 - 04-ABR</v>
      </c>
      <c r="AH496" s="5">
        <v>0</v>
      </c>
    </row>
    <row r="497" spans="1:34" x14ac:dyDescent="0.25">
      <c r="A497" t="s">
        <v>268</v>
      </c>
      <c r="B497">
        <v>2025</v>
      </c>
      <c r="C497">
        <v>4</v>
      </c>
      <c r="D497" s="1">
        <v>45774</v>
      </c>
      <c r="E497" s="1">
        <v>45774</v>
      </c>
      <c r="F497" s="1">
        <v>45773</v>
      </c>
      <c r="G497" s="1">
        <v>45773</v>
      </c>
      <c r="H497" s="1">
        <v>45774</v>
      </c>
      <c r="I497">
        <v>2039</v>
      </c>
      <c r="J497" t="s">
        <v>30</v>
      </c>
      <c r="K497" t="s">
        <v>31</v>
      </c>
      <c r="L497">
        <v>50</v>
      </c>
      <c r="M497">
        <v>50</v>
      </c>
      <c r="N497" t="s">
        <v>32</v>
      </c>
      <c r="O497">
        <v>1</v>
      </c>
      <c r="P497">
        <v>150</v>
      </c>
      <c r="Q497" t="b">
        <v>1</v>
      </c>
      <c r="R497" t="b">
        <v>0</v>
      </c>
      <c r="S497" t="b">
        <v>0</v>
      </c>
      <c r="T497">
        <v>231</v>
      </c>
      <c r="U497">
        <v>0</v>
      </c>
      <c r="V497" t="s">
        <v>33</v>
      </c>
      <c r="W497" t="s">
        <v>33</v>
      </c>
      <c r="X497">
        <v>50</v>
      </c>
      <c r="Y497">
        <v>2737</v>
      </c>
      <c r="Z497" t="s">
        <v>123</v>
      </c>
      <c r="AA497">
        <v>2737</v>
      </c>
      <c r="AB497" t="s">
        <v>121</v>
      </c>
      <c r="AC497" t="s">
        <v>262</v>
      </c>
      <c r="AD497" t="str">
        <f t="shared" si="7"/>
        <v>Escobedo → Tepotzotlan</v>
      </c>
      <c r="AE497" t="s">
        <v>1357</v>
      </c>
      <c r="AF497" s="4">
        <v>45748</v>
      </c>
      <c r="AG497" t="str">
        <f>YEAR(Table1[[#This Row],[Fecha]])&amp;" - " &amp;UPPER(TEXT(Table1[[#This Row],[Fecha]],"mm-mmm"))</f>
        <v>2025 - 04-ABR</v>
      </c>
      <c r="AH497" s="5">
        <v>0</v>
      </c>
    </row>
    <row r="498" spans="1:34" x14ac:dyDescent="0.25">
      <c r="A498" t="s">
        <v>269</v>
      </c>
      <c r="B498">
        <v>2025</v>
      </c>
      <c r="C498">
        <v>4</v>
      </c>
      <c r="D498" s="1">
        <v>45775</v>
      </c>
      <c r="E498" s="1">
        <v>45775</v>
      </c>
      <c r="F498" s="1">
        <v>45775</v>
      </c>
      <c r="G498" s="1">
        <v>45775</v>
      </c>
      <c r="H498" s="1">
        <v>45776</v>
      </c>
      <c r="I498">
        <v>2050</v>
      </c>
      <c r="J498" t="s">
        <v>41</v>
      </c>
      <c r="K498" t="s">
        <v>42</v>
      </c>
      <c r="L498">
        <v>50</v>
      </c>
      <c r="M498">
        <v>50</v>
      </c>
      <c r="N498" t="s">
        <v>55</v>
      </c>
      <c r="O498">
        <v>1</v>
      </c>
      <c r="P498">
        <v>150</v>
      </c>
      <c r="Q498" t="b">
        <v>1</v>
      </c>
      <c r="R498" t="b">
        <v>0</v>
      </c>
      <c r="S498" t="b">
        <v>0</v>
      </c>
      <c r="T498">
        <v>231</v>
      </c>
      <c r="U498">
        <v>0</v>
      </c>
      <c r="V498" t="s">
        <v>33</v>
      </c>
      <c r="W498" t="s">
        <v>33</v>
      </c>
      <c r="X498">
        <v>50</v>
      </c>
      <c r="Y498">
        <v>2737</v>
      </c>
      <c r="Z498" t="s">
        <v>123</v>
      </c>
      <c r="AA498">
        <v>2737</v>
      </c>
      <c r="AB498" t="s">
        <v>121</v>
      </c>
      <c r="AC498" t="s">
        <v>262</v>
      </c>
      <c r="AD498" t="str">
        <f t="shared" si="7"/>
        <v>Escobedo → Tepotzotlan</v>
      </c>
      <c r="AE498" t="s">
        <v>1359</v>
      </c>
      <c r="AF498" s="4">
        <v>45748</v>
      </c>
      <c r="AG498" t="str">
        <f>YEAR(Table1[[#This Row],[Fecha]])&amp;" - " &amp;UPPER(TEXT(Table1[[#This Row],[Fecha]],"mm-mmm"))</f>
        <v>2025 - 04-ABR</v>
      </c>
      <c r="AH498" s="5">
        <v>0</v>
      </c>
    </row>
    <row r="499" spans="1:34" x14ac:dyDescent="0.25">
      <c r="A499" t="s">
        <v>335</v>
      </c>
      <c r="B499">
        <v>2025</v>
      </c>
      <c r="C499">
        <v>4</v>
      </c>
      <c r="D499" s="1">
        <v>45776</v>
      </c>
      <c r="E499" s="1">
        <v>45776</v>
      </c>
      <c r="F499" s="1">
        <v>45777</v>
      </c>
      <c r="G499" s="1">
        <v>45776</v>
      </c>
      <c r="H499" s="1">
        <v>45777</v>
      </c>
      <c r="I499">
        <v>2050</v>
      </c>
      <c r="J499" t="s">
        <v>41</v>
      </c>
      <c r="K499" t="s">
        <v>42</v>
      </c>
      <c r="L499">
        <v>961</v>
      </c>
      <c r="M499">
        <v>1059</v>
      </c>
      <c r="N499" t="s">
        <v>55</v>
      </c>
      <c r="O499">
        <v>1</v>
      </c>
      <c r="P499">
        <v>964</v>
      </c>
      <c r="Q499" t="b">
        <v>1</v>
      </c>
      <c r="R499" t="b">
        <v>0</v>
      </c>
      <c r="S499" t="b">
        <v>0</v>
      </c>
      <c r="T499">
        <v>1494</v>
      </c>
      <c r="U499">
        <v>0</v>
      </c>
      <c r="V499" t="s">
        <v>33</v>
      </c>
      <c r="W499" t="s">
        <v>33</v>
      </c>
      <c r="X499">
        <v>1100</v>
      </c>
      <c r="Y499">
        <v>8</v>
      </c>
      <c r="Z499" t="s">
        <v>106</v>
      </c>
      <c r="AA499">
        <v>8</v>
      </c>
      <c r="AB499" t="s">
        <v>121</v>
      </c>
      <c r="AC499" t="s">
        <v>56</v>
      </c>
      <c r="AD499" t="str">
        <f t="shared" si="7"/>
        <v>Escobedo → Cd Sahagún</v>
      </c>
      <c r="AE499" t="s">
        <v>1359</v>
      </c>
      <c r="AF499" s="4">
        <v>45748</v>
      </c>
      <c r="AG499" t="str">
        <f>YEAR(Table1[[#This Row],[Fecha]])&amp;" - " &amp;UPPER(TEXT(Table1[[#This Row],[Fecha]],"mm-mmm"))</f>
        <v>2025 - 04-ABR</v>
      </c>
      <c r="AH499" s="5">
        <v>0</v>
      </c>
    </row>
    <row r="500" spans="1:34" x14ac:dyDescent="0.25">
      <c r="A500" t="s">
        <v>431</v>
      </c>
      <c r="B500">
        <v>2025</v>
      </c>
      <c r="C500">
        <v>4</v>
      </c>
      <c r="D500" s="1">
        <v>45777</v>
      </c>
      <c r="E500" s="1">
        <v>45777</v>
      </c>
      <c r="F500" s="1">
        <v>45775</v>
      </c>
      <c r="G500" s="1">
        <v>45775</v>
      </c>
      <c r="H500" s="2">
        <v>45777.458022372688</v>
      </c>
      <c r="I500">
        <v>2039</v>
      </c>
      <c r="J500" t="s">
        <v>30</v>
      </c>
      <c r="K500" t="s">
        <v>31</v>
      </c>
      <c r="L500">
        <v>50</v>
      </c>
      <c r="M500">
        <v>50</v>
      </c>
      <c r="N500" t="s">
        <v>32</v>
      </c>
      <c r="O500">
        <v>1</v>
      </c>
      <c r="P500">
        <v>150</v>
      </c>
      <c r="Q500" t="b">
        <v>1</v>
      </c>
      <c r="R500" t="b">
        <v>0</v>
      </c>
      <c r="S500" t="b">
        <v>0</v>
      </c>
      <c r="T500">
        <v>231</v>
      </c>
      <c r="U500">
        <v>0</v>
      </c>
      <c r="V500" t="s">
        <v>33</v>
      </c>
      <c r="W500" t="s">
        <v>33</v>
      </c>
      <c r="X500">
        <v>50</v>
      </c>
      <c r="Y500">
        <v>2936</v>
      </c>
      <c r="Z500" t="s">
        <v>123</v>
      </c>
      <c r="AA500">
        <v>2936</v>
      </c>
      <c r="AB500" t="s">
        <v>121</v>
      </c>
      <c r="AC500" t="s">
        <v>432</v>
      </c>
      <c r="AD500" t="str">
        <f t="shared" si="7"/>
        <v>Escobedo → Hidalgo</v>
      </c>
      <c r="AE500" t="s">
        <v>1357</v>
      </c>
      <c r="AF500" s="4">
        <v>45748</v>
      </c>
      <c r="AG500" t="str">
        <f>YEAR(Table1[[#This Row],[Fecha]])&amp;" - " &amp;UPPER(TEXT(Table1[[#This Row],[Fecha]],"mm-mmm"))</f>
        <v>2025 - 04-ABR</v>
      </c>
      <c r="AH500" s="5">
        <v>0</v>
      </c>
    </row>
    <row r="501" spans="1:34" x14ac:dyDescent="0.25">
      <c r="A501" t="s">
        <v>433</v>
      </c>
      <c r="B501">
        <v>2025</v>
      </c>
      <c r="C501">
        <v>4</v>
      </c>
      <c r="D501" s="1">
        <v>45777</v>
      </c>
      <c r="E501" s="1">
        <v>45777</v>
      </c>
      <c r="F501" s="1">
        <v>45775</v>
      </c>
      <c r="G501" s="1">
        <v>45775</v>
      </c>
      <c r="H501" s="1">
        <v>45775</v>
      </c>
      <c r="I501">
        <v>2039</v>
      </c>
      <c r="J501" t="s">
        <v>30</v>
      </c>
      <c r="K501" t="s">
        <v>31</v>
      </c>
      <c r="L501">
        <v>50</v>
      </c>
      <c r="M501">
        <v>50</v>
      </c>
      <c r="N501" t="s">
        <v>32</v>
      </c>
      <c r="O501">
        <v>1</v>
      </c>
      <c r="P501">
        <v>150</v>
      </c>
      <c r="Q501" t="b">
        <v>1</v>
      </c>
      <c r="R501" t="b">
        <v>0</v>
      </c>
      <c r="S501" t="b">
        <v>0</v>
      </c>
      <c r="T501">
        <v>231</v>
      </c>
      <c r="U501">
        <v>0</v>
      </c>
      <c r="V501" t="s">
        <v>33</v>
      </c>
      <c r="W501" t="s">
        <v>33</v>
      </c>
      <c r="X501">
        <v>50</v>
      </c>
      <c r="Y501">
        <v>2936</v>
      </c>
      <c r="Z501" t="s">
        <v>123</v>
      </c>
      <c r="AA501">
        <v>2936</v>
      </c>
      <c r="AB501" t="s">
        <v>121</v>
      </c>
      <c r="AC501" t="s">
        <v>432</v>
      </c>
      <c r="AD501" t="str">
        <f t="shared" si="7"/>
        <v>Escobedo → Hidalgo</v>
      </c>
      <c r="AE501" t="s">
        <v>1357</v>
      </c>
      <c r="AF501" s="4">
        <v>45748</v>
      </c>
      <c r="AG501" t="str">
        <f>YEAR(Table1[[#This Row],[Fecha]])&amp;" - " &amp;UPPER(TEXT(Table1[[#This Row],[Fecha]],"mm-mmm"))</f>
        <v>2025 - 04-ABR</v>
      </c>
      <c r="AH501" s="5">
        <v>0</v>
      </c>
    </row>
    <row r="502" spans="1:34" x14ac:dyDescent="0.25">
      <c r="A502" t="s">
        <v>434</v>
      </c>
      <c r="B502">
        <v>2025</v>
      </c>
      <c r="C502">
        <v>4</v>
      </c>
      <c r="D502" s="1">
        <v>45777</v>
      </c>
      <c r="E502" s="1">
        <v>45777</v>
      </c>
      <c r="F502" s="1">
        <v>45775</v>
      </c>
      <c r="G502" s="1">
        <v>45775</v>
      </c>
      <c r="H502" s="1">
        <v>45775</v>
      </c>
      <c r="I502">
        <v>2039</v>
      </c>
      <c r="J502" t="s">
        <v>30</v>
      </c>
      <c r="K502" t="s">
        <v>31</v>
      </c>
      <c r="L502">
        <v>50</v>
      </c>
      <c r="M502">
        <v>50</v>
      </c>
      <c r="N502" t="s">
        <v>32</v>
      </c>
      <c r="O502">
        <v>1</v>
      </c>
      <c r="P502">
        <v>150</v>
      </c>
      <c r="Q502" t="b">
        <v>1</v>
      </c>
      <c r="R502" t="b">
        <v>0</v>
      </c>
      <c r="S502" t="b">
        <v>0</v>
      </c>
      <c r="T502">
        <v>231</v>
      </c>
      <c r="U502">
        <v>0</v>
      </c>
      <c r="V502" t="s">
        <v>33</v>
      </c>
      <c r="W502" t="s">
        <v>33</v>
      </c>
      <c r="X502">
        <v>50</v>
      </c>
      <c r="Y502">
        <v>2936</v>
      </c>
      <c r="Z502" t="s">
        <v>123</v>
      </c>
      <c r="AA502">
        <v>2936</v>
      </c>
      <c r="AB502" t="s">
        <v>121</v>
      </c>
      <c r="AC502" t="s">
        <v>432</v>
      </c>
      <c r="AD502" t="str">
        <f t="shared" si="7"/>
        <v>Escobedo → Hidalgo</v>
      </c>
      <c r="AE502" t="s">
        <v>1357</v>
      </c>
      <c r="AF502" s="4">
        <v>45748</v>
      </c>
      <c r="AG502" t="str">
        <f>YEAR(Table1[[#This Row],[Fecha]])&amp;" - " &amp;UPPER(TEXT(Table1[[#This Row],[Fecha]],"mm-mmm"))</f>
        <v>2025 - 04-ABR</v>
      </c>
      <c r="AH502" s="5">
        <v>0</v>
      </c>
    </row>
    <row r="503" spans="1:34" x14ac:dyDescent="0.25">
      <c r="A503" t="s">
        <v>751</v>
      </c>
      <c r="B503">
        <v>2025</v>
      </c>
      <c r="C503">
        <v>4</v>
      </c>
      <c r="D503" s="1">
        <v>45774</v>
      </c>
      <c r="E503" s="1">
        <v>45777</v>
      </c>
      <c r="F503" s="1">
        <v>45776</v>
      </c>
      <c r="G503" s="1">
        <v>45776</v>
      </c>
      <c r="H503" s="1">
        <v>45776</v>
      </c>
      <c r="I503">
        <v>2039</v>
      </c>
      <c r="J503" t="s">
        <v>30</v>
      </c>
      <c r="K503" t="s">
        <v>31</v>
      </c>
      <c r="L503">
        <v>50</v>
      </c>
      <c r="M503">
        <v>50</v>
      </c>
      <c r="N503" t="s">
        <v>32</v>
      </c>
      <c r="O503">
        <v>1</v>
      </c>
      <c r="P503">
        <v>150</v>
      </c>
      <c r="Q503" t="b">
        <v>1</v>
      </c>
      <c r="R503" t="b">
        <v>0</v>
      </c>
      <c r="S503" t="b">
        <v>0</v>
      </c>
      <c r="T503">
        <v>231</v>
      </c>
      <c r="U503">
        <v>0</v>
      </c>
      <c r="V503" t="s">
        <v>33</v>
      </c>
      <c r="W503" t="s">
        <v>33</v>
      </c>
      <c r="X503">
        <v>50</v>
      </c>
      <c r="Y503">
        <v>359</v>
      </c>
      <c r="Z503" t="s">
        <v>123</v>
      </c>
      <c r="AA503">
        <v>359</v>
      </c>
      <c r="AB503" t="s">
        <v>121</v>
      </c>
      <c r="AC503" t="s">
        <v>121</v>
      </c>
      <c r="AD503" t="str">
        <f t="shared" si="7"/>
        <v>Escobedo → Escobedo</v>
      </c>
      <c r="AE503" t="s">
        <v>1357</v>
      </c>
      <c r="AF503" s="4">
        <v>45748</v>
      </c>
      <c r="AG503" t="str">
        <f>YEAR(Table1[[#This Row],[Fecha]])&amp;" - " &amp;UPPER(TEXT(Table1[[#This Row],[Fecha]],"mm-mmm"))</f>
        <v>2025 - 04-ABR</v>
      </c>
      <c r="AH503" s="5">
        <v>0</v>
      </c>
    </row>
    <row r="504" spans="1:34" x14ac:dyDescent="0.25">
      <c r="A504" t="s">
        <v>752</v>
      </c>
      <c r="B504">
        <v>2025</v>
      </c>
      <c r="C504">
        <v>4</v>
      </c>
      <c r="D504" s="1">
        <v>45774</v>
      </c>
      <c r="E504" s="1">
        <v>45777</v>
      </c>
      <c r="F504" s="1">
        <v>45776</v>
      </c>
      <c r="G504" s="1">
        <v>45776</v>
      </c>
      <c r="H504" s="1">
        <v>45776</v>
      </c>
      <c r="I504">
        <v>2039</v>
      </c>
      <c r="J504" t="s">
        <v>30</v>
      </c>
      <c r="K504" t="s">
        <v>31</v>
      </c>
      <c r="L504">
        <v>50</v>
      </c>
      <c r="M504">
        <v>50</v>
      </c>
      <c r="N504" t="s">
        <v>32</v>
      </c>
      <c r="O504">
        <v>1</v>
      </c>
      <c r="P504">
        <v>150</v>
      </c>
      <c r="Q504" t="b">
        <v>1</v>
      </c>
      <c r="R504" t="b">
        <v>0</v>
      </c>
      <c r="S504" t="b">
        <v>0</v>
      </c>
      <c r="T504">
        <v>231</v>
      </c>
      <c r="U504">
        <v>0</v>
      </c>
      <c r="V504" t="s">
        <v>33</v>
      </c>
      <c r="W504" t="s">
        <v>33</v>
      </c>
      <c r="X504">
        <v>50</v>
      </c>
      <c r="Y504">
        <v>359</v>
      </c>
      <c r="Z504" t="s">
        <v>123</v>
      </c>
      <c r="AA504">
        <v>359</v>
      </c>
      <c r="AB504" t="s">
        <v>121</v>
      </c>
      <c r="AC504" t="s">
        <v>121</v>
      </c>
      <c r="AD504" t="str">
        <f t="shared" si="7"/>
        <v>Escobedo → Escobedo</v>
      </c>
      <c r="AE504" t="s">
        <v>1357</v>
      </c>
      <c r="AF504" s="4">
        <v>45748</v>
      </c>
      <c r="AG504" t="str">
        <f>YEAR(Table1[[#This Row],[Fecha]])&amp;" - " &amp;UPPER(TEXT(Table1[[#This Row],[Fecha]],"mm-mmm"))</f>
        <v>2025 - 04-ABR</v>
      </c>
      <c r="AH504" s="5">
        <v>0</v>
      </c>
    </row>
    <row r="505" spans="1:34" x14ac:dyDescent="0.25">
      <c r="A505" t="s">
        <v>753</v>
      </c>
      <c r="B505">
        <v>2025</v>
      </c>
      <c r="C505">
        <v>4</v>
      </c>
      <c r="D505" s="1">
        <v>45777</v>
      </c>
      <c r="E505" s="1">
        <v>45777</v>
      </c>
      <c r="F505" s="1">
        <v>45775</v>
      </c>
      <c r="G505" s="1">
        <v>45775</v>
      </c>
      <c r="H505" s="1">
        <v>45777</v>
      </c>
      <c r="I505">
        <v>2039</v>
      </c>
      <c r="J505" t="s">
        <v>30</v>
      </c>
      <c r="K505" t="s">
        <v>31</v>
      </c>
      <c r="L505">
        <v>50</v>
      </c>
      <c r="M505">
        <v>50</v>
      </c>
      <c r="N505" t="s">
        <v>32</v>
      </c>
      <c r="O505">
        <v>1</v>
      </c>
      <c r="P505">
        <v>150</v>
      </c>
      <c r="Q505" t="b">
        <v>1</v>
      </c>
      <c r="R505" t="b">
        <v>0</v>
      </c>
      <c r="S505" t="b">
        <v>0</v>
      </c>
      <c r="T505">
        <v>231</v>
      </c>
      <c r="U505">
        <v>0</v>
      </c>
      <c r="V505" t="s">
        <v>33</v>
      </c>
      <c r="W505" t="s">
        <v>33</v>
      </c>
      <c r="X505">
        <v>50</v>
      </c>
      <c r="Y505">
        <v>359</v>
      </c>
      <c r="Z505" t="s">
        <v>123</v>
      </c>
      <c r="AA505">
        <v>359</v>
      </c>
      <c r="AB505" t="s">
        <v>121</v>
      </c>
      <c r="AC505" t="s">
        <v>121</v>
      </c>
      <c r="AD505" t="str">
        <f t="shared" si="7"/>
        <v>Escobedo → Escobedo</v>
      </c>
      <c r="AE505" t="s">
        <v>1357</v>
      </c>
      <c r="AF505" s="4">
        <v>45748</v>
      </c>
      <c r="AG505" t="str">
        <f>YEAR(Table1[[#This Row],[Fecha]])&amp;" - " &amp;UPPER(TEXT(Table1[[#This Row],[Fecha]],"mm-mmm"))</f>
        <v>2025 - 04-ABR</v>
      </c>
      <c r="AH505" s="5">
        <v>0</v>
      </c>
    </row>
    <row r="506" spans="1:34" x14ac:dyDescent="0.25">
      <c r="A506" t="s">
        <v>216</v>
      </c>
      <c r="B506">
        <v>2025</v>
      </c>
      <c r="C506">
        <v>4</v>
      </c>
      <c r="D506" s="1">
        <v>45749</v>
      </c>
      <c r="E506" s="1">
        <v>45749</v>
      </c>
      <c r="F506" s="1">
        <v>45749</v>
      </c>
      <c r="G506" s="1">
        <v>45749</v>
      </c>
      <c r="H506" s="2">
        <v>45749.717661192131</v>
      </c>
      <c r="I506">
        <v>2039</v>
      </c>
      <c r="J506" t="s">
        <v>30</v>
      </c>
      <c r="K506" t="s">
        <v>31</v>
      </c>
      <c r="L506">
        <v>50</v>
      </c>
      <c r="M506">
        <v>50</v>
      </c>
      <c r="N506" t="s">
        <v>32</v>
      </c>
      <c r="O506">
        <v>1</v>
      </c>
      <c r="P506">
        <v>150</v>
      </c>
      <c r="Q506" t="b">
        <v>1</v>
      </c>
      <c r="R506" t="b">
        <v>0</v>
      </c>
      <c r="S506" t="b">
        <v>0</v>
      </c>
      <c r="T506">
        <v>231</v>
      </c>
      <c r="U506">
        <v>0</v>
      </c>
      <c r="V506" t="s">
        <v>33</v>
      </c>
      <c r="W506" t="s">
        <v>33</v>
      </c>
      <c r="X506">
        <v>50</v>
      </c>
      <c r="Y506">
        <v>966</v>
      </c>
      <c r="Z506" t="s">
        <v>34</v>
      </c>
      <c r="AA506">
        <v>966</v>
      </c>
      <c r="AB506" t="s">
        <v>121</v>
      </c>
      <c r="AC506" t="s">
        <v>192</v>
      </c>
      <c r="AD506" t="str">
        <f t="shared" si="7"/>
        <v>Escobedo → Cienega de Flores</v>
      </c>
      <c r="AE506" t="s">
        <v>1357</v>
      </c>
      <c r="AF506" s="4">
        <v>45748</v>
      </c>
      <c r="AG506" t="str">
        <f>YEAR(Table1[[#This Row],[Fecha]])&amp;" - " &amp;UPPER(TEXT(Table1[[#This Row],[Fecha]],"mm-mmm"))</f>
        <v>2025 - 04-ABR</v>
      </c>
      <c r="AH506" s="5">
        <v>0</v>
      </c>
    </row>
    <row r="507" spans="1:34" x14ac:dyDescent="0.25">
      <c r="A507" t="s">
        <v>757</v>
      </c>
      <c r="B507">
        <v>2025</v>
      </c>
      <c r="C507">
        <v>4</v>
      </c>
      <c r="D507" s="1">
        <v>45777</v>
      </c>
      <c r="E507" s="1">
        <v>45777</v>
      </c>
      <c r="F507" s="1">
        <v>45775</v>
      </c>
      <c r="G507" s="1">
        <v>45775</v>
      </c>
      <c r="H507" s="1">
        <v>45775</v>
      </c>
      <c r="I507">
        <v>2039</v>
      </c>
      <c r="J507" t="s">
        <v>30</v>
      </c>
      <c r="K507" t="s">
        <v>31</v>
      </c>
      <c r="L507">
        <v>50</v>
      </c>
      <c r="M507">
        <v>50</v>
      </c>
      <c r="N507" t="s">
        <v>32</v>
      </c>
      <c r="O507">
        <v>1</v>
      </c>
      <c r="P507">
        <v>150</v>
      </c>
      <c r="Q507" t="b">
        <v>1</v>
      </c>
      <c r="R507" t="b">
        <v>0</v>
      </c>
      <c r="S507" t="b">
        <v>0</v>
      </c>
      <c r="T507">
        <v>231</v>
      </c>
      <c r="U507">
        <v>0</v>
      </c>
      <c r="V507" t="s">
        <v>33</v>
      </c>
      <c r="W507" t="s">
        <v>33</v>
      </c>
      <c r="X507">
        <v>50</v>
      </c>
      <c r="Y507">
        <v>359</v>
      </c>
      <c r="Z507" t="s">
        <v>123</v>
      </c>
      <c r="AA507">
        <v>359</v>
      </c>
      <c r="AB507" t="s">
        <v>121</v>
      </c>
      <c r="AC507" t="s">
        <v>121</v>
      </c>
      <c r="AD507" t="str">
        <f t="shared" si="7"/>
        <v>Escobedo → Escobedo</v>
      </c>
      <c r="AE507" t="s">
        <v>1357</v>
      </c>
      <c r="AF507" s="4">
        <v>45748</v>
      </c>
      <c r="AG507" t="str">
        <f>YEAR(Table1[[#This Row],[Fecha]])&amp;" - " &amp;UPPER(TEXT(Table1[[#This Row],[Fecha]],"mm-mmm"))</f>
        <v>2025 - 04-ABR</v>
      </c>
      <c r="AH507" s="5">
        <v>0</v>
      </c>
    </row>
    <row r="508" spans="1:34" x14ac:dyDescent="0.25">
      <c r="A508" t="s">
        <v>264</v>
      </c>
      <c r="B508">
        <v>2025</v>
      </c>
      <c r="C508">
        <v>4</v>
      </c>
      <c r="D508" s="1">
        <v>45777</v>
      </c>
      <c r="E508" s="1">
        <v>45777</v>
      </c>
      <c r="F508" s="1">
        <v>45775</v>
      </c>
      <c r="G508" s="1">
        <v>45775</v>
      </c>
      <c r="H508" s="1">
        <v>45775</v>
      </c>
      <c r="I508">
        <v>2039</v>
      </c>
      <c r="J508" t="s">
        <v>30</v>
      </c>
      <c r="K508" t="s">
        <v>31</v>
      </c>
      <c r="L508">
        <v>50</v>
      </c>
      <c r="M508">
        <v>50</v>
      </c>
      <c r="N508" t="s">
        <v>32</v>
      </c>
      <c r="O508">
        <v>1</v>
      </c>
      <c r="P508">
        <v>150</v>
      </c>
      <c r="Q508" t="b">
        <v>1</v>
      </c>
      <c r="R508" t="b">
        <v>0</v>
      </c>
      <c r="S508" t="b">
        <v>0</v>
      </c>
      <c r="T508">
        <v>231</v>
      </c>
      <c r="U508">
        <v>0</v>
      </c>
      <c r="V508" t="s">
        <v>33</v>
      </c>
      <c r="W508" t="s">
        <v>33</v>
      </c>
      <c r="X508">
        <v>50</v>
      </c>
      <c r="Y508">
        <v>2737</v>
      </c>
      <c r="Z508" t="s">
        <v>123</v>
      </c>
      <c r="AA508">
        <v>2737</v>
      </c>
      <c r="AB508" t="s">
        <v>121</v>
      </c>
      <c r="AC508" t="s">
        <v>262</v>
      </c>
      <c r="AD508" t="str">
        <f t="shared" si="7"/>
        <v>Escobedo → Tepotzotlan</v>
      </c>
      <c r="AE508" t="s">
        <v>1357</v>
      </c>
      <c r="AF508" s="4">
        <v>45748</v>
      </c>
      <c r="AG508" t="str">
        <f>YEAR(Table1[[#This Row],[Fecha]])&amp;" - " &amp;UPPER(TEXT(Table1[[#This Row],[Fecha]],"mm-mmm"))</f>
        <v>2025 - 04-ABR</v>
      </c>
      <c r="AH508" s="5">
        <v>0</v>
      </c>
    </row>
    <row r="509" spans="1:34" x14ac:dyDescent="0.25">
      <c r="A509" t="s">
        <v>754</v>
      </c>
      <c r="B509">
        <v>2025</v>
      </c>
      <c r="C509">
        <v>4</v>
      </c>
      <c r="D509" s="1">
        <v>45777</v>
      </c>
      <c r="E509" s="1">
        <v>45777</v>
      </c>
      <c r="F509" s="1">
        <v>45776</v>
      </c>
      <c r="G509" s="1">
        <v>45776</v>
      </c>
      <c r="H509" s="1">
        <v>45776</v>
      </c>
      <c r="I509">
        <v>2039</v>
      </c>
      <c r="J509" t="s">
        <v>30</v>
      </c>
      <c r="K509" t="s">
        <v>31</v>
      </c>
      <c r="L509">
        <v>50</v>
      </c>
      <c r="M509">
        <v>50</v>
      </c>
      <c r="N509" t="s">
        <v>32</v>
      </c>
      <c r="O509">
        <v>1</v>
      </c>
      <c r="P509">
        <v>150</v>
      </c>
      <c r="Q509" t="b">
        <v>1</v>
      </c>
      <c r="R509" t="b">
        <v>0</v>
      </c>
      <c r="S509" t="b">
        <v>0</v>
      </c>
      <c r="T509">
        <v>231</v>
      </c>
      <c r="U509">
        <v>0</v>
      </c>
      <c r="V509" t="s">
        <v>33</v>
      </c>
      <c r="W509" t="s">
        <v>33</v>
      </c>
      <c r="X509">
        <v>50</v>
      </c>
      <c r="Y509">
        <v>359</v>
      </c>
      <c r="Z509" t="s">
        <v>123</v>
      </c>
      <c r="AA509">
        <v>359</v>
      </c>
      <c r="AB509" t="s">
        <v>121</v>
      </c>
      <c r="AC509" t="s">
        <v>121</v>
      </c>
      <c r="AD509" t="str">
        <f t="shared" si="7"/>
        <v>Escobedo → Escobedo</v>
      </c>
      <c r="AE509" t="s">
        <v>1357</v>
      </c>
      <c r="AF509" s="4">
        <v>45748</v>
      </c>
      <c r="AG509" t="str">
        <f>YEAR(Table1[[#This Row],[Fecha]])&amp;" - " &amp;UPPER(TEXT(Table1[[#This Row],[Fecha]],"mm-mmm"))</f>
        <v>2025 - 04-ABR</v>
      </c>
      <c r="AH509" s="5">
        <v>0</v>
      </c>
    </row>
    <row r="510" spans="1:34" x14ac:dyDescent="0.25">
      <c r="A510" t="s">
        <v>755</v>
      </c>
      <c r="B510">
        <v>2025</v>
      </c>
      <c r="C510">
        <v>4</v>
      </c>
      <c r="D510" s="1">
        <v>45777</v>
      </c>
      <c r="E510" s="1">
        <v>45777</v>
      </c>
      <c r="F510" s="1">
        <v>45777</v>
      </c>
      <c r="G510" s="1">
        <v>45777</v>
      </c>
      <c r="H510" s="1">
        <v>45777</v>
      </c>
      <c r="I510">
        <v>2039</v>
      </c>
      <c r="J510" t="s">
        <v>30</v>
      </c>
      <c r="K510" t="s">
        <v>31</v>
      </c>
      <c r="L510">
        <v>50</v>
      </c>
      <c r="M510">
        <v>50</v>
      </c>
      <c r="N510" t="s">
        <v>32</v>
      </c>
      <c r="O510">
        <v>1</v>
      </c>
      <c r="P510">
        <v>150</v>
      </c>
      <c r="Q510" t="b">
        <v>1</v>
      </c>
      <c r="R510" t="b">
        <v>0</v>
      </c>
      <c r="S510" t="b">
        <v>0</v>
      </c>
      <c r="T510">
        <v>231</v>
      </c>
      <c r="U510">
        <v>0</v>
      </c>
      <c r="V510" t="s">
        <v>33</v>
      </c>
      <c r="W510" t="s">
        <v>33</v>
      </c>
      <c r="X510">
        <v>50</v>
      </c>
      <c r="Y510">
        <v>359</v>
      </c>
      <c r="Z510" t="s">
        <v>123</v>
      </c>
      <c r="AA510">
        <v>359</v>
      </c>
      <c r="AB510" t="s">
        <v>121</v>
      </c>
      <c r="AC510" t="s">
        <v>121</v>
      </c>
      <c r="AD510" t="str">
        <f t="shared" si="7"/>
        <v>Escobedo → Escobedo</v>
      </c>
      <c r="AE510" t="s">
        <v>1357</v>
      </c>
      <c r="AF510" s="4">
        <v>45748</v>
      </c>
      <c r="AG510" t="str">
        <f>YEAR(Table1[[#This Row],[Fecha]])&amp;" - " &amp;UPPER(TEXT(Table1[[#This Row],[Fecha]],"mm-mmm"))</f>
        <v>2025 - 04-ABR</v>
      </c>
      <c r="AH510" s="5">
        <v>0</v>
      </c>
    </row>
    <row r="511" spans="1:34" x14ac:dyDescent="0.25">
      <c r="A511" t="s">
        <v>756</v>
      </c>
      <c r="B511">
        <v>2025</v>
      </c>
      <c r="C511">
        <v>4</v>
      </c>
      <c r="D511" s="1">
        <v>45777</v>
      </c>
      <c r="E511" s="1">
        <v>45777</v>
      </c>
      <c r="F511" s="1">
        <v>45777</v>
      </c>
      <c r="G511" s="1">
        <v>45777</v>
      </c>
      <c r="H511" s="1">
        <v>45777</v>
      </c>
      <c r="I511">
        <v>2039</v>
      </c>
      <c r="J511" t="s">
        <v>30</v>
      </c>
      <c r="K511" t="s">
        <v>31</v>
      </c>
      <c r="L511">
        <v>50</v>
      </c>
      <c r="M511">
        <v>50</v>
      </c>
      <c r="N511" t="s">
        <v>32</v>
      </c>
      <c r="O511">
        <v>1</v>
      </c>
      <c r="P511">
        <v>150</v>
      </c>
      <c r="Q511" t="b">
        <v>1</v>
      </c>
      <c r="R511" t="b">
        <v>0</v>
      </c>
      <c r="S511" t="b">
        <v>0</v>
      </c>
      <c r="T511">
        <v>231</v>
      </c>
      <c r="U511">
        <v>0</v>
      </c>
      <c r="V511" t="s">
        <v>33</v>
      </c>
      <c r="W511" t="s">
        <v>33</v>
      </c>
      <c r="X511">
        <v>50</v>
      </c>
      <c r="Y511">
        <v>359</v>
      </c>
      <c r="Z511" t="s">
        <v>123</v>
      </c>
      <c r="AA511">
        <v>359</v>
      </c>
      <c r="AB511" t="s">
        <v>121</v>
      </c>
      <c r="AC511" t="s">
        <v>121</v>
      </c>
      <c r="AD511" t="str">
        <f t="shared" si="7"/>
        <v>Escobedo → Escobedo</v>
      </c>
      <c r="AE511" t="s">
        <v>1357</v>
      </c>
      <c r="AF511" s="4">
        <v>45748</v>
      </c>
      <c r="AG511" t="str">
        <f>YEAR(Table1[[#This Row],[Fecha]])&amp;" - " &amp;UPPER(TEXT(Table1[[#This Row],[Fecha]],"mm-mmm"))</f>
        <v>2025 - 04-ABR</v>
      </c>
      <c r="AH511" s="5">
        <v>0</v>
      </c>
    </row>
    <row r="512" spans="1:34" x14ac:dyDescent="0.25">
      <c r="A512" t="s">
        <v>435</v>
      </c>
      <c r="B512">
        <v>2025</v>
      </c>
      <c r="C512">
        <v>4</v>
      </c>
      <c r="D512" s="1">
        <v>45777</v>
      </c>
      <c r="E512" s="1">
        <v>45777</v>
      </c>
      <c r="F512" s="1">
        <v>45776</v>
      </c>
      <c r="G512" s="1">
        <v>45776</v>
      </c>
      <c r="H512" s="1">
        <v>45776</v>
      </c>
      <c r="I512">
        <v>2039</v>
      </c>
      <c r="J512" t="s">
        <v>30</v>
      </c>
      <c r="K512" t="s">
        <v>31</v>
      </c>
      <c r="L512">
        <v>50</v>
      </c>
      <c r="M512">
        <v>50</v>
      </c>
      <c r="N512" t="s">
        <v>32</v>
      </c>
      <c r="O512">
        <v>1</v>
      </c>
      <c r="P512">
        <v>150</v>
      </c>
      <c r="Q512" t="b">
        <v>1</v>
      </c>
      <c r="R512" t="b">
        <v>0</v>
      </c>
      <c r="S512" t="b">
        <v>0</v>
      </c>
      <c r="T512">
        <v>231</v>
      </c>
      <c r="U512">
        <v>0</v>
      </c>
      <c r="V512" t="s">
        <v>33</v>
      </c>
      <c r="W512" t="s">
        <v>33</v>
      </c>
      <c r="X512">
        <v>50</v>
      </c>
      <c r="Y512">
        <v>2936</v>
      </c>
      <c r="Z512" t="s">
        <v>123</v>
      </c>
      <c r="AA512">
        <v>2936</v>
      </c>
      <c r="AB512" t="s">
        <v>121</v>
      </c>
      <c r="AC512" t="s">
        <v>432</v>
      </c>
      <c r="AD512" t="str">
        <f t="shared" si="7"/>
        <v>Escobedo → Hidalgo</v>
      </c>
      <c r="AE512" t="s">
        <v>1357</v>
      </c>
      <c r="AF512" s="4">
        <v>45748</v>
      </c>
      <c r="AG512" t="str">
        <f>YEAR(Table1[[#This Row],[Fecha]])&amp;" - " &amp;UPPER(TEXT(Table1[[#This Row],[Fecha]],"mm-mmm"))</f>
        <v>2025 - 04-ABR</v>
      </c>
      <c r="AH512" s="5">
        <v>0</v>
      </c>
    </row>
    <row r="513" spans="1:34" x14ac:dyDescent="0.25">
      <c r="A513" t="s">
        <v>211</v>
      </c>
      <c r="B513">
        <v>2025</v>
      </c>
      <c r="C513">
        <v>4</v>
      </c>
      <c r="D513" s="1">
        <v>45749</v>
      </c>
      <c r="E513" s="1">
        <v>45749</v>
      </c>
      <c r="F513" s="1">
        <v>45749</v>
      </c>
      <c r="G513" s="1">
        <v>45749</v>
      </c>
      <c r="H513" s="2">
        <v>45749.718078472222</v>
      </c>
      <c r="I513">
        <v>2039</v>
      </c>
      <c r="J513" t="s">
        <v>30</v>
      </c>
      <c r="K513" t="s">
        <v>31</v>
      </c>
      <c r="L513">
        <v>50</v>
      </c>
      <c r="M513">
        <v>50</v>
      </c>
      <c r="N513" t="s">
        <v>32</v>
      </c>
      <c r="O513">
        <v>1</v>
      </c>
      <c r="P513">
        <v>150</v>
      </c>
      <c r="Q513" t="b">
        <v>1</v>
      </c>
      <c r="R513" t="b">
        <v>0</v>
      </c>
      <c r="S513" t="b">
        <v>0</v>
      </c>
      <c r="T513">
        <v>231</v>
      </c>
      <c r="U513">
        <v>0</v>
      </c>
      <c r="V513" t="s">
        <v>33</v>
      </c>
      <c r="W513" t="s">
        <v>33</v>
      </c>
      <c r="X513">
        <v>50</v>
      </c>
      <c r="Y513">
        <v>966</v>
      </c>
      <c r="Z513" t="s">
        <v>34</v>
      </c>
      <c r="AA513">
        <v>966</v>
      </c>
      <c r="AB513" t="s">
        <v>121</v>
      </c>
      <c r="AC513" t="s">
        <v>192</v>
      </c>
      <c r="AD513" t="str">
        <f t="shared" si="7"/>
        <v>Escobedo → Cienega de Flores</v>
      </c>
      <c r="AE513" t="s">
        <v>1357</v>
      </c>
      <c r="AF513" s="4">
        <v>45748</v>
      </c>
      <c r="AG513" t="str">
        <f>YEAR(Table1[[#This Row],[Fecha]])&amp;" - " &amp;UPPER(TEXT(Table1[[#This Row],[Fecha]],"mm-mmm"))</f>
        <v>2025 - 04-ABR</v>
      </c>
      <c r="AH513" s="5">
        <v>0</v>
      </c>
    </row>
    <row r="514" spans="1:34" x14ac:dyDescent="0.25">
      <c r="A514" t="s">
        <v>758</v>
      </c>
      <c r="B514">
        <v>2025</v>
      </c>
      <c r="C514">
        <v>4</v>
      </c>
      <c r="D514" s="1">
        <v>45749</v>
      </c>
      <c r="E514" s="1">
        <v>45749</v>
      </c>
      <c r="F514" s="1">
        <v>45749</v>
      </c>
      <c r="G514" s="1">
        <v>45749</v>
      </c>
      <c r="H514" s="2">
        <v>45749.718625694448</v>
      </c>
      <c r="I514">
        <v>2039</v>
      </c>
      <c r="J514" t="s">
        <v>30</v>
      </c>
      <c r="K514" t="s">
        <v>31</v>
      </c>
      <c r="L514">
        <v>50</v>
      </c>
      <c r="M514">
        <v>50</v>
      </c>
      <c r="N514" t="s">
        <v>32</v>
      </c>
      <c r="O514">
        <v>1</v>
      </c>
      <c r="P514">
        <v>150</v>
      </c>
      <c r="Q514" t="b">
        <v>1</v>
      </c>
      <c r="R514" t="b">
        <v>0</v>
      </c>
      <c r="S514" t="b">
        <v>0</v>
      </c>
      <c r="T514">
        <v>231</v>
      </c>
      <c r="U514">
        <v>0</v>
      </c>
      <c r="V514" t="s">
        <v>33</v>
      </c>
      <c r="W514" t="s">
        <v>33</v>
      </c>
      <c r="X514">
        <v>50</v>
      </c>
      <c r="Y514">
        <v>359</v>
      </c>
      <c r="Z514" t="s">
        <v>34</v>
      </c>
      <c r="AA514">
        <v>359</v>
      </c>
      <c r="AB514" t="s">
        <v>121</v>
      </c>
      <c r="AC514" t="s">
        <v>121</v>
      </c>
      <c r="AD514" t="str">
        <f t="shared" ref="AD514:AD577" si="8">+AB514&amp;" → "&amp;AC514</f>
        <v>Escobedo → Escobedo</v>
      </c>
      <c r="AE514" t="s">
        <v>1357</v>
      </c>
      <c r="AF514" s="4">
        <v>45748</v>
      </c>
      <c r="AG514" t="str">
        <f>YEAR(Table1[[#This Row],[Fecha]])&amp;" - " &amp;UPPER(TEXT(Table1[[#This Row],[Fecha]],"mm-mmm"))</f>
        <v>2025 - 04-ABR</v>
      </c>
      <c r="AH514" s="5">
        <v>0</v>
      </c>
    </row>
    <row r="515" spans="1:34" x14ac:dyDescent="0.25">
      <c r="A515" t="s">
        <v>436</v>
      </c>
      <c r="B515">
        <v>2025</v>
      </c>
      <c r="C515">
        <v>4</v>
      </c>
      <c r="D515" s="1">
        <v>45749</v>
      </c>
      <c r="E515" s="1">
        <v>45749</v>
      </c>
      <c r="F515" s="1">
        <v>45749</v>
      </c>
      <c r="G515" s="1">
        <v>45749</v>
      </c>
      <c r="H515" s="2">
        <v>45749.719016631941</v>
      </c>
      <c r="I515">
        <v>2039</v>
      </c>
      <c r="J515" t="s">
        <v>30</v>
      </c>
      <c r="K515" t="s">
        <v>31</v>
      </c>
      <c r="L515">
        <v>50</v>
      </c>
      <c r="M515">
        <v>50</v>
      </c>
      <c r="N515" t="s">
        <v>32</v>
      </c>
      <c r="O515">
        <v>1</v>
      </c>
      <c r="P515">
        <v>150</v>
      </c>
      <c r="Q515" t="b">
        <v>1</v>
      </c>
      <c r="R515" t="b">
        <v>0</v>
      </c>
      <c r="S515" t="b">
        <v>0</v>
      </c>
      <c r="T515">
        <v>231</v>
      </c>
      <c r="U515">
        <v>0</v>
      </c>
      <c r="V515" t="s">
        <v>33</v>
      </c>
      <c r="W515" t="s">
        <v>33</v>
      </c>
      <c r="X515">
        <v>50</v>
      </c>
      <c r="Y515">
        <v>2936</v>
      </c>
      <c r="Z515" t="s">
        <v>34</v>
      </c>
      <c r="AA515">
        <v>2936</v>
      </c>
      <c r="AB515" t="s">
        <v>121</v>
      </c>
      <c r="AC515" t="s">
        <v>432</v>
      </c>
      <c r="AD515" t="str">
        <f t="shared" si="8"/>
        <v>Escobedo → Hidalgo</v>
      </c>
      <c r="AE515" t="s">
        <v>1357</v>
      </c>
      <c r="AF515" s="4">
        <v>45748</v>
      </c>
      <c r="AG515" t="str">
        <f>YEAR(Table1[[#This Row],[Fecha]])&amp;" - " &amp;UPPER(TEXT(Table1[[#This Row],[Fecha]],"mm-mmm"))</f>
        <v>2025 - 04-ABR</v>
      </c>
      <c r="AH515" s="5">
        <v>0</v>
      </c>
    </row>
    <row r="516" spans="1:34" x14ac:dyDescent="0.25">
      <c r="A516" t="s">
        <v>212</v>
      </c>
      <c r="B516">
        <v>2025</v>
      </c>
      <c r="C516">
        <v>4</v>
      </c>
      <c r="D516" s="1">
        <v>45750</v>
      </c>
      <c r="E516" s="1">
        <v>45750</v>
      </c>
      <c r="F516" s="1">
        <v>45750</v>
      </c>
      <c r="G516" s="1">
        <v>45750</v>
      </c>
      <c r="H516" s="2">
        <v>45750.483438622687</v>
      </c>
      <c r="I516">
        <v>2039</v>
      </c>
      <c r="J516" t="s">
        <v>30</v>
      </c>
      <c r="K516" t="s">
        <v>31</v>
      </c>
      <c r="L516">
        <v>50</v>
      </c>
      <c r="M516">
        <v>50</v>
      </c>
      <c r="N516" t="s">
        <v>32</v>
      </c>
      <c r="O516">
        <v>1</v>
      </c>
      <c r="P516">
        <v>150</v>
      </c>
      <c r="Q516" t="b">
        <v>1</v>
      </c>
      <c r="R516" t="b">
        <v>0</v>
      </c>
      <c r="S516" t="b">
        <v>0</v>
      </c>
      <c r="T516">
        <v>231</v>
      </c>
      <c r="U516">
        <v>0</v>
      </c>
      <c r="V516" t="s">
        <v>33</v>
      </c>
      <c r="W516" t="s">
        <v>33</v>
      </c>
      <c r="X516">
        <v>50</v>
      </c>
      <c r="Y516">
        <v>966</v>
      </c>
      <c r="Z516" t="s">
        <v>34</v>
      </c>
      <c r="AA516">
        <v>966</v>
      </c>
      <c r="AB516" t="s">
        <v>121</v>
      </c>
      <c r="AC516" t="s">
        <v>192</v>
      </c>
      <c r="AD516" t="str">
        <f t="shared" si="8"/>
        <v>Escobedo → Cienega de Flores</v>
      </c>
      <c r="AE516" t="s">
        <v>1357</v>
      </c>
      <c r="AF516" s="4">
        <v>45748</v>
      </c>
      <c r="AG516" t="str">
        <f>YEAR(Table1[[#This Row],[Fecha]])&amp;" - " &amp;UPPER(TEXT(Table1[[#This Row],[Fecha]],"mm-mmm"))</f>
        <v>2025 - 04-ABR</v>
      </c>
      <c r="AH516" s="5">
        <v>0</v>
      </c>
    </row>
    <row r="517" spans="1:34" x14ac:dyDescent="0.25">
      <c r="A517" t="s">
        <v>213</v>
      </c>
      <c r="B517">
        <v>2025</v>
      </c>
      <c r="C517">
        <v>4</v>
      </c>
      <c r="D517" s="1">
        <v>45750</v>
      </c>
      <c r="E517" s="1">
        <v>45750</v>
      </c>
      <c r="F517" s="1">
        <v>45750</v>
      </c>
      <c r="G517" s="1">
        <v>45750</v>
      </c>
      <c r="H517" s="2">
        <v>45750.483910451389</v>
      </c>
      <c r="I517">
        <v>2039</v>
      </c>
      <c r="J517" t="s">
        <v>30</v>
      </c>
      <c r="K517" t="s">
        <v>31</v>
      </c>
      <c r="L517">
        <v>50</v>
      </c>
      <c r="M517">
        <v>50</v>
      </c>
      <c r="N517" t="s">
        <v>32</v>
      </c>
      <c r="O517">
        <v>1</v>
      </c>
      <c r="P517">
        <v>150</v>
      </c>
      <c r="Q517" t="b">
        <v>1</v>
      </c>
      <c r="R517" t="b">
        <v>0</v>
      </c>
      <c r="S517" t="b">
        <v>0</v>
      </c>
      <c r="T517">
        <v>231</v>
      </c>
      <c r="U517">
        <v>0</v>
      </c>
      <c r="V517" t="s">
        <v>33</v>
      </c>
      <c r="W517" t="s">
        <v>33</v>
      </c>
      <c r="X517">
        <v>50</v>
      </c>
      <c r="Y517">
        <v>966</v>
      </c>
      <c r="Z517" t="s">
        <v>34</v>
      </c>
      <c r="AA517">
        <v>966</v>
      </c>
      <c r="AB517" t="s">
        <v>121</v>
      </c>
      <c r="AC517" t="s">
        <v>192</v>
      </c>
      <c r="AD517" t="str">
        <f t="shared" si="8"/>
        <v>Escobedo → Cienega de Flores</v>
      </c>
      <c r="AE517" t="s">
        <v>1357</v>
      </c>
      <c r="AF517" s="4">
        <v>45748</v>
      </c>
      <c r="AG517" t="str">
        <f>YEAR(Table1[[#This Row],[Fecha]])&amp;" - " &amp;UPPER(TEXT(Table1[[#This Row],[Fecha]],"mm-mmm"))</f>
        <v>2025 - 04-ABR</v>
      </c>
      <c r="AH517" s="5">
        <v>0</v>
      </c>
    </row>
    <row r="518" spans="1:34" x14ac:dyDescent="0.25">
      <c r="A518" t="s">
        <v>759</v>
      </c>
      <c r="B518">
        <v>2025</v>
      </c>
      <c r="C518">
        <v>4</v>
      </c>
      <c r="D518" s="1">
        <v>45750</v>
      </c>
      <c r="E518" s="1">
        <v>45750</v>
      </c>
      <c r="F518" s="1">
        <v>45750</v>
      </c>
      <c r="G518" s="1">
        <v>45750</v>
      </c>
      <c r="H518" s="2">
        <v>45750.484435763887</v>
      </c>
      <c r="I518">
        <v>2039</v>
      </c>
      <c r="J518" t="s">
        <v>30</v>
      </c>
      <c r="K518" t="s">
        <v>31</v>
      </c>
      <c r="L518">
        <v>50</v>
      </c>
      <c r="M518">
        <v>50</v>
      </c>
      <c r="N518" t="s">
        <v>32</v>
      </c>
      <c r="O518">
        <v>1</v>
      </c>
      <c r="P518">
        <v>150</v>
      </c>
      <c r="Q518" t="b">
        <v>1</v>
      </c>
      <c r="R518" t="b">
        <v>0</v>
      </c>
      <c r="S518" t="b">
        <v>0</v>
      </c>
      <c r="T518">
        <v>231</v>
      </c>
      <c r="U518">
        <v>0</v>
      </c>
      <c r="V518" t="s">
        <v>33</v>
      </c>
      <c r="W518" t="s">
        <v>33</v>
      </c>
      <c r="X518">
        <v>50</v>
      </c>
      <c r="Y518">
        <v>359</v>
      </c>
      <c r="Z518" t="s">
        <v>34</v>
      </c>
      <c r="AA518">
        <v>359</v>
      </c>
      <c r="AB518" t="s">
        <v>121</v>
      </c>
      <c r="AC518" t="s">
        <v>121</v>
      </c>
      <c r="AD518" t="str">
        <f t="shared" si="8"/>
        <v>Escobedo → Escobedo</v>
      </c>
      <c r="AE518" t="s">
        <v>1357</v>
      </c>
      <c r="AF518" s="4">
        <v>45748</v>
      </c>
      <c r="AG518" t="str">
        <f>YEAR(Table1[[#This Row],[Fecha]])&amp;" - " &amp;UPPER(TEXT(Table1[[#This Row],[Fecha]],"mm-mmm"))</f>
        <v>2025 - 04-ABR</v>
      </c>
      <c r="AH518" s="5">
        <v>0</v>
      </c>
    </row>
    <row r="519" spans="1:34" x14ac:dyDescent="0.25">
      <c r="A519" t="s">
        <v>437</v>
      </c>
      <c r="B519">
        <v>2025</v>
      </c>
      <c r="C519">
        <v>4</v>
      </c>
      <c r="D519" s="1">
        <v>45750</v>
      </c>
      <c r="E519" s="1">
        <v>45750</v>
      </c>
      <c r="F519" s="1">
        <v>45750</v>
      </c>
      <c r="G519" s="1">
        <v>45750</v>
      </c>
      <c r="H519" s="2">
        <v>45750.484778240738</v>
      </c>
      <c r="I519">
        <v>2039</v>
      </c>
      <c r="J519" t="s">
        <v>30</v>
      </c>
      <c r="K519" t="s">
        <v>31</v>
      </c>
      <c r="L519">
        <v>50</v>
      </c>
      <c r="M519">
        <v>50</v>
      </c>
      <c r="N519" t="s">
        <v>32</v>
      </c>
      <c r="O519">
        <v>1</v>
      </c>
      <c r="P519">
        <v>150</v>
      </c>
      <c r="Q519" t="b">
        <v>1</v>
      </c>
      <c r="R519" t="b">
        <v>0</v>
      </c>
      <c r="S519" t="b">
        <v>0</v>
      </c>
      <c r="T519">
        <v>231</v>
      </c>
      <c r="U519">
        <v>0</v>
      </c>
      <c r="V519" t="s">
        <v>33</v>
      </c>
      <c r="W519" t="s">
        <v>33</v>
      </c>
      <c r="X519">
        <v>50</v>
      </c>
      <c r="Y519">
        <v>2936</v>
      </c>
      <c r="Z519" t="s">
        <v>34</v>
      </c>
      <c r="AA519">
        <v>2936</v>
      </c>
      <c r="AB519" t="s">
        <v>121</v>
      </c>
      <c r="AC519" t="s">
        <v>432</v>
      </c>
      <c r="AD519" t="str">
        <f t="shared" si="8"/>
        <v>Escobedo → Hidalgo</v>
      </c>
      <c r="AE519" t="s">
        <v>1357</v>
      </c>
      <c r="AF519" s="4">
        <v>45748</v>
      </c>
      <c r="AG519" t="str">
        <f>YEAR(Table1[[#This Row],[Fecha]])&amp;" - " &amp;UPPER(TEXT(Table1[[#This Row],[Fecha]],"mm-mmm"))</f>
        <v>2025 - 04-ABR</v>
      </c>
      <c r="AH519" s="5">
        <v>0</v>
      </c>
    </row>
    <row r="520" spans="1:34" x14ac:dyDescent="0.25">
      <c r="A520" t="s">
        <v>760</v>
      </c>
      <c r="B520">
        <v>2025</v>
      </c>
      <c r="C520">
        <v>4</v>
      </c>
      <c r="D520" s="1">
        <v>45750</v>
      </c>
      <c r="E520" s="1">
        <v>45750</v>
      </c>
      <c r="F520" s="1">
        <v>45750</v>
      </c>
      <c r="G520" s="1">
        <v>45750</v>
      </c>
      <c r="H520" s="2">
        <v>45750.485157835647</v>
      </c>
      <c r="I520">
        <v>2039</v>
      </c>
      <c r="J520" t="s">
        <v>30</v>
      </c>
      <c r="K520" t="s">
        <v>31</v>
      </c>
      <c r="L520">
        <v>50</v>
      </c>
      <c r="M520">
        <v>50</v>
      </c>
      <c r="N520" t="s">
        <v>32</v>
      </c>
      <c r="O520">
        <v>1</v>
      </c>
      <c r="P520">
        <v>150</v>
      </c>
      <c r="Q520" t="b">
        <v>1</v>
      </c>
      <c r="R520" t="b">
        <v>0</v>
      </c>
      <c r="S520" t="b">
        <v>0</v>
      </c>
      <c r="T520">
        <v>231</v>
      </c>
      <c r="U520">
        <v>0</v>
      </c>
      <c r="V520" t="s">
        <v>33</v>
      </c>
      <c r="W520" t="s">
        <v>33</v>
      </c>
      <c r="X520">
        <v>50</v>
      </c>
      <c r="Y520">
        <v>359</v>
      </c>
      <c r="Z520" t="s">
        <v>34</v>
      </c>
      <c r="AA520">
        <v>359</v>
      </c>
      <c r="AB520" t="s">
        <v>121</v>
      </c>
      <c r="AC520" t="s">
        <v>121</v>
      </c>
      <c r="AD520" t="str">
        <f t="shared" si="8"/>
        <v>Escobedo → Escobedo</v>
      </c>
      <c r="AE520" t="s">
        <v>1357</v>
      </c>
      <c r="AF520" s="4">
        <v>45748</v>
      </c>
      <c r="AG520" t="str">
        <f>YEAR(Table1[[#This Row],[Fecha]])&amp;" - " &amp;UPPER(TEXT(Table1[[#This Row],[Fecha]],"mm-mmm"))</f>
        <v>2025 - 04-ABR</v>
      </c>
      <c r="AH520" s="5">
        <v>0</v>
      </c>
    </row>
    <row r="521" spans="1:34" x14ac:dyDescent="0.25">
      <c r="A521" t="s">
        <v>105</v>
      </c>
      <c r="B521">
        <v>2025</v>
      </c>
      <c r="C521">
        <v>4</v>
      </c>
      <c r="D521" s="1">
        <v>45751</v>
      </c>
      <c r="E521" s="1">
        <v>45751</v>
      </c>
      <c r="F521" s="1">
        <v>45751</v>
      </c>
      <c r="G521" s="1">
        <v>45751</v>
      </c>
      <c r="H521" s="1">
        <v>45751</v>
      </c>
      <c r="I521">
        <v>2050</v>
      </c>
      <c r="J521" t="s">
        <v>30</v>
      </c>
      <c r="K521" t="s">
        <v>31</v>
      </c>
      <c r="L521">
        <v>96</v>
      </c>
      <c r="M521">
        <v>96</v>
      </c>
      <c r="N521" t="s">
        <v>46</v>
      </c>
      <c r="O521">
        <v>1</v>
      </c>
      <c r="P521">
        <v>150</v>
      </c>
      <c r="Q521" t="b">
        <v>1</v>
      </c>
      <c r="R521" t="b">
        <v>0</v>
      </c>
      <c r="S521" t="b">
        <v>0</v>
      </c>
      <c r="T521">
        <v>356</v>
      </c>
      <c r="U521">
        <v>0</v>
      </c>
      <c r="V521" t="s">
        <v>33</v>
      </c>
      <c r="W521" t="s">
        <v>33</v>
      </c>
      <c r="X521">
        <v>100</v>
      </c>
      <c r="Y521">
        <v>1606</v>
      </c>
      <c r="Z521" t="s">
        <v>106</v>
      </c>
      <c r="AA521">
        <v>1606</v>
      </c>
      <c r="AB521" t="s">
        <v>56</v>
      </c>
      <c r="AC521" t="s">
        <v>104</v>
      </c>
      <c r="AD521" t="str">
        <f t="shared" si="8"/>
        <v>Cd Sahagún → Azcapotzalco</v>
      </c>
      <c r="AE521" t="s">
        <v>1357</v>
      </c>
      <c r="AF521" s="4">
        <v>45748</v>
      </c>
      <c r="AG521" t="str">
        <f>YEAR(Table1[[#This Row],[Fecha]])&amp;" - " &amp;UPPER(TEXT(Table1[[#This Row],[Fecha]],"mm-mmm"))</f>
        <v>2025 - 04-ABR</v>
      </c>
      <c r="AH521" s="5">
        <v>0</v>
      </c>
    </row>
    <row r="522" spans="1:34" x14ac:dyDescent="0.25">
      <c r="A522" t="s">
        <v>214</v>
      </c>
      <c r="B522">
        <v>2025</v>
      </c>
      <c r="C522">
        <v>4</v>
      </c>
      <c r="D522" s="1">
        <v>45751</v>
      </c>
      <c r="E522" s="1">
        <v>45751</v>
      </c>
      <c r="F522" s="1">
        <v>45751</v>
      </c>
      <c r="G522" s="1">
        <v>45751</v>
      </c>
      <c r="H522" s="2">
        <v>45751.653037071759</v>
      </c>
      <c r="I522">
        <v>2039</v>
      </c>
      <c r="J522" t="s">
        <v>30</v>
      </c>
      <c r="K522" t="s">
        <v>31</v>
      </c>
      <c r="L522">
        <v>50</v>
      </c>
      <c r="M522">
        <v>50</v>
      </c>
      <c r="N522" t="s">
        <v>32</v>
      </c>
      <c r="O522">
        <v>1</v>
      </c>
      <c r="P522">
        <v>150</v>
      </c>
      <c r="Q522" t="b">
        <v>1</v>
      </c>
      <c r="R522" t="b">
        <v>0</v>
      </c>
      <c r="S522" t="b">
        <v>0</v>
      </c>
      <c r="T522">
        <v>231</v>
      </c>
      <c r="U522">
        <v>0</v>
      </c>
      <c r="V522" t="s">
        <v>33</v>
      </c>
      <c r="W522" t="s">
        <v>33</v>
      </c>
      <c r="X522">
        <v>50</v>
      </c>
      <c r="Y522">
        <v>966</v>
      </c>
      <c r="Z522" t="s">
        <v>34</v>
      </c>
      <c r="AA522">
        <v>966</v>
      </c>
      <c r="AB522" t="s">
        <v>121</v>
      </c>
      <c r="AC522" t="s">
        <v>192</v>
      </c>
      <c r="AD522" t="str">
        <f t="shared" si="8"/>
        <v>Escobedo → Cienega de Flores</v>
      </c>
      <c r="AE522" t="s">
        <v>1357</v>
      </c>
      <c r="AF522" s="4">
        <v>45748</v>
      </c>
      <c r="AG522" t="str">
        <f>YEAR(Table1[[#This Row],[Fecha]])&amp;" - " &amp;UPPER(TEXT(Table1[[#This Row],[Fecha]],"mm-mmm"))</f>
        <v>2025 - 04-ABR</v>
      </c>
      <c r="AH522" s="5">
        <v>0</v>
      </c>
    </row>
    <row r="523" spans="1:34" x14ac:dyDescent="0.25">
      <c r="A523" t="s">
        <v>215</v>
      </c>
      <c r="B523">
        <v>2025</v>
      </c>
      <c r="C523">
        <v>4</v>
      </c>
      <c r="D523" s="1">
        <v>45751</v>
      </c>
      <c r="E523" s="1">
        <v>45751</v>
      </c>
      <c r="F523" s="1">
        <v>45751</v>
      </c>
      <c r="G523" s="1">
        <v>45751</v>
      </c>
      <c r="H523" s="2">
        <v>45751.653057326388</v>
      </c>
      <c r="I523">
        <v>2039</v>
      </c>
      <c r="J523" t="s">
        <v>30</v>
      </c>
      <c r="K523" t="s">
        <v>31</v>
      </c>
      <c r="L523">
        <v>50</v>
      </c>
      <c r="M523">
        <v>50</v>
      </c>
      <c r="N523" t="s">
        <v>32</v>
      </c>
      <c r="O523">
        <v>1</v>
      </c>
      <c r="P523">
        <v>150</v>
      </c>
      <c r="Q523" t="b">
        <v>1</v>
      </c>
      <c r="R523" t="b">
        <v>0</v>
      </c>
      <c r="S523" t="b">
        <v>0</v>
      </c>
      <c r="T523">
        <v>231</v>
      </c>
      <c r="U523">
        <v>0</v>
      </c>
      <c r="V523" t="s">
        <v>33</v>
      </c>
      <c r="W523" t="s">
        <v>33</v>
      </c>
      <c r="X523">
        <v>50</v>
      </c>
      <c r="Y523">
        <v>966</v>
      </c>
      <c r="Z523" t="s">
        <v>34</v>
      </c>
      <c r="AA523">
        <v>966</v>
      </c>
      <c r="AB523" t="s">
        <v>121</v>
      </c>
      <c r="AC523" t="s">
        <v>192</v>
      </c>
      <c r="AD523" t="str">
        <f t="shared" si="8"/>
        <v>Escobedo → Cienega de Flores</v>
      </c>
      <c r="AE523" t="s">
        <v>1357</v>
      </c>
      <c r="AF523" s="4">
        <v>45748</v>
      </c>
      <c r="AG523" t="str">
        <f>YEAR(Table1[[#This Row],[Fecha]])&amp;" - " &amp;UPPER(TEXT(Table1[[#This Row],[Fecha]],"mm-mmm"))</f>
        <v>2025 - 04-ABR</v>
      </c>
      <c r="AH523" s="5">
        <v>0</v>
      </c>
    </row>
    <row r="524" spans="1:34" x14ac:dyDescent="0.25">
      <c r="A524" t="s">
        <v>438</v>
      </c>
      <c r="B524">
        <v>2025</v>
      </c>
      <c r="C524">
        <v>4</v>
      </c>
      <c r="D524" s="1">
        <v>45751</v>
      </c>
      <c r="E524" s="1">
        <v>45751</v>
      </c>
      <c r="F524" s="1">
        <v>45751</v>
      </c>
      <c r="G524" s="1">
        <v>45751</v>
      </c>
      <c r="H524" s="2">
        <v>45751.653064201389</v>
      </c>
      <c r="I524">
        <v>2039</v>
      </c>
      <c r="J524" t="s">
        <v>30</v>
      </c>
      <c r="K524" t="s">
        <v>31</v>
      </c>
      <c r="L524">
        <v>50</v>
      </c>
      <c r="M524">
        <v>50</v>
      </c>
      <c r="N524" t="s">
        <v>32</v>
      </c>
      <c r="O524">
        <v>1</v>
      </c>
      <c r="P524">
        <v>150</v>
      </c>
      <c r="Q524" t="b">
        <v>1</v>
      </c>
      <c r="R524" t="b">
        <v>0</v>
      </c>
      <c r="S524" t="b">
        <v>0</v>
      </c>
      <c r="T524">
        <v>231</v>
      </c>
      <c r="U524">
        <v>0</v>
      </c>
      <c r="V524" t="s">
        <v>33</v>
      </c>
      <c r="W524" t="s">
        <v>33</v>
      </c>
      <c r="X524">
        <v>50</v>
      </c>
      <c r="Y524">
        <v>2936</v>
      </c>
      <c r="Z524" t="s">
        <v>34</v>
      </c>
      <c r="AA524">
        <v>2936</v>
      </c>
      <c r="AB524" t="s">
        <v>121</v>
      </c>
      <c r="AC524" t="s">
        <v>432</v>
      </c>
      <c r="AD524" t="str">
        <f t="shared" si="8"/>
        <v>Escobedo → Hidalgo</v>
      </c>
      <c r="AE524" t="s">
        <v>1357</v>
      </c>
      <c r="AF524" s="4">
        <v>45748</v>
      </c>
      <c r="AG524" t="str">
        <f>YEAR(Table1[[#This Row],[Fecha]])&amp;" - " &amp;UPPER(TEXT(Table1[[#This Row],[Fecha]],"mm-mmm"))</f>
        <v>2025 - 04-ABR</v>
      </c>
      <c r="AH524" s="5">
        <v>0</v>
      </c>
    </row>
    <row r="525" spans="1:34" x14ac:dyDescent="0.25">
      <c r="A525" t="s">
        <v>260</v>
      </c>
      <c r="B525">
        <v>2025</v>
      </c>
      <c r="C525">
        <v>4</v>
      </c>
      <c r="D525" s="1">
        <v>45751</v>
      </c>
      <c r="E525" s="1">
        <v>45751</v>
      </c>
      <c r="F525" s="1">
        <v>45751</v>
      </c>
      <c r="G525" s="1">
        <v>45751</v>
      </c>
      <c r="H525" s="1">
        <v>45752</v>
      </c>
      <c r="I525">
        <v>2050</v>
      </c>
      <c r="J525" t="s">
        <v>54</v>
      </c>
      <c r="K525" t="s">
        <v>31</v>
      </c>
      <c r="L525">
        <v>238</v>
      </c>
      <c r="M525">
        <v>238</v>
      </c>
      <c r="N525" t="s">
        <v>55</v>
      </c>
      <c r="O525">
        <v>1</v>
      </c>
      <c r="P525">
        <v>236</v>
      </c>
      <c r="Q525" t="b">
        <v>1</v>
      </c>
      <c r="R525" t="b">
        <v>0</v>
      </c>
      <c r="S525" t="b">
        <v>0</v>
      </c>
      <c r="T525">
        <v>624</v>
      </c>
      <c r="U525">
        <v>0</v>
      </c>
      <c r="V525" t="s">
        <v>33</v>
      </c>
      <c r="W525" t="s">
        <v>33</v>
      </c>
      <c r="X525">
        <v>300</v>
      </c>
      <c r="Y525">
        <v>2737</v>
      </c>
      <c r="Z525" t="s">
        <v>261</v>
      </c>
      <c r="AA525">
        <v>2737</v>
      </c>
      <c r="AB525" t="s">
        <v>121</v>
      </c>
      <c r="AC525" t="s">
        <v>262</v>
      </c>
      <c r="AD525" t="str">
        <f t="shared" si="8"/>
        <v>Escobedo → Tepotzotlan</v>
      </c>
      <c r="AE525" t="s">
        <v>1358</v>
      </c>
      <c r="AF525" s="4">
        <v>45748</v>
      </c>
      <c r="AG525" t="str">
        <f>YEAR(Table1[[#This Row],[Fecha]])&amp;" - " &amp;UPPER(TEXT(Table1[[#This Row],[Fecha]],"mm-mmm"))</f>
        <v>2025 - 04-ABR</v>
      </c>
      <c r="AH525" s="5">
        <v>0</v>
      </c>
    </row>
    <row r="526" spans="1:34" x14ac:dyDescent="0.25">
      <c r="A526" t="s">
        <v>761</v>
      </c>
      <c r="B526">
        <v>2025</v>
      </c>
      <c r="C526">
        <v>4</v>
      </c>
      <c r="D526" s="1">
        <v>45754</v>
      </c>
      <c r="E526" s="1">
        <v>45754</v>
      </c>
      <c r="F526" s="1">
        <v>45754</v>
      </c>
      <c r="G526" s="1">
        <v>45754</v>
      </c>
      <c r="H526" s="2">
        <v>45754.591025196758</v>
      </c>
      <c r="I526">
        <v>2039</v>
      </c>
      <c r="J526" t="s">
        <v>30</v>
      </c>
      <c r="K526" t="s">
        <v>31</v>
      </c>
      <c r="L526">
        <v>50</v>
      </c>
      <c r="M526">
        <v>50</v>
      </c>
      <c r="N526" t="s">
        <v>32</v>
      </c>
      <c r="O526">
        <v>1</v>
      </c>
      <c r="P526">
        <v>150</v>
      </c>
      <c r="Q526" t="b">
        <v>1</v>
      </c>
      <c r="R526" t="b">
        <v>0</v>
      </c>
      <c r="S526" t="b">
        <v>0</v>
      </c>
      <c r="T526">
        <v>231</v>
      </c>
      <c r="U526">
        <v>0</v>
      </c>
      <c r="V526" t="s">
        <v>33</v>
      </c>
      <c r="W526" t="s">
        <v>33</v>
      </c>
      <c r="X526">
        <v>50</v>
      </c>
      <c r="Y526">
        <v>359</v>
      </c>
      <c r="Z526" t="s">
        <v>34</v>
      </c>
      <c r="AA526">
        <v>359</v>
      </c>
      <c r="AB526" t="s">
        <v>121</v>
      </c>
      <c r="AC526" t="s">
        <v>121</v>
      </c>
      <c r="AD526" t="str">
        <f t="shared" si="8"/>
        <v>Escobedo → Escobedo</v>
      </c>
      <c r="AE526" t="s">
        <v>1357</v>
      </c>
      <c r="AF526" s="4">
        <v>45748</v>
      </c>
      <c r="AG526" t="str">
        <f>YEAR(Table1[[#This Row],[Fecha]])&amp;" - " &amp;UPPER(TEXT(Table1[[#This Row],[Fecha]],"mm-mmm"))</f>
        <v>2025 - 04-ABR</v>
      </c>
      <c r="AH526" s="5">
        <v>0</v>
      </c>
    </row>
    <row r="527" spans="1:34" x14ac:dyDescent="0.25">
      <c r="A527" t="s">
        <v>762</v>
      </c>
      <c r="B527">
        <v>2025</v>
      </c>
      <c r="C527">
        <v>4</v>
      </c>
      <c r="D527" s="1">
        <v>45754</v>
      </c>
      <c r="E527" s="1">
        <v>45754</v>
      </c>
      <c r="F527" s="1">
        <v>45754</v>
      </c>
      <c r="G527" s="1">
        <v>45754</v>
      </c>
      <c r="H527" s="2">
        <v>45754.591038576385</v>
      </c>
      <c r="I527">
        <v>2039</v>
      </c>
      <c r="J527" t="s">
        <v>30</v>
      </c>
      <c r="K527" t="s">
        <v>31</v>
      </c>
      <c r="L527">
        <v>50</v>
      </c>
      <c r="M527">
        <v>50</v>
      </c>
      <c r="N527" t="s">
        <v>32</v>
      </c>
      <c r="O527">
        <v>1</v>
      </c>
      <c r="P527">
        <v>150</v>
      </c>
      <c r="Q527" t="b">
        <v>1</v>
      </c>
      <c r="R527" t="b">
        <v>0</v>
      </c>
      <c r="S527" t="b">
        <v>0</v>
      </c>
      <c r="T527">
        <v>231</v>
      </c>
      <c r="U527">
        <v>0</v>
      </c>
      <c r="V527" t="s">
        <v>33</v>
      </c>
      <c r="W527" t="s">
        <v>33</v>
      </c>
      <c r="X527">
        <v>50</v>
      </c>
      <c r="Y527">
        <v>359</v>
      </c>
      <c r="Z527" t="s">
        <v>34</v>
      </c>
      <c r="AA527">
        <v>359</v>
      </c>
      <c r="AB527" t="s">
        <v>121</v>
      </c>
      <c r="AC527" t="s">
        <v>121</v>
      </c>
      <c r="AD527" t="str">
        <f t="shared" si="8"/>
        <v>Escobedo → Escobedo</v>
      </c>
      <c r="AE527" t="s">
        <v>1357</v>
      </c>
      <c r="AF527" s="4">
        <v>45748</v>
      </c>
      <c r="AG527" t="str">
        <f>YEAR(Table1[[#This Row],[Fecha]])&amp;" - " &amp;UPPER(TEXT(Table1[[#This Row],[Fecha]],"mm-mmm"))</f>
        <v>2025 - 04-ABR</v>
      </c>
      <c r="AH527" s="5">
        <v>0</v>
      </c>
    </row>
    <row r="528" spans="1:34" x14ac:dyDescent="0.25">
      <c r="A528" t="s">
        <v>439</v>
      </c>
      <c r="B528">
        <v>2025</v>
      </c>
      <c r="C528">
        <v>4</v>
      </c>
      <c r="D528" s="1">
        <v>45754</v>
      </c>
      <c r="E528" s="1">
        <v>45754</v>
      </c>
      <c r="F528" s="1">
        <v>45754</v>
      </c>
      <c r="G528" s="1">
        <v>45754</v>
      </c>
      <c r="H528" s="2">
        <v>45754.591048877315</v>
      </c>
      <c r="I528">
        <v>2039</v>
      </c>
      <c r="J528" t="s">
        <v>30</v>
      </c>
      <c r="K528" t="s">
        <v>31</v>
      </c>
      <c r="L528">
        <v>50</v>
      </c>
      <c r="M528">
        <v>50</v>
      </c>
      <c r="N528" t="s">
        <v>32</v>
      </c>
      <c r="O528">
        <v>1</v>
      </c>
      <c r="P528">
        <v>150</v>
      </c>
      <c r="Q528" t="b">
        <v>1</v>
      </c>
      <c r="R528" t="b">
        <v>0</v>
      </c>
      <c r="S528" t="b">
        <v>0</v>
      </c>
      <c r="T528">
        <v>231</v>
      </c>
      <c r="U528">
        <v>0</v>
      </c>
      <c r="V528" t="s">
        <v>33</v>
      </c>
      <c r="W528" t="s">
        <v>33</v>
      </c>
      <c r="X528">
        <v>50</v>
      </c>
      <c r="Y528">
        <v>2936</v>
      </c>
      <c r="Z528" t="s">
        <v>34</v>
      </c>
      <c r="AA528">
        <v>2936</v>
      </c>
      <c r="AB528" t="s">
        <v>121</v>
      </c>
      <c r="AC528" t="s">
        <v>432</v>
      </c>
      <c r="AD528" t="str">
        <f t="shared" si="8"/>
        <v>Escobedo → Hidalgo</v>
      </c>
      <c r="AE528" t="s">
        <v>1357</v>
      </c>
      <c r="AF528" s="4">
        <v>45748</v>
      </c>
      <c r="AG528" t="str">
        <f>YEAR(Table1[[#This Row],[Fecha]])&amp;" - " &amp;UPPER(TEXT(Table1[[#This Row],[Fecha]],"mm-mmm"))</f>
        <v>2025 - 04-ABR</v>
      </c>
      <c r="AH528" s="5">
        <v>0</v>
      </c>
    </row>
    <row r="529" spans="1:34" x14ac:dyDescent="0.25">
      <c r="A529" t="s">
        <v>61</v>
      </c>
      <c r="B529">
        <v>2025</v>
      </c>
      <c r="C529">
        <v>4</v>
      </c>
      <c r="D529" s="1">
        <v>45757</v>
      </c>
      <c r="E529" s="1">
        <v>45757</v>
      </c>
      <c r="F529" s="1">
        <v>45758</v>
      </c>
      <c r="G529" s="1">
        <v>45757</v>
      </c>
      <c r="H529" s="1">
        <v>45759</v>
      </c>
      <c r="I529">
        <v>216</v>
      </c>
      <c r="J529" t="s">
        <v>54</v>
      </c>
      <c r="K529" t="s">
        <v>31</v>
      </c>
      <c r="L529">
        <v>1264</v>
      </c>
      <c r="M529">
        <v>0</v>
      </c>
      <c r="N529" t="s">
        <v>62</v>
      </c>
      <c r="O529">
        <v>1</v>
      </c>
      <c r="P529">
        <v>1264</v>
      </c>
      <c r="Q529" t="b">
        <v>1</v>
      </c>
      <c r="R529" t="b">
        <v>0</v>
      </c>
      <c r="S529" t="b">
        <v>0</v>
      </c>
      <c r="T529">
        <v>1746</v>
      </c>
      <c r="U529">
        <v>0</v>
      </c>
      <c r="V529" t="s">
        <v>33</v>
      </c>
      <c r="W529" t="s">
        <v>33</v>
      </c>
      <c r="X529">
        <v>1300</v>
      </c>
      <c r="Y529">
        <v>98</v>
      </c>
      <c r="Z529" t="s">
        <v>44</v>
      </c>
      <c r="AA529">
        <v>98</v>
      </c>
      <c r="AB529" t="s">
        <v>56</v>
      </c>
      <c r="AC529" t="s">
        <v>60</v>
      </c>
      <c r="AD529" t="str">
        <f t="shared" si="8"/>
        <v>Cd Sahagún → Culiacan</v>
      </c>
      <c r="AE529" t="s">
        <v>1358</v>
      </c>
      <c r="AF529" s="4">
        <v>45748</v>
      </c>
      <c r="AG529" t="str">
        <f>YEAR(Table1[[#This Row],[Fecha]])&amp;" - " &amp;UPPER(TEXT(Table1[[#This Row],[Fecha]],"mm-mmm"))</f>
        <v>2025 - 04-ABR</v>
      </c>
      <c r="AH529" s="5">
        <v>0</v>
      </c>
    </row>
    <row r="530" spans="1:34" x14ac:dyDescent="0.25">
      <c r="A530" t="s">
        <v>124</v>
      </c>
      <c r="B530">
        <v>2025</v>
      </c>
      <c r="C530">
        <v>4</v>
      </c>
      <c r="D530" s="1">
        <v>45759</v>
      </c>
      <c r="E530" s="1">
        <v>45759</v>
      </c>
      <c r="F530" s="1">
        <v>45761</v>
      </c>
      <c r="G530" s="1">
        <v>45760</v>
      </c>
      <c r="H530" s="2">
        <v>45761.524570833331</v>
      </c>
      <c r="I530">
        <v>2039</v>
      </c>
      <c r="J530" t="s">
        <v>30</v>
      </c>
      <c r="K530" t="s">
        <v>31</v>
      </c>
      <c r="L530">
        <v>961</v>
      </c>
      <c r="M530">
        <v>0</v>
      </c>
      <c r="N530" t="s">
        <v>32</v>
      </c>
      <c r="O530">
        <v>1</v>
      </c>
      <c r="P530">
        <v>964</v>
      </c>
      <c r="Q530" t="b">
        <v>1</v>
      </c>
      <c r="R530" t="b">
        <v>0</v>
      </c>
      <c r="S530" t="b">
        <v>0</v>
      </c>
      <c r="T530">
        <v>0</v>
      </c>
      <c r="U530">
        <v>0</v>
      </c>
      <c r="V530" t="s">
        <v>33</v>
      </c>
      <c r="W530" t="s">
        <v>33</v>
      </c>
      <c r="X530">
        <v>0</v>
      </c>
      <c r="Y530">
        <v>1204</v>
      </c>
      <c r="Z530" t="s">
        <v>44</v>
      </c>
      <c r="AA530">
        <v>1204</v>
      </c>
      <c r="AB530" t="s">
        <v>125</v>
      </c>
      <c r="AC530" t="s">
        <v>126</v>
      </c>
      <c r="AD530" t="str">
        <f t="shared" si="8"/>
        <v>Tlaquepaque → Tepic</v>
      </c>
      <c r="AE530" t="s">
        <v>1357</v>
      </c>
      <c r="AF530" s="4">
        <v>45748</v>
      </c>
      <c r="AG530" t="str">
        <f>YEAR(Table1[[#This Row],[Fecha]])&amp;" - " &amp;UPPER(TEXT(Table1[[#This Row],[Fecha]],"mm-mmm"))</f>
        <v>2025 - 04-ABR</v>
      </c>
      <c r="AH530" s="5">
        <v>0</v>
      </c>
    </row>
    <row r="531" spans="1:34" x14ac:dyDescent="0.25">
      <c r="A531" t="s">
        <v>63</v>
      </c>
      <c r="B531">
        <v>2025</v>
      </c>
      <c r="C531">
        <v>4</v>
      </c>
      <c r="D531" s="1">
        <v>45763</v>
      </c>
      <c r="E531" s="1">
        <v>45763</v>
      </c>
      <c r="F531" s="1">
        <v>45769</v>
      </c>
      <c r="G531" s="1">
        <v>45767</v>
      </c>
      <c r="H531" s="1">
        <v>45770</v>
      </c>
      <c r="I531">
        <v>2244</v>
      </c>
      <c r="J531" t="s">
        <v>41</v>
      </c>
      <c r="K531" t="s">
        <v>42</v>
      </c>
      <c r="L531">
        <v>1264</v>
      </c>
      <c r="M531">
        <v>0</v>
      </c>
      <c r="N531" t="s">
        <v>43</v>
      </c>
      <c r="O531">
        <v>1</v>
      </c>
      <c r="P531">
        <v>1264</v>
      </c>
      <c r="Q531" t="b">
        <v>1</v>
      </c>
      <c r="R531" t="b">
        <v>0</v>
      </c>
      <c r="S531" t="b">
        <v>0</v>
      </c>
      <c r="T531">
        <v>1746</v>
      </c>
      <c r="U531">
        <v>0</v>
      </c>
      <c r="V531" t="s">
        <v>33</v>
      </c>
      <c r="W531" t="s">
        <v>33</v>
      </c>
      <c r="X531">
        <v>1300</v>
      </c>
      <c r="Y531">
        <v>98</v>
      </c>
      <c r="Z531" t="s">
        <v>44</v>
      </c>
      <c r="AA531">
        <v>98</v>
      </c>
      <c r="AB531" t="s">
        <v>56</v>
      </c>
      <c r="AC531" t="s">
        <v>60</v>
      </c>
      <c r="AD531" t="str">
        <f t="shared" si="8"/>
        <v>Cd Sahagún → Culiacan</v>
      </c>
      <c r="AE531" t="s">
        <v>1359</v>
      </c>
      <c r="AF531" s="4">
        <v>45748</v>
      </c>
      <c r="AG531" t="str">
        <f>YEAR(Table1[[#This Row],[Fecha]])&amp;" - " &amp;UPPER(TEXT(Table1[[#This Row],[Fecha]],"mm-mmm"))</f>
        <v>2025 - 04-ABR</v>
      </c>
      <c r="AH531" s="5">
        <v>0</v>
      </c>
    </row>
    <row r="532" spans="1:34" x14ac:dyDescent="0.25">
      <c r="A532" t="s">
        <v>53</v>
      </c>
      <c r="B532">
        <v>2025</v>
      </c>
      <c r="C532">
        <v>4</v>
      </c>
      <c r="D532" s="1">
        <v>45768</v>
      </c>
      <c r="E532" s="1">
        <v>45768</v>
      </c>
      <c r="F532" s="1">
        <v>45769</v>
      </c>
      <c r="G532" s="1">
        <v>45769</v>
      </c>
      <c r="H532" s="1">
        <v>45769</v>
      </c>
      <c r="I532">
        <v>2050</v>
      </c>
      <c r="J532" t="s">
        <v>54</v>
      </c>
      <c r="K532" t="s">
        <v>31</v>
      </c>
      <c r="L532">
        <v>107</v>
      </c>
      <c r="M532">
        <v>0</v>
      </c>
      <c r="N532" t="s">
        <v>55</v>
      </c>
      <c r="O532">
        <v>1</v>
      </c>
      <c r="P532">
        <v>107</v>
      </c>
      <c r="Q532" t="b">
        <v>1</v>
      </c>
      <c r="R532" t="b">
        <v>0</v>
      </c>
      <c r="S532" t="b">
        <v>0</v>
      </c>
      <c r="T532">
        <v>536</v>
      </c>
      <c r="U532">
        <v>0</v>
      </c>
      <c r="V532" t="s">
        <v>33</v>
      </c>
      <c r="W532" t="s">
        <v>33</v>
      </c>
      <c r="X532">
        <v>200</v>
      </c>
      <c r="Y532">
        <v>35</v>
      </c>
      <c r="Z532" t="s">
        <v>44</v>
      </c>
      <c r="AA532">
        <v>35</v>
      </c>
      <c r="AB532" t="s">
        <v>56</v>
      </c>
      <c r="AC532" t="s">
        <v>57</v>
      </c>
      <c r="AD532" t="str">
        <f t="shared" si="8"/>
        <v>Cd Sahagún → Cuautitlan</v>
      </c>
      <c r="AE532" t="s">
        <v>1358</v>
      </c>
      <c r="AF532" s="4">
        <v>45748</v>
      </c>
      <c r="AG532" t="str">
        <f>YEAR(Table1[[#This Row],[Fecha]])&amp;" - " &amp;UPPER(TEXT(Table1[[#This Row],[Fecha]],"mm-mmm"))</f>
        <v>2025 - 04-ABR</v>
      </c>
      <c r="AH532" s="5">
        <v>0</v>
      </c>
    </row>
    <row r="533" spans="1:34" x14ac:dyDescent="0.25">
      <c r="A533" t="s">
        <v>58</v>
      </c>
      <c r="B533">
        <v>2025</v>
      </c>
      <c r="C533">
        <v>4</v>
      </c>
      <c r="D533" s="1">
        <v>45770</v>
      </c>
      <c r="E533" s="1">
        <v>45770</v>
      </c>
      <c r="F533" s="1">
        <v>45772</v>
      </c>
      <c r="G533" s="1">
        <v>45770</v>
      </c>
      <c r="H533" s="1">
        <v>45771</v>
      </c>
      <c r="I533">
        <v>2050</v>
      </c>
      <c r="J533" t="s">
        <v>41</v>
      </c>
      <c r="K533" t="s">
        <v>42</v>
      </c>
      <c r="L533">
        <v>1264</v>
      </c>
      <c r="M533">
        <v>0</v>
      </c>
      <c r="N533" t="s">
        <v>59</v>
      </c>
      <c r="O533">
        <v>1</v>
      </c>
      <c r="P533">
        <v>1264</v>
      </c>
      <c r="Q533" t="b">
        <v>1</v>
      </c>
      <c r="R533" t="b">
        <v>0</v>
      </c>
      <c r="S533" t="b">
        <v>0</v>
      </c>
      <c r="T533">
        <v>1746</v>
      </c>
      <c r="U533">
        <v>0</v>
      </c>
      <c r="V533" t="s">
        <v>33</v>
      </c>
      <c r="W533" t="s">
        <v>33</v>
      </c>
      <c r="X533">
        <v>1300</v>
      </c>
      <c r="Y533">
        <v>98</v>
      </c>
      <c r="Z533" t="s">
        <v>44</v>
      </c>
      <c r="AA533">
        <v>98</v>
      </c>
      <c r="AB533" t="s">
        <v>56</v>
      </c>
      <c r="AC533" t="s">
        <v>60</v>
      </c>
      <c r="AD533" t="str">
        <f t="shared" si="8"/>
        <v>Cd Sahagún → Culiacan</v>
      </c>
      <c r="AE533" t="s">
        <v>1359</v>
      </c>
      <c r="AF533" s="4">
        <v>45748</v>
      </c>
      <c r="AG533" t="str">
        <f>YEAR(Table1[[#This Row],[Fecha]])&amp;" - " &amp;UPPER(TEXT(Table1[[#This Row],[Fecha]],"mm-mmm"))</f>
        <v>2025 - 04-ABR</v>
      </c>
      <c r="AH533" s="5">
        <v>0</v>
      </c>
    </row>
    <row r="534" spans="1:34" x14ac:dyDescent="0.25">
      <c r="A534" t="s">
        <v>323</v>
      </c>
      <c r="B534">
        <v>2025</v>
      </c>
      <c r="C534">
        <v>4</v>
      </c>
      <c r="D534" s="1">
        <v>45773</v>
      </c>
      <c r="E534" s="1">
        <v>45773</v>
      </c>
      <c r="F534" s="1">
        <v>45775</v>
      </c>
      <c r="G534" s="1">
        <v>45774</v>
      </c>
      <c r="H534" s="1">
        <v>45775</v>
      </c>
      <c r="I534">
        <v>2050</v>
      </c>
      <c r="J534" t="s">
        <v>41</v>
      </c>
      <c r="K534" t="s">
        <v>42</v>
      </c>
      <c r="L534">
        <v>961</v>
      </c>
      <c r="M534">
        <v>0</v>
      </c>
      <c r="N534" t="s">
        <v>59</v>
      </c>
      <c r="O534">
        <v>1</v>
      </c>
      <c r="P534">
        <v>964</v>
      </c>
      <c r="Q534" t="b">
        <v>1</v>
      </c>
      <c r="R534" t="b">
        <v>0</v>
      </c>
      <c r="S534" t="b">
        <v>0</v>
      </c>
      <c r="T534">
        <v>1494</v>
      </c>
      <c r="U534">
        <v>0</v>
      </c>
      <c r="V534" t="s">
        <v>33</v>
      </c>
      <c r="W534" t="s">
        <v>324</v>
      </c>
      <c r="X534">
        <v>1100</v>
      </c>
      <c r="Y534">
        <v>8</v>
      </c>
      <c r="Z534" t="s">
        <v>44</v>
      </c>
      <c r="AA534">
        <v>8</v>
      </c>
      <c r="AB534" t="s">
        <v>121</v>
      </c>
      <c r="AC534" t="s">
        <v>56</v>
      </c>
      <c r="AD534" t="str">
        <f t="shared" si="8"/>
        <v>Escobedo → Cd Sahagún</v>
      </c>
      <c r="AE534" t="s">
        <v>1359</v>
      </c>
      <c r="AF534" s="4">
        <v>45748</v>
      </c>
      <c r="AG534" t="str">
        <f>YEAR(Table1[[#This Row],[Fecha]])&amp;" - " &amp;UPPER(TEXT(Table1[[#This Row],[Fecha]],"mm-mmm"))</f>
        <v>2025 - 04-ABR</v>
      </c>
      <c r="AH534" s="5">
        <v>0</v>
      </c>
    </row>
    <row r="535" spans="1:34" x14ac:dyDescent="0.25">
      <c r="A535" t="s">
        <v>102</v>
      </c>
      <c r="B535">
        <v>2025</v>
      </c>
      <c r="C535">
        <v>4</v>
      </c>
      <c r="D535" s="1">
        <v>45777</v>
      </c>
      <c r="E535" s="1">
        <v>45777</v>
      </c>
      <c r="F535" s="1">
        <v>45777</v>
      </c>
      <c r="G535" s="1">
        <v>45777</v>
      </c>
      <c r="H535" s="1">
        <v>45777</v>
      </c>
      <c r="I535">
        <v>2119</v>
      </c>
      <c r="J535" t="s">
        <v>54</v>
      </c>
      <c r="K535" t="s">
        <v>31</v>
      </c>
      <c r="L535">
        <v>96</v>
      </c>
      <c r="M535">
        <v>96</v>
      </c>
      <c r="N535" t="s">
        <v>103</v>
      </c>
      <c r="O535">
        <v>1</v>
      </c>
      <c r="P535">
        <v>150</v>
      </c>
      <c r="Q535" t="b">
        <v>1</v>
      </c>
      <c r="R535" t="b">
        <v>0</v>
      </c>
      <c r="S535" t="b">
        <v>0</v>
      </c>
      <c r="T535">
        <v>356</v>
      </c>
      <c r="U535">
        <v>0</v>
      </c>
      <c r="V535" t="s">
        <v>33</v>
      </c>
      <c r="W535" t="s">
        <v>33</v>
      </c>
      <c r="X535">
        <v>100</v>
      </c>
      <c r="Y535">
        <v>1606</v>
      </c>
      <c r="Z535" t="s">
        <v>38</v>
      </c>
      <c r="AA535">
        <v>1606</v>
      </c>
      <c r="AB535" t="s">
        <v>56</v>
      </c>
      <c r="AC535" t="s">
        <v>104</v>
      </c>
      <c r="AD535" t="str">
        <f t="shared" si="8"/>
        <v>Cd Sahagún → Azcapotzalco</v>
      </c>
      <c r="AE535" t="s">
        <v>1358</v>
      </c>
      <c r="AF535" s="4">
        <v>45748</v>
      </c>
      <c r="AG535" t="str">
        <f>YEAR(Table1[[#This Row],[Fecha]])&amp;" - " &amp;UPPER(TEXT(Table1[[#This Row],[Fecha]],"mm-mmm"))</f>
        <v>2025 - 04-ABR</v>
      </c>
      <c r="AH535" s="5">
        <v>0</v>
      </c>
    </row>
    <row r="536" spans="1:34" x14ac:dyDescent="0.25">
      <c r="A536" t="s">
        <v>325</v>
      </c>
      <c r="B536">
        <v>2025</v>
      </c>
      <c r="C536">
        <v>5</v>
      </c>
      <c r="D536" s="1">
        <v>45784</v>
      </c>
      <c r="E536" s="1">
        <v>45784</v>
      </c>
      <c r="F536" s="1">
        <v>45785</v>
      </c>
      <c r="G536" s="1">
        <v>45784</v>
      </c>
      <c r="H536" s="1">
        <v>45786</v>
      </c>
      <c r="I536">
        <v>2244</v>
      </c>
      <c r="J536" t="s">
        <v>41</v>
      </c>
      <c r="K536" t="s">
        <v>42</v>
      </c>
      <c r="L536">
        <v>961</v>
      </c>
      <c r="M536">
        <v>1059</v>
      </c>
      <c r="N536" t="s">
        <v>43</v>
      </c>
      <c r="O536">
        <v>1</v>
      </c>
      <c r="P536">
        <v>964</v>
      </c>
      <c r="Q536" t="b">
        <v>1</v>
      </c>
      <c r="R536" t="b">
        <v>0</v>
      </c>
      <c r="S536" t="b">
        <v>0</v>
      </c>
      <c r="T536">
        <v>1494</v>
      </c>
      <c r="U536">
        <v>0</v>
      </c>
      <c r="V536" t="s">
        <v>33</v>
      </c>
      <c r="W536" t="s">
        <v>326</v>
      </c>
      <c r="X536">
        <v>1100</v>
      </c>
      <c r="Y536">
        <v>8</v>
      </c>
      <c r="Z536" t="s">
        <v>74</v>
      </c>
      <c r="AA536">
        <v>8</v>
      </c>
      <c r="AB536" t="s">
        <v>121</v>
      </c>
      <c r="AC536" t="s">
        <v>56</v>
      </c>
      <c r="AD536" t="str">
        <f t="shared" si="8"/>
        <v>Escobedo → Cd Sahagún</v>
      </c>
      <c r="AE536" t="s">
        <v>1359</v>
      </c>
      <c r="AF536" s="4">
        <v>45778</v>
      </c>
      <c r="AG536" t="str">
        <f>YEAR(Table1[[#This Row],[Fecha]])&amp;" - " &amp;UPPER(TEXT(Table1[[#This Row],[Fecha]],"mm-mmm"))</f>
        <v>2025 - 05-MAY</v>
      </c>
      <c r="AH536" s="5">
        <v>0</v>
      </c>
    </row>
    <row r="537" spans="1:34" x14ac:dyDescent="0.25">
      <c r="A537" t="s">
        <v>472</v>
      </c>
      <c r="B537">
        <v>2025</v>
      </c>
      <c r="C537">
        <v>5</v>
      </c>
      <c r="D537" s="1">
        <v>45784</v>
      </c>
      <c r="E537" s="1">
        <v>45784</v>
      </c>
      <c r="F537" s="1">
        <v>45784</v>
      </c>
      <c r="G537" s="1">
        <v>45784</v>
      </c>
      <c r="H537" s="2">
        <v>45784.658478935184</v>
      </c>
      <c r="I537">
        <v>2039</v>
      </c>
      <c r="J537" t="s">
        <v>30</v>
      </c>
      <c r="K537" t="s">
        <v>31</v>
      </c>
      <c r="L537">
        <v>50</v>
      </c>
      <c r="M537">
        <v>50</v>
      </c>
      <c r="N537" t="s">
        <v>32</v>
      </c>
      <c r="O537">
        <v>1</v>
      </c>
      <c r="P537">
        <v>150</v>
      </c>
      <c r="Q537" t="b">
        <v>1</v>
      </c>
      <c r="R537" t="b">
        <v>0</v>
      </c>
      <c r="S537" t="b">
        <v>0</v>
      </c>
      <c r="T537">
        <v>231</v>
      </c>
      <c r="U537">
        <v>0</v>
      </c>
      <c r="V537" t="s">
        <v>33</v>
      </c>
      <c r="W537" t="s">
        <v>33</v>
      </c>
      <c r="X537">
        <v>50</v>
      </c>
      <c r="Y537">
        <v>2936</v>
      </c>
      <c r="Z537" t="s">
        <v>74</v>
      </c>
      <c r="AA537">
        <v>2936</v>
      </c>
      <c r="AB537" t="s">
        <v>121</v>
      </c>
      <c r="AC537" t="s">
        <v>432</v>
      </c>
      <c r="AD537" t="str">
        <f t="shared" si="8"/>
        <v>Escobedo → Hidalgo</v>
      </c>
      <c r="AE537" t="s">
        <v>1357</v>
      </c>
      <c r="AF537" s="4">
        <v>45778</v>
      </c>
      <c r="AG537" t="str">
        <f>YEAR(Table1[[#This Row],[Fecha]])&amp;" - " &amp;UPPER(TEXT(Table1[[#This Row],[Fecha]],"mm-mmm"))</f>
        <v>2025 - 05-MAY</v>
      </c>
      <c r="AH537" s="5">
        <v>0</v>
      </c>
    </row>
    <row r="538" spans="1:34" x14ac:dyDescent="0.25">
      <c r="A538" t="s">
        <v>810</v>
      </c>
      <c r="B538">
        <v>2025</v>
      </c>
      <c r="C538">
        <v>5</v>
      </c>
      <c r="D538" s="1">
        <v>45784</v>
      </c>
      <c r="E538" s="1">
        <v>45784</v>
      </c>
      <c r="F538" s="1">
        <v>45784</v>
      </c>
      <c r="G538" s="1">
        <v>45784</v>
      </c>
      <c r="H538" s="2">
        <v>45784.658857025461</v>
      </c>
      <c r="I538">
        <v>2039</v>
      </c>
      <c r="J538" t="s">
        <v>30</v>
      </c>
      <c r="K538" t="s">
        <v>31</v>
      </c>
      <c r="L538">
        <v>50</v>
      </c>
      <c r="M538">
        <v>50</v>
      </c>
      <c r="N538" t="s">
        <v>32</v>
      </c>
      <c r="O538">
        <v>1</v>
      </c>
      <c r="P538">
        <v>150</v>
      </c>
      <c r="Q538" t="b">
        <v>1</v>
      </c>
      <c r="R538" t="b">
        <v>0</v>
      </c>
      <c r="S538" t="b">
        <v>0</v>
      </c>
      <c r="T538">
        <v>231</v>
      </c>
      <c r="U538">
        <v>0</v>
      </c>
      <c r="V538" t="s">
        <v>33</v>
      </c>
      <c r="W538" t="s">
        <v>33</v>
      </c>
      <c r="X538">
        <v>50</v>
      </c>
      <c r="Y538">
        <v>359</v>
      </c>
      <c r="Z538" t="s">
        <v>74</v>
      </c>
      <c r="AA538">
        <v>359</v>
      </c>
      <c r="AB538" t="s">
        <v>121</v>
      </c>
      <c r="AC538" t="s">
        <v>121</v>
      </c>
      <c r="AD538" t="str">
        <f t="shared" si="8"/>
        <v>Escobedo → Escobedo</v>
      </c>
      <c r="AE538" t="s">
        <v>1357</v>
      </c>
      <c r="AF538" s="4">
        <v>45778</v>
      </c>
      <c r="AG538" t="str">
        <f>YEAR(Table1[[#This Row],[Fecha]])&amp;" - " &amp;UPPER(TEXT(Table1[[#This Row],[Fecha]],"mm-mmm"))</f>
        <v>2025 - 05-MAY</v>
      </c>
      <c r="AH538" s="5">
        <v>0</v>
      </c>
    </row>
    <row r="539" spans="1:34" x14ac:dyDescent="0.25">
      <c r="A539" t="s">
        <v>471</v>
      </c>
      <c r="B539">
        <v>2025</v>
      </c>
      <c r="C539">
        <v>5</v>
      </c>
      <c r="D539" s="1">
        <v>45784</v>
      </c>
      <c r="E539" s="1">
        <v>45784</v>
      </c>
      <c r="F539" s="1">
        <v>45784</v>
      </c>
      <c r="G539" s="1">
        <v>45784</v>
      </c>
      <c r="H539" s="2">
        <v>45784.659256562503</v>
      </c>
      <c r="I539">
        <v>2039</v>
      </c>
      <c r="J539" t="s">
        <v>30</v>
      </c>
      <c r="K539" t="s">
        <v>31</v>
      </c>
      <c r="L539">
        <v>50</v>
      </c>
      <c r="M539">
        <v>50</v>
      </c>
      <c r="N539" t="s">
        <v>32</v>
      </c>
      <c r="O539">
        <v>1</v>
      </c>
      <c r="P539">
        <v>150</v>
      </c>
      <c r="Q539" t="b">
        <v>1</v>
      </c>
      <c r="R539" t="b">
        <v>0</v>
      </c>
      <c r="S539" t="b">
        <v>0</v>
      </c>
      <c r="T539">
        <v>231</v>
      </c>
      <c r="U539">
        <v>0</v>
      </c>
      <c r="V539" t="s">
        <v>33</v>
      </c>
      <c r="W539" t="s">
        <v>33</v>
      </c>
      <c r="X539">
        <v>50</v>
      </c>
      <c r="Y539">
        <v>2936</v>
      </c>
      <c r="Z539" t="s">
        <v>74</v>
      </c>
      <c r="AA539">
        <v>2936</v>
      </c>
      <c r="AB539" t="s">
        <v>121</v>
      </c>
      <c r="AC539" t="s">
        <v>432</v>
      </c>
      <c r="AD539" t="str">
        <f t="shared" si="8"/>
        <v>Escobedo → Hidalgo</v>
      </c>
      <c r="AE539" t="s">
        <v>1357</v>
      </c>
      <c r="AF539" s="4">
        <v>45778</v>
      </c>
      <c r="AG539" t="str">
        <f>YEAR(Table1[[#This Row],[Fecha]])&amp;" - " &amp;UPPER(TEXT(Table1[[#This Row],[Fecha]],"mm-mmm"))</f>
        <v>2025 - 05-MAY</v>
      </c>
      <c r="AH539" s="5">
        <v>0</v>
      </c>
    </row>
    <row r="540" spans="1:34" x14ac:dyDescent="0.25">
      <c r="A540" t="s">
        <v>181</v>
      </c>
      <c r="B540">
        <v>2025</v>
      </c>
      <c r="C540">
        <v>5</v>
      </c>
      <c r="D540" s="1">
        <v>45784</v>
      </c>
      <c r="E540" s="1">
        <v>45784</v>
      </c>
      <c r="F540" s="1">
        <v>45784</v>
      </c>
      <c r="G540" s="1">
        <v>45784</v>
      </c>
      <c r="H540" s="2">
        <v>45784.667136921293</v>
      </c>
      <c r="I540">
        <v>2039</v>
      </c>
      <c r="J540" t="s">
        <v>30</v>
      </c>
      <c r="K540" t="s">
        <v>31</v>
      </c>
      <c r="L540">
        <v>50</v>
      </c>
      <c r="M540">
        <v>50</v>
      </c>
      <c r="N540" t="s">
        <v>32</v>
      </c>
      <c r="O540">
        <v>1</v>
      </c>
      <c r="P540">
        <v>150</v>
      </c>
      <c r="Q540" t="b">
        <v>1</v>
      </c>
      <c r="R540" t="b">
        <v>0</v>
      </c>
      <c r="S540" t="b">
        <v>0</v>
      </c>
      <c r="T540">
        <v>231</v>
      </c>
      <c r="U540">
        <v>0</v>
      </c>
      <c r="V540" t="s">
        <v>33</v>
      </c>
      <c r="W540" t="s">
        <v>33</v>
      </c>
      <c r="X540">
        <v>50</v>
      </c>
      <c r="Y540">
        <v>308</v>
      </c>
      <c r="Z540" t="s">
        <v>74</v>
      </c>
      <c r="AA540">
        <v>308</v>
      </c>
      <c r="AB540" t="s">
        <v>121</v>
      </c>
      <c r="AC540" t="s">
        <v>174</v>
      </c>
      <c r="AD540" t="str">
        <f t="shared" si="8"/>
        <v>Escobedo → Guadalupe</v>
      </c>
      <c r="AE540" t="s">
        <v>1357</v>
      </c>
      <c r="AF540" s="4">
        <v>45778</v>
      </c>
      <c r="AG540" t="str">
        <f>YEAR(Table1[[#This Row],[Fecha]])&amp;" - " &amp;UPPER(TEXT(Table1[[#This Row],[Fecha]],"mm-mmm"))</f>
        <v>2025 - 05-MAY</v>
      </c>
      <c r="AH540" s="5">
        <v>0</v>
      </c>
    </row>
    <row r="541" spans="1:34" x14ac:dyDescent="0.25">
      <c r="A541" t="s">
        <v>252</v>
      </c>
      <c r="B541">
        <v>2025</v>
      </c>
      <c r="C541">
        <v>5</v>
      </c>
      <c r="D541" s="1">
        <v>45784</v>
      </c>
      <c r="E541" s="1">
        <v>45784</v>
      </c>
      <c r="F541" s="1">
        <v>45784</v>
      </c>
      <c r="G541" s="1">
        <v>45784</v>
      </c>
      <c r="H541" s="2">
        <v>45784.797474884261</v>
      </c>
      <c r="I541">
        <v>2039</v>
      </c>
      <c r="J541" t="s">
        <v>30</v>
      </c>
      <c r="K541" t="s">
        <v>31</v>
      </c>
      <c r="L541">
        <v>86</v>
      </c>
      <c r="M541">
        <v>150</v>
      </c>
      <c r="N541" t="s">
        <v>32</v>
      </c>
      <c r="O541">
        <v>1</v>
      </c>
      <c r="P541">
        <v>88</v>
      </c>
      <c r="Q541" t="b">
        <v>1</v>
      </c>
      <c r="R541" t="b">
        <v>0</v>
      </c>
      <c r="S541" t="b">
        <v>0</v>
      </c>
      <c r="T541">
        <v>536</v>
      </c>
      <c r="U541">
        <v>0</v>
      </c>
      <c r="V541" t="s">
        <v>33</v>
      </c>
      <c r="W541" t="s">
        <v>33</v>
      </c>
      <c r="X541">
        <v>200</v>
      </c>
      <c r="Y541">
        <v>1766</v>
      </c>
      <c r="Z541" t="s">
        <v>74</v>
      </c>
      <c r="AA541">
        <v>1766</v>
      </c>
      <c r="AB541" t="s">
        <v>121</v>
      </c>
      <c r="AC541" t="s">
        <v>253</v>
      </c>
      <c r="AD541" t="str">
        <f t="shared" si="8"/>
        <v>Escobedo → Allende</v>
      </c>
      <c r="AE541" t="s">
        <v>1357</v>
      </c>
      <c r="AF541" s="4">
        <v>45778</v>
      </c>
      <c r="AG541" t="str">
        <f>YEAR(Table1[[#This Row],[Fecha]])&amp;" - " &amp;UPPER(TEXT(Table1[[#This Row],[Fecha]],"mm-mmm"))</f>
        <v>2025 - 05-MAY</v>
      </c>
      <c r="AH541" s="5">
        <v>0</v>
      </c>
    </row>
    <row r="542" spans="1:34" x14ac:dyDescent="0.25">
      <c r="A542" t="s">
        <v>811</v>
      </c>
      <c r="B542">
        <v>2025</v>
      </c>
      <c r="C542">
        <v>5</v>
      </c>
      <c r="D542" s="1">
        <v>45777</v>
      </c>
      <c r="E542" s="1">
        <v>45778</v>
      </c>
      <c r="F542" s="1">
        <v>45777</v>
      </c>
      <c r="G542" s="1">
        <v>45777</v>
      </c>
      <c r="H542" s="1">
        <v>45778</v>
      </c>
      <c r="I542">
        <v>2039</v>
      </c>
      <c r="J542" t="s">
        <v>30</v>
      </c>
      <c r="K542" t="s">
        <v>31</v>
      </c>
      <c r="L542">
        <v>50</v>
      </c>
      <c r="M542">
        <v>50</v>
      </c>
      <c r="N542" t="s">
        <v>32</v>
      </c>
      <c r="O542">
        <v>1</v>
      </c>
      <c r="P542">
        <v>150</v>
      </c>
      <c r="Q542" t="b">
        <v>1</v>
      </c>
      <c r="R542" t="b">
        <v>0</v>
      </c>
      <c r="S542" t="b">
        <v>0</v>
      </c>
      <c r="T542">
        <v>231</v>
      </c>
      <c r="U542">
        <v>0</v>
      </c>
      <c r="V542" t="s">
        <v>33</v>
      </c>
      <c r="W542" t="s">
        <v>33</v>
      </c>
      <c r="X542">
        <v>50</v>
      </c>
      <c r="Y542">
        <v>359</v>
      </c>
      <c r="Z542" t="s">
        <v>123</v>
      </c>
      <c r="AA542">
        <v>359</v>
      </c>
      <c r="AB542" t="s">
        <v>121</v>
      </c>
      <c r="AC542" t="s">
        <v>121</v>
      </c>
      <c r="AD542" t="str">
        <f t="shared" si="8"/>
        <v>Escobedo → Escobedo</v>
      </c>
      <c r="AE542" t="s">
        <v>1357</v>
      </c>
      <c r="AF542" s="4">
        <v>45778</v>
      </c>
      <c r="AG542" t="str">
        <f>YEAR(Table1[[#This Row],[Fecha]])&amp;" - " &amp;UPPER(TEXT(Table1[[#This Row],[Fecha]],"mm-mmm"))</f>
        <v>2025 - 05-MAY</v>
      </c>
      <c r="AH542" s="5">
        <v>0</v>
      </c>
    </row>
    <row r="543" spans="1:34" x14ac:dyDescent="0.25">
      <c r="A543" t="s">
        <v>812</v>
      </c>
      <c r="B543">
        <v>2025</v>
      </c>
      <c r="C543">
        <v>5</v>
      </c>
      <c r="D543" s="1">
        <v>45785</v>
      </c>
      <c r="E543" s="1">
        <v>45785</v>
      </c>
      <c r="F543" s="1">
        <v>45785</v>
      </c>
      <c r="G543" s="1">
        <v>45785</v>
      </c>
      <c r="H543" s="2">
        <v>45786.32099320602</v>
      </c>
      <c r="I543">
        <v>2039</v>
      </c>
      <c r="J543" t="s">
        <v>30</v>
      </c>
      <c r="K543" t="s">
        <v>31</v>
      </c>
      <c r="L543">
        <v>50</v>
      </c>
      <c r="M543">
        <v>50</v>
      </c>
      <c r="N543" t="s">
        <v>32</v>
      </c>
      <c r="O543">
        <v>1</v>
      </c>
      <c r="P543">
        <v>150</v>
      </c>
      <c r="Q543" t="b">
        <v>1</v>
      </c>
      <c r="R543" t="b">
        <v>0</v>
      </c>
      <c r="S543" t="b">
        <v>0</v>
      </c>
      <c r="T543">
        <v>231</v>
      </c>
      <c r="U543">
        <v>0</v>
      </c>
      <c r="V543" t="s">
        <v>33</v>
      </c>
      <c r="W543" t="s">
        <v>33</v>
      </c>
      <c r="X543">
        <v>50</v>
      </c>
      <c r="Y543">
        <v>359</v>
      </c>
      <c r="Z543" t="s">
        <v>74</v>
      </c>
      <c r="AA543">
        <v>359</v>
      </c>
      <c r="AB543" t="s">
        <v>121</v>
      </c>
      <c r="AC543" t="s">
        <v>121</v>
      </c>
      <c r="AD543" t="str">
        <f t="shared" si="8"/>
        <v>Escobedo → Escobedo</v>
      </c>
      <c r="AE543" t="s">
        <v>1357</v>
      </c>
      <c r="AF543" s="4">
        <v>45778</v>
      </c>
      <c r="AG543" t="str">
        <f>YEAR(Table1[[#This Row],[Fecha]])&amp;" - " &amp;UPPER(TEXT(Table1[[#This Row],[Fecha]],"mm-mmm"))</f>
        <v>2025 - 05-MAY</v>
      </c>
      <c r="AH543" s="5">
        <v>0</v>
      </c>
    </row>
    <row r="544" spans="1:34" x14ac:dyDescent="0.25">
      <c r="A544" t="s">
        <v>478</v>
      </c>
      <c r="B544">
        <v>2025</v>
      </c>
      <c r="C544">
        <v>5</v>
      </c>
      <c r="D544" s="1">
        <v>45785</v>
      </c>
      <c r="E544" s="1">
        <v>45785</v>
      </c>
      <c r="F544" s="1">
        <v>45785</v>
      </c>
      <c r="G544" s="1">
        <v>45785</v>
      </c>
      <c r="H544" s="2">
        <v>45786.32100802083</v>
      </c>
      <c r="I544">
        <v>2039</v>
      </c>
      <c r="J544" t="s">
        <v>30</v>
      </c>
      <c r="K544" t="s">
        <v>31</v>
      </c>
      <c r="L544">
        <v>50</v>
      </c>
      <c r="M544">
        <v>50</v>
      </c>
      <c r="N544" t="s">
        <v>32</v>
      </c>
      <c r="O544">
        <v>1</v>
      </c>
      <c r="P544">
        <v>150</v>
      </c>
      <c r="Q544" t="b">
        <v>1</v>
      </c>
      <c r="R544" t="b">
        <v>0</v>
      </c>
      <c r="S544" t="b">
        <v>0</v>
      </c>
      <c r="T544">
        <v>231</v>
      </c>
      <c r="U544">
        <v>0</v>
      </c>
      <c r="V544" t="s">
        <v>33</v>
      </c>
      <c r="W544" t="s">
        <v>33</v>
      </c>
      <c r="X544">
        <v>50</v>
      </c>
      <c r="Y544">
        <v>2936</v>
      </c>
      <c r="Z544" t="s">
        <v>74</v>
      </c>
      <c r="AA544">
        <v>2936</v>
      </c>
      <c r="AB544" t="s">
        <v>121</v>
      </c>
      <c r="AC544" t="s">
        <v>432</v>
      </c>
      <c r="AD544" t="str">
        <f t="shared" si="8"/>
        <v>Escobedo → Hidalgo</v>
      </c>
      <c r="AE544" t="s">
        <v>1357</v>
      </c>
      <c r="AF544" s="4">
        <v>45778</v>
      </c>
      <c r="AG544" t="str">
        <f>YEAR(Table1[[#This Row],[Fecha]])&amp;" - " &amp;UPPER(TEXT(Table1[[#This Row],[Fecha]],"mm-mmm"))</f>
        <v>2025 - 05-MAY</v>
      </c>
      <c r="AH544" s="5">
        <v>0</v>
      </c>
    </row>
    <row r="545" spans="1:34" x14ac:dyDescent="0.25">
      <c r="A545" t="s">
        <v>479</v>
      </c>
      <c r="B545">
        <v>2025</v>
      </c>
      <c r="C545">
        <v>5</v>
      </c>
      <c r="D545" s="1">
        <v>45785</v>
      </c>
      <c r="E545" s="1">
        <v>45785</v>
      </c>
      <c r="F545" s="1">
        <v>45785</v>
      </c>
      <c r="G545" s="1">
        <v>45785</v>
      </c>
      <c r="H545" s="2">
        <v>45786.320974386574</v>
      </c>
      <c r="I545">
        <v>2039</v>
      </c>
      <c r="J545" t="s">
        <v>30</v>
      </c>
      <c r="K545" t="s">
        <v>31</v>
      </c>
      <c r="L545">
        <v>50</v>
      </c>
      <c r="M545">
        <v>50</v>
      </c>
      <c r="N545" t="s">
        <v>32</v>
      </c>
      <c r="O545">
        <v>1</v>
      </c>
      <c r="P545">
        <v>150</v>
      </c>
      <c r="Q545" t="b">
        <v>1</v>
      </c>
      <c r="R545" t="b">
        <v>0</v>
      </c>
      <c r="S545" t="b">
        <v>0</v>
      </c>
      <c r="T545">
        <v>231</v>
      </c>
      <c r="U545">
        <v>0</v>
      </c>
      <c r="V545" t="s">
        <v>33</v>
      </c>
      <c r="W545" t="s">
        <v>33</v>
      </c>
      <c r="X545">
        <v>50</v>
      </c>
      <c r="Y545">
        <v>2936</v>
      </c>
      <c r="Z545" t="s">
        <v>74</v>
      </c>
      <c r="AA545">
        <v>2936</v>
      </c>
      <c r="AB545" t="s">
        <v>121</v>
      </c>
      <c r="AC545" t="s">
        <v>432</v>
      </c>
      <c r="AD545" t="str">
        <f t="shared" si="8"/>
        <v>Escobedo → Hidalgo</v>
      </c>
      <c r="AE545" t="s">
        <v>1357</v>
      </c>
      <c r="AF545" s="4">
        <v>45778</v>
      </c>
      <c r="AG545" t="str">
        <f>YEAR(Table1[[#This Row],[Fecha]])&amp;" - " &amp;UPPER(TEXT(Table1[[#This Row],[Fecha]],"mm-mmm"))</f>
        <v>2025 - 05-MAY</v>
      </c>
      <c r="AH545" s="5">
        <v>0</v>
      </c>
    </row>
    <row r="546" spans="1:34" x14ac:dyDescent="0.25">
      <c r="A546" t="s">
        <v>189</v>
      </c>
      <c r="B546">
        <v>2025</v>
      </c>
      <c r="C546">
        <v>5</v>
      </c>
      <c r="D546" s="1">
        <v>45785</v>
      </c>
      <c r="E546" s="1">
        <v>45785</v>
      </c>
      <c r="F546" s="1">
        <v>45785</v>
      </c>
      <c r="G546" s="1">
        <v>45785</v>
      </c>
      <c r="H546" s="2">
        <v>45786.32098596065</v>
      </c>
      <c r="I546">
        <v>2039</v>
      </c>
      <c r="J546" t="s">
        <v>30</v>
      </c>
      <c r="K546" t="s">
        <v>31</v>
      </c>
      <c r="L546">
        <v>50</v>
      </c>
      <c r="M546">
        <v>50</v>
      </c>
      <c r="N546" t="s">
        <v>32</v>
      </c>
      <c r="O546">
        <v>1</v>
      </c>
      <c r="P546">
        <v>150</v>
      </c>
      <c r="Q546" t="b">
        <v>1</v>
      </c>
      <c r="R546" t="b">
        <v>0</v>
      </c>
      <c r="S546" t="b">
        <v>0</v>
      </c>
      <c r="T546">
        <v>231</v>
      </c>
      <c r="U546">
        <v>0</v>
      </c>
      <c r="V546" t="s">
        <v>33</v>
      </c>
      <c r="W546" t="s">
        <v>33</v>
      </c>
      <c r="X546">
        <v>50</v>
      </c>
      <c r="Y546">
        <v>370</v>
      </c>
      <c r="Z546" t="s">
        <v>74</v>
      </c>
      <c r="AA546">
        <v>370</v>
      </c>
      <c r="AB546" t="s">
        <v>121</v>
      </c>
      <c r="AC546" t="s">
        <v>190</v>
      </c>
      <c r="AD546" t="str">
        <f t="shared" si="8"/>
        <v>Escobedo → Cadereyta Jiménez</v>
      </c>
      <c r="AE546" t="s">
        <v>1357</v>
      </c>
      <c r="AF546" s="4">
        <v>45778</v>
      </c>
      <c r="AG546" t="str">
        <f>YEAR(Table1[[#This Row],[Fecha]])&amp;" - " &amp;UPPER(TEXT(Table1[[#This Row],[Fecha]],"mm-mmm"))</f>
        <v>2025 - 05-MAY</v>
      </c>
      <c r="AH546" s="5">
        <v>0</v>
      </c>
    </row>
    <row r="547" spans="1:34" x14ac:dyDescent="0.25">
      <c r="A547" t="s">
        <v>813</v>
      </c>
      <c r="B547">
        <v>2025</v>
      </c>
      <c r="C547">
        <v>5</v>
      </c>
      <c r="D547" s="1">
        <v>45785</v>
      </c>
      <c r="E547" s="1">
        <v>45785</v>
      </c>
      <c r="F547" s="1">
        <v>45785</v>
      </c>
      <c r="G547" s="1">
        <v>45785</v>
      </c>
      <c r="H547" s="1">
        <v>45786</v>
      </c>
      <c r="I547">
        <v>2039</v>
      </c>
      <c r="J547" t="s">
        <v>30</v>
      </c>
      <c r="K547" t="s">
        <v>31</v>
      </c>
      <c r="L547">
        <v>50</v>
      </c>
      <c r="M547">
        <v>50</v>
      </c>
      <c r="N547" t="s">
        <v>32</v>
      </c>
      <c r="O547">
        <v>1</v>
      </c>
      <c r="P547">
        <v>150</v>
      </c>
      <c r="Q547" t="b">
        <v>1</v>
      </c>
      <c r="R547" t="b">
        <v>0</v>
      </c>
      <c r="S547" t="b">
        <v>0</v>
      </c>
      <c r="T547">
        <v>231</v>
      </c>
      <c r="U547">
        <v>0</v>
      </c>
      <c r="V547" t="s">
        <v>33</v>
      </c>
      <c r="W547" t="s">
        <v>33</v>
      </c>
      <c r="X547">
        <v>50</v>
      </c>
      <c r="Y547">
        <v>359</v>
      </c>
      <c r="Z547" t="s">
        <v>74</v>
      </c>
      <c r="AA547">
        <v>359</v>
      </c>
      <c r="AB547" t="s">
        <v>121</v>
      </c>
      <c r="AC547" t="s">
        <v>121</v>
      </c>
      <c r="AD547" t="str">
        <f t="shared" si="8"/>
        <v>Escobedo → Escobedo</v>
      </c>
      <c r="AE547" t="s">
        <v>1357</v>
      </c>
      <c r="AF547" s="4">
        <v>45778</v>
      </c>
      <c r="AG547" t="str">
        <f>YEAR(Table1[[#This Row],[Fecha]])&amp;" - " &amp;UPPER(TEXT(Table1[[#This Row],[Fecha]],"mm-mmm"))</f>
        <v>2025 - 05-MAY</v>
      </c>
      <c r="AH547" s="5">
        <v>0</v>
      </c>
    </row>
    <row r="548" spans="1:34" x14ac:dyDescent="0.25">
      <c r="A548" t="s">
        <v>814</v>
      </c>
      <c r="B548">
        <v>2025</v>
      </c>
      <c r="C548">
        <v>5</v>
      </c>
      <c r="D548" s="1">
        <v>45777</v>
      </c>
      <c r="E548" s="1">
        <v>45778</v>
      </c>
      <c r="F548" s="1">
        <v>45777</v>
      </c>
      <c r="G548" s="1">
        <v>45777</v>
      </c>
      <c r="H548" s="1">
        <v>45778</v>
      </c>
      <c r="I548">
        <v>2039</v>
      </c>
      <c r="J548" t="s">
        <v>30</v>
      </c>
      <c r="K548" t="s">
        <v>31</v>
      </c>
      <c r="L548">
        <v>50</v>
      </c>
      <c r="M548">
        <v>50</v>
      </c>
      <c r="N548" t="s">
        <v>32</v>
      </c>
      <c r="O548">
        <v>1</v>
      </c>
      <c r="P548">
        <v>150</v>
      </c>
      <c r="Q548" t="b">
        <v>1</v>
      </c>
      <c r="R548" t="b">
        <v>0</v>
      </c>
      <c r="S548" t="b">
        <v>0</v>
      </c>
      <c r="T548">
        <v>231</v>
      </c>
      <c r="U548">
        <v>0</v>
      </c>
      <c r="V548" t="s">
        <v>33</v>
      </c>
      <c r="W548" t="s">
        <v>33</v>
      </c>
      <c r="X548">
        <v>50</v>
      </c>
      <c r="Y548">
        <v>359</v>
      </c>
      <c r="Z548" t="s">
        <v>123</v>
      </c>
      <c r="AA548">
        <v>359</v>
      </c>
      <c r="AB548" t="s">
        <v>121</v>
      </c>
      <c r="AC548" t="s">
        <v>121</v>
      </c>
      <c r="AD548" t="str">
        <f t="shared" si="8"/>
        <v>Escobedo → Escobedo</v>
      </c>
      <c r="AE548" t="s">
        <v>1357</v>
      </c>
      <c r="AF548" s="4">
        <v>45778</v>
      </c>
      <c r="AG548" t="str">
        <f>YEAR(Table1[[#This Row],[Fecha]])&amp;" - " &amp;UPPER(TEXT(Table1[[#This Row],[Fecha]],"mm-mmm"))</f>
        <v>2025 - 05-MAY</v>
      </c>
      <c r="AH548" s="5">
        <v>0</v>
      </c>
    </row>
    <row r="549" spans="1:34" x14ac:dyDescent="0.25">
      <c r="A549" t="s">
        <v>477</v>
      </c>
      <c r="B549">
        <v>2025</v>
      </c>
      <c r="C549">
        <v>5</v>
      </c>
      <c r="D549" s="1">
        <v>45777</v>
      </c>
      <c r="E549" s="1">
        <v>45778</v>
      </c>
      <c r="F549" s="1">
        <v>45807</v>
      </c>
      <c r="G549" s="1">
        <v>45807</v>
      </c>
      <c r="H549" s="2">
        <v>45778.587247881944</v>
      </c>
      <c r="I549">
        <v>2039</v>
      </c>
      <c r="J549" t="s">
        <v>30</v>
      </c>
      <c r="K549" t="s">
        <v>31</v>
      </c>
      <c r="L549">
        <v>50</v>
      </c>
      <c r="M549">
        <v>50</v>
      </c>
      <c r="N549" t="s">
        <v>32</v>
      </c>
      <c r="O549">
        <v>1</v>
      </c>
      <c r="P549">
        <v>150</v>
      </c>
      <c r="Q549" t="b">
        <v>1</v>
      </c>
      <c r="R549" t="b">
        <v>0</v>
      </c>
      <c r="S549" t="b">
        <v>0</v>
      </c>
      <c r="T549">
        <v>231</v>
      </c>
      <c r="U549">
        <v>0</v>
      </c>
      <c r="V549" t="s">
        <v>33</v>
      </c>
      <c r="W549" t="s">
        <v>33</v>
      </c>
      <c r="X549">
        <v>50</v>
      </c>
      <c r="Y549">
        <v>2936</v>
      </c>
      <c r="Z549" t="s">
        <v>123</v>
      </c>
      <c r="AA549">
        <v>2936</v>
      </c>
      <c r="AB549" t="s">
        <v>121</v>
      </c>
      <c r="AC549" t="s">
        <v>432</v>
      </c>
      <c r="AD549" t="str">
        <f t="shared" si="8"/>
        <v>Escobedo → Hidalgo</v>
      </c>
      <c r="AE549" t="s">
        <v>1357</v>
      </c>
      <c r="AF549" s="4">
        <v>45778</v>
      </c>
      <c r="AG549" t="str">
        <f>YEAR(Table1[[#This Row],[Fecha]])&amp;" - " &amp;UPPER(TEXT(Table1[[#This Row],[Fecha]],"mm-mmm"))</f>
        <v>2025 - 05-MAY</v>
      </c>
      <c r="AH549" s="5">
        <v>0</v>
      </c>
    </row>
    <row r="550" spans="1:34" x14ac:dyDescent="0.25">
      <c r="A550" t="s">
        <v>815</v>
      </c>
      <c r="B550">
        <v>2025</v>
      </c>
      <c r="C550">
        <v>5</v>
      </c>
      <c r="D550" s="1">
        <v>45786</v>
      </c>
      <c r="E550" s="1">
        <v>45786</v>
      </c>
      <c r="F550" s="1">
        <v>45786</v>
      </c>
      <c r="G550" s="1">
        <v>45786</v>
      </c>
      <c r="H550" s="2">
        <v>45787.431300231481</v>
      </c>
      <c r="I550">
        <v>2039</v>
      </c>
      <c r="J550" t="s">
        <v>30</v>
      </c>
      <c r="K550" t="s">
        <v>31</v>
      </c>
      <c r="L550">
        <v>50</v>
      </c>
      <c r="M550">
        <v>50</v>
      </c>
      <c r="N550" t="s">
        <v>32</v>
      </c>
      <c r="O550">
        <v>1</v>
      </c>
      <c r="P550">
        <v>150</v>
      </c>
      <c r="Q550" t="b">
        <v>1</v>
      </c>
      <c r="R550" t="b">
        <v>0</v>
      </c>
      <c r="S550" t="b">
        <v>0</v>
      </c>
      <c r="T550">
        <v>231</v>
      </c>
      <c r="U550">
        <v>0</v>
      </c>
      <c r="V550" t="s">
        <v>33</v>
      </c>
      <c r="W550" t="s">
        <v>33</v>
      </c>
      <c r="X550">
        <v>50</v>
      </c>
      <c r="Y550">
        <v>359</v>
      </c>
      <c r="Z550" t="s">
        <v>106</v>
      </c>
      <c r="AA550">
        <v>359</v>
      </c>
      <c r="AB550" t="s">
        <v>121</v>
      </c>
      <c r="AC550" t="s">
        <v>121</v>
      </c>
      <c r="AD550" t="str">
        <f t="shared" si="8"/>
        <v>Escobedo → Escobedo</v>
      </c>
      <c r="AE550" t="s">
        <v>1357</v>
      </c>
      <c r="AF550" s="4">
        <v>45778</v>
      </c>
      <c r="AG550" t="str">
        <f>YEAR(Table1[[#This Row],[Fecha]])&amp;" - " &amp;UPPER(TEXT(Table1[[#This Row],[Fecha]],"mm-mmm"))</f>
        <v>2025 - 05-MAY</v>
      </c>
      <c r="AH550" s="5">
        <v>0</v>
      </c>
    </row>
    <row r="551" spans="1:34" x14ac:dyDescent="0.25">
      <c r="A551" t="s">
        <v>475</v>
      </c>
      <c r="B551">
        <v>2025</v>
      </c>
      <c r="C551">
        <v>5</v>
      </c>
      <c r="D551" s="1">
        <v>45786</v>
      </c>
      <c r="E551" s="1">
        <v>45786</v>
      </c>
      <c r="F551" s="1">
        <v>45786</v>
      </c>
      <c r="G551" s="1">
        <v>45786</v>
      </c>
      <c r="H551" s="2">
        <v>45787.43163298611</v>
      </c>
      <c r="I551">
        <v>2039</v>
      </c>
      <c r="J551" t="s">
        <v>30</v>
      </c>
      <c r="K551" t="s">
        <v>31</v>
      </c>
      <c r="L551">
        <v>50</v>
      </c>
      <c r="M551">
        <v>50</v>
      </c>
      <c r="N551" t="s">
        <v>32</v>
      </c>
      <c r="O551">
        <v>1</v>
      </c>
      <c r="P551">
        <v>150</v>
      </c>
      <c r="Q551" t="b">
        <v>1</v>
      </c>
      <c r="R551" t="b">
        <v>0</v>
      </c>
      <c r="S551" t="b">
        <v>0</v>
      </c>
      <c r="T551">
        <v>231</v>
      </c>
      <c r="U551">
        <v>0</v>
      </c>
      <c r="V551" t="s">
        <v>33</v>
      </c>
      <c r="W551" t="s">
        <v>33</v>
      </c>
      <c r="X551">
        <v>50</v>
      </c>
      <c r="Y551">
        <v>2936</v>
      </c>
      <c r="Z551" t="s">
        <v>106</v>
      </c>
      <c r="AA551">
        <v>2936</v>
      </c>
      <c r="AB551" t="s">
        <v>121</v>
      </c>
      <c r="AC551" t="s">
        <v>432</v>
      </c>
      <c r="AD551" t="str">
        <f t="shared" si="8"/>
        <v>Escobedo → Hidalgo</v>
      </c>
      <c r="AE551" t="s">
        <v>1357</v>
      </c>
      <c r="AF551" s="4">
        <v>45778</v>
      </c>
      <c r="AG551" t="str">
        <f>YEAR(Table1[[#This Row],[Fecha]])&amp;" - " &amp;UPPER(TEXT(Table1[[#This Row],[Fecha]],"mm-mmm"))</f>
        <v>2025 - 05-MAY</v>
      </c>
      <c r="AH551" s="5">
        <v>0</v>
      </c>
    </row>
    <row r="552" spans="1:34" x14ac:dyDescent="0.25">
      <c r="A552" t="s">
        <v>476</v>
      </c>
      <c r="B552">
        <v>2025</v>
      </c>
      <c r="C552">
        <v>5</v>
      </c>
      <c r="D552" s="1">
        <v>45777</v>
      </c>
      <c r="E552" s="1">
        <v>45778</v>
      </c>
      <c r="F552" s="1">
        <v>45807</v>
      </c>
      <c r="G552" s="1">
        <v>45807</v>
      </c>
      <c r="H552" s="2">
        <v>45778.587662500002</v>
      </c>
      <c r="I552">
        <v>2039</v>
      </c>
      <c r="J552" t="s">
        <v>30</v>
      </c>
      <c r="K552" t="s">
        <v>31</v>
      </c>
      <c r="L552">
        <v>50</v>
      </c>
      <c r="M552">
        <v>50</v>
      </c>
      <c r="N552" t="s">
        <v>32</v>
      </c>
      <c r="O552">
        <v>1</v>
      </c>
      <c r="P552">
        <v>150</v>
      </c>
      <c r="Q552" t="b">
        <v>1</v>
      </c>
      <c r="R552" t="b">
        <v>0</v>
      </c>
      <c r="S552" t="b">
        <v>0</v>
      </c>
      <c r="T552">
        <v>231</v>
      </c>
      <c r="U552">
        <v>0</v>
      </c>
      <c r="V552" t="s">
        <v>33</v>
      </c>
      <c r="W552" t="s">
        <v>33</v>
      </c>
      <c r="X552">
        <v>50</v>
      </c>
      <c r="Y552">
        <v>2936</v>
      </c>
      <c r="Z552" t="s">
        <v>123</v>
      </c>
      <c r="AA552">
        <v>2936</v>
      </c>
      <c r="AB552" t="s">
        <v>121</v>
      </c>
      <c r="AC552" t="s">
        <v>432</v>
      </c>
      <c r="AD552" t="str">
        <f t="shared" si="8"/>
        <v>Escobedo → Hidalgo</v>
      </c>
      <c r="AE552" t="s">
        <v>1357</v>
      </c>
      <c r="AF552" s="4">
        <v>45778</v>
      </c>
      <c r="AG552" t="str">
        <f>YEAR(Table1[[#This Row],[Fecha]])&amp;" - " &amp;UPPER(TEXT(Table1[[#This Row],[Fecha]],"mm-mmm"))</f>
        <v>2025 - 05-MAY</v>
      </c>
      <c r="AH552" s="5">
        <v>0</v>
      </c>
    </row>
    <row r="553" spans="1:34" x14ac:dyDescent="0.25">
      <c r="A553" t="s">
        <v>819</v>
      </c>
      <c r="B553">
        <v>2025</v>
      </c>
      <c r="C553">
        <v>5</v>
      </c>
      <c r="D553" s="1">
        <v>45786</v>
      </c>
      <c r="E553" s="1">
        <v>45786</v>
      </c>
      <c r="F553" s="1">
        <v>45786</v>
      </c>
      <c r="G553" s="1">
        <v>45786</v>
      </c>
      <c r="H553" s="2">
        <v>45787.432398842589</v>
      </c>
      <c r="I553">
        <v>2039</v>
      </c>
      <c r="J553" t="s">
        <v>30</v>
      </c>
      <c r="K553" t="s">
        <v>31</v>
      </c>
      <c r="L553">
        <v>50</v>
      </c>
      <c r="M553">
        <v>50</v>
      </c>
      <c r="N553" t="s">
        <v>32</v>
      </c>
      <c r="O553">
        <v>1</v>
      </c>
      <c r="P553">
        <v>150</v>
      </c>
      <c r="Q553" t="b">
        <v>1</v>
      </c>
      <c r="R553" t="b">
        <v>0</v>
      </c>
      <c r="S553" t="b">
        <v>0</v>
      </c>
      <c r="T553">
        <v>231</v>
      </c>
      <c r="U553">
        <v>0</v>
      </c>
      <c r="V553" t="s">
        <v>33</v>
      </c>
      <c r="W553" t="s">
        <v>33</v>
      </c>
      <c r="X553">
        <v>50</v>
      </c>
      <c r="Y553">
        <v>359</v>
      </c>
      <c r="Z553" t="s">
        <v>106</v>
      </c>
      <c r="AA553">
        <v>359</v>
      </c>
      <c r="AB553" t="s">
        <v>121</v>
      </c>
      <c r="AC553" t="s">
        <v>121</v>
      </c>
      <c r="AD553" t="str">
        <f t="shared" si="8"/>
        <v>Escobedo → Escobedo</v>
      </c>
      <c r="AE553" t="s">
        <v>1357</v>
      </c>
      <c r="AF553" s="4">
        <v>45778</v>
      </c>
      <c r="AG553" t="str">
        <f>YEAR(Table1[[#This Row],[Fecha]])&amp;" - " &amp;UPPER(TEXT(Table1[[#This Row],[Fecha]],"mm-mmm"))</f>
        <v>2025 - 05-MAY</v>
      </c>
      <c r="AH553" s="5">
        <v>0</v>
      </c>
    </row>
    <row r="554" spans="1:34" x14ac:dyDescent="0.25">
      <c r="A554" t="s">
        <v>473</v>
      </c>
      <c r="B554">
        <v>2025</v>
      </c>
      <c r="C554">
        <v>5</v>
      </c>
      <c r="D554" s="1">
        <v>45786</v>
      </c>
      <c r="E554" s="1">
        <v>45786</v>
      </c>
      <c r="F554" s="1">
        <v>45786</v>
      </c>
      <c r="G554" s="1">
        <v>45786</v>
      </c>
      <c r="H554" s="2">
        <v>45787.433004363425</v>
      </c>
      <c r="I554">
        <v>2039</v>
      </c>
      <c r="J554" t="s">
        <v>30</v>
      </c>
      <c r="K554" t="s">
        <v>31</v>
      </c>
      <c r="L554">
        <v>50</v>
      </c>
      <c r="M554">
        <v>50</v>
      </c>
      <c r="N554" t="s">
        <v>32</v>
      </c>
      <c r="O554">
        <v>1</v>
      </c>
      <c r="P554">
        <v>150</v>
      </c>
      <c r="Q554" t="b">
        <v>1</v>
      </c>
      <c r="R554" t="b">
        <v>0</v>
      </c>
      <c r="S554" t="b">
        <v>0</v>
      </c>
      <c r="T554">
        <v>231</v>
      </c>
      <c r="U554">
        <v>0</v>
      </c>
      <c r="V554" t="s">
        <v>33</v>
      </c>
      <c r="W554" t="s">
        <v>33</v>
      </c>
      <c r="X554">
        <v>50</v>
      </c>
      <c r="Y554">
        <v>2936</v>
      </c>
      <c r="Z554" t="s">
        <v>106</v>
      </c>
      <c r="AA554">
        <v>2936</v>
      </c>
      <c r="AB554" t="s">
        <v>121</v>
      </c>
      <c r="AC554" t="s">
        <v>432</v>
      </c>
      <c r="AD554" t="str">
        <f t="shared" si="8"/>
        <v>Escobedo → Hidalgo</v>
      </c>
      <c r="AE554" t="s">
        <v>1357</v>
      </c>
      <c r="AF554" s="4">
        <v>45778</v>
      </c>
      <c r="AG554" t="str">
        <f>YEAR(Table1[[#This Row],[Fecha]])&amp;" - " &amp;UPPER(TEXT(Table1[[#This Row],[Fecha]],"mm-mmm"))</f>
        <v>2025 - 05-MAY</v>
      </c>
      <c r="AH554" s="5">
        <v>0</v>
      </c>
    </row>
    <row r="555" spans="1:34" x14ac:dyDescent="0.25">
      <c r="A555" t="s">
        <v>816</v>
      </c>
      <c r="B555">
        <v>2025</v>
      </c>
      <c r="C555">
        <v>5</v>
      </c>
      <c r="D555" s="1">
        <v>45786</v>
      </c>
      <c r="E555" s="1">
        <v>45786</v>
      </c>
      <c r="F555" s="1">
        <v>45786</v>
      </c>
      <c r="G555" s="1">
        <v>45786</v>
      </c>
      <c r="H555" s="2">
        <v>45787.433400775466</v>
      </c>
      <c r="I555">
        <v>2039</v>
      </c>
      <c r="J555" t="s">
        <v>30</v>
      </c>
      <c r="K555" t="s">
        <v>31</v>
      </c>
      <c r="L555">
        <v>50</v>
      </c>
      <c r="M555">
        <v>50</v>
      </c>
      <c r="N555" t="s">
        <v>32</v>
      </c>
      <c r="O555">
        <v>1</v>
      </c>
      <c r="P555">
        <v>150</v>
      </c>
      <c r="Q555" t="b">
        <v>1</v>
      </c>
      <c r="R555" t="b">
        <v>0</v>
      </c>
      <c r="S555" t="b">
        <v>0</v>
      </c>
      <c r="T555">
        <v>231</v>
      </c>
      <c r="U555">
        <v>0</v>
      </c>
      <c r="V555" t="s">
        <v>33</v>
      </c>
      <c r="W555" t="s">
        <v>33</v>
      </c>
      <c r="X555">
        <v>50</v>
      </c>
      <c r="Y555">
        <v>359</v>
      </c>
      <c r="Z555" t="s">
        <v>106</v>
      </c>
      <c r="AA555">
        <v>359</v>
      </c>
      <c r="AB555" t="s">
        <v>121</v>
      </c>
      <c r="AC555" t="s">
        <v>121</v>
      </c>
      <c r="AD555" t="str">
        <f t="shared" si="8"/>
        <v>Escobedo → Escobedo</v>
      </c>
      <c r="AE555" t="s">
        <v>1357</v>
      </c>
      <c r="AF555" s="4">
        <v>45778</v>
      </c>
      <c r="AG555" t="str">
        <f>YEAR(Table1[[#This Row],[Fecha]])&amp;" - " &amp;UPPER(TEXT(Table1[[#This Row],[Fecha]],"mm-mmm"))</f>
        <v>2025 - 05-MAY</v>
      </c>
      <c r="AH555" s="5">
        <v>0</v>
      </c>
    </row>
    <row r="556" spans="1:34" x14ac:dyDescent="0.25">
      <c r="A556" t="s">
        <v>817</v>
      </c>
      <c r="B556">
        <v>2025</v>
      </c>
      <c r="C556">
        <v>5</v>
      </c>
      <c r="D556" s="1">
        <v>45787</v>
      </c>
      <c r="E556" s="1">
        <v>45787</v>
      </c>
      <c r="F556" s="1">
        <v>45787</v>
      </c>
      <c r="G556" s="1">
        <v>45787</v>
      </c>
      <c r="H556" s="2">
        <v>45787.433889236112</v>
      </c>
      <c r="I556">
        <v>2039</v>
      </c>
      <c r="J556" t="s">
        <v>30</v>
      </c>
      <c r="K556" t="s">
        <v>31</v>
      </c>
      <c r="L556">
        <v>50</v>
      </c>
      <c r="M556">
        <v>50</v>
      </c>
      <c r="N556" t="s">
        <v>32</v>
      </c>
      <c r="O556">
        <v>1</v>
      </c>
      <c r="P556">
        <v>150</v>
      </c>
      <c r="Q556" t="b">
        <v>1</v>
      </c>
      <c r="R556" t="b">
        <v>0</v>
      </c>
      <c r="S556" t="b">
        <v>0</v>
      </c>
      <c r="T556">
        <v>231</v>
      </c>
      <c r="U556">
        <v>0</v>
      </c>
      <c r="V556" t="s">
        <v>33</v>
      </c>
      <c r="W556" t="s">
        <v>33</v>
      </c>
      <c r="X556">
        <v>50</v>
      </c>
      <c r="Y556">
        <v>359</v>
      </c>
      <c r="Z556" t="s">
        <v>106</v>
      </c>
      <c r="AA556">
        <v>359</v>
      </c>
      <c r="AB556" t="s">
        <v>121</v>
      </c>
      <c r="AC556" t="s">
        <v>121</v>
      </c>
      <c r="AD556" t="str">
        <f t="shared" si="8"/>
        <v>Escobedo → Escobedo</v>
      </c>
      <c r="AE556" t="s">
        <v>1357</v>
      </c>
      <c r="AF556" s="4">
        <v>45778</v>
      </c>
      <c r="AG556" t="str">
        <f>YEAR(Table1[[#This Row],[Fecha]])&amp;" - " &amp;UPPER(TEXT(Table1[[#This Row],[Fecha]],"mm-mmm"))</f>
        <v>2025 - 05-MAY</v>
      </c>
      <c r="AH556" s="5">
        <v>0</v>
      </c>
    </row>
    <row r="557" spans="1:34" x14ac:dyDescent="0.25">
      <c r="A557" t="s">
        <v>818</v>
      </c>
      <c r="B557">
        <v>2025</v>
      </c>
      <c r="C557">
        <v>5</v>
      </c>
      <c r="D557" s="1">
        <v>45788</v>
      </c>
      <c r="E557" s="1">
        <v>45788</v>
      </c>
      <c r="F557" s="1">
        <v>45788</v>
      </c>
      <c r="G557" s="1">
        <v>45788</v>
      </c>
      <c r="H557" s="2">
        <v>45789.539282372687</v>
      </c>
      <c r="I557">
        <v>2039</v>
      </c>
      <c r="J557" t="s">
        <v>30</v>
      </c>
      <c r="K557" t="s">
        <v>31</v>
      </c>
      <c r="L557">
        <v>50</v>
      </c>
      <c r="M557">
        <v>50</v>
      </c>
      <c r="N557" t="s">
        <v>32</v>
      </c>
      <c r="O557">
        <v>1</v>
      </c>
      <c r="P557">
        <v>150</v>
      </c>
      <c r="Q557" t="b">
        <v>1</v>
      </c>
      <c r="R557" t="b">
        <v>0</v>
      </c>
      <c r="S557" t="b">
        <v>0</v>
      </c>
      <c r="T557">
        <v>231</v>
      </c>
      <c r="U557">
        <v>0</v>
      </c>
      <c r="V557" t="s">
        <v>33</v>
      </c>
      <c r="W557" t="s">
        <v>33</v>
      </c>
      <c r="X557">
        <v>50</v>
      </c>
      <c r="Y557">
        <v>359</v>
      </c>
      <c r="Z557" t="s">
        <v>106</v>
      </c>
      <c r="AA557">
        <v>359</v>
      </c>
      <c r="AB557" t="s">
        <v>121</v>
      </c>
      <c r="AC557" t="s">
        <v>121</v>
      </c>
      <c r="AD557" t="str">
        <f t="shared" si="8"/>
        <v>Escobedo → Escobedo</v>
      </c>
      <c r="AE557" t="s">
        <v>1357</v>
      </c>
      <c r="AF557" s="4">
        <v>45778</v>
      </c>
      <c r="AG557" t="str">
        <f>YEAR(Table1[[#This Row],[Fecha]])&amp;" - " &amp;UPPER(TEXT(Table1[[#This Row],[Fecha]],"mm-mmm"))</f>
        <v>2025 - 05-MAY</v>
      </c>
      <c r="AH557" s="5">
        <v>0</v>
      </c>
    </row>
    <row r="558" spans="1:34" x14ac:dyDescent="0.25">
      <c r="A558" t="s">
        <v>474</v>
      </c>
      <c r="B558">
        <v>2025</v>
      </c>
      <c r="C558">
        <v>5</v>
      </c>
      <c r="D558" s="1">
        <v>45777</v>
      </c>
      <c r="E558" s="1">
        <v>45778</v>
      </c>
      <c r="F558" s="1">
        <v>45807</v>
      </c>
      <c r="G558" s="1">
        <v>45807</v>
      </c>
      <c r="H558" s="2">
        <v>45778.588073842591</v>
      </c>
      <c r="I558">
        <v>2039</v>
      </c>
      <c r="J558" t="s">
        <v>30</v>
      </c>
      <c r="K558" t="s">
        <v>31</v>
      </c>
      <c r="L558">
        <v>50</v>
      </c>
      <c r="M558">
        <v>50</v>
      </c>
      <c r="N558" t="s">
        <v>32</v>
      </c>
      <c r="O558">
        <v>1</v>
      </c>
      <c r="P558">
        <v>150</v>
      </c>
      <c r="Q558" t="b">
        <v>1</v>
      </c>
      <c r="R558" t="b">
        <v>0</v>
      </c>
      <c r="S558" t="b">
        <v>0</v>
      </c>
      <c r="T558">
        <v>231</v>
      </c>
      <c r="U558">
        <v>0</v>
      </c>
      <c r="V558" t="s">
        <v>33</v>
      </c>
      <c r="W558" t="s">
        <v>33</v>
      </c>
      <c r="X558">
        <v>50</v>
      </c>
      <c r="Y558">
        <v>2936</v>
      </c>
      <c r="Z558" t="s">
        <v>123</v>
      </c>
      <c r="AA558">
        <v>2936</v>
      </c>
      <c r="AB558" t="s">
        <v>121</v>
      </c>
      <c r="AC558" t="s">
        <v>432</v>
      </c>
      <c r="AD558" t="str">
        <f t="shared" si="8"/>
        <v>Escobedo → Hidalgo</v>
      </c>
      <c r="AE558" t="s">
        <v>1357</v>
      </c>
      <c r="AF558" s="4">
        <v>45778</v>
      </c>
      <c r="AG558" t="str">
        <f>YEAR(Table1[[#This Row],[Fecha]])&amp;" - " &amp;UPPER(TEXT(Table1[[#This Row],[Fecha]],"mm-mmm"))</f>
        <v>2025 - 05-MAY</v>
      </c>
      <c r="AH558" s="5">
        <v>0</v>
      </c>
    </row>
    <row r="559" spans="1:34" x14ac:dyDescent="0.25">
      <c r="A559" t="s">
        <v>820</v>
      </c>
      <c r="B559">
        <v>2025</v>
      </c>
      <c r="C559">
        <v>5</v>
      </c>
      <c r="D559" s="1">
        <v>45789</v>
      </c>
      <c r="E559" s="1">
        <v>45789</v>
      </c>
      <c r="F559" s="1">
        <v>45789</v>
      </c>
      <c r="G559" s="1">
        <v>45789</v>
      </c>
      <c r="H559" s="2">
        <v>45789.669688506947</v>
      </c>
      <c r="I559">
        <v>2039</v>
      </c>
      <c r="J559" t="s">
        <v>30</v>
      </c>
      <c r="K559" t="s">
        <v>31</v>
      </c>
      <c r="L559">
        <v>50</v>
      </c>
      <c r="M559">
        <v>50</v>
      </c>
      <c r="N559" t="s">
        <v>32</v>
      </c>
      <c r="O559">
        <v>1</v>
      </c>
      <c r="P559">
        <v>150</v>
      </c>
      <c r="Q559" t="b">
        <v>1</v>
      </c>
      <c r="R559" t="b">
        <v>0</v>
      </c>
      <c r="S559" t="b">
        <v>0</v>
      </c>
      <c r="T559">
        <v>231</v>
      </c>
      <c r="U559">
        <v>0</v>
      </c>
      <c r="V559" t="s">
        <v>33</v>
      </c>
      <c r="W559" t="s">
        <v>33</v>
      </c>
      <c r="X559">
        <v>50</v>
      </c>
      <c r="Y559">
        <v>359</v>
      </c>
      <c r="Z559" t="s">
        <v>34</v>
      </c>
      <c r="AA559">
        <v>359</v>
      </c>
      <c r="AB559" t="s">
        <v>121</v>
      </c>
      <c r="AC559" t="s">
        <v>121</v>
      </c>
      <c r="AD559" t="str">
        <f t="shared" si="8"/>
        <v>Escobedo → Escobedo</v>
      </c>
      <c r="AE559" t="s">
        <v>1357</v>
      </c>
      <c r="AF559" s="4">
        <v>45778</v>
      </c>
      <c r="AG559" t="str">
        <f>YEAR(Table1[[#This Row],[Fecha]])&amp;" - " &amp;UPPER(TEXT(Table1[[#This Row],[Fecha]],"mm-mmm"))</f>
        <v>2025 - 05-MAY</v>
      </c>
      <c r="AH559" s="5">
        <v>0</v>
      </c>
    </row>
    <row r="560" spans="1:34" x14ac:dyDescent="0.25">
      <c r="A560" t="s">
        <v>821</v>
      </c>
      <c r="B560">
        <v>2025</v>
      </c>
      <c r="C560">
        <v>5</v>
      </c>
      <c r="D560" s="1">
        <v>45789</v>
      </c>
      <c r="E560" s="1">
        <v>45789</v>
      </c>
      <c r="F560" s="1">
        <v>45789</v>
      </c>
      <c r="G560" s="1">
        <v>45789</v>
      </c>
      <c r="H560" s="2">
        <v>45789.670068865744</v>
      </c>
      <c r="I560">
        <v>2039</v>
      </c>
      <c r="J560" t="s">
        <v>30</v>
      </c>
      <c r="K560" t="s">
        <v>31</v>
      </c>
      <c r="L560">
        <v>50</v>
      </c>
      <c r="M560">
        <v>50</v>
      </c>
      <c r="N560" t="s">
        <v>32</v>
      </c>
      <c r="O560">
        <v>1</v>
      </c>
      <c r="P560">
        <v>150</v>
      </c>
      <c r="Q560" t="b">
        <v>1</v>
      </c>
      <c r="R560" t="b">
        <v>0</v>
      </c>
      <c r="S560" t="b">
        <v>0</v>
      </c>
      <c r="T560">
        <v>231</v>
      </c>
      <c r="U560">
        <v>0</v>
      </c>
      <c r="V560" t="s">
        <v>33</v>
      </c>
      <c r="W560" t="s">
        <v>33</v>
      </c>
      <c r="X560">
        <v>50</v>
      </c>
      <c r="Y560">
        <v>359</v>
      </c>
      <c r="Z560" t="s">
        <v>34</v>
      </c>
      <c r="AA560">
        <v>359</v>
      </c>
      <c r="AB560" t="s">
        <v>121</v>
      </c>
      <c r="AC560" t="s">
        <v>121</v>
      </c>
      <c r="AD560" t="str">
        <f t="shared" si="8"/>
        <v>Escobedo → Escobedo</v>
      </c>
      <c r="AE560" t="s">
        <v>1357</v>
      </c>
      <c r="AF560" s="4">
        <v>45778</v>
      </c>
      <c r="AG560" t="str">
        <f>YEAR(Table1[[#This Row],[Fecha]])&amp;" - " &amp;UPPER(TEXT(Table1[[#This Row],[Fecha]],"mm-mmm"))</f>
        <v>2025 - 05-MAY</v>
      </c>
      <c r="AH560" s="5">
        <v>0</v>
      </c>
    </row>
    <row r="561" spans="1:34" x14ac:dyDescent="0.25">
      <c r="A561" t="s">
        <v>822</v>
      </c>
      <c r="B561">
        <v>2025</v>
      </c>
      <c r="C561">
        <v>5</v>
      </c>
      <c r="D561" s="1">
        <v>45789</v>
      </c>
      <c r="E561" s="1">
        <v>45789</v>
      </c>
      <c r="F561" s="1">
        <v>45789</v>
      </c>
      <c r="G561" s="1">
        <v>45789</v>
      </c>
      <c r="H561" s="2">
        <v>45789.670510381948</v>
      </c>
      <c r="I561">
        <v>2039</v>
      </c>
      <c r="J561" t="s">
        <v>30</v>
      </c>
      <c r="K561" t="s">
        <v>31</v>
      </c>
      <c r="L561">
        <v>50</v>
      </c>
      <c r="M561">
        <v>50</v>
      </c>
      <c r="N561" t="s">
        <v>32</v>
      </c>
      <c r="O561">
        <v>1</v>
      </c>
      <c r="P561">
        <v>150</v>
      </c>
      <c r="Q561" t="b">
        <v>1</v>
      </c>
      <c r="R561" t="b">
        <v>0</v>
      </c>
      <c r="S561" t="b">
        <v>0</v>
      </c>
      <c r="T561">
        <v>231</v>
      </c>
      <c r="U561">
        <v>0</v>
      </c>
      <c r="V561" t="s">
        <v>33</v>
      </c>
      <c r="W561" t="s">
        <v>33</v>
      </c>
      <c r="X561">
        <v>50</v>
      </c>
      <c r="Y561">
        <v>359</v>
      </c>
      <c r="Z561" t="s">
        <v>34</v>
      </c>
      <c r="AA561">
        <v>359</v>
      </c>
      <c r="AB561" t="s">
        <v>121</v>
      </c>
      <c r="AC561" t="s">
        <v>121</v>
      </c>
      <c r="AD561" t="str">
        <f t="shared" si="8"/>
        <v>Escobedo → Escobedo</v>
      </c>
      <c r="AE561" t="s">
        <v>1357</v>
      </c>
      <c r="AF561" s="4">
        <v>45778</v>
      </c>
      <c r="AG561" t="str">
        <f>YEAR(Table1[[#This Row],[Fecha]])&amp;" - " &amp;UPPER(TEXT(Table1[[#This Row],[Fecha]],"mm-mmm"))</f>
        <v>2025 - 05-MAY</v>
      </c>
      <c r="AH561" s="5">
        <v>0</v>
      </c>
    </row>
    <row r="562" spans="1:34" x14ac:dyDescent="0.25">
      <c r="A562" t="s">
        <v>483</v>
      </c>
      <c r="B562">
        <v>2025</v>
      </c>
      <c r="C562">
        <v>5</v>
      </c>
      <c r="D562" s="1">
        <v>45789</v>
      </c>
      <c r="E562" s="1">
        <v>45789</v>
      </c>
      <c r="F562" s="1">
        <v>45789</v>
      </c>
      <c r="G562" s="1">
        <v>45789</v>
      </c>
      <c r="H562" s="2">
        <v>45789.670979629627</v>
      </c>
      <c r="I562">
        <v>2039</v>
      </c>
      <c r="J562" t="s">
        <v>30</v>
      </c>
      <c r="K562" t="s">
        <v>31</v>
      </c>
      <c r="L562">
        <v>50</v>
      </c>
      <c r="M562">
        <v>50</v>
      </c>
      <c r="N562" t="s">
        <v>32</v>
      </c>
      <c r="O562">
        <v>1</v>
      </c>
      <c r="P562">
        <v>150</v>
      </c>
      <c r="Q562" t="b">
        <v>1</v>
      </c>
      <c r="R562" t="b">
        <v>0</v>
      </c>
      <c r="S562" t="b">
        <v>0</v>
      </c>
      <c r="T562">
        <v>231</v>
      </c>
      <c r="U562">
        <v>0</v>
      </c>
      <c r="V562" t="s">
        <v>33</v>
      </c>
      <c r="W562" t="s">
        <v>33</v>
      </c>
      <c r="X562">
        <v>50</v>
      </c>
      <c r="Y562">
        <v>2936</v>
      </c>
      <c r="Z562" t="s">
        <v>34</v>
      </c>
      <c r="AA562">
        <v>2936</v>
      </c>
      <c r="AB562" t="s">
        <v>121</v>
      </c>
      <c r="AC562" t="s">
        <v>432</v>
      </c>
      <c r="AD562" t="str">
        <f t="shared" si="8"/>
        <v>Escobedo → Hidalgo</v>
      </c>
      <c r="AE562" t="s">
        <v>1357</v>
      </c>
      <c r="AF562" s="4">
        <v>45778</v>
      </c>
      <c r="AG562" t="str">
        <f>YEAR(Table1[[#This Row],[Fecha]])&amp;" - " &amp;UPPER(TEXT(Table1[[#This Row],[Fecha]],"mm-mmm"))</f>
        <v>2025 - 05-MAY</v>
      </c>
      <c r="AH562" s="5">
        <v>0</v>
      </c>
    </row>
    <row r="563" spans="1:34" x14ac:dyDescent="0.25">
      <c r="A563" t="s">
        <v>484</v>
      </c>
      <c r="B563">
        <v>2025</v>
      </c>
      <c r="C563">
        <v>5</v>
      </c>
      <c r="D563" s="1">
        <v>45789</v>
      </c>
      <c r="E563" s="1">
        <v>45789</v>
      </c>
      <c r="F563" s="1">
        <v>45789</v>
      </c>
      <c r="G563" s="1">
        <v>45789</v>
      </c>
      <c r="H563" s="2">
        <v>45789.671537581016</v>
      </c>
      <c r="I563">
        <v>2039</v>
      </c>
      <c r="J563" t="s">
        <v>30</v>
      </c>
      <c r="K563" t="s">
        <v>31</v>
      </c>
      <c r="L563">
        <v>50</v>
      </c>
      <c r="M563">
        <v>50</v>
      </c>
      <c r="N563" t="s">
        <v>32</v>
      </c>
      <c r="O563">
        <v>1</v>
      </c>
      <c r="P563">
        <v>150</v>
      </c>
      <c r="Q563" t="b">
        <v>1</v>
      </c>
      <c r="R563" t="b">
        <v>0</v>
      </c>
      <c r="S563" t="b">
        <v>0</v>
      </c>
      <c r="T563">
        <v>231</v>
      </c>
      <c r="U563">
        <v>0</v>
      </c>
      <c r="V563" t="s">
        <v>33</v>
      </c>
      <c r="W563" t="s">
        <v>33</v>
      </c>
      <c r="X563">
        <v>50</v>
      </c>
      <c r="Y563">
        <v>2936</v>
      </c>
      <c r="Z563" t="s">
        <v>34</v>
      </c>
      <c r="AA563">
        <v>2936</v>
      </c>
      <c r="AB563" t="s">
        <v>121</v>
      </c>
      <c r="AC563" t="s">
        <v>432</v>
      </c>
      <c r="AD563" t="str">
        <f t="shared" si="8"/>
        <v>Escobedo → Hidalgo</v>
      </c>
      <c r="AE563" t="s">
        <v>1357</v>
      </c>
      <c r="AF563" s="4">
        <v>45778</v>
      </c>
      <c r="AG563" t="str">
        <f>YEAR(Table1[[#This Row],[Fecha]])&amp;" - " &amp;UPPER(TEXT(Table1[[#This Row],[Fecha]],"mm-mmm"))</f>
        <v>2025 - 05-MAY</v>
      </c>
      <c r="AH563" s="5">
        <v>0</v>
      </c>
    </row>
    <row r="564" spans="1:34" x14ac:dyDescent="0.25">
      <c r="A564" t="s">
        <v>850</v>
      </c>
      <c r="B564">
        <v>2025</v>
      </c>
      <c r="C564">
        <v>5</v>
      </c>
      <c r="D564" s="1">
        <v>45789</v>
      </c>
      <c r="E564" s="1">
        <v>45789</v>
      </c>
      <c r="F564" s="1">
        <v>45789</v>
      </c>
      <c r="G564" s="1">
        <v>45789</v>
      </c>
      <c r="H564" s="2">
        <v>45789.672330324072</v>
      </c>
      <c r="I564">
        <v>2039</v>
      </c>
      <c r="J564" t="s">
        <v>30</v>
      </c>
      <c r="K564" t="s">
        <v>31</v>
      </c>
      <c r="L564">
        <v>50</v>
      </c>
      <c r="M564">
        <v>50</v>
      </c>
      <c r="N564" t="s">
        <v>32</v>
      </c>
      <c r="O564">
        <v>1</v>
      </c>
      <c r="P564">
        <v>150</v>
      </c>
      <c r="Q564" t="b">
        <v>1</v>
      </c>
      <c r="R564" t="b">
        <v>0</v>
      </c>
      <c r="S564" t="b">
        <v>0</v>
      </c>
      <c r="T564">
        <v>231</v>
      </c>
      <c r="U564">
        <v>0</v>
      </c>
      <c r="V564" t="s">
        <v>33</v>
      </c>
      <c r="W564" t="s">
        <v>33</v>
      </c>
      <c r="X564">
        <v>50</v>
      </c>
      <c r="Y564">
        <v>359</v>
      </c>
      <c r="Z564" t="s">
        <v>34</v>
      </c>
      <c r="AA564">
        <v>359</v>
      </c>
      <c r="AB564" t="s">
        <v>121</v>
      </c>
      <c r="AC564" t="s">
        <v>121</v>
      </c>
      <c r="AD564" t="str">
        <f t="shared" si="8"/>
        <v>Escobedo → Escobedo</v>
      </c>
      <c r="AE564" t="s">
        <v>1357</v>
      </c>
      <c r="AF564" s="4">
        <v>45778</v>
      </c>
      <c r="AG564" t="str">
        <f>YEAR(Table1[[#This Row],[Fecha]])&amp;" - " &amp;UPPER(TEXT(Table1[[#This Row],[Fecha]],"mm-mmm"))</f>
        <v>2025 - 05-MAY</v>
      </c>
      <c r="AH564" s="5">
        <v>0</v>
      </c>
    </row>
    <row r="565" spans="1:34" x14ac:dyDescent="0.25">
      <c r="A565" t="s">
        <v>851</v>
      </c>
      <c r="B565">
        <v>2025</v>
      </c>
      <c r="C565">
        <v>5</v>
      </c>
      <c r="D565" s="1">
        <v>45789</v>
      </c>
      <c r="E565" s="1">
        <v>45789</v>
      </c>
      <c r="F565" s="1">
        <v>45789</v>
      </c>
      <c r="G565" s="1">
        <v>45789</v>
      </c>
      <c r="H565" s="1">
        <v>45789</v>
      </c>
      <c r="I565">
        <v>2050</v>
      </c>
      <c r="J565" t="s">
        <v>54</v>
      </c>
      <c r="K565" t="s">
        <v>31</v>
      </c>
      <c r="L565">
        <v>50</v>
      </c>
      <c r="M565">
        <v>50</v>
      </c>
      <c r="N565" t="s">
        <v>55</v>
      </c>
      <c r="O565">
        <v>1</v>
      </c>
      <c r="P565">
        <v>150</v>
      </c>
      <c r="Q565" t="b">
        <v>1</v>
      </c>
      <c r="R565" t="b">
        <v>0</v>
      </c>
      <c r="S565" t="b">
        <v>0</v>
      </c>
      <c r="T565">
        <v>231</v>
      </c>
      <c r="U565">
        <v>0</v>
      </c>
      <c r="V565" t="s">
        <v>33</v>
      </c>
      <c r="W565" t="s">
        <v>33</v>
      </c>
      <c r="X565">
        <v>50</v>
      </c>
      <c r="Y565">
        <v>359</v>
      </c>
      <c r="Z565" t="s">
        <v>34</v>
      </c>
      <c r="AA565">
        <v>359</v>
      </c>
      <c r="AB565" t="s">
        <v>121</v>
      </c>
      <c r="AC565" t="s">
        <v>121</v>
      </c>
      <c r="AD565" t="str">
        <f t="shared" si="8"/>
        <v>Escobedo → Escobedo</v>
      </c>
      <c r="AE565" t="s">
        <v>1358</v>
      </c>
      <c r="AF565" s="4">
        <v>45778</v>
      </c>
      <c r="AG565" t="str">
        <f>YEAR(Table1[[#This Row],[Fecha]])&amp;" - " &amp;UPPER(TEXT(Table1[[#This Row],[Fecha]],"mm-mmm"))</f>
        <v>2025 - 05-MAY</v>
      </c>
      <c r="AH565" s="5">
        <v>0</v>
      </c>
    </row>
    <row r="566" spans="1:34" x14ac:dyDescent="0.25">
      <c r="A566" t="s">
        <v>412</v>
      </c>
      <c r="B566">
        <v>2025</v>
      </c>
      <c r="C566">
        <v>5</v>
      </c>
      <c r="D566" s="1">
        <v>45789</v>
      </c>
      <c r="E566" s="1">
        <v>45789</v>
      </c>
      <c r="F566" s="1">
        <v>45789</v>
      </c>
      <c r="G566" s="1">
        <v>45789</v>
      </c>
      <c r="H566" s="1">
        <v>45789</v>
      </c>
      <c r="I566">
        <v>2050</v>
      </c>
      <c r="J566" t="s">
        <v>54</v>
      </c>
      <c r="K566" t="s">
        <v>31</v>
      </c>
      <c r="L566">
        <v>50</v>
      </c>
      <c r="M566">
        <v>50</v>
      </c>
      <c r="N566" t="s">
        <v>55</v>
      </c>
      <c r="O566">
        <v>1</v>
      </c>
      <c r="P566">
        <v>150</v>
      </c>
      <c r="Q566" t="b">
        <v>1</v>
      </c>
      <c r="R566" t="b">
        <v>0</v>
      </c>
      <c r="S566" t="b">
        <v>0</v>
      </c>
      <c r="T566">
        <v>231</v>
      </c>
      <c r="U566">
        <v>0</v>
      </c>
      <c r="V566" t="s">
        <v>33</v>
      </c>
      <c r="W566" t="s">
        <v>33</v>
      </c>
      <c r="X566">
        <v>50</v>
      </c>
      <c r="Y566">
        <v>461</v>
      </c>
      <c r="Z566" t="s">
        <v>34</v>
      </c>
      <c r="AA566">
        <v>461</v>
      </c>
      <c r="AB566" t="s">
        <v>121</v>
      </c>
      <c r="AC566" t="s">
        <v>35</v>
      </c>
      <c r="AD566" t="str">
        <f t="shared" si="8"/>
        <v>Escobedo → Monterrey</v>
      </c>
      <c r="AE566" t="s">
        <v>1358</v>
      </c>
      <c r="AF566" s="4">
        <v>45778</v>
      </c>
      <c r="AG566" t="str">
        <f>YEAR(Table1[[#This Row],[Fecha]])&amp;" - " &amp;UPPER(TEXT(Table1[[#This Row],[Fecha]],"mm-mmm"))</f>
        <v>2025 - 05-MAY</v>
      </c>
      <c r="AH566" s="5">
        <v>0</v>
      </c>
    </row>
    <row r="567" spans="1:34" x14ac:dyDescent="0.25">
      <c r="A567" t="s">
        <v>230</v>
      </c>
      <c r="B567">
        <v>2025</v>
      </c>
      <c r="C567">
        <v>5</v>
      </c>
      <c r="D567" s="1">
        <v>45790</v>
      </c>
      <c r="E567" s="1">
        <v>45790</v>
      </c>
      <c r="F567" s="1">
        <v>45790</v>
      </c>
      <c r="G567" s="1">
        <v>45790</v>
      </c>
      <c r="H567" s="2">
        <v>45790.649882210651</v>
      </c>
      <c r="I567">
        <v>2039</v>
      </c>
      <c r="J567" t="s">
        <v>30</v>
      </c>
      <c r="K567" t="s">
        <v>31</v>
      </c>
      <c r="L567">
        <v>50</v>
      </c>
      <c r="M567">
        <v>50</v>
      </c>
      <c r="N567" t="s">
        <v>32</v>
      </c>
      <c r="O567">
        <v>1</v>
      </c>
      <c r="P567">
        <v>150</v>
      </c>
      <c r="Q567" t="b">
        <v>1</v>
      </c>
      <c r="R567" t="b">
        <v>0</v>
      </c>
      <c r="S567" t="b">
        <v>0</v>
      </c>
      <c r="T567">
        <v>231</v>
      </c>
      <c r="U567">
        <v>0</v>
      </c>
      <c r="V567" t="s">
        <v>33</v>
      </c>
      <c r="W567" t="s">
        <v>33</v>
      </c>
      <c r="X567">
        <v>50</v>
      </c>
      <c r="Y567">
        <v>229</v>
      </c>
      <c r="Z567" t="s">
        <v>74</v>
      </c>
      <c r="AA567">
        <v>229</v>
      </c>
      <c r="AB567" t="s">
        <v>121</v>
      </c>
      <c r="AC567" t="s">
        <v>121</v>
      </c>
      <c r="AD567" t="str">
        <f t="shared" si="8"/>
        <v>Escobedo → Escobedo</v>
      </c>
      <c r="AE567" t="s">
        <v>1357</v>
      </c>
      <c r="AF567" s="4">
        <v>45778</v>
      </c>
      <c r="AG567" t="str">
        <f>YEAR(Table1[[#This Row],[Fecha]])&amp;" - " &amp;UPPER(TEXT(Table1[[#This Row],[Fecha]],"mm-mmm"))</f>
        <v>2025 - 05-MAY</v>
      </c>
      <c r="AH567" s="5">
        <v>0</v>
      </c>
    </row>
    <row r="568" spans="1:34" x14ac:dyDescent="0.25">
      <c r="A568" t="s">
        <v>487</v>
      </c>
      <c r="B568">
        <v>2025</v>
      </c>
      <c r="C568">
        <v>5</v>
      </c>
      <c r="D568" s="1">
        <v>45790</v>
      </c>
      <c r="E568" s="1">
        <v>45790</v>
      </c>
      <c r="F568" s="1">
        <v>45790</v>
      </c>
      <c r="G568" s="1">
        <v>45790</v>
      </c>
      <c r="H568" s="2">
        <v>45790.650459456017</v>
      </c>
      <c r="I568">
        <v>2039</v>
      </c>
      <c r="J568" t="s">
        <v>30</v>
      </c>
      <c r="K568" t="s">
        <v>31</v>
      </c>
      <c r="L568">
        <v>50</v>
      </c>
      <c r="M568">
        <v>50</v>
      </c>
      <c r="N568" t="s">
        <v>32</v>
      </c>
      <c r="O568">
        <v>1</v>
      </c>
      <c r="P568">
        <v>150</v>
      </c>
      <c r="Q568" t="b">
        <v>1</v>
      </c>
      <c r="R568" t="b">
        <v>0</v>
      </c>
      <c r="S568" t="b">
        <v>0</v>
      </c>
      <c r="T568">
        <v>231</v>
      </c>
      <c r="U568">
        <v>0</v>
      </c>
      <c r="V568" t="s">
        <v>33</v>
      </c>
      <c r="W568" t="s">
        <v>33</v>
      </c>
      <c r="X568">
        <v>50</v>
      </c>
      <c r="Y568">
        <v>2936</v>
      </c>
      <c r="Z568" t="s">
        <v>74</v>
      </c>
      <c r="AA568">
        <v>2936</v>
      </c>
      <c r="AB568" t="s">
        <v>121</v>
      </c>
      <c r="AC568" t="s">
        <v>432</v>
      </c>
      <c r="AD568" t="str">
        <f t="shared" si="8"/>
        <v>Escobedo → Hidalgo</v>
      </c>
      <c r="AE568" t="s">
        <v>1357</v>
      </c>
      <c r="AF568" s="4">
        <v>45778</v>
      </c>
      <c r="AG568" t="str">
        <f>YEAR(Table1[[#This Row],[Fecha]])&amp;" - " &amp;UPPER(TEXT(Table1[[#This Row],[Fecha]],"mm-mmm"))</f>
        <v>2025 - 05-MAY</v>
      </c>
      <c r="AH568" s="5">
        <v>0</v>
      </c>
    </row>
    <row r="569" spans="1:34" x14ac:dyDescent="0.25">
      <c r="A569" t="s">
        <v>849</v>
      </c>
      <c r="B569">
        <v>2025</v>
      </c>
      <c r="C569">
        <v>5</v>
      </c>
      <c r="D569" s="1">
        <v>45790</v>
      </c>
      <c r="E569" s="1">
        <v>45790</v>
      </c>
      <c r="F569" s="1">
        <v>45790</v>
      </c>
      <c r="G569" s="1">
        <v>45790</v>
      </c>
      <c r="H569" s="2">
        <v>45790.650806678241</v>
      </c>
      <c r="I569">
        <v>2039</v>
      </c>
      <c r="J569" t="s">
        <v>30</v>
      </c>
      <c r="K569" t="s">
        <v>31</v>
      </c>
      <c r="L569">
        <v>50</v>
      </c>
      <c r="M569">
        <v>50</v>
      </c>
      <c r="N569" t="s">
        <v>32</v>
      </c>
      <c r="O569">
        <v>1</v>
      </c>
      <c r="P569">
        <v>150</v>
      </c>
      <c r="Q569" t="b">
        <v>1</v>
      </c>
      <c r="R569" t="b">
        <v>0</v>
      </c>
      <c r="S569" t="b">
        <v>0</v>
      </c>
      <c r="T569">
        <v>231</v>
      </c>
      <c r="U569">
        <v>0</v>
      </c>
      <c r="V569" t="s">
        <v>33</v>
      </c>
      <c r="W569" t="s">
        <v>33</v>
      </c>
      <c r="X569">
        <v>50</v>
      </c>
      <c r="Y569">
        <v>359</v>
      </c>
      <c r="Z569" t="s">
        <v>74</v>
      </c>
      <c r="AA569">
        <v>359</v>
      </c>
      <c r="AB569" t="s">
        <v>121</v>
      </c>
      <c r="AC569" t="s">
        <v>121</v>
      </c>
      <c r="AD569" t="str">
        <f t="shared" si="8"/>
        <v>Escobedo → Escobedo</v>
      </c>
      <c r="AE569" t="s">
        <v>1357</v>
      </c>
      <c r="AF569" s="4">
        <v>45778</v>
      </c>
      <c r="AG569" t="str">
        <f>YEAR(Table1[[#This Row],[Fecha]])&amp;" - " &amp;UPPER(TEXT(Table1[[#This Row],[Fecha]],"mm-mmm"))</f>
        <v>2025 - 05-MAY</v>
      </c>
      <c r="AH569" s="5">
        <v>0</v>
      </c>
    </row>
    <row r="570" spans="1:34" x14ac:dyDescent="0.25">
      <c r="A570" t="s">
        <v>485</v>
      </c>
      <c r="B570">
        <v>2025</v>
      </c>
      <c r="C570">
        <v>5</v>
      </c>
      <c r="D570" s="1">
        <v>45790</v>
      </c>
      <c r="E570" s="1">
        <v>45790</v>
      </c>
      <c r="F570" s="1">
        <v>45790</v>
      </c>
      <c r="G570" s="1">
        <v>45790</v>
      </c>
      <c r="H570" s="2">
        <v>45790.651137534725</v>
      </c>
      <c r="I570">
        <v>2039</v>
      </c>
      <c r="J570" t="s">
        <v>30</v>
      </c>
      <c r="K570" t="s">
        <v>31</v>
      </c>
      <c r="L570">
        <v>50</v>
      </c>
      <c r="M570">
        <v>50</v>
      </c>
      <c r="N570" t="s">
        <v>32</v>
      </c>
      <c r="O570">
        <v>1</v>
      </c>
      <c r="P570">
        <v>150</v>
      </c>
      <c r="Q570" t="b">
        <v>1</v>
      </c>
      <c r="R570" t="b">
        <v>0</v>
      </c>
      <c r="S570" t="b">
        <v>0</v>
      </c>
      <c r="T570">
        <v>231</v>
      </c>
      <c r="U570">
        <v>0</v>
      </c>
      <c r="V570" t="s">
        <v>33</v>
      </c>
      <c r="W570" t="s">
        <v>33</v>
      </c>
      <c r="X570">
        <v>50</v>
      </c>
      <c r="Y570">
        <v>2936</v>
      </c>
      <c r="Z570" t="s">
        <v>74</v>
      </c>
      <c r="AA570">
        <v>2936</v>
      </c>
      <c r="AB570" t="s">
        <v>121</v>
      </c>
      <c r="AC570" t="s">
        <v>432</v>
      </c>
      <c r="AD570" t="str">
        <f t="shared" si="8"/>
        <v>Escobedo → Hidalgo</v>
      </c>
      <c r="AE570" t="s">
        <v>1357</v>
      </c>
      <c r="AF570" s="4">
        <v>45778</v>
      </c>
      <c r="AG570" t="str">
        <f>YEAR(Table1[[#This Row],[Fecha]])&amp;" - " &amp;UPPER(TEXT(Table1[[#This Row],[Fecha]],"mm-mmm"))</f>
        <v>2025 - 05-MAY</v>
      </c>
      <c r="AH570" s="5">
        <v>0</v>
      </c>
    </row>
    <row r="571" spans="1:34" x14ac:dyDescent="0.25">
      <c r="A571" t="s">
        <v>486</v>
      </c>
      <c r="B571">
        <v>2025</v>
      </c>
      <c r="C571">
        <v>5</v>
      </c>
      <c r="D571" s="1">
        <v>45790</v>
      </c>
      <c r="E571" s="1">
        <v>45790</v>
      </c>
      <c r="F571" s="1">
        <v>45790</v>
      </c>
      <c r="G571" s="1">
        <v>45790</v>
      </c>
      <c r="H571" s="2">
        <v>45790.887766550928</v>
      </c>
      <c r="I571">
        <v>2039</v>
      </c>
      <c r="J571" t="s">
        <v>30</v>
      </c>
      <c r="K571" t="s">
        <v>31</v>
      </c>
      <c r="L571">
        <v>50</v>
      </c>
      <c r="M571">
        <v>50</v>
      </c>
      <c r="N571" t="s">
        <v>32</v>
      </c>
      <c r="O571">
        <v>1</v>
      </c>
      <c r="P571">
        <v>150</v>
      </c>
      <c r="Q571" t="b">
        <v>1</v>
      </c>
      <c r="R571" t="b">
        <v>0</v>
      </c>
      <c r="S571" t="b">
        <v>0</v>
      </c>
      <c r="T571">
        <v>231</v>
      </c>
      <c r="U571">
        <v>0</v>
      </c>
      <c r="V571" t="s">
        <v>33</v>
      </c>
      <c r="W571" t="s">
        <v>33</v>
      </c>
      <c r="X571">
        <v>50</v>
      </c>
      <c r="Y571">
        <v>2936</v>
      </c>
      <c r="Z571" t="s">
        <v>74</v>
      </c>
      <c r="AA571">
        <v>2936</v>
      </c>
      <c r="AB571" t="s">
        <v>121</v>
      </c>
      <c r="AC571" t="s">
        <v>432</v>
      </c>
      <c r="AD571" t="str">
        <f t="shared" si="8"/>
        <v>Escobedo → Hidalgo</v>
      </c>
      <c r="AE571" t="s">
        <v>1357</v>
      </c>
      <c r="AF571" s="4">
        <v>45778</v>
      </c>
      <c r="AG571" t="str">
        <f>YEAR(Table1[[#This Row],[Fecha]])&amp;" - " &amp;UPPER(TEXT(Table1[[#This Row],[Fecha]],"mm-mmm"))</f>
        <v>2025 - 05-MAY</v>
      </c>
      <c r="AH571" s="5">
        <v>0</v>
      </c>
    </row>
    <row r="572" spans="1:34" x14ac:dyDescent="0.25">
      <c r="A572" t="s">
        <v>841</v>
      </c>
      <c r="B572">
        <v>2025</v>
      </c>
      <c r="C572">
        <v>5</v>
      </c>
      <c r="D572" s="1">
        <v>45791</v>
      </c>
      <c r="E572" s="1">
        <v>45791</v>
      </c>
      <c r="F572" s="1">
        <v>45791</v>
      </c>
      <c r="G572" s="1">
        <v>45791</v>
      </c>
      <c r="H572" s="2">
        <v>45791.770141550929</v>
      </c>
      <c r="I572">
        <v>2039</v>
      </c>
      <c r="J572" t="s">
        <v>30</v>
      </c>
      <c r="K572" t="s">
        <v>31</v>
      </c>
      <c r="L572">
        <v>50</v>
      </c>
      <c r="M572">
        <v>50</v>
      </c>
      <c r="N572" t="s">
        <v>32</v>
      </c>
      <c r="O572">
        <v>1</v>
      </c>
      <c r="P572">
        <v>150</v>
      </c>
      <c r="Q572" t="b">
        <v>1</v>
      </c>
      <c r="R572" t="b">
        <v>0</v>
      </c>
      <c r="S572" t="b">
        <v>0</v>
      </c>
      <c r="T572">
        <v>231</v>
      </c>
      <c r="U572">
        <v>0</v>
      </c>
      <c r="V572" t="s">
        <v>33</v>
      </c>
      <c r="W572" t="s">
        <v>33</v>
      </c>
      <c r="X572">
        <v>50</v>
      </c>
      <c r="Y572">
        <v>359</v>
      </c>
      <c r="Z572" t="s">
        <v>34</v>
      </c>
      <c r="AA572">
        <v>359</v>
      </c>
      <c r="AB572" t="s">
        <v>121</v>
      </c>
      <c r="AC572" t="s">
        <v>121</v>
      </c>
      <c r="AD572" t="str">
        <f t="shared" si="8"/>
        <v>Escobedo → Escobedo</v>
      </c>
      <c r="AE572" t="s">
        <v>1357</v>
      </c>
      <c r="AF572" s="4">
        <v>45778</v>
      </c>
      <c r="AG572" t="str">
        <f>YEAR(Table1[[#This Row],[Fecha]])&amp;" - " &amp;UPPER(TEXT(Table1[[#This Row],[Fecha]],"mm-mmm"))</f>
        <v>2025 - 05-MAY</v>
      </c>
      <c r="AH572" s="5">
        <v>0</v>
      </c>
    </row>
    <row r="573" spans="1:34" x14ac:dyDescent="0.25">
      <c r="A573" t="s">
        <v>490</v>
      </c>
      <c r="B573">
        <v>2025</v>
      </c>
      <c r="C573">
        <v>5</v>
      </c>
      <c r="D573" s="1">
        <v>45791</v>
      </c>
      <c r="E573" s="1">
        <v>45791</v>
      </c>
      <c r="F573" s="1">
        <v>45791</v>
      </c>
      <c r="G573" s="1">
        <v>45791</v>
      </c>
      <c r="H573" s="2">
        <v>45791.770569409724</v>
      </c>
      <c r="I573">
        <v>2039</v>
      </c>
      <c r="J573" t="s">
        <v>30</v>
      </c>
      <c r="K573" t="s">
        <v>31</v>
      </c>
      <c r="L573">
        <v>50</v>
      </c>
      <c r="M573">
        <v>50</v>
      </c>
      <c r="N573" t="s">
        <v>32</v>
      </c>
      <c r="O573">
        <v>1</v>
      </c>
      <c r="P573">
        <v>150</v>
      </c>
      <c r="Q573" t="b">
        <v>1</v>
      </c>
      <c r="R573" t="b">
        <v>0</v>
      </c>
      <c r="S573" t="b">
        <v>0</v>
      </c>
      <c r="T573">
        <v>231</v>
      </c>
      <c r="U573">
        <v>0</v>
      </c>
      <c r="V573" t="s">
        <v>33</v>
      </c>
      <c r="W573" t="s">
        <v>33</v>
      </c>
      <c r="X573">
        <v>50</v>
      </c>
      <c r="Y573">
        <v>2936</v>
      </c>
      <c r="Z573" t="s">
        <v>34</v>
      </c>
      <c r="AA573">
        <v>2936</v>
      </c>
      <c r="AB573" t="s">
        <v>121</v>
      </c>
      <c r="AC573" t="s">
        <v>432</v>
      </c>
      <c r="AD573" t="str">
        <f t="shared" si="8"/>
        <v>Escobedo → Hidalgo</v>
      </c>
      <c r="AE573" t="s">
        <v>1357</v>
      </c>
      <c r="AF573" s="4">
        <v>45778</v>
      </c>
      <c r="AG573" t="str">
        <f>YEAR(Table1[[#This Row],[Fecha]])&amp;" - " &amp;UPPER(TEXT(Table1[[#This Row],[Fecha]],"mm-mmm"))</f>
        <v>2025 - 05-MAY</v>
      </c>
      <c r="AH573" s="5">
        <v>0</v>
      </c>
    </row>
    <row r="574" spans="1:34" x14ac:dyDescent="0.25">
      <c r="A574" t="s">
        <v>843</v>
      </c>
      <c r="B574">
        <v>2025</v>
      </c>
      <c r="C574">
        <v>5</v>
      </c>
      <c r="D574" s="1">
        <v>45791</v>
      </c>
      <c r="E574" s="1">
        <v>45791</v>
      </c>
      <c r="F574" s="1">
        <v>45791</v>
      </c>
      <c r="G574" s="1">
        <v>45791</v>
      </c>
      <c r="H574" s="2">
        <v>45791.770913043983</v>
      </c>
      <c r="I574">
        <v>2039</v>
      </c>
      <c r="J574" t="s">
        <v>30</v>
      </c>
      <c r="K574" t="s">
        <v>31</v>
      </c>
      <c r="L574">
        <v>50</v>
      </c>
      <c r="M574">
        <v>50</v>
      </c>
      <c r="N574" t="s">
        <v>32</v>
      </c>
      <c r="O574">
        <v>1</v>
      </c>
      <c r="P574">
        <v>150</v>
      </c>
      <c r="Q574" t="b">
        <v>1</v>
      </c>
      <c r="R574" t="b">
        <v>0</v>
      </c>
      <c r="S574" t="b">
        <v>0</v>
      </c>
      <c r="T574">
        <v>231</v>
      </c>
      <c r="U574">
        <v>0</v>
      </c>
      <c r="V574" t="s">
        <v>33</v>
      </c>
      <c r="W574" t="s">
        <v>33</v>
      </c>
      <c r="X574">
        <v>50</v>
      </c>
      <c r="Y574">
        <v>359</v>
      </c>
      <c r="Z574" t="s">
        <v>34</v>
      </c>
      <c r="AA574">
        <v>359</v>
      </c>
      <c r="AB574" t="s">
        <v>121</v>
      </c>
      <c r="AC574" t="s">
        <v>121</v>
      </c>
      <c r="AD574" t="str">
        <f t="shared" si="8"/>
        <v>Escobedo → Escobedo</v>
      </c>
      <c r="AE574" t="s">
        <v>1357</v>
      </c>
      <c r="AF574" s="4">
        <v>45778</v>
      </c>
      <c r="AG574" t="str">
        <f>YEAR(Table1[[#This Row],[Fecha]])&amp;" - " &amp;UPPER(TEXT(Table1[[#This Row],[Fecha]],"mm-mmm"))</f>
        <v>2025 - 05-MAY</v>
      </c>
      <c r="AH574" s="5">
        <v>0</v>
      </c>
    </row>
    <row r="575" spans="1:34" x14ac:dyDescent="0.25">
      <c r="A575" t="s">
        <v>844</v>
      </c>
      <c r="B575">
        <v>2025</v>
      </c>
      <c r="C575">
        <v>5</v>
      </c>
      <c r="D575" s="1">
        <v>45791</v>
      </c>
      <c r="E575" s="1">
        <v>45791</v>
      </c>
      <c r="F575" s="1">
        <v>45791</v>
      </c>
      <c r="G575" s="1">
        <v>45791</v>
      </c>
      <c r="H575" s="2">
        <v>45791.771292280093</v>
      </c>
      <c r="I575">
        <v>2039</v>
      </c>
      <c r="J575" t="s">
        <v>30</v>
      </c>
      <c r="K575" t="s">
        <v>31</v>
      </c>
      <c r="L575">
        <v>50</v>
      </c>
      <c r="M575">
        <v>50</v>
      </c>
      <c r="N575" t="s">
        <v>32</v>
      </c>
      <c r="O575">
        <v>1</v>
      </c>
      <c r="P575">
        <v>150</v>
      </c>
      <c r="Q575" t="b">
        <v>1</v>
      </c>
      <c r="R575" t="b">
        <v>0</v>
      </c>
      <c r="S575" t="b">
        <v>0</v>
      </c>
      <c r="T575">
        <v>231</v>
      </c>
      <c r="U575">
        <v>0</v>
      </c>
      <c r="V575" t="s">
        <v>33</v>
      </c>
      <c r="W575" t="s">
        <v>33</v>
      </c>
      <c r="X575">
        <v>50</v>
      </c>
      <c r="Y575">
        <v>359</v>
      </c>
      <c r="Z575" t="s">
        <v>34</v>
      </c>
      <c r="AA575">
        <v>359</v>
      </c>
      <c r="AB575" t="s">
        <v>121</v>
      </c>
      <c r="AC575" t="s">
        <v>121</v>
      </c>
      <c r="AD575" t="str">
        <f t="shared" si="8"/>
        <v>Escobedo → Escobedo</v>
      </c>
      <c r="AE575" t="s">
        <v>1357</v>
      </c>
      <c r="AF575" s="4">
        <v>45778</v>
      </c>
      <c r="AG575" t="str">
        <f>YEAR(Table1[[#This Row],[Fecha]])&amp;" - " &amp;UPPER(TEXT(Table1[[#This Row],[Fecha]],"mm-mmm"))</f>
        <v>2025 - 05-MAY</v>
      </c>
      <c r="AH575" s="5">
        <v>0</v>
      </c>
    </row>
    <row r="576" spans="1:34" x14ac:dyDescent="0.25">
      <c r="A576" t="s">
        <v>845</v>
      </c>
      <c r="B576">
        <v>2025</v>
      </c>
      <c r="C576">
        <v>5</v>
      </c>
      <c r="D576" s="1">
        <v>45791</v>
      </c>
      <c r="E576" s="1">
        <v>45791</v>
      </c>
      <c r="F576" s="1">
        <v>45791</v>
      </c>
      <c r="G576" s="1">
        <v>45791</v>
      </c>
      <c r="H576" s="2">
        <v>45791.771733217596</v>
      </c>
      <c r="I576">
        <v>2039</v>
      </c>
      <c r="J576" t="s">
        <v>30</v>
      </c>
      <c r="K576" t="s">
        <v>31</v>
      </c>
      <c r="L576">
        <v>50</v>
      </c>
      <c r="M576">
        <v>50</v>
      </c>
      <c r="N576" t="s">
        <v>32</v>
      </c>
      <c r="O576">
        <v>1</v>
      </c>
      <c r="P576">
        <v>150</v>
      </c>
      <c r="Q576" t="b">
        <v>1</v>
      </c>
      <c r="R576" t="b">
        <v>0</v>
      </c>
      <c r="S576" t="b">
        <v>0</v>
      </c>
      <c r="T576">
        <v>231</v>
      </c>
      <c r="U576">
        <v>0</v>
      </c>
      <c r="V576" t="s">
        <v>33</v>
      </c>
      <c r="W576" t="s">
        <v>33</v>
      </c>
      <c r="X576">
        <v>50</v>
      </c>
      <c r="Y576">
        <v>359</v>
      </c>
      <c r="Z576" t="s">
        <v>34</v>
      </c>
      <c r="AA576">
        <v>359</v>
      </c>
      <c r="AB576" t="s">
        <v>121</v>
      </c>
      <c r="AC576" t="s">
        <v>121</v>
      </c>
      <c r="AD576" t="str">
        <f t="shared" si="8"/>
        <v>Escobedo → Escobedo</v>
      </c>
      <c r="AE576" t="s">
        <v>1357</v>
      </c>
      <c r="AF576" s="4">
        <v>45778</v>
      </c>
      <c r="AG576" t="str">
        <f>YEAR(Table1[[#This Row],[Fecha]])&amp;" - " &amp;UPPER(TEXT(Table1[[#This Row],[Fecha]],"mm-mmm"))</f>
        <v>2025 - 05-MAY</v>
      </c>
      <c r="AH576" s="5">
        <v>0</v>
      </c>
    </row>
    <row r="577" spans="1:34" x14ac:dyDescent="0.25">
      <c r="A577" t="s">
        <v>846</v>
      </c>
      <c r="B577">
        <v>2025</v>
      </c>
      <c r="C577">
        <v>5</v>
      </c>
      <c r="D577" s="1">
        <v>45791</v>
      </c>
      <c r="E577" s="1">
        <v>45791</v>
      </c>
      <c r="F577" s="1">
        <v>45791</v>
      </c>
      <c r="G577" s="1">
        <v>45791</v>
      </c>
      <c r="H577" s="2">
        <v>45791.772097187502</v>
      </c>
      <c r="I577">
        <v>2039</v>
      </c>
      <c r="J577" t="s">
        <v>30</v>
      </c>
      <c r="K577" t="s">
        <v>31</v>
      </c>
      <c r="L577">
        <v>50</v>
      </c>
      <c r="M577">
        <v>50</v>
      </c>
      <c r="N577" t="s">
        <v>32</v>
      </c>
      <c r="O577">
        <v>1</v>
      </c>
      <c r="P577">
        <v>150</v>
      </c>
      <c r="Q577" t="b">
        <v>1</v>
      </c>
      <c r="R577" t="b">
        <v>0</v>
      </c>
      <c r="S577" t="b">
        <v>0</v>
      </c>
      <c r="T577">
        <v>231</v>
      </c>
      <c r="U577">
        <v>0</v>
      </c>
      <c r="V577" t="s">
        <v>33</v>
      </c>
      <c r="W577" t="s">
        <v>33</v>
      </c>
      <c r="X577">
        <v>50</v>
      </c>
      <c r="Y577">
        <v>359</v>
      </c>
      <c r="Z577" t="s">
        <v>34</v>
      </c>
      <c r="AA577">
        <v>359</v>
      </c>
      <c r="AB577" t="s">
        <v>121</v>
      </c>
      <c r="AC577" t="s">
        <v>121</v>
      </c>
      <c r="AD577" t="str">
        <f t="shared" si="8"/>
        <v>Escobedo → Escobedo</v>
      </c>
      <c r="AE577" t="s">
        <v>1357</v>
      </c>
      <c r="AF577" s="4">
        <v>45778</v>
      </c>
      <c r="AG577" t="str">
        <f>YEAR(Table1[[#This Row],[Fecha]])&amp;" - " &amp;UPPER(TEXT(Table1[[#This Row],[Fecha]],"mm-mmm"))</f>
        <v>2025 - 05-MAY</v>
      </c>
      <c r="AH577" s="5">
        <v>0</v>
      </c>
    </row>
    <row r="578" spans="1:34" x14ac:dyDescent="0.25">
      <c r="A578" t="s">
        <v>847</v>
      </c>
      <c r="B578">
        <v>2025</v>
      </c>
      <c r="C578">
        <v>5</v>
      </c>
      <c r="D578" s="1">
        <v>45791</v>
      </c>
      <c r="E578" s="1">
        <v>45791</v>
      </c>
      <c r="F578" s="1">
        <v>45791</v>
      </c>
      <c r="G578" s="1">
        <v>45791</v>
      </c>
      <c r="H578" s="2">
        <v>45791.772520057872</v>
      </c>
      <c r="I578">
        <v>2039</v>
      </c>
      <c r="J578" t="s">
        <v>30</v>
      </c>
      <c r="K578" t="s">
        <v>31</v>
      </c>
      <c r="L578">
        <v>50</v>
      </c>
      <c r="M578">
        <v>50</v>
      </c>
      <c r="N578" t="s">
        <v>32</v>
      </c>
      <c r="O578">
        <v>1</v>
      </c>
      <c r="P578">
        <v>150</v>
      </c>
      <c r="Q578" t="b">
        <v>1</v>
      </c>
      <c r="R578" t="b">
        <v>0</v>
      </c>
      <c r="S578" t="b">
        <v>0</v>
      </c>
      <c r="T578">
        <v>231</v>
      </c>
      <c r="U578">
        <v>0</v>
      </c>
      <c r="V578" t="s">
        <v>33</v>
      </c>
      <c r="W578" t="s">
        <v>33</v>
      </c>
      <c r="X578">
        <v>50</v>
      </c>
      <c r="Y578">
        <v>359</v>
      </c>
      <c r="Z578" t="s">
        <v>34</v>
      </c>
      <c r="AA578">
        <v>359</v>
      </c>
      <c r="AB578" t="s">
        <v>121</v>
      </c>
      <c r="AC578" t="s">
        <v>121</v>
      </c>
      <c r="AD578" t="str">
        <f t="shared" ref="AD578:AD641" si="9">+AB578&amp;" → "&amp;AC578</f>
        <v>Escobedo → Escobedo</v>
      </c>
      <c r="AE578" t="s">
        <v>1357</v>
      </c>
      <c r="AF578" s="4">
        <v>45778</v>
      </c>
      <c r="AG578" t="str">
        <f>YEAR(Table1[[#This Row],[Fecha]])&amp;" - " &amp;UPPER(TEXT(Table1[[#This Row],[Fecha]],"mm-mmm"))</f>
        <v>2025 - 05-MAY</v>
      </c>
      <c r="AH578" s="5">
        <v>0</v>
      </c>
    </row>
    <row r="579" spans="1:34" x14ac:dyDescent="0.25">
      <c r="A579" t="s">
        <v>848</v>
      </c>
      <c r="B579">
        <v>2025</v>
      </c>
      <c r="C579">
        <v>5</v>
      </c>
      <c r="D579" s="1">
        <v>45791</v>
      </c>
      <c r="E579" s="1">
        <v>45791</v>
      </c>
      <c r="F579" s="1">
        <v>45791</v>
      </c>
      <c r="G579" s="1">
        <v>45791</v>
      </c>
      <c r="H579" s="2">
        <v>45791.772955092594</v>
      </c>
      <c r="I579">
        <v>2039</v>
      </c>
      <c r="J579" t="s">
        <v>30</v>
      </c>
      <c r="K579" t="s">
        <v>31</v>
      </c>
      <c r="L579">
        <v>50</v>
      </c>
      <c r="M579">
        <v>50</v>
      </c>
      <c r="N579" t="s">
        <v>32</v>
      </c>
      <c r="O579">
        <v>1</v>
      </c>
      <c r="P579">
        <v>150</v>
      </c>
      <c r="Q579" t="b">
        <v>1</v>
      </c>
      <c r="R579" t="b">
        <v>0</v>
      </c>
      <c r="S579" t="b">
        <v>0</v>
      </c>
      <c r="T579">
        <v>231</v>
      </c>
      <c r="U579">
        <v>0</v>
      </c>
      <c r="V579" t="s">
        <v>33</v>
      </c>
      <c r="W579" t="s">
        <v>33</v>
      </c>
      <c r="X579">
        <v>50</v>
      </c>
      <c r="Y579">
        <v>359</v>
      </c>
      <c r="Z579" t="s">
        <v>34</v>
      </c>
      <c r="AA579">
        <v>359</v>
      </c>
      <c r="AB579" t="s">
        <v>121</v>
      </c>
      <c r="AC579" t="s">
        <v>121</v>
      </c>
      <c r="AD579" t="str">
        <f t="shared" si="9"/>
        <v>Escobedo → Escobedo</v>
      </c>
      <c r="AE579" t="s">
        <v>1357</v>
      </c>
      <c r="AF579" s="4">
        <v>45778</v>
      </c>
      <c r="AG579" t="str">
        <f>YEAR(Table1[[#This Row],[Fecha]])&amp;" - " &amp;UPPER(TEXT(Table1[[#This Row],[Fecha]],"mm-mmm"))</f>
        <v>2025 - 05-MAY</v>
      </c>
      <c r="AH579" s="5">
        <v>0</v>
      </c>
    </row>
    <row r="580" spans="1:34" x14ac:dyDescent="0.25">
      <c r="A580" t="s">
        <v>488</v>
      </c>
      <c r="B580">
        <v>2025</v>
      </c>
      <c r="C580">
        <v>5</v>
      </c>
      <c r="D580" s="1">
        <v>45791</v>
      </c>
      <c r="E580" s="1">
        <v>45791</v>
      </c>
      <c r="F580" s="1">
        <v>45791</v>
      </c>
      <c r="G580" s="1">
        <v>45791</v>
      </c>
      <c r="H580" s="1">
        <v>45792</v>
      </c>
      <c r="I580">
        <v>2050</v>
      </c>
      <c r="J580" t="s">
        <v>54</v>
      </c>
      <c r="K580" t="s">
        <v>31</v>
      </c>
      <c r="L580">
        <v>50</v>
      </c>
      <c r="M580">
        <v>50</v>
      </c>
      <c r="N580" t="s">
        <v>55</v>
      </c>
      <c r="O580">
        <v>1</v>
      </c>
      <c r="P580">
        <v>150</v>
      </c>
      <c r="Q580" t="b">
        <v>1</v>
      </c>
      <c r="R580" t="b">
        <v>0</v>
      </c>
      <c r="S580" t="b">
        <v>0</v>
      </c>
      <c r="T580">
        <v>231</v>
      </c>
      <c r="U580">
        <v>0</v>
      </c>
      <c r="V580" t="s">
        <v>33</v>
      </c>
      <c r="W580" t="s">
        <v>33</v>
      </c>
      <c r="X580">
        <v>50</v>
      </c>
      <c r="Y580">
        <v>2936</v>
      </c>
      <c r="Z580" t="s">
        <v>34</v>
      </c>
      <c r="AA580">
        <v>2936</v>
      </c>
      <c r="AB580" t="s">
        <v>121</v>
      </c>
      <c r="AC580" t="s">
        <v>432</v>
      </c>
      <c r="AD580" t="str">
        <f t="shared" si="9"/>
        <v>Escobedo → Hidalgo</v>
      </c>
      <c r="AE580" t="s">
        <v>1358</v>
      </c>
      <c r="AF580" s="4">
        <v>45778</v>
      </c>
      <c r="AG580" t="str">
        <f>YEAR(Table1[[#This Row],[Fecha]])&amp;" - " &amp;UPPER(TEXT(Table1[[#This Row],[Fecha]],"mm-mmm"))</f>
        <v>2025 - 05-MAY</v>
      </c>
      <c r="AH580" s="5">
        <v>0</v>
      </c>
    </row>
    <row r="581" spans="1:34" x14ac:dyDescent="0.25">
      <c r="A581" t="s">
        <v>842</v>
      </c>
      <c r="B581">
        <v>2025</v>
      </c>
      <c r="C581">
        <v>5</v>
      </c>
      <c r="D581" s="1">
        <v>45794</v>
      </c>
      <c r="E581" s="1">
        <v>45794</v>
      </c>
      <c r="F581" s="1">
        <v>45794</v>
      </c>
      <c r="G581" s="1">
        <v>45794</v>
      </c>
      <c r="H581" s="2">
        <v>45794.64616527778</v>
      </c>
      <c r="I581">
        <v>2039</v>
      </c>
      <c r="J581" t="s">
        <v>30</v>
      </c>
      <c r="K581" t="s">
        <v>31</v>
      </c>
      <c r="L581">
        <v>50</v>
      </c>
      <c r="M581">
        <v>50</v>
      </c>
      <c r="N581" t="s">
        <v>32</v>
      </c>
      <c r="O581">
        <v>1</v>
      </c>
      <c r="P581">
        <v>150</v>
      </c>
      <c r="Q581" t="b">
        <v>1</v>
      </c>
      <c r="R581" t="b">
        <v>0</v>
      </c>
      <c r="S581" t="b">
        <v>0</v>
      </c>
      <c r="T581">
        <v>231</v>
      </c>
      <c r="U581">
        <v>0</v>
      </c>
      <c r="V581" t="s">
        <v>33</v>
      </c>
      <c r="W581" t="s">
        <v>33</v>
      </c>
      <c r="X581">
        <v>50</v>
      </c>
      <c r="Y581">
        <v>359</v>
      </c>
      <c r="Z581" t="s">
        <v>34</v>
      </c>
      <c r="AA581">
        <v>359</v>
      </c>
      <c r="AB581" t="s">
        <v>121</v>
      </c>
      <c r="AC581" t="s">
        <v>121</v>
      </c>
      <c r="AD581" t="str">
        <f t="shared" si="9"/>
        <v>Escobedo → Escobedo</v>
      </c>
      <c r="AE581" t="s">
        <v>1357</v>
      </c>
      <c r="AF581" s="4">
        <v>45778</v>
      </c>
      <c r="AG581" t="str">
        <f>YEAR(Table1[[#This Row],[Fecha]])&amp;" - " &amp;UPPER(TEXT(Table1[[#This Row],[Fecha]],"mm-mmm"))</f>
        <v>2025 - 05-MAY</v>
      </c>
      <c r="AH581" s="5">
        <v>0</v>
      </c>
    </row>
    <row r="582" spans="1:34" x14ac:dyDescent="0.25">
      <c r="A582" t="s">
        <v>489</v>
      </c>
      <c r="B582">
        <v>2025</v>
      </c>
      <c r="C582">
        <v>5</v>
      </c>
      <c r="D582" s="1">
        <v>45794</v>
      </c>
      <c r="E582" s="1">
        <v>45794</v>
      </c>
      <c r="F582" s="1">
        <v>45794</v>
      </c>
      <c r="G582" s="1">
        <v>45794</v>
      </c>
      <c r="H582" s="2">
        <v>45794.68870648148</v>
      </c>
      <c r="I582">
        <v>2039</v>
      </c>
      <c r="J582" t="s">
        <v>30</v>
      </c>
      <c r="K582" t="s">
        <v>31</v>
      </c>
      <c r="L582">
        <v>50</v>
      </c>
      <c r="M582">
        <v>50</v>
      </c>
      <c r="N582" t="s">
        <v>32</v>
      </c>
      <c r="O582">
        <v>1</v>
      </c>
      <c r="P582">
        <v>150</v>
      </c>
      <c r="Q582" t="b">
        <v>1</v>
      </c>
      <c r="R582" t="b">
        <v>0</v>
      </c>
      <c r="S582" t="b">
        <v>0</v>
      </c>
      <c r="T582">
        <v>231</v>
      </c>
      <c r="U582">
        <v>0</v>
      </c>
      <c r="V582" t="s">
        <v>33</v>
      </c>
      <c r="W582" t="s">
        <v>33</v>
      </c>
      <c r="X582">
        <v>50</v>
      </c>
      <c r="Y582">
        <v>2936</v>
      </c>
      <c r="Z582" t="s">
        <v>34</v>
      </c>
      <c r="AA582">
        <v>2936</v>
      </c>
      <c r="AB582" t="s">
        <v>121</v>
      </c>
      <c r="AC582" t="s">
        <v>432</v>
      </c>
      <c r="AD582" t="str">
        <f t="shared" si="9"/>
        <v>Escobedo → Hidalgo</v>
      </c>
      <c r="AE582" t="s">
        <v>1357</v>
      </c>
      <c r="AF582" s="4">
        <v>45778</v>
      </c>
      <c r="AG582" t="str">
        <f>YEAR(Table1[[#This Row],[Fecha]])&amp;" - " &amp;UPPER(TEXT(Table1[[#This Row],[Fecha]],"mm-mmm"))</f>
        <v>2025 - 05-MAY</v>
      </c>
      <c r="AH582" s="5">
        <v>0</v>
      </c>
    </row>
    <row r="583" spans="1:34" x14ac:dyDescent="0.25">
      <c r="A583" t="s">
        <v>827</v>
      </c>
      <c r="B583">
        <v>2025</v>
      </c>
      <c r="C583">
        <v>5</v>
      </c>
      <c r="D583" s="1">
        <v>45794</v>
      </c>
      <c r="E583" s="1">
        <v>45794</v>
      </c>
      <c r="F583" s="1">
        <v>45794</v>
      </c>
      <c r="G583" s="1">
        <v>45794</v>
      </c>
      <c r="H583" s="2">
        <v>45794.701392789349</v>
      </c>
      <c r="I583">
        <v>2039</v>
      </c>
      <c r="J583" t="s">
        <v>30</v>
      </c>
      <c r="K583" t="s">
        <v>31</v>
      </c>
      <c r="L583">
        <v>50</v>
      </c>
      <c r="M583">
        <v>50</v>
      </c>
      <c r="N583" t="s">
        <v>32</v>
      </c>
      <c r="O583">
        <v>1</v>
      </c>
      <c r="P583">
        <v>150</v>
      </c>
      <c r="Q583" t="b">
        <v>1</v>
      </c>
      <c r="R583" t="b">
        <v>0</v>
      </c>
      <c r="S583" t="b">
        <v>0</v>
      </c>
      <c r="T583">
        <v>231</v>
      </c>
      <c r="U583">
        <v>0</v>
      </c>
      <c r="V583" t="s">
        <v>33</v>
      </c>
      <c r="W583" t="s">
        <v>33</v>
      </c>
      <c r="X583">
        <v>50</v>
      </c>
      <c r="Y583">
        <v>359</v>
      </c>
      <c r="Z583" t="s">
        <v>34</v>
      </c>
      <c r="AA583">
        <v>359</v>
      </c>
      <c r="AB583" t="s">
        <v>121</v>
      </c>
      <c r="AC583" t="s">
        <v>121</v>
      </c>
      <c r="AD583" t="str">
        <f t="shared" si="9"/>
        <v>Escobedo → Escobedo</v>
      </c>
      <c r="AE583" t="s">
        <v>1357</v>
      </c>
      <c r="AF583" s="4">
        <v>45778</v>
      </c>
      <c r="AG583" t="str">
        <f>YEAR(Table1[[#This Row],[Fecha]])&amp;" - " &amp;UPPER(TEXT(Table1[[#This Row],[Fecha]],"mm-mmm"))</f>
        <v>2025 - 05-MAY</v>
      </c>
      <c r="AH583" s="5">
        <v>0</v>
      </c>
    </row>
    <row r="584" spans="1:34" x14ac:dyDescent="0.25">
      <c r="A584" t="s">
        <v>828</v>
      </c>
      <c r="B584">
        <v>2025</v>
      </c>
      <c r="C584">
        <v>5</v>
      </c>
      <c r="D584" s="1">
        <v>45794</v>
      </c>
      <c r="E584" s="1">
        <v>45794</v>
      </c>
      <c r="F584" s="1">
        <v>45794</v>
      </c>
      <c r="G584" s="1">
        <v>45794</v>
      </c>
      <c r="H584" s="2">
        <v>45794.701816898145</v>
      </c>
      <c r="I584">
        <v>2039</v>
      </c>
      <c r="J584" t="s">
        <v>30</v>
      </c>
      <c r="K584" t="s">
        <v>31</v>
      </c>
      <c r="L584">
        <v>50</v>
      </c>
      <c r="M584">
        <v>50</v>
      </c>
      <c r="N584" t="s">
        <v>32</v>
      </c>
      <c r="O584">
        <v>1</v>
      </c>
      <c r="P584">
        <v>150</v>
      </c>
      <c r="Q584" t="b">
        <v>1</v>
      </c>
      <c r="R584" t="b">
        <v>0</v>
      </c>
      <c r="S584" t="b">
        <v>0</v>
      </c>
      <c r="T584">
        <v>231</v>
      </c>
      <c r="U584">
        <v>0</v>
      </c>
      <c r="V584" t="s">
        <v>33</v>
      </c>
      <c r="W584" t="s">
        <v>33</v>
      </c>
      <c r="X584">
        <v>50</v>
      </c>
      <c r="Y584">
        <v>359</v>
      </c>
      <c r="Z584" t="s">
        <v>34</v>
      </c>
      <c r="AA584">
        <v>359</v>
      </c>
      <c r="AB584" t="s">
        <v>121</v>
      </c>
      <c r="AC584" t="s">
        <v>121</v>
      </c>
      <c r="AD584" t="str">
        <f t="shared" si="9"/>
        <v>Escobedo → Escobedo</v>
      </c>
      <c r="AE584" t="s">
        <v>1357</v>
      </c>
      <c r="AF584" s="4">
        <v>45778</v>
      </c>
      <c r="AG584" t="str">
        <f>YEAR(Table1[[#This Row],[Fecha]])&amp;" - " &amp;UPPER(TEXT(Table1[[#This Row],[Fecha]],"mm-mmm"))</f>
        <v>2025 - 05-MAY</v>
      </c>
      <c r="AH584" s="5">
        <v>0</v>
      </c>
    </row>
    <row r="585" spans="1:34" x14ac:dyDescent="0.25">
      <c r="A585" t="s">
        <v>480</v>
      </c>
      <c r="B585">
        <v>2025</v>
      </c>
      <c r="C585">
        <v>5</v>
      </c>
      <c r="D585" s="1">
        <v>45794</v>
      </c>
      <c r="E585" s="1">
        <v>45794</v>
      </c>
      <c r="F585" s="1">
        <v>45794</v>
      </c>
      <c r="G585" s="1">
        <v>45794</v>
      </c>
      <c r="H585" s="2">
        <v>45794.702281747683</v>
      </c>
      <c r="I585">
        <v>2039</v>
      </c>
      <c r="J585" t="s">
        <v>30</v>
      </c>
      <c r="K585" t="s">
        <v>31</v>
      </c>
      <c r="L585">
        <v>50</v>
      </c>
      <c r="M585">
        <v>50</v>
      </c>
      <c r="N585" t="s">
        <v>32</v>
      </c>
      <c r="O585">
        <v>1</v>
      </c>
      <c r="P585">
        <v>150</v>
      </c>
      <c r="Q585" t="b">
        <v>1</v>
      </c>
      <c r="R585" t="b">
        <v>0</v>
      </c>
      <c r="S585" t="b">
        <v>0</v>
      </c>
      <c r="T585">
        <v>231</v>
      </c>
      <c r="U585">
        <v>0</v>
      </c>
      <c r="V585" t="s">
        <v>33</v>
      </c>
      <c r="W585" t="s">
        <v>33</v>
      </c>
      <c r="X585">
        <v>50</v>
      </c>
      <c r="Y585">
        <v>2936</v>
      </c>
      <c r="Z585" t="s">
        <v>34</v>
      </c>
      <c r="AA585">
        <v>2936</v>
      </c>
      <c r="AB585" t="s">
        <v>121</v>
      </c>
      <c r="AC585" t="s">
        <v>432</v>
      </c>
      <c r="AD585" t="str">
        <f t="shared" si="9"/>
        <v>Escobedo → Hidalgo</v>
      </c>
      <c r="AE585" t="s">
        <v>1357</v>
      </c>
      <c r="AF585" s="4">
        <v>45778</v>
      </c>
      <c r="AG585" t="str">
        <f>YEAR(Table1[[#This Row],[Fecha]])&amp;" - " &amp;UPPER(TEXT(Table1[[#This Row],[Fecha]],"mm-mmm"))</f>
        <v>2025 - 05-MAY</v>
      </c>
      <c r="AH585" s="5">
        <v>0</v>
      </c>
    </row>
    <row r="586" spans="1:34" x14ac:dyDescent="0.25">
      <c r="A586" t="s">
        <v>829</v>
      </c>
      <c r="B586">
        <v>2025</v>
      </c>
      <c r="C586">
        <v>5</v>
      </c>
      <c r="D586" s="1">
        <v>45794</v>
      </c>
      <c r="E586" s="1">
        <v>45794</v>
      </c>
      <c r="F586" s="1">
        <v>45794</v>
      </c>
      <c r="G586" s="1">
        <v>45794</v>
      </c>
      <c r="H586" s="2">
        <v>45794.702640972224</v>
      </c>
      <c r="I586">
        <v>2039</v>
      </c>
      <c r="J586" t="s">
        <v>30</v>
      </c>
      <c r="K586" t="s">
        <v>31</v>
      </c>
      <c r="L586">
        <v>50</v>
      </c>
      <c r="M586">
        <v>50</v>
      </c>
      <c r="N586" t="s">
        <v>32</v>
      </c>
      <c r="O586">
        <v>1</v>
      </c>
      <c r="P586">
        <v>150</v>
      </c>
      <c r="Q586" t="b">
        <v>1</v>
      </c>
      <c r="R586" t="b">
        <v>0</v>
      </c>
      <c r="S586" t="b">
        <v>0</v>
      </c>
      <c r="T586">
        <v>231</v>
      </c>
      <c r="U586">
        <v>0</v>
      </c>
      <c r="V586" t="s">
        <v>33</v>
      </c>
      <c r="W586" t="s">
        <v>33</v>
      </c>
      <c r="X586">
        <v>50</v>
      </c>
      <c r="Y586">
        <v>359</v>
      </c>
      <c r="Z586" t="s">
        <v>34</v>
      </c>
      <c r="AA586">
        <v>359</v>
      </c>
      <c r="AB586" t="s">
        <v>121</v>
      </c>
      <c r="AC586" t="s">
        <v>121</v>
      </c>
      <c r="AD586" t="str">
        <f t="shared" si="9"/>
        <v>Escobedo → Escobedo</v>
      </c>
      <c r="AE586" t="s">
        <v>1357</v>
      </c>
      <c r="AF586" s="4">
        <v>45778</v>
      </c>
      <c r="AG586" t="str">
        <f>YEAR(Table1[[#This Row],[Fecha]])&amp;" - " &amp;UPPER(TEXT(Table1[[#This Row],[Fecha]],"mm-mmm"))</f>
        <v>2025 - 05-MAY</v>
      </c>
      <c r="AH586" s="5">
        <v>0</v>
      </c>
    </row>
    <row r="587" spans="1:34" x14ac:dyDescent="0.25">
      <c r="A587" t="s">
        <v>830</v>
      </c>
      <c r="B587">
        <v>2025</v>
      </c>
      <c r="C587">
        <v>5</v>
      </c>
      <c r="D587" s="1">
        <v>45794</v>
      </c>
      <c r="E587" s="1">
        <v>45794</v>
      </c>
      <c r="F587" s="1">
        <v>45794</v>
      </c>
      <c r="G587" s="1">
        <v>45794</v>
      </c>
      <c r="H587" s="2">
        <v>45794.702984340278</v>
      </c>
      <c r="I587">
        <v>2039</v>
      </c>
      <c r="J587" t="s">
        <v>30</v>
      </c>
      <c r="K587" t="s">
        <v>31</v>
      </c>
      <c r="L587">
        <v>50</v>
      </c>
      <c r="M587">
        <v>50</v>
      </c>
      <c r="N587" t="s">
        <v>32</v>
      </c>
      <c r="O587">
        <v>1</v>
      </c>
      <c r="P587">
        <v>150</v>
      </c>
      <c r="Q587" t="b">
        <v>1</v>
      </c>
      <c r="R587" t="b">
        <v>0</v>
      </c>
      <c r="S587" t="b">
        <v>0</v>
      </c>
      <c r="T587">
        <v>231</v>
      </c>
      <c r="U587">
        <v>0</v>
      </c>
      <c r="V587" t="s">
        <v>33</v>
      </c>
      <c r="W587" t="s">
        <v>33</v>
      </c>
      <c r="X587">
        <v>50</v>
      </c>
      <c r="Y587">
        <v>359</v>
      </c>
      <c r="Z587" t="s">
        <v>34</v>
      </c>
      <c r="AA587">
        <v>359</v>
      </c>
      <c r="AB587" t="s">
        <v>121</v>
      </c>
      <c r="AC587" t="s">
        <v>121</v>
      </c>
      <c r="AD587" t="str">
        <f t="shared" si="9"/>
        <v>Escobedo → Escobedo</v>
      </c>
      <c r="AE587" t="s">
        <v>1357</v>
      </c>
      <c r="AF587" s="4">
        <v>45778</v>
      </c>
      <c r="AG587" t="str">
        <f>YEAR(Table1[[#This Row],[Fecha]])&amp;" - " &amp;UPPER(TEXT(Table1[[#This Row],[Fecha]],"mm-mmm"))</f>
        <v>2025 - 05-MAY</v>
      </c>
      <c r="AH587" s="5">
        <v>0</v>
      </c>
    </row>
    <row r="588" spans="1:34" x14ac:dyDescent="0.25">
      <c r="A588" t="s">
        <v>413</v>
      </c>
      <c r="B588">
        <v>2025</v>
      </c>
      <c r="C588">
        <v>5</v>
      </c>
      <c r="D588" s="1">
        <v>45794</v>
      </c>
      <c r="E588" s="1">
        <v>45794</v>
      </c>
      <c r="F588" s="1">
        <v>45794</v>
      </c>
      <c r="G588" s="1">
        <v>45794</v>
      </c>
      <c r="H588" s="2">
        <v>45794.703377083337</v>
      </c>
      <c r="I588">
        <v>2039</v>
      </c>
      <c r="J588" t="s">
        <v>30</v>
      </c>
      <c r="K588" t="s">
        <v>31</v>
      </c>
      <c r="L588">
        <v>50</v>
      </c>
      <c r="M588">
        <v>50</v>
      </c>
      <c r="N588" t="s">
        <v>32</v>
      </c>
      <c r="O588">
        <v>1</v>
      </c>
      <c r="P588">
        <v>150</v>
      </c>
      <c r="Q588" t="b">
        <v>1</v>
      </c>
      <c r="R588" t="b">
        <v>0</v>
      </c>
      <c r="S588" t="b">
        <v>0</v>
      </c>
      <c r="T588">
        <v>231</v>
      </c>
      <c r="U588">
        <v>0</v>
      </c>
      <c r="V588" t="s">
        <v>33</v>
      </c>
      <c r="W588" t="s">
        <v>33</v>
      </c>
      <c r="X588">
        <v>50</v>
      </c>
      <c r="Y588">
        <v>461</v>
      </c>
      <c r="Z588" t="s">
        <v>34</v>
      </c>
      <c r="AA588">
        <v>461</v>
      </c>
      <c r="AB588" t="s">
        <v>121</v>
      </c>
      <c r="AC588" t="s">
        <v>35</v>
      </c>
      <c r="AD588" t="str">
        <f t="shared" si="9"/>
        <v>Escobedo → Monterrey</v>
      </c>
      <c r="AE588" t="s">
        <v>1357</v>
      </c>
      <c r="AF588" s="4">
        <v>45778</v>
      </c>
      <c r="AG588" t="str">
        <f>YEAR(Table1[[#This Row],[Fecha]])&amp;" - " &amp;UPPER(TEXT(Table1[[#This Row],[Fecha]],"mm-mmm"))</f>
        <v>2025 - 05-MAY</v>
      </c>
      <c r="AH588" s="5">
        <v>0</v>
      </c>
    </row>
    <row r="589" spans="1:34" x14ac:dyDescent="0.25">
      <c r="A589" t="s">
        <v>831</v>
      </c>
      <c r="B589">
        <v>2025</v>
      </c>
      <c r="C589">
        <v>5</v>
      </c>
      <c r="D589" s="1">
        <v>45794</v>
      </c>
      <c r="E589" s="1">
        <v>45794</v>
      </c>
      <c r="F589" s="1">
        <v>45794</v>
      </c>
      <c r="G589" s="1">
        <v>45794</v>
      </c>
      <c r="H589" s="2">
        <v>45794.703681481478</v>
      </c>
      <c r="I589">
        <v>2039</v>
      </c>
      <c r="J589" t="s">
        <v>30</v>
      </c>
      <c r="K589" t="s">
        <v>31</v>
      </c>
      <c r="L589">
        <v>50</v>
      </c>
      <c r="M589">
        <v>50</v>
      </c>
      <c r="N589" t="s">
        <v>32</v>
      </c>
      <c r="O589">
        <v>1</v>
      </c>
      <c r="P589">
        <v>150</v>
      </c>
      <c r="Q589" t="b">
        <v>1</v>
      </c>
      <c r="R589" t="b">
        <v>0</v>
      </c>
      <c r="S589" t="b">
        <v>0</v>
      </c>
      <c r="T589">
        <v>231</v>
      </c>
      <c r="U589">
        <v>0</v>
      </c>
      <c r="V589" t="s">
        <v>33</v>
      </c>
      <c r="W589" t="s">
        <v>33</v>
      </c>
      <c r="X589">
        <v>50</v>
      </c>
      <c r="Y589">
        <v>359</v>
      </c>
      <c r="Z589" t="s">
        <v>34</v>
      </c>
      <c r="AA589">
        <v>359</v>
      </c>
      <c r="AB589" t="s">
        <v>121</v>
      </c>
      <c r="AC589" t="s">
        <v>121</v>
      </c>
      <c r="AD589" t="str">
        <f t="shared" si="9"/>
        <v>Escobedo → Escobedo</v>
      </c>
      <c r="AE589" t="s">
        <v>1357</v>
      </c>
      <c r="AF589" s="4">
        <v>45778</v>
      </c>
      <c r="AG589" t="str">
        <f>YEAR(Table1[[#This Row],[Fecha]])&amp;" - " &amp;UPPER(TEXT(Table1[[#This Row],[Fecha]],"mm-mmm"))</f>
        <v>2025 - 05-MAY</v>
      </c>
      <c r="AH589" s="5">
        <v>0</v>
      </c>
    </row>
    <row r="590" spans="1:34" x14ac:dyDescent="0.25">
      <c r="A590" t="s">
        <v>832</v>
      </c>
      <c r="B590">
        <v>2025</v>
      </c>
      <c r="C590">
        <v>5</v>
      </c>
      <c r="D590" s="1">
        <v>45794</v>
      </c>
      <c r="E590" s="1">
        <v>45794</v>
      </c>
      <c r="F590" s="1">
        <v>45794</v>
      </c>
      <c r="G590" s="1">
        <v>45794</v>
      </c>
      <c r="H590" s="2">
        <v>45794.704024502316</v>
      </c>
      <c r="I590">
        <v>2039</v>
      </c>
      <c r="J590" t="s">
        <v>30</v>
      </c>
      <c r="K590" t="s">
        <v>31</v>
      </c>
      <c r="L590">
        <v>50</v>
      </c>
      <c r="M590">
        <v>50</v>
      </c>
      <c r="N590" t="s">
        <v>32</v>
      </c>
      <c r="O590">
        <v>1</v>
      </c>
      <c r="P590">
        <v>150</v>
      </c>
      <c r="Q590" t="b">
        <v>1</v>
      </c>
      <c r="R590" t="b">
        <v>0</v>
      </c>
      <c r="S590" t="b">
        <v>0</v>
      </c>
      <c r="T590">
        <v>231</v>
      </c>
      <c r="U590">
        <v>0</v>
      </c>
      <c r="V590" t="s">
        <v>33</v>
      </c>
      <c r="W590" t="s">
        <v>33</v>
      </c>
      <c r="X590">
        <v>50</v>
      </c>
      <c r="Y590">
        <v>359</v>
      </c>
      <c r="Z590" t="s">
        <v>34</v>
      </c>
      <c r="AA590">
        <v>359</v>
      </c>
      <c r="AB590" t="s">
        <v>121</v>
      </c>
      <c r="AC590" t="s">
        <v>121</v>
      </c>
      <c r="AD590" t="str">
        <f t="shared" si="9"/>
        <v>Escobedo → Escobedo</v>
      </c>
      <c r="AE590" t="s">
        <v>1357</v>
      </c>
      <c r="AF590" s="4">
        <v>45778</v>
      </c>
      <c r="AG590" t="str">
        <f>YEAR(Table1[[#This Row],[Fecha]])&amp;" - " &amp;UPPER(TEXT(Table1[[#This Row],[Fecha]],"mm-mmm"))</f>
        <v>2025 - 05-MAY</v>
      </c>
      <c r="AH590" s="5">
        <v>0</v>
      </c>
    </row>
    <row r="591" spans="1:34" x14ac:dyDescent="0.25">
      <c r="A591" t="s">
        <v>833</v>
      </c>
      <c r="B591">
        <v>2025</v>
      </c>
      <c r="C591">
        <v>5</v>
      </c>
      <c r="D591" s="1">
        <v>45794</v>
      </c>
      <c r="E591" s="1">
        <v>45794</v>
      </c>
      <c r="F591" s="1">
        <v>45794</v>
      </c>
      <c r="G591" s="1">
        <v>45794</v>
      </c>
      <c r="H591" s="2">
        <v>45794.704362384262</v>
      </c>
      <c r="I591">
        <v>2039</v>
      </c>
      <c r="J591" t="s">
        <v>30</v>
      </c>
      <c r="K591" t="s">
        <v>31</v>
      </c>
      <c r="L591">
        <v>50</v>
      </c>
      <c r="M591">
        <v>50</v>
      </c>
      <c r="N591" t="s">
        <v>32</v>
      </c>
      <c r="O591">
        <v>1</v>
      </c>
      <c r="P591">
        <v>150</v>
      </c>
      <c r="Q591" t="b">
        <v>1</v>
      </c>
      <c r="R591" t="b">
        <v>0</v>
      </c>
      <c r="S591" t="b">
        <v>0</v>
      </c>
      <c r="T591">
        <v>231</v>
      </c>
      <c r="U591">
        <v>0</v>
      </c>
      <c r="V591" t="s">
        <v>33</v>
      </c>
      <c r="W591" t="s">
        <v>33</v>
      </c>
      <c r="X591">
        <v>50</v>
      </c>
      <c r="Y591">
        <v>359</v>
      </c>
      <c r="Z591" t="s">
        <v>34</v>
      </c>
      <c r="AA591">
        <v>359</v>
      </c>
      <c r="AB591" t="s">
        <v>121</v>
      </c>
      <c r="AC591" t="s">
        <v>121</v>
      </c>
      <c r="AD591" t="str">
        <f t="shared" si="9"/>
        <v>Escobedo → Escobedo</v>
      </c>
      <c r="AE591" t="s">
        <v>1357</v>
      </c>
      <c r="AF591" s="4">
        <v>45778</v>
      </c>
      <c r="AG591" t="str">
        <f>YEAR(Table1[[#This Row],[Fecha]])&amp;" - " &amp;UPPER(TEXT(Table1[[#This Row],[Fecha]],"mm-mmm"))</f>
        <v>2025 - 05-MAY</v>
      </c>
      <c r="AH591" s="5">
        <v>0</v>
      </c>
    </row>
    <row r="592" spans="1:34" x14ac:dyDescent="0.25">
      <c r="A592" t="s">
        <v>834</v>
      </c>
      <c r="B592">
        <v>2025</v>
      </c>
      <c r="C592">
        <v>5</v>
      </c>
      <c r="D592" s="1">
        <v>45794</v>
      </c>
      <c r="E592" s="1">
        <v>45794</v>
      </c>
      <c r="F592" s="1">
        <v>45794</v>
      </c>
      <c r="G592" s="1">
        <v>45794</v>
      </c>
      <c r="H592" s="2">
        <v>45794.704684525466</v>
      </c>
      <c r="I592">
        <v>2039</v>
      </c>
      <c r="J592" t="s">
        <v>30</v>
      </c>
      <c r="K592" t="s">
        <v>31</v>
      </c>
      <c r="L592">
        <v>50</v>
      </c>
      <c r="M592">
        <v>50</v>
      </c>
      <c r="N592" t="s">
        <v>32</v>
      </c>
      <c r="O592">
        <v>1</v>
      </c>
      <c r="P592">
        <v>150</v>
      </c>
      <c r="Q592" t="b">
        <v>1</v>
      </c>
      <c r="R592" t="b">
        <v>0</v>
      </c>
      <c r="S592" t="b">
        <v>0</v>
      </c>
      <c r="T592">
        <v>231</v>
      </c>
      <c r="U592">
        <v>0</v>
      </c>
      <c r="V592" t="s">
        <v>33</v>
      </c>
      <c r="W592" t="s">
        <v>33</v>
      </c>
      <c r="X592">
        <v>50</v>
      </c>
      <c r="Y592">
        <v>359</v>
      </c>
      <c r="Z592" t="s">
        <v>34</v>
      </c>
      <c r="AA592">
        <v>359</v>
      </c>
      <c r="AB592" t="s">
        <v>121</v>
      </c>
      <c r="AC592" t="s">
        <v>121</v>
      </c>
      <c r="AD592" t="str">
        <f t="shared" si="9"/>
        <v>Escobedo → Escobedo</v>
      </c>
      <c r="AE592" t="s">
        <v>1357</v>
      </c>
      <c r="AF592" s="4">
        <v>45778</v>
      </c>
      <c r="AG592" t="str">
        <f>YEAR(Table1[[#This Row],[Fecha]])&amp;" - " &amp;UPPER(TEXT(Table1[[#This Row],[Fecha]],"mm-mmm"))</f>
        <v>2025 - 05-MAY</v>
      </c>
      <c r="AH592" s="5">
        <v>0</v>
      </c>
    </row>
    <row r="593" spans="1:34" x14ac:dyDescent="0.25">
      <c r="A593" t="s">
        <v>835</v>
      </c>
      <c r="B593">
        <v>2025</v>
      </c>
      <c r="C593">
        <v>5</v>
      </c>
      <c r="D593" s="1">
        <v>45794</v>
      </c>
      <c r="E593" s="1">
        <v>45794</v>
      </c>
      <c r="F593" s="1">
        <v>45794</v>
      </c>
      <c r="G593" s="1">
        <v>45794</v>
      </c>
      <c r="H593" s="1">
        <v>45794</v>
      </c>
      <c r="I593">
        <v>2039</v>
      </c>
      <c r="J593" t="s">
        <v>30</v>
      </c>
      <c r="K593" t="s">
        <v>31</v>
      </c>
      <c r="L593">
        <v>50</v>
      </c>
      <c r="M593">
        <v>50</v>
      </c>
      <c r="N593" t="s">
        <v>32</v>
      </c>
      <c r="O593">
        <v>1</v>
      </c>
      <c r="P593">
        <v>150</v>
      </c>
      <c r="Q593" t="b">
        <v>1</v>
      </c>
      <c r="R593" t="b">
        <v>0</v>
      </c>
      <c r="S593" t="b">
        <v>0</v>
      </c>
      <c r="T593">
        <v>231</v>
      </c>
      <c r="U593">
        <v>0</v>
      </c>
      <c r="V593" t="s">
        <v>33</v>
      </c>
      <c r="W593" t="s">
        <v>33</v>
      </c>
      <c r="X593">
        <v>50</v>
      </c>
      <c r="Y593">
        <v>359</v>
      </c>
      <c r="Z593" t="s">
        <v>34</v>
      </c>
      <c r="AA593">
        <v>359</v>
      </c>
      <c r="AB593" t="s">
        <v>121</v>
      </c>
      <c r="AC593" t="s">
        <v>121</v>
      </c>
      <c r="AD593" t="str">
        <f t="shared" si="9"/>
        <v>Escobedo → Escobedo</v>
      </c>
      <c r="AE593" t="s">
        <v>1357</v>
      </c>
      <c r="AF593" s="4">
        <v>45778</v>
      </c>
      <c r="AG593" t="str">
        <f>YEAR(Table1[[#This Row],[Fecha]])&amp;" - " &amp;UPPER(TEXT(Table1[[#This Row],[Fecha]],"mm-mmm"))</f>
        <v>2025 - 05-MAY</v>
      </c>
      <c r="AH593" s="5">
        <v>0</v>
      </c>
    </row>
    <row r="594" spans="1:34" x14ac:dyDescent="0.25">
      <c r="A594" t="s">
        <v>836</v>
      </c>
      <c r="B594">
        <v>2025</v>
      </c>
      <c r="C594">
        <v>5</v>
      </c>
      <c r="D594" s="1">
        <v>45794</v>
      </c>
      <c r="E594" s="1">
        <v>45794</v>
      </c>
      <c r="F594" s="1">
        <v>45794</v>
      </c>
      <c r="G594" s="1">
        <v>45794</v>
      </c>
      <c r="H594" s="2">
        <v>45795.408618287038</v>
      </c>
      <c r="I594">
        <v>2039</v>
      </c>
      <c r="J594" t="s">
        <v>30</v>
      </c>
      <c r="K594" t="s">
        <v>31</v>
      </c>
      <c r="L594">
        <v>50</v>
      </c>
      <c r="M594">
        <v>50</v>
      </c>
      <c r="N594" t="s">
        <v>32</v>
      </c>
      <c r="O594">
        <v>1</v>
      </c>
      <c r="P594">
        <v>150</v>
      </c>
      <c r="Q594" t="b">
        <v>1</v>
      </c>
      <c r="R594" t="b">
        <v>0</v>
      </c>
      <c r="S594" t="b">
        <v>0</v>
      </c>
      <c r="T594">
        <v>231</v>
      </c>
      <c r="U594">
        <v>0</v>
      </c>
      <c r="V594" t="s">
        <v>33</v>
      </c>
      <c r="W594" t="s">
        <v>33</v>
      </c>
      <c r="X594">
        <v>50</v>
      </c>
      <c r="Y594">
        <v>359</v>
      </c>
      <c r="Z594" t="s">
        <v>34</v>
      </c>
      <c r="AA594">
        <v>359</v>
      </c>
      <c r="AB594" t="s">
        <v>121</v>
      </c>
      <c r="AC594" t="s">
        <v>121</v>
      </c>
      <c r="AD594" t="str">
        <f t="shared" si="9"/>
        <v>Escobedo → Escobedo</v>
      </c>
      <c r="AE594" t="s">
        <v>1357</v>
      </c>
      <c r="AF594" s="4">
        <v>45778</v>
      </c>
      <c r="AG594" t="str">
        <f>YEAR(Table1[[#This Row],[Fecha]])&amp;" - " &amp;UPPER(TEXT(Table1[[#This Row],[Fecha]],"mm-mmm"))</f>
        <v>2025 - 05-MAY</v>
      </c>
      <c r="AH594" s="5">
        <v>0</v>
      </c>
    </row>
    <row r="595" spans="1:34" x14ac:dyDescent="0.25">
      <c r="A595" t="s">
        <v>837</v>
      </c>
      <c r="B595">
        <v>2025</v>
      </c>
      <c r="C595">
        <v>5</v>
      </c>
      <c r="D595" s="1">
        <v>45796</v>
      </c>
      <c r="E595" s="1">
        <v>45796</v>
      </c>
      <c r="F595" s="1">
        <v>45796</v>
      </c>
      <c r="G595" s="1">
        <v>45796</v>
      </c>
      <c r="H595" s="2">
        <v>45797.164333993052</v>
      </c>
      <c r="I595">
        <v>2039</v>
      </c>
      <c r="J595" t="s">
        <v>30</v>
      </c>
      <c r="K595" t="s">
        <v>31</v>
      </c>
      <c r="L595">
        <v>50</v>
      </c>
      <c r="M595">
        <v>50</v>
      </c>
      <c r="N595" t="s">
        <v>32</v>
      </c>
      <c r="O595">
        <v>1</v>
      </c>
      <c r="P595">
        <v>150</v>
      </c>
      <c r="Q595" t="b">
        <v>1</v>
      </c>
      <c r="R595" t="b">
        <v>0</v>
      </c>
      <c r="S595" t="b">
        <v>0</v>
      </c>
      <c r="T595">
        <v>231</v>
      </c>
      <c r="U595">
        <v>0</v>
      </c>
      <c r="V595" t="s">
        <v>33</v>
      </c>
      <c r="W595" t="s">
        <v>33</v>
      </c>
      <c r="X595">
        <v>50</v>
      </c>
      <c r="Y595">
        <v>359</v>
      </c>
      <c r="Z595" t="s">
        <v>34</v>
      </c>
      <c r="AA595">
        <v>359</v>
      </c>
      <c r="AB595" t="s">
        <v>121</v>
      </c>
      <c r="AC595" t="s">
        <v>121</v>
      </c>
      <c r="AD595" t="str">
        <f t="shared" si="9"/>
        <v>Escobedo → Escobedo</v>
      </c>
      <c r="AE595" t="s">
        <v>1357</v>
      </c>
      <c r="AF595" s="4">
        <v>45778</v>
      </c>
      <c r="AG595" t="str">
        <f>YEAR(Table1[[#This Row],[Fecha]])&amp;" - " &amp;UPPER(TEXT(Table1[[#This Row],[Fecha]],"mm-mmm"))</f>
        <v>2025 - 05-MAY</v>
      </c>
      <c r="AH595" s="5">
        <v>0</v>
      </c>
    </row>
    <row r="596" spans="1:34" x14ac:dyDescent="0.25">
      <c r="A596" t="s">
        <v>838</v>
      </c>
      <c r="B596">
        <v>2025</v>
      </c>
      <c r="C596">
        <v>5</v>
      </c>
      <c r="D596" s="1">
        <v>45796</v>
      </c>
      <c r="E596" s="1">
        <v>45796</v>
      </c>
      <c r="F596" s="1">
        <v>45796</v>
      </c>
      <c r="G596" s="1">
        <v>45796</v>
      </c>
      <c r="H596" s="2">
        <v>45797.164767476854</v>
      </c>
      <c r="I596">
        <v>2039</v>
      </c>
      <c r="J596" t="s">
        <v>30</v>
      </c>
      <c r="K596" t="s">
        <v>31</v>
      </c>
      <c r="L596">
        <v>50</v>
      </c>
      <c r="M596">
        <v>50</v>
      </c>
      <c r="N596" t="s">
        <v>32</v>
      </c>
      <c r="O596">
        <v>1</v>
      </c>
      <c r="P596">
        <v>150</v>
      </c>
      <c r="Q596" t="b">
        <v>1</v>
      </c>
      <c r="R596" t="b">
        <v>0</v>
      </c>
      <c r="S596" t="b">
        <v>0</v>
      </c>
      <c r="T596">
        <v>231</v>
      </c>
      <c r="U596">
        <v>0</v>
      </c>
      <c r="V596" t="s">
        <v>33</v>
      </c>
      <c r="W596" t="s">
        <v>33</v>
      </c>
      <c r="X596">
        <v>50</v>
      </c>
      <c r="Y596">
        <v>359</v>
      </c>
      <c r="Z596" t="s">
        <v>34</v>
      </c>
      <c r="AA596">
        <v>359</v>
      </c>
      <c r="AB596" t="s">
        <v>121</v>
      </c>
      <c r="AC596" t="s">
        <v>121</v>
      </c>
      <c r="AD596" t="str">
        <f t="shared" si="9"/>
        <v>Escobedo → Escobedo</v>
      </c>
      <c r="AE596" t="s">
        <v>1357</v>
      </c>
      <c r="AF596" s="4">
        <v>45778</v>
      </c>
      <c r="AG596" t="str">
        <f>YEAR(Table1[[#This Row],[Fecha]])&amp;" - " &amp;UPPER(TEXT(Table1[[#This Row],[Fecha]],"mm-mmm"))</f>
        <v>2025 - 05-MAY</v>
      </c>
      <c r="AH596" s="5">
        <v>0</v>
      </c>
    </row>
    <row r="597" spans="1:34" x14ac:dyDescent="0.25">
      <c r="A597" t="s">
        <v>839</v>
      </c>
      <c r="B597">
        <v>2025</v>
      </c>
      <c r="C597">
        <v>5</v>
      </c>
      <c r="D597" s="1">
        <v>45796</v>
      </c>
      <c r="E597" s="1">
        <v>45796</v>
      </c>
      <c r="F597" s="1">
        <v>45796</v>
      </c>
      <c r="G597" s="1">
        <v>45796</v>
      </c>
      <c r="H597" s="2">
        <v>45797.16535949074</v>
      </c>
      <c r="I597">
        <v>2039</v>
      </c>
      <c r="J597" t="s">
        <v>30</v>
      </c>
      <c r="K597" t="s">
        <v>31</v>
      </c>
      <c r="L597">
        <v>50</v>
      </c>
      <c r="M597">
        <v>50</v>
      </c>
      <c r="N597" t="s">
        <v>32</v>
      </c>
      <c r="O597">
        <v>1</v>
      </c>
      <c r="P597">
        <v>150</v>
      </c>
      <c r="Q597" t="b">
        <v>1</v>
      </c>
      <c r="R597" t="b">
        <v>0</v>
      </c>
      <c r="S597" t="b">
        <v>0</v>
      </c>
      <c r="T597">
        <v>231</v>
      </c>
      <c r="U597">
        <v>0</v>
      </c>
      <c r="V597" t="s">
        <v>33</v>
      </c>
      <c r="W597" t="s">
        <v>33</v>
      </c>
      <c r="X597">
        <v>50</v>
      </c>
      <c r="Y597">
        <v>359</v>
      </c>
      <c r="Z597" t="s">
        <v>34</v>
      </c>
      <c r="AA597">
        <v>359</v>
      </c>
      <c r="AB597" t="s">
        <v>121</v>
      </c>
      <c r="AC597" t="s">
        <v>121</v>
      </c>
      <c r="AD597" t="str">
        <f t="shared" si="9"/>
        <v>Escobedo → Escobedo</v>
      </c>
      <c r="AE597" t="s">
        <v>1357</v>
      </c>
      <c r="AF597" s="4">
        <v>45778</v>
      </c>
      <c r="AG597" t="str">
        <f>YEAR(Table1[[#This Row],[Fecha]])&amp;" - " &amp;UPPER(TEXT(Table1[[#This Row],[Fecha]],"mm-mmm"))</f>
        <v>2025 - 05-MAY</v>
      </c>
      <c r="AH597" s="5">
        <v>0</v>
      </c>
    </row>
    <row r="598" spans="1:34" x14ac:dyDescent="0.25">
      <c r="A598" t="s">
        <v>840</v>
      </c>
      <c r="B598">
        <v>2025</v>
      </c>
      <c r="C598">
        <v>5</v>
      </c>
      <c r="D598" s="1">
        <v>45796</v>
      </c>
      <c r="E598" s="1">
        <v>45796</v>
      </c>
      <c r="F598" s="1">
        <v>45796</v>
      </c>
      <c r="G598" s="1">
        <v>45796</v>
      </c>
      <c r="H598" s="2">
        <v>45797.166097106485</v>
      </c>
      <c r="I598">
        <v>2039</v>
      </c>
      <c r="J598" t="s">
        <v>30</v>
      </c>
      <c r="K598" t="s">
        <v>31</v>
      </c>
      <c r="L598">
        <v>50</v>
      </c>
      <c r="M598">
        <v>50</v>
      </c>
      <c r="N598" t="s">
        <v>32</v>
      </c>
      <c r="O598">
        <v>1</v>
      </c>
      <c r="P598">
        <v>150</v>
      </c>
      <c r="Q598" t="b">
        <v>1</v>
      </c>
      <c r="R598" t="b">
        <v>0</v>
      </c>
      <c r="S598" t="b">
        <v>0</v>
      </c>
      <c r="T598">
        <v>231</v>
      </c>
      <c r="U598">
        <v>0</v>
      </c>
      <c r="V598" t="s">
        <v>33</v>
      </c>
      <c r="W598" t="s">
        <v>33</v>
      </c>
      <c r="X598">
        <v>50</v>
      </c>
      <c r="Y598">
        <v>359</v>
      </c>
      <c r="Z598" t="s">
        <v>34</v>
      </c>
      <c r="AA598">
        <v>359</v>
      </c>
      <c r="AB598" t="s">
        <v>121</v>
      </c>
      <c r="AC598" t="s">
        <v>121</v>
      </c>
      <c r="AD598" t="str">
        <f t="shared" si="9"/>
        <v>Escobedo → Escobedo</v>
      </c>
      <c r="AE598" t="s">
        <v>1357</v>
      </c>
      <c r="AF598" s="4">
        <v>45778</v>
      </c>
      <c r="AG598" t="str">
        <f>YEAR(Table1[[#This Row],[Fecha]])&amp;" - " &amp;UPPER(TEXT(Table1[[#This Row],[Fecha]],"mm-mmm"))</f>
        <v>2025 - 05-MAY</v>
      </c>
      <c r="AH598" s="5">
        <v>0</v>
      </c>
    </row>
    <row r="599" spans="1:34" x14ac:dyDescent="0.25">
      <c r="A599" t="s">
        <v>482</v>
      </c>
      <c r="B599">
        <v>2025</v>
      </c>
      <c r="C599">
        <v>5</v>
      </c>
      <c r="D599" s="1">
        <v>45796</v>
      </c>
      <c r="E599" s="1">
        <v>45796</v>
      </c>
      <c r="F599" s="1">
        <v>45796</v>
      </c>
      <c r="G599" s="1">
        <v>45796</v>
      </c>
      <c r="H599" s="2">
        <v>45797.166626585647</v>
      </c>
      <c r="I599">
        <v>2039</v>
      </c>
      <c r="J599" t="s">
        <v>30</v>
      </c>
      <c r="K599" t="s">
        <v>31</v>
      </c>
      <c r="L599">
        <v>50</v>
      </c>
      <c r="M599">
        <v>50</v>
      </c>
      <c r="N599" t="s">
        <v>32</v>
      </c>
      <c r="O599">
        <v>1</v>
      </c>
      <c r="P599">
        <v>150</v>
      </c>
      <c r="Q599" t="b">
        <v>1</v>
      </c>
      <c r="R599" t="b">
        <v>0</v>
      </c>
      <c r="S599" t="b">
        <v>0</v>
      </c>
      <c r="T599">
        <v>231</v>
      </c>
      <c r="U599">
        <v>0</v>
      </c>
      <c r="V599" t="s">
        <v>33</v>
      </c>
      <c r="W599" t="s">
        <v>33</v>
      </c>
      <c r="X599">
        <v>50</v>
      </c>
      <c r="Y599">
        <v>2936</v>
      </c>
      <c r="Z599" t="s">
        <v>34</v>
      </c>
      <c r="AA599">
        <v>2936</v>
      </c>
      <c r="AB599" t="s">
        <v>121</v>
      </c>
      <c r="AC599" t="s">
        <v>432</v>
      </c>
      <c r="AD599" t="str">
        <f t="shared" si="9"/>
        <v>Escobedo → Hidalgo</v>
      </c>
      <c r="AE599" t="s">
        <v>1357</v>
      </c>
      <c r="AF599" s="4">
        <v>45778</v>
      </c>
      <c r="AG599" t="str">
        <f>YEAR(Table1[[#This Row],[Fecha]])&amp;" - " &amp;UPPER(TEXT(Table1[[#This Row],[Fecha]],"mm-mmm"))</f>
        <v>2025 - 05-MAY</v>
      </c>
      <c r="AH599" s="5">
        <v>0</v>
      </c>
    </row>
    <row r="600" spans="1:34" x14ac:dyDescent="0.25">
      <c r="A600" t="s">
        <v>796</v>
      </c>
      <c r="B600">
        <v>2025</v>
      </c>
      <c r="C600">
        <v>5</v>
      </c>
      <c r="D600" s="1">
        <v>45796</v>
      </c>
      <c r="E600" s="1">
        <v>45796</v>
      </c>
      <c r="F600" s="1">
        <v>45796</v>
      </c>
      <c r="G600" s="1">
        <v>45796</v>
      </c>
      <c r="H600" s="2">
        <v>45797.167276273147</v>
      </c>
      <c r="I600">
        <v>2039</v>
      </c>
      <c r="J600" t="s">
        <v>30</v>
      </c>
      <c r="K600" t="s">
        <v>31</v>
      </c>
      <c r="L600">
        <v>50</v>
      </c>
      <c r="M600">
        <v>50</v>
      </c>
      <c r="N600" t="s">
        <v>32</v>
      </c>
      <c r="O600">
        <v>1</v>
      </c>
      <c r="P600">
        <v>150</v>
      </c>
      <c r="Q600" t="b">
        <v>1</v>
      </c>
      <c r="R600" t="b">
        <v>0</v>
      </c>
      <c r="S600" t="b">
        <v>0</v>
      </c>
      <c r="T600">
        <v>231</v>
      </c>
      <c r="U600">
        <v>0</v>
      </c>
      <c r="V600" t="s">
        <v>33</v>
      </c>
      <c r="W600" t="s">
        <v>33</v>
      </c>
      <c r="X600">
        <v>50</v>
      </c>
      <c r="Y600">
        <v>359</v>
      </c>
      <c r="Z600" t="s">
        <v>34</v>
      </c>
      <c r="AA600">
        <v>359</v>
      </c>
      <c r="AB600" t="s">
        <v>121</v>
      </c>
      <c r="AC600" t="s">
        <v>121</v>
      </c>
      <c r="AD600" t="str">
        <f t="shared" si="9"/>
        <v>Escobedo → Escobedo</v>
      </c>
      <c r="AE600" t="s">
        <v>1357</v>
      </c>
      <c r="AF600" s="4">
        <v>45778</v>
      </c>
      <c r="AG600" t="str">
        <f>YEAR(Table1[[#This Row],[Fecha]])&amp;" - " &amp;UPPER(TEXT(Table1[[#This Row],[Fecha]],"mm-mmm"))</f>
        <v>2025 - 05-MAY</v>
      </c>
      <c r="AH600" s="5">
        <v>0</v>
      </c>
    </row>
    <row r="601" spans="1:34" x14ac:dyDescent="0.25">
      <c r="A601" t="s">
        <v>180</v>
      </c>
      <c r="B601">
        <v>2025</v>
      </c>
      <c r="C601">
        <v>5</v>
      </c>
      <c r="D601" s="1">
        <v>45796</v>
      </c>
      <c r="E601" s="1">
        <v>45796</v>
      </c>
      <c r="F601" s="1">
        <v>45796</v>
      </c>
      <c r="G601" s="1">
        <v>45796</v>
      </c>
      <c r="H601" s="1">
        <v>45797</v>
      </c>
      <c r="I601">
        <v>2050</v>
      </c>
      <c r="J601" t="s">
        <v>54</v>
      </c>
      <c r="K601" t="s">
        <v>31</v>
      </c>
      <c r="L601">
        <v>50</v>
      </c>
      <c r="M601">
        <v>50</v>
      </c>
      <c r="N601" t="s">
        <v>55</v>
      </c>
      <c r="O601">
        <v>1</v>
      </c>
      <c r="P601">
        <v>150</v>
      </c>
      <c r="Q601" t="b">
        <v>1</v>
      </c>
      <c r="R601" t="b">
        <v>0</v>
      </c>
      <c r="S601" t="b">
        <v>0</v>
      </c>
      <c r="T601">
        <v>231</v>
      </c>
      <c r="U601">
        <v>0</v>
      </c>
      <c r="V601" t="s">
        <v>33</v>
      </c>
      <c r="W601" t="s">
        <v>33</v>
      </c>
      <c r="X601">
        <v>50</v>
      </c>
      <c r="Y601">
        <v>308</v>
      </c>
      <c r="Z601" t="s">
        <v>34</v>
      </c>
      <c r="AA601">
        <v>308</v>
      </c>
      <c r="AB601" t="s">
        <v>121</v>
      </c>
      <c r="AC601" t="s">
        <v>174</v>
      </c>
      <c r="AD601" t="str">
        <f t="shared" si="9"/>
        <v>Escobedo → Guadalupe</v>
      </c>
      <c r="AE601" t="s">
        <v>1358</v>
      </c>
      <c r="AF601" s="4">
        <v>45778</v>
      </c>
      <c r="AG601" t="str">
        <f>YEAR(Table1[[#This Row],[Fecha]])&amp;" - " &amp;UPPER(TEXT(Table1[[#This Row],[Fecha]],"mm-mmm"))</f>
        <v>2025 - 05-MAY</v>
      </c>
      <c r="AH601" s="5">
        <v>0</v>
      </c>
    </row>
    <row r="602" spans="1:34" x14ac:dyDescent="0.25">
      <c r="A602" t="s">
        <v>823</v>
      </c>
      <c r="B602">
        <v>2025</v>
      </c>
      <c r="C602">
        <v>5</v>
      </c>
      <c r="D602" s="1">
        <v>45796</v>
      </c>
      <c r="E602" s="1">
        <v>45796</v>
      </c>
      <c r="F602" s="1">
        <v>45796</v>
      </c>
      <c r="G602" s="1">
        <v>45796</v>
      </c>
      <c r="H602" s="1">
        <v>45797</v>
      </c>
      <c r="I602">
        <v>2050</v>
      </c>
      <c r="J602" t="s">
        <v>54</v>
      </c>
      <c r="K602" t="s">
        <v>31</v>
      </c>
      <c r="L602">
        <v>50</v>
      </c>
      <c r="M602">
        <v>50</v>
      </c>
      <c r="N602" t="s">
        <v>55</v>
      </c>
      <c r="O602">
        <v>1</v>
      </c>
      <c r="P602">
        <v>150</v>
      </c>
      <c r="Q602" t="b">
        <v>1</v>
      </c>
      <c r="R602" t="b">
        <v>0</v>
      </c>
      <c r="S602" t="b">
        <v>0</v>
      </c>
      <c r="T602">
        <v>231</v>
      </c>
      <c r="U602">
        <v>0</v>
      </c>
      <c r="V602" t="s">
        <v>33</v>
      </c>
      <c r="W602" t="s">
        <v>33</v>
      </c>
      <c r="X602">
        <v>50</v>
      </c>
      <c r="Y602">
        <v>359</v>
      </c>
      <c r="Z602" t="s">
        <v>34</v>
      </c>
      <c r="AA602">
        <v>359</v>
      </c>
      <c r="AB602" t="s">
        <v>121</v>
      </c>
      <c r="AC602" t="s">
        <v>121</v>
      </c>
      <c r="AD602" t="str">
        <f t="shared" si="9"/>
        <v>Escobedo → Escobedo</v>
      </c>
      <c r="AE602" t="s">
        <v>1358</v>
      </c>
      <c r="AF602" s="4">
        <v>45778</v>
      </c>
      <c r="AG602" t="str">
        <f>YEAR(Table1[[#This Row],[Fecha]])&amp;" - " &amp;UPPER(TEXT(Table1[[#This Row],[Fecha]],"mm-mmm"))</f>
        <v>2025 - 05-MAY</v>
      </c>
      <c r="AH602" s="5">
        <v>0</v>
      </c>
    </row>
    <row r="603" spans="1:34" x14ac:dyDescent="0.25">
      <c r="A603" t="s">
        <v>824</v>
      </c>
      <c r="B603">
        <v>2025</v>
      </c>
      <c r="C603">
        <v>5</v>
      </c>
      <c r="D603" s="1">
        <v>45796</v>
      </c>
      <c r="E603" s="1">
        <v>45796</v>
      </c>
      <c r="F603" s="1">
        <v>45796</v>
      </c>
      <c r="G603" s="1">
        <v>45796</v>
      </c>
      <c r="H603" s="1">
        <v>45797</v>
      </c>
      <c r="I603">
        <v>2050</v>
      </c>
      <c r="J603" t="s">
        <v>54</v>
      </c>
      <c r="K603" t="s">
        <v>31</v>
      </c>
      <c r="L603">
        <v>50</v>
      </c>
      <c r="M603">
        <v>50</v>
      </c>
      <c r="N603" t="s">
        <v>55</v>
      </c>
      <c r="O603">
        <v>1</v>
      </c>
      <c r="P603">
        <v>150</v>
      </c>
      <c r="Q603" t="b">
        <v>1</v>
      </c>
      <c r="R603" t="b">
        <v>0</v>
      </c>
      <c r="S603" t="b">
        <v>0</v>
      </c>
      <c r="T603">
        <v>231</v>
      </c>
      <c r="U603">
        <v>0</v>
      </c>
      <c r="V603" t="s">
        <v>33</v>
      </c>
      <c r="W603" t="s">
        <v>33</v>
      </c>
      <c r="X603">
        <v>50</v>
      </c>
      <c r="Y603">
        <v>359</v>
      </c>
      <c r="Z603" t="s">
        <v>34</v>
      </c>
      <c r="AA603">
        <v>359</v>
      </c>
      <c r="AB603" t="s">
        <v>121</v>
      </c>
      <c r="AC603" t="s">
        <v>121</v>
      </c>
      <c r="AD603" t="str">
        <f t="shared" si="9"/>
        <v>Escobedo → Escobedo</v>
      </c>
      <c r="AE603" t="s">
        <v>1358</v>
      </c>
      <c r="AF603" s="4">
        <v>45778</v>
      </c>
      <c r="AG603" t="str">
        <f>YEAR(Table1[[#This Row],[Fecha]])&amp;" - " &amp;UPPER(TEXT(Table1[[#This Row],[Fecha]],"mm-mmm"))</f>
        <v>2025 - 05-MAY</v>
      </c>
      <c r="AH603" s="5">
        <v>0</v>
      </c>
    </row>
    <row r="604" spans="1:34" x14ac:dyDescent="0.25">
      <c r="A604" t="s">
        <v>825</v>
      </c>
      <c r="B604">
        <v>2025</v>
      </c>
      <c r="C604">
        <v>5</v>
      </c>
      <c r="D604" s="1">
        <v>45796</v>
      </c>
      <c r="E604" s="1">
        <v>45796</v>
      </c>
      <c r="F604" s="1">
        <v>45796</v>
      </c>
      <c r="G604" s="1">
        <v>45796</v>
      </c>
      <c r="H604" s="1">
        <v>45797</v>
      </c>
      <c r="I604">
        <v>2050</v>
      </c>
      <c r="J604" t="s">
        <v>54</v>
      </c>
      <c r="K604" t="s">
        <v>31</v>
      </c>
      <c r="L604">
        <v>50</v>
      </c>
      <c r="M604">
        <v>50</v>
      </c>
      <c r="N604" t="s">
        <v>55</v>
      </c>
      <c r="O604">
        <v>1</v>
      </c>
      <c r="P604">
        <v>150</v>
      </c>
      <c r="Q604" t="b">
        <v>1</v>
      </c>
      <c r="R604" t="b">
        <v>0</v>
      </c>
      <c r="S604" t="b">
        <v>0</v>
      </c>
      <c r="T604">
        <v>231</v>
      </c>
      <c r="U604">
        <v>0</v>
      </c>
      <c r="V604" t="s">
        <v>33</v>
      </c>
      <c r="W604" t="s">
        <v>33</v>
      </c>
      <c r="X604">
        <v>50</v>
      </c>
      <c r="Y604">
        <v>359</v>
      </c>
      <c r="Z604" t="s">
        <v>34</v>
      </c>
      <c r="AA604">
        <v>359</v>
      </c>
      <c r="AB604" t="s">
        <v>121</v>
      </c>
      <c r="AC604" t="s">
        <v>121</v>
      </c>
      <c r="AD604" t="str">
        <f t="shared" si="9"/>
        <v>Escobedo → Escobedo</v>
      </c>
      <c r="AE604" t="s">
        <v>1358</v>
      </c>
      <c r="AF604" s="4">
        <v>45778</v>
      </c>
      <c r="AG604" t="str">
        <f>YEAR(Table1[[#This Row],[Fecha]])&amp;" - " &amp;UPPER(TEXT(Table1[[#This Row],[Fecha]],"mm-mmm"))</f>
        <v>2025 - 05-MAY</v>
      </c>
      <c r="AH604" s="5">
        <v>0</v>
      </c>
    </row>
    <row r="605" spans="1:34" x14ac:dyDescent="0.25">
      <c r="A605" t="s">
        <v>826</v>
      </c>
      <c r="B605">
        <v>2025</v>
      </c>
      <c r="C605">
        <v>5</v>
      </c>
      <c r="D605" s="1">
        <v>45798</v>
      </c>
      <c r="E605" s="1">
        <v>45798</v>
      </c>
      <c r="F605" s="1">
        <v>45798</v>
      </c>
      <c r="G605" s="1">
        <v>45798</v>
      </c>
      <c r="H605" s="2">
        <v>45798.657835879632</v>
      </c>
      <c r="I605">
        <v>2050</v>
      </c>
      <c r="J605" t="s">
        <v>54</v>
      </c>
      <c r="K605" t="s">
        <v>31</v>
      </c>
      <c r="L605">
        <v>50</v>
      </c>
      <c r="M605">
        <v>50</v>
      </c>
      <c r="N605" t="s">
        <v>55</v>
      </c>
      <c r="O605">
        <v>1</v>
      </c>
      <c r="P605">
        <v>150</v>
      </c>
      <c r="Q605" t="b">
        <v>1</v>
      </c>
      <c r="R605" t="b">
        <v>0</v>
      </c>
      <c r="S605" t="b">
        <v>0</v>
      </c>
      <c r="T605">
        <v>231</v>
      </c>
      <c r="U605">
        <v>0</v>
      </c>
      <c r="V605" t="s">
        <v>33</v>
      </c>
      <c r="W605" t="s">
        <v>33</v>
      </c>
      <c r="X605">
        <v>50</v>
      </c>
      <c r="Y605">
        <v>359</v>
      </c>
      <c r="Z605" t="s">
        <v>34</v>
      </c>
      <c r="AA605">
        <v>359</v>
      </c>
      <c r="AB605" t="s">
        <v>121</v>
      </c>
      <c r="AC605" t="s">
        <v>121</v>
      </c>
      <c r="AD605" t="str">
        <f t="shared" si="9"/>
        <v>Escobedo → Escobedo</v>
      </c>
      <c r="AE605" t="s">
        <v>1358</v>
      </c>
      <c r="AF605" s="4">
        <v>45778</v>
      </c>
      <c r="AG605" t="str">
        <f>YEAR(Table1[[#This Row],[Fecha]])&amp;" - " &amp;UPPER(TEXT(Table1[[#This Row],[Fecha]],"mm-mmm"))</f>
        <v>2025 - 05-MAY</v>
      </c>
      <c r="AH605" s="5">
        <v>0</v>
      </c>
    </row>
    <row r="606" spans="1:34" x14ac:dyDescent="0.25">
      <c r="A606" t="s">
        <v>481</v>
      </c>
      <c r="B606">
        <v>2025</v>
      </c>
      <c r="C606">
        <v>5</v>
      </c>
      <c r="D606" s="1">
        <v>45798</v>
      </c>
      <c r="E606" s="1">
        <v>45798</v>
      </c>
      <c r="F606" s="1">
        <v>45798</v>
      </c>
      <c r="G606" s="1">
        <v>45798</v>
      </c>
      <c r="H606" s="2">
        <v>45798.658317094909</v>
      </c>
      <c r="I606">
        <v>2050</v>
      </c>
      <c r="J606" t="s">
        <v>54</v>
      </c>
      <c r="K606" t="s">
        <v>31</v>
      </c>
      <c r="L606">
        <v>50</v>
      </c>
      <c r="M606">
        <v>50</v>
      </c>
      <c r="N606" t="s">
        <v>55</v>
      </c>
      <c r="O606">
        <v>1</v>
      </c>
      <c r="P606">
        <v>150</v>
      </c>
      <c r="Q606" t="b">
        <v>1</v>
      </c>
      <c r="R606" t="b">
        <v>0</v>
      </c>
      <c r="S606" t="b">
        <v>0</v>
      </c>
      <c r="T606">
        <v>231</v>
      </c>
      <c r="U606">
        <v>0</v>
      </c>
      <c r="V606" t="s">
        <v>33</v>
      </c>
      <c r="W606" t="s">
        <v>33</v>
      </c>
      <c r="X606">
        <v>50</v>
      </c>
      <c r="Y606">
        <v>2936</v>
      </c>
      <c r="Z606" t="s">
        <v>34</v>
      </c>
      <c r="AA606">
        <v>2936</v>
      </c>
      <c r="AB606" t="s">
        <v>121</v>
      </c>
      <c r="AC606" t="s">
        <v>432</v>
      </c>
      <c r="AD606" t="str">
        <f t="shared" si="9"/>
        <v>Escobedo → Hidalgo</v>
      </c>
      <c r="AE606" t="s">
        <v>1358</v>
      </c>
      <c r="AF606" s="4">
        <v>45778</v>
      </c>
      <c r="AG606" t="str">
        <f>YEAR(Table1[[#This Row],[Fecha]])&amp;" - " &amp;UPPER(TEXT(Table1[[#This Row],[Fecha]],"mm-mmm"))</f>
        <v>2025 - 05-MAY</v>
      </c>
      <c r="AH606" s="5">
        <v>0</v>
      </c>
    </row>
    <row r="607" spans="1:34" x14ac:dyDescent="0.25">
      <c r="A607" t="s">
        <v>797</v>
      </c>
      <c r="B607">
        <v>2025</v>
      </c>
      <c r="C607">
        <v>5</v>
      </c>
      <c r="D607" s="1">
        <v>45798</v>
      </c>
      <c r="E607" s="1">
        <v>45798</v>
      </c>
      <c r="F607" s="1">
        <v>45798</v>
      </c>
      <c r="G607" s="1">
        <v>45798</v>
      </c>
      <c r="H607" s="2">
        <v>45798.659828784723</v>
      </c>
      <c r="I607">
        <v>2050</v>
      </c>
      <c r="J607" t="s">
        <v>54</v>
      </c>
      <c r="K607" t="s">
        <v>31</v>
      </c>
      <c r="L607">
        <v>50</v>
      </c>
      <c r="M607">
        <v>50</v>
      </c>
      <c r="N607" t="s">
        <v>55</v>
      </c>
      <c r="O607">
        <v>1</v>
      </c>
      <c r="P607">
        <v>150</v>
      </c>
      <c r="Q607" t="b">
        <v>1</v>
      </c>
      <c r="R607" t="b">
        <v>0</v>
      </c>
      <c r="S607" t="b">
        <v>0</v>
      </c>
      <c r="T607">
        <v>231</v>
      </c>
      <c r="U607">
        <v>0</v>
      </c>
      <c r="V607" t="s">
        <v>33</v>
      </c>
      <c r="W607" t="s">
        <v>33</v>
      </c>
      <c r="X607">
        <v>50</v>
      </c>
      <c r="Y607">
        <v>359</v>
      </c>
      <c r="Z607" t="s">
        <v>34</v>
      </c>
      <c r="AA607">
        <v>359</v>
      </c>
      <c r="AB607" t="s">
        <v>121</v>
      </c>
      <c r="AC607" t="s">
        <v>121</v>
      </c>
      <c r="AD607" t="str">
        <f t="shared" si="9"/>
        <v>Escobedo → Escobedo</v>
      </c>
      <c r="AE607" t="s">
        <v>1358</v>
      </c>
      <c r="AF607" s="4">
        <v>45778</v>
      </c>
      <c r="AG607" t="str">
        <f>YEAR(Table1[[#This Row],[Fecha]])&amp;" - " &amp;UPPER(TEXT(Table1[[#This Row],[Fecha]],"mm-mmm"))</f>
        <v>2025 - 05-MAY</v>
      </c>
      <c r="AH607" s="5">
        <v>0</v>
      </c>
    </row>
    <row r="608" spans="1:34" x14ac:dyDescent="0.25">
      <c r="A608" t="s">
        <v>501</v>
      </c>
      <c r="B608">
        <v>2025</v>
      </c>
      <c r="C608">
        <v>5</v>
      </c>
      <c r="D608" s="1">
        <v>45798</v>
      </c>
      <c r="E608" s="1">
        <v>45798</v>
      </c>
      <c r="F608" s="1">
        <v>45798</v>
      </c>
      <c r="G608" s="1">
        <v>45798</v>
      </c>
      <c r="H608" s="2">
        <v>45798.660243368053</v>
      </c>
      <c r="I608">
        <v>2050</v>
      </c>
      <c r="J608" t="s">
        <v>54</v>
      </c>
      <c r="K608" t="s">
        <v>31</v>
      </c>
      <c r="L608">
        <v>50</v>
      </c>
      <c r="M608">
        <v>50</v>
      </c>
      <c r="N608" t="s">
        <v>55</v>
      </c>
      <c r="O608">
        <v>1</v>
      </c>
      <c r="P608">
        <v>150</v>
      </c>
      <c r="Q608" t="b">
        <v>1</v>
      </c>
      <c r="R608" t="b">
        <v>0</v>
      </c>
      <c r="S608" t="b">
        <v>0</v>
      </c>
      <c r="T608">
        <v>231</v>
      </c>
      <c r="U608">
        <v>0</v>
      </c>
      <c r="V608" t="s">
        <v>33</v>
      </c>
      <c r="W608" t="s">
        <v>33</v>
      </c>
      <c r="X608">
        <v>50</v>
      </c>
      <c r="Y608">
        <v>2936</v>
      </c>
      <c r="Z608" t="s">
        <v>34</v>
      </c>
      <c r="AA608">
        <v>2936</v>
      </c>
      <c r="AB608" t="s">
        <v>121</v>
      </c>
      <c r="AC608" t="s">
        <v>432</v>
      </c>
      <c r="AD608" t="str">
        <f t="shared" si="9"/>
        <v>Escobedo → Hidalgo</v>
      </c>
      <c r="AE608" t="s">
        <v>1358</v>
      </c>
      <c r="AF608" s="4">
        <v>45778</v>
      </c>
      <c r="AG608" t="str">
        <f>YEAR(Table1[[#This Row],[Fecha]])&amp;" - " &amp;UPPER(TEXT(Table1[[#This Row],[Fecha]],"mm-mmm"))</f>
        <v>2025 - 05-MAY</v>
      </c>
      <c r="AH608" s="5">
        <v>0</v>
      </c>
    </row>
    <row r="609" spans="1:34" x14ac:dyDescent="0.25">
      <c r="A609" t="s">
        <v>798</v>
      </c>
      <c r="B609">
        <v>2025</v>
      </c>
      <c r="C609">
        <v>5</v>
      </c>
      <c r="D609" s="1">
        <v>45798</v>
      </c>
      <c r="E609" s="1">
        <v>45798</v>
      </c>
      <c r="F609" s="1">
        <v>45798</v>
      </c>
      <c r="G609" s="1">
        <v>45798</v>
      </c>
      <c r="H609" s="2">
        <v>45798.660913391206</v>
      </c>
      <c r="I609">
        <v>2050</v>
      </c>
      <c r="J609" t="s">
        <v>54</v>
      </c>
      <c r="K609" t="s">
        <v>31</v>
      </c>
      <c r="L609">
        <v>50</v>
      </c>
      <c r="M609">
        <v>50</v>
      </c>
      <c r="N609" t="s">
        <v>55</v>
      </c>
      <c r="O609">
        <v>1</v>
      </c>
      <c r="P609">
        <v>150</v>
      </c>
      <c r="Q609" t="b">
        <v>1</v>
      </c>
      <c r="R609" t="b">
        <v>0</v>
      </c>
      <c r="S609" t="b">
        <v>0</v>
      </c>
      <c r="T609">
        <v>231</v>
      </c>
      <c r="U609">
        <v>0</v>
      </c>
      <c r="V609" t="s">
        <v>33</v>
      </c>
      <c r="W609" t="s">
        <v>33</v>
      </c>
      <c r="X609">
        <v>50</v>
      </c>
      <c r="Y609">
        <v>359</v>
      </c>
      <c r="Z609" t="s">
        <v>34</v>
      </c>
      <c r="AA609">
        <v>359</v>
      </c>
      <c r="AB609" t="s">
        <v>121</v>
      </c>
      <c r="AC609" t="s">
        <v>121</v>
      </c>
      <c r="AD609" t="str">
        <f t="shared" si="9"/>
        <v>Escobedo → Escobedo</v>
      </c>
      <c r="AE609" t="s">
        <v>1358</v>
      </c>
      <c r="AF609" s="4">
        <v>45778</v>
      </c>
      <c r="AG609" t="str">
        <f>YEAR(Table1[[#This Row],[Fecha]])&amp;" - " &amp;UPPER(TEXT(Table1[[#This Row],[Fecha]],"mm-mmm"))</f>
        <v>2025 - 05-MAY</v>
      </c>
      <c r="AH609" s="5">
        <v>0</v>
      </c>
    </row>
    <row r="610" spans="1:34" x14ac:dyDescent="0.25">
      <c r="A610" t="s">
        <v>799</v>
      </c>
      <c r="B610">
        <v>2025</v>
      </c>
      <c r="C610">
        <v>5</v>
      </c>
      <c r="D610" s="1">
        <v>45798</v>
      </c>
      <c r="E610" s="1">
        <v>45798</v>
      </c>
      <c r="F610" s="1">
        <v>45798</v>
      </c>
      <c r="G610" s="1">
        <v>45798</v>
      </c>
      <c r="H610" s="2">
        <v>45798.661435613423</v>
      </c>
      <c r="I610">
        <v>2050</v>
      </c>
      <c r="J610" t="s">
        <v>54</v>
      </c>
      <c r="K610" t="s">
        <v>31</v>
      </c>
      <c r="L610">
        <v>50</v>
      </c>
      <c r="M610">
        <v>50</v>
      </c>
      <c r="N610" t="s">
        <v>55</v>
      </c>
      <c r="O610">
        <v>1</v>
      </c>
      <c r="P610">
        <v>150</v>
      </c>
      <c r="Q610" t="b">
        <v>1</v>
      </c>
      <c r="R610" t="b">
        <v>0</v>
      </c>
      <c r="S610" t="b">
        <v>0</v>
      </c>
      <c r="T610">
        <v>231</v>
      </c>
      <c r="U610">
        <v>0</v>
      </c>
      <c r="V610" t="s">
        <v>33</v>
      </c>
      <c r="W610" t="s">
        <v>33</v>
      </c>
      <c r="X610">
        <v>50</v>
      </c>
      <c r="Y610">
        <v>359</v>
      </c>
      <c r="Z610" t="s">
        <v>34</v>
      </c>
      <c r="AA610">
        <v>359</v>
      </c>
      <c r="AB610" t="s">
        <v>121</v>
      </c>
      <c r="AC610" t="s">
        <v>121</v>
      </c>
      <c r="AD610" t="str">
        <f t="shared" si="9"/>
        <v>Escobedo → Escobedo</v>
      </c>
      <c r="AE610" t="s">
        <v>1358</v>
      </c>
      <c r="AF610" s="4">
        <v>45778</v>
      </c>
      <c r="AG610" t="str">
        <f>YEAR(Table1[[#This Row],[Fecha]])&amp;" - " &amp;UPPER(TEXT(Table1[[#This Row],[Fecha]],"mm-mmm"))</f>
        <v>2025 - 05-MAY</v>
      </c>
      <c r="AH610" s="5">
        <v>0</v>
      </c>
    </row>
    <row r="611" spans="1:34" x14ac:dyDescent="0.25">
      <c r="A611" t="s">
        <v>800</v>
      </c>
      <c r="B611">
        <v>2025</v>
      </c>
      <c r="C611">
        <v>5</v>
      </c>
      <c r="D611" s="1">
        <v>45798</v>
      </c>
      <c r="E611" s="1">
        <v>45798</v>
      </c>
      <c r="F611" s="1">
        <v>45798</v>
      </c>
      <c r="G611" s="1">
        <v>45798</v>
      </c>
      <c r="H611" s="2">
        <v>45798.661931284725</v>
      </c>
      <c r="I611">
        <v>2050</v>
      </c>
      <c r="J611" t="s">
        <v>54</v>
      </c>
      <c r="K611" t="s">
        <v>31</v>
      </c>
      <c r="L611">
        <v>50</v>
      </c>
      <c r="M611">
        <v>50</v>
      </c>
      <c r="N611" t="s">
        <v>55</v>
      </c>
      <c r="O611">
        <v>1</v>
      </c>
      <c r="P611">
        <v>150</v>
      </c>
      <c r="Q611" t="b">
        <v>1</v>
      </c>
      <c r="R611" t="b">
        <v>0</v>
      </c>
      <c r="S611" t="b">
        <v>0</v>
      </c>
      <c r="T611">
        <v>231</v>
      </c>
      <c r="U611">
        <v>0</v>
      </c>
      <c r="V611" t="s">
        <v>33</v>
      </c>
      <c r="W611" t="s">
        <v>33</v>
      </c>
      <c r="X611">
        <v>50</v>
      </c>
      <c r="Y611">
        <v>359</v>
      </c>
      <c r="Z611" t="s">
        <v>34</v>
      </c>
      <c r="AA611">
        <v>359</v>
      </c>
      <c r="AB611" t="s">
        <v>121</v>
      </c>
      <c r="AC611" t="s">
        <v>121</v>
      </c>
      <c r="AD611" t="str">
        <f t="shared" si="9"/>
        <v>Escobedo → Escobedo</v>
      </c>
      <c r="AE611" t="s">
        <v>1358</v>
      </c>
      <c r="AF611" s="4">
        <v>45778</v>
      </c>
      <c r="AG611" t="str">
        <f>YEAR(Table1[[#This Row],[Fecha]])&amp;" - " &amp;UPPER(TEXT(Table1[[#This Row],[Fecha]],"mm-mmm"))</f>
        <v>2025 - 05-MAY</v>
      </c>
      <c r="AH611" s="5">
        <v>0</v>
      </c>
    </row>
    <row r="612" spans="1:34" x14ac:dyDescent="0.25">
      <c r="A612" t="s">
        <v>502</v>
      </c>
      <c r="B612">
        <v>2025</v>
      </c>
      <c r="C612">
        <v>5</v>
      </c>
      <c r="D612" s="1">
        <v>45798</v>
      </c>
      <c r="E612" s="1">
        <v>45798</v>
      </c>
      <c r="F612" s="1">
        <v>45798</v>
      </c>
      <c r="G612" s="1">
        <v>45798</v>
      </c>
      <c r="H612" s="2">
        <v>45798.662556331015</v>
      </c>
      <c r="I612">
        <v>2050</v>
      </c>
      <c r="J612" t="s">
        <v>54</v>
      </c>
      <c r="K612" t="s">
        <v>31</v>
      </c>
      <c r="L612">
        <v>50</v>
      </c>
      <c r="M612">
        <v>50</v>
      </c>
      <c r="N612" t="s">
        <v>55</v>
      </c>
      <c r="O612">
        <v>1</v>
      </c>
      <c r="P612">
        <v>150</v>
      </c>
      <c r="Q612" t="b">
        <v>1</v>
      </c>
      <c r="R612" t="b">
        <v>0</v>
      </c>
      <c r="S612" t="b">
        <v>0</v>
      </c>
      <c r="T612">
        <v>231</v>
      </c>
      <c r="U612">
        <v>0</v>
      </c>
      <c r="V612" t="s">
        <v>33</v>
      </c>
      <c r="W612" t="s">
        <v>33</v>
      </c>
      <c r="X612">
        <v>50</v>
      </c>
      <c r="Y612">
        <v>2936</v>
      </c>
      <c r="Z612" t="s">
        <v>34</v>
      </c>
      <c r="AA612">
        <v>2936</v>
      </c>
      <c r="AB612" t="s">
        <v>121</v>
      </c>
      <c r="AC612" t="s">
        <v>432</v>
      </c>
      <c r="AD612" t="str">
        <f t="shared" si="9"/>
        <v>Escobedo → Hidalgo</v>
      </c>
      <c r="AE612" t="s">
        <v>1358</v>
      </c>
      <c r="AF612" s="4">
        <v>45778</v>
      </c>
      <c r="AG612" t="str">
        <f>YEAR(Table1[[#This Row],[Fecha]])&amp;" - " &amp;UPPER(TEXT(Table1[[#This Row],[Fecha]],"mm-mmm"))</f>
        <v>2025 - 05-MAY</v>
      </c>
      <c r="AH612" s="5">
        <v>0</v>
      </c>
    </row>
    <row r="613" spans="1:34" x14ac:dyDescent="0.25">
      <c r="A613" t="s">
        <v>801</v>
      </c>
      <c r="B613">
        <v>2025</v>
      </c>
      <c r="C613">
        <v>5</v>
      </c>
      <c r="D613" s="1">
        <v>45798</v>
      </c>
      <c r="E613" s="1">
        <v>45798</v>
      </c>
      <c r="F613" s="1">
        <v>45798</v>
      </c>
      <c r="G613" s="1">
        <v>45798</v>
      </c>
      <c r="H613" s="2">
        <v>45798.663256597225</v>
      </c>
      <c r="I613">
        <v>2050</v>
      </c>
      <c r="J613" t="s">
        <v>54</v>
      </c>
      <c r="K613" t="s">
        <v>31</v>
      </c>
      <c r="L613">
        <v>50</v>
      </c>
      <c r="M613">
        <v>50</v>
      </c>
      <c r="N613" t="s">
        <v>55</v>
      </c>
      <c r="O613">
        <v>1</v>
      </c>
      <c r="P613">
        <v>150</v>
      </c>
      <c r="Q613" t="b">
        <v>1</v>
      </c>
      <c r="R613" t="b">
        <v>0</v>
      </c>
      <c r="S613" t="b">
        <v>0</v>
      </c>
      <c r="T613">
        <v>231</v>
      </c>
      <c r="U613">
        <v>0</v>
      </c>
      <c r="V613" t="s">
        <v>33</v>
      </c>
      <c r="W613" t="s">
        <v>33</v>
      </c>
      <c r="X613">
        <v>50</v>
      </c>
      <c r="Y613">
        <v>359</v>
      </c>
      <c r="Z613" t="s">
        <v>34</v>
      </c>
      <c r="AA613">
        <v>359</v>
      </c>
      <c r="AB613" t="s">
        <v>121</v>
      </c>
      <c r="AC613" t="s">
        <v>121</v>
      </c>
      <c r="AD613" t="str">
        <f t="shared" si="9"/>
        <v>Escobedo → Escobedo</v>
      </c>
      <c r="AE613" t="s">
        <v>1358</v>
      </c>
      <c r="AF613" s="4">
        <v>45778</v>
      </c>
      <c r="AG613" t="str">
        <f>YEAR(Table1[[#This Row],[Fecha]])&amp;" - " &amp;UPPER(TEXT(Table1[[#This Row],[Fecha]],"mm-mmm"))</f>
        <v>2025 - 05-MAY</v>
      </c>
      <c r="AH613" s="5">
        <v>0</v>
      </c>
    </row>
    <row r="614" spans="1:34" x14ac:dyDescent="0.25">
      <c r="A614" t="s">
        <v>802</v>
      </c>
      <c r="B614">
        <v>2025</v>
      </c>
      <c r="C614">
        <v>5</v>
      </c>
      <c r="D614" s="1">
        <v>45798</v>
      </c>
      <c r="E614" s="1">
        <v>45798</v>
      </c>
      <c r="F614" s="1">
        <v>45798</v>
      </c>
      <c r="G614" s="1">
        <v>45798</v>
      </c>
      <c r="H614" s="2">
        <v>45798.663886145834</v>
      </c>
      <c r="I614">
        <v>2050</v>
      </c>
      <c r="J614" t="s">
        <v>54</v>
      </c>
      <c r="K614" t="s">
        <v>31</v>
      </c>
      <c r="L614">
        <v>50</v>
      </c>
      <c r="M614">
        <v>50</v>
      </c>
      <c r="N614" t="s">
        <v>55</v>
      </c>
      <c r="O614">
        <v>1</v>
      </c>
      <c r="P614">
        <v>150</v>
      </c>
      <c r="Q614" t="b">
        <v>1</v>
      </c>
      <c r="R614" t="b">
        <v>0</v>
      </c>
      <c r="S614" t="b">
        <v>0</v>
      </c>
      <c r="T614">
        <v>231</v>
      </c>
      <c r="U614">
        <v>0</v>
      </c>
      <c r="V614" t="s">
        <v>33</v>
      </c>
      <c r="W614" t="s">
        <v>33</v>
      </c>
      <c r="X614">
        <v>50</v>
      </c>
      <c r="Y614">
        <v>359</v>
      </c>
      <c r="Z614" t="s">
        <v>34</v>
      </c>
      <c r="AA614">
        <v>359</v>
      </c>
      <c r="AB614" t="s">
        <v>121</v>
      </c>
      <c r="AC614" t="s">
        <v>121</v>
      </c>
      <c r="AD614" t="str">
        <f t="shared" si="9"/>
        <v>Escobedo → Escobedo</v>
      </c>
      <c r="AE614" t="s">
        <v>1358</v>
      </c>
      <c r="AF614" s="4">
        <v>45778</v>
      </c>
      <c r="AG614" t="str">
        <f>YEAR(Table1[[#This Row],[Fecha]])&amp;" - " &amp;UPPER(TEXT(Table1[[#This Row],[Fecha]],"mm-mmm"))</f>
        <v>2025 - 05-MAY</v>
      </c>
      <c r="AH614" s="5">
        <v>0</v>
      </c>
    </row>
    <row r="615" spans="1:34" x14ac:dyDescent="0.25">
      <c r="A615" t="s">
        <v>803</v>
      </c>
      <c r="B615">
        <v>2025</v>
      </c>
      <c r="C615">
        <v>5</v>
      </c>
      <c r="D615" s="1">
        <v>45798</v>
      </c>
      <c r="E615" s="1">
        <v>45798</v>
      </c>
      <c r="F615" s="1">
        <v>45798</v>
      </c>
      <c r="G615" s="1">
        <v>45798</v>
      </c>
      <c r="H615" s="2">
        <v>45798.664435763887</v>
      </c>
      <c r="I615">
        <v>2050</v>
      </c>
      <c r="J615" t="s">
        <v>54</v>
      </c>
      <c r="K615" t="s">
        <v>31</v>
      </c>
      <c r="L615">
        <v>50</v>
      </c>
      <c r="M615">
        <v>50</v>
      </c>
      <c r="N615" t="s">
        <v>55</v>
      </c>
      <c r="O615">
        <v>1</v>
      </c>
      <c r="P615">
        <v>150</v>
      </c>
      <c r="Q615" t="b">
        <v>1</v>
      </c>
      <c r="R615" t="b">
        <v>0</v>
      </c>
      <c r="S615" t="b">
        <v>0</v>
      </c>
      <c r="T615">
        <v>231</v>
      </c>
      <c r="U615">
        <v>0</v>
      </c>
      <c r="V615" t="s">
        <v>33</v>
      </c>
      <c r="W615" t="s">
        <v>33</v>
      </c>
      <c r="X615">
        <v>50</v>
      </c>
      <c r="Y615">
        <v>359</v>
      </c>
      <c r="Z615" t="s">
        <v>34</v>
      </c>
      <c r="AA615">
        <v>359</v>
      </c>
      <c r="AB615" t="s">
        <v>121</v>
      </c>
      <c r="AC615" t="s">
        <v>121</v>
      </c>
      <c r="AD615" t="str">
        <f t="shared" si="9"/>
        <v>Escobedo → Escobedo</v>
      </c>
      <c r="AE615" t="s">
        <v>1358</v>
      </c>
      <c r="AF615" s="4">
        <v>45778</v>
      </c>
      <c r="AG615" t="str">
        <f>YEAR(Table1[[#This Row],[Fecha]])&amp;" - " &amp;UPPER(TEXT(Table1[[#This Row],[Fecha]],"mm-mmm"))</f>
        <v>2025 - 05-MAY</v>
      </c>
      <c r="AH615" s="5">
        <v>0</v>
      </c>
    </row>
    <row r="616" spans="1:34" x14ac:dyDescent="0.25">
      <c r="A616" t="s">
        <v>804</v>
      </c>
      <c r="B616">
        <v>2025</v>
      </c>
      <c r="C616">
        <v>5</v>
      </c>
      <c r="D616" s="1">
        <v>45798</v>
      </c>
      <c r="E616" s="1">
        <v>45798</v>
      </c>
      <c r="F616" s="1">
        <v>45798</v>
      </c>
      <c r="G616" s="1">
        <v>45798</v>
      </c>
      <c r="H616" s="2">
        <v>45798.665160300923</v>
      </c>
      <c r="I616">
        <v>2050</v>
      </c>
      <c r="J616" t="s">
        <v>54</v>
      </c>
      <c r="K616" t="s">
        <v>31</v>
      </c>
      <c r="L616">
        <v>50</v>
      </c>
      <c r="M616">
        <v>50</v>
      </c>
      <c r="N616" t="s">
        <v>55</v>
      </c>
      <c r="O616">
        <v>1</v>
      </c>
      <c r="P616">
        <v>150</v>
      </c>
      <c r="Q616" t="b">
        <v>1</v>
      </c>
      <c r="R616" t="b">
        <v>0</v>
      </c>
      <c r="S616" t="b">
        <v>0</v>
      </c>
      <c r="T616">
        <v>231</v>
      </c>
      <c r="U616">
        <v>0</v>
      </c>
      <c r="V616" t="s">
        <v>33</v>
      </c>
      <c r="W616" t="s">
        <v>33</v>
      </c>
      <c r="X616">
        <v>50</v>
      </c>
      <c r="Y616">
        <v>359</v>
      </c>
      <c r="Z616" t="s">
        <v>34</v>
      </c>
      <c r="AA616">
        <v>359</v>
      </c>
      <c r="AB616" t="s">
        <v>121</v>
      </c>
      <c r="AC616" t="s">
        <v>121</v>
      </c>
      <c r="AD616" t="str">
        <f t="shared" si="9"/>
        <v>Escobedo → Escobedo</v>
      </c>
      <c r="AE616" t="s">
        <v>1358</v>
      </c>
      <c r="AF616" s="4">
        <v>45778</v>
      </c>
      <c r="AG616" t="str">
        <f>YEAR(Table1[[#This Row],[Fecha]])&amp;" - " &amp;UPPER(TEXT(Table1[[#This Row],[Fecha]],"mm-mmm"))</f>
        <v>2025 - 05-MAY</v>
      </c>
      <c r="AH616" s="5">
        <v>0</v>
      </c>
    </row>
    <row r="617" spans="1:34" x14ac:dyDescent="0.25">
      <c r="A617" t="s">
        <v>805</v>
      </c>
      <c r="B617">
        <v>2025</v>
      </c>
      <c r="C617">
        <v>5</v>
      </c>
      <c r="D617" s="1">
        <v>45798</v>
      </c>
      <c r="E617" s="1">
        <v>45798</v>
      </c>
      <c r="F617" s="1">
        <v>45798</v>
      </c>
      <c r="G617" s="1">
        <v>45798</v>
      </c>
      <c r="H617" s="2">
        <v>45798.672927662039</v>
      </c>
      <c r="I617">
        <v>2050</v>
      </c>
      <c r="J617" t="s">
        <v>54</v>
      </c>
      <c r="K617" t="s">
        <v>31</v>
      </c>
      <c r="L617">
        <v>50</v>
      </c>
      <c r="M617">
        <v>50</v>
      </c>
      <c r="N617" t="s">
        <v>55</v>
      </c>
      <c r="O617">
        <v>1</v>
      </c>
      <c r="P617">
        <v>150</v>
      </c>
      <c r="Q617" t="b">
        <v>1</v>
      </c>
      <c r="R617" t="b">
        <v>0</v>
      </c>
      <c r="S617" t="b">
        <v>0</v>
      </c>
      <c r="T617">
        <v>231</v>
      </c>
      <c r="U617">
        <v>0</v>
      </c>
      <c r="V617" t="s">
        <v>33</v>
      </c>
      <c r="W617" t="s">
        <v>33</v>
      </c>
      <c r="X617">
        <v>50</v>
      </c>
      <c r="Y617">
        <v>359</v>
      </c>
      <c r="Z617" t="s">
        <v>34</v>
      </c>
      <c r="AA617">
        <v>359</v>
      </c>
      <c r="AB617" t="s">
        <v>121</v>
      </c>
      <c r="AC617" t="s">
        <v>121</v>
      </c>
      <c r="AD617" t="str">
        <f t="shared" si="9"/>
        <v>Escobedo → Escobedo</v>
      </c>
      <c r="AE617" t="s">
        <v>1358</v>
      </c>
      <c r="AF617" s="4">
        <v>45778</v>
      </c>
      <c r="AG617" t="str">
        <f>YEAR(Table1[[#This Row],[Fecha]])&amp;" - " &amp;UPPER(TEXT(Table1[[#This Row],[Fecha]],"mm-mmm"))</f>
        <v>2025 - 05-MAY</v>
      </c>
      <c r="AH617" s="5">
        <v>0</v>
      </c>
    </row>
    <row r="618" spans="1:34" x14ac:dyDescent="0.25">
      <c r="A618" t="s">
        <v>806</v>
      </c>
      <c r="B618">
        <v>2025</v>
      </c>
      <c r="C618">
        <v>5</v>
      </c>
      <c r="D618" s="1">
        <v>45798</v>
      </c>
      <c r="E618" s="1">
        <v>45798</v>
      </c>
      <c r="F618" s="1">
        <v>45798</v>
      </c>
      <c r="G618" s="1">
        <v>45798</v>
      </c>
      <c r="H618" s="2">
        <v>45798.673446412038</v>
      </c>
      <c r="I618">
        <v>2050</v>
      </c>
      <c r="J618" t="s">
        <v>54</v>
      </c>
      <c r="K618" t="s">
        <v>31</v>
      </c>
      <c r="L618">
        <v>50</v>
      </c>
      <c r="M618">
        <v>50</v>
      </c>
      <c r="N618" t="s">
        <v>55</v>
      </c>
      <c r="O618">
        <v>1</v>
      </c>
      <c r="P618">
        <v>150</v>
      </c>
      <c r="Q618" t="b">
        <v>1</v>
      </c>
      <c r="R618" t="b">
        <v>0</v>
      </c>
      <c r="S618" t="b">
        <v>0</v>
      </c>
      <c r="T618">
        <v>231</v>
      </c>
      <c r="U618">
        <v>0</v>
      </c>
      <c r="V618" t="s">
        <v>33</v>
      </c>
      <c r="W618" t="s">
        <v>33</v>
      </c>
      <c r="X618">
        <v>50</v>
      </c>
      <c r="Y618">
        <v>359</v>
      </c>
      <c r="Z618" t="s">
        <v>34</v>
      </c>
      <c r="AA618">
        <v>359</v>
      </c>
      <c r="AB618" t="s">
        <v>121</v>
      </c>
      <c r="AC618" t="s">
        <v>121</v>
      </c>
      <c r="AD618" t="str">
        <f t="shared" si="9"/>
        <v>Escobedo → Escobedo</v>
      </c>
      <c r="AE618" t="s">
        <v>1358</v>
      </c>
      <c r="AF618" s="4">
        <v>45778</v>
      </c>
      <c r="AG618" t="str">
        <f>YEAR(Table1[[#This Row],[Fecha]])&amp;" - " &amp;UPPER(TEXT(Table1[[#This Row],[Fecha]],"mm-mmm"))</f>
        <v>2025 - 05-MAY</v>
      </c>
      <c r="AH618" s="5">
        <v>0</v>
      </c>
    </row>
    <row r="619" spans="1:34" x14ac:dyDescent="0.25">
      <c r="A619" t="s">
        <v>807</v>
      </c>
      <c r="B619">
        <v>2025</v>
      </c>
      <c r="C619">
        <v>5</v>
      </c>
      <c r="D619" s="1">
        <v>45799</v>
      </c>
      <c r="E619" s="1">
        <v>45799</v>
      </c>
      <c r="F619" s="1">
        <v>45799</v>
      </c>
      <c r="G619" s="1">
        <v>45799</v>
      </c>
      <c r="H619" s="2">
        <v>45799.87537858796</v>
      </c>
      <c r="I619">
        <v>2050</v>
      </c>
      <c r="J619" t="s">
        <v>54</v>
      </c>
      <c r="K619" t="s">
        <v>31</v>
      </c>
      <c r="L619">
        <v>50</v>
      </c>
      <c r="M619">
        <v>50</v>
      </c>
      <c r="N619" t="s">
        <v>55</v>
      </c>
      <c r="O619">
        <v>1</v>
      </c>
      <c r="P619">
        <v>150</v>
      </c>
      <c r="Q619" t="b">
        <v>1</v>
      </c>
      <c r="R619" t="b">
        <v>0</v>
      </c>
      <c r="S619" t="b">
        <v>0</v>
      </c>
      <c r="T619">
        <v>231</v>
      </c>
      <c r="U619">
        <v>0</v>
      </c>
      <c r="V619" t="s">
        <v>33</v>
      </c>
      <c r="W619" t="s">
        <v>33</v>
      </c>
      <c r="X619">
        <v>50</v>
      </c>
      <c r="Y619">
        <v>359</v>
      </c>
      <c r="Z619" t="s">
        <v>34</v>
      </c>
      <c r="AA619">
        <v>359</v>
      </c>
      <c r="AB619" t="s">
        <v>121</v>
      </c>
      <c r="AC619" t="s">
        <v>121</v>
      </c>
      <c r="AD619" t="str">
        <f t="shared" si="9"/>
        <v>Escobedo → Escobedo</v>
      </c>
      <c r="AE619" t="s">
        <v>1358</v>
      </c>
      <c r="AF619" s="4">
        <v>45778</v>
      </c>
      <c r="AG619" t="str">
        <f>YEAR(Table1[[#This Row],[Fecha]])&amp;" - " &amp;UPPER(TEXT(Table1[[#This Row],[Fecha]],"mm-mmm"))</f>
        <v>2025 - 05-MAY</v>
      </c>
      <c r="AH619" s="5">
        <v>0</v>
      </c>
    </row>
    <row r="620" spans="1:34" x14ac:dyDescent="0.25">
      <c r="A620" t="s">
        <v>808</v>
      </c>
      <c r="B620">
        <v>2025</v>
      </c>
      <c r="C620">
        <v>5</v>
      </c>
      <c r="D620" s="1">
        <v>45799</v>
      </c>
      <c r="E620" s="1">
        <v>45799</v>
      </c>
      <c r="F620" s="1">
        <v>45799</v>
      </c>
      <c r="G620" s="1">
        <v>45799</v>
      </c>
      <c r="H620" s="2">
        <v>45799.876315243055</v>
      </c>
      <c r="I620">
        <v>2050</v>
      </c>
      <c r="J620" t="s">
        <v>54</v>
      </c>
      <c r="K620" t="s">
        <v>31</v>
      </c>
      <c r="L620">
        <v>50</v>
      </c>
      <c r="M620">
        <v>50</v>
      </c>
      <c r="N620" t="s">
        <v>55</v>
      </c>
      <c r="O620">
        <v>1</v>
      </c>
      <c r="P620">
        <v>150</v>
      </c>
      <c r="Q620" t="b">
        <v>1</v>
      </c>
      <c r="R620" t="b">
        <v>0</v>
      </c>
      <c r="S620" t="b">
        <v>0</v>
      </c>
      <c r="T620">
        <v>231</v>
      </c>
      <c r="U620">
        <v>0</v>
      </c>
      <c r="V620" t="s">
        <v>33</v>
      </c>
      <c r="W620" t="s">
        <v>33</v>
      </c>
      <c r="X620">
        <v>50</v>
      </c>
      <c r="Y620">
        <v>359</v>
      </c>
      <c r="Z620" t="s">
        <v>34</v>
      </c>
      <c r="AA620">
        <v>359</v>
      </c>
      <c r="AB620" t="s">
        <v>121</v>
      </c>
      <c r="AC620" t="s">
        <v>121</v>
      </c>
      <c r="AD620" t="str">
        <f t="shared" si="9"/>
        <v>Escobedo → Escobedo</v>
      </c>
      <c r="AE620" t="s">
        <v>1358</v>
      </c>
      <c r="AF620" s="4">
        <v>45778</v>
      </c>
      <c r="AG620" t="str">
        <f>YEAR(Table1[[#This Row],[Fecha]])&amp;" - " &amp;UPPER(TEXT(Table1[[#This Row],[Fecha]],"mm-mmm"))</f>
        <v>2025 - 05-MAY</v>
      </c>
      <c r="AH620" s="5">
        <v>0</v>
      </c>
    </row>
    <row r="621" spans="1:34" x14ac:dyDescent="0.25">
      <c r="A621" t="s">
        <v>809</v>
      </c>
      <c r="B621">
        <v>2025</v>
      </c>
      <c r="C621">
        <v>5</v>
      </c>
      <c r="D621" s="1">
        <v>45800</v>
      </c>
      <c r="E621" s="1">
        <v>45800</v>
      </c>
      <c r="F621" s="1">
        <v>45800</v>
      </c>
      <c r="G621" s="1">
        <v>45800</v>
      </c>
      <c r="H621" s="2">
        <v>45800.603110763892</v>
      </c>
      <c r="I621">
        <v>2050</v>
      </c>
      <c r="J621" t="s">
        <v>54</v>
      </c>
      <c r="K621" t="s">
        <v>31</v>
      </c>
      <c r="L621">
        <v>50</v>
      </c>
      <c r="M621">
        <v>50</v>
      </c>
      <c r="N621" t="s">
        <v>55</v>
      </c>
      <c r="O621">
        <v>1</v>
      </c>
      <c r="P621">
        <v>150</v>
      </c>
      <c r="Q621" t="b">
        <v>1</v>
      </c>
      <c r="R621" t="b">
        <v>0</v>
      </c>
      <c r="S621" t="b">
        <v>0</v>
      </c>
      <c r="T621">
        <v>231</v>
      </c>
      <c r="U621">
        <v>0</v>
      </c>
      <c r="V621" t="s">
        <v>33</v>
      </c>
      <c r="W621" t="s">
        <v>33</v>
      </c>
      <c r="X621">
        <v>50</v>
      </c>
      <c r="Y621">
        <v>359</v>
      </c>
      <c r="Z621" t="s">
        <v>34</v>
      </c>
      <c r="AA621">
        <v>359</v>
      </c>
      <c r="AB621" t="s">
        <v>121</v>
      </c>
      <c r="AC621" t="s">
        <v>121</v>
      </c>
      <c r="AD621" t="str">
        <f t="shared" si="9"/>
        <v>Escobedo → Escobedo</v>
      </c>
      <c r="AE621" t="s">
        <v>1358</v>
      </c>
      <c r="AF621" s="4">
        <v>45778</v>
      </c>
      <c r="AG621" t="str">
        <f>YEAR(Table1[[#This Row],[Fecha]])&amp;" - " &amp;UPPER(TEXT(Table1[[#This Row],[Fecha]],"mm-mmm"))</f>
        <v>2025 - 05-MAY</v>
      </c>
      <c r="AH621" s="5">
        <v>0</v>
      </c>
    </row>
    <row r="622" spans="1:34" x14ac:dyDescent="0.25">
      <c r="A622" t="s">
        <v>403</v>
      </c>
      <c r="B622">
        <v>2025</v>
      </c>
      <c r="C622">
        <v>5</v>
      </c>
      <c r="D622" s="1">
        <v>45801</v>
      </c>
      <c r="E622" s="1">
        <v>45801</v>
      </c>
      <c r="F622" s="1">
        <v>45801</v>
      </c>
      <c r="G622" s="1">
        <v>45801</v>
      </c>
      <c r="H622" s="1">
        <v>45801</v>
      </c>
      <c r="I622">
        <v>2176</v>
      </c>
      <c r="J622" t="s">
        <v>54</v>
      </c>
      <c r="K622" t="s">
        <v>31</v>
      </c>
      <c r="L622">
        <v>50</v>
      </c>
      <c r="M622">
        <v>50</v>
      </c>
      <c r="N622" t="s">
        <v>404</v>
      </c>
      <c r="O622">
        <v>1</v>
      </c>
      <c r="P622">
        <v>150</v>
      </c>
      <c r="Q622" t="b">
        <v>1</v>
      </c>
      <c r="R622" t="b">
        <v>0</v>
      </c>
      <c r="S622" t="b">
        <v>0</v>
      </c>
      <c r="T622">
        <v>231</v>
      </c>
      <c r="U622">
        <v>0</v>
      </c>
      <c r="V622" t="s">
        <v>33</v>
      </c>
      <c r="W622" t="s">
        <v>33</v>
      </c>
      <c r="X622">
        <v>50</v>
      </c>
      <c r="Y622">
        <v>461</v>
      </c>
      <c r="Z622" t="s">
        <v>34</v>
      </c>
      <c r="AA622">
        <v>461</v>
      </c>
      <c r="AB622" t="s">
        <v>121</v>
      </c>
      <c r="AC622" t="s">
        <v>35</v>
      </c>
      <c r="AD622" t="str">
        <f t="shared" si="9"/>
        <v>Escobedo → Monterrey</v>
      </c>
      <c r="AE622" t="s">
        <v>1358</v>
      </c>
      <c r="AF622" s="4">
        <v>45778</v>
      </c>
      <c r="AG622" t="str">
        <f>YEAR(Table1[[#This Row],[Fecha]])&amp;" - " &amp;UPPER(TEXT(Table1[[#This Row],[Fecha]],"mm-mmm"))</f>
        <v>2025 - 05-MAY</v>
      </c>
      <c r="AH622" s="5">
        <v>0</v>
      </c>
    </row>
    <row r="623" spans="1:34" x14ac:dyDescent="0.25">
      <c r="A623" t="s">
        <v>791</v>
      </c>
      <c r="B623">
        <v>2025</v>
      </c>
      <c r="C623">
        <v>5</v>
      </c>
      <c r="D623" s="1">
        <v>45801</v>
      </c>
      <c r="E623" s="1">
        <v>45801</v>
      </c>
      <c r="F623" s="1">
        <v>45801</v>
      </c>
      <c r="G623" s="1">
        <v>45801</v>
      </c>
      <c r="H623" s="1">
        <v>45801</v>
      </c>
      <c r="I623">
        <v>2176</v>
      </c>
      <c r="J623" t="s">
        <v>54</v>
      </c>
      <c r="K623" t="s">
        <v>31</v>
      </c>
      <c r="L623">
        <v>50</v>
      </c>
      <c r="M623">
        <v>50</v>
      </c>
      <c r="N623" t="s">
        <v>404</v>
      </c>
      <c r="O623">
        <v>1</v>
      </c>
      <c r="P623">
        <v>150</v>
      </c>
      <c r="Q623" t="b">
        <v>1</v>
      </c>
      <c r="R623" t="b">
        <v>0</v>
      </c>
      <c r="S623" t="b">
        <v>0</v>
      </c>
      <c r="T623">
        <v>231</v>
      </c>
      <c r="U623">
        <v>0</v>
      </c>
      <c r="V623" t="s">
        <v>33</v>
      </c>
      <c r="W623" t="s">
        <v>33</v>
      </c>
      <c r="X623">
        <v>50</v>
      </c>
      <c r="Y623">
        <v>359</v>
      </c>
      <c r="Z623" t="s">
        <v>34</v>
      </c>
      <c r="AA623">
        <v>359</v>
      </c>
      <c r="AB623" t="s">
        <v>121</v>
      </c>
      <c r="AC623" t="s">
        <v>121</v>
      </c>
      <c r="AD623" t="str">
        <f t="shared" si="9"/>
        <v>Escobedo → Escobedo</v>
      </c>
      <c r="AE623" t="s">
        <v>1358</v>
      </c>
      <c r="AF623" s="4">
        <v>45778</v>
      </c>
      <c r="AG623" t="str">
        <f>YEAR(Table1[[#This Row],[Fecha]])&amp;" - " &amp;UPPER(TEXT(Table1[[#This Row],[Fecha]],"mm-mmm"))</f>
        <v>2025 - 05-MAY</v>
      </c>
      <c r="AH623" s="5">
        <v>0</v>
      </c>
    </row>
    <row r="624" spans="1:34" x14ac:dyDescent="0.25">
      <c r="A624" t="s">
        <v>497</v>
      </c>
      <c r="B624">
        <v>2025</v>
      </c>
      <c r="C624">
        <v>5</v>
      </c>
      <c r="D624" s="1">
        <v>45801</v>
      </c>
      <c r="E624" s="1">
        <v>45801</v>
      </c>
      <c r="F624" s="1">
        <v>45801</v>
      </c>
      <c r="G624" s="1">
        <v>45801</v>
      </c>
      <c r="H624" s="1">
        <v>45801</v>
      </c>
      <c r="I624">
        <v>2176</v>
      </c>
      <c r="J624" t="s">
        <v>54</v>
      </c>
      <c r="K624" t="s">
        <v>31</v>
      </c>
      <c r="L624">
        <v>50</v>
      </c>
      <c r="M624">
        <v>50</v>
      </c>
      <c r="N624" t="s">
        <v>404</v>
      </c>
      <c r="O624">
        <v>1</v>
      </c>
      <c r="P624">
        <v>150</v>
      </c>
      <c r="Q624" t="b">
        <v>1</v>
      </c>
      <c r="R624" t="b">
        <v>0</v>
      </c>
      <c r="S624" t="b">
        <v>0</v>
      </c>
      <c r="T624">
        <v>231</v>
      </c>
      <c r="U624">
        <v>0</v>
      </c>
      <c r="V624" t="s">
        <v>33</v>
      </c>
      <c r="W624" t="s">
        <v>33</v>
      </c>
      <c r="X624">
        <v>50</v>
      </c>
      <c r="Y624">
        <v>2936</v>
      </c>
      <c r="Z624" t="s">
        <v>34</v>
      </c>
      <c r="AA624">
        <v>2936</v>
      </c>
      <c r="AB624" t="s">
        <v>121</v>
      </c>
      <c r="AC624" t="s">
        <v>432</v>
      </c>
      <c r="AD624" t="str">
        <f t="shared" si="9"/>
        <v>Escobedo → Hidalgo</v>
      </c>
      <c r="AE624" t="s">
        <v>1358</v>
      </c>
      <c r="AF624" s="4">
        <v>45778</v>
      </c>
      <c r="AG624" t="str">
        <f>YEAR(Table1[[#This Row],[Fecha]])&amp;" - " &amp;UPPER(TEXT(Table1[[#This Row],[Fecha]],"mm-mmm"))</f>
        <v>2025 - 05-MAY</v>
      </c>
      <c r="AH624" s="5">
        <v>0</v>
      </c>
    </row>
    <row r="625" spans="1:34" x14ac:dyDescent="0.25">
      <c r="A625" t="s">
        <v>498</v>
      </c>
      <c r="B625">
        <v>2025</v>
      </c>
      <c r="C625">
        <v>5</v>
      </c>
      <c r="D625" s="1">
        <v>45801</v>
      </c>
      <c r="E625" s="1">
        <v>45801</v>
      </c>
      <c r="F625" s="1">
        <v>45801</v>
      </c>
      <c r="G625" s="1">
        <v>45801</v>
      </c>
      <c r="H625" s="1">
        <v>45801</v>
      </c>
      <c r="I625">
        <v>2176</v>
      </c>
      <c r="J625" t="s">
        <v>54</v>
      </c>
      <c r="K625" t="s">
        <v>31</v>
      </c>
      <c r="L625">
        <v>50</v>
      </c>
      <c r="M625">
        <v>50</v>
      </c>
      <c r="N625" t="s">
        <v>404</v>
      </c>
      <c r="O625">
        <v>1</v>
      </c>
      <c r="P625">
        <v>150</v>
      </c>
      <c r="Q625" t="b">
        <v>1</v>
      </c>
      <c r="R625" t="b">
        <v>0</v>
      </c>
      <c r="S625" t="b">
        <v>0</v>
      </c>
      <c r="T625">
        <v>231</v>
      </c>
      <c r="U625">
        <v>0</v>
      </c>
      <c r="V625" t="s">
        <v>33</v>
      </c>
      <c r="W625" t="s">
        <v>33</v>
      </c>
      <c r="X625">
        <v>50</v>
      </c>
      <c r="Y625">
        <v>2936</v>
      </c>
      <c r="Z625" t="s">
        <v>34</v>
      </c>
      <c r="AA625">
        <v>2936</v>
      </c>
      <c r="AB625" t="s">
        <v>121</v>
      </c>
      <c r="AC625" t="s">
        <v>432</v>
      </c>
      <c r="AD625" t="str">
        <f t="shared" si="9"/>
        <v>Escobedo → Hidalgo</v>
      </c>
      <c r="AE625" t="s">
        <v>1358</v>
      </c>
      <c r="AF625" s="4">
        <v>45778</v>
      </c>
      <c r="AG625" t="str">
        <f>YEAR(Table1[[#This Row],[Fecha]])&amp;" - " &amp;UPPER(TEXT(Table1[[#This Row],[Fecha]],"mm-mmm"))</f>
        <v>2025 - 05-MAY</v>
      </c>
      <c r="AH625" s="5">
        <v>0</v>
      </c>
    </row>
    <row r="626" spans="1:34" x14ac:dyDescent="0.25">
      <c r="A626" t="s">
        <v>792</v>
      </c>
      <c r="B626">
        <v>2025</v>
      </c>
      <c r="C626">
        <v>5</v>
      </c>
      <c r="D626" s="1">
        <v>45801</v>
      </c>
      <c r="E626" s="1">
        <v>45801</v>
      </c>
      <c r="F626" s="1">
        <v>45801</v>
      </c>
      <c r="G626" s="1">
        <v>45801</v>
      </c>
      <c r="H626" s="1">
        <v>45801</v>
      </c>
      <c r="I626">
        <v>2176</v>
      </c>
      <c r="J626" t="s">
        <v>54</v>
      </c>
      <c r="K626" t="s">
        <v>31</v>
      </c>
      <c r="L626">
        <v>50</v>
      </c>
      <c r="M626">
        <v>50</v>
      </c>
      <c r="N626" t="s">
        <v>404</v>
      </c>
      <c r="O626">
        <v>1</v>
      </c>
      <c r="P626">
        <v>150</v>
      </c>
      <c r="Q626" t="b">
        <v>1</v>
      </c>
      <c r="R626" t="b">
        <v>0</v>
      </c>
      <c r="S626" t="b">
        <v>0</v>
      </c>
      <c r="T626">
        <v>231</v>
      </c>
      <c r="U626">
        <v>0</v>
      </c>
      <c r="V626" t="s">
        <v>33</v>
      </c>
      <c r="W626" t="s">
        <v>33</v>
      </c>
      <c r="X626">
        <v>50</v>
      </c>
      <c r="Y626">
        <v>359</v>
      </c>
      <c r="Z626" t="s">
        <v>34</v>
      </c>
      <c r="AA626">
        <v>359</v>
      </c>
      <c r="AB626" t="s">
        <v>121</v>
      </c>
      <c r="AC626" t="s">
        <v>121</v>
      </c>
      <c r="AD626" t="str">
        <f t="shared" si="9"/>
        <v>Escobedo → Escobedo</v>
      </c>
      <c r="AE626" t="s">
        <v>1358</v>
      </c>
      <c r="AF626" s="4">
        <v>45778</v>
      </c>
      <c r="AG626" t="str">
        <f>YEAR(Table1[[#This Row],[Fecha]])&amp;" - " &amp;UPPER(TEXT(Table1[[#This Row],[Fecha]],"mm-mmm"))</f>
        <v>2025 - 05-MAY</v>
      </c>
      <c r="AH626" s="5">
        <v>0</v>
      </c>
    </row>
    <row r="627" spans="1:34" x14ac:dyDescent="0.25">
      <c r="A627" t="s">
        <v>496</v>
      </c>
      <c r="B627">
        <v>2025</v>
      </c>
      <c r="C627">
        <v>5</v>
      </c>
      <c r="D627" s="1">
        <v>45801</v>
      </c>
      <c r="E627" s="1">
        <v>45801</v>
      </c>
      <c r="F627" s="1">
        <v>45801</v>
      </c>
      <c r="G627" s="1">
        <v>45801</v>
      </c>
      <c r="H627" s="1">
        <v>45801</v>
      </c>
      <c r="I627">
        <v>2176</v>
      </c>
      <c r="J627" t="s">
        <v>54</v>
      </c>
      <c r="K627" t="s">
        <v>31</v>
      </c>
      <c r="L627">
        <v>50</v>
      </c>
      <c r="M627">
        <v>50</v>
      </c>
      <c r="N627" t="s">
        <v>404</v>
      </c>
      <c r="O627">
        <v>1</v>
      </c>
      <c r="P627">
        <v>150</v>
      </c>
      <c r="Q627" t="b">
        <v>1</v>
      </c>
      <c r="R627" t="b">
        <v>0</v>
      </c>
      <c r="S627" t="b">
        <v>0</v>
      </c>
      <c r="T627">
        <v>231</v>
      </c>
      <c r="U627">
        <v>0</v>
      </c>
      <c r="V627" t="s">
        <v>33</v>
      </c>
      <c r="W627" t="s">
        <v>33</v>
      </c>
      <c r="X627">
        <v>50</v>
      </c>
      <c r="Y627">
        <v>2936</v>
      </c>
      <c r="Z627" t="s">
        <v>34</v>
      </c>
      <c r="AA627">
        <v>2936</v>
      </c>
      <c r="AB627" t="s">
        <v>121</v>
      </c>
      <c r="AC627" t="s">
        <v>432</v>
      </c>
      <c r="AD627" t="str">
        <f t="shared" si="9"/>
        <v>Escobedo → Hidalgo</v>
      </c>
      <c r="AE627" t="s">
        <v>1358</v>
      </c>
      <c r="AF627" s="4">
        <v>45778</v>
      </c>
      <c r="AG627" t="str">
        <f>YEAR(Table1[[#This Row],[Fecha]])&amp;" - " &amp;UPPER(TEXT(Table1[[#This Row],[Fecha]],"mm-mmm"))</f>
        <v>2025 - 05-MAY</v>
      </c>
      <c r="AH627" s="5">
        <v>0</v>
      </c>
    </row>
    <row r="628" spans="1:34" x14ac:dyDescent="0.25">
      <c r="A628" t="s">
        <v>793</v>
      </c>
      <c r="B628">
        <v>2025</v>
      </c>
      <c r="C628">
        <v>5</v>
      </c>
      <c r="D628" s="1">
        <v>45801</v>
      </c>
      <c r="E628" s="1">
        <v>45801</v>
      </c>
      <c r="F628" s="1">
        <v>45801</v>
      </c>
      <c r="G628" s="1">
        <v>45801</v>
      </c>
      <c r="H628" s="1">
        <v>45801</v>
      </c>
      <c r="I628">
        <v>2176</v>
      </c>
      <c r="J628" t="s">
        <v>54</v>
      </c>
      <c r="K628" t="s">
        <v>31</v>
      </c>
      <c r="L628">
        <v>50</v>
      </c>
      <c r="M628">
        <v>50</v>
      </c>
      <c r="N628" t="s">
        <v>404</v>
      </c>
      <c r="O628">
        <v>1</v>
      </c>
      <c r="P628">
        <v>150</v>
      </c>
      <c r="Q628" t="b">
        <v>1</v>
      </c>
      <c r="R628" t="b">
        <v>0</v>
      </c>
      <c r="S628" t="b">
        <v>0</v>
      </c>
      <c r="T628">
        <v>231</v>
      </c>
      <c r="U628">
        <v>0</v>
      </c>
      <c r="V628" t="s">
        <v>33</v>
      </c>
      <c r="W628" t="s">
        <v>33</v>
      </c>
      <c r="X628">
        <v>50</v>
      </c>
      <c r="Y628">
        <v>359</v>
      </c>
      <c r="Z628" t="s">
        <v>34</v>
      </c>
      <c r="AA628">
        <v>359</v>
      </c>
      <c r="AB628" t="s">
        <v>121</v>
      </c>
      <c r="AC628" t="s">
        <v>121</v>
      </c>
      <c r="AD628" t="str">
        <f t="shared" si="9"/>
        <v>Escobedo → Escobedo</v>
      </c>
      <c r="AE628" t="s">
        <v>1358</v>
      </c>
      <c r="AF628" s="4">
        <v>45778</v>
      </c>
      <c r="AG628" t="str">
        <f>YEAR(Table1[[#This Row],[Fecha]])&amp;" - " &amp;UPPER(TEXT(Table1[[#This Row],[Fecha]],"mm-mmm"))</f>
        <v>2025 - 05-MAY</v>
      </c>
      <c r="AH628" s="5">
        <v>0</v>
      </c>
    </row>
    <row r="629" spans="1:34" x14ac:dyDescent="0.25">
      <c r="A629" t="s">
        <v>794</v>
      </c>
      <c r="B629">
        <v>2025</v>
      </c>
      <c r="C629">
        <v>5</v>
      </c>
      <c r="D629" s="1">
        <v>45801</v>
      </c>
      <c r="E629" s="1">
        <v>45801</v>
      </c>
      <c r="F629" s="1">
        <v>45801</v>
      </c>
      <c r="G629" s="1">
        <v>45801</v>
      </c>
      <c r="H629" s="2">
        <v>45801.702628009261</v>
      </c>
      <c r="I629">
        <v>2050</v>
      </c>
      <c r="J629" t="s">
        <v>54</v>
      </c>
      <c r="K629" t="s">
        <v>31</v>
      </c>
      <c r="L629">
        <v>50</v>
      </c>
      <c r="M629">
        <v>50</v>
      </c>
      <c r="N629" t="s">
        <v>55</v>
      </c>
      <c r="O629">
        <v>1</v>
      </c>
      <c r="P629">
        <v>150</v>
      </c>
      <c r="Q629" t="b">
        <v>1</v>
      </c>
      <c r="R629" t="b">
        <v>0</v>
      </c>
      <c r="S629" t="b">
        <v>0</v>
      </c>
      <c r="T629">
        <v>231</v>
      </c>
      <c r="U629">
        <v>0</v>
      </c>
      <c r="V629" t="s">
        <v>33</v>
      </c>
      <c r="W629" t="s">
        <v>33</v>
      </c>
      <c r="X629">
        <v>50</v>
      </c>
      <c r="Y629">
        <v>359</v>
      </c>
      <c r="Z629" t="s">
        <v>34</v>
      </c>
      <c r="AA629">
        <v>359</v>
      </c>
      <c r="AB629" t="s">
        <v>121</v>
      </c>
      <c r="AC629" t="s">
        <v>121</v>
      </c>
      <c r="AD629" t="str">
        <f t="shared" si="9"/>
        <v>Escobedo → Escobedo</v>
      </c>
      <c r="AE629" t="s">
        <v>1358</v>
      </c>
      <c r="AF629" s="4">
        <v>45778</v>
      </c>
      <c r="AG629" t="str">
        <f>YEAR(Table1[[#This Row],[Fecha]])&amp;" - " &amp;UPPER(TEXT(Table1[[#This Row],[Fecha]],"mm-mmm"))</f>
        <v>2025 - 05-MAY</v>
      </c>
      <c r="AH629" s="5">
        <v>0</v>
      </c>
    </row>
    <row r="630" spans="1:34" x14ac:dyDescent="0.25">
      <c r="A630" t="s">
        <v>795</v>
      </c>
      <c r="B630">
        <v>2025</v>
      </c>
      <c r="C630">
        <v>5</v>
      </c>
      <c r="D630" s="1">
        <v>45801</v>
      </c>
      <c r="E630" s="1">
        <v>45801</v>
      </c>
      <c r="F630" s="1">
        <v>45801</v>
      </c>
      <c r="G630" s="1">
        <v>45801</v>
      </c>
      <c r="H630" s="2">
        <v>45801.733022488428</v>
      </c>
      <c r="I630">
        <v>2050</v>
      </c>
      <c r="J630" t="s">
        <v>54</v>
      </c>
      <c r="K630" t="s">
        <v>31</v>
      </c>
      <c r="L630">
        <v>50</v>
      </c>
      <c r="M630">
        <v>50</v>
      </c>
      <c r="N630" t="s">
        <v>55</v>
      </c>
      <c r="O630">
        <v>1</v>
      </c>
      <c r="P630">
        <v>150</v>
      </c>
      <c r="Q630" t="b">
        <v>1</v>
      </c>
      <c r="R630" t="b">
        <v>0</v>
      </c>
      <c r="S630" t="b">
        <v>0</v>
      </c>
      <c r="T630">
        <v>231</v>
      </c>
      <c r="U630">
        <v>0</v>
      </c>
      <c r="V630" t="s">
        <v>33</v>
      </c>
      <c r="W630" t="s">
        <v>33</v>
      </c>
      <c r="X630">
        <v>50</v>
      </c>
      <c r="Y630">
        <v>359</v>
      </c>
      <c r="Z630" t="s">
        <v>34</v>
      </c>
      <c r="AA630">
        <v>359</v>
      </c>
      <c r="AB630" t="s">
        <v>121</v>
      </c>
      <c r="AC630" t="s">
        <v>121</v>
      </c>
      <c r="AD630" t="str">
        <f t="shared" si="9"/>
        <v>Escobedo → Escobedo</v>
      </c>
      <c r="AE630" t="s">
        <v>1358</v>
      </c>
      <c r="AF630" s="4">
        <v>45778</v>
      </c>
      <c r="AG630" t="str">
        <f>YEAR(Table1[[#This Row],[Fecha]])&amp;" - " &amp;UPPER(TEXT(Table1[[#This Row],[Fecha]],"mm-mmm"))</f>
        <v>2025 - 05-MAY</v>
      </c>
      <c r="AH630" s="5">
        <v>0</v>
      </c>
    </row>
    <row r="631" spans="1:34" x14ac:dyDescent="0.25">
      <c r="A631" t="s">
        <v>405</v>
      </c>
      <c r="B631">
        <v>2025</v>
      </c>
      <c r="C631">
        <v>5</v>
      </c>
      <c r="D631" s="1">
        <v>45801</v>
      </c>
      <c r="E631" s="1">
        <v>45801</v>
      </c>
      <c r="F631" s="1">
        <v>45801</v>
      </c>
      <c r="G631" s="1">
        <v>45801</v>
      </c>
      <c r="H631" s="2">
        <v>45802.224554826389</v>
      </c>
      <c r="I631">
        <v>2050</v>
      </c>
      <c r="J631" t="s">
        <v>54</v>
      </c>
      <c r="K631" t="s">
        <v>31</v>
      </c>
      <c r="L631">
        <v>50</v>
      </c>
      <c r="M631">
        <v>50</v>
      </c>
      <c r="N631" t="s">
        <v>55</v>
      </c>
      <c r="O631">
        <v>1</v>
      </c>
      <c r="P631">
        <v>150</v>
      </c>
      <c r="Q631" t="b">
        <v>1</v>
      </c>
      <c r="R631" t="b">
        <v>0</v>
      </c>
      <c r="S631" t="b">
        <v>0</v>
      </c>
      <c r="T631">
        <v>231</v>
      </c>
      <c r="U631">
        <v>0</v>
      </c>
      <c r="V631" t="s">
        <v>33</v>
      </c>
      <c r="W631" t="s">
        <v>33</v>
      </c>
      <c r="X631">
        <v>50</v>
      </c>
      <c r="Y631">
        <v>461</v>
      </c>
      <c r="Z631" t="s">
        <v>34</v>
      </c>
      <c r="AA631">
        <v>461</v>
      </c>
      <c r="AB631" t="s">
        <v>121</v>
      </c>
      <c r="AC631" t="s">
        <v>35</v>
      </c>
      <c r="AD631" t="str">
        <f t="shared" si="9"/>
        <v>Escobedo → Monterrey</v>
      </c>
      <c r="AE631" t="s">
        <v>1358</v>
      </c>
      <c r="AF631" s="4">
        <v>45778</v>
      </c>
      <c r="AG631" t="str">
        <f>YEAR(Table1[[#This Row],[Fecha]])&amp;" - " &amp;UPPER(TEXT(Table1[[#This Row],[Fecha]],"mm-mmm"))</f>
        <v>2025 - 05-MAY</v>
      </c>
      <c r="AH631" s="5">
        <v>0</v>
      </c>
    </row>
    <row r="632" spans="1:34" x14ac:dyDescent="0.25">
      <c r="A632" t="s">
        <v>406</v>
      </c>
      <c r="B632">
        <v>2025</v>
      </c>
      <c r="C632">
        <v>5</v>
      </c>
      <c r="D632" s="1">
        <v>45801</v>
      </c>
      <c r="E632" s="1">
        <v>45801</v>
      </c>
      <c r="F632" s="1">
        <v>45801</v>
      </c>
      <c r="G632" s="1">
        <v>45801</v>
      </c>
      <c r="H632" s="2">
        <v>45802.813532175926</v>
      </c>
      <c r="I632">
        <v>2050</v>
      </c>
      <c r="J632" t="s">
        <v>54</v>
      </c>
      <c r="K632" t="s">
        <v>31</v>
      </c>
      <c r="L632">
        <v>50</v>
      </c>
      <c r="M632">
        <v>50</v>
      </c>
      <c r="N632" t="s">
        <v>55</v>
      </c>
      <c r="O632">
        <v>1</v>
      </c>
      <c r="P632">
        <v>150</v>
      </c>
      <c r="Q632" t="b">
        <v>1</v>
      </c>
      <c r="R632" t="b">
        <v>0</v>
      </c>
      <c r="S632" t="b">
        <v>0</v>
      </c>
      <c r="T632">
        <v>231</v>
      </c>
      <c r="U632">
        <v>0</v>
      </c>
      <c r="V632" t="s">
        <v>33</v>
      </c>
      <c r="W632" t="s">
        <v>33</v>
      </c>
      <c r="X632">
        <v>50</v>
      </c>
      <c r="Y632">
        <v>461</v>
      </c>
      <c r="Z632" t="s">
        <v>178</v>
      </c>
      <c r="AA632">
        <v>461</v>
      </c>
      <c r="AB632" t="s">
        <v>121</v>
      </c>
      <c r="AC632" t="s">
        <v>35</v>
      </c>
      <c r="AD632" t="str">
        <f t="shared" si="9"/>
        <v>Escobedo → Monterrey</v>
      </c>
      <c r="AE632" t="s">
        <v>1358</v>
      </c>
      <c r="AF632" s="4">
        <v>45778</v>
      </c>
      <c r="AG632" t="str">
        <f>YEAR(Table1[[#This Row],[Fecha]])&amp;" - " &amp;UPPER(TEXT(Table1[[#This Row],[Fecha]],"mm-mmm"))</f>
        <v>2025 - 05-MAY</v>
      </c>
      <c r="AH632" s="5">
        <v>0</v>
      </c>
    </row>
    <row r="633" spans="1:34" x14ac:dyDescent="0.25">
      <c r="A633" t="s">
        <v>407</v>
      </c>
      <c r="B633">
        <v>2025</v>
      </c>
      <c r="C633">
        <v>5</v>
      </c>
      <c r="D633" s="1">
        <v>45803</v>
      </c>
      <c r="E633" s="1">
        <v>45803</v>
      </c>
      <c r="F633" s="1">
        <v>45803</v>
      </c>
      <c r="G633" s="1">
        <v>45803</v>
      </c>
      <c r="H633" s="2">
        <v>45803.732799849538</v>
      </c>
      <c r="I633">
        <v>2050</v>
      </c>
      <c r="J633" t="s">
        <v>54</v>
      </c>
      <c r="K633" t="s">
        <v>31</v>
      </c>
      <c r="L633">
        <v>50</v>
      </c>
      <c r="M633">
        <v>50</v>
      </c>
      <c r="N633" t="s">
        <v>55</v>
      </c>
      <c r="O633">
        <v>1</v>
      </c>
      <c r="P633">
        <v>150</v>
      </c>
      <c r="Q633" t="b">
        <v>1</v>
      </c>
      <c r="R633" t="b">
        <v>0</v>
      </c>
      <c r="S633" t="b">
        <v>0</v>
      </c>
      <c r="T633">
        <v>231</v>
      </c>
      <c r="U633">
        <v>0</v>
      </c>
      <c r="V633" t="s">
        <v>33</v>
      </c>
      <c r="W633" t="s">
        <v>33</v>
      </c>
      <c r="X633">
        <v>50</v>
      </c>
      <c r="Y633">
        <v>461</v>
      </c>
      <c r="Z633" t="s">
        <v>74</v>
      </c>
      <c r="AA633">
        <v>461</v>
      </c>
      <c r="AB633" t="s">
        <v>121</v>
      </c>
      <c r="AC633" t="s">
        <v>35</v>
      </c>
      <c r="AD633" t="str">
        <f t="shared" si="9"/>
        <v>Escobedo → Monterrey</v>
      </c>
      <c r="AE633" t="s">
        <v>1358</v>
      </c>
      <c r="AF633" s="4">
        <v>45778</v>
      </c>
      <c r="AG633" t="str">
        <f>YEAR(Table1[[#This Row],[Fecha]])&amp;" - " &amp;UPPER(TEXT(Table1[[#This Row],[Fecha]],"mm-mmm"))</f>
        <v>2025 - 05-MAY</v>
      </c>
      <c r="AH633" s="5">
        <v>0</v>
      </c>
    </row>
    <row r="634" spans="1:34" x14ac:dyDescent="0.25">
      <c r="A634" t="s">
        <v>1316</v>
      </c>
      <c r="B634">
        <v>2025</v>
      </c>
      <c r="C634">
        <v>5</v>
      </c>
      <c r="D634" s="1">
        <v>45803</v>
      </c>
      <c r="E634" s="1">
        <v>45803</v>
      </c>
      <c r="F634" s="1">
        <v>45803</v>
      </c>
      <c r="G634" s="1">
        <v>45803</v>
      </c>
      <c r="H634" s="2">
        <v>45803.955418368052</v>
      </c>
      <c r="I634">
        <v>2050</v>
      </c>
      <c r="J634" t="s">
        <v>54</v>
      </c>
      <c r="K634" t="s">
        <v>31</v>
      </c>
      <c r="L634">
        <v>50</v>
      </c>
      <c r="M634">
        <v>50</v>
      </c>
      <c r="N634" t="s">
        <v>55</v>
      </c>
      <c r="O634">
        <v>1</v>
      </c>
      <c r="P634">
        <v>150</v>
      </c>
      <c r="Q634" t="b">
        <v>1</v>
      </c>
      <c r="R634" t="b">
        <v>0</v>
      </c>
      <c r="S634" t="b">
        <v>0</v>
      </c>
      <c r="T634">
        <v>231</v>
      </c>
      <c r="U634">
        <v>0</v>
      </c>
      <c r="V634" t="s">
        <v>33</v>
      </c>
      <c r="W634" t="s">
        <v>33</v>
      </c>
      <c r="X634">
        <v>50</v>
      </c>
      <c r="Y634">
        <v>359</v>
      </c>
      <c r="Z634" t="s">
        <v>34</v>
      </c>
      <c r="AA634">
        <v>359</v>
      </c>
      <c r="AB634" t="s">
        <v>121</v>
      </c>
      <c r="AC634" t="s">
        <v>121</v>
      </c>
      <c r="AD634" t="str">
        <f t="shared" si="9"/>
        <v>Escobedo → Escobedo</v>
      </c>
      <c r="AE634" t="s">
        <v>1358</v>
      </c>
      <c r="AF634" s="4">
        <v>45778</v>
      </c>
      <c r="AG634" t="str">
        <f>YEAR(Table1[[#This Row],[Fecha]])&amp;" - " &amp;UPPER(TEXT(Table1[[#This Row],[Fecha]],"mm-mmm"))</f>
        <v>2025 - 05-MAY</v>
      </c>
      <c r="AH634" s="5">
        <v>0</v>
      </c>
    </row>
    <row r="635" spans="1:34" x14ac:dyDescent="0.25">
      <c r="A635" t="s">
        <v>182</v>
      </c>
      <c r="B635">
        <v>2025</v>
      </c>
      <c r="C635">
        <v>5</v>
      </c>
      <c r="D635" s="1">
        <v>45803</v>
      </c>
      <c r="E635" s="1">
        <v>45803</v>
      </c>
      <c r="F635" s="1">
        <v>45803</v>
      </c>
      <c r="G635" s="1">
        <v>45803</v>
      </c>
      <c r="H635" s="2">
        <v>45804.006811770836</v>
      </c>
      <c r="I635">
        <v>2050</v>
      </c>
      <c r="J635" t="s">
        <v>54</v>
      </c>
      <c r="K635" t="s">
        <v>31</v>
      </c>
      <c r="L635">
        <v>50</v>
      </c>
      <c r="M635">
        <v>50</v>
      </c>
      <c r="N635" t="s">
        <v>55</v>
      </c>
      <c r="O635">
        <v>1</v>
      </c>
      <c r="P635">
        <v>150</v>
      </c>
      <c r="Q635" t="b">
        <v>1</v>
      </c>
      <c r="R635" t="b">
        <v>0</v>
      </c>
      <c r="S635" t="b">
        <v>0</v>
      </c>
      <c r="T635">
        <v>231</v>
      </c>
      <c r="U635">
        <v>0</v>
      </c>
      <c r="V635" t="s">
        <v>33</v>
      </c>
      <c r="W635" t="s">
        <v>33</v>
      </c>
      <c r="X635">
        <v>50</v>
      </c>
      <c r="Y635">
        <v>308</v>
      </c>
      <c r="Z635" t="s">
        <v>34</v>
      </c>
      <c r="AA635">
        <v>308</v>
      </c>
      <c r="AB635" t="s">
        <v>121</v>
      </c>
      <c r="AC635" t="s">
        <v>174</v>
      </c>
      <c r="AD635" t="str">
        <f t="shared" si="9"/>
        <v>Escobedo → Guadalupe</v>
      </c>
      <c r="AE635" t="s">
        <v>1358</v>
      </c>
      <c r="AF635" s="4">
        <v>45778</v>
      </c>
      <c r="AG635" t="str">
        <f>YEAR(Table1[[#This Row],[Fecha]])&amp;" - " &amp;UPPER(TEXT(Table1[[#This Row],[Fecha]],"mm-mmm"))</f>
        <v>2025 - 05-MAY</v>
      </c>
      <c r="AH635" s="5">
        <v>0</v>
      </c>
    </row>
    <row r="636" spans="1:34" x14ac:dyDescent="0.25">
      <c r="A636" t="s">
        <v>786</v>
      </c>
      <c r="B636">
        <v>2025</v>
      </c>
      <c r="C636">
        <v>5</v>
      </c>
      <c r="D636" s="1">
        <v>45803</v>
      </c>
      <c r="E636" s="1">
        <v>45803</v>
      </c>
      <c r="F636" s="1">
        <v>45803</v>
      </c>
      <c r="G636" s="1">
        <v>45803</v>
      </c>
      <c r="H636" s="2">
        <v>45804.007782256944</v>
      </c>
      <c r="I636">
        <v>2050</v>
      </c>
      <c r="J636" t="s">
        <v>54</v>
      </c>
      <c r="K636" t="s">
        <v>31</v>
      </c>
      <c r="L636">
        <v>50</v>
      </c>
      <c r="M636">
        <v>50</v>
      </c>
      <c r="N636" t="s">
        <v>55</v>
      </c>
      <c r="O636">
        <v>1</v>
      </c>
      <c r="P636">
        <v>150</v>
      </c>
      <c r="Q636" t="b">
        <v>1</v>
      </c>
      <c r="R636" t="b">
        <v>0</v>
      </c>
      <c r="S636" t="b">
        <v>0</v>
      </c>
      <c r="T636">
        <v>231</v>
      </c>
      <c r="U636">
        <v>0</v>
      </c>
      <c r="V636" t="s">
        <v>33</v>
      </c>
      <c r="W636" t="s">
        <v>33</v>
      </c>
      <c r="X636">
        <v>50</v>
      </c>
      <c r="Y636">
        <v>359</v>
      </c>
      <c r="Z636" t="s">
        <v>34</v>
      </c>
      <c r="AA636">
        <v>359</v>
      </c>
      <c r="AB636" t="s">
        <v>121</v>
      </c>
      <c r="AC636" t="s">
        <v>121</v>
      </c>
      <c r="AD636" t="str">
        <f t="shared" si="9"/>
        <v>Escobedo → Escobedo</v>
      </c>
      <c r="AE636" t="s">
        <v>1358</v>
      </c>
      <c r="AF636" s="4">
        <v>45778</v>
      </c>
      <c r="AG636" t="str">
        <f>YEAR(Table1[[#This Row],[Fecha]])&amp;" - " &amp;UPPER(TEXT(Table1[[#This Row],[Fecha]],"mm-mmm"))</f>
        <v>2025 - 05-MAY</v>
      </c>
      <c r="AH636" s="5">
        <v>0</v>
      </c>
    </row>
    <row r="637" spans="1:34" x14ac:dyDescent="0.25">
      <c r="A637" t="s">
        <v>500</v>
      </c>
      <c r="B637">
        <v>2025</v>
      </c>
      <c r="C637">
        <v>5</v>
      </c>
      <c r="D637" s="1">
        <v>45803</v>
      </c>
      <c r="E637" s="1">
        <v>45803</v>
      </c>
      <c r="F637" s="1">
        <v>45803</v>
      </c>
      <c r="G637" s="1">
        <v>45803</v>
      </c>
      <c r="H637" s="2">
        <v>45804.00827997685</v>
      </c>
      <c r="I637">
        <v>2050</v>
      </c>
      <c r="J637" t="s">
        <v>54</v>
      </c>
      <c r="K637" t="s">
        <v>31</v>
      </c>
      <c r="L637">
        <v>50</v>
      </c>
      <c r="M637">
        <v>50</v>
      </c>
      <c r="N637" t="s">
        <v>55</v>
      </c>
      <c r="O637">
        <v>1</v>
      </c>
      <c r="P637">
        <v>150</v>
      </c>
      <c r="Q637" t="b">
        <v>1</v>
      </c>
      <c r="R637" t="b">
        <v>0</v>
      </c>
      <c r="S637" t="b">
        <v>0</v>
      </c>
      <c r="T637">
        <v>231</v>
      </c>
      <c r="U637">
        <v>0</v>
      </c>
      <c r="V637" t="s">
        <v>33</v>
      </c>
      <c r="W637" t="s">
        <v>33</v>
      </c>
      <c r="X637">
        <v>50</v>
      </c>
      <c r="Y637">
        <v>2936</v>
      </c>
      <c r="Z637" t="s">
        <v>34</v>
      </c>
      <c r="AA637">
        <v>2936</v>
      </c>
      <c r="AB637" t="s">
        <v>121</v>
      </c>
      <c r="AC637" t="s">
        <v>432</v>
      </c>
      <c r="AD637" t="str">
        <f t="shared" si="9"/>
        <v>Escobedo → Hidalgo</v>
      </c>
      <c r="AE637" t="s">
        <v>1358</v>
      </c>
      <c r="AF637" s="4">
        <v>45778</v>
      </c>
      <c r="AG637" t="str">
        <f>YEAR(Table1[[#This Row],[Fecha]])&amp;" - " &amp;UPPER(TEXT(Table1[[#This Row],[Fecha]],"mm-mmm"))</f>
        <v>2025 - 05-MAY</v>
      </c>
      <c r="AH637" s="5">
        <v>0</v>
      </c>
    </row>
    <row r="638" spans="1:34" x14ac:dyDescent="0.25">
      <c r="A638" t="s">
        <v>787</v>
      </c>
      <c r="B638">
        <v>2025</v>
      </c>
      <c r="C638">
        <v>5</v>
      </c>
      <c r="D638" s="1">
        <v>45803</v>
      </c>
      <c r="E638" s="1">
        <v>45803</v>
      </c>
      <c r="F638" s="1">
        <v>45803</v>
      </c>
      <c r="G638" s="1">
        <v>45803</v>
      </c>
      <c r="H638" s="1">
        <v>45804</v>
      </c>
      <c r="I638">
        <v>2050</v>
      </c>
      <c r="J638" t="s">
        <v>54</v>
      </c>
      <c r="K638" t="s">
        <v>31</v>
      </c>
      <c r="L638">
        <v>50</v>
      </c>
      <c r="M638">
        <v>50</v>
      </c>
      <c r="N638" t="s">
        <v>55</v>
      </c>
      <c r="O638">
        <v>1</v>
      </c>
      <c r="P638">
        <v>150</v>
      </c>
      <c r="Q638" t="b">
        <v>1</v>
      </c>
      <c r="R638" t="b">
        <v>0</v>
      </c>
      <c r="S638" t="b">
        <v>0</v>
      </c>
      <c r="T638">
        <v>231</v>
      </c>
      <c r="U638">
        <v>0</v>
      </c>
      <c r="V638" t="s">
        <v>33</v>
      </c>
      <c r="W638" t="s">
        <v>33</v>
      </c>
      <c r="X638">
        <v>50</v>
      </c>
      <c r="Y638">
        <v>359</v>
      </c>
      <c r="Z638" t="s">
        <v>106</v>
      </c>
      <c r="AA638">
        <v>359</v>
      </c>
      <c r="AB638" t="s">
        <v>121</v>
      </c>
      <c r="AC638" t="s">
        <v>121</v>
      </c>
      <c r="AD638" t="str">
        <f t="shared" si="9"/>
        <v>Escobedo → Escobedo</v>
      </c>
      <c r="AE638" t="s">
        <v>1358</v>
      </c>
      <c r="AF638" s="4">
        <v>45778</v>
      </c>
      <c r="AG638" t="str">
        <f>YEAR(Table1[[#This Row],[Fecha]])&amp;" - " &amp;UPPER(TEXT(Table1[[#This Row],[Fecha]],"mm-mmm"))</f>
        <v>2025 - 05-MAY</v>
      </c>
      <c r="AH638" s="5">
        <v>0</v>
      </c>
    </row>
    <row r="639" spans="1:34" x14ac:dyDescent="0.25">
      <c r="A639" t="s">
        <v>788</v>
      </c>
      <c r="B639">
        <v>2025</v>
      </c>
      <c r="C639">
        <v>5</v>
      </c>
      <c r="D639" s="1">
        <v>45803</v>
      </c>
      <c r="E639" s="1">
        <v>45803</v>
      </c>
      <c r="F639" s="1">
        <v>45803</v>
      </c>
      <c r="G639" s="1">
        <v>45803</v>
      </c>
      <c r="H639" s="2">
        <v>45804.406981481479</v>
      </c>
      <c r="I639">
        <v>2050</v>
      </c>
      <c r="J639" t="s">
        <v>54</v>
      </c>
      <c r="K639" t="s">
        <v>31</v>
      </c>
      <c r="L639">
        <v>50</v>
      </c>
      <c r="M639">
        <v>50</v>
      </c>
      <c r="N639" t="s">
        <v>55</v>
      </c>
      <c r="O639">
        <v>1</v>
      </c>
      <c r="P639">
        <v>150</v>
      </c>
      <c r="Q639" t="b">
        <v>1</v>
      </c>
      <c r="R639" t="b">
        <v>0</v>
      </c>
      <c r="S639" t="b">
        <v>0</v>
      </c>
      <c r="T639">
        <v>231</v>
      </c>
      <c r="U639">
        <v>0</v>
      </c>
      <c r="V639" t="s">
        <v>33</v>
      </c>
      <c r="W639" t="s">
        <v>33</v>
      </c>
      <c r="X639">
        <v>50</v>
      </c>
      <c r="Y639">
        <v>359</v>
      </c>
      <c r="Z639" t="s">
        <v>34</v>
      </c>
      <c r="AA639">
        <v>359</v>
      </c>
      <c r="AB639" t="s">
        <v>121</v>
      </c>
      <c r="AC639" t="s">
        <v>121</v>
      </c>
      <c r="AD639" t="str">
        <f t="shared" si="9"/>
        <v>Escobedo → Escobedo</v>
      </c>
      <c r="AE639" t="s">
        <v>1358</v>
      </c>
      <c r="AF639" s="4">
        <v>45778</v>
      </c>
      <c r="AG639" t="str">
        <f>YEAR(Table1[[#This Row],[Fecha]])&amp;" - " &amp;UPPER(TEXT(Table1[[#This Row],[Fecha]],"mm-mmm"))</f>
        <v>2025 - 05-MAY</v>
      </c>
      <c r="AH639" s="5">
        <v>0</v>
      </c>
    </row>
    <row r="640" spans="1:34" x14ac:dyDescent="0.25">
      <c r="A640" t="s">
        <v>789</v>
      </c>
      <c r="B640">
        <v>2025</v>
      </c>
      <c r="C640">
        <v>5</v>
      </c>
      <c r="D640" s="1">
        <v>45804</v>
      </c>
      <c r="E640" s="1">
        <v>45804</v>
      </c>
      <c r="F640" s="1">
        <v>45804</v>
      </c>
      <c r="G640" s="1">
        <v>45804</v>
      </c>
      <c r="H640" s="2">
        <v>45805.402138425925</v>
      </c>
      <c r="I640">
        <v>2050</v>
      </c>
      <c r="J640" t="s">
        <v>54</v>
      </c>
      <c r="K640" t="s">
        <v>31</v>
      </c>
      <c r="L640">
        <v>50</v>
      </c>
      <c r="M640">
        <v>50</v>
      </c>
      <c r="N640" t="s">
        <v>55</v>
      </c>
      <c r="O640">
        <v>1</v>
      </c>
      <c r="P640">
        <v>150</v>
      </c>
      <c r="Q640" t="b">
        <v>1</v>
      </c>
      <c r="R640" t="b">
        <v>0</v>
      </c>
      <c r="S640" t="b">
        <v>0</v>
      </c>
      <c r="T640">
        <v>231</v>
      </c>
      <c r="U640">
        <v>0</v>
      </c>
      <c r="V640" t="s">
        <v>33</v>
      </c>
      <c r="W640" t="s">
        <v>33</v>
      </c>
      <c r="X640">
        <v>50</v>
      </c>
      <c r="Y640">
        <v>359</v>
      </c>
      <c r="Z640" t="s">
        <v>34</v>
      </c>
      <c r="AA640">
        <v>359</v>
      </c>
      <c r="AB640" t="s">
        <v>121</v>
      </c>
      <c r="AC640" t="s">
        <v>121</v>
      </c>
      <c r="AD640" t="str">
        <f t="shared" si="9"/>
        <v>Escobedo → Escobedo</v>
      </c>
      <c r="AE640" t="s">
        <v>1358</v>
      </c>
      <c r="AF640" s="4">
        <v>45778</v>
      </c>
      <c r="AG640" t="str">
        <f>YEAR(Table1[[#This Row],[Fecha]])&amp;" - " &amp;UPPER(TEXT(Table1[[#This Row],[Fecha]],"mm-mmm"))</f>
        <v>2025 - 05-MAY</v>
      </c>
      <c r="AH640" s="5">
        <v>0</v>
      </c>
    </row>
    <row r="641" spans="1:34" x14ac:dyDescent="0.25">
      <c r="A641" t="s">
        <v>790</v>
      </c>
      <c r="B641">
        <v>2025</v>
      </c>
      <c r="C641">
        <v>5</v>
      </c>
      <c r="D641" s="1">
        <v>45804</v>
      </c>
      <c r="E641" s="1">
        <v>45804</v>
      </c>
      <c r="F641" s="1">
        <v>45804</v>
      </c>
      <c r="G641" s="1">
        <v>45804</v>
      </c>
      <c r="H641" s="2">
        <v>45805.436685185188</v>
      </c>
      <c r="I641">
        <v>2050</v>
      </c>
      <c r="J641" t="s">
        <v>54</v>
      </c>
      <c r="K641" t="s">
        <v>31</v>
      </c>
      <c r="L641">
        <v>50</v>
      </c>
      <c r="M641">
        <v>50</v>
      </c>
      <c r="N641" t="s">
        <v>55</v>
      </c>
      <c r="O641">
        <v>1</v>
      </c>
      <c r="P641">
        <v>150</v>
      </c>
      <c r="Q641" t="b">
        <v>1</v>
      </c>
      <c r="R641" t="b">
        <v>0</v>
      </c>
      <c r="S641" t="b">
        <v>0</v>
      </c>
      <c r="T641">
        <v>231</v>
      </c>
      <c r="U641">
        <v>0</v>
      </c>
      <c r="V641" t="s">
        <v>33</v>
      </c>
      <c r="W641" t="s">
        <v>33</v>
      </c>
      <c r="X641">
        <v>50</v>
      </c>
      <c r="Y641">
        <v>359</v>
      </c>
      <c r="Z641" t="s">
        <v>34</v>
      </c>
      <c r="AA641">
        <v>359</v>
      </c>
      <c r="AB641" t="s">
        <v>121</v>
      </c>
      <c r="AC641" t="s">
        <v>121</v>
      </c>
      <c r="AD641" t="str">
        <f t="shared" si="9"/>
        <v>Escobedo → Escobedo</v>
      </c>
      <c r="AE641" t="s">
        <v>1358</v>
      </c>
      <c r="AF641" s="4">
        <v>45778</v>
      </c>
      <c r="AG641" t="str">
        <f>YEAR(Table1[[#This Row],[Fecha]])&amp;" - " &amp;UPPER(TEXT(Table1[[#This Row],[Fecha]],"mm-mmm"))</f>
        <v>2025 - 05-MAY</v>
      </c>
      <c r="AH641" s="5">
        <v>0</v>
      </c>
    </row>
    <row r="642" spans="1:34" x14ac:dyDescent="0.25">
      <c r="A642" t="s">
        <v>499</v>
      </c>
      <c r="B642">
        <v>2025</v>
      </c>
      <c r="C642">
        <v>5</v>
      </c>
      <c r="D642" s="1">
        <v>45804</v>
      </c>
      <c r="E642" s="1">
        <v>45804</v>
      </c>
      <c r="F642" s="1">
        <v>45804</v>
      </c>
      <c r="G642" s="1">
        <v>45804</v>
      </c>
      <c r="H642" s="2">
        <v>45805.436708946756</v>
      </c>
      <c r="I642">
        <v>2050</v>
      </c>
      <c r="J642" t="s">
        <v>54</v>
      </c>
      <c r="K642" t="s">
        <v>31</v>
      </c>
      <c r="L642">
        <v>50</v>
      </c>
      <c r="M642">
        <v>50</v>
      </c>
      <c r="N642" t="s">
        <v>55</v>
      </c>
      <c r="O642">
        <v>1</v>
      </c>
      <c r="P642">
        <v>150</v>
      </c>
      <c r="Q642" t="b">
        <v>1</v>
      </c>
      <c r="R642" t="b">
        <v>0</v>
      </c>
      <c r="S642" t="b">
        <v>0</v>
      </c>
      <c r="T642">
        <v>231</v>
      </c>
      <c r="U642">
        <v>0</v>
      </c>
      <c r="V642" t="s">
        <v>33</v>
      </c>
      <c r="W642" t="s">
        <v>33</v>
      </c>
      <c r="X642">
        <v>50</v>
      </c>
      <c r="Y642">
        <v>2936</v>
      </c>
      <c r="Z642" t="s">
        <v>34</v>
      </c>
      <c r="AA642">
        <v>2936</v>
      </c>
      <c r="AB642" t="s">
        <v>121</v>
      </c>
      <c r="AC642" t="s">
        <v>432</v>
      </c>
      <c r="AD642" t="str">
        <f t="shared" ref="AD642:AD705" si="10">+AB642&amp;" → "&amp;AC642</f>
        <v>Escobedo → Hidalgo</v>
      </c>
      <c r="AE642" t="s">
        <v>1358</v>
      </c>
      <c r="AF642" s="4">
        <v>45778</v>
      </c>
      <c r="AG642" t="str">
        <f>YEAR(Table1[[#This Row],[Fecha]])&amp;" - " &amp;UPPER(TEXT(Table1[[#This Row],[Fecha]],"mm-mmm"))</f>
        <v>2025 - 05-MAY</v>
      </c>
      <c r="AH642" s="5">
        <v>0</v>
      </c>
    </row>
    <row r="643" spans="1:34" x14ac:dyDescent="0.25">
      <c r="A643" t="s">
        <v>767</v>
      </c>
      <c r="B643">
        <v>2025</v>
      </c>
      <c r="C643">
        <v>5</v>
      </c>
      <c r="D643" s="1">
        <v>45804</v>
      </c>
      <c r="E643" s="1">
        <v>45804</v>
      </c>
      <c r="F643" s="1">
        <v>45804</v>
      </c>
      <c r="G643" s="1">
        <v>45804</v>
      </c>
      <c r="H643" s="2">
        <v>45805.436723842591</v>
      </c>
      <c r="I643">
        <v>2050</v>
      </c>
      <c r="J643" t="s">
        <v>54</v>
      </c>
      <c r="K643" t="s">
        <v>31</v>
      </c>
      <c r="L643">
        <v>50</v>
      </c>
      <c r="M643">
        <v>50</v>
      </c>
      <c r="N643" t="s">
        <v>55</v>
      </c>
      <c r="O643">
        <v>1</v>
      </c>
      <c r="P643">
        <v>150</v>
      </c>
      <c r="Q643" t="b">
        <v>1</v>
      </c>
      <c r="R643" t="b">
        <v>0</v>
      </c>
      <c r="S643" t="b">
        <v>0</v>
      </c>
      <c r="T643">
        <v>231</v>
      </c>
      <c r="U643">
        <v>0</v>
      </c>
      <c r="V643" t="s">
        <v>33</v>
      </c>
      <c r="W643" t="s">
        <v>33</v>
      </c>
      <c r="X643">
        <v>50</v>
      </c>
      <c r="Y643">
        <v>359</v>
      </c>
      <c r="Z643" t="s">
        <v>34</v>
      </c>
      <c r="AA643">
        <v>359</v>
      </c>
      <c r="AB643" t="s">
        <v>121</v>
      </c>
      <c r="AC643" t="s">
        <v>121</v>
      </c>
      <c r="AD643" t="str">
        <f t="shared" si="10"/>
        <v>Escobedo → Escobedo</v>
      </c>
      <c r="AE643" t="s">
        <v>1358</v>
      </c>
      <c r="AF643" s="4">
        <v>45778</v>
      </c>
      <c r="AG643" t="str">
        <f>YEAR(Table1[[#This Row],[Fecha]])&amp;" - " &amp;UPPER(TEXT(Table1[[#This Row],[Fecha]],"mm-mmm"))</f>
        <v>2025 - 05-MAY</v>
      </c>
      <c r="AH643" s="5">
        <v>0</v>
      </c>
    </row>
    <row r="644" spans="1:34" x14ac:dyDescent="0.25">
      <c r="A644" t="s">
        <v>768</v>
      </c>
      <c r="B644">
        <v>2025</v>
      </c>
      <c r="C644">
        <v>5</v>
      </c>
      <c r="D644" s="1">
        <v>45804</v>
      </c>
      <c r="E644" s="1">
        <v>45804</v>
      </c>
      <c r="F644" s="1">
        <v>45804</v>
      </c>
      <c r="G644" s="1">
        <v>45804</v>
      </c>
      <c r="H644" s="2">
        <v>45805.436731331021</v>
      </c>
      <c r="I644">
        <v>2050</v>
      </c>
      <c r="J644" t="s">
        <v>54</v>
      </c>
      <c r="K644" t="s">
        <v>31</v>
      </c>
      <c r="L644">
        <v>50</v>
      </c>
      <c r="M644">
        <v>50</v>
      </c>
      <c r="N644" t="s">
        <v>55</v>
      </c>
      <c r="O644">
        <v>1</v>
      </c>
      <c r="P644">
        <v>150</v>
      </c>
      <c r="Q644" t="b">
        <v>1</v>
      </c>
      <c r="R644" t="b">
        <v>0</v>
      </c>
      <c r="S644" t="b">
        <v>0</v>
      </c>
      <c r="T644">
        <v>231</v>
      </c>
      <c r="U644">
        <v>0</v>
      </c>
      <c r="V644" t="s">
        <v>33</v>
      </c>
      <c r="W644" t="s">
        <v>33</v>
      </c>
      <c r="X644">
        <v>50</v>
      </c>
      <c r="Y644">
        <v>359</v>
      </c>
      <c r="Z644" t="s">
        <v>34</v>
      </c>
      <c r="AA644">
        <v>359</v>
      </c>
      <c r="AB644" t="s">
        <v>121</v>
      </c>
      <c r="AC644" t="s">
        <v>121</v>
      </c>
      <c r="AD644" t="str">
        <f t="shared" si="10"/>
        <v>Escobedo → Escobedo</v>
      </c>
      <c r="AE644" t="s">
        <v>1358</v>
      </c>
      <c r="AF644" s="4">
        <v>45778</v>
      </c>
      <c r="AG644" t="str">
        <f>YEAR(Table1[[#This Row],[Fecha]])&amp;" - " &amp;UPPER(TEXT(Table1[[#This Row],[Fecha]],"mm-mmm"))</f>
        <v>2025 - 05-MAY</v>
      </c>
      <c r="AH644" s="5">
        <v>0</v>
      </c>
    </row>
    <row r="645" spans="1:34" x14ac:dyDescent="0.25">
      <c r="A645" t="s">
        <v>769</v>
      </c>
      <c r="B645">
        <v>2025</v>
      </c>
      <c r="C645">
        <v>5</v>
      </c>
      <c r="D645" s="1">
        <v>45804</v>
      </c>
      <c r="E645" s="1">
        <v>45804</v>
      </c>
      <c r="F645" s="1">
        <v>45804</v>
      </c>
      <c r="G645" s="1">
        <v>45804</v>
      </c>
      <c r="H645" s="2">
        <v>45805.436738460645</v>
      </c>
      <c r="I645">
        <v>2050</v>
      </c>
      <c r="J645" t="s">
        <v>54</v>
      </c>
      <c r="K645" t="s">
        <v>31</v>
      </c>
      <c r="L645">
        <v>50</v>
      </c>
      <c r="M645">
        <v>50</v>
      </c>
      <c r="N645" t="s">
        <v>55</v>
      </c>
      <c r="O645">
        <v>1</v>
      </c>
      <c r="P645">
        <v>150</v>
      </c>
      <c r="Q645" t="b">
        <v>1</v>
      </c>
      <c r="R645" t="b">
        <v>0</v>
      </c>
      <c r="S645" t="b">
        <v>0</v>
      </c>
      <c r="T645">
        <v>231</v>
      </c>
      <c r="U645">
        <v>0</v>
      </c>
      <c r="V645" t="s">
        <v>33</v>
      </c>
      <c r="W645" t="s">
        <v>33</v>
      </c>
      <c r="X645">
        <v>50</v>
      </c>
      <c r="Y645">
        <v>359</v>
      </c>
      <c r="Z645" t="s">
        <v>34</v>
      </c>
      <c r="AA645">
        <v>359</v>
      </c>
      <c r="AB645" t="s">
        <v>121</v>
      </c>
      <c r="AC645" t="s">
        <v>121</v>
      </c>
      <c r="AD645" t="str">
        <f t="shared" si="10"/>
        <v>Escobedo → Escobedo</v>
      </c>
      <c r="AE645" t="s">
        <v>1358</v>
      </c>
      <c r="AF645" s="4">
        <v>45778</v>
      </c>
      <c r="AG645" t="str">
        <f>YEAR(Table1[[#This Row],[Fecha]])&amp;" - " &amp;UPPER(TEXT(Table1[[#This Row],[Fecha]],"mm-mmm"))</f>
        <v>2025 - 05-MAY</v>
      </c>
      <c r="AH645" s="5">
        <v>0</v>
      </c>
    </row>
    <row r="646" spans="1:34" x14ac:dyDescent="0.25">
      <c r="A646" t="s">
        <v>770</v>
      </c>
      <c r="B646">
        <v>2025</v>
      </c>
      <c r="C646">
        <v>5</v>
      </c>
      <c r="D646" s="1">
        <v>45804</v>
      </c>
      <c r="E646" s="1">
        <v>45804</v>
      </c>
      <c r="F646" s="1">
        <v>45804</v>
      </c>
      <c r="G646" s="1">
        <v>45804</v>
      </c>
      <c r="H646" s="2">
        <v>45805.436745520834</v>
      </c>
      <c r="I646">
        <v>2050</v>
      </c>
      <c r="J646" t="s">
        <v>54</v>
      </c>
      <c r="K646" t="s">
        <v>31</v>
      </c>
      <c r="L646">
        <v>50</v>
      </c>
      <c r="M646">
        <v>50</v>
      </c>
      <c r="N646" t="s">
        <v>55</v>
      </c>
      <c r="O646">
        <v>1</v>
      </c>
      <c r="P646">
        <v>150</v>
      </c>
      <c r="Q646" t="b">
        <v>1</v>
      </c>
      <c r="R646" t="b">
        <v>0</v>
      </c>
      <c r="S646" t="b">
        <v>0</v>
      </c>
      <c r="T646">
        <v>231</v>
      </c>
      <c r="U646">
        <v>0</v>
      </c>
      <c r="V646" t="s">
        <v>33</v>
      </c>
      <c r="W646" t="s">
        <v>33</v>
      </c>
      <c r="X646">
        <v>50</v>
      </c>
      <c r="Y646">
        <v>359</v>
      </c>
      <c r="Z646" t="s">
        <v>34</v>
      </c>
      <c r="AA646">
        <v>359</v>
      </c>
      <c r="AB646" t="s">
        <v>121</v>
      </c>
      <c r="AC646" t="s">
        <v>121</v>
      </c>
      <c r="AD646" t="str">
        <f t="shared" si="10"/>
        <v>Escobedo → Escobedo</v>
      </c>
      <c r="AE646" t="s">
        <v>1358</v>
      </c>
      <c r="AF646" s="4">
        <v>45778</v>
      </c>
      <c r="AG646" t="str">
        <f>YEAR(Table1[[#This Row],[Fecha]])&amp;" - " &amp;UPPER(TEXT(Table1[[#This Row],[Fecha]],"mm-mmm"))</f>
        <v>2025 - 05-MAY</v>
      </c>
      <c r="AH646" s="5">
        <v>0</v>
      </c>
    </row>
    <row r="647" spans="1:34" x14ac:dyDescent="0.25">
      <c r="A647" t="s">
        <v>410</v>
      </c>
      <c r="B647">
        <v>2025</v>
      </c>
      <c r="C647">
        <v>5</v>
      </c>
      <c r="D647" s="1">
        <v>45805</v>
      </c>
      <c r="E647" s="1">
        <v>45805</v>
      </c>
      <c r="F647" s="1">
        <v>45805</v>
      </c>
      <c r="G647" s="1">
        <v>45805</v>
      </c>
      <c r="H647" s="1">
        <v>45805</v>
      </c>
      <c r="I647">
        <v>2164</v>
      </c>
      <c r="J647" t="s">
        <v>30</v>
      </c>
      <c r="K647" t="s">
        <v>31</v>
      </c>
      <c r="L647">
        <v>50</v>
      </c>
      <c r="M647">
        <v>50</v>
      </c>
      <c r="N647" t="s">
        <v>411</v>
      </c>
      <c r="O647">
        <v>1</v>
      </c>
      <c r="P647">
        <v>150</v>
      </c>
      <c r="Q647" t="b">
        <v>1</v>
      </c>
      <c r="R647" t="b">
        <v>0</v>
      </c>
      <c r="S647" t="b">
        <v>0</v>
      </c>
      <c r="T647">
        <v>231</v>
      </c>
      <c r="U647">
        <v>0</v>
      </c>
      <c r="V647" t="s">
        <v>33</v>
      </c>
      <c r="W647" t="s">
        <v>33</v>
      </c>
      <c r="X647">
        <v>50</v>
      </c>
      <c r="Y647">
        <v>461</v>
      </c>
      <c r="Z647" t="s">
        <v>34</v>
      </c>
      <c r="AA647">
        <v>461</v>
      </c>
      <c r="AB647" t="s">
        <v>121</v>
      </c>
      <c r="AC647" t="s">
        <v>35</v>
      </c>
      <c r="AD647" t="str">
        <f t="shared" si="10"/>
        <v>Escobedo → Monterrey</v>
      </c>
      <c r="AE647" t="s">
        <v>1357</v>
      </c>
      <c r="AF647" s="4">
        <v>45778</v>
      </c>
      <c r="AG647" t="str">
        <f>YEAR(Table1[[#This Row],[Fecha]])&amp;" - " &amp;UPPER(TEXT(Table1[[#This Row],[Fecha]],"mm-mmm"))</f>
        <v>2025 - 05-MAY</v>
      </c>
      <c r="AH647" s="5">
        <v>0</v>
      </c>
    </row>
    <row r="648" spans="1:34" x14ac:dyDescent="0.25">
      <c r="A648" t="s">
        <v>183</v>
      </c>
      <c r="B648">
        <v>2025</v>
      </c>
      <c r="C648">
        <v>5</v>
      </c>
      <c r="D648" s="1">
        <v>45805</v>
      </c>
      <c r="E648" s="1">
        <v>45805</v>
      </c>
      <c r="F648" s="1">
        <v>45805</v>
      </c>
      <c r="G648" s="1">
        <v>45805</v>
      </c>
      <c r="H648" s="2">
        <v>45805.884135416665</v>
      </c>
      <c r="I648">
        <v>2050</v>
      </c>
      <c r="J648" t="s">
        <v>54</v>
      </c>
      <c r="K648" t="s">
        <v>31</v>
      </c>
      <c r="L648">
        <v>50</v>
      </c>
      <c r="M648">
        <v>50</v>
      </c>
      <c r="N648" t="s">
        <v>55</v>
      </c>
      <c r="O648">
        <v>1</v>
      </c>
      <c r="P648">
        <v>150</v>
      </c>
      <c r="Q648" t="b">
        <v>1</v>
      </c>
      <c r="R648" t="b">
        <v>0</v>
      </c>
      <c r="S648" t="b">
        <v>0</v>
      </c>
      <c r="T648">
        <v>231</v>
      </c>
      <c r="U648">
        <v>0</v>
      </c>
      <c r="V648" t="s">
        <v>33</v>
      </c>
      <c r="W648" t="s">
        <v>33</v>
      </c>
      <c r="X648">
        <v>50</v>
      </c>
      <c r="Y648">
        <v>308</v>
      </c>
      <c r="Z648" t="s">
        <v>34</v>
      </c>
      <c r="AA648">
        <v>308</v>
      </c>
      <c r="AB648" t="s">
        <v>121</v>
      </c>
      <c r="AC648" t="s">
        <v>174</v>
      </c>
      <c r="AD648" t="str">
        <f t="shared" si="10"/>
        <v>Escobedo → Guadalupe</v>
      </c>
      <c r="AE648" t="s">
        <v>1358</v>
      </c>
      <c r="AF648" s="4">
        <v>45778</v>
      </c>
      <c r="AG648" t="str">
        <f>YEAR(Table1[[#This Row],[Fecha]])&amp;" - " &amp;UPPER(TEXT(Table1[[#This Row],[Fecha]],"mm-mmm"))</f>
        <v>2025 - 05-MAY</v>
      </c>
      <c r="AH648" s="5">
        <v>0</v>
      </c>
    </row>
    <row r="649" spans="1:34" x14ac:dyDescent="0.25">
      <c r="A649" t="s">
        <v>184</v>
      </c>
      <c r="B649">
        <v>2025</v>
      </c>
      <c r="C649">
        <v>5</v>
      </c>
      <c r="D649" s="1">
        <v>45805</v>
      </c>
      <c r="E649" s="1">
        <v>45805</v>
      </c>
      <c r="F649" s="1">
        <v>45805</v>
      </c>
      <c r="G649" s="1">
        <v>45805</v>
      </c>
      <c r="H649" s="2">
        <v>45806.119486608797</v>
      </c>
      <c r="I649">
        <v>2050</v>
      </c>
      <c r="J649" t="s">
        <v>54</v>
      </c>
      <c r="K649" t="s">
        <v>31</v>
      </c>
      <c r="L649">
        <v>50</v>
      </c>
      <c r="M649">
        <v>50</v>
      </c>
      <c r="N649" t="s">
        <v>55</v>
      </c>
      <c r="O649">
        <v>1</v>
      </c>
      <c r="P649">
        <v>150</v>
      </c>
      <c r="Q649" t="b">
        <v>1</v>
      </c>
      <c r="R649" t="b">
        <v>0</v>
      </c>
      <c r="S649" t="b">
        <v>0</v>
      </c>
      <c r="T649">
        <v>231</v>
      </c>
      <c r="U649">
        <v>0</v>
      </c>
      <c r="V649" t="s">
        <v>33</v>
      </c>
      <c r="W649" t="s">
        <v>33</v>
      </c>
      <c r="X649">
        <v>50</v>
      </c>
      <c r="Y649">
        <v>308</v>
      </c>
      <c r="Z649" t="s">
        <v>34</v>
      </c>
      <c r="AA649">
        <v>308</v>
      </c>
      <c r="AB649" t="s">
        <v>121</v>
      </c>
      <c r="AC649" t="s">
        <v>174</v>
      </c>
      <c r="AD649" t="str">
        <f t="shared" si="10"/>
        <v>Escobedo → Guadalupe</v>
      </c>
      <c r="AE649" t="s">
        <v>1358</v>
      </c>
      <c r="AF649" s="4">
        <v>45778</v>
      </c>
      <c r="AG649" t="str">
        <f>YEAR(Table1[[#This Row],[Fecha]])&amp;" - " &amp;UPPER(TEXT(Table1[[#This Row],[Fecha]],"mm-mmm"))</f>
        <v>2025 - 05-MAY</v>
      </c>
      <c r="AH649" s="5">
        <v>0</v>
      </c>
    </row>
    <row r="650" spans="1:34" x14ac:dyDescent="0.25">
      <c r="A650" t="s">
        <v>763</v>
      </c>
      <c r="B650">
        <v>2025</v>
      </c>
      <c r="C650">
        <v>5</v>
      </c>
      <c r="D650" s="1">
        <v>45805</v>
      </c>
      <c r="E650" s="1">
        <v>45805</v>
      </c>
      <c r="F650" s="1">
        <v>45805</v>
      </c>
      <c r="G650" s="1">
        <v>45805</v>
      </c>
      <c r="H650" s="2">
        <v>45805.887340659719</v>
      </c>
      <c r="I650">
        <v>2050</v>
      </c>
      <c r="J650" t="s">
        <v>54</v>
      </c>
      <c r="K650" t="s">
        <v>31</v>
      </c>
      <c r="L650">
        <v>50</v>
      </c>
      <c r="M650">
        <v>50</v>
      </c>
      <c r="N650" t="s">
        <v>55</v>
      </c>
      <c r="O650">
        <v>1</v>
      </c>
      <c r="P650">
        <v>150</v>
      </c>
      <c r="Q650" t="b">
        <v>1</v>
      </c>
      <c r="R650" t="b">
        <v>0</v>
      </c>
      <c r="S650" t="b">
        <v>0</v>
      </c>
      <c r="T650">
        <v>231</v>
      </c>
      <c r="U650">
        <v>0</v>
      </c>
      <c r="V650" t="s">
        <v>33</v>
      </c>
      <c r="W650" t="s">
        <v>33</v>
      </c>
      <c r="X650">
        <v>50</v>
      </c>
      <c r="Y650">
        <v>359</v>
      </c>
      <c r="Z650" t="s">
        <v>34</v>
      </c>
      <c r="AA650">
        <v>359</v>
      </c>
      <c r="AB650" t="s">
        <v>121</v>
      </c>
      <c r="AC650" t="s">
        <v>121</v>
      </c>
      <c r="AD650" t="str">
        <f t="shared" si="10"/>
        <v>Escobedo → Escobedo</v>
      </c>
      <c r="AE650" t="s">
        <v>1358</v>
      </c>
      <c r="AF650" s="4">
        <v>45778</v>
      </c>
      <c r="AG650" t="str">
        <f>YEAR(Table1[[#This Row],[Fecha]])&amp;" - " &amp;UPPER(TEXT(Table1[[#This Row],[Fecha]],"mm-mmm"))</f>
        <v>2025 - 05-MAY</v>
      </c>
      <c r="AH650" s="5">
        <v>0</v>
      </c>
    </row>
    <row r="651" spans="1:34" x14ac:dyDescent="0.25">
      <c r="A651" t="s">
        <v>764</v>
      </c>
      <c r="B651">
        <v>2025</v>
      </c>
      <c r="C651">
        <v>5</v>
      </c>
      <c r="D651" s="1">
        <v>45805</v>
      </c>
      <c r="E651" s="1">
        <v>45805</v>
      </c>
      <c r="F651" s="1">
        <v>45805</v>
      </c>
      <c r="G651" s="1">
        <v>45805</v>
      </c>
      <c r="H651" s="2">
        <v>45805.887332326391</v>
      </c>
      <c r="I651">
        <v>2050</v>
      </c>
      <c r="J651" t="s">
        <v>54</v>
      </c>
      <c r="K651" t="s">
        <v>31</v>
      </c>
      <c r="L651">
        <v>50</v>
      </c>
      <c r="M651">
        <v>50</v>
      </c>
      <c r="N651" t="s">
        <v>55</v>
      </c>
      <c r="O651">
        <v>1</v>
      </c>
      <c r="P651">
        <v>150</v>
      </c>
      <c r="Q651" t="b">
        <v>1</v>
      </c>
      <c r="R651" t="b">
        <v>0</v>
      </c>
      <c r="S651" t="b">
        <v>0</v>
      </c>
      <c r="T651">
        <v>231</v>
      </c>
      <c r="U651">
        <v>0</v>
      </c>
      <c r="V651" t="s">
        <v>33</v>
      </c>
      <c r="W651" t="s">
        <v>33</v>
      </c>
      <c r="X651">
        <v>50</v>
      </c>
      <c r="Y651">
        <v>359</v>
      </c>
      <c r="Z651" t="s">
        <v>34</v>
      </c>
      <c r="AA651">
        <v>359</v>
      </c>
      <c r="AB651" t="s">
        <v>121</v>
      </c>
      <c r="AC651" t="s">
        <v>121</v>
      </c>
      <c r="AD651" t="str">
        <f t="shared" si="10"/>
        <v>Escobedo → Escobedo</v>
      </c>
      <c r="AE651" t="s">
        <v>1358</v>
      </c>
      <c r="AF651" s="4">
        <v>45778</v>
      </c>
      <c r="AG651" t="str">
        <f>YEAR(Table1[[#This Row],[Fecha]])&amp;" - " &amp;UPPER(TEXT(Table1[[#This Row],[Fecha]],"mm-mmm"))</f>
        <v>2025 - 05-MAY</v>
      </c>
      <c r="AH651" s="5">
        <v>0</v>
      </c>
    </row>
    <row r="652" spans="1:34" x14ac:dyDescent="0.25">
      <c r="A652" t="s">
        <v>765</v>
      </c>
      <c r="B652">
        <v>2025</v>
      </c>
      <c r="C652">
        <v>5</v>
      </c>
      <c r="D652" s="1">
        <v>45805</v>
      </c>
      <c r="E652" s="1">
        <v>45805</v>
      </c>
      <c r="F652" s="1">
        <v>45805</v>
      </c>
      <c r="G652" s="1">
        <v>45805</v>
      </c>
      <c r="H652" s="2">
        <v>45805.887326354168</v>
      </c>
      <c r="I652">
        <v>2050</v>
      </c>
      <c r="J652" t="s">
        <v>54</v>
      </c>
      <c r="K652" t="s">
        <v>31</v>
      </c>
      <c r="L652">
        <v>50</v>
      </c>
      <c r="M652">
        <v>50</v>
      </c>
      <c r="N652" t="s">
        <v>55</v>
      </c>
      <c r="O652">
        <v>1</v>
      </c>
      <c r="P652">
        <v>150</v>
      </c>
      <c r="Q652" t="b">
        <v>1</v>
      </c>
      <c r="R652" t="b">
        <v>0</v>
      </c>
      <c r="S652" t="b">
        <v>0</v>
      </c>
      <c r="T652">
        <v>231</v>
      </c>
      <c r="U652">
        <v>0</v>
      </c>
      <c r="V652" t="s">
        <v>33</v>
      </c>
      <c r="W652" t="s">
        <v>33</v>
      </c>
      <c r="X652">
        <v>50</v>
      </c>
      <c r="Y652">
        <v>359</v>
      </c>
      <c r="Z652" t="s">
        <v>34</v>
      </c>
      <c r="AA652">
        <v>359</v>
      </c>
      <c r="AB652" t="s">
        <v>121</v>
      </c>
      <c r="AC652" t="s">
        <v>121</v>
      </c>
      <c r="AD652" t="str">
        <f t="shared" si="10"/>
        <v>Escobedo → Escobedo</v>
      </c>
      <c r="AE652" t="s">
        <v>1358</v>
      </c>
      <c r="AF652" s="4">
        <v>45778</v>
      </c>
      <c r="AG652" t="str">
        <f>YEAR(Table1[[#This Row],[Fecha]])&amp;" - " &amp;UPPER(TEXT(Table1[[#This Row],[Fecha]],"mm-mmm"))</f>
        <v>2025 - 05-MAY</v>
      </c>
      <c r="AH652" s="5">
        <v>0</v>
      </c>
    </row>
    <row r="653" spans="1:34" x14ac:dyDescent="0.25">
      <c r="A653" t="s">
        <v>766</v>
      </c>
      <c r="B653">
        <v>2025</v>
      </c>
      <c r="C653">
        <v>5</v>
      </c>
      <c r="D653" s="1">
        <v>45805</v>
      </c>
      <c r="E653" s="1">
        <v>45805</v>
      </c>
      <c r="F653" s="1">
        <v>45805</v>
      </c>
      <c r="G653" s="1">
        <v>45805</v>
      </c>
      <c r="H653" s="2">
        <v>45805.887318402776</v>
      </c>
      <c r="I653">
        <v>2050</v>
      </c>
      <c r="J653" t="s">
        <v>54</v>
      </c>
      <c r="K653" t="s">
        <v>31</v>
      </c>
      <c r="L653">
        <v>50</v>
      </c>
      <c r="M653">
        <v>50</v>
      </c>
      <c r="N653" t="s">
        <v>55</v>
      </c>
      <c r="O653">
        <v>1</v>
      </c>
      <c r="P653">
        <v>150</v>
      </c>
      <c r="Q653" t="b">
        <v>1</v>
      </c>
      <c r="R653" t="b">
        <v>0</v>
      </c>
      <c r="S653" t="b">
        <v>0</v>
      </c>
      <c r="T653">
        <v>231</v>
      </c>
      <c r="U653">
        <v>0</v>
      </c>
      <c r="V653" t="s">
        <v>33</v>
      </c>
      <c r="W653" t="s">
        <v>33</v>
      </c>
      <c r="X653">
        <v>50</v>
      </c>
      <c r="Y653">
        <v>359</v>
      </c>
      <c r="Z653" t="s">
        <v>34</v>
      </c>
      <c r="AA653">
        <v>359</v>
      </c>
      <c r="AB653" t="s">
        <v>121</v>
      </c>
      <c r="AC653" t="s">
        <v>121</v>
      </c>
      <c r="AD653" t="str">
        <f t="shared" si="10"/>
        <v>Escobedo → Escobedo</v>
      </c>
      <c r="AE653" t="s">
        <v>1358</v>
      </c>
      <c r="AF653" s="4">
        <v>45778</v>
      </c>
      <c r="AG653" t="str">
        <f>YEAR(Table1[[#This Row],[Fecha]])&amp;" - " &amp;UPPER(TEXT(Table1[[#This Row],[Fecha]],"mm-mmm"))</f>
        <v>2025 - 05-MAY</v>
      </c>
      <c r="AH653" s="5">
        <v>0</v>
      </c>
    </row>
    <row r="654" spans="1:34" x14ac:dyDescent="0.25">
      <c r="A654" t="s">
        <v>492</v>
      </c>
      <c r="B654">
        <v>2025</v>
      </c>
      <c r="C654">
        <v>5</v>
      </c>
      <c r="D654" s="1">
        <v>45805</v>
      </c>
      <c r="E654" s="1">
        <v>45805</v>
      </c>
      <c r="F654" s="1">
        <v>45805</v>
      </c>
      <c r="G654" s="1">
        <v>45805</v>
      </c>
      <c r="H654" s="2">
        <v>45805.887304131946</v>
      </c>
      <c r="I654">
        <v>2050</v>
      </c>
      <c r="J654" t="s">
        <v>54</v>
      </c>
      <c r="K654" t="s">
        <v>31</v>
      </c>
      <c r="L654">
        <v>50</v>
      </c>
      <c r="M654">
        <v>50</v>
      </c>
      <c r="N654" t="s">
        <v>55</v>
      </c>
      <c r="O654">
        <v>1</v>
      </c>
      <c r="P654">
        <v>150</v>
      </c>
      <c r="Q654" t="b">
        <v>1</v>
      </c>
      <c r="R654" t="b">
        <v>0</v>
      </c>
      <c r="S654" t="b">
        <v>0</v>
      </c>
      <c r="T654">
        <v>231</v>
      </c>
      <c r="U654">
        <v>0</v>
      </c>
      <c r="V654" t="s">
        <v>33</v>
      </c>
      <c r="W654" t="s">
        <v>33</v>
      </c>
      <c r="X654">
        <v>50</v>
      </c>
      <c r="Y654">
        <v>2936</v>
      </c>
      <c r="Z654" t="s">
        <v>34</v>
      </c>
      <c r="AA654">
        <v>2936</v>
      </c>
      <c r="AB654" t="s">
        <v>121</v>
      </c>
      <c r="AC654" t="s">
        <v>432</v>
      </c>
      <c r="AD654" t="str">
        <f t="shared" si="10"/>
        <v>Escobedo → Hidalgo</v>
      </c>
      <c r="AE654" t="s">
        <v>1358</v>
      </c>
      <c r="AF654" s="4">
        <v>45778</v>
      </c>
      <c r="AG654" t="str">
        <f>YEAR(Table1[[#This Row],[Fecha]])&amp;" - " &amp;UPPER(TEXT(Table1[[#This Row],[Fecha]],"mm-mmm"))</f>
        <v>2025 - 05-MAY</v>
      </c>
      <c r="AH654" s="5">
        <v>0</v>
      </c>
    </row>
    <row r="655" spans="1:34" x14ac:dyDescent="0.25">
      <c r="A655" t="s">
        <v>771</v>
      </c>
      <c r="B655">
        <v>2025</v>
      </c>
      <c r="C655">
        <v>5</v>
      </c>
      <c r="D655" s="1">
        <v>45806</v>
      </c>
      <c r="E655" s="1">
        <v>45806</v>
      </c>
      <c r="F655" s="1">
        <v>45806</v>
      </c>
      <c r="G655" s="1">
        <v>45806</v>
      </c>
      <c r="H655" s="2">
        <v>45806.8707091088</v>
      </c>
      <c r="I655">
        <v>2050</v>
      </c>
      <c r="J655" t="s">
        <v>54</v>
      </c>
      <c r="K655" t="s">
        <v>31</v>
      </c>
      <c r="L655">
        <v>50</v>
      </c>
      <c r="M655">
        <v>50</v>
      </c>
      <c r="N655" t="s">
        <v>55</v>
      </c>
      <c r="O655">
        <v>1</v>
      </c>
      <c r="P655">
        <v>150</v>
      </c>
      <c r="Q655" t="b">
        <v>1</v>
      </c>
      <c r="R655" t="b">
        <v>0</v>
      </c>
      <c r="S655" t="b">
        <v>0</v>
      </c>
      <c r="T655">
        <v>231</v>
      </c>
      <c r="U655">
        <v>0</v>
      </c>
      <c r="V655" t="s">
        <v>33</v>
      </c>
      <c r="W655" t="s">
        <v>33</v>
      </c>
      <c r="X655">
        <v>50</v>
      </c>
      <c r="Y655">
        <v>359</v>
      </c>
      <c r="Z655" t="s">
        <v>34</v>
      </c>
      <c r="AA655">
        <v>359</v>
      </c>
      <c r="AB655" t="s">
        <v>121</v>
      </c>
      <c r="AC655" t="s">
        <v>121</v>
      </c>
      <c r="AD655" t="str">
        <f t="shared" si="10"/>
        <v>Escobedo → Escobedo</v>
      </c>
      <c r="AE655" t="s">
        <v>1358</v>
      </c>
      <c r="AF655" s="4">
        <v>45778</v>
      </c>
      <c r="AG655" t="str">
        <f>YEAR(Table1[[#This Row],[Fecha]])&amp;" - " &amp;UPPER(TEXT(Table1[[#This Row],[Fecha]],"mm-mmm"))</f>
        <v>2025 - 05-MAY</v>
      </c>
      <c r="AH655" s="5">
        <v>0</v>
      </c>
    </row>
    <row r="656" spans="1:34" x14ac:dyDescent="0.25">
      <c r="A656" t="s">
        <v>772</v>
      </c>
      <c r="B656">
        <v>2025</v>
      </c>
      <c r="C656">
        <v>5</v>
      </c>
      <c r="D656" s="1">
        <v>45806</v>
      </c>
      <c r="E656" s="1">
        <v>45806</v>
      </c>
      <c r="F656" s="1">
        <v>45806</v>
      </c>
      <c r="G656" s="1">
        <v>45806</v>
      </c>
      <c r="H656" s="2">
        <v>45807.232425925926</v>
      </c>
      <c r="I656">
        <v>2050</v>
      </c>
      <c r="J656" t="s">
        <v>54</v>
      </c>
      <c r="K656" t="s">
        <v>31</v>
      </c>
      <c r="L656">
        <v>50</v>
      </c>
      <c r="M656">
        <v>50</v>
      </c>
      <c r="N656" t="s">
        <v>55</v>
      </c>
      <c r="O656">
        <v>1</v>
      </c>
      <c r="P656">
        <v>150</v>
      </c>
      <c r="Q656" t="b">
        <v>1</v>
      </c>
      <c r="R656" t="b">
        <v>0</v>
      </c>
      <c r="S656" t="b">
        <v>0</v>
      </c>
      <c r="T656">
        <v>231</v>
      </c>
      <c r="U656">
        <v>0</v>
      </c>
      <c r="V656" t="s">
        <v>33</v>
      </c>
      <c r="W656" t="s">
        <v>33</v>
      </c>
      <c r="X656">
        <v>50</v>
      </c>
      <c r="Y656">
        <v>359</v>
      </c>
      <c r="Z656" t="s">
        <v>34</v>
      </c>
      <c r="AA656">
        <v>359</v>
      </c>
      <c r="AB656" t="s">
        <v>121</v>
      </c>
      <c r="AC656" t="s">
        <v>121</v>
      </c>
      <c r="AD656" t="str">
        <f t="shared" si="10"/>
        <v>Escobedo → Escobedo</v>
      </c>
      <c r="AE656" t="s">
        <v>1358</v>
      </c>
      <c r="AF656" s="4">
        <v>45778</v>
      </c>
      <c r="AG656" t="str">
        <f>YEAR(Table1[[#This Row],[Fecha]])&amp;" - " &amp;UPPER(TEXT(Table1[[#This Row],[Fecha]],"mm-mmm"))</f>
        <v>2025 - 05-MAY</v>
      </c>
      <c r="AH656" s="5">
        <v>0</v>
      </c>
    </row>
    <row r="657" spans="1:34" x14ac:dyDescent="0.25">
      <c r="A657" t="s">
        <v>773</v>
      </c>
      <c r="B657">
        <v>2025</v>
      </c>
      <c r="C657">
        <v>5</v>
      </c>
      <c r="D657" s="1">
        <v>45806</v>
      </c>
      <c r="E657" s="1">
        <v>45806</v>
      </c>
      <c r="F657" s="1">
        <v>45806</v>
      </c>
      <c r="G657" s="1">
        <v>45806</v>
      </c>
      <c r="H657" s="2">
        <v>45807.232947025463</v>
      </c>
      <c r="I657">
        <v>2050</v>
      </c>
      <c r="J657" t="s">
        <v>54</v>
      </c>
      <c r="K657" t="s">
        <v>31</v>
      </c>
      <c r="L657">
        <v>50</v>
      </c>
      <c r="M657">
        <v>50</v>
      </c>
      <c r="N657" t="s">
        <v>55</v>
      </c>
      <c r="O657">
        <v>1</v>
      </c>
      <c r="P657">
        <v>150</v>
      </c>
      <c r="Q657" t="b">
        <v>1</v>
      </c>
      <c r="R657" t="b">
        <v>0</v>
      </c>
      <c r="S657" t="b">
        <v>0</v>
      </c>
      <c r="T657">
        <v>231</v>
      </c>
      <c r="U657">
        <v>0</v>
      </c>
      <c r="V657" t="s">
        <v>33</v>
      </c>
      <c r="W657" t="s">
        <v>33</v>
      </c>
      <c r="X657">
        <v>50</v>
      </c>
      <c r="Y657">
        <v>359</v>
      </c>
      <c r="Z657" t="s">
        <v>34</v>
      </c>
      <c r="AA657">
        <v>359</v>
      </c>
      <c r="AB657" t="s">
        <v>121</v>
      </c>
      <c r="AC657" t="s">
        <v>121</v>
      </c>
      <c r="AD657" t="str">
        <f t="shared" si="10"/>
        <v>Escobedo → Escobedo</v>
      </c>
      <c r="AE657" t="s">
        <v>1358</v>
      </c>
      <c r="AF657" s="4">
        <v>45778</v>
      </c>
      <c r="AG657" t="str">
        <f>YEAR(Table1[[#This Row],[Fecha]])&amp;" - " &amp;UPPER(TEXT(Table1[[#This Row],[Fecha]],"mm-mmm"))</f>
        <v>2025 - 05-MAY</v>
      </c>
      <c r="AH657" s="5">
        <v>0</v>
      </c>
    </row>
    <row r="658" spans="1:34" x14ac:dyDescent="0.25">
      <c r="A658" t="s">
        <v>409</v>
      </c>
      <c r="B658">
        <v>2025</v>
      </c>
      <c r="C658">
        <v>5</v>
      </c>
      <c r="D658" s="1">
        <v>45806</v>
      </c>
      <c r="E658" s="1">
        <v>45806</v>
      </c>
      <c r="F658" s="1">
        <v>45806</v>
      </c>
      <c r="G658" s="1">
        <v>45806</v>
      </c>
      <c r="H658" s="2">
        <v>45807.233539849534</v>
      </c>
      <c r="I658">
        <v>2050</v>
      </c>
      <c r="J658" t="s">
        <v>54</v>
      </c>
      <c r="K658" t="s">
        <v>31</v>
      </c>
      <c r="L658">
        <v>50</v>
      </c>
      <c r="M658">
        <v>50</v>
      </c>
      <c r="N658" t="s">
        <v>55</v>
      </c>
      <c r="O658">
        <v>1</v>
      </c>
      <c r="P658">
        <v>150</v>
      </c>
      <c r="Q658" t="b">
        <v>1</v>
      </c>
      <c r="R658" t="b">
        <v>0</v>
      </c>
      <c r="S658" t="b">
        <v>0</v>
      </c>
      <c r="T658">
        <v>231</v>
      </c>
      <c r="U658">
        <v>0</v>
      </c>
      <c r="V658" t="s">
        <v>33</v>
      </c>
      <c r="W658" t="s">
        <v>33</v>
      </c>
      <c r="X658">
        <v>50</v>
      </c>
      <c r="Y658">
        <v>461</v>
      </c>
      <c r="Z658" t="s">
        <v>34</v>
      </c>
      <c r="AA658">
        <v>461</v>
      </c>
      <c r="AB658" t="s">
        <v>121</v>
      </c>
      <c r="AC658" t="s">
        <v>35</v>
      </c>
      <c r="AD658" t="str">
        <f t="shared" si="10"/>
        <v>Escobedo → Monterrey</v>
      </c>
      <c r="AE658" t="s">
        <v>1358</v>
      </c>
      <c r="AF658" s="4">
        <v>45778</v>
      </c>
      <c r="AG658" t="str">
        <f>YEAR(Table1[[#This Row],[Fecha]])&amp;" - " &amp;UPPER(TEXT(Table1[[#This Row],[Fecha]],"mm-mmm"))</f>
        <v>2025 - 05-MAY</v>
      </c>
      <c r="AH658" s="5">
        <v>0</v>
      </c>
    </row>
    <row r="659" spans="1:34" x14ac:dyDescent="0.25">
      <c r="A659" t="s">
        <v>491</v>
      </c>
      <c r="B659">
        <v>2025</v>
      </c>
      <c r="C659">
        <v>5</v>
      </c>
      <c r="D659" s="1">
        <v>45806</v>
      </c>
      <c r="E659" s="1">
        <v>45806</v>
      </c>
      <c r="F659" s="1">
        <v>45806</v>
      </c>
      <c r="G659" s="1">
        <v>45806</v>
      </c>
      <c r="H659" s="2">
        <v>45807.234111076388</v>
      </c>
      <c r="I659">
        <v>2050</v>
      </c>
      <c r="J659" t="s">
        <v>54</v>
      </c>
      <c r="K659" t="s">
        <v>31</v>
      </c>
      <c r="L659">
        <v>50</v>
      </c>
      <c r="M659">
        <v>50</v>
      </c>
      <c r="N659" t="s">
        <v>55</v>
      </c>
      <c r="O659">
        <v>1</v>
      </c>
      <c r="P659">
        <v>150</v>
      </c>
      <c r="Q659" t="b">
        <v>1</v>
      </c>
      <c r="R659" t="b">
        <v>0</v>
      </c>
      <c r="S659" t="b">
        <v>0</v>
      </c>
      <c r="T659">
        <v>231</v>
      </c>
      <c r="U659">
        <v>0</v>
      </c>
      <c r="V659" t="s">
        <v>33</v>
      </c>
      <c r="W659" t="s">
        <v>33</v>
      </c>
      <c r="X659">
        <v>50</v>
      </c>
      <c r="Y659">
        <v>2936</v>
      </c>
      <c r="Z659" t="s">
        <v>34</v>
      </c>
      <c r="AA659">
        <v>2936</v>
      </c>
      <c r="AB659" t="s">
        <v>121</v>
      </c>
      <c r="AC659" t="s">
        <v>432</v>
      </c>
      <c r="AD659" t="str">
        <f t="shared" si="10"/>
        <v>Escobedo → Hidalgo</v>
      </c>
      <c r="AE659" t="s">
        <v>1358</v>
      </c>
      <c r="AF659" s="4">
        <v>45778</v>
      </c>
      <c r="AG659" t="str">
        <f>YEAR(Table1[[#This Row],[Fecha]])&amp;" - " &amp;UPPER(TEXT(Table1[[#This Row],[Fecha]],"mm-mmm"))</f>
        <v>2025 - 05-MAY</v>
      </c>
      <c r="AH659" s="5">
        <v>0</v>
      </c>
    </row>
    <row r="660" spans="1:34" x14ac:dyDescent="0.25">
      <c r="A660" t="s">
        <v>779</v>
      </c>
      <c r="B660">
        <v>2025</v>
      </c>
      <c r="C660">
        <v>5</v>
      </c>
      <c r="D660" s="1">
        <v>45806</v>
      </c>
      <c r="E660" s="1">
        <v>45806</v>
      </c>
      <c r="F660" s="1">
        <v>45806</v>
      </c>
      <c r="G660" s="1">
        <v>45806</v>
      </c>
      <c r="H660" s="2">
        <v>45807.234581828707</v>
      </c>
      <c r="I660">
        <v>2050</v>
      </c>
      <c r="J660" t="s">
        <v>54</v>
      </c>
      <c r="K660" t="s">
        <v>31</v>
      </c>
      <c r="L660">
        <v>50</v>
      </c>
      <c r="M660">
        <v>50</v>
      </c>
      <c r="N660" t="s">
        <v>55</v>
      </c>
      <c r="O660">
        <v>1</v>
      </c>
      <c r="P660">
        <v>150</v>
      </c>
      <c r="Q660" t="b">
        <v>1</v>
      </c>
      <c r="R660" t="b">
        <v>0</v>
      </c>
      <c r="S660" t="b">
        <v>0</v>
      </c>
      <c r="T660">
        <v>231</v>
      </c>
      <c r="U660">
        <v>0</v>
      </c>
      <c r="V660" t="s">
        <v>33</v>
      </c>
      <c r="W660" t="s">
        <v>33</v>
      </c>
      <c r="X660">
        <v>50</v>
      </c>
      <c r="Y660">
        <v>359</v>
      </c>
      <c r="Z660" t="s">
        <v>34</v>
      </c>
      <c r="AA660">
        <v>359</v>
      </c>
      <c r="AB660" t="s">
        <v>121</v>
      </c>
      <c r="AC660" t="s">
        <v>121</v>
      </c>
      <c r="AD660" t="str">
        <f t="shared" si="10"/>
        <v>Escobedo → Escobedo</v>
      </c>
      <c r="AE660" t="s">
        <v>1358</v>
      </c>
      <c r="AF660" s="4">
        <v>45778</v>
      </c>
      <c r="AG660" t="str">
        <f>YEAR(Table1[[#This Row],[Fecha]])&amp;" - " &amp;UPPER(TEXT(Table1[[#This Row],[Fecha]],"mm-mmm"))</f>
        <v>2025 - 05-MAY</v>
      </c>
      <c r="AH660" s="5">
        <v>0</v>
      </c>
    </row>
    <row r="661" spans="1:34" x14ac:dyDescent="0.25">
      <c r="A661" t="s">
        <v>494</v>
      </c>
      <c r="B661">
        <v>2025</v>
      </c>
      <c r="C661">
        <v>5</v>
      </c>
      <c r="D661" s="1">
        <v>45806</v>
      </c>
      <c r="E661" s="1">
        <v>45806</v>
      </c>
      <c r="F661" s="1">
        <v>45806</v>
      </c>
      <c r="G661" s="1">
        <v>45806</v>
      </c>
      <c r="H661" s="2">
        <v>45807.462900312501</v>
      </c>
      <c r="I661">
        <v>2050</v>
      </c>
      <c r="J661" t="s">
        <v>54</v>
      </c>
      <c r="K661" t="s">
        <v>31</v>
      </c>
      <c r="L661">
        <v>50</v>
      </c>
      <c r="M661">
        <v>50</v>
      </c>
      <c r="N661" t="s">
        <v>55</v>
      </c>
      <c r="O661">
        <v>1</v>
      </c>
      <c r="P661">
        <v>150</v>
      </c>
      <c r="Q661" t="b">
        <v>1</v>
      </c>
      <c r="R661" t="b">
        <v>0</v>
      </c>
      <c r="S661" t="b">
        <v>0</v>
      </c>
      <c r="T661">
        <v>231</v>
      </c>
      <c r="U661">
        <v>0</v>
      </c>
      <c r="V661" t="s">
        <v>33</v>
      </c>
      <c r="W661" t="s">
        <v>33</v>
      </c>
      <c r="X661">
        <v>50</v>
      </c>
      <c r="Y661">
        <v>2936</v>
      </c>
      <c r="Z661" t="s">
        <v>34</v>
      </c>
      <c r="AA661">
        <v>2936</v>
      </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yDescent="0.25">
      <c r="A662" t="s">
        <v>774</v>
      </c>
      <c r="B662">
        <v>2025</v>
      </c>
      <c r="C662">
        <v>5</v>
      </c>
      <c r="D662" s="1">
        <v>45807</v>
      </c>
      <c r="E662" s="1">
        <v>45807</v>
      </c>
      <c r="F662" s="1">
        <v>45807</v>
      </c>
      <c r="G662" s="1">
        <v>45807</v>
      </c>
      <c r="H662" s="2">
        <v>45807.739955324076</v>
      </c>
      <c r="I662">
        <v>2050</v>
      </c>
      <c r="J662" t="s">
        <v>54</v>
      </c>
      <c r="K662" t="s">
        <v>31</v>
      </c>
      <c r="L662">
        <v>50</v>
      </c>
      <c r="M662">
        <v>50</v>
      </c>
      <c r="N662" t="s">
        <v>55</v>
      </c>
      <c r="O662">
        <v>1</v>
      </c>
      <c r="P662">
        <v>150</v>
      </c>
      <c r="Q662" t="b">
        <v>1</v>
      </c>
      <c r="R662" t="b">
        <v>0</v>
      </c>
      <c r="S662" t="b">
        <v>0</v>
      </c>
      <c r="T662">
        <v>231</v>
      </c>
      <c r="U662">
        <v>0</v>
      </c>
      <c r="V662" t="s">
        <v>33</v>
      </c>
      <c r="W662" t="s">
        <v>33</v>
      </c>
      <c r="X662">
        <v>50</v>
      </c>
      <c r="Y662">
        <v>359</v>
      </c>
      <c r="Z662" t="s">
        <v>34</v>
      </c>
      <c r="AA662">
        <v>359</v>
      </c>
      <c r="AB662" t="s">
        <v>121</v>
      </c>
      <c r="AC662" t="s">
        <v>121</v>
      </c>
      <c r="AD662" t="str">
        <f t="shared" si="10"/>
        <v>Escobedo → Escobedo</v>
      </c>
      <c r="AE662" t="s">
        <v>1358</v>
      </c>
      <c r="AF662" s="4">
        <v>45778</v>
      </c>
      <c r="AG662" t="str">
        <f>YEAR(Table1[[#This Row],[Fecha]])&amp;" - " &amp;UPPER(TEXT(Table1[[#This Row],[Fecha]],"mm-mmm"))</f>
        <v>2025 - 05-MAY</v>
      </c>
      <c r="AH662" s="5">
        <v>0</v>
      </c>
    </row>
    <row r="663" spans="1:34" x14ac:dyDescent="0.25">
      <c r="A663" t="s">
        <v>775</v>
      </c>
      <c r="B663">
        <v>2025</v>
      </c>
      <c r="C663">
        <v>5</v>
      </c>
      <c r="D663" s="1">
        <v>45807</v>
      </c>
      <c r="E663" s="1">
        <v>45807</v>
      </c>
      <c r="F663" s="1">
        <v>45807</v>
      </c>
      <c r="G663" s="1">
        <v>45807</v>
      </c>
      <c r="H663" s="2">
        <v>45807.739948495371</v>
      </c>
      <c r="I663">
        <v>2050</v>
      </c>
      <c r="J663" t="s">
        <v>54</v>
      </c>
      <c r="K663" t="s">
        <v>31</v>
      </c>
      <c r="L663">
        <v>50</v>
      </c>
      <c r="M663">
        <v>50</v>
      </c>
      <c r="N663" t="s">
        <v>55</v>
      </c>
      <c r="O663">
        <v>1</v>
      </c>
      <c r="P663">
        <v>150</v>
      </c>
      <c r="Q663" t="b">
        <v>1</v>
      </c>
      <c r="R663" t="b">
        <v>0</v>
      </c>
      <c r="S663" t="b">
        <v>0</v>
      </c>
      <c r="T663">
        <v>231</v>
      </c>
      <c r="U663">
        <v>0</v>
      </c>
      <c r="V663" t="s">
        <v>33</v>
      </c>
      <c r="W663" t="s">
        <v>33</v>
      </c>
      <c r="X663">
        <v>50</v>
      </c>
      <c r="Y663">
        <v>359</v>
      </c>
      <c r="Z663" t="s">
        <v>34</v>
      </c>
      <c r="AA663">
        <v>359</v>
      </c>
      <c r="AB663" t="s">
        <v>121</v>
      </c>
      <c r="AC663" t="s">
        <v>121</v>
      </c>
      <c r="AD663" t="str">
        <f t="shared" si="10"/>
        <v>Escobedo → Escobedo</v>
      </c>
      <c r="AE663" t="s">
        <v>1358</v>
      </c>
      <c r="AF663" s="4">
        <v>45778</v>
      </c>
      <c r="AG663" t="str">
        <f>YEAR(Table1[[#This Row],[Fecha]])&amp;" - " &amp;UPPER(TEXT(Table1[[#This Row],[Fecha]],"mm-mmm"))</f>
        <v>2025 - 05-MAY</v>
      </c>
      <c r="AH663" s="5">
        <v>0</v>
      </c>
    </row>
    <row r="664" spans="1:34" x14ac:dyDescent="0.25">
      <c r="A664" t="s">
        <v>776</v>
      </c>
      <c r="B664">
        <v>2025</v>
      </c>
      <c r="C664">
        <v>5</v>
      </c>
      <c r="D664" s="1">
        <v>45807</v>
      </c>
      <c r="E664" s="1">
        <v>45807</v>
      </c>
      <c r="F664" s="1">
        <v>45807</v>
      </c>
      <c r="G664" s="1">
        <v>45807</v>
      </c>
      <c r="H664" s="2">
        <v>45807.739940706022</v>
      </c>
      <c r="I664">
        <v>2050</v>
      </c>
      <c r="J664" t="s">
        <v>54</v>
      </c>
      <c r="K664" t="s">
        <v>31</v>
      </c>
      <c r="L664">
        <v>50</v>
      </c>
      <c r="M664">
        <v>50</v>
      </c>
      <c r="N664" t="s">
        <v>55</v>
      </c>
      <c r="O664">
        <v>1</v>
      </c>
      <c r="P664">
        <v>150</v>
      </c>
      <c r="Q664" t="b">
        <v>1</v>
      </c>
      <c r="R664" t="b">
        <v>0</v>
      </c>
      <c r="S664" t="b">
        <v>0</v>
      </c>
      <c r="T664">
        <v>231</v>
      </c>
      <c r="U664">
        <v>0</v>
      </c>
      <c r="V664" t="s">
        <v>33</v>
      </c>
      <c r="W664" t="s">
        <v>33</v>
      </c>
      <c r="X664">
        <v>50</v>
      </c>
      <c r="Y664">
        <v>359</v>
      </c>
      <c r="Z664" t="s">
        <v>34</v>
      </c>
      <c r="AA664">
        <v>359</v>
      </c>
      <c r="AB664" t="s">
        <v>121</v>
      </c>
      <c r="AC664" t="s">
        <v>121</v>
      </c>
      <c r="AD664" t="str">
        <f t="shared" si="10"/>
        <v>Escobedo → Escobedo</v>
      </c>
      <c r="AE664" t="s">
        <v>1358</v>
      </c>
      <c r="AF664" s="4">
        <v>45778</v>
      </c>
      <c r="AG664" t="str">
        <f>YEAR(Table1[[#This Row],[Fecha]])&amp;" - " &amp;UPPER(TEXT(Table1[[#This Row],[Fecha]],"mm-mmm"))</f>
        <v>2025 - 05-MAY</v>
      </c>
      <c r="AH664" s="5">
        <v>0</v>
      </c>
    </row>
    <row r="665" spans="1:34" x14ac:dyDescent="0.25">
      <c r="A665" t="s">
        <v>777</v>
      </c>
      <c r="B665">
        <v>2025</v>
      </c>
      <c r="C665">
        <v>5</v>
      </c>
      <c r="D665" s="1">
        <v>45807</v>
      </c>
      <c r="E665" s="1">
        <v>45807</v>
      </c>
      <c r="F665" s="1">
        <v>45807</v>
      </c>
      <c r="G665" s="1">
        <v>45807</v>
      </c>
      <c r="H665" s="2">
        <v>45807.739925891205</v>
      </c>
      <c r="I665">
        <v>2050</v>
      </c>
      <c r="J665" t="s">
        <v>54</v>
      </c>
      <c r="K665" t="s">
        <v>31</v>
      </c>
      <c r="L665">
        <v>50</v>
      </c>
      <c r="M665">
        <v>50</v>
      </c>
      <c r="N665" t="s">
        <v>55</v>
      </c>
      <c r="O665">
        <v>1</v>
      </c>
      <c r="P665">
        <v>150</v>
      </c>
      <c r="Q665" t="b">
        <v>1</v>
      </c>
      <c r="R665" t="b">
        <v>0</v>
      </c>
      <c r="S665" t="b">
        <v>0</v>
      </c>
      <c r="T665">
        <v>231</v>
      </c>
      <c r="U665">
        <v>0</v>
      </c>
      <c r="V665" t="s">
        <v>33</v>
      </c>
      <c r="W665" t="s">
        <v>33</v>
      </c>
      <c r="X665">
        <v>50</v>
      </c>
      <c r="Y665">
        <v>359</v>
      </c>
      <c r="Z665" t="s">
        <v>34</v>
      </c>
      <c r="AA665">
        <v>359</v>
      </c>
      <c r="AB665" t="s">
        <v>121</v>
      </c>
      <c r="AC665" t="s">
        <v>121</v>
      </c>
      <c r="AD665" t="str">
        <f t="shared" si="10"/>
        <v>Escobedo → Escobedo</v>
      </c>
      <c r="AE665" t="s">
        <v>1358</v>
      </c>
      <c r="AF665" s="4">
        <v>45778</v>
      </c>
      <c r="AG665" t="str">
        <f>YEAR(Table1[[#This Row],[Fecha]])&amp;" - " &amp;UPPER(TEXT(Table1[[#This Row],[Fecha]],"mm-mmm"))</f>
        <v>2025 - 05-MAY</v>
      </c>
      <c r="AH665" s="5">
        <v>0</v>
      </c>
    </row>
    <row r="666" spans="1:34" x14ac:dyDescent="0.25">
      <c r="A666" t="s">
        <v>408</v>
      </c>
      <c r="B666">
        <v>2025</v>
      </c>
      <c r="C666">
        <v>5</v>
      </c>
      <c r="D666" s="1">
        <v>45807</v>
      </c>
      <c r="E666" s="1">
        <v>45807</v>
      </c>
      <c r="F666" s="1">
        <v>45807</v>
      </c>
      <c r="G666" s="1">
        <v>45807</v>
      </c>
      <c r="H666" s="2">
        <v>45807.739911226854</v>
      </c>
      <c r="I666">
        <v>2050</v>
      </c>
      <c r="J666" t="s">
        <v>30</v>
      </c>
      <c r="K666" t="s">
        <v>31</v>
      </c>
      <c r="L666">
        <v>50</v>
      </c>
      <c r="M666">
        <v>50</v>
      </c>
      <c r="N666" t="s">
        <v>55</v>
      </c>
      <c r="O666">
        <v>1</v>
      </c>
      <c r="P666">
        <v>150</v>
      </c>
      <c r="Q666" t="b">
        <v>1</v>
      </c>
      <c r="R666" t="b">
        <v>0</v>
      </c>
      <c r="S666" t="b">
        <v>0</v>
      </c>
      <c r="T666">
        <v>231</v>
      </c>
      <c r="U666">
        <v>0</v>
      </c>
      <c r="V666" t="s">
        <v>33</v>
      </c>
      <c r="W666" t="s">
        <v>33</v>
      </c>
      <c r="X666">
        <v>50</v>
      </c>
      <c r="Y666">
        <v>461</v>
      </c>
      <c r="Z666" t="s">
        <v>34</v>
      </c>
      <c r="AA666">
        <v>461</v>
      </c>
      <c r="AB666" t="s">
        <v>121</v>
      </c>
      <c r="AC666" t="s">
        <v>35</v>
      </c>
      <c r="AD666" t="str">
        <f t="shared" si="10"/>
        <v>Escobedo → Monterrey</v>
      </c>
      <c r="AE666" t="s">
        <v>1357</v>
      </c>
      <c r="AF666" s="4">
        <v>45778</v>
      </c>
      <c r="AG666" t="str">
        <f>YEAR(Table1[[#This Row],[Fecha]])&amp;" - " &amp;UPPER(TEXT(Table1[[#This Row],[Fecha]],"mm-mmm"))</f>
        <v>2025 - 05-MAY</v>
      </c>
      <c r="AH666" s="5">
        <v>0</v>
      </c>
    </row>
    <row r="667" spans="1:34" x14ac:dyDescent="0.25">
      <c r="A667" t="s">
        <v>376</v>
      </c>
      <c r="B667">
        <v>2025</v>
      </c>
      <c r="C667">
        <v>5</v>
      </c>
      <c r="D667" s="1">
        <v>45782</v>
      </c>
      <c r="E667" s="1">
        <v>45782</v>
      </c>
      <c r="F667" s="1">
        <v>45783</v>
      </c>
      <c r="G667" s="1">
        <v>45782</v>
      </c>
      <c r="H667" s="1">
        <v>45784</v>
      </c>
      <c r="I667">
        <v>2244</v>
      </c>
      <c r="J667" t="s">
        <v>41</v>
      </c>
      <c r="K667" t="s">
        <v>42</v>
      </c>
      <c r="L667">
        <v>842</v>
      </c>
      <c r="M667">
        <v>842</v>
      </c>
      <c r="N667" t="s">
        <v>43</v>
      </c>
      <c r="O667">
        <v>1</v>
      </c>
      <c r="P667">
        <v>863</v>
      </c>
      <c r="Q667" t="b">
        <v>1</v>
      </c>
      <c r="R667" t="b">
        <v>0</v>
      </c>
      <c r="S667" t="b">
        <v>0</v>
      </c>
      <c r="T667">
        <v>1213</v>
      </c>
      <c r="U667">
        <v>0</v>
      </c>
      <c r="V667" t="s">
        <v>33</v>
      </c>
      <c r="W667" t="s">
        <v>33</v>
      </c>
      <c r="X667">
        <v>900</v>
      </c>
      <c r="Y667">
        <v>1843</v>
      </c>
      <c r="Z667" t="s">
        <v>123</v>
      </c>
      <c r="AA667">
        <v>1843</v>
      </c>
      <c r="AB667" t="s">
        <v>121</v>
      </c>
      <c r="AC667" t="s">
        <v>364</v>
      </c>
      <c r="AD667" t="str">
        <f t="shared" si="10"/>
        <v>Escobedo → Mazatlan</v>
      </c>
      <c r="AE667" t="s">
        <v>1359</v>
      </c>
      <c r="AF667" s="4">
        <v>45778</v>
      </c>
      <c r="AG667" t="str">
        <f>YEAR(Table1[[#This Row],[Fecha]])&amp;" - " &amp;UPPER(TEXT(Table1[[#This Row],[Fecha]],"mm-mmm"))</f>
        <v>2025 - 05-MAY</v>
      </c>
      <c r="AH667" s="5">
        <v>0</v>
      </c>
    </row>
    <row r="668" spans="1:34" x14ac:dyDescent="0.25">
      <c r="A668" t="s">
        <v>228</v>
      </c>
      <c r="B668">
        <v>2025</v>
      </c>
      <c r="C668">
        <v>5</v>
      </c>
      <c r="D668" s="1">
        <v>45782</v>
      </c>
      <c r="E668" s="1">
        <v>45782</v>
      </c>
      <c r="F668" s="1">
        <v>45782</v>
      </c>
      <c r="G668" s="1">
        <v>45782</v>
      </c>
      <c r="H668" s="1">
        <v>45782</v>
      </c>
      <c r="I668">
        <v>2039</v>
      </c>
      <c r="J668" t="s">
        <v>30</v>
      </c>
      <c r="K668" t="s">
        <v>31</v>
      </c>
      <c r="L668">
        <v>50</v>
      </c>
      <c r="M668">
        <v>50</v>
      </c>
      <c r="N668" t="s">
        <v>32</v>
      </c>
      <c r="O668">
        <v>1</v>
      </c>
      <c r="P668">
        <v>150</v>
      </c>
      <c r="Q668" t="b">
        <v>1</v>
      </c>
      <c r="R668" t="b">
        <v>0</v>
      </c>
      <c r="S668" t="b">
        <v>0</v>
      </c>
      <c r="T668">
        <v>231</v>
      </c>
      <c r="U668">
        <v>0</v>
      </c>
      <c r="V668" t="s">
        <v>33</v>
      </c>
      <c r="W668" t="s">
        <v>33</v>
      </c>
      <c r="X668">
        <v>50</v>
      </c>
      <c r="Y668">
        <v>229</v>
      </c>
      <c r="Z668" t="s">
        <v>74</v>
      </c>
      <c r="AA668">
        <v>229</v>
      </c>
      <c r="AB668" t="s">
        <v>121</v>
      </c>
      <c r="AC668" t="s">
        <v>121</v>
      </c>
      <c r="AD668" t="str">
        <f t="shared" si="10"/>
        <v>Escobedo → Escobedo</v>
      </c>
      <c r="AE668" t="s">
        <v>1357</v>
      </c>
      <c r="AF668" s="4">
        <v>45778</v>
      </c>
      <c r="AG668" t="str">
        <f>YEAR(Table1[[#This Row],[Fecha]])&amp;" - " &amp;UPPER(TEXT(Table1[[#This Row],[Fecha]],"mm-mmm"))</f>
        <v>2025 - 05-MAY</v>
      </c>
      <c r="AH668" s="5">
        <v>0</v>
      </c>
    </row>
    <row r="669" spans="1:34" x14ac:dyDescent="0.25">
      <c r="A669" t="s">
        <v>778</v>
      </c>
      <c r="B669">
        <v>2025</v>
      </c>
      <c r="C669">
        <v>5</v>
      </c>
      <c r="D669" s="1">
        <v>45782</v>
      </c>
      <c r="E669" s="1">
        <v>45782</v>
      </c>
      <c r="F669" s="1">
        <v>45782</v>
      </c>
      <c r="G669" s="1">
        <v>45782</v>
      </c>
      <c r="H669" s="2">
        <v>45782.703996331016</v>
      </c>
      <c r="I669">
        <v>2039</v>
      </c>
      <c r="J669" t="s">
        <v>30</v>
      </c>
      <c r="K669" t="s">
        <v>31</v>
      </c>
      <c r="L669">
        <v>50</v>
      </c>
      <c r="M669">
        <v>50</v>
      </c>
      <c r="N669" t="s">
        <v>32</v>
      </c>
      <c r="O669">
        <v>1</v>
      </c>
      <c r="P669">
        <v>150</v>
      </c>
      <c r="Q669" t="b">
        <v>1</v>
      </c>
      <c r="R669" t="b">
        <v>0</v>
      </c>
      <c r="S669" t="b">
        <v>0</v>
      </c>
      <c r="T669">
        <v>231</v>
      </c>
      <c r="U669">
        <v>0</v>
      </c>
      <c r="V669" t="s">
        <v>33</v>
      </c>
      <c r="W669" t="s">
        <v>33</v>
      </c>
      <c r="X669">
        <v>50</v>
      </c>
      <c r="Y669">
        <v>359</v>
      </c>
      <c r="Z669" t="s">
        <v>74</v>
      </c>
      <c r="AA669">
        <v>359</v>
      </c>
      <c r="AB669" t="s">
        <v>121</v>
      </c>
      <c r="AC669" t="s">
        <v>121</v>
      </c>
      <c r="AD669" t="str">
        <f t="shared" si="10"/>
        <v>Escobedo → Escobedo</v>
      </c>
      <c r="AE669" t="s">
        <v>1357</v>
      </c>
      <c r="AF669" s="4">
        <v>45778</v>
      </c>
      <c r="AG669" t="str">
        <f>YEAR(Table1[[#This Row],[Fecha]])&amp;" - " &amp;UPPER(TEXT(Table1[[#This Row],[Fecha]],"mm-mmm"))</f>
        <v>2025 - 05-MAY</v>
      </c>
      <c r="AH669" s="5">
        <v>0</v>
      </c>
    </row>
    <row r="670" spans="1:34" x14ac:dyDescent="0.25">
      <c r="A670" t="s">
        <v>495</v>
      </c>
      <c r="B670">
        <v>2025</v>
      </c>
      <c r="C670">
        <v>5</v>
      </c>
      <c r="D670" s="1">
        <v>45782</v>
      </c>
      <c r="E670" s="1">
        <v>45782</v>
      </c>
      <c r="F670" s="1">
        <v>45782</v>
      </c>
      <c r="G670" s="1">
        <v>45782</v>
      </c>
      <c r="H670" s="2">
        <v>45782.704308136577</v>
      </c>
      <c r="I670">
        <v>2039</v>
      </c>
      <c r="J670" t="s">
        <v>30</v>
      </c>
      <c r="K670" t="s">
        <v>31</v>
      </c>
      <c r="L670">
        <v>50</v>
      </c>
      <c r="M670">
        <v>50</v>
      </c>
      <c r="N670" t="s">
        <v>32</v>
      </c>
      <c r="O670">
        <v>1</v>
      </c>
      <c r="P670">
        <v>150</v>
      </c>
      <c r="Q670" t="b">
        <v>1</v>
      </c>
      <c r="R670" t="b">
        <v>0</v>
      </c>
      <c r="S670" t="b">
        <v>0</v>
      </c>
      <c r="T670">
        <v>231</v>
      </c>
      <c r="U670">
        <v>0</v>
      </c>
      <c r="V670" t="s">
        <v>33</v>
      </c>
      <c r="W670" t="s">
        <v>33</v>
      </c>
      <c r="X670">
        <v>50</v>
      </c>
      <c r="Y670">
        <v>2936</v>
      </c>
      <c r="Z670" t="s">
        <v>74</v>
      </c>
      <c r="AA670">
        <v>2936</v>
      </c>
      <c r="AB670" t="s">
        <v>121</v>
      </c>
      <c r="AC670" t="s">
        <v>432</v>
      </c>
      <c r="AD670" t="str">
        <f t="shared" si="10"/>
        <v>Escobedo → Hidalgo</v>
      </c>
      <c r="AE670" t="s">
        <v>1357</v>
      </c>
      <c r="AF670" s="4">
        <v>45778</v>
      </c>
      <c r="AG670" t="str">
        <f>YEAR(Table1[[#This Row],[Fecha]])&amp;" - " &amp;UPPER(TEXT(Table1[[#This Row],[Fecha]],"mm-mmm"))</f>
        <v>2025 - 05-MAY</v>
      </c>
      <c r="AH670" s="5">
        <v>0</v>
      </c>
    </row>
    <row r="671" spans="1:34" x14ac:dyDescent="0.25">
      <c r="A671" t="s">
        <v>1317</v>
      </c>
      <c r="B671">
        <v>2025</v>
      </c>
      <c r="C671">
        <v>5</v>
      </c>
      <c r="D671" s="1">
        <v>45782</v>
      </c>
      <c r="E671" s="1">
        <v>45782</v>
      </c>
      <c r="F671" s="1">
        <v>45782</v>
      </c>
      <c r="G671" s="1">
        <v>45782</v>
      </c>
      <c r="H671" s="2">
        <v>45782.704611342589</v>
      </c>
      <c r="I671">
        <v>2039</v>
      </c>
      <c r="J671" t="s">
        <v>30</v>
      </c>
      <c r="K671" t="s">
        <v>31</v>
      </c>
      <c r="L671">
        <v>50</v>
      </c>
      <c r="M671">
        <v>50</v>
      </c>
      <c r="N671" t="s">
        <v>32</v>
      </c>
      <c r="O671">
        <v>1</v>
      </c>
      <c r="P671">
        <v>150</v>
      </c>
      <c r="Q671" t="b">
        <v>1</v>
      </c>
      <c r="R671" t="b">
        <v>0</v>
      </c>
      <c r="S671" t="b">
        <v>0</v>
      </c>
      <c r="T671">
        <v>231</v>
      </c>
      <c r="U671">
        <v>0</v>
      </c>
      <c r="V671" t="s">
        <v>33</v>
      </c>
      <c r="W671" t="s">
        <v>33</v>
      </c>
      <c r="X671">
        <v>50</v>
      </c>
      <c r="Y671">
        <v>359</v>
      </c>
      <c r="Z671" t="s">
        <v>74</v>
      </c>
      <c r="AA671">
        <v>359</v>
      </c>
      <c r="AB671" t="s">
        <v>121</v>
      </c>
      <c r="AC671" t="s">
        <v>121</v>
      </c>
      <c r="AD671" t="str">
        <f t="shared" si="10"/>
        <v>Escobedo → Escobedo</v>
      </c>
      <c r="AE671" t="s">
        <v>1357</v>
      </c>
      <c r="AF671" s="4">
        <v>45778</v>
      </c>
      <c r="AG671" t="str">
        <f>YEAR(Table1[[#This Row],[Fecha]])&amp;" - " &amp;UPPER(TEXT(Table1[[#This Row],[Fecha]],"mm-mmm"))</f>
        <v>2025 - 05-MAY</v>
      </c>
      <c r="AH671" s="5">
        <v>0</v>
      </c>
    </row>
    <row r="672" spans="1:34" x14ac:dyDescent="0.25">
      <c r="A672" t="s">
        <v>275</v>
      </c>
      <c r="B672">
        <v>2025</v>
      </c>
      <c r="C672">
        <v>5</v>
      </c>
      <c r="D672" s="1">
        <v>45782</v>
      </c>
      <c r="E672" s="1">
        <v>45782</v>
      </c>
      <c r="F672" s="1">
        <v>45783</v>
      </c>
      <c r="G672" s="1">
        <v>45782</v>
      </c>
      <c r="H672" s="1">
        <v>45783</v>
      </c>
      <c r="I672">
        <v>2050</v>
      </c>
      <c r="J672" t="s">
        <v>54</v>
      </c>
      <c r="K672" t="s">
        <v>31</v>
      </c>
      <c r="L672">
        <v>961</v>
      </c>
      <c r="M672">
        <v>1059</v>
      </c>
      <c r="N672" t="s">
        <v>55</v>
      </c>
      <c r="O672">
        <v>1</v>
      </c>
      <c r="P672">
        <v>964</v>
      </c>
      <c r="Q672" t="b">
        <v>1</v>
      </c>
      <c r="R672" t="b">
        <v>0</v>
      </c>
      <c r="S672" t="b">
        <v>0</v>
      </c>
      <c r="T672">
        <v>1494</v>
      </c>
      <c r="U672">
        <v>0</v>
      </c>
      <c r="V672" t="s">
        <v>33</v>
      </c>
      <c r="W672" t="s">
        <v>33</v>
      </c>
      <c r="X672">
        <v>1100</v>
      </c>
      <c r="Y672">
        <v>8</v>
      </c>
      <c r="Z672" t="s">
        <v>74</v>
      </c>
      <c r="AA672">
        <v>8</v>
      </c>
      <c r="AB672" t="s">
        <v>121</v>
      </c>
      <c r="AC672" t="s">
        <v>56</v>
      </c>
      <c r="AD672" t="str">
        <f t="shared" si="10"/>
        <v>Escobedo → Cd Sahagún</v>
      </c>
      <c r="AE672" t="s">
        <v>1358</v>
      </c>
      <c r="AF672" s="4">
        <v>45778</v>
      </c>
      <c r="AG672" t="str">
        <f>YEAR(Table1[[#This Row],[Fecha]])&amp;" - " &amp;UPPER(TEXT(Table1[[#This Row],[Fecha]],"mm-mmm"))</f>
        <v>2025 - 05-MAY</v>
      </c>
      <c r="AH672" s="5">
        <v>0</v>
      </c>
    </row>
    <row r="673" spans="1:34" x14ac:dyDescent="0.25">
      <c r="A673" t="s">
        <v>139</v>
      </c>
      <c r="B673">
        <v>2025</v>
      </c>
      <c r="C673">
        <v>5</v>
      </c>
      <c r="D673" s="1">
        <v>45793</v>
      </c>
      <c r="E673" s="1">
        <v>45793</v>
      </c>
      <c r="F673" s="1">
        <v>45796</v>
      </c>
      <c r="G673" s="1">
        <v>45795</v>
      </c>
      <c r="H673" s="1">
        <v>45796</v>
      </c>
      <c r="I673">
        <v>2050</v>
      </c>
      <c r="J673" t="s">
        <v>54</v>
      </c>
      <c r="K673" t="s">
        <v>31</v>
      </c>
      <c r="L673">
        <v>961</v>
      </c>
      <c r="M673">
        <v>0</v>
      </c>
      <c r="N673" t="s">
        <v>55</v>
      </c>
      <c r="O673">
        <v>1</v>
      </c>
      <c r="P673">
        <v>964</v>
      </c>
      <c r="Q673" t="b">
        <v>1</v>
      </c>
      <c r="R673" t="b">
        <v>0</v>
      </c>
      <c r="S673" t="b">
        <v>0</v>
      </c>
      <c r="T673">
        <v>0</v>
      </c>
      <c r="U673">
        <v>0</v>
      </c>
      <c r="V673" t="s">
        <v>33</v>
      </c>
      <c r="W673" t="s">
        <v>140</v>
      </c>
      <c r="X673">
        <v>0</v>
      </c>
      <c r="Y673">
        <v>3</v>
      </c>
      <c r="Z673" t="s">
        <v>44</v>
      </c>
      <c r="AA673">
        <v>3</v>
      </c>
      <c r="AB673" t="s">
        <v>60</v>
      </c>
      <c r="AC673" t="s">
        <v>56</v>
      </c>
      <c r="AD673" t="str">
        <f t="shared" si="10"/>
        <v>Culiacan → Cd Sahagún</v>
      </c>
      <c r="AE673" t="s">
        <v>1358</v>
      </c>
      <c r="AF673" s="4">
        <v>45778</v>
      </c>
      <c r="AG673" t="str">
        <f>YEAR(Table1[[#This Row],[Fecha]])&amp;" - " &amp;UPPER(TEXT(Table1[[#This Row],[Fecha]],"mm-mmm"))</f>
        <v>2025 - 05-MAY</v>
      </c>
      <c r="AH673" s="5">
        <v>0</v>
      </c>
    </row>
    <row r="674" spans="1:34" x14ac:dyDescent="0.25">
      <c r="A674" t="s">
        <v>317</v>
      </c>
      <c r="B674">
        <v>2025</v>
      </c>
      <c r="C674">
        <v>5</v>
      </c>
      <c r="D674" s="1">
        <v>45779</v>
      </c>
      <c r="E674" s="1">
        <v>45779</v>
      </c>
      <c r="F674" s="1">
        <v>45782</v>
      </c>
      <c r="G674" s="1">
        <v>45781</v>
      </c>
      <c r="H674" s="1">
        <v>45782</v>
      </c>
      <c r="I674">
        <v>2050</v>
      </c>
      <c r="J674" t="s">
        <v>54</v>
      </c>
      <c r="K674" t="s">
        <v>31</v>
      </c>
      <c r="L674">
        <v>961</v>
      </c>
      <c r="M674">
        <v>0</v>
      </c>
      <c r="N674" t="s">
        <v>55</v>
      </c>
      <c r="O674">
        <v>1</v>
      </c>
      <c r="P674">
        <v>964</v>
      </c>
      <c r="Q674" t="b">
        <v>1</v>
      </c>
      <c r="R674" t="b">
        <v>0</v>
      </c>
      <c r="S674" t="b">
        <v>0</v>
      </c>
      <c r="T674">
        <v>0</v>
      </c>
      <c r="U674">
        <v>0</v>
      </c>
      <c r="V674" t="s">
        <v>33</v>
      </c>
      <c r="W674" t="s">
        <v>33</v>
      </c>
      <c r="X674">
        <v>0</v>
      </c>
      <c r="Y674">
        <v>8</v>
      </c>
      <c r="Z674" t="s">
        <v>38</v>
      </c>
      <c r="AA674">
        <v>8</v>
      </c>
      <c r="AB674" t="s">
        <v>121</v>
      </c>
      <c r="AC674" t="s">
        <v>56</v>
      </c>
      <c r="AD674" t="str">
        <f t="shared" si="10"/>
        <v>Escobedo → Cd Sahagún</v>
      </c>
      <c r="AE674" t="s">
        <v>1358</v>
      </c>
      <c r="AF674" s="4">
        <v>45778</v>
      </c>
      <c r="AG674" t="str">
        <f>YEAR(Table1[[#This Row],[Fecha]])&amp;" - " &amp;UPPER(TEXT(Table1[[#This Row],[Fecha]],"mm-mmm"))</f>
        <v>2025 - 05-MAY</v>
      </c>
      <c r="AH674" s="5">
        <v>0</v>
      </c>
    </row>
    <row r="675" spans="1:34" x14ac:dyDescent="0.25">
      <c r="A675" t="s">
        <v>318</v>
      </c>
      <c r="B675">
        <v>2025</v>
      </c>
      <c r="C675">
        <v>5</v>
      </c>
      <c r="D675" s="1">
        <v>45779</v>
      </c>
      <c r="E675" s="1">
        <v>45779</v>
      </c>
      <c r="F675" s="1">
        <v>45782</v>
      </c>
      <c r="G675" s="1">
        <v>45781</v>
      </c>
      <c r="H675" s="1">
        <v>45782</v>
      </c>
      <c r="I675">
        <v>2244</v>
      </c>
      <c r="J675" t="s">
        <v>41</v>
      </c>
      <c r="K675" t="s">
        <v>42</v>
      </c>
      <c r="L675">
        <v>961</v>
      </c>
      <c r="M675">
        <v>0</v>
      </c>
      <c r="N675" t="s">
        <v>43</v>
      </c>
      <c r="O675">
        <v>1</v>
      </c>
      <c r="P675">
        <v>964</v>
      </c>
      <c r="Q675" t="b">
        <v>1</v>
      </c>
      <c r="R675" t="b">
        <v>0</v>
      </c>
      <c r="S675" t="b">
        <v>0</v>
      </c>
      <c r="T675">
        <v>1494</v>
      </c>
      <c r="U675">
        <v>0</v>
      </c>
      <c r="V675" t="s">
        <v>33</v>
      </c>
      <c r="W675" t="s">
        <v>319</v>
      </c>
      <c r="X675">
        <v>1100</v>
      </c>
      <c r="Y675">
        <v>8</v>
      </c>
      <c r="Z675" t="s">
        <v>44</v>
      </c>
      <c r="AA675">
        <v>8</v>
      </c>
      <c r="AB675" t="s">
        <v>121</v>
      </c>
      <c r="AC675" t="s">
        <v>56</v>
      </c>
      <c r="AD675" t="str">
        <f t="shared" si="10"/>
        <v>Escobedo → Cd Sahagún</v>
      </c>
      <c r="AE675" t="s">
        <v>1359</v>
      </c>
      <c r="AF675" s="4">
        <v>45778</v>
      </c>
      <c r="AG675" t="str">
        <f>YEAR(Table1[[#This Row],[Fecha]])&amp;" - " &amp;UPPER(TEXT(Table1[[#This Row],[Fecha]],"mm-mmm"))</f>
        <v>2025 - 05-MAY</v>
      </c>
      <c r="AH675" s="5">
        <v>0</v>
      </c>
    </row>
    <row r="676" spans="1:34" x14ac:dyDescent="0.25">
      <c r="A676" t="s">
        <v>320</v>
      </c>
      <c r="B676">
        <v>2025</v>
      </c>
      <c r="C676">
        <v>5</v>
      </c>
      <c r="D676" s="1">
        <v>45786</v>
      </c>
      <c r="E676" s="1">
        <v>45786</v>
      </c>
      <c r="F676" s="1">
        <v>45789</v>
      </c>
      <c r="G676" s="1">
        <v>45788</v>
      </c>
      <c r="H676" s="1">
        <v>45789</v>
      </c>
      <c r="I676">
        <v>2050</v>
      </c>
      <c r="J676" t="s">
        <v>54</v>
      </c>
      <c r="K676" t="s">
        <v>31</v>
      </c>
      <c r="L676">
        <v>961</v>
      </c>
      <c r="M676">
        <v>0</v>
      </c>
      <c r="N676" t="s">
        <v>55</v>
      </c>
      <c r="O676">
        <v>1</v>
      </c>
      <c r="P676">
        <v>964</v>
      </c>
      <c r="Q676" t="b">
        <v>1</v>
      </c>
      <c r="R676" t="b">
        <v>0</v>
      </c>
      <c r="S676" t="b">
        <v>0</v>
      </c>
      <c r="T676">
        <v>0</v>
      </c>
      <c r="U676">
        <v>0</v>
      </c>
      <c r="V676" t="s">
        <v>33</v>
      </c>
      <c r="W676" t="s">
        <v>321</v>
      </c>
      <c r="X676">
        <v>0</v>
      </c>
      <c r="Y676">
        <v>8</v>
      </c>
      <c r="Z676" t="s">
        <v>44</v>
      </c>
      <c r="AA676">
        <v>8</v>
      </c>
      <c r="AB676" t="s">
        <v>121</v>
      </c>
      <c r="AC676" t="s">
        <v>56</v>
      </c>
      <c r="AD676" t="str">
        <f t="shared" si="10"/>
        <v>Escobedo → Cd Sahagún</v>
      </c>
      <c r="AE676" t="s">
        <v>1358</v>
      </c>
      <c r="AF676" s="4">
        <v>45778</v>
      </c>
      <c r="AG676" t="str">
        <f>YEAR(Table1[[#This Row],[Fecha]])&amp;" - " &amp;UPPER(TEXT(Table1[[#This Row],[Fecha]],"mm-mmm"))</f>
        <v>2025 - 05-MAY</v>
      </c>
      <c r="AH676" s="5">
        <v>0</v>
      </c>
    </row>
    <row r="677" spans="1:34" x14ac:dyDescent="0.25">
      <c r="A677" t="s">
        <v>187</v>
      </c>
      <c r="B677">
        <v>2025</v>
      </c>
      <c r="C677">
        <v>5</v>
      </c>
      <c r="D677" s="1">
        <v>45790</v>
      </c>
      <c r="E677" s="1">
        <v>45790</v>
      </c>
      <c r="F677" s="1">
        <v>45791</v>
      </c>
      <c r="G677" s="1">
        <v>45790</v>
      </c>
      <c r="H677" s="1">
        <v>45791</v>
      </c>
      <c r="I677">
        <v>2050</v>
      </c>
      <c r="J677" t="s">
        <v>54</v>
      </c>
      <c r="K677" t="s">
        <v>31</v>
      </c>
      <c r="L677">
        <v>961</v>
      </c>
      <c r="M677">
        <v>0</v>
      </c>
      <c r="N677" t="s">
        <v>55</v>
      </c>
      <c r="O677">
        <v>1</v>
      </c>
      <c r="P677">
        <v>964</v>
      </c>
      <c r="Q677" t="b">
        <v>1</v>
      </c>
      <c r="R677" t="b">
        <v>0</v>
      </c>
      <c r="S677" t="b">
        <v>0</v>
      </c>
      <c r="T677">
        <v>0</v>
      </c>
      <c r="U677">
        <v>0</v>
      </c>
      <c r="V677" t="s">
        <v>33</v>
      </c>
      <c r="W677" t="s">
        <v>33</v>
      </c>
      <c r="X677">
        <v>0</v>
      </c>
      <c r="Y677">
        <v>1052</v>
      </c>
      <c r="Z677" t="s">
        <v>71</v>
      </c>
      <c r="AA677">
        <v>1052</v>
      </c>
      <c r="AB677" t="s">
        <v>121</v>
      </c>
      <c r="AC677" t="s">
        <v>188</v>
      </c>
      <c r="AD677" t="str">
        <f t="shared" si="10"/>
        <v>Escobedo → Apodaca</v>
      </c>
      <c r="AE677" t="s">
        <v>1358</v>
      </c>
      <c r="AF677" s="4">
        <v>45778</v>
      </c>
      <c r="AG677" t="str">
        <f>YEAR(Table1[[#This Row],[Fecha]])&amp;" - " &amp;UPPER(TEXT(Table1[[#This Row],[Fecha]],"mm-mmm"))</f>
        <v>2025 - 05-MAY</v>
      </c>
      <c r="AH677" s="5">
        <v>0</v>
      </c>
    </row>
    <row r="678" spans="1:34" x14ac:dyDescent="0.25">
      <c r="A678" t="s">
        <v>1315</v>
      </c>
      <c r="B678">
        <v>2025</v>
      </c>
      <c r="C678">
        <v>6</v>
      </c>
      <c r="D678" s="1">
        <v>45809</v>
      </c>
      <c r="E678" s="1">
        <v>45809</v>
      </c>
      <c r="F678" s="1">
        <v>45809</v>
      </c>
      <c r="G678" s="1">
        <v>45809</v>
      </c>
      <c r="H678" s="2">
        <v>45809.822239236113</v>
      </c>
      <c r="I678">
        <v>2050</v>
      </c>
      <c r="J678" t="s">
        <v>54</v>
      </c>
      <c r="K678" t="s">
        <v>31</v>
      </c>
      <c r="L678">
        <v>50</v>
      </c>
      <c r="M678">
        <v>50</v>
      </c>
      <c r="N678" t="s">
        <v>55</v>
      </c>
      <c r="O678">
        <v>1</v>
      </c>
      <c r="P678">
        <v>150</v>
      </c>
      <c r="Q678" t="b">
        <v>1</v>
      </c>
      <c r="R678" t="b">
        <v>0</v>
      </c>
      <c r="S678" t="b">
        <v>0</v>
      </c>
      <c r="T678">
        <v>231</v>
      </c>
      <c r="U678">
        <v>0</v>
      </c>
      <c r="V678" t="s">
        <v>33</v>
      </c>
      <c r="W678" t="s">
        <v>33</v>
      </c>
      <c r="X678">
        <v>50</v>
      </c>
      <c r="Y678">
        <v>359</v>
      </c>
      <c r="Z678" t="s">
        <v>34</v>
      </c>
      <c r="AA678">
        <v>359</v>
      </c>
      <c r="AB678" t="s">
        <v>121</v>
      </c>
      <c r="AC678" t="s">
        <v>121</v>
      </c>
      <c r="AD678" t="str">
        <f t="shared" si="10"/>
        <v>Escobedo → Escobedo</v>
      </c>
      <c r="AE678" t="s">
        <v>1358</v>
      </c>
      <c r="AF678" s="4">
        <v>45809</v>
      </c>
      <c r="AG678" t="str">
        <f>YEAR(Table1[[#This Row],[Fecha]])&amp;" - " &amp;UPPER(TEXT(Table1[[#This Row],[Fecha]],"mm-mmm"))</f>
        <v>2025 - 06-JUN</v>
      </c>
      <c r="AH678" s="5">
        <v>0</v>
      </c>
    </row>
    <row r="679" spans="1:34" x14ac:dyDescent="0.25">
      <c r="A679" t="s">
        <v>322</v>
      </c>
      <c r="B679">
        <v>2025</v>
      </c>
      <c r="C679">
        <v>6</v>
      </c>
      <c r="D679" s="1">
        <v>45817</v>
      </c>
      <c r="E679" s="1">
        <v>45817</v>
      </c>
      <c r="F679" s="1">
        <v>45818</v>
      </c>
      <c r="G679" s="1">
        <v>45817</v>
      </c>
      <c r="H679" s="1">
        <v>45818</v>
      </c>
      <c r="I679">
        <v>2244</v>
      </c>
      <c r="J679" t="s">
        <v>41</v>
      </c>
      <c r="K679" t="s">
        <v>42</v>
      </c>
      <c r="L679">
        <v>961</v>
      </c>
      <c r="M679">
        <v>1059</v>
      </c>
      <c r="N679" t="s">
        <v>43</v>
      </c>
      <c r="O679">
        <v>1</v>
      </c>
      <c r="P679">
        <v>964</v>
      </c>
      <c r="Q679" t="b">
        <v>1</v>
      </c>
      <c r="R679" t="b">
        <v>0</v>
      </c>
      <c r="S679" t="b">
        <v>0</v>
      </c>
      <c r="T679">
        <v>1494</v>
      </c>
      <c r="U679">
        <v>0</v>
      </c>
      <c r="V679" t="s">
        <v>33</v>
      </c>
      <c r="W679" t="s">
        <v>33</v>
      </c>
      <c r="X679">
        <v>1100</v>
      </c>
      <c r="Y679">
        <v>8</v>
      </c>
      <c r="Z679" t="s">
        <v>74</v>
      </c>
      <c r="AA679">
        <v>8</v>
      </c>
      <c r="AB679" t="s">
        <v>121</v>
      </c>
      <c r="AC679" t="s">
        <v>56</v>
      </c>
      <c r="AD679" t="str">
        <f t="shared" si="10"/>
        <v>Escobedo → Cd Sahagún</v>
      </c>
      <c r="AE679" t="s">
        <v>1359</v>
      </c>
      <c r="AF679" s="4">
        <v>45809</v>
      </c>
      <c r="AG679" t="str">
        <f>YEAR(Table1[[#This Row],[Fecha]])&amp;" - " &amp;UPPER(TEXT(Table1[[#This Row],[Fecha]],"mm-mmm"))</f>
        <v>2025 - 06-JUN</v>
      </c>
      <c r="AH679" s="5">
        <v>0</v>
      </c>
    </row>
    <row r="680" spans="1:34" x14ac:dyDescent="0.25">
      <c r="A680" t="s">
        <v>780</v>
      </c>
      <c r="B680">
        <v>2025</v>
      </c>
      <c r="C680">
        <v>6</v>
      </c>
      <c r="D680" s="1">
        <v>45817</v>
      </c>
      <c r="E680" s="1">
        <v>45817</v>
      </c>
      <c r="F680" s="1">
        <v>45817</v>
      </c>
      <c r="G680" s="1">
        <v>45817</v>
      </c>
      <c r="H680" s="2">
        <v>45817.765408530089</v>
      </c>
      <c r="I680">
        <v>2039</v>
      </c>
      <c r="J680" t="s">
        <v>30</v>
      </c>
      <c r="K680" t="s">
        <v>31</v>
      </c>
      <c r="L680">
        <v>50</v>
      </c>
      <c r="M680">
        <v>50</v>
      </c>
      <c r="N680" t="s">
        <v>32</v>
      </c>
      <c r="O680">
        <v>1</v>
      </c>
      <c r="P680">
        <v>150</v>
      </c>
      <c r="Q680" t="b">
        <v>1</v>
      </c>
      <c r="R680" t="b">
        <v>0</v>
      </c>
      <c r="S680" t="b">
        <v>0</v>
      </c>
      <c r="T680">
        <v>231</v>
      </c>
      <c r="U680">
        <v>0</v>
      </c>
      <c r="V680" t="s">
        <v>33</v>
      </c>
      <c r="W680" t="s">
        <v>33</v>
      </c>
      <c r="X680">
        <v>50</v>
      </c>
      <c r="Y680">
        <v>359</v>
      </c>
      <c r="Z680" t="s">
        <v>34</v>
      </c>
      <c r="AA680">
        <v>359</v>
      </c>
      <c r="AB680" t="s">
        <v>121</v>
      </c>
      <c r="AC680" t="s">
        <v>121</v>
      </c>
      <c r="AD680" t="str">
        <f t="shared" si="10"/>
        <v>Escobedo → Escobedo</v>
      </c>
      <c r="AE680" t="s">
        <v>1357</v>
      </c>
      <c r="AF680" s="4">
        <v>45809</v>
      </c>
      <c r="AG680" t="str">
        <f>YEAR(Table1[[#This Row],[Fecha]])&amp;" - " &amp;UPPER(TEXT(Table1[[#This Row],[Fecha]],"mm-mmm"))</f>
        <v>2025 - 06-JUN</v>
      </c>
      <c r="AH680" s="5">
        <v>0</v>
      </c>
    </row>
    <row r="681" spans="1:34" x14ac:dyDescent="0.25">
      <c r="A681" t="s">
        <v>781</v>
      </c>
      <c r="B681">
        <v>2025</v>
      </c>
      <c r="C681">
        <v>6</v>
      </c>
      <c r="D681" s="1">
        <v>45817</v>
      </c>
      <c r="E681" s="1">
        <v>45817</v>
      </c>
      <c r="F681" s="1">
        <v>45817</v>
      </c>
      <c r="G681" s="1">
        <v>45817</v>
      </c>
      <c r="H681" s="2">
        <v>45817.765414502312</v>
      </c>
      <c r="I681">
        <v>2039</v>
      </c>
      <c r="J681" t="s">
        <v>30</v>
      </c>
      <c r="K681" t="s">
        <v>31</v>
      </c>
      <c r="L681">
        <v>50</v>
      </c>
      <c r="M681">
        <v>50</v>
      </c>
      <c r="N681" t="s">
        <v>32</v>
      </c>
      <c r="O681">
        <v>1</v>
      </c>
      <c r="P681">
        <v>150</v>
      </c>
      <c r="Q681" t="b">
        <v>1</v>
      </c>
      <c r="R681" t="b">
        <v>0</v>
      </c>
      <c r="S681" t="b">
        <v>0</v>
      </c>
      <c r="T681">
        <v>231</v>
      </c>
      <c r="U681">
        <v>0</v>
      </c>
      <c r="V681" t="s">
        <v>33</v>
      </c>
      <c r="W681" t="s">
        <v>33</v>
      </c>
      <c r="X681">
        <v>50</v>
      </c>
      <c r="Y681">
        <v>359</v>
      </c>
      <c r="Z681" t="s">
        <v>34</v>
      </c>
      <c r="AA681">
        <v>359</v>
      </c>
      <c r="AB681" t="s">
        <v>121</v>
      </c>
      <c r="AC681" t="s">
        <v>121</v>
      </c>
      <c r="AD681" t="str">
        <f t="shared" si="10"/>
        <v>Escobedo → Escobedo</v>
      </c>
      <c r="AE681" t="s">
        <v>1357</v>
      </c>
      <c r="AF681" s="4">
        <v>45809</v>
      </c>
      <c r="AG681" t="str">
        <f>YEAR(Table1[[#This Row],[Fecha]])&amp;" - " &amp;UPPER(TEXT(Table1[[#This Row],[Fecha]],"mm-mmm"))</f>
        <v>2025 - 06-JUN</v>
      </c>
      <c r="AH681" s="5">
        <v>0</v>
      </c>
    </row>
    <row r="682" spans="1:34" x14ac:dyDescent="0.25">
      <c r="A682" t="s">
        <v>782</v>
      </c>
      <c r="B682">
        <v>2025</v>
      </c>
      <c r="C682">
        <v>6</v>
      </c>
      <c r="D682" s="1">
        <v>45817</v>
      </c>
      <c r="E682" s="1">
        <v>45817</v>
      </c>
      <c r="F682" s="1">
        <v>45817</v>
      </c>
      <c r="G682" s="1">
        <v>45817</v>
      </c>
      <c r="H682" s="2">
        <v>45817.765390277775</v>
      </c>
      <c r="I682">
        <v>2039</v>
      </c>
      <c r="J682" t="s">
        <v>30</v>
      </c>
      <c r="K682" t="s">
        <v>31</v>
      </c>
      <c r="L682">
        <v>50</v>
      </c>
      <c r="M682">
        <v>50</v>
      </c>
      <c r="N682" t="s">
        <v>32</v>
      </c>
      <c r="O682">
        <v>1</v>
      </c>
      <c r="P682">
        <v>150</v>
      </c>
      <c r="Q682" t="b">
        <v>1</v>
      </c>
      <c r="R682" t="b">
        <v>0</v>
      </c>
      <c r="S682" t="b">
        <v>0</v>
      </c>
      <c r="T682">
        <v>231</v>
      </c>
      <c r="U682">
        <v>0</v>
      </c>
      <c r="V682" t="s">
        <v>33</v>
      </c>
      <c r="W682" t="s">
        <v>33</v>
      </c>
      <c r="X682">
        <v>50</v>
      </c>
      <c r="Y682">
        <v>359</v>
      </c>
      <c r="Z682" t="s">
        <v>34</v>
      </c>
      <c r="AA682">
        <v>359</v>
      </c>
      <c r="AB682" t="s">
        <v>121</v>
      </c>
      <c r="AC682" t="s">
        <v>121</v>
      </c>
      <c r="AD682" t="str">
        <f t="shared" si="10"/>
        <v>Escobedo → Escobedo</v>
      </c>
      <c r="AE682" t="s">
        <v>1357</v>
      </c>
      <c r="AF682" s="4">
        <v>45809</v>
      </c>
      <c r="AG682" t="str">
        <f>YEAR(Table1[[#This Row],[Fecha]])&amp;" - " &amp;UPPER(TEXT(Table1[[#This Row],[Fecha]],"mm-mmm"))</f>
        <v>2025 - 06-JUN</v>
      </c>
      <c r="AH682" s="5">
        <v>0</v>
      </c>
    </row>
    <row r="683" spans="1:34" x14ac:dyDescent="0.25">
      <c r="A683" t="s">
        <v>783</v>
      </c>
      <c r="B683">
        <v>2025</v>
      </c>
      <c r="C683">
        <v>6</v>
      </c>
      <c r="D683" s="1">
        <v>45817</v>
      </c>
      <c r="E683" s="1">
        <v>45817</v>
      </c>
      <c r="F683" s="1">
        <v>45817</v>
      </c>
      <c r="G683" s="1">
        <v>45817</v>
      </c>
      <c r="H683" s="2">
        <v>45817.765401307872</v>
      </c>
      <c r="I683">
        <v>2039</v>
      </c>
      <c r="J683" t="s">
        <v>30</v>
      </c>
      <c r="K683" t="s">
        <v>31</v>
      </c>
      <c r="L683">
        <v>50</v>
      </c>
      <c r="M683">
        <v>50</v>
      </c>
      <c r="N683" t="s">
        <v>32</v>
      </c>
      <c r="O683">
        <v>1</v>
      </c>
      <c r="P683">
        <v>150</v>
      </c>
      <c r="Q683" t="b">
        <v>1</v>
      </c>
      <c r="R683" t="b">
        <v>0</v>
      </c>
      <c r="S683" t="b">
        <v>0</v>
      </c>
      <c r="T683">
        <v>231</v>
      </c>
      <c r="U683">
        <v>0</v>
      </c>
      <c r="V683" t="s">
        <v>33</v>
      </c>
      <c r="W683" t="s">
        <v>33</v>
      </c>
      <c r="X683">
        <v>50</v>
      </c>
      <c r="Y683">
        <v>359</v>
      </c>
      <c r="Z683" t="s">
        <v>34</v>
      </c>
      <c r="AA683">
        <v>359</v>
      </c>
      <c r="AB683" t="s">
        <v>121</v>
      </c>
      <c r="AC683" t="s">
        <v>121</v>
      </c>
      <c r="AD683" t="str">
        <f t="shared" si="10"/>
        <v>Escobedo → Escobedo</v>
      </c>
      <c r="AE683" t="s">
        <v>1357</v>
      </c>
      <c r="AF683" s="4">
        <v>45809</v>
      </c>
      <c r="AG683" t="str">
        <f>YEAR(Table1[[#This Row],[Fecha]])&amp;" - " &amp;UPPER(TEXT(Table1[[#This Row],[Fecha]],"mm-mmm"))</f>
        <v>2025 - 06-JUN</v>
      </c>
      <c r="AH683" s="5">
        <v>0</v>
      </c>
    </row>
    <row r="684" spans="1:34" x14ac:dyDescent="0.25">
      <c r="A684" t="s">
        <v>784</v>
      </c>
      <c r="B684">
        <v>2025</v>
      </c>
      <c r="C684">
        <v>6</v>
      </c>
      <c r="D684" s="1">
        <v>45817</v>
      </c>
      <c r="E684" s="1">
        <v>45817</v>
      </c>
      <c r="F684" s="1">
        <v>45817</v>
      </c>
      <c r="G684" s="1">
        <v>45817</v>
      </c>
      <c r="H684" s="2">
        <v>45817.765426423612</v>
      </c>
      <c r="I684">
        <v>2039</v>
      </c>
      <c r="J684" t="s">
        <v>30</v>
      </c>
      <c r="K684" t="s">
        <v>31</v>
      </c>
      <c r="L684">
        <v>50</v>
      </c>
      <c r="M684">
        <v>50</v>
      </c>
      <c r="N684" t="s">
        <v>32</v>
      </c>
      <c r="O684">
        <v>1</v>
      </c>
      <c r="P684">
        <v>150</v>
      </c>
      <c r="Q684" t="b">
        <v>1</v>
      </c>
      <c r="R684" t="b">
        <v>0</v>
      </c>
      <c r="S684" t="b">
        <v>0</v>
      </c>
      <c r="T684">
        <v>231</v>
      </c>
      <c r="U684">
        <v>0</v>
      </c>
      <c r="V684" t="s">
        <v>33</v>
      </c>
      <c r="W684" t="s">
        <v>33</v>
      </c>
      <c r="X684">
        <v>50</v>
      </c>
      <c r="Y684">
        <v>359</v>
      </c>
      <c r="Z684" t="s">
        <v>34</v>
      </c>
      <c r="AA684">
        <v>359</v>
      </c>
      <c r="AB684" t="s">
        <v>121</v>
      </c>
      <c r="AC684" t="s">
        <v>121</v>
      </c>
      <c r="AD684" t="str">
        <f t="shared" si="10"/>
        <v>Escobedo → Escobedo</v>
      </c>
      <c r="AE684" t="s">
        <v>1357</v>
      </c>
      <c r="AF684" s="4">
        <v>45809</v>
      </c>
      <c r="AG684" t="str">
        <f>YEAR(Table1[[#This Row],[Fecha]])&amp;" - " &amp;UPPER(TEXT(Table1[[#This Row],[Fecha]],"mm-mmm"))</f>
        <v>2025 - 06-JUN</v>
      </c>
      <c r="AH684" s="5">
        <v>0</v>
      </c>
    </row>
    <row r="685" spans="1:34" x14ac:dyDescent="0.25">
      <c r="A685" t="s">
        <v>785</v>
      </c>
      <c r="B685">
        <v>2025</v>
      </c>
      <c r="C685">
        <v>6</v>
      </c>
      <c r="D685" s="1">
        <v>45817</v>
      </c>
      <c r="E685" s="1">
        <v>45817</v>
      </c>
      <c r="F685" s="1">
        <v>45817</v>
      </c>
      <c r="G685" s="1">
        <v>45817</v>
      </c>
      <c r="H685" s="2">
        <v>45817.765420636577</v>
      </c>
      <c r="I685">
        <v>2039</v>
      </c>
      <c r="J685" t="s">
        <v>30</v>
      </c>
      <c r="K685" t="s">
        <v>31</v>
      </c>
      <c r="L685">
        <v>50</v>
      </c>
      <c r="M685">
        <v>50</v>
      </c>
      <c r="N685" t="s">
        <v>32</v>
      </c>
      <c r="O685">
        <v>1</v>
      </c>
      <c r="P685">
        <v>150</v>
      </c>
      <c r="Q685" t="b">
        <v>1</v>
      </c>
      <c r="R685" t="b">
        <v>0</v>
      </c>
      <c r="S685" t="b">
        <v>0</v>
      </c>
      <c r="T685">
        <v>231</v>
      </c>
      <c r="U685">
        <v>0</v>
      </c>
      <c r="V685" t="s">
        <v>33</v>
      </c>
      <c r="W685" t="s">
        <v>33</v>
      </c>
      <c r="X685">
        <v>50</v>
      </c>
      <c r="Y685">
        <v>359</v>
      </c>
      <c r="Z685" t="s">
        <v>34</v>
      </c>
      <c r="AA685">
        <v>359</v>
      </c>
      <c r="AB685" t="s">
        <v>121</v>
      </c>
      <c r="AC685" t="s">
        <v>121</v>
      </c>
      <c r="AD685" t="str">
        <f t="shared" si="10"/>
        <v>Escobedo → Escobedo</v>
      </c>
      <c r="AE685" t="s">
        <v>1357</v>
      </c>
      <c r="AF685" s="4">
        <v>45809</v>
      </c>
      <c r="AG685" t="str">
        <f>YEAR(Table1[[#This Row],[Fecha]])&amp;" - " &amp;UPPER(TEXT(Table1[[#This Row],[Fecha]],"mm-mmm"))</f>
        <v>2025 - 06-JUN</v>
      </c>
      <c r="AH685" s="5">
        <v>0</v>
      </c>
    </row>
    <row r="686" spans="1:34" x14ac:dyDescent="0.25">
      <c r="A686" t="s">
        <v>155</v>
      </c>
      <c r="B686">
        <v>2025</v>
      </c>
      <c r="C686">
        <v>6</v>
      </c>
      <c r="D686" s="1">
        <v>45818</v>
      </c>
      <c r="E686" s="1">
        <v>45818</v>
      </c>
      <c r="F686" s="1">
        <v>45819</v>
      </c>
      <c r="G686" s="1">
        <v>45818</v>
      </c>
      <c r="H686" s="1">
        <v>45819</v>
      </c>
      <c r="I686">
        <v>2050</v>
      </c>
      <c r="J686" t="s">
        <v>54</v>
      </c>
      <c r="K686" t="s">
        <v>31</v>
      </c>
      <c r="L686">
        <v>0</v>
      </c>
      <c r="M686">
        <v>0</v>
      </c>
      <c r="N686" t="s">
        <v>55</v>
      </c>
      <c r="O686">
        <v>1</v>
      </c>
      <c r="P686">
        <v>0</v>
      </c>
      <c r="Q686" t="b">
        <v>1</v>
      </c>
      <c r="R686" t="b">
        <v>1</v>
      </c>
      <c r="S686" t="b">
        <v>0</v>
      </c>
      <c r="T686">
        <v>0</v>
      </c>
      <c r="U686">
        <v>0</v>
      </c>
      <c r="V686" t="s">
        <v>33</v>
      </c>
      <c r="W686" t="s">
        <v>33</v>
      </c>
      <c r="X686">
        <v>0</v>
      </c>
      <c r="Y686">
        <v>1472</v>
      </c>
      <c r="Z686" t="s">
        <v>156</v>
      </c>
      <c r="AA686">
        <v>1472</v>
      </c>
      <c r="AB686" t="s">
        <v>157</v>
      </c>
      <c r="AC686" t="s">
        <v>60</v>
      </c>
      <c r="AD686" t="str">
        <f t="shared" si="10"/>
        <v>Gomez Palacio → Culiacan</v>
      </c>
      <c r="AE686" t="s">
        <v>1358</v>
      </c>
      <c r="AF686" s="4">
        <v>45809</v>
      </c>
      <c r="AG686" t="str">
        <f>YEAR(Table1[[#This Row],[Fecha]])&amp;" - " &amp;UPPER(TEXT(Table1[[#This Row],[Fecha]],"mm-mmm"))</f>
        <v>2025 - 06-JUN</v>
      </c>
      <c r="AH686" s="5">
        <v>0</v>
      </c>
    </row>
    <row r="687" spans="1:34" x14ac:dyDescent="0.25">
      <c r="A687" t="s">
        <v>493</v>
      </c>
      <c r="B687">
        <v>2025</v>
      </c>
      <c r="C687">
        <v>6</v>
      </c>
      <c r="D687" s="1">
        <v>45818</v>
      </c>
      <c r="E687" s="1">
        <v>45818</v>
      </c>
      <c r="F687" s="1">
        <v>45818</v>
      </c>
      <c r="G687" s="1">
        <v>45818</v>
      </c>
      <c r="H687" s="2">
        <v>45818.921484953702</v>
      </c>
      <c r="I687">
        <v>2039</v>
      </c>
      <c r="J687" t="s">
        <v>30</v>
      </c>
      <c r="K687" t="s">
        <v>31</v>
      </c>
      <c r="L687">
        <v>50</v>
      </c>
      <c r="M687">
        <v>50</v>
      </c>
      <c r="N687" t="s">
        <v>32</v>
      </c>
      <c r="O687">
        <v>1</v>
      </c>
      <c r="P687">
        <v>150</v>
      </c>
      <c r="Q687" t="b">
        <v>1</v>
      </c>
      <c r="R687" t="b">
        <v>0</v>
      </c>
      <c r="S687" t="b">
        <v>0</v>
      </c>
      <c r="T687">
        <v>231</v>
      </c>
      <c r="U687">
        <v>0</v>
      </c>
      <c r="V687" t="s">
        <v>33</v>
      </c>
      <c r="W687" t="s">
        <v>33</v>
      </c>
      <c r="X687">
        <v>50</v>
      </c>
      <c r="Y687">
        <v>2936</v>
      </c>
      <c r="Z687" t="s">
        <v>34</v>
      </c>
      <c r="AA687">
        <v>2936</v>
      </c>
      <c r="AB687" t="s">
        <v>121</v>
      </c>
      <c r="AC687" t="s">
        <v>432</v>
      </c>
      <c r="AD687" t="str">
        <f t="shared" si="10"/>
        <v>Escobedo → Hidalgo</v>
      </c>
      <c r="AE687" t="s">
        <v>1357</v>
      </c>
      <c r="AF687" s="4">
        <v>45809</v>
      </c>
      <c r="AG687" t="str">
        <f>YEAR(Table1[[#This Row],[Fecha]])&amp;" - " &amp;UPPER(TEXT(Table1[[#This Row],[Fecha]],"mm-mmm"))</f>
        <v>2025 - 06-JUN</v>
      </c>
      <c r="AH687" s="5">
        <v>0</v>
      </c>
    </row>
    <row r="688" spans="1:34" x14ac:dyDescent="0.25">
      <c r="A688" t="s">
        <v>1318</v>
      </c>
      <c r="B688">
        <v>2025</v>
      </c>
      <c r="C688">
        <v>6</v>
      </c>
      <c r="D688" s="1">
        <v>45818</v>
      </c>
      <c r="E688" s="1">
        <v>45818</v>
      </c>
      <c r="F688" s="1">
        <v>45818</v>
      </c>
      <c r="G688" s="1">
        <v>45818</v>
      </c>
      <c r="H688" s="2">
        <v>45818.921849652776</v>
      </c>
      <c r="I688">
        <v>2039</v>
      </c>
      <c r="J688" t="s">
        <v>30</v>
      </c>
      <c r="K688" t="s">
        <v>31</v>
      </c>
      <c r="L688">
        <v>50</v>
      </c>
      <c r="M688">
        <v>50</v>
      </c>
      <c r="N688" t="s">
        <v>32</v>
      </c>
      <c r="O688">
        <v>1</v>
      </c>
      <c r="P688">
        <v>150</v>
      </c>
      <c r="Q688" t="b">
        <v>1</v>
      </c>
      <c r="R688" t="b">
        <v>0</v>
      </c>
      <c r="S688" t="b">
        <v>0</v>
      </c>
      <c r="T688">
        <v>231</v>
      </c>
      <c r="U688">
        <v>0</v>
      </c>
      <c r="V688" t="s">
        <v>33</v>
      </c>
      <c r="W688" t="s">
        <v>33</v>
      </c>
      <c r="X688">
        <v>50</v>
      </c>
      <c r="Y688">
        <v>359</v>
      </c>
      <c r="Z688" t="s">
        <v>34</v>
      </c>
      <c r="AA688">
        <v>359</v>
      </c>
      <c r="AB688" t="s">
        <v>121</v>
      </c>
      <c r="AC688" t="s">
        <v>121</v>
      </c>
      <c r="AD688" t="str">
        <f t="shared" si="10"/>
        <v>Escobedo → Escobedo</v>
      </c>
      <c r="AE688" t="s">
        <v>1357</v>
      </c>
      <c r="AF688" s="4">
        <v>45809</v>
      </c>
      <c r="AG688" t="str">
        <f>YEAR(Table1[[#This Row],[Fecha]])&amp;" - " &amp;UPPER(TEXT(Table1[[#This Row],[Fecha]],"mm-mmm"))</f>
        <v>2025 - 06-JUN</v>
      </c>
      <c r="AH688" s="5">
        <v>0</v>
      </c>
    </row>
    <row r="689" spans="1:34" x14ac:dyDescent="0.25">
      <c r="A689" t="s">
        <v>1319</v>
      </c>
      <c r="B689">
        <v>2025</v>
      </c>
      <c r="C689">
        <v>6</v>
      </c>
      <c r="D689" s="1">
        <v>45818</v>
      </c>
      <c r="E689" s="1">
        <v>45818</v>
      </c>
      <c r="F689" s="1">
        <v>45818</v>
      </c>
      <c r="G689" s="1">
        <v>45818</v>
      </c>
      <c r="H689" s="2">
        <v>45818.922217743057</v>
      </c>
      <c r="I689">
        <v>2039</v>
      </c>
      <c r="J689" t="s">
        <v>30</v>
      </c>
      <c r="K689" t="s">
        <v>31</v>
      </c>
      <c r="L689">
        <v>50</v>
      </c>
      <c r="M689">
        <v>50</v>
      </c>
      <c r="N689" t="s">
        <v>32</v>
      </c>
      <c r="O689">
        <v>1</v>
      </c>
      <c r="P689">
        <v>150</v>
      </c>
      <c r="Q689" t="b">
        <v>1</v>
      </c>
      <c r="R689" t="b">
        <v>0</v>
      </c>
      <c r="S689" t="b">
        <v>0</v>
      </c>
      <c r="T689">
        <v>231</v>
      </c>
      <c r="U689">
        <v>0</v>
      </c>
      <c r="V689" t="s">
        <v>33</v>
      </c>
      <c r="W689" t="s">
        <v>33</v>
      </c>
      <c r="X689">
        <v>50</v>
      </c>
      <c r="Y689">
        <v>359</v>
      </c>
      <c r="Z689" t="s">
        <v>34</v>
      </c>
      <c r="AA689">
        <v>359</v>
      </c>
      <c r="AB689" t="s">
        <v>121</v>
      </c>
      <c r="AC689" t="s">
        <v>121</v>
      </c>
      <c r="AD689" t="str">
        <f t="shared" si="10"/>
        <v>Escobedo → Escobedo</v>
      </c>
      <c r="AE689" t="s">
        <v>1357</v>
      </c>
      <c r="AF689" s="4">
        <v>45809</v>
      </c>
      <c r="AG689" t="str">
        <f>YEAR(Table1[[#This Row],[Fecha]])&amp;" - " &amp;UPPER(TEXT(Table1[[#This Row],[Fecha]],"mm-mmm"))</f>
        <v>2025 - 06-JUN</v>
      </c>
      <c r="AH689" s="5">
        <v>0</v>
      </c>
    </row>
    <row r="690" spans="1:34" x14ac:dyDescent="0.25">
      <c r="A690" t="s">
        <v>1320</v>
      </c>
      <c r="B690">
        <v>2025</v>
      </c>
      <c r="C690">
        <v>6</v>
      </c>
      <c r="D690" s="1">
        <v>45818</v>
      </c>
      <c r="E690" s="1">
        <v>45818</v>
      </c>
      <c r="F690" s="1">
        <v>45818</v>
      </c>
      <c r="G690" s="1">
        <v>45818</v>
      </c>
      <c r="H690" s="2">
        <v>45818.922924074075</v>
      </c>
      <c r="I690">
        <v>2039</v>
      </c>
      <c r="J690" t="s">
        <v>30</v>
      </c>
      <c r="K690" t="s">
        <v>31</v>
      </c>
      <c r="L690">
        <v>50</v>
      </c>
      <c r="M690">
        <v>50</v>
      </c>
      <c r="N690" t="s">
        <v>32</v>
      </c>
      <c r="O690">
        <v>1</v>
      </c>
      <c r="P690">
        <v>150</v>
      </c>
      <c r="Q690" t="b">
        <v>1</v>
      </c>
      <c r="R690" t="b">
        <v>0</v>
      </c>
      <c r="S690" t="b">
        <v>0</v>
      </c>
      <c r="T690">
        <v>231</v>
      </c>
      <c r="U690">
        <v>0</v>
      </c>
      <c r="V690" t="s">
        <v>33</v>
      </c>
      <c r="W690" t="s">
        <v>33</v>
      </c>
      <c r="X690">
        <v>50</v>
      </c>
      <c r="Y690">
        <v>359</v>
      </c>
      <c r="Z690" t="s">
        <v>34</v>
      </c>
      <c r="AA690">
        <v>359</v>
      </c>
      <c r="AB690" t="s">
        <v>121</v>
      </c>
      <c r="AC690" t="s">
        <v>121</v>
      </c>
      <c r="AD690" t="str">
        <f t="shared" si="10"/>
        <v>Escobedo → Escobedo</v>
      </c>
      <c r="AE690" t="s">
        <v>1357</v>
      </c>
      <c r="AF690" s="4">
        <v>45809</v>
      </c>
      <c r="AG690" t="str">
        <f>YEAR(Table1[[#This Row],[Fecha]])&amp;" - " &amp;UPPER(TEXT(Table1[[#This Row],[Fecha]],"mm-mmm"))</f>
        <v>2025 - 06-JUN</v>
      </c>
      <c r="AH690" s="5">
        <v>0</v>
      </c>
    </row>
    <row r="691" spans="1:34" x14ac:dyDescent="0.25">
      <c r="A691" t="s">
        <v>1321</v>
      </c>
      <c r="B691">
        <v>2025</v>
      </c>
      <c r="C691">
        <v>6</v>
      </c>
      <c r="D691" s="1">
        <v>45819</v>
      </c>
      <c r="E691" s="1">
        <v>45819</v>
      </c>
      <c r="F691" s="1">
        <v>45819</v>
      </c>
      <c r="G691" s="1">
        <v>45819</v>
      </c>
      <c r="H691" s="2">
        <v>45819.886811458331</v>
      </c>
      <c r="I691">
        <v>2039</v>
      </c>
      <c r="J691" t="s">
        <v>30</v>
      </c>
      <c r="K691" t="s">
        <v>31</v>
      </c>
      <c r="L691">
        <v>50</v>
      </c>
      <c r="M691">
        <v>50</v>
      </c>
      <c r="N691" t="s">
        <v>32</v>
      </c>
      <c r="O691">
        <v>1</v>
      </c>
      <c r="P691">
        <v>150</v>
      </c>
      <c r="Q691" t="b">
        <v>1</v>
      </c>
      <c r="R691" t="b">
        <v>0</v>
      </c>
      <c r="S691" t="b">
        <v>0</v>
      </c>
      <c r="T691">
        <v>231</v>
      </c>
      <c r="U691">
        <v>0</v>
      </c>
      <c r="V691" t="s">
        <v>33</v>
      </c>
      <c r="W691" t="s">
        <v>33</v>
      </c>
      <c r="X691">
        <v>50</v>
      </c>
      <c r="Y691">
        <v>359</v>
      </c>
      <c r="Z691" t="s">
        <v>34</v>
      </c>
      <c r="AA691">
        <v>359</v>
      </c>
      <c r="AB691" t="s">
        <v>121</v>
      </c>
      <c r="AC691" t="s">
        <v>121</v>
      </c>
      <c r="AD691" t="str">
        <f t="shared" si="10"/>
        <v>Escobedo → Escobedo</v>
      </c>
      <c r="AE691" t="s">
        <v>1357</v>
      </c>
      <c r="AF691" s="4">
        <v>45809</v>
      </c>
      <c r="AG691" t="str">
        <f>YEAR(Table1[[#This Row],[Fecha]])&amp;" - " &amp;UPPER(TEXT(Table1[[#This Row],[Fecha]],"mm-mmm"))</f>
        <v>2025 - 06-JUN</v>
      </c>
      <c r="AH691" s="5">
        <v>0</v>
      </c>
    </row>
    <row r="692" spans="1:34" x14ac:dyDescent="0.25">
      <c r="A692" t="s">
        <v>1322</v>
      </c>
      <c r="B692">
        <v>2025</v>
      </c>
      <c r="C692">
        <v>6</v>
      </c>
      <c r="D692" s="1">
        <v>45819</v>
      </c>
      <c r="E692" s="1">
        <v>45819</v>
      </c>
      <c r="F692" s="1">
        <v>45819</v>
      </c>
      <c r="G692" s="1">
        <v>45819</v>
      </c>
      <c r="H692" s="2">
        <v>45819.887149074071</v>
      </c>
      <c r="I692">
        <v>2039</v>
      </c>
      <c r="J692" t="s">
        <v>30</v>
      </c>
      <c r="K692" t="s">
        <v>31</v>
      </c>
      <c r="L692">
        <v>50</v>
      </c>
      <c r="M692">
        <v>50</v>
      </c>
      <c r="N692" t="s">
        <v>32</v>
      </c>
      <c r="O692">
        <v>1</v>
      </c>
      <c r="P692">
        <v>150</v>
      </c>
      <c r="Q692" t="b">
        <v>1</v>
      </c>
      <c r="R692" t="b">
        <v>0</v>
      </c>
      <c r="S692" t="b">
        <v>0</v>
      </c>
      <c r="T692">
        <v>231</v>
      </c>
      <c r="U692">
        <v>0</v>
      </c>
      <c r="V692" t="s">
        <v>33</v>
      </c>
      <c r="W692" t="s">
        <v>33</v>
      </c>
      <c r="X692">
        <v>50</v>
      </c>
      <c r="Y692">
        <v>359</v>
      </c>
      <c r="Z692" t="s">
        <v>34</v>
      </c>
      <c r="AA692">
        <v>359</v>
      </c>
      <c r="AB692" t="s">
        <v>121</v>
      </c>
      <c r="AC692" t="s">
        <v>121</v>
      </c>
      <c r="AD692" t="str">
        <f t="shared" si="10"/>
        <v>Escobedo → Escobedo</v>
      </c>
      <c r="AE692" t="s">
        <v>1357</v>
      </c>
      <c r="AF692" s="4">
        <v>45809</v>
      </c>
      <c r="AG692" t="str">
        <f>YEAR(Table1[[#This Row],[Fecha]])&amp;" - " &amp;UPPER(TEXT(Table1[[#This Row],[Fecha]],"mm-mmm"))</f>
        <v>2025 - 06-JUN</v>
      </c>
      <c r="AH692" s="5">
        <v>0</v>
      </c>
    </row>
    <row r="693" spans="1:34" x14ac:dyDescent="0.25">
      <c r="A693" t="s">
        <v>1323</v>
      </c>
      <c r="B693">
        <v>2025</v>
      </c>
      <c r="C693">
        <v>6</v>
      </c>
      <c r="D693" s="1">
        <v>45819</v>
      </c>
      <c r="E693" s="1">
        <v>45819</v>
      </c>
      <c r="F693" s="1">
        <v>45819</v>
      </c>
      <c r="G693" s="1">
        <v>45819</v>
      </c>
      <c r="H693" s="2">
        <v>45819.887610648148</v>
      </c>
      <c r="I693">
        <v>2039</v>
      </c>
      <c r="J693" t="s">
        <v>30</v>
      </c>
      <c r="K693" t="s">
        <v>31</v>
      </c>
      <c r="L693">
        <v>50</v>
      </c>
      <c r="M693">
        <v>50</v>
      </c>
      <c r="N693" t="s">
        <v>32</v>
      </c>
      <c r="O693">
        <v>1</v>
      </c>
      <c r="P693">
        <v>150</v>
      </c>
      <c r="Q693" t="b">
        <v>1</v>
      </c>
      <c r="R693" t="b">
        <v>0</v>
      </c>
      <c r="S693" t="b">
        <v>0</v>
      </c>
      <c r="T693">
        <v>231</v>
      </c>
      <c r="U693">
        <v>0</v>
      </c>
      <c r="V693" t="s">
        <v>33</v>
      </c>
      <c r="W693" t="s">
        <v>33</v>
      </c>
      <c r="X693">
        <v>50</v>
      </c>
      <c r="Y693">
        <v>359</v>
      </c>
      <c r="Z693" t="s">
        <v>34</v>
      </c>
      <c r="AA693">
        <v>359</v>
      </c>
      <c r="AB693" t="s">
        <v>121</v>
      </c>
      <c r="AC693" t="s">
        <v>121</v>
      </c>
      <c r="AD693" t="str">
        <f t="shared" si="10"/>
        <v>Escobedo → Escobedo</v>
      </c>
      <c r="AE693" t="s">
        <v>1357</v>
      </c>
      <c r="AF693" s="4">
        <v>45809</v>
      </c>
      <c r="AG693" t="str">
        <f>YEAR(Table1[[#This Row],[Fecha]])&amp;" - " &amp;UPPER(TEXT(Table1[[#This Row],[Fecha]],"mm-mmm"))</f>
        <v>2025 - 06-JUN</v>
      </c>
      <c r="AH693" s="5">
        <v>0</v>
      </c>
    </row>
    <row r="694" spans="1:34" x14ac:dyDescent="0.25">
      <c r="A694" t="s">
        <v>638</v>
      </c>
      <c r="B694">
        <v>2025</v>
      </c>
      <c r="C694">
        <v>6</v>
      </c>
      <c r="D694" s="1">
        <v>45819</v>
      </c>
      <c r="E694" s="1">
        <v>45819</v>
      </c>
      <c r="F694" s="1">
        <v>45819</v>
      </c>
      <c r="G694" s="1">
        <v>45819</v>
      </c>
      <c r="H694" s="2">
        <v>45819.887947997682</v>
      </c>
      <c r="I694">
        <v>2039</v>
      </c>
      <c r="J694" t="s">
        <v>30</v>
      </c>
      <c r="K694" t="s">
        <v>31</v>
      </c>
      <c r="L694">
        <v>50</v>
      </c>
      <c r="M694">
        <v>50</v>
      </c>
      <c r="N694" t="s">
        <v>32</v>
      </c>
      <c r="O694">
        <v>1</v>
      </c>
      <c r="P694">
        <v>150</v>
      </c>
      <c r="Q694" t="b">
        <v>1</v>
      </c>
      <c r="R694" t="b">
        <v>0</v>
      </c>
      <c r="S694" t="b">
        <v>0</v>
      </c>
      <c r="T694">
        <v>231</v>
      </c>
      <c r="U694">
        <v>0</v>
      </c>
      <c r="V694" t="s">
        <v>33</v>
      </c>
      <c r="W694" t="s">
        <v>33</v>
      </c>
      <c r="X694">
        <v>50</v>
      </c>
      <c r="Y694">
        <v>2936</v>
      </c>
      <c r="Z694" t="s">
        <v>34</v>
      </c>
      <c r="AA694">
        <v>2936</v>
      </c>
      <c r="AB694" t="s">
        <v>121</v>
      </c>
      <c r="AC694" t="s">
        <v>432</v>
      </c>
      <c r="AD694" t="str">
        <f t="shared" si="10"/>
        <v>Escobedo → Hidalgo</v>
      </c>
      <c r="AE694" t="s">
        <v>1357</v>
      </c>
      <c r="AF694" s="4">
        <v>45809</v>
      </c>
      <c r="AG694" t="str">
        <f>YEAR(Table1[[#This Row],[Fecha]])&amp;" - " &amp;UPPER(TEXT(Table1[[#This Row],[Fecha]],"mm-mmm"))</f>
        <v>2025 - 06-JUN</v>
      </c>
      <c r="AH694" s="5">
        <v>0</v>
      </c>
    </row>
    <row r="695" spans="1:34" x14ac:dyDescent="0.25">
      <c r="A695" t="s">
        <v>1324</v>
      </c>
      <c r="B695">
        <v>2025</v>
      </c>
      <c r="C695">
        <v>6</v>
      </c>
      <c r="D695" s="1">
        <v>45820</v>
      </c>
      <c r="E695" s="1">
        <v>45820</v>
      </c>
      <c r="F695" s="1">
        <v>45820</v>
      </c>
      <c r="G695" s="1">
        <v>45820</v>
      </c>
      <c r="H695" s="2">
        <v>45821.430506481483</v>
      </c>
      <c r="I695">
        <v>2039</v>
      </c>
      <c r="J695" t="s">
        <v>30</v>
      </c>
      <c r="K695" t="s">
        <v>31</v>
      </c>
      <c r="L695">
        <v>50</v>
      </c>
      <c r="M695">
        <v>50</v>
      </c>
      <c r="N695" t="s">
        <v>32</v>
      </c>
      <c r="O695">
        <v>1</v>
      </c>
      <c r="P695">
        <v>150</v>
      </c>
      <c r="Q695" t="b">
        <v>1</v>
      </c>
      <c r="R695" t="b">
        <v>0</v>
      </c>
      <c r="S695" t="b">
        <v>0</v>
      </c>
      <c r="T695">
        <v>231</v>
      </c>
      <c r="U695">
        <v>0</v>
      </c>
      <c r="V695" t="s">
        <v>33</v>
      </c>
      <c r="W695" t="s">
        <v>33</v>
      </c>
      <c r="X695">
        <v>50</v>
      </c>
      <c r="Y695">
        <v>359</v>
      </c>
      <c r="Z695" t="s">
        <v>34</v>
      </c>
      <c r="AA695">
        <v>359</v>
      </c>
      <c r="AB695" t="s">
        <v>121</v>
      </c>
      <c r="AC695" t="s">
        <v>121</v>
      </c>
      <c r="AD695" t="str">
        <f t="shared" si="10"/>
        <v>Escobedo → Escobedo</v>
      </c>
      <c r="AE695" t="s">
        <v>1357</v>
      </c>
      <c r="AF695" s="4">
        <v>45809</v>
      </c>
      <c r="AG695" t="str">
        <f>YEAR(Table1[[#This Row],[Fecha]])&amp;" - " &amp;UPPER(TEXT(Table1[[#This Row],[Fecha]],"mm-mmm"))</f>
        <v>2025 - 06-JUN</v>
      </c>
      <c r="AH695" s="5">
        <v>0</v>
      </c>
    </row>
    <row r="696" spans="1:34" x14ac:dyDescent="0.25">
      <c r="A696" t="s">
        <v>637</v>
      </c>
      <c r="B696">
        <v>2025</v>
      </c>
      <c r="C696">
        <v>6</v>
      </c>
      <c r="D696" s="1">
        <v>45820</v>
      </c>
      <c r="E696" s="1">
        <v>45820</v>
      </c>
      <c r="F696" s="1">
        <v>45820</v>
      </c>
      <c r="G696" s="1">
        <v>45820</v>
      </c>
      <c r="H696" s="2">
        <v>45821.431730520831</v>
      </c>
      <c r="I696">
        <v>2039</v>
      </c>
      <c r="J696" t="s">
        <v>30</v>
      </c>
      <c r="K696" t="s">
        <v>31</v>
      </c>
      <c r="L696">
        <v>50</v>
      </c>
      <c r="M696">
        <v>50</v>
      </c>
      <c r="N696" t="s">
        <v>32</v>
      </c>
      <c r="O696">
        <v>1</v>
      </c>
      <c r="P696">
        <v>150</v>
      </c>
      <c r="Q696" t="b">
        <v>1</v>
      </c>
      <c r="R696" t="b">
        <v>0</v>
      </c>
      <c r="S696" t="b">
        <v>0</v>
      </c>
      <c r="T696">
        <v>231</v>
      </c>
      <c r="U696">
        <v>0</v>
      </c>
      <c r="V696" t="s">
        <v>33</v>
      </c>
      <c r="W696" t="s">
        <v>33</v>
      </c>
      <c r="X696">
        <v>50</v>
      </c>
      <c r="Y696">
        <v>2936</v>
      </c>
      <c r="Z696" t="s">
        <v>34</v>
      </c>
      <c r="AA696">
        <v>2936</v>
      </c>
      <c r="AB696" t="s">
        <v>121</v>
      </c>
      <c r="AC696" t="s">
        <v>432</v>
      </c>
      <c r="AD696" t="str">
        <f t="shared" si="10"/>
        <v>Escobedo → Hidalgo</v>
      </c>
      <c r="AE696" t="s">
        <v>1357</v>
      </c>
      <c r="AF696" s="4">
        <v>45809</v>
      </c>
      <c r="AG696" t="str">
        <f>YEAR(Table1[[#This Row],[Fecha]])&amp;" - " &amp;UPPER(TEXT(Table1[[#This Row],[Fecha]],"mm-mmm"))</f>
        <v>2025 - 06-JUN</v>
      </c>
      <c r="AH696" s="5">
        <v>0</v>
      </c>
    </row>
    <row r="697" spans="1:34" x14ac:dyDescent="0.25">
      <c r="A697" t="s">
        <v>1325</v>
      </c>
      <c r="B697">
        <v>2025</v>
      </c>
      <c r="C697">
        <v>6</v>
      </c>
      <c r="D697" s="1">
        <v>45809</v>
      </c>
      <c r="E697" s="1">
        <v>45809</v>
      </c>
      <c r="F697" s="1">
        <v>45809</v>
      </c>
      <c r="G697" s="1">
        <v>45809</v>
      </c>
      <c r="H697" s="2">
        <v>45809.822696909723</v>
      </c>
      <c r="I697">
        <v>2050</v>
      </c>
      <c r="J697" t="s">
        <v>54</v>
      </c>
      <c r="K697" t="s">
        <v>31</v>
      </c>
      <c r="L697">
        <v>50</v>
      </c>
      <c r="M697">
        <v>50</v>
      </c>
      <c r="N697" t="s">
        <v>55</v>
      </c>
      <c r="O697">
        <v>1</v>
      </c>
      <c r="P697">
        <v>150</v>
      </c>
      <c r="Q697" t="b">
        <v>1</v>
      </c>
      <c r="R697" t="b">
        <v>0</v>
      </c>
      <c r="S697" t="b">
        <v>0</v>
      </c>
      <c r="T697">
        <v>231</v>
      </c>
      <c r="U697">
        <v>0</v>
      </c>
      <c r="V697" t="s">
        <v>33</v>
      </c>
      <c r="W697" t="s">
        <v>33</v>
      </c>
      <c r="X697">
        <v>50</v>
      </c>
      <c r="Y697">
        <v>359</v>
      </c>
      <c r="Z697" t="s">
        <v>34</v>
      </c>
      <c r="AA697">
        <v>359</v>
      </c>
      <c r="AB697" t="s">
        <v>121</v>
      </c>
      <c r="AC697" t="s">
        <v>121</v>
      </c>
      <c r="AD697" t="str">
        <f t="shared" si="10"/>
        <v>Escobedo → Escobedo</v>
      </c>
      <c r="AE697" t="s">
        <v>1358</v>
      </c>
      <c r="AF697" s="4">
        <v>45809</v>
      </c>
      <c r="AG697" t="str">
        <f>YEAR(Table1[[#This Row],[Fecha]])&amp;" - " &amp;UPPER(TEXT(Table1[[#This Row],[Fecha]],"mm-mmm"))</f>
        <v>2025 - 06-JUN</v>
      </c>
      <c r="AH697" s="5">
        <v>0</v>
      </c>
    </row>
    <row r="698" spans="1:34" x14ac:dyDescent="0.25">
      <c r="A698" t="s">
        <v>1326</v>
      </c>
      <c r="B698">
        <v>2025</v>
      </c>
      <c r="C698">
        <v>6</v>
      </c>
      <c r="D698" s="1">
        <v>45822</v>
      </c>
      <c r="E698" s="1">
        <v>45822</v>
      </c>
      <c r="F698" s="1">
        <v>45822</v>
      </c>
      <c r="G698" s="1">
        <v>45822</v>
      </c>
      <c r="H698" s="2">
        <v>45822.568571180556</v>
      </c>
      <c r="I698">
        <v>2039</v>
      </c>
      <c r="J698" t="s">
        <v>30</v>
      </c>
      <c r="K698" t="s">
        <v>31</v>
      </c>
      <c r="L698">
        <v>50</v>
      </c>
      <c r="M698">
        <v>50</v>
      </c>
      <c r="N698" t="s">
        <v>32</v>
      </c>
      <c r="O698">
        <v>1</v>
      </c>
      <c r="P698">
        <v>150</v>
      </c>
      <c r="Q698" t="b">
        <v>1</v>
      </c>
      <c r="R698" t="b">
        <v>0</v>
      </c>
      <c r="S698" t="b">
        <v>0</v>
      </c>
      <c r="T698">
        <v>231</v>
      </c>
      <c r="U698">
        <v>0</v>
      </c>
      <c r="V698" t="s">
        <v>33</v>
      </c>
      <c r="W698" t="s">
        <v>33</v>
      </c>
      <c r="X698">
        <v>50</v>
      </c>
      <c r="Y698">
        <v>359</v>
      </c>
      <c r="Z698" t="s">
        <v>34</v>
      </c>
      <c r="AA698">
        <v>359</v>
      </c>
      <c r="AB698" t="s">
        <v>121</v>
      </c>
      <c r="AC698" t="s">
        <v>121</v>
      </c>
      <c r="AD698" t="str">
        <f t="shared" si="10"/>
        <v>Escobedo → Escobedo</v>
      </c>
      <c r="AE698" t="s">
        <v>1357</v>
      </c>
      <c r="AF698" s="4">
        <v>45809</v>
      </c>
      <c r="AG698" t="str">
        <f>YEAR(Table1[[#This Row],[Fecha]])&amp;" - " &amp;UPPER(TEXT(Table1[[#This Row],[Fecha]],"mm-mmm"))</f>
        <v>2025 - 06-JUN</v>
      </c>
      <c r="AH698" s="5">
        <v>0</v>
      </c>
    </row>
    <row r="699" spans="1:34" x14ac:dyDescent="0.25">
      <c r="A699" t="s">
        <v>636</v>
      </c>
      <c r="B699">
        <v>2025</v>
      </c>
      <c r="C699">
        <v>6</v>
      </c>
      <c r="D699" s="1">
        <v>45822</v>
      </c>
      <c r="E699" s="1">
        <v>45822</v>
      </c>
      <c r="F699" s="1">
        <v>45822</v>
      </c>
      <c r="G699" s="1">
        <v>45822</v>
      </c>
      <c r="H699" s="2">
        <v>45822.650634687503</v>
      </c>
      <c r="I699">
        <v>2039</v>
      </c>
      <c r="J699" t="s">
        <v>30</v>
      </c>
      <c r="K699" t="s">
        <v>31</v>
      </c>
      <c r="L699">
        <v>50</v>
      </c>
      <c r="M699">
        <v>50</v>
      </c>
      <c r="N699" t="s">
        <v>32</v>
      </c>
      <c r="O699">
        <v>1</v>
      </c>
      <c r="P699">
        <v>150</v>
      </c>
      <c r="Q699" t="b">
        <v>1</v>
      </c>
      <c r="R699" t="b">
        <v>0</v>
      </c>
      <c r="S699" t="b">
        <v>0</v>
      </c>
      <c r="T699">
        <v>231</v>
      </c>
      <c r="U699">
        <v>0</v>
      </c>
      <c r="V699" t="s">
        <v>33</v>
      </c>
      <c r="W699" t="s">
        <v>33</v>
      </c>
      <c r="X699">
        <v>50</v>
      </c>
      <c r="Y699">
        <v>2936</v>
      </c>
      <c r="Z699" t="s">
        <v>34</v>
      </c>
      <c r="AA699">
        <v>2936</v>
      </c>
      <c r="AB699" t="s">
        <v>121</v>
      </c>
      <c r="AC699" t="s">
        <v>432</v>
      </c>
      <c r="AD699" t="str">
        <f t="shared" si="10"/>
        <v>Escobedo → Hidalgo</v>
      </c>
      <c r="AE699" t="s">
        <v>1357</v>
      </c>
      <c r="AF699" s="4">
        <v>45809</v>
      </c>
      <c r="AG699" t="str">
        <f>YEAR(Table1[[#This Row],[Fecha]])&amp;" - " &amp;UPPER(TEXT(Table1[[#This Row],[Fecha]],"mm-mmm"))</f>
        <v>2025 - 06-JUN</v>
      </c>
      <c r="AH699" s="5">
        <v>0</v>
      </c>
    </row>
    <row r="700" spans="1:34" x14ac:dyDescent="0.25">
      <c r="A700" t="s">
        <v>1305</v>
      </c>
      <c r="B700">
        <v>2025</v>
      </c>
      <c r="C700">
        <v>6</v>
      </c>
      <c r="D700" s="1">
        <v>45825</v>
      </c>
      <c r="E700" s="1">
        <v>45825</v>
      </c>
      <c r="F700" s="1">
        <v>45825</v>
      </c>
      <c r="G700" s="1">
        <v>45825</v>
      </c>
      <c r="H700" s="2">
        <v>45825.58934366898</v>
      </c>
      <c r="I700">
        <v>2039</v>
      </c>
      <c r="J700" t="s">
        <v>30</v>
      </c>
      <c r="K700" t="s">
        <v>31</v>
      </c>
      <c r="L700">
        <v>50</v>
      </c>
      <c r="M700">
        <v>50</v>
      </c>
      <c r="N700" t="s">
        <v>32</v>
      </c>
      <c r="O700">
        <v>1</v>
      </c>
      <c r="P700">
        <v>150</v>
      </c>
      <c r="Q700" t="b">
        <v>1</v>
      </c>
      <c r="R700" t="b">
        <v>0</v>
      </c>
      <c r="S700" t="b">
        <v>0</v>
      </c>
      <c r="T700">
        <v>231</v>
      </c>
      <c r="U700">
        <v>0</v>
      </c>
      <c r="V700" t="s">
        <v>33</v>
      </c>
      <c r="W700" t="s">
        <v>33</v>
      </c>
      <c r="X700">
        <v>50</v>
      </c>
      <c r="Y700">
        <v>359</v>
      </c>
      <c r="Z700" t="s">
        <v>34</v>
      </c>
      <c r="AA700">
        <v>359</v>
      </c>
      <c r="AB700" t="s">
        <v>121</v>
      </c>
      <c r="AC700" t="s">
        <v>121</v>
      </c>
      <c r="AD700" t="str">
        <f t="shared" si="10"/>
        <v>Escobedo → Escobedo</v>
      </c>
      <c r="AE700" t="s">
        <v>1357</v>
      </c>
      <c r="AF700" s="4">
        <v>45809</v>
      </c>
      <c r="AG700" t="str">
        <f>YEAR(Table1[[#This Row],[Fecha]])&amp;" - " &amp;UPPER(TEXT(Table1[[#This Row],[Fecha]],"mm-mmm"))</f>
        <v>2025 - 06-JUN</v>
      </c>
      <c r="AH700" s="5">
        <v>0</v>
      </c>
    </row>
    <row r="701" spans="1:34" x14ac:dyDescent="0.25">
      <c r="A701" t="s">
        <v>641</v>
      </c>
      <c r="B701">
        <v>2025</v>
      </c>
      <c r="C701">
        <v>6</v>
      </c>
      <c r="D701" s="1">
        <v>45825</v>
      </c>
      <c r="E701" s="1">
        <v>45825</v>
      </c>
      <c r="F701" s="1">
        <v>45825</v>
      </c>
      <c r="G701" s="1">
        <v>45825</v>
      </c>
      <c r="H701" s="2">
        <v>45825.589737303242</v>
      </c>
      <c r="I701">
        <v>2039</v>
      </c>
      <c r="J701" t="s">
        <v>30</v>
      </c>
      <c r="K701" t="s">
        <v>31</v>
      </c>
      <c r="L701">
        <v>50</v>
      </c>
      <c r="M701">
        <v>50</v>
      </c>
      <c r="N701" t="s">
        <v>32</v>
      </c>
      <c r="O701">
        <v>1</v>
      </c>
      <c r="P701">
        <v>150</v>
      </c>
      <c r="Q701" t="b">
        <v>1</v>
      </c>
      <c r="R701" t="b">
        <v>0</v>
      </c>
      <c r="S701" t="b">
        <v>0</v>
      </c>
      <c r="T701">
        <v>231</v>
      </c>
      <c r="U701">
        <v>0</v>
      </c>
      <c r="V701" t="s">
        <v>33</v>
      </c>
      <c r="W701" t="s">
        <v>33</v>
      </c>
      <c r="X701">
        <v>50</v>
      </c>
      <c r="Y701">
        <v>2936</v>
      </c>
      <c r="Z701" t="s">
        <v>34</v>
      </c>
      <c r="AA701">
        <v>2936</v>
      </c>
      <c r="AB701" t="s">
        <v>121</v>
      </c>
      <c r="AC701" t="s">
        <v>432</v>
      </c>
      <c r="AD701" t="str">
        <f t="shared" si="10"/>
        <v>Escobedo → Hidalgo</v>
      </c>
      <c r="AE701" t="s">
        <v>1357</v>
      </c>
      <c r="AF701" s="4">
        <v>45809</v>
      </c>
      <c r="AG701" t="str">
        <f>YEAR(Table1[[#This Row],[Fecha]])&amp;" - " &amp;UPPER(TEXT(Table1[[#This Row],[Fecha]],"mm-mmm"))</f>
        <v>2025 - 06-JUN</v>
      </c>
      <c r="AH701" s="5">
        <v>0</v>
      </c>
    </row>
    <row r="702" spans="1:34" x14ac:dyDescent="0.25">
      <c r="A702" t="s">
        <v>1327</v>
      </c>
      <c r="B702">
        <v>2025</v>
      </c>
      <c r="C702">
        <v>6</v>
      </c>
      <c r="D702" s="1">
        <v>45825</v>
      </c>
      <c r="E702" s="1">
        <v>45825</v>
      </c>
      <c r="F702" s="1">
        <v>45825</v>
      </c>
      <c r="G702" s="1">
        <v>45825</v>
      </c>
      <c r="H702" s="2">
        <v>45825.891149965275</v>
      </c>
      <c r="I702">
        <v>2039</v>
      </c>
      <c r="J702" t="s">
        <v>30</v>
      </c>
      <c r="K702" t="s">
        <v>31</v>
      </c>
      <c r="L702">
        <v>50</v>
      </c>
      <c r="M702">
        <v>50</v>
      </c>
      <c r="N702" t="s">
        <v>32</v>
      </c>
      <c r="O702">
        <v>1</v>
      </c>
      <c r="P702">
        <v>150</v>
      </c>
      <c r="Q702" t="b">
        <v>1</v>
      </c>
      <c r="R702" t="b">
        <v>0</v>
      </c>
      <c r="S702" t="b">
        <v>0</v>
      </c>
      <c r="T702">
        <v>231</v>
      </c>
      <c r="U702">
        <v>0</v>
      </c>
      <c r="V702" t="s">
        <v>33</v>
      </c>
      <c r="W702" t="s">
        <v>33</v>
      </c>
      <c r="X702">
        <v>50</v>
      </c>
      <c r="Y702">
        <v>359</v>
      </c>
      <c r="Z702" t="s">
        <v>34</v>
      </c>
      <c r="AA702">
        <v>359</v>
      </c>
      <c r="AB702" t="s">
        <v>121</v>
      </c>
      <c r="AC702" t="s">
        <v>121</v>
      </c>
      <c r="AD702" t="str">
        <f t="shared" si="10"/>
        <v>Escobedo → Escobedo</v>
      </c>
      <c r="AE702" t="s">
        <v>1357</v>
      </c>
      <c r="AF702" s="4">
        <v>45809</v>
      </c>
      <c r="AG702" t="str">
        <f>YEAR(Table1[[#This Row],[Fecha]])&amp;" - " &amp;UPPER(TEXT(Table1[[#This Row],[Fecha]],"mm-mmm"))</f>
        <v>2025 - 06-JUN</v>
      </c>
      <c r="AH702" s="5">
        <v>0</v>
      </c>
    </row>
    <row r="703" spans="1:34" x14ac:dyDescent="0.25">
      <c r="A703" t="s">
        <v>1328</v>
      </c>
      <c r="B703">
        <v>2025</v>
      </c>
      <c r="C703">
        <v>6</v>
      </c>
      <c r="D703" s="1">
        <v>45826</v>
      </c>
      <c r="E703" s="1">
        <v>45826</v>
      </c>
      <c r="F703" s="1">
        <v>45826</v>
      </c>
      <c r="G703" s="1">
        <v>45826</v>
      </c>
      <c r="H703" s="2">
        <v>45826.67220385417</v>
      </c>
      <c r="I703">
        <v>2039</v>
      </c>
      <c r="J703" t="s">
        <v>30</v>
      </c>
      <c r="K703" t="s">
        <v>31</v>
      </c>
      <c r="L703">
        <v>50</v>
      </c>
      <c r="M703">
        <v>50</v>
      </c>
      <c r="N703" t="s">
        <v>32</v>
      </c>
      <c r="O703">
        <v>1</v>
      </c>
      <c r="P703">
        <v>150</v>
      </c>
      <c r="Q703" t="b">
        <v>1</v>
      </c>
      <c r="R703" t="b">
        <v>0</v>
      </c>
      <c r="S703" t="b">
        <v>0</v>
      </c>
      <c r="T703">
        <v>231</v>
      </c>
      <c r="U703">
        <v>0</v>
      </c>
      <c r="V703" t="s">
        <v>33</v>
      </c>
      <c r="W703" t="s">
        <v>33</v>
      </c>
      <c r="X703">
        <v>50</v>
      </c>
      <c r="Y703">
        <v>359</v>
      </c>
      <c r="Z703" t="s">
        <v>34</v>
      </c>
      <c r="AA703">
        <v>359</v>
      </c>
      <c r="AB703" t="s">
        <v>121</v>
      </c>
      <c r="AC703" t="s">
        <v>121</v>
      </c>
      <c r="AD703" t="str">
        <f t="shared" si="10"/>
        <v>Escobedo → Escobedo</v>
      </c>
      <c r="AE703" t="s">
        <v>1357</v>
      </c>
      <c r="AF703" s="4">
        <v>45809</v>
      </c>
      <c r="AG703" t="str">
        <f>YEAR(Table1[[#This Row],[Fecha]])&amp;" - " &amp;UPPER(TEXT(Table1[[#This Row],[Fecha]],"mm-mmm"))</f>
        <v>2025 - 06-JUN</v>
      </c>
      <c r="AH703" s="5">
        <v>0</v>
      </c>
    </row>
    <row r="704" spans="1:34" x14ac:dyDescent="0.25">
      <c r="A704" t="s">
        <v>1329</v>
      </c>
      <c r="B704">
        <v>2025</v>
      </c>
      <c r="C704">
        <v>6</v>
      </c>
      <c r="D704" s="1">
        <v>45826</v>
      </c>
      <c r="E704" s="1">
        <v>45826</v>
      </c>
      <c r="F704" s="1">
        <v>45826</v>
      </c>
      <c r="G704" s="1">
        <v>45826</v>
      </c>
      <c r="H704" s="1">
        <v>45826</v>
      </c>
      <c r="I704">
        <v>2039</v>
      </c>
      <c r="J704" t="s">
        <v>30</v>
      </c>
      <c r="K704" t="s">
        <v>31</v>
      </c>
      <c r="L704">
        <v>50</v>
      </c>
      <c r="M704">
        <v>50</v>
      </c>
      <c r="N704" t="s">
        <v>32</v>
      </c>
      <c r="O704">
        <v>1</v>
      </c>
      <c r="P704">
        <v>150</v>
      </c>
      <c r="Q704" t="b">
        <v>1</v>
      </c>
      <c r="R704" t="b">
        <v>0</v>
      </c>
      <c r="S704" t="b">
        <v>0</v>
      </c>
      <c r="T704">
        <v>231</v>
      </c>
      <c r="U704">
        <v>0</v>
      </c>
      <c r="V704" t="s">
        <v>33</v>
      </c>
      <c r="W704" t="s">
        <v>33</v>
      </c>
      <c r="X704">
        <v>50</v>
      </c>
      <c r="Y704">
        <v>359</v>
      </c>
      <c r="Z704" t="s">
        <v>74</v>
      </c>
      <c r="AA704">
        <v>359</v>
      </c>
      <c r="AB704" t="s">
        <v>121</v>
      </c>
      <c r="AC704" t="s">
        <v>121</v>
      </c>
      <c r="AD704" t="str">
        <f t="shared" si="10"/>
        <v>Escobedo → Escobedo</v>
      </c>
      <c r="AE704" t="s">
        <v>1357</v>
      </c>
      <c r="AF704" s="4">
        <v>45809</v>
      </c>
      <c r="AG704" t="str">
        <f>YEAR(Table1[[#This Row],[Fecha]])&amp;" - " &amp;UPPER(TEXT(Table1[[#This Row],[Fecha]],"mm-mmm"))</f>
        <v>2025 - 06-JUN</v>
      </c>
      <c r="AH704" s="5">
        <v>0</v>
      </c>
    </row>
    <row r="705" spans="1:34" x14ac:dyDescent="0.25">
      <c r="A705" t="s">
        <v>1330</v>
      </c>
      <c r="B705">
        <v>2025</v>
      </c>
      <c r="C705">
        <v>6</v>
      </c>
      <c r="D705" s="1">
        <v>45828</v>
      </c>
      <c r="E705" s="1">
        <v>45828</v>
      </c>
      <c r="F705" s="1">
        <v>45828</v>
      </c>
      <c r="G705" s="1">
        <v>45828</v>
      </c>
      <c r="H705" s="1">
        <v>45828</v>
      </c>
      <c r="I705">
        <v>2050</v>
      </c>
      <c r="J705" t="s">
        <v>54</v>
      </c>
      <c r="K705" t="s">
        <v>31</v>
      </c>
      <c r="L705">
        <v>50</v>
      </c>
      <c r="M705">
        <v>50</v>
      </c>
      <c r="N705" t="s">
        <v>55</v>
      </c>
      <c r="O705">
        <v>1</v>
      </c>
      <c r="P705">
        <v>150</v>
      </c>
      <c r="Q705" t="b">
        <v>1</v>
      </c>
      <c r="R705" t="b">
        <v>0</v>
      </c>
      <c r="S705" t="b">
        <v>0</v>
      </c>
      <c r="T705">
        <v>231</v>
      </c>
      <c r="U705">
        <v>0</v>
      </c>
      <c r="V705" t="s">
        <v>33</v>
      </c>
      <c r="W705" t="s">
        <v>33</v>
      </c>
      <c r="X705">
        <v>50</v>
      </c>
      <c r="Y705">
        <v>359</v>
      </c>
      <c r="Z705" t="s">
        <v>34</v>
      </c>
      <c r="AA705">
        <v>359</v>
      </c>
      <c r="AB705" t="s">
        <v>121</v>
      </c>
      <c r="AC705" t="s">
        <v>121</v>
      </c>
      <c r="AD705" t="str">
        <f t="shared" si="10"/>
        <v>Escobedo → Escobedo</v>
      </c>
      <c r="AE705" t="s">
        <v>1358</v>
      </c>
      <c r="AF705" s="4">
        <v>45809</v>
      </c>
      <c r="AG705" t="str">
        <f>YEAR(Table1[[#This Row],[Fecha]])&amp;" - " &amp;UPPER(TEXT(Table1[[#This Row],[Fecha]],"mm-mmm"))</f>
        <v>2025 - 06-JUN</v>
      </c>
      <c r="AH705" s="5">
        <v>0</v>
      </c>
    </row>
    <row r="706" spans="1:34" x14ac:dyDescent="0.25">
      <c r="A706" t="s">
        <v>1331</v>
      </c>
      <c r="B706">
        <v>2025</v>
      </c>
      <c r="C706">
        <v>6</v>
      </c>
      <c r="D706" s="1">
        <v>45828</v>
      </c>
      <c r="E706" s="1">
        <v>45828</v>
      </c>
      <c r="F706" s="1">
        <v>45828</v>
      </c>
      <c r="G706" s="1">
        <v>45828</v>
      </c>
      <c r="H706" s="1">
        <v>45828</v>
      </c>
      <c r="I706">
        <v>2050</v>
      </c>
      <c r="J706" t="s">
        <v>54</v>
      </c>
      <c r="K706" t="s">
        <v>31</v>
      </c>
      <c r="L706">
        <v>50</v>
      </c>
      <c r="M706">
        <v>50</v>
      </c>
      <c r="N706" t="s">
        <v>55</v>
      </c>
      <c r="O706">
        <v>1</v>
      </c>
      <c r="P706">
        <v>150</v>
      </c>
      <c r="Q706" t="b">
        <v>1</v>
      </c>
      <c r="R706" t="b">
        <v>0</v>
      </c>
      <c r="S706" t="b">
        <v>0</v>
      </c>
      <c r="T706">
        <v>231</v>
      </c>
      <c r="U706">
        <v>0</v>
      </c>
      <c r="V706" t="s">
        <v>33</v>
      </c>
      <c r="W706" t="s">
        <v>33</v>
      </c>
      <c r="X706">
        <v>50</v>
      </c>
      <c r="Y706">
        <v>359</v>
      </c>
      <c r="Z706" t="s">
        <v>34</v>
      </c>
      <c r="AA706">
        <v>359</v>
      </c>
      <c r="AB706" t="s">
        <v>121</v>
      </c>
      <c r="AC706" t="s">
        <v>121</v>
      </c>
      <c r="AD706" t="str">
        <f t="shared" ref="AD706:AD769" si="11">+AB706&amp;" → "&amp;AC706</f>
        <v>Escobedo → Escobedo</v>
      </c>
      <c r="AE706" t="s">
        <v>1358</v>
      </c>
      <c r="AF706" s="4">
        <v>45809</v>
      </c>
      <c r="AG706" t="str">
        <f>YEAR(Table1[[#This Row],[Fecha]])&amp;" - " &amp;UPPER(TEXT(Table1[[#This Row],[Fecha]],"mm-mmm"))</f>
        <v>2025 - 06-JUN</v>
      </c>
      <c r="AH706" s="5">
        <v>0</v>
      </c>
    </row>
    <row r="707" spans="1:34" x14ac:dyDescent="0.25">
      <c r="A707" t="s">
        <v>1332</v>
      </c>
      <c r="B707">
        <v>2025</v>
      </c>
      <c r="C707">
        <v>6</v>
      </c>
      <c r="D707" s="1">
        <v>45828</v>
      </c>
      <c r="E707" s="1">
        <v>45828</v>
      </c>
      <c r="F707" s="1">
        <v>45828</v>
      </c>
      <c r="G707" s="1">
        <v>45828</v>
      </c>
      <c r="H707" s="1">
        <v>45829</v>
      </c>
      <c r="I707">
        <v>2050</v>
      </c>
      <c r="J707" t="s">
        <v>54</v>
      </c>
      <c r="K707" t="s">
        <v>31</v>
      </c>
      <c r="L707">
        <v>50</v>
      </c>
      <c r="M707">
        <v>50</v>
      </c>
      <c r="N707" t="s">
        <v>55</v>
      </c>
      <c r="O707">
        <v>1</v>
      </c>
      <c r="P707">
        <v>150</v>
      </c>
      <c r="Q707" t="b">
        <v>1</v>
      </c>
      <c r="R707" t="b">
        <v>0</v>
      </c>
      <c r="S707" t="b">
        <v>0</v>
      </c>
      <c r="T707">
        <v>231</v>
      </c>
      <c r="U707">
        <v>0</v>
      </c>
      <c r="V707" t="s">
        <v>33</v>
      </c>
      <c r="W707" t="s">
        <v>33</v>
      </c>
      <c r="X707">
        <v>50</v>
      </c>
      <c r="Y707">
        <v>359</v>
      </c>
      <c r="Z707" t="s">
        <v>34</v>
      </c>
      <c r="AA707">
        <v>359</v>
      </c>
      <c r="AB707" t="s">
        <v>121</v>
      </c>
      <c r="AC707" t="s">
        <v>121</v>
      </c>
      <c r="AD707" t="str">
        <f t="shared" si="11"/>
        <v>Escobedo → Escobedo</v>
      </c>
      <c r="AE707" t="s">
        <v>1358</v>
      </c>
      <c r="AF707" s="4">
        <v>45809</v>
      </c>
      <c r="AG707" t="str">
        <f>YEAR(Table1[[#This Row],[Fecha]])&amp;" - " &amp;UPPER(TEXT(Table1[[#This Row],[Fecha]],"mm-mmm"))</f>
        <v>2025 - 06-JUN</v>
      </c>
      <c r="AH707" s="5">
        <v>0</v>
      </c>
    </row>
    <row r="708" spans="1:34" x14ac:dyDescent="0.25">
      <c r="A708" t="s">
        <v>1306</v>
      </c>
      <c r="B708">
        <v>2025</v>
      </c>
      <c r="C708">
        <v>6</v>
      </c>
      <c r="D708" s="1">
        <v>45829</v>
      </c>
      <c r="E708" s="1">
        <v>45829</v>
      </c>
      <c r="F708" s="1">
        <v>45829</v>
      </c>
      <c r="G708" s="1">
        <v>45829</v>
      </c>
      <c r="H708" s="1">
        <v>45829</v>
      </c>
      <c r="I708">
        <v>2050</v>
      </c>
      <c r="J708" t="s">
        <v>54</v>
      </c>
      <c r="K708" t="s">
        <v>31</v>
      </c>
      <c r="L708">
        <v>50</v>
      </c>
      <c r="M708">
        <v>50</v>
      </c>
      <c r="N708" t="s">
        <v>55</v>
      </c>
      <c r="O708">
        <v>1</v>
      </c>
      <c r="P708">
        <v>150</v>
      </c>
      <c r="Q708" t="b">
        <v>1</v>
      </c>
      <c r="R708" t="b">
        <v>0</v>
      </c>
      <c r="S708" t="b">
        <v>0</v>
      </c>
      <c r="T708">
        <v>231</v>
      </c>
      <c r="U708">
        <v>0</v>
      </c>
      <c r="V708" t="s">
        <v>33</v>
      </c>
      <c r="W708" t="s">
        <v>33</v>
      </c>
      <c r="X708">
        <v>50</v>
      </c>
      <c r="Y708">
        <v>359</v>
      </c>
      <c r="Z708" t="s">
        <v>34</v>
      </c>
      <c r="AA708">
        <v>359</v>
      </c>
      <c r="AB708" t="s">
        <v>121</v>
      </c>
      <c r="AC708" t="s">
        <v>121</v>
      </c>
      <c r="AD708" t="str">
        <f t="shared" si="11"/>
        <v>Escobedo → Escobedo</v>
      </c>
      <c r="AE708" t="s">
        <v>1358</v>
      </c>
      <c r="AF708" s="4">
        <v>45809</v>
      </c>
      <c r="AG708" t="str">
        <f>YEAR(Table1[[#This Row],[Fecha]])&amp;" - " &amp;UPPER(TEXT(Table1[[#This Row],[Fecha]],"mm-mmm"))</f>
        <v>2025 - 06-JUN</v>
      </c>
      <c r="AH708" s="5">
        <v>0</v>
      </c>
    </row>
    <row r="709" spans="1:34" x14ac:dyDescent="0.25">
      <c r="A709" t="s">
        <v>1307</v>
      </c>
      <c r="B709">
        <v>2025</v>
      </c>
      <c r="C709">
        <v>6</v>
      </c>
      <c r="D709" s="1">
        <v>45829</v>
      </c>
      <c r="E709" s="1">
        <v>45829</v>
      </c>
      <c r="F709" s="1">
        <v>45829</v>
      </c>
      <c r="G709" s="1">
        <v>45829</v>
      </c>
      <c r="H709" s="1">
        <v>45829</v>
      </c>
      <c r="I709">
        <v>2050</v>
      </c>
      <c r="J709" t="s">
        <v>54</v>
      </c>
      <c r="K709" t="s">
        <v>31</v>
      </c>
      <c r="L709">
        <v>50</v>
      </c>
      <c r="M709">
        <v>50</v>
      </c>
      <c r="N709" t="s">
        <v>55</v>
      </c>
      <c r="O709">
        <v>1</v>
      </c>
      <c r="P709">
        <v>150</v>
      </c>
      <c r="Q709" t="b">
        <v>1</v>
      </c>
      <c r="R709" t="b">
        <v>0</v>
      </c>
      <c r="S709" t="b">
        <v>0</v>
      </c>
      <c r="T709">
        <v>231</v>
      </c>
      <c r="U709">
        <v>0</v>
      </c>
      <c r="V709" t="s">
        <v>33</v>
      </c>
      <c r="W709" t="s">
        <v>33</v>
      </c>
      <c r="X709">
        <v>50</v>
      </c>
      <c r="Y709">
        <v>359</v>
      </c>
      <c r="Z709" t="s">
        <v>34</v>
      </c>
      <c r="AA709">
        <v>359</v>
      </c>
      <c r="AB709" t="s">
        <v>121</v>
      </c>
      <c r="AC709" t="s">
        <v>121</v>
      </c>
      <c r="AD709" t="str">
        <f t="shared" si="11"/>
        <v>Escobedo → Escobedo</v>
      </c>
      <c r="AE709" t="s">
        <v>1358</v>
      </c>
      <c r="AF709" s="4">
        <v>45809</v>
      </c>
      <c r="AG709" t="str">
        <f>YEAR(Table1[[#This Row],[Fecha]])&amp;" - " &amp;UPPER(TEXT(Table1[[#This Row],[Fecha]],"mm-mmm"))</f>
        <v>2025 - 06-JUN</v>
      </c>
      <c r="AH709" s="5">
        <v>0</v>
      </c>
    </row>
    <row r="710" spans="1:34" x14ac:dyDescent="0.25">
      <c r="A710" t="s">
        <v>1308</v>
      </c>
      <c r="B710">
        <v>2025</v>
      </c>
      <c r="C710">
        <v>6</v>
      </c>
      <c r="D710" s="1">
        <v>45809</v>
      </c>
      <c r="E710" s="1">
        <v>45809</v>
      </c>
      <c r="F710" s="1">
        <v>45809</v>
      </c>
      <c r="G710" s="1">
        <v>45809</v>
      </c>
      <c r="H710" s="2">
        <v>45809.8235871875</v>
      </c>
      <c r="I710">
        <v>2050</v>
      </c>
      <c r="J710" t="s">
        <v>54</v>
      </c>
      <c r="K710" t="s">
        <v>31</v>
      </c>
      <c r="L710">
        <v>50</v>
      </c>
      <c r="M710">
        <v>50</v>
      </c>
      <c r="N710" t="s">
        <v>55</v>
      </c>
      <c r="O710">
        <v>1</v>
      </c>
      <c r="P710">
        <v>150</v>
      </c>
      <c r="Q710" t="b">
        <v>1</v>
      </c>
      <c r="R710" t="b">
        <v>0</v>
      </c>
      <c r="S710" t="b">
        <v>0</v>
      </c>
      <c r="T710">
        <v>231</v>
      </c>
      <c r="U710">
        <v>0</v>
      </c>
      <c r="V710" t="s">
        <v>33</v>
      </c>
      <c r="W710" t="s">
        <v>33</v>
      </c>
      <c r="X710">
        <v>50</v>
      </c>
      <c r="Y710">
        <v>359</v>
      </c>
      <c r="Z710" t="s">
        <v>34</v>
      </c>
      <c r="AA710">
        <v>359</v>
      </c>
      <c r="AB710" t="s">
        <v>121</v>
      </c>
      <c r="AC710" t="s">
        <v>121</v>
      </c>
      <c r="AD710" t="str">
        <f t="shared" si="11"/>
        <v>Escobedo → Escobedo</v>
      </c>
      <c r="AE710" t="s">
        <v>1358</v>
      </c>
      <c r="AF710" s="4">
        <v>45809</v>
      </c>
      <c r="AG710" t="str">
        <f>YEAR(Table1[[#This Row],[Fecha]])&amp;" - " &amp;UPPER(TEXT(Table1[[#This Row],[Fecha]],"mm-mmm"))</f>
        <v>2025 - 06-JUN</v>
      </c>
      <c r="AH710" s="5">
        <v>0</v>
      </c>
    </row>
    <row r="711" spans="1:34" x14ac:dyDescent="0.25">
      <c r="A711" t="s">
        <v>1304</v>
      </c>
      <c r="B711">
        <v>2025</v>
      </c>
      <c r="C711">
        <v>6</v>
      </c>
      <c r="D711" s="1">
        <v>45811</v>
      </c>
      <c r="E711" s="1">
        <v>45811</v>
      </c>
      <c r="F711" s="1">
        <v>45811</v>
      </c>
      <c r="G711" s="1">
        <v>45811</v>
      </c>
      <c r="H711" s="2">
        <v>45811.980286307873</v>
      </c>
      <c r="I711">
        <v>2039</v>
      </c>
      <c r="J711" t="s">
        <v>30</v>
      </c>
      <c r="K711" t="s">
        <v>31</v>
      </c>
      <c r="L711">
        <v>50</v>
      </c>
      <c r="M711">
        <v>50</v>
      </c>
      <c r="N711" t="s">
        <v>32</v>
      </c>
      <c r="O711">
        <v>1</v>
      </c>
      <c r="P711">
        <v>150</v>
      </c>
      <c r="Q711" t="b">
        <v>1</v>
      </c>
      <c r="R711" t="b">
        <v>0</v>
      </c>
      <c r="S711" t="b">
        <v>0</v>
      </c>
      <c r="T711">
        <v>231</v>
      </c>
      <c r="U711">
        <v>0</v>
      </c>
      <c r="V711" t="s">
        <v>33</v>
      </c>
      <c r="W711" t="s">
        <v>33</v>
      </c>
      <c r="X711">
        <v>50</v>
      </c>
      <c r="Y711">
        <v>359</v>
      </c>
      <c r="Z711" t="s">
        <v>34</v>
      </c>
      <c r="AA711">
        <v>359</v>
      </c>
      <c r="AB711" t="s">
        <v>121</v>
      </c>
      <c r="AC711" t="s">
        <v>121</v>
      </c>
      <c r="AD711" t="str">
        <f t="shared" si="11"/>
        <v>Escobedo → Escobedo</v>
      </c>
      <c r="AE711" t="s">
        <v>1357</v>
      </c>
      <c r="AF711" s="4">
        <v>45809</v>
      </c>
      <c r="AG711" t="str">
        <f>YEAR(Table1[[#This Row],[Fecha]])&amp;" - " &amp;UPPER(TEXT(Table1[[#This Row],[Fecha]],"mm-mmm"))</f>
        <v>2025 - 06-JUN</v>
      </c>
      <c r="AH711" s="5">
        <v>0</v>
      </c>
    </row>
    <row r="712" spans="1:34" x14ac:dyDescent="0.25">
      <c r="A712" t="s">
        <v>642</v>
      </c>
      <c r="B712">
        <v>2025</v>
      </c>
      <c r="C712">
        <v>6</v>
      </c>
      <c r="D712" s="1">
        <v>45811</v>
      </c>
      <c r="E712" s="1">
        <v>45811</v>
      </c>
      <c r="F712" s="1">
        <v>45811</v>
      </c>
      <c r="G712" s="1">
        <v>45811</v>
      </c>
      <c r="H712" s="2">
        <v>45811.980305092591</v>
      </c>
      <c r="I712">
        <v>2039</v>
      </c>
      <c r="J712" t="s">
        <v>30</v>
      </c>
      <c r="K712" t="s">
        <v>31</v>
      </c>
      <c r="L712">
        <v>50</v>
      </c>
      <c r="M712">
        <v>50</v>
      </c>
      <c r="N712" t="s">
        <v>32</v>
      </c>
      <c r="O712">
        <v>1</v>
      </c>
      <c r="P712">
        <v>150</v>
      </c>
      <c r="Q712" t="b">
        <v>1</v>
      </c>
      <c r="R712" t="b">
        <v>0</v>
      </c>
      <c r="S712" t="b">
        <v>0</v>
      </c>
      <c r="T712">
        <v>231</v>
      </c>
      <c r="U712">
        <v>0</v>
      </c>
      <c r="V712" t="s">
        <v>33</v>
      </c>
      <c r="W712" t="s">
        <v>33</v>
      </c>
      <c r="X712">
        <v>50</v>
      </c>
      <c r="Y712">
        <v>2936</v>
      </c>
      <c r="Z712" t="s">
        <v>34</v>
      </c>
      <c r="AA712">
        <v>2936</v>
      </c>
      <c r="AB712" t="s">
        <v>121</v>
      </c>
      <c r="AC712" t="s">
        <v>432</v>
      </c>
      <c r="AD712" t="str">
        <f t="shared" si="11"/>
        <v>Escobedo → Hidalgo</v>
      </c>
      <c r="AE712" t="s">
        <v>1357</v>
      </c>
      <c r="AF712" s="4">
        <v>45809</v>
      </c>
      <c r="AG712" t="str">
        <f>YEAR(Table1[[#This Row],[Fecha]])&amp;" - " &amp;UPPER(TEXT(Table1[[#This Row],[Fecha]],"mm-mmm"))</f>
        <v>2025 - 06-JUN</v>
      </c>
      <c r="AH712" s="5">
        <v>0</v>
      </c>
    </row>
    <row r="713" spans="1:34" x14ac:dyDescent="0.25">
      <c r="A713" t="s">
        <v>1309</v>
      </c>
      <c r="B713">
        <v>2025</v>
      </c>
      <c r="C713">
        <v>6</v>
      </c>
      <c r="D713" s="1">
        <v>45811</v>
      </c>
      <c r="E713" s="1">
        <v>45811</v>
      </c>
      <c r="F713" s="1">
        <v>45811</v>
      </c>
      <c r="G713" s="1">
        <v>45811</v>
      </c>
      <c r="H713" s="2">
        <v>45811.980312881948</v>
      </c>
      <c r="I713">
        <v>2039</v>
      </c>
      <c r="J713" t="s">
        <v>30</v>
      </c>
      <c r="K713" t="s">
        <v>31</v>
      </c>
      <c r="L713">
        <v>50</v>
      </c>
      <c r="M713">
        <v>50</v>
      </c>
      <c r="N713" t="s">
        <v>32</v>
      </c>
      <c r="O713">
        <v>1</v>
      </c>
      <c r="P713">
        <v>150</v>
      </c>
      <c r="Q713" t="b">
        <v>1</v>
      </c>
      <c r="R713" t="b">
        <v>0</v>
      </c>
      <c r="S713" t="b">
        <v>0</v>
      </c>
      <c r="T713">
        <v>231</v>
      </c>
      <c r="U713">
        <v>0</v>
      </c>
      <c r="V713" t="s">
        <v>33</v>
      </c>
      <c r="W713" t="s">
        <v>33</v>
      </c>
      <c r="X713">
        <v>50</v>
      </c>
      <c r="Y713">
        <v>359</v>
      </c>
      <c r="Z713" t="s">
        <v>34</v>
      </c>
      <c r="AA713">
        <v>359</v>
      </c>
      <c r="AB713" t="s">
        <v>121</v>
      </c>
      <c r="AC713" t="s">
        <v>121</v>
      </c>
      <c r="AD713" t="str">
        <f t="shared" si="11"/>
        <v>Escobedo → Escobedo</v>
      </c>
      <c r="AE713" t="s">
        <v>1357</v>
      </c>
      <c r="AF713" s="4">
        <v>45809</v>
      </c>
      <c r="AG713" t="str">
        <f>YEAR(Table1[[#This Row],[Fecha]])&amp;" - " &amp;UPPER(TEXT(Table1[[#This Row],[Fecha]],"mm-mmm"))</f>
        <v>2025 - 06-JUN</v>
      </c>
      <c r="AH713" s="5">
        <v>0</v>
      </c>
    </row>
    <row r="714" spans="1:34" x14ac:dyDescent="0.25">
      <c r="A714" t="s">
        <v>1310</v>
      </c>
      <c r="B714">
        <v>2025</v>
      </c>
      <c r="C714">
        <v>6</v>
      </c>
      <c r="D714" s="1">
        <v>45811</v>
      </c>
      <c r="E714" s="1">
        <v>45811</v>
      </c>
      <c r="F714" s="1">
        <v>45811</v>
      </c>
      <c r="G714" s="1">
        <v>45811</v>
      </c>
      <c r="H714" s="2">
        <v>45811.980298032409</v>
      </c>
      <c r="I714">
        <v>2039</v>
      </c>
      <c r="J714" t="s">
        <v>30</v>
      </c>
      <c r="K714" t="s">
        <v>31</v>
      </c>
      <c r="L714">
        <v>50</v>
      </c>
      <c r="M714">
        <v>50</v>
      </c>
      <c r="N714" t="s">
        <v>32</v>
      </c>
      <c r="O714">
        <v>1</v>
      </c>
      <c r="P714">
        <v>150</v>
      </c>
      <c r="Q714" t="b">
        <v>1</v>
      </c>
      <c r="R714" t="b">
        <v>0</v>
      </c>
      <c r="S714" t="b">
        <v>0</v>
      </c>
      <c r="T714">
        <v>231</v>
      </c>
      <c r="U714">
        <v>0</v>
      </c>
      <c r="V714" t="s">
        <v>33</v>
      </c>
      <c r="W714" t="s">
        <v>33</v>
      </c>
      <c r="X714">
        <v>50</v>
      </c>
      <c r="Y714">
        <v>359</v>
      </c>
      <c r="Z714" t="s">
        <v>34</v>
      </c>
      <c r="AA714">
        <v>359</v>
      </c>
      <c r="AB714" t="s">
        <v>121</v>
      </c>
      <c r="AC714" t="s">
        <v>121</v>
      </c>
      <c r="AD714" t="str">
        <f t="shared" si="11"/>
        <v>Escobedo → Escobedo</v>
      </c>
      <c r="AE714" t="s">
        <v>1357</v>
      </c>
      <c r="AF714" s="4">
        <v>45809</v>
      </c>
      <c r="AG714" t="str">
        <f>YEAR(Table1[[#This Row],[Fecha]])&amp;" - " &amp;UPPER(TEXT(Table1[[#This Row],[Fecha]],"mm-mmm"))</f>
        <v>2025 - 06-JUN</v>
      </c>
      <c r="AH714" s="5">
        <v>0</v>
      </c>
    </row>
    <row r="715" spans="1:34" x14ac:dyDescent="0.25">
      <c r="A715" t="s">
        <v>1311</v>
      </c>
      <c r="B715">
        <v>2025</v>
      </c>
      <c r="C715">
        <v>6</v>
      </c>
      <c r="D715" s="1">
        <v>45809</v>
      </c>
      <c r="E715" s="1">
        <v>45809</v>
      </c>
      <c r="F715" s="1">
        <v>45809</v>
      </c>
      <c r="G715" s="1">
        <v>45809</v>
      </c>
      <c r="H715" s="2">
        <v>45809.823983182869</v>
      </c>
      <c r="I715">
        <v>2050</v>
      </c>
      <c r="J715" t="s">
        <v>54</v>
      </c>
      <c r="K715" t="s">
        <v>31</v>
      </c>
      <c r="L715">
        <v>50</v>
      </c>
      <c r="M715">
        <v>50</v>
      </c>
      <c r="N715" t="s">
        <v>55</v>
      </c>
      <c r="O715">
        <v>1</v>
      </c>
      <c r="P715">
        <v>150</v>
      </c>
      <c r="Q715" t="b">
        <v>1</v>
      </c>
      <c r="R715" t="b">
        <v>0</v>
      </c>
      <c r="S715" t="b">
        <v>0</v>
      </c>
      <c r="T715">
        <v>231</v>
      </c>
      <c r="U715">
        <v>0</v>
      </c>
      <c r="V715" t="s">
        <v>33</v>
      </c>
      <c r="W715" t="s">
        <v>33</v>
      </c>
      <c r="X715">
        <v>50</v>
      </c>
      <c r="Y715">
        <v>359</v>
      </c>
      <c r="Z715" t="s">
        <v>34</v>
      </c>
      <c r="AA715">
        <v>359</v>
      </c>
      <c r="AB715" t="s">
        <v>121</v>
      </c>
      <c r="AC715" t="s">
        <v>121</v>
      </c>
      <c r="AD715" t="str">
        <f t="shared" si="11"/>
        <v>Escobedo → Escobedo</v>
      </c>
      <c r="AE715" t="s">
        <v>1358</v>
      </c>
      <c r="AF715" s="4">
        <v>45809</v>
      </c>
      <c r="AG715" t="str">
        <f>YEAR(Table1[[#This Row],[Fecha]])&amp;" - " &amp;UPPER(TEXT(Table1[[#This Row],[Fecha]],"mm-mmm"))</f>
        <v>2025 - 06-JUN</v>
      </c>
      <c r="AH715" s="5">
        <v>0</v>
      </c>
    </row>
    <row r="716" spans="1:34" x14ac:dyDescent="0.25">
      <c r="A716" t="s">
        <v>640</v>
      </c>
      <c r="B716">
        <v>2025</v>
      </c>
      <c r="C716">
        <v>6</v>
      </c>
      <c r="D716" s="1">
        <v>45809</v>
      </c>
      <c r="E716" s="1">
        <v>45809</v>
      </c>
      <c r="F716" s="1">
        <v>45809</v>
      </c>
      <c r="G716" s="1">
        <v>45809</v>
      </c>
      <c r="H716" s="2">
        <v>45809.824509375001</v>
      </c>
      <c r="I716">
        <v>2050</v>
      </c>
      <c r="J716" t="s">
        <v>54</v>
      </c>
      <c r="K716" t="s">
        <v>31</v>
      </c>
      <c r="L716">
        <v>50</v>
      </c>
      <c r="M716">
        <v>50</v>
      </c>
      <c r="N716" t="s">
        <v>55</v>
      </c>
      <c r="O716">
        <v>1</v>
      </c>
      <c r="P716">
        <v>150</v>
      </c>
      <c r="Q716" t="b">
        <v>1</v>
      </c>
      <c r="R716" t="b">
        <v>0</v>
      </c>
      <c r="S716" t="b">
        <v>0</v>
      </c>
      <c r="T716">
        <v>231</v>
      </c>
      <c r="U716">
        <v>0</v>
      </c>
      <c r="V716" t="s">
        <v>33</v>
      </c>
      <c r="W716" t="s">
        <v>33</v>
      </c>
      <c r="X716">
        <v>50</v>
      </c>
      <c r="Y716">
        <v>2936</v>
      </c>
      <c r="Z716" t="s">
        <v>34</v>
      </c>
      <c r="AA716">
        <v>2936</v>
      </c>
      <c r="AB716" t="s">
        <v>121</v>
      </c>
      <c r="AC716" t="s">
        <v>432</v>
      </c>
      <c r="AD716" t="str">
        <f t="shared" si="11"/>
        <v>Escobedo → Hidalgo</v>
      </c>
      <c r="AE716" t="s">
        <v>1358</v>
      </c>
      <c r="AF716" s="4">
        <v>45809</v>
      </c>
      <c r="AG716" t="str">
        <f>YEAR(Table1[[#This Row],[Fecha]])&amp;" - " &amp;UPPER(TEXT(Table1[[#This Row],[Fecha]],"mm-mmm"))</f>
        <v>2025 - 06-JUN</v>
      </c>
      <c r="AH716" s="5">
        <v>0</v>
      </c>
    </row>
    <row r="717" spans="1:34" x14ac:dyDescent="0.25">
      <c r="A717" t="s">
        <v>1312</v>
      </c>
      <c r="B717">
        <v>2025</v>
      </c>
      <c r="C717">
        <v>6</v>
      </c>
      <c r="D717" s="1">
        <v>45813</v>
      </c>
      <c r="E717" s="1">
        <v>45813</v>
      </c>
      <c r="F717" s="1">
        <v>45813</v>
      </c>
      <c r="G717" s="1">
        <v>45813</v>
      </c>
      <c r="H717" s="2">
        <v>45814.414372604166</v>
      </c>
      <c r="I717">
        <v>2039</v>
      </c>
      <c r="J717" t="s">
        <v>30</v>
      </c>
      <c r="K717" t="s">
        <v>31</v>
      </c>
      <c r="L717">
        <v>50</v>
      </c>
      <c r="M717">
        <v>50</v>
      </c>
      <c r="N717" t="s">
        <v>32</v>
      </c>
      <c r="O717">
        <v>1</v>
      </c>
      <c r="P717">
        <v>150</v>
      </c>
      <c r="Q717" t="b">
        <v>1</v>
      </c>
      <c r="R717" t="b">
        <v>0</v>
      </c>
      <c r="S717" t="b">
        <v>0</v>
      </c>
      <c r="T717">
        <v>231</v>
      </c>
      <c r="U717">
        <v>0</v>
      </c>
      <c r="V717" t="s">
        <v>33</v>
      </c>
      <c r="W717" t="s">
        <v>33</v>
      </c>
      <c r="X717">
        <v>50</v>
      </c>
      <c r="Y717">
        <v>359</v>
      </c>
      <c r="Z717" t="s">
        <v>34</v>
      </c>
      <c r="AA717">
        <v>359</v>
      </c>
      <c r="AB717" t="s">
        <v>121</v>
      </c>
      <c r="AC717" t="s">
        <v>121</v>
      </c>
      <c r="AD717" t="str">
        <f t="shared" si="11"/>
        <v>Escobedo → Escobedo</v>
      </c>
      <c r="AE717" t="s">
        <v>1357</v>
      </c>
      <c r="AF717" s="4">
        <v>45809</v>
      </c>
      <c r="AG717" t="str">
        <f>YEAR(Table1[[#This Row],[Fecha]])&amp;" - " &amp;UPPER(TEXT(Table1[[#This Row],[Fecha]],"mm-mmm"))</f>
        <v>2025 - 06-JUN</v>
      </c>
      <c r="AH717" s="5">
        <v>0</v>
      </c>
    </row>
    <row r="718" spans="1:34" x14ac:dyDescent="0.25">
      <c r="A718" t="s">
        <v>1313</v>
      </c>
      <c r="B718">
        <v>2025</v>
      </c>
      <c r="C718">
        <v>6</v>
      </c>
      <c r="D718" s="1">
        <v>45813</v>
      </c>
      <c r="E718" s="1">
        <v>45813</v>
      </c>
      <c r="F718" s="1">
        <v>45813</v>
      </c>
      <c r="G718" s="1">
        <v>45813</v>
      </c>
      <c r="H718" s="2">
        <v>45814.414392129627</v>
      </c>
      <c r="I718">
        <v>2039</v>
      </c>
      <c r="J718" t="s">
        <v>30</v>
      </c>
      <c r="K718" t="s">
        <v>31</v>
      </c>
      <c r="L718">
        <v>50</v>
      </c>
      <c r="M718">
        <v>50</v>
      </c>
      <c r="N718" t="s">
        <v>32</v>
      </c>
      <c r="O718">
        <v>1</v>
      </c>
      <c r="P718">
        <v>150</v>
      </c>
      <c r="Q718" t="b">
        <v>1</v>
      </c>
      <c r="R718" t="b">
        <v>0</v>
      </c>
      <c r="S718" t="b">
        <v>0</v>
      </c>
      <c r="T718">
        <v>231</v>
      </c>
      <c r="U718">
        <v>0</v>
      </c>
      <c r="V718" t="s">
        <v>33</v>
      </c>
      <c r="W718" t="s">
        <v>33</v>
      </c>
      <c r="X718">
        <v>50</v>
      </c>
      <c r="Y718">
        <v>359</v>
      </c>
      <c r="Z718" t="s">
        <v>34</v>
      </c>
      <c r="AA718">
        <v>359</v>
      </c>
      <c r="AB718" t="s">
        <v>121</v>
      </c>
      <c r="AC718" t="s">
        <v>121</v>
      </c>
      <c r="AD718" t="str">
        <f t="shared" si="11"/>
        <v>Escobedo → Escobedo</v>
      </c>
      <c r="AE718" t="s">
        <v>1357</v>
      </c>
      <c r="AF718" s="4">
        <v>45809</v>
      </c>
      <c r="AG718" t="str">
        <f>YEAR(Table1[[#This Row],[Fecha]])&amp;" - " &amp;UPPER(TEXT(Table1[[#This Row],[Fecha]],"mm-mmm"))</f>
        <v>2025 - 06-JUN</v>
      </c>
      <c r="AH718" s="5">
        <v>0</v>
      </c>
    </row>
    <row r="719" spans="1:34" x14ac:dyDescent="0.25">
      <c r="A719" t="s">
        <v>1314</v>
      </c>
      <c r="B719">
        <v>2025</v>
      </c>
      <c r="C719">
        <v>6</v>
      </c>
      <c r="D719" s="1">
        <v>45813</v>
      </c>
      <c r="E719" s="1">
        <v>45813</v>
      </c>
      <c r="F719" s="1">
        <v>45813</v>
      </c>
      <c r="G719" s="1">
        <v>45813</v>
      </c>
      <c r="H719" s="2">
        <v>45814.414385613425</v>
      </c>
      <c r="I719">
        <v>2039</v>
      </c>
      <c r="J719" t="s">
        <v>30</v>
      </c>
      <c r="K719" t="s">
        <v>31</v>
      </c>
      <c r="L719">
        <v>50</v>
      </c>
      <c r="M719">
        <v>50</v>
      </c>
      <c r="N719" t="s">
        <v>32</v>
      </c>
      <c r="O719">
        <v>1</v>
      </c>
      <c r="P719">
        <v>150</v>
      </c>
      <c r="Q719" t="b">
        <v>1</v>
      </c>
      <c r="R719" t="b">
        <v>0</v>
      </c>
      <c r="S719" t="b">
        <v>0</v>
      </c>
      <c r="T719">
        <v>231</v>
      </c>
      <c r="U719">
        <v>0</v>
      </c>
      <c r="V719" t="s">
        <v>33</v>
      </c>
      <c r="W719" t="s">
        <v>33</v>
      </c>
      <c r="X719">
        <v>50</v>
      </c>
      <c r="Y719">
        <v>359</v>
      </c>
      <c r="Z719" t="s">
        <v>34</v>
      </c>
      <c r="AA719">
        <v>359</v>
      </c>
      <c r="AB719" t="s">
        <v>121</v>
      </c>
      <c r="AC719" t="s">
        <v>121</v>
      </c>
      <c r="AD719" t="str">
        <f t="shared" si="11"/>
        <v>Escobedo → Escobedo</v>
      </c>
      <c r="AE719" t="s">
        <v>1357</v>
      </c>
      <c r="AF719" s="4">
        <v>45809</v>
      </c>
      <c r="AG719" t="str">
        <f>YEAR(Table1[[#This Row],[Fecha]])&amp;" - " &amp;UPPER(TEXT(Table1[[#This Row],[Fecha]],"mm-mmm"))</f>
        <v>2025 - 06-JUN</v>
      </c>
      <c r="AH719" s="5">
        <v>0</v>
      </c>
    </row>
    <row r="720" spans="1:34" x14ac:dyDescent="0.25">
      <c r="A720" t="s">
        <v>639</v>
      </c>
      <c r="B720">
        <v>2025</v>
      </c>
      <c r="C720">
        <v>6</v>
      </c>
      <c r="D720" s="1">
        <v>45813</v>
      </c>
      <c r="E720" s="1">
        <v>45813</v>
      </c>
      <c r="F720" s="1">
        <v>45813</v>
      </c>
      <c r="G720" s="1">
        <v>45813</v>
      </c>
      <c r="H720" s="2">
        <v>45814.414377858797</v>
      </c>
      <c r="I720">
        <v>2039</v>
      </c>
      <c r="J720" t="s">
        <v>30</v>
      </c>
      <c r="K720" t="s">
        <v>31</v>
      </c>
      <c r="L720">
        <v>50</v>
      </c>
      <c r="M720">
        <v>50</v>
      </c>
      <c r="N720" t="s">
        <v>32</v>
      </c>
      <c r="O720">
        <v>1</v>
      </c>
      <c r="P720">
        <v>150</v>
      </c>
      <c r="Q720" t="b">
        <v>1</v>
      </c>
      <c r="R720" t="b">
        <v>0</v>
      </c>
      <c r="S720" t="b">
        <v>0</v>
      </c>
      <c r="T720">
        <v>231</v>
      </c>
      <c r="U720">
        <v>0</v>
      </c>
      <c r="V720" t="s">
        <v>33</v>
      </c>
      <c r="W720" t="s">
        <v>33</v>
      </c>
      <c r="X720">
        <v>50</v>
      </c>
      <c r="Y720">
        <v>2936</v>
      </c>
      <c r="Z720" t="s">
        <v>34</v>
      </c>
      <c r="AA720">
        <v>2936</v>
      </c>
      <c r="AB720" t="s">
        <v>121</v>
      </c>
      <c r="AC720" t="s">
        <v>432</v>
      </c>
      <c r="AD720" t="str">
        <f t="shared" si="11"/>
        <v>Escobedo → Hidalgo</v>
      </c>
      <c r="AE720" t="s">
        <v>1357</v>
      </c>
      <c r="AF720" s="4">
        <v>45809</v>
      </c>
      <c r="AG720" t="str">
        <f>YEAR(Table1[[#This Row],[Fecha]])&amp;" - " &amp;UPPER(TEXT(Table1[[#This Row],[Fecha]],"mm-mmm"))</f>
        <v>2025 - 06-JUN</v>
      </c>
      <c r="AH720" s="5">
        <v>0</v>
      </c>
    </row>
    <row r="721" spans="1:34" x14ac:dyDescent="0.25">
      <c r="A721" t="s">
        <v>1298</v>
      </c>
      <c r="B721">
        <v>2025</v>
      </c>
      <c r="C721">
        <v>6</v>
      </c>
      <c r="D721" s="1">
        <v>45813</v>
      </c>
      <c r="E721" s="1">
        <v>45813</v>
      </c>
      <c r="F721" s="1">
        <v>45813</v>
      </c>
      <c r="G721" s="1">
        <v>45813</v>
      </c>
      <c r="H721" s="2">
        <v>45814.414366435187</v>
      </c>
      <c r="I721">
        <v>2039</v>
      </c>
      <c r="J721" t="s">
        <v>30</v>
      </c>
      <c r="K721" t="s">
        <v>31</v>
      </c>
      <c r="L721">
        <v>50</v>
      </c>
      <c r="M721">
        <v>50</v>
      </c>
      <c r="N721" t="s">
        <v>32</v>
      </c>
      <c r="O721">
        <v>1</v>
      </c>
      <c r="P721">
        <v>150</v>
      </c>
      <c r="Q721" t="b">
        <v>1</v>
      </c>
      <c r="R721" t="b">
        <v>0</v>
      </c>
      <c r="S721" t="b">
        <v>0</v>
      </c>
      <c r="T721">
        <v>231</v>
      </c>
      <c r="U721">
        <v>0</v>
      </c>
      <c r="V721" t="s">
        <v>33</v>
      </c>
      <c r="W721" t="s">
        <v>33</v>
      </c>
      <c r="X721">
        <v>50</v>
      </c>
      <c r="Y721">
        <v>359</v>
      </c>
      <c r="Z721" t="s">
        <v>34</v>
      </c>
      <c r="AA721">
        <v>359</v>
      </c>
      <c r="AB721" t="s">
        <v>121</v>
      </c>
      <c r="AC721" t="s">
        <v>121</v>
      </c>
      <c r="AD721" t="str">
        <f t="shared" si="11"/>
        <v>Escobedo → Escobedo</v>
      </c>
      <c r="AE721" t="s">
        <v>1357</v>
      </c>
      <c r="AF721" s="4">
        <v>45809</v>
      </c>
      <c r="AG721" t="str">
        <f>YEAR(Table1[[#This Row],[Fecha]])&amp;" - " &amp;UPPER(TEXT(Table1[[#This Row],[Fecha]],"mm-mmm"))</f>
        <v>2025 - 06-JUN</v>
      </c>
      <c r="AH721" s="5">
        <v>0</v>
      </c>
    </row>
    <row r="722" spans="1:34" x14ac:dyDescent="0.25">
      <c r="A722" t="s">
        <v>1299</v>
      </c>
      <c r="B722">
        <v>2025</v>
      </c>
      <c r="C722">
        <v>6</v>
      </c>
      <c r="D722" s="1">
        <v>45813</v>
      </c>
      <c r="E722" s="1">
        <v>45813</v>
      </c>
      <c r="F722" s="1">
        <v>45813</v>
      </c>
      <c r="G722" s="1">
        <v>45813</v>
      </c>
      <c r="H722" s="2">
        <v>45814.414359953706</v>
      </c>
      <c r="I722">
        <v>2039</v>
      </c>
      <c r="J722" t="s">
        <v>30</v>
      </c>
      <c r="K722" t="s">
        <v>31</v>
      </c>
      <c r="L722">
        <v>50</v>
      </c>
      <c r="M722">
        <v>50</v>
      </c>
      <c r="N722" t="s">
        <v>32</v>
      </c>
      <c r="O722">
        <v>1</v>
      </c>
      <c r="P722">
        <v>150</v>
      </c>
      <c r="Q722" t="b">
        <v>1</v>
      </c>
      <c r="R722" t="b">
        <v>0</v>
      </c>
      <c r="S722" t="b">
        <v>0</v>
      </c>
      <c r="T722">
        <v>231</v>
      </c>
      <c r="U722">
        <v>0</v>
      </c>
      <c r="V722" t="s">
        <v>33</v>
      </c>
      <c r="W722" t="s">
        <v>33</v>
      </c>
      <c r="X722">
        <v>50</v>
      </c>
      <c r="Y722">
        <v>359</v>
      </c>
      <c r="Z722" t="s">
        <v>34</v>
      </c>
      <c r="AA722">
        <v>359</v>
      </c>
      <c r="AB722" t="s">
        <v>121</v>
      </c>
      <c r="AC722" t="s">
        <v>121</v>
      </c>
      <c r="AD722" t="str">
        <f t="shared" si="11"/>
        <v>Escobedo → Escobedo</v>
      </c>
      <c r="AE722" t="s">
        <v>1357</v>
      </c>
      <c r="AF722" s="4">
        <v>45809</v>
      </c>
      <c r="AG722" t="str">
        <f>YEAR(Table1[[#This Row],[Fecha]])&amp;" - " &amp;UPPER(TEXT(Table1[[#This Row],[Fecha]],"mm-mmm"))</f>
        <v>2025 - 06-JUN</v>
      </c>
      <c r="AH722" s="5">
        <v>0</v>
      </c>
    </row>
    <row r="723" spans="1:34" x14ac:dyDescent="0.25">
      <c r="A723" t="s">
        <v>387</v>
      </c>
      <c r="B723">
        <v>2025</v>
      </c>
      <c r="C723">
        <v>6</v>
      </c>
      <c r="D723" s="1">
        <v>45813</v>
      </c>
      <c r="E723" s="1">
        <v>45813</v>
      </c>
      <c r="F723" s="1">
        <v>45813</v>
      </c>
      <c r="G723" s="1">
        <v>45813</v>
      </c>
      <c r="H723" s="2">
        <v>45814.414343483797</v>
      </c>
      <c r="I723">
        <v>2039</v>
      </c>
      <c r="J723" t="s">
        <v>30</v>
      </c>
      <c r="K723" t="s">
        <v>31</v>
      </c>
      <c r="L723">
        <v>50</v>
      </c>
      <c r="M723">
        <v>50</v>
      </c>
      <c r="N723" t="s">
        <v>32</v>
      </c>
      <c r="O723">
        <v>1</v>
      </c>
      <c r="P723">
        <v>150</v>
      </c>
      <c r="Q723" t="b">
        <v>1</v>
      </c>
      <c r="R723" t="b">
        <v>0</v>
      </c>
      <c r="S723" t="b">
        <v>0</v>
      </c>
      <c r="T723">
        <v>231</v>
      </c>
      <c r="U723">
        <v>0</v>
      </c>
      <c r="V723" t="s">
        <v>33</v>
      </c>
      <c r="W723" t="s">
        <v>33</v>
      </c>
      <c r="X723">
        <v>50</v>
      </c>
      <c r="Y723">
        <v>461</v>
      </c>
      <c r="Z723" t="s">
        <v>34</v>
      </c>
      <c r="AA723">
        <v>461</v>
      </c>
      <c r="AB723" t="s">
        <v>121</v>
      </c>
      <c r="AC723" t="s">
        <v>35</v>
      </c>
      <c r="AD723" t="str">
        <f t="shared" si="11"/>
        <v>Escobedo → Monterrey</v>
      </c>
      <c r="AE723" t="s">
        <v>1357</v>
      </c>
      <c r="AF723" s="4">
        <v>45809</v>
      </c>
      <c r="AG723" t="str">
        <f>YEAR(Table1[[#This Row],[Fecha]])&amp;" - " &amp;UPPER(TEXT(Table1[[#This Row],[Fecha]],"mm-mmm"))</f>
        <v>2025 - 06-JUN</v>
      </c>
      <c r="AH723" s="5">
        <v>0</v>
      </c>
    </row>
    <row r="724" spans="1:34" x14ac:dyDescent="0.25">
      <c r="A724" t="s">
        <v>635</v>
      </c>
      <c r="B724">
        <v>2025</v>
      </c>
      <c r="C724">
        <v>6</v>
      </c>
      <c r="D724" s="1">
        <v>45810</v>
      </c>
      <c r="E724" s="1">
        <v>45810</v>
      </c>
      <c r="F724" s="1">
        <v>45810</v>
      </c>
      <c r="G724" s="1">
        <v>45810</v>
      </c>
      <c r="H724" s="2">
        <v>45810.488057025461</v>
      </c>
      <c r="I724">
        <v>2050</v>
      </c>
      <c r="J724" t="s">
        <v>54</v>
      </c>
      <c r="K724" t="s">
        <v>31</v>
      </c>
      <c r="L724">
        <v>50</v>
      </c>
      <c r="M724">
        <v>50</v>
      </c>
      <c r="N724" t="s">
        <v>55</v>
      </c>
      <c r="O724">
        <v>1</v>
      </c>
      <c r="P724">
        <v>150</v>
      </c>
      <c r="Q724" t="b">
        <v>1</v>
      </c>
      <c r="R724" t="b">
        <v>0</v>
      </c>
      <c r="S724" t="b">
        <v>0</v>
      </c>
      <c r="T724">
        <v>231</v>
      </c>
      <c r="U724">
        <v>0</v>
      </c>
      <c r="V724" t="s">
        <v>33</v>
      </c>
      <c r="W724" t="s">
        <v>33</v>
      </c>
      <c r="X724">
        <v>50</v>
      </c>
      <c r="Y724">
        <v>2936</v>
      </c>
      <c r="Z724" t="s">
        <v>34</v>
      </c>
      <c r="AA724">
        <v>2936</v>
      </c>
      <c r="AB724" t="s">
        <v>121</v>
      </c>
      <c r="AC724" t="s">
        <v>432</v>
      </c>
      <c r="AD724" t="str">
        <f t="shared" si="11"/>
        <v>Escobedo → Hidalgo</v>
      </c>
      <c r="AE724" t="s">
        <v>1358</v>
      </c>
      <c r="AF724" s="4">
        <v>45809</v>
      </c>
      <c r="AG724" t="str">
        <f>YEAR(Table1[[#This Row],[Fecha]])&amp;" - " &amp;UPPER(TEXT(Table1[[#This Row],[Fecha]],"mm-mmm"))</f>
        <v>2025 - 06-JUN</v>
      </c>
      <c r="AH724" s="5">
        <v>0</v>
      </c>
    </row>
    <row r="725" spans="1:34" x14ac:dyDescent="0.25">
      <c r="A725" t="s">
        <v>1300</v>
      </c>
      <c r="B725">
        <v>2025</v>
      </c>
      <c r="C725">
        <v>6</v>
      </c>
      <c r="D725" s="1">
        <v>45815</v>
      </c>
      <c r="E725" s="1">
        <v>45815</v>
      </c>
      <c r="F725" s="1">
        <v>45815</v>
      </c>
      <c r="G725" s="1">
        <v>45815</v>
      </c>
      <c r="H725" s="2">
        <v>45815.584072187499</v>
      </c>
      <c r="I725">
        <v>2039</v>
      </c>
      <c r="J725" t="s">
        <v>30</v>
      </c>
      <c r="K725" t="s">
        <v>31</v>
      </c>
      <c r="L725">
        <v>50</v>
      </c>
      <c r="M725">
        <v>50</v>
      </c>
      <c r="N725" t="s">
        <v>32</v>
      </c>
      <c r="O725">
        <v>1</v>
      </c>
      <c r="P725">
        <v>150</v>
      </c>
      <c r="Q725" t="b">
        <v>1</v>
      </c>
      <c r="R725" t="b">
        <v>0</v>
      </c>
      <c r="S725" t="b">
        <v>0</v>
      </c>
      <c r="T725">
        <v>231</v>
      </c>
      <c r="U725">
        <v>0</v>
      </c>
      <c r="V725" t="s">
        <v>33</v>
      </c>
      <c r="W725" t="s">
        <v>33</v>
      </c>
      <c r="X725">
        <v>50</v>
      </c>
      <c r="Y725">
        <v>359</v>
      </c>
      <c r="Z725" t="s">
        <v>34</v>
      </c>
      <c r="AA725">
        <v>359</v>
      </c>
      <c r="AB725" t="s">
        <v>121</v>
      </c>
      <c r="AC725" t="s">
        <v>121</v>
      </c>
      <c r="AD725" t="str">
        <f t="shared" si="11"/>
        <v>Escobedo → Escobedo</v>
      </c>
      <c r="AE725" t="s">
        <v>1357</v>
      </c>
      <c r="AF725" s="4">
        <v>45809</v>
      </c>
      <c r="AG725" t="str">
        <f>YEAR(Table1[[#This Row],[Fecha]])&amp;" - " &amp;UPPER(TEXT(Table1[[#This Row],[Fecha]],"mm-mmm"))</f>
        <v>2025 - 06-JUN</v>
      </c>
      <c r="AH725" s="5">
        <v>0</v>
      </c>
    </row>
    <row r="726" spans="1:34" x14ac:dyDescent="0.25">
      <c r="A726" t="s">
        <v>1301</v>
      </c>
      <c r="B726">
        <v>2025</v>
      </c>
      <c r="C726">
        <v>6</v>
      </c>
      <c r="D726" s="1">
        <v>45815</v>
      </c>
      <c r="E726" s="1">
        <v>45815</v>
      </c>
      <c r="F726" s="1">
        <v>45815</v>
      </c>
      <c r="G726" s="1">
        <v>45815</v>
      </c>
      <c r="H726" s="2">
        <v>45815.585289432871</v>
      </c>
      <c r="I726">
        <v>2039</v>
      </c>
      <c r="J726" t="s">
        <v>30</v>
      </c>
      <c r="K726" t="s">
        <v>31</v>
      </c>
      <c r="L726">
        <v>50</v>
      </c>
      <c r="M726">
        <v>50</v>
      </c>
      <c r="N726" t="s">
        <v>32</v>
      </c>
      <c r="O726">
        <v>1</v>
      </c>
      <c r="P726">
        <v>150</v>
      </c>
      <c r="Q726" t="b">
        <v>1</v>
      </c>
      <c r="R726" t="b">
        <v>0</v>
      </c>
      <c r="S726" t="b">
        <v>0</v>
      </c>
      <c r="T726">
        <v>231</v>
      </c>
      <c r="U726">
        <v>0</v>
      </c>
      <c r="V726" t="s">
        <v>33</v>
      </c>
      <c r="W726" t="s">
        <v>33</v>
      </c>
      <c r="X726">
        <v>50</v>
      </c>
      <c r="Y726">
        <v>359</v>
      </c>
      <c r="Z726" t="s">
        <v>34</v>
      </c>
      <c r="AA726">
        <v>359</v>
      </c>
      <c r="AB726" t="s">
        <v>121</v>
      </c>
      <c r="AC726" t="s">
        <v>121</v>
      </c>
      <c r="AD726" t="str">
        <f t="shared" si="11"/>
        <v>Escobedo → Escobedo</v>
      </c>
      <c r="AE726" t="s">
        <v>1357</v>
      </c>
      <c r="AF726" s="4">
        <v>45809</v>
      </c>
      <c r="AG726" t="str">
        <f>YEAR(Table1[[#This Row],[Fecha]])&amp;" - " &amp;UPPER(TEXT(Table1[[#This Row],[Fecha]],"mm-mmm"))</f>
        <v>2025 - 06-JUN</v>
      </c>
      <c r="AH726" s="5">
        <v>0</v>
      </c>
    </row>
    <row r="727" spans="1:34" x14ac:dyDescent="0.25">
      <c r="A727" t="s">
        <v>1302</v>
      </c>
      <c r="B727">
        <v>2025</v>
      </c>
      <c r="C727">
        <v>6</v>
      </c>
      <c r="D727" s="1">
        <v>45815</v>
      </c>
      <c r="E727" s="1">
        <v>45815</v>
      </c>
      <c r="F727" s="1">
        <v>45815</v>
      </c>
      <c r="G727" s="1">
        <v>45815</v>
      </c>
      <c r="H727" s="2">
        <v>45815.586177546298</v>
      </c>
      <c r="I727">
        <v>2039</v>
      </c>
      <c r="J727" t="s">
        <v>30</v>
      </c>
      <c r="K727" t="s">
        <v>31</v>
      </c>
      <c r="L727">
        <v>50</v>
      </c>
      <c r="M727">
        <v>50</v>
      </c>
      <c r="N727" t="s">
        <v>32</v>
      </c>
      <c r="O727">
        <v>1</v>
      </c>
      <c r="P727">
        <v>150</v>
      </c>
      <c r="Q727" t="b">
        <v>1</v>
      </c>
      <c r="R727" t="b">
        <v>0</v>
      </c>
      <c r="S727" t="b">
        <v>0</v>
      </c>
      <c r="T727">
        <v>231</v>
      </c>
      <c r="U727">
        <v>0</v>
      </c>
      <c r="V727" t="s">
        <v>33</v>
      </c>
      <c r="W727" t="s">
        <v>33</v>
      </c>
      <c r="X727">
        <v>50</v>
      </c>
      <c r="Y727">
        <v>359</v>
      </c>
      <c r="Z727" t="s">
        <v>34</v>
      </c>
      <c r="AA727">
        <v>359</v>
      </c>
      <c r="AB727" t="s">
        <v>121</v>
      </c>
      <c r="AC727" t="s">
        <v>121</v>
      </c>
      <c r="AD727" t="str">
        <f t="shared" si="11"/>
        <v>Escobedo → Escobedo</v>
      </c>
      <c r="AE727" t="s">
        <v>1357</v>
      </c>
      <c r="AF727" s="4">
        <v>45809</v>
      </c>
      <c r="AG727" t="str">
        <f>YEAR(Table1[[#This Row],[Fecha]])&amp;" - " &amp;UPPER(TEXT(Table1[[#This Row],[Fecha]],"mm-mmm"))</f>
        <v>2025 - 06-JUN</v>
      </c>
      <c r="AH727" s="5">
        <v>0</v>
      </c>
    </row>
    <row r="728" spans="1:34" x14ac:dyDescent="0.25">
      <c r="A728" t="s">
        <v>1303</v>
      </c>
      <c r="B728">
        <v>2025</v>
      </c>
      <c r="C728">
        <v>6</v>
      </c>
      <c r="D728" s="1">
        <v>45810</v>
      </c>
      <c r="E728" s="1">
        <v>45810</v>
      </c>
      <c r="F728" s="1">
        <v>45810</v>
      </c>
      <c r="G728" s="1">
        <v>45810</v>
      </c>
      <c r="H728" s="2">
        <v>45810.529113159719</v>
      </c>
      <c r="I728">
        <v>2050</v>
      </c>
      <c r="J728" t="s">
        <v>54</v>
      </c>
      <c r="K728" t="s">
        <v>31</v>
      </c>
      <c r="L728">
        <v>50</v>
      </c>
      <c r="M728">
        <v>50</v>
      </c>
      <c r="N728" t="s">
        <v>55</v>
      </c>
      <c r="O728">
        <v>1</v>
      </c>
      <c r="P728">
        <v>150</v>
      </c>
      <c r="Q728" t="b">
        <v>1</v>
      </c>
      <c r="R728" t="b">
        <v>0</v>
      </c>
      <c r="S728" t="b">
        <v>0</v>
      </c>
      <c r="T728">
        <v>231</v>
      </c>
      <c r="U728">
        <v>0</v>
      </c>
      <c r="V728" t="s">
        <v>33</v>
      </c>
      <c r="W728" t="s">
        <v>33</v>
      </c>
      <c r="X728">
        <v>50</v>
      </c>
      <c r="Y728">
        <v>359</v>
      </c>
      <c r="Z728" t="s">
        <v>34</v>
      </c>
      <c r="AA728">
        <v>359</v>
      </c>
      <c r="AB728" t="s">
        <v>121</v>
      </c>
      <c r="AC728" t="s">
        <v>121</v>
      </c>
      <c r="AD728" t="str">
        <f t="shared" si="11"/>
        <v>Escobedo → Escobedo</v>
      </c>
      <c r="AE728" t="s">
        <v>1358</v>
      </c>
      <c r="AF728" s="4">
        <v>45809</v>
      </c>
      <c r="AG728" t="str">
        <f>YEAR(Table1[[#This Row],[Fecha]])&amp;" - " &amp;UPPER(TEXT(Table1[[#This Row],[Fecha]],"mm-mmm"))</f>
        <v>2025 - 06-JUN</v>
      </c>
      <c r="AH728" s="5">
        <v>0</v>
      </c>
    </row>
    <row r="729" spans="1:34" x14ac:dyDescent="0.25">
      <c r="A729" t="s">
        <v>270</v>
      </c>
      <c r="B729">
        <v>2025</v>
      </c>
      <c r="C729">
        <v>6</v>
      </c>
      <c r="D729" s="1">
        <v>45811</v>
      </c>
      <c r="E729" s="1">
        <v>45811</v>
      </c>
      <c r="F729" s="1">
        <v>45813</v>
      </c>
      <c r="G729" s="1">
        <v>45812</v>
      </c>
      <c r="H729" s="2">
        <v>45813.217754513891</v>
      </c>
      <c r="I729">
        <v>2039</v>
      </c>
      <c r="J729" t="s">
        <v>30</v>
      </c>
      <c r="K729" t="s">
        <v>31</v>
      </c>
      <c r="L729">
        <v>961</v>
      </c>
      <c r="M729">
        <v>0</v>
      </c>
      <c r="N729" t="s">
        <v>32</v>
      </c>
      <c r="O729">
        <v>1</v>
      </c>
      <c r="P729">
        <v>964</v>
      </c>
      <c r="Q729" t="b">
        <v>1</v>
      </c>
      <c r="R729" t="b">
        <v>0</v>
      </c>
      <c r="S729" t="b">
        <v>0</v>
      </c>
      <c r="T729">
        <v>0</v>
      </c>
      <c r="U729">
        <v>0</v>
      </c>
      <c r="V729" t="s">
        <v>33</v>
      </c>
      <c r="W729" t="s">
        <v>271</v>
      </c>
      <c r="X729">
        <v>0</v>
      </c>
      <c r="Y729">
        <v>8</v>
      </c>
      <c r="Z729" t="s">
        <v>71</v>
      </c>
      <c r="AA729">
        <v>8</v>
      </c>
      <c r="AB729" t="s">
        <v>121</v>
      </c>
      <c r="AC729" t="s">
        <v>56</v>
      </c>
      <c r="AD729" t="str">
        <f t="shared" si="11"/>
        <v>Escobedo → Cd Sahagún</v>
      </c>
      <c r="AE729" t="s">
        <v>1357</v>
      </c>
      <c r="AF729" s="4">
        <v>45809</v>
      </c>
      <c r="AG729" t="str">
        <f>YEAR(Table1[[#This Row],[Fecha]])&amp;" - " &amp;UPPER(TEXT(Table1[[#This Row],[Fecha]],"mm-mmm"))</f>
        <v>2025 - 06-JUN</v>
      </c>
      <c r="AH729" s="5">
        <v>0</v>
      </c>
    </row>
    <row r="730" spans="1:34" x14ac:dyDescent="0.25">
      <c r="A730" t="s">
        <v>141</v>
      </c>
      <c r="B730">
        <v>2025</v>
      </c>
      <c r="C730">
        <v>6</v>
      </c>
      <c r="D730" s="1">
        <v>45811</v>
      </c>
      <c r="E730" s="1">
        <v>45811</v>
      </c>
      <c r="F730" s="1">
        <v>45813</v>
      </c>
      <c r="G730" s="1">
        <v>45812</v>
      </c>
      <c r="H730" s="1">
        <v>45813</v>
      </c>
      <c r="I730">
        <v>2244</v>
      </c>
      <c r="J730" t="s">
        <v>41</v>
      </c>
      <c r="K730" t="s">
        <v>42</v>
      </c>
      <c r="L730">
        <v>2528</v>
      </c>
      <c r="M730">
        <v>1264</v>
      </c>
      <c r="N730" t="s">
        <v>43</v>
      </c>
      <c r="O730">
        <v>1</v>
      </c>
      <c r="P730">
        <v>1264</v>
      </c>
      <c r="Q730" t="b">
        <v>1</v>
      </c>
      <c r="R730" t="b">
        <v>0</v>
      </c>
      <c r="S730" t="b">
        <v>0</v>
      </c>
      <c r="T730">
        <v>1746</v>
      </c>
      <c r="U730">
        <v>0</v>
      </c>
      <c r="V730" t="s">
        <v>33</v>
      </c>
      <c r="W730" t="s">
        <v>142</v>
      </c>
      <c r="X730">
        <v>1300</v>
      </c>
      <c r="Y730">
        <v>3</v>
      </c>
      <c r="Z730" t="s">
        <v>71</v>
      </c>
      <c r="AA730">
        <v>3</v>
      </c>
      <c r="AB730" t="s">
        <v>60</v>
      </c>
      <c r="AC730" t="s">
        <v>56</v>
      </c>
      <c r="AD730" t="str">
        <f t="shared" si="11"/>
        <v>Culiacan → Cd Sahagún</v>
      </c>
      <c r="AE730" t="s">
        <v>1359</v>
      </c>
      <c r="AF730" s="4">
        <v>45809</v>
      </c>
      <c r="AG730" t="str">
        <f>YEAR(Table1[[#This Row],[Fecha]])&amp;" - " &amp;UPPER(TEXT(Table1[[#This Row],[Fecha]],"mm-mmm"))</f>
        <v>2025 - 06-JUN</v>
      </c>
      <c r="AH730" s="5">
        <v>0</v>
      </c>
    </row>
    <row r="731" spans="1:34" x14ac:dyDescent="0.25">
      <c r="A731" t="s">
        <v>274</v>
      </c>
      <c r="B731">
        <v>2025</v>
      </c>
      <c r="C731">
        <v>6</v>
      </c>
      <c r="D731" s="1">
        <v>45827</v>
      </c>
      <c r="E731" s="1">
        <v>45827</v>
      </c>
      <c r="F731" s="1">
        <v>45828</v>
      </c>
      <c r="G731" s="1">
        <v>45827</v>
      </c>
      <c r="H731" s="1">
        <v>45828</v>
      </c>
      <c r="I731">
        <v>2050</v>
      </c>
      <c r="J731" t="s">
        <v>54</v>
      </c>
      <c r="K731" t="s">
        <v>31</v>
      </c>
      <c r="L731">
        <v>961</v>
      </c>
      <c r="M731">
        <v>0</v>
      </c>
      <c r="N731" t="s">
        <v>55</v>
      </c>
      <c r="O731">
        <v>1</v>
      </c>
      <c r="P731">
        <v>964</v>
      </c>
      <c r="Q731" t="b">
        <v>1</v>
      </c>
      <c r="R731" t="b">
        <v>0</v>
      </c>
      <c r="S731" t="b">
        <v>0</v>
      </c>
      <c r="T731">
        <v>0</v>
      </c>
      <c r="U731">
        <v>0</v>
      </c>
      <c r="V731" t="s">
        <v>33</v>
      </c>
      <c r="W731" t="s">
        <v>33</v>
      </c>
      <c r="X731">
        <v>0</v>
      </c>
      <c r="Y731">
        <v>8</v>
      </c>
      <c r="Z731" t="s">
        <v>71</v>
      </c>
      <c r="AA731">
        <v>8</v>
      </c>
      <c r="AB731" t="s">
        <v>121</v>
      </c>
      <c r="AC731" t="s">
        <v>56</v>
      </c>
      <c r="AD731" t="str">
        <f t="shared" si="11"/>
        <v>Escobedo → Cd Sahagún</v>
      </c>
      <c r="AE731" t="s">
        <v>1358</v>
      </c>
      <c r="AF731" s="4">
        <v>45809</v>
      </c>
      <c r="AG731" t="str">
        <f>YEAR(Table1[[#This Row],[Fecha]])&amp;" - " &amp;UPPER(TEXT(Table1[[#This Row],[Fecha]],"mm-mmm"))</f>
        <v>2025 - 06-JUN</v>
      </c>
      <c r="AH731" s="5">
        <v>0</v>
      </c>
    </row>
    <row r="732" spans="1:34" x14ac:dyDescent="0.25">
      <c r="A732" t="s">
        <v>143</v>
      </c>
      <c r="B732">
        <v>2025</v>
      </c>
      <c r="C732">
        <v>6</v>
      </c>
      <c r="D732" s="1">
        <v>45832</v>
      </c>
      <c r="E732" s="1">
        <v>45832</v>
      </c>
      <c r="F732" s="1">
        <v>45833</v>
      </c>
      <c r="G732" s="1">
        <v>45832</v>
      </c>
      <c r="H732" s="1">
        <v>45833</v>
      </c>
      <c r="I732">
        <v>2050</v>
      </c>
      <c r="J732" t="s">
        <v>54</v>
      </c>
      <c r="K732" t="s">
        <v>31</v>
      </c>
      <c r="L732">
        <v>640</v>
      </c>
      <c r="M732">
        <v>0</v>
      </c>
      <c r="N732" t="s">
        <v>55</v>
      </c>
      <c r="O732">
        <v>1</v>
      </c>
      <c r="P732">
        <v>640</v>
      </c>
      <c r="Q732" t="b">
        <v>1</v>
      </c>
      <c r="R732" t="b">
        <v>0</v>
      </c>
      <c r="S732" t="b">
        <v>0</v>
      </c>
      <c r="T732">
        <v>0</v>
      </c>
      <c r="U732">
        <v>0</v>
      </c>
      <c r="V732" t="s">
        <v>33</v>
      </c>
      <c r="W732" t="s">
        <v>144</v>
      </c>
      <c r="X732">
        <v>0</v>
      </c>
      <c r="Y732">
        <v>3</v>
      </c>
      <c r="Z732" t="s">
        <v>44</v>
      </c>
      <c r="AA732">
        <v>3</v>
      </c>
      <c r="AB732" t="s">
        <v>60</v>
      </c>
      <c r="AC732" t="s">
        <v>56</v>
      </c>
      <c r="AD732" t="str">
        <f t="shared" si="11"/>
        <v>Culiacan → Cd Sahagún</v>
      </c>
      <c r="AE732" t="s">
        <v>1358</v>
      </c>
      <c r="AF732" s="4">
        <v>45809</v>
      </c>
      <c r="AG732" t="str">
        <f>YEAR(Table1[[#This Row],[Fecha]])&amp;" - " &amp;UPPER(TEXT(Table1[[#This Row],[Fecha]],"mm-mmm"))</f>
        <v>2025 - 06-JUN</v>
      </c>
      <c r="AH732" s="5">
        <v>0</v>
      </c>
    </row>
    <row r="733" spans="1:34" x14ac:dyDescent="0.25">
      <c r="A733" t="s">
        <v>1336</v>
      </c>
      <c r="B733">
        <v>2025</v>
      </c>
      <c r="C733">
        <v>6</v>
      </c>
      <c r="D733" s="1">
        <v>45832</v>
      </c>
      <c r="E733" s="1">
        <v>45832</v>
      </c>
      <c r="F733" s="1">
        <v>45833</v>
      </c>
      <c r="G733" s="1">
        <v>45833</v>
      </c>
      <c r="H733" s="1">
        <v>45833</v>
      </c>
      <c r="I733">
        <v>2050</v>
      </c>
      <c r="J733" t="s">
        <v>54</v>
      </c>
      <c r="K733" t="s">
        <v>31</v>
      </c>
      <c r="L733">
        <v>497</v>
      </c>
      <c r="M733">
        <v>497</v>
      </c>
      <c r="N733" t="s">
        <v>55</v>
      </c>
      <c r="O733">
        <v>1</v>
      </c>
      <c r="P733">
        <v>497</v>
      </c>
      <c r="Q733" t="b">
        <v>1</v>
      </c>
      <c r="R733" t="b">
        <v>0</v>
      </c>
      <c r="S733" t="b">
        <v>0</v>
      </c>
      <c r="T733">
        <v>857</v>
      </c>
      <c r="U733">
        <v>0</v>
      </c>
      <c r="V733" t="s">
        <v>33</v>
      </c>
      <c r="W733" t="s">
        <v>1337</v>
      </c>
      <c r="X733">
        <v>500</v>
      </c>
      <c r="Y733">
        <v>4792</v>
      </c>
      <c r="Z733" t="s">
        <v>44</v>
      </c>
      <c r="AA733">
        <v>4792</v>
      </c>
      <c r="AB733" t="s">
        <v>91</v>
      </c>
      <c r="AC733" t="s">
        <v>225</v>
      </c>
      <c r="AD733" t="str">
        <f t="shared" si="11"/>
        <v>Guerrero → Queretaro</v>
      </c>
      <c r="AE733" t="s">
        <v>1358</v>
      </c>
      <c r="AF733" s="4">
        <v>45809</v>
      </c>
      <c r="AG733" t="str">
        <f>YEAR(Table1[[#This Row],[Fecha]])&amp;" - " &amp;UPPER(TEXT(Table1[[#This Row],[Fecha]],"mm-mmm"))</f>
        <v>2025 - 06-JUN</v>
      </c>
      <c r="AH733" s="5">
        <v>0</v>
      </c>
    </row>
    <row r="734" spans="1:34" x14ac:dyDescent="0.25">
      <c r="A734" t="s">
        <v>146</v>
      </c>
      <c r="B734">
        <v>2025</v>
      </c>
      <c r="C734">
        <v>6</v>
      </c>
      <c r="D734" s="1">
        <v>45832</v>
      </c>
      <c r="E734" s="1">
        <v>45832</v>
      </c>
      <c r="F734" s="1">
        <v>45834</v>
      </c>
      <c r="G734" s="1">
        <v>45833</v>
      </c>
      <c r="H734" s="1">
        <v>45834</v>
      </c>
      <c r="I734">
        <v>2050</v>
      </c>
      <c r="J734" t="s">
        <v>54</v>
      </c>
      <c r="K734" t="s">
        <v>31</v>
      </c>
      <c r="L734">
        <v>238</v>
      </c>
      <c r="M734">
        <v>0</v>
      </c>
      <c r="N734" t="s">
        <v>55</v>
      </c>
      <c r="O734">
        <v>1</v>
      </c>
      <c r="P734">
        <v>236</v>
      </c>
      <c r="Q734" t="b">
        <v>1</v>
      </c>
      <c r="R734" t="b">
        <v>0</v>
      </c>
      <c r="S734" t="b">
        <v>0</v>
      </c>
      <c r="T734">
        <v>0</v>
      </c>
      <c r="U734">
        <v>0</v>
      </c>
      <c r="V734" t="s">
        <v>33</v>
      </c>
      <c r="W734" t="s">
        <v>33</v>
      </c>
      <c r="X734">
        <v>0</v>
      </c>
      <c r="Y734">
        <v>3</v>
      </c>
      <c r="Z734" t="s">
        <v>44</v>
      </c>
      <c r="AA734">
        <v>3</v>
      </c>
      <c r="AB734" t="s">
        <v>60</v>
      </c>
      <c r="AC734" t="s">
        <v>56</v>
      </c>
      <c r="AD734" t="str">
        <f t="shared" si="11"/>
        <v>Culiacan → Cd Sahagún</v>
      </c>
      <c r="AE734" t="s">
        <v>1358</v>
      </c>
      <c r="AF734" s="4">
        <v>45809</v>
      </c>
      <c r="AG734" t="str">
        <f>YEAR(Table1[[#This Row],[Fecha]])&amp;" - " &amp;UPPER(TEXT(Table1[[#This Row],[Fecha]],"mm-mmm"))</f>
        <v>2025 - 06-JUN</v>
      </c>
      <c r="AH734" s="5">
        <v>0</v>
      </c>
    </row>
    <row r="735" spans="1:34" x14ac:dyDescent="0.25">
      <c r="A735" t="s">
        <v>153</v>
      </c>
      <c r="B735">
        <v>2025</v>
      </c>
      <c r="C735">
        <v>6</v>
      </c>
      <c r="D735" s="1">
        <v>45814</v>
      </c>
      <c r="E735" s="1">
        <v>45814</v>
      </c>
      <c r="F735" s="1">
        <v>45824</v>
      </c>
      <c r="G735" s="1">
        <v>45816</v>
      </c>
      <c r="H735" s="1">
        <v>45817</v>
      </c>
      <c r="I735">
        <v>2244</v>
      </c>
      <c r="J735" t="s">
        <v>41</v>
      </c>
      <c r="K735" t="s">
        <v>42</v>
      </c>
      <c r="L735">
        <v>961</v>
      </c>
      <c r="M735">
        <v>0</v>
      </c>
      <c r="N735" t="s">
        <v>43</v>
      </c>
      <c r="O735">
        <v>1</v>
      </c>
      <c r="P735">
        <v>964</v>
      </c>
      <c r="Q735" t="b">
        <v>1</v>
      </c>
      <c r="R735" t="b">
        <v>0</v>
      </c>
      <c r="S735" t="b">
        <v>0</v>
      </c>
      <c r="T735">
        <v>0</v>
      </c>
      <c r="U735">
        <v>0</v>
      </c>
      <c r="V735" t="s">
        <v>33</v>
      </c>
      <c r="W735" t="s">
        <v>33</v>
      </c>
      <c r="X735">
        <v>0</v>
      </c>
      <c r="Y735">
        <v>103</v>
      </c>
      <c r="Z735" t="s">
        <v>71</v>
      </c>
      <c r="AA735">
        <v>103</v>
      </c>
      <c r="AB735" t="s">
        <v>60</v>
      </c>
      <c r="AC735" t="s">
        <v>154</v>
      </c>
      <c r="AD735" t="str">
        <f t="shared" si="11"/>
        <v>Culiacan → Pachuca</v>
      </c>
      <c r="AE735" t="s">
        <v>1359</v>
      </c>
      <c r="AF735" s="4">
        <v>45809</v>
      </c>
      <c r="AG735" t="str">
        <f>YEAR(Table1[[#This Row],[Fecha]])&amp;" - " &amp;UPPER(TEXT(Table1[[#This Row],[Fecha]],"mm-mmm"))</f>
        <v>2025 - 06-JUN</v>
      </c>
      <c r="AH735" s="5">
        <v>0</v>
      </c>
    </row>
    <row r="736" spans="1:34" x14ac:dyDescent="0.25">
      <c r="A736" t="s">
        <v>1296</v>
      </c>
      <c r="B736">
        <v>2025</v>
      </c>
      <c r="C736">
        <v>7</v>
      </c>
      <c r="D736" s="1">
        <v>45846</v>
      </c>
      <c r="E736" s="1">
        <v>45846</v>
      </c>
      <c r="F736" s="1">
        <v>45846</v>
      </c>
      <c r="G736" s="1">
        <v>45846</v>
      </c>
      <c r="H736" s="2">
        <v>45846.687747534721</v>
      </c>
      <c r="I736">
        <v>2039</v>
      </c>
      <c r="J736" t="s">
        <v>30</v>
      </c>
      <c r="K736" t="s">
        <v>31</v>
      </c>
      <c r="L736">
        <v>50</v>
      </c>
      <c r="M736">
        <v>50</v>
      </c>
      <c r="N736" t="s">
        <v>32</v>
      </c>
      <c r="O736">
        <v>1</v>
      </c>
      <c r="P736">
        <v>150</v>
      </c>
      <c r="Q736" t="b">
        <v>1</v>
      </c>
      <c r="R736" t="b">
        <v>0</v>
      </c>
      <c r="S736" t="b">
        <v>0</v>
      </c>
      <c r="T736">
        <v>231</v>
      </c>
      <c r="U736">
        <v>0</v>
      </c>
      <c r="V736" t="s">
        <v>33</v>
      </c>
      <c r="W736" t="s">
        <v>33</v>
      </c>
      <c r="X736">
        <v>50</v>
      </c>
      <c r="Y736">
        <v>359</v>
      </c>
      <c r="Z736" t="s">
        <v>106</v>
      </c>
      <c r="AA736">
        <v>359</v>
      </c>
      <c r="AB736" t="s">
        <v>121</v>
      </c>
      <c r="AC736" t="s">
        <v>121</v>
      </c>
      <c r="AD736" t="str">
        <f t="shared" si="11"/>
        <v>Escobedo → Escobedo</v>
      </c>
      <c r="AE736" t="s">
        <v>1357</v>
      </c>
      <c r="AF736" s="4">
        <v>45839</v>
      </c>
      <c r="AG736" t="str">
        <f>YEAR(Table1[[#This Row],[Fecha]])&amp;" - " &amp;UPPER(TEXT(Table1[[#This Row],[Fecha]],"mm-mmm"))</f>
        <v>2025 - 07-JUL</v>
      </c>
      <c r="AH736" s="5">
        <v>0</v>
      </c>
    </row>
    <row r="737" spans="1:34" x14ac:dyDescent="0.25">
      <c r="A737" t="s">
        <v>1297</v>
      </c>
      <c r="B737">
        <v>2025</v>
      </c>
      <c r="C737">
        <v>7</v>
      </c>
      <c r="D737" s="1">
        <v>45846</v>
      </c>
      <c r="E737" s="1">
        <v>45846</v>
      </c>
      <c r="F737" s="1">
        <v>45846</v>
      </c>
      <c r="G737" s="1">
        <v>45846</v>
      </c>
      <c r="H737" s="2">
        <v>45846.688334062499</v>
      </c>
      <c r="I737">
        <v>2039</v>
      </c>
      <c r="J737" t="s">
        <v>30</v>
      </c>
      <c r="K737" t="s">
        <v>31</v>
      </c>
      <c r="L737">
        <v>50</v>
      </c>
      <c r="M737">
        <v>50</v>
      </c>
      <c r="N737" t="s">
        <v>32</v>
      </c>
      <c r="O737">
        <v>1</v>
      </c>
      <c r="P737">
        <v>150</v>
      </c>
      <c r="Q737" t="b">
        <v>1</v>
      </c>
      <c r="R737" t="b">
        <v>0</v>
      </c>
      <c r="S737" t="b">
        <v>0</v>
      </c>
      <c r="T737">
        <v>231</v>
      </c>
      <c r="U737">
        <v>0</v>
      </c>
      <c r="V737" t="s">
        <v>33</v>
      </c>
      <c r="W737" t="s">
        <v>33</v>
      </c>
      <c r="X737">
        <v>50</v>
      </c>
      <c r="Y737">
        <v>359</v>
      </c>
      <c r="Z737" t="s">
        <v>34</v>
      </c>
      <c r="AA737">
        <v>359</v>
      </c>
      <c r="AB737" t="s">
        <v>121</v>
      </c>
      <c r="AC737" t="s">
        <v>121</v>
      </c>
      <c r="AD737" t="str">
        <f t="shared" si="11"/>
        <v>Escobedo → Escobedo</v>
      </c>
      <c r="AE737" t="s">
        <v>1357</v>
      </c>
      <c r="AF737" s="4">
        <v>45839</v>
      </c>
      <c r="AG737" t="str">
        <f>YEAR(Table1[[#This Row],[Fecha]])&amp;" - " &amp;UPPER(TEXT(Table1[[#This Row],[Fecha]],"mm-mmm"))</f>
        <v>2025 - 07-JUL</v>
      </c>
      <c r="AH737" s="5">
        <v>0</v>
      </c>
    </row>
    <row r="738" spans="1:34" x14ac:dyDescent="0.25">
      <c r="A738" t="s">
        <v>388</v>
      </c>
      <c r="B738">
        <v>2025</v>
      </c>
      <c r="C738">
        <v>7</v>
      </c>
      <c r="D738" s="1">
        <v>45846</v>
      </c>
      <c r="E738" s="1">
        <v>45846</v>
      </c>
      <c r="F738" s="1">
        <v>45846</v>
      </c>
      <c r="G738" s="1">
        <v>45846</v>
      </c>
      <c r="H738" s="2">
        <v>45846.690030243059</v>
      </c>
      <c r="I738">
        <v>2039</v>
      </c>
      <c r="J738" t="s">
        <v>30</v>
      </c>
      <c r="K738" t="s">
        <v>31</v>
      </c>
      <c r="L738">
        <v>50</v>
      </c>
      <c r="M738">
        <v>50</v>
      </c>
      <c r="N738" t="s">
        <v>32</v>
      </c>
      <c r="O738">
        <v>1</v>
      </c>
      <c r="P738">
        <v>150</v>
      </c>
      <c r="Q738" t="b">
        <v>1</v>
      </c>
      <c r="R738" t="b">
        <v>0</v>
      </c>
      <c r="S738" t="b">
        <v>0</v>
      </c>
      <c r="T738">
        <v>231</v>
      </c>
      <c r="U738">
        <v>0</v>
      </c>
      <c r="V738" t="s">
        <v>33</v>
      </c>
      <c r="W738" t="s">
        <v>33</v>
      </c>
      <c r="X738">
        <v>50</v>
      </c>
      <c r="Y738">
        <v>461</v>
      </c>
      <c r="Z738" t="s">
        <v>34</v>
      </c>
      <c r="AA738">
        <v>461</v>
      </c>
      <c r="AB738" t="s">
        <v>121</v>
      </c>
      <c r="AC738" t="s">
        <v>35</v>
      </c>
      <c r="AD738" t="str">
        <f t="shared" si="11"/>
        <v>Escobedo → Monterrey</v>
      </c>
      <c r="AE738" t="s">
        <v>1357</v>
      </c>
      <c r="AF738" s="4">
        <v>45839</v>
      </c>
      <c r="AG738" t="str">
        <f>YEAR(Table1[[#This Row],[Fecha]])&amp;" - " &amp;UPPER(TEXT(Table1[[#This Row],[Fecha]],"mm-mmm"))</f>
        <v>2025 - 07-JUL</v>
      </c>
      <c r="AH738" s="5">
        <v>0</v>
      </c>
    </row>
    <row r="739" spans="1:34" x14ac:dyDescent="0.25">
      <c r="A739" t="s">
        <v>389</v>
      </c>
      <c r="B739">
        <v>2025</v>
      </c>
      <c r="C739">
        <v>7</v>
      </c>
      <c r="D739" s="1">
        <v>45846</v>
      </c>
      <c r="E739" s="1">
        <v>45846</v>
      </c>
      <c r="F739" s="1">
        <v>45846</v>
      </c>
      <c r="G739" s="1">
        <v>45846</v>
      </c>
      <c r="H739" s="2">
        <v>45846.690915543979</v>
      </c>
      <c r="I739">
        <v>2039</v>
      </c>
      <c r="J739" t="s">
        <v>30</v>
      </c>
      <c r="K739" t="s">
        <v>31</v>
      </c>
      <c r="L739">
        <v>50</v>
      </c>
      <c r="M739">
        <v>50</v>
      </c>
      <c r="N739" t="s">
        <v>32</v>
      </c>
      <c r="O739">
        <v>1</v>
      </c>
      <c r="P739">
        <v>150</v>
      </c>
      <c r="Q739" t="b">
        <v>1</v>
      </c>
      <c r="R739" t="b">
        <v>0</v>
      </c>
      <c r="S739" t="b">
        <v>0</v>
      </c>
      <c r="T739">
        <v>231</v>
      </c>
      <c r="U739">
        <v>0</v>
      </c>
      <c r="V739" t="s">
        <v>33</v>
      </c>
      <c r="W739" t="s">
        <v>33</v>
      </c>
      <c r="X739">
        <v>50</v>
      </c>
      <c r="Y739">
        <v>461</v>
      </c>
      <c r="Z739" t="s">
        <v>34</v>
      </c>
      <c r="AA739">
        <v>461</v>
      </c>
      <c r="AB739" t="s">
        <v>121</v>
      </c>
      <c r="AC739" t="s">
        <v>35</v>
      </c>
      <c r="AD739" t="str">
        <f t="shared" si="11"/>
        <v>Escobedo → Monterrey</v>
      </c>
      <c r="AE739" t="s">
        <v>1357</v>
      </c>
      <c r="AF739" s="4">
        <v>45839</v>
      </c>
      <c r="AG739" t="str">
        <f>YEAR(Table1[[#This Row],[Fecha]])&amp;" - " &amp;UPPER(TEXT(Table1[[#This Row],[Fecha]],"mm-mmm"))</f>
        <v>2025 - 07-JUL</v>
      </c>
      <c r="AH739" s="5">
        <v>0</v>
      </c>
    </row>
    <row r="740" spans="1:34" x14ac:dyDescent="0.25">
      <c r="A740" t="s">
        <v>1287</v>
      </c>
      <c r="B740">
        <v>2025</v>
      </c>
      <c r="C740">
        <v>7</v>
      </c>
      <c r="D740" s="1">
        <v>45846</v>
      </c>
      <c r="E740" s="1">
        <v>45846</v>
      </c>
      <c r="F740" s="1">
        <v>45846</v>
      </c>
      <c r="G740" s="1">
        <v>45846</v>
      </c>
      <c r="H740" s="1">
        <v>45846</v>
      </c>
      <c r="I740">
        <v>2039</v>
      </c>
      <c r="J740" t="s">
        <v>30</v>
      </c>
      <c r="K740" t="s">
        <v>31</v>
      </c>
      <c r="L740">
        <v>50</v>
      </c>
      <c r="M740">
        <v>50</v>
      </c>
      <c r="N740" t="s">
        <v>32</v>
      </c>
      <c r="O740">
        <v>1</v>
      </c>
      <c r="P740">
        <v>150</v>
      </c>
      <c r="Q740" t="b">
        <v>1</v>
      </c>
      <c r="R740" t="b">
        <v>0</v>
      </c>
      <c r="S740" t="b">
        <v>0</v>
      </c>
      <c r="T740">
        <v>231</v>
      </c>
      <c r="U740">
        <v>0</v>
      </c>
      <c r="V740" t="s">
        <v>33</v>
      </c>
      <c r="W740" t="s">
        <v>33</v>
      </c>
      <c r="X740">
        <v>50</v>
      </c>
      <c r="Y740">
        <v>359</v>
      </c>
      <c r="Z740" t="s">
        <v>34</v>
      </c>
      <c r="AA740">
        <v>359</v>
      </c>
      <c r="AB740" t="s">
        <v>121</v>
      </c>
      <c r="AC740" t="s">
        <v>121</v>
      </c>
      <c r="AD740" t="str">
        <f t="shared" si="11"/>
        <v>Escobedo → Escobedo</v>
      </c>
      <c r="AE740" t="s">
        <v>1357</v>
      </c>
      <c r="AF740" s="4">
        <v>45839</v>
      </c>
      <c r="AG740" t="str">
        <f>YEAR(Table1[[#This Row],[Fecha]])&amp;" - " &amp;UPPER(TEXT(Table1[[#This Row],[Fecha]],"mm-mmm"))</f>
        <v>2025 - 07-JUL</v>
      </c>
      <c r="AH740" s="5">
        <v>0</v>
      </c>
    </row>
    <row r="741" spans="1:34" x14ac:dyDescent="0.25">
      <c r="A741" t="s">
        <v>391</v>
      </c>
      <c r="B741">
        <v>2025</v>
      </c>
      <c r="C741">
        <v>7</v>
      </c>
      <c r="D741" s="1">
        <v>45846</v>
      </c>
      <c r="E741" s="1">
        <v>45846</v>
      </c>
      <c r="F741" s="1">
        <v>45847</v>
      </c>
      <c r="G741" s="1">
        <v>45847</v>
      </c>
      <c r="H741" s="2">
        <v>45847.341720219905</v>
      </c>
      <c r="I741">
        <v>2039</v>
      </c>
      <c r="J741" t="s">
        <v>30</v>
      </c>
      <c r="K741" t="s">
        <v>31</v>
      </c>
      <c r="L741">
        <v>50</v>
      </c>
      <c r="M741">
        <v>50</v>
      </c>
      <c r="N741" t="s">
        <v>32</v>
      </c>
      <c r="O741">
        <v>1</v>
      </c>
      <c r="P741">
        <v>150</v>
      </c>
      <c r="Q741" t="b">
        <v>1</v>
      </c>
      <c r="R741" t="b">
        <v>0</v>
      </c>
      <c r="S741" t="b">
        <v>0</v>
      </c>
      <c r="T741">
        <v>231</v>
      </c>
      <c r="U741">
        <v>0</v>
      </c>
      <c r="V741" t="s">
        <v>33</v>
      </c>
      <c r="W741" t="s">
        <v>392</v>
      </c>
      <c r="X741">
        <v>50</v>
      </c>
      <c r="Y741">
        <v>461</v>
      </c>
      <c r="Z741" t="s">
        <v>74</v>
      </c>
      <c r="AA741">
        <v>461</v>
      </c>
      <c r="AB741" t="s">
        <v>121</v>
      </c>
      <c r="AC741" t="s">
        <v>35</v>
      </c>
      <c r="AD741" t="str">
        <f t="shared" si="11"/>
        <v>Escobedo → Monterrey</v>
      </c>
      <c r="AE741" t="s">
        <v>1357</v>
      </c>
      <c r="AF741" s="4">
        <v>45839</v>
      </c>
      <c r="AG741" t="str">
        <f>YEAR(Table1[[#This Row],[Fecha]])&amp;" - " &amp;UPPER(TEXT(Table1[[#This Row],[Fecha]],"mm-mmm"))</f>
        <v>2025 - 07-JUL</v>
      </c>
      <c r="AH741" s="5">
        <v>0</v>
      </c>
    </row>
    <row r="742" spans="1:34" x14ac:dyDescent="0.25">
      <c r="A742" t="s">
        <v>1288</v>
      </c>
      <c r="B742">
        <v>2025</v>
      </c>
      <c r="C742">
        <v>7</v>
      </c>
      <c r="D742" s="1">
        <v>45847</v>
      </c>
      <c r="E742" s="1">
        <v>45847</v>
      </c>
      <c r="F742" s="1">
        <v>45847</v>
      </c>
      <c r="G742" s="1">
        <v>45847</v>
      </c>
      <c r="H742" s="2">
        <v>45847.927138425926</v>
      </c>
      <c r="I742">
        <v>2039</v>
      </c>
      <c r="J742" t="s">
        <v>30</v>
      </c>
      <c r="K742" t="s">
        <v>31</v>
      </c>
      <c r="L742">
        <v>50</v>
      </c>
      <c r="M742">
        <v>50</v>
      </c>
      <c r="N742" t="s">
        <v>32</v>
      </c>
      <c r="O742">
        <v>1</v>
      </c>
      <c r="P742">
        <v>150</v>
      </c>
      <c r="Q742" t="b">
        <v>1</v>
      </c>
      <c r="R742" t="b">
        <v>0</v>
      </c>
      <c r="S742" t="b">
        <v>0</v>
      </c>
      <c r="T742">
        <v>231</v>
      </c>
      <c r="U742">
        <v>0</v>
      </c>
      <c r="V742" t="s">
        <v>33</v>
      </c>
      <c r="W742" t="s">
        <v>33</v>
      </c>
      <c r="X742">
        <v>50</v>
      </c>
      <c r="Y742">
        <v>359</v>
      </c>
      <c r="Z742" t="s">
        <v>34</v>
      </c>
      <c r="AA742">
        <v>359</v>
      </c>
      <c r="AB742" t="s">
        <v>121</v>
      </c>
      <c r="AC742" t="s">
        <v>121</v>
      </c>
      <c r="AD742" t="str">
        <f t="shared" si="11"/>
        <v>Escobedo → Escobedo</v>
      </c>
      <c r="AE742" t="s">
        <v>1357</v>
      </c>
      <c r="AF742" s="4">
        <v>45839</v>
      </c>
      <c r="AG742" t="str">
        <f>YEAR(Table1[[#This Row],[Fecha]])&amp;" - " &amp;UPPER(TEXT(Table1[[#This Row],[Fecha]],"mm-mmm"))</f>
        <v>2025 - 07-JUL</v>
      </c>
      <c r="AH742" s="5">
        <v>0</v>
      </c>
    </row>
    <row r="743" spans="1:34" x14ac:dyDescent="0.25">
      <c r="A743" t="s">
        <v>1289</v>
      </c>
      <c r="B743">
        <v>2025</v>
      </c>
      <c r="C743">
        <v>7</v>
      </c>
      <c r="D743" s="1">
        <v>45847</v>
      </c>
      <c r="E743" s="1">
        <v>45847</v>
      </c>
      <c r="F743" s="1">
        <v>45847</v>
      </c>
      <c r="G743" s="1">
        <v>45847</v>
      </c>
      <c r="H743" s="2">
        <v>45847.92771802083</v>
      </c>
      <c r="I743">
        <v>2039</v>
      </c>
      <c r="J743" t="s">
        <v>30</v>
      </c>
      <c r="K743" t="s">
        <v>31</v>
      </c>
      <c r="L743">
        <v>50</v>
      </c>
      <c r="M743">
        <v>50</v>
      </c>
      <c r="N743" t="s">
        <v>32</v>
      </c>
      <c r="O743">
        <v>1</v>
      </c>
      <c r="P743">
        <v>150</v>
      </c>
      <c r="Q743" t="b">
        <v>1</v>
      </c>
      <c r="R743" t="b">
        <v>0</v>
      </c>
      <c r="S743" t="b">
        <v>0</v>
      </c>
      <c r="T743">
        <v>231</v>
      </c>
      <c r="U743">
        <v>0</v>
      </c>
      <c r="V743" t="s">
        <v>33</v>
      </c>
      <c r="W743" t="s">
        <v>33</v>
      </c>
      <c r="X743">
        <v>50</v>
      </c>
      <c r="Y743">
        <v>359</v>
      </c>
      <c r="Z743" t="s">
        <v>34</v>
      </c>
      <c r="AA743">
        <v>359</v>
      </c>
      <c r="AB743" t="s">
        <v>121</v>
      </c>
      <c r="AC743" t="s">
        <v>121</v>
      </c>
      <c r="AD743" t="str">
        <f t="shared" si="11"/>
        <v>Escobedo → Escobedo</v>
      </c>
      <c r="AE743" t="s">
        <v>1357</v>
      </c>
      <c r="AF743" s="4">
        <v>45839</v>
      </c>
      <c r="AG743" t="str">
        <f>YEAR(Table1[[#This Row],[Fecha]])&amp;" - " &amp;UPPER(TEXT(Table1[[#This Row],[Fecha]],"mm-mmm"))</f>
        <v>2025 - 07-JUL</v>
      </c>
      <c r="AH743" s="5">
        <v>0</v>
      </c>
    </row>
    <row r="744" spans="1:34" x14ac:dyDescent="0.25">
      <c r="A744" t="s">
        <v>634</v>
      </c>
      <c r="B744">
        <v>2025</v>
      </c>
      <c r="C744">
        <v>7</v>
      </c>
      <c r="D744" s="1">
        <v>45847</v>
      </c>
      <c r="E744" s="1">
        <v>45847</v>
      </c>
      <c r="F744" s="1">
        <v>45847</v>
      </c>
      <c r="G744" s="1">
        <v>45847</v>
      </c>
      <c r="H744" s="2">
        <v>45847.928240706016</v>
      </c>
      <c r="I744">
        <v>2039</v>
      </c>
      <c r="J744" t="s">
        <v>30</v>
      </c>
      <c r="K744" t="s">
        <v>31</v>
      </c>
      <c r="L744">
        <v>50</v>
      </c>
      <c r="M744">
        <v>50</v>
      </c>
      <c r="N744" t="s">
        <v>32</v>
      </c>
      <c r="O744">
        <v>1</v>
      </c>
      <c r="P744">
        <v>150</v>
      </c>
      <c r="Q744" t="b">
        <v>1</v>
      </c>
      <c r="R744" t="b">
        <v>0</v>
      </c>
      <c r="S744" t="b">
        <v>0</v>
      </c>
      <c r="T744">
        <v>231</v>
      </c>
      <c r="U744">
        <v>0</v>
      </c>
      <c r="V744" t="s">
        <v>33</v>
      </c>
      <c r="W744" t="s">
        <v>33</v>
      </c>
      <c r="X744">
        <v>50</v>
      </c>
      <c r="Y744">
        <v>2936</v>
      </c>
      <c r="Z744" t="s">
        <v>34</v>
      </c>
      <c r="AA744">
        <v>2936</v>
      </c>
      <c r="AB744" t="s">
        <v>121</v>
      </c>
      <c r="AC744" t="s">
        <v>432</v>
      </c>
      <c r="AD744" t="str">
        <f t="shared" si="11"/>
        <v>Escobedo → Hidalgo</v>
      </c>
      <c r="AE744" t="s">
        <v>1357</v>
      </c>
      <c r="AF744" s="4">
        <v>45839</v>
      </c>
      <c r="AG744" t="str">
        <f>YEAR(Table1[[#This Row],[Fecha]])&amp;" - " &amp;UPPER(TEXT(Table1[[#This Row],[Fecha]],"mm-mmm"))</f>
        <v>2025 - 07-JUL</v>
      </c>
      <c r="AH744" s="5">
        <v>0</v>
      </c>
    </row>
    <row r="745" spans="1:34" x14ac:dyDescent="0.25">
      <c r="A745" t="s">
        <v>1290</v>
      </c>
      <c r="B745">
        <v>2025</v>
      </c>
      <c r="C745">
        <v>7</v>
      </c>
      <c r="D745" s="1">
        <v>45847</v>
      </c>
      <c r="E745" s="1">
        <v>45847</v>
      </c>
      <c r="F745" s="1">
        <v>45847</v>
      </c>
      <c r="G745" s="1">
        <v>45847</v>
      </c>
      <c r="H745" s="2">
        <v>45847.928804479168</v>
      </c>
      <c r="I745">
        <v>2039</v>
      </c>
      <c r="J745" t="s">
        <v>30</v>
      </c>
      <c r="K745" t="s">
        <v>31</v>
      </c>
      <c r="L745">
        <v>50</v>
      </c>
      <c r="M745">
        <v>50</v>
      </c>
      <c r="N745" t="s">
        <v>32</v>
      </c>
      <c r="O745">
        <v>1</v>
      </c>
      <c r="P745">
        <v>150</v>
      </c>
      <c r="Q745" t="b">
        <v>1</v>
      </c>
      <c r="R745" t="b">
        <v>0</v>
      </c>
      <c r="S745" t="b">
        <v>0</v>
      </c>
      <c r="T745">
        <v>231</v>
      </c>
      <c r="U745">
        <v>0</v>
      </c>
      <c r="V745" t="s">
        <v>33</v>
      </c>
      <c r="W745" t="s">
        <v>33</v>
      </c>
      <c r="X745">
        <v>50</v>
      </c>
      <c r="Y745">
        <v>359</v>
      </c>
      <c r="Z745" t="s">
        <v>34</v>
      </c>
      <c r="AA745">
        <v>359</v>
      </c>
      <c r="AB745" t="s">
        <v>121</v>
      </c>
      <c r="AC745" t="s">
        <v>121</v>
      </c>
      <c r="AD745" t="str">
        <f t="shared" si="11"/>
        <v>Escobedo → Escobedo</v>
      </c>
      <c r="AE745" t="s">
        <v>1357</v>
      </c>
      <c r="AF745" s="4">
        <v>45839</v>
      </c>
      <c r="AG745" t="str">
        <f>YEAR(Table1[[#This Row],[Fecha]])&amp;" - " &amp;UPPER(TEXT(Table1[[#This Row],[Fecha]],"mm-mmm"))</f>
        <v>2025 - 07-JUL</v>
      </c>
      <c r="AH745" s="5">
        <v>0</v>
      </c>
    </row>
    <row r="746" spans="1:34" x14ac:dyDescent="0.25">
      <c r="A746" t="s">
        <v>1291</v>
      </c>
      <c r="B746">
        <v>2025</v>
      </c>
      <c r="C746">
        <v>7</v>
      </c>
      <c r="D746" s="1">
        <v>45848</v>
      </c>
      <c r="E746" s="1">
        <v>45848</v>
      </c>
      <c r="F746" s="1">
        <v>45848</v>
      </c>
      <c r="G746" s="1">
        <v>45848</v>
      </c>
      <c r="H746" s="2">
        <v>45848.895825891203</v>
      </c>
      <c r="I746">
        <v>2039</v>
      </c>
      <c r="J746" t="s">
        <v>30</v>
      </c>
      <c r="K746" t="s">
        <v>31</v>
      </c>
      <c r="L746">
        <v>50</v>
      </c>
      <c r="M746">
        <v>50</v>
      </c>
      <c r="N746" t="s">
        <v>32</v>
      </c>
      <c r="O746">
        <v>1</v>
      </c>
      <c r="P746">
        <v>150</v>
      </c>
      <c r="Q746" t="b">
        <v>1</v>
      </c>
      <c r="R746" t="b">
        <v>0</v>
      </c>
      <c r="S746" t="b">
        <v>0</v>
      </c>
      <c r="T746">
        <v>231</v>
      </c>
      <c r="U746">
        <v>0</v>
      </c>
      <c r="V746" t="s">
        <v>33</v>
      </c>
      <c r="W746" t="s">
        <v>33</v>
      </c>
      <c r="X746">
        <v>50</v>
      </c>
      <c r="Y746">
        <v>359</v>
      </c>
      <c r="Z746" t="s">
        <v>34</v>
      </c>
      <c r="AA746">
        <v>359</v>
      </c>
      <c r="AB746" t="s">
        <v>121</v>
      </c>
      <c r="AC746" t="s">
        <v>121</v>
      </c>
      <c r="AD746" t="str">
        <f t="shared" si="11"/>
        <v>Escobedo → Escobedo</v>
      </c>
      <c r="AE746" t="s">
        <v>1357</v>
      </c>
      <c r="AF746" s="4">
        <v>45839</v>
      </c>
      <c r="AG746" t="str">
        <f>YEAR(Table1[[#This Row],[Fecha]])&amp;" - " &amp;UPPER(TEXT(Table1[[#This Row],[Fecha]],"mm-mmm"))</f>
        <v>2025 - 07-JUL</v>
      </c>
      <c r="AH746" s="5">
        <v>0</v>
      </c>
    </row>
    <row r="747" spans="1:34" x14ac:dyDescent="0.25">
      <c r="A747" t="s">
        <v>633</v>
      </c>
      <c r="B747">
        <v>2025</v>
      </c>
      <c r="C747">
        <v>7</v>
      </c>
      <c r="D747" s="1">
        <v>45849</v>
      </c>
      <c r="E747" s="1">
        <v>45849</v>
      </c>
      <c r="F747" s="1">
        <v>45849</v>
      </c>
      <c r="G747" s="1">
        <v>45849</v>
      </c>
      <c r="H747" s="2">
        <v>45850.248524652779</v>
      </c>
      <c r="I747">
        <v>2039</v>
      </c>
      <c r="J747" t="s">
        <v>30</v>
      </c>
      <c r="K747" t="s">
        <v>31</v>
      </c>
      <c r="L747">
        <v>50</v>
      </c>
      <c r="M747">
        <v>50</v>
      </c>
      <c r="N747" t="s">
        <v>32</v>
      </c>
      <c r="O747">
        <v>1</v>
      </c>
      <c r="P747">
        <v>150</v>
      </c>
      <c r="Q747" t="b">
        <v>1</v>
      </c>
      <c r="R747" t="b">
        <v>0</v>
      </c>
      <c r="S747" t="b">
        <v>0</v>
      </c>
      <c r="T747">
        <v>231</v>
      </c>
      <c r="U747">
        <v>0</v>
      </c>
      <c r="V747" t="s">
        <v>33</v>
      </c>
      <c r="W747" t="s">
        <v>33</v>
      </c>
      <c r="X747">
        <v>50</v>
      </c>
      <c r="Y747">
        <v>2936</v>
      </c>
      <c r="Z747" t="s">
        <v>34</v>
      </c>
      <c r="AA747">
        <v>2936</v>
      </c>
      <c r="AB747" t="s">
        <v>121</v>
      </c>
      <c r="AC747" t="s">
        <v>432</v>
      </c>
      <c r="AD747" t="str">
        <f t="shared" si="11"/>
        <v>Escobedo → Hidalgo</v>
      </c>
      <c r="AE747" t="s">
        <v>1357</v>
      </c>
      <c r="AF747" s="4">
        <v>45839</v>
      </c>
      <c r="AG747" t="str">
        <f>YEAR(Table1[[#This Row],[Fecha]])&amp;" - " &amp;UPPER(TEXT(Table1[[#This Row],[Fecha]],"mm-mmm"))</f>
        <v>2025 - 07-JUL</v>
      </c>
      <c r="AH747" s="5">
        <v>0</v>
      </c>
    </row>
    <row r="748" spans="1:34" x14ac:dyDescent="0.25">
      <c r="A748" t="s">
        <v>1292</v>
      </c>
      <c r="B748">
        <v>2025</v>
      </c>
      <c r="C748">
        <v>7</v>
      </c>
      <c r="D748" s="1">
        <v>45849</v>
      </c>
      <c r="E748" s="1">
        <v>45849</v>
      </c>
      <c r="F748" s="1">
        <v>45849</v>
      </c>
      <c r="G748" s="1">
        <v>45849</v>
      </c>
      <c r="H748" s="2">
        <v>45850.248902465275</v>
      </c>
      <c r="I748">
        <v>2039</v>
      </c>
      <c r="J748" t="s">
        <v>30</v>
      </c>
      <c r="K748" t="s">
        <v>31</v>
      </c>
      <c r="L748">
        <v>50</v>
      </c>
      <c r="M748">
        <v>50</v>
      </c>
      <c r="N748" t="s">
        <v>32</v>
      </c>
      <c r="O748">
        <v>1</v>
      </c>
      <c r="P748">
        <v>150</v>
      </c>
      <c r="Q748" t="b">
        <v>1</v>
      </c>
      <c r="R748" t="b">
        <v>0</v>
      </c>
      <c r="S748" t="b">
        <v>0</v>
      </c>
      <c r="T748">
        <v>231</v>
      </c>
      <c r="U748">
        <v>0</v>
      </c>
      <c r="V748" t="s">
        <v>33</v>
      </c>
      <c r="W748" t="s">
        <v>33</v>
      </c>
      <c r="X748">
        <v>50</v>
      </c>
      <c r="Y748">
        <v>359</v>
      </c>
      <c r="Z748" t="s">
        <v>34</v>
      </c>
      <c r="AA748">
        <v>359</v>
      </c>
      <c r="AB748" t="s">
        <v>121</v>
      </c>
      <c r="AC748" t="s">
        <v>121</v>
      </c>
      <c r="AD748" t="str">
        <f t="shared" si="11"/>
        <v>Escobedo → Escobedo</v>
      </c>
      <c r="AE748" t="s">
        <v>1357</v>
      </c>
      <c r="AF748" s="4">
        <v>45839</v>
      </c>
      <c r="AG748" t="str">
        <f>YEAR(Table1[[#This Row],[Fecha]])&amp;" - " &amp;UPPER(TEXT(Table1[[#This Row],[Fecha]],"mm-mmm"))</f>
        <v>2025 - 07-JUL</v>
      </c>
      <c r="AH748" s="5">
        <v>0</v>
      </c>
    </row>
    <row r="749" spans="1:34" x14ac:dyDescent="0.25">
      <c r="A749" t="s">
        <v>1293</v>
      </c>
      <c r="B749">
        <v>2025</v>
      </c>
      <c r="C749">
        <v>7</v>
      </c>
      <c r="D749" s="1">
        <v>45849</v>
      </c>
      <c r="E749" s="1">
        <v>45849</v>
      </c>
      <c r="F749" s="1">
        <v>45849</v>
      </c>
      <c r="G749" s="1">
        <v>45849</v>
      </c>
      <c r="H749" s="2">
        <v>45850.249425578702</v>
      </c>
      <c r="I749">
        <v>2039</v>
      </c>
      <c r="J749" t="s">
        <v>30</v>
      </c>
      <c r="K749" t="s">
        <v>31</v>
      </c>
      <c r="L749">
        <v>50</v>
      </c>
      <c r="M749">
        <v>50</v>
      </c>
      <c r="N749" t="s">
        <v>32</v>
      </c>
      <c r="O749">
        <v>1</v>
      </c>
      <c r="P749">
        <v>150</v>
      </c>
      <c r="Q749" t="b">
        <v>1</v>
      </c>
      <c r="R749" t="b">
        <v>0</v>
      </c>
      <c r="S749" t="b">
        <v>0</v>
      </c>
      <c r="T749">
        <v>231</v>
      </c>
      <c r="U749">
        <v>0</v>
      </c>
      <c r="V749" t="s">
        <v>33</v>
      </c>
      <c r="W749" t="s">
        <v>33</v>
      </c>
      <c r="X749">
        <v>50</v>
      </c>
      <c r="Y749">
        <v>359</v>
      </c>
      <c r="Z749" t="s">
        <v>34</v>
      </c>
      <c r="AA749">
        <v>359</v>
      </c>
      <c r="AB749" t="s">
        <v>121</v>
      </c>
      <c r="AC749" t="s">
        <v>121</v>
      </c>
      <c r="AD749" t="str">
        <f t="shared" si="11"/>
        <v>Escobedo → Escobedo</v>
      </c>
      <c r="AE749" t="s">
        <v>1357</v>
      </c>
      <c r="AF749" s="4">
        <v>45839</v>
      </c>
      <c r="AG749" t="str">
        <f>YEAR(Table1[[#This Row],[Fecha]])&amp;" - " &amp;UPPER(TEXT(Table1[[#This Row],[Fecha]],"mm-mmm"))</f>
        <v>2025 - 07-JUL</v>
      </c>
      <c r="AH749" s="5">
        <v>0</v>
      </c>
    </row>
    <row r="750" spans="1:34" x14ac:dyDescent="0.25">
      <c r="A750" t="s">
        <v>632</v>
      </c>
      <c r="B750">
        <v>2025</v>
      </c>
      <c r="C750">
        <v>7</v>
      </c>
      <c r="D750" s="1">
        <v>45849</v>
      </c>
      <c r="E750" s="1">
        <v>45849</v>
      </c>
      <c r="F750" s="1">
        <v>45849</v>
      </c>
      <c r="G750" s="1">
        <v>45849</v>
      </c>
      <c r="H750" s="2">
        <v>45850.249900960647</v>
      </c>
      <c r="I750">
        <v>2039</v>
      </c>
      <c r="J750" t="s">
        <v>30</v>
      </c>
      <c r="K750" t="s">
        <v>31</v>
      </c>
      <c r="L750">
        <v>50</v>
      </c>
      <c r="M750">
        <v>50</v>
      </c>
      <c r="N750" t="s">
        <v>32</v>
      </c>
      <c r="O750">
        <v>1</v>
      </c>
      <c r="P750">
        <v>150</v>
      </c>
      <c r="Q750" t="b">
        <v>1</v>
      </c>
      <c r="R750" t="b">
        <v>0</v>
      </c>
      <c r="S750" t="b">
        <v>0</v>
      </c>
      <c r="T750">
        <v>231</v>
      </c>
      <c r="U750">
        <v>0</v>
      </c>
      <c r="V750" t="s">
        <v>33</v>
      </c>
      <c r="W750" t="s">
        <v>33</v>
      </c>
      <c r="X750">
        <v>50</v>
      </c>
      <c r="Y750">
        <v>2936</v>
      </c>
      <c r="Z750" t="s">
        <v>34</v>
      </c>
      <c r="AA750">
        <v>2936</v>
      </c>
      <c r="AB750" t="s">
        <v>121</v>
      </c>
      <c r="AC750" t="s">
        <v>432</v>
      </c>
      <c r="AD750" t="str">
        <f t="shared" si="11"/>
        <v>Escobedo → Hidalgo</v>
      </c>
      <c r="AE750" t="s">
        <v>1357</v>
      </c>
      <c r="AF750" s="4">
        <v>45839</v>
      </c>
      <c r="AG750" t="str">
        <f>YEAR(Table1[[#This Row],[Fecha]])&amp;" - " &amp;UPPER(TEXT(Table1[[#This Row],[Fecha]],"mm-mmm"))</f>
        <v>2025 - 07-JUL</v>
      </c>
      <c r="AH750" s="5">
        <v>0</v>
      </c>
    </row>
    <row r="751" spans="1:34" x14ac:dyDescent="0.25">
      <c r="A751" t="s">
        <v>1294</v>
      </c>
      <c r="B751">
        <v>2025</v>
      </c>
      <c r="C751">
        <v>7</v>
      </c>
      <c r="D751" s="1">
        <v>45850</v>
      </c>
      <c r="E751" s="1">
        <v>45850</v>
      </c>
      <c r="F751" s="1">
        <v>45850</v>
      </c>
      <c r="G751" s="1">
        <v>45850</v>
      </c>
      <c r="H751" s="2">
        <v>45850.723742511575</v>
      </c>
      <c r="I751">
        <v>2039</v>
      </c>
      <c r="J751" t="s">
        <v>30</v>
      </c>
      <c r="K751" t="s">
        <v>31</v>
      </c>
      <c r="L751">
        <v>50</v>
      </c>
      <c r="M751">
        <v>50</v>
      </c>
      <c r="N751" t="s">
        <v>32</v>
      </c>
      <c r="O751">
        <v>1</v>
      </c>
      <c r="P751">
        <v>150</v>
      </c>
      <c r="Q751" t="b">
        <v>1</v>
      </c>
      <c r="R751" t="b">
        <v>0</v>
      </c>
      <c r="S751" t="b">
        <v>0</v>
      </c>
      <c r="T751">
        <v>231</v>
      </c>
      <c r="U751">
        <v>0</v>
      </c>
      <c r="V751" t="s">
        <v>33</v>
      </c>
      <c r="W751" t="s">
        <v>33</v>
      </c>
      <c r="X751">
        <v>50</v>
      </c>
      <c r="Y751">
        <v>359</v>
      </c>
      <c r="Z751" t="s">
        <v>34</v>
      </c>
      <c r="AA751">
        <v>359</v>
      </c>
      <c r="AB751" t="s">
        <v>121</v>
      </c>
      <c r="AC751" t="s">
        <v>121</v>
      </c>
      <c r="AD751" t="str">
        <f t="shared" si="11"/>
        <v>Escobedo → Escobedo</v>
      </c>
      <c r="AE751" t="s">
        <v>1357</v>
      </c>
      <c r="AF751" s="4">
        <v>45839</v>
      </c>
      <c r="AG751" t="str">
        <f>YEAR(Table1[[#This Row],[Fecha]])&amp;" - " &amp;UPPER(TEXT(Table1[[#This Row],[Fecha]],"mm-mmm"))</f>
        <v>2025 - 07-JUL</v>
      </c>
      <c r="AH751" s="5">
        <v>0</v>
      </c>
    </row>
    <row r="752" spans="1:34" x14ac:dyDescent="0.25">
      <c r="A752" t="s">
        <v>390</v>
      </c>
      <c r="B752">
        <v>2025</v>
      </c>
      <c r="C752">
        <v>7</v>
      </c>
      <c r="D752" s="1">
        <v>45852</v>
      </c>
      <c r="E752" s="1">
        <v>45852</v>
      </c>
      <c r="F752" s="1">
        <v>45852</v>
      </c>
      <c r="G752" s="1">
        <v>45852</v>
      </c>
      <c r="H752" s="1">
        <v>45852</v>
      </c>
      <c r="I752">
        <v>2039</v>
      </c>
      <c r="J752" t="s">
        <v>30</v>
      </c>
      <c r="K752" t="s">
        <v>31</v>
      </c>
      <c r="L752">
        <v>50</v>
      </c>
      <c r="M752">
        <v>50</v>
      </c>
      <c r="N752" t="s">
        <v>32</v>
      </c>
      <c r="O752">
        <v>1</v>
      </c>
      <c r="P752">
        <v>150</v>
      </c>
      <c r="Q752" t="b">
        <v>1</v>
      </c>
      <c r="R752" t="b">
        <v>0</v>
      </c>
      <c r="S752" t="b">
        <v>0</v>
      </c>
      <c r="T752">
        <v>231</v>
      </c>
      <c r="U752">
        <v>0</v>
      </c>
      <c r="V752" t="s">
        <v>33</v>
      </c>
      <c r="W752" t="s">
        <v>33</v>
      </c>
      <c r="X752">
        <v>50</v>
      </c>
      <c r="Y752">
        <v>461</v>
      </c>
      <c r="Z752" t="s">
        <v>34</v>
      </c>
      <c r="AA752">
        <v>461</v>
      </c>
      <c r="AB752" t="s">
        <v>121</v>
      </c>
      <c r="AC752" t="s">
        <v>35</v>
      </c>
      <c r="AD752" t="str">
        <f t="shared" si="11"/>
        <v>Escobedo → Monterrey</v>
      </c>
      <c r="AE752" t="s">
        <v>1357</v>
      </c>
      <c r="AF752" s="4">
        <v>45839</v>
      </c>
      <c r="AG752" t="str">
        <f>YEAR(Table1[[#This Row],[Fecha]])&amp;" - " &amp;UPPER(TEXT(Table1[[#This Row],[Fecha]],"mm-mmm"))</f>
        <v>2025 - 07-JUL</v>
      </c>
      <c r="AH752" s="5">
        <v>0</v>
      </c>
    </row>
    <row r="753" spans="1:34" x14ac:dyDescent="0.25">
      <c r="A753" t="s">
        <v>1295</v>
      </c>
      <c r="B753">
        <v>2025</v>
      </c>
      <c r="C753">
        <v>7</v>
      </c>
      <c r="D753" s="1">
        <v>45840</v>
      </c>
      <c r="E753" s="1">
        <v>45840</v>
      </c>
      <c r="F753" s="1">
        <v>45840</v>
      </c>
      <c r="G753" s="1">
        <v>45840</v>
      </c>
      <c r="H753" s="1">
        <v>45840</v>
      </c>
      <c r="I753">
        <v>2039</v>
      </c>
      <c r="J753" t="s">
        <v>30</v>
      </c>
      <c r="K753" t="s">
        <v>31</v>
      </c>
      <c r="L753">
        <v>50</v>
      </c>
      <c r="M753">
        <v>50</v>
      </c>
      <c r="N753" t="s">
        <v>32</v>
      </c>
      <c r="O753">
        <v>1</v>
      </c>
      <c r="P753">
        <v>150</v>
      </c>
      <c r="Q753" t="b">
        <v>1</v>
      </c>
      <c r="R753" t="b">
        <v>0</v>
      </c>
      <c r="S753" t="b">
        <v>0</v>
      </c>
      <c r="T753">
        <v>231</v>
      </c>
      <c r="U753">
        <v>0</v>
      </c>
      <c r="V753" t="s">
        <v>33</v>
      </c>
      <c r="W753" t="s">
        <v>33</v>
      </c>
      <c r="X753">
        <v>50</v>
      </c>
      <c r="Y753">
        <v>359</v>
      </c>
      <c r="Z753" t="s">
        <v>74</v>
      </c>
      <c r="AA753">
        <v>359</v>
      </c>
      <c r="AB753" t="s">
        <v>121</v>
      </c>
      <c r="AC753" t="s">
        <v>121</v>
      </c>
      <c r="AD753" t="str">
        <f t="shared" si="11"/>
        <v>Escobedo → Escobedo</v>
      </c>
      <c r="AE753" t="s">
        <v>1357</v>
      </c>
      <c r="AF753" s="4">
        <v>45839</v>
      </c>
      <c r="AG753" t="str">
        <f>YEAR(Table1[[#This Row],[Fecha]])&amp;" - " &amp;UPPER(TEXT(Table1[[#This Row],[Fecha]],"mm-mmm"))</f>
        <v>2025 - 07-JUL</v>
      </c>
      <c r="AH753" s="5">
        <v>0</v>
      </c>
    </row>
    <row r="754" spans="1:34" x14ac:dyDescent="0.25">
      <c r="A754" t="s">
        <v>1278</v>
      </c>
      <c r="B754">
        <v>2025</v>
      </c>
      <c r="C754">
        <v>7</v>
      </c>
      <c r="D754" s="1">
        <v>45853</v>
      </c>
      <c r="E754" s="1">
        <v>45853</v>
      </c>
      <c r="F754" s="1">
        <v>45853</v>
      </c>
      <c r="G754" s="1">
        <v>45853</v>
      </c>
      <c r="H754" s="2">
        <v>45853.762971099539</v>
      </c>
      <c r="I754">
        <v>2039</v>
      </c>
      <c r="J754" t="s">
        <v>30</v>
      </c>
      <c r="K754" t="s">
        <v>31</v>
      </c>
      <c r="L754">
        <v>50</v>
      </c>
      <c r="M754">
        <v>50</v>
      </c>
      <c r="N754" t="s">
        <v>32</v>
      </c>
      <c r="O754">
        <v>1</v>
      </c>
      <c r="P754">
        <v>150</v>
      </c>
      <c r="Q754" t="b">
        <v>1</v>
      </c>
      <c r="R754" t="b">
        <v>0</v>
      </c>
      <c r="S754" t="b">
        <v>0</v>
      </c>
      <c r="T754">
        <v>231</v>
      </c>
      <c r="U754">
        <v>0</v>
      </c>
      <c r="V754" t="s">
        <v>33</v>
      </c>
      <c r="W754" t="s">
        <v>33</v>
      </c>
      <c r="X754">
        <v>50</v>
      </c>
      <c r="Y754">
        <v>359</v>
      </c>
      <c r="Z754" t="s">
        <v>74</v>
      </c>
      <c r="AA754">
        <v>359</v>
      </c>
      <c r="AB754" t="s">
        <v>121</v>
      </c>
      <c r="AC754" t="s">
        <v>121</v>
      </c>
      <c r="AD754" t="str">
        <f t="shared" si="11"/>
        <v>Escobedo → Escobedo</v>
      </c>
      <c r="AE754" t="s">
        <v>1357</v>
      </c>
      <c r="AF754" s="4">
        <v>45839</v>
      </c>
      <c r="AG754" t="str">
        <f>YEAR(Table1[[#This Row],[Fecha]])&amp;" - " &amp;UPPER(TEXT(Table1[[#This Row],[Fecha]],"mm-mmm"))</f>
        <v>2025 - 07-JUL</v>
      </c>
      <c r="AH754" s="5">
        <v>0</v>
      </c>
    </row>
    <row r="755" spans="1:34" x14ac:dyDescent="0.25">
      <c r="A755" t="s">
        <v>394</v>
      </c>
      <c r="B755">
        <v>2025</v>
      </c>
      <c r="C755">
        <v>7</v>
      </c>
      <c r="D755" s="1">
        <v>45854</v>
      </c>
      <c r="E755" s="1">
        <v>45854</v>
      </c>
      <c r="F755" s="1">
        <v>45854</v>
      </c>
      <c r="G755" s="1">
        <v>45854</v>
      </c>
      <c r="H755" s="2">
        <v>45854.557086226851</v>
      </c>
      <c r="I755">
        <v>2039</v>
      </c>
      <c r="J755" t="s">
        <v>30</v>
      </c>
      <c r="K755" t="s">
        <v>31</v>
      </c>
      <c r="L755">
        <v>50</v>
      </c>
      <c r="M755">
        <v>50</v>
      </c>
      <c r="N755" t="s">
        <v>32</v>
      </c>
      <c r="O755">
        <v>1</v>
      </c>
      <c r="P755">
        <v>150</v>
      </c>
      <c r="Q755" t="b">
        <v>1</v>
      </c>
      <c r="R755" t="b">
        <v>0</v>
      </c>
      <c r="S755" t="b">
        <v>0</v>
      </c>
      <c r="T755">
        <v>231</v>
      </c>
      <c r="U755">
        <v>0</v>
      </c>
      <c r="V755" t="s">
        <v>33</v>
      </c>
      <c r="W755" t="s">
        <v>33</v>
      </c>
      <c r="X755">
        <v>50</v>
      </c>
      <c r="Y755">
        <v>461</v>
      </c>
      <c r="Z755" t="s">
        <v>34</v>
      </c>
      <c r="AA755">
        <v>461</v>
      </c>
      <c r="AB755" t="s">
        <v>121</v>
      </c>
      <c r="AC755" t="s">
        <v>35</v>
      </c>
      <c r="AD755" t="str">
        <f t="shared" si="11"/>
        <v>Escobedo → Monterrey</v>
      </c>
      <c r="AE755" t="s">
        <v>1357</v>
      </c>
      <c r="AF755" s="4">
        <v>45839</v>
      </c>
      <c r="AG755" t="str">
        <f>YEAR(Table1[[#This Row],[Fecha]])&amp;" - " &amp;UPPER(TEXT(Table1[[#This Row],[Fecha]],"mm-mmm"))</f>
        <v>2025 - 07-JUL</v>
      </c>
      <c r="AH755" s="5">
        <v>0</v>
      </c>
    </row>
    <row r="756" spans="1:34" x14ac:dyDescent="0.25">
      <c r="A756" t="s">
        <v>624</v>
      </c>
      <c r="B756">
        <v>2025</v>
      </c>
      <c r="C756">
        <v>7</v>
      </c>
      <c r="D756" s="1">
        <v>45840</v>
      </c>
      <c r="E756" s="1">
        <v>45840</v>
      </c>
      <c r="F756" s="1">
        <v>45840</v>
      </c>
      <c r="G756" s="1">
        <v>45840</v>
      </c>
      <c r="H756" s="2">
        <v>45840.748949421293</v>
      </c>
      <c r="I756">
        <v>2039</v>
      </c>
      <c r="J756" t="s">
        <v>30</v>
      </c>
      <c r="K756" t="s">
        <v>31</v>
      </c>
      <c r="L756">
        <v>50</v>
      </c>
      <c r="M756">
        <v>50</v>
      </c>
      <c r="N756" t="s">
        <v>32</v>
      </c>
      <c r="O756">
        <v>1</v>
      </c>
      <c r="P756">
        <v>150</v>
      </c>
      <c r="Q756" t="b">
        <v>1</v>
      </c>
      <c r="R756" t="b">
        <v>0</v>
      </c>
      <c r="S756" t="b">
        <v>0</v>
      </c>
      <c r="T756">
        <v>231</v>
      </c>
      <c r="U756">
        <v>0</v>
      </c>
      <c r="V756" t="s">
        <v>33</v>
      </c>
      <c r="W756" t="s">
        <v>33</v>
      </c>
      <c r="X756">
        <v>50</v>
      </c>
      <c r="Y756">
        <v>2936</v>
      </c>
      <c r="Z756" t="s">
        <v>74</v>
      </c>
      <c r="AA756">
        <v>2936</v>
      </c>
      <c r="AB756" t="s">
        <v>121</v>
      </c>
      <c r="AC756" t="s">
        <v>432</v>
      </c>
      <c r="AD756" t="str">
        <f t="shared" si="11"/>
        <v>Escobedo → Hidalgo</v>
      </c>
      <c r="AE756" t="s">
        <v>1357</v>
      </c>
      <c r="AF756" s="4">
        <v>45839</v>
      </c>
      <c r="AG756" t="str">
        <f>YEAR(Table1[[#This Row],[Fecha]])&amp;" - " &amp;UPPER(TEXT(Table1[[#This Row],[Fecha]],"mm-mmm"))</f>
        <v>2025 - 07-JUL</v>
      </c>
      <c r="AH756" s="5">
        <v>0</v>
      </c>
    </row>
    <row r="757" spans="1:34" x14ac:dyDescent="0.25">
      <c r="A757" t="s">
        <v>1275</v>
      </c>
      <c r="B757">
        <v>2025</v>
      </c>
      <c r="C757">
        <v>7</v>
      </c>
      <c r="D757" s="1">
        <v>45854</v>
      </c>
      <c r="E757" s="1">
        <v>45854</v>
      </c>
      <c r="F757" s="1">
        <v>45854</v>
      </c>
      <c r="G757" s="1">
        <v>45854</v>
      </c>
      <c r="H757" s="2">
        <v>45854.557448726853</v>
      </c>
      <c r="I757">
        <v>2039</v>
      </c>
      <c r="J757" t="s">
        <v>30</v>
      </c>
      <c r="K757" t="s">
        <v>31</v>
      </c>
      <c r="L757">
        <v>50</v>
      </c>
      <c r="M757">
        <v>50</v>
      </c>
      <c r="N757" t="s">
        <v>32</v>
      </c>
      <c r="O757">
        <v>1</v>
      </c>
      <c r="P757">
        <v>150</v>
      </c>
      <c r="Q757" t="b">
        <v>1</v>
      </c>
      <c r="R757" t="b">
        <v>0</v>
      </c>
      <c r="S757" t="b">
        <v>0</v>
      </c>
      <c r="T757">
        <v>231</v>
      </c>
      <c r="U757">
        <v>0</v>
      </c>
      <c r="V757" t="s">
        <v>33</v>
      </c>
      <c r="W757" t="s">
        <v>33</v>
      </c>
      <c r="X757">
        <v>50</v>
      </c>
      <c r="Y757">
        <v>359</v>
      </c>
      <c r="Z757" t="s">
        <v>34</v>
      </c>
      <c r="AA757">
        <v>359</v>
      </c>
      <c r="AB757" t="s">
        <v>121</v>
      </c>
      <c r="AC757" t="s">
        <v>121</v>
      </c>
      <c r="AD757" t="str">
        <f t="shared" si="11"/>
        <v>Escobedo → Escobedo</v>
      </c>
      <c r="AE757" t="s">
        <v>1357</v>
      </c>
      <c r="AF757" s="4">
        <v>45839</v>
      </c>
      <c r="AG757" t="str">
        <f>YEAR(Table1[[#This Row],[Fecha]])&amp;" - " &amp;UPPER(TEXT(Table1[[#This Row],[Fecha]],"mm-mmm"))</f>
        <v>2025 - 07-JUL</v>
      </c>
      <c r="AH757" s="5">
        <v>0</v>
      </c>
    </row>
    <row r="758" spans="1:34" x14ac:dyDescent="0.25">
      <c r="A758" t="s">
        <v>1276</v>
      </c>
      <c r="B758">
        <v>2025</v>
      </c>
      <c r="C758">
        <v>7</v>
      </c>
      <c r="D758" s="1">
        <v>45854</v>
      </c>
      <c r="E758" s="1">
        <v>45854</v>
      </c>
      <c r="F758" s="1">
        <v>45854</v>
      </c>
      <c r="G758" s="1">
        <v>45854</v>
      </c>
      <c r="H758" s="2">
        <v>45854.557787500002</v>
      </c>
      <c r="I758">
        <v>2039</v>
      </c>
      <c r="J758" t="s">
        <v>30</v>
      </c>
      <c r="K758" t="s">
        <v>31</v>
      </c>
      <c r="L758">
        <v>50</v>
      </c>
      <c r="M758">
        <v>50</v>
      </c>
      <c r="N758" t="s">
        <v>32</v>
      </c>
      <c r="O758">
        <v>1</v>
      </c>
      <c r="P758">
        <v>150</v>
      </c>
      <c r="Q758" t="b">
        <v>1</v>
      </c>
      <c r="R758" t="b">
        <v>0</v>
      </c>
      <c r="S758" t="b">
        <v>0</v>
      </c>
      <c r="T758">
        <v>231</v>
      </c>
      <c r="U758">
        <v>0</v>
      </c>
      <c r="V758" t="s">
        <v>33</v>
      </c>
      <c r="W758" t="s">
        <v>33</v>
      </c>
      <c r="X758">
        <v>50</v>
      </c>
      <c r="Y758">
        <v>359</v>
      </c>
      <c r="Z758" t="s">
        <v>34</v>
      </c>
      <c r="AA758">
        <v>359</v>
      </c>
      <c r="AB758" t="s">
        <v>121</v>
      </c>
      <c r="AC758" t="s">
        <v>121</v>
      </c>
      <c r="AD758" t="str">
        <f t="shared" si="11"/>
        <v>Escobedo → Escobedo</v>
      </c>
      <c r="AE758" t="s">
        <v>1357</v>
      </c>
      <c r="AF758" s="4">
        <v>45839</v>
      </c>
      <c r="AG758" t="str">
        <f>YEAR(Table1[[#This Row],[Fecha]])&amp;" - " &amp;UPPER(TEXT(Table1[[#This Row],[Fecha]],"mm-mmm"))</f>
        <v>2025 - 07-JUL</v>
      </c>
      <c r="AH758" s="5">
        <v>0</v>
      </c>
    </row>
    <row r="759" spans="1:34" x14ac:dyDescent="0.25">
      <c r="A759" t="s">
        <v>1277</v>
      </c>
      <c r="B759">
        <v>2025</v>
      </c>
      <c r="C759">
        <v>7</v>
      </c>
      <c r="D759" s="1">
        <v>45854</v>
      </c>
      <c r="E759" s="1">
        <v>45854</v>
      </c>
      <c r="F759" s="1">
        <v>45854</v>
      </c>
      <c r="G759" s="1">
        <v>45854</v>
      </c>
      <c r="H759" s="2">
        <v>45854.558166979165</v>
      </c>
      <c r="I759">
        <v>2039</v>
      </c>
      <c r="J759" t="s">
        <v>30</v>
      </c>
      <c r="K759" t="s">
        <v>31</v>
      </c>
      <c r="L759">
        <v>50</v>
      </c>
      <c r="M759">
        <v>50</v>
      </c>
      <c r="N759" t="s">
        <v>32</v>
      </c>
      <c r="O759">
        <v>1</v>
      </c>
      <c r="P759">
        <v>150</v>
      </c>
      <c r="Q759" t="b">
        <v>1</v>
      </c>
      <c r="R759" t="b">
        <v>0</v>
      </c>
      <c r="S759" t="b">
        <v>0</v>
      </c>
      <c r="T759">
        <v>231</v>
      </c>
      <c r="U759">
        <v>0</v>
      </c>
      <c r="V759" t="s">
        <v>33</v>
      </c>
      <c r="W759" t="s">
        <v>33</v>
      </c>
      <c r="X759">
        <v>50</v>
      </c>
      <c r="Y759">
        <v>359</v>
      </c>
      <c r="Z759" t="s">
        <v>34</v>
      </c>
      <c r="AA759">
        <v>359</v>
      </c>
      <c r="AB759" t="s">
        <v>121</v>
      </c>
      <c r="AC759" t="s">
        <v>121</v>
      </c>
      <c r="AD759" t="str">
        <f t="shared" si="11"/>
        <v>Escobedo → Escobedo</v>
      </c>
      <c r="AE759" t="s">
        <v>1357</v>
      </c>
      <c r="AF759" s="4">
        <v>45839</v>
      </c>
      <c r="AG759" t="str">
        <f>YEAR(Table1[[#This Row],[Fecha]])&amp;" - " &amp;UPPER(TEXT(Table1[[#This Row],[Fecha]],"mm-mmm"))</f>
        <v>2025 - 07-JUL</v>
      </c>
      <c r="AH759" s="5">
        <v>0</v>
      </c>
    </row>
    <row r="760" spans="1:34" x14ac:dyDescent="0.25">
      <c r="A760" t="s">
        <v>1279</v>
      </c>
      <c r="B760">
        <v>2025</v>
      </c>
      <c r="C760">
        <v>7</v>
      </c>
      <c r="D760" s="1">
        <v>45840</v>
      </c>
      <c r="E760" s="1">
        <v>45840</v>
      </c>
      <c r="F760" s="1">
        <v>45840</v>
      </c>
      <c r="G760" s="1">
        <v>45840</v>
      </c>
      <c r="H760" s="2">
        <v>45840.750803506948</v>
      </c>
      <c r="I760">
        <v>2039</v>
      </c>
      <c r="J760" t="s">
        <v>30</v>
      </c>
      <c r="K760" t="s">
        <v>31</v>
      </c>
      <c r="L760">
        <v>50</v>
      </c>
      <c r="M760">
        <v>50</v>
      </c>
      <c r="N760" t="s">
        <v>32</v>
      </c>
      <c r="O760">
        <v>1</v>
      </c>
      <c r="P760">
        <v>150</v>
      </c>
      <c r="Q760" t="b">
        <v>1</v>
      </c>
      <c r="R760" t="b">
        <v>0</v>
      </c>
      <c r="S760" t="b">
        <v>0</v>
      </c>
      <c r="T760">
        <v>231</v>
      </c>
      <c r="U760">
        <v>0</v>
      </c>
      <c r="V760" t="s">
        <v>33</v>
      </c>
      <c r="W760" t="s">
        <v>33</v>
      </c>
      <c r="X760">
        <v>50</v>
      </c>
      <c r="Y760">
        <v>359</v>
      </c>
      <c r="Z760" t="s">
        <v>74</v>
      </c>
      <c r="AA760">
        <v>359</v>
      </c>
      <c r="AB760" t="s">
        <v>121</v>
      </c>
      <c r="AC760" t="s">
        <v>121</v>
      </c>
      <c r="AD760" t="str">
        <f t="shared" si="11"/>
        <v>Escobedo → Escobedo</v>
      </c>
      <c r="AE760" t="s">
        <v>1357</v>
      </c>
      <c r="AF760" s="4">
        <v>45839</v>
      </c>
      <c r="AG760" t="str">
        <f>YEAR(Table1[[#This Row],[Fecha]])&amp;" - " &amp;UPPER(TEXT(Table1[[#This Row],[Fecha]],"mm-mmm"))</f>
        <v>2025 - 07-JUL</v>
      </c>
      <c r="AH760" s="5">
        <v>0</v>
      </c>
    </row>
    <row r="761" spans="1:34" x14ac:dyDescent="0.25">
      <c r="A761" t="s">
        <v>393</v>
      </c>
      <c r="B761">
        <v>2025</v>
      </c>
      <c r="C761">
        <v>7</v>
      </c>
      <c r="D761" s="1">
        <v>45855</v>
      </c>
      <c r="E761" s="1">
        <v>45855</v>
      </c>
      <c r="F761" s="1">
        <v>45855</v>
      </c>
      <c r="G761" s="1">
        <v>45855</v>
      </c>
      <c r="H761" s="2">
        <v>45855.712544560185</v>
      </c>
      <c r="I761">
        <v>2039</v>
      </c>
      <c r="J761" t="s">
        <v>30</v>
      </c>
      <c r="K761" t="s">
        <v>31</v>
      </c>
      <c r="L761">
        <v>50</v>
      </c>
      <c r="M761">
        <v>50</v>
      </c>
      <c r="N761" t="s">
        <v>32</v>
      </c>
      <c r="O761">
        <v>1</v>
      </c>
      <c r="P761">
        <v>150</v>
      </c>
      <c r="Q761" t="b">
        <v>1</v>
      </c>
      <c r="R761" t="b">
        <v>0</v>
      </c>
      <c r="S761" t="b">
        <v>0</v>
      </c>
      <c r="T761">
        <v>231</v>
      </c>
      <c r="U761">
        <v>0</v>
      </c>
      <c r="V761" t="s">
        <v>33</v>
      </c>
      <c r="W761" t="s">
        <v>33</v>
      </c>
      <c r="X761">
        <v>50</v>
      </c>
      <c r="Y761">
        <v>461</v>
      </c>
      <c r="Z761" t="s">
        <v>34</v>
      </c>
      <c r="AA761">
        <v>461</v>
      </c>
      <c r="AB761" t="s">
        <v>121</v>
      </c>
      <c r="AC761" t="s">
        <v>35</v>
      </c>
      <c r="AD761" t="str">
        <f t="shared" si="11"/>
        <v>Escobedo → Monterrey</v>
      </c>
      <c r="AE761" t="s">
        <v>1357</v>
      </c>
      <c r="AF761" s="4">
        <v>45839</v>
      </c>
      <c r="AG761" t="str">
        <f>YEAR(Table1[[#This Row],[Fecha]])&amp;" - " &amp;UPPER(TEXT(Table1[[#This Row],[Fecha]],"mm-mmm"))</f>
        <v>2025 - 07-JUL</v>
      </c>
      <c r="AH761" s="5">
        <v>0</v>
      </c>
    </row>
    <row r="762" spans="1:34" x14ac:dyDescent="0.25">
      <c r="A762" t="s">
        <v>1280</v>
      </c>
      <c r="B762">
        <v>2025</v>
      </c>
      <c r="C762">
        <v>7</v>
      </c>
      <c r="D762" s="1">
        <v>45855</v>
      </c>
      <c r="E762" s="1">
        <v>45855</v>
      </c>
      <c r="F762" s="1">
        <v>45855</v>
      </c>
      <c r="G762" s="1">
        <v>45855</v>
      </c>
      <c r="H762" s="2">
        <v>45855.712557754632</v>
      </c>
      <c r="I762">
        <v>2039</v>
      </c>
      <c r="J762" t="s">
        <v>30</v>
      </c>
      <c r="K762" t="s">
        <v>31</v>
      </c>
      <c r="L762">
        <v>50</v>
      </c>
      <c r="M762">
        <v>50</v>
      </c>
      <c r="N762" t="s">
        <v>32</v>
      </c>
      <c r="O762">
        <v>1</v>
      </c>
      <c r="P762">
        <v>150</v>
      </c>
      <c r="Q762" t="b">
        <v>1</v>
      </c>
      <c r="R762" t="b">
        <v>0</v>
      </c>
      <c r="S762" t="b">
        <v>0</v>
      </c>
      <c r="T762">
        <v>231</v>
      </c>
      <c r="U762">
        <v>0</v>
      </c>
      <c r="V762" t="s">
        <v>33</v>
      </c>
      <c r="W762" t="s">
        <v>33</v>
      </c>
      <c r="X762">
        <v>50</v>
      </c>
      <c r="Y762">
        <v>359</v>
      </c>
      <c r="Z762" t="s">
        <v>34</v>
      </c>
      <c r="AA762">
        <v>359</v>
      </c>
      <c r="AB762" t="s">
        <v>121</v>
      </c>
      <c r="AC762" t="s">
        <v>121</v>
      </c>
      <c r="AD762" t="str">
        <f t="shared" si="11"/>
        <v>Escobedo → Escobedo</v>
      </c>
      <c r="AE762" t="s">
        <v>1357</v>
      </c>
      <c r="AF762" s="4">
        <v>45839</v>
      </c>
      <c r="AG762" t="str">
        <f>YEAR(Table1[[#This Row],[Fecha]])&amp;" - " &amp;UPPER(TEXT(Table1[[#This Row],[Fecha]],"mm-mmm"))</f>
        <v>2025 - 07-JUL</v>
      </c>
      <c r="AH762" s="5">
        <v>0</v>
      </c>
    </row>
    <row r="763" spans="1:34" x14ac:dyDescent="0.25">
      <c r="A763" t="s">
        <v>1281</v>
      </c>
      <c r="B763">
        <v>2025</v>
      </c>
      <c r="C763">
        <v>7</v>
      </c>
      <c r="D763" s="1">
        <v>45855</v>
      </c>
      <c r="E763" s="1">
        <v>45855</v>
      </c>
      <c r="F763" s="1">
        <v>45855</v>
      </c>
      <c r="G763" s="1">
        <v>45855</v>
      </c>
      <c r="H763" s="2">
        <v>45855.713975347222</v>
      </c>
      <c r="I763">
        <v>2039</v>
      </c>
      <c r="J763" t="s">
        <v>30</v>
      </c>
      <c r="K763" t="s">
        <v>31</v>
      </c>
      <c r="L763">
        <v>50</v>
      </c>
      <c r="M763">
        <v>50</v>
      </c>
      <c r="N763" t="s">
        <v>32</v>
      </c>
      <c r="O763">
        <v>1</v>
      </c>
      <c r="P763">
        <v>150</v>
      </c>
      <c r="Q763" t="b">
        <v>1</v>
      </c>
      <c r="R763" t="b">
        <v>0</v>
      </c>
      <c r="S763" t="b">
        <v>0</v>
      </c>
      <c r="T763">
        <v>231</v>
      </c>
      <c r="U763">
        <v>0</v>
      </c>
      <c r="V763" t="s">
        <v>33</v>
      </c>
      <c r="W763" t="s">
        <v>33</v>
      </c>
      <c r="X763">
        <v>50</v>
      </c>
      <c r="Y763">
        <v>359</v>
      </c>
      <c r="Z763" t="s">
        <v>34</v>
      </c>
      <c r="AA763">
        <v>359</v>
      </c>
      <c r="AB763" t="s">
        <v>121</v>
      </c>
      <c r="AC763" t="s">
        <v>121</v>
      </c>
      <c r="AD763" t="str">
        <f t="shared" si="11"/>
        <v>Escobedo → Escobedo</v>
      </c>
      <c r="AE763" t="s">
        <v>1357</v>
      </c>
      <c r="AF763" s="4">
        <v>45839</v>
      </c>
      <c r="AG763" t="str">
        <f>YEAR(Table1[[#This Row],[Fecha]])&amp;" - " &amp;UPPER(TEXT(Table1[[#This Row],[Fecha]],"mm-mmm"))</f>
        <v>2025 - 07-JUL</v>
      </c>
      <c r="AH763" s="5">
        <v>0</v>
      </c>
    </row>
    <row r="764" spans="1:34" x14ac:dyDescent="0.25">
      <c r="A764" t="s">
        <v>1282</v>
      </c>
      <c r="B764">
        <v>2025</v>
      </c>
      <c r="C764">
        <v>7</v>
      </c>
      <c r="D764" s="1">
        <v>45855</v>
      </c>
      <c r="E764" s="1">
        <v>45855</v>
      </c>
      <c r="F764" s="1">
        <v>45855</v>
      </c>
      <c r="G764" s="1">
        <v>45855</v>
      </c>
      <c r="H764" s="2">
        <v>45855.714422488425</v>
      </c>
      <c r="I764">
        <v>2039</v>
      </c>
      <c r="J764" t="s">
        <v>30</v>
      </c>
      <c r="K764" t="s">
        <v>31</v>
      </c>
      <c r="L764">
        <v>50</v>
      </c>
      <c r="M764">
        <v>50</v>
      </c>
      <c r="N764" t="s">
        <v>32</v>
      </c>
      <c r="O764">
        <v>1</v>
      </c>
      <c r="P764">
        <v>150</v>
      </c>
      <c r="Q764" t="b">
        <v>1</v>
      </c>
      <c r="R764" t="b">
        <v>0</v>
      </c>
      <c r="S764" t="b">
        <v>0</v>
      </c>
      <c r="T764">
        <v>231</v>
      </c>
      <c r="U764">
        <v>0</v>
      </c>
      <c r="V764" t="s">
        <v>33</v>
      </c>
      <c r="W764" t="s">
        <v>33</v>
      </c>
      <c r="X764">
        <v>50</v>
      </c>
      <c r="Y764">
        <v>359</v>
      </c>
      <c r="Z764" t="s">
        <v>34</v>
      </c>
      <c r="AA764">
        <v>359</v>
      </c>
      <c r="AB764" t="s">
        <v>121</v>
      </c>
      <c r="AC764" t="s">
        <v>121</v>
      </c>
      <c r="AD764" t="str">
        <f t="shared" si="11"/>
        <v>Escobedo → Escobedo</v>
      </c>
      <c r="AE764" t="s">
        <v>1357</v>
      </c>
      <c r="AF764" s="4">
        <v>45839</v>
      </c>
      <c r="AG764" t="str">
        <f>YEAR(Table1[[#This Row],[Fecha]])&amp;" - " &amp;UPPER(TEXT(Table1[[#This Row],[Fecha]],"mm-mmm"))</f>
        <v>2025 - 07-JUL</v>
      </c>
      <c r="AH764" s="5">
        <v>0</v>
      </c>
    </row>
    <row r="765" spans="1:34" x14ac:dyDescent="0.25">
      <c r="A765" t="s">
        <v>1283</v>
      </c>
      <c r="B765">
        <v>2025</v>
      </c>
      <c r="C765">
        <v>7</v>
      </c>
      <c r="D765" s="1">
        <v>45840</v>
      </c>
      <c r="E765" s="1">
        <v>45840</v>
      </c>
      <c r="F765" s="1">
        <v>45839</v>
      </c>
      <c r="G765" s="1">
        <v>45839</v>
      </c>
      <c r="H765" s="2">
        <v>45840.774196296297</v>
      </c>
      <c r="I765">
        <v>2039</v>
      </c>
      <c r="J765" t="s">
        <v>30</v>
      </c>
      <c r="K765" t="s">
        <v>31</v>
      </c>
      <c r="L765">
        <v>50</v>
      </c>
      <c r="M765">
        <v>50</v>
      </c>
      <c r="N765" t="s">
        <v>32</v>
      </c>
      <c r="O765">
        <v>1</v>
      </c>
      <c r="P765">
        <v>150</v>
      </c>
      <c r="Q765" t="b">
        <v>1</v>
      </c>
      <c r="R765" t="b">
        <v>0</v>
      </c>
      <c r="S765" t="b">
        <v>0</v>
      </c>
      <c r="T765">
        <v>231</v>
      </c>
      <c r="U765">
        <v>0</v>
      </c>
      <c r="V765" t="s">
        <v>33</v>
      </c>
      <c r="W765" t="s">
        <v>33</v>
      </c>
      <c r="X765">
        <v>50</v>
      </c>
      <c r="Y765">
        <v>359</v>
      </c>
      <c r="Z765" t="s">
        <v>123</v>
      </c>
      <c r="AA765">
        <v>359</v>
      </c>
      <c r="AB765" t="s">
        <v>121</v>
      </c>
      <c r="AC765" t="s">
        <v>121</v>
      </c>
      <c r="AD765" t="str">
        <f t="shared" si="11"/>
        <v>Escobedo → Escobedo</v>
      </c>
      <c r="AE765" t="s">
        <v>1357</v>
      </c>
      <c r="AF765" s="4">
        <v>45839</v>
      </c>
      <c r="AG765" t="str">
        <f>YEAR(Table1[[#This Row],[Fecha]])&amp;" - " &amp;UPPER(TEXT(Table1[[#This Row],[Fecha]],"mm-mmm"))</f>
        <v>2025 - 07-JUL</v>
      </c>
      <c r="AH765" s="5">
        <v>0</v>
      </c>
    </row>
    <row r="766" spans="1:34" x14ac:dyDescent="0.25">
      <c r="A766" t="s">
        <v>1284</v>
      </c>
      <c r="B766">
        <v>2025</v>
      </c>
      <c r="C766">
        <v>7</v>
      </c>
      <c r="D766" s="1">
        <v>45856</v>
      </c>
      <c r="E766" s="1">
        <v>45856</v>
      </c>
      <c r="F766" s="1">
        <v>45856</v>
      </c>
      <c r="G766" s="1">
        <v>45856</v>
      </c>
      <c r="H766" s="2">
        <v>45856.605705706017</v>
      </c>
      <c r="I766">
        <v>2039</v>
      </c>
      <c r="J766" t="s">
        <v>30</v>
      </c>
      <c r="K766" t="s">
        <v>31</v>
      </c>
      <c r="L766">
        <v>50</v>
      </c>
      <c r="M766">
        <v>50</v>
      </c>
      <c r="N766" t="s">
        <v>32</v>
      </c>
      <c r="O766">
        <v>1</v>
      </c>
      <c r="P766">
        <v>150</v>
      </c>
      <c r="Q766" t="b">
        <v>1</v>
      </c>
      <c r="R766" t="b">
        <v>0</v>
      </c>
      <c r="S766" t="b">
        <v>0</v>
      </c>
      <c r="T766">
        <v>231</v>
      </c>
      <c r="U766">
        <v>0</v>
      </c>
      <c r="V766" t="s">
        <v>33</v>
      </c>
      <c r="W766" t="s">
        <v>33</v>
      </c>
      <c r="X766">
        <v>50</v>
      </c>
      <c r="Y766">
        <v>359</v>
      </c>
      <c r="Z766" t="s">
        <v>34</v>
      </c>
      <c r="AA766">
        <v>359</v>
      </c>
      <c r="AB766" t="s">
        <v>121</v>
      </c>
      <c r="AC766" t="s">
        <v>121</v>
      </c>
      <c r="AD766" t="str">
        <f t="shared" si="11"/>
        <v>Escobedo → Escobedo</v>
      </c>
      <c r="AE766" t="s">
        <v>1357</v>
      </c>
      <c r="AF766" s="4">
        <v>45839</v>
      </c>
      <c r="AG766" t="str">
        <f>YEAR(Table1[[#This Row],[Fecha]])&amp;" - " &amp;UPPER(TEXT(Table1[[#This Row],[Fecha]],"mm-mmm"))</f>
        <v>2025 - 07-JUL</v>
      </c>
      <c r="AH766" s="5">
        <v>0</v>
      </c>
    </row>
    <row r="767" spans="1:34" x14ac:dyDescent="0.25">
      <c r="A767" t="s">
        <v>1285</v>
      </c>
      <c r="B767">
        <v>2025</v>
      </c>
      <c r="C767">
        <v>7</v>
      </c>
      <c r="D767" s="1">
        <v>45856</v>
      </c>
      <c r="E767" s="1">
        <v>45856</v>
      </c>
      <c r="F767" s="1">
        <v>45856</v>
      </c>
      <c r="G767" s="1">
        <v>45856</v>
      </c>
      <c r="H767" s="1">
        <v>45856</v>
      </c>
      <c r="I767">
        <v>2039</v>
      </c>
      <c r="J767" t="s">
        <v>30</v>
      </c>
      <c r="K767" t="s">
        <v>31</v>
      </c>
      <c r="L767">
        <v>50</v>
      </c>
      <c r="M767">
        <v>50</v>
      </c>
      <c r="N767" t="s">
        <v>32</v>
      </c>
      <c r="O767">
        <v>1</v>
      </c>
      <c r="P767">
        <v>150</v>
      </c>
      <c r="Q767" t="b">
        <v>1</v>
      </c>
      <c r="R767" t="b">
        <v>0</v>
      </c>
      <c r="S767" t="b">
        <v>0</v>
      </c>
      <c r="T767">
        <v>231</v>
      </c>
      <c r="U767">
        <v>0</v>
      </c>
      <c r="V767" t="s">
        <v>33</v>
      </c>
      <c r="W767" t="s">
        <v>33</v>
      </c>
      <c r="X767">
        <v>50</v>
      </c>
      <c r="Y767">
        <v>359</v>
      </c>
      <c r="Z767" t="s">
        <v>34</v>
      </c>
      <c r="AA767">
        <v>359</v>
      </c>
      <c r="AB767" t="s">
        <v>121</v>
      </c>
      <c r="AC767" t="s">
        <v>121</v>
      </c>
      <c r="AD767" t="str">
        <f t="shared" si="11"/>
        <v>Escobedo → Escobedo</v>
      </c>
      <c r="AE767" t="s">
        <v>1357</v>
      </c>
      <c r="AF767" s="4">
        <v>45839</v>
      </c>
      <c r="AG767" t="str">
        <f>YEAR(Table1[[#This Row],[Fecha]])&amp;" - " &amp;UPPER(TEXT(Table1[[#This Row],[Fecha]],"mm-mmm"))</f>
        <v>2025 - 07-JUL</v>
      </c>
      <c r="AH767" s="5">
        <v>0</v>
      </c>
    </row>
    <row r="768" spans="1:34" x14ac:dyDescent="0.25">
      <c r="A768" t="s">
        <v>1286</v>
      </c>
      <c r="B768">
        <v>2025</v>
      </c>
      <c r="C768">
        <v>7</v>
      </c>
      <c r="D768" s="1">
        <v>45840</v>
      </c>
      <c r="E768" s="1">
        <v>45840</v>
      </c>
      <c r="F768" s="1">
        <v>45840</v>
      </c>
      <c r="G768" s="1">
        <v>45840</v>
      </c>
      <c r="H768" s="2">
        <v>45841.362781481483</v>
      </c>
      <c r="I768">
        <v>2039</v>
      </c>
      <c r="J768" t="s">
        <v>30</v>
      </c>
      <c r="K768" t="s">
        <v>31</v>
      </c>
      <c r="L768">
        <v>50</v>
      </c>
      <c r="M768">
        <v>50</v>
      </c>
      <c r="N768" t="s">
        <v>32</v>
      </c>
      <c r="O768">
        <v>1</v>
      </c>
      <c r="P768">
        <v>150</v>
      </c>
      <c r="Q768" t="b">
        <v>1</v>
      </c>
      <c r="R768" t="b">
        <v>0</v>
      </c>
      <c r="S768" t="b">
        <v>0</v>
      </c>
      <c r="T768">
        <v>231</v>
      </c>
      <c r="U768">
        <v>0</v>
      </c>
      <c r="V768" t="s">
        <v>33</v>
      </c>
      <c r="W768" t="s">
        <v>33</v>
      </c>
      <c r="X768">
        <v>50</v>
      </c>
      <c r="Y768">
        <v>359</v>
      </c>
      <c r="Z768" t="s">
        <v>123</v>
      </c>
      <c r="AA768">
        <v>359</v>
      </c>
      <c r="AB768" t="s">
        <v>121</v>
      </c>
      <c r="AC768" t="s">
        <v>121</v>
      </c>
      <c r="AD768" t="str">
        <f t="shared" si="11"/>
        <v>Escobedo → Escobedo</v>
      </c>
      <c r="AE768" t="s">
        <v>1357</v>
      </c>
      <c r="AF768" s="4">
        <v>45839</v>
      </c>
      <c r="AG768" t="str">
        <f>YEAR(Table1[[#This Row],[Fecha]])&amp;" - " &amp;UPPER(TEXT(Table1[[#This Row],[Fecha]],"mm-mmm"))</f>
        <v>2025 - 07-JUL</v>
      </c>
      <c r="AH768" s="5">
        <v>0</v>
      </c>
    </row>
    <row r="769" spans="1:34" x14ac:dyDescent="0.25">
      <c r="A769" t="s">
        <v>361</v>
      </c>
      <c r="B769">
        <v>2025</v>
      </c>
      <c r="C769">
        <v>7</v>
      </c>
      <c r="D769" s="1">
        <v>45857</v>
      </c>
      <c r="E769" s="1">
        <v>45857</v>
      </c>
      <c r="F769" s="1">
        <v>45859</v>
      </c>
      <c r="G769" s="1">
        <v>45858</v>
      </c>
      <c r="H769" s="1">
        <v>45859</v>
      </c>
      <c r="I769">
        <v>2333</v>
      </c>
      <c r="J769" t="s">
        <v>30</v>
      </c>
      <c r="K769" t="s">
        <v>31</v>
      </c>
      <c r="L769">
        <v>842</v>
      </c>
      <c r="M769">
        <v>842</v>
      </c>
      <c r="N769" t="s">
        <v>362</v>
      </c>
      <c r="O769">
        <v>1</v>
      </c>
      <c r="P769">
        <v>863</v>
      </c>
      <c r="Q769" t="b">
        <v>1</v>
      </c>
      <c r="R769" t="b">
        <v>0</v>
      </c>
      <c r="S769" t="b">
        <v>0</v>
      </c>
      <c r="T769">
        <v>1213</v>
      </c>
      <c r="U769">
        <v>0</v>
      </c>
      <c r="V769" t="s">
        <v>33</v>
      </c>
      <c r="W769" t="s">
        <v>363</v>
      </c>
      <c r="X769">
        <v>900</v>
      </c>
      <c r="Y769">
        <v>1843</v>
      </c>
      <c r="Z769" t="s">
        <v>123</v>
      </c>
      <c r="AA769">
        <v>1843</v>
      </c>
      <c r="AB769" t="s">
        <v>121</v>
      </c>
      <c r="AC769" t="s">
        <v>364</v>
      </c>
      <c r="AD769" t="str">
        <f t="shared" si="11"/>
        <v>Escobedo → Mazatlan</v>
      </c>
      <c r="AE769" t="s">
        <v>1357</v>
      </c>
      <c r="AF769" s="4">
        <v>45839</v>
      </c>
      <c r="AG769" t="str">
        <f>YEAR(Table1[[#This Row],[Fecha]])&amp;" - " &amp;UPPER(TEXT(Table1[[#This Row],[Fecha]],"mm-mmm"))</f>
        <v>2025 - 07-JUL</v>
      </c>
      <c r="AH769" s="5">
        <v>0</v>
      </c>
    </row>
    <row r="770" spans="1:34" x14ac:dyDescent="0.25">
      <c r="A770" t="s">
        <v>625</v>
      </c>
      <c r="B770">
        <v>2025</v>
      </c>
      <c r="C770">
        <v>7</v>
      </c>
      <c r="D770" s="1">
        <v>45866</v>
      </c>
      <c r="E770" s="1">
        <v>45866</v>
      </c>
      <c r="F770" s="1">
        <v>45866</v>
      </c>
      <c r="G770" s="1">
        <v>45866</v>
      </c>
      <c r="H770" s="1">
        <v>45866</v>
      </c>
      <c r="I770">
        <v>2244</v>
      </c>
      <c r="J770" t="s">
        <v>30</v>
      </c>
      <c r="K770" t="s">
        <v>31</v>
      </c>
      <c r="L770">
        <v>50</v>
      </c>
      <c r="M770">
        <v>50</v>
      </c>
      <c r="N770" t="s">
        <v>43</v>
      </c>
      <c r="O770">
        <v>1</v>
      </c>
      <c r="P770">
        <v>150</v>
      </c>
      <c r="Q770" t="b">
        <v>1</v>
      </c>
      <c r="R770" t="b">
        <v>0</v>
      </c>
      <c r="S770" t="b">
        <v>0</v>
      </c>
      <c r="T770">
        <v>231</v>
      </c>
      <c r="U770">
        <v>0</v>
      </c>
      <c r="V770" t="s">
        <v>33</v>
      </c>
      <c r="W770" t="s">
        <v>33</v>
      </c>
      <c r="X770">
        <v>50</v>
      </c>
      <c r="Y770">
        <v>2936</v>
      </c>
      <c r="Z770" t="s">
        <v>74</v>
      </c>
      <c r="AA770">
        <v>2936</v>
      </c>
      <c r="AB770" t="s">
        <v>121</v>
      </c>
      <c r="AC770" t="s">
        <v>432</v>
      </c>
      <c r="AD770" t="str">
        <f t="shared" ref="AD770:AD833" si="12">+AB770&amp;" → "&amp;AC770</f>
        <v>Escobedo → Hidalgo</v>
      </c>
      <c r="AE770" t="s">
        <v>1357</v>
      </c>
      <c r="AF770" s="4">
        <v>45839</v>
      </c>
      <c r="AG770" t="str">
        <f>YEAR(Table1[[#This Row],[Fecha]])&amp;" - " &amp;UPPER(TEXT(Table1[[#This Row],[Fecha]],"mm-mmm"))</f>
        <v>2025 - 07-JUL</v>
      </c>
      <c r="AH770" s="5">
        <v>0</v>
      </c>
    </row>
    <row r="771" spans="1:34" x14ac:dyDescent="0.25">
      <c r="A771" t="s">
        <v>273</v>
      </c>
      <c r="B771">
        <v>2025</v>
      </c>
      <c r="C771">
        <v>7</v>
      </c>
      <c r="D771" s="1">
        <v>45867</v>
      </c>
      <c r="E771" s="1">
        <v>45867</v>
      </c>
      <c r="F771" s="1">
        <v>45868</v>
      </c>
      <c r="G771" s="1">
        <v>45867</v>
      </c>
      <c r="H771" s="2">
        <v>45868.565313576386</v>
      </c>
      <c r="I771">
        <v>2371</v>
      </c>
      <c r="J771" t="s">
        <v>30</v>
      </c>
      <c r="K771" t="s">
        <v>31</v>
      </c>
      <c r="L771">
        <v>961</v>
      </c>
      <c r="M771">
        <v>1059</v>
      </c>
      <c r="N771" t="s">
        <v>46</v>
      </c>
      <c r="O771">
        <v>1</v>
      </c>
      <c r="P771">
        <v>964</v>
      </c>
      <c r="Q771" t="b">
        <v>1</v>
      </c>
      <c r="R771" t="b">
        <v>0</v>
      </c>
      <c r="S771" t="b">
        <v>0</v>
      </c>
      <c r="T771">
        <v>1494</v>
      </c>
      <c r="U771">
        <v>0</v>
      </c>
      <c r="V771" t="s">
        <v>33</v>
      </c>
      <c r="W771" t="s">
        <v>33</v>
      </c>
      <c r="X771">
        <v>1100</v>
      </c>
      <c r="Y771">
        <v>8</v>
      </c>
      <c r="Z771" t="s">
        <v>106</v>
      </c>
      <c r="AA771">
        <v>8</v>
      </c>
      <c r="AB771" t="s">
        <v>121</v>
      </c>
      <c r="AC771" t="s">
        <v>56</v>
      </c>
      <c r="AD771" t="str">
        <f t="shared" si="12"/>
        <v>Escobedo → Cd Sahagún</v>
      </c>
      <c r="AE771" t="s">
        <v>1357</v>
      </c>
      <c r="AF771" s="4">
        <v>45839</v>
      </c>
      <c r="AG771" t="str">
        <f>YEAR(Table1[[#This Row],[Fecha]])&amp;" - " &amp;UPPER(TEXT(Table1[[#This Row],[Fecha]],"mm-mmm"))</f>
        <v>2025 - 07-JUL</v>
      </c>
      <c r="AH771" s="5">
        <v>0</v>
      </c>
    </row>
    <row r="772" spans="1:34" x14ac:dyDescent="0.25">
      <c r="A772" t="s">
        <v>395</v>
      </c>
      <c r="B772">
        <v>2025</v>
      </c>
      <c r="C772">
        <v>7</v>
      </c>
      <c r="D772" s="1">
        <v>45841</v>
      </c>
      <c r="E772" s="1">
        <v>45841</v>
      </c>
      <c r="F772" s="1">
        <v>45841</v>
      </c>
      <c r="G772" s="1">
        <v>45841</v>
      </c>
      <c r="H772" s="2">
        <v>45841.746415127316</v>
      </c>
      <c r="I772">
        <v>2039</v>
      </c>
      <c r="J772" t="s">
        <v>30</v>
      </c>
      <c r="K772" t="s">
        <v>31</v>
      </c>
      <c r="L772">
        <v>50</v>
      </c>
      <c r="M772">
        <v>50</v>
      </c>
      <c r="N772" t="s">
        <v>32</v>
      </c>
      <c r="O772">
        <v>1</v>
      </c>
      <c r="P772">
        <v>150</v>
      </c>
      <c r="Q772" t="b">
        <v>1</v>
      </c>
      <c r="R772" t="b">
        <v>0</v>
      </c>
      <c r="S772" t="b">
        <v>0</v>
      </c>
      <c r="T772">
        <v>231</v>
      </c>
      <c r="U772">
        <v>0</v>
      </c>
      <c r="V772" t="s">
        <v>33</v>
      </c>
      <c r="W772" t="s">
        <v>33</v>
      </c>
      <c r="X772">
        <v>50</v>
      </c>
      <c r="Y772">
        <v>461</v>
      </c>
      <c r="Z772" t="s">
        <v>34</v>
      </c>
      <c r="AA772">
        <v>461</v>
      </c>
      <c r="AB772" t="s">
        <v>121</v>
      </c>
      <c r="AC772" t="s">
        <v>35</v>
      </c>
      <c r="AD772" t="str">
        <f t="shared" si="12"/>
        <v>Escobedo → Monterrey</v>
      </c>
      <c r="AE772" t="s">
        <v>1357</v>
      </c>
      <c r="AF772" s="4">
        <v>45839</v>
      </c>
      <c r="AG772" t="str">
        <f>YEAR(Table1[[#This Row],[Fecha]])&amp;" - " &amp;UPPER(TEXT(Table1[[#This Row],[Fecha]],"mm-mmm"))</f>
        <v>2025 - 07-JUL</v>
      </c>
      <c r="AH772" s="5">
        <v>0</v>
      </c>
    </row>
    <row r="773" spans="1:34" x14ac:dyDescent="0.25">
      <c r="A773" t="s">
        <v>1261</v>
      </c>
      <c r="B773">
        <v>2025</v>
      </c>
      <c r="C773">
        <v>7</v>
      </c>
      <c r="D773" s="1">
        <v>45841</v>
      </c>
      <c r="E773" s="1">
        <v>45841</v>
      </c>
      <c r="F773" s="1">
        <v>45841</v>
      </c>
      <c r="G773" s="1">
        <v>45841</v>
      </c>
      <c r="H773" s="2">
        <v>45841.746409722226</v>
      </c>
      <c r="I773">
        <v>2039</v>
      </c>
      <c r="J773" t="s">
        <v>30</v>
      </c>
      <c r="K773" t="s">
        <v>31</v>
      </c>
      <c r="L773">
        <v>50</v>
      </c>
      <c r="M773">
        <v>50</v>
      </c>
      <c r="N773" t="s">
        <v>32</v>
      </c>
      <c r="O773">
        <v>1</v>
      </c>
      <c r="P773">
        <v>150</v>
      </c>
      <c r="Q773" t="b">
        <v>1</v>
      </c>
      <c r="R773" t="b">
        <v>0</v>
      </c>
      <c r="S773" t="b">
        <v>0</v>
      </c>
      <c r="T773">
        <v>231</v>
      </c>
      <c r="U773">
        <v>0</v>
      </c>
      <c r="V773" t="s">
        <v>33</v>
      </c>
      <c r="W773" t="s">
        <v>33</v>
      </c>
      <c r="X773">
        <v>50</v>
      </c>
      <c r="Y773">
        <v>359</v>
      </c>
      <c r="Z773" t="s">
        <v>34</v>
      </c>
      <c r="AA773">
        <v>359</v>
      </c>
      <c r="AB773" t="s">
        <v>121</v>
      </c>
      <c r="AC773" t="s">
        <v>121</v>
      </c>
      <c r="AD773" t="str">
        <f t="shared" si="12"/>
        <v>Escobedo → Escobedo</v>
      </c>
      <c r="AE773" t="s">
        <v>1357</v>
      </c>
      <c r="AF773" s="4">
        <v>45839</v>
      </c>
      <c r="AG773" t="str">
        <f>YEAR(Table1[[#This Row],[Fecha]])&amp;" - " &amp;UPPER(TEXT(Table1[[#This Row],[Fecha]],"mm-mmm"))</f>
        <v>2025 - 07-JUL</v>
      </c>
      <c r="AH773" s="5">
        <v>0</v>
      </c>
    </row>
    <row r="774" spans="1:34" x14ac:dyDescent="0.25">
      <c r="A774" t="s">
        <v>1262</v>
      </c>
      <c r="B774">
        <v>2025</v>
      </c>
      <c r="C774">
        <v>7</v>
      </c>
      <c r="D774" s="1">
        <v>45841</v>
      </c>
      <c r="E774" s="1">
        <v>45841</v>
      </c>
      <c r="F774" s="1">
        <v>45841</v>
      </c>
      <c r="G774" s="1">
        <v>45841</v>
      </c>
      <c r="H774" s="2">
        <v>45841.746434293978</v>
      </c>
      <c r="I774">
        <v>2039</v>
      </c>
      <c r="J774" t="s">
        <v>30</v>
      </c>
      <c r="K774" t="s">
        <v>31</v>
      </c>
      <c r="L774">
        <v>50</v>
      </c>
      <c r="M774">
        <v>50</v>
      </c>
      <c r="N774" t="s">
        <v>32</v>
      </c>
      <c r="O774">
        <v>1</v>
      </c>
      <c r="P774">
        <v>150</v>
      </c>
      <c r="Q774" t="b">
        <v>1</v>
      </c>
      <c r="R774" t="b">
        <v>0</v>
      </c>
      <c r="S774" t="b">
        <v>0</v>
      </c>
      <c r="T774">
        <v>231</v>
      </c>
      <c r="U774">
        <v>0</v>
      </c>
      <c r="V774" t="s">
        <v>33</v>
      </c>
      <c r="W774" t="s">
        <v>33</v>
      </c>
      <c r="X774">
        <v>50</v>
      </c>
      <c r="Y774">
        <v>359</v>
      </c>
      <c r="Z774" t="s">
        <v>34</v>
      </c>
      <c r="AA774">
        <v>359</v>
      </c>
      <c r="AB774" t="s">
        <v>121</v>
      </c>
      <c r="AC774" t="s">
        <v>121</v>
      </c>
      <c r="AD774" t="str">
        <f t="shared" si="12"/>
        <v>Escobedo → Escobedo</v>
      </c>
      <c r="AE774" t="s">
        <v>1357</v>
      </c>
      <c r="AF774" s="4">
        <v>45839</v>
      </c>
      <c r="AG774" t="str">
        <f>YEAR(Table1[[#This Row],[Fecha]])&amp;" - " &amp;UPPER(TEXT(Table1[[#This Row],[Fecha]],"mm-mmm"))</f>
        <v>2025 - 07-JUL</v>
      </c>
      <c r="AH774" s="5">
        <v>0</v>
      </c>
    </row>
    <row r="775" spans="1:34" x14ac:dyDescent="0.25">
      <c r="A775" t="s">
        <v>627</v>
      </c>
      <c r="B775">
        <v>2025</v>
      </c>
      <c r="C775">
        <v>7</v>
      </c>
      <c r="D775" s="1">
        <v>45869</v>
      </c>
      <c r="E775" s="1">
        <v>45869</v>
      </c>
      <c r="F775" s="1">
        <v>45869</v>
      </c>
      <c r="G775" s="1">
        <v>45869</v>
      </c>
      <c r="H775" s="2">
        <v>45869.573603819445</v>
      </c>
      <c r="I775">
        <v>1902</v>
      </c>
      <c r="J775" t="s">
        <v>30</v>
      </c>
      <c r="K775" t="s">
        <v>31</v>
      </c>
      <c r="L775">
        <v>50</v>
      </c>
      <c r="M775">
        <v>50</v>
      </c>
      <c r="N775" t="s">
        <v>118</v>
      </c>
      <c r="O775">
        <v>1</v>
      </c>
      <c r="P775">
        <v>150</v>
      </c>
      <c r="Q775" t="b">
        <v>1</v>
      </c>
      <c r="R775" t="b">
        <v>0</v>
      </c>
      <c r="S775" t="b">
        <v>0</v>
      </c>
      <c r="T775">
        <v>231</v>
      </c>
      <c r="U775">
        <v>0</v>
      </c>
      <c r="V775" t="s">
        <v>33</v>
      </c>
      <c r="W775" t="s">
        <v>33</v>
      </c>
      <c r="X775">
        <v>50</v>
      </c>
      <c r="Y775">
        <v>2936</v>
      </c>
      <c r="Z775" t="s">
        <v>34</v>
      </c>
      <c r="AA775">
        <v>2936</v>
      </c>
      <c r="AB775" t="s">
        <v>121</v>
      </c>
      <c r="AC775" t="s">
        <v>432</v>
      </c>
      <c r="AD775" t="str">
        <f t="shared" si="12"/>
        <v>Escobedo → Hidalgo</v>
      </c>
      <c r="AE775" t="s">
        <v>1357</v>
      </c>
      <c r="AF775" s="4">
        <v>45839</v>
      </c>
      <c r="AG775" t="str">
        <f>YEAR(Table1[[#This Row],[Fecha]])&amp;" - " &amp;UPPER(TEXT(Table1[[#This Row],[Fecha]],"mm-mmm"))</f>
        <v>2025 - 07-JUL</v>
      </c>
      <c r="AH775" s="5">
        <v>0</v>
      </c>
    </row>
    <row r="776" spans="1:34" x14ac:dyDescent="0.25">
      <c r="A776" t="s">
        <v>1263</v>
      </c>
      <c r="B776">
        <v>2025</v>
      </c>
      <c r="C776">
        <v>7</v>
      </c>
      <c r="D776" s="1">
        <v>45869</v>
      </c>
      <c r="E776" s="1">
        <v>45869</v>
      </c>
      <c r="F776" s="1">
        <v>45869</v>
      </c>
      <c r="G776" s="1">
        <v>45869</v>
      </c>
      <c r="H776" s="2">
        <v>45869.616682141204</v>
      </c>
      <c r="I776">
        <v>1902</v>
      </c>
      <c r="J776" t="s">
        <v>30</v>
      </c>
      <c r="K776" t="s">
        <v>31</v>
      </c>
      <c r="L776">
        <v>50</v>
      </c>
      <c r="M776">
        <v>50</v>
      </c>
      <c r="N776" t="s">
        <v>118</v>
      </c>
      <c r="O776">
        <v>1</v>
      </c>
      <c r="P776">
        <v>150</v>
      </c>
      <c r="Q776" t="b">
        <v>1</v>
      </c>
      <c r="R776" t="b">
        <v>0</v>
      </c>
      <c r="S776" t="b">
        <v>0</v>
      </c>
      <c r="T776">
        <v>231</v>
      </c>
      <c r="U776">
        <v>0</v>
      </c>
      <c r="V776" t="s">
        <v>33</v>
      </c>
      <c r="W776" t="s">
        <v>33</v>
      </c>
      <c r="X776">
        <v>50</v>
      </c>
      <c r="Y776">
        <v>359</v>
      </c>
      <c r="Z776" t="s">
        <v>34</v>
      </c>
      <c r="AA776">
        <v>359</v>
      </c>
      <c r="AB776" t="s">
        <v>121</v>
      </c>
      <c r="AC776" t="s">
        <v>121</v>
      </c>
      <c r="AD776" t="str">
        <f t="shared" si="12"/>
        <v>Escobedo → Escobedo</v>
      </c>
      <c r="AE776" t="s">
        <v>1357</v>
      </c>
      <c r="AF776" s="4">
        <v>45839</v>
      </c>
      <c r="AG776" t="str">
        <f>YEAR(Table1[[#This Row],[Fecha]])&amp;" - " &amp;UPPER(TEXT(Table1[[#This Row],[Fecha]],"mm-mmm"))</f>
        <v>2025 - 07-JUL</v>
      </c>
      <c r="AH776" s="5">
        <v>0</v>
      </c>
    </row>
    <row r="777" spans="1:34" x14ac:dyDescent="0.25">
      <c r="A777" t="s">
        <v>1264</v>
      </c>
      <c r="B777">
        <v>2025</v>
      </c>
      <c r="C777">
        <v>7</v>
      </c>
      <c r="D777" s="1">
        <v>45869</v>
      </c>
      <c r="E777" s="1">
        <v>45869</v>
      </c>
      <c r="F777" s="1">
        <v>45869</v>
      </c>
      <c r="G777" s="1">
        <v>45869</v>
      </c>
      <c r="H777" s="2">
        <v>45870.433128935183</v>
      </c>
      <c r="I777">
        <v>1902</v>
      </c>
      <c r="J777" t="s">
        <v>30</v>
      </c>
      <c r="K777" t="s">
        <v>31</v>
      </c>
      <c r="L777">
        <v>50</v>
      </c>
      <c r="M777">
        <v>50</v>
      </c>
      <c r="N777" t="s">
        <v>118</v>
      </c>
      <c r="O777">
        <v>1</v>
      </c>
      <c r="P777">
        <v>150</v>
      </c>
      <c r="Q777" t="b">
        <v>1</v>
      </c>
      <c r="R777" t="b">
        <v>0</v>
      </c>
      <c r="S777" t="b">
        <v>0</v>
      </c>
      <c r="T777">
        <v>231</v>
      </c>
      <c r="U777">
        <v>0</v>
      </c>
      <c r="V777" t="s">
        <v>33</v>
      </c>
      <c r="W777" t="s">
        <v>33</v>
      </c>
      <c r="X777">
        <v>50</v>
      </c>
      <c r="Y777">
        <v>359</v>
      </c>
      <c r="Z777" t="s">
        <v>34</v>
      </c>
      <c r="AA777">
        <v>359</v>
      </c>
      <c r="AB777" t="s">
        <v>121</v>
      </c>
      <c r="AC777" t="s">
        <v>121</v>
      </c>
      <c r="AD777" t="str">
        <f t="shared" si="12"/>
        <v>Escobedo → Escobedo</v>
      </c>
      <c r="AE777" t="s">
        <v>1357</v>
      </c>
      <c r="AF777" s="4">
        <v>45839</v>
      </c>
      <c r="AG777" t="str">
        <f>YEAR(Table1[[#This Row],[Fecha]])&amp;" - " &amp;UPPER(TEXT(Table1[[#This Row],[Fecha]],"mm-mmm"))</f>
        <v>2025 - 07-JUL</v>
      </c>
      <c r="AH777" s="5">
        <v>0</v>
      </c>
    </row>
    <row r="778" spans="1:34" x14ac:dyDescent="0.25">
      <c r="A778" t="s">
        <v>626</v>
      </c>
      <c r="B778">
        <v>2025</v>
      </c>
      <c r="C778">
        <v>7</v>
      </c>
      <c r="D778" s="1">
        <v>45869</v>
      </c>
      <c r="E778" s="1">
        <v>45869</v>
      </c>
      <c r="F778" s="1">
        <v>45869</v>
      </c>
      <c r="G778" s="1">
        <v>45869</v>
      </c>
      <c r="H778" s="2">
        <v>45870.434946909721</v>
      </c>
      <c r="I778">
        <v>1902</v>
      </c>
      <c r="J778" t="s">
        <v>30</v>
      </c>
      <c r="K778" t="s">
        <v>31</v>
      </c>
      <c r="L778">
        <v>50</v>
      </c>
      <c r="M778">
        <v>50</v>
      </c>
      <c r="N778" t="s">
        <v>118</v>
      </c>
      <c r="O778">
        <v>1</v>
      </c>
      <c r="P778">
        <v>150</v>
      </c>
      <c r="Q778" t="b">
        <v>1</v>
      </c>
      <c r="R778" t="b">
        <v>0</v>
      </c>
      <c r="S778" t="b">
        <v>0</v>
      </c>
      <c r="T778">
        <v>231</v>
      </c>
      <c r="U778">
        <v>0</v>
      </c>
      <c r="V778" t="s">
        <v>33</v>
      </c>
      <c r="W778" t="s">
        <v>33</v>
      </c>
      <c r="X778">
        <v>50</v>
      </c>
      <c r="Y778">
        <v>2936</v>
      </c>
      <c r="Z778" t="s">
        <v>34</v>
      </c>
      <c r="AA778">
        <v>2936</v>
      </c>
      <c r="AB778" t="s">
        <v>121</v>
      </c>
      <c r="AC778" t="s">
        <v>432</v>
      </c>
      <c r="AD778" t="str">
        <f t="shared" si="12"/>
        <v>Escobedo → Hidalgo</v>
      </c>
      <c r="AE778" t="s">
        <v>1357</v>
      </c>
      <c r="AF778" s="4">
        <v>45839</v>
      </c>
      <c r="AG778" t="str">
        <f>YEAR(Table1[[#This Row],[Fecha]])&amp;" - " &amp;UPPER(TEXT(Table1[[#This Row],[Fecha]],"mm-mmm"))</f>
        <v>2025 - 07-JUL</v>
      </c>
      <c r="AH778" s="5">
        <v>0</v>
      </c>
    </row>
    <row r="779" spans="1:34" x14ac:dyDescent="0.25">
      <c r="A779" t="s">
        <v>397</v>
      </c>
      <c r="B779">
        <v>2025</v>
      </c>
      <c r="C779">
        <v>7</v>
      </c>
      <c r="D779" s="1">
        <v>45869</v>
      </c>
      <c r="E779" s="1">
        <v>45869</v>
      </c>
      <c r="F779" s="1">
        <v>45869</v>
      </c>
      <c r="G779" s="1">
        <v>45869</v>
      </c>
      <c r="H779" s="2">
        <v>45870.507573067131</v>
      </c>
      <c r="I779">
        <v>1902</v>
      </c>
      <c r="J779" t="s">
        <v>30</v>
      </c>
      <c r="K779" t="s">
        <v>31</v>
      </c>
      <c r="L779">
        <v>50</v>
      </c>
      <c r="M779">
        <v>50</v>
      </c>
      <c r="N779" t="s">
        <v>118</v>
      </c>
      <c r="O779">
        <v>1</v>
      </c>
      <c r="P779">
        <v>150</v>
      </c>
      <c r="Q779" t="b">
        <v>1</v>
      </c>
      <c r="R779" t="b">
        <v>0</v>
      </c>
      <c r="S779" t="b">
        <v>0</v>
      </c>
      <c r="T779">
        <v>231</v>
      </c>
      <c r="U779">
        <v>0</v>
      </c>
      <c r="V779" t="s">
        <v>33</v>
      </c>
      <c r="W779" t="s">
        <v>33</v>
      </c>
      <c r="X779">
        <v>50</v>
      </c>
      <c r="Y779">
        <v>461</v>
      </c>
      <c r="Z779" t="s">
        <v>34</v>
      </c>
      <c r="AA779">
        <v>461</v>
      </c>
      <c r="AB779" t="s">
        <v>121</v>
      </c>
      <c r="AC779" t="s">
        <v>35</v>
      </c>
      <c r="AD779" t="str">
        <f t="shared" si="12"/>
        <v>Escobedo → Monterrey</v>
      </c>
      <c r="AE779" t="s">
        <v>1357</v>
      </c>
      <c r="AF779" s="4">
        <v>45839</v>
      </c>
      <c r="AG779" t="str">
        <f>YEAR(Table1[[#This Row],[Fecha]])&amp;" - " &amp;UPPER(TEXT(Table1[[#This Row],[Fecha]],"mm-mmm"))</f>
        <v>2025 - 07-JUL</v>
      </c>
      <c r="AH779" s="5">
        <v>0</v>
      </c>
    </row>
    <row r="780" spans="1:34" x14ac:dyDescent="0.25">
      <c r="A780" t="s">
        <v>1265</v>
      </c>
      <c r="B780">
        <v>2025</v>
      </c>
      <c r="C780">
        <v>7</v>
      </c>
      <c r="D780" s="1">
        <v>45841</v>
      </c>
      <c r="E780" s="1">
        <v>45841</v>
      </c>
      <c r="F780" s="1">
        <v>45841</v>
      </c>
      <c r="G780" s="1">
        <v>45841</v>
      </c>
      <c r="H780" s="2">
        <v>45841.746427430553</v>
      </c>
      <c r="I780">
        <v>2039</v>
      </c>
      <c r="J780" t="s">
        <v>30</v>
      </c>
      <c r="K780" t="s">
        <v>31</v>
      </c>
      <c r="L780">
        <v>50</v>
      </c>
      <c r="M780">
        <v>50</v>
      </c>
      <c r="N780" t="s">
        <v>32</v>
      </c>
      <c r="O780">
        <v>1</v>
      </c>
      <c r="P780">
        <v>150</v>
      </c>
      <c r="Q780" t="b">
        <v>1</v>
      </c>
      <c r="R780" t="b">
        <v>0</v>
      </c>
      <c r="S780" t="b">
        <v>0</v>
      </c>
      <c r="T780">
        <v>231</v>
      </c>
      <c r="U780">
        <v>0</v>
      </c>
      <c r="V780" t="s">
        <v>33</v>
      </c>
      <c r="W780" t="s">
        <v>33</v>
      </c>
      <c r="X780">
        <v>50</v>
      </c>
      <c r="Y780">
        <v>359</v>
      </c>
      <c r="Z780" t="s">
        <v>34</v>
      </c>
      <c r="AA780">
        <v>359</v>
      </c>
      <c r="AB780" t="s">
        <v>121</v>
      </c>
      <c r="AC780" t="s">
        <v>121</v>
      </c>
      <c r="AD780" t="str">
        <f t="shared" si="12"/>
        <v>Escobedo → Escobedo</v>
      </c>
      <c r="AE780" t="s">
        <v>1357</v>
      </c>
      <c r="AF780" s="4">
        <v>45839</v>
      </c>
      <c r="AG780" t="str">
        <f>YEAR(Table1[[#This Row],[Fecha]])&amp;" - " &amp;UPPER(TEXT(Table1[[#This Row],[Fecha]],"mm-mmm"))</f>
        <v>2025 - 07-JUL</v>
      </c>
      <c r="AH780" s="5">
        <v>0</v>
      </c>
    </row>
    <row r="781" spans="1:34" x14ac:dyDescent="0.25">
      <c r="A781" t="s">
        <v>1266</v>
      </c>
      <c r="B781">
        <v>2025</v>
      </c>
      <c r="C781">
        <v>7</v>
      </c>
      <c r="D781" s="1">
        <v>45841</v>
      </c>
      <c r="E781" s="1">
        <v>45841</v>
      </c>
      <c r="F781" s="1">
        <v>45841</v>
      </c>
      <c r="G781" s="1">
        <v>45841</v>
      </c>
      <c r="H781" s="2">
        <v>45841.746391435183</v>
      </c>
      <c r="I781">
        <v>2039</v>
      </c>
      <c r="J781" t="s">
        <v>30</v>
      </c>
      <c r="K781" t="s">
        <v>31</v>
      </c>
      <c r="L781">
        <v>50</v>
      </c>
      <c r="M781">
        <v>50</v>
      </c>
      <c r="N781" t="s">
        <v>32</v>
      </c>
      <c r="O781">
        <v>1</v>
      </c>
      <c r="P781">
        <v>150</v>
      </c>
      <c r="Q781" t="b">
        <v>1</v>
      </c>
      <c r="R781" t="b">
        <v>0</v>
      </c>
      <c r="S781" t="b">
        <v>0</v>
      </c>
      <c r="T781">
        <v>231</v>
      </c>
      <c r="U781">
        <v>0</v>
      </c>
      <c r="V781" t="s">
        <v>33</v>
      </c>
      <c r="W781" t="s">
        <v>33</v>
      </c>
      <c r="X781">
        <v>50</v>
      </c>
      <c r="Y781">
        <v>359</v>
      </c>
      <c r="Z781" t="s">
        <v>34</v>
      </c>
      <c r="AA781">
        <v>359</v>
      </c>
      <c r="AB781" t="s">
        <v>121</v>
      </c>
      <c r="AC781" t="s">
        <v>121</v>
      </c>
      <c r="AD781" t="str">
        <f t="shared" si="12"/>
        <v>Escobedo → Escobedo</v>
      </c>
      <c r="AE781" t="s">
        <v>1357</v>
      </c>
      <c r="AF781" s="4">
        <v>45839</v>
      </c>
      <c r="AG781" t="str">
        <f>YEAR(Table1[[#This Row],[Fecha]])&amp;" - " &amp;UPPER(TEXT(Table1[[#This Row],[Fecha]],"mm-mmm"))</f>
        <v>2025 - 07-JUL</v>
      </c>
      <c r="AH781" s="5">
        <v>0</v>
      </c>
    </row>
    <row r="782" spans="1:34" x14ac:dyDescent="0.25">
      <c r="A782" t="s">
        <v>1267</v>
      </c>
      <c r="B782">
        <v>2025</v>
      </c>
      <c r="C782">
        <v>7</v>
      </c>
      <c r="D782" s="1">
        <v>45841</v>
      </c>
      <c r="E782" s="1">
        <v>45841</v>
      </c>
      <c r="F782" s="1">
        <v>45841</v>
      </c>
      <c r="G782" s="1">
        <v>45841</v>
      </c>
      <c r="H782" s="1">
        <v>45841</v>
      </c>
      <c r="I782">
        <v>2039</v>
      </c>
      <c r="J782" t="s">
        <v>30</v>
      </c>
      <c r="K782" t="s">
        <v>31</v>
      </c>
      <c r="L782">
        <v>50</v>
      </c>
      <c r="M782">
        <v>50</v>
      </c>
      <c r="N782" t="s">
        <v>32</v>
      </c>
      <c r="O782">
        <v>1</v>
      </c>
      <c r="P782">
        <v>150</v>
      </c>
      <c r="Q782" t="b">
        <v>1</v>
      </c>
      <c r="R782" t="b">
        <v>0</v>
      </c>
      <c r="S782" t="b">
        <v>0</v>
      </c>
      <c r="T782">
        <v>231</v>
      </c>
      <c r="U782">
        <v>0</v>
      </c>
      <c r="V782" t="s">
        <v>33</v>
      </c>
      <c r="W782" t="s">
        <v>33</v>
      </c>
      <c r="X782">
        <v>50</v>
      </c>
      <c r="Y782">
        <v>359</v>
      </c>
      <c r="Z782" t="s">
        <v>34</v>
      </c>
      <c r="AA782">
        <v>359</v>
      </c>
      <c r="AB782" t="s">
        <v>121</v>
      </c>
      <c r="AC782" t="s">
        <v>121</v>
      </c>
      <c r="AD782" t="str">
        <f t="shared" si="12"/>
        <v>Escobedo → Escobedo</v>
      </c>
      <c r="AE782" t="s">
        <v>1357</v>
      </c>
      <c r="AF782" s="4">
        <v>45839</v>
      </c>
      <c r="AG782" t="str">
        <f>YEAR(Table1[[#This Row],[Fecha]])&amp;" - " &amp;UPPER(TEXT(Table1[[#This Row],[Fecha]],"mm-mmm"))</f>
        <v>2025 - 07-JUL</v>
      </c>
      <c r="AH782" s="5">
        <v>0</v>
      </c>
    </row>
    <row r="783" spans="1:34" x14ac:dyDescent="0.25">
      <c r="A783" t="s">
        <v>1268</v>
      </c>
      <c r="B783">
        <v>2025</v>
      </c>
      <c r="C783">
        <v>7</v>
      </c>
      <c r="D783" s="1">
        <v>45841</v>
      </c>
      <c r="E783" s="1">
        <v>45841</v>
      </c>
      <c r="F783" s="1">
        <v>45841</v>
      </c>
      <c r="G783" s="1">
        <v>45841</v>
      </c>
      <c r="H783" s="2">
        <v>45841.746420914351</v>
      </c>
      <c r="I783">
        <v>2039</v>
      </c>
      <c r="J783" t="s">
        <v>30</v>
      </c>
      <c r="K783" t="s">
        <v>31</v>
      </c>
      <c r="L783">
        <v>50</v>
      </c>
      <c r="M783">
        <v>50</v>
      </c>
      <c r="N783" t="s">
        <v>32</v>
      </c>
      <c r="O783">
        <v>1</v>
      </c>
      <c r="P783">
        <v>150</v>
      </c>
      <c r="Q783" t="b">
        <v>1</v>
      </c>
      <c r="R783" t="b">
        <v>0</v>
      </c>
      <c r="S783" t="b">
        <v>0</v>
      </c>
      <c r="T783">
        <v>231</v>
      </c>
      <c r="U783">
        <v>0</v>
      </c>
      <c r="V783" t="s">
        <v>33</v>
      </c>
      <c r="W783" t="s">
        <v>33</v>
      </c>
      <c r="X783">
        <v>50</v>
      </c>
      <c r="Y783">
        <v>359</v>
      </c>
      <c r="Z783" t="s">
        <v>34</v>
      </c>
      <c r="AA783">
        <v>359</v>
      </c>
      <c r="AB783" t="s">
        <v>121</v>
      </c>
      <c r="AC783" t="s">
        <v>121</v>
      </c>
      <c r="AD783" t="str">
        <f t="shared" si="12"/>
        <v>Escobedo → Escobedo</v>
      </c>
      <c r="AE783" t="s">
        <v>1357</v>
      </c>
      <c r="AF783" s="4">
        <v>45839</v>
      </c>
      <c r="AG783" t="str">
        <f>YEAR(Table1[[#This Row],[Fecha]])&amp;" - " &amp;UPPER(TEXT(Table1[[#This Row],[Fecha]],"mm-mmm"))</f>
        <v>2025 - 07-JUL</v>
      </c>
      <c r="AH783" s="5">
        <v>0</v>
      </c>
    </row>
    <row r="784" spans="1:34" x14ac:dyDescent="0.25">
      <c r="A784" t="s">
        <v>1269</v>
      </c>
      <c r="B784">
        <v>2025</v>
      </c>
      <c r="C784">
        <v>7</v>
      </c>
      <c r="D784" s="1">
        <v>45842</v>
      </c>
      <c r="E784" s="1">
        <v>45842</v>
      </c>
      <c r="F784" s="1">
        <v>45842</v>
      </c>
      <c r="G784" s="1">
        <v>45842</v>
      </c>
      <c r="H784" s="2">
        <v>45843.490427662036</v>
      </c>
      <c r="I784">
        <v>2039</v>
      </c>
      <c r="J784" t="s">
        <v>30</v>
      </c>
      <c r="K784" t="s">
        <v>31</v>
      </c>
      <c r="L784">
        <v>50</v>
      </c>
      <c r="M784">
        <v>50</v>
      </c>
      <c r="N784" t="s">
        <v>32</v>
      </c>
      <c r="O784">
        <v>1</v>
      </c>
      <c r="P784">
        <v>150</v>
      </c>
      <c r="Q784" t="b">
        <v>1</v>
      </c>
      <c r="R784" t="b">
        <v>0</v>
      </c>
      <c r="S784" t="b">
        <v>0</v>
      </c>
      <c r="T784">
        <v>231</v>
      </c>
      <c r="U784">
        <v>0</v>
      </c>
      <c r="V784" t="s">
        <v>33</v>
      </c>
      <c r="W784" t="s">
        <v>33</v>
      </c>
      <c r="X784">
        <v>50</v>
      </c>
      <c r="Y784">
        <v>359</v>
      </c>
      <c r="Z784" t="s">
        <v>34</v>
      </c>
      <c r="AA784">
        <v>359</v>
      </c>
      <c r="AB784" t="s">
        <v>121</v>
      </c>
      <c r="AC784" t="s">
        <v>121</v>
      </c>
      <c r="AD784" t="str">
        <f t="shared" si="12"/>
        <v>Escobedo → Escobedo</v>
      </c>
      <c r="AE784" t="s">
        <v>1357</v>
      </c>
      <c r="AF784" s="4">
        <v>45839</v>
      </c>
      <c r="AG784" t="str">
        <f>YEAR(Table1[[#This Row],[Fecha]])&amp;" - " &amp;UPPER(TEXT(Table1[[#This Row],[Fecha]],"mm-mmm"))</f>
        <v>2025 - 07-JUL</v>
      </c>
      <c r="AH784" s="5">
        <v>0</v>
      </c>
    </row>
    <row r="785" spans="1:34" x14ac:dyDescent="0.25">
      <c r="A785" t="s">
        <v>629</v>
      </c>
      <c r="B785">
        <v>2025</v>
      </c>
      <c r="C785">
        <v>7</v>
      </c>
      <c r="D785" s="1">
        <v>45842</v>
      </c>
      <c r="E785" s="1">
        <v>45842</v>
      </c>
      <c r="F785" s="1">
        <v>45842</v>
      </c>
      <c r="G785" s="1">
        <v>45842</v>
      </c>
      <c r="H785" s="2">
        <v>45843.490724421295</v>
      </c>
      <c r="I785">
        <v>2039</v>
      </c>
      <c r="J785" t="s">
        <v>30</v>
      </c>
      <c r="K785" t="s">
        <v>31</v>
      </c>
      <c r="L785">
        <v>50</v>
      </c>
      <c r="M785">
        <v>50</v>
      </c>
      <c r="N785" t="s">
        <v>32</v>
      </c>
      <c r="O785">
        <v>1</v>
      </c>
      <c r="P785">
        <v>150</v>
      </c>
      <c r="Q785" t="b">
        <v>1</v>
      </c>
      <c r="R785" t="b">
        <v>0</v>
      </c>
      <c r="S785" t="b">
        <v>0</v>
      </c>
      <c r="T785">
        <v>231</v>
      </c>
      <c r="U785">
        <v>0</v>
      </c>
      <c r="V785" t="s">
        <v>33</v>
      </c>
      <c r="W785" t="s">
        <v>33</v>
      </c>
      <c r="X785">
        <v>50</v>
      </c>
      <c r="Y785">
        <v>2936</v>
      </c>
      <c r="Z785" t="s">
        <v>34</v>
      </c>
      <c r="AA785">
        <v>2936</v>
      </c>
      <c r="AB785" t="s">
        <v>121</v>
      </c>
      <c r="AC785" t="s">
        <v>432</v>
      </c>
      <c r="AD785" t="str">
        <f t="shared" si="12"/>
        <v>Escobedo → Hidalgo</v>
      </c>
      <c r="AE785" t="s">
        <v>1357</v>
      </c>
      <c r="AF785" s="4">
        <v>45839</v>
      </c>
      <c r="AG785" t="str">
        <f>YEAR(Table1[[#This Row],[Fecha]])&amp;" - " &amp;UPPER(TEXT(Table1[[#This Row],[Fecha]],"mm-mmm"))</f>
        <v>2025 - 07-JUL</v>
      </c>
      <c r="AH785" s="5">
        <v>0</v>
      </c>
    </row>
    <row r="786" spans="1:34" x14ac:dyDescent="0.25">
      <c r="A786" t="s">
        <v>1270</v>
      </c>
      <c r="B786">
        <v>2025</v>
      </c>
      <c r="C786">
        <v>7</v>
      </c>
      <c r="D786" s="1">
        <v>45842</v>
      </c>
      <c r="E786" s="1">
        <v>45842</v>
      </c>
      <c r="F786" s="1">
        <v>45842</v>
      </c>
      <c r="G786" s="1">
        <v>45842</v>
      </c>
      <c r="H786" s="2">
        <v>45843.491004016207</v>
      </c>
      <c r="I786">
        <v>2039</v>
      </c>
      <c r="J786" t="s">
        <v>30</v>
      </c>
      <c r="K786" t="s">
        <v>31</v>
      </c>
      <c r="L786">
        <v>50</v>
      </c>
      <c r="M786">
        <v>50</v>
      </c>
      <c r="N786" t="s">
        <v>32</v>
      </c>
      <c r="O786">
        <v>1</v>
      </c>
      <c r="P786">
        <v>150</v>
      </c>
      <c r="Q786" t="b">
        <v>1</v>
      </c>
      <c r="R786" t="b">
        <v>0</v>
      </c>
      <c r="S786" t="b">
        <v>0</v>
      </c>
      <c r="T786">
        <v>231</v>
      </c>
      <c r="U786">
        <v>0</v>
      </c>
      <c r="V786" t="s">
        <v>33</v>
      </c>
      <c r="W786" t="s">
        <v>33</v>
      </c>
      <c r="X786">
        <v>50</v>
      </c>
      <c r="Y786">
        <v>359</v>
      </c>
      <c r="Z786" t="s">
        <v>34</v>
      </c>
      <c r="AA786">
        <v>359</v>
      </c>
      <c r="AB786" t="s">
        <v>121</v>
      </c>
      <c r="AC786" t="s">
        <v>121</v>
      </c>
      <c r="AD786" t="str">
        <f t="shared" si="12"/>
        <v>Escobedo → Escobedo</v>
      </c>
      <c r="AE786" t="s">
        <v>1357</v>
      </c>
      <c r="AF786" s="4">
        <v>45839</v>
      </c>
      <c r="AG786" t="str">
        <f>YEAR(Table1[[#This Row],[Fecha]])&amp;" - " &amp;UPPER(TEXT(Table1[[#This Row],[Fecha]],"mm-mmm"))</f>
        <v>2025 - 07-JUL</v>
      </c>
      <c r="AH786" s="5">
        <v>0</v>
      </c>
    </row>
    <row r="787" spans="1:34" x14ac:dyDescent="0.25">
      <c r="A787" t="s">
        <v>1271</v>
      </c>
      <c r="B787">
        <v>2025</v>
      </c>
      <c r="C787">
        <v>7</v>
      </c>
      <c r="D787" s="1">
        <v>45842</v>
      </c>
      <c r="E787" s="1">
        <v>45842</v>
      </c>
      <c r="F787" s="1">
        <v>45842</v>
      </c>
      <c r="G787" s="1">
        <v>45842</v>
      </c>
      <c r="H787" s="2">
        <v>45843.491310381942</v>
      </c>
      <c r="I787">
        <v>2039</v>
      </c>
      <c r="J787" t="s">
        <v>30</v>
      </c>
      <c r="K787" t="s">
        <v>31</v>
      </c>
      <c r="L787">
        <v>50</v>
      </c>
      <c r="M787">
        <v>50</v>
      </c>
      <c r="N787" t="s">
        <v>32</v>
      </c>
      <c r="O787">
        <v>1</v>
      </c>
      <c r="P787">
        <v>150</v>
      </c>
      <c r="Q787" t="b">
        <v>1</v>
      </c>
      <c r="R787" t="b">
        <v>0</v>
      </c>
      <c r="S787" t="b">
        <v>0</v>
      </c>
      <c r="T787">
        <v>231</v>
      </c>
      <c r="U787">
        <v>0</v>
      </c>
      <c r="V787" t="s">
        <v>33</v>
      </c>
      <c r="W787" t="s">
        <v>33</v>
      </c>
      <c r="X787">
        <v>50</v>
      </c>
      <c r="Y787">
        <v>359</v>
      </c>
      <c r="Z787" t="s">
        <v>34</v>
      </c>
      <c r="AA787">
        <v>359</v>
      </c>
      <c r="AB787" t="s">
        <v>121</v>
      </c>
      <c r="AC787" t="s">
        <v>121</v>
      </c>
      <c r="AD787" t="str">
        <f t="shared" si="12"/>
        <v>Escobedo → Escobedo</v>
      </c>
      <c r="AE787" t="s">
        <v>1357</v>
      </c>
      <c r="AF787" s="4">
        <v>45839</v>
      </c>
      <c r="AG787" t="str">
        <f>YEAR(Table1[[#This Row],[Fecha]])&amp;" - " &amp;UPPER(TEXT(Table1[[#This Row],[Fecha]],"mm-mmm"))</f>
        <v>2025 - 07-JUL</v>
      </c>
      <c r="AH787" s="5">
        <v>0</v>
      </c>
    </row>
    <row r="788" spans="1:34" x14ac:dyDescent="0.25">
      <c r="A788" t="s">
        <v>1272</v>
      </c>
      <c r="B788">
        <v>2025</v>
      </c>
      <c r="C788">
        <v>7</v>
      </c>
      <c r="D788" s="1">
        <v>45842</v>
      </c>
      <c r="E788" s="1">
        <v>45842</v>
      </c>
      <c r="F788" s="1">
        <v>45842</v>
      </c>
      <c r="G788" s="1">
        <v>45842</v>
      </c>
      <c r="H788" s="2">
        <v>45843.491612847225</v>
      </c>
      <c r="I788">
        <v>2039</v>
      </c>
      <c r="J788" t="s">
        <v>30</v>
      </c>
      <c r="K788" t="s">
        <v>31</v>
      </c>
      <c r="L788">
        <v>50</v>
      </c>
      <c r="M788">
        <v>50</v>
      </c>
      <c r="N788" t="s">
        <v>32</v>
      </c>
      <c r="O788">
        <v>1</v>
      </c>
      <c r="P788">
        <v>150</v>
      </c>
      <c r="Q788" t="b">
        <v>1</v>
      </c>
      <c r="R788" t="b">
        <v>0</v>
      </c>
      <c r="S788" t="b">
        <v>0</v>
      </c>
      <c r="T788">
        <v>231</v>
      </c>
      <c r="U788">
        <v>0</v>
      </c>
      <c r="V788" t="s">
        <v>33</v>
      </c>
      <c r="W788" t="s">
        <v>33</v>
      </c>
      <c r="X788">
        <v>50</v>
      </c>
      <c r="Y788">
        <v>359</v>
      </c>
      <c r="Z788" t="s">
        <v>34</v>
      </c>
      <c r="AA788">
        <v>359</v>
      </c>
      <c r="AB788" t="s">
        <v>121</v>
      </c>
      <c r="AC788" t="s">
        <v>121</v>
      </c>
      <c r="AD788" t="str">
        <f t="shared" si="12"/>
        <v>Escobedo → Escobedo</v>
      </c>
      <c r="AE788" t="s">
        <v>1357</v>
      </c>
      <c r="AF788" s="4">
        <v>45839</v>
      </c>
      <c r="AG788" t="str">
        <f>YEAR(Table1[[#This Row],[Fecha]])&amp;" - " &amp;UPPER(TEXT(Table1[[#This Row],[Fecha]],"mm-mmm"))</f>
        <v>2025 - 07-JUL</v>
      </c>
      <c r="AH788" s="5">
        <v>0</v>
      </c>
    </row>
    <row r="789" spans="1:34" x14ac:dyDescent="0.25">
      <c r="A789" t="s">
        <v>1273</v>
      </c>
      <c r="B789">
        <v>2025</v>
      </c>
      <c r="C789">
        <v>7</v>
      </c>
      <c r="D789" s="1">
        <v>45842</v>
      </c>
      <c r="E789" s="1">
        <v>45842</v>
      </c>
      <c r="F789" s="1">
        <v>45842</v>
      </c>
      <c r="G789" s="1">
        <v>45842</v>
      </c>
      <c r="H789" s="2">
        <v>45843.49190940972</v>
      </c>
      <c r="I789">
        <v>2039</v>
      </c>
      <c r="J789" t="s">
        <v>30</v>
      </c>
      <c r="K789" t="s">
        <v>31</v>
      </c>
      <c r="L789">
        <v>50</v>
      </c>
      <c r="M789">
        <v>50</v>
      </c>
      <c r="N789" t="s">
        <v>32</v>
      </c>
      <c r="O789">
        <v>1</v>
      </c>
      <c r="P789">
        <v>150</v>
      </c>
      <c r="Q789" t="b">
        <v>1</v>
      </c>
      <c r="R789" t="b">
        <v>0</v>
      </c>
      <c r="S789" t="b">
        <v>0</v>
      </c>
      <c r="T789">
        <v>231</v>
      </c>
      <c r="U789">
        <v>0</v>
      </c>
      <c r="V789" t="s">
        <v>33</v>
      </c>
      <c r="W789" t="s">
        <v>33</v>
      </c>
      <c r="X789">
        <v>50</v>
      </c>
      <c r="Y789">
        <v>359</v>
      </c>
      <c r="Z789" t="s">
        <v>34</v>
      </c>
      <c r="AA789">
        <v>359</v>
      </c>
      <c r="AB789" t="s">
        <v>121</v>
      </c>
      <c r="AC789" t="s">
        <v>121</v>
      </c>
      <c r="AD789" t="str">
        <f t="shared" si="12"/>
        <v>Escobedo → Escobedo</v>
      </c>
      <c r="AE789" t="s">
        <v>1357</v>
      </c>
      <c r="AF789" s="4">
        <v>45839</v>
      </c>
      <c r="AG789" t="str">
        <f>YEAR(Table1[[#This Row],[Fecha]])&amp;" - " &amp;UPPER(TEXT(Table1[[#This Row],[Fecha]],"mm-mmm"))</f>
        <v>2025 - 07-JUL</v>
      </c>
      <c r="AH789" s="5">
        <v>0</v>
      </c>
    </row>
    <row r="790" spans="1:34" x14ac:dyDescent="0.25">
      <c r="A790" t="s">
        <v>1274</v>
      </c>
      <c r="B790">
        <v>2025</v>
      </c>
      <c r="C790">
        <v>7</v>
      </c>
      <c r="D790" s="1">
        <v>45842</v>
      </c>
      <c r="E790" s="1">
        <v>45842</v>
      </c>
      <c r="F790" s="1">
        <v>45842</v>
      </c>
      <c r="G790" s="1">
        <v>45842</v>
      </c>
      <c r="H790" s="2">
        <v>45843.492197800922</v>
      </c>
      <c r="I790">
        <v>2039</v>
      </c>
      <c r="J790" t="s">
        <v>30</v>
      </c>
      <c r="K790" t="s">
        <v>31</v>
      </c>
      <c r="L790">
        <v>50</v>
      </c>
      <c r="M790">
        <v>50</v>
      </c>
      <c r="N790" t="s">
        <v>32</v>
      </c>
      <c r="O790">
        <v>1</v>
      </c>
      <c r="P790">
        <v>150</v>
      </c>
      <c r="Q790" t="b">
        <v>1</v>
      </c>
      <c r="R790" t="b">
        <v>0</v>
      </c>
      <c r="S790" t="b">
        <v>0</v>
      </c>
      <c r="T790">
        <v>231</v>
      </c>
      <c r="U790">
        <v>0</v>
      </c>
      <c r="V790" t="s">
        <v>33</v>
      </c>
      <c r="W790" t="s">
        <v>33</v>
      </c>
      <c r="X790">
        <v>50</v>
      </c>
      <c r="Y790">
        <v>359</v>
      </c>
      <c r="Z790" t="s">
        <v>34</v>
      </c>
      <c r="AA790">
        <v>359</v>
      </c>
      <c r="AB790" t="s">
        <v>121</v>
      </c>
      <c r="AC790" t="s">
        <v>121</v>
      </c>
      <c r="AD790" t="str">
        <f t="shared" si="12"/>
        <v>Escobedo → Escobedo</v>
      </c>
      <c r="AE790" t="s">
        <v>1357</v>
      </c>
      <c r="AF790" s="4">
        <v>45839</v>
      </c>
      <c r="AG790" t="str">
        <f>YEAR(Table1[[#This Row],[Fecha]])&amp;" - " &amp;UPPER(TEXT(Table1[[#This Row],[Fecha]],"mm-mmm"))</f>
        <v>2025 - 07-JUL</v>
      </c>
      <c r="AH790" s="5">
        <v>0</v>
      </c>
    </row>
    <row r="791" spans="1:34" x14ac:dyDescent="0.25">
      <c r="A791" t="s">
        <v>628</v>
      </c>
      <c r="B791">
        <v>2025</v>
      </c>
      <c r="C791">
        <v>7</v>
      </c>
      <c r="D791" s="1">
        <v>45843</v>
      </c>
      <c r="E791" s="1">
        <v>45843</v>
      </c>
      <c r="F791" s="1">
        <v>45843</v>
      </c>
      <c r="G791" s="1">
        <v>45843</v>
      </c>
      <c r="H791" s="2">
        <v>45844.371580752311</v>
      </c>
      <c r="I791">
        <v>2039</v>
      </c>
      <c r="J791" t="s">
        <v>30</v>
      </c>
      <c r="K791" t="s">
        <v>31</v>
      </c>
      <c r="L791">
        <v>50</v>
      </c>
      <c r="M791">
        <v>50</v>
      </c>
      <c r="N791" t="s">
        <v>32</v>
      </c>
      <c r="O791">
        <v>1</v>
      </c>
      <c r="P791">
        <v>150</v>
      </c>
      <c r="Q791" t="b">
        <v>1</v>
      </c>
      <c r="R791" t="b">
        <v>0</v>
      </c>
      <c r="S791" t="b">
        <v>0</v>
      </c>
      <c r="T791">
        <v>231</v>
      </c>
      <c r="U791">
        <v>0</v>
      </c>
      <c r="V791" t="s">
        <v>33</v>
      </c>
      <c r="W791" t="s">
        <v>33</v>
      </c>
      <c r="X791">
        <v>50</v>
      </c>
      <c r="Y791">
        <v>2936</v>
      </c>
      <c r="Z791" t="s">
        <v>34</v>
      </c>
      <c r="AA791">
        <v>2936</v>
      </c>
      <c r="AB791" t="s">
        <v>121</v>
      </c>
      <c r="AC791" t="s">
        <v>432</v>
      </c>
      <c r="AD791" t="str">
        <f t="shared" si="12"/>
        <v>Escobedo → Hidalgo</v>
      </c>
      <c r="AE791" t="s">
        <v>1357</v>
      </c>
      <c r="AF791" s="4">
        <v>45839</v>
      </c>
      <c r="AG791" t="str">
        <f>YEAR(Table1[[#This Row],[Fecha]])&amp;" - " &amp;UPPER(TEXT(Table1[[#This Row],[Fecha]],"mm-mmm"))</f>
        <v>2025 - 07-JUL</v>
      </c>
      <c r="AH791" s="5">
        <v>0</v>
      </c>
    </row>
    <row r="792" spans="1:34" x14ac:dyDescent="0.25">
      <c r="A792" t="s">
        <v>1240</v>
      </c>
      <c r="B792">
        <v>2025</v>
      </c>
      <c r="C792">
        <v>7</v>
      </c>
      <c r="D792" s="1">
        <v>45843</v>
      </c>
      <c r="E792" s="1">
        <v>45843</v>
      </c>
      <c r="F792" s="1">
        <v>45843</v>
      </c>
      <c r="G792" s="1">
        <v>45843</v>
      </c>
      <c r="H792" s="1">
        <v>45844</v>
      </c>
      <c r="I792">
        <v>2039</v>
      </c>
      <c r="J792" t="s">
        <v>30</v>
      </c>
      <c r="K792" t="s">
        <v>31</v>
      </c>
      <c r="L792">
        <v>50</v>
      </c>
      <c r="M792">
        <v>50</v>
      </c>
      <c r="N792" t="s">
        <v>32</v>
      </c>
      <c r="O792">
        <v>1</v>
      </c>
      <c r="P792">
        <v>150</v>
      </c>
      <c r="Q792" t="b">
        <v>1</v>
      </c>
      <c r="R792" t="b">
        <v>0</v>
      </c>
      <c r="S792" t="b">
        <v>0</v>
      </c>
      <c r="T792">
        <v>231</v>
      </c>
      <c r="U792">
        <v>0</v>
      </c>
      <c r="V792" t="s">
        <v>33</v>
      </c>
      <c r="W792" t="s">
        <v>33</v>
      </c>
      <c r="X792">
        <v>50</v>
      </c>
      <c r="Y792">
        <v>359</v>
      </c>
      <c r="Z792" t="s">
        <v>34</v>
      </c>
      <c r="AA792">
        <v>359</v>
      </c>
      <c r="AB792" t="s">
        <v>121</v>
      </c>
      <c r="AC792" t="s">
        <v>121</v>
      </c>
      <c r="AD792" t="str">
        <f t="shared" si="12"/>
        <v>Escobedo → Escobedo</v>
      </c>
      <c r="AE792" t="s">
        <v>1357</v>
      </c>
      <c r="AF792" s="4">
        <v>45839</v>
      </c>
      <c r="AG792" t="str">
        <f>YEAR(Table1[[#This Row],[Fecha]])&amp;" - " &amp;UPPER(TEXT(Table1[[#This Row],[Fecha]],"mm-mmm"))</f>
        <v>2025 - 07-JUL</v>
      </c>
      <c r="AH792" s="5">
        <v>0</v>
      </c>
    </row>
    <row r="793" spans="1:34" x14ac:dyDescent="0.25">
      <c r="A793" t="s">
        <v>630</v>
      </c>
      <c r="B793">
        <v>2025</v>
      </c>
      <c r="C793">
        <v>7</v>
      </c>
      <c r="D793" s="1">
        <v>45843</v>
      </c>
      <c r="E793" s="1">
        <v>45843</v>
      </c>
      <c r="F793" s="1">
        <v>45843</v>
      </c>
      <c r="G793" s="1">
        <v>45843</v>
      </c>
      <c r="H793" s="2">
        <v>45844.372288194441</v>
      </c>
      <c r="I793">
        <v>2039</v>
      </c>
      <c r="J793" t="s">
        <v>30</v>
      </c>
      <c r="K793" t="s">
        <v>31</v>
      </c>
      <c r="L793">
        <v>50</v>
      </c>
      <c r="M793">
        <v>50</v>
      </c>
      <c r="N793" t="s">
        <v>32</v>
      </c>
      <c r="O793">
        <v>1</v>
      </c>
      <c r="P793">
        <v>150</v>
      </c>
      <c r="Q793" t="b">
        <v>1</v>
      </c>
      <c r="R793" t="b">
        <v>0</v>
      </c>
      <c r="S793" t="b">
        <v>0</v>
      </c>
      <c r="T793">
        <v>231</v>
      </c>
      <c r="U793">
        <v>0</v>
      </c>
      <c r="V793" t="s">
        <v>33</v>
      </c>
      <c r="W793" t="s">
        <v>33</v>
      </c>
      <c r="X793">
        <v>50</v>
      </c>
      <c r="Y793">
        <v>2936</v>
      </c>
      <c r="Z793" t="s">
        <v>34</v>
      </c>
      <c r="AA793">
        <v>2936</v>
      </c>
      <c r="AB793" t="s">
        <v>121</v>
      </c>
      <c r="AC793" t="s">
        <v>432</v>
      </c>
      <c r="AD793" t="str">
        <f t="shared" si="12"/>
        <v>Escobedo → Hidalgo</v>
      </c>
      <c r="AE793" t="s">
        <v>1357</v>
      </c>
      <c r="AF793" s="4">
        <v>45839</v>
      </c>
      <c r="AG793" t="str">
        <f>YEAR(Table1[[#This Row],[Fecha]])&amp;" - " &amp;UPPER(TEXT(Table1[[#This Row],[Fecha]],"mm-mmm"))</f>
        <v>2025 - 07-JUL</v>
      </c>
      <c r="AH793" s="5">
        <v>0</v>
      </c>
    </row>
    <row r="794" spans="1:34" x14ac:dyDescent="0.25">
      <c r="A794" t="s">
        <v>1241</v>
      </c>
      <c r="B794">
        <v>2025</v>
      </c>
      <c r="C794">
        <v>7</v>
      </c>
      <c r="D794" s="1">
        <v>45843</v>
      </c>
      <c r="E794" s="1">
        <v>45843</v>
      </c>
      <c r="F794" s="1">
        <v>45843</v>
      </c>
      <c r="G794" s="1">
        <v>45843</v>
      </c>
      <c r="H794" s="2">
        <v>45844.372660300927</v>
      </c>
      <c r="I794">
        <v>2039</v>
      </c>
      <c r="J794" t="s">
        <v>30</v>
      </c>
      <c r="K794" t="s">
        <v>31</v>
      </c>
      <c r="L794">
        <v>50</v>
      </c>
      <c r="M794">
        <v>50</v>
      </c>
      <c r="N794" t="s">
        <v>32</v>
      </c>
      <c r="O794">
        <v>1</v>
      </c>
      <c r="P794">
        <v>150</v>
      </c>
      <c r="Q794" t="b">
        <v>1</v>
      </c>
      <c r="R794" t="b">
        <v>0</v>
      </c>
      <c r="S794" t="b">
        <v>0</v>
      </c>
      <c r="T794">
        <v>231</v>
      </c>
      <c r="U794">
        <v>0</v>
      </c>
      <c r="V794" t="s">
        <v>33</v>
      </c>
      <c r="W794" t="s">
        <v>33</v>
      </c>
      <c r="X794">
        <v>50</v>
      </c>
      <c r="Y794">
        <v>359</v>
      </c>
      <c r="Z794" t="s">
        <v>34</v>
      </c>
      <c r="AA794">
        <v>359</v>
      </c>
      <c r="AB794" t="s">
        <v>121</v>
      </c>
      <c r="AC794" t="s">
        <v>121</v>
      </c>
      <c r="AD794" t="str">
        <f t="shared" si="12"/>
        <v>Escobedo → Escobedo</v>
      </c>
      <c r="AE794" t="s">
        <v>1357</v>
      </c>
      <c r="AF794" s="4">
        <v>45839</v>
      </c>
      <c r="AG794" t="str">
        <f>YEAR(Table1[[#This Row],[Fecha]])&amp;" - " &amp;UPPER(TEXT(Table1[[#This Row],[Fecha]],"mm-mmm"))</f>
        <v>2025 - 07-JUL</v>
      </c>
      <c r="AH794" s="5">
        <v>0</v>
      </c>
    </row>
    <row r="795" spans="1:34" x14ac:dyDescent="0.25">
      <c r="A795" t="s">
        <v>1242</v>
      </c>
      <c r="B795">
        <v>2025</v>
      </c>
      <c r="C795">
        <v>7</v>
      </c>
      <c r="D795" s="1">
        <v>45843</v>
      </c>
      <c r="E795" s="1">
        <v>45843</v>
      </c>
      <c r="F795" s="1">
        <v>45843</v>
      </c>
      <c r="G795" s="1">
        <v>45843</v>
      </c>
      <c r="H795" s="2">
        <v>45844.372823576392</v>
      </c>
      <c r="I795">
        <v>2039</v>
      </c>
      <c r="J795" t="s">
        <v>30</v>
      </c>
      <c r="K795" t="s">
        <v>31</v>
      </c>
      <c r="L795">
        <v>50</v>
      </c>
      <c r="M795">
        <v>50</v>
      </c>
      <c r="N795" t="s">
        <v>32</v>
      </c>
      <c r="O795">
        <v>1</v>
      </c>
      <c r="P795">
        <v>150</v>
      </c>
      <c r="Q795" t="b">
        <v>1</v>
      </c>
      <c r="R795" t="b">
        <v>0</v>
      </c>
      <c r="S795" t="b">
        <v>0</v>
      </c>
      <c r="T795">
        <v>231</v>
      </c>
      <c r="U795">
        <v>0</v>
      </c>
      <c r="V795" t="s">
        <v>33</v>
      </c>
      <c r="W795" t="s">
        <v>33</v>
      </c>
      <c r="X795">
        <v>50</v>
      </c>
      <c r="Y795">
        <v>359</v>
      </c>
      <c r="Z795" t="s">
        <v>34</v>
      </c>
      <c r="AA795">
        <v>359</v>
      </c>
      <c r="AB795" t="s">
        <v>121</v>
      </c>
      <c r="AC795" t="s">
        <v>121</v>
      </c>
      <c r="AD795" t="str">
        <f t="shared" si="12"/>
        <v>Escobedo → Escobedo</v>
      </c>
      <c r="AE795" t="s">
        <v>1357</v>
      </c>
      <c r="AF795" s="4">
        <v>45839</v>
      </c>
      <c r="AG795" t="str">
        <f>YEAR(Table1[[#This Row],[Fecha]])&amp;" - " &amp;UPPER(TEXT(Table1[[#This Row],[Fecha]],"mm-mmm"))</f>
        <v>2025 - 07-JUL</v>
      </c>
      <c r="AH795" s="5">
        <v>0</v>
      </c>
    </row>
    <row r="796" spans="1:34" x14ac:dyDescent="0.25">
      <c r="A796" t="s">
        <v>1243</v>
      </c>
      <c r="B796">
        <v>2025</v>
      </c>
      <c r="C796">
        <v>7</v>
      </c>
      <c r="D796" s="1">
        <v>45844</v>
      </c>
      <c r="E796" s="1">
        <v>45844</v>
      </c>
      <c r="F796" s="1">
        <v>45844</v>
      </c>
      <c r="G796" s="1">
        <v>45844</v>
      </c>
      <c r="H796" s="2">
        <v>45845.364328506941</v>
      </c>
      <c r="I796">
        <v>2039</v>
      </c>
      <c r="J796" t="s">
        <v>30</v>
      </c>
      <c r="K796" t="s">
        <v>31</v>
      </c>
      <c r="L796">
        <v>50</v>
      </c>
      <c r="M796">
        <v>50</v>
      </c>
      <c r="N796" t="s">
        <v>32</v>
      </c>
      <c r="O796">
        <v>1</v>
      </c>
      <c r="P796">
        <v>150</v>
      </c>
      <c r="Q796" t="b">
        <v>1</v>
      </c>
      <c r="R796" t="b">
        <v>0</v>
      </c>
      <c r="S796" t="b">
        <v>0</v>
      </c>
      <c r="T796">
        <v>231</v>
      </c>
      <c r="U796">
        <v>0</v>
      </c>
      <c r="V796" t="s">
        <v>33</v>
      </c>
      <c r="W796" t="s">
        <v>33</v>
      </c>
      <c r="X796">
        <v>50</v>
      </c>
      <c r="Y796">
        <v>359</v>
      </c>
      <c r="Z796" t="s">
        <v>34</v>
      </c>
      <c r="AA796">
        <v>359</v>
      </c>
      <c r="AB796" t="s">
        <v>121</v>
      </c>
      <c r="AC796" t="s">
        <v>121</v>
      </c>
      <c r="AD796" t="str">
        <f t="shared" si="12"/>
        <v>Escobedo → Escobedo</v>
      </c>
      <c r="AE796" t="s">
        <v>1357</v>
      </c>
      <c r="AF796" s="4">
        <v>45839</v>
      </c>
      <c r="AG796" t="str">
        <f>YEAR(Table1[[#This Row],[Fecha]])&amp;" - " &amp;UPPER(TEXT(Table1[[#This Row],[Fecha]],"mm-mmm"))</f>
        <v>2025 - 07-JUL</v>
      </c>
      <c r="AH796" s="5">
        <v>0</v>
      </c>
    </row>
    <row r="797" spans="1:34" x14ac:dyDescent="0.25">
      <c r="A797" t="s">
        <v>82</v>
      </c>
      <c r="B797">
        <v>2025</v>
      </c>
      <c r="C797">
        <v>7</v>
      </c>
      <c r="D797" s="1">
        <v>45840</v>
      </c>
      <c r="E797" s="1">
        <v>45840</v>
      </c>
      <c r="F797" s="1">
        <v>45840</v>
      </c>
      <c r="G797" s="1">
        <v>45840</v>
      </c>
      <c r="H797" s="1">
        <v>45841</v>
      </c>
      <c r="I797">
        <v>2244</v>
      </c>
      <c r="J797" t="s">
        <v>41</v>
      </c>
      <c r="K797" t="s">
        <v>42</v>
      </c>
      <c r="L797">
        <v>49</v>
      </c>
      <c r="M797">
        <v>0</v>
      </c>
      <c r="N797" t="s">
        <v>43</v>
      </c>
      <c r="O797">
        <v>1</v>
      </c>
      <c r="P797">
        <v>150</v>
      </c>
      <c r="Q797" t="b">
        <v>1</v>
      </c>
      <c r="R797" t="b">
        <v>0</v>
      </c>
      <c r="S797" t="b">
        <v>0</v>
      </c>
      <c r="T797">
        <v>0</v>
      </c>
      <c r="U797">
        <v>0</v>
      </c>
      <c r="V797" t="s">
        <v>33</v>
      </c>
      <c r="W797" t="s">
        <v>33</v>
      </c>
      <c r="X797">
        <v>0</v>
      </c>
      <c r="Y797">
        <v>1138</v>
      </c>
      <c r="Z797" t="s">
        <v>44</v>
      </c>
      <c r="AA797">
        <v>1138</v>
      </c>
      <c r="AB797" t="s">
        <v>56</v>
      </c>
      <c r="AC797" t="s">
        <v>81</v>
      </c>
      <c r="AD797" t="str">
        <f t="shared" si="12"/>
        <v>Cd Sahagún → Tulancingo</v>
      </c>
      <c r="AE797" t="s">
        <v>1359</v>
      </c>
      <c r="AF797" s="4">
        <v>45839</v>
      </c>
      <c r="AG797" t="str">
        <f>YEAR(Table1[[#This Row],[Fecha]])&amp;" - " &amp;UPPER(TEXT(Table1[[#This Row],[Fecha]],"mm-mmm"))</f>
        <v>2025 - 07-JUL</v>
      </c>
      <c r="AH797" s="5">
        <v>0</v>
      </c>
    </row>
    <row r="798" spans="1:34" x14ac:dyDescent="0.25">
      <c r="A798" t="s">
        <v>278</v>
      </c>
      <c r="B798">
        <v>2025</v>
      </c>
      <c r="C798">
        <v>7</v>
      </c>
      <c r="D798" s="1">
        <v>45867</v>
      </c>
      <c r="E798" s="1">
        <v>45867</v>
      </c>
      <c r="F798" s="1">
        <v>45869</v>
      </c>
      <c r="G798" s="1">
        <v>45868</v>
      </c>
      <c r="H798" s="1">
        <v>45869</v>
      </c>
      <c r="I798">
        <v>1902</v>
      </c>
      <c r="J798" t="s">
        <v>54</v>
      </c>
      <c r="K798" t="s">
        <v>31</v>
      </c>
      <c r="L798">
        <v>961</v>
      </c>
      <c r="M798">
        <v>0</v>
      </c>
      <c r="N798" t="s">
        <v>118</v>
      </c>
      <c r="O798">
        <v>1</v>
      </c>
      <c r="P798">
        <v>964</v>
      </c>
      <c r="Q798" t="b">
        <v>1</v>
      </c>
      <c r="R798" t="b">
        <v>0</v>
      </c>
      <c r="S798" t="b">
        <v>0</v>
      </c>
      <c r="T798">
        <v>0</v>
      </c>
      <c r="U798">
        <v>0</v>
      </c>
      <c r="V798" t="s">
        <v>33</v>
      </c>
      <c r="W798" t="s">
        <v>33</v>
      </c>
      <c r="X798">
        <v>0</v>
      </c>
      <c r="Y798">
        <v>8</v>
      </c>
      <c r="Z798" t="s">
        <v>44</v>
      </c>
      <c r="AA798">
        <v>8</v>
      </c>
      <c r="AB798" t="s">
        <v>121</v>
      </c>
      <c r="AC798" t="s">
        <v>56</v>
      </c>
      <c r="AD798" t="str">
        <f t="shared" si="12"/>
        <v>Escobedo → Cd Sahagún</v>
      </c>
      <c r="AE798" t="s">
        <v>1358</v>
      </c>
      <c r="AF798" s="4">
        <v>45839</v>
      </c>
      <c r="AG798" t="str">
        <f>YEAR(Table1[[#This Row],[Fecha]])&amp;" - " &amp;UPPER(TEXT(Table1[[#This Row],[Fecha]],"mm-mmm"))</f>
        <v>2025 - 07-JUL</v>
      </c>
      <c r="AH798" s="5">
        <v>0</v>
      </c>
    </row>
    <row r="799" spans="1:34" x14ac:dyDescent="0.25">
      <c r="A799" t="s">
        <v>80</v>
      </c>
      <c r="B799">
        <v>2025</v>
      </c>
      <c r="C799">
        <v>7</v>
      </c>
      <c r="D799" s="1">
        <v>45842</v>
      </c>
      <c r="E799" s="1">
        <v>45842</v>
      </c>
      <c r="F799" s="1">
        <v>45845</v>
      </c>
      <c r="G799" s="1">
        <v>45845</v>
      </c>
      <c r="H799" s="2">
        <v>45846.359185416666</v>
      </c>
      <c r="I799">
        <v>2244</v>
      </c>
      <c r="J799" t="s">
        <v>41</v>
      </c>
      <c r="K799" t="s">
        <v>42</v>
      </c>
      <c r="L799">
        <v>49</v>
      </c>
      <c r="M799">
        <v>0</v>
      </c>
      <c r="N799" t="s">
        <v>43</v>
      </c>
      <c r="O799">
        <v>1</v>
      </c>
      <c r="P799">
        <v>150</v>
      </c>
      <c r="Q799" t="b">
        <v>1</v>
      </c>
      <c r="R799" t="b">
        <v>0</v>
      </c>
      <c r="S799" t="b">
        <v>0</v>
      </c>
      <c r="T799">
        <v>0</v>
      </c>
      <c r="U799">
        <v>0</v>
      </c>
      <c r="V799" t="s">
        <v>33</v>
      </c>
      <c r="W799" t="s">
        <v>33</v>
      </c>
      <c r="X799">
        <v>0</v>
      </c>
      <c r="Y799">
        <v>1138</v>
      </c>
      <c r="Z799" t="s">
        <v>44</v>
      </c>
      <c r="AA799">
        <v>1138</v>
      </c>
      <c r="AB799" t="s">
        <v>56</v>
      </c>
      <c r="AC799" t="s">
        <v>81</v>
      </c>
      <c r="AD799" t="str">
        <f t="shared" si="12"/>
        <v>Cd Sahagún → Tulancingo</v>
      </c>
      <c r="AE799" t="s">
        <v>1359</v>
      </c>
      <c r="AF799" s="4">
        <v>45839</v>
      </c>
      <c r="AG799" t="str">
        <f>YEAR(Table1[[#This Row],[Fecha]])&amp;" - " &amp;UPPER(TEXT(Table1[[#This Row],[Fecha]],"mm-mmm"))</f>
        <v>2025 - 07-JUL</v>
      </c>
      <c r="AH799" s="5">
        <v>0</v>
      </c>
    </row>
    <row r="800" spans="1:34" x14ac:dyDescent="0.25">
      <c r="A800" t="s">
        <v>1161</v>
      </c>
      <c r="B800">
        <v>2025</v>
      </c>
      <c r="C800">
        <v>8</v>
      </c>
      <c r="D800" s="1">
        <v>45874</v>
      </c>
      <c r="E800" s="1">
        <v>45874</v>
      </c>
      <c r="F800" s="1">
        <v>45874</v>
      </c>
      <c r="G800" s="1">
        <v>45874</v>
      </c>
      <c r="H800" s="2">
        <v>45875.22256091435</v>
      </c>
      <c r="I800">
        <v>1902</v>
      </c>
      <c r="J800" t="s">
        <v>30</v>
      </c>
      <c r="K800" t="s">
        <v>31</v>
      </c>
      <c r="L800">
        <v>50</v>
      </c>
      <c r="M800">
        <v>50</v>
      </c>
      <c r="N800" t="s">
        <v>118</v>
      </c>
      <c r="O800">
        <v>1</v>
      </c>
      <c r="P800">
        <v>150</v>
      </c>
      <c r="Q800" t="b">
        <v>1</v>
      </c>
      <c r="R800" t="b">
        <v>0</v>
      </c>
      <c r="S800" t="b">
        <v>0</v>
      </c>
      <c r="T800">
        <v>231</v>
      </c>
      <c r="U800">
        <v>0</v>
      </c>
      <c r="V800" t="s">
        <v>33</v>
      </c>
      <c r="W800" t="s">
        <v>33</v>
      </c>
      <c r="X800">
        <v>50</v>
      </c>
      <c r="Y800">
        <v>359</v>
      </c>
      <c r="Z800" t="s">
        <v>106</v>
      </c>
      <c r="AA800">
        <v>359</v>
      </c>
      <c r="AB800" t="s">
        <v>121</v>
      </c>
      <c r="AC800" t="s">
        <v>121</v>
      </c>
      <c r="AD800" t="str">
        <f t="shared" si="12"/>
        <v>Escobedo → Escobedo</v>
      </c>
      <c r="AE800" t="s">
        <v>1357</v>
      </c>
      <c r="AF800" s="4">
        <v>45870</v>
      </c>
      <c r="AG800" t="str">
        <f>YEAR(Table1[[#This Row],[Fecha]])&amp;" - " &amp;UPPER(TEXT(Table1[[#This Row],[Fecha]],"mm-mmm"))</f>
        <v>2025 - 08-AGO</v>
      </c>
      <c r="AH800" s="5">
        <v>0</v>
      </c>
    </row>
    <row r="801" spans="1:34" x14ac:dyDescent="0.25">
      <c r="A801" t="s">
        <v>1162</v>
      </c>
      <c r="B801">
        <v>2025</v>
      </c>
      <c r="C801">
        <v>8</v>
      </c>
      <c r="D801" s="1">
        <v>45874</v>
      </c>
      <c r="E801" s="1">
        <v>45874</v>
      </c>
      <c r="F801" s="1">
        <v>45874</v>
      </c>
      <c r="G801" s="1">
        <v>45874</v>
      </c>
      <c r="H801" s="2">
        <v>45875.322804085648</v>
      </c>
      <c r="I801">
        <v>1902</v>
      </c>
      <c r="J801" t="s">
        <v>30</v>
      </c>
      <c r="K801" t="s">
        <v>31</v>
      </c>
      <c r="L801">
        <v>50</v>
      </c>
      <c r="M801">
        <v>50</v>
      </c>
      <c r="N801" t="s">
        <v>118</v>
      </c>
      <c r="O801">
        <v>1</v>
      </c>
      <c r="P801">
        <v>150</v>
      </c>
      <c r="Q801" t="b">
        <v>1</v>
      </c>
      <c r="R801" t="b">
        <v>0</v>
      </c>
      <c r="S801" t="b">
        <v>0</v>
      </c>
      <c r="T801">
        <v>231</v>
      </c>
      <c r="U801">
        <v>0</v>
      </c>
      <c r="V801" t="s">
        <v>33</v>
      </c>
      <c r="W801" t="s">
        <v>33</v>
      </c>
      <c r="X801">
        <v>50</v>
      </c>
      <c r="Y801">
        <v>359</v>
      </c>
      <c r="Z801" t="s">
        <v>106</v>
      </c>
      <c r="AA801">
        <v>359</v>
      </c>
      <c r="AB801" t="s">
        <v>121</v>
      </c>
      <c r="AC801" t="s">
        <v>121</v>
      </c>
      <c r="AD801" t="str">
        <f t="shared" si="12"/>
        <v>Escobedo → Escobedo</v>
      </c>
      <c r="AE801" t="s">
        <v>1357</v>
      </c>
      <c r="AF801" s="4">
        <v>45870</v>
      </c>
      <c r="AG801" t="str">
        <f>YEAR(Table1[[#This Row],[Fecha]])&amp;" - " &amp;UPPER(TEXT(Table1[[#This Row],[Fecha]],"mm-mmm"))</f>
        <v>2025 - 08-AGO</v>
      </c>
      <c r="AH801" s="5">
        <v>0</v>
      </c>
    </row>
    <row r="802" spans="1:34" x14ac:dyDescent="0.25">
      <c r="A802" t="s">
        <v>1163</v>
      </c>
      <c r="B802">
        <v>2025</v>
      </c>
      <c r="C802">
        <v>8</v>
      </c>
      <c r="D802" s="1">
        <v>45874</v>
      </c>
      <c r="E802" s="1">
        <v>45874</v>
      </c>
      <c r="F802" s="1">
        <v>45874</v>
      </c>
      <c r="G802" s="1">
        <v>45874</v>
      </c>
      <c r="H802" s="2">
        <v>45875.361522800929</v>
      </c>
      <c r="I802">
        <v>1902</v>
      </c>
      <c r="J802" t="s">
        <v>30</v>
      </c>
      <c r="K802" t="s">
        <v>31</v>
      </c>
      <c r="L802">
        <v>50</v>
      </c>
      <c r="M802">
        <v>50</v>
      </c>
      <c r="N802" t="s">
        <v>118</v>
      </c>
      <c r="O802">
        <v>1</v>
      </c>
      <c r="P802">
        <v>150</v>
      </c>
      <c r="Q802" t="b">
        <v>1</v>
      </c>
      <c r="R802" t="b">
        <v>0</v>
      </c>
      <c r="S802" t="b">
        <v>0</v>
      </c>
      <c r="T802">
        <v>231</v>
      </c>
      <c r="U802">
        <v>0</v>
      </c>
      <c r="V802" t="s">
        <v>33</v>
      </c>
      <c r="W802" t="s">
        <v>33</v>
      </c>
      <c r="X802">
        <v>50</v>
      </c>
      <c r="Y802">
        <v>359</v>
      </c>
      <c r="Z802" t="s">
        <v>106</v>
      </c>
      <c r="AA802">
        <v>359</v>
      </c>
      <c r="AB802" t="s">
        <v>121</v>
      </c>
      <c r="AC802" t="s">
        <v>121</v>
      </c>
      <c r="AD802" t="str">
        <f t="shared" si="12"/>
        <v>Escobedo → Escobedo</v>
      </c>
      <c r="AE802" t="s">
        <v>1357</v>
      </c>
      <c r="AF802" s="4">
        <v>45870</v>
      </c>
      <c r="AG802" t="str">
        <f>YEAR(Table1[[#This Row],[Fecha]])&amp;" - " &amp;UPPER(TEXT(Table1[[#This Row],[Fecha]],"mm-mmm"))</f>
        <v>2025 - 08-AGO</v>
      </c>
      <c r="AH802" s="5">
        <v>0</v>
      </c>
    </row>
    <row r="803" spans="1:34" x14ac:dyDescent="0.25">
      <c r="A803" t="s">
        <v>643</v>
      </c>
      <c r="B803">
        <v>2025</v>
      </c>
      <c r="C803">
        <v>8</v>
      </c>
      <c r="D803" s="1">
        <v>45874</v>
      </c>
      <c r="E803" s="1">
        <v>45874</v>
      </c>
      <c r="F803" s="1">
        <v>45874</v>
      </c>
      <c r="G803" s="1">
        <v>45874</v>
      </c>
      <c r="H803" s="2">
        <v>45875.405449537036</v>
      </c>
      <c r="I803">
        <v>1902</v>
      </c>
      <c r="J803" t="s">
        <v>30</v>
      </c>
      <c r="K803" t="s">
        <v>31</v>
      </c>
      <c r="L803">
        <v>50</v>
      </c>
      <c r="M803">
        <v>50</v>
      </c>
      <c r="N803" t="s">
        <v>118</v>
      </c>
      <c r="O803">
        <v>1</v>
      </c>
      <c r="P803">
        <v>150</v>
      </c>
      <c r="Q803" t="b">
        <v>1</v>
      </c>
      <c r="R803" t="b">
        <v>0</v>
      </c>
      <c r="S803" t="b">
        <v>0</v>
      </c>
      <c r="T803">
        <v>231</v>
      </c>
      <c r="U803">
        <v>0</v>
      </c>
      <c r="V803" t="s">
        <v>33</v>
      </c>
      <c r="W803" t="s">
        <v>33</v>
      </c>
      <c r="X803">
        <v>50</v>
      </c>
      <c r="Y803">
        <v>2936</v>
      </c>
      <c r="Z803" t="s">
        <v>106</v>
      </c>
      <c r="AA803">
        <v>2936</v>
      </c>
      <c r="AB803" t="s">
        <v>121</v>
      </c>
      <c r="AC803" t="s">
        <v>432</v>
      </c>
      <c r="AD803" t="str">
        <f t="shared" si="12"/>
        <v>Escobedo → Hidalgo</v>
      </c>
      <c r="AE803" t="s">
        <v>1357</v>
      </c>
      <c r="AF803" s="4">
        <v>45870</v>
      </c>
      <c r="AG803" t="str">
        <f>YEAR(Table1[[#This Row],[Fecha]])&amp;" - " &amp;UPPER(TEXT(Table1[[#This Row],[Fecha]],"mm-mmm"))</f>
        <v>2025 - 08-AGO</v>
      </c>
      <c r="AH803" s="5">
        <v>0</v>
      </c>
    </row>
    <row r="804" spans="1:34" x14ac:dyDescent="0.25">
      <c r="A804" t="s">
        <v>1252</v>
      </c>
      <c r="B804">
        <v>2025</v>
      </c>
      <c r="C804">
        <v>8</v>
      </c>
      <c r="D804" s="1">
        <v>45875</v>
      </c>
      <c r="E804" s="1">
        <v>45875</v>
      </c>
      <c r="F804" s="1">
        <v>45875</v>
      </c>
      <c r="G804" s="1">
        <v>45875</v>
      </c>
      <c r="H804" s="2">
        <v>45875.758701932871</v>
      </c>
      <c r="I804">
        <v>1902</v>
      </c>
      <c r="J804" t="s">
        <v>30</v>
      </c>
      <c r="K804" t="s">
        <v>31</v>
      </c>
      <c r="L804">
        <v>50</v>
      </c>
      <c r="M804">
        <v>50</v>
      </c>
      <c r="N804" t="s">
        <v>118</v>
      </c>
      <c r="O804">
        <v>1</v>
      </c>
      <c r="P804">
        <v>150</v>
      </c>
      <c r="Q804" t="b">
        <v>1</v>
      </c>
      <c r="R804" t="b">
        <v>0</v>
      </c>
      <c r="S804" t="b">
        <v>0</v>
      </c>
      <c r="T804">
        <v>231</v>
      </c>
      <c r="U804">
        <v>0</v>
      </c>
      <c r="V804" t="s">
        <v>33</v>
      </c>
      <c r="W804" t="s">
        <v>33</v>
      </c>
      <c r="X804">
        <v>50</v>
      </c>
      <c r="Y804">
        <v>359</v>
      </c>
      <c r="Z804" t="s">
        <v>34</v>
      </c>
      <c r="AA804">
        <v>359</v>
      </c>
      <c r="AB804" t="s">
        <v>121</v>
      </c>
      <c r="AC804" t="s">
        <v>121</v>
      </c>
      <c r="AD804" t="str">
        <f t="shared" si="12"/>
        <v>Escobedo → Escobedo</v>
      </c>
      <c r="AE804" t="s">
        <v>1357</v>
      </c>
      <c r="AF804" s="4">
        <v>45870</v>
      </c>
      <c r="AG804" t="str">
        <f>YEAR(Table1[[#This Row],[Fecha]])&amp;" - " &amp;UPPER(TEXT(Table1[[#This Row],[Fecha]],"mm-mmm"))</f>
        <v>2025 - 08-AGO</v>
      </c>
      <c r="AH804" s="5">
        <v>0</v>
      </c>
    </row>
    <row r="805" spans="1:34" x14ac:dyDescent="0.25">
      <c r="A805" t="s">
        <v>1253</v>
      </c>
      <c r="B805">
        <v>2025</v>
      </c>
      <c r="C805">
        <v>8</v>
      </c>
      <c r="D805" s="1">
        <v>45876</v>
      </c>
      <c r="E805" s="1">
        <v>45876</v>
      </c>
      <c r="F805" s="1">
        <v>45876</v>
      </c>
      <c r="G805" s="1">
        <v>45876</v>
      </c>
      <c r="H805" s="2">
        <v>45876.63415208333</v>
      </c>
      <c r="I805">
        <v>1902</v>
      </c>
      <c r="J805" t="s">
        <v>30</v>
      </c>
      <c r="K805" t="s">
        <v>31</v>
      </c>
      <c r="L805">
        <v>50</v>
      </c>
      <c r="M805">
        <v>50</v>
      </c>
      <c r="N805" t="s">
        <v>118</v>
      </c>
      <c r="O805">
        <v>1</v>
      </c>
      <c r="P805">
        <v>150</v>
      </c>
      <c r="Q805" t="b">
        <v>1</v>
      </c>
      <c r="R805" t="b">
        <v>0</v>
      </c>
      <c r="S805" t="b">
        <v>0</v>
      </c>
      <c r="T805">
        <v>231</v>
      </c>
      <c r="U805">
        <v>0</v>
      </c>
      <c r="V805" t="s">
        <v>33</v>
      </c>
      <c r="W805" t="s">
        <v>33</v>
      </c>
      <c r="X805">
        <v>50</v>
      </c>
      <c r="Y805">
        <v>359</v>
      </c>
      <c r="Z805" t="s">
        <v>34</v>
      </c>
      <c r="AA805">
        <v>359</v>
      </c>
      <c r="AB805" t="s">
        <v>121</v>
      </c>
      <c r="AC805" t="s">
        <v>121</v>
      </c>
      <c r="AD805" t="str">
        <f t="shared" si="12"/>
        <v>Escobedo → Escobedo</v>
      </c>
      <c r="AE805" t="s">
        <v>1357</v>
      </c>
      <c r="AF805" s="4">
        <v>45870</v>
      </c>
      <c r="AG805" t="str">
        <f>YEAR(Table1[[#This Row],[Fecha]])&amp;" - " &amp;UPPER(TEXT(Table1[[#This Row],[Fecha]],"mm-mmm"))</f>
        <v>2025 - 08-AGO</v>
      </c>
      <c r="AH805" s="5">
        <v>0</v>
      </c>
    </row>
    <row r="806" spans="1:34" x14ac:dyDescent="0.25">
      <c r="A806" t="s">
        <v>1254</v>
      </c>
      <c r="B806">
        <v>2025</v>
      </c>
      <c r="C806">
        <v>8</v>
      </c>
      <c r="D806" s="1">
        <v>45876</v>
      </c>
      <c r="E806" s="1">
        <v>45876</v>
      </c>
      <c r="F806" s="1">
        <v>45876</v>
      </c>
      <c r="G806" s="1">
        <v>45876</v>
      </c>
      <c r="H806" s="2">
        <v>45876.634143946758</v>
      </c>
      <c r="I806">
        <v>1902</v>
      </c>
      <c r="J806" t="s">
        <v>30</v>
      </c>
      <c r="K806" t="s">
        <v>31</v>
      </c>
      <c r="L806">
        <v>50</v>
      </c>
      <c r="M806">
        <v>50</v>
      </c>
      <c r="N806" t="s">
        <v>118</v>
      </c>
      <c r="O806">
        <v>1</v>
      </c>
      <c r="P806">
        <v>150</v>
      </c>
      <c r="Q806" t="b">
        <v>1</v>
      </c>
      <c r="R806" t="b">
        <v>0</v>
      </c>
      <c r="S806" t="b">
        <v>0</v>
      </c>
      <c r="T806">
        <v>231</v>
      </c>
      <c r="U806">
        <v>0</v>
      </c>
      <c r="V806" t="s">
        <v>33</v>
      </c>
      <c r="W806" t="s">
        <v>33</v>
      </c>
      <c r="X806">
        <v>50</v>
      </c>
      <c r="Y806">
        <v>359</v>
      </c>
      <c r="Z806" t="s">
        <v>34</v>
      </c>
      <c r="AA806">
        <v>359</v>
      </c>
      <c r="AB806" t="s">
        <v>121</v>
      </c>
      <c r="AC806" t="s">
        <v>121</v>
      </c>
      <c r="AD806" t="str">
        <f t="shared" si="12"/>
        <v>Escobedo → Escobedo</v>
      </c>
      <c r="AE806" t="s">
        <v>1357</v>
      </c>
      <c r="AF806" s="4">
        <v>45870</v>
      </c>
      <c r="AG806" t="str">
        <f>YEAR(Table1[[#This Row],[Fecha]])&amp;" - " &amp;UPPER(TEXT(Table1[[#This Row],[Fecha]],"mm-mmm"))</f>
        <v>2025 - 08-AGO</v>
      </c>
      <c r="AH806" s="5">
        <v>0</v>
      </c>
    </row>
    <row r="807" spans="1:34" x14ac:dyDescent="0.25">
      <c r="A807" t="s">
        <v>1255</v>
      </c>
      <c r="B807">
        <v>2025</v>
      </c>
      <c r="C807">
        <v>8</v>
      </c>
      <c r="D807" s="1">
        <v>45876</v>
      </c>
      <c r="E807" s="1">
        <v>45876</v>
      </c>
      <c r="F807" s="1">
        <v>45876</v>
      </c>
      <c r="G807" s="1">
        <v>45876</v>
      </c>
      <c r="H807" s="2">
        <v>45876.634127314814</v>
      </c>
      <c r="I807">
        <v>1902</v>
      </c>
      <c r="J807" t="s">
        <v>30</v>
      </c>
      <c r="K807" t="s">
        <v>31</v>
      </c>
      <c r="L807">
        <v>50</v>
      </c>
      <c r="M807">
        <v>50</v>
      </c>
      <c r="N807" t="s">
        <v>118</v>
      </c>
      <c r="O807">
        <v>1</v>
      </c>
      <c r="P807">
        <v>150</v>
      </c>
      <c r="Q807" t="b">
        <v>1</v>
      </c>
      <c r="R807" t="b">
        <v>0</v>
      </c>
      <c r="S807" t="b">
        <v>0</v>
      </c>
      <c r="T807">
        <v>231</v>
      </c>
      <c r="U807">
        <v>0</v>
      </c>
      <c r="V807" t="s">
        <v>33</v>
      </c>
      <c r="W807" t="s">
        <v>33</v>
      </c>
      <c r="X807">
        <v>50</v>
      </c>
      <c r="Y807">
        <v>359</v>
      </c>
      <c r="Z807" t="s">
        <v>34</v>
      </c>
      <c r="AA807">
        <v>359</v>
      </c>
      <c r="AB807" t="s">
        <v>121</v>
      </c>
      <c r="AC807" t="s">
        <v>121</v>
      </c>
      <c r="AD807" t="str">
        <f t="shared" si="12"/>
        <v>Escobedo → Escobedo</v>
      </c>
      <c r="AE807" t="s">
        <v>1357</v>
      </c>
      <c r="AF807" s="4">
        <v>45870</v>
      </c>
      <c r="AG807" t="str">
        <f>YEAR(Table1[[#This Row],[Fecha]])&amp;" - " &amp;UPPER(TEXT(Table1[[#This Row],[Fecha]],"mm-mmm"))</f>
        <v>2025 - 08-AGO</v>
      </c>
      <c r="AH807" s="5">
        <v>0</v>
      </c>
    </row>
    <row r="808" spans="1:34" x14ac:dyDescent="0.25">
      <c r="A808" t="s">
        <v>1256</v>
      </c>
      <c r="B808">
        <v>2025</v>
      </c>
      <c r="C808">
        <v>8</v>
      </c>
      <c r="D808" s="1">
        <v>45876</v>
      </c>
      <c r="E808" s="1">
        <v>45876</v>
      </c>
      <c r="F808" s="1">
        <v>45876</v>
      </c>
      <c r="G808" s="1">
        <v>45876</v>
      </c>
      <c r="H808" s="2">
        <v>45876.634135995373</v>
      </c>
      <c r="I808">
        <v>1902</v>
      </c>
      <c r="J808" t="s">
        <v>30</v>
      </c>
      <c r="K808" t="s">
        <v>31</v>
      </c>
      <c r="L808">
        <v>50</v>
      </c>
      <c r="M808">
        <v>50</v>
      </c>
      <c r="N808" t="s">
        <v>118</v>
      </c>
      <c r="O808">
        <v>1</v>
      </c>
      <c r="P808">
        <v>150</v>
      </c>
      <c r="Q808" t="b">
        <v>1</v>
      </c>
      <c r="R808" t="b">
        <v>0</v>
      </c>
      <c r="S808" t="b">
        <v>0</v>
      </c>
      <c r="T808">
        <v>231</v>
      </c>
      <c r="U808">
        <v>0</v>
      </c>
      <c r="V808" t="s">
        <v>33</v>
      </c>
      <c r="W808" t="s">
        <v>33</v>
      </c>
      <c r="X808">
        <v>50</v>
      </c>
      <c r="Y808">
        <v>359</v>
      </c>
      <c r="Z808" t="s">
        <v>34</v>
      </c>
      <c r="AA808">
        <v>359</v>
      </c>
      <c r="AB808" t="s">
        <v>121</v>
      </c>
      <c r="AC808" t="s">
        <v>121</v>
      </c>
      <c r="AD808" t="str">
        <f t="shared" si="12"/>
        <v>Escobedo → Escobedo</v>
      </c>
      <c r="AE808" t="s">
        <v>1357</v>
      </c>
      <c r="AF808" s="4">
        <v>45870</v>
      </c>
      <c r="AG808" t="str">
        <f>YEAR(Table1[[#This Row],[Fecha]])&amp;" - " &amp;UPPER(TEXT(Table1[[#This Row],[Fecha]],"mm-mmm"))</f>
        <v>2025 - 08-AGO</v>
      </c>
      <c r="AH808" s="5">
        <v>0</v>
      </c>
    </row>
    <row r="809" spans="1:34" x14ac:dyDescent="0.25">
      <c r="A809" t="s">
        <v>1257</v>
      </c>
      <c r="B809">
        <v>2025</v>
      </c>
      <c r="C809">
        <v>8</v>
      </c>
      <c r="D809" s="1">
        <v>45876</v>
      </c>
      <c r="E809" s="1">
        <v>45876</v>
      </c>
      <c r="F809" s="1">
        <v>45876</v>
      </c>
      <c r="G809" s="1">
        <v>45876</v>
      </c>
      <c r="H809" s="2">
        <v>45876.634114120374</v>
      </c>
      <c r="I809">
        <v>1902</v>
      </c>
      <c r="J809" t="s">
        <v>30</v>
      </c>
      <c r="K809" t="s">
        <v>31</v>
      </c>
      <c r="L809">
        <v>50</v>
      </c>
      <c r="M809">
        <v>50</v>
      </c>
      <c r="N809" t="s">
        <v>118</v>
      </c>
      <c r="O809">
        <v>1</v>
      </c>
      <c r="P809">
        <v>150</v>
      </c>
      <c r="Q809" t="b">
        <v>1</v>
      </c>
      <c r="R809" t="b">
        <v>0</v>
      </c>
      <c r="S809" t="b">
        <v>0</v>
      </c>
      <c r="T809">
        <v>231</v>
      </c>
      <c r="U809">
        <v>0</v>
      </c>
      <c r="V809" t="s">
        <v>33</v>
      </c>
      <c r="W809" t="s">
        <v>33</v>
      </c>
      <c r="X809">
        <v>50</v>
      </c>
      <c r="Y809">
        <v>359</v>
      </c>
      <c r="Z809" t="s">
        <v>34</v>
      </c>
      <c r="AA809">
        <v>359</v>
      </c>
      <c r="AB809" t="s">
        <v>121</v>
      </c>
      <c r="AC809" t="s">
        <v>121</v>
      </c>
      <c r="AD809" t="str">
        <f t="shared" si="12"/>
        <v>Escobedo → Escobedo</v>
      </c>
      <c r="AE809" t="s">
        <v>1357</v>
      </c>
      <c r="AF809" s="4">
        <v>45870</v>
      </c>
      <c r="AG809" t="str">
        <f>YEAR(Table1[[#This Row],[Fecha]])&amp;" - " &amp;UPPER(TEXT(Table1[[#This Row],[Fecha]],"mm-mmm"))</f>
        <v>2025 - 08-AGO</v>
      </c>
      <c r="AH809" s="5">
        <v>0</v>
      </c>
    </row>
    <row r="810" spans="1:34" x14ac:dyDescent="0.25">
      <c r="A810" t="s">
        <v>1258</v>
      </c>
      <c r="B810">
        <v>2025</v>
      </c>
      <c r="C810">
        <v>8</v>
      </c>
      <c r="D810" s="1">
        <v>45877</v>
      </c>
      <c r="E810" s="1">
        <v>45877</v>
      </c>
      <c r="F810" s="1">
        <v>45877</v>
      </c>
      <c r="G810" s="1">
        <v>45877</v>
      </c>
      <c r="H810" s="2">
        <v>45877.888868020833</v>
      </c>
      <c r="I810">
        <v>1902</v>
      </c>
      <c r="J810" t="s">
        <v>30</v>
      </c>
      <c r="K810" t="s">
        <v>31</v>
      </c>
      <c r="L810">
        <v>50</v>
      </c>
      <c r="M810">
        <v>50</v>
      </c>
      <c r="N810" t="s">
        <v>118</v>
      </c>
      <c r="O810">
        <v>1</v>
      </c>
      <c r="P810">
        <v>150</v>
      </c>
      <c r="Q810" t="b">
        <v>1</v>
      </c>
      <c r="R810" t="b">
        <v>0</v>
      </c>
      <c r="S810" t="b">
        <v>0</v>
      </c>
      <c r="T810">
        <v>231</v>
      </c>
      <c r="U810">
        <v>0</v>
      </c>
      <c r="V810" t="s">
        <v>33</v>
      </c>
      <c r="W810" t="s">
        <v>33</v>
      </c>
      <c r="X810">
        <v>50</v>
      </c>
      <c r="Y810">
        <v>359</v>
      </c>
      <c r="Z810" t="s">
        <v>34</v>
      </c>
      <c r="AA810">
        <v>359</v>
      </c>
      <c r="AB810" t="s">
        <v>121</v>
      </c>
      <c r="AC810" t="s">
        <v>121</v>
      </c>
      <c r="AD810" t="str">
        <f t="shared" si="12"/>
        <v>Escobedo → Escobedo</v>
      </c>
      <c r="AE810" t="s">
        <v>1357</v>
      </c>
      <c r="AF810" s="4">
        <v>45870</v>
      </c>
      <c r="AG810" t="str">
        <f>YEAR(Table1[[#This Row],[Fecha]])&amp;" - " &amp;UPPER(TEXT(Table1[[#This Row],[Fecha]],"mm-mmm"))</f>
        <v>2025 - 08-AGO</v>
      </c>
      <c r="AH810" s="5">
        <v>0</v>
      </c>
    </row>
    <row r="811" spans="1:34" x14ac:dyDescent="0.25">
      <c r="A811" t="s">
        <v>1259</v>
      </c>
      <c r="B811">
        <v>2025</v>
      </c>
      <c r="C811">
        <v>8</v>
      </c>
      <c r="D811" s="1">
        <v>45877</v>
      </c>
      <c r="E811" s="1">
        <v>45877</v>
      </c>
      <c r="F811" s="1">
        <v>45877</v>
      </c>
      <c r="G811" s="1">
        <v>45877</v>
      </c>
      <c r="H811" s="2">
        <v>45877.942048263889</v>
      </c>
      <c r="I811">
        <v>1902</v>
      </c>
      <c r="J811" t="s">
        <v>30</v>
      </c>
      <c r="K811" t="s">
        <v>31</v>
      </c>
      <c r="L811">
        <v>50</v>
      </c>
      <c r="M811">
        <v>50</v>
      </c>
      <c r="N811" t="s">
        <v>118</v>
      </c>
      <c r="O811">
        <v>1</v>
      </c>
      <c r="P811">
        <v>150</v>
      </c>
      <c r="Q811" t="b">
        <v>1</v>
      </c>
      <c r="R811" t="b">
        <v>0</v>
      </c>
      <c r="S811" t="b">
        <v>0</v>
      </c>
      <c r="T811">
        <v>231</v>
      </c>
      <c r="U811">
        <v>0</v>
      </c>
      <c r="V811" t="s">
        <v>33</v>
      </c>
      <c r="W811" t="s">
        <v>33</v>
      </c>
      <c r="X811">
        <v>50</v>
      </c>
      <c r="Y811">
        <v>359</v>
      </c>
      <c r="Z811" t="s">
        <v>34</v>
      </c>
      <c r="AA811">
        <v>359</v>
      </c>
      <c r="AB811" t="s">
        <v>121</v>
      </c>
      <c r="AC811" t="s">
        <v>121</v>
      </c>
      <c r="AD811" t="str">
        <f t="shared" si="12"/>
        <v>Escobedo → Escobedo</v>
      </c>
      <c r="AE811" t="s">
        <v>1357</v>
      </c>
      <c r="AF811" s="4">
        <v>45870</v>
      </c>
      <c r="AG811" t="str">
        <f>YEAR(Table1[[#This Row],[Fecha]])&amp;" - " &amp;UPPER(TEXT(Table1[[#This Row],[Fecha]],"mm-mmm"))</f>
        <v>2025 - 08-AGO</v>
      </c>
      <c r="AH811" s="5">
        <v>0</v>
      </c>
    </row>
    <row r="812" spans="1:34" x14ac:dyDescent="0.25">
      <c r="A812" t="s">
        <v>1260</v>
      </c>
      <c r="B812">
        <v>2025</v>
      </c>
      <c r="C812">
        <v>8</v>
      </c>
      <c r="D812" s="1">
        <v>45877</v>
      </c>
      <c r="E812" s="1">
        <v>45877</v>
      </c>
      <c r="F812" s="1">
        <v>45877</v>
      </c>
      <c r="G812" s="1">
        <v>45877</v>
      </c>
      <c r="H812" s="2">
        <v>45878.40306971065</v>
      </c>
      <c r="I812">
        <v>1902</v>
      </c>
      <c r="J812" t="s">
        <v>30</v>
      </c>
      <c r="K812" t="s">
        <v>31</v>
      </c>
      <c r="L812">
        <v>50</v>
      </c>
      <c r="M812">
        <v>50</v>
      </c>
      <c r="N812" t="s">
        <v>118</v>
      </c>
      <c r="O812">
        <v>1</v>
      </c>
      <c r="P812">
        <v>150</v>
      </c>
      <c r="Q812" t="b">
        <v>1</v>
      </c>
      <c r="R812" t="b">
        <v>0</v>
      </c>
      <c r="S812" t="b">
        <v>0</v>
      </c>
      <c r="T812">
        <v>231</v>
      </c>
      <c r="U812">
        <v>0</v>
      </c>
      <c r="V812" t="s">
        <v>33</v>
      </c>
      <c r="W812" t="s">
        <v>33</v>
      </c>
      <c r="X812">
        <v>50</v>
      </c>
      <c r="Y812">
        <v>359</v>
      </c>
      <c r="Z812" t="s">
        <v>34</v>
      </c>
      <c r="AA812">
        <v>359</v>
      </c>
      <c r="AB812" t="s">
        <v>121</v>
      </c>
      <c r="AC812" t="s">
        <v>121</v>
      </c>
      <c r="AD812" t="str">
        <f t="shared" si="12"/>
        <v>Escobedo → Escobedo</v>
      </c>
      <c r="AE812" t="s">
        <v>1357</v>
      </c>
      <c r="AF812" s="4">
        <v>45870</v>
      </c>
      <c r="AG812" t="str">
        <f>YEAR(Table1[[#This Row],[Fecha]])&amp;" - " &amp;UPPER(TEXT(Table1[[#This Row],[Fecha]],"mm-mmm"))</f>
        <v>2025 - 08-AGO</v>
      </c>
      <c r="AH812" s="5">
        <v>0</v>
      </c>
    </row>
    <row r="813" spans="1:34" x14ac:dyDescent="0.25">
      <c r="A813" t="s">
        <v>272</v>
      </c>
      <c r="B813">
        <v>2025</v>
      </c>
      <c r="C813">
        <v>8</v>
      </c>
      <c r="D813" s="1">
        <v>45878</v>
      </c>
      <c r="E813" s="1">
        <v>45878</v>
      </c>
      <c r="F813" s="1">
        <v>45879</v>
      </c>
      <c r="G813" s="1">
        <v>45878</v>
      </c>
      <c r="H813" s="1">
        <v>45879</v>
      </c>
      <c r="I813">
        <v>1902</v>
      </c>
      <c r="J813" t="s">
        <v>30</v>
      </c>
      <c r="K813" t="s">
        <v>31</v>
      </c>
      <c r="L813">
        <v>961</v>
      </c>
      <c r="M813">
        <v>1059</v>
      </c>
      <c r="N813" t="s">
        <v>118</v>
      </c>
      <c r="O813">
        <v>1</v>
      </c>
      <c r="P813">
        <v>964</v>
      </c>
      <c r="Q813" t="b">
        <v>1</v>
      </c>
      <c r="R813" t="b">
        <v>0</v>
      </c>
      <c r="S813" t="b">
        <v>0</v>
      </c>
      <c r="T813">
        <v>1494</v>
      </c>
      <c r="U813">
        <v>0</v>
      </c>
      <c r="V813" t="s">
        <v>33</v>
      </c>
      <c r="W813" t="s">
        <v>33</v>
      </c>
      <c r="X813">
        <v>1100</v>
      </c>
      <c r="Y813">
        <v>8</v>
      </c>
      <c r="Z813" t="s">
        <v>74</v>
      </c>
      <c r="AA813">
        <v>8</v>
      </c>
      <c r="AB813" t="s">
        <v>121</v>
      </c>
      <c r="AC813" t="s">
        <v>56</v>
      </c>
      <c r="AD813" t="str">
        <f t="shared" si="12"/>
        <v>Escobedo → Cd Sahagún</v>
      </c>
      <c r="AE813" t="s">
        <v>1357</v>
      </c>
      <c r="AF813" s="4">
        <v>45870</v>
      </c>
      <c r="AG813" t="str">
        <f>YEAR(Table1[[#This Row],[Fecha]])&amp;" - " &amp;UPPER(TEXT(Table1[[#This Row],[Fecha]],"mm-mmm"))</f>
        <v>2025 - 08-AGO</v>
      </c>
      <c r="AH813" s="5">
        <v>0</v>
      </c>
    </row>
    <row r="814" spans="1:34" x14ac:dyDescent="0.25">
      <c r="A814" t="s">
        <v>1244</v>
      </c>
      <c r="B814">
        <v>2025</v>
      </c>
      <c r="C814">
        <v>8</v>
      </c>
      <c r="D814" s="1">
        <v>45878</v>
      </c>
      <c r="E814" s="1">
        <v>45878</v>
      </c>
      <c r="F814" s="1">
        <v>45878</v>
      </c>
      <c r="G814" s="1">
        <v>45878</v>
      </c>
      <c r="H814" s="2">
        <v>45879.503737268518</v>
      </c>
      <c r="I814">
        <v>1902</v>
      </c>
      <c r="J814" t="s">
        <v>30</v>
      </c>
      <c r="K814" t="s">
        <v>31</v>
      </c>
      <c r="L814">
        <v>50</v>
      </c>
      <c r="M814">
        <v>50</v>
      </c>
      <c r="N814" t="s">
        <v>118</v>
      </c>
      <c r="O814">
        <v>1</v>
      </c>
      <c r="P814">
        <v>150</v>
      </c>
      <c r="Q814" t="b">
        <v>1</v>
      </c>
      <c r="R814" t="b">
        <v>0</v>
      </c>
      <c r="S814" t="b">
        <v>0</v>
      </c>
      <c r="T814">
        <v>231</v>
      </c>
      <c r="U814">
        <v>0</v>
      </c>
      <c r="V814" t="s">
        <v>33</v>
      </c>
      <c r="W814" t="s">
        <v>33</v>
      </c>
      <c r="X814">
        <v>50</v>
      </c>
      <c r="Y814">
        <v>359</v>
      </c>
      <c r="Z814" t="s">
        <v>34</v>
      </c>
      <c r="AA814">
        <v>359</v>
      </c>
      <c r="AB814" t="s">
        <v>121</v>
      </c>
      <c r="AC814" t="s">
        <v>121</v>
      </c>
      <c r="AD814" t="str">
        <f t="shared" si="12"/>
        <v>Escobedo → Escobedo</v>
      </c>
      <c r="AE814" t="s">
        <v>1357</v>
      </c>
      <c r="AF814" s="4">
        <v>45870</v>
      </c>
      <c r="AG814" t="str">
        <f>YEAR(Table1[[#This Row],[Fecha]])&amp;" - " &amp;UPPER(TEXT(Table1[[#This Row],[Fecha]],"mm-mmm"))</f>
        <v>2025 - 08-AGO</v>
      </c>
      <c r="AH814" s="5">
        <v>0</v>
      </c>
    </row>
    <row r="815" spans="1:34" x14ac:dyDescent="0.25">
      <c r="A815" t="s">
        <v>1245</v>
      </c>
      <c r="B815">
        <v>2025</v>
      </c>
      <c r="C815">
        <v>8</v>
      </c>
      <c r="D815" s="1">
        <v>45878</v>
      </c>
      <c r="E815" s="1">
        <v>45878</v>
      </c>
      <c r="F815" s="1">
        <v>45878</v>
      </c>
      <c r="G815" s="1">
        <v>45878</v>
      </c>
      <c r="H815" s="2">
        <v>45879.650263159725</v>
      </c>
      <c r="I815">
        <v>1902</v>
      </c>
      <c r="J815" t="s">
        <v>30</v>
      </c>
      <c r="K815" t="s">
        <v>31</v>
      </c>
      <c r="L815">
        <v>50</v>
      </c>
      <c r="M815">
        <v>50</v>
      </c>
      <c r="N815" t="s">
        <v>118</v>
      </c>
      <c r="O815">
        <v>1</v>
      </c>
      <c r="P815">
        <v>150</v>
      </c>
      <c r="Q815" t="b">
        <v>1</v>
      </c>
      <c r="R815" t="b">
        <v>0</v>
      </c>
      <c r="S815" t="b">
        <v>0</v>
      </c>
      <c r="T815">
        <v>231</v>
      </c>
      <c r="U815">
        <v>0</v>
      </c>
      <c r="V815" t="s">
        <v>33</v>
      </c>
      <c r="W815" t="s">
        <v>33</v>
      </c>
      <c r="X815">
        <v>50</v>
      </c>
      <c r="Y815">
        <v>359</v>
      </c>
      <c r="Z815" t="s">
        <v>34</v>
      </c>
      <c r="AA815">
        <v>359</v>
      </c>
      <c r="AB815" t="s">
        <v>121</v>
      </c>
      <c r="AC815" t="s">
        <v>121</v>
      </c>
      <c r="AD815" t="str">
        <f t="shared" si="12"/>
        <v>Escobedo → Escobedo</v>
      </c>
      <c r="AE815" t="s">
        <v>1357</v>
      </c>
      <c r="AF815" s="4">
        <v>45870</v>
      </c>
      <c r="AG815" t="str">
        <f>YEAR(Table1[[#This Row],[Fecha]])&amp;" - " &amp;UPPER(TEXT(Table1[[#This Row],[Fecha]],"mm-mmm"))</f>
        <v>2025 - 08-AGO</v>
      </c>
      <c r="AH815" s="5">
        <v>0</v>
      </c>
    </row>
    <row r="816" spans="1:34" x14ac:dyDescent="0.25">
      <c r="A816" t="s">
        <v>1246</v>
      </c>
      <c r="B816">
        <v>2025</v>
      </c>
      <c r="C816">
        <v>8</v>
      </c>
      <c r="D816" s="1">
        <v>45878</v>
      </c>
      <c r="E816" s="1">
        <v>45878</v>
      </c>
      <c r="F816" s="1">
        <v>45878</v>
      </c>
      <c r="G816" s="1">
        <v>45878</v>
      </c>
      <c r="H816" s="2">
        <v>45879.731721261574</v>
      </c>
      <c r="I816">
        <v>1902</v>
      </c>
      <c r="J816" t="s">
        <v>30</v>
      </c>
      <c r="K816" t="s">
        <v>31</v>
      </c>
      <c r="L816">
        <v>50</v>
      </c>
      <c r="M816">
        <v>50</v>
      </c>
      <c r="N816" t="s">
        <v>118</v>
      </c>
      <c r="O816">
        <v>1</v>
      </c>
      <c r="P816">
        <v>150</v>
      </c>
      <c r="Q816" t="b">
        <v>1</v>
      </c>
      <c r="R816" t="b">
        <v>0</v>
      </c>
      <c r="S816" t="b">
        <v>0</v>
      </c>
      <c r="T816">
        <v>231</v>
      </c>
      <c r="U816">
        <v>0</v>
      </c>
      <c r="V816" t="s">
        <v>33</v>
      </c>
      <c r="W816" t="s">
        <v>33</v>
      </c>
      <c r="X816">
        <v>50</v>
      </c>
      <c r="Y816">
        <v>359</v>
      </c>
      <c r="Z816" t="s">
        <v>34</v>
      </c>
      <c r="AA816">
        <v>359</v>
      </c>
      <c r="AB816" t="s">
        <v>121</v>
      </c>
      <c r="AC816" t="s">
        <v>121</v>
      </c>
      <c r="AD816" t="str">
        <f t="shared" si="12"/>
        <v>Escobedo → Escobedo</v>
      </c>
      <c r="AE816" t="s">
        <v>1357</v>
      </c>
      <c r="AF816" s="4">
        <v>45870</v>
      </c>
      <c r="AG816" t="str">
        <f>YEAR(Table1[[#This Row],[Fecha]])&amp;" - " &amp;UPPER(TEXT(Table1[[#This Row],[Fecha]],"mm-mmm"))</f>
        <v>2025 - 08-AGO</v>
      </c>
      <c r="AH816" s="5">
        <v>0</v>
      </c>
    </row>
    <row r="817" spans="1:34" x14ac:dyDescent="0.25">
      <c r="A817" t="s">
        <v>1247</v>
      </c>
      <c r="B817">
        <v>2025</v>
      </c>
      <c r="C817">
        <v>8</v>
      </c>
      <c r="D817" s="1">
        <v>45870</v>
      </c>
      <c r="E817" s="1">
        <v>45870</v>
      </c>
      <c r="F817" s="1">
        <v>45870</v>
      </c>
      <c r="G817" s="1">
        <v>45870</v>
      </c>
      <c r="H817" s="2">
        <v>45870.595618287036</v>
      </c>
      <c r="I817">
        <v>1902</v>
      </c>
      <c r="J817" t="s">
        <v>30</v>
      </c>
      <c r="K817" t="s">
        <v>31</v>
      </c>
      <c r="L817">
        <v>50</v>
      </c>
      <c r="M817">
        <v>50</v>
      </c>
      <c r="N817" t="s">
        <v>118</v>
      </c>
      <c r="O817">
        <v>1</v>
      </c>
      <c r="P817">
        <v>150</v>
      </c>
      <c r="Q817" t="b">
        <v>1</v>
      </c>
      <c r="R817" t="b">
        <v>0</v>
      </c>
      <c r="S817" t="b">
        <v>0</v>
      </c>
      <c r="T817">
        <v>231</v>
      </c>
      <c r="U817">
        <v>0</v>
      </c>
      <c r="V817" t="s">
        <v>33</v>
      </c>
      <c r="W817" t="s">
        <v>33</v>
      </c>
      <c r="X817">
        <v>50</v>
      </c>
      <c r="Y817">
        <v>359</v>
      </c>
      <c r="Z817" t="s">
        <v>34</v>
      </c>
      <c r="AA817">
        <v>359</v>
      </c>
      <c r="AB817" t="s">
        <v>121</v>
      </c>
      <c r="AC817" t="s">
        <v>121</v>
      </c>
      <c r="AD817" t="str">
        <f t="shared" si="12"/>
        <v>Escobedo → Escobedo</v>
      </c>
      <c r="AE817" t="s">
        <v>1357</v>
      </c>
      <c r="AF817" s="4">
        <v>45870</v>
      </c>
      <c r="AG817" t="str">
        <f>YEAR(Table1[[#This Row],[Fecha]])&amp;" - " &amp;UPPER(TEXT(Table1[[#This Row],[Fecha]],"mm-mmm"))</f>
        <v>2025 - 08-AGO</v>
      </c>
      <c r="AH817" s="5">
        <v>0</v>
      </c>
    </row>
    <row r="818" spans="1:34" x14ac:dyDescent="0.25">
      <c r="A818" t="s">
        <v>1248</v>
      </c>
      <c r="B818">
        <v>2025</v>
      </c>
      <c r="C818">
        <v>8</v>
      </c>
      <c r="D818" s="1">
        <v>45878</v>
      </c>
      <c r="E818" s="1">
        <v>45878</v>
      </c>
      <c r="F818" s="1">
        <v>45878</v>
      </c>
      <c r="G818" s="1">
        <v>45878</v>
      </c>
      <c r="H818" s="2">
        <v>45880.368315243053</v>
      </c>
      <c r="I818">
        <v>1902</v>
      </c>
      <c r="J818" t="s">
        <v>30</v>
      </c>
      <c r="K818" t="s">
        <v>31</v>
      </c>
      <c r="L818">
        <v>50</v>
      </c>
      <c r="M818">
        <v>50</v>
      </c>
      <c r="N818" t="s">
        <v>118</v>
      </c>
      <c r="O818">
        <v>1</v>
      </c>
      <c r="P818">
        <v>150</v>
      </c>
      <c r="Q818" t="b">
        <v>1</v>
      </c>
      <c r="R818" t="b">
        <v>0</v>
      </c>
      <c r="S818" t="b">
        <v>0</v>
      </c>
      <c r="T818">
        <v>231</v>
      </c>
      <c r="U818">
        <v>0</v>
      </c>
      <c r="V818" t="s">
        <v>33</v>
      </c>
      <c r="W818" t="s">
        <v>33</v>
      </c>
      <c r="X818">
        <v>50</v>
      </c>
      <c r="Y818">
        <v>359</v>
      </c>
      <c r="Z818" t="s">
        <v>34</v>
      </c>
      <c r="AA818">
        <v>359</v>
      </c>
      <c r="AB818" t="s">
        <v>121</v>
      </c>
      <c r="AC818" t="s">
        <v>121</v>
      </c>
      <c r="AD818" t="str">
        <f t="shared" si="12"/>
        <v>Escobedo → Escobedo</v>
      </c>
      <c r="AE818" t="s">
        <v>1357</v>
      </c>
      <c r="AF818" s="4">
        <v>45870</v>
      </c>
      <c r="AG818" t="str">
        <f>YEAR(Table1[[#This Row],[Fecha]])&amp;" - " &amp;UPPER(TEXT(Table1[[#This Row],[Fecha]],"mm-mmm"))</f>
        <v>2025 - 08-AGO</v>
      </c>
      <c r="AH818" s="5">
        <v>0</v>
      </c>
    </row>
    <row r="819" spans="1:34" x14ac:dyDescent="0.25">
      <c r="A819" t="s">
        <v>1249</v>
      </c>
      <c r="B819">
        <v>2025</v>
      </c>
      <c r="C819">
        <v>8</v>
      </c>
      <c r="D819" s="1">
        <v>45878</v>
      </c>
      <c r="E819" s="1">
        <v>45878</v>
      </c>
      <c r="F819" s="1">
        <v>45878</v>
      </c>
      <c r="G819" s="1">
        <v>45878</v>
      </c>
      <c r="H819" s="2">
        <v>45880.367963310186</v>
      </c>
      <c r="I819">
        <v>1902</v>
      </c>
      <c r="J819" t="s">
        <v>30</v>
      </c>
      <c r="K819" t="s">
        <v>31</v>
      </c>
      <c r="L819">
        <v>50</v>
      </c>
      <c r="M819">
        <v>50</v>
      </c>
      <c r="N819" t="s">
        <v>118</v>
      </c>
      <c r="O819">
        <v>1</v>
      </c>
      <c r="P819">
        <v>150</v>
      </c>
      <c r="Q819" t="b">
        <v>1</v>
      </c>
      <c r="R819" t="b">
        <v>0</v>
      </c>
      <c r="S819" t="b">
        <v>0</v>
      </c>
      <c r="T819">
        <v>231</v>
      </c>
      <c r="U819">
        <v>0</v>
      </c>
      <c r="V819" t="s">
        <v>33</v>
      </c>
      <c r="W819" t="s">
        <v>33</v>
      </c>
      <c r="X819">
        <v>50</v>
      </c>
      <c r="Y819">
        <v>359</v>
      </c>
      <c r="Z819" t="s">
        <v>34</v>
      </c>
      <c r="AA819">
        <v>359</v>
      </c>
      <c r="AB819" t="s">
        <v>121</v>
      </c>
      <c r="AC819" t="s">
        <v>121</v>
      </c>
      <c r="AD819" t="str">
        <f t="shared" si="12"/>
        <v>Escobedo → Escobedo</v>
      </c>
      <c r="AE819" t="s">
        <v>1357</v>
      </c>
      <c r="AF819" s="4">
        <v>45870</v>
      </c>
      <c r="AG819" t="str">
        <f>YEAR(Table1[[#This Row],[Fecha]])&amp;" - " &amp;UPPER(TEXT(Table1[[#This Row],[Fecha]],"mm-mmm"))</f>
        <v>2025 - 08-AGO</v>
      </c>
      <c r="AH819" s="5">
        <v>0</v>
      </c>
    </row>
    <row r="820" spans="1:34" x14ac:dyDescent="0.25">
      <c r="A820" t="s">
        <v>1250</v>
      </c>
      <c r="B820">
        <v>2025</v>
      </c>
      <c r="C820">
        <v>8</v>
      </c>
      <c r="D820" s="1">
        <v>45870</v>
      </c>
      <c r="E820" s="1">
        <v>45870</v>
      </c>
      <c r="F820" s="1">
        <v>45870</v>
      </c>
      <c r="G820" s="1">
        <v>45870</v>
      </c>
      <c r="H820" s="2">
        <v>45870.566813888887</v>
      </c>
      <c r="I820">
        <v>1902</v>
      </c>
      <c r="J820" t="s">
        <v>30</v>
      </c>
      <c r="K820" t="s">
        <v>31</v>
      </c>
      <c r="L820">
        <v>50</v>
      </c>
      <c r="M820">
        <v>50</v>
      </c>
      <c r="N820" t="s">
        <v>118</v>
      </c>
      <c r="O820">
        <v>1</v>
      </c>
      <c r="P820">
        <v>150</v>
      </c>
      <c r="Q820" t="b">
        <v>1</v>
      </c>
      <c r="R820" t="b">
        <v>0</v>
      </c>
      <c r="S820" t="b">
        <v>0</v>
      </c>
      <c r="T820">
        <v>231</v>
      </c>
      <c r="U820">
        <v>0</v>
      </c>
      <c r="V820" t="s">
        <v>33</v>
      </c>
      <c r="W820" t="s">
        <v>33</v>
      </c>
      <c r="X820">
        <v>50</v>
      </c>
      <c r="Y820">
        <v>359</v>
      </c>
      <c r="Z820" t="s">
        <v>34</v>
      </c>
      <c r="AA820">
        <v>359</v>
      </c>
      <c r="AB820" t="s">
        <v>121</v>
      </c>
      <c r="AC820" t="s">
        <v>121</v>
      </c>
      <c r="AD820" t="str">
        <f t="shared" si="12"/>
        <v>Escobedo → Escobedo</v>
      </c>
      <c r="AE820" t="s">
        <v>1357</v>
      </c>
      <c r="AF820" s="4">
        <v>45870</v>
      </c>
      <c r="AG820" t="str">
        <f>YEAR(Table1[[#This Row],[Fecha]])&amp;" - " &amp;UPPER(TEXT(Table1[[#This Row],[Fecha]],"mm-mmm"))</f>
        <v>2025 - 08-AGO</v>
      </c>
      <c r="AH820" s="5">
        <v>0</v>
      </c>
    </row>
    <row r="821" spans="1:34" x14ac:dyDescent="0.25">
      <c r="A821" t="s">
        <v>1251</v>
      </c>
      <c r="B821">
        <v>2025</v>
      </c>
      <c r="C821">
        <v>8</v>
      </c>
      <c r="D821" s="1">
        <v>45880</v>
      </c>
      <c r="E821" s="1">
        <v>45880</v>
      </c>
      <c r="F821" s="1">
        <v>45880</v>
      </c>
      <c r="G821" s="1">
        <v>45880</v>
      </c>
      <c r="H821" s="2">
        <v>45880.709235879629</v>
      </c>
      <c r="I821">
        <v>2039</v>
      </c>
      <c r="J821" t="s">
        <v>30</v>
      </c>
      <c r="K821" t="s">
        <v>31</v>
      </c>
      <c r="L821">
        <v>50</v>
      </c>
      <c r="M821">
        <v>50</v>
      </c>
      <c r="N821" t="s">
        <v>32</v>
      </c>
      <c r="O821">
        <v>1</v>
      </c>
      <c r="P821">
        <v>150</v>
      </c>
      <c r="Q821" t="b">
        <v>1</v>
      </c>
      <c r="R821" t="b">
        <v>0</v>
      </c>
      <c r="S821" t="b">
        <v>0</v>
      </c>
      <c r="T821">
        <v>231</v>
      </c>
      <c r="U821">
        <v>0</v>
      </c>
      <c r="V821" t="s">
        <v>33</v>
      </c>
      <c r="W821" t="s">
        <v>33</v>
      </c>
      <c r="X821">
        <v>50</v>
      </c>
      <c r="Y821">
        <v>359</v>
      </c>
      <c r="Z821" t="s">
        <v>34</v>
      </c>
      <c r="AA821">
        <v>359</v>
      </c>
      <c r="AB821" t="s">
        <v>121</v>
      </c>
      <c r="AC821" t="s">
        <v>121</v>
      </c>
      <c r="AD821" t="str">
        <f t="shared" si="12"/>
        <v>Escobedo → Escobedo</v>
      </c>
      <c r="AE821" t="s">
        <v>1357</v>
      </c>
      <c r="AF821" s="4">
        <v>45870</v>
      </c>
      <c r="AG821" t="str">
        <f>YEAR(Table1[[#This Row],[Fecha]])&amp;" - " &amp;UPPER(TEXT(Table1[[#This Row],[Fecha]],"mm-mmm"))</f>
        <v>2025 - 08-AGO</v>
      </c>
      <c r="AH821" s="5">
        <v>0</v>
      </c>
    </row>
    <row r="822" spans="1:34" x14ac:dyDescent="0.25">
      <c r="A822" t="s">
        <v>631</v>
      </c>
      <c r="B822">
        <v>2025</v>
      </c>
      <c r="C822">
        <v>8</v>
      </c>
      <c r="D822" s="1">
        <v>45880</v>
      </c>
      <c r="E822" s="1">
        <v>45880</v>
      </c>
      <c r="F822" s="1">
        <v>45880</v>
      </c>
      <c r="G822" s="1">
        <v>45880</v>
      </c>
      <c r="H822" s="2">
        <v>45880.709247650462</v>
      </c>
      <c r="I822">
        <v>2039</v>
      </c>
      <c r="J822" t="s">
        <v>30</v>
      </c>
      <c r="K822" t="s">
        <v>31</v>
      </c>
      <c r="L822">
        <v>50</v>
      </c>
      <c r="M822">
        <v>50</v>
      </c>
      <c r="N822" t="s">
        <v>32</v>
      </c>
      <c r="O822">
        <v>1</v>
      </c>
      <c r="P822">
        <v>150</v>
      </c>
      <c r="Q822" t="b">
        <v>1</v>
      </c>
      <c r="R822" t="b">
        <v>0</v>
      </c>
      <c r="S822" t="b">
        <v>0</v>
      </c>
      <c r="T822">
        <v>231</v>
      </c>
      <c r="U822">
        <v>0</v>
      </c>
      <c r="V822" t="s">
        <v>33</v>
      </c>
      <c r="W822" t="s">
        <v>33</v>
      </c>
      <c r="X822">
        <v>50</v>
      </c>
      <c r="Y822">
        <v>2936</v>
      </c>
      <c r="Z822" t="s">
        <v>34</v>
      </c>
      <c r="AA822">
        <v>2936</v>
      </c>
      <c r="AB822" t="s">
        <v>121</v>
      </c>
      <c r="AC822" t="s">
        <v>432</v>
      </c>
      <c r="AD822" t="str">
        <f t="shared" si="12"/>
        <v>Escobedo → Hidalgo</v>
      </c>
      <c r="AE822" t="s">
        <v>1357</v>
      </c>
      <c r="AF822" s="4">
        <v>45870</v>
      </c>
      <c r="AG822" t="str">
        <f>YEAR(Table1[[#This Row],[Fecha]])&amp;" - " &amp;UPPER(TEXT(Table1[[#This Row],[Fecha]],"mm-mmm"))</f>
        <v>2025 - 08-AGO</v>
      </c>
      <c r="AH822" s="5">
        <v>0</v>
      </c>
    </row>
    <row r="823" spans="1:34" x14ac:dyDescent="0.25">
      <c r="A823" t="s">
        <v>1159</v>
      </c>
      <c r="B823">
        <v>2025</v>
      </c>
      <c r="C823">
        <v>8</v>
      </c>
      <c r="D823" s="1">
        <v>45870</v>
      </c>
      <c r="E823" s="1">
        <v>45870</v>
      </c>
      <c r="F823" s="1">
        <v>45870</v>
      </c>
      <c r="G823" s="1">
        <v>45870</v>
      </c>
      <c r="H823" s="2">
        <v>45870.566798645836</v>
      </c>
      <c r="I823">
        <v>1902</v>
      </c>
      <c r="J823" t="s">
        <v>30</v>
      </c>
      <c r="K823" t="s">
        <v>31</v>
      </c>
      <c r="L823">
        <v>50</v>
      </c>
      <c r="M823">
        <v>50</v>
      </c>
      <c r="N823" t="s">
        <v>118</v>
      </c>
      <c r="O823">
        <v>1</v>
      </c>
      <c r="P823">
        <v>150</v>
      </c>
      <c r="Q823" t="b">
        <v>1</v>
      </c>
      <c r="R823" t="b">
        <v>0</v>
      </c>
      <c r="S823" t="b">
        <v>0</v>
      </c>
      <c r="T823">
        <v>231</v>
      </c>
      <c r="U823">
        <v>0</v>
      </c>
      <c r="V823" t="s">
        <v>33</v>
      </c>
      <c r="W823" t="s">
        <v>33</v>
      </c>
      <c r="X823">
        <v>50</v>
      </c>
      <c r="Y823">
        <v>359</v>
      </c>
      <c r="Z823" t="s">
        <v>34</v>
      </c>
      <c r="AA823">
        <v>359</v>
      </c>
      <c r="AB823" t="s">
        <v>121</v>
      </c>
      <c r="AC823" t="s">
        <v>121</v>
      </c>
      <c r="AD823" t="str">
        <f t="shared" si="12"/>
        <v>Escobedo → Escobedo</v>
      </c>
      <c r="AE823" t="s">
        <v>1357</v>
      </c>
      <c r="AF823" s="4">
        <v>45870</v>
      </c>
      <c r="AG823" t="str">
        <f>YEAR(Table1[[#This Row],[Fecha]])&amp;" - " &amp;UPPER(TEXT(Table1[[#This Row],[Fecha]],"mm-mmm"))</f>
        <v>2025 - 08-AGO</v>
      </c>
      <c r="AH823" s="5">
        <v>0</v>
      </c>
    </row>
    <row r="824" spans="1:34" x14ac:dyDescent="0.25">
      <c r="A824" t="s">
        <v>1160</v>
      </c>
      <c r="B824">
        <v>2025</v>
      </c>
      <c r="C824">
        <v>8</v>
      </c>
      <c r="D824" s="1">
        <v>45880</v>
      </c>
      <c r="E824" s="1">
        <v>45880</v>
      </c>
      <c r="F824" s="1">
        <v>45880</v>
      </c>
      <c r="G824" s="1">
        <v>45880</v>
      </c>
      <c r="H824" s="2">
        <v>45881.499473530093</v>
      </c>
      <c r="I824">
        <v>2039</v>
      </c>
      <c r="J824" t="s">
        <v>30</v>
      </c>
      <c r="K824" t="s">
        <v>31</v>
      </c>
      <c r="L824">
        <v>50</v>
      </c>
      <c r="M824">
        <v>50</v>
      </c>
      <c r="N824" t="s">
        <v>32</v>
      </c>
      <c r="O824">
        <v>1</v>
      </c>
      <c r="P824">
        <v>150</v>
      </c>
      <c r="Q824" t="b">
        <v>1</v>
      </c>
      <c r="R824" t="b">
        <v>0</v>
      </c>
      <c r="S824" t="b">
        <v>0</v>
      </c>
      <c r="T824">
        <v>231</v>
      </c>
      <c r="U824">
        <v>0</v>
      </c>
      <c r="V824" t="s">
        <v>33</v>
      </c>
      <c r="W824" t="s">
        <v>33</v>
      </c>
      <c r="X824">
        <v>50</v>
      </c>
      <c r="Y824">
        <v>359</v>
      </c>
      <c r="Z824" t="s">
        <v>34</v>
      </c>
      <c r="AA824">
        <v>359</v>
      </c>
      <c r="AB824" t="s">
        <v>121</v>
      </c>
      <c r="AC824" t="s">
        <v>121</v>
      </c>
      <c r="AD824" t="str">
        <f t="shared" si="12"/>
        <v>Escobedo → Escobedo</v>
      </c>
      <c r="AE824" t="s">
        <v>1357</v>
      </c>
      <c r="AF824" s="4">
        <v>45870</v>
      </c>
      <c r="AG824" t="str">
        <f>YEAR(Table1[[#This Row],[Fecha]])&amp;" - " &amp;UPPER(TEXT(Table1[[#This Row],[Fecha]],"mm-mmm"))</f>
        <v>2025 - 08-AGO</v>
      </c>
      <c r="AH824" s="5">
        <v>0</v>
      </c>
    </row>
    <row r="825" spans="1:34" x14ac:dyDescent="0.25">
      <c r="A825" t="s">
        <v>218</v>
      </c>
      <c r="B825">
        <v>2025</v>
      </c>
      <c r="C825">
        <v>8</v>
      </c>
      <c r="D825" s="1">
        <v>45881</v>
      </c>
      <c r="E825" s="1">
        <v>45881</v>
      </c>
      <c r="F825" s="1">
        <v>45882</v>
      </c>
      <c r="G825" s="1">
        <v>45882</v>
      </c>
      <c r="H825" s="1">
        <v>45883</v>
      </c>
      <c r="I825">
        <v>2244</v>
      </c>
      <c r="J825" t="s">
        <v>30</v>
      </c>
      <c r="K825" t="s">
        <v>31</v>
      </c>
      <c r="L825">
        <v>240</v>
      </c>
      <c r="M825">
        <v>236</v>
      </c>
      <c r="N825" t="s">
        <v>43</v>
      </c>
      <c r="O825">
        <v>1</v>
      </c>
      <c r="P825">
        <v>232</v>
      </c>
      <c r="Q825" t="b">
        <v>1</v>
      </c>
      <c r="R825" t="b">
        <v>0</v>
      </c>
      <c r="S825" t="b">
        <v>0</v>
      </c>
      <c r="T825">
        <v>624</v>
      </c>
      <c r="U825">
        <v>0</v>
      </c>
      <c r="V825" t="s">
        <v>33</v>
      </c>
      <c r="W825" t="s">
        <v>219</v>
      </c>
      <c r="X825">
        <v>300</v>
      </c>
      <c r="Y825">
        <v>3861</v>
      </c>
      <c r="Z825" t="s">
        <v>123</v>
      </c>
      <c r="AA825">
        <v>3861</v>
      </c>
      <c r="AB825" t="s">
        <v>121</v>
      </c>
      <c r="AC825" t="s">
        <v>220</v>
      </c>
      <c r="AD825" t="str">
        <f t="shared" si="12"/>
        <v>Escobedo → Reynosa</v>
      </c>
      <c r="AE825" t="s">
        <v>1357</v>
      </c>
      <c r="AF825" s="4">
        <v>45870</v>
      </c>
      <c r="AG825" t="str">
        <f>YEAR(Table1[[#This Row],[Fecha]])&amp;" - " &amp;UPPER(TEXT(Table1[[#This Row],[Fecha]],"mm-mmm"))</f>
        <v>2025 - 08-AGO</v>
      </c>
      <c r="AH825" s="5">
        <v>0</v>
      </c>
    </row>
    <row r="826" spans="1:34" x14ac:dyDescent="0.25">
      <c r="A826" t="s">
        <v>654</v>
      </c>
      <c r="B826">
        <v>2025</v>
      </c>
      <c r="C826">
        <v>8</v>
      </c>
      <c r="D826" s="1">
        <v>45881</v>
      </c>
      <c r="E826" s="1">
        <v>45881</v>
      </c>
      <c r="F826" s="1">
        <v>45881</v>
      </c>
      <c r="G826" s="1">
        <v>45881</v>
      </c>
      <c r="H826" s="1">
        <v>45881</v>
      </c>
      <c r="I826">
        <v>2244</v>
      </c>
      <c r="J826" t="s">
        <v>30</v>
      </c>
      <c r="K826" t="s">
        <v>31</v>
      </c>
      <c r="L826">
        <v>50</v>
      </c>
      <c r="M826">
        <v>50</v>
      </c>
      <c r="N826" t="s">
        <v>43</v>
      </c>
      <c r="O826">
        <v>1</v>
      </c>
      <c r="P826">
        <v>150</v>
      </c>
      <c r="Q826" t="b">
        <v>1</v>
      </c>
      <c r="R826" t="b">
        <v>0</v>
      </c>
      <c r="S826" t="b">
        <v>0</v>
      </c>
      <c r="T826">
        <v>231</v>
      </c>
      <c r="U826">
        <v>0</v>
      </c>
      <c r="V826" t="s">
        <v>33</v>
      </c>
      <c r="W826" t="s">
        <v>33</v>
      </c>
      <c r="X826">
        <v>50</v>
      </c>
      <c r="Y826">
        <v>2936</v>
      </c>
      <c r="Z826" t="s">
        <v>34</v>
      </c>
      <c r="AA826">
        <v>2936</v>
      </c>
      <c r="AB826" t="s">
        <v>121</v>
      </c>
      <c r="AC826" t="s">
        <v>432</v>
      </c>
      <c r="AD826" t="str">
        <f t="shared" si="12"/>
        <v>Escobedo → Hidalgo</v>
      </c>
      <c r="AE826" t="s">
        <v>1357</v>
      </c>
      <c r="AF826" s="4">
        <v>45870</v>
      </c>
      <c r="AG826" t="str">
        <f>YEAR(Table1[[#This Row],[Fecha]])&amp;" - " &amp;UPPER(TEXT(Table1[[#This Row],[Fecha]],"mm-mmm"))</f>
        <v>2025 - 08-AGO</v>
      </c>
      <c r="AH826" s="5">
        <v>0</v>
      </c>
    </row>
    <row r="827" spans="1:34" x14ac:dyDescent="0.25">
      <c r="A827" t="s">
        <v>1164</v>
      </c>
      <c r="B827">
        <v>2025</v>
      </c>
      <c r="C827">
        <v>8</v>
      </c>
      <c r="D827" s="1">
        <v>45881</v>
      </c>
      <c r="E827" s="1">
        <v>45881</v>
      </c>
      <c r="F827" s="1">
        <v>45881</v>
      </c>
      <c r="G827" s="1">
        <v>45881</v>
      </c>
      <c r="H827" s="1">
        <v>45881</v>
      </c>
      <c r="I827">
        <v>2244</v>
      </c>
      <c r="J827" t="s">
        <v>30</v>
      </c>
      <c r="K827" t="s">
        <v>31</v>
      </c>
      <c r="L827">
        <v>50</v>
      </c>
      <c r="M827">
        <v>50</v>
      </c>
      <c r="N827" t="s">
        <v>43</v>
      </c>
      <c r="O827">
        <v>1</v>
      </c>
      <c r="P827">
        <v>150</v>
      </c>
      <c r="Q827" t="b">
        <v>1</v>
      </c>
      <c r="R827" t="b">
        <v>0</v>
      </c>
      <c r="S827" t="b">
        <v>0</v>
      </c>
      <c r="T827">
        <v>231</v>
      </c>
      <c r="U827">
        <v>0</v>
      </c>
      <c r="V827" t="s">
        <v>33</v>
      </c>
      <c r="W827" t="s">
        <v>33</v>
      </c>
      <c r="X827">
        <v>50</v>
      </c>
      <c r="Y827">
        <v>359</v>
      </c>
      <c r="Z827" t="s">
        <v>34</v>
      </c>
      <c r="AA827">
        <v>359</v>
      </c>
      <c r="AB827" t="s">
        <v>121</v>
      </c>
      <c r="AC827" t="s">
        <v>121</v>
      </c>
      <c r="AD827" t="str">
        <f t="shared" si="12"/>
        <v>Escobedo → Escobedo</v>
      </c>
      <c r="AE827" t="s">
        <v>1357</v>
      </c>
      <c r="AF827" s="4">
        <v>45870</v>
      </c>
      <c r="AG827" t="str">
        <f>YEAR(Table1[[#This Row],[Fecha]])&amp;" - " &amp;UPPER(TEXT(Table1[[#This Row],[Fecha]],"mm-mmm"))</f>
        <v>2025 - 08-AGO</v>
      </c>
      <c r="AH827" s="5">
        <v>0</v>
      </c>
    </row>
    <row r="828" spans="1:34" x14ac:dyDescent="0.25">
      <c r="A828" t="s">
        <v>386</v>
      </c>
      <c r="B828">
        <v>2025</v>
      </c>
      <c r="C828">
        <v>8</v>
      </c>
      <c r="D828" s="1">
        <v>45870</v>
      </c>
      <c r="E828" s="1">
        <v>45870</v>
      </c>
      <c r="F828" s="1">
        <v>45870</v>
      </c>
      <c r="G828" s="1">
        <v>45870</v>
      </c>
      <c r="H828" s="2">
        <v>45870.681342673612</v>
      </c>
      <c r="I828">
        <v>1902</v>
      </c>
      <c r="J828" t="s">
        <v>30</v>
      </c>
      <c r="K828" t="s">
        <v>31</v>
      </c>
      <c r="L828">
        <v>50</v>
      </c>
      <c r="M828">
        <v>50</v>
      </c>
      <c r="N828" t="s">
        <v>118</v>
      </c>
      <c r="O828">
        <v>1</v>
      </c>
      <c r="P828">
        <v>150</v>
      </c>
      <c r="Q828" t="b">
        <v>1</v>
      </c>
      <c r="R828" t="b">
        <v>0</v>
      </c>
      <c r="S828" t="b">
        <v>0</v>
      </c>
      <c r="T828">
        <v>231</v>
      </c>
      <c r="U828">
        <v>0</v>
      </c>
      <c r="V828" t="s">
        <v>33</v>
      </c>
      <c r="W828" t="s">
        <v>33</v>
      </c>
      <c r="X828">
        <v>50</v>
      </c>
      <c r="Y828">
        <v>461</v>
      </c>
      <c r="Z828" t="s">
        <v>34</v>
      </c>
      <c r="AA828">
        <v>461</v>
      </c>
      <c r="AB828" t="s">
        <v>121</v>
      </c>
      <c r="AC828" t="s">
        <v>35</v>
      </c>
      <c r="AD828" t="str">
        <f t="shared" si="12"/>
        <v>Escobedo → Monterrey</v>
      </c>
      <c r="AE828" t="s">
        <v>1357</v>
      </c>
      <c r="AF828" s="4">
        <v>45870</v>
      </c>
      <c r="AG828" t="str">
        <f>YEAR(Table1[[#This Row],[Fecha]])&amp;" - " &amp;UPPER(TEXT(Table1[[#This Row],[Fecha]],"mm-mmm"))</f>
        <v>2025 - 08-AGO</v>
      </c>
      <c r="AH828" s="5">
        <v>0</v>
      </c>
    </row>
    <row r="829" spans="1:34" x14ac:dyDescent="0.25">
      <c r="A829" t="s">
        <v>644</v>
      </c>
      <c r="B829">
        <v>2025</v>
      </c>
      <c r="C829">
        <v>8</v>
      </c>
      <c r="D829" s="1">
        <v>45881</v>
      </c>
      <c r="E829" s="1">
        <v>45881</v>
      </c>
      <c r="F829" s="1">
        <v>45881</v>
      </c>
      <c r="G829" s="1">
        <v>45881</v>
      </c>
      <c r="H829" s="1">
        <v>45882</v>
      </c>
      <c r="I829">
        <v>2244</v>
      </c>
      <c r="J829" t="s">
        <v>30</v>
      </c>
      <c r="K829" t="s">
        <v>31</v>
      </c>
      <c r="L829">
        <v>50</v>
      </c>
      <c r="M829">
        <v>50</v>
      </c>
      <c r="N829" t="s">
        <v>43</v>
      </c>
      <c r="O829">
        <v>1</v>
      </c>
      <c r="P829">
        <v>150</v>
      </c>
      <c r="Q829" t="b">
        <v>1</v>
      </c>
      <c r="R829" t="b">
        <v>0</v>
      </c>
      <c r="S829" t="b">
        <v>0</v>
      </c>
      <c r="T829">
        <v>231</v>
      </c>
      <c r="U829">
        <v>0</v>
      </c>
      <c r="V829" t="s">
        <v>33</v>
      </c>
      <c r="W829" t="s">
        <v>33</v>
      </c>
      <c r="X829">
        <v>50</v>
      </c>
      <c r="Y829">
        <v>2936</v>
      </c>
      <c r="Z829" t="s">
        <v>34</v>
      </c>
      <c r="AA829">
        <v>2936</v>
      </c>
      <c r="AB829" t="s">
        <v>121</v>
      </c>
      <c r="AC829" t="s">
        <v>432</v>
      </c>
      <c r="AD829" t="str">
        <f t="shared" si="12"/>
        <v>Escobedo → Hidalgo</v>
      </c>
      <c r="AE829" t="s">
        <v>1357</v>
      </c>
      <c r="AF829" s="4">
        <v>45870</v>
      </c>
      <c r="AG829" t="str">
        <f>YEAR(Table1[[#This Row],[Fecha]])&amp;" - " &amp;UPPER(TEXT(Table1[[#This Row],[Fecha]],"mm-mmm"))</f>
        <v>2025 - 08-AGO</v>
      </c>
      <c r="AH829" s="5">
        <v>0</v>
      </c>
    </row>
    <row r="830" spans="1:34" x14ac:dyDescent="0.25">
      <c r="A830" t="s">
        <v>645</v>
      </c>
      <c r="B830">
        <v>2025</v>
      </c>
      <c r="C830">
        <v>8</v>
      </c>
      <c r="D830" s="1">
        <v>45881</v>
      </c>
      <c r="E830" s="1">
        <v>45881</v>
      </c>
      <c r="F830" s="1">
        <v>45881</v>
      </c>
      <c r="G830" s="1">
        <v>45881</v>
      </c>
      <c r="H830" s="2">
        <v>45881.620069826386</v>
      </c>
      <c r="I830">
        <v>2039</v>
      </c>
      <c r="J830" t="s">
        <v>30</v>
      </c>
      <c r="K830" t="s">
        <v>31</v>
      </c>
      <c r="L830">
        <v>50</v>
      </c>
      <c r="M830">
        <v>50</v>
      </c>
      <c r="N830" t="s">
        <v>32</v>
      </c>
      <c r="O830">
        <v>1</v>
      </c>
      <c r="P830">
        <v>150</v>
      </c>
      <c r="Q830" t="b">
        <v>1</v>
      </c>
      <c r="R830" t="b">
        <v>0</v>
      </c>
      <c r="S830" t="b">
        <v>0</v>
      </c>
      <c r="T830">
        <v>231</v>
      </c>
      <c r="U830">
        <v>0</v>
      </c>
      <c r="V830" t="s">
        <v>33</v>
      </c>
      <c r="W830" t="s">
        <v>33</v>
      </c>
      <c r="X830">
        <v>50</v>
      </c>
      <c r="Y830">
        <v>2936</v>
      </c>
      <c r="Z830" t="s">
        <v>34</v>
      </c>
      <c r="AA830">
        <v>2936</v>
      </c>
      <c r="AB830" t="s">
        <v>121</v>
      </c>
      <c r="AC830" t="s">
        <v>432</v>
      </c>
      <c r="AD830" t="str">
        <f t="shared" si="12"/>
        <v>Escobedo → Hidalgo</v>
      </c>
      <c r="AE830" t="s">
        <v>1357</v>
      </c>
      <c r="AF830" s="4">
        <v>45870</v>
      </c>
      <c r="AG830" t="str">
        <f>YEAR(Table1[[#This Row],[Fecha]])&amp;" - " &amp;UPPER(TEXT(Table1[[#This Row],[Fecha]],"mm-mmm"))</f>
        <v>2025 - 08-AGO</v>
      </c>
      <c r="AH830" s="5">
        <v>0</v>
      </c>
    </row>
    <row r="831" spans="1:34" x14ac:dyDescent="0.25">
      <c r="A831" t="s">
        <v>1165</v>
      </c>
      <c r="B831">
        <v>2025</v>
      </c>
      <c r="C831">
        <v>8</v>
      </c>
      <c r="D831" s="1">
        <v>45881</v>
      </c>
      <c r="E831" s="1">
        <v>45881</v>
      </c>
      <c r="F831" s="1">
        <v>45881</v>
      </c>
      <c r="G831" s="1">
        <v>45881</v>
      </c>
      <c r="H831" s="2">
        <v>45881.685315891205</v>
      </c>
      <c r="I831">
        <v>2039</v>
      </c>
      <c r="J831" t="s">
        <v>30</v>
      </c>
      <c r="K831" t="s">
        <v>31</v>
      </c>
      <c r="L831">
        <v>50</v>
      </c>
      <c r="M831">
        <v>50</v>
      </c>
      <c r="N831" t="s">
        <v>32</v>
      </c>
      <c r="O831">
        <v>1</v>
      </c>
      <c r="P831">
        <v>150</v>
      </c>
      <c r="Q831" t="b">
        <v>1</v>
      </c>
      <c r="R831" t="b">
        <v>0</v>
      </c>
      <c r="S831" t="b">
        <v>0</v>
      </c>
      <c r="T831">
        <v>231</v>
      </c>
      <c r="U831">
        <v>0</v>
      </c>
      <c r="V831" t="s">
        <v>33</v>
      </c>
      <c r="W831" t="s">
        <v>33</v>
      </c>
      <c r="X831">
        <v>50</v>
      </c>
      <c r="Y831">
        <v>359</v>
      </c>
      <c r="Z831" t="s">
        <v>34</v>
      </c>
      <c r="AA831">
        <v>359</v>
      </c>
      <c r="AB831" t="s">
        <v>121</v>
      </c>
      <c r="AC831" t="s">
        <v>121</v>
      </c>
      <c r="AD831" t="str">
        <f t="shared" si="12"/>
        <v>Escobedo → Escobedo</v>
      </c>
      <c r="AE831" t="s">
        <v>1357</v>
      </c>
      <c r="AF831" s="4">
        <v>45870</v>
      </c>
      <c r="AG831" t="str">
        <f>YEAR(Table1[[#This Row],[Fecha]])&amp;" - " &amp;UPPER(TEXT(Table1[[#This Row],[Fecha]],"mm-mmm"))</f>
        <v>2025 - 08-AGO</v>
      </c>
      <c r="AH831" s="5">
        <v>0</v>
      </c>
    </row>
    <row r="832" spans="1:34" x14ac:dyDescent="0.25">
      <c r="A832" t="s">
        <v>1166</v>
      </c>
      <c r="B832">
        <v>2025</v>
      </c>
      <c r="C832">
        <v>8</v>
      </c>
      <c r="D832" s="1">
        <v>45870</v>
      </c>
      <c r="E832" s="1">
        <v>45870</v>
      </c>
      <c r="F832" s="1">
        <v>45870</v>
      </c>
      <c r="G832" s="1">
        <v>45870</v>
      </c>
      <c r="H832" s="2">
        <v>45870.676237037034</v>
      </c>
      <c r="I832">
        <v>1902</v>
      </c>
      <c r="J832" t="s">
        <v>30</v>
      </c>
      <c r="K832" t="s">
        <v>31</v>
      </c>
      <c r="L832">
        <v>50</v>
      </c>
      <c r="M832">
        <v>50</v>
      </c>
      <c r="N832" t="s">
        <v>118</v>
      </c>
      <c r="O832">
        <v>1</v>
      </c>
      <c r="P832">
        <v>150</v>
      </c>
      <c r="Q832" t="b">
        <v>1</v>
      </c>
      <c r="R832" t="b">
        <v>0</v>
      </c>
      <c r="S832" t="b">
        <v>0</v>
      </c>
      <c r="T832">
        <v>231</v>
      </c>
      <c r="U832">
        <v>0</v>
      </c>
      <c r="V832" t="s">
        <v>33</v>
      </c>
      <c r="W832" t="s">
        <v>33</v>
      </c>
      <c r="X832">
        <v>50</v>
      </c>
      <c r="Y832">
        <v>359</v>
      </c>
      <c r="Z832" t="s">
        <v>34</v>
      </c>
      <c r="AA832">
        <v>359</v>
      </c>
      <c r="AB832" t="s">
        <v>121</v>
      </c>
      <c r="AC832" t="s">
        <v>121</v>
      </c>
      <c r="AD832" t="str">
        <f t="shared" si="12"/>
        <v>Escobedo → Escobedo</v>
      </c>
      <c r="AE832" t="s">
        <v>1357</v>
      </c>
      <c r="AF832" s="4">
        <v>45870</v>
      </c>
      <c r="AG832" t="str">
        <f>YEAR(Table1[[#This Row],[Fecha]])&amp;" - " &amp;UPPER(TEXT(Table1[[#This Row],[Fecha]],"mm-mmm"))</f>
        <v>2025 - 08-AGO</v>
      </c>
      <c r="AH832" s="5">
        <v>0</v>
      </c>
    </row>
    <row r="833" spans="1:34" x14ac:dyDescent="0.25">
      <c r="A833" t="s">
        <v>1167</v>
      </c>
      <c r="B833">
        <v>2025</v>
      </c>
      <c r="C833">
        <v>8</v>
      </c>
      <c r="D833" s="1">
        <v>45881</v>
      </c>
      <c r="E833" s="1">
        <v>45881</v>
      </c>
      <c r="F833" s="1">
        <v>45881</v>
      </c>
      <c r="G833" s="1">
        <v>45881</v>
      </c>
      <c r="H833" s="2">
        <v>45881.80802222222</v>
      </c>
      <c r="I833">
        <v>2039</v>
      </c>
      <c r="J833" t="s">
        <v>30</v>
      </c>
      <c r="K833" t="s">
        <v>31</v>
      </c>
      <c r="L833">
        <v>50</v>
      </c>
      <c r="M833">
        <v>50</v>
      </c>
      <c r="N833" t="s">
        <v>32</v>
      </c>
      <c r="O833">
        <v>1</v>
      </c>
      <c r="P833">
        <v>150</v>
      </c>
      <c r="Q833" t="b">
        <v>1</v>
      </c>
      <c r="R833" t="b">
        <v>0</v>
      </c>
      <c r="S833" t="b">
        <v>0</v>
      </c>
      <c r="T833">
        <v>231</v>
      </c>
      <c r="U833">
        <v>0</v>
      </c>
      <c r="V833" t="s">
        <v>33</v>
      </c>
      <c r="W833" t="s">
        <v>33</v>
      </c>
      <c r="X833">
        <v>50</v>
      </c>
      <c r="Y833">
        <v>359</v>
      </c>
      <c r="Z833" t="s">
        <v>34</v>
      </c>
      <c r="AA833">
        <v>359</v>
      </c>
      <c r="AB833" t="s">
        <v>121</v>
      </c>
      <c r="AC833" t="s">
        <v>121</v>
      </c>
      <c r="AD833" t="str">
        <f t="shared" si="12"/>
        <v>Escobedo → Escobedo</v>
      </c>
      <c r="AE833" t="s">
        <v>1357</v>
      </c>
      <c r="AF833" s="4">
        <v>45870</v>
      </c>
      <c r="AG833" t="str">
        <f>YEAR(Table1[[#This Row],[Fecha]])&amp;" - " &amp;UPPER(TEXT(Table1[[#This Row],[Fecha]],"mm-mmm"))</f>
        <v>2025 - 08-AGO</v>
      </c>
      <c r="AH833" s="5">
        <v>0</v>
      </c>
    </row>
    <row r="834" spans="1:34" x14ac:dyDescent="0.25">
      <c r="A834" t="s">
        <v>1168</v>
      </c>
      <c r="B834">
        <v>2025</v>
      </c>
      <c r="C834">
        <v>8</v>
      </c>
      <c r="D834" s="1">
        <v>45881</v>
      </c>
      <c r="E834" s="1">
        <v>45881</v>
      </c>
      <c r="F834" s="1">
        <v>45881</v>
      </c>
      <c r="G834" s="1">
        <v>45881</v>
      </c>
      <c r="H834" s="2">
        <v>45881.822135798611</v>
      </c>
      <c r="I834">
        <v>2039</v>
      </c>
      <c r="J834" t="s">
        <v>30</v>
      </c>
      <c r="K834" t="s">
        <v>31</v>
      </c>
      <c r="L834">
        <v>50</v>
      </c>
      <c r="M834">
        <v>50</v>
      </c>
      <c r="N834" t="s">
        <v>32</v>
      </c>
      <c r="O834">
        <v>1</v>
      </c>
      <c r="P834">
        <v>150</v>
      </c>
      <c r="Q834" t="b">
        <v>1</v>
      </c>
      <c r="R834" t="b">
        <v>0</v>
      </c>
      <c r="S834" t="b">
        <v>0</v>
      </c>
      <c r="T834">
        <v>231</v>
      </c>
      <c r="U834">
        <v>0</v>
      </c>
      <c r="V834" t="s">
        <v>33</v>
      </c>
      <c r="W834" t="s">
        <v>33</v>
      </c>
      <c r="X834">
        <v>50</v>
      </c>
      <c r="Y834">
        <v>359</v>
      </c>
      <c r="Z834" t="s">
        <v>34</v>
      </c>
      <c r="AA834">
        <v>359</v>
      </c>
      <c r="AB834" t="s">
        <v>121</v>
      </c>
      <c r="AC834" t="s">
        <v>121</v>
      </c>
      <c r="AD834" t="str">
        <f t="shared" ref="AD834:AD897" si="13">+AB834&amp;" → "&amp;AC834</f>
        <v>Escobedo → Escobedo</v>
      </c>
      <c r="AE834" t="s">
        <v>1357</v>
      </c>
      <c r="AF834" s="4">
        <v>45870</v>
      </c>
      <c r="AG834" t="str">
        <f>YEAR(Table1[[#This Row],[Fecha]])&amp;" - " &amp;UPPER(TEXT(Table1[[#This Row],[Fecha]],"mm-mmm"))</f>
        <v>2025 - 08-AGO</v>
      </c>
      <c r="AH834" s="5">
        <v>0</v>
      </c>
    </row>
    <row r="835" spans="1:34" x14ac:dyDescent="0.25">
      <c r="A835" t="s">
        <v>646</v>
      </c>
      <c r="B835">
        <v>2025</v>
      </c>
      <c r="C835">
        <v>8</v>
      </c>
      <c r="D835" s="1">
        <v>45881</v>
      </c>
      <c r="E835" s="1">
        <v>45881</v>
      </c>
      <c r="F835" s="1">
        <v>45881</v>
      </c>
      <c r="G835" s="1">
        <v>45881</v>
      </c>
      <c r="H835" s="2">
        <v>45881.822618749997</v>
      </c>
      <c r="I835">
        <v>2039</v>
      </c>
      <c r="J835" t="s">
        <v>30</v>
      </c>
      <c r="K835" t="s">
        <v>31</v>
      </c>
      <c r="L835">
        <v>50</v>
      </c>
      <c r="M835">
        <v>50</v>
      </c>
      <c r="N835" t="s">
        <v>32</v>
      </c>
      <c r="O835">
        <v>1</v>
      </c>
      <c r="P835">
        <v>150</v>
      </c>
      <c r="Q835" t="b">
        <v>1</v>
      </c>
      <c r="R835" t="b">
        <v>0</v>
      </c>
      <c r="S835" t="b">
        <v>0</v>
      </c>
      <c r="T835">
        <v>231</v>
      </c>
      <c r="U835">
        <v>0</v>
      </c>
      <c r="V835" t="s">
        <v>33</v>
      </c>
      <c r="W835" t="s">
        <v>33</v>
      </c>
      <c r="X835">
        <v>50</v>
      </c>
      <c r="Y835">
        <v>2936</v>
      </c>
      <c r="Z835" t="s">
        <v>34</v>
      </c>
      <c r="AA835">
        <v>2936</v>
      </c>
      <c r="AB835" t="s">
        <v>121</v>
      </c>
      <c r="AC835" t="s">
        <v>432</v>
      </c>
      <c r="AD835" t="str">
        <f t="shared" si="13"/>
        <v>Escobedo → Hidalgo</v>
      </c>
      <c r="AE835" t="s">
        <v>1357</v>
      </c>
      <c r="AF835" s="4">
        <v>45870</v>
      </c>
      <c r="AG835" t="str">
        <f>YEAR(Table1[[#This Row],[Fecha]])&amp;" - " &amp;UPPER(TEXT(Table1[[#This Row],[Fecha]],"mm-mmm"))</f>
        <v>2025 - 08-AGO</v>
      </c>
      <c r="AH835" s="5">
        <v>0</v>
      </c>
    </row>
    <row r="836" spans="1:34" x14ac:dyDescent="0.25">
      <c r="A836" t="s">
        <v>232</v>
      </c>
      <c r="B836">
        <v>2025</v>
      </c>
      <c r="C836">
        <v>8</v>
      </c>
      <c r="D836" s="1">
        <v>45870</v>
      </c>
      <c r="E836" s="1">
        <v>45870</v>
      </c>
      <c r="F836" s="1">
        <v>45870</v>
      </c>
      <c r="G836" s="1">
        <v>45870</v>
      </c>
      <c r="H836" s="1">
        <v>45870</v>
      </c>
      <c r="I836">
        <v>1902</v>
      </c>
      <c r="J836" t="s">
        <v>30</v>
      </c>
      <c r="K836" t="s">
        <v>31</v>
      </c>
      <c r="L836">
        <v>50</v>
      </c>
      <c r="M836">
        <v>50</v>
      </c>
      <c r="N836" t="s">
        <v>118</v>
      </c>
      <c r="O836">
        <v>1</v>
      </c>
      <c r="P836">
        <v>150</v>
      </c>
      <c r="Q836" t="b">
        <v>1</v>
      </c>
      <c r="R836" t="b">
        <v>1</v>
      </c>
      <c r="S836" t="b">
        <v>0</v>
      </c>
      <c r="T836">
        <v>231</v>
      </c>
      <c r="U836">
        <v>0</v>
      </c>
      <c r="V836" t="s">
        <v>33</v>
      </c>
      <c r="W836" t="s">
        <v>33</v>
      </c>
      <c r="X836">
        <v>50</v>
      </c>
      <c r="Y836">
        <v>194</v>
      </c>
      <c r="Z836" t="s">
        <v>156</v>
      </c>
      <c r="AA836">
        <v>194</v>
      </c>
      <c r="AB836" t="s">
        <v>121</v>
      </c>
      <c r="AC836" t="s">
        <v>121</v>
      </c>
      <c r="AD836" t="str">
        <f t="shared" si="13"/>
        <v>Escobedo → Escobedo</v>
      </c>
      <c r="AE836" t="s">
        <v>1357</v>
      </c>
      <c r="AF836" s="4">
        <v>45870</v>
      </c>
      <c r="AG836" t="str">
        <f>YEAR(Table1[[#This Row],[Fecha]])&amp;" - " &amp;UPPER(TEXT(Table1[[#This Row],[Fecha]],"mm-mmm"))</f>
        <v>2025 - 08-AGO</v>
      </c>
      <c r="AH836" s="5">
        <v>0</v>
      </c>
    </row>
    <row r="837" spans="1:34" x14ac:dyDescent="0.25">
      <c r="A837" t="s">
        <v>655</v>
      </c>
      <c r="B837">
        <v>2025</v>
      </c>
      <c r="C837">
        <v>8</v>
      </c>
      <c r="D837" s="1">
        <v>45882</v>
      </c>
      <c r="E837" s="1">
        <v>45882</v>
      </c>
      <c r="F837" s="1">
        <v>45882</v>
      </c>
      <c r="G837" s="1">
        <v>45882</v>
      </c>
      <c r="H837" s="2">
        <v>45882.752414085648</v>
      </c>
      <c r="I837">
        <v>1902</v>
      </c>
      <c r="J837" t="s">
        <v>30</v>
      </c>
      <c r="K837" t="s">
        <v>31</v>
      </c>
      <c r="L837">
        <v>50</v>
      </c>
      <c r="M837">
        <v>50</v>
      </c>
      <c r="N837" t="s">
        <v>118</v>
      </c>
      <c r="O837">
        <v>1</v>
      </c>
      <c r="P837">
        <v>150</v>
      </c>
      <c r="Q837" t="b">
        <v>1</v>
      </c>
      <c r="R837" t="b">
        <v>0</v>
      </c>
      <c r="S837" t="b">
        <v>0</v>
      </c>
      <c r="T837">
        <v>231</v>
      </c>
      <c r="U837">
        <v>0</v>
      </c>
      <c r="V837" t="s">
        <v>33</v>
      </c>
      <c r="W837" t="s">
        <v>33</v>
      </c>
      <c r="X837">
        <v>50</v>
      </c>
      <c r="Y837">
        <v>2936</v>
      </c>
      <c r="Z837" t="s">
        <v>34</v>
      </c>
      <c r="AA837">
        <v>2936</v>
      </c>
      <c r="AB837" t="s">
        <v>121</v>
      </c>
      <c r="AC837" t="s">
        <v>432</v>
      </c>
      <c r="AD837" t="str">
        <f t="shared" si="13"/>
        <v>Escobedo → Hidalgo</v>
      </c>
      <c r="AE837" t="s">
        <v>1357</v>
      </c>
      <c r="AF837" s="4">
        <v>45870</v>
      </c>
      <c r="AG837" t="str">
        <f>YEAR(Table1[[#This Row],[Fecha]])&amp;" - " &amp;UPPER(TEXT(Table1[[#This Row],[Fecha]],"mm-mmm"))</f>
        <v>2025 - 08-AGO</v>
      </c>
      <c r="AH837" s="5">
        <v>0</v>
      </c>
    </row>
    <row r="838" spans="1:34" x14ac:dyDescent="0.25">
      <c r="A838" t="s">
        <v>1177</v>
      </c>
      <c r="B838">
        <v>2025</v>
      </c>
      <c r="C838">
        <v>8</v>
      </c>
      <c r="D838" s="1">
        <v>45882</v>
      </c>
      <c r="E838" s="1">
        <v>45882</v>
      </c>
      <c r="F838" s="1">
        <v>45882</v>
      </c>
      <c r="G838" s="1">
        <v>45882</v>
      </c>
      <c r="H838" s="2">
        <v>45883.873235995372</v>
      </c>
      <c r="I838">
        <v>2244</v>
      </c>
      <c r="J838" t="s">
        <v>30</v>
      </c>
      <c r="K838" t="s">
        <v>31</v>
      </c>
      <c r="L838">
        <v>50</v>
      </c>
      <c r="M838">
        <v>50</v>
      </c>
      <c r="N838" t="s">
        <v>43</v>
      </c>
      <c r="O838">
        <v>1</v>
      </c>
      <c r="P838">
        <v>150</v>
      </c>
      <c r="Q838" t="b">
        <v>1</v>
      </c>
      <c r="R838" t="b">
        <v>0</v>
      </c>
      <c r="S838" t="b">
        <v>0</v>
      </c>
      <c r="T838">
        <v>231</v>
      </c>
      <c r="U838">
        <v>0</v>
      </c>
      <c r="V838" t="s">
        <v>33</v>
      </c>
      <c r="W838" t="s">
        <v>33</v>
      </c>
      <c r="X838">
        <v>50</v>
      </c>
      <c r="Y838">
        <v>359</v>
      </c>
      <c r="Z838" t="s">
        <v>34</v>
      </c>
      <c r="AA838">
        <v>359</v>
      </c>
      <c r="AB838" t="s">
        <v>121</v>
      </c>
      <c r="AC838" t="s">
        <v>121</v>
      </c>
      <c r="AD838" t="str">
        <f t="shared" si="13"/>
        <v>Escobedo → Escobedo</v>
      </c>
      <c r="AE838" t="s">
        <v>1357</v>
      </c>
      <c r="AF838" s="4">
        <v>45870</v>
      </c>
      <c r="AG838" t="str">
        <f>YEAR(Table1[[#This Row],[Fecha]])&amp;" - " &amp;UPPER(TEXT(Table1[[#This Row],[Fecha]],"mm-mmm"))</f>
        <v>2025 - 08-AGO</v>
      </c>
      <c r="AH838" s="5">
        <v>0</v>
      </c>
    </row>
    <row r="839" spans="1:34" x14ac:dyDescent="0.25">
      <c r="A839" t="s">
        <v>1178</v>
      </c>
      <c r="B839">
        <v>2025</v>
      </c>
      <c r="C839">
        <v>8</v>
      </c>
      <c r="D839" s="1">
        <v>45869</v>
      </c>
      <c r="E839" s="1">
        <v>45870</v>
      </c>
      <c r="F839" s="1">
        <v>45869</v>
      </c>
      <c r="G839" s="1">
        <v>45869</v>
      </c>
      <c r="H839" s="1">
        <v>45870</v>
      </c>
      <c r="I839">
        <v>1902</v>
      </c>
      <c r="J839" t="s">
        <v>30</v>
      </c>
      <c r="K839" t="s">
        <v>31</v>
      </c>
      <c r="L839">
        <v>50</v>
      </c>
      <c r="M839">
        <v>50</v>
      </c>
      <c r="N839" t="s">
        <v>118</v>
      </c>
      <c r="O839">
        <v>1</v>
      </c>
      <c r="P839">
        <v>150</v>
      </c>
      <c r="Q839" t="b">
        <v>1</v>
      </c>
      <c r="R839" t="b">
        <v>0</v>
      </c>
      <c r="S839" t="b">
        <v>0</v>
      </c>
      <c r="T839">
        <v>231</v>
      </c>
      <c r="U839">
        <v>0</v>
      </c>
      <c r="V839" t="s">
        <v>33</v>
      </c>
      <c r="W839" t="s">
        <v>33</v>
      </c>
      <c r="X839">
        <v>50</v>
      </c>
      <c r="Y839">
        <v>359</v>
      </c>
      <c r="Z839" t="s">
        <v>74</v>
      </c>
      <c r="AA839">
        <v>359</v>
      </c>
      <c r="AB839" t="s">
        <v>121</v>
      </c>
      <c r="AC839" t="s">
        <v>121</v>
      </c>
      <c r="AD839" t="str">
        <f t="shared" si="13"/>
        <v>Escobedo → Escobedo</v>
      </c>
      <c r="AE839" t="s">
        <v>1357</v>
      </c>
      <c r="AF839" s="4">
        <v>45870</v>
      </c>
      <c r="AG839" t="str">
        <f>YEAR(Table1[[#This Row],[Fecha]])&amp;" - " &amp;UPPER(TEXT(Table1[[#This Row],[Fecha]],"mm-mmm"))</f>
        <v>2025 - 08-AGO</v>
      </c>
      <c r="AH839" s="5">
        <v>0</v>
      </c>
    </row>
    <row r="840" spans="1:34" x14ac:dyDescent="0.25">
      <c r="A840" t="s">
        <v>173</v>
      </c>
      <c r="B840">
        <v>2025</v>
      </c>
      <c r="C840">
        <v>8</v>
      </c>
      <c r="D840" s="1">
        <v>45869</v>
      </c>
      <c r="E840" s="1">
        <v>45870</v>
      </c>
      <c r="F840" s="1">
        <v>45869</v>
      </c>
      <c r="G840" s="1">
        <v>45869</v>
      </c>
      <c r="H840" s="1">
        <v>45870</v>
      </c>
      <c r="I840">
        <v>1902</v>
      </c>
      <c r="J840" t="s">
        <v>30</v>
      </c>
      <c r="K840" t="s">
        <v>31</v>
      </c>
      <c r="L840">
        <v>50</v>
      </c>
      <c r="M840">
        <v>50</v>
      </c>
      <c r="N840" t="s">
        <v>118</v>
      </c>
      <c r="O840">
        <v>1</v>
      </c>
      <c r="P840">
        <v>150</v>
      </c>
      <c r="Q840" t="b">
        <v>1</v>
      </c>
      <c r="R840" t="b">
        <v>0</v>
      </c>
      <c r="S840" t="b">
        <v>0</v>
      </c>
      <c r="T840">
        <v>231</v>
      </c>
      <c r="U840">
        <v>0</v>
      </c>
      <c r="V840" t="s">
        <v>33</v>
      </c>
      <c r="W840" t="s">
        <v>33</v>
      </c>
      <c r="X840">
        <v>50</v>
      </c>
      <c r="Y840">
        <v>308</v>
      </c>
      <c r="Z840" t="s">
        <v>74</v>
      </c>
      <c r="AA840">
        <v>308</v>
      </c>
      <c r="AB840" t="s">
        <v>121</v>
      </c>
      <c r="AC840" t="s">
        <v>174</v>
      </c>
      <c r="AD840" t="str">
        <f t="shared" si="13"/>
        <v>Escobedo → Guadalupe</v>
      </c>
      <c r="AE840" t="s">
        <v>1357</v>
      </c>
      <c r="AF840" s="4">
        <v>45870</v>
      </c>
      <c r="AG840" t="str">
        <f>YEAR(Table1[[#This Row],[Fecha]])&amp;" - " &amp;UPPER(TEXT(Table1[[#This Row],[Fecha]],"mm-mmm"))</f>
        <v>2025 - 08-AGO</v>
      </c>
      <c r="AH840" s="5">
        <v>0</v>
      </c>
    </row>
    <row r="841" spans="1:34" x14ac:dyDescent="0.25">
      <c r="A841" t="s">
        <v>1155</v>
      </c>
      <c r="B841">
        <v>2025</v>
      </c>
      <c r="C841">
        <v>8</v>
      </c>
      <c r="D841" s="1">
        <v>45883</v>
      </c>
      <c r="E841" s="1">
        <v>45883</v>
      </c>
      <c r="F841" s="1">
        <v>45883</v>
      </c>
      <c r="G841" s="1">
        <v>45883</v>
      </c>
      <c r="H841" s="1">
        <v>45884</v>
      </c>
      <c r="I841">
        <v>2244</v>
      </c>
      <c r="J841" t="s">
        <v>30</v>
      </c>
      <c r="K841" t="s">
        <v>31</v>
      </c>
      <c r="L841">
        <v>50</v>
      </c>
      <c r="M841">
        <v>50</v>
      </c>
      <c r="N841" t="s">
        <v>43</v>
      </c>
      <c r="O841">
        <v>1</v>
      </c>
      <c r="P841">
        <v>150</v>
      </c>
      <c r="Q841" t="b">
        <v>1</v>
      </c>
      <c r="R841" t="b">
        <v>0</v>
      </c>
      <c r="S841" t="b">
        <v>0</v>
      </c>
      <c r="T841">
        <v>231</v>
      </c>
      <c r="U841">
        <v>0</v>
      </c>
      <c r="V841" t="s">
        <v>33</v>
      </c>
      <c r="W841" t="s">
        <v>33</v>
      </c>
      <c r="X841">
        <v>50</v>
      </c>
      <c r="Y841">
        <v>359</v>
      </c>
      <c r="Z841" t="s">
        <v>34</v>
      </c>
      <c r="AA841">
        <v>359</v>
      </c>
      <c r="AB841" t="s">
        <v>121</v>
      </c>
      <c r="AC841" t="s">
        <v>121</v>
      </c>
      <c r="AD841" t="str">
        <f t="shared" si="13"/>
        <v>Escobedo → Escobedo</v>
      </c>
      <c r="AE841" t="s">
        <v>1357</v>
      </c>
      <c r="AF841" s="4">
        <v>45870</v>
      </c>
      <c r="AG841" t="str">
        <f>YEAR(Table1[[#This Row],[Fecha]])&amp;" - " &amp;UPPER(TEXT(Table1[[#This Row],[Fecha]],"mm-mmm"))</f>
        <v>2025 - 08-AGO</v>
      </c>
      <c r="AH841" s="5">
        <v>0</v>
      </c>
    </row>
    <row r="842" spans="1:34" x14ac:dyDescent="0.25">
      <c r="A842" t="s">
        <v>1156</v>
      </c>
      <c r="B842">
        <v>2025</v>
      </c>
      <c r="C842">
        <v>8</v>
      </c>
      <c r="D842" s="1">
        <v>45883</v>
      </c>
      <c r="E842" s="1">
        <v>45883</v>
      </c>
      <c r="F842" s="1">
        <v>45883</v>
      </c>
      <c r="G842" s="1">
        <v>45883</v>
      </c>
      <c r="H842" s="1">
        <v>45883</v>
      </c>
      <c r="I842">
        <v>2244</v>
      </c>
      <c r="J842" t="s">
        <v>30</v>
      </c>
      <c r="K842" t="s">
        <v>31</v>
      </c>
      <c r="L842">
        <v>50</v>
      </c>
      <c r="M842">
        <v>50</v>
      </c>
      <c r="N842" t="s">
        <v>43</v>
      </c>
      <c r="O842">
        <v>1</v>
      </c>
      <c r="P842">
        <v>150</v>
      </c>
      <c r="Q842" t="b">
        <v>1</v>
      </c>
      <c r="R842" t="b">
        <v>0</v>
      </c>
      <c r="S842" t="b">
        <v>0</v>
      </c>
      <c r="T842">
        <v>231</v>
      </c>
      <c r="U842">
        <v>0</v>
      </c>
      <c r="V842" t="s">
        <v>33</v>
      </c>
      <c r="W842" t="s">
        <v>33</v>
      </c>
      <c r="X842">
        <v>50</v>
      </c>
      <c r="Y842">
        <v>359</v>
      </c>
      <c r="Z842" t="s">
        <v>34</v>
      </c>
      <c r="AA842">
        <v>359</v>
      </c>
      <c r="AB842" t="s">
        <v>121</v>
      </c>
      <c r="AC842" t="s">
        <v>121</v>
      </c>
      <c r="AD842" t="str">
        <f t="shared" si="13"/>
        <v>Escobedo → Escobedo</v>
      </c>
      <c r="AE842" t="s">
        <v>1357</v>
      </c>
      <c r="AF842" s="4">
        <v>45870</v>
      </c>
      <c r="AG842" t="str">
        <f>YEAR(Table1[[#This Row],[Fecha]])&amp;" - " &amp;UPPER(TEXT(Table1[[#This Row],[Fecha]],"mm-mmm"))</f>
        <v>2025 - 08-AGO</v>
      </c>
      <c r="AH842" s="5">
        <v>0</v>
      </c>
    </row>
    <row r="843" spans="1:34" x14ac:dyDescent="0.25">
      <c r="A843" t="s">
        <v>1157</v>
      </c>
      <c r="B843">
        <v>2025</v>
      </c>
      <c r="C843">
        <v>8</v>
      </c>
      <c r="D843" s="1">
        <v>45869</v>
      </c>
      <c r="E843" s="1">
        <v>45870</v>
      </c>
      <c r="F843" s="1">
        <v>45869</v>
      </c>
      <c r="G843" s="1">
        <v>45869</v>
      </c>
      <c r="H843" s="1">
        <v>45870</v>
      </c>
      <c r="I843">
        <v>1902</v>
      </c>
      <c r="J843" t="s">
        <v>30</v>
      </c>
      <c r="K843" t="s">
        <v>31</v>
      </c>
      <c r="L843">
        <v>50</v>
      </c>
      <c r="M843">
        <v>50</v>
      </c>
      <c r="N843" t="s">
        <v>118</v>
      </c>
      <c r="O843">
        <v>1</v>
      </c>
      <c r="P843">
        <v>150</v>
      </c>
      <c r="Q843" t="b">
        <v>1</v>
      </c>
      <c r="R843" t="b">
        <v>0</v>
      </c>
      <c r="S843" t="b">
        <v>0</v>
      </c>
      <c r="T843">
        <v>231</v>
      </c>
      <c r="U843">
        <v>0</v>
      </c>
      <c r="V843" t="s">
        <v>33</v>
      </c>
      <c r="W843" t="s">
        <v>33</v>
      </c>
      <c r="X843">
        <v>50</v>
      </c>
      <c r="Y843">
        <v>359</v>
      </c>
      <c r="Z843" t="s">
        <v>74</v>
      </c>
      <c r="AA843">
        <v>359</v>
      </c>
      <c r="AB843" t="s">
        <v>121</v>
      </c>
      <c r="AC843" t="s">
        <v>121</v>
      </c>
      <c r="AD843" t="str">
        <f t="shared" si="13"/>
        <v>Escobedo → Escobedo</v>
      </c>
      <c r="AE843" t="s">
        <v>1357</v>
      </c>
      <c r="AF843" s="4">
        <v>45870</v>
      </c>
      <c r="AG843" t="str">
        <f>YEAR(Table1[[#This Row],[Fecha]])&amp;" - " &amp;UPPER(TEXT(Table1[[#This Row],[Fecha]],"mm-mmm"))</f>
        <v>2025 - 08-AGO</v>
      </c>
      <c r="AH843" s="5">
        <v>0</v>
      </c>
    </row>
    <row r="844" spans="1:34" x14ac:dyDescent="0.25">
      <c r="A844" t="s">
        <v>122</v>
      </c>
      <c r="B844">
        <v>2025</v>
      </c>
      <c r="C844">
        <v>8</v>
      </c>
      <c r="D844" s="1">
        <v>45870</v>
      </c>
      <c r="E844" s="1">
        <v>45870</v>
      </c>
      <c r="F844" s="1">
        <v>45872</v>
      </c>
      <c r="G844" s="1">
        <v>45870</v>
      </c>
      <c r="H844" s="1">
        <v>45871</v>
      </c>
      <c r="I844">
        <v>1902</v>
      </c>
      <c r="J844" t="s">
        <v>30</v>
      </c>
      <c r="K844" t="s">
        <v>31</v>
      </c>
      <c r="L844">
        <v>878</v>
      </c>
      <c r="M844">
        <v>878</v>
      </c>
      <c r="N844" t="s">
        <v>118</v>
      </c>
      <c r="O844">
        <v>1</v>
      </c>
      <c r="P844">
        <v>878</v>
      </c>
      <c r="Q844" t="b">
        <v>1</v>
      </c>
      <c r="R844" t="b">
        <v>0</v>
      </c>
      <c r="S844" t="b">
        <v>0</v>
      </c>
      <c r="T844">
        <v>1213</v>
      </c>
      <c r="U844">
        <v>0</v>
      </c>
      <c r="V844" t="s">
        <v>33</v>
      </c>
      <c r="W844" t="s">
        <v>33</v>
      </c>
      <c r="X844">
        <v>900</v>
      </c>
      <c r="Y844">
        <v>372</v>
      </c>
      <c r="Z844" t="s">
        <v>123</v>
      </c>
      <c r="AA844">
        <v>372</v>
      </c>
      <c r="AB844" t="s">
        <v>57</v>
      </c>
      <c r="AC844" t="s">
        <v>121</v>
      </c>
      <c r="AD844" t="str">
        <f t="shared" si="13"/>
        <v>Cuautitlan → Escobedo</v>
      </c>
      <c r="AE844" t="s">
        <v>1357</v>
      </c>
      <c r="AF844" s="4">
        <v>45870</v>
      </c>
      <c r="AG844" t="str">
        <f>YEAR(Table1[[#This Row],[Fecha]])&amp;" - " &amp;UPPER(TEXT(Table1[[#This Row],[Fecha]],"mm-mmm"))</f>
        <v>2025 - 08-AGO</v>
      </c>
      <c r="AH844" s="5">
        <v>0</v>
      </c>
    </row>
    <row r="845" spans="1:34" x14ac:dyDescent="0.25">
      <c r="A845" t="s">
        <v>1179</v>
      </c>
      <c r="B845">
        <v>2025</v>
      </c>
      <c r="C845">
        <v>8</v>
      </c>
      <c r="D845" s="1">
        <v>45870</v>
      </c>
      <c r="E845" s="1">
        <v>45870</v>
      </c>
      <c r="F845" s="1">
        <v>45870</v>
      </c>
      <c r="G845" s="1">
        <v>45870</v>
      </c>
      <c r="H845" s="1">
        <v>45871</v>
      </c>
      <c r="I845">
        <v>1902</v>
      </c>
      <c r="J845" t="s">
        <v>30</v>
      </c>
      <c r="K845" t="s">
        <v>31</v>
      </c>
      <c r="L845">
        <v>50</v>
      </c>
      <c r="M845">
        <v>50</v>
      </c>
      <c r="N845" t="s">
        <v>118</v>
      </c>
      <c r="O845">
        <v>1</v>
      </c>
      <c r="P845">
        <v>150</v>
      </c>
      <c r="Q845" t="b">
        <v>1</v>
      </c>
      <c r="R845" t="b">
        <v>0</v>
      </c>
      <c r="S845" t="b">
        <v>0</v>
      </c>
      <c r="T845">
        <v>231</v>
      </c>
      <c r="U845">
        <v>0</v>
      </c>
      <c r="V845" t="s">
        <v>33</v>
      </c>
      <c r="W845" t="s">
        <v>33</v>
      </c>
      <c r="X845">
        <v>50</v>
      </c>
      <c r="Y845">
        <v>359</v>
      </c>
      <c r="Z845" t="s">
        <v>34</v>
      </c>
      <c r="AA845">
        <v>359</v>
      </c>
      <c r="AB845" t="s">
        <v>121</v>
      </c>
      <c r="AC845" t="s">
        <v>121</v>
      </c>
      <c r="AD845" t="str">
        <f t="shared" si="13"/>
        <v>Escobedo → Escobedo</v>
      </c>
      <c r="AE845" t="s">
        <v>1357</v>
      </c>
      <c r="AF845" s="4">
        <v>45870</v>
      </c>
      <c r="AG845" t="str">
        <f>YEAR(Table1[[#This Row],[Fecha]])&amp;" - " &amp;UPPER(TEXT(Table1[[#This Row],[Fecha]],"mm-mmm"))</f>
        <v>2025 - 08-AGO</v>
      </c>
      <c r="AH845" s="5">
        <v>0</v>
      </c>
    </row>
    <row r="846" spans="1:34" x14ac:dyDescent="0.25">
      <c r="A846" t="s">
        <v>682</v>
      </c>
      <c r="B846">
        <v>2025</v>
      </c>
      <c r="C846">
        <v>8</v>
      </c>
      <c r="D846" s="1">
        <v>45884</v>
      </c>
      <c r="E846" s="1">
        <v>45884</v>
      </c>
      <c r="F846" s="1">
        <v>45884</v>
      </c>
      <c r="G846" s="1">
        <v>45884</v>
      </c>
      <c r="H846" s="2">
        <v>45884.640169212966</v>
      </c>
      <c r="I846">
        <v>2039</v>
      </c>
      <c r="J846" t="s">
        <v>30</v>
      </c>
      <c r="K846" t="s">
        <v>31</v>
      </c>
      <c r="L846">
        <v>243</v>
      </c>
      <c r="M846">
        <v>243</v>
      </c>
      <c r="N846" t="s">
        <v>32</v>
      </c>
      <c r="O846">
        <v>1</v>
      </c>
      <c r="P846">
        <v>269</v>
      </c>
      <c r="Q846" t="b">
        <v>1</v>
      </c>
      <c r="R846" t="b">
        <v>0</v>
      </c>
      <c r="S846" t="b">
        <v>0</v>
      </c>
      <c r="T846">
        <v>624</v>
      </c>
      <c r="U846">
        <v>15.7</v>
      </c>
      <c r="V846" t="s">
        <v>33</v>
      </c>
      <c r="W846" t="s">
        <v>33</v>
      </c>
      <c r="X846">
        <v>300</v>
      </c>
      <c r="Y846">
        <v>3875</v>
      </c>
      <c r="Z846" t="s">
        <v>74</v>
      </c>
      <c r="AA846">
        <v>3875</v>
      </c>
      <c r="AB846" t="s">
        <v>121</v>
      </c>
      <c r="AC846" t="s">
        <v>681</v>
      </c>
      <c r="AD846" t="str">
        <f t="shared" si="13"/>
        <v>Escobedo → Anáhuac</v>
      </c>
      <c r="AE846" t="s">
        <v>1357</v>
      </c>
      <c r="AF846" s="4">
        <v>45870</v>
      </c>
      <c r="AG846" t="str">
        <f>YEAR(Table1[[#This Row],[Fecha]])&amp;" - " &amp;UPPER(TEXT(Table1[[#This Row],[Fecha]],"mm-mmm"))</f>
        <v>2025 - 08-AGO</v>
      </c>
      <c r="AH846" s="5">
        <v>0</v>
      </c>
    </row>
    <row r="847" spans="1:34" x14ac:dyDescent="0.25">
      <c r="A847" t="s">
        <v>1158</v>
      </c>
      <c r="B847">
        <v>2025</v>
      </c>
      <c r="C847">
        <v>8</v>
      </c>
      <c r="D847" s="1">
        <v>45884</v>
      </c>
      <c r="E847" s="1">
        <v>45884</v>
      </c>
      <c r="F847" s="1">
        <v>45884</v>
      </c>
      <c r="G847" s="1">
        <v>45884</v>
      </c>
      <c r="H847" s="2">
        <v>45884.856083333332</v>
      </c>
      <c r="I847">
        <v>2039</v>
      </c>
      <c r="J847" t="s">
        <v>30</v>
      </c>
      <c r="K847" t="s">
        <v>31</v>
      </c>
      <c r="L847">
        <v>50</v>
      </c>
      <c r="M847">
        <v>50</v>
      </c>
      <c r="N847" t="s">
        <v>32</v>
      </c>
      <c r="O847">
        <v>1</v>
      </c>
      <c r="P847">
        <v>150</v>
      </c>
      <c r="Q847" t="b">
        <v>1</v>
      </c>
      <c r="R847" t="b">
        <v>0</v>
      </c>
      <c r="S847" t="b">
        <v>0</v>
      </c>
      <c r="T847">
        <v>231</v>
      </c>
      <c r="U847">
        <v>0</v>
      </c>
      <c r="V847" t="s">
        <v>33</v>
      </c>
      <c r="W847" t="s">
        <v>33</v>
      </c>
      <c r="X847">
        <v>50</v>
      </c>
      <c r="Y847">
        <v>359</v>
      </c>
      <c r="Z847" t="s">
        <v>34</v>
      </c>
      <c r="AA847">
        <v>359</v>
      </c>
      <c r="AB847" t="s">
        <v>121</v>
      </c>
      <c r="AC847" t="s">
        <v>121</v>
      </c>
      <c r="AD847" t="str">
        <f t="shared" si="13"/>
        <v>Escobedo → Escobedo</v>
      </c>
      <c r="AE847" t="s">
        <v>1357</v>
      </c>
      <c r="AF847" s="4">
        <v>45870</v>
      </c>
      <c r="AG847" t="str">
        <f>YEAR(Table1[[#This Row],[Fecha]])&amp;" - " &amp;UPPER(TEXT(Table1[[#This Row],[Fecha]],"mm-mmm"))</f>
        <v>2025 - 08-AGO</v>
      </c>
      <c r="AH847" s="5">
        <v>0</v>
      </c>
    </row>
    <row r="848" spans="1:34" x14ac:dyDescent="0.25">
      <c r="A848" t="s">
        <v>647</v>
      </c>
      <c r="B848">
        <v>2025</v>
      </c>
      <c r="C848">
        <v>8</v>
      </c>
      <c r="D848" s="1">
        <v>45885</v>
      </c>
      <c r="E848" s="1">
        <v>45885</v>
      </c>
      <c r="F848" s="1">
        <v>45885</v>
      </c>
      <c r="G848" s="1">
        <v>45885</v>
      </c>
      <c r="H848" s="2">
        <v>45885.815806562503</v>
      </c>
      <c r="I848">
        <v>2039</v>
      </c>
      <c r="J848" t="s">
        <v>30</v>
      </c>
      <c r="K848" t="s">
        <v>31</v>
      </c>
      <c r="L848">
        <v>50</v>
      </c>
      <c r="M848">
        <v>50</v>
      </c>
      <c r="N848" t="s">
        <v>32</v>
      </c>
      <c r="O848">
        <v>1</v>
      </c>
      <c r="P848">
        <v>150</v>
      </c>
      <c r="Q848" t="b">
        <v>1</v>
      </c>
      <c r="R848" t="b">
        <v>0</v>
      </c>
      <c r="S848" t="b">
        <v>0</v>
      </c>
      <c r="T848">
        <v>231</v>
      </c>
      <c r="U848">
        <v>0</v>
      </c>
      <c r="V848" t="s">
        <v>33</v>
      </c>
      <c r="W848" t="s">
        <v>33</v>
      </c>
      <c r="X848">
        <v>50</v>
      </c>
      <c r="Y848">
        <v>2936</v>
      </c>
      <c r="Z848" t="s">
        <v>34</v>
      </c>
      <c r="AA848">
        <v>2936</v>
      </c>
      <c r="AB848" t="s">
        <v>121</v>
      </c>
      <c r="AC848" t="s">
        <v>432</v>
      </c>
      <c r="AD848" t="str">
        <f t="shared" si="13"/>
        <v>Escobedo → Hidalgo</v>
      </c>
      <c r="AE848" t="s">
        <v>1357</v>
      </c>
      <c r="AF848" s="4">
        <v>45870</v>
      </c>
      <c r="AG848" t="str">
        <f>YEAR(Table1[[#This Row],[Fecha]])&amp;" - " &amp;UPPER(TEXT(Table1[[#This Row],[Fecha]],"mm-mmm"))</f>
        <v>2025 - 08-AGO</v>
      </c>
      <c r="AH848" s="5">
        <v>0</v>
      </c>
    </row>
    <row r="849" spans="1:34" x14ac:dyDescent="0.25">
      <c r="A849" t="s">
        <v>648</v>
      </c>
      <c r="B849">
        <v>2025</v>
      </c>
      <c r="C849">
        <v>8</v>
      </c>
      <c r="D849" s="1">
        <v>45885</v>
      </c>
      <c r="E849" s="1">
        <v>45885</v>
      </c>
      <c r="F849" s="1">
        <v>45885</v>
      </c>
      <c r="G849" s="1">
        <v>45885</v>
      </c>
      <c r="H849" s="2">
        <v>45885.816146493053</v>
      </c>
      <c r="I849">
        <v>2039</v>
      </c>
      <c r="J849" t="s">
        <v>30</v>
      </c>
      <c r="K849" t="s">
        <v>31</v>
      </c>
      <c r="L849">
        <v>50</v>
      </c>
      <c r="M849">
        <v>50</v>
      </c>
      <c r="N849" t="s">
        <v>32</v>
      </c>
      <c r="O849">
        <v>1</v>
      </c>
      <c r="P849">
        <v>150</v>
      </c>
      <c r="Q849" t="b">
        <v>1</v>
      </c>
      <c r="R849" t="b">
        <v>0</v>
      </c>
      <c r="S849" t="b">
        <v>0</v>
      </c>
      <c r="T849">
        <v>231</v>
      </c>
      <c r="U849">
        <v>0</v>
      </c>
      <c r="V849" t="s">
        <v>33</v>
      </c>
      <c r="W849" t="s">
        <v>33</v>
      </c>
      <c r="X849">
        <v>50</v>
      </c>
      <c r="Y849">
        <v>2936</v>
      </c>
      <c r="Z849" t="s">
        <v>34</v>
      </c>
      <c r="AA849">
        <v>2936</v>
      </c>
      <c r="AB849" t="s">
        <v>121</v>
      </c>
      <c r="AC849" t="s">
        <v>432</v>
      </c>
      <c r="AD849" t="str">
        <f t="shared" si="13"/>
        <v>Escobedo → Hidalgo</v>
      </c>
      <c r="AE849" t="s">
        <v>1357</v>
      </c>
      <c r="AF849" s="4">
        <v>45870</v>
      </c>
      <c r="AG849" t="str">
        <f>YEAR(Table1[[#This Row],[Fecha]])&amp;" - " &amp;UPPER(TEXT(Table1[[#This Row],[Fecha]],"mm-mmm"))</f>
        <v>2025 - 08-AGO</v>
      </c>
      <c r="AH849" s="5">
        <v>0</v>
      </c>
    </row>
    <row r="850" spans="1:34" x14ac:dyDescent="0.25">
      <c r="A850" t="s">
        <v>649</v>
      </c>
      <c r="B850">
        <v>2025</v>
      </c>
      <c r="C850">
        <v>8</v>
      </c>
      <c r="D850" s="1">
        <v>45885</v>
      </c>
      <c r="E850" s="1">
        <v>45885</v>
      </c>
      <c r="F850" s="1">
        <v>45885</v>
      </c>
      <c r="G850" s="1">
        <v>45885</v>
      </c>
      <c r="H850" s="2">
        <v>45885.81643741898</v>
      </c>
      <c r="I850">
        <v>2039</v>
      </c>
      <c r="J850" t="s">
        <v>30</v>
      </c>
      <c r="K850" t="s">
        <v>31</v>
      </c>
      <c r="L850">
        <v>50</v>
      </c>
      <c r="M850">
        <v>50</v>
      </c>
      <c r="N850" t="s">
        <v>32</v>
      </c>
      <c r="O850">
        <v>1</v>
      </c>
      <c r="P850">
        <v>150</v>
      </c>
      <c r="Q850" t="b">
        <v>1</v>
      </c>
      <c r="R850" t="b">
        <v>0</v>
      </c>
      <c r="S850" t="b">
        <v>0</v>
      </c>
      <c r="T850">
        <v>231</v>
      </c>
      <c r="U850">
        <v>0</v>
      </c>
      <c r="V850" t="s">
        <v>33</v>
      </c>
      <c r="W850" t="s">
        <v>33</v>
      </c>
      <c r="X850">
        <v>50</v>
      </c>
      <c r="Y850">
        <v>2936</v>
      </c>
      <c r="Z850" t="s">
        <v>34</v>
      </c>
      <c r="AA850">
        <v>2936</v>
      </c>
      <c r="AB850" t="s">
        <v>121</v>
      </c>
      <c r="AC850" t="s">
        <v>432</v>
      </c>
      <c r="AD850" t="str">
        <f t="shared" si="13"/>
        <v>Escobedo → Hidalgo</v>
      </c>
      <c r="AE850" t="s">
        <v>1357</v>
      </c>
      <c r="AF850" s="4">
        <v>45870</v>
      </c>
      <c r="AG850" t="str">
        <f>YEAR(Table1[[#This Row],[Fecha]])&amp;" - " &amp;UPPER(TEXT(Table1[[#This Row],[Fecha]],"mm-mmm"))</f>
        <v>2025 - 08-AGO</v>
      </c>
      <c r="AH850" s="5">
        <v>0</v>
      </c>
    </row>
    <row r="851" spans="1:34" x14ac:dyDescent="0.25">
      <c r="A851" t="s">
        <v>650</v>
      </c>
      <c r="B851">
        <v>2025</v>
      </c>
      <c r="C851">
        <v>8</v>
      </c>
      <c r="D851" s="1">
        <v>45885</v>
      </c>
      <c r="E851" s="1">
        <v>45885</v>
      </c>
      <c r="F851" s="1">
        <v>45885</v>
      </c>
      <c r="G851" s="1">
        <v>45885</v>
      </c>
      <c r="H851" s="2">
        <v>45885.816821678243</v>
      </c>
      <c r="I851">
        <v>2039</v>
      </c>
      <c r="J851" t="s">
        <v>30</v>
      </c>
      <c r="K851" t="s">
        <v>31</v>
      </c>
      <c r="L851">
        <v>50</v>
      </c>
      <c r="M851">
        <v>50</v>
      </c>
      <c r="N851" t="s">
        <v>32</v>
      </c>
      <c r="O851">
        <v>1</v>
      </c>
      <c r="P851">
        <v>150</v>
      </c>
      <c r="Q851" t="b">
        <v>1</v>
      </c>
      <c r="R851" t="b">
        <v>0</v>
      </c>
      <c r="S851" t="b">
        <v>0</v>
      </c>
      <c r="T851">
        <v>231</v>
      </c>
      <c r="U851">
        <v>0</v>
      </c>
      <c r="V851" t="s">
        <v>33</v>
      </c>
      <c r="W851" t="s">
        <v>33</v>
      </c>
      <c r="X851">
        <v>50</v>
      </c>
      <c r="Y851">
        <v>2936</v>
      </c>
      <c r="Z851" t="s">
        <v>34</v>
      </c>
      <c r="AA851">
        <v>2936</v>
      </c>
      <c r="AB851" t="s">
        <v>121</v>
      </c>
      <c r="AC851" t="s">
        <v>432</v>
      </c>
      <c r="AD851" t="str">
        <f t="shared" si="13"/>
        <v>Escobedo → Hidalgo</v>
      </c>
      <c r="AE851" t="s">
        <v>1357</v>
      </c>
      <c r="AF851" s="4">
        <v>45870</v>
      </c>
      <c r="AG851" t="str">
        <f>YEAR(Table1[[#This Row],[Fecha]])&amp;" - " &amp;UPPER(TEXT(Table1[[#This Row],[Fecha]],"mm-mmm"))</f>
        <v>2025 - 08-AGO</v>
      </c>
      <c r="AH851" s="5">
        <v>0</v>
      </c>
    </row>
    <row r="852" spans="1:34" x14ac:dyDescent="0.25">
      <c r="A852" t="s">
        <v>651</v>
      </c>
      <c r="B852">
        <v>2025</v>
      </c>
      <c r="C852">
        <v>8</v>
      </c>
      <c r="D852" s="1">
        <v>45886</v>
      </c>
      <c r="E852" s="1">
        <v>45886</v>
      </c>
      <c r="F852" s="1">
        <v>45886</v>
      </c>
      <c r="G852" s="1">
        <v>45886</v>
      </c>
      <c r="H852" s="2">
        <v>45886.695498379631</v>
      </c>
      <c r="I852">
        <v>2039</v>
      </c>
      <c r="J852" t="s">
        <v>30</v>
      </c>
      <c r="K852" t="s">
        <v>31</v>
      </c>
      <c r="L852">
        <v>50</v>
      </c>
      <c r="M852">
        <v>50</v>
      </c>
      <c r="N852" t="s">
        <v>32</v>
      </c>
      <c r="O852">
        <v>1</v>
      </c>
      <c r="P852">
        <v>150</v>
      </c>
      <c r="Q852" t="b">
        <v>1</v>
      </c>
      <c r="R852" t="b">
        <v>0</v>
      </c>
      <c r="S852" t="b">
        <v>0</v>
      </c>
      <c r="T852">
        <v>231</v>
      </c>
      <c r="U852">
        <v>0</v>
      </c>
      <c r="V852" t="s">
        <v>33</v>
      </c>
      <c r="W852" t="s">
        <v>33</v>
      </c>
      <c r="X852">
        <v>50</v>
      </c>
      <c r="Y852">
        <v>2936</v>
      </c>
      <c r="Z852" t="s">
        <v>34</v>
      </c>
      <c r="AA852">
        <v>2936</v>
      </c>
      <c r="AB852" t="s">
        <v>121</v>
      </c>
      <c r="AC852" t="s">
        <v>432</v>
      </c>
      <c r="AD852" t="str">
        <f t="shared" si="13"/>
        <v>Escobedo → Hidalgo</v>
      </c>
      <c r="AE852" t="s">
        <v>1357</v>
      </c>
      <c r="AF852" s="4">
        <v>45870</v>
      </c>
      <c r="AG852" t="str">
        <f>YEAR(Table1[[#This Row],[Fecha]])&amp;" - " &amp;UPPER(TEXT(Table1[[#This Row],[Fecha]],"mm-mmm"))</f>
        <v>2025 - 08-AGO</v>
      </c>
      <c r="AH852" s="5">
        <v>0</v>
      </c>
    </row>
    <row r="853" spans="1:34" x14ac:dyDescent="0.25">
      <c r="A853" t="s">
        <v>652</v>
      </c>
      <c r="B853">
        <v>2025</v>
      </c>
      <c r="C853">
        <v>8</v>
      </c>
      <c r="D853" s="1">
        <v>45886</v>
      </c>
      <c r="E853" s="1">
        <v>45886</v>
      </c>
      <c r="F853" s="1">
        <v>45886</v>
      </c>
      <c r="G853" s="1">
        <v>45886</v>
      </c>
      <c r="H853" s="2">
        <v>45886.695782060182</v>
      </c>
      <c r="I853">
        <v>2039</v>
      </c>
      <c r="J853" t="s">
        <v>30</v>
      </c>
      <c r="K853" t="s">
        <v>31</v>
      </c>
      <c r="L853">
        <v>50</v>
      </c>
      <c r="M853">
        <v>50</v>
      </c>
      <c r="N853" t="s">
        <v>32</v>
      </c>
      <c r="O853">
        <v>1</v>
      </c>
      <c r="P853">
        <v>150</v>
      </c>
      <c r="Q853" t="b">
        <v>1</v>
      </c>
      <c r="R853" t="b">
        <v>0</v>
      </c>
      <c r="S853" t="b">
        <v>0</v>
      </c>
      <c r="T853">
        <v>231</v>
      </c>
      <c r="U853">
        <v>0</v>
      </c>
      <c r="V853" t="s">
        <v>33</v>
      </c>
      <c r="W853" t="s">
        <v>33</v>
      </c>
      <c r="X853">
        <v>50</v>
      </c>
      <c r="Y853">
        <v>2936</v>
      </c>
      <c r="Z853" t="s">
        <v>34</v>
      </c>
      <c r="AA853">
        <v>2936</v>
      </c>
      <c r="AB853" t="s">
        <v>121</v>
      </c>
      <c r="AC853" t="s">
        <v>432</v>
      </c>
      <c r="AD853" t="str">
        <f t="shared" si="13"/>
        <v>Escobedo → Hidalgo</v>
      </c>
      <c r="AE853" t="s">
        <v>1357</v>
      </c>
      <c r="AF853" s="4">
        <v>45870</v>
      </c>
      <c r="AG853" t="str">
        <f>YEAR(Table1[[#This Row],[Fecha]])&amp;" - " &amp;UPPER(TEXT(Table1[[#This Row],[Fecha]],"mm-mmm"))</f>
        <v>2025 - 08-AGO</v>
      </c>
      <c r="AH853" s="5">
        <v>0</v>
      </c>
    </row>
    <row r="854" spans="1:34" x14ac:dyDescent="0.25">
      <c r="A854" t="s">
        <v>653</v>
      </c>
      <c r="B854">
        <v>2025</v>
      </c>
      <c r="C854">
        <v>8</v>
      </c>
      <c r="D854" s="1">
        <v>45886</v>
      </c>
      <c r="E854" s="1">
        <v>45886</v>
      </c>
      <c r="F854" s="1">
        <v>45886</v>
      </c>
      <c r="G854" s="1">
        <v>45886</v>
      </c>
      <c r="H854" s="2">
        <v>45886.696101620371</v>
      </c>
      <c r="I854">
        <v>2039</v>
      </c>
      <c r="J854" t="s">
        <v>30</v>
      </c>
      <c r="K854" t="s">
        <v>31</v>
      </c>
      <c r="L854">
        <v>50</v>
      </c>
      <c r="M854">
        <v>50</v>
      </c>
      <c r="N854" t="s">
        <v>32</v>
      </c>
      <c r="O854">
        <v>1</v>
      </c>
      <c r="P854">
        <v>150</v>
      </c>
      <c r="Q854" t="b">
        <v>1</v>
      </c>
      <c r="R854" t="b">
        <v>0</v>
      </c>
      <c r="S854" t="b">
        <v>0</v>
      </c>
      <c r="T854">
        <v>231</v>
      </c>
      <c r="U854">
        <v>0</v>
      </c>
      <c r="V854" t="s">
        <v>33</v>
      </c>
      <c r="W854" t="s">
        <v>33</v>
      </c>
      <c r="X854">
        <v>50</v>
      </c>
      <c r="Y854">
        <v>2936</v>
      </c>
      <c r="Z854" t="s">
        <v>34</v>
      </c>
      <c r="AA854">
        <v>2936</v>
      </c>
      <c r="AB854" t="s">
        <v>121</v>
      </c>
      <c r="AC854" t="s">
        <v>432</v>
      </c>
      <c r="AD854" t="str">
        <f t="shared" si="13"/>
        <v>Escobedo → Hidalgo</v>
      </c>
      <c r="AE854" t="s">
        <v>1357</v>
      </c>
      <c r="AF854" s="4">
        <v>45870</v>
      </c>
      <c r="AG854" t="str">
        <f>YEAR(Table1[[#This Row],[Fecha]])&amp;" - " &amp;UPPER(TEXT(Table1[[#This Row],[Fecha]],"mm-mmm"))</f>
        <v>2025 - 08-AGO</v>
      </c>
      <c r="AH854" s="5">
        <v>0</v>
      </c>
    </row>
    <row r="855" spans="1:34" x14ac:dyDescent="0.25">
      <c r="A855" t="s">
        <v>1180</v>
      </c>
      <c r="B855">
        <v>2025</v>
      </c>
      <c r="C855">
        <v>8</v>
      </c>
      <c r="D855" s="1">
        <v>45887</v>
      </c>
      <c r="E855" s="1">
        <v>45887</v>
      </c>
      <c r="F855" s="1">
        <v>45887</v>
      </c>
      <c r="G855" s="1">
        <v>45887</v>
      </c>
      <c r="H855" s="1">
        <v>45887</v>
      </c>
      <c r="I855">
        <v>2244</v>
      </c>
      <c r="J855" t="s">
        <v>41</v>
      </c>
      <c r="K855" t="s">
        <v>42</v>
      </c>
      <c r="L855">
        <v>50</v>
      </c>
      <c r="M855">
        <v>50</v>
      </c>
      <c r="N855" t="s">
        <v>43</v>
      </c>
      <c r="O855">
        <v>1</v>
      </c>
      <c r="P855">
        <v>150</v>
      </c>
      <c r="Q855" t="b">
        <v>1</v>
      </c>
      <c r="R855" t="b">
        <v>0</v>
      </c>
      <c r="S855" t="b">
        <v>0</v>
      </c>
      <c r="T855">
        <v>231</v>
      </c>
      <c r="U855">
        <v>0</v>
      </c>
      <c r="V855" t="s">
        <v>33</v>
      </c>
      <c r="W855" t="s">
        <v>33</v>
      </c>
      <c r="X855">
        <v>50</v>
      </c>
      <c r="Y855">
        <v>359</v>
      </c>
      <c r="Z855" t="s">
        <v>123</v>
      </c>
      <c r="AA855">
        <v>359</v>
      </c>
      <c r="AB855" t="s">
        <v>121</v>
      </c>
      <c r="AC855" t="s">
        <v>121</v>
      </c>
      <c r="AD855" t="str">
        <f t="shared" si="13"/>
        <v>Escobedo → Escobedo</v>
      </c>
      <c r="AE855" t="s">
        <v>1359</v>
      </c>
      <c r="AF855" s="4">
        <v>45870</v>
      </c>
      <c r="AG855" t="str">
        <f>YEAR(Table1[[#This Row],[Fecha]])&amp;" - " &amp;UPPER(TEXT(Table1[[#This Row],[Fecha]],"mm-mmm"))</f>
        <v>2025 - 08-AGO</v>
      </c>
      <c r="AH855" s="5">
        <v>0</v>
      </c>
    </row>
    <row r="856" spans="1:34" x14ac:dyDescent="0.25">
      <c r="A856" t="s">
        <v>1181</v>
      </c>
      <c r="B856">
        <v>2025</v>
      </c>
      <c r="C856">
        <v>8</v>
      </c>
      <c r="D856" s="1">
        <v>45887</v>
      </c>
      <c r="E856" s="1">
        <v>45887</v>
      </c>
      <c r="F856" s="1">
        <v>45887</v>
      </c>
      <c r="G856" s="1">
        <v>45887</v>
      </c>
      <c r="H856" s="1">
        <v>45887</v>
      </c>
      <c r="I856">
        <v>2244</v>
      </c>
      <c r="J856" t="s">
        <v>41</v>
      </c>
      <c r="K856" t="s">
        <v>42</v>
      </c>
      <c r="L856">
        <v>50</v>
      </c>
      <c r="M856">
        <v>50</v>
      </c>
      <c r="N856" t="s">
        <v>43</v>
      </c>
      <c r="O856">
        <v>1</v>
      </c>
      <c r="P856">
        <v>150</v>
      </c>
      <c r="Q856" t="b">
        <v>1</v>
      </c>
      <c r="R856" t="b">
        <v>0</v>
      </c>
      <c r="S856" t="b">
        <v>0</v>
      </c>
      <c r="T856">
        <v>231</v>
      </c>
      <c r="U856">
        <v>0</v>
      </c>
      <c r="V856" t="s">
        <v>33</v>
      </c>
      <c r="W856" t="s">
        <v>33</v>
      </c>
      <c r="X856">
        <v>50</v>
      </c>
      <c r="Y856">
        <v>359</v>
      </c>
      <c r="Z856" t="s">
        <v>34</v>
      </c>
      <c r="AA856">
        <v>359</v>
      </c>
      <c r="AB856" t="s">
        <v>121</v>
      </c>
      <c r="AC856" t="s">
        <v>121</v>
      </c>
      <c r="AD856" t="str">
        <f t="shared" si="13"/>
        <v>Escobedo → Escobedo</v>
      </c>
      <c r="AE856" t="s">
        <v>1359</v>
      </c>
      <c r="AF856" s="4">
        <v>45870</v>
      </c>
      <c r="AG856" t="str">
        <f>YEAR(Table1[[#This Row],[Fecha]])&amp;" - " &amp;UPPER(TEXT(Table1[[#This Row],[Fecha]],"mm-mmm"))</f>
        <v>2025 - 08-AGO</v>
      </c>
      <c r="AH856" s="5">
        <v>0</v>
      </c>
    </row>
    <row r="857" spans="1:34" x14ac:dyDescent="0.25">
      <c r="A857" t="s">
        <v>1182</v>
      </c>
      <c r="B857">
        <v>2025</v>
      </c>
      <c r="C857">
        <v>8</v>
      </c>
      <c r="D857" s="1">
        <v>45887</v>
      </c>
      <c r="E857" s="1">
        <v>45887</v>
      </c>
      <c r="F857" s="1">
        <v>45887</v>
      </c>
      <c r="G857" s="1">
        <v>45887</v>
      </c>
      <c r="H857" s="1">
        <v>45888</v>
      </c>
      <c r="I857">
        <v>2244</v>
      </c>
      <c r="J857" t="s">
        <v>41</v>
      </c>
      <c r="K857" t="s">
        <v>42</v>
      </c>
      <c r="L857">
        <v>50</v>
      </c>
      <c r="M857">
        <v>50</v>
      </c>
      <c r="N857" t="s">
        <v>43</v>
      </c>
      <c r="O857">
        <v>1</v>
      </c>
      <c r="P857">
        <v>150</v>
      </c>
      <c r="Q857" t="b">
        <v>1</v>
      </c>
      <c r="R857" t="b">
        <v>0</v>
      </c>
      <c r="S857" t="b">
        <v>0</v>
      </c>
      <c r="T857">
        <v>231</v>
      </c>
      <c r="U857">
        <v>0</v>
      </c>
      <c r="V857" t="s">
        <v>33</v>
      </c>
      <c r="W857" t="s">
        <v>33</v>
      </c>
      <c r="X857">
        <v>50</v>
      </c>
      <c r="Y857">
        <v>359</v>
      </c>
      <c r="Z857" t="s">
        <v>34</v>
      </c>
      <c r="AA857">
        <v>359</v>
      </c>
      <c r="AB857" t="s">
        <v>121</v>
      </c>
      <c r="AC857" t="s">
        <v>121</v>
      </c>
      <c r="AD857" t="str">
        <f t="shared" si="13"/>
        <v>Escobedo → Escobedo</v>
      </c>
      <c r="AE857" t="s">
        <v>1359</v>
      </c>
      <c r="AF857" s="4">
        <v>45870</v>
      </c>
      <c r="AG857" t="str">
        <f>YEAR(Table1[[#This Row],[Fecha]])&amp;" - " &amp;UPPER(TEXT(Table1[[#This Row],[Fecha]],"mm-mmm"))</f>
        <v>2025 - 08-AGO</v>
      </c>
      <c r="AH857" s="5">
        <v>0</v>
      </c>
    </row>
    <row r="858" spans="1:34" x14ac:dyDescent="0.25">
      <c r="A858" t="s">
        <v>1183</v>
      </c>
      <c r="B858">
        <v>2025</v>
      </c>
      <c r="C858">
        <v>8</v>
      </c>
      <c r="D858" s="1">
        <v>45887</v>
      </c>
      <c r="E858" s="1">
        <v>45887</v>
      </c>
      <c r="F858" s="1">
        <v>45887</v>
      </c>
      <c r="G858" s="1">
        <v>45887</v>
      </c>
      <c r="H858" s="1">
        <v>45888</v>
      </c>
      <c r="I858">
        <v>2244</v>
      </c>
      <c r="J858" t="s">
        <v>41</v>
      </c>
      <c r="K858" t="s">
        <v>42</v>
      </c>
      <c r="L858">
        <v>50</v>
      </c>
      <c r="M858">
        <v>50</v>
      </c>
      <c r="N858" t="s">
        <v>43</v>
      </c>
      <c r="O858">
        <v>1</v>
      </c>
      <c r="P858">
        <v>150</v>
      </c>
      <c r="Q858" t="b">
        <v>1</v>
      </c>
      <c r="R858" t="b">
        <v>0</v>
      </c>
      <c r="S858" t="b">
        <v>0</v>
      </c>
      <c r="T858">
        <v>231</v>
      </c>
      <c r="U858">
        <v>0</v>
      </c>
      <c r="V858" t="s">
        <v>33</v>
      </c>
      <c r="W858" t="s">
        <v>33</v>
      </c>
      <c r="X858">
        <v>50</v>
      </c>
      <c r="Y858">
        <v>359</v>
      </c>
      <c r="Z858" t="s">
        <v>34</v>
      </c>
      <c r="AA858">
        <v>359</v>
      </c>
      <c r="AB858" t="s">
        <v>121</v>
      </c>
      <c r="AC858" t="s">
        <v>121</v>
      </c>
      <c r="AD858" t="str">
        <f t="shared" si="13"/>
        <v>Escobedo → Escobedo</v>
      </c>
      <c r="AE858" t="s">
        <v>1359</v>
      </c>
      <c r="AF858" s="4">
        <v>45870</v>
      </c>
      <c r="AG858" t="str">
        <f>YEAR(Table1[[#This Row],[Fecha]])&amp;" - " &amp;UPPER(TEXT(Table1[[#This Row],[Fecha]],"mm-mmm"))</f>
        <v>2025 - 08-AGO</v>
      </c>
      <c r="AH858" s="5">
        <v>0</v>
      </c>
    </row>
    <row r="859" spans="1:34" x14ac:dyDescent="0.25">
      <c r="A859" t="s">
        <v>1184</v>
      </c>
      <c r="B859">
        <v>2025</v>
      </c>
      <c r="C859">
        <v>8</v>
      </c>
      <c r="D859" s="1">
        <v>45887</v>
      </c>
      <c r="E859" s="1">
        <v>45887</v>
      </c>
      <c r="F859" s="1">
        <v>45887</v>
      </c>
      <c r="G859" s="1">
        <v>45887</v>
      </c>
      <c r="H859" s="1">
        <v>45888</v>
      </c>
      <c r="I859">
        <v>2244</v>
      </c>
      <c r="J859" t="s">
        <v>41</v>
      </c>
      <c r="K859" t="s">
        <v>42</v>
      </c>
      <c r="L859">
        <v>50</v>
      </c>
      <c r="M859">
        <v>50</v>
      </c>
      <c r="N859" t="s">
        <v>43</v>
      </c>
      <c r="O859">
        <v>1</v>
      </c>
      <c r="P859">
        <v>150</v>
      </c>
      <c r="Q859" t="b">
        <v>1</v>
      </c>
      <c r="R859" t="b">
        <v>0</v>
      </c>
      <c r="S859" t="b">
        <v>0</v>
      </c>
      <c r="T859">
        <v>231</v>
      </c>
      <c r="U859">
        <v>0</v>
      </c>
      <c r="V859" t="s">
        <v>33</v>
      </c>
      <c r="W859" t="s">
        <v>33</v>
      </c>
      <c r="X859">
        <v>50</v>
      </c>
      <c r="Y859">
        <v>359</v>
      </c>
      <c r="Z859" t="s">
        <v>34</v>
      </c>
      <c r="AA859">
        <v>359</v>
      </c>
      <c r="AB859" t="s">
        <v>121</v>
      </c>
      <c r="AC859" t="s">
        <v>121</v>
      </c>
      <c r="AD859" t="str">
        <f t="shared" si="13"/>
        <v>Escobedo → Escobedo</v>
      </c>
      <c r="AE859" t="s">
        <v>1359</v>
      </c>
      <c r="AF859" s="4">
        <v>45870</v>
      </c>
      <c r="AG859" t="str">
        <f>YEAR(Table1[[#This Row],[Fecha]])&amp;" - " &amp;UPPER(TEXT(Table1[[#This Row],[Fecha]],"mm-mmm"))</f>
        <v>2025 - 08-AGO</v>
      </c>
      <c r="AH859" s="5">
        <v>0</v>
      </c>
    </row>
    <row r="860" spans="1:34" x14ac:dyDescent="0.25">
      <c r="A860" t="s">
        <v>661</v>
      </c>
      <c r="B860">
        <v>2025</v>
      </c>
      <c r="C860">
        <v>8</v>
      </c>
      <c r="D860" s="1">
        <v>45887</v>
      </c>
      <c r="E860" s="1">
        <v>45887</v>
      </c>
      <c r="F860" s="1">
        <v>45887</v>
      </c>
      <c r="G860" s="1">
        <v>45887</v>
      </c>
      <c r="H860" s="2">
        <v>45887.854557488427</v>
      </c>
      <c r="I860">
        <v>2039</v>
      </c>
      <c r="J860" t="s">
        <v>30</v>
      </c>
      <c r="K860" t="s">
        <v>31</v>
      </c>
      <c r="L860">
        <v>50</v>
      </c>
      <c r="M860">
        <v>50</v>
      </c>
      <c r="N860" t="s">
        <v>32</v>
      </c>
      <c r="O860">
        <v>1</v>
      </c>
      <c r="P860">
        <v>150</v>
      </c>
      <c r="Q860" t="b">
        <v>1</v>
      </c>
      <c r="R860" t="b">
        <v>0</v>
      </c>
      <c r="S860" t="b">
        <v>0</v>
      </c>
      <c r="T860">
        <v>231</v>
      </c>
      <c r="U860">
        <v>0</v>
      </c>
      <c r="V860" t="s">
        <v>33</v>
      </c>
      <c r="W860" t="s">
        <v>33</v>
      </c>
      <c r="X860">
        <v>50</v>
      </c>
      <c r="Y860">
        <v>2936</v>
      </c>
      <c r="Z860" t="s">
        <v>34</v>
      </c>
      <c r="AA860">
        <v>2936</v>
      </c>
      <c r="AB860" t="s">
        <v>121</v>
      </c>
      <c r="AC860" t="s">
        <v>432</v>
      </c>
      <c r="AD860" t="str">
        <f t="shared" si="13"/>
        <v>Escobedo → Hidalgo</v>
      </c>
      <c r="AE860" t="s">
        <v>1357</v>
      </c>
      <c r="AF860" s="4">
        <v>45870</v>
      </c>
      <c r="AG860" t="str">
        <f>YEAR(Table1[[#This Row],[Fecha]])&amp;" - " &amp;UPPER(TEXT(Table1[[#This Row],[Fecha]],"mm-mmm"))</f>
        <v>2025 - 08-AGO</v>
      </c>
      <c r="AH860" s="5">
        <v>0</v>
      </c>
    </row>
    <row r="861" spans="1:34" x14ac:dyDescent="0.25">
      <c r="A861" t="s">
        <v>279</v>
      </c>
      <c r="B861">
        <v>2025</v>
      </c>
      <c r="C861">
        <v>8</v>
      </c>
      <c r="D861" s="1">
        <v>45887</v>
      </c>
      <c r="E861" s="1">
        <v>45887</v>
      </c>
      <c r="F861" s="1">
        <v>45887</v>
      </c>
      <c r="G861" s="1">
        <v>45887</v>
      </c>
      <c r="H861" s="1">
        <v>45889</v>
      </c>
      <c r="I861">
        <v>2244</v>
      </c>
      <c r="J861" t="s">
        <v>41</v>
      </c>
      <c r="K861" t="s">
        <v>42</v>
      </c>
      <c r="L861">
        <v>961</v>
      </c>
      <c r="M861">
        <v>1059</v>
      </c>
      <c r="N861" t="s">
        <v>43</v>
      </c>
      <c r="O861">
        <v>1</v>
      </c>
      <c r="P861">
        <v>964</v>
      </c>
      <c r="Q861" t="b">
        <v>1</v>
      </c>
      <c r="R861" t="b">
        <v>0</v>
      </c>
      <c r="S861" t="b">
        <v>0</v>
      </c>
      <c r="T861">
        <v>1494</v>
      </c>
      <c r="U861">
        <v>0</v>
      </c>
      <c r="V861" t="s">
        <v>33</v>
      </c>
      <c r="W861" t="s">
        <v>33</v>
      </c>
      <c r="X861">
        <v>1100</v>
      </c>
      <c r="Y861">
        <v>8</v>
      </c>
      <c r="Z861" t="s">
        <v>123</v>
      </c>
      <c r="AA861">
        <v>8</v>
      </c>
      <c r="AB861" t="s">
        <v>121</v>
      </c>
      <c r="AC861" t="s">
        <v>56</v>
      </c>
      <c r="AD861" t="str">
        <f t="shared" si="13"/>
        <v>Escobedo → Cd Sahagún</v>
      </c>
      <c r="AE861" t="s">
        <v>1359</v>
      </c>
      <c r="AF861" s="4">
        <v>45870</v>
      </c>
      <c r="AG861" t="str">
        <f>YEAR(Table1[[#This Row],[Fecha]])&amp;" - " &amp;UPPER(TEXT(Table1[[#This Row],[Fecha]],"mm-mmm"))</f>
        <v>2025 - 08-AGO</v>
      </c>
      <c r="AH861" s="5">
        <v>0</v>
      </c>
    </row>
    <row r="862" spans="1:34" x14ac:dyDescent="0.25">
      <c r="A862" t="s">
        <v>1174</v>
      </c>
      <c r="B862">
        <v>2025</v>
      </c>
      <c r="C862">
        <v>8</v>
      </c>
      <c r="D862" s="1">
        <v>45887</v>
      </c>
      <c r="E862" s="1">
        <v>45887</v>
      </c>
      <c r="F862" s="1">
        <v>45887</v>
      </c>
      <c r="G862" s="1">
        <v>45887</v>
      </c>
      <c r="H862" s="2">
        <v>45887.855173530093</v>
      </c>
      <c r="I862">
        <v>2039</v>
      </c>
      <c r="J862" t="s">
        <v>30</v>
      </c>
      <c r="K862" t="s">
        <v>31</v>
      </c>
      <c r="L862">
        <v>50</v>
      </c>
      <c r="M862">
        <v>50</v>
      </c>
      <c r="N862" t="s">
        <v>32</v>
      </c>
      <c r="O862">
        <v>1</v>
      </c>
      <c r="P862">
        <v>150</v>
      </c>
      <c r="Q862" t="b">
        <v>1</v>
      </c>
      <c r="R862" t="b">
        <v>0</v>
      </c>
      <c r="S862" t="b">
        <v>0</v>
      </c>
      <c r="T862">
        <v>231</v>
      </c>
      <c r="U862">
        <v>0</v>
      </c>
      <c r="V862" t="s">
        <v>33</v>
      </c>
      <c r="W862" t="s">
        <v>33</v>
      </c>
      <c r="X862">
        <v>50</v>
      </c>
      <c r="Y862">
        <v>359</v>
      </c>
      <c r="Z862" t="s">
        <v>34</v>
      </c>
      <c r="AA862">
        <v>359</v>
      </c>
      <c r="AB862" t="s">
        <v>121</v>
      </c>
      <c r="AC862" t="s">
        <v>121</v>
      </c>
      <c r="AD862" t="str">
        <f t="shared" si="13"/>
        <v>Escobedo → Escobedo</v>
      </c>
      <c r="AE862" t="s">
        <v>1357</v>
      </c>
      <c r="AF862" s="4">
        <v>45870</v>
      </c>
      <c r="AG862" t="str">
        <f>YEAR(Table1[[#This Row],[Fecha]])&amp;" - " &amp;UPPER(TEXT(Table1[[#This Row],[Fecha]],"mm-mmm"))</f>
        <v>2025 - 08-AGO</v>
      </c>
      <c r="AH862" s="5">
        <v>0</v>
      </c>
    </row>
    <row r="863" spans="1:34" x14ac:dyDescent="0.25">
      <c r="A863" t="s">
        <v>1175</v>
      </c>
      <c r="B863">
        <v>2025</v>
      </c>
      <c r="C863">
        <v>8</v>
      </c>
      <c r="D863" s="1">
        <v>45887</v>
      </c>
      <c r="E863" s="1">
        <v>45887</v>
      </c>
      <c r="F863" s="1">
        <v>45887</v>
      </c>
      <c r="G863" s="1">
        <v>45887</v>
      </c>
      <c r="H863" s="2">
        <v>45887.857407407406</v>
      </c>
      <c r="I863">
        <v>2039</v>
      </c>
      <c r="J863" t="s">
        <v>30</v>
      </c>
      <c r="K863" t="s">
        <v>31</v>
      </c>
      <c r="L863">
        <v>50</v>
      </c>
      <c r="M863">
        <v>50</v>
      </c>
      <c r="N863" t="s">
        <v>32</v>
      </c>
      <c r="O863">
        <v>1</v>
      </c>
      <c r="P863">
        <v>150</v>
      </c>
      <c r="Q863" t="b">
        <v>1</v>
      </c>
      <c r="R863" t="b">
        <v>0</v>
      </c>
      <c r="S863" t="b">
        <v>0</v>
      </c>
      <c r="T863">
        <v>231</v>
      </c>
      <c r="U863">
        <v>0</v>
      </c>
      <c r="V863" t="s">
        <v>33</v>
      </c>
      <c r="W863" t="s">
        <v>33</v>
      </c>
      <c r="X863">
        <v>50</v>
      </c>
      <c r="Y863">
        <v>359</v>
      </c>
      <c r="Z863" t="s">
        <v>34</v>
      </c>
      <c r="AA863">
        <v>359</v>
      </c>
      <c r="AB863" t="s">
        <v>121</v>
      </c>
      <c r="AC863" t="s">
        <v>121</v>
      </c>
      <c r="AD863" t="str">
        <f t="shared" si="13"/>
        <v>Escobedo → Escobedo</v>
      </c>
      <c r="AE863" t="s">
        <v>1357</v>
      </c>
      <c r="AF863" s="4">
        <v>45870</v>
      </c>
      <c r="AG863" t="str">
        <f>YEAR(Table1[[#This Row],[Fecha]])&amp;" - " &amp;UPPER(TEXT(Table1[[#This Row],[Fecha]],"mm-mmm"))</f>
        <v>2025 - 08-AGO</v>
      </c>
      <c r="AH863" s="5">
        <v>0</v>
      </c>
    </row>
    <row r="864" spans="1:34" x14ac:dyDescent="0.25">
      <c r="A864" t="s">
        <v>668</v>
      </c>
      <c r="B864">
        <v>2025</v>
      </c>
      <c r="C864">
        <v>8</v>
      </c>
      <c r="D864" s="1">
        <v>45888</v>
      </c>
      <c r="E864" s="1">
        <v>45888</v>
      </c>
      <c r="F864" s="1">
        <v>45888</v>
      </c>
      <c r="G864" s="1">
        <v>45888</v>
      </c>
      <c r="H864" s="2">
        <v>45888.743247569444</v>
      </c>
      <c r="I864">
        <v>2039</v>
      </c>
      <c r="J864" t="s">
        <v>30</v>
      </c>
      <c r="K864" t="s">
        <v>31</v>
      </c>
      <c r="L864">
        <v>50</v>
      </c>
      <c r="M864">
        <v>50</v>
      </c>
      <c r="N864" t="s">
        <v>32</v>
      </c>
      <c r="O864">
        <v>1</v>
      </c>
      <c r="P864">
        <v>150</v>
      </c>
      <c r="Q864" t="b">
        <v>1</v>
      </c>
      <c r="R864" t="b">
        <v>0</v>
      </c>
      <c r="S864" t="b">
        <v>0</v>
      </c>
      <c r="T864">
        <v>231</v>
      </c>
      <c r="U864">
        <v>0</v>
      </c>
      <c r="V864" t="s">
        <v>33</v>
      </c>
      <c r="W864" t="s">
        <v>33</v>
      </c>
      <c r="X864">
        <v>50</v>
      </c>
      <c r="Y864">
        <v>2936</v>
      </c>
      <c r="Z864" t="s">
        <v>34</v>
      </c>
      <c r="AA864">
        <v>2936</v>
      </c>
      <c r="AB864" t="s">
        <v>121</v>
      </c>
      <c r="AC864" t="s">
        <v>432</v>
      </c>
      <c r="AD864" t="str">
        <f t="shared" si="13"/>
        <v>Escobedo → Hidalgo</v>
      </c>
      <c r="AE864" t="s">
        <v>1357</v>
      </c>
      <c r="AF864" s="4">
        <v>45870</v>
      </c>
      <c r="AG864" t="str">
        <f>YEAR(Table1[[#This Row],[Fecha]])&amp;" - " &amp;UPPER(TEXT(Table1[[#This Row],[Fecha]],"mm-mmm"))</f>
        <v>2025 - 08-AGO</v>
      </c>
      <c r="AH864" s="5">
        <v>0</v>
      </c>
    </row>
    <row r="865" spans="1:34" x14ac:dyDescent="0.25">
      <c r="A865" t="s">
        <v>1169</v>
      </c>
      <c r="B865">
        <v>2025</v>
      </c>
      <c r="C865">
        <v>8</v>
      </c>
      <c r="D865" s="1">
        <v>45888</v>
      </c>
      <c r="E865" s="1">
        <v>45888</v>
      </c>
      <c r="F865" s="1">
        <v>45888</v>
      </c>
      <c r="G865" s="1">
        <v>45888</v>
      </c>
      <c r="H865" s="2">
        <v>45888.743697534723</v>
      </c>
      <c r="I865">
        <v>2039</v>
      </c>
      <c r="J865" t="s">
        <v>30</v>
      </c>
      <c r="K865" t="s">
        <v>31</v>
      </c>
      <c r="L865">
        <v>50</v>
      </c>
      <c r="M865">
        <v>50</v>
      </c>
      <c r="N865" t="s">
        <v>32</v>
      </c>
      <c r="O865">
        <v>1</v>
      </c>
      <c r="P865">
        <v>150</v>
      </c>
      <c r="Q865" t="b">
        <v>1</v>
      </c>
      <c r="R865" t="b">
        <v>0</v>
      </c>
      <c r="S865" t="b">
        <v>0</v>
      </c>
      <c r="T865">
        <v>231</v>
      </c>
      <c r="U865">
        <v>0</v>
      </c>
      <c r="V865" t="s">
        <v>33</v>
      </c>
      <c r="W865" t="s">
        <v>33</v>
      </c>
      <c r="X865">
        <v>50</v>
      </c>
      <c r="Y865">
        <v>359</v>
      </c>
      <c r="Z865" t="s">
        <v>34</v>
      </c>
      <c r="AA865">
        <v>359</v>
      </c>
      <c r="AB865" t="s">
        <v>121</v>
      </c>
      <c r="AC865" t="s">
        <v>121</v>
      </c>
      <c r="AD865" t="str">
        <f t="shared" si="13"/>
        <v>Escobedo → Escobedo</v>
      </c>
      <c r="AE865" t="s">
        <v>1357</v>
      </c>
      <c r="AF865" s="4">
        <v>45870</v>
      </c>
      <c r="AG865" t="str">
        <f>YEAR(Table1[[#This Row],[Fecha]])&amp;" - " &amp;UPPER(TEXT(Table1[[#This Row],[Fecha]],"mm-mmm"))</f>
        <v>2025 - 08-AGO</v>
      </c>
      <c r="AH865" s="5">
        <v>0</v>
      </c>
    </row>
    <row r="866" spans="1:34" x14ac:dyDescent="0.25">
      <c r="A866" t="s">
        <v>670</v>
      </c>
      <c r="B866">
        <v>2025</v>
      </c>
      <c r="C866">
        <v>8</v>
      </c>
      <c r="D866" s="1">
        <v>45888</v>
      </c>
      <c r="E866" s="1">
        <v>45888</v>
      </c>
      <c r="F866" s="1">
        <v>45888</v>
      </c>
      <c r="G866" s="1">
        <v>45888</v>
      </c>
      <c r="H866" s="2">
        <v>45888.74419690972</v>
      </c>
      <c r="I866">
        <v>2039</v>
      </c>
      <c r="J866" t="s">
        <v>30</v>
      </c>
      <c r="K866" t="s">
        <v>31</v>
      </c>
      <c r="L866">
        <v>50</v>
      </c>
      <c r="M866">
        <v>50</v>
      </c>
      <c r="N866" t="s">
        <v>32</v>
      </c>
      <c r="O866">
        <v>1</v>
      </c>
      <c r="P866">
        <v>150</v>
      </c>
      <c r="Q866" t="b">
        <v>1</v>
      </c>
      <c r="R866" t="b">
        <v>0</v>
      </c>
      <c r="S866" t="b">
        <v>0</v>
      </c>
      <c r="T866">
        <v>231</v>
      </c>
      <c r="U866">
        <v>0</v>
      </c>
      <c r="V866" t="s">
        <v>33</v>
      </c>
      <c r="W866" t="s">
        <v>33</v>
      </c>
      <c r="X866">
        <v>50</v>
      </c>
      <c r="Y866">
        <v>2936</v>
      </c>
      <c r="Z866" t="s">
        <v>34</v>
      </c>
      <c r="AA866">
        <v>2936</v>
      </c>
      <c r="AB866" t="s">
        <v>121</v>
      </c>
      <c r="AC866" t="s">
        <v>432</v>
      </c>
      <c r="AD866" t="str">
        <f t="shared" si="13"/>
        <v>Escobedo → Hidalgo</v>
      </c>
      <c r="AE866" t="s">
        <v>1357</v>
      </c>
      <c r="AF866" s="4">
        <v>45870</v>
      </c>
      <c r="AG866" t="str">
        <f>YEAR(Table1[[#This Row],[Fecha]])&amp;" - " &amp;UPPER(TEXT(Table1[[#This Row],[Fecha]],"mm-mmm"))</f>
        <v>2025 - 08-AGO</v>
      </c>
      <c r="AH866" s="5">
        <v>0</v>
      </c>
    </row>
    <row r="867" spans="1:34" x14ac:dyDescent="0.25">
      <c r="A867" t="s">
        <v>1185</v>
      </c>
      <c r="B867">
        <v>2025</v>
      </c>
      <c r="C867">
        <v>8</v>
      </c>
      <c r="D867" s="1">
        <v>45888</v>
      </c>
      <c r="E867" s="1">
        <v>45888</v>
      </c>
      <c r="F867" s="1">
        <v>45888</v>
      </c>
      <c r="G867" s="1">
        <v>45888</v>
      </c>
      <c r="H867" s="2">
        <v>45888.744565590277</v>
      </c>
      <c r="I867">
        <v>2039</v>
      </c>
      <c r="J867" t="s">
        <v>30</v>
      </c>
      <c r="K867" t="s">
        <v>31</v>
      </c>
      <c r="L867">
        <v>50</v>
      </c>
      <c r="M867">
        <v>50</v>
      </c>
      <c r="N867" t="s">
        <v>32</v>
      </c>
      <c r="O867">
        <v>1</v>
      </c>
      <c r="P867">
        <v>150</v>
      </c>
      <c r="Q867" t="b">
        <v>1</v>
      </c>
      <c r="R867" t="b">
        <v>0</v>
      </c>
      <c r="S867" t="b">
        <v>0</v>
      </c>
      <c r="T867">
        <v>231</v>
      </c>
      <c r="U867">
        <v>0</v>
      </c>
      <c r="V867" t="s">
        <v>33</v>
      </c>
      <c r="W867" t="s">
        <v>33</v>
      </c>
      <c r="X867">
        <v>50</v>
      </c>
      <c r="Y867">
        <v>359</v>
      </c>
      <c r="Z867" t="s">
        <v>34</v>
      </c>
      <c r="AA867">
        <v>359</v>
      </c>
      <c r="AB867" t="s">
        <v>121</v>
      </c>
      <c r="AC867" t="s">
        <v>121</v>
      </c>
      <c r="AD867" t="str">
        <f t="shared" si="13"/>
        <v>Escobedo → Escobedo</v>
      </c>
      <c r="AE867" t="s">
        <v>1357</v>
      </c>
      <c r="AF867" s="4">
        <v>45870</v>
      </c>
      <c r="AG867" t="str">
        <f>YEAR(Table1[[#This Row],[Fecha]])&amp;" - " &amp;UPPER(TEXT(Table1[[#This Row],[Fecha]],"mm-mmm"))</f>
        <v>2025 - 08-AGO</v>
      </c>
      <c r="AH867" s="5">
        <v>0</v>
      </c>
    </row>
    <row r="868" spans="1:34" x14ac:dyDescent="0.25">
      <c r="A868" t="s">
        <v>1186</v>
      </c>
      <c r="B868">
        <v>2025</v>
      </c>
      <c r="C868">
        <v>8</v>
      </c>
      <c r="D868" s="1">
        <v>45888</v>
      </c>
      <c r="E868" s="1">
        <v>45888</v>
      </c>
      <c r="F868" s="1">
        <v>45888</v>
      </c>
      <c r="G868" s="1">
        <v>45888</v>
      </c>
      <c r="H868" s="2">
        <v>45888.744886840279</v>
      </c>
      <c r="I868">
        <v>2039</v>
      </c>
      <c r="J868" t="s">
        <v>30</v>
      </c>
      <c r="K868" t="s">
        <v>31</v>
      </c>
      <c r="L868">
        <v>50</v>
      </c>
      <c r="M868">
        <v>50</v>
      </c>
      <c r="N868" t="s">
        <v>32</v>
      </c>
      <c r="O868">
        <v>1</v>
      </c>
      <c r="P868">
        <v>150</v>
      </c>
      <c r="Q868" t="b">
        <v>1</v>
      </c>
      <c r="R868" t="b">
        <v>0</v>
      </c>
      <c r="S868" t="b">
        <v>0</v>
      </c>
      <c r="T868">
        <v>231</v>
      </c>
      <c r="U868">
        <v>0</v>
      </c>
      <c r="V868" t="s">
        <v>33</v>
      </c>
      <c r="W868" t="s">
        <v>33</v>
      </c>
      <c r="X868">
        <v>50</v>
      </c>
      <c r="Y868">
        <v>359</v>
      </c>
      <c r="Z868" t="s">
        <v>34</v>
      </c>
      <c r="AA868">
        <v>359</v>
      </c>
      <c r="AB868" t="s">
        <v>121</v>
      </c>
      <c r="AC868" t="s">
        <v>121</v>
      </c>
      <c r="AD868" t="str">
        <f t="shared" si="13"/>
        <v>Escobedo → Escobedo</v>
      </c>
      <c r="AE868" t="s">
        <v>1357</v>
      </c>
      <c r="AF868" s="4">
        <v>45870</v>
      </c>
      <c r="AG868" t="str">
        <f>YEAR(Table1[[#This Row],[Fecha]])&amp;" - " &amp;UPPER(TEXT(Table1[[#This Row],[Fecha]],"mm-mmm"))</f>
        <v>2025 - 08-AGO</v>
      </c>
      <c r="AH868" s="5">
        <v>0</v>
      </c>
    </row>
    <row r="869" spans="1:34" x14ac:dyDescent="0.25">
      <c r="A869" t="s">
        <v>1187</v>
      </c>
      <c r="B869">
        <v>2025</v>
      </c>
      <c r="C869">
        <v>8</v>
      </c>
      <c r="D869" s="1">
        <v>45888</v>
      </c>
      <c r="E869" s="1">
        <v>45888</v>
      </c>
      <c r="F869" s="1">
        <v>45888</v>
      </c>
      <c r="G869" s="1">
        <v>45888</v>
      </c>
      <c r="H869" s="2">
        <v>45888.745204282408</v>
      </c>
      <c r="I869">
        <v>2039</v>
      </c>
      <c r="J869" t="s">
        <v>30</v>
      </c>
      <c r="K869" t="s">
        <v>31</v>
      </c>
      <c r="L869">
        <v>50</v>
      </c>
      <c r="M869">
        <v>50</v>
      </c>
      <c r="N869" t="s">
        <v>32</v>
      </c>
      <c r="O869">
        <v>1</v>
      </c>
      <c r="P869">
        <v>150</v>
      </c>
      <c r="Q869" t="b">
        <v>1</v>
      </c>
      <c r="R869" t="b">
        <v>0</v>
      </c>
      <c r="S869" t="b">
        <v>0</v>
      </c>
      <c r="T869">
        <v>231</v>
      </c>
      <c r="U869">
        <v>0</v>
      </c>
      <c r="V869" t="s">
        <v>33</v>
      </c>
      <c r="W869" t="s">
        <v>33</v>
      </c>
      <c r="X869">
        <v>50</v>
      </c>
      <c r="Y869">
        <v>359</v>
      </c>
      <c r="Z869" t="s">
        <v>34</v>
      </c>
      <c r="AA869">
        <v>359</v>
      </c>
      <c r="AB869" t="s">
        <v>121</v>
      </c>
      <c r="AC869" t="s">
        <v>121</v>
      </c>
      <c r="AD869" t="str">
        <f t="shared" si="13"/>
        <v>Escobedo → Escobedo</v>
      </c>
      <c r="AE869" t="s">
        <v>1357</v>
      </c>
      <c r="AF869" s="4">
        <v>45870</v>
      </c>
      <c r="AG869" t="str">
        <f>YEAR(Table1[[#This Row],[Fecha]])&amp;" - " &amp;UPPER(TEXT(Table1[[#This Row],[Fecha]],"mm-mmm"))</f>
        <v>2025 - 08-AGO</v>
      </c>
      <c r="AH869" s="5">
        <v>0</v>
      </c>
    </row>
    <row r="870" spans="1:34" x14ac:dyDescent="0.25">
      <c r="A870" t="s">
        <v>656</v>
      </c>
      <c r="B870">
        <v>2025</v>
      </c>
      <c r="C870">
        <v>8</v>
      </c>
      <c r="D870" s="1">
        <v>45888</v>
      </c>
      <c r="E870" s="1">
        <v>45888</v>
      </c>
      <c r="F870" s="1">
        <v>45888</v>
      </c>
      <c r="G870" s="1">
        <v>45888</v>
      </c>
      <c r="H870" s="2">
        <v>45888.745670289354</v>
      </c>
      <c r="I870">
        <v>2039</v>
      </c>
      <c r="J870" t="s">
        <v>30</v>
      </c>
      <c r="K870" t="s">
        <v>31</v>
      </c>
      <c r="L870">
        <v>50</v>
      </c>
      <c r="M870">
        <v>50</v>
      </c>
      <c r="N870" t="s">
        <v>32</v>
      </c>
      <c r="O870">
        <v>1</v>
      </c>
      <c r="P870">
        <v>150</v>
      </c>
      <c r="Q870" t="b">
        <v>1</v>
      </c>
      <c r="R870" t="b">
        <v>0</v>
      </c>
      <c r="S870" t="b">
        <v>0</v>
      </c>
      <c r="T870">
        <v>231</v>
      </c>
      <c r="U870">
        <v>0</v>
      </c>
      <c r="V870" t="s">
        <v>33</v>
      </c>
      <c r="W870" t="s">
        <v>33</v>
      </c>
      <c r="X870">
        <v>50</v>
      </c>
      <c r="Y870">
        <v>2936</v>
      </c>
      <c r="Z870" t="s">
        <v>34</v>
      </c>
      <c r="AA870">
        <v>2936</v>
      </c>
      <c r="AB870" t="s">
        <v>121</v>
      </c>
      <c r="AC870" t="s">
        <v>432</v>
      </c>
      <c r="AD870" t="str">
        <f t="shared" si="13"/>
        <v>Escobedo → Hidalgo</v>
      </c>
      <c r="AE870" t="s">
        <v>1357</v>
      </c>
      <c r="AF870" s="4">
        <v>45870</v>
      </c>
      <c r="AG870" t="str">
        <f>YEAR(Table1[[#This Row],[Fecha]])&amp;" - " &amp;UPPER(TEXT(Table1[[#This Row],[Fecha]],"mm-mmm"))</f>
        <v>2025 - 08-AGO</v>
      </c>
      <c r="AH870" s="5">
        <v>0</v>
      </c>
    </row>
    <row r="871" spans="1:34" x14ac:dyDescent="0.25">
      <c r="A871" t="s">
        <v>657</v>
      </c>
      <c r="B871">
        <v>2025</v>
      </c>
      <c r="C871">
        <v>8</v>
      </c>
      <c r="D871" s="1">
        <v>45889</v>
      </c>
      <c r="E871" s="1">
        <v>45889</v>
      </c>
      <c r="F871" s="1">
        <v>45889</v>
      </c>
      <c r="G871" s="1">
        <v>45889</v>
      </c>
      <c r="H871" s="2">
        <v>45889.690984293979</v>
      </c>
      <c r="I871">
        <v>2039</v>
      </c>
      <c r="J871" t="s">
        <v>30</v>
      </c>
      <c r="K871" t="s">
        <v>31</v>
      </c>
      <c r="L871">
        <v>50</v>
      </c>
      <c r="M871">
        <v>50</v>
      </c>
      <c r="N871" t="s">
        <v>32</v>
      </c>
      <c r="O871">
        <v>1</v>
      </c>
      <c r="P871">
        <v>150</v>
      </c>
      <c r="Q871" t="b">
        <v>1</v>
      </c>
      <c r="R871" t="b">
        <v>0</v>
      </c>
      <c r="S871" t="b">
        <v>0</v>
      </c>
      <c r="T871">
        <v>231</v>
      </c>
      <c r="U871">
        <v>0</v>
      </c>
      <c r="V871" t="s">
        <v>33</v>
      </c>
      <c r="W871" t="s">
        <v>33</v>
      </c>
      <c r="X871">
        <v>50</v>
      </c>
      <c r="Y871">
        <v>2936</v>
      </c>
      <c r="Z871" t="s">
        <v>34</v>
      </c>
      <c r="AA871">
        <v>2936</v>
      </c>
      <c r="AB871" t="s">
        <v>121</v>
      </c>
      <c r="AC871" t="s">
        <v>432</v>
      </c>
      <c r="AD871" t="str">
        <f t="shared" si="13"/>
        <v>Escobedo → Hidalgo</v>
      </c>
      <c r="AE871" t="s">
        <v>1357</v>
      </c>
      <c r="AF871" s="4">
        <v>45870</v>
      </c>
      <c r="AG871" t="str">
        <f>YEAR(Table1[[#This Row],[Fecha]])&amp;" - " &amp;UPPER(TEXT(Table1[[#This Row],[Fecha]],"mm-mmm"))</f>
        <v>2025 - 08-AGO</v>
      </c>
      <c r="AH871" s="5">
        <v>0</v>
      </c>
    </row>
    <row r="872" spans="1:34" x14ac:dyDescent="0.25">
      <c r="A872" t="s">
        <v>658</v>
      </c>
      <c r="B872">
        <v>2025</v>
      </c>
      <c r="C872">
        <v>8</v>
      </c>
      <c r="D872" s="1">
        <v>45889</v>
      </c>
      <c r="E872" s="1">
        <v>45889</v>
      </c>
      <c r="F872" s="1">
        <v>45889</v>
      </c>
      <c r="G872" s="1">
        <v>45889</v>
      </c>
      <c r="H872" s="2">
        <v>45889.69145309028</v>
      </c>
      <c r="I872">
        <v>2039</v>
      </c>
      <c r="J872" t="s">
        <v>30</v>
      </c>
      <c r="K872" t="s">
        <v>31</v>
      </c>
      <c r="L872">
        <v>50</v>
      </c>
      <c r="M872">
        <v>50</v>
      </c>
      <c r="N872" t="s">
        <v>32</v>
      </c>
      <c r="O872">
        <v>1</v>
      </c>
      <c r="P872">
        <v>150</v>
      </c>
      <c r="Q872" t="b">
        <v>1</v>
      </c>
      <c r="R872" t="b">
        <v>0</v>
      </c>
      <c r="S872" t="b">
        <v>0</v>
      </c>
      <c r="T872">
        <v>231</v>
      </c>
      <c r="U872">
        <v>0</v>
      </c>
      <c r="V872" t="s">
        <v>33</v>
      </c>
      <c r="W872" t="s">
        <v>33</v>
      </c>
      <c r="X872">
        <v>50</v>
      </c>
      <c r="Y872">
        <v>2936</v>
      </c>
      <c r="Z872" t="s">
        <v>34</v>
      </c>
      <c r="AA872">
        <v>2936</v>
      </c>
      <c r="AB872" t="s">
        <v>121</v>
      </c>
      <c r="AC872" t="s">
        <v>432</v>
      </c>
      <c r="AD872" t="str">
        <f t="shared" si="13"/>
        <v>Escobedo → Hidalgo</v>
      </c>
      <c r="AE872" t="s">
        <v>1357</v>
      </c>
      <c r="AF872" s="4">
        <v>45870</v>
      </c>
      <c r="AG872" t="str">
        <f>YEAR(Table1[[#This Row],[Fecha]])&amp;" - " &amp;UPPER(TEXT(Table1[[#This Row],[Fecha]],"mm-mmm"))</f>
        <v>2025 - 08-AGO</v>
      </c>
      <c r="AH872" s="5">
        <v>0</v>
      </c>
    </row>
    <row r="873" spans="1:34" x14ac:dyDescent="0.25">
      <c r="A873" t="s">
        <v>659</v>
      </c>
      <c r="B873">
        <v>2025</v>
      </c>
      <c r="C873">
        <v>8</v>
      </c>
      <c r="D873" s="1">
        <v>45889</v>
      </c>
      <c r="E873" s="1">
        <v>45889</v>
      </c>
      <c r="F873" s="1">
        <v>45889</v>
      </c>
      <c r="G873" s="1">
        <v>45889</v>
      </c>
      <c r="H873" s="2">
        <v>45889.691855590281</v>
      </c>
      <c r="I873">
        <v>2039</v>
      </c>
      <c r="J873" t="s">
        <v>30</v>
      </c>
      <c r="K873" t="s">
        <v>31</v>
      </c>
      <c r="L873">
        <v>50</v>
      </c>
      <c r="M873">
        <v>50</v>
      </c>
      <c r="N873" t="s">
        <v>32</v>
      </c>
      <c r="O873">
        <v>1</v>
      </c>
      <c r="P873">
        <v>150</v>
      </c>
      <c r="Q873" t="b">
        <v>1</v>
      </c>
      <c r="R873" t="b">
        <v>0</v>
      </c>
      <c r="S873" t="b">
        <v>0</v>
      </c>
      <c r="T873">
        <v>231</v>
      </c>
      <c r="U873">
        <v>0</v>
      </c>
      <c r="V873" t="s">
        <v>33</v>
      </c>
      <c r="W873" t="s">
        <v>33</v>
      </c>
      <c r="X873">
        <v>50</v>
      </c>
      <c r="Y873">
        <v>2936</v>
      </c>
      <c r="Z873" t="s">
        <v>34</v>
      </c>
      <c r="AA873">
        <v>2936</v>
      </c>
      <c r="AB873" t="s">
        <v>121</v>
      </c>
      <c r="AC873" t="s">
        <v>432</v>
      </c>
      <c r="AD873" t="str">
        <f t="shared" si="13"/>
        <v>Escobedo → Hidalgo</v>
      </c>
      <c r="AE873" t="s">
        <v>1357</v>
      </c>
      <c r="AF873" s="4">
        <v>45870</v>
      </c>
      <c r="AG873" t="str">
        <f>YEAR(Table1[[#This Row],[Fecha]])&amp;" - " &amp;UPPER(TEXT(Table1[[#This Row],[Fecha]],"mm-mmm"))</f>
        <v>2025 - 08-AGO</v>
      </c>
      <c r="AH873" s="5">
        <v>0</v>
      </c>
    </row>
    <row r="874" spans="1:34" x14ac:dyDescent="0.25">
      <c r="A874" t="s">
        <v>660</v>
      </c>
      <c r="B874">
        <v>2025</v>
      </c>
      <c r="C874">
        <v>8</v>
      </c>
      <c r="D874" s="1">
        <v>45890</v>
      </c>
      <c r="E874" s="1">
        <v>45890</v>
      </c>
      <c r="F874" s="1">
        <v>45890</v>
      </c>
      <c r="G874" s="1">
        <v>45890</v>
      </c>
      <c r="H874" s="2">
        <v>45891.363508599534</v>
      </c>
      <c r="I874">
        <v>2039</v>
      </c>
      <c r="J874" t="s">
        <v>30</v>
      </c>
      <c r="K874" t="s">
        <v>31</v>
      </c>
      <c r="L874">
        <v>50</v>
      </c>
      <c r="M874">
        <v>50</v>
      </c>
      <c r="N874" t="s">
        <v>32</v>
      </c>
      <c r="O874">
        <v>1</v>
      </c>
      <c r="P874">
        <v>150</v>
      </c>
      <c r="Q874" t="b">
        <v>1</v>
      </c>
      <c r="R874" t="b">
        <v>0</v>
      </c>
      <c r="S874" t="b">
        <v>0</v>
      </c>
      <c r="T874">
        <v>231</v>
      </c>
      <c r="U874">
        <v>0</v>
      </c>
      <c r="V874" t="s">
        <v>33</v>
      </c>
      <c r="W874" t="s">
        <v>33</v>
      </c>
      <c r="X874">
        <v>50</v>
      </c>
      <c r="Y874">
        <v>2936</v>
      </c>
      <c r="Z874" t="s">
        <v>34</v>
      </c>
      <c r="AA874">
        <v>2936</v>
      </c>
      <c r="AB874" t="s">
        <v>121</v>
      </c>
      <c r="AC874" t="s">
        <v>432</v>
      </c>
      <c r="AD874" t="str">
        <f t="shared" si="13"/>
        <v>Escobedo → Hidalgo</v>
      </c>
      <c r="AE874" t="s">
        <v>1357</v>
      </c>
      <c r="AF874" s="4">
        <v>45870</v>
      </c>
      <c r="AG874" t="str">
        <f>YEAR(Table1[[#This Row],[Fecha]])&amp;" - " &amp;UPPER(TEXT(Table1[[#This Row],[Fecha]],"mm-mmm"))</f>
        <v>2025 - 08-AGO</v>
      </c>
      <c r="AH874" s="5">
        <v>0</v>
      </c>
    </row>
    <row r="875" spans="1:34" x14ac:dyDescent="0.25">
      <c r="A875" t="s">
        <v>1176</v>
      </c>
      <c r="B875">
        <v>2025</v>
      </c>
      <c r="C875">
        <v>8</v>
      </c>
      <c r="D875" s="1">
        <v>45890</v>
      </c>
      <c r="E875" s="1">
        <v>45890</v>
      </c>
      <c r="F875" s="1">
        <v>45890</v>
      </c>
      <c r="G875" s="1">
        <v>45890</v>
      </c>
      <c r="H875" s="2">
        <v>45891.363519641207</v>
      </c>
      <c r="I875">
        <v>2039</v>
      </c>
      <c r="J875" t="s">
        <v>30</v>
      </c>
      <c r="K875" t="s">
        <v>31</v>
      </c>
      <c r="L875">
        <v>50</v>
      </c>
      <c r="M875">
        <v>50</v>
      </c>
      <c r="N875" t="s">
        <v>32</v>
      </c>
      <c r="O875">
        <v>1</v>
      </c>
      <c r="P875">
        <v>150</v>
      </c>
      <c r="Q875" t="b">
        <v>1</v>
      </c>
      <c r="R875" t="b">
        <v>0</v>
      </c>
      <c r="S875" t="b">
        <v>0</v>
      </c>
      <c r="T875">
        <v>231</v>
      </c>
      <c r="U875">
        <v>0</v>
      </c>
      <c r="V875" t="s">
        <v>33</v>
      </c>
      <c r="W875" t="s">
        <v>33</v>
      </c>
      <c r="X875">
        <v>50</v>
      </c>
      <c r="Y875">
        <v>359</v>
      </c>
      <c r="Z875" t="s">
        <v>34</v>
      </c>
      <c r="AA875">
        <v>359</v>
      </c>
      <c r="AB875" t="s">
        <v>121</v>
      </c>
      <c r="AC875" t="s">
        <v>121</v>
      </c>
      <c r="AD875" t="str">
        <f t="shared" si="13"/>
        <v>Escobedo → Escobedo</v>
      </c>
      <c r="AE875" t="s">
        <v>1357</v>
      </c>
      <c r="AF875" s="4">
        <v>45870</v>
      </c>
      <c r="AG875" t="str">
        <f>YEAR(Table1[[#This Row],[Fecha]])&amp;" - " &amp;UPPER(TEXT(Table1[[#This Row],[Fecha]],"mm-mmm"))</f>
        <v>2025 - 08-AGO</v>
      </c>
      <c r="AH875" s="5">
        <v>0</v>
      </c>
    </row>
    <row r="876" spans="1:34" x14ac:dyDescent="0.25">
      <c r="A876" t="s">
        <v>662</v>
      </c>
      <c r="B876">
        <v>2025</v>
      </c>
      <c r="C876">
        <v>8</v>
      </c>
      <c r="D876" s="1">
        <v>45890</v>
      </c>
      <c r="E876" s="1">
        <v>45890</v>
      </c>
      <c r="F876" s="1">
        <v>45890</v>
      </c>
      <c r="G876" s="1">
        <v>45890</v>
      </c>
      <c r="H876" s="2">
        <v>45891.363527581016</v>
      </c>
      <c r="I876">
        <v>2039</v>
      </c>
      <c r="J876" t="s">
        <v>30</v>
      </c>
      <c r="K876" t="s">
        <v>31</v>
      </c>
      <c r="L876">
        <v>50</v>
      </c>
      <c r="M876">
        <v>50</v>
      </c>
      <c r="N876" t="s">
        <v>32</v>
      </c>
      <c r="O876">
        <v>1</v>
      </c>
      <c r="P876">
        <v>150</v>
      </c>
      <c r="Q876" t="b">
        <v>1</v>
      </c>
      <c r="R876" t="b">
        <v>0</v>
      </c>
      <c r="S876" t="b">
        <v>0</v>
      </c>
      <c r="T876">
        <v>231</v>
      </c>
      <c r="U876">
        <v>0</v>
      </c>
      <c r="V876" t="s">
        <v>33</v>
      </c>
      <c r="W876" t="s">
        <v>33</v>
      </c>
      <c r="X876">
        <v>50</v>
      </c>
      <c r="Y876">
        <v>2936</v>
      </c>
      <c r="Z876" t="s">
        <v>34</v>
      </c>
      <c r="AA876">
        <v>2936</v>
      </c>
      <c r="AB876" t="s">
        <v>121</v>
      </c>
      <c r="AC876" t="s">
        <v>432</v>
      </c>
      <c r="AD876" t="str">
        <f t="shared" si="13"/>
        <v>Escobedo → Hidalgo</v>
      </c>
      <c r="AE876" t="s">
        <v>1357</v>
      </c>
      <c r="AF876" s="4">
        <v>45870</v>
      </c>
      <c r="AG876" t="str">
        <f>YEAR(Table1[[#This Row],[Fecha]])&amp;" - " &amp;UPPER(TEXT(Table1[[#This Row],[Fecha]],"mm-mmm"))</f>
        <v>2025 - 08-AGO</v>
      </c>
      <c r="AH876" s="5">
        <v>0</v>
      </c>
    </row>
    <row r="877" spans="1:34" x14ac:dyDescent="0.25">
      <c r="A877" t="s">
        <v>663</v>
      </c>
      <c r="B877">
        <v>2025</v>
      </c>
      <c r="C877">
        <v>8</v>
      </c>
      <c r="D877" s="1">
        <v>45891</v>
      </c>
      <c r="E877" s="1">
        <v>45891</v>
      </c>
      <c r="F877" s="1">
        <v>45891</v>
      </c>
      <c r="G877" s="1">
        <v>45891</v>
      </c>
      <c r="H877" s="2">
        <v>45891.730393749996</v>
      </c>
      <c r="I877">
        <v>2039</v>
      </c>
      <c r="J877" t="s">
        <v>30</v>
      </c>
      <c r="K877" t="s">
        <v>31</v>
      </c>
      <c r="L877">
        <v>50</v>
      </c>
      <c r="M877">
        <v>50</v>
      </c>
      <c r="N877" t="s">
        <v>32</v>
      </c>
      <c r="O877">
        <v>1</v>
      </c>
      <c r="P877">
        <v>150</v>
      </c>
      <c r="Q877" t="b">
        <v>1</v>
      </c>
      <c r="R877" t="b">
        <v>0</v>
      </c>
      <c r="S877" t="b">
        <v>0</v>
      </c>
      <c r="T877">
        <v>231</v>
      </c>
      <c r="U877">
        <v>0</v>
      </c>
      <c r="V877" t="s">
        <v>33</v>
      </c>
      <c r="W877" t="s">
        <v>33</v>
      </c>
      <c r="X877">
        <v>50</v>
      </c>
      <c r="Y877">
        <v>2936</v>
      </c>
      <c r="Z877" t="s">
        <v>34</v>
      </c>
      <c r="AA877">
        <v>2936</v>
      </c>
      <c r="AB877" t="s">
        <v>121</v>
      </c>
      <c r="AC877" t="s">
        <v>432</v>
      </c>
      <c r="AD877" t="str">
        <f t="shared" si="13"/>
        <v>Escobedo → Hidalgo</v>
      </c>
      <c r="AE877" t="s">
        <v>1357</v>
      </c>
      <c r="AF877" s="4">
        <v>45870</v>
      </c>
      <c r="AG877" t="str">
        <f>YEAR(Table1[[#This Row],[Fecha]])&amp;" - " &amp;UPPER(TEXT(Table1[[#This Row],[Fecha]],"mm-mmm"))</f>
        <v>2025 - 08-AGO</v>
      </c>
      <c r="AH877" s="5">
        <v>0</v>
      </c>
    </row>
    <row r="878" spans="1:34" x14ac:dyDescent="0.25">
      <c r="A878" t="s">
        <v>664</v>
      </c>
      <c r="B878">
        <v>2025</v>
      </c>
      <c r="C878">
        <v>8</v>
      </c>
      <c r="D878" s="1">
        <v>45891</v>
      </c>
      <c r="E878" s="1">
        <v>45891</v>
      </c>
      <c r="F878" s="1">
        <v>45891</v>
      </c>
      <c r="G878" s="1">
        <v>45891</v>
      </c>
      <c r="H878" s="2">
        <v>45891.730405324073</v>
      </c>
      <c r="I878">
        <v>2039</v>
      </c>
      <c r="J878" t="s">
        <v>30</v>
      </c>
      <c r="K878" t="s">
        <v>31</v>
      </c>
      <c r="L878">
        <v>50</v>
      </c>
      <c r="M878">
        <v>50</v>
      </c>
      <c r="N878" t="s">
        <v>32</v>
      </c>
      <c r="O878">
        <v>1</v>
      </c>
      <c r="P878">
        <v>150</v>
      </c>
      <c r="Q878" t="b">
        <v>1</v>
      </c>
      <c r="R878" t="b">
        <v>0</v>
      </c>
      <c r="S878" t="b">
        <v>0</v>
      </c>
      <c r="T878">
        <v>231</v>
      </c>
      <c r="U878">
        <v>0</v>
      </c>
      <c r="V878" t="s">
        <v>33</v>
      </c>
      <c r="W878" t="s">
        <v>33</v>
      </c>
      <c r="X878">
        <v>50</v>
      </c>
      <c r="Y878">
        <v>2936</v>
      </c>
      <c r="Z878" t="s">
        <v>34</v>
      </c>
      <c r="AA878">
        <v>2936</v>
      </c>
      <c r="AB878" t="s">
        <v>121</v>
      </c>
      <c r="AC878" t="s">
        <v>432</v>
      </c>
      <c r="AD878" t="str">
        <f t="shared" si="13"/>
        <v>Escobedo → Hidalgo</v>
      </c>
      <c r="AE878" t="s">
        <v>1357</v>
      </c>
      <c r="AF878" s="4">
        <v>45870</v>
      </c>
      <c r="AG878" t="str">
        <f>YEAR(Table1[[#This Row],[Fecha]])&amp;" - " &amp;UPPER(TEXT(Table1[[#This Row],[Fecha]],"mm-mmm"))</f>
        <v>2025 - 08-AGO</v>
      </c>
      <c r="AH878" s="5">
        <v>0</v>
      </c>
    </row>
    <row r="879" spans="1:34" x14ac:dyDescent="0.25">
      <c r="A879" t="s">
        <v>665</v>
      </c>
      <c r="B879">
        <v>2025</v>
      </c>
      <c r="C879">
        <v>8</v>
      </c>
      <c r="D879" s="1">
        <v>45891</v>
      </c>
      <c r="E879" s="1">
        <v>45891</v>
      </c>
      <c r="F879" s="1">
        <v>45891</v>
      </c>
      <c r="G879" s="1">
        <v>45891</v>
      </c>
      <c r="H879" s="2">
        <v>45891.730414386577</v>
      </c>
      <c r="I879">
        <v>2039</v>
      </c>
      <c r="J879" t="s">
        <v>30</v>
      </c>
      <c r="K879" t="s">
        <v>31</v>
      </c>
      <c r="L879">
        <v>50</v>
      </c>
      <c r="M879">
        <v>50</v>
      </c>
      <c r="N879" t="s">
        <v>32</v>
      </c>
      <c r="O879">
        <v>1</v>
      </c>
      <c r="P879">
        <v>150</v>
      </c>
      <c r="Q879" t="b">
        <v>1</v>
      </c>
      <c r="R879" t="b">
        <v>0</v>
      </c>
      <c r="S879" t="b">
        <v>0</v>
      </c>
      <c r="T879">
        <v>231</v>
      </c>
      <c r="U879">
        <v>0</v>
      </c>
      <c r="V879" t="s">
        <v>33</v>
      </c>
      <c r="W879" t="s">
        <v>33</v>
      </c>
      <c r="X879">
        <v>50</v>
      </c>
      <c r="Y879">
        <v>2936</v>
      </c>
      <c r="Z879" t="s">
        <v>34</v>
      </c>
      <c r="AA879">
        <v>2936</v>
      </c>
      <c r="AB879" t="s">
        <v>121</v>
      </c>
      <c r="AC879" t="s">
        <v>432</v>
      </c>
      <c r="AD879" t="str">
        <f t="shared" si="13"/>
        <v>Escobedo → Hidalgo</v>
      </c>
      <c r="AE879" t="s">
        <v>1357</v>
      </c>
      <c r="AF879" s="4">
        <v>45870</v>
      </c>
      <c r="AG879" t="str">
        <f>YEAR(Table1[[#This Row],[Fecha]])&amp;" - " &amp;UPPER(TEXT(Table1[[#This Row],[Fecha]],"mm-mmm"))</f>
        <v>2025 - 08-AGO</v>
      </c>
      <c r="AH879" s="5">
        <v>0</v>
      </c>
    </row>
    <row r="880" spans="1:34" x14ac:dyDescent="0.25">
      <c r="A880" t="s">
        <v>666</v>
      </c>
      <c r="B880">
        <v>2025</v>
      </c>
      <c r="C880">
        <v>8</v>
      </c>
      <c r="D880" s="1">
        <v>45892</v>
      </c>
      <c r="E880" s="1">
        <v>45892</v>
      </c>
      <c r="F880" s="1">
        <v>45892</v>
      </c>
      <c r="G880" s="1">
        <v>45892</v>
      </c>
      <c r="H880" s="2">
        <v>45892.732662615737</v>
      </c>
      <c r="I880">
        <v>2039</v>
      </c>
      <c r="J880" t="s">
        <v>30</v>
      </c>
      <c r="K880" t="s">
        <v>31</v>
      </c>
      <c r="L880">
        <v>50</v>
      </c>
      <c r="M880">
        <v>50</v>
      </c>
      <c r="N880" t="s">
        <v>32</v>
      </c>
      <c r="O880">
        <v>1</v>
      </c>
      <c r="P880">
        <v>150</v>
      </c>
      <c r="Q880" t="b">
        <v>1</v>
      </c>
      <c r="R880" t="b">
        <v>0</v>
      </c>
      <c r="S880" t="b">
        <v>0</v>
      </c>
      <c r="T880">
        <v>231</v>
      </c>
      <c r="U880">
        <v>0</v>
      </c>
      <c r="V880" t="s">
        <v>33</v>
      </c>
      <c r="W880" t="s">
        <v>33</v>
      </c>
      <c r="X880">
        <v>50</v>
      </c>
      <c r="Y880">
        <v>2936</v>
      </c>
      <c r="Z880" t="s">
        <v>34</v>
      </c>
      <c r="AA880">
        <v>2936</v>
      </c>
      <c r="AB880" t="s">
        <v>121</v>
      </c>
      <c r="AC880" t="s">
        <v>432</v>
      </c>
      <c r="AD880" t="str">
        <f t="shared" si="13"/>
        <v>Escobedo → Hidalgo</v>
      </c>
      <c r="AE880" t="s">
        <v>1357</v>
      </c>
      <c r="AF880" s="4">
        <v>45870</v>
      </c>
      <c r="AG880" t="str">
        <f>YEAR(Table1[[#This Row],[Fecha]])&amp;" - " &amp;UPPER(TEXT(Table1[[#This Row],[Fecha]],"mm-mmm"))</f>
        <v>2025 - 08-AGO</v>
      </c>
      <c r="AH880" s="5">
        <v>0</v>
      </c>
    </row>
    <row r="881" spans="1:34" x14ac:dyDescent="0.25">
      <c r="A881" t="s">
        <v>667</v>
      </c>
      <c r="B881">
        <v>2025</v>
      </c>
      <c r="C881">
        <v>8</v>
      </c>
      <c r="D881" s="1">
        <v>45892</v>
      </c>
      <c r="E881" s="1">
        <v>45892</v>
      </c>
      <c r="F881" s="1">
        <v>45892</v>
      </c>
      <c r="G881" s="1">
        <v>45892</v>
      </c>
      <c r="H881" s="2">
        <v>45892.733085567132</v>
      </c>
      <c r="I881">
        <v>2039</v>
      </c>
      <c r="J881" t="s">
        <v>30</v>
      </c>
      <c r="K881" t="s">
        <v>31</v>
      </c>
      <c r="L881">
        <v>50</v>
      </c>
      <c r="M881">
        <v>50</v>
      </c>
      <c r="N881" t="s">
        <v>32</v>
      </c>
      <c r="O881">
        <v>1</v>
      </c>
      <c r="P881">
        <v>150</v>
      </c>
      <c r="Q881" t="b">
        <v>1</v>
      </c>
      <c r="R881" t="b">
        <v>0</v>
      </c>
      <c r="S881" t="b">
        <v>0</v>
      </c>
      <c r="T881">
        <v>231</v>
      </c>
      <c r="U881">
        <v>0</v>
      </c>
      <c r="V881" t="s">
        <v>33</v>
      </c>
      <c r="W881" t="s">
        <v>33</v>
      </c>
      <c r="X881">
        <v>50</v>
      </c>
      <c r="Y881">
        <v>2936</v>
      </c>
      <c r="Z881" t="s">
        <v>34</v>
      </c>
      <c r="AA881">
        <v>2936</v>
      </c>
      <c r="AB881" t="s">
        <v>121</v>
      </c>
      <c r="AC881" t="s">
        <v>432</v>
      </c>
      <c r="AD881" t="str">
        <f t="shared" si="13"/>
        <v>Escobedo → Hidalgo</v>
      </c>
      <c r="AE881" t="s">
        <v>1357</v>
      </c>
      <c r="AF881" s="4">
        <v>45870</v>
      </c>
      <c r="AG881" t="str">
        <f>YEAR(Table1[[#This Row],[Fecha]])&amp;" - " &amp;UPPER(TEXT(Table1[[#This Row],[Fecha]],"mm-mmm"))</f>
        <v>2025 - 08-AGO</v>
      </c>
      <c r="AH881" s="5">
        <v>0</v>
      </c>
    </row>
    <row r="882" spans="1:34" x14ac:dyDescent="0.25">
      <c r="A882" t="s">
        <v>280</v>
      </c>
      <c r="B882">
        <v>2025</v>
      </c>
      <c r="C882">
        <v>8</v>
      </c>
      <c r="D882" s="1">
        <v>45871</v>
      </c>
      <c r="E882" s="1">
        <v>45871</v>
      </c>
      <c r="F882" s="1">
        <v>45872</v>
      </c>
      <c r="G882" s="1">
        <v>45871</v>
      </c>
      <c r="H882" s="1">
        <v>45872</v>
      </c>
      <c r="I882">
        <v>2244</v>
      </c>
      <c r="J882" t="s">
        <v>41</v>
      </c>
      <c r="K882" t="s">
        <v>42</v>
      </c>
      <c r="L882">
        <v>961</v>
      </c>
      <c r="M882">
        <v>1059</v>
      </c>
      <c r="N882" t="s">
        <v>43</v>
      </c>
      <c r="O882">
        <v>1</v>
      </c>
      <c r="P882">
        <v>964</v>
      </c>
      <c r="Q882" t="b">
        <v>1</v>
      </c>
      <c r="R882" t="b">
        <v>0</v>
      </c>
      <c r="S882" t="b">
        <v>0</v>
      </c>
      <c r="T882">
        <v>1494</v>
      </c>
      <c r="U882">
        <v>0</v>
      </c>
      <c r="V882" t="s">
        <v>33</v>
      </c>
      <c r="W882" t="s">
        <v>33</v>
      </c>
      <c r="X882">
        <v>1100</v>
      </c>
      <c r="Y882">
        <v>8</v>
      </c>
      <c r="Z882" t="s">
        <v>123</v>
      </c>
      <c r="AA882">
        <v>8</v>
      </c>
      <c r="AB882" t="s">
        <v>121</v>
      </c>
      <c r="AC882" t="s">
        <v>56</v>
      </c>
      <c r="AD882" t="str">
        <f t="shared" si="13"/>
        <v>Escobedo → Cd Sahagún</v>
      </c>
      <c r="AE882" t="s">
        <v>1359</v>
      </c>
      <c r="AF882" s="4">
        <v>45870</v>
      </c>
      <c r="AG882" t="str">
        <f>YEAR(Table1[[#This Row],[Fecha]])&amp;" - " &amp;UPPER(TEXT(Table1[[#This Row],[Fecha]],"mm-mmm"))</f>
        <v>2025 - 08-AGO</v>
      </c>
      <c r="AH882" s="5">
        <v>0</v>
      </c>
    </row>
    <row r="883" spans="1:34" x14ac:dyDescent="0.25">
      <c r="A883" t="s">
        <v>671</v>
      </c>
      <c r="B883">
        <v>2025</v>
      </c>
      <c r="C883">
        <v>8</v>
      </c>
      <c r="D883" s="1">
        <v>45892</v>
      </c>
      <c r="E883" s="1">
        <v>45892</v>
      </c>
      <c r="F883" s="1">
        <v>45892</v>
      </c>
      <c r="G883" s="1">
        <v>45892</v>
      </c>
      <c r="H883" s="2">
        <v>45892.733674884257</v>
      </c>
      <c r="I883">
        <v>2039</v>
      </c>
      <c r="J883" t="s">
        <v>30</v>
      </c>
      <c r="K883" t="s">
        <v>31</v>
      </c>
      <c r="L883">
        <v>50</v>
      </c>
      <c r="M883">
        <v>50</v>
      </c>
      <c r="N883" t="s">
        <v>32</v>
      </c>
      <c r="O883">
        <v>1</v>
      </c>
      <c r="P883">
        <v>150</v>
      </c>
      <c r="Q883" t="b">
        <v>1</v>
      </c>
      <c r="R883" t="b">
        <v>0</v>
      </c>
      <c r="S883" t="b">
        <v>0</v>
      </c>
      <c r="T883">
        <v>231</v>
      </c>
      <c r="U883">
        <v>0</v>
      </c>
      <c r="V883" t="s">
        <v>33</v>
      </c>
      <c r="W883" t="s">
        <v>33</v>
      </c>
      <c r="X883">
        <v>50</v>
      </c>
      <c r="Y883">
        <v>2936</v>
      </c>
      <c r="Z883" t="s">
        <v>34</v>
      </c>
      <c r="AA883">
        <v>2936</v>
      </c>
      <c r="AB883" t="s">
        <v>121</v>
      </c>
      <c r="AC883" t="s">
        <v>432</v>
      </c>
      <c r="AD883" t="str">
        <f t="shared" si="13"/>
        <v>Escobedo → Hidalgo</v>
      </c>
      <c r="AE883" t="s">
        <v>1357</v>
      </c>
      <c r="AF883" s="4">
        <v>45870</v>
      </c>
      <c r="AG883" t="str">
        <f>YEAR(Table1[[#This Row],[Fecha]])&amp;" - " &amp;UPPER(TEXT(Table1[[#This Row],[Fecha]],"mm-mmm"))</f>
        <v>2025 - 08-AGO</v>
      </c>
      <c r="AH883" s="5">
        <v>0</v>
      </c>
    </row>
    <row r="884" spans="1:34" x14ac:dyDescent="0.25">
      <c r="A884" t="s">
        <v>1170</v>
      </c>
      <c r="B884">
        <v>2025</v>
      </c>
      <c r="C884">
        <v>8</v>
      </c>
      <c r="D884" s="1">
        <v>45871</v>
      </c>
      <c r="E884" s="1">
        <v>45871</v>
      </c>
      <c r="F884" s="1">
        <v>45871</v>
      </c>
      <c r="G884" s="1">
        <v>45871</v>
      </c>
      <c r="H884" s="1">
        <v>45872</v>
      </c>
      <c r="I884">
        <v>2176</v>
      </c>
      <c r="J884" t="s">
        <v>30</v>
      </c>
      <c r="K884" t="s">
        <v>31</v>
      </c>
      <c r="L884">
        <v>50</v>
      </c>
      <c r="M884">
        <v>50</v>
      </c>
      <c r="N884" t="s">
        <v>404</v>
      </c>
      <c r="O884">
        <v>1</v>
      </c>
      <c r="P884">
        <v>150</v>
      </c>
      <c r="Q884" t="b">
        <v>1</v>
      </c>
      <c r="R884" t="b">
        <v>0</v>
      </c>
      <c r="S884" t="b">
        <v>0</v>
      </c>
      <c r="T884">
        <v>231</v>
      </c>
      <c r="U884">
        <v>0</v>
      </c>
      <c r="V884" t="s">
        <v>33</v>
      </c>
      <c r="W884" t="s">
        <v>33</v>
      </c>
      <c r="X884">
        <v>50</v>
      </c>
      <c r="Y884">
        <v>359</v>
      </c>
      <c r="Z884" t="s">
        <v>34</v>
      </c>
      <c r="AA884">
        <v>359</v>
      </c>
      <c r="AB884" t="s">
        <v>121</v>
      </c>
      <c r="AC884" t="s">
        <v>121</v>
      </c>
      <c r="AD884" t="str">
        <f t="shared" si="13"/>
        <v>Escobedo → Escobedo</v>
      </c>
      <c r="AE884" t="s">
        <v>1357</v>
      </c>
      <c r="AF884" s="4">
        <v>45870</v>
      </c>
      <c r="AG884" t="str">
        <f>YEAR(Table1[[#This Row],[Fecha]])&amp;" - " &amp;UPPER(TEXT(Table1[[#This Row],[Fecha]],"mm-mmm"))</f>
        <v>2025 - 08-AGO</v>
      </c>
      <c r="AH884" s="5">
        <v>0</v>
      </c>
    </row>
    <row r="885" spans="1:34" x14ac:dyDescent="0.25">
      <c r="A885" t="s">
        <v>1171</v>
      </c>
      <c r="B885">
        <v>2025</v>
      </c>
      <c r="C885">
        <v>8</v>
      </c>
      <c r="D885" s="1">
        <v>45871</v>
      </c>
      <c r="E885" s="1">
        <v>45871</v>
      </c>
      <c r="F885" s="1">
        <v>45871</v>
      </c>
      <c r="G885" s="1">
        <v>45871</v>
      </c>
      <c r="H885" s="1">
        <v>45872</v>
      </c>
      <c r="I885">
        <v>2176</v>
      </c>
      <c r="J885" t="s">
        <v>30</v>
      </c>
      <c r="K885" t="s">
        <v>31</v>
      </c>
      <c r="L885">
        <v>50</v>
      </c>
      <c r="M885">
        <v>50</v>
      </c>
      <c r="N885" t="s">
        <v>404</v>
      </c>
      <c r="O885">
        <v>1</v>
      </c>
      <c r="P885">
        <v>150</v>
      </c>
      <c r="Q885" t="b">
        <v>1</v>
      </c>
      <c r="R885" t="b">
        <v>0</v>
      </c>
      <c r="S885" t="b">
        <v>0</v>
      </c>
      <c r="T885">
        <v>231</v>
      </c>
      <c r="U885">
        <v>0</v>
      </c>
      <c r="V885" t="s">
        <v>33</v>
      </c>
      <c r="W885" t="s">
        <v>33</v>
      </c>
      <c r="X885">
        <v>50</v>
      </c>
      <c r="Y885">
        <v>359</v>
      </c>
      <c r="Z885" t="s">
        <v>34</v>
      </c>
      <c r="AA885">
        <v>359</v>
      </c>
      <c r="AB885" t="s">
        <v>121</v>
      </c>
      <c r="AC885" t="s">
        <v>121</v>
      </c>
      <c r="AD885" t="str">
        <f t="shared" si="13"/>
        <v>Escobedo → Escobedo</v>
      </c>
      <c r="AE885" t="s">
        <v>1357</v>
      </c>
      <c r="AF885" s="4">
        <v>45870</v>
      </c>
      <c r="AG885" t="str">
        <f>YEAR(Table1[[#This Row],[Fecha]])&amp;" - " &amp;UPPER(TEXT(Table1[[#This Row],[Fecha]],"mm-mmm"))</f>
        <v>2025 - 08-AGO</v>
      </c>
      <c r="AH885" s="5">
        <v>0</v>
      </c>
    </row>
    <row r="886" spans="1:34" x14ac:dyDescent="0.25">
      <c r="A886" t="s">
        <v>1172</v>
      </c>
      <c r="B886">
        <v>2025</v>
      </c>
      <c r="C886">
        <v>8</v>
      </c>
      <c r="D886" s="1">
        <v>45896</v>
      </c>
      <c r="E886" s="1">
        <v>45896</v>
      </c>
      <c r="F886" s="1">
        <v>45896</v>
      </c>
      <c r="G886" s="1">
        <v>45896</v>
      </c>
      <c r="H886" s="2">
        <v>45896.755272106479</v>
      </c>
      <c r="I886">
        <v>2039</v>
      </c>
      <c r="J886" t="s">
        <v>54</v>
      </c>
      <c r="K886" t="s">
        <v>31</v>
      </c>
      <c r="L886">
        <v>50</v>
      </c>
      <c r="M886">
        <v>50</v>
      </c>
      <c r="N886" t="s">
        <v>32</v>
      </c>
      <c r="O886">
        <v>1</v>
      </c>
      <c r="P886">
        <v>150</v>
      </c>
      <c r="Q886" t="b">
        <v>1</v>
      </c>
      <c r="R886" t="b">
        <v>0</v>
      </c>
      <c r="S886" t="b">
        <v>0</v>
      </c>
      <c r="T886">
        <v>231</v>
      </c>
      <c r="U886">
        <v>0</v>
      </c>
      <c r="V886" t="s">
        <v>33</v>
      </c>
      <c r="W886" t="s">
        <v>33</v>
      </c>
      <c r="X886">
        <v>50</v>
      </c>
      <c r="Y886">
        <v>359</v>
      </c>
      <c r="Z886" t="s">
        <v>34</v>
      </c>
      <c r="AA886">
        <v>359</v>
      </c>
      <c r="AB886" t="s">
        <v>121</v>
      </c>
      <c r="AC886" t="s">
        <v>121</v>
      </c>
      <c r="AD886" t="str">
        <f t="shared" si="13"/>
        <v>Escobedo → Escobedo</v>
      </c>
      <c r="AE886" t="s">
        <v>1358</v>
      </c>
      <c r="AF886" s="4">
        <v>45870</v>
      </c>
      <c r="AG886" t="str">
        <f>YEAR(Table1[[#This Row],[Fecha]])&amp;" - " &amp;UPPER(TEXT(Table1[[#This Row],[Fecha]],"mm-mmm"))</f>
        <v>2025 - 08-AGO</v>
      </c>
      <c r="AH886" s="5">
        <v>0</v>
      </c>
    </row>
    <row r="887" spans="1:34" x14ac:dyDescent="0.25">
      <c r="A887" t="s">
        <v>1173</v>
      </c>
      <c r="B887">
        <v>2025</v>
      </c>
      <c r="C887">
        <v>8</v>
      </c>
      <c r="D887" s="1">
        <v>45896</v>
      </c>
      <c r="E887" s="1">
        <v>45896</v>
      </c>
      <c r="F887" s="1">
        <v>45896</v>
      </c>
      <c r="G887" s="1">
        <v>45896</v>
      </c>
      <c r="H887" s="2">
        <v>45896.755636724534</v>
      </c>
      <c r="I887">
        <v>2039</v>
      </c>
      <c r="J887" t="s">
        <v>54</v>
      </c>
      <c r="K887" t="s">
        <v>31</v>
      </c>
      <c r="L887">
        <v>50</v>
      </c>
      <c r="M887">
        <v>50</v>
      </c>
      <c r="N887" t="s">
        <v>32</v>
      </c>
      <c r="O887">
        <v>1</v>
      </c>
      <c r="P887">
        <v>150</v>
      </c>
      <c r="Q887" t="b">
        <v>1</v>
      </c>
      <c r="R887" t="b">
        <v>0</v>
      </c>
      <c r="S887" t="b">
        <v>0</v>
      </c>
      <c r="T887">
        <v>231</v>
      </c>
      <c r="U887">
        <v>0</v>
      </c>
      <c r="V887" t="s">
        <v>33</v>
      </c>
      <c r="W887" t="s">
        <v>33</v>
      </c>
      <c r="X887">
        <v>50</v>
      </c>
      <c r="Y887">
        <v>359</v>
      </c>
      <c r="Z887" t="s">
        <v>34</v>
      </c>
      <c r="AA887">
        <v>359</v>
      </c>
      <c r="AB887" t="s">
        <v>121</v>
      </c>
      <c r="AC887" t="s">
        <v>121</v>
      </c>
      <c r="AD887" t="str">
        <f t="shared" si="13"/>
        <v>Escobedo → Escobedo</v>
      </c>
      <c r="AE887" t="s">
        <v>1358</v>
      </c>
      <c r="AF887" s="4">
        <v>45870</v>
      </c>
      <c r="AG887" t="str">
        <f>YEAR(Table1[[#This Row],[Fecha]])&amp;" - " &amp;UPPER(TEXT(Table1[[#This Row],[Fecha]],"mm-mmm"))</f>
        <v>2025 - 08-AGO</v>
      </c>
      <c r="AH887" s="5">
        <v>0</v>
      </c>
    </row>
    <row r="888" spans="1:34" x14ac:dyDescent="0.25">
      <c r="A888" t="s">
        <v>669</v>
      </c>
      <c r="B888">
        <v>2025</v>
      </c>
      <c r="C888">
        <v>8</v>
      </c>
      <c r="D888" s="1">
        <v>45896</v>
      </c>
      <c r="E888" s="1">
        <v>45896</v>
      </c>
      <c r="F888" s="1">
        <v>45896</v>
      </c>
      <c r="G888" s="1">
        <v>45896</v>
      </c>
      <c r="H888" s="2">
        <v>45896.75598908565</v>
      </c>
      <c r="I888">
        <v>2039</v>
      </c>
      <c r="J888" t="s">
        <v>54</v>
      </c>
      <c r="K888" t="s">
        <v>31</v>
      </c>
      <c r="L888">
        <v>50</v>
      </c>
      <c r="M888">
        <v>50</v>
      </c>
      <c r="N888" t="s">
        <v>32</v>
      </c>
      <c r="O888">
        <v>1</v>
      </c>
      <c r="P888">
        <v>150</v>
      </c>
      <c r="Q888" t="b">
        <v>1</v>
      </c>
      <c r="R888" t="b">
        <v>0</v>
      </c>
      <c r="S888" t="b">
        <v>0</v>
      </c>
      <c r="T888">
        <v>231</v>
      </c>
      <c r="U888">
        <v>0</v>
      </c>
      <c r="V888" t="s">
        <v>33</v>
      </c>
      <c r="W888" t="s">
        <v>33</v>
      </c>
      <c r="X888">
        <v>50</v>
      </c>
      <c r="Y888">
        <v>2936</v>
      </c>
      <c r="Z888" t="s">
        <v>34</v>
      </c>
      <c r="AA888">
        <v>2936</v>
      </c>
      <c r="AB888" t="s">
        <v>121</v>
      </c>
      <c r="AC888" t="s">
        <v>432</v>
      </c>
      <c r="AD888" t="str">
        <f t="shared" si="13"/>
        <v>Escobedo → Hidalgo</v>
      </c>
      <c r="AE888" t="s">
        <v>1358</v>
      </c>
      <c r="AF888" s="4">
        <v>45870</v>
      </c>
      <c r="AG888" t="str">
        <f>YEAR(Table1[[#This Row],[Fecha]])&amp;" - " &amp;UPPER(TEXT(Table1[[#This Row],[Fecha]],"mm-mmm"))</f>
        <v>2025 - 08-AGO</v>
      </c>
      <c r="AH888" s="5">
        <v>0</v>
      </c>
    </row>
    <row r="889" spans="1:34" x14ac:dyDescent="0.25">
      <c r="A889" t="s">
        <v>1202</v>
      </c>
      <c r="B889">
        <v>2025</v>
      </c>
      <c r="C889">
        <v>8</v>
      </c>
      <c r="D889" s="1">
        <v>45896</v>
      </c>
      <c r="E889" s="1">
        <v>45896</v>
      </c>
      <c r="F889" s="1">
        <v>45896</v>
      </c>
      <c r="G889" s="1">
        <v>45896</v>
      </c>
      <c r="H889" s="2">
        <v>45896.757047685183</v>
      </c>
      <c r="I889">
        <v>2039</v>
      </c>
      <c r="J889" t="s">
        <v>54</v>
      </c>
      <c r="K889" t="s">
        <v>31</v>
      </c>
      <c r="L889">
        <v>50</v>
      </c>
      <c r="M889">
        <v>50</v>
      </c>
      <c r="N889" t="s">
        <v>32</v>
      </c>
      <c r="O889">
        <v>1</v>
      </c>
      <c r="P889">
        <v>150</v>
      </c>
      <c r="Q889" t="b">
        <v>1</v>
      </c>
      <c r="R889" t="b">
        <v>0</v>
      </c>
      <c r="S889" t="b">
        <v>0</v>
      </c>
      <c r="T889">
        <v>231</v>
      </c>
      <c r="U889">
        <v>0</v>
      </c>
      <c r="V889" t="s">
        <v>33</v>
      </c>
      <c r="W889" t="s">
        <v>33</v>
      </c>
      <c r="X889">
        <v>50</v>
      </c>
      <c r="Y889">
        <v>359</v>
      </c>
      <c r="Z889" t="s">
        <v>34</v>
      </c>
      <c r="AA889">
        <v>359</v>
      </c>
      <c r="AB889" t="s">
        <v>121</v>
      </c>
      <c r="AC889" t="s">
        <v>121</v>
      </c>
      <c r="AD889" t="str">
        <f t="shared" si="13"/>
        <v>Escobedo → Escobedo</v>
      </c>
      <c r="AE889" t="s">
        <v>1358</v>
      </c>
      <c r="AF889" s="4">
        <v>45870</v>
      </c>
      <c r="AG889" t="str">
        <f>YEAR(Table1[[#This Row],[Fecha]])&amp;" - " &amp;UPPER(TEXT(Table1[[#This Row],[Fecha]],"mm-mmm"))</f>
        <v>2025 - 08-AGO</v>
      </c>
      <c r="AH889" s="5">
        <v>0</v>
      </c>
    </row>
    <row r="890" spans="1:34" x14ac:dyDescent="0.25">
      <c r="A890" t="s">
        <v>1203</v>
      </c>
      <c r="B890">
        <v>2025</v>
      </c>
      <c r="C890">
        <v>8</v>
      </c>
      <c r="D890" s="1">
        <v>45896</v>
      </c>
      <c r="E890" s="1">
        <v>45896</v>
      </c>
      <c r="F890" s="1">
        <v>45896</v>
      </c>
      <c r="G890" s="1">
        <v>45896</v>
      </c>
      <c r="H890" s="2">
        <v>45896.757536076388</v>
      </c>
      <c r="I890">
        <v>2039</v>
      </c>
      <c r="J890" t="s">
        <v>54</v>
      </c>
      <c r="K890" t="s">
        <v>31</v>
      </c>
      <c r="L890">
        <v>50</v>
      </c>
      <c r="M890">
        <v>50</v>
      </c>
      <c r="N890" t="s">
        <v>32</v>
      </c>
      <c r="O890">
        <v>1</v>
      </c>
      <c r="P890">
        <v>150</v>
      </c>
      <c r="Q890" t="b">
        <v>1</v>
      </c>
      <c r="R890" t="b">
        <v>0</v>
      </c>
      <c r="S890" t="b">
        <v>0</v>
      </c>
      <c r="T890">
        <v>231</v>
      </c>
      <c r="U890">
        <v>0</v>
      </c>
      <c r="V890" t="s">
        <v>33</v>
      </c>
      <c r="W890" t="s">
        <v>33</v>
      </c>
      <c r="X890">
        <v>50</v>
      </c>
      <c r="Y890">
        <v>359</v>
      </c>
      <c r="Z890" t="s">
        <v>34</v>
      </c>
      <c r="AA890">
        <v>359</v>
      </c>
      <c r="AB890" t="s">
        <v>121</v>
      </c>
      <c r="AC890" t="s">
        <v>121</v>
      </c>
      <c r="AD890" t="str">
        <f t="shared" si="13"/>
        <v>Escobedo → Escobedo</v>
      </c>
      <c r="AE890" t="s">
        <v>1358</v>
      </c>
      <c r="AF890" s="4">
        <v>45870</v>
      </c>
      <c r="AG890" t="str">
        <f>YEAR(Table1[[#This Row],[Fecha]])&amp;" - " &amp;UPPER(TEXT(Table1[[#This Row],[Fecha]],"mm-mmm"))</f>
        <v>2025 - 08-AGO</v>
      </c>
      <c r="AH890" s="5">
        <v>0</v>
      </c>
    </row>
    <row r="891" spans="1:34" x14ac:dyDescent="0.25">
      <c r="A891" t="s">
        <v>674</v>
      </c>
      <c r="B891">
        <v>2025</v>
      </c>
      <c r="C891">
        <v>8</v>
      </c>
      <c r="D891" s="1">
        <v>45896</v>
      </c>
      <c r="E891" s="1">
        <v>45896</v>
      </c>
      <c r="F891" s="1">
        <v>45896</v>
      </c>
      <c r="G891" s="1">
        <v>45896</v>
      </c>
      <c r="H891" s="2">
        <v>45896.757977233799</v>
      </c>
      <c r="I891">
        <v>2039</v>
      </c>
      <c r="J891" t="s">
        <v>54</v>
      </c>
      <c r="K891" t="s">
        <v>31</v>
      </c>
      <c r="L891">
        <v>50</v>
      </c>
      <c r="M891">
        <v>50</v>
      </c>
      <c r="N891" t="s">
        <v>32</v>
      </c>
      <c r="O891">
        <v>1</v>
      </c>
      <c r="P891">
        <v>150</v>
      </c>
      <c r="Q891" t="b">
        <v>1</v>
      </c>
      <c r="R891" t="b">
        <v>0</v>
      </c>
      <c r="S891" t="b">
        <v>0</v>
      </c>
      <c r="T891">
        <v>231</v>
      </c>
      <c r="U891">
        <v>0</v>
      </c>
      <c r="V891" t="s">
        <v>33</v>
      </c>
      <c r="W891" t="s">
        <v>33</v>
      </c>
      <c r="X891">
        <v>50</v>
      </c>
      <c r="Y891">
        <v>2936</v>
      </c>
      <c r="Z891" t="s">
        <v>34</v>
      </c>
      <c r="AA891">
        <v>2936</v>
      </c>
      <c r="AB891" t="s">
        <v>121</v>
      </c>
      <c r="AC891" t="s">
        <v>432</v>
      </c>
      <c r="AD891" t="str">
        <f t="shared" si="13"/>
        <v>Escobedo → Hidalgo</v>
      </c>
      <c r="AE891" t="s">
        <v>1358</v>
      </c>
      <c r="AF891" s="4">
        <v>45870</v>
      </c>
      <c r="AG891" t="str">
        <f>YEAR(Table1[[#This Row],[Fecha]])&amp;" - " &amp;UPPER(TEXT(Table1[[#This Row],[Fecha]],"mm-mmm"))</f>
        <v>2025 - 08-AGO</v>
      </c>
      <c r="AH891" s="5">
        <v>0</v>
      </c>
    </row>
    <row r="892" spans="1:34" x14ac:dyDescent="0.25">
      <c r="A892" t="s">
        <v>383</v>
      </c>
      <c r="B892">
        <v>2025</v>
      </c>
      <c r="C892">
        <v>8</v>
      </c>
      <c r="D892" s="1">
        <v>45896</v>
      </c>
      <c r="E892" s="1">
        <v>45896</v>
      </c>
      <c r="F892" s="1">
        <v>45896</v>
      </c>
      <c r="G892" s="1">
        <v>45896</v>
      </c>
      <c r="H892" s="2">
        <v>45896.75830065972</v>
      </c>
      <c r="I892">
        <v>2039</v>
      </c>
      <c r="J892" t="s">
        <v>54</v>
      </c>
      <c r="K892" t="s">
        <v>31</v>
      </c>
      <c r="L892">
        <v>50</v>
      </c>
      <c r="M892">
        <v>50</v>
      </c>
      <c r="N892" t="s">
        <v>32</v>
      </c>
      <c r="O892">
        <v>1</v>
      </c>
      <c r="P892">
        <v>150</v>
      </c>
      <c r="Q892" t="b">
        <v>1</v>
      </c>
      <c r="R892" t="b">
        <v>0</v>
      </c>
      <c r="S892" t="b">
        <v>0</v>
      </c>
      <c r="T892">
        <v>231</v>
      </c>
      <c r="U892">
        <v>0</v>
      </c>
      <c r="V892" t="s">
        <v>33</v>
      </c>
      <c r="W892" t="s">
        <v>33</v>
      </c>
      <c r="X892">
        <v>50</v>
      </c>
      <c r="Y892">
        <v>461</v>
      </c>
      <c r="Z892" t="s">
        <v>34</v>
      </c>
      <c r="AA892">
        <v>461</v>
      </c>
      <c r="AB892" t="s">
        <v>121</v>
      </c>
      <c r="AC892" t="s">
        <v>35</v>
      </c>
      <c r="AD892" t="str">
        <f t="shared" si="13"/>
        <v>Escobedo → Monterrey</v>
      </c>
      <c r="AE892" t="s">
        <v>1358</v>
      </c>
      <c r="AF892" s="4">
        <v>45870</v>
      </c>
      <c r="AG892" t="str">
        <f>YEAR(Table1[[#This Row],[Fecha]])&amp;" - " &amp;UPPER(TEXT(Table1[[#This Row],[Fecha]],"mm-mmm"))</f>
        <v>2025 - 08-AGO</v>
      </c>
      <c r="AH892" s="5">
        <v>0</v>
      </c>
    </row>
    <row r="893" spans="1:34" x14ac:dyDescent="0.25">
      <c r="A893" t="s">
        <v>384</v>
      </c>
      <c r="B893">
        <v>2025</v>
      </c>
      <c r="C893">
        <v>8</v>
      </c>
      <c r="D893" s="1">
        <v>45896</v>
      </c>
      <c r="E893" s="1">
        <v>45896</v>
      </c>
      <c r="F893" s="1">
        <v>45896</v>
      </c>
      <c r="G893" s="1">
        <v>45896</v>
      </c>
      <c r="H893" s="2">
        <v>45896.758712997682</v>
      </c>
      <c r="I893">
        <v>2039</v>
      </c>
      <c r="J893" t="s">
        <v>54</v>
      </c>
      <c r="K893" t="s">
        <v>31</v>
      </c>
      <c r="L893">
        <v>50</v>
      </c>
      <c r="M893">
        <v>50</v>
      </c>
      <c r="N893" t="s">
        <v>32</v>
      </c>
      <c r="O893">
        <v>1</v>
      </c>
      <c r="P893">
        <v>150</v>
      </c>
      <c r="Q893" t="b">
        <v>1</v>
      </c>
      <c r="R893" t="b">
        <v>0</v>
      </c>
      <c r="S893" t="b">
        <v>0</v>
      </c>
      <c r="T893">
        <v>231</v>
      </c>
      <c r="U893">
        <v>0</v>
      </c>
      <c r="V893" t="s">
        <v>33</v>
      </c>
      <c r="W893" t="s">
        <v>33</v>
      </c>
      <c r="X893">
        <v>50</v>
      </c>
      <c r="Y893">
        <v>461</v>
      </c>
      <c r="Z893" t="s">
        <v>34</v>
      </c>
      <c r="AA893">
        <v>461</v>
      </c>
      <c r="AB893" t="s">
        <v>121</v>
      </c>
      <c r="AC893" t="s">
        <v>35</v>
      </c>
      <c r="AD893" t="str">
        <f t="shared" si="13"/>
        <v>Escobedo → Monterrey</v>
      </c>
      <c r="AE893" t="s">
        <v>1358</v>
      </c>
      <c r="AF893" s="4">
        <v>45870</v>
      </c>
      <c r="AG893" t="str">
        <f>YEAR(Table1[[#This Row],[Fecha]])&amp;" - " &amp;UPPER(TEXT(Table1[[#This Row],[Fecha]],"mm-mmm"))</f>
        <v>2025 - 08-AGO</v>
      </c>
      <c r="AH893" s="5">
        <v>0</v>
      </c>
    </row>
    <row r="894" spans="1:34" x14ac:dyDescent="0.25">
      <c r="A894" t="s">
        <v>1200</v>
      </c>
      <c r="B894">
        <v>2025</v>
      </c>
      <c r="C894">
        <v>8</v>
      </c>
      <c r="D894" s="1">
        <v>45896</v>
      </c>
      <c r="E894" s="1">
        <v>45896</v>
      </c>
      <c r="F894" s="1">
        <v>45896</v>
      </c>
      <c r="G894" s="1">
        <v>45896</v>
      </c>
      <c r="H894" s="2">
        <v>45896.75901736111</v>
      </c>
      <c r="I894">
        <v>2039</v>
      </c>
      <c r="J894" t="s">
        <v>54</v>
      </c>
      <c r="K894" t="s">
        <v>31</v>
      </c>
      <c r="L894">
        <v>50</v>
      </c>
      <c r="M894">
        <v>50</v>
      </c>
      <c r="N894" t="s">
        <v>32</v>
      </c>
      <c r="O894">
        <v>1</v>
      </c>
      <c r="P894">
        <v>150</v>
      </c>
      <c r="Q894" t="b">
        <v>1</v>
      </c>
      <c r="R894" t="b">
        <v>0</v>
      </c>
      <c r="S894" t="b">
        <v>0</v>
      </c>
      <c r="T894">
        <v>231</v>
      </c>
      <c r="U894">
        <v>0</v>
      </c>
      <c r="V894" t="s">
        <v>33</v>
      </c>
      <c r="W894" t="s">
        <v>33</v>
      </c>
      <c r="X894">
        <v>50</v>
      </c>
      <c r="Y894">
        <v>359</v>
      </c>
      <c r="Z894" t="s">
        <v>34</v>
      </c>
      <c r="AA894">
        <v>359</v>
      </c>
      <c r="AB894" t="s">
        <v>121</v>
      </c>
      <c r="AC894" t="s">
        <v>121</v>
      </c>
      <c r="AD894" t="str">
        <f t="shared" si="13"/>
        <v>Escobedo → Escobedo</v>
      </c>
      <c r="AE894" t="s">
        <v>1358</v>
      </c>
      <c r="AF894" s="4">
        <v>45870</v>
      </c>
      <c r="AG894" t="str">
        <f>YEAR(Table1[[#This Row],[Fecha]])&amp;" - " &amp;UPPER(TEXT(Table1[[#This Row],[Fecha]],"mm-mmm"))</f>
        <v>2025 - 08-AGO</v>
      </c>
      <c r="AH894" s="5">
        <v>0</v>
      </c>
    </row>
    <row r="895" spans="1:34" x14ac:dyDescent="0.25">
      <c r="A895" t="s">
        <v>382</v>
      </c>
      <c r="B895">
        <v>2025</v>
      </c>
      <c r="C895">
        <v>8</v>
      </c>
      <c r="D895" s="1">
        <v>45896</v>
      </c>
      <c r="E895" s="1">
        <v>45896</v>
      </c>
      <c r="F895" s="1">
        <v>45896</v>
      </c>
      <c r="G895" s="1">
        <v>45896</v>
      </c>
      <c r="H895" s="2">
        <v>45896.759493287034</v>
      </c>
      <c r="I895">
        <v>2039</v>
      </c>
      <c r="J895" t="s">
        <v>54</v>
      </c>
      <c r="K895" t="s">
        <v>31</v>
      </c>
      <c r="L895">
        <v>50</v>
      </c>
      <c r="M895">
        <v>50</v>
      </c>
      <c r="N895" t="s">
        <v>32</v>
      </c>
      <c r="O895">
        <v>1</v>
      </c>
      <c r="P895">
        <v>150</v>
      </c>
      <c r="Q895" t="b">
        <v>1</v>
      </c>
      <c r="R895" t="b">
        <v>0</v>
      </c>
      <c r="S895" t="b">
        <v>0</v>
      </c>
      <c r="T895">
        <v>231</v>
      </c>
      <c r="U895">
        <v>0</v>
      </c>
      <c r="V895" t="s">
        <v>33</v>
      </c>
      <c r="W895" t="s">
        <v>33</v>
      </c>
      <c r="X895">
        <v>50</v>
      </c>
      <c r="Y895">
        <v>461</v>
      </c>
      <c r="Z895" t="s">
        <v>34</v>
      </c>
      <c r="AA895">
        <v>461</v>
      </c>
      <c r="AB895" t="s">
        <v>121</v>
      </c>
      <c r="AC895" t="s">
        <v>35</v>
      </c>
      <c r="AD895" t="str">
        <f t="shared" si="13"/>
        <v>Escobedo → Monterrey</v>
      </c>
      <c r="AE895" t="s">
        <v>1358</v>
      </c>
      <c r="AF895" s="4">
        <v>45870</v>
      </c>
      <c r="AG895" t="str">
        <f>YEAR(Table1[[#This Row],[Fecha]])&amp;" - " &amp;UPPER(TEXT(Table1[[#This Row],[Fecha]],"mm-mmm"))</f>
        <v>2025 - 08-AGO</v>
      </c>
      <c r="AH895" s="5">
        <v>0</v>
      </c>
    </row>
    <row r="896" spans="1:34" x14ac:dyDescent="0.25">
      <c r="A896" t="s">
        <v>672</v>
      </c>
      <c r="B896">
        <v>2025</v>
      </c>
      <c r="C896">
        <v>8</v>
      </c>
      <c r="D896" s="1">
        <v>45897</v>
      </c>
      <c r="E896" s="1">
        <v>45897</v>
      </c>
      <c r="F896" s="1">
        <v>45897</v>
      </c>
      <c r="G896" s="1">
        <v>45897</v>
      </c>
      <c r="H896" s="2">
        <v>45897.758219756943</v>
      </c>
      <c r="I896">
        <v>2039</v>
      </c>
      <c r="J896" t="s">
        <v>30</v>
      </c>
      <c r="K896" t="s">
        <v>31</v>
      </c>
      <c r="L896">
        <v>50</v>
      </c>
      <c r="M896">
        <v>50</v>
      </c>
      <c r="N896" t="s">
        <v>32</v>
      </c>
      <c r="O896">
        <v>1</v>
      </c>
      <c r="P896">
        <v>150</v>
      </c>
      <c r="Q896" t="b">
        <v>1</v>
      </c>
      <c r="R896" t="b">
        <v>0</v>
      </c>
      <c r="S896" t="b">
        <v>0</v>
      </c>
      <c r="T896">
        <v>231</v>
      </c>
      <c r="U896">
        <v>0</v>
      </c>
      <c r="V896" t="s">
        <v>33</v>
      </c>
      <c r="W896" t="s">
        <v>33</v>
      </c>
      <c r="X896">
        <v>50</v>
      </c>
      <c r="Y896">
        <v>2936</v>
      </c>
      <c r="Z896" t="s">
        <v>34</v>
      </c>
      <c r="AA896">
        <v>2936</v>
      </c>
      <c r="AB896" t="s">
        <v>121</v>
      </c>
      <c r="AC896" t="s">
        <v>432</v>
      </c>
      <c r="AD896" t="str">
        <f t="shared" si="13"/>
        <v>Escobedo → Hidalgo</v>
      </c>
      <c r="AE896" t="s">
        <v>1357</v>
      </c>
      <c r="AF896" s="4">
        <v>45870</v>
      </c>
      <c r="AG896" t="str">
        <f>YEAR(Table1[[#This Row],[Fecha]])&amp;" - " &amp;UPPER(TEXT(Table1[[#This Row],[Fecha]],"mm-mmm"))</f>
        <v>2025 - 08-AGO</v>
      </c>
      <c r="AH896" s="5">
        <v>0</v>
      </c>
    </row>
    <row r="897" spans="1:34" x14ac:dyDescent="0.25">
      <c r="A897" t="s">
        <v>1204</v>
      </c>
      <c r="B897">
        <v>2025</v>
      </c>
      <c r="C897">
        <v>8</v>
      </c>
      <c r="D897" s="1">
        <v>45897</v>
      </c>
      <c r="E897" s="1">
        <v>45897</v>
      </c>
      <c r="F897" s="1">
        <v>45897</v>
      </c>
      <c r="G897" s="1">
        <v>45897</v>
      </c>
      <c r="H897" s="2">
        <v>45897.758752662034</v>
      </c>
      <c r="I897">
        <v>2039</v>
      </c>
      <c r="J897" t="s">
        <v>30</v>
      </c>
      <c r="K897" t="s">
        <v>31</v>
      </c>
      <c r="L897">
        <v>50</v>
      </c>
      <c r="M897">
        <v>50</v>
      </c>
      <c r="N897" t="s">
        <v>32</v>
      </c>
      <c r="O897">
        <v>1</v>
      </c>
      <c r="P897">
        <v>150</v>
      </c>
      <c r="Q897" t="b">
        <v>1</v>
      </c>
      <c r="R897" t="b">
        <v>0</v>
      </c>
      <c r="S897" t="b">
        <v>0</v>
      </c>
      <c r="T897">
        <v>231</v>
      </c>
      <c r="U897">
        <v>0</v>
      </c>
      <c r="V897" t="s">
        <v>33</v>
      </c>
      <c r="W897" t="s">
        <v>33</v>
      </c>
      <c r="X897">
        <v>50</v>
      </c>
      <c r="Y897">
        <v>359</v>
      </c>
      <c r="Z897" t="s">
        <v>34</v>
      </c>
      <c r="AA897">
        <v>359</v>
      </c>
      <c r="AB897" t="s">
        <v>121</v>
      </c>
      <c r="AC897" t="s">
        <v>121</v>
      </c>
      <c r="AD897" t="str">
        <f t="shared" si="13"/>
        <v>Escobedo → Escobedo</v>
      </c>
      <c r="AE897" t="s">
        <v>1357</v>
      </c>
      <c r="AF897" s="4">
        <v>45870</v>
      </c>
      <c r="AG897" t="str">
        <f>YEAR(Table1[[#This Row],[Fecha]])&amp;" - " &amp;UPPER(TEXT(Table1[[#This Row],[Fecha]],"mm-mmm"))</f>
        <v>2025 - 08-AGO</v>
      </c>
      <c r="AH897" s="5">
        <v>0</v>
      </c>
    </row>
    <row r="898" spans="1:34" x14ac:dyDescent="0.25">
      <c r="A898" t="s">
        <v>1205</v>
      </c>
      <c r="B898">
        <v>2025</v>
      </c>
      <c r="C898">
        <v>8</v>
      </c>
      <c r="D898" s="1">
        <v>45872</v>
      </c>
      <c r="E898" s="1">
        <v>45872</v>
      </c>
      <c r="F898" s="1">
        <v>45872</v>
      </c>
      <c r="G898" s="1">
        <v>45872</v>
      </c>
      <c r="H898" s="1">
        <v>45872</v>
      </c>
      <c r="I898">
        <v>1902</v>
      </c>
      <c r="J898" t="s">
        <v>30</v>
      </c>
      <c r="K898" t="s">
        <v>31</v>
      </c>
      <c r="L898">
        <v>50</v>
      </c>
      <c r="M898">
        <v>50</v>
      </c>
      <c r="N898" t="s">
        <v>118</v>
      </c>
      <c r="O898">
        <v>1</v>
      </c>
      <c r="P898">
        <v>150</v>
      </c>
      <c r="Q898" t="b">
        <v>1</v>
      </c>
      <c r="R898" t="b">
        <v>0</v>
      </c>
      <c r="S898" t="b">
        <v>0</v>
      </c>
      <c r="T898">
        <v>231</v>
      </c>
      <c r="U898">
        <v>0</v>
      </c>
      <c r="V898" t="s">
        <v>33</v>
      </c>
      <c r="W898" t="s">
        <v>33</v>
      </c>
      <c r="X898">
        <v>50</v>
      </c>
      <c r="Y898">
        <v>359</v>
      </c>
      <c r="Z898" t="s">
        <v>34</v>
      </c>
      <c r="AA898">
        <v>359</v>
      </c>
      <c r="AB898" t="s">
        <v>121</v>
      </c>
      <c r="AC898" t="s">
        <v>121</v>
      </c>
      <c r="AD898" t="str">
        <f t="shared" ref="AD898:AD961" si="14">+AB898&amp;" → "&amp;AC898</f>
        <v>Escobedo → Escobedo</v>
      </c>
      <c r="AE898" t="s">
        <v>1357</v>
      </c>
      <c r="AF898" s="4">
        <v>45870</v>
      </c>
      <c r="AG898" t="str">
        <f>YEAR(Table1[[#This Row],[Fecha]])&amp;" - " &amp;UPPER(TEXT(Table1[[#This Row],[Fecha]],"mm-mmm"))</f>
        <v>2025 - 08-AGO</v>
      </c>
      <c r="AH898" s="5">
        <v>0</v>
      </c>
    </row>
    <row r="899" spans="1:34" x14ac:dyDescent="0.25">
      <c r="A899" t="s">
        <v>675</v>
      </c>
      <c r="B899">
        <v>2025</v>
      </c>
      <c r="C899">
        <v>8</v>
      </c>
      <c r="D899" s="1">
        <v>45897</v>
      </c>
      <c r="E899" s="1">
        <v>45897</v>
      </c>
      <c r="F899" s="1">
        <v>45897</v>
      </c>
      <c r="G899" s="1">
        <v>45897</v>
      </c>
      <c r="H899" s="2">
        <v>45897.759215428239</v>
      </c>
      <c r="I899">
        <v>2039</v>
      </c>
      <c r="J899" t="s">
        <v>30</v>
      </c>
      <c r="K899" t="s">
        <v>31</v>
      </c>
      <c r="L899">
        <v>50</v>
      </c>
      <c r="M899">
        <v>50</v>
      </c>
      <c r="N899" t="s">
        <v>32</v>
      </c>
      <c r="O899">
        <v>1</v>
      </c>
      <c r="P899">
        <v>150</v>
      </c>
      <c r="Q899" t="b">
        <v>1</v>
      </c>
      <c r="R899" t="b">
        <v>0</v>
      </c>
      <c r="S899" t="b">
        <v>0</v>
      </c>
      <c r="T899">
        <v>231</v>
      </c>
      <c r="U899">
        <v>0</v>
      </c>
      <c r="V899" t="s">
        <v>33</v>
      </c>
      <c r="W899" t="s">
        <v>33</v>
      </c>
      <c r="X899">
        <v>50</v>
      </c>
      <c r="Y899">
        <v>2936</v>
      </c>
      <c r="Z899" t="s">
        <v>34</v>
      </c>
      <c r="AA899">
        <v>2936</v>
      </c>
      <c r="AB899" t="s">
        <v>121</v>
      </c>
      <c r="AC899" t="s">
        <v>432</v>
      </c>
      <c r="AD899" t="str">
        <f t="shared" si="14"/>
        <v>Escobedo → Hidalgo</v>
      </c>
      <c r="AE899" t="s">
        <v>1357</v>
      </c>
      <c r="AF899" s="4">
        <v>45870</v>
      </c>
      <c r="AG899" t="str">
        <f>YEAR(Table1[[#This Row],[Fecha]])&amp;" - " &amp;UPPER(TEXT(Table1[[#This Row],[Fecha]],"mm-mmm"))</f>
        <v>2025 - 08-AGO</v>
      </c>
      <c r="AH899" s="5">
        <v>0</v>
      </c>
    </row>
    <row r="900" spans="1:34" x14ac:dyDescent="0.25">
      <c r="A900" t="s">
        <v>676</v>
      </c>
      <c r="B900">
        <v>2025</v>
      </c>
      <c r="C900">
        <v>8</v>
      </c>
      <c r="D900" s="1">
        <v>45897</v>
      </c>
      <c r="E900" s="1">
        <v>45897</v>
      </c>
      <c r="F900" s="1">
        <v>45897</v>
      </c>
      <c r="G900" s="1">
        <v>45897</v>
      </c>
      <c r="H900" s="2">
        <v>45897.759681134259</v>
      </c>
      <c r="I900">
        <v>2039</v>
      </c>
      <c r="J900" t="s">
        <v>30</v>
      </c>
      <c r="K900" t="s">
        <v>31</v>
      </c>
      <c r="L900">
        <v>50</v>
      </c>
      <c r="M900">
        <v>50</v>
      </c>
      <c r="N900" t="s">
        <v>32</v>
      </c>
      <c r="O900">
        <v>1</v>
      </c>
      <c r="P900">
        <v>150</v>
      </c>
      <c r="Q900" t="b">
        <v>1</v>
      </c>
      <c r="R900" t="b">
        <v>0</v>
      </c>
      <c r="S900" t="b">
        <v>0</v>
      </c>
      <c r="T900">
        <v>231</v>
      </c>
      <c r="U900">
        <v>0</v>
      </c>
      <c r="V900" t="s">
        <v>33</v>
      </c>
      <c r="W900" t="s">
        <v>33</v>
      </c>
      <c r="X900">
        <v>50</v>
      </c>
      <c r="Y900">
        <v>2936</v>
      </c>
      <c r="Z900" t="s">
        <v>34</v>
      </c>
      <c r="AA900">
        <v>2936</v>
      </c>
      <c r="AB900" t="s">
        <v>121</v>
      </c>
      <c r="AC900" t="s">
        <v>432</v>
      </c>
      <c r="AD900" t="str">
        <f t="shared" si="14"/>
        <v>Escobedo → Hidalgo</v>
      </c>
      <c r="AE900" t="s">
        <v>1357</v>
      </c>
      <c r="AF900" s="4">
        <v>45870</v>
      </c>
      <c r="AG900" t="str">
        <f>YEAR(Table1[[#This Row],[Fecha]])&amp;" - " &amp;UPPER(TEXT(Table1[[#This Row],[Fecha]],"mm-mmm"))</f>
        <v>2025 - 08-AGO</v>
      </c>
      <c r="AH900" s="5">
        <v>0</v>
      </c>
    </row>
    <row r="901" spans="1:34" x14ac:dyDescent="0.25">
      <c r="A901" t="s">
        <v>677</v>
      </c>
      <c r="B901">
        <v>2025</v>
      </c>
      <c r="C901">
        <v>8</v>
      </c>
      <c r="D901" s="1">
        <v>45898</v>
      </c>
      <c r="E901" s="1">
        <v>45898</v>
      </c>
      <c r="F901" s="1">
        <v>45898</v>
      </c>
      <c r="G901" s="1">
        <v>45898</v>
      </c>
      <c r="H901" s="2">
        <v>45898.759580983795</v>
      </c>
      <c r="I901">
        <v>2039</v>
      </c>
      <c r="J901" t="s">
        <v>30</v>
      </c>
      <c r="K901" t="s">
        <v>31</v>
      </c>
      <c r="L901">
        <v>50</v>
      </c>
      <c r="M901">
        <v>50</v>
      </c>
      <c r="N901" t="s">
        <v>32</v>
      </c>
      <c r="O901">
        <v>1</v>
      </c>
      <c r="P901">
        <v>150</v>
      </c>
      <c r="Q901" t="b">
        <v>1</v>
      </c>
      <c r="R901" t="b">
        <v>0</v>
      </c>
      <c r="S901" t="b">
        <v>0</v>
      </c>
      <c r="T901">
        <v>231</v>
      </c>
      <c r="U901">
        <v>0</v>
      </c>
      <c r="V901" t="s">
        <v>33</v>
      </c>
      <c r="W901" t="s">
        <v>33</v>
      </c>
      <c r="X901">
        <v>50</v>
      </c>
      <c r="Y901">
        <v>2936</v>
      </c>
      <c r="Z901" t="s">
        <v>34</v>
      </c>
      <c r="AA901">
        <v>2936</v>
      </c>
      <c r="AB901" t="s">
        <v>121</v>
      </c>
      <c r="AC901" t="s">
        <v>432</v>
      </c>
      <c r="AD901" t="str">
        <f t="shared" si="14"/>
        <v>Escobedo → Hidalgo</v>
      </c>
      <c r="AE901" t="s">
        <v>1357</v>
      </c>
      <c r="AF901" s="4">
        <v>45870</v>
      </c>
      <c r="AG901" t="str">
        <f>YEAR(Table1[[#This Row],[Fecha]])&amp;" - " &amp;UPPER(TEXT(Table1[[#This Row],[Fecha]],"mm-mmm"))</f>
        <v>2025 - 08-AGO</v>
      </c>
      <c r="AH901" s="5">
        <v>0</v>
      </c>
    </row>
    <row r="902" spans="1:34" x14ac:dyDescent="0.25">
      <c r="A902" t="s">
        <v>678</v>
      </c>
      <c r="B902">
        <v>2025</v>
      </c>
      <c r="C902">
        <v>8</v>
      </c>
      <c r="D902" s="1">
        <v>45898</v>
      </c>
      <c r="E902" s="1">
        <v>45898</v>
      </c>
      <c r="F902" s="1">
        <v>45898</v>
      </c>
      <c r="G902" s="1">
        <v>45898</v>
      </c>
      <c r="H902" s="2">
        <v>45898.760081597226</v>
      </c>
      <c r="I902">
        <v>2039</v>
      </c>
      <c r="J902" t="s">
        <v>30</v>
      </c>
      <c r="K902" t="s">
        <v>31</v>
      </c>
      <c r="L902">
        <v>50</v>
      </c>
      <c r="M902">
        <v>50</v>
      </c>
      <c r="N902" t="s">
        <v>32</v>
      </c>
      <c r="O902">
        <v>1</v>
      </c>
      <c r="P902">
        <v>150</v>
      </c>
      <c r="Q902" t="b">
        <v>1</v>
      </c>
      <c r="R902" t="b">
        <v>0</v>
      </c>
      <c r="S902" t="b">
        <v>0</v>
      </c>
      <c r="T902">
        <v>231</v>
      </c>
      <c r="U902">
        <v>0</v>
      </c>
      <c r="V902" t="s">
        <v>33</v>
      </c>
      <c r="W902" t="s">
        <v>33</v>
      </c>
      <c r="X902">
        <v>50</v>
      </c>
      <c r="Y902">
        <v>2936</v>
      </c>
      <c r="Z902" t="s">
        <v>34</v>
      </c>
      <c r="AA902">
        <v>2936</v>
      </c>
      <c r="AB902" t="s">
        <v>121</v>
      </c>
      <c r="AC902" t="s">
        <v>432</v>
      </c>
      <c r="AD902" t="str">
        <f t="shared" si="14"/>
        <v>Escobedo → Hidalgo</v>
      </c>
      <c r="AE902" t="s">
        <v>1357</v>
      </c>
      <c r="AF902" s="4">
        <v>45870</v>
      </c>
      <c r="AG902" t="str">
        <f>YEAR(Table1[[#This Row],[Fecha]])&amp;" - " &amp;UPPER(TEXT(Table1[[#This Row],[Fecha]],"mm-mmm"))</f>
        <v>2025 - 08-AGO</v>
      </c>
      <c r="AH902" s="5">
        <v>0</v>
      </c>
    </row>
    <row r="903" spans="1:34" x14ac:dyDescent="0.25">
      <c r="A903" t="s">
        <v>1201</v>
      </c>
      <c r="B903">
        <v>2025</v>
      </c>
      <c r="C903">
        <v>8</v>
      </c>
      <c r="D903" s="1">
        <v>45898</v>
      </c>
      <c r="E903" s="1">
        <v>45898</v>
      </c>
      <c r="F903" s="1">
        <v>45898</v>
      </c>
      <c r="G903" s="1">
        <v>45898</v>
      </c>
      <c r="H903" s="2">
        <v>45898.76061542824</v>
      </c>
      <c r="I903">
        <v>2039</v>
      </c>
      <c r="J903" t="s">
        <v>30</v>
      </c>
      <c r="K903" t="s">
        <v>31</v>
      </c>
      <c r="L903">
        <v>50</v>
      </c>
      <c r="M903">
        <v>50</v>
      </c>
      <c r="N903" t="s">
        <v>32</v>
      </c>
      <c r="O903">
        <v>1</v>
      </c>
      <c r="P903">
        <v>150</v>
      </c>
      <c r="Q903" t="b">
        <v>1</v>
      </c>
      <c r="R903" t="b">
        <v>0</v>
      </c>
      <c r="S903" t="b">
        <v>0</v>
      </c>
      <c r="T903">
        <v>231</v>
      </c>
      <c r="U903">
        <v>0</v>
      </c>
      <c r="V903" t="s">
        <v>33</v>
      </c>
      <c r="W903" t="s">
        <v>33</v>
      </c>
      <c r="X903">
        <v>50</v>
      </c>
      <c r="Y903">
        <v>359</v>
      </c>
      <c r="Z903" t="s">
        <v>34</v>
      </c>
      <c r="AA903">
        <v>359</v>
      </c>
      <c r="AB903" t="s">
        <v>121</v>
      </c>
      <c r="AC903" t="s">
        <v>121</v>
      </c>
      <c r="AD903" t="str">
        <f t="shared" si="14"/>
        <v>Escobedo → Escobedo</v>
      </c>
      <c r="AE903" t="s">
        <v>1357</v>
      </c>
      <c r="AF903" s="4">
        <v>45870</v>
      </c>
      <c r="AG903" t="str">
        <f>YEAR(Table1[[#This Row],[Fecha]])&amp;" - " &amp;UPPER(TEXT(Table1[[#This Row],[Fecha]],"mm-mmm"))</f>
        <v>2025 - 08-AGO</v>
      </c>
      <c r="AH903" s="5">
        <v>0</v>
      </c>
    </row>
    <row r="904" spans="1:34" x14ac:dyDescent="0.25">
      <c r="A904" t="s">
        <v>673</v>
      </c>
      <c r="B904">
        <v>2025</v>
      </c>
      <c r="C904">
        <v>8</v>
      </c>
      <c r="D904" s="1">
        <v>45898</v>
      </c>
      <c r="E904" s="1">
        <v>45898</v>
      </c>
      <c r="F904" s="1">
        <v>45898</v>
      </c>
      <c r="G904" s="1">
        <v>45898</v>
      </c>
      <c r="H904" s="2">
        <v>45898.761108217594</v>
      </c>
      <c r="I904">
        <v>2039</v>
      </c>
      <c r="J904" t="s">
        <v>30</v>
      </c>
      <c r="K904" t="s">
        <v>31</v>
      </c>
      <c r="L904">
        <v>50</v>
      </c>
      <c r="M904">
        <v>50</v>
      </c>
      <c r="N904" t="s">
        <v>32</v>
      </c>
      <c r="O904">
        <v>1</v>
      </c>
      <c r="P904">
        <v>150</v>
      </c>
      <c r="Q904" t="b">
        <v>1</v>
      </c>
      <c r="R904" t="b">
        <v>0</v>
      </c>
      <c r="S904" t="b">
        <v>0</v>
      </c>
      <c r="T904">
        <v>231</v>
      </c>
      <c r="U904">
        <v>0</v>
      </c>
      <c r="V904" t="s">
        <v>33</v>
      </c>
      <c r="W904" t="s">
        <v>33</v>
      </c>
      <c r="X904">
        <v>50</v>
      </c>
      <c r="Y904">
        <v>2936</v>
      </c>
      <c r="Z904" t="s">
        <v>34</v>
      </c>
      <c r="AA904">
        <v>2936</v>
      </c>
      <c r="AB904" t="s">
        <v>121</v>
      </c>
      <c r="AC904" t="s">
        <v>432</v>
      </c>
      <c r="AD904" t="str">
        <f t="shared" si="14"/>
        <v>Escobedo → Hidalgo</v>
      </c>
      <c r="AE904" t="s">
        <v>1357</v>
      </c>
      <c r="AF904" s="4">
        <v>45870</v>
      </c>
      <c r="AG904" t="str">
        <f>YEAR(Table1[[#This Row],[Fecha]])&amp;" - " &amp;UPPER(TEXT(Table1[[#This Row],[Fecha]],"mm-mmm"))</f>
        <v>2025 - 08-AGO</v>
      </c>
      <c r="AH904" s="5">
        <v>0</v>
      </c>
    </row>
    <row r="905" spans="1:34" x14ac:dyDescent="0.25">
      <c r="A905" t="s">
        <v>381</v>
      </c>
      <c r="B905">
        <v>2025</v>
      </c>
      <c r="C905">
        <v>8</v>
      </c>
      <c r="D905" s="1">
        <v>45898</v>
      </c>
      <c r="E905" s="1">
        <v>45898</v>
      </c>
      <c r="F905" s="1">
        <v>45898</v>
      </c>
      <c r="G905" s="1">
        <v>45898</v>
      </c>
      <c r="H905" s="1">
        <v>45898</v>
      </c>
      <c r="I905">
        <v>2039</v>
      </c>
      <c r="J905" t="s">
        <v>30</v>
      </c>
      <c r="K905" t="s">
        <v>31</v>
      </c>
      <c r="L905">
        <v>50</v>
      </c>
      <c r="M905">
        <v>50</v>
      </c>
      <c r="N905" t="s">
        <v>32</v>
      </c>
      <c r="O905">
        <v>1</v>
      </c>
      <c r="P905">
        <v>150</v>
      </c>
      <c r="Q905" t="b">
        <v>1</v>
      </c>
      <c r="R905" t="b">
        <v>0</v>
      </c>
      <c r="S905" t="b">
        <v>0</v>
      </c>
      <c r="T905">
        <v>231</v>
      </c>
      <c r="U905">
        <v>0</v>
      </c>
      <c r="V905" t="s">
        <v>33</v>
      </c>
      <c r="W905" t="s">
        <v>33</v>
      </c>
      <c r="X905">
        <v>50</v>
      </c>
      <c r="Y905">
        <v>461</v>
      </c>
      <c r="Z905" t="s">
        <v>34</v>
      </c>
      <c r="AA905">
        <v>461</v>
      </c>
      <c r="AB905" t="s">
        <v>121</v>
      </c>
      <c r="AC905" t="s">
        <v>35</v>
      </c>
      <c r="AD905" t="str">
        <f t="shared" si="14"/>
        <v>Escobedo → Monterrey</v>
      </c>
      <c r="AE905" t="s">
        <v>1357</v>
      </c>
      <c r="AF905" s="4">
        <v>45870</v>
      </c>
      <c r="AG905" t="str">
        <f>YEAR(Table1[[#This Row],[Fecha]])&amp;" - " &amp;UPPER(TEXT(Table1[[#This Row],[Fecha]],"mm-mmm"))</f>
        <v>2025 - 08-AGO</v>
      </c>
      <c r="AH905" s="5">
        <v>0</v>
      </c>
    </row>
    <row r="906" spans="1:34" x14ac:dyDescent="0.25">
      <c r="A906" t="s">
        <v>1213</v>
      </c>
      <c r="B906">
        <v>2025</v>
      </c>
      <c r="C906">
        <v>8</v>
      </c>
      <c r="D906" s="1">
        <v>45872</v>
      </c>
      <c r="E906" s="1">
        <v>45872</v>
      </c>
      <c r="F906" s="1">
        <v>45872</v>
      </c>
      <c r="G906" s="1">
        <v>45872</v>
      </c>
      <c r="H906" s="1">
        <v>45872</v>
      </c>
      <c r="I906">
        <v>1902</v>
      </c>
      <c r="J906" t="s">
        <v>30</v>
      </c>
      <c r="K906" t="s">
        <v>31</v>
      </c>
      <c r="L906">
        <v>50</v>
      </c>
      <c r="M906">
        <v>50</v>
      </c>
      <c r="N906" t="s">
        <v>118</v>
      </c>
      <c r="O906">
        <v>1</v>
      </c>
      <c r="P906">
        <v>150</v>
      </c>
      <c r="Q906" t="b">
        <v>1</v>
      </c>
      <c r="R906" t="b">
        <v>0</v>
      </c>
      <c r="S906" t="b">
        <v>0</v>
      </c>
      <c r="T906">
        <v>231</v>
      </c>
      <c r="U906">
        <v>0</v>
      </c>
      <c r="V906" t="s">
        <v>33</v>
      </c>
      <c r="W906" t="s">
        <v>33</v>
      </c>
      <c r="X906">
        <v>50</v>
      </c>
      <c r="Y906">
        <v>359</v>
      </c>
      <c r="Z906" t="s">
        <v>34</v>
      </c>
      <c r="AA906">
        <v>359</v>
      </c>
      <c r="AB906" t="s">
        <v>121</v>
      </c>
      <c r="AC906" t="s">
        <v>121</v>
      </c>
      <c r="AD906" t="str">
        <f t="shared" si="14"/>
        <v>Escobedo → Escobedo</v>
      </c>
      <c r="AE906" t="s">
        <v>1357</v>
      </c>
      <c r="AF906" s="4">
        <v>45870</v>
      </c>
      <c r="AG906" t="str">
        <f>YEAR(Table1[[#This Row],[Fecha]])&amp;" - " &amp;UPPER(TEXT(Table1[[#This Row],[Fecha]],"mm-mmm"))</f>
        <v>2025 - 08-AGO</v>
      </c>
      <c r="AH906" s="5">
        <v>0</v>
      </c>
    </row>
    <row r="907" spans="1:34" x14ac:dyDescent="0.25">
      <c r="A907" t="s">
        <v>679</v>
      </c>
      <c r="B907">
        <v>2025</v>
      </c>
      <c r="C907">
        <v>8</v>
      </c>
      <c r="D907" s="1">
        <v>45872</v>
      </c>
      <c r="E907" s="1">
        <v>45872</v>
      </c>
      <c r="F907" s="1">
        <v>45872</v>
      </c>
      <c r="G907" s="1">
        <v>45872</v>
      </c>
      <c r="H907" s="1">
        <v>45872</v>
      </c>
      <c r="I907">
        <v>1902</v>
      </c>
      <c r="J907" t="s">
        <v>30</v>
      </c>
      <c r="K907" t="s">
        <v>31</v>
      </c>
      <c r="L907">
        <v>50</v>
      </c>
      <c r="M907">
        <v>50</v>
      </c>
      <c r="N907" t="s">
        <v>118</v>
      </c>
      <c r="O907">
        <v>1</v>
      </c>
      <c r="P907">
        <v>150</v>
      </c>
      <c r="Q907" t="b">
        <v>1</v>
      </c>
      <c r="R907" t="b">
        <v>0</v>
      </c>
      <c r="S907" t="b">
        <v>0</v>
      </c>
      <c r="T907">
        <v>231</v>
      </c>
      <c r="U907">
        <v>0</v>
      </c>
      <c r="V907" t="s">
        <v>33</v>
      </c>
      <c r="W907" t="s">
        <v>33</v>
      </c>
      <c r="X907">
        <v>50</v>
      </c>
      <c r="Y907">
        <v>2936</v>
      </c>
      <c r="Z907" t="s">
        <v>34</v>
      </c>
      <c r="AA907">
        <v>2936</v>
      </c>
      <c r="AB907" t="s">
        <v>121</v>
      </c>
      <c r="AC907" t="s">
        <v>432</v>
      </c>
      <c r="AD907" t="str">
        <f t="shared" si="14"/>
        <v>Escobedo → Hidalgo</v>
      </c>
      <c r="AE907" t="s">
        <v>1357</v>
      </c>
      <c r="AF907" s="4">
        <v>45870</v>
      </c>
      <c r="AG907" t="str">
        <f>YEAR(Table1[[#This Row],[Fecha]])&amp;" - " &amp;UPPER(TEXT(Table1[[#This Row],[Fecha]],"mm-mmm"))</f>
        <v>2025 - 08-AGO</v>
      </c>
      <c r="AH907" s="5">
        <v>0</v>
      </c>
    </row>
    <row r="908" spans="1:34" x14ac:dyDescent="0.25">
      <c r="A908" t="s">
        <v>226</v>
      </c>
      <c r="B908">
        <v>2025</v>
      </c>
      <c r="C908">
        <v>8</v>
      </c>
      <c r="D908" s="1">
        <v>45873</v>
      </c>
      <c r="E908" s="1">
        <v>45873</v>
      </c>
      <c r="F908" s="1">
        <v>45874</v>
      </c>
      <c r="G908" s="1">
        <v>45874</v>
      </c>
      <c r="H908" s="1">
        <v>45874</v>
      </c>
      <c r="I908">
        <v>1902</v>
      </c>
      <c r="J908" t="s">
        <v>30</v>
      </c>
      <c r="K908" t="s">
        <v>31</v>
      </c>
      <c r="L908">
        <v>901</v>
      </c>
      <c r="M908">
        <v>901</v>
      </c>
      <c r="N908" t="s">
        <v>118</v>
      </c>
      <c r="O908">
        <v>1</v>
      </c>
      <c r="P908">
        <v>877</v>
      </c>
      <c r="Q908" t="b">
        <v>1</v>
      </c>
      <c r="R908" t="b">
        <v>0</v>
      </c>
      <c r="S908" t="b">
        <v>0</v>
      </c>
      <c r="T908">
        <v>1347</v>
      </c>
      <c r="U908">
        <v>0</v>
      </c>
      <c r="V908" t="s">
        <v>33</v>
      </c>
      <c r="W908" t="s">
        <v>33</v>
      </c>
      <c r="X908">
        <v>1000</v>
      </c>
      <c r="Y908">
        <v>3828</v>
      </c>
      <c r="Z908" t="s">
        <v>106</v>
      </c>
      <c r="AA908">
        <v>3828</v>
      </c>
      <c r="AB908" t="s">
        <v>121</v>
      </c>
      <c r="AC908" t="s">
        <v>119</v>
      </c>
      <c r="AD908" t="str">
        <f t="shared" si="14"/>
        <v>Escobedo → Ecatepec</v>
      </c>
      <c r="AE908" t="s">
        <v>1357</v>
      </c>
      <c r="AF908" s="4">
        <v>45870</v>
      </c>
      <c r="AG908" t="str">
        <f>YEAR(Table1[[#This Row],[Fecha]])&amp;" - " &amp;UPPER(TEXT(Table1[[#This Row],[Fecha]],"mm-mmm"))</f>
        <v>2025 - 08-AGO</v>
      </c>
      <c r="AH908" s="5">
        <v>0</v>
      </c>
    </row>
    <row r="909" spans="1:34" x14ac:dyDescent="0.25">
      <c r="A909" t="s">
        <v>283</v>
      </c>
      <c r="B909">
        <v>2025</v>
      </c>
      <c r="C909">
        <v>8</v>
      </c>
      <c r="D909" s="1">
        <v>45885</v>
      </c>
      <c r="E909" s="1">
        <v>45885</v>
      </c>
      <c r="F909" s="1">
        <v>45887</v>
      </c>
      <c r="G909" s="1">
        <v>45886</v>
      </c>
      <c r="H909" s="1">
        <v>45887</v>
      </c>
      <c r="I909">
        <v>2244</v>
      </c>
      <c r="J909" t="s">
        <v>41</v>
      </c>
      <c r="K909" t="s">
        <v>42</v>
      </c>
      <c r="L909">
        <v>961</v>
      </c>
      <c r="M909">
        <v>0</v>
      </c>
      <c r="N909" t="s">
        <v>43</v>
      </c>
      <c r="O909">
        <v>1</v>
      </c>
      <c r="P909">
        <v>964</v>
      </c>
      <c r="Q909" t="b">
        <v>1</v>
      </c>
      <c r="R909" t="b">
        <v>0</v>
      </c>
      <c r="S909" t="b">
        <v>0</v>
      </c>
      <c r="T909">
        <v>0</v>
      </c>
      <c r="U909">
        <v>0</v>
      </c>
      <c r="V909" t="s">
        <v>33</v>
      </c>
      <c r="W909" t="s">
        <v>284</v>
      </c>
      <c r="X909">
        <v>0</v>
      </c>
      <c r="Y909">
        <v>8</v>
      </c>
      <c r="Z909" t="s">
        <v>44</v>
      </c>
      <c r="AA909">
        <v>8</v>
      </c>
      <c r="AB909" t="s">
        <v>121</v>
      </c>
      <c r="AC909" t="s">
        <v>56</v>
      </c>
      <c r="AD909" t="str">
        <f t="shared" si="14"/>
        <v>Escobedo → Cd Sahagún</v>
      </c>
      <c r="AE909" t="s">
        <v>1359</v>
      </c>
      <c r="AF909" s="4">
        <v>45870</v>
      </c>
      <c r="AG909" t="str">
        <f>YEAR(Table1[[#This Row],[Fecha]])&amp;" - " &amp;UPPER(TEXT(Table1[[#This Row],[Fecha]],"mm-mmm"))</f>
        <v>2025 - 08-AGO</v>
      </c>
      <c r="AH909" s="5">
        <v>0</v>
      </c>
    </row>
    <row r="910" spans="1:34" x14ac:dyDescent="0.25">
      <c r="A910" t="s">
        <v>83</v>
      </c>
      <c r="B910">
        <v>2025</v>
      </c>
      <c r="C910">
        <v>8</v>
      </c>
      <c r="D910" s="1">
        <v>45892</v>
      </c>
      <c r="E910" s="1">
        <v>45892</v>
      </c>
      <c r="F910" s="1">
        <v>45894</v>
      </c>
      <c r="G910" s="1">
        <v>45894</v>
      </c>
      <c r="H910" s="1">
        <v>45894</v>
      </c>
      <c r="I910">
        <v>2244</v>
      </c>
      <c r="J910" t="s">
        <v>41</v>
      </c>
      <c r="K910" t="s">
        <v>42</v>
      </c>
      <c r="L910">
        <v>98</v>
      </c>
      <c r="M910">
        <v>0</v>
      </c>
      <c r="N910" t="s">
        <v>43</v>
      </c>
      <c r="O910">
        <v>1</v>
      </c>
      <c r="P910">
        <v>150</v>
      </c>
      <c r="Q910" t="b">
        <v>1</v>
      </c>
      <c r="R910" t="b">
        <v>0</v>
      </c>
      <c r="S910" t="b">
        <v>0</v>
      </c>
      <c r="T910">
        <v>0</v>
      </c>
      <c r="U910">
        <v>0</v>
      </c>
      <c r="V910" t="s">
        <v>33</v>
      </c>
      <c r="W910" t="s">
        <v>84</v>
      </c>
      <c r="X910">
        <v>0</v>
      </c>
      <c r="Y910">
        <v>289</v>
      </c>
      <c r="Z910" t="s">
        <v>44</v>
      </c>
      <c r="AA910">
        <v>289</v>
      </c>
      <c r="AB910" t="s">
        <v>56</v>
      </c>
      <c r="AC910" t="s">
        <v>85</v>
      </c>
      <c r="AD910" t="str">
        <f t="shared" si="14"/>
        <v>Cd Sahagún → Cd Hidalgo</v>
      </c>
      <c r="AE910" t="s">
        <v>1359</v>
      </c>
      <c r="AF910" s="4">
        <v>45870</v>
      </c>
      <c r="AG910" t="str">
        <f>YEAR(Table1[[#This Row],[Fecha]])&amp;" - " &amp;UPPER(TEXT(Table1[[#This Row],[Fecha]],"mm-mmm"))</f>
        <v>2025 - 08-AGO</v>
      </c>
      <c r="AH910" s="5">
        <v>0</v>
      </c>
    </row>
    <row r="911" spans="1:34" x14ac:dyDescent="0.25">
      <c r="A911" t="s">
        <v>86</v>
      </c>
      <c r="B911">
        <v>2025</v>
      </c>
      <c r="C911">
        <v>8</v>
      </c>
      <c r="D911" s="1">
        <v>45898</v>
      </c>
      <c r="E911" s="1">
        <v>45898</v>
      </c>
      <c r="F911" s="1">
        <v>45901</v>
      </c>
      <c r="G911" s="1">
        <v>45901</v>
      </c>
      <c r="H911" s="1">
        <v>45902</v>
      </c>
      <c r="I911">
        <v>2244</v>
      </c>
      <c r="J911" t="s">
        <v>41</v>
      </c>
      <c r="K911" t="s">
        <v>42</v>
      </c>
      <c r="L911">
        <v>180</v>
      </c>
      <c r="M911">
        <v>180</v>
      </c>
      <c r="N911" t="s">
        <v>43</v>
      </c>
      <c r="O911">
        <v>1</v>
      </c>
      <c r="P911">
        <v>208</v>
      </c>
      <c r="Q911" t="b">
        <v>1</v>
      </c>
      <c r="R911" t="b">
        <v>0</v>
      </c>
      <c r="S911" t="b">
        <v>0</v>
      </c>
      <c r="T911">
        <v>536</v>
      </c>
      <c r="U911">
        <v>0</v>
      </c>
      <c r="V911" t="s">
        <v>33</v>
      </c>
      <c r="W911" t="s">
        <v>33</v>
      </c>
      <c r="X911">
        <v>200</v>
      </c>
      <c r="Y911">
        <v>289</v>
      </c>
      <c r="Z911" t="s">
        <v>44</v>
      </c>
      <c r="AA911">
        <v>289</v>
      </c>
      <c r="AB911" t="s">
        <v>56</v>
      </c>
      <c r="AC911" t="s">
        <v>85</v>
      </c>
      <c r="AD911" t="str">
        <f t="shared" si="14"/>
        <v>Cd Sahagún → Cd Hidalgo</v>
      </c>
      <c r="AE911" t="s">
        <v>1359</v>
      </c>
      <c r="AF911" s="4">
        <v>45870</v>
      </c>
      <c r="AG911" t="str">
        <f>YEAR(Table1[[#This Row],[Fecha]])&amp;" - " &amp;UPPER(TEXT(Table1[[#This Row],[Fecha]],"mm-mmm"))</f>
        <v>2025 - 08-AGO</v>
      </c>
      <c r="AH911" s="5">
        <v>0</v>
      </c>
    </row>
    <row r="912" spans="1:34" x14ac:dyDescent="0.25">
      <c r="A912" t="s">
        <v>87</v>
      </c>
      <c r="B912">
        <v>2025</v>
      </c>
      <c r="C912">
        <v>8</v>
      </c>
      <c r="D912" s="1">
        <v>45898</v>
      </c>
      <c r="E912" s="1">
        <v>45898</v>
      </c>
      <c r="F912" s="1">
        <v>45902</v>
      </c>
      <c r="G912" s="1">
        <v>45901</v>
      </c>
      <c r="H912" s="1">
        <v>45902</v>
      </c>
      <c r="I912">
        <v>2244</v>
      </c>
      <c r="J912" t="s">
        <v>41</v>
      </c>
      <c r="K912" t="s">
        <v>42</v>
      </c>
      <c r="L912">
        <v>839</v>
      </c>
      <c r="M912">
        <v>839</v>
      </c>
      <c r="N912" t="s">
        <v>43</v>
      </c>
      <c r="O912">
        <v>1</v>
      </c>
      <c r="P912">
        <v>839</v>
      </c>
      <c r="Q912" t="b">
        <v>1</v>
      </c>
      <c r="R912" t="b">
        <v>0</v>
      </c>
      <c r="S912" t="b">
        <v>0</v>
      </c>
      <c r="T912">
        <v>1213</v>
      </c>
      <c r="U912">
        <v>0</v>
      </c>
      <c r="V912" t="s">
        <v>33</v>
      </c>
      <c r="W912" t="s">
        <v>33</v>
      </c>
      <c r="X912">
        <v>900</v>
      </c>
      <c r="Y912">
        <v>289</v>
      </c>
      <c r="Z912" t="s">
        <v>44</v>
      </c>
      <c r="AA912">
        <v>289</v>
      </c>
      <c r="AB912" t="s">
        <v>56</v>
      </c>
      <c r="AC912" t="s">
        <v>85</v>
      </c>
      <c r="AD912" t="str">
        <f t="shared" si="14"/>
        <v>Cd Sahagún → Cd Hidalgo</v>
      </c>
      <c r="AE912" t="s">
        <v>1359</v>
      </c>
      <c r="AF912" s="4">
        <v>45870</v>
      </c>
      <c r="AG912" t="str">
        <f>YEAR(Table1[[#This Row],[Fecha]])&amp;" - " &amp;UPPER(TEXT(Table1[[#This Row],[Fecha]],"mm-mmm"))</f>
        <v>2025 - 08-AGO</v>
      </c>
      <c r="AH912" s="5">
        <v>0</v>
      </c>
    </row>
    <row r="913" spans="1:34" x14ac:dyDescent="0.25">
      <c r="A913" t="s">
        <v>282</v>
      </c>
      <c r="B913">
        <v>2025</v>
      </c>
      <c r="C913">
        <v>8</v>
      </c>
      <c r="D913" s="1">
        <v>45878</v>
      </c>
      <c r="E913" s="1">
        <v>45878</v>
      </c>
      <c r="F913" s="1">
        <v>45880</v>
      </c>
      <c r="G913" s="1">
        <v>45879</v>
      </c>
      <c r="H913" s="2">
        <v>45880.204921956021</v>
      </c>
      <c r="I913">
        <v>2039</v>
      </c>
      <c r="J913" t="s">
        <v>30</v>
      </c>
      <c r="K913" t="s">
        <v>31</v>
      </c>
      <c r="L913">
        <v>961</v>
      </c>
      <c r="M913">
        <v>0</v>
      </c>
      <c r="N913" t="s">
        <v>32</v>
      </c>
      <c r="O913">
        <v>1</v>
      </c>
      <c r="P913">
        <v>964</v>
      </c>
      <c r="Q913" t="b">
        <v>1</v>
      </c>
      <c r="R913" t="b">
        <v>0</v>
      </c>
      <c r="S913" t="b">
        <v>0</v>
      </c>
      <c r="T913">
        <v>0</v>
      </c>
      <c r="U913">
        <v>0</v>
      </c>
      <c r="V913" t="s">
        <v>33</v>
      </c>
      <c r="W913" t="s">
        <v>33</v>
      </c>
      <c r="X913">
        <v>0</v>
      </c>
      <c r="Y913">
        <v>8</v>
      </c>
      <c r="Z913" t="s">
        <v>44</v>
      </c>
      <c r="AA913">
        <v>8</v>
      </c>
      <c r="AB913" t="s">
        <v>121</v>
      </c>
      <c r="AC913" t="s">
        <v>56</v>
      </c>
      <c r="AD913" t="str">
        <f t="shared" si="14"/>
        <v>Escobedo → Cd Sahagún</v>
      </c>
      <c r="AE913" t="s">
        <v>1357</v>
      </c>
      <c r="AF913" s="4">
        <v>45870</v>
      </c>
      <c r="AG913" t="str">
        <f>YEAR(Table1[[#This Row],[Fecha]])&amp;" - " &amp;UPPER(TEXT(Table1[[#This Row],[Fecha]],"mm-mmm"))</f>
        <v>2025 - 08-AGO</v>
      </c>
      <c r="AH913" s="5">
        <v>0</v>
      </c>
    </row>
    <row r="914" spans="1:34" x14ac:dyDescent="0.25">
      <c r="A914" t="s">
        <v>1193</v>
      </c>
      <c r="B914">
        <v>2025</v>
      </c>
      <c r="C914">
        <v>9</v>
      </c>
      <c r="D914" s="1">
        <v>45912</v>
      </c>
      <c r="E914" s="1">
        <v>45912</v>
      </c>
      <c r="F914" s="1">
        <v>45912</v>
      </c>
      <c r="G914" s="1">
        <v>45912</v>
      </c>
      <c r="H914" s="1">
        <v>45912</v>
      </c>
      <c r="I914">
        <v>2039</v>
      </c>
      <c r="J914" t="s">
        <v>30</v>
      </c>
      <c r="K914" t="s">
        <v>31</v>
      </c>
      <c r="L914">
        <v>50</v>
      </c>
      <c r="M914">
        <v>50</v>
      </c>
      <c r="N914" t="s">
        <v>32</v>
      </c>
      <c r="O914">
        <v>1</v>
      </c>
      <c r="P914">
        <v>150</v>
      </c>
      <c r="Q914" t="b">
        <v>1</v>
      </c>
      <c r="R914" t="b">
        <v>0</v>
      </c>
      <c r="S914" t="b">
        <v>0</v>
      </c>
      <c r="T914">
        <v>231</v>
      </c>
      <c r="U914">
        <v>0</v>
      </c>
      <c r="V914" t="s">
        <v>33</v>
      </c>
      <c r="W914" t="s">
        <v>33</v>
      </c>
      <c r="X914">
        <v>50</v>
      </c>
      <c r="Y914">
        <v>359</v>
      </c>
      <c r="Z914" t="s">
        <v>34</v>
      </c>
      <c r="AA914">
        <v>359</v>
      </c>
      <c r="AB914" t="s">
        <v>121</v>
      </c>
      <c r="AC914" t="s">
        <v>121</v>
      </c>
      <c r="AD914" t="str">
        <f t="shared" si="14"/>
        <v>Escobedo → Escobedo</v>
      </c>
      <c r="AE914" t="s">
        <v>1357</v>
      </c>
      <c r="AF914" s="4">
        <v>45901</v>
      </c>
      <c r="AG914" t="str">
        <f>YEAR(Table1[[#This Row],[Fecha]])&amp;" - " &amp;UPPER(TEXT(Table1[[#This Row],[Fecha]],"mm-mmm"))</f>
        <v>2025 - 09-SEP</v>
      </c>
      <c r="AH914" s="5">
        <v>0</v>
      </c>
    </row>
    <row r="915" spans="1:34" x14ac:dyDescent="0.25">
      <c r="A915" t="s">
        <v>1194</v>
      </c>
      <c r="B915">
        <v>2025</v>
      </c>
      <c r="C915">
        <v>9</v>
      </c>
      <c r="D915" s="1">
        <v>45912</v>
      </c>
      <c r="E915" s="1">
        <v>45912</v>
      </c>
      <c r="F915" s="1">
        <v>45912</v>
      </c>
      <c r="G915" s="1">
        <v>45912</v>
      </c>
      <c r="H915" s="1">
        <v>45912</v>
      </c>
      <c r="I915">
        <v>2039</v>
      </c>
      <c r="J915" t="s">
        <v>30</v>
      </c>
      <c r="K915" t="s">
        <v>31</v>
      </c>
      <c r="L915">
        <v>50</v>
      </c>
      <c r="M915">
        <v>50</v>
      </c>
      <c r="N915" t="s">
        <v>32</v>
      </c>
      <c r="O915">
        <v>1</v>
      </c>
      <c r="P915">
        <v>150</v>
      </c>
      <c r="Q915" t="b">
        <v>1</v>
      </c>
      <c r="R915" t="b">
        <v>0</v>
      </c>
      <c r="S915" t="b">
        <v>0</v>
      </c>
      <c r="T915">
        <v>231</v>
      </c>
      <c r="U915">
        <v>0</v>
      </c>
      <c r="V915" t="s">
        <v>33</v>
      </c>
      <c r="W915" t="s">
        <v>33</v>
      </c>
      <c r="X915">
        <v>50</v>
      </c>
      <c r="Y915">
        <v>359</v>
      </c>
      <c r="Z915" t="s">
        <v>34</v>
      </c>
      <c r="AA915">
        <v>359</v>
      </c>
      <c r="AB915" t="s">
        <v>121</v>
      </c>
      <c r="AC915" t="s">
        <v>121</v>
      </c>
      <c r="AD915" t="str">
        <f t="shared" si="14"/>
        <v>Escobedo → Escobedo</v>
      </c>
      <c r="AE915" t="s">
        <v>1357</v>
      </c>
      <c r="AF915" s="4">
        <v>45901</v>
      </c>
      <c r="AG915" t="str">
        <f>YEAR(Table1[[#This Row],[Fecha]])&amp;" - " &amp;UPPER(TEXT(Table1[[#This Row],[Fecha]],"mm-mmm"))</f>
        <v>2025 - 09-SEP</v>
      </c>
      <c r="AH915" s="5">
        <v>0</v>
      </c>
    </row>
    <row r="916" spans="1:34" x14ac:dyDescent="0.25">
      <c r="A916" t="s">
        <v>1195</v>
      </c>
      <c r="B916">
        <v>2025</v>
      </c>
      <c r="C916">
        <v>9</v>
      </c>
      <c r="D916" s="1">
        <v>45912</v>
      </c>
      <c r="E916" s="1">
        <v>45912</v>
      </c>
      <c r="F916" s="1">
        <v>45912</v>
      </c>
      <c r="G916" s="1">
        <v>45912</v>
      </c>
      <c r="H916" s="1">
        <v>45912</v>
      </c>
      <c r="I916">
        <v>2039</v>
      </c>
      <c r="J916" t="s">
        <v>30</v>
      </c>
      <c r="K916" t="s">
        <v>31</v>
      </c>
      <c r="L916">
        <v>50</v>
      </c>
      <c r="M916">
        <v>50</v>
      </c>
      <c r="N916" t="s">
        <v>32</v>
      </c>
      <c r="O916">
        <v>1</v>
      </c>
      <c r="P916">
        <v>150</v>
      </c>
      <c r="Q916" t="b">
        <v>1</v>
      </c>
      <c r="R916" t="b">
        <v>0</v>
      </c>
      <c r="S916" t="b">
        <v>0</v>
      </c>
      <c r="T916">
        <v>231</v>
      </c>
      <c r="U916">
        <v>0</v>
      </c>
      <c r="V916" t="s">
        <v>33</v>
      </c>
      <c r="W916" t="s">
        <v>33</v>
      </c>
      <c r="X916">
        <v>50</v>
      </c>
      <c r="Y916">
        <v>359</v>
      </c>
      <c r="Z916" t="s">
        <v>34</v>
      </c>
      <c r="AA916">
        <v>359</v>
      </c>
      <c r="AB916" t="s">
        <v>121</v>
      </c>
      <c r="AC916" t="s">
        <v>121</v>
      </c>
      <c r="AD916" t="str">
        <f t="shared" si="14"/>
        <v>Escobedo → Escobedo</v>
      </c>
      <c r="AE916" t="s">
        <v>1357</v>
      </c>
      <c r="AF916" s="4">
        <v>45901</v>
      </c>
      <c r="AG916" t="str">
        <f>YEAR(Table1[[#This Row],[Fecha]])&amp;" - " &amp;UPPER(TEXT(Table1[[#This Row],[Fecha]],"mm-mmm"))</f>
        <v>2025 - 09-SEP</v>
      </c>
      <c r="AH916" s="5">
        <v>0</v>
      </c>
    </row>
    <row r="917" spans="1:34" x14ac:dyDescent="0.25">
      <c r="A917" t="s">
        <v>1196</v>
      </c>
      <c r="B917">
        <v>2025</v>
      </c>
      <c r="C917">
        <v>9</v>
      </c>
      <c r="D917" s="1">
        <v>45912</v>
      </c>
      <c r="E917" s="1">
        <v>45912</v>
      </c>
      <c r="F917" s="1">
        <v>45912</v>
      </c>
      <c r="G917" s="1">
        <v>45912</v>
      </c>
      <c r="H917" s="1">
        <v>45912</v>
      </c>
      <c r="I917">
        <v>2039</v>
      </c>
      <c r="J917" t="s">
        <v>30</v>
      </c>
      <c r="K917" t="s">
        <v>31</v>
      </c>
      <c r="L917">
        <v>50</v>
      </c>
      <c r="M917">
        <v>50</v>
      </c>
      <c r="N917" t="s">
        <v>32</v>
      </c>
      <c r="O917">
        <v>1</v>
      </c>
      <c r="P917">
        <v>150</v>
      </c>
      <c r="Q917" t="b">
        <v>1</v>
      </c>
      <c r="R917" t="b">
        <v>0</v>
      </c>
      <c r="S917" t="b">
        <v>0</v>
      </c>
      <c r="T917">
        <v>231</v>
      </c>
      <c r="U917">
        <v>0</v>
      </c>
      <c r="V917" t="s">
        <v>33</v>
      </c>
      <c r="W917" t="s">
        <v>33</v>
      </c>
      <c r="X917">
        <v>50</v>
      </c>
      <c r="Y917">
        <v>359</v>
      </c>
      <c r="Z917" t="s">
        <v>34</v>
      </c>
      <c r="AA917">
        <v>359</v>
      </c>
      <c r="AB917" t="s">
        <v>121</v>
      </c>
      <c r="AC917" t="s">
        <v>121</v>
      </c>
      <c r="AD917" t="str">
        <f t="shared" si="14"/>
        <v>Escobedo → Escobedo</v>
      </c>
      <c r="AE917" t="s">
        <v>1357</v>
      </c>
      <c r="AF917" s="4">
        <v>45901</v>
      </c>
      <c r="AG917" t="str">
        <f>YEAR(Table1[[#This Row],[Fecha]])&amp;" - " &amp;UPPER(TEXT(Table1[[#This Row],[Fecha]],"mm-mmm"))</f>
        <v>2025 - 09-SEP</v>
      </c>
      <c r="AH917" s="5">
        <v>0</v>
      </c>
    </row>
    <row r="918" spans="1:34" x14ac:dyDescent="0.25">
      <c r="A918" t="s">
        <v>1197</v>
      </c>
      <c r="B918">
        <v>2025</v>
      </c>
      <c r="C918">
        <v>9</v>
      </c>
      <c r="D918" s="1">
        <v>45913</v>
      </c>
      <c r="E918" s="1">
        <v>45913</v>
      </c>
      <c r="F918" s="1">
        <v>45913</v>
      </c>
      <c r="G918" s="1">
        <v>45913</v>
      </c>
      <c r="H918" s="1">
        <v>45913</v>
      </c>
      <c r="I918">
        <v>2039</v>
      </c>
      <c r="J918" t="s">
        <v>30</v>
      </c>
      <c r="K918" t="s">
        <v>31</v>
      </c>
      <c r="L918">
        <v>50</v>
      </c>
      <c r="M918">
        <v>50</v>
      </c>
      <c r="N918" t="s">
        <v>32</v>
      </c>
      <c r="O918">
        <v>1</v>
      </c>
      <c r="P918">
        <v>150</v>
      </c>
      <c r="Q918" t="b">
        <v>1</v>
      </c>
      <c r="R918" t="b">
        <v>0</v>
      </c>
      <c r="S918" t="b">
        <v>0</v>
      </c>
      <c r="T918">
        <v>231</v>
      </c>
      <c r="U918">
        <v>0</v>
      </c>
      <c r="V918" t="s">
        <v>33</v>
      </c>
      <c r="W918" t="s">
        <v>33</v>
      </c>
      <c r="X918">
        <v>50</v>
      </c>
      <c r="Y918">
        <v>359</v>
      </c>
      <c r="Z918" t="s">
        <v>34</v>
      </c>
      <c r="AA918">
        <v>359</v>
      </c>
      <c r="AB918" t="s">
        <v>121</v>
      </c>
      <c r="AC918" t="s">
        <v>121</v>
      </c>
      <c r="AD918" t="str">
        <f t="shared" si="14"/>
        <v>Escobedo → Escobedo</v>
      </c>
      <c r="AE918" t="s">
        <v>1357</v>
      </c>
      <c r="AF918" s="4">
        <v>45901</v>
      </c>
      <c r="AG918" t="str">
        <f>YEAR(Table1[[#This Row],[Fecha]])&amp;" - " &amp;UPPER(TEXT(Table1[[#This Row],[Fecha]],"mm-mmm"))</f>
        <v>2025 - 09-SEP</v>
      </c>
      <c r="AH918" s="5">
        <v>0</v>
      </c>
    </row>
    <row r="919" spans="1:34" x14ac:dyDescent="0.25">
      <c r="A919" t="s">
        <v>1198</v>
      </c>
      <c r="B919">
        <v>2025</v>
      </c>
      <c r="C919">
        <v>9</v>
      </c>
      <c r="D919" s="1">
        <v>45913</v>
      </c>
      <c r="E919" s="1">
        <v>45913</v>
      </c>
      <c r="F919" s="1">
        <v>45913</v>
      </c>
      <c r="G919" s="1">
        <v>45913</v>
      </c>
      <c r="H919" s="1">
        <v>45913</v>
      </c>
      <c r="I919">
        <v>2039</v>
      </c>
      <c r="J919" t="s">
        <v>30</v>
      </c>
      <c r="K919" t="s">
        <v>31</v>
      </c>
      <c r="L919">
        <v>50</v>
      </c>
      <c r="M919">
        <v>50</v>
      </c>
      <c r="N919" t="s">
        <v>32</v>
      </c>
      <c r="O919">
        <v>1</v>
      </c>
      <c r="P919">
        <v>150</v>
      </c>
      <c r="Q919" t="b">
        <v>1</v>
      </c>
      <c r="R919" t="b">
        <v>0</v>
      </c>
      <c r="S919" t="b">
        <v>0</v>
      </c>
      <c r="T919">
        <v>231</v>
      </c>
      <c r="U919">
        <v>0</v>
      </c>
      <c r="V919" t="s">
        <v>33</v>
      </c>
      <c r="W919" t="s">
        <v>33</v>
      </c>
      <c r="X919">
        <v>50</v>
      </c>
      <c r="Y919">
        <v>359</v>
      </c>
      <c r="Z919" t="s">
        <v>149</v>
      </c>
      <c r="AA919">
        <v>359</v>
      </c>
      <c r="AB919" t="s">
        <v>121</v>
      </c>
      <c r="AC919" t="s">
        <v>121</v>
      </c>
      <c r="AD919" t="str">
        <f t="shared" si="14"/>
        <v>Escobedo → Escobedo</v>
      </c>
      <c r="AE919" t="s">
        <v>1357</v>
      </c>
      <c r="AF919" s="4">
        <v>45901</v>
      </c>
      <c r="AG919" t="str">
        <f>YEAR(Table1[[#This Row],[Fecha]])&amp;" - " &amp;UPPER(TEXT(Table1[[#This Row],[Fecha]],"mm-mmm"))</f>
        <v>2025 - 09-SEP</v>
      </c>
      <c r="AH919" s="5">
        <v>0</v>
      </c>
    </row>
    <row r="920" spans="1:34" x14ac:dyDescent="0.25">
      <c r="A920" t="s">
        <v>1199</v>
      </c>
      <c r="B920">
        <v>2025</v>
      </c>
      <c r="C920">
        <v>9</v>
      </c>
      <c r="D920" s="1">
        <v>45913</v>
      </c>
      <c r="E920" s="1">
        <v>45913</v>
      </c>
      <c r="F920" s="1">
        <v>45914</v>
      </c>
      <c r="G920" s="1">
        <v>45914</v>
      </c>
      <c r="H920" s="1">
        <v>45913</v>
      </c>
      <c r="I920">
        <v>2039</v>
      </c>
      <c r="J920" t="s">
        <v>30</v>
      </c>
      <c r="K920" t="s">
        <v>31</v>
      </c>
      <c r="L920">
        <v>50</v>
      </c>
      <c r="M920">
        <v>50</v>
      </c>
      <c r="N920" t="s">
        <v>32</v>
      </c>
      <c r="O920">
        <v>1</v>
      </c>
      <c r="P920">
        <v>150</v>
      </c>
      <c r="Q920" t="b">
        <v>1</v>
      </c>
      <c r="R920" t="b">
        <v>0</v>
      </c>
      <c r="S920" t="b">
        <v>0</v>
      </c>
      <c r="T920">
        <v>231</v>
      </c>
      <c r="U920">
        <v>0</v>
      </c>
      <c r="V920" t="s">
        <v>33</v>
      </c>
      <c r="W920" t="s">
        <v>33</v>
      </c>
      <c r="X920">
        <v>50</v>
      </c>
      <c r="Y920">
        <v>359</v>
      </c>
      <c r="Z920" t="s">
        <v>149</v>
      </c>
      <c r="AA920">
        <v>359</v>
      </c>
      <c r="AB920" t="s">
        <v>121</v>
      </c>
      <c r="AC920" t="s">
        <v>121</v>
      </c>
      <c r="AD920" t="str">
        <f t="shared" si="14"/>
        <v>Escobedo → Escobedo</v>
      </c>
      <c r="AE920" t="s">
        <v>1357</v>
      </c>
      <c r="AF920" s="4">
        <v>45901</v>
      </c>
      <c r="AG920" t="str">
        <f>YEAR(Table1[[#This Row],[Fecha]])&amp;" - " &amp;UPPER(TEXT(Table1[[#This Row],[Fecha]],"mm-mmm"))</f>
        <v>2025 - 09-SEP</v>
      </c>
      <c r="AH920" s="5">
        <v>0</v>
      </c>
    </row>
    <row r="921" spans="1:34" x14ac:dyDescent="0.25">
      <c r="A921" t="s">
        <v>1188</v>
      </c>
      <c r="B921">
        <v>2025</v>
      </c>
      <c r="C921">
        <v>9</v>
      </c>
      <c r="D921" s="1">
        <v>45919</v>
      </c>
      <c r="E921" s="1">
        <v>45919</v>
      </c>
      <c r="F921" s="1">
        <v>45919</v>
      </c>
      <c r="G921" s="1">
        <v>45919</v>
      </c>
      <c r="H921" s="2">
        <v>45919.58340841435</v>
      </c>
      <c r="I921">
        <v>2039</v>
      </c>
      <c r="J921" t="s">
        <v>30</v>
      </c>
      <c r="K921" t="s">
        <v>31</v>
      </c>
      <c r="L921">
        <v>50</v>
      </c>
      <c r="M921">
        <v>50</v>
      </c>
      <c r="N921" t="s">
        <v>32</v>
      </c>
      <c r="O921">
        <v>1</v>
      </c>
      <c r="P921">
        <v>150</v>
      </c>
      <c r="Q921" t="b">
        <v>1</v>
      </c>
      <c r="R921" t="b">
        <v>0</v>
      </c>
      <c r="S921" t="b">
        <v>0</v>
      </c>
      <c r="T921">
        <v>231</v>
      </c>
      <c r="U921">
        <v>0</v>
      </c>
      <c r="V921" t="s">
        <v>33</v>
      </c>
      <c r="W921" t="s">
        <v>33</v>
      </c>
      <c r="X921">
        <v>50</v>
      </c>
      <c r="Y921">
        <v>359</v>
      </c>
      <c r="Z921" t="s">
        <v>34</v>
      </c>
      <c r="AA921">
        <v>359</v>
      </c>
      <c r="AB921" t="s">
        <v>121</v>
      </c>
      <c r="AC921" t="s">
        <v>121</v>
      </c>
      <c r="AD921" t="str">
        <f t="shared" si="14"/>
        <v>Escobedo → Escobedo</v>
      </c>
      <c r="AE921" t="s">
        <v>1357</v>
      </c>
      <c r="AF921" s="4">
        <v>45901</v>
      </c>
      <c r="AG921" t="str">
        <f>YEAR(Table1[[#This Row],[Fecha]])&amp;" - " &amp;UPPER(TEXT(Table1[[#This Row],[Fecha]],"mm-mmm"))</f>
        <v>2025 - 09-SEP</v>
      </c>
      <c r="AH921" s="5">
        <v>0</v>
      </c>
    </row>
    <row r="922" spans="1:34" x14ac:dyDescent="0.25">
      <c r="A922" t="s">
        <v>1189</v>
      </c>
      <c r="B922">
        <v>2025</v>
      </c>
      <c r="C922">
        <v>9</v>
      </c>
      <c r="D922" s="1">
        <v>45919</v>
      </c>
      <c r="E922" s="1">
        <v>45919</v>
      </c>
      <c r="F922" s="1">
        <v>45919</v>
      </c>
      <c r="G922" s="1">
        <v>45919</v>
      </c>
      <c r="H922" s="2">
        <v>45919.583398842595</v>
      </c>
      <c r="I922">
        <v>2039</v>
      </c>
      <c r="J922" t="s">
        <v>30</v>
      </c>
      <c r="K922" t="s">
        <v>31</v>
      </c>
      <c r="L922">
        <v>50</v>
      </c>
      <c r="M922">
        <v>50</v>
      </c>
      <c r="N922" t="s">
        <v>32</v>
      </c>
      <c r="O922">
        <v>1</v>
      </c>
      <c r="P922">
        <v>150</v>
      </c>
      <c r="Q922" t="b">
        <v>1</v>
      </c>
      <c r="R922" t="b">
        <v>0</v>
      </c>
      <c r="S922" t="b">
        <v>0</v>
      </c>
      <c r="T922">
        <v>231</v>
      </c>
      <c r="U922">
        <v>0</v>
      </c>
      <c r="V922" t="s">
        <v>33</v>
      </c>
      <c r="W922" t="s">
        <v>33</v>
      </c>
      <c r="X922">
        <v>50</v>
      </c>
      <c r="Y922">
        <v>359</v>
      </c>
      <c r="Z922" t="s">
        <v>34</v>
      </c>
      <c r="AA922">
        <v>359</v>
      </c>
      <c r="AB922" t="s">
        <v>121</v>
      </c>
      <c r="AC922" t="s">
        <v>121</v>
      </c>
      <c r="AD922" t="str">
        <f t="shared" si="14"/>
        <v>Escobedo → Escobedo</v>
      </c>
      <c r="AE922" t="s">
        <v>1357</v>
      </c>
      <c r="AF922" s="4">
        <v>45901</v>
      </c>
      <c r="AG922" t="str">
        <f>YEAR(Table1[[#This Row],[Fecha]])&amp;" - " &amp;UPPER(TEXT(Table1[[#This Row],[Fecha]],"mm-mmm"))</f>
        <v>2025 - 09-SEP</v>
      </c>
      <c r="AH922" s="5">
        <v>0</v>
      </c>
    </row>
    <row r="923" spans="1:34" x14ac:dyDescent="0.25">
      <c r="A923" t="s">
        <v>1190</v>
      </c>
      <c r="B923">
        <v>2025</v>
      </c>
      <c r="C923">
        <v>9</v>
      </c>
      <c r="D923" s="1">
        <v>45919</v>
      </c>
      <c r="E923" s="1">
        <v>45919</v>
      </c>
      <c r="F923" s="1">
        <v>45919</v>
      </c>
      <c r="G923" s="1">
        <v>45919</v>
      </c>
      <c r="H923" s="2">
        <v>45919.58338491898</v>
      </c>
      <c r="I923">
        <v>2039</v>
      </c>
      <c r="J923" t="s">
        <v>30</v>
      </c>
      <c r="K923" t="s">
        <v>31</v>
      </c>
      <c r="L923">
        <v>50</v>
      </c>
      <c r="M923">
        <v>50</v>
      </c>
      <c r="N923" t="s">
        <v>32</v>
      </c>
      <c r="O923">
        <v>1</v>
      </c>
      <c r="P923">
        <v>150</v>
      </c>
      <c r="Q923" t="b">
        <v>1</v>
      </c>
      <c r="R923" t="b">
        <v>0</v>
      </c>
      <c r="S923" t="b">
        <v>0</v>
      </c>
      <c r="T923">
        <v>231</v>
      </c>
      <c r="U923">
        <v>0</v>
      </c>
      <c r="V923" t="s">
        <v>33</v>
      </c>
      <c r="W923" t="s">
        <v>33</v>
      </c>
      <c r="X923">
        <v>50</v>
      </c>
      <c r="Y923">
        <v>359</v>
      </c>
      <c r="Z923" t="s">
        <v>34</v>
      </c>
      <c r="AA923">
        <v>359</v>
      </c>
      <c r="AB923" t="s">
        <v>121</v>
      </c>
      <c r="AC923" t="s">
        <v>121</v>
      </c>
      <c r="AD923" t="str">
        <f t="shared" si="14"/>
        <v>Escobedo → Escobedo</v>
      </c>
      <c r="AE923" t="s">
        <v>1357</v>
      </c>
      <c r="AF923" s="4">
        <v>45901</v>
      </c>
      <c r="AG923" t="str">
        <f>YEAR(Table1[[#This Row],[Fecha]])&amp;" - " &amp;UPPER(TEXT(Table1[[#This Row],[Fecha]],"mm-mmm"))</f>
        <v>2025 - 09-SEP</v>
      </c>
      <c r="AH923" s="5">
        <v>0</v>
      </c>
    </row>
    <row r="924" spans="1:34" x14ac:dyDescent="0.25">
      <c r="A924" t="s">
        <v>1191</v>
      </c>
      <c r="B924">
        <v>2025</v>
      </c>
      <c r="C924">
        <v>9</v>
      </c>
      <c r="D924" s="1">
        <v>45919</v>
      </c>
      <c r="E924" s="1">
        <v>45919</v>
      </c>
      <c r="F924" s="1">
        <v>45919</v>
      </c>
      <c r="G924" s="1">
        <v>45919</v>
      </c>
      <c r="H924" s="1">
        <v>45919</v>
      </c>
      <c r="I924">
        <v>2039</v>
      </c>
      <c r="J924" t="s">
        <v>30</v>
      </c>
      <c r="K924" t="s">
        <v>31</v>
      </c>
      <c r="L924">
        <v>50</v>
      </c>
      <c r="M924">
        <v>50</v>
      </c>
      <c r="N924" t="s">
        <v>32</v>
      </c>
      <c r="O924">
        <v>1</v>
      </c>
      <c r="P924">
        <v>150</v>
      </c>
      <c r="Q924" t="b">
        <v>1</v>
      </c>
      <c r="R924" t="b">
        <v>0</v>
      </c>
      <c r="S924" t="b">
        <v>0</v>
      </c>
      <c r="T924">
        <v>231</v>
      </c>
      <c r="U924">
        <v>0</v>
      </c>
      <c r="V924" t="s">
        <v>33</v>
      </c>
      <c r="W924" t="s">
        <v>33</v>
      </c>
      <c r="X924">
        <v>50</v>
      </c>
      <c r="Y924">
        <v>359</v>
      </c>
      <c r="Z924" t="s">
        <v>34</v>
      </c>
      <c r="AA924">
        <v>359</v>
      </c>
      <c r="AB924" t="s">
        <v>121</v>
      </c>
      <c r="AC924" t="s">
        <v>121</v>
      </c>
      <c r="AD924" t="str">
        <f t="shared" si="14"/>
        <v>Escobedo → Escobedo</v>
      </c>
      <c r="AE924" t="s">
        <v>1357</v>
      </c>
      <c r="AF924" s="4">
        <v>45901</v>
      </c>
      <c r="AG924" t="str">
        <f>YEAR(Table1[[#This Row],[Fecha]])&amp;" - " &amp;UPPER(TEXT(Table1[[#This Row],[Fecha]],"mm-mmm"))</f>
        <v>2025 - 09-SEP</v>
      </c>
      <c r="AH924" s="5">
        <v>0</v>
      </c>
    </row>
    <row r="925" spans="1:34" x14ac:dyDescent="0.25">
      <c r="A925" t="s">
        <v>1192</v>
      </c>
      <c r="B925">
        <v>2025</v>
      </c>
      <c r="C925">
        <v>9</v>
      </c>
      <c r="D925" s="1">
        <v>45919</v>
      </c>
      <c r="E925" s="1">
        <v>45919</v>
      </c>
      <c r="F925" s="1">
        <v>45919</v>
      </c>
      <c r="G925" s="1">
        <v>45919</v>
      </c>
      <c r="H925" s="1">
        <v>45919</v>
      </c>
      <c r="I925">
        <v>2039</v>
      </c>
      <c r="J925" t="s">
        <v>30</v>
      </c>
      <c r="K925" t="s">
        <v>31</v>
      </c>
      <c r="L925">
        <v>50</v>
      </c>
      <c r="M925">
        <v>50</v>
      </c>
      <c r="N925" t="s">
        <v>32</v>
      </c>
      <c r="O925">
        <v>1</v>
      </c>
      <c r="P925">
        <v>150</v>
      </c>
      <c r="Q925" t="b">
        <v>1</v>
      </c>
      <c r="R925" t="b">
        <v>0</v>
      </c>
      <c r="S925" t="b">
        <v>0</v>
      </c>
      <c r="T925">
        <v>231</v>
      </c>
      <c r="U925">
        <v>0</v>
      </c>
      <c r="V925" t="s">
        <v>33</v>
      </c>
      <c r="W925" t="s">
        <v>33</v>
      </c>
      <c r="X925">
        <v>50</v>
      </c>
      <c r="Y925">
        <v>359</v>
      </c>
      <c r="Z925" t="s">
        <v>34</v>
      </c>
      <c r="AA925">
        <v>359</v>
      </c>
      <c r="AB925" t="s">
        <v>121</v>
      </c>
      <c r="AC925" t="s">
        <v>121</v>
      </c>
      <c r="AD925" t="str">
        <f t="shared" si="14"/>
        <v>Escobedo → Escobedo</v>
      </c>
      <c r="AE925" t="s">
        <v>1357</v>
      </c>
      <c r="AF925" s="4">
        <v>45901</v>
      </c>
      <c r="AG925" t="str">
        <f>YEAR(Table1[[#This Row],[Fecha]])&amp;" - " &amp;UPPER(TEXT(Table1[[#This Row],[Fecha]],"mm-mmm"))</f>
        <v>2025 - 09-SEP</v>
      </c>
      <c r="AH925" s="5">
        <v>0</v>
      </c>
    </row>
    <row r="926" spans="1:34" x14ac:dyDescent="0.25">
      <c r="A926" t="s">
        <v>285</v>
      </c>
      <c r="B926">
        <v>2025</v>
      </c>
      <c r="C926">
        <v>9</v>
      </c>
      <c r="D926" s="1">
        <v>45919</v>
      </c>
      <c r="E926" s="1">
        <v>45919</v>
      </c>
      <c r="F926" s="1">
        <v>45920</v>
      </c>
      <c r="G926" s="1">
        <v>45919</v>
      </c>
      <c r="H926" s="1">
        <v>45921</v>
      </c>
      <c r="I926">
        <v>2244</v>
      </c>
      <c r="J926" t="s">
        <v>41</v>
      </c>
      <c r="K926" t="s">
        <v>42</v>
      </c>
      <c r="L926">
        <v>961</v>
      </c>
      <c r="M926">
        <v>1059</v>
      </c>
      <c r="N926" t="s">
        <v>43</v>
      </c>
      <c r="O926">
        <v>1</v>
      </c>
      <c r="P926">
        <v>964</v>
      </c>
      <c r="Q926" t="b">
        <v>1</v>
      </c>
      <c r="R926" t="b">
        <v>0</v>
      </c>
      <c r="S926" t="b">
        <v>0</v>
      </c>
      <c r="T926">
        <v>1494</v>
      </c>
      <c r="U926">
        <v>0</v>
      </c>
      <c r="V926" t="s">
        <v>33</v>
      </c>
      <c r="W926" t="s">
        <v>33</v>
      </c>
      <c r="X926">
        <v>1100</v>
      </c>
      <c r="Y926">
        <v>8</v>
      </c>
      <c r="Z926" t="s">
        <v>149</v>
      </c>
      <c r="AA926">
        <v>8</v>
      </c>
      <c r="AB926" t="s">
        <v>121</v>
      </c>
      <c r="AC926" t="s">
        <v>56</v>
      </c>
      <c r="AD926" t="str">
        <f t="shared" si="14"/>
        <v>Escobedo → Cd Sahagún</v>
      </c>
      <c r="AE926" t="s">
        <v>1359</v>
      </c>
      <c r="AF926" s="4">
        <v>45901</v>
      </c>
      <c r="AG926" t="str">
        <f>YEAR(Table1[[#This Row],[Fecha]])&amp;" - " &amp;UPPER(TEXT(Table1[[#This Row],[Fecha]],"mm-mmm"))</f>
        <v>2025 - 09-SEP</v>
      </c>
      <c r="AH926" s="5">
        <v>0</v>
      </c>
    </row>
    <row r="927" spans="1:34" x14ac:dyDescent="0.25">
      <c r="A927" t="s">
        <v>1206</v>
      </c>
      <c r="B927">
        <v>2025</v>
      </c>
      <c r="C927">
        <v>9</v>
      </c>
      <c r="D927" s="1">
        <v>45922</v>
      </c>
      <c r="E927" s="1">
        <v>45922</v>
      </c>
      <c r="F927" s="1">
        <v>45922</v>
      </c>
      <c r="G927" s="1">
        <v>45922</v>
      </c>
      <c r="H927" s="2">
        <v>45923.402106018519</v>
      </c>
      <c r="I927">
        <v>2039</v>
      </c>
      <c r="J927" t="s">
        <v>30</v>
      </c>
      <c r="K927" t="s">
        <v>31</v>
      </c>
      <c r="L927">
        <v>50</v>
      </c>
      <c r="M927">
        <v>50</v>
      </c>
      <c r="N927" t="s">
        <v>32</v>
      </c>
      <c r="O927">
        <v>1</v>
      </c>
      <c r="P927">
        <v>150</v>
      </c>
      <c r="Q927" t="b">
        <v>1</v>
      </c>
      <c r="R927" t="b">
        <v>0</v>
      </c>
      <c r="S927" t="b">
        <v>0</v>
      </c>
      <c r="T927">
        <v>231</v>
      </c>
      <c r="U927">
        <v>0</v>
      </c>
      <c r="V927" t="s">
        <v>33</v>
      </c>
      <c r="W927" t="s">
        <v>33</v>
      </c>
      <c r="X927">
        <v>50</v>
      </c>
      <c r="Y927">
        <v>359</v>
      </c>
      <c r="Z927" t="s">
        <v>34</v>
      </c>
      <c r="AA927">
        <v>359</v>
      </c>
      <c r="AB927" t="s">
        <v>121</v>
      </c>
      <c r="AC927" t="s">
        <v>121</v>
      </c>
      <c r="AD927" t="str">
        <f t="shared" si="14"/>
        <v>Escobedo → Escobedo</v>
      </c>
      <c r="AE927" t="s">
        <v>1357</v>
      </c>
      <c r="AF927" s="4">
        <v>45901</v>
      </c>
      <c r="AG927" t="str">
        <f>YEAR(Table1[[#This Row],[Fecha]])&amp;" - " &amp;UPPER(TEXT(Table1[[#This Row],[Fecha]],"mm-mmm"))</f>
        <v>2025 - 09-SEP</v>
      </c>
      <c r="AH927" s="5">
        <v>0</v>
      </c>
    </row>
    <row r="928" spans="1:34" x14ac:dyDescent="0.25">
      <c r="A928" t="s">
        <v>1207</v>
      </c>
      <c r="B928">
        <v>2025</v>
      </c>
      <c r="C928">
        <v>9</v>
      </c>
      <c r="D928" s="1">
        <v>45922</v>
      </c>
      <c r="E928" s="1">
        <v>45922</v>
      </c>
      <c r="F928" s="1">
        <v>45922</v>
      </c>
      <c r="G928" s="1">
        <v>45922</v>
      </c>
      <c r="H928" s="2">
        <v>45923.402114699071</v>
      </c>
      <c r="I928">
        <v>2039</v>
      </c>
      <c r="J928" t="s">
        <v>30</v>
      </c>
      <c r="K928" t="s">
        <v>31</v>
      </c>
      <c r="L928">
        <v>50</v>
      </c>
      <c r="M928">
        <v>50</v>
      </c>
      <c r="N928" t="s">
        <v>32</v>
      </c>
      <c r="O928">
        <v>1</v>
      </c>
      <c r="P928">
        <v>150</v>
      </c>
      <c r="Q928" t="b">
        <v>1</v>
      </c>
      <c r="R928" t="b">
        <v>0</v>
      </c>
      <c r="S928" t="b">
        <v>0</v>
      </c>
      <c r="T928">
        <v>231</v>
      </c>
      <c r="U928">
        <v>0</v>
      </c>
      <c r="V928" t="s">
        <v>33</v>
      </c>
      <c r="W928" t="s">
        <v>33</v>
      </c>
      <c r="X928">
        <v>50</v>
      </c>
      <c r="Y928">
        <v>359</v>
      </c>
      <c r="Z928" t="s">
        <v>34</v>
      </c>
      <c r="AA928">
        <v>359</v>
      </c>
      <c r="AB928" t="s">
        <v>121</v>
      </c>
      <c r="AC928" t="s">
        <v>121</v>
      </c>
      <c r="AD928" t="str">
        <f t="shared" si="14"/>
        <v>Escobedo → Escobedo</v>
      </c>
      <c r="AE928" t="s">
        <v>1357</v>
      </c>
      <c r="AF928" s="4">
        <v>45901</v>
      </c>
      <c r="AG928" t="str">
        <f>YEAR(Table1[[#This Row],[Fecha]])&amp;" - " &amp;UPPER(TEXT(Table1[[#This Row],[Fecha]],"mm-mmm"))</f>
        <v>2025 - 09-SEP</v>
      </c>
      <c r="AH928" s="5">
        <v>0</v>
      </c>
    </row>
    <row r="929" spans="1:34" x14ac:dyDescent="0.25">
      <c r="A929" t="s">
        <v>1208</v>
      </c>
      <c r="B929">
        <v>2025</v>
      </c>
      <c r="C929">
        <v>9</v>
      </c>
      <c r="D929" s="1">
        <v>45922</v>
      </c>
      <c r="E929" s="1">
        <v>45922</v>
      </c>
      <c r="F929" s="1">
        <v>45922</v>
      </c>
      <c r="G929" s="1">
        <v>45922</v>
      </c>
      <c r="H929" s="2">
        <v>45923.402090625001</v>
      </c>
      <c r="I929">
        <v>2039</v>
      </c>
      <c r="J929" t="s">
        <v>30</v>
      </c>
      <c r="K929" t="s">
        <v>31</v>
      </c>
      <c r="L929">
        <v>50</v>
      </c>
      <c r="M929">
        <v>50</v>
      </c>
      <c r="N929" t="s">
        <v>32</v>
      </c>
      <c r="O929">
        <v>1</v>
      </c>
      <c r="P929">
        <v>150</v>
      </c>
      <c r="Q929" t="b">
        <v>1</v>
      </c>
      <c r="R929" t="b">
        <v>0</v>
      </c>
      <c r="S929" t="b">
        <v>0</v>
      </c>
      <c r="T929">
        <v>231</v>
      </c>
      <c r="U929">
        <v>0</v>
      </c>
      <c r="V929" t="s">
        <v>33</v>
      </c>
      <c r="W929" t="s">
        <v>33</v>
      </c>
      <c r="X929">
        <v>50</v>
      </c>
      <c r="Y929">
        <v>359</v>
      </c>
      <c r="Z929" t="s">
        <v>34</v>
      </c>
      <c r="AA929">
        <v>359</v>
      </c>
      <c r="AB929" t="s">
        <v>121</v>
      </c>
      <c r="AC929" t="s">
        <v>121</v>
      </c>
      <c r="AD929" t="str">
        <f t="shared" si="14"/>
        <v>Escobedo → Escobedo</v>
      </c>
      <c r="AE929" t="s">
        <v>1357</v>
      </c>
      <c r="AF929" s="4">
        <v>45901</v>
      </c>
      <c r="AG929" t="str">
        <f>YEAR(Table1[[#This Row],[Fecha]])&amp;" - " &amp;UPPER(TEXT(Table1[[#This Row],[Fecha]],"mm-mmm"))</f>
        <v>2025 - 09-SEP</v>
      </c>
      <c r="AH929" s="5">
        <v>0</v>
      </c>
    </row>
    <row r="930" spans="1:34" x14ac:dyDescent="0.25">
      <c r="A930" t="s">
        <v>1209</v>
      </c>
      <c r="B930">
        <v>2025</v>
      </c>
      <c r="C930">
        <v>9</v>
      </c>
      <c r="D930" s="1">
        <v>45922</v>
      </c>
      <c r="E930" s="1">
        <v>45922</v>
      </c>
      <c r="F930" s="1">
        <v>45922</v>
      </c>
      <c r="G930" s="1">
        <v>45922</v>
      </c>
      <c r="H930" s="2">
        <v>45923.402128437498</v>
      </c>
      <c r="I930">
        <v>2039</v>
      </c>
      <c r="J930" t="s">
        <v>30</v>
      </c>
      <c r="K930" t="s">
        <v>31</v>
      </c>
      <c r="L930">
        <v>50</v>
      </c>
      <c r="M930">
        <v>50</v>
      </c>
      <c r="N930" t="s">
        <v>32</v>
      </c>
      <c r="O930">
        <v>1</v>
      </c>
      <c r="P930">
        <v>150</v>
      </c>
      <c r="Q930" t="b">
        <v>1</v>
      </c>
      <c r="R930" t="b">
        <v>0</v>
      </c>
      <c r="S930" t="b">
        <v>0</v>
      </c>
      <c r="T930">
        <v>231</v>
      </c>
      <c r="U930">
        <v>0</v>
      </c>
      <c r="V930" t="s">
        <v>33</v>
      </c>
      <c r="W930" t="s">
        <v>33</v>
      </c>
      <c r="X930">
        <v>50</v>
      </c>
      <c r="Y930">
        <v>359</v>
      </c>
      <c r="Z930" t="s">
        <v>34</v>
      </c>
      <c r="AA930">
        <v>359</v>
      </c>
      <c r="AB930" t="s">
        <v>121</v>
      </c>
      <c r="AC930" t="s">
        <v>121</v>
      </c>
      <c r="AD930" t="str">
        <f t="shared" si="14"/>
        <v>Escobedo → Escobedo</v>
      </c>
      <c r="AE930" t="s">
        <v>1357</v>
      </c>
      <c r="AF930" s="4">
        <v>45901</v>
      </c>
      <c r="AG930" t="str">
        <f>YEAR(Table1[[#This Row],[Fecha]])&amp;" - " &amp;UPPER(TEXT(Table1[[#This Row],[Fecha]],"mm-mmm"))</f>
        <v>2025 - 09-SEP</v>
      </c>
      <c r="AH930" s="5">
        <v>0</v>
      </c>
    </row>
    <row r="931" spans="1:34" x14ac:dyDescent="0.25">
      <c r="A931" t="s">
        <v>1210</v>
      </c>
      <c r="B931">
        <v>2025</v>
      </c>
      <c r="C931">
        <v>9</v>
      </c>
      <c r="D931" s="1">
        <v>45922</v>
      </c>
      <c r="E931" s="1">
        <v>45922</v>
      </c>
      <c r="F931" s="1">
        <v>45922</v>
      </c>
      <c r="G931" s="1">
        <v>45922</v>
      </c>
      <c r="H931" s="2">
        <v>45923.402121562503</v>
      </c>
      <c r="I931">
        <v>2039</v>
      </c>
      <c r="J931" t="s">
        <v>30</v>
      </c>
      <c r="K931" t="s">
        <v>31</v>
      </c>
      <c r="L931">
        <v>50</v>
      </c>
      <c r="M931">
        <v>50</v>
      </c>
      <c r="N931" t="s">
        <v>32</v>
      </c>
      <c r="O931">
        <v>1</v>
      </c>
      <c r="P931">
        <v>150</v>
      </c>
      <c r="Q931" t="b">
        <v>1</v>
      </c>
      <c r="R931" t="b">
        <v>0</v>
      </c>
      <c r="S931" t="b">
        <v>0</v>
      </c>
      <c r="T931">
        <v>231</v>
      </c>
      <c r="U931">
        <v>0</v>
      </c>
      <c r="V931" t="s">
        <v>33</v>
      </c>
      <c r="W931" t="s">
        <v>33</v>
      </c>
      <c r="X931">
        <v>50</v>
      </c>
      <c r="Y931">
        <v>359</v>
      </c>
      <c r="Z931" t="s">
        <v>34</v>
      </c>
      <c r="AA931">
        <v>359</v>
      </c>
      <c r="AB931" t="s">
        <v>121</v>
      </c>
      <c r="AC931" t="s">
        <v>121</v>
      </c>
      <c r="AD931" t="str">
        <f t="shared" si="14"/>
        <v>Escobedo → Escobedo</v>
      </c>
      <c r="AE931" t="s">
        <v>1357</v>
      </c>
      <c r="AF931" s="4">
        <v>45901</v>
      </c>
      <c r="AG931" t="str">
        <f>YEAR(Table1[[#This Row],[Fecha]])&amp;" - " &amp;UPPER(TEXT(Table1[[#This Row],[Fecha]],"mm-mmm"))</f>
        <v>2025 - 09-SEP</v>
      </c>
      <c r="AH931" s="5">
        <v>0</v>
      </c>
    </row>
    <row r="932" spans="1:34" x14ac:dyDescent="0.25">
      <c r="A932" t="s">
        <v>1211</v>
      </c>
      <c r="B932">
        <v>2025</v>
      </c>
      <c r="C932">
        <v>9</v>
      </c>
      <c r="D932" s="1">
        <v>45922</v>
      </c>
      <c r="E932" s="1">
        <v>45922</v>
      </c>
      <c r="F932" s="1">
        <v>45922</v>
      </c>
      <c r="G932" s="1">
        <v>45922</v>
      </c>
      <c r="H932" s="2">
        <v>45923.402136377314</v>
      </c>
      <c r="I932">
        <v>2039</v>
      </c>
      <c r="J932" t="s">
        <v>30</v>
      </c>
      <c r="K932" t="s">
        <v>31</v>
      </c>
      <c r="L932">
        <v>50</v>
      </c>
      <c r="M932">
        <v>50</v>
      </c>
      <c r="N932" t="s">
        <v>32</v>
      </c>
      <c r="O932">
        <v>1</v>
      </c>
      <c r="P932">
        <v>150</v>
      </c>
      <c r="Q932" t="b">
        <v>1</v>
      </c>
      <c r="R932" t="b">
        <v>0</v>
      </c>
      <c r="S932" t="b">
        <v>0</v>
      </c>
      <c r="T932">
        <v>231</v>
      </c>
      <c r="U932">
        <v>0</v>
      </c>
      <c r="V932" t="s">
        <v>33</v>
      </c>
      <c r="W932" t="s">
        <v>33</v>
      </c>
      <c r="X932">
        <v>50</v>
      </c>
      <c r="Y932">
        <v>359</v>
      </c>
      <c r="Z932" t="s">
        <v>34</v>
      </c>
      <c r="AA932">
        <v>359</v>
      </c>
      <c r="AB932" t="s">
        <v>121</v>
      </c>
      <c r="AC932" t="s">
        <v>121</v>
      </c>
      <c r="AD932" t="str">
        <f t="shared" si="14"/>
        <v>Escobedo → Escobedo</v>
      </c>
      <c r="AE932" t="s">
        <v>1357</v>
      </c>
      <c r="AF932" s="4">
        <v>45901</v>
      </c>
      <c r="AG932" t="str">
        <f>YEAR(Table1[[#This Row],[Fecha]])&amp;" - " &amp;UPPER(TEXT(Table1[[#This Row],[Fecha]],"mm-mmm"))</f>
        <v>2025 - 09-SEP</v>
      </c>
      <c r="AH932" s="5">
        <v>0</v>
      </c>
    </row>
    <row r="933" spans="1:34" x14ac:dyDescent="0.25">
      <c r="A933" t="s">
        <v>1212</v>
      </c>
      <c r="B933">
        <v>2025</v>
      </c>
      <c r="C933">
        <v>9</v>
      </c>
      <c r="D933" s="1">
        <v>45922</v>
      </c>
      <c r="E933" s="1">
        <v>45922</v>
      </c>
      <c r="F933" s="1">
        <v>45922</v>
      </c>
      <c r="G933" s="1">
        <v>45922</v>
      </c>
      <c r="H933" s="2">
        <v>45923.402143981482</v>
      </c>
      <c r="I933">
        <v>2039</v>
      </c>
      <c r="J933" t="s">
        <v>30</v>
      </c>
      <c r="K933" t="s">
        <v>31</v>
      </c>
      <c r="L933">
        <v>50</v>
      </c>
      <c r="M933">
        <v>50</v>
      </c>
      <c r="N933" t="s">
        <v>32</v>
      </c>
      <c r="O933">
        <v>1</v>
      </c>
      <c r="P933">
        <v>150</v>
      </c>
      <c r="Q933" t="b">
        <v>1</v>
      </c>
      <c r="R933" t="b">
        <v>0</v>
      </c>
      <c r="S933" t="b">
        <v>0</v>
      </c>
      <c r="T933">
        <v>231</v>
      </c>
      <c r="U933">
        <v>0</v>
      </c>
      <c r="V933" t="s">
        <v>33</v>
      </c>
      <c r="W933" t="s">
        <v>33</v>
      </c>
      <c r="X933">
        <v>50</v>
      </c>
      <c r="Y933">
        <v>359</v>
      </c>
      <c r="Z933" t="s">
        <v>34</v>
      </c>
      <c r="AA933">
        <v>359</v>
      </c>
      <c r="AB933" t="s">
        <v>121</v>
      </c>
      <c r="AC933" t="s">
        <v>121</v>
      </c>
      <c r="AD933" t="str">
        <f t="shared" si="14"/>
        <v>Escobedo → Escobedo</v>
      </c>
      <c r="AE933" t="s">
        <v>1357</v>
      </c>
      <c r="AF933" s="4">
        <v>45901</v>
      </c>
      <c r="AG933" t="str">
        <f>YEAR(Table1[[#This Row],[Fecha]])&amp;" - " &amp;UPPER(TEXT(Table1[[#This Row],[Fecha]],"mm-mmm"))</f>
        <v>2025 - 09-SEP</v>
      </c>
      <c r="AH933" s="5">
        <v>0</v>
      </c>
    </row>
    <row r="934" spans="1:34" x14ac:dyDescent="0.25">
      <c r="A934" t="s">
        <v>385</v>
      </c>
      <c r="B934">
        <v>2025</v>
      </c>
      <c r="C934">
        <v>9</v>
      </c>
      <c r="D934" s="1">
        <v>45922</v>
      </c>
      <c r="E934" s="1">
        <v>45922</v>
      </c>
      <c r="F934" s="1">
        <v>45922</v>
      </c>
      <c r="G934" s="1">
        <v>45922</v>
      </c>
      <c r="H934" s="2">
        <v>45923.402159375</v>
      </c>
      <c r="I934">
        <v>2039</v>
      </c>
      <c r="J934" t="s">
        <v>30</v>
      </c>
      <c r="K934" t="s">
        <v>31</v>
      </c>
      <c r="L934">
        <v>50</v>
      </c>
      <c r="M934">
        <v>50</v>
      </c>
      <c r="N934" t="s">
        <v>32</v>
      </c>
      <c r="O934">
        <v>1</v>
      </c>
      <c r="P934">
        <v>150</v>
      </c>
      <c r="Q934" t="b">
        <v>1</v>
      </c>
      <c r="R934" t="b">
        <v>0</v>
      </c>
      <c r="S934" t="b">
        <v>0</v>
      </c>
      <c r="T934">
        <v>231</v>
      </c>
      <c r="U934">
        <v>0</v>
      </c>
      <c r="V934" t="s">
        <v>33</v>
      </c>
      <c r="W934" t="s">
        <v>33</v>
      </c>
      <c r="X934">
        <v>50</v>
      </c>
      <c r="Y934">
        <v>461</v>
      </c>
      <c r="Z934" t="s">
        <v>34</v>
      </c>
      <c r="AA934">
        <v>461</v>
      </c>
      <c r="AB934" t="s">
        <v>121</v>
      </c>
      <c r="AC934" t="s">
        <v>35</v>
      </c>
      <c r="AD934" t="str">
        <f t="shared" si="14"/>
        <v>Escobedo → Monterrey</v>
      </c>
      <c r="AE934" t="s">
        <v>1357</v>
      </c>
      <c r="AF934" s="4">
        <v>45901</v>
      </c>
      <c r="AG934" t="str">
        <f>YEAR(Table1[[#This Row],[Fecha]])&amp;" - " &amp;UPPER(TEXT(Table1[[#This Row],[Fecha]],"mm-mmm"))</f>
        <v>2025 - 09-SEP</v>
      </c>
      <c r="AH934" s="5">
        <v>0</v>
      </c>
    </row>
    <row r="935" spans="1:34" x14ac:dyDescent="0.25">
      <c r="A935" t="s">
        <v>1214</v>
      </c>
      <c r="B935">
        <v>2025</v>
      </c>
      <c r="C935">
        <v>9</v>
      </c>
      <c r="D935" s="1">
        <v>45922</v>
      </c>
      <c r="E935" s="1">
        <v>45922</v>
      </c>
      <c r="F935" s="1">
        <v>45922</v>
      </c>
      <c r="G935" s="1">
        <v>45922</v>
      </c>
      <c r="H935" s="2">
        <v>45923.402151770832</v>
      </c>
      <c r="I935">
        <v>2039</v>
      </c>
      <c r="J935" t="s">
        <v>30</v>
      </c>
      <c r="K935" t="s">
        <v>31</v>
      </c>
      <c r="L935">
        <v>50</v>
      </c>
      <c r="M935">
        <v>50</v>
      </c>
      <c r="N935" t="s">
        <v>32</v>
      </c>
      <c r="O935">
        <v>1</v>
      </c>
      <c r="P935">
        <v>150</v>
      </c>
      <c r="Q935" t="b">
        <v>1</v>
      </c>
      <c r="R935" t="b">
        <v>0</v>
      </c>
      <c r="S935" t="b">
        <v>0</v>
      </c>
      <c r="T935">
        <v>231</v>
      </c>
      <c r="U935">
        <v>0</v>
      </c>
      <c r="V935" t="s">
        <v>33</v>
      </c>
      <c r="W935" t="s">
        <v>33</v>
      </c>
      <c r="X935">
        <v>50</v>
      </c>
      <c r="Y935">
        <v>359</v>
      </c>
      <c r="Z935" t="s">
        <v>34</v>
      </c>
      <c r="AA935">
        <v>359</v>
      </c>
      <c r="AB935" t="s">
        <v>121</v>
      </c>
      <c r="AC935" t="s">
        <v>121</v>
      </c>
      <c r="AD935" t="str">
        <f t="shared" si="14"/>
        <v>Escobedo → Escobedo</v>
      </c>
      <c r="AE935" t="s">
        <v>1357</v>
      </c>
      <c r="AF935" s="4">
        <v>45901</v>
      </c>
      <c r="AG935" t="str">
        <f>YEAR(Table1[[#This Row],[Fecha]])&amp;" - " &amp;UPPER(TEXT(Table1[[#This Row],[Fecha]],"mm-mmm"))</f>
        <v>2025 - 09-SEP</v>
      </c>
      <c r="AH935" s="5">
        <v>0</v>
      </c>
    </row>
    <row r="936" spans="1:34" x14ac:dyDescent="0.25">
      <c r="A936" t="s">
        <v>1219</v>
      </c>
      <c r="B936">
        <v>2025</v>
      </c>
      <c r="C936">
        <v>9</v>
      </c>
      <c r="D936" s="1">
        <v>45923</v>
      </c>
      <c r="E936" s="1">
        <v>45923</v>
      </c>
      <c r="F936" s="1">
        <v>45923</v>
      </c>
      <c r="G936" s="1">
        <v>45923</v>
      </c>
      <c r="H936" s="2">
        <v>45923.686331909725</v>
      </c>
      <c r="I936">
        <v>2039</v>
      </c>
      <c r="J936" t="s">
        <v>30</v>
      </c>
      <c r="K936" t="s">
        <v>31</v>
      </c>
      <c r="L936">
        <v>50</v>
      </c>
      <c r="M936">
        <v>50</v>
      </c>
      <c r="N936" t="s">
        <v>32</v>
      </c>
      <c r="O936">
        <v>1</v>
      </c>
      <c r="P936">
        <v>150</v>
      </c>
      <c r="Q936" t="b">
        <v>1</v>
      </c>
      <c r="R936" t="b">
        <v>0</v>
      </c>
      <c r="S936" t="b">
        <v>0</v>
      </c>
      <c r="T936">
        <v>231</v>
      </c>
      <c r="U936">
        <v>0</v>
      </c>
      <c r="V936" t="s">
        <v>33</v>
      </c>
      <c r="W936" t="s">
        <v>33</v>
      </c>
      <c r="X936">
        <v>50</v>
      </c>
      <c r="Y936">
        <v>359</v>
      </c>
      <c r="Z936" t="s">
        <v>34</v>
      </c>
      <c r="AA936">
        <v>359</v>
      </c>
      <c r="AB936" t="s">
        <v>121</v>
      </c>
      <c r="AC936" t="s">
        <v>121</v>
      </c>
      <c r="AD936" t="str">
        <f t="shared" si="14"/>
        <v>Escobedo → Escobedo</v>
      </c>
      <c r="AE936" t="s">
        <v>1357</v>
      </c>
      <c r="AF936" s="4">
        <v>45901</v>
      </c>
      <c r="AG936" t="str">
        <f>YEAR(Table1[[#This Row],[Fecha]])&amp;" - " &amp;UPPER(TEXT(Table1[[#This Row],[Fecha]],"mm-mmm"))</f>
        <v>2025 - 09-SEP</v>
      </c>
      <c r="AH936" s="5">
        <v>0</v>
      </c>
    </row>
    <row r="937" spans="1:34" x14ac:dyDescent="0.25">
      <c r="A937" t="s">
        <v>1220</v>
      </c>
      <c r="B937">
        <v>2025</v>
      </c>
      <c r="C937">
        <v>9</v>
      </c>
      <c r="D937" s="1">
        <v>45923</v>
      </c>
      <c r="E937" s="1">
        <v>45923</v>
      </c>
      <c r="F937" s="1">
        <v>45923</v>
      </c>
      <c r="G937" s="1">
        <v>45923</v>
      </c>
      <c r="H937" s="2">
        <v>45923.686316863423</v>
      </c>
      <c r="I937">
        <v>2039</v>
      </c>
      <c r="J937" t="s">
        <v>30</v>
      </c>
      <c r="K937" t="s">
        <v>31</v>
      </c>
      <c r="L937">
        <v>50</v>
      </c>
      <c r="M937">
        <v>50</v>
      </c>
      <c r="N937" t="s">
        <v>32</v>
      </c>
      <c r="O937">
        <v>1</v>
      </c>
      <c r="P937">
        <v>150</v>
      </c>
      <c r="Q937" t="b">
        <v>1</v>
      </c>
      <c r="R937" t="b">
        <v>0</v>
      </c>
      <c r="S937" t="b">
        <v>0</v>
      </c>
      <c r="T937">
        <v>231</v>
      </c>
      <c r="U937">
        <v>0</v>
      </c>
      <c r="V937" t="s">
        <v>33</v>
      </c>
      <c r="W937" t="s">
        <v>33</v>
      </c>
      <c r="X937">
        <v>50</v>
      </c>
      <c r="Y937">
        <v>359</v>
      </c>
      <c r="Z937" t="s">
        <v>34</v>
      </c>
      <c r="AA937">
        <v>359</v>
      </c>
      <c r="AB937" t="s">
        <v>121</v>
      </c>
      <c r="AC937" t="s">
        <v>121</v>
      </c>
      <c r="AD937" t="str">
        <f t="shared" si="14"/>
        <v>Escobedo → Escobedo</v>
      </c>
      <c r="AE937" t="s">
        <v>1357</v>
      </c>
      <c r="AF937" s="4">
        <v>45901</v>
      </c>
      <c r="AG937" t="str">
        <f>YEAR(Table1[[#This Row],[Fecha]])&amp;" - " &amp;UPPER(TEXT(Table1[[#This Row],[Fecha]],"mm-mmm"))</f>
        <v>2025 - 09-SEP</v>
      </c>
      <c r="AH937" s="5">
        <v>0</v>
      </c>
    </row>
    <row r="938" spans="1:34" x14ac:dyDescent="0.25">
      <c r="A938" t="s">
        <v>1221</v>
      </c>
      <c r="B938">
        <v>2025</v>
      </c>
      <c r="C938">
        <v>9</v>
      </c>
      <c r="D938" s="1">
        <v>45923</v>
      </c>
      <c r="E938" s="1">
        <v>45923</v>
      </c>
      <c r="F938" s="1">
        <v>45923</v>
      </c>
      <c r="G938" s="1">
        <v>45923</v>
      </c>
      <c r="H938" s="2">
        <v>45923.686353622688</v>
      </c>
      <c r="I938">
        <v>2039</v>
      </c>
      <c r="J938" t="s">
        <v>30</v>
      </c>
      <c r="K938" t="s">
        <v>31</v>
      </c>
      <c r="L938">
        <v>50</v>
      </c>
      <c r="M938">
        <v>50</v>
      </c>
      <c r="N938" t="s">
        <v>32</v>
      </c>
      <c r="O938">
        <v>1</v>
      </c>
      <c r="P938">
        <v>150</v>
      </c>
      <c r="Q938" t="b">
        <v>1</v>
      </c>
      <c r="R938" t="b">
        <v>0</v>
      </c>
      <c r="S938" t="b">
        <v>0</v>
      </c>
      <c r="T938">
        <v>231</v>
      </c>
      <c r="U938">
        <v>0</v>
      </c>
      <c r="V938" t="s">
        <v>33</v>
      </c>
      <c r="W938" t="s">
        <v>33</v>
      </c>
      <c r="X938">
        <v>50</v>
      </c>
      <c r="Y938">
        <v>359</v>
      </c>
      <c r="Z938" t="s">
        <v>34</v>
      </c>
      <c r="AA938">
        <v>359</v>
      </c>
      <c r="AB938" t="s">
        <v>121</v>
      </c>
      <c r="AC938" t="s">
        <v>121</v>
      </c>
      <c r="AD938" t="str">
        <f t="shared" si="14"/>
        <v>Escobedo → Escobedo</v>
      </c>
      <c r="AE938" t="s">
        <v>1357</v>
      </c>
      <c r="AF938" s="4">
        <v>45901</v>
      </c>
      <c r="AG938" t="str">
        <f>YEAR(Table1[[#This Row],[Fecha]])&amp;" - " &amp;UPPER(TEXT(Table1[[#This Row],[Fecha]],"mm-mmm"))</f>
        <v>2025 - 09-SEP</v>
      </c>
      <c r="AH938" s="5">
        <v>0</v>
      </c>
    </row>
    <row r="939" spans="1:34" x14ac:dyDescent="0.25">
      <c r="A939" t="s">
        <v>1222</v>
      </c>
      <c r="B939">
        <v>2025</v>
      </c>
      <c r="C939">
        <v>9</v>
      </c>
      <c r="D939" s="1">
        <v>45923</v>
      </c>
      <c r="E939" s="1">
        <v>45923</v>
      </c>
      <c r="F939" s="1">
        <v>45923</v>
      </c>
      <c r="G939" s="1">
        <v>45923</v>
      </c>
      <c r="H939" s="2">
        <v>45923.686340590277</v>
      </c>
      <c r="I939">
        <v>2039</v>
      </c>
      <c r="J939" t="s">
        <v>30</v>
      </c>
      <c r="K939" t="s">
        <v>31</v>
      </c>
      <c r="L939">
        <v>50</v>
      </c>
      <c r="M939">
        <v>50</v>
      </c>
      <c r="N939" t="s">
        <v>32</v>
      </c>
      <c r="O939">
        <v>1</v>
      </c>
      <c r="P939">
        <v>150</v>
      </c>
      <c r="Q939" t="b">
        <v>1</v>
      </c>
      <c r="R939" t="b">
        <v>0</v>
      </c>
      <c r="S939" t="b">
        <v>0</v>
      </c>
      <c r="T939">
        <v>231</v>
      </c>
      <c r="U939">
        <v>0</v>
      </c>
      <c r="V939" t="s">
        <v>33</v>
      </c>
      <c r="W939" t="s">
        <v>33</v>
      </c>
      <c r="X939">
        <v>50</v>
      </c>
      <c r="Y939">
        <v>359</v>
      </c>
      <c r="Z939" t="s">
        <v>34</v>
      </c>
      <c r="AA939">
        <v>359</v>
      </c>
      <c r="AB939" t="s">
        <v>121</v>
      </c>
      <c r="AC939" t="s">
        <v>121</v>
      </c>
      <c r="AD939" t="str">
        <f t="shared" si="14"/>
        <v>Escobedo → Escobedo</v>
      </c>
      <c r="AE939" t="s">
        <v>1357</v>
      </c>
      <c r="AF939" s="4">
        <v>45901</v>
      </c>
      <c r="AG939" t="str">
        <f>YEAR(Table1[[#This Row],[Fecha]])&amp;" - " &amp;UPPER(TEXT(Table1[[#This Row],[Fecha]],"mm-mmm"))</f>
        <v>2025 - 09-SEP</v>
      </c>
      <c r="AH939" s="5">
        <v>0</v>
      </c>
    </row>
    <row r="940" spans="1:34" x14ac:dyDescent="0.25">
      <c r="A940" t="s">
        <v>1223</v>
      </c>
      <c r="B940">
        <v>2025</v>
      </c>
      <c r="C940">
        <v>9</v>
      </c>
      <c r="D940" s="1">
        <v>45923</v>
      </c>
      <c r="E940" s="1">
        <v>45923</v>
      </c>
      <c r="F940" s="1">
        <v>45923</v>
      </c>
      <c r="G940" s="1">
        <v>45923</v>
      </c>
      <c r="H940" s="2">
        <v>45923.686362650464</v>
      </c>
      <c r="I940">
        <v>2039</v>
      </c>
      <c r="J940" t="s">
        <v>30</v>
      </c>
      <c r="K940" t="s">
        <v>31</v>
      </c>
      <c r="L940">
        <v>50</v>
      </c>
      <c r="M940">
        <v>50</v>
      </c>
      <c r="N940" t="s">
        <v>32</v>
      </c>
      <c r="O940">
        <v>1</v>
      </c>
      <c r="P940">
        <v>150</v>
      </c>
      <c r="Q940" t="b">
        <v>1</v>
      </c>
      <c r="R940" t="b">
        <v>0</v>
      </c>
      <c r="S940" t="b">
        <v>0</v>
      </c>
      <c r="T940">
        <v>231</v>
      </c>
      <c r="U940">
        <v>0</v>
      </c>
      <c r="V940" t="s">
        <v>33</v>
      </c>
      <c r="W940" t="s">
        <v>33</v>
      </c>
      <c r="X940">
        <v>50</v>
      </c>
      <c r="Y940">
        <v>359</v>
      </c>
      <c r="Z940" t="s">
        <v>34</v>
      </c>
      <c r="AA940">
        <v>359</v>
      </c>
      <c r="AB940" t="s">
        <v>121</v>
      </c>
      <c r="AC940" t="s">
        <v>121</v>
      </c>
      <c r="AD940" t="str">
        <f t="shared" si="14"/>
        <v>Escobedo → Escobedo</v>
      </c>
      <c r="AE940" t="s">
        <v>1357</v>
      </c>
      <c r="AF940" s="4">
        <v>45901</v>
      </c>
      <c r="AG940" t="str">
        <f>YEAR(Table1[[#This Row],[Fecha]])&amp;" - " &amp;UPPER(TEXT(Table1[[#This Row],[Fecha]],"mm-mmm"))</f>
        <v>2025 - 09-SEP</v>
      </c>
      <c r="AH940" s="5">
        <v>0</v>
      </c>
    </row>
    <row r="941" spans="1:34" x14ac:dyDescent="0.25">
      <c r="A941" t="s">
        <v>1224</v>
      </c>
      <c r="B941">
        <v>2025</v>
      </c>
      <c r="C941">
        <v>9</v>
      </c>
      <c r="D941" s="1">
        <v>45924</v>
      </c>
      <c r="E941" s="1">
        <v>45924</v>
      </c>
      <c r="F941" s="1">
        <v>45924</v>
      </c>
      <c r="G941" s="1">
        <v>45924</v>
      </c>
      <c r="H941" s="2">
        <v>45924.519172106484</v>
      </c>
      <c r="I941">
        <v>2039</v>
      </c>
      <c r="J941" t="s">
        <v>30</v>
      </c>
      <c r="K941" t="s">
        <v>31</v>
      </c>
      <c r="L941">
        <v>50</v>
      </c>
      <c r="M941">
        <v>50</v>
      </c>
      <c r="N941" t="s">
        <v>32</v>
      </c>
      <c r="O941">
        <v>1</v>
      </c>
      <c r="P941">
        <v>150</v>
      </c>
      <c r="Q941" t="b">
        <v>1</v>
      </c>
      <c r="R941" t="b">
        <v>0</v>
      </c>
      <c r="S941" t="b">
        <v>0</v>
      </c>
      <c r="T941">
        <v>231</v>
      </c>
      <c r="U941">
        <v>0</v>
      </c>
      <c r="V941" t="s">
        <v>33</v>
      </c>
      <c r="W941" t="s">
        <v>33</v>
      </c>
      <c r="X941">
        <v>50</v>
      </c>
      <c r="Y941">
        <v>359</v>
      </c>
      <c r="Z941" t="s">
        <v>34</v>
      </c>
      <c r="AA941">
        <v>359</v>
      </c>
      <c r="AB941" t="s">
        <v>121</v>
      </c>
      <c r="AC941" t="s">
        <v>121</v>
      </c>
      <c r="AD941" t="str">
        <f t="shared" si="14"/>
        <v>Escobedo → Escobedo</v>
      </c>
      <c r="AE941" t="s">
        <v>1357</v>
      </c>
      <c r="AF941" s="4">
        <v>45901</v>
      </c>
      <c r="AG941" t="str">
        <f>YEAR(Table1[[#This Row],[Fecha]])&amp;" - " &amp;UPPER(TEXT(Table1[[#This Row],[Fecha]],"mm-mmm"))</f>
        <v>2025 - 09-SEP</v>
      </c>
      <c r="AH941" s="5">
        <v>0</v>
      </c>
    </row>
    <row r="942" spans="1:34" x14ac:dyDescent="0.25">
      <c r="A942" t="s">
        <v>1225</v>
      </c>
      <c r="B942">
        <v>2025</v>
      </c>
      <c r="C942">
        <v>9</v>
      </c>
      <c r="D942" s="1">
        <v>45924</v>
      </c>
      <c r="E942" s="1">
        <v>45924</v>
      </c>
      <c r="F942" s="1">
        <v>45924</v>
      </c>
      <c r="G942" s="1">
        <v>45924</v>
      </c>
      <c r="H942" s="2">
        <v>45924.519183136574</v>
      </c>
      <c r="I942">
        <v>2039</v>
      </c>
      <c r="J942" t="s">
        <v>30</v>
      </c>
      <c r="K942" t="s">
        <v>31</v>
      </c>
      <c r="L942">
        <v>50</v>
      </c>
      <c r="M942">
        <v>50</v>
      </c>
      <c r="N942" t="s">
        <v>32</v>
      </c>
      <c r="O942">
        <v>1</v>
      </c>
      <c r="P942">
        <v>150</v>
      </c>
      <c r="Q942" t="b">
        <v>1</v>
      </c>
      <c r="R942" t="b">
        <v>0</v>
      </c>
      <c r="S942" t="b">
        <v>0</v>
      </c>
      <c r="T942">
        <v>231</v>
      </c>
      <c r="U942">
        <v>0</v>
      </c>
      <c r="V942" t="s">
        <v>33</v>
      </c>
      <c r="W942" t="s">
        <v>33</v>
      </c>
      <c r="X942">
        <v>50</v>
      </c>
      <c r="Y942">
        <v>359</v>
      </c>
      <c r="Z942" t="s">
        <v>34</v>
      </c>
      <c r="AA942">
        <v>359</v>
      </c>
      <c r="AB942" t="s">
        <v>121</v>
      </c>
      <c r="AC942" t="s">
        <v>121</v>
      </c>
      <c r="AD942" t="str">
        <f t="shared" si="14"/>
        <v>Escobedo → Escobedo</v>
      </c>
      <c r="AE942" t="s">
        <v>1357</v>
      </c>
      <c r="AF942" s="4">
        <v>45901</v>
      </c>
      <c r="AG942" t="str">
        <f>YEAR(Table1[[#This Row],[Fecha]])&amp;" - " &amp;UPPER(TEXT(Table1[[#This Row],[Fecha]],"mm-mmm"))</f>
        <v>2025 - 09-SEP</v>
      </c>
      <c r="AH942" s="5">
        <v>0</v>
      </c>
    </row>
    <row r="943" spans="1:34" x14ac:dyDescent="0.25">
      <c r="A943" t="s">
        <v>1226</v>
      </c>
      <c r="B943">
        <v>2025</v>
      </c>
      <c r="C943">
        <v>9</v>
      </c>
      <c r="D943" s="1">
        <v>45924</v>
      </c>
      <c r="E943" s="1">
        <v>45924</v>
      </c>
      <c r="F943" s="1">
        <v>45924</v>
      </c>
      <c r="G943" s="1">
        <v>45924</v>
      </c>
      <c r="H943" s="2">
        <v>45924.519190937499</v>
      </c>
      <c r="I943">
        <v>2039</v>
      </c>
      <c r="J943" t="s">
        <v>30</v>
      </c>
      <c r="K943" t="s">
        <v>31</v>
      </c>
      <c r="L943">
        <v>50</v>
      </c>
      <c r="M943">
        <v>50</v>
      </c>
      <c r="N943" t="s">
        <v>32</v>
      </c>
      <c r="O943">
        <v>1</v>
      </c>
      <c r="P943">
        <v>150</v>
      </c>
      <c r="Q943" t="b">
        <v>1</v>
      </c>
      <c r="R943" t="b">
        <v>0</v>
      </c>
      <c r="S943" t="b">
        <v>0</v>
      </c>
      <c r="T943">
        <v>231</v>
      </c>
      <c r="U943">
        <v>0</v>
      </c>
      <c r="V943" t="s">
        <v>33</v>
      </c>
      <c r="W943" t="s">
        <v>33</v>
      </c>
      <c r="X943">
        <v>50</v>
      </c>
      <c r="Y943">
        <v>359</v>
      </c>
      <c r="Z943" t="s">
        <v>34</v>
      </c>
      <c r="AA943">
        <v>359</v>
      </c>
      <c r="AB943" t="s">
        <v>121</v>
      </c>
      <c r="AC943" t="s">
        <v>121</v>
      </c>
      <c r="AD943" t="str">
        <f t="shared" si="14"/>
        <v>Escobedo → Escobedo</v>
      </c>
      <c r="AE943" t="s">
        <v>1357</v>
      </c>
      <c r="AF943" s="4">
        <v>45901</v>
      </c>
      <c r="AG943" t="str">
        <f>YEAR(Table1[[#This Row],[Fecha]])&amp;" - " &amp;UPPER(TEXT(Table1[[#This Row],[Fecha]],"mm-mmm"))</f>
        <v>2025 - 09-SEP</v>
      </c>
      <c r="AH943" s="5">
        <v>0</v>
      </c>
    </row>
    <row r="944" spans="1:34" x14ac:dyDescent="0.25">
      <c r="A944" t="s">
        <v>1227</v>
      </c>
      <c r="B944">
        <v>2025</v>
      </c>
      <c r="C944">
        <v>9</v>
      </c>
      <c r="D944" s="1">
        <v>45924</v>
      </c>
      <c r="E944" s="1">
        <v>45924</v>
      </c>
      <c r="F944" s="1">
        <v>45924</v>
      </c>
      <c r="G944" s="1">
        <v>45924</v>
      </c>
      <c r="H944" s="2">
        <v>45924.933167824071</v>
      </c>
      <c r="I944">
        <v>2039</v>
      </c>
      <c r="J944" t="s">
        <v>30</v>
      </c>
      <c r="K944" t="s">
        <v>31</v>
      </c>
      <c r="L944">
        <v>50</v>
      </c>
      <c r="M944">
        <v>50</v>
      </c>
      <c r="N944" t="s">
        <v>32</v>
      </c>
      <c r="O944">
        <v>1</v>
      </c>
      <c r="P944">
        <v>150</v>
      </c>
      <c r="Q944" t="b">
        <v>1</v>
      </c>
      <c r="R944" t="b">
        <v>0</v>
      </c>
      <c r="S944" t="b">
        <v>0</v>
      </c>
      <c r="T944">
        <v>231</v>
      </c>
      <c r="U944">
        <v>0</v>
      </c>
      <c r="V944" t="s">
        <v>33</v>
      </c>
      <c r="W944" t="s">
        <v>33</v>
      </c>
      <c r="X944">
        <v>50</v>
      </c>
      <c r="Y944">
        <v>359</v>
      </c>
      <c r="Z944" t="s">
        <v>34</v>
      </c>
      <c r="AA944">
        <v>359</v>
      </c>
      <c r="AB944" t="s">
        <v>121</v>
      </c>
      <c r="AC944" t="s">
        <v>121</v>
      </c>
      <c r="AD944" t="str">
        <f t="shared" si="14"/>
        <v>Escobedo → Escobedo</v>
      </c>
      <c r="AE944" t="s">
        <v>1357</v>
      </c>
      <c r="AF944" s="4">
        <v>45901</v>
      </c>
      <c r="AG944" t="str">
        <f>YEAR(Table1[[#This Row],[Fecha]])&amp;" - " &amp;UPPER(TEXT(Table1[[#This Row],[Fecha]],"mm-mmm"))</f>
        <v>2025 - 09-SEP</v>
      </c>
      <c r="AH944" s="5">
        <v>0</v>
      </c>
    </row>
    <row r="945" spans="1:34" x14ac:dyDescent="0.25">
      <c r="A945" t="s">
        <v>1228</v>
      </c>
      <c r="B945">
        <v>2025</v>
      </c>
      <c r="C945">
        <v>9</v>
      </c>
      <c r="D945" s="1">
        <v>45924</v>
      </c>
      <c r="E945" s="1">
        <v>45924</v>
      </c>
      <c r="F945" s="1">
        <v>45924</v>
      </c>
      <c r="G945" s="1">
        <v>45924</v>
      </c>
      <c r="H945" s="2">
        <v>45924.933480983796</v>
      </c>
      <c r="I945">
        <v>2039</v>
      </c>
      <c r="J945" t="s">
        <v>30</v>
      </c>
      <c r="K945" t="s">
        <v>31</v>
      </c>
      <c r="L945">
        <v>50</v>
      </c>
      <c r="M945">
        <v>50</v>
      </c>
      <c r="N945" t="s">
        <v>32</v>
      </c>
      <c r="O945">
        <v>1</v>
      </c>
      <c r="P945">
        <v>150</v>
      </c>
      <c r="Q945" t="b">
        <v>1</v>
      </c>
      <c r="R945" t="b">
        <v>0</v>
      </c>
      <c r="S945" t="b">
        <v>0</v>
      </c>
      <c r="T945">
        <v>231</v>
      </c>
      <c r="U945">
        <v>0</v>
      </c>
      <c r="V945" t="s">
        <v>33</v>
      </c>
      <c r="W945" t="s">
        <v>33</v>
      </c>
      <c r="X945">
        <v>50</v>
      </c>
      <c r="Y945">
        <v>359</v>
      </c>
      <c r="Z945" t="s">
        <v>34</v>
      </c>
      <c r="AA945">
        <v>359</v>
      </c>
      <c r="AB945" t="s">
        <v>121</v>
      </c>
      <c r="AC945" t="s">
        <v>121</v>
      </c>
      <c r="AD945" t="str">
        <f t="shared" si="14"/>
        <v>Escobedo → Escobedo</v>
      </c>
      <c r="AE945" t="s">
        <v>1357</v>
      </c>
      <c r="AF945" s="4">
        <v>45901</v>
      </c>
      <c r="AG945" t="str">
        <f>YEAR(Table1[[#This Row],[Fecha]])&amp;" - " &amp;UPPER(TEXT(Table1[[#This Row],[Fecha]],"mm-mmm"))</f>
        <v>2025 - 09-SEP</v>
      </c>
      <c r="AH945" s="5">
        <v>0</v>
      </c>
    </row>
    <row r="946" spans="1:34" x14ac:dyDescent="0.25">
      <c r="A946" t="s">
        <v>1229</v>
      </c>
      <c r="B946">
        <v>2025</v>
      </c>
      <c r="C946">
        <v>9</v>
      </c>
      <c r="D946" s="1">
        <v>45925</v>
      </c>
      <c r="E946" s="1">
        <v>45925</v>
      </c>
      <c r="F946" s="1">
        <v>45925</v>
      </c>
      <c r="G946" s="1">
        <v>45925</v>
      </c>
      <c r="H946" s="2">
        <v>45926.325380439812</v>
      </c>
      <c r="I946">
        <v>2039</v>
      </c>
      <c r="J946" t="s">
        <v>30</v>
      </c>
      <c r="K946" t="s">
        <v>31</v>
      </c>
      <c r="L946">
        <v>50</v>
      </c>
      <c r="M946">
        <v>50</v>
      </c>
      <c r="N946" t="s">
        <v>32</v>
      </c>
      <c r="O946">
        <v>1</v>
      </c>
      <c r="P946">
        <v>150</v>
      </c>
      <c r="Q946" t="b">
        <v>1</v>
      </c>
      <c r="R946" t="b">
        <v>0</v>
      </c>
      <c r="S946" t="b">
        <v>0</v>
      </c>
      <c r="T946">
        <v>231</v>
      </c>
      <c r="U946">
        <v>0</v>
      </c>
      <c r="V946" t="s">
        <v>33</v>
      </c>
      <c r="W946" t="s">
        <v>33</v>
      </c>
      <c r="X946">
        <v>50</v>
      </c>
      <c r="Y946">
        <v>359</v>
      </c>
      <c r="Z946" t="s">
        <v>34</v>
      </c>
      <c r="AA946">
        <v>359</v>
      </c>
      <c r="AB946" t="s">
        <v>121</v>
      </c>
      <c r="AC946" t="s">
        <v>121</v>
      </c>
      <c r="AD946" t="str">
        <f t="shared" si="14"/>
        <v>Escobedo → Escobedo</v>
      </c>
      <c r="AE946" t="s">
        <v>1357</v>
      </c>
      <c r="AF946" s="4">
        <v>45901</v>
      </c>
      <c r="AG946" t="str">
        <f>YEAR(Table1[[#This Row],[Fecha]])&amp;" - " &amp;UPPER(TEXT(Table1[[#This Row],[Fecha]],"mm-mmm"))</f>
        <v>2025 - 09-SEP</v>
      </c>
      <c r="AH946" s="5">
        <v>0</v>
      </c>
    </row>
    <row r="947" spans="1:34" x14ac:dyDescent="0.25">
      <c r="A947" t="s">
        <v>1230</v>
      </c>
      <c r="B947">
        <v>2025</v>
      </c>
      <c r="C947">
        <v>9</v>
      </c>
      <c r="D947" s="1">
        <v>45925</v>
      </c>
      <c r="E947" s="1">
        <v>45925</v>
      </c>
      <c r="F947" s="1">
        <v>45925</v>
      </c>
      <c r="G947" s="1">
        <v>45925</v>
      </c>
      <c r="H947" s="2">
        <v>45926.325864849539</v>
      </c>
      <c r="I947">
        <v>2039</v>
      </c>
      <c r="J947" t="s">
        <v>30</v>
      </c>
      <c r="K947" t="s">
        <v>31</v>
      </c>
      <c r="L947">
        <v>50</v>
      </c>
      <c r="M947">
        <v>50</v>
      </c>
      <c r="N947" t="s">
        <v>32</v>
      </c>
      <c r="O947">
        <v>1</v>
      </c>
      <c r="P947">
        <v>150</v>
      </c>
      <c r="Q947" t="b">
        <v>1</v>
      </c>
      <c r="R947" t="b">
        <v>0</v>
      </c>
      <c r="S947" t="b">
        <v>0</v>
      </c>
      <c r="T947">
        <v>231</v>
      </c>
      <c r="U947">
        <v>0</v>
      </c>
      <c r="V947" t="s">
        <v>33</v>
      </c>
      <c r="W947" t="s">
        <v>33</v>
      </c>
      <c r="X947">
        <v>50</v>
      </c>
      <c r="Y947">
        <v>359</v>
      </c>
      <c r="Z947" t="s">
        <v>34</v>
      </c>
      <c r="AA947">
        <v>359</v>
      </c>
      <c r="AB947" t="s">
        <v>121</v>
      </c>
      <c r="AC947" t="s">
        <v>121</v>
      </c>
      <c r="AD947" t="str">
        <f t="shared" si="14"/>
        <v>Escobedo → Escobedo</v>
      </c>
      <c r="AE947" t="s">
        <v>1357</v>
      </c>
      <c r="AF947" s="4">
        <v>45901</v>
      </c>
      <c r="AG947" t="str">
        <f>YEAR(Table1[[#This Row],[Fecha]])&amp;" - " &amp;UPPER(TEXT(Table1[[#This Row],[Fecha]],"mm-mmm"))</f>
        <v>2025 - 09-SEP</v>
      </c>
      <c r="AH947" s="5">
        <v>0</v>
      </c>
    </row>
    <row r="948" spans="1:34" x14ac:dyDescent="0.25">
      <c r="A948" t="s">
        <v>1231</v>
      </c>
      <c r="B948">
        <v>2025</v>
      </c>
      <c r="C948">
        <v>9</v>
      </c>
      <c r="D948" s="1">
        <v>45925</v>
      </c>
      <c r="E948" s="1">
        <v>45925</v>
      </c>
      <c r="F948" s="1">
        <v>45925</v>
      </c>
      <c r="G948" s="1">
        <v>45925</v>
      </c>
      <c r="H948" s="2">
        <v>45926.326330358796</v>
      </c>
      <c r="I948">
        <v>2039</v>
      </c>
      <c r="J948" t="s">
        <v>30</v>
      </c>
      <c r="K948" t="s">
        <v>31</v>
      </c>
      <c r="L948">
        <v>50</v>
      </c>
      <c r="M948">
        <v>50</v>
      </c>
      <c r="N948" t="s">
        <v>32</v>
      </c>
      <c r="O948">
        <v>1</v>
      </c>
      <c r="P948">
        <v>150</v>
      </c>
      <c r="Q948" t="b">
        <v>1</v>
      </c>
      <c r="R948" t="b">
        <v>0</v>
      </c>
      <c r="S948" t="b">
        <v>0</v>
      </c>
      <c r="T948">
        <v>231</v>
      </c>
      <c r="U948">
        <v>0</v>
      </c>
      <c r="V948" t="s">
        <v>33</v>
      </c>
      <c r="W948" t="s">
        <v>33</v>
      </c>
      <c r="X948">
        <v>50</v>
      </c>
      <c r="Y948">
        <v>359</v>
      </c>
      <c r="Z948" t="s">
        <v>34</v>
      </c>
      <c r="AA948">
        <v>359</v>
      </c>
      <c r="AB948" t="s">
        <v>121</v>
      </c>
      <c r="AC948" t="s">
        <v>121</v>
      </c>
      <c r="AD948" t="str">
        <f t="shared" si="14"/>
        <v>Escobedo → Escobedo</v>
      </c>
      <c r="AE948" t="s">
        <v>1357</v>
      </c>
      <c r="AF948" s="4">
        <v>45901</v>
      </c>
      <c r="AG948" t="str">
        <f>YEAR(Table1[[#This Row],[Fecha]])&amp;" - " &amp;UPPER(TEXT(Table1[[#This Row],[Fecha]],"mm-mmm"))</f>
        <v>2025 - 09-SEP</v>
      </c>
      <c r="AH948" s="5">
        <v>0</v>
      </c>
    </row>
    <row r="949" spans="1:34" x14ac:dyDescent="0.25">
      <c r="A949" t="s">
        <v>1232</v>
      </c>
      <c r="B949">
        <v>2025</v>
      </c>
      <c r="C949">
        <v>9</v>
      </c>
      <c r="D949" s="1">
        <v>45926</v>
      </c>
      <c r="E949" s="1">
        <v>45926</v>
      </c>
      <c r="F949" s="1">
        <v>45926</v>
      </c>
      <c r="G949" s="1">
        <v>45926</v>
      </c>
      <c r="H949" s="2">
        <v>45926.640389039349</v>
      </c>
      <c r="I949">
        <v>2039</v>
      </c>
      <c r="J949" t="s">
        <v>30</v>
      </c>
      <c r="K949" t="s">
        <v>31</v>
      </c>
      <c r="L949">
        <v>50</v>
      </c>
      <c r="M949">
        <v>50</v>
      </c>
      <c r="N949" t="s">
        <v>32</v>
      </c>
      <c r="O949">
        <v>1</v>
      </c>
      <c r="P949">
        <v>150</v>
      </c>
      <c r="Q949" t="b">
        <v>1</v>
      </c>
      <c r="R949" t="b">
        <v>0</v>
      </c>
      <c r="S949" t="b">
        <v>0</v>
      </c>
      <c r="T949">
        <v>231</v>
      </c>
      <c r="U949">
        <v>0</v>
      </c>
      <c r="V949" t="s">
        <v>33</v>
      </c>
      <c r="W949" t="s">
        <v>33</v>
      </c>
      <c r="X949">
        <v>50</v>
      </c>
      <c r="Y949">
        <v>359</v>
      </c>
      <c r="Z949" t="s">
        <v>34</v>
      </c>
      <c r="AA949">
        <v>359</v>
      </c>
      <c r="AB949" t="s">
        <v>121</v>
      </c>
      <c r="AC949" t="s">
        <v>121</v>
      </c>
      <c r="AD949" t="str">
        <f t="shared" si="14"/>
        <v>Escobedo → Escobedo</v>
      </c>
      <c r="AE949" t="s">
        <v>1357</v>
      </c>
      <c r="AF949" s="4">
        <v>45901</v>
      </c>
      <c r="AG949" t="str">
        <f>YEAR(Table1[[#This Row],[Fecha]])&amp;" - " &amp;UPPER(TEXT(Table1[[#This Row],[Fecha]],"mm-mmm"))</f>
        <v>2025 - 09-SEP</v>
      </c>
      <c r="AH949" s="5">
        <v>0</v>
      </c>
    </row>
    <row r="950" spans="1:34" x14ac:dyDescent="0.25">
      <c r="A950" t="s">
        <v>1233</v>
      </c>
      <c r="B950">
        <v>2025</v>
      </c>
      <c r="C950">
        <v>9</v>
      </c>
      <c r="D950" s="1">
        <v>45926</v>
      </c>
      <c r="E950" s="1">
        <v>45926</v>
      </c>
      <c r="F950" s="1">
        <v>45926</v>
      </c>
      <c r="G950" s="1">
        <v>45926</v>
      </c>
      <c r="H950" s="2">
        <v>45926.640380520832</v>
      </c>
      <c r="I950">
        <v>2039</v>
      </c>
      <c r="J950" t="s">
        <v>30</v>
      </c>
      <c r="K950" t="s">
        <v>31</v>
      </c>
      <c r="L950">
        <v>50</v>
      </c>
      <c r="M950">
        <v>50</v>
      </c>
      <c r="N950" t="s">
        <v>32</v>
      </c>
      <c r="O950">
        <v>1</v>
      </c>
      <c r="P950">
        <v>150</v>
      </c>
      <c r="Q950" t="b">
        <v>1</v>
      </c>
      <c r="R950" t="b">
        <v>0</v>
      </c>
      <c r="S950" t="b">
        <v>0</v>
      </c>
      <c r="T950">
        <v>231</v>
      </c>
      <c r="U950">
        <v>0</v>
      </c>
      <c r="V950" t="s">
        <v>33</v>
      </c>
      <c r="W950" t="s">
        <v>33</v>
      </c>
      <c r="X950">
        <v>50</v>
      </c>
      <c r="Y950">
        <v>359</v>
      </c>
      <c r="Z950" t="s">
        <v>34</v>
      </c>
      <c r="AA950">
        <v>359</v>
      </c>
      <c r="AB950" t="s">
        <v>121</v>
      </c>
      <c r="AC950" t="s">
        <v>121</v>
      </c>
      <c r="AD950" t="str">
        <f t="shared" si="14"/>
        <v>Escobedo → Escobedo</v>
      </c>
      <c r="AE950" t="s">
        <v>1357</v>
      </c>
      <c r="AF950" s="4">
        <v>45901</v>
      </c>
      <c r="AG950" t="str">
        <f>YEAR(Table1[[#This Row],[Fecha]])&amp;" - " &amp;UPPER(TEXT(Table1[[#This Row],[Fecha]],"mm-mmm"))</f>
        <v>2025 - 09-SEP</v>
      </c>
      <c r="AH950" s="5">
        <v>0</v>
      </c>
    </row>
    <row r="951" spans="1:34" x14ac:dyDescent="0.25">
      <c r="A951" t="s">
        <v>1234</v>
      </c>
      <c r="B951">
        <v>2025</v>
      </c>
      <c r="C951">
        <v>9</v>
      </c>
      <c r="D951" s="1">
        <v>45926</v>
      </c>
      <c r="E951" s="1">
        <v>45926</v>
      </c>
      <c r="F951" s="1">
        <v>45926</v>
      </c>
      <c r="G951" s="1">
        <v>45926</v>
      </c>
      <c r="H951" s="1">
        <v>45926</v>
      </c>
      <c r="I951">
        <v>2039</v>
      </c>
      <c r="J951" t="s">
        <v>30</v>
      </c>
      <c r="K951" t="s">
        <v>31</v>
      </c>
      <c r="L951">
        <v>50</v>
      </c>
      <c r="M951">
        <v>50</v>
      </c>
      <c r="N951" t="s">
        <v>32</v>
      </c>
      <c r="O951">
        <v>1</v>
      </c>
      <c r="P951">
        <v>150</v>
      </c>
      <c r="Q951" t="b">
        <v>1</v>
      </c>
      <c r="R951" t="b">
        <v>0</v>
      </c>
      <c r="S951" t="b">
        <v>0</v>
      </c>
      <c r="T951">
        <v>231</v>
      </c>
      <c r="U951">
        <v>0</v>
      </c>
      <c r="V951" t="s">
        <v>33</v>
      </c>
      <c r="W951" t="s">
        <v>33</v>
      </c>
      <c r="X951">
        <v>50</v>
      </c>
      <c r="Y951">
        <v>359</v>
      </c>
      <c r="Z951" t="s">
        <v>34</v>
      </c>
      <c r="AA951">
        <v>359</v>
      </c>
      <c r="AB951" t="s">
        <v>121</v>
      </c>
      <c r="AC951" t="s">
        <v>121</v>
      </c>
      <c r="AD951" t="str">
        <f t="shared" si="14"/>
        <v>Escobedo → Escobedo</v>
      </c>
      <c r="AE951" t="s">
        <v>1357</v>
      </c>
      <c r="AF951" s="4">
        <v>45901</v>
      </c>
      <c r="AG951" t="str">
        <f>YEAR(Table1[[#This Row],[Fecha]])&amp;" - " &amp;UPPER(TEXT(Table1[[#This Row],[Fecha]],"mm-mmm"))</f>
        <v>2025 - 09-SEP</v>
      </c>
      <c r="AH951" s="5">
        <v>0</v>
      </c>
    </row>
    <row r="952" spans="1:34" x14ac:dyDescent="0.25">
      <c r="A952" t="s">
        <v>1235</v>
      </c>
      <c r="B952">
        <v>2025</v>
      </c>
      <c r="C952">
        <v>9</v>
      </c>
      <c r="D952" s="1">
        <v>45926</v>
      </c>
      <c r="E952" s="1">
        <v>45926</v>
      </c>
      <c r="F952" s="1">
        <v>45926</v>
      </c>
      <c r="G952" s="1">
        <v>45926</v>
      </c>
      <c r="H952" s="2">
        <v>45926.640397187497</v>
      </c>
      <c r="I952">
        <v>2039</v>
      </c>
      <c r="J952" t="s">
        <v>30</v>
      </c>
      <c r="K952" t="s">
        <v>31</v>
      </c>
      <c r="L952">
        <v>50</v>
      </c>
      <c r="M952">
        <v>50</v>
      </c>
      <c r="N952" t="s">
        <v>32</v>
      </c>
      <c r="O952">
        <v>1</v>
      </c>
      <c r="P952">
        <v>150</v>
      </c>
      <c r="Q952" t="b">
        <v>1</v>
      </c>
      <c r="R952" t="b">
        <v>0</v>
      </c>
      <c r="S952" t="b">
        <v>0</v>
      </c>
      <c r="T952">
        <v>231</v>
      </c>
      <c r="U952">
        <v>0</v>
      </c>
      <c r="V952" t="s">
        <v>33</v>
      </c>
      <c r="W952" t="s">
        <v>33</v>
      </c>
      <c r="X952">
        <v>50</v>
      </c>
      <c r="Y952">
        <v>359</v>
      </c>
      <c r="Z952" t="s">
        <v>34</v>
      </c>
      <c r="AA952">
        <v>359</v>
      </c>
      <c r="AB952" t="s">
        <v>121</v>
      </c>
      <c r="AC952" t="s">
        <v>121</v>
      </c>
      <c r="AD952" t="str">
        <f t="shared" si="14"/>
        <v>Escobedo → Escobedo</v>
      </c>
      <c r="AE952" t="s">
        <v>1357</v>
      </c>
      <c r="AF952" s="4">
        <v>45901</v>
      </c>
      <c r="AG952" t="str">
        <f>YEAR(Table1[[#This Row],[Fecha]])&amp;" - " &amp;UPPER(TEXT(Table1[[#This Row],[Fecha]],"mm-mmm"))</f>
        <v>2025 - 09-SEP</v>
      </c>
      <c r="AH952" s="5">
        <v>0</v>
      </c>
    </row>
    <row r="953" spans="1:34" x14ac:dyDescent="0.25">
      <c r="A953" t="s">
        <v>1236</v>
      </c>
      <c r="B953">
        <v>2025</v>
      </c>
      <c r="C953">
        <v>9</v>
      </c>
      <c r="D953" s="1">
        <v>45927</v>
      </c>
      <c r="E953" s="1">
        <v>45927</v>
      </c>
      <c r="F953" s="1">
        <v>45927</v>
      </c>
      <c r="G953" s="1">
        <v>45927</v>
      </c>
      <c r="H953" s="2">
        <v>45927.477075196759</v>
      </c>
      <c r="I953">
        <v>2039</v>
      </c>
      <c r="J953" t="s">
        <v>30</v>
      </c>
      <c r="K953" t="s">
        <v>31</v>
      </c>
      <c r="L953">
        <v>50</v>
      </c>
      <c r="M953">
        <v>50</v>
      </c>
      <c r="N953" t="s">
        <v>32</v>
      </c>
      <c r="O953">
        <v>1</v>
      </c>
      <c r="P953">
        <v>150</v>
      </c>
      <c r="Q953" t="b">
        <v>1</v>
      </c>
      <c r="R953" t="b">
        <v>0</v>
      </c>
      <c r="S953" t="b">
        <v>0</v>
      </c>
      <c r="T953">
        <v>231</v>
      </c>
      <c r="U953">
        <v>0</v>
      </c>
      <c r="V953" t="s">
        <v>33</v>
      </c>
      <c r="W953" t="s">
        <v>33</v>
      </c>
      <c r="X953">
        <v>50</v>
      </c>
      <c r="Y953">
        <v>359</v>
      </c>
      <c r="Z953" t="s">
        <v>34</v>
      </c>
      <c r="AA953">
        <v>359</v>
      </c>
      <c r="AB953" t="s">
        <v>121</v>
      </c>
      <c r="AC953" t="s">
        <v>121</v>
      </c>
      <c r="AD953" t="str">
        <f t="shared" si="14"/>
        <v>Escobedo → Escobedo</v>
      </c>
      <c r="AE953" t="s">
        <v>1357</v>
      </c>
      <c r="AF953" s="4">
        <v>45901</v>
      </c>
      <c r="AG953" t="str">
        <f>YEAR(Table1[[#This Row],[Fecha]])&amp;" - " &amp;UPPER(TEXT(Table1[[#This Row],[Fecha]],"mm-mmm"))</f>
        <v>2025 - 09-SEP</v>
      </c>
      <c r="AH953" s="5">
        <v>0</v>
      </c>
    </row>
    <row r="954" spans="1:34" x14ac:dyDescent="0.25">
      <c r="A954" t="s">
        <v>1237</v>
      </c>
      <c r="B954">
        <v>2025</v>
      </c>
      <c r="C954">
        <v>9</v>
      </c>
      <c r="D954" s="1">
        <v>45927</v>
      </c>
      <c r="E954" s="1">
        <v>45927</v>
      </c>
      <c r="F954" s="1">
        <v>45927</v>
      </c>
      <c r="G954" s="1">
        <v>45927</v>
      </c>
      <c r="H954" s="2">
        <v>45927.477692858796</v>
      </c>
      <c r="I954">
        <v>2039</v>
      </c>
      <c r="J954" t="s">
        <v>30</v>
      </c>
      <c r="K954" t="s">
        <v>31</v>
      </c>
      <c r="L954">
        <v>50</v>
      </c>
      <c r="M954">
        <v>50</v>
      </c>
      <c r="N954" t="s">
        <v>32</v>
      </c>
      <c r="O954">
        <v>1</v>
      </c>
      <c r="P954">
        <v>150</v>
      </c>
      <c r="Q954" t="b">
        <v>1</v>
      </c>
      <c r="R954" t="b">
        <v>0</v>
      </c>
      <c r="S954" t="b">
        <v>0</v>
      </c>
      <c r="T954">
        <v>231</v>
      </c>
      <c r="U954">
        <v>0</v>
      </c>
      <c r="V954" t="s">
        <v>33</v>
      </c>
      <c r="W954" t="s">
        <v>33</v>
      </c>
      <c r="X954">
        <v>50</v>
      </c>
      <c r="Y954">
        <v>359</v>
      </c>
      <c r="Z954" t="s">
        <v>34</v>
      </c>
      <c r="AA954">
        <v>359</v>
      </c>
      <c r="AB954" t="s">
        <v>121</v>
      </c>
      <c r="AC954" t="s">
        <v>121</v>
      </c>
      <c r="AD954" t="str">
        <f t="shared" si="14"/>
        <v>Escobedo → Escobedo</v>
      </c>
      <c r="AE954" t="s">
        <v>1357</v>
      </c>
      <c r="AF954" s="4">
        <v>45901</v>
      </c>
      <c r="AG954" t="str">
        <f>YEAR(Table1[[#This Row],[Fecha]])&amp;" - " &amp;UPPER(TEXT(Table1[[#This Row],[Fecha]],"mm-mmm"))</f>
        <v>2025 - 09-SEP</v>
      </c>
      <c r="AH954" s="5">
        <v>0</v>
      </c>
    </row>
    <row r="955" spans="1:34" x14ac:dyDescent="0.25">
      <c r="A955" t="s">
        <v>1238</v>
      </c>
      <c r="B955">
        <v>2025</v>
      </c>
      <c r="C955">
        <v>9</v>
      </c>
      <c r="D955" s="1">
        <v>45927</v>
      </c>
      <c r="E955" s="1">
        <v>45927</v>
      </c>
      <c r="F955" s="1">
        <v>45927</v>
      </c>
      <c r="G955" s="1">
        <v>45927</v>
      </c>
      <c r="H955" s="2">
        <v>45927.478237847223</v>
      </c>
      <c r="I955">
        <v>2039</v>
      </c>
      <c r="J955" t="s">
        <v>30</v>
      </c>
      <c r="K955" t="s">
        <v>31</v>
      </c>
      <c r="L955">
        <v>50</v>
      </c>
      <c r="M955">
        <v>50</v>
      </c>
      <c r="N955" t="s">
        <v>32</v>
      </c>
      <c r="O955">
        <v>1</v>
      </c>
      <c r="P955">
        <v>150</v>
      </c>
      <c r="Q955" t="b">
        <v>1</v>
      </c>
      <c r="R955" t="b">
        <v>0</v>
      </c>
      <c r="S955" t="b">
        <v>0</v>
      </c>
      <c r="T955">
        <v>231</v>
      </c>
      <c r="U955">
        <v>0</v>
      </c>
      <c r="V955" t="s">
        <v>33</v>
      </c>
      <c r="W955" t="s">
        <v>33</v>
      </c>
      <c r="X955">
        <v>50</v>
      </c>
      <c r="Y955">
        <v>359</v>
      </c>
      <c r="Z955" t="s">
        <v>34</v>
      </c>
      <c r="AA955">
        <v>359</v>
      </c>
      <c r="AB955" t="s">
        <v>121</v>
      </c>
      <c r="AC955" t="s">
        <v>121</v>
      </c>
      <c r="AD955" t="str">
        <f t="shared" si="14"/>
        <v>Escobedo → Escobedo</v>
      </c>
      <c r="AE955" t="s">
        <v>1357</v>
      </c>
      <c r="AF955" s="4">
        <v>45901</v>
      </c>
      <c r="AG955" t="str">
        <f>YEAR(Table1[[#This Row],[Fecha]])&amp;" - " &amp;UPPER(TEXT(Table1[[#This Row],[Fecha]],"mm-mmm"))</f>
        <v>2025 - 09-SEP</v>
      </c>
      <c r="AH955" s="5">
        <v>0</v>
      </c>
    </row>
    <row r="956" spans="1:34" x14ac:dyDescent="0.25">
      <c r="A956" t="s">
        <v>1239</v>
      </c>
      <c r="B956">
        <v>2025</v>
      </c>
      <c r="C956">
        <v>9</v>
      </c>
      <c r="D956" s="1">
        <v>45927</v>
      </c>
      <c r="E956" s="1">
        <v>45927</v>
      </c>
      <c r="F956" s="1">
        <v>45927</v>
      </c>
      <c r="G956" s="1">
        <v>45927</v>
      </c>
      <c r="H956" s="2">
        <v>45927.595909374999</v>
      </c>
      <c r="I956">
        <v>2039</v>
      </c>
      <c r="J956" t="s">
        <v>30</v>
      </c>
      <c r="K956" t="s">
        <v>31</v>
      </c>
      <c r="L956">
        <v>50</v>
      </c>
      <c r="M956">
        <v>50</v>
      </c>
      <c r="N956" t="s">
        <v>32</v>
      </c>
      <c r="O956">
        <v>1</v>
      </c>
      <c r="P956">
        <v>150</v>
      </c>
      <c r="Q956" t="b">
        <v>1</v>
      </c>
      <c r="R956" t="b">
        <v>0</v>
      </c>
      <c r="S956" t="b">
        <v>0</v>
      </c>
      <c r="T956">
        <v>231</v>
      </c>
      <c r="U956">
        <v>0</v>
      </c>
      <c r="V956" t="s">
        <v>33</v>
      </c>
      <c r="W956" t="s">
        <v>33</v>
      </c>
      <c r="X956">
        <v>50</v>
      </c>
      <c r="Y956">
        <v>359</v>
      </c>
      <c r="Z956" t="s">
        <v>34</v>
      </c>
      <c r="AA956">
        <v>359</v>
      </c>
      <c r="AB956" t="s">
        <v>121</v>
      </c>
      <c r="AC956" t="s">
        <v>121</v>
      </c>
      <c r="AD956" t="str">
        <f t="shared" si="14"/>
        <v>Escobedo → Escobedo</v>
      </c>
      <c r="AE956" t="s">
        <v>1357</v>
      </c>
      <c r="AF956" s="4">
        <v>45901</v>
      </c>
      <c r="AG956" t="str">
        <f>YEAR(Table1[[#This Row],[Fecha]])&amp;" - " &amp;UPPER(TEXT(Table1[[#This Row],[Fecha]],"mm-mmm"))</f>
        <v>2025 - 09-SEP</v>
      </c>
      <c r="AH956" s="5">
        <v>0</v>
      </c>
    </row>
    <row r="957" spans="1:34" x14ac:dyDescent="0.25">
      <c r="A957" t="s">
        <v>176</v>
      </c>
      <c r="B957">
        <v>2025</v>
      </c>
      <c r="C957">
        <v>9</v>
      </c>
      <c r="D957" s="1">
        <v>45929</v>
      </c>
      <c r="E957" s="1">
        <v>45929</v>
      </c>
      <c r="F957" s="1">
        <v>45929</v>
      </c>
      <c r="G957" s="1">
        <v>45929</v>
      </c>
      <c r="H957" s="2">
        <v>45929.657345219908</v>
      </c>
      <c r="I957">
        <v>2039</v>
      </c>
      <c r="J957" t="s">
        <v>30</v>
      </c>
      <c r="K957" t="s">
        <v>31</v>
      </c>
      <c r="L957">
        <v>50</v>
      </c>
      <c r="M957">
        <v>50</v>
      </c>
      <c r="N957" t="s">
        <v>32</v>
      </c>
      <c r="O957">
        <v>1</v>
      </c>
      <c r="P957">
        <v>150</v>
      </c>
      <c r="Q957" t="b">
        <v>1</v>
      </c>
      <c r="R957" t="b">
        <v>0</v>
      </c>
      <c r="S957" t="b">
        <v>0</v>
      </c>
      <c r="T957">
        <v>231</v>
      </c>
      <c r="U957">
        <v>0</v>
      </c>
      <c r="V957" t="s">
        <v>33</v>
      </c>
      <c r="W957" t="s">
        <v>33</v>
      </c>
      <c r="X957">
        <v>50</v>
      </c>
      <c r="Y957">
        <v>308</v>
      </c>
      <c r="Z957" t="s">
        <v>123</v>
      </c>
      <c r="AA957">
        <v>308</v>
      </c>
      <c r="AB957" t="s">
        <v>121</v>
      </c>
      <c r="AC957" t="s">
        <v>174</v>
      </c>
      <c r="AD957" t="str">
        <f t="shared" si="14"/>
        <v>Escobedo → Guadalupe</v>
      </c>
      <c r="AE957" t="s">
        <v>1357</v>
      </c>
      <c r="AF957" s="4">
        <v>45901</v>
      </c>
      <c r="AG957" t="str">
        <f>YEAR(Table1[[#This Row],[Fecha]])&amp;" - " &amp;UPPER(TEXT(Table1[[#This Row],[Fecha]],"mm-mmm"))</f>
        <v>2025 - 09-SEP</v>
      </c>
      <c r="AH957" s="5">
        <v>0</v>
      </c>
    </row>
    <row r="958" spans="1:34" x14ac:dyDescent="0.25">
      <c r="A958" t="s">
        <v>1215</v>
      </c>
      <c r="B958">
        <v>2025</v>
      </c>
      <c r="C958">
        <v>9</v>
      </c>
      <c r="D958" s="1">
        <v>45929</v>
      </c>
      <c r="E958" s="1">
        <v>45929</v>
      </c>
      <c r="F958" s="1">
        <v>45929</v>
      </c>
      <c r="G958" s="1">
        <v>45929</v>
      </c>
      <c r="H958" s="2">
        <v>45929.672212581019</v>
      </c>
      <c r="I958">
        <v>2039</v>
      </c>
      <c r="J958" t="s">
        <v>30</v>
      </c>
      <c r="K958" t="s">
        <v>31</v>
      </c>
      <c r="L958">
        <v>50</v>
      </c>
      <c r="M958">
        <v>50</v>
      </c>
      <c r="N958" t="s">
        <v>32</v>
      </c>
      <c r="O958">
        <v>1</v>
      </c>
      <c r="P958">
        <v>150</v>
      </c>
      <c r="Q958" t="b">
        <v>1</v>
      </c>
      <c r="R958" t="b">
        <v>0</v>
      </c>
      <c r="S958" t="b">
        <v>0</v>
      </c>
      <c r="T958">
        <v>231</v>
      </c>
      <c r="U958">
        <v>0</v>
      </c>
      <c r="V958" t="s">
        <v>33</v>
      </c>
      <c r="W958" t="s">
        <v>33</v>
      </c>
      <c r="X958">
        <v>50</v>
      </c>
      <c r="Y958">
        <v>359</v>
      </c>
      <c r="Z958" t="s">
        <v>34</v>
      </c>
      <c r="AA958">
        <v>359</v>
      </c>
      <c r="AB958" t="s">
        <v>121</v>
      </c>
      <c r="AC958" t="s">
        <v>121</v>
      </c>
      <c r="AD958" t="str">
        <f t="shared" si="14"/>
        <v>Escobedo → Escobedo</v>
      </c>
      <c r="AE958" t="s">
        <v>1357</v>
      </c>
      <c r="AF958" s="4">
        <v>45901</v>
      </c>
      <c r="AG958" t="str">
        <f>YEAR(Table1[[#This Row],[Fecha]])&amp;" - " &amp;UPPER(TEXT(Table1[[#This Row],[Fecha]],"mm-mmm"))</f>
        <v>2025 - 09-SEP</v>
      </c>
      <c r="AH958" s="5">
        <v>0</v>
      </c>
    </row>
    <row r="959" spans="1:34" x14ac:dyDescent="0.25">
      <c r="A959" t="s">
        <v>1216</v>
      </c>
      <c r="B959">
        <v>2025</v>
      </c>
      <c r="C959">
        <v>9</v>
      </c>
      <c r="D959" s="1">
        <v>45929</v>
      </c>
      <c r="E959" s="1">
        <v>45929</v>
      </c>
      <c r="F959" s="1">
        <v>45929</v>
      </c>
      <c r="G959" s="1">
        <v>45929</v>
      </c>
      <c r="H959" s="2">
        <v>45929.672964270831</v>
      </c>
      <c r="I959">
        <v>2039</v>
      </c>
      <c r="J959" t="s">
        <v>30</v>
      </c>
      <c r="K959" t="s">
        <v>31</v>
      </c>
      <c r="L959">
        <v>50</v>
      </c>
      <c r="M959">
        <v>50</v>
      </c>
      <c r="N959" t="s">
        <v>32</v>
      </c>
      <c r="O959">
        <v>1</v>
      </c>
      <c r="P959">
        <v>150</v>
      </c>
      <c r="Q959" t="b">
        <v>1</v>
      </c>
      <c r="R959" t="b">
        <v>0</v>
      </c>
      <c r="S959" t="b">
        <v>0</v>
      </c>
      <c r="T959">
        <v>231</v>
      </c>
      <c r="U959">
        <v>0</v>
      </c>
      <c r="V959" t="s">
        <v>33</v>
      </c>
      <c r="W959" t="s">
        <v>33</v>
      </c>
      <c r="X959">
        <v>50</v>
      </c>
      <c r="Y959">
        <v>359</v>
      </c>
      <c r="Z959" t="s">
        <v>34</v>
      </c>
      <c r="AA959">
        <v>359</v>
      </c>
      <c r="AB959" t="s">
        <v>121</v>
      </c>
      <c r="AC959" t="s">
        <v>121</v>
      </c>
      <c r="AD959" t="str">
        <f t="shared" si="14"/>
        <v>Escobedo → Escobedo</v>
      </c>
      <c r="AE959" t="s">
        <v>1357</v>
      </c>
      <c r="AF959" s="4">
        <v>45901</v>
      </c>
      <c r="AG959" t="str">
        <f>YEAR(Table1[[#This Row],[Fecha]])&amp;" - " &amp;UPPER(TEXT(Table1[[#This Row],[Fecha]],"mm-mmm"))</f>
        <v>2025 - 09-SEP</v>
      </c>
      <c r="AH959" s="5">
        <v>0</v>
      </c>
    </row>
    <row r="960" spans="1:34" x14ac:dyDescent="0.25">
      <c r="A960" t="s">
        <v>1217</v>
      </c>
      <c r="B960">
        <v>2025</v>
      </c>
      <c r="C960">
        <v>9</v>
      </c>
      <c r="D960" s="1">
        <v>45929</v>
      </c>
      <c r="E960" s="1">
        <v>45929</v>
      </c>
      <c r="F960" s="1">
        <v>45929</v>
      </c>
      <c r="G960" s="1">
        <v>45929</v>
      </c>
      <c r="H960" s="2">
        <v>45929.674598761572</v>
      </c>
      <c r="I960">
        <v>2039</v>
      </c>
      <c r="J960" t="s">
        <v>30</v>
      </c>
      <c r="K960" t="s">
        <v>31</v>
      </c>
      <c r="L960">
        <v>50</v>
      </c>
      <c r="M960">
        <v>50</v>
      </c>
      <c r="N960" t="s">
        <v>32</v>
      </c>
      <c r="O960">
        <v>1</v>
      </c>
      <c r="P960">
        <v>150</v>
      </c>
      <c r="Q960" t="b">
        <v>1</v>
      </c>
      <c r="R960" t="b">
        <v>0</v>
      </c>
      <c r="S960" t="b">
        <v>0</v>
      </c>
      <c r="T960">
        <v>231</v>
      </c>
      <c r="U960">
        <v>0</v>
      </c>
      <c r="V960" t="s">
        <v>33</v>
      </c>
      <c r="W960" t="s">
        <v>33</v>
      </c>
      <c r="X960">
        <v>50</v>
      </c>
      <c r="Y960">
        <v>359</v>
      </c>
      <c r="Z960" t="s">
        <v>34</v>
      </c>
      <c r="AA960">
        <v>359</v>
      </c>
      <c r="AB960" t="s">
        <v>121</v>
      </c>
      <c r="AC960" t="s">
        <v>121</v>
      </c>
      <c r="AD960" t="str">
        <f t="shared" si="14"/>
        <v>Escobedo → Escobedo</v>
      </c>
      <c r="AE960" t="s">
        <v>1357</v>
      </c>
      <c r="AF960" s="4">
        <v>45901</v>
      </c>
      <c r="AG960" t="str">
        <f>YEAR(Table1[[#This Row],[Fecha]])&amp;" - " &amp;UPPER(TEXT(Table1[[#This Row],[Fecha]],"mm-mmm"))</f>
        <v>2025 - 09-SEP</v>
      </c>
      <c r="AH960" s="5">
        <v>0</v>
      </c>
    </row>
    <row r="961" spans="1:34" x14ac:dyDescent="0.25">
      <c r="A961" t="s">
        <v>1218</v>
      </c>
      <c r="B961">
        <v>2025</v>
      </c>
      <c r="C961">
        <v>9</v>
      </c>
      <c r="D961" s="1">
        <v>45929</v>
      </c>
      <c r="E961" s="1">
        <v>45929</v>
      </c>
      <c r="F961" s="1">
        <v>45929</v>
      </c>
      <c r="G961" s="1">
        <v>45929</v>
      </c>
      <c r="H961" s="2">
        <v>45929.7645809838</v>
      </c>
      <c r="I961">
        <v>2039</v>
      </c>
      <c r="J961" t="s">
        <v>30</v>
      </c>
      <c r="K961" t="s">
        <v>31</v>
      </c>
      <c r="L961">
        <v>50</v>
      </c>
      <c r="M961">
        <v>50</v>
      </c>
      <c r="N961" t="s">
        <v>32</v>
      </c>
      <c r="O961">
        <v>1</v>
      </c>
      <c r="P961">
        <v>150</v>
      </c>
      <c r="Q961" t="b">
        <v>1</v>
      </c>
      <c r="R961" t="b">
        <v>0</v>
      </c>
      <c r="S961" t="b">
        <v>0</v>
      </c>
      <c r="T961">
        <v>231</v>
      </c>
      <c r="U961">
        <v>0</v>
      </c>
      <c r="V961" t="s">
        <v>33</v>
      </c>
      <c r="W961" t="s">
        <v>33</v>
      </c>
      <c r="X961">
        <v>50</v>
      </c>
      <c r="Y961">
        <v>359</v>
      </c>
      <c r="Z961" t="s">
        <v>34</v>
      </c>
      <c r="AA961">
        <v>359</v>
      </c>
      <c r="AB961" t="s">
        <v>121</v>
      </c>
      <c r="AC961" t="s">
        <v>121</v>
      </c>
      <c r="AD961" t="str">
        <f t="shared" si="14"/>
        <v>Escobedo → Escobedo</v>
      </c>
      <c r="AE961" t="s">
        <v>1357</v>
      </c>
      <c r="AF961" s="4">
        <v>45901</v>
      </c>
      <c r="AG961" t="str">
        <f>YEAR(Table1[[#This Row],[Fecha]])&amp;" - " &amp;UPPER(TEXT(Table1[[#This Row],[Fecha]],"mm-mmm"))</f>
        <v>2025 - 09-SEP</v>
      </c>
      <c r="AH961" s="5">
        <v>0</v>
      </c>
    </row>
    <row r="962" spans="1:34" x14ac:dyDescent="0.25">
      <c r="A962" t="s">
        <v>290</v>
      </c>
      <c r="B962">
        <v>2025</v>
      </c>
      <c r="C962">
        <v>9</v>
      </c>
      <c r="D962" s="1">
        <v>45915</v>
      </c>
      <c r="E962" s="1">
        <v>45915</v>
      </c>
      <c r="F962" s="1">
        <v>45917</v>
      </c>
      <c r="G962" s="1">
        <v>45916</v>
      </c>
      <c r="H962" s="1">
        <v>45917</v>
      </c>
      <c r="I962">
        <v>2244</v>
      </c>
      <c r="J962" t="s">
        <v>41</v>
      </c>
      <c r="K962" t="s">
        <v>42</v>
      </c>
      <c r="L962">
        <v>961</v>
      </c>
      <c r="M962">
        <v>0</v>
      </c>
      <c r="N962" t="s">
        <v>43</v>
      </c>
      <c r="O962">
        <v>1</v>
      </c>
      <c r="P962">
        <v>964</v>
      </c>
      <c r="Q962" t="b">
        <v>1</v>
      </c>
      <c r="R962" t="b">
        <v>0</v>
      </c>
      <c r="S962" t="b">
        <v>0</v>
      </c>
      <c r="T962">
        <v>0</v>
      </c>
      <c r="U962">
        <v>0</v>
      </c>
      <c r="V962" t="s">
        <v>33</v>
      </c>
      <c r="W962" t="s">
        <v>291</v>
      </c>
      <c r="X962">
        <v>0</v>
      </c>
      <c r="Y962">
        <v>8</v>
      </c>
      <c r="Z962" t="s">
        <v>67</v>
      </c>
      <c r="AA962">
        <v>8</v>
      </c>
      <c r="AB962" t="s">
        <v>121</v>
      </c>
      <c r="AC962" t="s">
        <v>56</v>
      </c>
      <c r="AD962" t="str">
        <f t="shared" ref="AD962:AD1025" si="15">+AB962&amp;" → "&amp;AC962</f>
        <v>Escobedo → Cd Sahagún</v>
      </c>
      <c r="AE962" t="s">
        <v>1359</v>
      </c>
      <c r="AF962" s="4">
        <v>45901</v>
      </c>
      <c r="AG962" t="str">
        <f>YEAR(Table1[[#This Row],[Fecha]])&amp;" - " &amp;UPPER(TEXT(Table1[[#This Row],[Fecha]],"mm-mmm"))</f>
        <v>2025 - 09-SEP</v>
      </c>
      <c r="AH962" s="5">
        <v>0</v>
      </c>
    </row>
    <row r="963" spans="1:34" x14ac:dyDescent="0.25">
      <c r="A963" t="s">
        <v>1347</v>
      </c>
      <c r="B963">
        <v>2025</v>
      </c>
      <c r="C963">
        <v>9</v>
      </c>
      <c r="D963" s="1">
        <v>45920</v>
      </c>
      <c r="E963" s="1">
        <v>45920</v>
      </c>
      <c r="F963" s="1">
        <v>45923</v>
      </c>
      <c r="G963" s="1">
        <v>45922</v>
      </c>
      <c r="H963" s="1">
        <v>45922</v>
      </c>
      <c r="I963">
        <v>2050</v>
      </c>
      <c r="J963" t="s">
        <v>41</v>
      </c>
      <c r="K963" t="s">
        <v>42</v>
      </c>
      <c r="L963">
        <v>961</v>
      </c>
      <c r="M963">
        <v>0</v>
      </c>
      <c r="N963" t="s">
        <v>55</v>
      </c>
      <c r="O963">
        <v>1</v>
      </c>
      <c r="P963">
        <v>964</v>
      </c>
      <c r="Q963" t="b">
        <v>1</v>
      </c>
      <c r="R963" t="b">
        <v>0</v>
      </c>
      <c r="S963" t="b">
        <v>0</v>
      </c>
      <c r="T963">
        <v>0</v>
      </c>
      <c r="U963">
        <v>0</v>
      </c>
      <c r="V963" t="s">
        <v>33</v>
      </c>
      <c r="W963" t="s">
        <v>33</v>
      </c>
      <c r="X963">
        <v>0</v>
      </c>
      <c r="Y963">
        <v>4852</v>
      </c>
      <c r="Z963" t="s">
        <v>44</v>
      </c>
      <c r="AA963">
        <v>4852</v>
      </c>
      <c r="AB963" t="s">
        <v>91</v>
      </c>
      <c r="AC963" t="s">
        <v>1340</v>
      </c>
      <c r="AD963" t="str">
        <f t="shared" si="15"/>
        <v>Guerrero → Veracruz</v>
      </c>
      <c r="AE963" t="s">
        <v>1359</v>
      </c>
      <c r="AF963" s="4">
        <v>45901</v>
      </c>
      <c r="AG963" t="str">
        <f>YEAR(Table1[[#This Row],[Fecha]])&amp;" - " &amp;UPPER(TEXT(Table1[[#This Row],[Fecha]],"mm-mmm"))</f>
        <v>2025 - 09-SEP</v>
      </c>
      <c r="AH963" s="5">
        <v>0</v>
      </c>
    </row>
    <row r="964" spans="1:34" x14ac:dyDescent="0.25">
      <c r="A964" t="s">
        <v>1348</v>
      </c>
      <c r="B964">
        <v>2025</v>
      </c>
      <c r="C964">
        <v>9</v>
      </c>
      <c r="D964" s="1">
        <v>45926</v>
      </c>
      <c r="E964" s="1">
        <v>45926</v>
      </c>
      <c r="F964" s="1">
        <v>45930</v>
      </c>
      <c r="G964" s="1">
        <v>45928</v>
      </c>
      <c r="H964" s="1">
        <v>45929</v>
      </c>
      <c r="I964">
        <v>2244</v>
      </c>
      <c r="J964" t="s">
        <v>41</v>
      </c>
      <c r="K964" t="s">
        <v>42</v>
      </c>
      <c r="L964">
        <v>2528</v>
      </c>
      <c r="M964">
        <v>1264</v>
      </c>
      <c r="N964" t="s">
        <v>43</v>
      </c>
      <c r="O964">
        <v>1</v>
      </c>
      <c r="P964">
        <v>1264</v>
      </c>
      <c r="Q964" t="b">
        <v>1</v>
      </c>
      <c r="R964" t="b">
        <v>0</v>
      </c>
      <c r="S964" t="b">
        <v>0</v>
      </c>
      <c r="T964">
        <v>1746</v>
      </c>
      <c r="U964">
        <v>0</v>
      </c>
      <c r="V964" t="s">
        <v>33</v>
      </c>
      <c r="W964" t="s">
        <v>1349</v>
      </c>
      <c r="X964">
        <v>1300</v>
      </c>
      <c r="Y964">
        <v>4852</v>
      </c>
      <c r="Z964" t="s">
        <v>44</v>
      </c>
      <c r="AA964">
        <v>4852</v>
      </c>
      <c r="AB964" t="s">
        <v>91</v>
      </c>
      <c r="AC964" t="s">
        <v>1340</v>
      </c>
      <c r="AD964" t="str">
        <f t="shared" si="15"/>
        <v>Guerrero → Veracruz</v>
      </c>
      <c r="AE964" t="s">
        <v>1359</v>
      </c>
      <c r="AF964" s="4">
        <v>45901</v>
      </c>
      <c r="AG964" t="str">
        <f>YEAR(Table1[[#This Row],[Fecha]])&amp;" - " &amp;UPPER(TEXT(Table1[[#This Row],[Fecha]],"mm-mmm"))</f>
        <v>2025 - 09-SEP</v>
      </c>
      <c r="AH964" s="5">
        <v>0</v>
      </c>
    </row>
    <row r="965" spans="1:34" x14ac:dyDescent="0.25">
      <c r="A965" t="s">
        <v>365</v>
      </c>
      <c r="B965">
        <v>2025</v>
      </c>
      <c r="C965">
        <v>10</v>
      </c>
      <c r="D965" s="1">
        <v>45946</v>
      </c>
      <c r="E965" s="1">
        <v>45946</v>
      </c>
      <c r="F965" s="1">
        <v>45948</v>
      </c>
      <c r="G965" s="1">
        <v>45947</v>
      </c>
      <c r="H965" s="1">
        <v>45948</v>
      </c>
      <c r="I965">
        <v>2244</v>
      </c>
      <c r="J965" t="s">
        <v>41</v>
      </c>
      <c r="K965" t="s">
        <v>42</v>
      </c>
      <c r="L965">
        <v>842</v>
      </c>
      <c r="M965">
        <v>842</v>
      </c>
      <c r="N965" t="s">
        <v>43</v>
      </c>
      <c r="O965">
        <v>1</v>
      </c>
      <c r="P965">
        <v>863</v>
      </c>
      <c r="Q965" t="b">
        <v>1</v>
      </c>
      <c r="R965" t="b">
        <v>0</v>
      </c>
      <c r="S965" t="b">
        <v>0</v>
      </c>
      <c r="T965">
        <v>1213</v>
      </c>
      <c r="U965">
        <v>0</v>
      </c>
      <c r="V965" t="s">
        <v>33</v>
      </c>
      <c r="W965" t="s">
        <v>33</v>
      </c>
      <c r="X965">
        <v>900</v>
      </c>
      <c r="Y965">
        <v>1843</v>
      </c>
      <c r="Z965" t="s">
        <v>123</v>
      </c>
      <c r="AA965">
        <v>1843</v>
      </c>
      <c r="AB965" t="s">
        <v>121</v>
      </c>
      <c r="AC965" t="s">
        <v>364</v>
      </c>
      <c r="AD965" t="str">
        <f t="shared" si="15"/>
        <v>Escobedo → Mazatlan</v>
      </c>
      <c r="AE965" t="s">
        <v>1359</v>
      </c>
      <c r="AF965" s="4">
        <v>45931</v>
      </c>
      <c r="AG965" t="str">
        <f>YEAR(Table1[[#This Row],[Fecha]])&amp;" - " &amp;UPPER(TEXT(Table1[[#This Row],[Fecha]],"mm-mmm"))</f>
        <v>2025 - 10-OCT</v>
      </c>
      <c r="AH965" s="5">
        <v>0</v>
      </c>
    </row>
    <row r="966" spans="1:34" x14ac:dyDescent="0.25">
      <c r="A966" t="s">
        <v>366</v>
      </c>
      <c r="B966">
        <v>2025</v>
      </c>
      <c r="C966">
        <v>10</v>
      </c>
      <c r="D966" s="1">
        <v>45946</v>
      </c>
      <c r="E966" s="1">
        <v>45948</v>
      </c>
      <c r="F966" s="1">
        <v>45950</v>
      </c>
      <c r="G966" s="1">
        <v>45949</v>
      </c>
      <c r="H966" s="1">
        <v>45950</v>
      </c>
      <c r="I966">
        <v>2244</v>
      </c>
      <c r="J966" t="s">
        <v>41</v>
      </c>
      <c r="K966" t="s">
        <v>42</v>
      </c>
      <c r="L966">
        <v>842</v>
      </c>
      <c r="M966">
        <v>842</v>
      </c>
      <c r="N966" t="s">
        <v>43</v>
      </c>
      <c r="O966">
        <v>1</v>
      </c>
      <c r="P966">
        <v>863</v>
      </c>
      <c r="Q966" t="b">
        <v>1</v>
      </c>
      <c r="R966" t="b">
        <v>0</v>
      </c>
      <c r="S966" t="b">
        <v>0</v>
      </c>
      <c r="T966">
        <v>1213</v>
      </c>
      <c r="U966">
        <v>0</v>
      </c>
      <c r="V966" t="s">
        <v>33</v>
      </c>
      <c r="W966" t="s">
        <v>33</v>
      </c>
      <c r="X966">
        <v>900</v>
      </c>
      <c r="Y966">
        <v>1843</v>
      </c>
      <c r="Z966" t="s">
        <v>123</v>
      </c>
      <c r="AA966">
        <v>1843</v>
      </c>
      <c r="AB966" t="s">
        <v>121</v>
      </c>
      <c r="AC966" t="s">
        <v>364</v>
      </c>
      <c r="AD966" t="str">
        <f t="shared" si="15"/>
        <v>Escobedo → Mazatlan</v>
      </c>
      <c r="AE966" t="s">
        <v>1359</v>
      </c>
      <c r="AF966" s="4">
        <v>45931</v>
      </c>
      <c r="AG966" t="str">
        <f>YEAR(Table1[[#This Row],[Fecha]])&amp;" - " &amp;UPPER(TEXT(Table1[[#This Row],[Fecha]],"mm-mmm"))</f>
        <v>2025 - 10-OCT</v>
      </c>
      <c r="AH966" s="5">
        <v>0</v>
      </c>
    </row>
    <row r="967" spans="1:34" x14ac:dyDescent="0.25">
      <c r="A967" t="s">
        <v>367</v>
      </c>
      <c r="B967">
        <v>2025</v>
      </c>
      <c r="C967">
        <v>10</v>
      </c>
      <c r="D967" s="1">
        <v>45951</v>
      </c>
      <c r="E967" s="1">
        <v>45951</v>
      </c>
      <c r="F967" s="1">
        <v>45952</v>
      </c>
      <c r="G967" s="1">
        <v>45951</v>
      </c>
      <c r="H967" s="1">
        <v>45954</v>
      </c>
      <c r="I967">
        <v>2244</v>
      </c>
      <c r="J967" t="s">
        <v>41</v>
      </c>
      <c r="K967" t="s">
        <v>42</v>
      </c>
      <c r="L967">
        <v>842</v>
      </c>
      <c r="M967">
        <v>842</v>
      </c>
      <c r="N967" t="s">
        <v>43</v>
      </c>
      <c r="O967">
        <v>1</v>
      </c>
      <c r="P967">
        <v>863</v>
      </c>
      <c r="Q967" t="b">
        <v>1</v>
      </c>
      <c r="R967" t="b">
        <v>0</v>
      </c>
      <c r="S967" t="b">
        <v>0</v>
      </c>
      <c r="T967">
        <v>1213</v>
      </c>
      <c r="U967">
        <v>0</v>
      </c>
      <c r="V967" t="s">
        <v>33</v>
      </c>
      <c r="W967" t="s">
        <v>33</v>
      </c>
      <c r="X967">
        <v>900</v>
      </c>
      <c r="Y967">
        <v>1843</v>
      </c>
      <c r="Z967" t="s">
        <v>149</v>
      </c>
      <c r="AA967">
        <v>1843</v>
      </c>
      <c r="AB967" t="s">
        <v>121</v>
      </c>
      <c r="AC967" t="s">
        <v>364</v>
      </c>
      <c r="AD967" t="str">
        <f t="shared" si="15"/>
        <v>Escobedo → Mazatlan</v>
      </c>
      <c r="AE967" t="s">
        <v>1359</v>
      </c>
      <c r="AF967" s="4">
        <v>45931</v>
      </c>
      <c r="AG967" t="str">
        <f>YEAR(Table1[[#This Row],[Fecha]])&amp;" - " &amp;UPPER(TEXT(Table1[[#This Row],[Fecha]],"mm-mmm"))</f>
        <v>2025 - 10-OCT</v>
      </c>
      <c r="AH967" s="5">
        <v>0</v>
      </c>
    </row>
    <row r="968" spans="1:34" x14ac:dyDescent="0.25">
      <c r="A968" t="s">
        <v>233</v>
      </c>
      <c r="B968">
        <v>2025</v>
      </c>
      <c r="C968">
        <v>10</v>
      </c>
      <c r="D968" s="1">
        <v>45954</v>
      </c>
      <c r="E968" s="1">
        <v>45954</v>
      </c>
      <c r="F968" s="1">
        <v>45955</v>
      </c>
      <c r="G968" s="1">
        <v>45954</v>
      </c>
      <c r="H968" s="1">
        <v>45955</v>
      </c>
      <c r="I968">
        <v>2244</v>
      </c>
      <c r="J968" t="s">
        <v>41</v>
      </c>
      <c r="K968" t="s">
        <v>42</v>
      </c>
      <c r="L968">
        <v>961</v>
      </c>
      <c r="M968">
        <v>1059</v>
      </c>
      <c r="N968" t="s">
        <v>43</v>
      </c>
      <c r="O968">
        <v>1</v>
      </c>
      <c r="P968">
        <v>964</v>
      </c>
      <c r="Q968" t="b">
        <v>1</v>
      </c>
      <c r="R968" t="b">
        <v>0</v>
      </c>
      <c r="S968" t="b">
        <v>0</v>
      </c>
      <c r="T968">
        <v>1494</v>
      </c>
      <c r="U968">
        <v>0</v>
      </c>
      <c r="V968" t="s">
        <v>33</v>
      </c>
      <c r="W968" t="s">
        <v>234</v>
      </c>
      <c r="X968">
        <v>1100</v>
      </c>
      <c r="Y968">
        <v>194</v>
      </c>
      <c r="Z968" t="s">
        <v>123</v>
      </c>
      <c r="AA968">
        <v>194</v>
      </c>
      <c r="AB968" t="s">
        <v>121</v>
      </c>
      <c r="AC968" t="s">
        <v>121</v>
      </c>
      <c r="AD968" t="str">
        <f t="shared" si="15"/>
        <v>Escobedo → Escobedo</v>
      </c>
      <c r="AE968" t="s">
        <v>1359</v>
      </c>
      <c r="AF968" s="4">
        <v>45931</v>
      </c>
      <c r="AG968" t="str">
        <f>YEAR(Table1[[#This Row],[Fecha]])&amp;" - " &amp;UPPER(TEXT(Table1[[#This Row],[Fecha]],"mm-mmm"))</f>
        <v>2025 - 10-OCT</v>
      </c>
      <c r="AH968" s="5">
        <v>0</v>
      </c>
    </row>
    <row r="969" spans="1:34" x14ac:dyDescent="0.25">
      <c r="A969" t="s">
        <v>286</v>
      </c>
      <c r="B969">
        <v>2025</v>
      </c>
      <c r="C969">
        <v>10</v>
      </c>
      <c r="D969" s="1">
        <v>45936</v>
      </c>
      <c r="E969" s="1">
        <v>45936</v>
      </c>
      <c r="F969" s="1">
        <v>45937</v>
      </c>
      <c r="G969" s="1">
        <v>45936</v>
      </c>
      <c r="H969" s="1">
        <v>45937</v>
      </c>
      <c r="I969">
        <v>2244</v>
      </c>
      <c r="J969" t="s">
        <v>41</v>
      </c>
      <c r="K969" t="s">
        <v>42</v>
      </c>
      <c r="L969">
        <v>961</v>
      </c>
      <c r="M969">
        <v>1059</v>
      </c>
      <c r="N969" t="s">
        <v>43</v>
      </c>
      <c r="O969">
        <v>1</v>
      </c>
      <c r="P969">
        <v>964</v>
      </c>
      <c r="Q969" t="b">
        <v>1</v>
      </c>
      <c r="R969" t="b">
        <v>0</v>
      </c>
      <c r="S969" t="b">
        <v>0</v>
      </c>
      <c r="T969">
        <v>1494</v>
      </c>
      <c r="U969">
        <v>0</v>
      </c>
      <c r="V969" t="s">
        <v>33</v>
      </c>
      <c r="W969" t="s">
        <v>33</v>
      </c>
      <c r="X969">
        <v>1100</v>
      </c>
      <c r="Y969">
        <v>8</v>
      </c>
      <c r="Z969" t="s">
        <v>123</v>
      </c>
      <c r="AA969">
        <v>8</v>
      </c>
      <c r="AB969" t="s">
        <v>121</v>
      </c>
      <c r="AC969" t="s">
        <v>56</v>
      </c>
      <c r="AD969" t="str">
        <f t="shared" si="15"/>
        <v>Escobedo → Cd Sahagún</v>
      </c>
      <c r="AE969" t="s">
        <v>1359</v>
      </c>
      <c r="AF969" s="4">
        <v>45931</v>
      </c>
      <c r="AG969" t="str">
        <f>YEAR(Table1[[#This Row],[Fecha]])&amp;" - " &amp;UPPER(TEXT(Table1[[#This Row],[Fecha]],"mm-mmm"))</f>
        <v>2025 - 10-OCT</v>
      </c>
      <c r="AH969" s="5">
        <v>0</v>
      </c>
    </row>
    <row r="970" spans="1:34" x14ac:dyDescent="0.25">
      <c r="A970" t="s">
        <v>287</v>
      </c>
      <c r="B970">
        <v>2025</v>
      </c>
      <c r="C970">
        <v>10</v>
      </c>
      <c r="D970" s="1">
        <v>45940</v>
      </c>
      <c r="E970" s="1">
        <v>45940</v>
      </c>
      <c r="F970" s="1">
        <v>45942</v>
      </c>
      <c r="G970" s="1">
        <v>45941</v>
      </c>
      <c r="H970" s="2">
        <v>45942.282168634258</v>
      </c>
      <c r="I970">
        <v>2244</v>
      </c>
      <c r="J970" t="s">
        <v>41</v>
      </c>
      <c r="K970" t="s">
        <v>42</v>
      </c>
      <c r="L970">
        <v>961</v>
      </c>
      <c r="M970">
        <v>0</v>
      </c>
      <c r="N970" t="s">
        <v>43</v>
      </c>
      <c r="O970">
        <v>1</v>
      </c>
      <c r="P970">
        <v>964</v>
      </c>
      <c r="Q970" t="b">
        <v>1</v>
      </c>
      <c r="R970" t="b">
        <v>0</v>
      </c>
      <c r="S970" t="b">
        <v>0</v>
      </c>
      <c r="T970">
        <v>0</v>
      </c>
      <c r="U970">
        <v>0</v>
      </c>
      <c r="V970" t="s">
        <v>33</v>
      </c>
      <c r="W970" t="s">
        <v>33</v>
      </c>
      <c r="X970">
        <v>0</v>
      </c>
      <c r="Y970">
        <v>8</v>
      </c>
      <c r="Z970" t="s">
        <v>44</v>
      </c>
      <c r="AA970">
        <v>8</v>
      </c>
      <c r="AB970" t="s">
        <v>121</v>
      </c>
      <c r="AC970" t="s">
        <v>56</v>
      </c>
      <c r="AD970" t="str">
        <f t="shared" si="15"/>
        <v>Escobedo → Cd Sahagún</v>
      </c>
      <c r="AE970" t="s">
        <v>1359</v>
      </c>
      <c r="AF970" s="4">
        <v>45931</v>
      </c>
      <c r="AG970" t="str">
        <f>YEAR(Table1[[#This Row],[Fecha]])&amp;" - " &amp;UPPER(TEXT(Table1[[#This Row],[Fecha]],"mm-mmm"))</f>
        <v>2025 - 10-OCT</v>
      </c>
      <c r="AH970" s="5">
        <v>0</v>
      </c>
    </row>
    <row r="971" spans="1:34" x14ac:dyDescent="0.25">
      <c r="A971" t="s">
        <v>288</v>
      </c>
      <c r="B971">
        <v>2025</v>
      </c>
      <c r="C971">
        <v>10</v>
      </c>
      <c r="D971" s="1">
        <v>45933</v>
      </c>
      <c r="E971" s="1">
        <v>45933</v>
      </c>
      <c r="F971" s="1">
        <v>45943</v>
      </c>
      <c r="G971" s="1">
        <v>45935</v>
      </c>
      <c r="H971" s="1">
        <v>45936</v>
      </c>
      <c r="I971">
        <v>2244</v>
      </c>
      <c r="J971" t="s">
        <v>41</v>
      </c>
      <c r="K971" t="s">
        <v>42</v>
      </c>
      <c r="L971">
        <v>961</v>
      </c>
      <c r="M971">
        <v>0</v>
      </c>
      <c r="N971" t="s">
        <v>43</v>
      </c>
      <c r="O971">
        <v>1</v>
      </c>
      <c r="P971">
        <v>964</v>
      </c>
      <c r="Q971" t="b">
        <v>1</v>
      </c>
      <c r="R971" t="b">
        <v>0</v>
      </c>
      <c r="S971" t="b">
        <v>0</v>
      </c>
      <c r="T971">
        <v>0</v>
      </c>
      <c r="U971">
        <v>0</v>
      </c>
      <c r="V971" t="s">
        <v>33</v>
      </c>
      <c r="W971" t="s">
        <v>169</v>
      </c>
      <c r="X971">
        <v>0</v>
      </c>
      <c r="Y971">
        <v>8</v>
      </c>
      <c r="Z971" t="s">
        <v>44</v>
      </c>
      <c r="AA971">
        <v>8</v>
      </c>
      <c r="AB971" t="s">
        <v>121</v>
      </c>
      <c r="AC971" t="s">
        <v>56</v>
      </c>
      <c r="AD971" t="str">
        <f t="shared" si="15"/>
        <v>Escobedo → Cd Sahagún</v>
      </c>
      <c r="AE971" t="s">
        <v>1359</v>
      </c>
      <c r="AF971" s="4">
        <v>45931</v>
      </c>
      <c r="AG971" t="str">
        <f>YEAR(Table1[[#This Row],[Fecha]])&amp;" - " &amp;UPPER(TEXT(Table1[[#This Row],[Fecha]],"mm-mmm"))</f>
        <v>2025 - 10-OCT</v>
      </c>
      <c r="AH971" s="5">
        <v>0</v>
      </c>
    </row>
    <row r="972" spans="1:34" x14ac:dyDescent="0.25">
      <c r="A972" t="s">
        <v>289</v>
      </c>
      <c r="B972">
        <v>2025</v>
      </c>
      <c r="C972">
        <v>10</v>
      </c>
      <c r="D972" s="1">
        <v>45961</v>
      </c>
      <c r="E972" s="1">
        <v>45185</v>
      </c>
      <c r="F972" s="1">
        <v>45964</v>
      </c>
      <c r="G972" s="1">
        <v>45963</v>
      </c>
      <c r="H972" s="1">
        <v>45964</v>
      </c>
      <c r="I972">
        <v>2244</v>
      </c>
      <c r="J972" t="s">
        <v>54</v>
      </c>
      <c r="K972" t="s">
        <v>31</v>
      </c>
      <c r="L972">
        <v>961</v>
      </c>
      <c r="M972">
        <v>0</v>
      </c>
      <c r="N972" t="s">
        <v>43</v>
      </c>
      <c r="O972">
        <v>1</v>
      </c>
      <c r="P972">
        <v>964</v>
      </c>
      <c r="Q972" t="b">
        <v>1</v>
      </c>
      <c r="R972" t="b">
        <v>0</v>
      </c>
      <c r="S972" t="b">
        <v>0</v>
      </c>
      <c r="T972">
        <v>0</v>
      </c>
      <c r="U972">
        <v>0</v>
      </c>
      <c r="V972" t="s">
        <v>33</v>
      </c>
      <c r="W972" t="s">
        <v>33</v>
      </c>
      <c r="X972">
        <v>0</v>
      </c>
      <c r="Y972">
        <v>8</v>
      </c>
      <c r="Z972" t="s">
        <v>44</v>
      </c>
      <c r="AA972">
        <v>8</v>
      </c>
      <c r="AB972" t="s">
        <v>121</v>
      </c>
      <c r="AC972" t="s">
        <v>56</v>
      </c>
      <c r="AD972" t="str">
        <f t="shared" si="15"/>
        <v>Escobedo → Cd Sahagún</v>
      </c>
      <c r="AE972" t="s">
        <v>1358</v>
      </c>
      <c r="AF972" s="4">
        <v>45931</v>
      </c>
      <c r="AG972" t="str">
        <f>YEAR(Table1[[#This Row],[Fecha]])&amp;" - " &amp;UPPER(TEXT(Table1[[#This Row],[Fecha]],"mm-mmm"))</f>
        <v>2025 - 10-OCT</v>
      </c>
      <c r="AH972" s="5">
        <v>0</v>
      </c>
    </row>
    <row r="973" spans="1:34" x14ac:dyDescent="0.25">
      <c r="A973" t="s">
        <v>69</v>
      </c>
      <c r="B973">
        <v>2025</v>
      </c>
      <c r="C973">
        <v>10</v>
      </c>
      <c r="D973" s="1">
        <v>45937</v>
      </c>
      <c r="E973" s="1">
        <v>45937</v>
      </c>
      <c r="F973" s="1">
        <v>45938</v>
      </c>
      <c r="G973" s="1">
        <v>45937</v>
      </c>
      <c r="H973" s="1">
        <v>45939</v>
      </c>
      <c r="I973">
        <v>2244</v>
      </c>
      <c r="J973" t="s">
        <v>41</v>
      </c>
      <c r="K973" t="s">
        <v>42</v>
      </c>
      <c r="L973">
        <v>2528</v>
      </c>
      <c r="M973">
        <v>1264</v>
      </c>
      <c r="N973" t="s">
        <v>43</v>
      </c>
      <c r="O973">
        <v>1</v>
      </c>
      <c r="P973">
        <v>1264</v>
      </c>
      <c r="Q973" t="b">
        <v>1</v>
      </c>
      <c r="R973" t="b">
        <v>0</v>
      </c>
      <c r="S973" t="b">
        <v>0</v>
      </c>
      <c r="T973">
        <v>1746</v>
      </c>
      <c r="U973">
        <v>0</v>
      </c>
      <c r="V973" t="s">
        <v>33</v>
      </c>
      <c r="W973" t="s">
        <v>33</v>
      </c>
      <c r="X973">
        <v>1300</v>
      </c>
      <c r="Y973">
        <v>98</v>
      </c>
      <c r="Z973" t="s">
        <v>44</v>
      </c>
      <c r="AA973">
        <v>98</v>
      </c>
      <c r="AB973" t="s">
        <v>56</v>
      </c>
      <c r="AC973" t="s">
        <v>60</v>
      </c>
      <c r="AD973" t="str">
        <f t="shared" si="15"/>
        <v>Cd Sahagún → Culiacan</v>
      </c>
      <c r="AE973" t="s">
        <v>1359</v>
      </c>
      <c r="AF973" s="4">
        <v>45931</v>
      </c>
      <c r="AG973" t="str">
        <f>YEAR(Table1[[#This Row],[Fecha]])&amp;" - " &amp;UPPER(TEXT(Table1[[#This Row],[Fecha]],"mm-mmm"))</f>
        <v>2025 - 10-OCT</v>
      </c>
      <c r="AH973" s="5">
        <v>0</v>
      </c>
    </row>
    <row r="974" spans="1:34" x14ac:dyDescent="0.25">
      <c r="A974" t="s">
        <v>1009</v>
      </c>
      <c r="B974">
        <v>2025</v>
      </c>
      <c r="C974">
        <v>11</v>
      </c>
      <c r="D974" s="1">
        <v>45968</v>
      </c>
      <c r="E974" s="1">
        <v>45968</v>
      </c>
      <c r="F974" s="1">
        <v>45968</v>
      </c>
      <c r="G974" s="1">
        <v>45968</v>
      </c>
      <c r="H974" s="2">
        <v>45968.71933028935</v>
      </c>
      <c r="I974">
        <v>2039</v>
      </c>
      <c r="J974" t="s">
        <v>54</v>
      </c>
      <c r="K974" t="s">
        <v>31</v>
      </c>
      <c r="L974">
        <v>50</v>
      </c>
      <c r="M974">
        <v>50</v>
      </c>
      <c r="N974" t="s">
        <v>32</v>
      </c>
      <c r="O974">
        <v>1</v>
      </c>
      <c r="P974">
        <v>150</v>
      </c>
      <c r="Q974" t="b">
        <v>1</v>
      </c>
      <c r="R974" t="b">
        <v>0</v>
      </c>
      <c r="S974" t="b">
        <v>0</v>
      </c>
      <c r="T974">
        <v>231</v>
      </c>
      <c r="U974">
        <v>0</v>
      </c>
      <c r="V974" t="s">
        <v>33</v>
      </c>
      <c r="W974" t="s">
        <v>33</v>
      </c>
      <c r="X974">
        <v>50</v>
      </c>
      <c r="Y974">
        <v>359</v>
      </c>
      <c r="Z974" t="s">
        <v>34</v>
      </c>
      <c r="AA974">
        <v>359</v>
      </c>
      <c r="AB974" t="s">
        <v>121</v>
      </c>
      <c r="AC974" t="s">
        <v>121</v>
      </c>
      <c r="AD974" t="str">
        <f t="shared" si="15"/>
        <v>Escobedo → Escobedo</v>
      </c>
      <c r="AE974" t="s">
        <v>1358</v>
      </c>
      <c r="AF974" s="4">
        <v>45962</v>
      </c>
      <c r="AG974" t="str">
        <f>YEAR(Table1[[#This Row],[Fecha]])&amp;" - " &amp;UPPER(TEXT(Table1[[#This Row],[Fecha]],"mm-mmm"))</f>
        <v>2025 - 11-NOV</v>
      </c>
      <c r="AH974" s="5">
        <v>0</v>
      </c>
    </row>
    <row r="975" spans="1:34" x14ac:dyDescent="0.25">
      <c r="A975" t="s">
        <v>1010</v>
      </c>
      <c r="B975">
        <v>2025</v>
      </c>
      <c r="C975">
        <v>11</v>
      </c>
      <c r="D975" s="1">
        <v>45968</v>
      </c>
      <c r="E975" s="1">
        <v>45968</v>
      </c>
      <c r="F975" s="1">
        <v>45968</v>
      </c>
      <c r="G975" s="1">
        <v>45968</v>
      </c>
      <c r="H975" s="1">
        <v>45968</v>
      </c>
      <c r="I975">
        <v>2039</v>
      </c>
      <c r="J975" t="s">
        <v>54</v>
      </c>
      <c r="K975" t="s">
        <v>31</v>
      </c>
      <c r="L975">
        <v>50</v>
      </c>
      <c r="M975">
        <v>50</v>
      </c>
      <c r="N975" t="s">
        <v>32</v>
      </c>
      <c r="O975">
        <v>1</v>
      </c>
      <c r="P975">
        <v>150</v>
      </c>
      <c r="Q975" t="b">
        <v>1</v>
      </c>
      <c r="R975" t="b">
        <v>0</v>
      </c>
      <c r="S975" t="b">
        <v>0</v>
      </c>
      <c r="T975">
        <v>231</v>
      </c>
      <c r="U975">
        <v>0</v>
      </c>
      <c r="V975" t="s">
        <v>33</v>
      </c>
      <c r="W975" t="s">
        <v>33</v>
      </c>
      <c r="X975">
        <v>50</v>
      </c>
      <c r="Y975">
        <v>359</v>
      </c>
      <c r="Z975" t="s">
        <v>34</v>
      </c>
      <c r="AA975">
        <v>359</v>
      </c>
      <c r="AB975" t="s">
        <v>121</v>
      </c>
      <c r="AC975" t="s">
        <v>121</v>
      </c>
      <c r="AD975" t="str">
        <f t="shared" si="15"/>
        <v>Escobedo → Escobedo</v>
      </c>
      <c r="AE975" t="s">
        <v>1358</v>
      </c>
      <c r="AF975" s="4">
        <v>45962</v>
      </c>
      <c r="AG975" t="str">
        <f>YEAR(Table1[[#This Row],[Fecha]])&amp;" - " &amp;UPPER(TEXT(Table1[[#This Row],[Fecha]],"mm-mmm"))</f>
        <v>2025 - 11-NOV</v>
      </c>
      <c r="AH975" s="5">
        <v>0</v>
      </c>
    </row>
    <row r="976" spans="1:34" x14ac:dyDescent="0.25">
      <c r="A976" t="s">
        <v>1011</v>
      </c>
      <c r="B976">
        <v>2025</v>
      </c>
      <c r="C976">
        <v>11</v>
      </c>
      <c r="D976" s="1">
        <v>45968</v>
      </c>
      <c r="E976" s="1">
        <v>45968</v>
      </c>
      <c r="F976" s="1">
        <v>45968</v>
      </c>
      <c r="G976" s="1">
        <v>45968</v>
      </c>
      <c r="H976" s="1">
        <v>45968</v>
      </c>
      <c r="I976">
        <v>2039</v>
      </c>
      <c r="J976" t="s">
        <v>54</v>
      </c>
      <c r="K976" t="s">
        <v>31</v>
      </c>
      <c r="L976">
        <v>50</v>
      </c>
      <c r="M976">
        <v>50</v>
      </c>
      <c r="N976" t="s">
        <v>32</v>
      </c>
      <c r="O976">
        <v>1</v>
      </c>
      <c r="P976">
        <v>150</v>
      </c>
      <c r="Q976" t="b">
        <v>1</v>
      </c>
      <c r="R976" t="b">
        <v>0</v>
      </c>
      <c r="S976" t="b">
        <v>0</v>
      </c>
      <c r="T976">
        <v>231</v>
      </c>
      <c r="U976">
        <v>0</v>
      </c>
      <c r="V976" t="s">
        <v>33</v>
      </c>
      <c r="W976" t="s">
        <v>33</v>
      </c>
      <c r="X976">
        <v>50</v>
      </c>
      <c r="Y976">
        <v>359</v>
      </c>
      <c r="Z976" t="s">
        <v>34</v>
      </c>
      <c r="AA976">
        <v>359</v>
      </c>
      <c r="AB976" t="s">
        <v>121</v>
      </c>
      <c r="AC976" t="s">
        <v>121</v>
      </c>
      <c r="AD976" t="str">
        <f t="shared" si="15"/>
        <v>Escobedo → Escobedo</v>
      </c>
      <c r="AE976" t="s">
        <v>1358</v>
      </c>
      <c r="AF976" s="4">
        <v>45962</v>
      </c>
      <c r="AG976" t="str">
        <f>YEAR(Table1[[#This Row],[Fecha]])&amp;" - " &amp;UPPER(TEXT(Table1[[#This Row],[Fecha]],"mm-mmm"))</f>
        <v>2025 - 11-NOV</v>
      </c>
      <c r="AH976" s="5">
        <v>0</v>
      </c>
    </row>
    <row r="977" spans="1:34" x14ac:dyDescent="0.25">
      <c r="A977" t="s">
        <v>1012</v>
      </c>
      <c r="B977">
        <v>2025</v>
      </c>
      <c r="C977">
        <v>11</v>
      </c>
      <c r="D977" s="1">
        <v>45968</v>
      </c>
      <c r="E977" s="1">
        <v>45968</v>
      </c>
      <c r="F977" s="1">
        <v>45968</v>
      </c>
      <c r="G977" s="1">
        <v>45968</v>
      </c>
      <c r="H977" s="1">
        <v>45968</v>
      </c>
      <c r="I977">
        <v>2039</v>
      </c>
      <c r="J977" t="s">
        <v>54</v>
      </c>
      <c r="K977" t="s">
        <v>31</v>
      </c>
      <c r="L977">
        <v>50</v>
      </c>
      <c r="M977">
        <v>50</v>
      </c>
      <c r="N977" t="s">
        <v>32</v>
      </c>
      <c r="O977">
        <v>1</v>
      </c>
      <c r="P977">
        <v>150</v>
      </c>
      <c r="Q977" t="b">
        <v>1</v>
      </c>
      <c r="R977" t="b">
        <v>0</v>
      </c>
      <c r="S977" t="b">
        <v>0</v>
      </c>
      <c r="T977">
        <v>231</v>
      </c>
      <c r="U977">
        <v>0</v>
      </c>
      <c r="V977" t="s">
        <v>33</v>
      </c>
      <c r="W977" t="s">
        <v>33</v>
      </c>
      <c r="X977">
        <v>50</v>
      </c>
      <c r="Y977">
        <v>359</v>
      </c>
      <c r="Z977" t="s">
        <v>34</v>
      </c>
      <c r="AA977">
        <v>359</v>
      </c>
      <c r="AB977" t="s">
        <v>121</v>
      </c>
      <c r="AC977" t="s">
        <v>121</v>
      </c>
      <c r="AD977" t="str">
        <f t="shared" si="15"/>
        <v>Escobedo → Escobedo</v>
      </c>
      <c r="AE977" t="s">
        <v>1358</v>
      </c>
      <c r="AF977" s="4">
        <v>45962</v>
      </c>
      <c r="AG977" t="str">
        <f>YEAR(Table1[[#This Row],[Fecha]])&amp;" - " &amp;UPPER(TEXT(Table1[[#This Row],[Fecha]],"mm-mmm"))</f>
        <v>2025 - 11-NOV</v>
      </c>
      <c r="AH977" s="5">
        <v>0</v>
      </c>
    </row>
    <row r="978" spans="1:34" x14ac:dyDescent="0.25">
      <c r="A978" t="s">
        <v>1013</v>
      </c>
      <c r="B978">
        <v>2025</v>
      </c>
      <c r="C978">
        <v>11</v>
      </c>
      <c r="D978" s="1">
        <v>45968</v>
      </c>
      <c r="E978" s="1">
        <v>45968</v>
      </c>
      <c r="F978" s="1">
        <v>45968</v>
      </c>
      <c r="G978" s="1">
        <v>45968</v>
      </c>
      <c r="H978" s="1">
        <v>45968</v>
      </c>
      <c r="I978">
        <v>2039</v>
      </c>
      <c r="J978" t="s">
        <v>54</v>
      </c>
      <c r="K978" t="s">
        <v>31</v>
      </c>
      <c r="L978">
        <v>50</v>
      </c>
      <c r="M978">
        <v>50</v>
      </c>
      <c r="N978" t="s">
        <v>32</v>
      </c>
      <c r="O978">
        <v>1</v>
      </c>
      <c r="P978">
        <v>150</v>
      </c>
      <c r="Q978" t="b">
        <v>1</v>
      </c>
      <c r="R978" t="b">
        <v>0</v>
      </c>
      <c r="S978" t="b">
        <v>0</v>
      </c>
      <c r="T978">
        <v>231</v>
      </c>
      <c r="U978">
        <v>0</v>
      </c>
      <c r="V978" t="s">
        <v>33</v>
      </c>
      <c r="W978" t="s">
        <v>33</v>
      </c>
      <c r="X978">
        <v>50</v>
      </c>
      <c r="Y978">
        <v>359</v>
      </c>
      <c r="Z978" t="s">
        <v>34</v>
      </c>
      <c r="AA978">
        <v>359</v>
      </c>
      <c r="AB978" t="s">
        <v>121</v>
      </c>
      <c r="AC978" t="s">
        <v>121</v>
      </c>
      <c r="AD978" t="str">
        <f t="shared" si="15"/>
        <v>Escobedo → Escobedo</v>
      </c>
      <c r="AE978" t="s">
        <v>1358</v>
      </c>
      <c r="AF978" s="4">
        <v>45962</v>
      </c>
      <c r="AG978" t="str">
        <f>YEAR(Table1[[#This Row],[Fecha]])&amp;" - " &amp;UPPER(TEXT(Table1[[#This Row],[Fecha]],"mm-mmm"))</f>
        <v>2025 - 11-NOV</v>
      </c>
      <c r="AH978" s="5">
        <v>0</v>
      </c>
    </row>
    <row r="979" spans="1:34" x14ac:dyDescent="0.25">
      <c r="A979" t="s">
        <v>1014</v>
      </c>
      <c r="B979">
        <v>2025</v>
      </c>
      <c r="C979">
        <v>11</v>
      </c>
      <c r="D979" s="1">
        <v>45969</v>
      </c>
      <c r="E979" s="1">
        <v>45969</v>
      </c>
      <c r="F979" s="1">
        <v>45969</v>
      </c>
      <c r="G979" s="1">
        <v>45969</v>
      </c>
      <c r="H979" s="1">
        <v>45969</v>
      </c>
      <c r="I979">
        <v>2039</v>
      </c>
      <c r="J979" t="s">
        <v>54</v>
      </c>
      <c r="K979" t="s">
        <v>31</v>
      </c>
      <c r="L979">
        <v>50</v>
      </c>
      <c r="M979">
        <v>50</v>
      </c>
      <c r="N979" t="s">
        <v>32</v>
      </c>
      <c r="O979">
        <v>1</v>
      </c>
      <c r="P979">
        <v>150</v>
      </c>
      <c r="Q979" t="b">
        <v>1</v>
      </c>
      <c r="R979" t="b">
        <v>0</v>
      </c>
      <c r="S979" t="b">
        <v>0</v>
      </c>
      <c r="T979">
        <v>231</v>
      </c>
      <c r="U979">
        <v>0</v>
      </c>
      <c r="V979" t="s">
        <v>33</v>
      </c>
      <c r="W979" t="s">
        <v>33</v>
      </c>
      <c r="X979">
        <v>50</v>
      </c>
      <c r="Y979">
        <v>359</v>
      </c>
      <c r="Z979" t="s">
        <v>34</v>
      </c>
      <c r="AA979">
        <v>359</v>
      </c>
      <c r="AB979" t="s">
        <v>121</v>
      </c>
      <c r="AC979" t="s">
        <v>121</v>
      </c>
      <c r="AD979" t="str">
        <f t="shared" si="15"/>
        <v>Escobedo → Escobedo</v>
      </c>
      <c r="AE979" t="s">
        <v>1358</v>
      </c>
      <c r="AF979" s="4">
        <v>45962</v>
      </c>
      <c r="AG979" t="str">
        <f>YEAR(Table1[[#This Row],[Fecha]])&amp;" - " &amp;UPPER(TEXT(Table1[[#This Row],[Fecha]],"mm-mmm"))</f>
        <v>2025 - 11-NOV</v>
      </c>
      <c r="AH979" s="5">
        <v>0</v>
      </c>
    </row>
    <row r="980" spans="1:34" x14ac:dyDescent="0.25">
      <c r="A980" t="s">
        <v>1015</v>
      </c>
      <c r="B980">
        <v>2025</v>
      </c>
      <c r="C980">
        <v>11</v>
      </c>
      <c r="D980" s="1">
        <v>45968</v>
      </c>
      <c r="E980" s="1">
        <v>45969</v>
      </c>
      <c r="F980" s="1">
        <v>45969</v>
      </c>
      <c r="G980" s="1">
        <v>45969</v>
      </c>
      <c r="H980" s="1">
        <v>45969</v>
      </c>
      <c r="I980">
        <v>2039</v>
      </c>
      <c r="J980" t="s">
        <v>54</v>
      </c>
      <c r="K980" t="s">
        <v>31</v>
      </c>
      <c r="L980">
        <v>50</v>
      </c>
      <c r="M980">
        <v>50</v>
      </c>
      <c r="N980" t="s">
        <v>32</v>
      </c>
      <c r="O980">
        <v>1</v>
      </c>
      <c r="P980">
        <v>150</v>
      </c>
      <c r="Q980" t="b">
        <v>1</v>
      </c>
      <c r="R980" t="b">
        <v>0</v>
      </c>
      <c r="S980" t="b">
        <v>0</v>
      </c>
      <c r="T980">
        <v>231</v>
      </c>
      <c r="U980">
        <v>0</v>
      </c>
      <c r="V980" t="s">
        <v>33</v>
      </c>
      <c r="W980" t="s">
        <v>33</v>
      </c>
      <c r="X980">
        <v>50</v>
      </c>
      <c r="Y980">
        <v>359</v>
      </c>
      <c r="Z980" t="s">
        <v>34</v>
      </c>
      <c r="AA980">
        <v>359</v>
      </c>
      <c r="AB980" t="s">
        <v>121</v>
      </c>
      <c r="AC980" t="s">
        <v>121</v>
      </c>
      <c r="AD980" t="str">
        <f t="shared" si="15"/>
        <v>Escobedo → Escobedo</v>
      </c>
      <c r="AE980" t="s">
        <v>1358</v>
      </c>
      <c r="AF980" s="4">
        <v>45962</v>
      </c>
      <c r="AG980" t="str">
        <f>YEAR(Table1[[#This Row],[Fecha]])&amp;" - " &amp;UPPER(TEXT(Table1[[#This Row],[Fecha]],"mm-mmm"))</f>
        <v>2025 - 11-NOV</v>
      </c>
      <c r="AH980" s="5">
        <v>0</v>
      </c>
    </row>
    <row r="981" spans="1:34" x14ac:dyDescent="0.25">
      <c r="A981" t="s">
        <v>1016</v>
      </c>
      <c r="B981">
        <v>2025</v>
      </c>
      <c r="C981">
        <v>11</v>
      </c>
      <c r="D981" s="1">
        <v>45969</v>
      </c>
      <c r="E981" s="1">
        <v>45969</v>
      </c>
      <c r="F981" s="1">
        <v>45969</v>
      </c>
      <c r="G981" s="1">
        <v>45969</v>
      </c>
      <c r="H981" s="2">
        <v>45969.612913888886</v>
      </c>
      <c r="I981">
        <v>2039</v>
      </c>
      <c r="J981" t="s">
        <v>54</v>
      </c>
      <c r="K981" t="s">
        <v>31</v>
      </c>
      <c r="L981">
        <v>50</v>
      </c>
      <c r="M981">
        <v>50</v>
      </c>
      <c r="N981" t="s">
        <v>32</v>
      </c>
      <c r="O981">
        <v>1</v>
      </c>
      <c r="P981">
        <v>150</v>
      </c>
      <c r="Q981" t="b">
        <v>1</v>
      </c>
      <c r="R981" t="b">
        <v>0</v>
      </c>
      <c r="S981" t="b">
        <v>0</v>
      </c>
      <c r="T981">
        <v>231</v>
      </c>
      <c r="U981">
        <v>0</v>
      </c>
      <c r="V981" t="s">
        <v>33</v>
      </c>
      <c r="W981" t="s">
        <v>33</v>
      </c>
      <c r="X981">
        <v>50</v>
      </c>
      <c r="Y981">
        <v>359</v>
      </c>
      <c r="Z981" t="s">
        <v>34</v>
      </c>
      <c r="AA981">
        <v>359</v>
      </c>
      <c r="AB981" t="s">
        <v>121</v>
      </c>
      <c r="AC981" t="s">
        <v>121</v>
      </c>
      <c r="AD981" t="str">
        <f t="shared" si="15"/>
        <v>Escobedo → Escobedo</v>
      </c>
      <c r="AE981" t="s">
        <v>1358</v>
      </c>
      <c r="AF981" s="4">
        <v>45962</v>
      </c>
      <c r="AG981" t="str">
        <f>YEAR(Table1[[#This Row],[Fecha]])&amp;" - " &amp;UPPER(TEXT(Table1[[#This Row],[Fecha]],"mm-mmm"))</f>
        <v>2025 - 11-NOV</v>
      </c>
      <c r="AH981" s="5">
        <v>0</v>
      </c>
    </row>
    <row r="982" spans="1:34" x14ac:dyDescent="0.25">
      <c r="A982" t="s">
        <v>1017</v>
      </c>
      <c r="B982">
        <v>2025</v>
      </c>
      <c r="C982">
        <v>11</v>
      </c>
      <c r="D982" s="1">
        <v>45969</v>
      </c>
      <c r="E982" s="1">
        <v>45969</v>
      </c>
      <c r="F982" s="1">
        <v>45969</v>
      </c>
      <c r="G982" s="1">
        <v>45969</v>
      </c>
      <c r="H982" s="1">
        <v>45969</v>
      </c>
      <c r="I982">
        <v>2039</v>
      </c>
      <c r="J982" t="s">
        <v>54</v>
      </c>
      <c r="K982" t="s">
        <v>31</v>
      </c>
      <c r="L982">
        <v>50</v>
      </c>
      <c r="M982">
        <v>50</v>
      </c>
      <c r="N982" t="s">
        <v>32</v>
      </c>
      <c r="O982">
        <v>1</v>
      </c>
      <c r="P982">
        <v>150</v>
      </c>
      <c r="Q982" t="b">
        <v>1</v>
      </c>
      <c r="R982" t="b">
        <v>0</v>
      </c>
      <c r="S982" t="b">
        <v>0</v>
      </c>
      <c r="T982">
        <v>231</v>
      </c>
      <c r="U982">
        <v>0</v>
      </c>
      <c r="V982" t="s">
        <v>33</v>
      </c>
      <c r="W982" t="s">
        <v>33</v>
      </c>
      <c r="X982">
        <v>50</v>
      </c>
      <c r="Y982">
        <v>359</v>
      </c>
      <c r="Z982" t="s">
        <v>34</v>
      </c>
      <c r="AA982">
        <v>359</v>
      </c>
      <c r="AB982" t="s">
        <v>121</v>
      </c>
      <c r="AC982" t="s">
        <v>121</v>
      </c>
      <c r="AD982" t="str">
        <f t="shared" si="15"/>
        <v>Escobedo → Escobedo</v>
      </c>
      <c r="AE982" t="s">
        <v>1358</v>
      </c>
      <c r="AF982" s="4">
        <v>45962</v>
      </c>
      <c r="AG982" t="str">
        <f>YEAR(Table1[[#This Row],[Fecha]])&amp;" - " &amp;UPPER(TEXT(Table1[[#This Row],[Fecha]],"mm-mmm"))</f>
        <v>2025 - 11-NOV</v>
      </c>
      <c r="AH982" s="5">
        <v>0</v>
      </c>
    </row>
    <row r="983" spans="1:34" x14ac:dyDescent="0.25">
      <c r="A983" t="s">
        <v>1018</v>
      </c>
      <c r="B983">
        <v>2025</v>
      </c>
      <c r="C983">
        <v>11</v>
      </c>
      <c r="D983" s="1">
        <v>45969</v>
      </c>
      <c r="E983" s="1">
        <v>45969</v>
      </c>
      <c r="F983" s="1">
        <v>45969</v>
      </c>
      <c r="G983" s="1">
        <v>45969</v>
      </c>
      <c r="H983" s="1">
        <v>45969</v>
      </c>
      <c r="I983">
        <v>2039</v>
      </c>
      <c r="J983" t="s">
        <v>54</v>
      </c>
      <c r="K983" t="s">
        <v>31</v>
      </c>
      <c r="L983">
        <v>50</v>
      </c>
      <c r="M983">
        <v>50</v>
      </c>
      <c r="N983" t="s">
        <v>32</v>
      </c>
      <c r="O983">
        <v>1</v>
      </c>
      <c r="P983">
        <v>150</v>
      </c>
      <c r="Q983" t="b">
        <v>1</v>
      </c>
      <c r="R983" t="b">
        <v>0</v>
      </c>
      <c r="S983" t="b">
        <v>0</v>
      </c>
      <c r="T983">
        <v>231</v>
      </c>
      <c r="U983">
        <v>0</v>
      </c>
      <c r="V983" t="s">
        <v>33</v>
      </c>
      <c r="W983" t="s">
        <v>33</v>
      </c>
      <c r="X983">
        <v>50</v>
      </c>
      <c r="Y983">
        <v>359</v>
      </c>
      <c r="Z983" t="s">
        <v>34</v>
      </c>
      <c r="AA983">
        <v>359</v>
      </c>
      <c r="AB983" t="s">
        <v>121</v>
      </c>
      <c r="AC983" t="s">
        <v>121</v>
      </c>
      <c r="AD983" t="str">
        <f t="shared" si="15"/>
        <v>Escobedo → Escobedo</v>
      </c>
      <c r="AE983" t="s">
        <v>1358</v>
      </c>
      <c r="AF983" s="4">
        <v>45962</v>
      </c>
      <c r="AG983" t="str">
        <f>YEAR(Table1[[#This Row],[Fecha]])&amp;" - " &amp;UPPER(TEXT(Table1[[#This Row],[Fecha]],"mm-mmm"))</f>
        <v>2025 - 11-NOV</v>
      </c>
      <c r="AH983" s="5">
        <v>0</v>
      </c>
    </row>
    <row r="984" spans="1:34" x14ac:dyDescent="0.25">
      <c r="A984" t="s">
        <v>1019</v>
      </c>
      <c r="B984">
        <v>2025</v>
      </c>
      <c r="C984">
        <v>11</v>
      </c>
      <c r="D984" s="1">
        <v>45970</v>
      </c>
      <c r="E984" s="1">
        <v>45970</v>
      </c>
      <c r="F984" s="1">
        <v>45970</v>
      </c>
      <c r="G984" s="1">
        <v>45970</v>
      </c>
      <c r="H984" s="2">
        <v>45971.364509178238</v>
      </c>
      <c r="I984">
        <v>2039</v>
      </c>
      <c r="J984" t="s">
        <v>54</v>
      </c>
      <c r="K984" t="s">
        <v>31</v>
      </c>
      <c r="L984">
        <v>50</v>
      </c>
      <c r="M984">
        <v>50</v>
      </c>
      <c r="N984" t="s">
        <v>32</v>
      </c>
      <c r="O984">
        <v>1</v>
      </c>
      <c r="P984">
        <v>150</v>
      </c>
      <c r="Q984" t="b">
        <v>1</v>
      </c>
      <c r="R984" t="b">
        <v>0</v>
      </c>
      <c r="S984" t="b">
        <v>0</v>
      </c>
      <c r="T984">
        <v>231</v>
      </c>
      <c r="U984">
        <v>0</v>
      </c>
      <c r="V984" t="s">
        <v>33</v>
      </c>
      <c r="W984" t="s">
        <v>33</v>
      </c>
      <c r="X984">
        <v>50</v>
      </c>
      <c r="Y984">
        <v>359</v>
      </c>
      <c r="Z984" t="s">
        <v>34</v>
      </c>
      <c r="AA984">
        <v>359</v>
      </c>
      <c r="AB984" t="s">
        <v>121</v>
      </c>
      <c r="AC984" t="s">
        <v>121</v>
      </c>
      <c r="AD984" t="str">
        <f t="shared" si="15"/>
        <v>Escobedo → Escobedo</v>
      </c>
      <c r="AE984" t="s">
        <v>1358</v>
      </c>
      <c r="AF984" s="4">
        <v>45962</v>
      </c>
      <c r="AG984" t="str">
        <f>YEAR(Table1[[#This Row],[Fecha]])&amp;" - " &amp;UPPER(TEXT(Table1[[#This Row],[Fecha]],"mm-mmm"))</f>
        <v>2025 - 11-NOV</v>
      </c>
      <c r="AH984" s="5">
        <v>0</v>
      </c>
    </row>
    <row r="985" spans="1:34" x14ac:dyDescent="0.25">
      <c r="A985" t="s">
        <v>1020</v>
      </c>
      <c r="B985">
        <v>2025</v>
      </c>
      <c r="C985">
        <v>11</v>
      </c>
      <c r="D985" s="1">
        <v>45970</v>
      </c>
      <c r="E985" s="1">
        <v>45970</v>
      </c>
      <c r="F985" s="1">
        <v>45970</v>
      </c>
      <c r="G985" s="1">
        <v>45970</v>
      </c>
      <c r="H985" s="2">
        <v>45971.454169907411</v>
      </c>
      <c r="I985">
        <v>2039</v>
      </c>
      <c r="J985" t="s">
        <v>54</v>
      </c>
      <c r="K985" t="s">
        <v>31</v>
      </c>
      <c r="L985">
        <v>50</v>
      </c>
      <c r="M985">
        <v>50</v>
      </c>
      <c r="N985" t="s">
        <v>32</v>
      </c>
      <c r="O985">
        <v>1</v>
      </c>
      <c r="P985">
        <v>150</v>
      </c>
      <c r="Q985" t="b">
        <v>1</v>
      </c>
      <c r="R985" t="b">
        <v>0</v>
      </c>
      <c r="S985" t="b">
        <v>0</v>
      </c>
      <c r="T985">
        <v>231</v>
      </c>
      <c r="U985">
        <v>0</v>
      </c>
      <c r="V985" t="s">
        <v>33</v>
      </c>
      <c r="W985" t="s">
        <v>33</v>
      </c>
      <c r="X985">
        <v>50</v>
      </c>
      <c r="Y985">
        <v>359</v>
      </c>
      <c r="Z985" t="s">
        <v>34</v>
      </c>
      <c r="AA985">
        <v>359</v>
      </c>
      <c r="AB985" t="s">
        <v>121</v>
      </c>
      <c r="AC985" t="s">
        <v>121</v>
      </c>
      <c r="AD985" t="str">
        <f t="shared" si="15"/>
        <v>Escobedo → Escobedo</v>
      </c>
      <c r="AE985" t="s">
        <v>1358</v>
      </c>
      <c r="AF985" s="4">
        <v>45962</v>
      </c>
      <c r="AG985" t="str">
        <f>YEAR(Table1[[#This Row],[Fecha]])&amp;" - " &amp;UPPER(TEXT(Table1[[#This Row],[Fecha]],"mm-mmm"))</f>
        <v>2025 - 11-NOV</v>
      </c>
      <c r="AH985" s="5">
        <v>0</v>
      </c>
    </row>
    <row r="986" spans="1:34" x14ac:dyDescent="0.25">
      <c r="A986" t="s">
        <v>1021</v>
      </c>
      <c r="B986">
        <v>2025</v>
      </c>
      <c r="C986">
        <v>11</v>
      </c>
      <c r="D986" s="1">
        <v>45971</v>
      </c>
      <c r="E986" s="1">
        <v>45971</v>
      </c>
      <c r="F986" s="1">
        <v>45971</v>
      </c>
      <c r="G986" s="1">
        <v>45971</v>
      </c>
      <c r="H986" s="2">
        <v>45971.640376655094</v>
      </c>
      <c r="I986">
        <v>2039</v>
      </c>
      <c r="J986" t="s">
        <v>54</v>
      </c>
      <c r="K986" t="s">
        <v>31</v>
      </c>
      <c r="L986">
        <v>50</v>
      </c>
      <c r="M986">
        <v>50</v>
      </c>
      <c r="N986" t="s">
        <v>32</v>
      </c>
      <c r="O986">
        <v>1</v>
      </c>
      <c r="P986">
        <v>150</v>
      </c>
      <c r="Q986" t="b">
        <v>1</v>
      </c>
      <c r="R986" t="b">
        <v>0</v>
      </c>
      <c r="S986" t="b">
        <v>0</v>
      </c>
      <c r="T986">
        <v>231</v>
      </c>
      <c r="U986">
        <v>0</v>
      </c>
      <c r="V986" t="s">
        <v>33</v>
      </c>
      <c r="W986" t="s">
        <v>33</v>
      </c>
      <c r="X986">
        <v>50</v>
      </c>
      <c r="Y986">
        <v>359</v>
      </c>
      <c r="Z986" t="s">
        <v>123</v>
      </c>
      <c r="AA986">
        <v>359</v>
      </c>
      <c r="AB986" t="s">
        <v>121</v>
      </c>
      <c r="AC986" t="s">
        <v>121</v>
      </c>
      <c r="AD986" t="str">
        <f t="shared" si="15"/>
        <v>Escobedo → Escobedo</v>
      </c>
      <c r="AE986" t="s">
        <v>1358</v>
      </c>
      <c r="AF986" s="4">
        <v>45962</v>
      </c>
      <c r="AG986" t="str">
        <f>YEAR(Table1[[#This Row],[Fecha]])&amp;" - " &amp;UPPER(TEXT(Table1[[#This Row],[Fecha]],"mm-mmm"))</f>
        <v>2025 - 11-NOV</v>
      </c>
      <c r="AH986" s="5">
        <v>0</v>
      </c>
    </row>
    <row r="987" spans="1:34" x14ac:dyDescent="0.25">
      <c r="A987" t="s">
        <v>1022</v>
      </c>
      <c r="B987">
        <v>2025</v>
      </c>
      <c r="C987">
        <v>11</v>
      </c>
      <c r="D987" s="1">
        <v>45971</v>
      </c>
      <c r="E987" s="1">
        <v>45971</v>
      </c>
      <c r="F987" s="1">
        <v>45971</v>
      </c>
      <c r="G987" s="1">
        <v>45971</v>
      </c>
      <c r="H987" s="1">
        <v>45971</v>
      </c>
      <c r="I987">
        <v>2039</v>
      </c>
      <c r="J987" t="s">
        <v>54</v>
      </c>
      <c r="K987" t="s">
        <v>31</v>
      </c>
      <c r="L987">
        <v>50</v>
      </c>
      <c r="M987">
        <v>50</v>
      </c>
      <c r="N987" t="s">
        <v>32</v>
      </c>
      <c r="O987">
        <v>1</v>
      </c>
      <c r="P987">
        <v>150</v>
      </c>
      <c r="Q987" t="b">
        <v>1</v>
      </c>
      <c r="R987" t="b">
        <v>0</v>
      </c>
      <c r="S987" t="b">
        <v>0</v>
      </c>
      <c r="T987">
        <v>231</v>
      </c>
      <c r="U987">
        <v>0</v>
      </c>
      <c r="V987" t="s">
        <v>33</v>
      </c>
      <c r="W987" t="s">
        <v>33</v>
      </c>
      <c r="X987">
        <v>50</v>
      </c>
      <c r="Y987">
        <v>359</v>
      </c>
      <c r="Z987" t="s">
        <v>34</v>
      </c>
      <c r="AA987">
        <v>359</v>
      </c>
      <c r="AB987" t="s">
        <v>121</v>
      </c>
      <c r="AC987" t="s">
        <v>121</v>
      </c>
      <c r="AD987" t="str">
        <f t="shared" si="15"/>
        <v>Escobedo → Escobedo</v>
      </c>
      <c r="AE987" t="s">
        <v>1358</v>
      </c>
      <c r="AF987" s="4">
        <v>45962</v>
      </c>
      <c r="AG987" t="str">
        <f>YEAR(Table1[[#This Row],[Fecha]])&amp;" - " &amp;UPPER(TEXT(Table1[[#This Row],[Fecha]],"mm-mmm"))</f>
        <v>2025 - 11-NOV</v>
      </c>
      <c r="AH987" s="5">
        <v>0</v>
      </c>
    </row>
    <row r="988" spans="1:34" x14ac:dyDescent="0.25">
      <c r="A988" t="s">
        <v>1023</v>
      </c>
      <c r="B988">
        <v>2025</v>
      </c>
      <c r="C988">
        <v>11</v>
      </c>
      <c r="D988" s="1">
        <v>45971</v>
      </c>
      <c r="E988" s="1">
        <v>45971</v>
      </c>
      <c r="F988" s="1">
        <v>45971</v>
      </c>
      <c r="G988" s="1">
        <v>45971</v>
      </c>
      <c r="H988" s="2">
        <v>45971.678986458333</v>
      </c>
      <c r="I988">
        <v>2039</v>
      </c>
      <c r="J988" t="s">
        <v>54</v>
      </c>
      <c r="K988" t="s">
        <v>31</v>
      </c>
      <c r="L988">
        <v>50</v>
      </c>
      <c r="M988">
        <v>50</v>
      </c>
      <c r="N988" t="s">
        <v>32</v>
      </c>
      <c r="O988">
        <v>1</v>
      </c>
      <c r="P988">
        <v>150</v>
      </c>
      <c r="Q988" t="b">
        <v>1</v>
      </c>
      <c r="R988" t="b">
        <v>0</v>
      </c>
      <c r="S988" t="b">
        <v>0</v>
      </c>
      <c r="T988">
        <v>231</v>
      </c>
      <c r="U988">
        <v>0</v>
      </c>
      <c r="V988" t="s">
        <v>33</v>
      </c>
      <c r="W988" t="s">
        <v>33</v>
      </c>
      <c r="X988">
        <v>50</v>
      </c>
      <c r="Y988">
        <v>359</v>
      </c>
      <c r="Z988" t="s">
        <v>34</v>
      </c>
      <c r="AA988">
        <v>359</v>
      </c>
      <c r="AB988" t="s">
        <v>121</v>
      </c>
      <c r="AC988" t="s">
        <v>121</v>
      </c>
      <c r="AD988" t="str">
        <f t="shared" si="15"/>
        <v>Escobedo → Escobedo</v>
      </c>
      <c r="AE988" t="s">
        <v>1358</v>
      </c>
      <c r="AF988" s="4">
        <v>45962</v>
      </c>
      <c r="AG988" t="str">
        <f>YEAR(Table1[[#This Row],[Fecha]])&amp;" - " &amp;UPPER(TEXT(Table1[[#This Row],[Fecha]],"mm-mmm"))</f>
        <v>2025 - 11-NOV</v>
      </c>
      <c r="AH988" s="5">
        <v>0</v>
      </c>
    </row>
    <row r="989" spans="1:34" x14ac:dyDescent="0.25">
      <c r="A989" t="s">
        <v>1024</v>
      </c>
      <c r="B989">
        <v>2025</v>
      </c>
      <c r="C989">
        <v>11</v>
      </c>
      <c r="D989" s="1">
        <v>45971</v>
      </c>
      <c r="E989" s="1">
        <v>45971</v>
      </c>
      <c r="F989" s="1">
        <v>45971</v>
      </c>
      <c r="G989" s="1">
        <v>45971</v>
      </c>
      <c r="H989" s="1">
        <v>45971</v>
      </c>
      <c r="I989">
        <v>2039</v>
      </c>
      <c r="J989" t="s">
        <v>54</v>
      </c>
      <c r="K989" t="s">
        <v>31</v>
      </c>
      <c r="L989">
        <v>50</v>
      </c>
      <c r="M989">
        <v>50</v>
      </c>
      <c r="N989" t="s">
        <v>32</v>
      </c>
      <c r="O989">
        <v>1</v>
      </c>
      <c r="P989">
        <v>150</v>
      </c>
      <c r="Q989" t="b">
        <v>1</v>
      </c>
      <c r="R989" t="b">
        <v>0</v>
      </c>
      <c r="S989" t="b">
        <v>0</v>
      </c>
      <c r="T989">
        <v>231</v>
      </c>
      <c r="U989">
        <v>0</v>
      </c>
      <c r="V989" t="s">
        <v>33</v>
      </c>
      <c r="W989" t="s">
        <v>33</v>
      </c>
      <c r="X989">
        <v>50</v>
      </c>
      <c r="Y989">
        <v>359</v>
      </c>
      <c r="Z989" t="s">
        <v>34</v>
      </c>
      <c r="AA989">
        <v>359</v>
      </c>
      <c r="AB989" t="s">
        <v>121</v>
      </c>
      <c r="AC989" t="s">
        <v>121</v>
      </c>
      <c r="AD989" t="str">
        <f t="shared" si="15"/>
        <v>Escobedo → Escobedo</v>
      </c>
      <c r="AE989" t="s">
        <v>1358</v>
      </c>
      <c r="AF989" s="4">
        <v>45962</v>
      </c>
      <c r="AG989" t="str">
        <f>YEAR(Table1[[#This Row],[Fecha]])&amp;" - " &amp;UPPER(TEXT(Table1[[#This Row],[Fecha]],"mm-mmm"))</f>
        <v>2025 - 11-NOV</v>
      </c>
      <c r="AH989" s="5">
        <v>0</v>
      </c>
    </row>
    <row r="990" spans="1:34" x14ac:dyDescent="0.25">
      <c r="A990" t="s">
        <v>1025</v>
      </c>
      <c r="B990">
        <v>2025</v>
      </c>
      <c r="C990">
        <v>11</v>
      </c>
      <c r="D990" s="1">
        <v>45971</v>
      </c>
      <c r="E990" s="1">
        <v>45971</v>
      </c>
      <c r="F990" s="1">
        <v>45971</v>
      </c>
      <c r="G990" s="1">
        <v>45971</v>
      </c>
      <c r="H990" s="1">
        <v>45971</v>
      </c>
      <c r="I990">
        <v>2039</v>
      </c>
      <c r="J990" t="s">
        <v>54</v>
      </c>
      <c r="K990" t="s">
        <v>31</v>
      </c>
      <c r="L990">
        <v>50</v>
      </c>
      <c r="M990">
        <v>50</v>
      </c>
      <c r="N990" t="s">
        <v>32</v>
      </c>
      <c r="O990">
        <v>1</v>
      </c>
      <c r="P990">
        <v>150</v>
      </c>
      <c r="Q990" t="b">
        <v>1</v>
      </c>
      <c r="R990" t="b">
        <v>0</v>
      </c>
      <c r="S990" t="b">
        <v>0</v>
      </c>
      <c r="T990">
        <v>231</v>
      </c>
      <c r="U990">
        <v>0</v>
      </c>
      <c r="V990" t="s">
        <v>33</v>
      </c>
      <c r="W990" t="s">
        <v>33</v>
      </c>
      <c r="X990">
        <v>50</v>
      </c>
      <c r="Y990">
        <v>359</v>
      </c>
      <c r="Z990" t="s">
        <v>34</v>
      </c>
      <c r="AA990">
        <v>359</v>
      </c>
      <c r="AB990" t="s">
        <v>121</v>
      </c>
      <c r="AC990" t="s">
        <v>121</v>
      </c>
      <c r="AD990" t="str">
        <f t="shared" si="15"/>
        <v>Escobedo → Escobedo</v>
      </c>
      <c r="AE990" t="s">
        <v>1358</v>
      </c>
      <c r="AF990" s="4">
        <v>45962</v>
      </c>
      <c r="AG990" t="str">
        <f>YEAR(Table1[[#This Row],[Fecha]])&amp;" - " &amp;UPPER(TEXT(Table1[[#This Row],[Fecha]],"mm-mmm"))</f>
        <v>2025 - 11-NOV</v>
      </c>
      <c r="AH990" s="5">
        <v>0</v>
      </c>
    </row>
    <row r="991" spans="1:34" x14ac:dyDescent="0.25">
      <c r="A991" t="s">
        <v>1026</v>
      </c>
      <c r="B991">
        <v>2025</v>
      </c>
      <c r="C991">
        <v>11</v>
      </c>
      <c r="D991" s="1">
        <v>45971</v>
      </c>
      <c r="E991" s="1">
        <v>45971</v>
      </c>
      <c r="F991" s="1">
        <v>45971</v>
      </c>
      <c r="G991" s="1">
        <v>45971</v>
      </c>
      <c r="H991" s="1">
        <v>45971</v>
      </c>
      <c r="I991">
        <v>2039</v>
      </c>
      <c r="J991" t="s">
        <v>54</v>
      </c>
      <c r="K991" t="s">
        <v>31</v>
      </c>
      <c r="L991">
        <v>50</v>
      </c>
      <c r="M991">
        <v>50</v>
      </c>
      <c r="N991" t="s">
        <v>32</v>
      </c>
      <c r="O991">
        <v>1</v>
      </c>
      <c r="P991">
        <v>150</v>
      </c>
      <c r="Q991" t="b">
        <v>1</v>
      </c>
      <c r="R991" t="b">
        <v>0</v>
      </c>
      <c r="S991" t="b">
        <v>0</v>
      </c>
      <c r="T991">
        <v>231</v>
      </c>
      <c r="U991">
        <v>0</v>
      </c>
      <c r="V991" t="s">
        <v>33</v>
      </c>
      <c r="W991" t="s">
        <v>33</v>
      </c>
      <c r="X991">
        <v>50</v>
      </c>
      <c r="Y991">
        <v>359</v>
      </c>
      <c r="Z991" t="s">
        <v>34</v>
      </c>
      <c r="AA991">
        <v>359</v>
      </c>
      <c r="AB991" t="s">
        <v>121</v>
      </c>
      <c r="AC991" t="s">
        <v>121</v>
      </c>
      <c r="AD991" t="str">
        <f t="shared" si="15"/>
        <v>Escobedo → Escobedo</v>
      </c>
      <c r="AE991" t="s">
        <v>1358</v>
      </c>
      <c r="AF991" s="4">
        <v>45962</v>
      </c>
      <c r="AG991" t="str">
        <f>YEAR(Table1[[#This Row],[Fecha]])&amp;" - " &amp;UPPER(TEXT(Table1[[#This Row],[Fecha]],"mm-mmm"))</f>
        <v>2025 - 11-NOV</v>
      </c>
      <c r="AH991" s="5">
        <v>0</v>
      </c>
    </row>
    <row r="992" spans="1:34" x14ac:dyDescent="0.25">
      <c r="A992" t="s">
        <v>1027</v>
      </c>
      <c r="B992">
        <v>2025</v>
      </c>
      <c r="C992">
        <v>11</v>
      </c>
      <c r="D992" s="1">
        <v>45971</v>
      </c>
      <c r="E992" s="1">
        <v>45971</v>
      </c>
      <c r="F992" s="1">
        <v>45971</v>
      </c>
      <c r="G992" s="1">
        <v>45971</v>
      </c>
      <c r="H992" s="1">
        <v>45971</v>
      </c>
      <c r="I992">
        <v>2039</v>
      </c>
      <c r="J992" t="s">
        <v>54</v>
      </c>
      <c r="K992" t="s">
        <v>31</v>
      </c>
      <c r="L992">
        <v>50</v>
      </c>
      <c r="M992">
        <v>50</v>
      </c>
      <c r="N992" t="s">
        <v>32</v>
      </c>
      <c r="O992">
        <v>1</v>
      </c>
      <c r="P992">
        <v>150</v>
      </c>
      <c r="Q992" t="b">
        <v>1</v>
      </c>
      <c r="R992" t="b">
        <v>0</v>
      </c>
      <c r="S992" t="b">
        <v>0</v>
      </c>
      <c r="T992">
        <v>231</v>
      </c>
      <c r="U992">
        <v>0</v>
      </c>
      <c r="V992" t="s">
        <v>33</v>
      </c>
      <c r="W992" t="s">
        <v>33</v>
      </c>
      <c r="X992">
        <v>50</v>
      </c>
      <c r="Y992">
        <v>359</v>
      </c>
      <c r="Z992" t="s">
        <v>34</v>
      </c>
      <c r="AA992">
        <v>359</v>
      </c>
      <c r="AB992" t="s">
        <v>121</v>
      </c>
      <c r="AC992" t="s">
        <v>121</v>
      </c>
      <c r="AD992" t="str">
        <f t="shared" si="15"/>
        <v>Escobedo → Escobedo</v>
      </c>
      <c r="AE992" t="s">
        <v>1358</v>
      </c>
      <c r="AF992" s="4">
        <v>45962</v>
      </c>
      <c r="AG992" t="str">
        <f>YEAR(Table1[[#This Row],[Fecha]])&amp;" - " &amp;UPPER(TEXT(Table1[[#This Row],[Fecha]],"mm-mmm"))</f>
        <v>2025 - 11-NOV</v>
      </c>
      <c r="AH992" s="5">
        <v>0</v>
      </c>
    </row>
    <row r="993" spans="1:34" x14ac:dyDescent="0.25">
      <c r="A993" t="s">
        <v>402</v>
      </c>
      <c r="B993">
        <v>2025</v>
      </c>
      <c r="C993">
        <v>11</v>
      </c>
      <c r="D993" s="1">
        <v>45971</v>
      </c>
      <c r="E993" s="1">
        <v>45971</v>
      </c>
      <c r="F993" s="1">
        <v>45971</v>
      </c>
      <c r="G993" s="1">
        <v>45971</v>
      </c>
      <c r="H993" s="1">
        <v>45971</v>
      </c>
      <c r="I993">
        <v>2039</v>
      </c>
      <c r="J993" t="s">
        <v>54</v>
      </c>
      <c r="K993" t="s">
        <v>31</v>
      </c>
      <c r="L993">
        <v>50</v>
      </c>
      <c r="M993">
        <v>50</v>
      </c>
      <c r="N993" t="s">
        <v>32</v>
      </c>
      <c r="O993">
        <v>1</v>
      </c>
      <c r="P993">
        <v>150</v>
      </c>
      <c r="Q993" t="b">
        <v>1</v>
      </c>
      <c r="R993" t="b">
        <v>0</v>
      </c>
      <c r="S993" t="b">
        <v>0</v>
      </c>
      <c r="T993">
        <v>231</v>
      </c>
      <c r="U993">
        <v>0</v>
      </c>
      <c r="V993" t="s">
        <v>33</v>
      </c>
      <c r="W993" t="s">
        <v>33</v>
      </c>
      <c r="X993">
        <v>50</v>
      </c>
      <c r="Y993">
        <v>461</v>
      </c>
      <c r="Z993" t="s">
        <v>34</v>
      </c>
      <c r="AA993">
        <v>461</v>
      </c>
      <c r="AB993" t="s">
        <v>121</v>
      </c>
      <c r="AC993" t="s">
        <v>35</v>
      </c>
      <c r="AD993" t="str">
        <f t="shared" si="15"/>
        <v>Escobedo → Monterrey</v>
      </c>
      <c r="AE993" t="s">
        <v>1358</v>
      </c>
      <c r="AF993" s="4">
        <v>45962</v>
      </c>
      <c r="AG993" t="str">
        <f>YEAR(Table1[[#This Row],[Fecha]])&amp;" - " &amp;UPPER(TEXT(Table1[[#This Row],[Fecha]],"mm-mmm"))</f>
        <v>2025 - 11-NOV</v>
      </c>
      <c r="AH993" s="5">
        <v>0</v>
      </c>
    </row>
    <row r="994" spans="1:34" x14ac:dyDescent="0.25">
      <c r="A994" t="s">
        <v>1036</v>
      </c>
      <c r="B994">
        <v>2025</v>
      </c>
      <c r="C994">
        <v>11</v>
      </c>
      <c r="D994" s="1">
        <v>45973</v>
      </c>
      <c r="E994" s="1">
        <v>45973</v>
      </c>
      <c r="F994" s="1">
        <v>45973</v>
      </c>
      <c r="G994" s="1">
        <v>45973</v>
      </c>
      <c r="H994" s="1">
        <v>45973</v>
      </c>
      <c r="I994">
        <v>2039</v>
      </c>
      <c r="J994" t="s">
        <v>54</v>
      </c>
      <c r="K994" t="s">
        <v>31</v>
      </c>
      <c r="L994">
        <v>50</v>
      </c>
      <c r="M994">
        <v>50</v>
      </c>
      <c r="N994" t="s">
        <v>32</v>
      </c>
      <c r="O994">
        <v>1</v>
      </c>
      <c r="P994">
        <v>150</v>
      </c>
      <c r="Q994" t="b">
        <v>1</v>
      </c>
      <c r="R994" t="b">
        <v>0</v>
      </c>
      <c r="S994" t="b">
        <v>0</v>
      </c>
      <c r="T994">
        <v>231</v>
      </c>
      <c r="U994">
        <v>0</v>
      </c>
      <c r="V994" t="s">
        <v>33</v>
      </c>
      <c r="W994" t="s">
        <v>33</v>
      </c>
      <c r="X994">
        <v>50</v>
      </c>
      <c r="Y994">
        <v>359</v>
      </c>
      <c r="Z994" t="s">
        <v>34</v>
      </c>
      <c r="AA994">
        <v>359</v>
      </c>
      <c r="AB994" t="s">
        <v>121</v>
      </c>
      <c r="AC994" t="s">
        <v>121</v>
      </c>
      <c r="AD994" t="str">
        <f t="shared" si="15"/>
        <v>Escobedo → Escobedo</v>
      </c>
      <c r="AE994" t="s">
        <v>1358</v>
      </c>
      <c r="AF994" s="4">
        <v>45962</v>
      </c>
      <c r="AG994" t="str">
        <f>YEAR(Table1[[#This Row],[Fecha]])&amp;" - " &amp;UPPER(TEXT(Table1[[#This Row],[Fecha]],"mm-mmm"))</f>
        <v>2025 - 11-NOV</v>
      </c>
      <c r="AH994" s="5">
        <v>0</v>
      </c>
    </row>
    <row r="995" spans="1:34" x14ac:dyDescent="0.25">
      <c r="A995" t="s">
        <v>1037</v>
      </c>
      <c r="B995">
        <v>2025</v>
      </c>
      <c r="C995">
        <v>11</v>
      </c>
      <c r="D995" s="1">
        <v>45973</v>
      </c>
      <c r="E995" s="1">
        <v>45973</v>
      </c>
      <c r="F995" s="1">
        <v>45973</v>
      </c>
      <c r="G995" s="1">
        <v>45973</v>
      </c>
      <c r="H995" s="2">
        <v>45973.695521527778</v>
      </c>
      <c r="I995">
        <v>2039</v>
      </c>
      <c r="J995" t="s">
        <v>54</v>
      </c>
      <c r="K995" t="s">
        <v>31</v>
      </c>
      <c r="L995">
        <v>50</v>
      </c>
      <c r="M995">
        <v>50</v>
      </c>
      <c r="N995" t="s">
        <v>32</v>
      </c>
      <c r="O995">
        <v>1</v>
      </c>
      <c r="P995">
        <v>150</v>
      </c>
      <c r="Q995" t="b">
        <v>1</v>
      </c>
      <c r="R995" t="b">
        <v>0</v>
      </c>
      <c r="S995" t="b">
        <v>0</v>
      </c>
      <c r="T995">
        <v>231</v>
      </c>
      <c r="U995">
        <v>0</v>
      </c>
      <c r="V995" t="s">
        <v>33</v>
      </c>
      <c r="W995" t="s">
        <v>33</v>
      </c>
      <c r="X995">
        <v>50</v>
      </c>
      <c r="Y995">
        <v>359</v>
      </c>
      <c r="Z995" t="s">
        <v>34</v>
      </c>
      <c r="AA995">
        <v>359</v>
      </c>
      <c r="AB995" t="s">
        <v>121</v>
      </c>
      <c r="AC995" t="s">
        <v>121</v>
      </c>
      <c r="AD995" t="str">
        <f t="shared" si="15"/>
        <v>Escobedo → Escobedo</v>
      </c>
      <c r="AE995" t="s">
        <v>1358</v>
      </c>
      <c r="AF995" s="4">
        <v>45962</v>
      </c>
      <c r="AG995" t="str">
        <f>YEAR(Table1[[#This Row],[Fecha]])&amp;" - " &amp;UPPER(TEXT(Table1[[#This Row],[Fecha]],"mm-mmm"))</f>
        <v>2025 - 11-NOV</v>
      </c>
      <c r="AH995" s="5">
        <v>0</v>
      </c>
    </row>
    <row r="996" spans="1:34" x14ac:dyDescent="0.25">
      <c r="A996" t="s">
        <v>1038</v>
      </c>
      <c r="B996">
        <v>2025</v>
      </c>
      <c r="C996">
        <v>11</v>
      </c>
      <c r="D996" s="1">
        <v>45973</v>
      </c>
      <c r="E996" s="1">
        <v>45973</v>
      </c>
      <c r="F996" s="1">
        <v>45973</v>
      </c>
      <c r="G996" s="1">
        <v>45973</v>
      </c>
      <c r="H996" s="2">
        <v>45973.695879363426</v>
      </c>
      <c r="I996">
        <v>2039</v>
      </c>
      <c r="J996" t="s">
        <v>54</v>
      </c>
      <c r="K996" t="s">
        <v>31</v>
      </c>
      <c r="L996">
        <v>50</v>
      </c>
      <c r="M996">
        <v>50</v>
      </c>
      <c r="N996" t="s">
        <v>32</v>
      </c>
      <c r="O996">
        <v>1</v>
      </c>
      <c r="P996">
        <v>150</v>
      </c>
      <c r="Q996" t="b">
        <v>1</v>
      </c>
      <c r="R996" t="b">
        <v>0</v>
      </c>
      <c r="S996" t="b">
        <v>0</v>
      </c>
      <c r="T996">
        <v>231</v>
      </c>
      <c r="U996">
        <v>0</v>
      </c>
      <c r="V996" t="s">
        <v>33</v>
      </c>
      <c r="W996" t="s">
        <v>33</v>
      </c>
      <c r="X996">
        <v>50</v>
      </c>
      <c r="Y996">
        <v>359</v>
      </c>
      <c r="Z996" t="s">
        <v>34</v>
      </c>
      <c r="AA996">
        <v>359</v>
      </c>
      <c r="AB996" t="s">
        <v>121</v>
      </c>
      <c r="AC996" t="s">
        <v>121</v>
      </c>
      <c r="AD996" t="str">
        <f t="shared" si="15"/>
        <v>Escobedo → Escobedo</v>
      </c>
      <c r="AE996" t="s">
        <v>1358</v>
      </c>
      <c r="AF996" s="4">
        <v>45962</v>
      </c>
      <c r="AG996" t="str">
        <f>YEAR(Table1[[#This Row],[Fecha]])&amp;" - " &amp;UPPER(TEXT(Table1[[#This Row],[Fecha]],"mm-mmm"))</f>
        <v>2025 - 11-NOV</v>
      </c>
      <c r="AH996" s="5">
        <v>0</v>
      </c>
    </row>
    <row r="997" spans="1:34" x14ac:dyDescent="0.25">
      <c r="A997" t="s">
        <v>1039</v>
      </c>
      <c r="B997">
        <v>2025</v>
      </c>
      <c r="C997">
        <v>11</v>
      </c>
      <c r="D997" s="1">
        <v>45974</v>
      </c>
      <c r="E997" s="1">
        <v>45974</v>
      </c>
      <c r="F997" s="1">
        <v>45974</v>
      </c>
      <c r="G997" s="1">
        <v>45974</v>
      </c>
      <c r="H997" s="1">
        <v>45975</v>
      </c>
      <c r="I997">
        <v>2039</v>
      </c>
      <c r="J997" t="s">
        <v>54</v>
      </c>
      <c r="K997" t="s">
        <v>31</v>
      </c>
      <c r="L997">
        <v>50</v>
      </c>
      <c r="M997">
        <v>50</v>
      </c>
      <c r="N997" t="s">
        <v>32</v>
      </c>
      <c r="O997">
        <v>1</v>
      </c>
      <c r="P997">
        <v>150</v>
      </c>
      <c r="Q997" t="b">
        <v>1</v>
      </c>
      <c r="R997" t="b">
        <v>0</v>
      </c>
      <c r="S997" t="b">
        <v>0</v>
      </c>
      <c r="T997">
        <v>231</v>
      </c>
      <c r="U997">
        <v>0</v>
      </c>
      <c r="V997" t="s">
        <v>33</v>
      </c>
      <c r="W997" t="s">
        <v>33</v>
      </c>
      <c r="X997">
        <v>50</v>
      </c>
      <c r="Y997">
        <v>359</v>
      </c>
      <c r="Z997" t="s">
        <v>34</v>
      </c>
      <c r="AA997">
        <v>359</v>
      </c>
      <c r="AB997" t="s">
        <v>121</v>
      </c>
      <c r="AC997" t="s">
        <v>121</v>
      </c>
      <c r="AD997" t="str">
        <f t="shared" si="15"/>
        <v>Escobedo → Escobedo</v>
      </c>
      <c r="AE997" t="s">
        <v>1358</v>
      </c>
      <c r="AF997" s="4">
        <v>45962</v>
      </c>
      <c r="AG997" t="str">
        <f>YEAR(Table1[[#This Row],[Fecha]])&amp;" - " &amp;UPPER(TEXT(Table1[[#This Row],[Fecha]],"mm-mmm"))</f>
        <v>2025 - 11-NOV</v>
      </c>
      <c r="AH997" s="5">
        <v>0</v>
      </c>
    </row>
    <row r="998" spans="1:34" x14ac:dyDescent="0.25">
      <c r="A998" t="s">
        <v>1040</v>
      </c>
      <c r="B998">
        <v>2025</v>
      </c>
      <c r="C998">
        <v>11</v>
      </c>
      <c r="D998" s="1">
        <v>45974</v>
      </c>
      <c r="E998" s="1">
        <v>45974</v>
      </c>
      <c r="F998" s="1">
        <v>45974</v>
      </c>
      <c r="G998" s="1">
        <v>45974</v>
      </c>
      <c r="H998" s="1">
        <v>45975</v>
      </c>
      <c r="I998">
        <v>2039</v>
      </c>
      <c r="J998" t="s">
        <v>54</v>
      </c>
      <c r="K998" t="s">
        <v>31</v>
      </c>
      <c r="L998">
        <v>50</v>
      </c>
      <c r="M998">
        <v>50</v>
      </c>
      <c r="N998" t="s">
        <v>32</v>
      </c>
      <c r="O998">
        <v>1</v>
      </c>
      <c r="P998">
        <v>150</v>
      </c>
      <c r="Q998" t="b">
        <v>1</v>
      </c>
      <c r="R998" t="b">
        <v>0</v>
      </c>
      <c r="S998" t="b">
        <v>0</v>
      </c>
      <c r="T998">
        <v>231</v>
      </c>
      <c r="U998">
        <v>0</v>
      </c>
      <c r="V998" t="s">
        <v>33</v>
      </c>
      <c r="W998" t="s">
        <v>33</v>
      </c>
      <c r="X998">
        <v>50</v>
      </c>
      <c r="Y998">
        <v>359</v>
      </c>
      <c r="Z998" t="s">
        <v>34</v>
      </c>
      <c r="AA998">
        <v>359</v>
      </c>
      <c r="AB998" t="s">
        <v>121</v>
      </c>
      <c r="AC998" t="s">
        <v>121</v>
      </c>
      <c r="AD998" t="str">
        <f t="shared" si="15"/>
        <v>Escobedo → Escobedo</v>
      </c>
      <c r="AE998" t="s">
        <v>1358</v>
      </c>
      <c r="AF998" s="4">
        <v>45962</v>
      </c>
      <c r="AG998" t="str">
        <f>YEAR(Table1[[#This Row],[Fecha]])&amp;" - " &amp;UPPER(TEXT(Table1[[#This Row],[Fecha]],"mm-mmm"))</f>
        <v>2025 - 11-NOV</v>
      </c>
      <c r="AH998" s="5">
        <v>0</v>
      </c>
    </row>
    <row r="999" spans="1:34" x14ac:dyDescent="0.25">
      <c r="A999" t="s">
        <v>148</v>
      </c>
      <c r="B999">
        <v>2025</v>
      </c>
      <c r="C999">
        <v>11</v>
      </c>
      <c r="D999" s="1">
        <v>45975</v>
      </c>
      <c r="E999" s="1">
        <v>45975</v>
      </c>
      <c r="F999" s="1">
        <v>45976</v>
      </c>
      <c r="G999" s="1">
        <v>45975</v>
      </c>
      <c r="H999" s="1">
        <v>45976</v>
      </c>
      <c r="I999">
        <v>2244</v>
      </c>
      <c r="J999" t="s">
        <v>41</v>
      </c>
      <c r="K999" t="s">
        <v>42</v>
      </c>
      <c r="L999">
        <v>901</v>
      </c>
      <c r="M999">
        <v>901</v>
      </c>
      <c r="N999" t="s">
        <v>43</v>
      </c>
      <c r="O999">
        <v>1</v>
      </c>
      <c r="P999">
        <v>877</v>
      </c>
      <c r="Q999" t="b">
        <v>1</v>
      </c>
      <c r="R999" t="b">
        <v>0</v>
      </c>
      <c r="S999" t="b">
        <v>0</v>
      </c>
      <c r="T999">
        <v>1347</v>
      </c>
      <c r="U999">
        <v>0</v>
      </c>
      <c r="V999" t="s">
        <v>33</v>
      </c>
      <c r="W999" t="s">
        <v>33</v>
      </c>
      <c r="X999">
        <v>1000</v>
      </c>
      <c r="Y999">
        <v>3415</v>
      </c>
      <c r="Z999" t="s">
        <v>149</v>
      </c>
      <c r="AA999">
        <v>3415</v>
      </c>
      <c r="AB999" t="s">
        <v>60</v>
      </c>
      <c r="AC999" t="s">
        <v>150</v>
      </c>
      <c r="AD999" t="str">
        <f t="shared" si="15"/>
        <v>Culiacan → Tlajomulco</v>
      </c>
      <c r="AE999" t="s">
        <v>1359</v>
      </c>
      <c r="AF999" s="4">
        <v>45962</v>
      </c>
      <c r="AG999" t="str">
        <f>YEAR(Table1[[#This Row],[Fecha]])&amp;" - " &amp;UPPER(TEXT(Table1[[#This Row],[Fecha]],"mm-mmm"))</f>
        <v>2025 - 11-NOV</v>
      </c>
      <c r="AH999" s="5">
        <v>0</v>
      </c>
    </row>
    <row r="1000" spans="1:34" x14ac:dyDescent="0.25">
      <c r="A1000" t="s">
        <v>227</v>
      </c>
      <c r="B1000">
        <v>2025</v>
      </c>
      <c r="C1000">
        <v>11</v>
      </c>
      <c r="D1000" s="1">
        <v>45975</v>
      </c>
      <c r="E1000" s="1">
        <v>45975</v>
      </c>
      <c r="F1000" s="1">
        <v>45978</v>
      </c>
      <c r="G1000" s="1">
        <v>45977</v>
      </c>
      <c r="H1000" s="1">
        <v>45977</v>
      </c>
      <c r="I1000">
        <v>2244</v>
      </c>
      <c r="J1000" t="s">
        <v>41</v>
      </c>
      <c r="K1000" t="s">
        <v>42</v>
      </c>
      <c r="L1000">
        <v>901</v>
      </c>
      <c r="M1000">
        <v>901</v>
      </c>
      <c r="N1000" t="s">
        <v>43</v>
      </c>
      <c r="O1000">
        <v>2</v>
      </c>
      <c r="P1000">
        <v>877</v>
      </c>
      <c r="Q1000" t="b">
        <v>1</v>
      </c>
      <c r="R1000" t="b">
        <v>0</v>
      </c>
      <c r="S1000" t="b">
        <v>0</v>
      </c>
      <c r="T1000">
        <v>1369</v>
      </c>
      <c r="U1000">
        <v>0</v>
      </c>
      <c r="V1000" t="s">
        <v>33</v>
      </c>
      <c r="W1000" t="s">
        <v>33</v>
      </c>
      <c r="X1000">
        <v>1000</v>
      </c>
      <c r="Y1000">
        <v>3828</v>
      </c>
      <c r="Z1000" t="s">
        <v>156</v>
      </c>
      <c r="AA1000">
        <v>3828</v>
      </c>
      <c r="AB1000" t="s">
        <v>121</v>
      </c>
      <c r="AC1000" t="s">
        <v>119</v>
      </c>
      <c r="AD1000" t="str">
        <f t="shared" si="15"/>
        <v>Escobedo → Ecatepec</v>
      </c>
      <c r="AE1000" t="s">
        <v>1359</v>
      </c>
      <c r="AF1000" s="4">
        <v>45962</v>
      </c>
      <c r="AG1000" t="str">
        <f>YEAR(Table1[[#This Row],[Fecha]])&amp;" - " &amp;UPPER(TEXT(Table1[[#This Row],[Fecha]],"mm-mmm"))</f>
        <v>2025 - 11-NOV</v>
      </c>
      <c r="AH1000" s="5">
        <v>0</v>
      </c>
    </row>
    <row r="1001" spans="1:34" x14ac:dyDescent="0.25">
      <c r="A1001" t="s">
        <v>1002</v>
      </c>
      <c r="B1001">
        <v>2025</v>
      </c>
      <c r="C1001">
        <v>11</v>
      </c>
      <c r="D1001" s="1">
        <v>45975</v>
      </c>
      <c r="E1001" s="1">
        <v>45975</v>
      </c>
      <c r="F1001" s="1">
        <v>45975</v>
      </c>
      <c r="G1001" s="1">
        <v>45975</v>
      </c>
      <c r="H1001" s="1">
        <v>45975</v>
      </c>
      <c r="I1001">
        <v>2039</v>
      </c>
      <c r="J1001" t="s">
        <v>54</v>
      </c>
      <c r="K1001" t="s">
        <v>31</v>
      </c>
      <c r="L1001">
        <v>50</v>
      </c>
      <c r="M1001">
        <v>50</v>
      </c>
      <c r="N1001" t="s">
        <v>32</v>
      </c>
      <c r="O1001">
        <v>1</v>
      </c>
      <c r="P1001">
        <v>150</v>
      </c>
      <c r="Q1001" t="b">
        <v>1</v>
      </c>
      <c r="R1001" t="b">
        <v>0</v>
      </c>
      <c r="S1001" t="b">
        <v>0</v>
      </c>
      <c r="T1001">
        <v>231</v>
      </c>
      <c r="U1001">
        <v>0</v>
      </c>
      <c r="V1001" t="s">
        <v>33</v>
      </c>
      <c r="W1001" t="s">
        <v>33</v>
      </c>
      <c r="X1001">
        <v>50</v>
      </c>
      <c r="Y1001">
        <v>359</v>
      </c>
      <c r="Z1001" t="s">
        <v>34</v>
      </c>
      <c r="AA1001">
        <v>359</v>
      </c>
      <c r="AB1001" t="s">
        <v>121</v>
      </c>
      <c r="AC1001" t="s">
        <v>121</v>
      </c>
      <c r="AD1001" t="str">
        <f t="shared" si="15"/>
        <v>Escobedo → Escobedo</v>
      </c>
      <c r="AE1001" t="s">
        <v>1358</v>
      </c>
      <c r="AF1001" s="4">
        <v>45962</v>
      </c>
      <c r="AG1001" t="str">
        <f>YEAR(Table1[[#This Row],[Fecha]])&amp;" - " &amp;UPPER(TEXT(Table1[[#This Row],[Fecha]],"mm-mmm"))</f>
        <v>2025 - 11-NOV</v>
      </c>
      <c r="AH1001" s="5">
        <v>0</v>
      </c>
    </row>
    <row r="1002" spans="1:34" x14ac:dyDescent="0.25">
      <c r="A1002" t="s">
        <v>1003</v>
      </c>
      <c r="B1002">
        <v>2025</v>
      </c>
      <c r="C1002">
        <v>11</v>
      </c>
      <c r="D1002" s="1">
        <v>45975</v>
      </c>
      <c r="E1002" s="1">
        <v>45975</v>
      </c>
      <c r="F1002" s="1">
        <v>45975</v>
      </c>
      <c r="G1002" s="1">
        <v>45975</v>
      </c>
      <c r="H1002" s="1">
        <v>45975</v>
      </c>
      <c r="I1002">
        <v>2039</v>
      </c>
      <c r="J1002" t="s">
        <v>54</v>
      </c>
      <c r="K1002" t="s">
        <v>31</v>
      </c>
      <c r="L1002">
        <v>50</v>
      </c>
      <c r="M1002">
        <v>50</v>
      </c>
      <c r="N1002" t="s">
        <v>32</v>
      </c>
      <c r="O1002">
        <v>1</v>
      </c>
      <c r="P1002">
        <v>150</v>
      </c>
      <c r="Q1002" t="b">
        <v>1</v>
      </c>
      <c r="R1002" t="b">
        <v>0</v>
      </c>
      <c r="S1002" t="b">
        <v>0</v>
      </c>
      <c r="T1002">
        <v>231</v>
      </c>
      <c r="U1002">
        <v>0</v>
      </c>
      <c r="V1002" t="s">
        <v>33</v>
      </c>
      <c r="W1002" t="s">
        <v>33</v>
      </c>
      <c r="X1002">
        <v>50</v>
      </c>
      <c r="Y1002">
        <v>359</v>
      </c>
      <c r="Z1002" t="s">
        <v>34</v>
      </c>
      <c r="AA1002">
        <v>359</v>
      </c>
      <c r="AB1002" t="s">
        <v>121</v>
      </c>
      <c r="AC1002" t="s">
        <v>121</v>
      </c>
      <c r="AD1002" t="str">
        <f t="shared" si="15"/>
        <v>Escobedo → Escobedo</v>
      </c>
      <c r="AE1002" t="s">
        <v>1358</v>
      </c>
      <c r="AF1002" s="4">
        <v>45962</v>
      </c>
      <c r="AG1002" t="str">
        <f>YEAR(Table1[[#This Row],[Fecha]])&amp;" - " &amp;UPPER(TEXT(Table1[[#This Row],[Fecha]],"mm-mmm"))</f>
        <v>2025 - 11-NOV</v>
      </c>
      <c r="AH1002" s="5">
        <v>0</v>
      </c>
    </row>
    <row r="1003" spans="1:34" x14ac:dyDescent="0.25">
      <c r="A1003" t="s">
        <v>1004</v>
      </c>
      <c r="B1003">
        <v>2025</v>
      </c>
      <c r="C1003">
        <v>11</v>
      </c>
      <c r="D1003" s="1">
        <v>45975</v>
      </c>
      <c r="E1003" s="1">
        <v>45975</v>
      </c>
      <c r="F1003" s="1">
        <v>45975</v>
      </c>
      <c r="G1003" s="1">
        <v>45975</v>
      </c>
      <c r="H1003" s="1">
        <v>45975</v>
      </c>
      <c r="I1003">
        <v>2039</v>
      </c>
      <c r="J1003" t="s">
        <v>54</v>
      </c>
      <c r="K1003" t="s">
        <v>31</v>
      </c>
      <c r="L1003">
        <v>50</v>
      </c>
      <c r="M1003">
        <v>50</v>
      </c>
      <c r="N1003" t="s">
        <v>32</v>
      </c>
      <c r="O1003">
        <v>1</v>
      </c>
      <c r="P1003">
        <v>150</v>
      </c>
      <c r="Q1003" t="b">
        <v>1</v>
      </c>
      <c r="R1003" t="b">
        <v>0</v>
      </c>
      <c r="S1003" t="b">
        <v>0</v>
      </c>
      <c r="T1003">
        <v>231</v>
      </c>
      <c r="U1003">
        <v>0</v>
      </c>
      <c r="V1003" t="s">
        <v>33</v>
      </c>
      <c r="W1003" t="s">
        <v>33</v>
      </c>
      <c r="X1003">
        <v>50</v>
      </c>
      <c r="Y1003">
        <v>359</v>
      </c>
      <c r="Z1003" t="s">
        <v>34</v>
      </c>
      <c r="AA1003">
        <v>359</v>
      </c>
      <c r="AB1003" t="s">
        <v>121</v>
      </c>
      <c r="AC1003" t="s">
        <v>121</v>
      </c>
      <c r="AD1003" t="str">
        <f t="shared" si="15"/>
        <v>Escobedo → Escobedo</v>
      </c>
      <c r="AE1003" t="s">
        <v>1358</v>
      </c>
      <c r="AF1003" s="4">
        <v>45962</v>
      </c>
      <c r="AG1003" t="str">
        <f>YEAR(Table1[[#This Row],[Fecha]])&amp;" - " &amp;UPPER(TEXT(Table1[[#This Row],[Fecha]],"mm-mmm"))</f>
        <v>2025 - 11-NOV</v>
      </c>
      <c r="AH1003" s="5">
        <v>0</v>
      </c>
    </row>
    <row r="1004" spans="1:34" x14ac:dyDescent="0.25">
      <c r="A1004" t="s">
        <v>1005</v>
      </c>
      <c r="B1004">
        <v>2025</v>
      </c>
      <c r="C1004">
        <v>11</v>
      </c>
      <c r="D1004" s="1">
        <v>45975</v>
      </c>
      <c r="E1004" s="1">
        <v>45975</v>
      </c>
      <c r="F1004" s="1">
        <v>45975</v>
      </c>
      <c r="G1004" s="1">
        <v>45975</v>
      </c>
      <c r="H1004" s="1">
        <v>45975</v>
      </c>
      <c r="I1004">
        <v>2039</v>
      </c>
      <c r="J1004" t="s">
        <v>54</v>
      </c>
      <c r="K1004" t="s">
        <v>31</v>
      </c>
      <c r="L1004">
        <v>50</v>
      </c>
      <c r="M1004">
        <v>50</v>
      </c>
      <c r="N1004" t="s">
        <v>32</v>
      </c>
      <c r="O1004">
        <v>1</v>
      </c>
      <c r="P1004">
        <v>150</v>
      </c>
      <c r="Q1004" t="b">
        <v>1</v>
      </c>
      <c r="R1004" t="b">
        <v>0</v>
      </c>
      <c r="S1004" t="b">
        <v>0</v>
      </c>
      <c r="T1004">
        <v>231</v>
      </c>
      <c r="U1004">
        <v>0</v>
      </c>
      <c r="V1004" t="s">
        <v>33</v>
      </c>
      <c r="W1004" t="s">
        <v>33</v>
      </c>
      <c r="X1004">
        <v>50</v>
      </c>
      <c r="Y1004">
        <v>359</v>
      </c>
      <c r="Z1004" t="s">
        <v>34</v>
      </c>
      <c r="AA1004">
        <v>359</v>
      </c>
      <c r="AB1004" t="s">
        <v>121</v>
      </c>
      <c r="AC1004" t="s">
        <v>121</v>
      </c>
      <c r="AD1004" t="str">
        <f t="shared" si="15"/>
        <v>Escobedo → Escobedo</v>
      </c>
      <c r="AE1004" t="s">
        <v>1358</v>
      </c>
      <c r="AF1004" s="4">
        <v>45962</v>
      </c>
      <c r="AG1004" t="str">
        <f>YEAR(Table1[[#This Row],[Fecha]])&amp;" - " &amp;UPPER(TEXT(Table1[[#This Row],[Fecha]],"mm-mmm"))</f>
        <v>2025 - 11-NOV</v>
      </c>
      <c r="AH1004" s="5">
        <v>0</v>
      </c>
    </row>
    <row r="1005" spans="1:34" x14ac:dyDescent="0.25">
      <c r="A1005" t="s">
        <v>1006</v>
      </c>
      <c r="B1005">
        <v>2025</v>
      </c>
      <c r="C1005">
        <v>11</v>
      </c>
      <c r="D1005" s="1">
        <v>45975</v>
      </c>
      <c r="E1005" s="1">
        <v>45975</v>
      </c>
      <c r="F1005" s="1">
        <v>45975</v>
      </c>
      <c r="G1005" s="1">
        <v>45975</v>
      </c>
      <c r="H1005" s="1">
        <v>45975</v>
      </c>
      <c r="I1005">
        <v>2039</v>
      </c>
      <c r="J1005" t="s">
        <v>54</v>
      </c>
      <c r="K1005" t="s">
        <v>31</v>
      </c>
      <c r="L1005">
        <v>50</v>
      </c>
      <c r="M1005">
        <v>50</v>
      </c>
      <c r="N1005" t="s">
        <v>32</v>
      </c>
      <c r="O1005">
        <v>1</v>
      </c>
      <c r="P1005">
        <v>150</v>
      </c>
      <c r="Q1005" t="b">
        <v>1</v>
      </c>
      <c r="R1005" t="b">
        <v>0</v>
      </c>
      <c r="S1005" t="b">
        <v>0</v>
      </c>
      <c r="T1005">
        <v>231</v>
      </c>
      <c r="U1005">
        <v>0</v>
      </c>
      <c r="V1005" t="s">
        <v>33</v>
      </c>
      <c r="W1005" t="s">
        <v>33</v>
      </c>
      <c r="X1005">
        <v>50</v>
      </c>
      <c r="Y1005">
        <v>359</v>
      </c>
      <c r="Z1005" t="s">
        <v>34</v>
      </c>
      <c r="AA1005">
        <v>359</v>
      </c>
      <c r="AB1005" t="s">
        <v>121</v>
      </c>
      <c r="AC1005" t="s">
        <v>121</v>
      </c>
      <c r="AD1005" t="str">
        <f t="shared" si="15"/>
        <v>Escobedo → Escobedo</v>
      </c>
      <c r="AE1005" t="s">
        <v>1358</v>
      </c>
      <c r="AF1005" s="4">
        <v>45962</v>
      </c>
      <c r="AG1005" t="str">
        <f>YEAR(Table1[[#This Row],[Fecha]])&amp;" - " &amp;UPPER(TEXT(Table1[[#This Row],[Fecha]],"mm-mmm"))</f>
        <v>2025 - 11-NOV</v>
      </c>
      <c r="AH1005" s="5">
        <v>0</v>
      </c>
    </row>
    <row r="1006" spans="1:34" x14ac:dyDescent="0.25">
      <c r="A1006" t="s">
        <v>1007</v>
      </c>
      <c r="B1006">
        <v>2025</v>
      </c>
      <c r="C1006">
        <v>11</v>
      </c>
      <c r="D1006" s="1">
        <v>45975</v>
      </c>
      <c r="E1006" s="1">
        <v>45975</v>
      </c>
      <c r="F1006" s="1">
        <v>45975</v>
      </c>
      <c r="G1006" s="1">
        <v>45975</v>
      </c>
      <c r="H1006" s="1">
        <v>45975</v>
      </c>
      <c r="I1006">
        <v>2039</v>
      </c>
      <c r="J1006" t="s">
        <v>54</v>
      </c>
      <c r="K1006" t="s">
        <v>31</v>
      </c>
      <c r="L1006">
        <v>50</v>
      </c>
      <c r="M1006">
        <v>50</v>
      </c>
      <c r="N1006" t="s">
        <v>32</v>
      </c>
      <c r="O1006">
        <v>1</v>
      </c>
      <c r="P1006">
        <v>150</v>
      </c>
      <c r="Q1006" t="b">
        <v>1</v>
      </c>
      <c r="R1006" t="b">
        <v>0</v>
      </c>
      <c r="S1006" t="b">
        <v>0</v>
      </c>
      <c r="T1006">
        <v>231</v>
      </c>
      <c r="U1006">
        <v>0</v>
      </c>
      <c r="V1006" t="s">
        <v>33</v>
      </c>
      <c r="W1006" t="s">
        <v>33</v>
      </c>
      <c r="X1006">
        <v>50</v>
      </c>
      <c r="Y1006">
        <v>359</v>
      </c>
      <c r="Z1006" t="s">
        <v>34</v>
      </c>
      <c r="AA1006">
        <v>359</v>
      </c>
      <c r="AB1006" t="s">
        <v>121</v>
      </c>
      <c r="AC1006" t="s">
        <v>121</v>
      </c>
      <c r="AD1006" t="str">
        <f t="shared" si="15"/>
        <v>Escobedo → Escobedo</v>
      </c>
      <c r="AE1006" t="s">
        <v>1358</v>
      </c>
      <c r="AF1006" s="4">
        <v>45962</v>
      </c>
      <c r="AG1006" t="str">
        <f>YEAR(Table1[[#This Row],[Fecha]])&amp;" - " &amp;UPPER(TEXT(Table1[[#This Row],[Fecha]],"mm-mmm"))</f>
        <v>2025 - 11-NOV</v>
      </c>
      <c r="AH1006" s="5">
        <v>0</v>
      </c>
    </row>
    <row r="1007" spans="1:34" x14ac:dyDescent="0.25">
      <c r="A1007" t="s">
        <v>1008</v>
      </c>
      <c r="B1007">
        <v>2025</v>
      </c>
      <c r="C1007">
        <v>11</v>
      </c>
      <c r="D1007" s="1">
        <v>45975</v>
      </c>
      <c r="E1007" s="1">
        <v>45975</v>
      </c>
      <c r="F1007" s="1">
        <v>45975</v>
      </c>
      <c r="G1007" s="1">
        <v>45975</v>
      </c>
      <c r="H1007" s="1">
        <v>45975</v>
      </c>
      <c r="I1007">
        <v>2039</v>
      </c>
      <c r="J1007" t="s">
        <v>54</v>
      </c>
      <c r="K1007" t="s">
        <v>31</v>
      </c>
      <c r="L1007">
        <v>50</v>
      </c>
      <c r="M1007">
        <v>50</v>
      </c>
      <c r="N1007" t="s">
        <v>32</v>
      </c>
      <c r="O1007">
        <v>1</v>
      </c>
      <c r="P1007">
        <v>150</v>
      </c>
      <c r="Q1007" t="b">
        <v>1</v>
      </c>
      <c r="R1007" t="b">
        <v>0</v>
      </c>
      <c r="S1007" t="b">
        <v>0</v>
      </c>
      <c r="T1007">
        <v>231</v>
      </c>
      <c r="U1007">
        <v>0</v>
      </c>
      <c r="V1007" t="s">
        <v>33</v>
      </c>
      <c r="W1007" t="s">
        <v>33</v>
      </c>
      <c r="X1007">
        <v>50</v>
      </c>
      <c r="Y1007">
        <v>359</v>
      </c>
      <c r="Z1007" t="s">
        <v>34</v>
      </c>
      <c r="AA1007">
        <v>359</v>
      </c>
      <c r="AB1007" t="s">
        <v>121</v>
      </c>
      <c r="AC1007" t="s">
        <v>121</v>
      </c>
      <c r="AD1007" t="str">
        <f t="shared" si="15"/>
        <v>Escobedo → Escobedo</v>
      </c>
      <c r="AE1007" t="s">
        <v>1358</v>
      </c>
      <c r="AF1007" s="4">
        <v>45962</v>
      </c>
      <c r="AG1007" t="str">
        <f>YEAR(Table1[[#This Row],[Fecha]])&amp;" - " &amp;UPPER(TEXT(Table1[[#This Row],[Fecha]],"mm-mmm"))</f>
        <v>2025 - 11-NOV</v>
      </c>
      <c r="AH1007" s="5">
        <v>0</v>
      </c>
    </row>
    <row r="1008" spans="1:34" x14ac:dyDescent="0.25">
      <c r="A1008" t="s">
        <v>152</v>
      </c>
      <c r="B1008">
        <v>2025</v>
      </c>
      <c r="C1008">
        <v>11</v>
      </c>
      <c r="D1008" s="1">
        <v>45976</v>
      </c>
      <c r="E1008" s="1">
        <v>45976</v>
      </c>
      <c r="F1008" s="1">
        <v>45978</v>
      </c>
      <c r="G1008" s="1">
        <v>45977</v>
      </c>
      <c r="H1008" s="1">
        <v>45978</v>
      </c>
      <c r="I1008">
        <v>2244</v>
      </c>
      <c r="J1008" t="s">
        <v>41</v>
      </c>
      <c r="K1008" t="s">
        <v>42</v>
      </c>
      <c r="L1008">
        <v>961</v>
      </c>
      <c r="M1008">
        <v>1059</v>
      </c>
      <c r="N1008" t="s">
        <v>43</v>
      </c>
      <c r="O1008">
        <v>1</v>
      </c>
      <c r="P1008">
        <v>964</v>
      </c>
      <c r="Q1008" t="b">
        <v>1</v>
      </c>
      <c r="R1008" t="b">
        <v>0</v>
      </c>
      <c r="S1008" t="b">
        <v>0</v>
      </c>
      <c r="T1008">
        <v>1494</v>
      </c>
      <c r="U1008">
        <v>0</v>
      </c>
      <c r="V1008" t="s">
        <v>33</v>
      </c>
      <c r="W1008" t="s">
        <v>33</v>
      </c>
      <c r="X1008">
        <v>1100</v>
      </c>
      <c r="Y1008">
        <v>3415</v>
      </c>
      <c r="Z1008" t="s">
        <v>149</v>
      </c>
      <c r="AA1008">
        <v>3415</v>
      </c>
      <c r="AB1008" t="s">
        <v>60</v>
      </c>
      <c r="AC1008" t="s">
        <v>150</v>
      </c>
      <c r="AD1008" t="str">
        <f t="shared" si="15"/>
        <v>Culiacan → Tlajomulco</v>
      </c>
      <c r="AE1008" t="s">
        <v>1359</v>
      </c>
      <c r="AF1008" s="4">
        <v>45962</v>
      </c>
      <c r="AG1008" t="str">
        <f>YEAR(Table1[[#This Row],[Fecha]])&amp;" - " &amp;UPPER(TEXT(Table1[[#This Row],[Fecha]],"mm-mmm"))</f>
        <v>2025 - 11-NOV</v>
      </c>
      <c r="AH1008" s="5">
        <v>0</v>
      </c>
    </row>
    <row r="1009" spans="1:34" x14ac:dyDescent="0.25">
      <c r="A1009" t="s">
        <v>1045</v>
      </c>
      <c r="B1009">
        <v>2025</v>
      </c>
      <c r="C1009">
        <v>11</v>
      </c>
      <c r="D1009" s="1">
        <v>45977</v>
      </c>
      <c r="E1009" s="1">
        <v>45977</v>
      </c>
      <c r="F1009" s="1">
        <v>45977</v>
      </c>
      <c r="G1009" s="1">
        <v>45977</v>
      </c>
      <c r="H1009" s="1">
        <v>45977</v>
      </c>
      <c r="I1009">
        <v>2039</v>
      </c>
      <c r="J1009" t="s">
        <v>54</v>
      </c>
      <c r="K1009" t="s">
        <v>31</v>
      </c>
      <c r="L1009">
        <v>50</v>
      </c>
      <c r="M1009">
        <v>50</v>
      </c>
      <c r="N1009" t="s">
        <v>32</v>
      </c>
      <c r="O1009">
        <v>1</v>
      </c>
      <c r="P1009">
        <v>150</v>
      </c>
      <c r="Q1009" t="b">
        <v>1</v>
      </c>
      <c r="R1009" t="b">
        <v>0</v>
      </c>
      <c r="S1009" t="b">
        <v>0</v>
      </c>
      <c r="T1009">
        <v>231</v>
      </c>
      <c r="U1009">
        <v>0</v>
      </c>
      <c r="V1009" t="s">
        <v>33</v>
      </c>
      <c r="W1009" t="s">
        <v>33</v>
      </c>
      <c r="X1009">
        <v>50</v>
      </c>
      <c r="Y1009">
        <v>359</v>
      </c>
      <c r="Z1009" t="s">
        <v>149</v>
      </c>
      <c r="AA1009">
        <v>359</v>
      </c>
      <c r="AB1009" t="s">
        <v>121</v>
      </c>
      <c r="AC1009" t="s">
        <v>121</v>
      </c>
      <c r="AD1009" t="str">
        <f t="shared" si="15"/>
        <v>Escobedo → Escobedo</v>
      </c>
      <c r="AE1009" t="s">
        <v>1358</v>
      </c>
      <c r="AF1009" s="4">
        <v>45962</v>
      </c>
      <c r="AG1009" t="str">
        <f>YEAR(Table1[[#This Row],[Fecha]])&amp;" - " &amp;UPPER(TEXT(Table1[[#This Row],[Fecha]],"mm-mmm"))</f>
        <v>2025 - 11-NOV</v>
      </c>
      <c r="AH1009" s="5">
        <v>0</v>
      </c>
    </row>
    <row r="1010" spans="1:34" x14ac:dyDescent="0.25">
      <c r="A1010" t="s">
        <v>1046</v>
      </c>
      <c r="B1010">
        <v>2025</v>
      </c>
      <c r="C1010">
        <v>11</v>
      </c>
      <c r="D1010" s="1">
        <v>45979</v>
      </c>
      <c r="E1010" s="1">
        <v>45979</v>
      </c>
      <c r="F1010" s="1">
        <v>45979</v>
      </c>
      <c r="G1010" s="1">
        <v>45979</v>
      </c>
      <c r="H1010" s="1">
        <v>45979</v>
      </c>
      <c r="I1010">
        <v>2039</v>
      </c>
      <c r="J1010" t="s">
        <v>54</v>
      </c>
      <c r="K1010" t="s">
        <v>31</v>
      </c>
      <c r="L1010">
        <v>50</v>
      </c>
      <c r="M1010">
        <v>50</v>
      </c>
      <c r="N1010" t="s">
        <v>32</v>
      </c>
      <c r="O1010">
        <v>1</v>
      </c>
      <c r="P1010">
        <v>150</v>
      </c>
      <c r="Q1010" t="b">
        <v>1</v>
      </c>
      <c r="R1010" t="b">
        <v>0</v>
      </c>
      <c r="S1010" t="b">
        <v>0</v>
      </c>
      <c r="T1010">
        <v>231</v>
      </c>
      <c r="U1010">
        <v>0</v>
      </c>
      <c r="V1010" t="s">
        <v>33</v>
      </c>
      <c r="W1010" t="s">
        <v>33</v>
      </c>
      <c r="X1010">
        <v>50</v>
      </c>
      <c r="Y1010">
        <v>359</v>
      </c>
      <c r="Z1010" t="s">
        <v>34</v>
      </c>
      <c r="AA1010">
        <v>359</v>
      </c>
      <c r="AB1010" t="s">
        <v>121</v>
      </c>
      <c r="AC1010" t="s">
        <v>121</v>
      </c>
      <c r="AD1010" t="str">
        <f t="shared" si="15"/>
        <v>Escobedo → Escobedo</v>
      </c>
      <c r="AE1010" t="s">
        <v>1358</v>
      </c>
      <c r="AF1010" s="4">
        <v>45962</v>
      </c>
      <c r="AG1010" t="str">
        <f>YEAR(Table1[[#This Row],[Fecha]])&amp;" - " &amp;UPPER(TEXT(Table1[[#This Row],[Fecha]],"mm-mmm"))</f>
        <v>2025 - 11-NOV</v>
      </c>
      <c r="AH1010" s="5">
        <v>0</v>
      </c>
    </row>
    <row r="1011" spans="1:34" x14ac:dyDescent="0.25">
      <c r="A1011" t="s">
        <v>1047</v>
      </c>
      <c r="B1011">
        <v>2025</v>
      </c>
      <c r="C1011">
        <v>11</v>
      </c>
      <c r="D1011" s="1">
        <v>45980</v>
      </c>
      <c r="E1011" s="1">
        <v>45980</v>
      </c>
      <c r="F1011" s="1">
        <v>45980</v>
      </c>
      <c r="G1011" s="1">
        <v>45980</v>
      </c>
      <c r="H1011" s="1">
        <v>45980</v>
      </c>
      <c r="I1011">
        <v>2039</v>
      </c>
      <c r="J1011" t="s">
        <v>54</v>
      </c>
      <c r="K1011" t="s">
        <v>31</v>
      </c>
      <c r="L1011">
        <v>50</v>
      </c>
      <c r="M1011">
        <v>50</v>
      </c>
      <c r="N1011" t="s">
        <v>32</v>
      </c>
      <c r="O1011">
        <v>1</v>
      </c>
      <c r="P1011">
        <v>150</v>
      </c>
      <c r="Q1011" t="b">
        <v>1</v>
      </c>
      <c r="R1011" t="b">
        <v>0</v>
      </c>
      <c r="S1011" t="b">
        <v>0</v>
      </c>
      <c r="T1011">
        <v>231</v>
      </c>
      <c r="U1011">
        <v>0</v>
      </c>
      <c r="V1011" t="s">
        <v>33</v>
      </c>
      <c r="W1011" t="s">
        <v>33</v>
      </c>
      <c r="X1011">
        <v>50</v>
      </c>
      <c r="Y1011">
        <v>359</v>
      </c>
      <c r="Z1011" t="s">
        <v>34</v>
      </c>
      <c r="AA1011">
        <v>359</v>
      </c>
      <c r="AB1011" t="s">
        <v>121</v>
      </c>
      <c r="AC1011" t="s">
        <v>121</v>
      </c>
      <c r="AD1011" t="str">
        <f t="shared" si="15"/>
        <v>Escobedo → Escobedo</v>
      </c>
      <c r="AE1011" t="s">
        <v>1358</v>
      </c>
      <c r="AF1011" s="4">
        <v>45962</v>
      </c>
      <c r="AG1011" t="str">
        <f>YEAR(Table1[[#This Row],[Fecha]])&amp;" - " &amp;UPPER(TEXT(Table1[[#This Row],[Fecha]],"mm-mmm"))</f>
        <v>2025 - 11-NOV</v>
      </c>
      <c r="AH1011" s="5">
        <v>0</v>
      </c>
    </row>
    <row r="1012" spans="1:34" x14ac:dyDescent="0.25">
      <c r="A1012" t="s">
        <v>1048</v>
      </c>
      <c r="B1012">
        <v>2025</v>
      </c>
      <c r="C1012">
        <v>11</v>
      </c>
      <c r="D1012" s="1">
        <v>45964</v>
      </c>
      <c r="E1012" s="1">
        <v>45964</v>
      </c>
      <c r="F1012" s="1">
        <v>45964</v>
      </c>
      <c r="G1012" s="1">
        <v>45964</v>
      </c>
      <c r="H1012" s="1">
        <v>45964</v>
      </c>
      <c r="I1012">
        <v>2244</v>
      </c>
      <c r="J1012" t="s">
        <v>54</v>
      </c>
      <c r="K1012" t="s">
        <v>31</v>
      </c>
      <c r="L1012">
        <v>50</v>
      </c>
      <c r="M1012">
        <v>50</v>
      </c>
      <c r="N1012" t="s">
        <v>43</v>
      </c>
      <c r="O1012">
        <v>1</v>
      </c>
      <c r="P1012">
        <v>150</v>
      </c>
      <c r="Q1012" t="b">
        <v>1</v>
      </c>
      <c r="R1012" t="b">
        <v>0</v>
      </c>
      <c r="S1012" t="b">
        <v>0</v>
      </c>
      <c r="T1012">
        <v>231</v>
      </c>
      <c r="U1012">
        <v>0</v>
      </c>
      <c r="V1012" t="s">
        <v>33</v>
      </c>
      <c r="W1012" t="s">
        <v>33</v>
      </c>
      <c r="X1012">
        <v>50</v>
      </c>
      <c r="Y1012">
        <v>359</v>
      </c>
      <c r="Z1012" t="s">
        <v>123</v>
      </c>
      <c r="AA1012">
        <v>359</v>
      </c>
      <c r="AB1012" t="s">
        <v>121</v>
      </c>
      <c r="AC1012" t="s">
        <v>121</v>
      </c>
      <c r="AD1012" t="str">
        <f t="shared" si="15"/>
        <v>Escobedo → Escobedo</v>
      </c>
      <c r="AE1012" t="s">
        <v>1358</v>
      </c>
      <c r="AF1012" s="4">
        <v>45962</v>
      </c>
      <c r="AG1012" t="str">
        <f>YEAR(Table1[[#This Row],[Fecha]])&amp;" - " &amp;UPPER(TEXT(Table1[[#This Row],[Fecha]],"mm-mmm"))</f>
        <v>2025 - 11-NOV</v>
      </c>
      <c r="AH1012" s="5">
        <v>0</v>
      </c>
    </row>
    <row r="1013" spans="1:34" x14ac:dyDescent="0.25">
      <c r="A1013" t="s">
        <v>1049</v>
      </c>
      <c r="B1013">
        <v>2025</v>
      </c>
      <c r="C1013">
        <v>11</v>
      </c>
      <c r="D1013" s="1">
        <v>45982</v>
      </c>
      <c r="E1013" s="1">
        <v>45982</v>
      </c>
      <c r="F1013" s="1">
        <v>45982</v>
      </c>
      <c r="G1013" s="1">
        <v>45982</v>
      </c>
      <c r="H1013" s="2">
        <v>45983.319189467591</v>
      </c>
      <c r="I1013">
        <v>2039</v>
      </c>
      <c r="J1013" t="s">
        <v>54</v>
      </c>
      <c r="K1013" t="s">
        <v>31</v>
      </c>
      <c r="L1013">
        <v>50</v>
      </c>
      <c r="M1013">
        <v>50</v>
      </c>
      <c r="N1013" t="s">
        <v>32</v>
      </c>
      <c r="O1013">
        <v>1</v>
      </c>
      <c r="P1013">
        <v>150</v>
      </c>
      <c r="Q1013" t="b">
        <v>1</v>
      </c>
      <c r="R1013" t="b">
        <v>0</v>
      </c>
      <c r="S1013" t="b">
        <v>0</v>
      </c>
      <c r="T1013">
        <v>231</v>
      </c>
      <c r="U1013">
        <v>0</v>
      </c>
      <c r="V1013" t="s">
        <v>33</v>
      </c>
      <c r="W1013" t="s">
        <v>33</v>
      </c>
      <c r="X1013">
        <v>50</v>
      </c>
      <c r="Y1013">
        <v>359</v>
      </c>
      <c r="Z1013" t="s">
        <v>34</v>
      </c>
      <c r="AA1013">
        <v>359</v>
      </c>
      <c r="AB1013" t="s">
        <v>121</v>
      </c>
      <c r="AC1013" t="s">
        <v>121</v>
      </c>
      <c r="AD1013" t="str">
        <f t="shared" si="15"/>
        <v>Escobedo → Escobedo</v>
      </c>
      <c r="AE1013" t="s">
        <v>1358</v>
      </c>
      <c r="AF1013" s="4">
        <v>45962</v>
      </c>
      <c r="AG1013" t="str">
        <f>YEAR(Table1[[#This Row],[Fecha]])&amp;" - " &amp;UPPER(TEXT(Table1[[#This Row],[Fecha]],"mm-mmm"))</f>
        <v>2025 - 11-NOV</v>
      </c>
      <c r="AH1013" s="5">
        <v>0</v>
      </c>
    </row>
    <row r="1014" spans="1:34" x14ac:dyDescent="0.25">
      <c r="A1014" t="s">
        <v>1050</v>
      </c>
      <c r="B1014">
        <v>2025</v>
      </c>
      <c r="C1014">
        <v>11</v>
      </c>
      <c r="D1014" s="1">
        <v>45982</v>
      </c>
      <c r="E1014" s="1">
        <v>45982</v>
      </c>
      <c r="F1014" s="1">
        <v>45982</v>
      </c>
      <c r="G1014" s="1">
        <v>45982</v>
      </c>
      <c r="H1014" s="2">
        <v>45983.319153275464</v>
      </c>
      <c r="I1014">
        <v>2039</v>
      </c>
      <c r="J1014" t="s">
        <v>54</v>
      </c>
      <c r="K1014" t="s">
        <v>31</v>
      </c>
      <c r="L1014">
        <v>50</v>
      </c>
      <c r="M1014">
        <v>50</v>
      </c>
      <c r="N1014" t="s">
        <v>32</v>
      </c>
      <c r="O1014">
        <v>1</v>
      </c>
      <c r="P1014">
        <v>150</v>
      </c>
      <c r="Q1014" t="b">
        <v>1</v>
      </c>
      <c r="R1014" t="b">
        <v>0</v>
      </c>
      <c r="S1014" t="b">
        <v>0</v>
      </c>
      <c r="T1014">
        <v>231</v>
      </c>
      <c r="U1014">
        <v>0</v>
      </c>
      <c r="V1014" t="s">
        <v>33</v>
      </c>
      <c r="W1014" t="s">
        <v>33</v>
      </c>
      <c r="X1014">
        <v>50</v>
      </c>
      <c r="Y1014">
        <v>359</v>
      </c>
      <c r="Z1014" t="s">
        <v>34</v>
      </c>
      <c r="AA1014">
        <v>359</v>
      </c>
      <c r="AB1014" t="s">
        <v>121</v>
      </c>
      <c r="AC1014" t="s">
        <v>121</v>
      </c>
      <c r="AD1014" t="str">
        <f t="shared" si="15"/>
        <v>Escobedo → Escobedo</v>
      </c>
      <c r="AE1014" t="s">
        <v>1358</v>
      </c>
      <c r="AF1014" s="4">
        <v>45962</v>
      </c>
      <c r="AG1014" t="str">
        <f>YEAR(Table1[[#This Row],[Fecha]])&amp;" - " &amp;UPPER(TEXT(Table1[[#This Row],[Fecha]],"mm-mmm"))</f>
        <v>2025 - 11-NOV</v>
      </c>
      <c r="AH1014" s="5">
        <v>0</v>
      </c>
    </row>
    <row r="1015" spans="1:34" x14ac:dyDescent="0.25">
      <c r="A1015" t="s">
        <v>1051</v>
      </c>
      <c r="B1015">
        <v>2025</v>
      </c>
      <c r="C1015">
        <v>11</v>
      </c>
      <c r="D1015" s="1">
        <v>45982</v>
      </c>
      <c r="E1015" s="1">
        <v>45982</v>
      </c>
      <c r="F1015" s="1">
        <v>45982</v>
      </c>
      <c r="G1015" s="1">
        <v>45982</v>
      </c>
      <c r="H1015" s="2">
        <v>45983.319169560185</v>
      </c>
      <c r="I1015">
        <v>2039</v>
      </c>
      <c r="J1015" t="s">
        <v>54</v>
      </c>
      <c r="K1015" t="s">
        <v>31</v>
      </c>
      <c r="L1015">
        <v>50</v>
      </c>
      <c r="M1015">
        <v>50</v>
      </c>
      <c r="N1015" t="s">
        <v>32</v>
      </c>
      <c r="O1015">
        <v>1</v>
      </c>
      <c r="P1015">
        <v>150</v>
      </c>
      <c r="Q1015" t="b">
        <v>1</v>
      </c>
      <c r="R1015" t="b">
        <v>0</v>
      </c>
      <c r="S1015" t="b">
        <v>0</v>
      </c>
      <c r="T1015">
        <v>231</v>
      </c>
      <c r="U1015">
        <v>0</v>
      </c>
      <c r="V1015" t="s">
        <v>33</v>
      </c>
      <c r="W1015" t="s">
        <v>33</v>
      </c>
      <c r="X1015">
        <v>50</v>
      </c>
      <c r="Y1015">
        <v>359</v>
      </c>
      <c r="Z1015" t="s">
        <v>34</v>
      </c>
      <c r="AA1015">
        <v>359</v>
      </c>
      <c r="AB1015" t="s">
        <v>121</v>
      </c>
      <c r="AC1015" t="s">
        <v>121</v>
      </c>
      <c r="AD1015" t="str">
        <f t="shared" si="15"/>
        <v>Escobedo → Escobedo</v>
      </c>
      <c r="AE1015" t="s">
        <v>1358</v>
      </c>
      <c r="AF1015" s="4">
        <v>45962</v>
      </c>
      <c r="AG1015" t="str">
        <f>YEAR(Table1[[#This Row],[Fecha]])&amp;" - " &amp;UPPER(TEXT(Table1[[#This Row],[Fecha]],"mm-mmm"))</f>
        <v>2025 - 11-NOV</v>
      </c>
      <c r="AH1015" s="5">
        <v>0</v>
      </c>
    </row>
    <row r="1016" spans="1:34" x14ac:dyDescent="0.25">
      <c r="A1016" t="s">
        <v>1052</v>
      </c>
      <c r="B1016">
        <v>2025</v>
      </c>
      <c r="C1016">
        <v>11</v>
      </c>
      <c r="D1016" s="1">
        <v>45982</v>
      </c>
      <c r="E1016" s="1">
        <v>45982</v>
      </c>
      <c r="F1016" s="1">
        <v>45982</v>
      </c>
      <c r="G1016" s="1">
        <v>45982</v>
      </c>
      <c r="H1016" s="2">
        <v>45983.319211192131</v>
      </c>
      <c r="I1016">
        <v>2039</v>
      </c>
      <c r="J1016" t="s">
        <v>54</v>
      </c>
      <c r="K1016" t="s">
        <v>31</v>
      </c>
      <c r="L1016">
        <v>50</v>
      </c>
      <c r="M1016">
        <v>50</v>
      </c>
      <c r="N1016" t="s">
        <v>32</v>
      </c>
      <c r="O1016">
        <v>1</v>
      </c>
      <c r="P1016">
        <v>150</v>
      </c>
      <c r="Q1016" t="b">
        <v>1</v>
      </c>
      <c r="R1016" t="b">
        <v>0</v>
      </c>
      <c r="S1016" t="b">
        <v>0</v>
      </c>
      <c r="T1016">
        <v>231</v>
      </c>
      <c r="U1016">
        <v>0</v>
      </c>
      <c r="V1016" t="s">
        <v>33</v>
      </c>
      <c r="W1016" t="s">
        <v>33</v>
      </c>
      <c r="X1016">
        <v>50</v>
      </c>
      <c r="Y1016">
        <v>359</v>
      </c>
      <c r="Z1016" t="s">
        <v>34</v>
      </c>
      <c r="AA1016">
        <v>359</v>
      </c>
      <c r="AB1016" t="s">
        <v>121</v>
      </c>
      <c r="AC1016" t="s">
        <v>121</v>
      </c>
      <c r="AD1016" t="str">
        <f t="shared" si="15"/>
        <v>Escobedo → Escobedo</v>
      </c>
      <c r="AE1016" t="s">
        <v>1358</v>
      </c>
      <c r="AF1016" s="4">
        <v>45962</v>
      </c>
      <c r="AG1016" t="str">
        <f>YEAR(Table1[[#This Row],[Fecha]])&amp;" - " &amp;UPPER(TEXT(Table1[[#This Row],[Fecha]],"mm-mmm"))</f>
        <v>2025 - 11-NOV</v>
      </c>
      <c r="AH1016" s="5">
        <v>0</v>
      </c>
    </row>
    <row r="1017" spans="1:34" x14ac:dyDescent="0.25">
      <c r="A1017" t="s">
        <v>1053</v>
      </c>
      <c r="B1017">
        <v>2025</v>
      </c>
      <c r="C1017">
        <v>11</v>
      </c>
      <c r="D1017" s="1">
        <v>45982</v>
      </c>
      <c r="E1017" s="1">
        <v>45982</v>
      </c>
      <c r="F1017" s="1">
        <v>45982</v>
      </c>
      <c r="G1017" s="1">
        <v>45982</v>
      </c>
      <c r="H1017" s="2">
        <v>45983.319200497688</v>
      </c>
      <c r="I1017">
        <v>2039</v>
      </c>
      <c r="J1017" t="s">
        <v>54</v>
      </c>
      <c r="K1017" t="s">
        <v>31</v>
      </c>
      <c r="L1017">
        <v>50</v>
      </c>
      <c r="M1017">
        <v>50</v>
      </c>
      <c r="N1017" t="s">
        <v>32</v>
      </c>
      <c r="O1017">
        <v>1</v>
      </c>
      <c r="P1017">
        <v>150</v>
      </c>
      <c r="Q1017" t="b">
        <v>1</v>
      </c>
      <c r="R1017" t="b">
        <v>0</v>
      </c>
      <c r="S1017" t="b">
        <v>0</v>
      </c>
      <c r="T1017">
        <v>231</v>
      </c>
      <c r="U1017">
        <v>0</v>
      </c>
      <c r="V1017" t="s">
        <v>33</v>
      </c>
      <c r="W1017" t="s">
        <v>33</v>
      </c>
      <c r="X1017">
        <v>50</v>
      </c>
      <c r="Y1017">
        <v>359</v>
      </c>
      <c r="Z1017" t="s">
        <v>34</v>
      </c>
      <c r="AA1017">
        <v>359</v>
      </c>
      <c r="AB1017" t="s">
        <v>121</v>
      </c>
      <c r="AC1017" t="s">
        <v>121</v>
      </c>
      <c r="AD1017" t="str">
        <f t="shared" si="15"/>
        <v>Escobedo → Escobedo</v>
      </c>
      <c r="AE1017" t="s">
        <v>1358</v>
      </c>
      <c r="AF1017" s="4">
        <v>45962</v>
      </c>
      <c r="AG1017" t="str">
        <f>YEAR(Table1[[#This Row],[Fecha]])&amp;" - " &amp;UPPER(TEXT(Table1[[#This Row],[Fecha]],"mm-mmm"))</f>
        <v>2025 - 11-NOV</v>
      </c>
      <c r="AH1017" s="5">
        <v>0</v>
      </c>
    </row>
    <row r="1018" spans="1:34" x14ac:dyDescent="0.25">
      <c r="A1018" t="s">
        <v>1054</v>
      </c>
      <c r="B1018">
        <v>2025</v>
      </c>
      <c r="C1018">
        <v>11</v>
      </c>
      <c r="D1018" s="1">
        <v>45983</v>
      </c>
      <c r="E1018" s="1">
        <v>45983</v>
      </c>
      <c r="F1018" s="1">
        <v>45983</v>
      </c>
      <c r="G1018" s="1">
        <v>45983</v>
      </c>
      <c r="H1018" s="2">
        <v>45983.544422418985</v>
      </c>
      <c r="I1018">
        <v>2039</v>
      </c>
      <c r="J1018" t="s">
        <v>54</v>
      </c>
      <c r="K1018" t="s">
        <v>31</v>
      </c>
      <c r="L1018">
        <v>50</v>
      </c>
      <c r="M1018">
        <v>50</v>
      </c>
      <c r="N1018" t="s">
        <v>32</v>
      </c>
      <c r="O1018">
        <v>1</v>
      </c>
      <c r="P1018">
        <v>150</v>
      </c>
      <c r="Q1018" t="b">
        <v>1</v>
      </c>
      <c r="R1018" t="b">
        <v>0</v>
      </c>
      <c r="S1018" t="b">
        <v>0</v>
      </c>
      <c r="T1018">
        <v>231</v>
      </c>
      <c r="U1018">
        <v>0</v>
      </c>
      <c r="V1018" t="s">
        <v>33</v>
      </c>
      <c r="W1018" t="s">
        <v>33</v>
      </c>
      <c r="X1018">
        <v>50</v>
      </c>
      <c r="Y1018">
        <v>359</v>
      </c>
      <c r="Z1018" t="s">
        <v>34</v>
      </c>
      <c r="AA1018">
        <v>359</v>
      </c>
      <c r="AB1018" t="s">
        <v>121</v>
      </c>
      <c r="AC1018" t="s">
        <v>121</v>
      </c>
      <c r="AD1018" t="str">
        <f t="shared" si="15"/>
        <v>Escobedo → Escobedo</v>
      </c>
      <c r="AE1018" t="s">
        <v>1358</v>
      </c>
      <c r="AF1018" s="4">
        <v>45962</v>
      </c>
      <c r="AG1018" t="str">
        <f>YEAR(Table1[[#This Row],[Fecha]])&amp;" - " &amp;UPPER(TEXT(Table1[[#This Row],[Fecha]],"mm-mmm"))</f>
        <v>2025 - 11-NOV</v>
      </c>
      <c r="AH1018" s="5">
        <v>0</v>
      </c>
    </row>
    <row r="1019" spans="1:34" x14ac:dyDescent="0.25">
      <c r="A1019" t="s">
        <v>1055</v>
      </c>
      <c r="B1019">
        <v>2025</v>
      </c>
      <c r="C1019">
        <v>11</v>
      </c>
      <c r="D1019" s="1">
        <v>45983</v>
      </c>
      <c r="E1019" s="1">
        <v>45983</v>
      </c>
      <c r="F1019" s="1">
        <v>45983</v>
      </c>
      <c r="G1019" s="1">
        <v>45983</v>
      </c>
      <c r="H1019" s="2">
        <v>45983.544883564813</v>
      </c>
      <c r="I1019">
        <v>2039</v>
      </c>
      <c r="J1019" t="s">
        <v>54</v>
      </c>
      <c r="K1019" t="s">
        <v>31</v>
      </c>
      <c r="L1019">
        <v>50</v>
      </c>
      <c r="M1019">
        <v>50</v>
      </c>
      <c r="N1019" t="s">
        <v>32</v>
      </c>
      <c r="O1019">
        <v>1</v>
      </c>
      <c r="P1019">
        <v>150</v>
      </c>
      <c r="Q1019" t="b">
        <v>1</v>
      </c>
      <c r="R1019" t="b">
        <v>0</v>
      </c>
      <c r="S1019" t="b">
        <v>0</v>
      </c>
      <c r="T1019">
        <v>231</v>
      </c>
      <c r="U1019">
        <v>0</v>
      </c>
      <c r="V1019" t="s">
        <v>33</v>
      </c>
      <c r="W1019" t="s">
        <v>33</v>
      </c>
      <c r="X1019">
        <v>50</v>
      </c>
      <c r="Y1019">
        <v>359</v>
      </c>
      <c r="Z1019" t="s">
        <v>34</v>
      </c>
      <c r="AA1019">
        <v>359</v>
      </c>
      <c r="AB1019" t="s">
        <v>121</v>
      </c>
      <c r="AC1019" t="s">
        <v>121</v>
      </c>
      <c r="AD1019" t="str">
        <f t="shared" si="15"/>
        <v>Escobedo → Escobedo</v>
      </c>
      <c r="AE1019" t="s">
        <v>1358</v>
      </c>
      <c r="AF1019" s="4">
        <v>45962</v>
      </c>
      <c r="AG1019" t="str">
        <f>YEAR(Table1[[#This Row],[Fecha]])&amp;" - " &amp;UPPER(TEXT(Table1[[#This Row],[Fecha]],"mm-mmm"))</f>
        <v>2025 - 11-NOV</v>
      </c>
      <c r="AH1019" s="5">
        <v>0</v>
      </c>
    </row>
    <row r="1020" spans="1:34" x14ac:dyDescent="0.25">
      <c r="A1020" t="s">
        <v>1056</v>
      </c>
      <c r="B1020">
        <v>2025</v>
      </c>
      <c r="C1020">
        <v>11</v>
      </c>
      <c r="D1020" s="1">
        <v>45983</v>
      </c>
      <c r="E1020" s="1">
        <v>45983</v>
      </c>
      <c r="F1020" s="1">
        <v>45983</v>
      </c>
      <c r="G1020" s="1">
        <v>45983</v>
      </c>
      <c r="H1020" s="2">
        <v>45983.545255439814</v>
      </c>
      <c r="I1020">
        <v>2039</v>
      </c>
      <c r="J1020" t="s">
        <v>54</v>
      </c>
      <c r="K1020" t="s">
        <v>31</v>
      </c>
      <c r="L1020">
        <v>50</v>
      </c>
      <c r="M1020">
        <v>50</v>
      </c>
      <c r="N1020" t="s">
        <v>32</v>
      </c>
      <c r="O1020">
        <v>1</v>
      </c>
      <c r="P1020">
        <v>150</v>
      </c>
      <c r="Q1020" t="b">
        <v>1</v>
      </c>
      <c r="R1020" t="b">
        <v>0</v>
      </c>
      <c r="S1020" t="b">
        <v>0</v>
      </c>
      <c r="T1020">
        <v>231</v>
      </c>
      <c r="U1020">
        <v>0</v>
      </c>
      <c r="V1020" t="s">
        <v>33</v>
      </c>
      <c r="W1020" t="s">
        <v>33</v>
      </c>
      <c r="X1020">
        <v>50</v>
      </c>
      <c r="Y1020">
        <v>359</v>
      </c>
      <c r="Z1020" t="s">
        <v>34</v>
      </c>
      <c r="AA1020">
        <v>359</v>
      </c>
      <c r="AB1020" t="s">
        <v>121</v>
      </c>
      <c r="AC1020" t="s">
        <v>121</v>
      </c>
      <c r="AD1020" t="str">
        <f t="shared" si="15"/>
        <v>Escobedo → Escobedo</v>
      </c>
      <c r="AE1020" t="s">
        <v>1358</v>
      </c>
      <c r="AF1020" s="4">
        <v>45962</v>
      </c>
      <c r="AG1020" t="str">
        <f>YEAR(Table1[[#This Row],[Fecha]])&amp;" - " &amp;UPPER(TEXT(Table1[[#This Row],[Fecha]],"mm-mmm"))</f>
        <v>2025 - 11-NOV</v>
      </c>
      <c r="AH1020" s="5">
        <v>0</v>
      </c>
    </row>
    <row r="1021" spans="1:34" x14ac:dyDescent="0.25">
      <c r="A1021" t="s">
        <v>1057</v>
      </c>
      <c r="B1021">
        <v>2025</v>
      </c>
      <c r="C1021">
        <v>11</v>
      </c>
      <c r="D1021" s="1">
        <v>45983</v>
      </c>
      <c r="E1021" s="1">
        <v>45983</v>
      </c>
      <c r="F1021" s="1">
        <v>45983</v>
      </c>
      <c r="G1021" s="1">
        <v>45983</v>
      </c>
      <c r="H1021" s="2">
        <v>45983.545679664348</v>
      </c>
      <c r="I1021">
        <v>2039</v>
      </c>
      <c r="J1021" t="s">
        <v>54</v>
      </c>
      <c r="K1021" t="s">
        <v>31</v>
      </c>
      <c r="L1021">
        <v>50</v>
      </c>
      <c r="M1021">
        <v>50</v>
      </c>
      <c r="N1021" t="s">
        <v>32</v>
      </c>
      <c r="O1021">
        <v>1</v>
      </c>
      <c r="P1021">
        <v>150</v>
      </c>
      <c r="Q1021" t="b">
        <v>1</v>
      </c>
      <c r="R1021" t="b">
        <v>0</v>
      </c>
      <c r="S1021" t="b">
        <v>0</v>
      </c>
      <c r="T1021">
        <v>231</v>
      </c>
      <c r="U1021">
        <v>0</v>
      </c>
      <c r="V1021" t="s">
        <v>33</v>
      </c>
      <c r="W1021" t="s">
        <v>33</v>
      </c>
      <c r="X1021">
        <v>50</v>
      </c>
      <c r="Y1021">
        <v>359</v>
      </c>
      <c r="Z1021" t="s">
        <v>34</v>
      </c>
      <c r="AA1021">
        <v>359</v>
      </c>
      <c r="AB1021" t="s">
        <v>121</v>
      </c>
      <c r="AC1021" t="s">
        <v>121</v>
      </c>
      <c r="AD1021" t="str">
        <f t="shared" si="15"/>
        <v>Escobedo → Escobedo</v>
      </c>
      <c r="AE1021" t="s">
        <v>1358</v>
      </c>
      <c r="AF1021" s="4">
        <v>45962</v>
      </c>
      <c r="AG1021" t="str">
        <f>YEAR(Table1[[#This Row],[Fecha]])&amp;" - " &amp;UPPER(TEXT(Table1[[#This Row],[Fecha]],"mm-mmm"))</f>
        <v>2025 - 11-NOV</v>
      </c>
      <c r="AH1021" s="5">
        <v>0</v>
      </c>
    </row>
    <row r="1022" spans="1:34" x14ac:dyDescent="0.25">
      <c r="A1022" t="s">
        <v>1058</v>
      </c>
      <c r="B1022">
        <v>2025</v>
      </c>
      <c r="C1022">
        <v>11</v>
      </c>
      <c r="D1022" s="1">
        <v>45983</v>
      </c>
      <c r="E1022" s="1">
        <v>45983</v>
      </c>
      <c r="F1022" s="1">
        <v>45983</v>
      </c>
      <c r="G1022" s="1">
        <v>45983</v>
      </c>
      <c r="H1022" s="2">
        <v>45983.546141979168</v>
      </c>
      <c r="I1022">
        <v>2039</v>
      </c>
      <c r="J1022" t="s">
        <v>54</v>
      </c>
      <c r="K1022" t="s">
        <v>31</v>
      </c>
      <c r="L1022">
        <v>50</v>
      </c>
      <c r="M1022">
        <v>50</v>
      </c>
      <c r="N1022" t="s">
        <v>32</v>
      </c>
      <c r="O1022">
        <v>1</v>
      </c>
      <c r="P1022">
        <v>150</v>
      </c>
      <c r="Q1022" t="b">
        <v>1</v>
      </c>
      <c r="R1022" t="b">
        <v>0</v>
      </c>
      <c r="S1022" t="b">
        <v>0</v>
      </c>
      <c r="T1022">
        <v>231</v>
      </c>
      <c r="U1022">
        <v>0</v>
      </c>
      <c r="V1022" t="s">
        <v>33</v>
      </c>
      <c r="W1022" t="s">
        <v>33</v>
      </c>
      <c r="X1022">
        <v>50</v>
      </c>
      <c r="Y1022">
        <v>359</v>
      </c>
      <c r="Z1022" t="s">
        <v>34</v>
      </c>
      <c r="AA1022">
        <v>359</v>
      </c>
      <c r="AB1022" t="s">
        <v>121</v>
      </c>
      <c r="AC1022" t="s">
        <v>121</v>
      </c>
      <c r="AD1022" t="str">
        <f t="shared" si="15"/>
        <v>Escobedo → Escobedo</v>
      </c>
      <c r="AE1022" t="s">
        <v>1358</v>
      </c>
      <c r="AF1022" s="4">
        <v>45962</v>
      </c>
      <c r="AG1022" t="str">
        <f>YEAR(Table1[[#This Row],[Fecha]])&amp;" - " &amp;UPPER(TEXT(Table1[[#This Row],[Fecha]],"mm-mmm"))</f>
        <v>2025 - 11-NOV</v>
      </c>
      <c r="AH1022" s="5">
        <v>0</v>
      </c>
    </row>
    <row r="1023" spans="1:34" x14ac:dyDescent="0.25">
      <c r="A1023" t="s">
        <v>1059</v>
      </c>
      <c r="B1023">
        <v>2025</v>
      </c>
      <c r="C1023">
        <v>11</v>
      </c>
      <c r="D1023" s="1">
        <v>45983</v>
      </c>
      <c r="E1023" s="1">
        <v>45983</v>
      </c>
      <c r="F1023" s="1">
        <v>45983</v>
      </c>
      <c r="G1023" s="1">
        <v>45983</v>
      </c>
      <c r="H1023" s="2">
        <v>45983.546473530092</v>
      </c>
      <c r="I1023">
        <v>2039</v>
      </c>
      <c r="J1023" t="s">
        <v>54</v>
      </c>
      <c r="K1023" t="s">
        <v>31</v>
      </c>
      <c r="L1023">
        <v>50</v>
      </c>
      <c r="M1023">
        <v>50</v>
      </c>
      <c r="N1023" t="s">
        <v>32</v>
      </c>
      <c r="O1023">
        <v>1</v>
      </c>
      <c r="P1023">
        <v>150</v>
      </c>
      <c r="Q1023" t="b">
        <v>1</v>
      </c>
      <c r="R1023" t="b">
        <v>0</v>
      </c>
      <c r="S1023" t="b">
        <v>0</v>
      </c>
      <c r="T1023">
        <v>231</v>
      </c>
      <c r="U1023">
        <v>0</v>
      </c>
      <c r="V1023" t="s">
        <v>33</v>
      </c>
      <c r="W1023" t="s">
        <v>33</v>
      </c>
      <c r="X1023">
        <v>50</v>
      </c>
      <c r="Y1023">
        <v>359</v>
      </c>
      <c r="Z1023" t="s">
        <v>34</v>
      </c>
      <c r="AA1023">
        <v>359</v>
      </c>
      <c r="AB1023" t="s">
        <v>121</v>
      </c>
      <c r="AC1023" t="s">
        <v>121</v>
      </c>
      <c r="AD1023" t="str">
        <f t="shared" si="15"/>
        <v>Escobedo → Escobedo</v>
      </c>
      <c r="AE1023" t="s">
        <v>1358</v>
      </c>
      <c r="AF1023" s="4">
        <v>45962</v>
      </c>
      <c r="AG1023" t="str">
        <f>YEAR(Table1[[#This Row],[Fecha]])&amp;" - " &amp;UPPER(TEXT(Table1[[#This Row],[Fecha]],"mm-mmm"))</f>
        <v>2025 - 11-NOV</v>
      </c>
      <c r="AH1023" s="5">
        <v>0</v>
      </c>
    </row>
    <row r="1024" spans="1:34" x14ac:dyDescent="0.25">
      <c r="A1024" t="s">
        <v>1060</v>
      </c>
      <c r="B1024">
        <v>2025</v>
      </c>
      <c r="C1024">
        <v>11</v>
      </c>
      <c r="D1024" s="1">
        <v>45983</v>
      </c>
      <c r="E1024" s="1">
        <v>45983</v>
      </c>
      <c r="F1024" s="1">
        <v>45983</v>
      </c>
      <c r="G1024" s="1">
        <v>45983</v>
      </c>
      <c r="H1024" s="2">
        <v>45983.546899652778</v>
      </c>
      <c r="I1024">
        <v>2039</v>
      </c>
      <c r="J1024" t="s">
        <v>54</v>
      </c>
      <c r="K1024" t="s">
        <v>31</v>
      </c>
      <c r="L1024">
        <v>50</v>
      </c>
      <c r="M1024">
        <v>50</v>
      </c>
      <c r="N1024" t="s">
        <v>32</v>
      </c>
      <c r="O1024">
        <v>1</v>
      </c>
      <c r="P1024">
        <v>150</v>
      </c>
      <c r="Q1024" t="b">
        <v>1</v>
      </c>
      <c r="R1024" t="b">
        <v>0</v>
      </c>
      <c r="S1024" t="b">
        <v>0</v>
      </c>
      <c r="T1024">
        <v>231</v>
      </c>
      <c r="U1024">
        <v>0</v>
      </c>
      <c r="V1024" t="s">
        <v>33</v>
      </c>
      <c r="W1024" t="s">
        <v>33</v>
      </c>
      <c r="X1024">
        <v>50</v>
      </c>
      <c r="Y1024">
        <v>359</v>
      </c>
      <c r="Z1024" t="s">
        <v>34</v>
      </c>
      <c r="AA1024">
        <v>359</v>
      </c>
      <c r="AB1024" t="s">
        <v>121</v>
      </c>
      <c r="AC1024" t="s">
        <v>121</v>
      </c>
      <c r="AD1024" t="str">
        <f t="shared" si="15"/>
        <v>Escobedo → Escobedo</v>
      </c>
      <c r="AE1024" t="s">
        <v>1358</v>
      </c>
      <c r="AF1024" s="4">
        <v>45962</v>
      </c>
      <c r="AG1024" t="str">
        <f>YEAR(Table1[[#This Row],[Fecha]])&amp;" - " &amp;UPPER(TEXT(Table1[[#This Row],[Fecha]],"mm-mmm"))</f>
        <v>2025 - 11-NOV</v>
      </c>
      <c r="AH1024" s="5">
        <v>0</v>
      </c>
    </row>
    <row r="1025" spans="1:34" x14ac:dyDescent="0.25">
      <c r="A1025" t="s">
        <v>401</v>
      </c>
      <c r="B1025">
        <v>2025</v>
      </c>
      <c r="C1025">
        <v>11</v>
      </c>
      <c r="D1025" s="1">
        <v>45983</v>
      </c>
      <c r="E1025" s="1">
        <v>45983</v>
      </c>
      <c r="F1025" s="1">
        <v>45982</v>
      </c>
      <c r="G1025" s="1">
        <v>45982</v>
      </c>
      <c r="H1025" s="1">
        <v>45983</v>
      </c>
      <c r="I1025">
        <v>2039</v>
      </c>
      <c r="J1025" t="s">
        <v>30</v>
      </c>
      <c r="K1025" t="s">
        <v>31</v>
      </c>
      <c r="L1025">
        <v>50</v>
      </c>
      <c r="M1025">
        <v>50</v>
      </c>
      <c r="N1025" t="s">
        <v>32</v>
      </c>
      <c r="O1025">
        <v>1</v>
      </c>
      <c r="P1025">
        <v>150</v>
      </c>
      <c r="Q1025" t="b">
        <v>1</v>
      </c>
      <c r="R1025" t="b">
        <v>0</v>
      </c>
      <c r="S1025" t="b">
        <v>0</v>
      </c>
      <c r="T1025">
        <v>231</v>
      </c>
      <c r="U1025">
        <v>0</v>
      </c>
      <c r="V1025" t="s">
        <v>33</v>
      </c>
      <c r="W1025" t="s">
        <v>33</v>
      </c>
      <c r="X1025">
        <v>50</v>
      </c>
      <c r="Y1025">
        <v>461</v>
      </c>
      <c r="Z1025" t="s">
        <v>149</v>
      </c>
      <c r="AA1025">
        <v>461</v>
      </c>
      <c r="AB1025" t="s">
        <v>121</v>
      </c>
      <c r="AC1025" t="s">
        <v>35</v>
      </c>
      <c r="AD1025" t="str">
        <f t="shared" si="15"/>
        <v>Escobedo → Monterrey</v>
      </c>
      <c r="AE1025" t="s">
        <v>1357</v>
      </c>
      <c r="AF1025" s="4">
        <v>45962</v>
      </c>
      <c r="AG1025" t="str">
        <f>YEAR(Table1[[#This Row],[Fecha]])&amp;" - " &amp;UPPER(TEXT(Table1[[#This Row],[Fecha]],"mm-mmm"))</f>
        <v>2025 - 11-NOV</v>
      </c>
      <c r="AH1025" s="5">
        <v>0</v>
      </c>
    </row>
    <row r="1026" spans="1:34" x14ac:dyDescent="0.25">
      <c r="A1026" t="s">
        <v>368</v>
      </c>
      <c r="B1026">
        <v>2025</v>
      </c>
      <c r="C1026">
        <v>11</v>
      </c>
      <c r="D1026" s="1">
        <v>45985</v>
      </c>
      <c r="E1026" s="1">
        <v>45985</v>
      </c>
      <c r="F1026" s="1">
        <v>45987</v>
      </c>
      <c r="G1026" s="1">
        <v>45985</v>
      </c>
      <c r="H1026" s="1">
        <v>45986</v>
      </c>
      <c r="I1026">
        <v>2039</v>
      </c>
      <c r="J1026" t="s">
        <v>54</v>
      </c>
      <c r="K1026" t="s">
        <v>31</v>
      </c>
      <c r="L1026">
        <v>842</v>
      </c>
      <c r="M1026">
        <v>842</v>
      </c>
      <c r="N1026" t="s">
        <v>32</v>
      </c>
      <c r="O1026">
        <v>1</v>
      </c>
      <c r="P1026">
        <v>863</v>
      </c>
      <c r="Q1026" t="b">
        <v>1</v>
      </c>
      <c r="R1026" t="b">
        <v>0</v>
      </c>
      <c r="S1026" t="b">
        <v>0</v>
      </c>
      <c r="T1026">
        <v>1213</v>
      </c>
      <c r="U1026">
        <v>0</v>
      </c>
      <c r="V1026" t="s">
        <v>33</v>
      </c>
      <c r="W1026" t="s">
        <v>33</v>
      </c>
      <c r="X1026">
        <v>900</v>
      </c>
      <c r="Y1026">
        <v>1843</v>
      </c>
      <c r="Z1026" t="s">
        <v>123</v>
      </c>
      <c r="AA1026">
        <v>1843</v>
      </c>
      <c r="AB1026" t="s">
        <v>121</v>
      </c>
      <c r="AC1026" t="s">
        <v>364</v>
      </c>
      <c r="AD1026" t="str">
        <f t="shared" ref="AD1026:AD1089" si="16">+AB1026&amp;" → "&amp;AC1026</f>
        <v>Escobedo → Mazatlan</v>
      </c>
      <c r="AE1026" t="s">
        <v>1358</v>
      </c>
      <c r="AF1026" s="4">
        <v>45962</v>
      </c>
      <c r="AG1026" t="str">
        <f>YEAR(Table1[[#This Row],[Fecha]])&amp;" - " &amp;UPPER(TEXT(Table1[[#This Row],[Fecha]],"mm-mmm"))</f>
        <v>2025 - 11-NOV</v>
      </c>
      <c r="AH1026" s="5">
        <v>0</v>
      </c>
    </row>
    <row r="1027" spans="1:34" x14ac:dyDescent="0.25">
      <c r="A1027" t="s">
        <v>1028</v>
      </c>
      <c r="B1027">
        <v>2025</v>
      </c>
      <c r="C1027">
        <v>11</v>
      </c>
      <c r="D1027" s="1">
        <v>45987</v>
      </c>
      <c r="E1027" s="1">
        <v>45987</v>
      </c>
      <c r="F1027" s="1">
        <v>45987</v>
      </c>
      <c r="G1027" s="1">
        <v>45987</v>
      </c>
      <c r="H1027" s="2">
        <v>45987.708691400461</v>
      </c>
      <c r="I1027">
        <v>2039</v>
      </c>
      <c r="J1027" t="s">
        <v>54</v>
      </c>
      <c r="K1027" t="s">
        <v>31</v>
      </c>
      <c r="L1027">
        <v>50</v>
      </c>
      <c r="M1027">
        <v>50</v>
      </c>
      <c r="N1027" t="s">
        <v>32</v>
      </c>
      <c r="O1027">
        <v>1</v>
      </c>
      <c r="P1027">
        <v>150</v>
      </c>
      <c r="Q1027" t="b">
        <v>1</v>
      </c>
      <c r="R1027" t="b">
        <v>0</v>
      </c>
      <c r="S1027" t="b">
        <v>0</v>
      </c>
      <c r="T1027">
        <v>231</v>
      </c>
      <c r="U1027">
        <v>0</v>
      </c>
      <c r="V1027" t="s">
        <v>33</v>
      </c>
      <c r="W1027" t="s">
        <v>33</v>
      </c>
      <c r="X1027">
        <v>50</v>
      </c>
      <c r="Y1027">
        <v>359</v>
      </c>
      <c r="Z1027" t="s">
        <v>34</v>
      </c>
      <c r="AA1027">
        <v>359</v>
      </c>
      <c r="AB1027" t="s">
        <v>121</v>
      </c>
      <c r="AC1027" t="s">
        <v>121</v>
      </c>
      <c r="AD1027" t="str">
        <f t="shared" si="16"/>
        <v>Escobedo → Escobedo</v>
      </c>
      <c r="AE1027" t="s">
        <v>1358</v>
      </c>
      <c r="AF1027" s="4">
        <v>45962</v>
      </c>
      <c r="AG1027" t="str">
        <f>YEAR(Table1[[#This Row],[Fecha]])&amp;" - " &amp;UPPER(TEXT(Table1[[#This Row],[Fecha]],"mm-mmm"))</f>
        <v>2025 - 11-NOV</v>
      </c>
      <c r="AH1027" s="5">
        <v>0</v>
      </c>
    </row>
    <row r="1028" spans="1:34" x14ac:dyDescent="0.25">
      <c r="A1028" t="s">
        <v>1029</v>
      </c>
      <c r="B1028">
        <v>2025</v>
      </c>
      <c r="C1028">
        <v>11</v>
      </c>
      <c r="D1028" s="1">
        <v>45987</v>
      </c>
      <c r="E1028" s="1">
        <v>45987</v>
      </c>
      <c r="F1028" s="1">
        <v>45987</v>
      </c>
      <c r="G1028" s="1">
        <v>45987</v>
      </c>
      <c r="H1028" s="2">
        <v>45987.708674918984</v>
      </c>
      <c r="I1028">
        <v>2039</v>
      </c>
      <c r="J1028" t="s">
        <v>54</v>
      </c>
      <c r="K1028" t="s">
        <v>31</v>
      </c>
      <c r="L1028">
        <v>50</v>
      </c>
      <c r="M1028">
        <v>50</v>
      </c>
      <c r="N1028" t="s">
        <v>32</v>
      </c>
      <c r="O1028">
        <v>1</v>
      </c>
      <c r="P1028">
        <v>150</v>
      </c>
      <c r="Q1028" t="b">
        <v>1</v>
      </c>
      <c r="R1028" t="b">
        <v>0</v>
      </c>
      <c r="S1028" t="b">
        <v>0</v>
      </c>
      <c r="T1028">
        <v>231</v>
      </c>
      <c r="U1028">
        <v>0</v>
      </c>
      <c r="V1028" t="s">
        <v>33</v>
      </c>
      <c r="W1028" t="s">
        <v>33</v>
      </c>
      <c r="X1028">
        <v>50</v>
      </c>
      <c r="Y1028">
        <v>359</v>
      </c>
      <c r="Z1028" t="s">
        <v>34</v>
      </c>
      <c r="AA1028">
        <v>359</v>
      </c>
      <c r="AB1028" t="s">
        <v>121</v>
      </c>
      <c r="AC1028" t="s">
        <v>121</v>
      </c>
      <c r="AD1028" t="str">
        <f t="shared" si="16"/>
        <v>Escobedo → Escobedo</v>
      </c>
      <c r="AE1028" t="s">
        <v>1358</v>
      </c>
      <c r="AF1028" s="4">
        <v>45962</v>
      </c>
      <c r="AG1028" t="str">
        <f>YEAR(Table1[[#This Row],[Fecha]])&amp;" - " &amp;UPPER(TEXT(Table1[[#This Row],[Fecha]],"mm-mmm"))</f>
        <v>2025 - 11-NOV</v>
      </c>
      <c r="AH1028" s="5">
        <v>0</v>
      </c>
    </row>
    <row r="1029" spans="1:34" x14ac:dyDescent="0.25">
      <c r="A1029" t="s">
        <v>1030</v>
      </c>
      <c r="B1029">
        <v>2025</v>
      </c>
      <c r="C1029">
        <v>11</v>
      </c>
      <c r="D1029" s="1">
        <v>45987</v>
      </c>
      <c r="E1029" s="1">
        <v>45987</v>
      </c>
      <c r="F1029" s="1">
        <v>45987</v>
      </c>
      <c r="G1029" s="1">
        <v>45987</v>
      </c>
      <c r="H1029" s="2">
        <v>45987.709203969906</v>
      </c>
      <c r="I1029">
        <v>2039</v>
      </c>
      <c r="J1029" t="s">
        <v>54</v>
      </c>
      <c r="K1029" t="s">
        <v>31</v>
      </c>
      <c r="L1029">
        <v>50</v>
      </c>
      <c r="M1029">
        <v>50</v>
      </c>
      <c r="N1029" t="s">
        <v>32</v>
      </c>
      <c r="O1029">
        <v>1</v>
      </c>
      <c r="P1029">
        <v>150</v>
      </c>
      <c r="Q1029" t="b">
        <v>1</v>
      </c>
      <c r="R1029" t="b">
        <v>0</v>
      </c>
      <c r="S1029" t="b">
        <v>0</v>
      </c>
      <c r="T1029">
        <v>231</v>
      </c>
      <c r="U1029">
        <v>0</v>
      </c>
      <c r="V1029" t="s">
        <v>33</v>
      </c>
      <c r="W1029" t="s">
        <v>33</v>
      </c>
      <c r="X1029">
        <v>50</v>
      </c>
      <c r="Y1029">
        <v>359</v>
      </c>
      <c r="Z1029" t="s">
        <v>34</v>
      </c>
      <c r="AA1029">
        <v>359</v>
      </c>
      <c r="AB1029" t="s">
        <v>121</v>
      </c>
      <c r="AC1029" t="s">
        <v>121</v>
      </c>
      <c r="AD1029" t="str">
        <f t="shared" si="16"/>
        <v>Escobedo → Escobedo</v>
      </c>
      <c r="AE1029" t="s">
        <v>1358</v>
      </c>
      <c r="AF1029" s="4">
        <v>45962</v>
      </c>
      <c r="AG1029" t="str">
        <f>YEAR(Table1[[#This Row],[Fecha]])&amp;" - " &amp;UPPER(TEXT(Table1[[#This Row],[Fecha]],"mm-mmm"))</f>
        <v>2025 - 11-NOV</v>
      </c>
      <c r="AH1029" s="5">
        <v>0</v>
      </c>
    </row>
    <row r="1030" spans="1:34" x14ac:dyDescent="0.25">
      <c r="A1030" t="s">
        <v>1031</v>
      </c>
      <c r="B1030">
        <v>2025</v>
      </c>
      <c r="C1030">
        <v>11</v>
      </c>
      <c r="D1030" s="1">
        <v>45988</v>
      </c>
      <c r="E1030" s="1">
        <v>45988</v>
      </c>
      <c r="F1030" s="1">
        <v>45988</v>
      </c>
      <c r="G1030" s="1">
        <v>45988</v>
      </c>
      <c r="H1030" s="2">
        <v>45988.656231678244</v>
      </c>
      <c r="I1030">
        <v>2039</v>
      </c>
      <c r="J1030" t="s">
        <v>54</v>
      </c>
      <c r="K1030" t="s">
        <v>31</v>
      </c>
      <c r="L1030">
        <v>50</v>
      </c>
      <c r="M1030">
        <v>50</v>
      </c>
      <c r="N1030" t="s">
        <v>32</v>
      </c>
      <c r="O1030">
        <v>1</v>
      </c>
      <c r="P1030">
        <v>150</v>
      </c>
      <c r="Q1030" t="b">
        <v>1</v>
      </c>
      <c r="R1030" t="b">
        <v>0</v>
      </c>
      <c r="S1030" t="b">
        <v>0</v>
      </c>
      <c r="T1030">
        <v>231</v>
      </c>
      <c r="U1030">
        <v>0</v>
      </c>
      <c r="V1030" t="s">
        <v>33</v>
      </c>
      <c r="W1030" t="s">
        <v>33</v>
      </c>
      <c r="X1030">
        <v>50</v>
      </c>
      <c r="Y1030">
        <v>359</v>
      </c>
      <c r="Z1030" t="s">
        <v>34</v>
      </c>
      <c r="AA1030">
        <v>359</v>
      </c>
      <c r="AB1030" t="s">
        <v>121</v>
      </c>
      <c r="AC1030" t="s">
        <v>121</v>
      </c>
      <c r="AD1030" t="str">
        <f t="shared" si="16"/>
        <v>Escobedo → Escobedo</v>
      </c>
      <c r="AE1030" t="s">
        <v>1358</v>
      </c>
      <c r="AF1030" s="4">
        <v>45962</v>
      </c>
      <c r="AG1030" t="str">
        <f>YEAR(Table1[[#This Row],[Fecha]])&amp;" - " &amp;UPPER(TEXT(Table1[[#This Row],[Fecha]],"mm-mmm"))</f>
        <v>2025 - 11-NOV</v>
      </c>
      <c r="AH1030" s="5">
        <v>0</v>
      </c>
    </row>
    <row r="1031" spans="1:34" x14ac:dyDescent="0.25">
      <c r="A1031" t="s">
        <v>1032</v>
      </c>
      <c r="B1031">
        <v>2025</v>
      </c>
      <c r="C1031">
        <v>11</v>
      </c>
      <c r="D1031" s="1">
        <v>45988</v>
      </c>
      <c r="E1031" s="1">
        <v>45988</v>
      </c>
      <c r="F1031" s="1">
        <v>45988</v>
      </c>
      <c r="G1031" s="1">
        <v>45988</v>
      </c>
      <c r="H1031" s="2">
        <v>45988.656751423609</v>
      </c>
      <c r="I1031">
        <v>2039</v>
      </c>
      <c r="J1031" t="s">
        <v>54</v>
      </c>
      <c r="K1031" t="s">
        <v>31</v>
      </c>
      <c r="L1031">
        <v>50</v>
      </c>
      <c r="M1031">
        <v>50</v>
      </c>
      <c r="N1031" t="s">
        <v>32</v>
      </c>
      <c r="O1031">
        <v>1</v>
      </c>
      <c r="P1031">
        <v>150</v>
      </c>
      <c r="Q1031" t="b">
        <v>1</v>
      </c>
      <c r="R1031" t="b">
        <v>0</v>
      </c>
      <c r="S1031" t="b">
        <v>0</v>
      </c>
      <c r="T1031">
        <v>231</v>
      </c>
      <c r="U1031">
        <v>0</v>
      </c>
      <c r="V1031" t="s">
        <v>33</v>
      </c>
      <c r="W1031" t="s">
        <v>33</v>
      </c>
      <c r="X1031">
        <v>50</v>
      </c>
      <c r="Y1031">
        <v>359</v>
      </c>
      <c r="Z1031" t="s">
        <v>34</v>
      </c>
      <c r="AA1031">
        <v>359</v>
      </c>
      <c r="AB1031" t="s">
        <v>121</v>
      </c>
      <c r="AC1031" t="s">
        <v>121</v>
      </c>
      <c r="AD1031" t="str">
        <f t="shared" si="16"/>
        <v>Escobedo → Escobedo</v>
      </c>
      <c r="AE1031" t="s">
        <v>1358</v>
      </c>
      <c r="AF1031" s="4">
        <v>45962</v>
      </c>
      <c r="AG1031" t="str">
        <f>YEAR(Table1[[#This Row],[Fecha]])&amp;" - " &amp;UPPER(TEXT(Table1[[#This Row],[Fecha]],"mm-mmm"))</f>
        <v>2025 - 11-NOV</v>
      </c>
      <c r="AH1031" s="5">
        <v>0</v>
      </c>
    </row>
    <row r="1032" spans="1:34" x14ac:dyDescent="0.25">
      <c r="A1032" t="s">
        <v>1033</v>
      </c>
      <c r="B1032">
        <v>2025</v>
      </c>
      <c r="C1032">
        <v>11</v>
      </c>
      <c r="D1032" s="1">
        <v>45988</v>
      </c>
      <c r="E1032" s="1">
        <v>45988</v>
      </c>
      <c r="F1032" s="1">
        <v>45988</v>
      </c>
      <c r="G1032" s="1">
        <v>45988</v>
      </c>
      <c r="H1032" s="2">
        <v>45988.657108298612</v>
      </c>
      <c r="I1032">
        <v>2039</v>
      </c>
      <c r="J1032" t="s">
        <v>54</v>
      </c>
      <c r="K1032" t="s">
        <v>31</v>
      </c>
      <c r="L1032">
        <v>50</v>
      </c>
      <c r="M1032">
        <v>50</v>
      </c>
      <c r="N1032" t="s">
        <v>32</v>
      </c>
      <c r="O1032">
        <v>1</v>
      </c>
      <c r="P1032">
        <v>150</v>
      </c>
      <c r="Q1032" t="b">
        <v>1</v>
      </c>
      <c r="R1032" t="b">
        <v>0</v>
      </c>
      <c r="S1032" t="b">
        <v>0</v>
      </c>
      <c r="T1032">
        <v>231</v>
      </c>
      <c r="U1032">
        <v>0</v>
      </c>
      <c r="V1032" t="s">
        <v>33</v>
      </c>
      <c r="W1032" t="s">
        <v>33</v>
      </c>
      <c r="X1032">
        <v>50</v>
      </c>
      <c r="Y1032">
        <v>359</v>
      </c>
      <c r="Z1032" t="s">
        <v>34</v>
      </c>
      <c r="AA1032">
        <v>359</v>
      </c>
      <c r="AB1032" t="s">
        <v>121</v>
      </c>
      <c r="AC1032" t="s">
        <v>121</v>
      </c>
      <c r="AD1032" t="str">
        <f t="shared" si="16"/>
        <v>Escobedo → Escobedo</v>
      </c>
      <c r="AE1032" t="s">
        <v>1358</v>
      </c>
      <c r="AF1032" s="4">
        <v>45962</v>
      </c>
      <c r="AG1032" t="str">
        <f>YEAR(Table1[[#This Row],[Fecha]])&amp;" - " &amp;UPPER(TEXT(Table1[[#This Row],[Fecha]],"mm-mmm"))</f>
        <v>2025 - 11-NOV</v>
      </c>
      <c r="AH1032" s="5">
        <v>0</v>
      </c>
    </row>
    <row r="1033" spans="1:34" x14ac:dyDescent="0.25">
      <c r="A1033" t="s">
        <v>1034</v>
      </c>
      <c r="B1033">
        <v>2025</v>
      </c>
      <c r="C1033">
        <v>11</v>
      </c>
      <c r="D1033" s="1">
        <v>45988</v>
      </c>
      <c r="E1033" s="1">
        <v>45988</v>
      </c>
      <c r="F1033" s="1">
        <v>45988</v>
      </c>
      <c r="G1033" s="1">
        <v>45988</v>
      </c>
      <c r="H1033" s="2">
        <v>45988.657545567126</v>
      </c>
      <c r="I1033">
        <v>2039</v>
      </c>
      <c r="J1033" t="s">
        <v>54</v>
      </c>
      <c r="K1033" t="s">
        <v>31</v>
      </c>
      <c r="L1033">
        <v>50</v>
      </c>
      <c r="M1033">
        <v>50</v>
      </c>
      <c r="N1033" t="s">
        <v>32</v>
      </c>
      <c r="O1033">
        <v>1</v>
      </c>
      <c r="P1033">
        <v>150</v>
      </c>
      <c r="Q1033" t="b">
        <v>1</v>
      </c>
      <c r="R1033" t="b">
        <v>0</v>
      </c>
      <c r="S1033" t="b">
        <v>0</v>
      </c>
      <c r="T1033">
        <v>231</v>
      </c>
      <c r="U1033">
        <v>0</v>
      </c>
      <c r="V1033" t="s">
        <v>33</v>
      </c>
      <c r="W1033" t="s">
        <v>33</v>
      </c>
      <c r="X1033">
        <v>50</v>
      </c>
      <c r="Y1033">
        <v>359</v>
      </c>
      <c r="Z1033" t="s">
        <v>34</v>
      </c>
      <c r="AA1033">
        <v>359</v>
      </c>
      <c r="AB1033" t="s">
        <v>121</v>
      </c>
      <c r="AC1033" t="s">
        <v>121</v>
      </c>
      <c r="AD1033" t="str">
        <f t="shared" si="16"/>
        <v>Escobedo → Escobedo</v>
      </c>
      <c r="AE1033" t="s">
        <v>1358</v>
      </c>
      <c r="AF1033" s="4">
        <v>45962</v>
      </c>
      <c r="AG1033" t="str">
        <f>YEAR(Table1[[#This Row],[Fecha]])&amp;" - " &amp;UPPER(TEXT(Table1[[#This Row],[Fecha]],"mm-mmm"))</f>
        <v>2025 - 11-NOV</v>
      </c>
      <c r="AH1033" s="5">
        <v>0</v>
      </c>
    </row>
    <row r="1034" spans="1:34" x14ac:dyDescent="0.25">
      <c r="A1034" t="s">
        <v>1035</v>
      </c>
      <c r="B1034">
        <v>2025</v>
      </c>
      <c r="C1034">
        <v>11</v>
      </c>
      <c r="D1034" s="1">
        <v>45988</v>
      </c>
      <c r="E1034" s="1">
        <v>45988</v>
      </c>
      <c r="F1034" s="1">
        <v>45988</v>
      </c>
      <c r="G1034" s="1">
        <v>45988</v>
      </c>
      <c r="H1034" s="2">
        <v>45988.657902395833</v>
      </c>
      <c r="I1034">
        <v>2039</v>
      </c>
      <c r="J1034" t="s">
        <v>54</v>
      </c>
      <c r="K1034" t="s">
        <v>31</v>
      </c>
      <c r="L1034">
        <v>50</v>
      </c>
      <c r="M1034">
        <v>50</v>
      </c>
      <c r="N1034" t="s">
        <v>32</v>
      </c>
      <c r="O1034">
        <v>1</v>
      </c>
      <c r="P1034">
        <v>150</v>
      </c>
      <c r="Q1034" t="b">
        <v>1</v>
      </c>
      <c r="R1034" t="b">
        <v>0</v>
      </c>
      <c r="S1034" t="b">
        <v>0</v>
      </c>
      <c r="T1034">
        <v>231</v>
      </c>
      <c r="U1034">
        <v>0</v>
      </c>
      <c r="V1034" t="s">
        <v>33</v>
      </c>
      <c r="W1034" t="s">
        <v>33</v>
      </c>
      <c r="X1034">
        <v>50</v>
      </c>
      <c r="Y1034">
        <v>359</v>
      </c>
      <c r="Z1034" t="s">
        <v>34</v>
      </c>
      <c r="AA1034">
        <v>359</v>
      </c>
      <c r="AB1034" t="s">
        <v>121</v>
      </c>
      <c r="AC1034" t="s">
        <v>121</v>
      </c>
      <c r="AD1034" t="str">
        <f t="shared" si="16"/>
        <v>Escobedo → Escobedo</v>
      </c>
      <c r="AE1034" t="s">
        <v>1358</v>
      </c>
      <c r="AF1034" s="4">
        <v>45962</v>
      </c>
      <c r="AG1034" t="str">
        <f>YEAR(Table1[[#This Row],[Fecha]])&amp;" - " &amp;UPPER(TEXT(Table1[[#This Row],[Fecha]],"mm-mmm"))</f>
        <v>2025 - 11-NOV</v>
      </c>
      <c r="AH1034" s="5">
        <v>0</v>
      </c>
    </row>
    <row r="1035" spans="1:34" x14ac:dyDescent="0.25">
      <c r="A1035" t="s">
        <v>1041</v>
      </c>
      <c r="B1035">
        <v>2025</v>
      </c>
      <c r="C1035">
        <v>11</v>
      </c>
      <c r="D1035" s="1">
        <v>45989</v>
      </c>
      <c r="E1035" s="1">
        <v>45989</v>
      </c>
      <c r="F1035" s="1">
        <v>45989</v>
      </c>
      <c r="G1035" s="1">
        <v>45989</v>
      </c>
      <c r="H1035" s="2">
        <v>45989.821996296298</v>
      </c>
      <c r="I1035">
        <v>2039</v>
      </c>
      <c r="J1035" t="s">
        <v>54</v>
      </c>
      <c r="K1035" t="s">
        <v>31</v>
      </c>
      <c r="L1035">
        <v>50</v>
      </c>
      <c r="M1035">
        <v>50</v>
      </c>
      <c r="N1035" t="s">
        <v>32</v>
      </c>
      <c r="O1035">
        <v>1</v>
      </c>
      <c r="P1035">
        <v>150</v>
      </c>
      <c r="Q1035" t="b">
        <v>1</v>
      </c>
      <c r="R1035" t="b">
        <v>0</v>
      </c>
      <c r="S1035" t="b">
        <v>0</v>
      </c>
      <c r="T1035">
        <v>231</v>
      </c>
      <c r="U1035">
        <v>0</v>
      </c>
      <c r="V1035" t="s">
        <v>33</v>
      </c>
      <c r="W1035" t="s">
        <v>33</v>
      </c>
      <c r="X1035">
        <v>50</v>
      </c>
      <c r="Y1035">
        <v>359</v>
      </c>
      <c r="Z1035" t="s">
        <v>34</v>
      </c>
      <c r="AA1035">
        <v>359</v>
      </c>
      <c r="AB1035" t="s">
        <v>121</v>
      </c>
      <c r="AC1035" t="s">
        <v>121</v>
      </c>
      <c r="AD1035" t="str">
        <f t="shared" si="16"/>
        <v>Escobedo → Escobedo</v>
      </c>
      <c r="AE1035" t="s">
        <v>1358</v>
      </c>
      <c r="AF1035" s="4">
        <v>45962</v>
      </c>
      <c r="AG1035" t="str">
        <f>YEAR(Table1[[#This Row],[Fecha]])&amp;" - " &amp;UPPER(TEXT(Table1[[#This Row],[Fecha]],"mm-mmm"))</f>
        <v>2025 - 11-NOV</v>
      </c>
      <c r="AH1035" s="5">
        <v>0</v>
      </c>
    </row>
    <row r="1036" spans="1:34" x14ac:dyDescent="0.25">
      <c r="A1036" t="s">
        <v>1042</v>
      </c>
      <c r="B1036">
        <v>2025</v>
      </c>
      <c r="C1036">
        <v>11</v>
      </c>
      <c r="D1036" s="1">
        <v>45989</v>
      </c>
      <c r="E1036" s="1">
        <v>45989</v>
      </c>
      <c r="F1036" s="1">
        <v>45989</v>
      </c>
      <c r="G1036" s="1">
        <v>45989</v>
      </c>
      <c r="H1036" s="2">
        <v>45990.028274999997</v>
      </c>
      <c r="I1036">
        <v>2039</v>
      </c>
      <c r="J1036" t="s">
        <v>54</v>
      </c>
      <c r="K1036" t="s">
        <v>31</v>
      </c>
      <c r="L1036">
        <v>50</v>
      </c>
      <c r="M1036">
        <v>50</v>
      </c>
      <c r="N1036" t="s">
        <v>32</v>
      </c>
      <c r="O1036">
        <v>1</v>
      </c>
      <c r="P1036">
        <v>150</v>
      </c>
      <c r="Q1036" t="b">
        <v>1</v>
      </c>
      <c r="R1036" t="b">
        <v>0</v>
      </c>
      <c r="S1036" t="b">
        <v>0</v>
      </c>
      <c r="T1036">
        <v>231</v>
      </c>
      <c r="U1036">
        <v>0</v>
      </c>
      <c r="V1036" t="s">
        <v>33</v>
      </c>
      <c r="W1036" t="s">
        <v>33</v>
      </c>
      <c r="X1036">
        <v>50</v>
      </c>
      <c r="Y1036">
        <v>359</v>
      </c>
      <c r="Z1036" t="s">
        <v>34</v>
      </c>
      <c r="AA1036">
        <v>359</v>
      </c>
      <c r="AB1036" t="s">
        <v>121</v>
      </c>
      <c r="AC1036" t="s">
        <v>121</v>
      </c>
      <c r="AD1036" t="str">
        <f t="shared" si="16"/>
        <v>Escobedo → Escobedo</v>
      </c>
      <c r="AE1036" t="s">
        <v>1358</v>
      </c>
      <c r="AF1036" s="4">
        <v>45962</v>
      </c>
      <c r="AG1036" t="str">
        <f>YEAR(Table1[[#This Row],[Fecha]])&amp;" - " &amp;UPPER(TEXT(Table1[[#This Row],[Fecha]],"mm-mmm"))</f>
        <v>2025 - 11-NOV</v>
      </c>
      <c r="AH1036" s="5">
        <v>0</v>
      </c>
    </row>
    <row r="1037" spans="1:34" x14ac:dyDescent="0.25">
      <c r="A1037" t="s">
        <v>1043</v>
      </c>
      <c r="B1037">
        <v>2025</v>
      </c>
      <c r="C1037">
        <v>11</v>
      </c>
      <c r="D1037" s="1">
        <v>45989</v>
      </c>
      <c r="E1037" s="1">
        <v>45989</v>
      </c>
      <c r="F1037" s="1">
        <v>45989</v>
      </c>
      <c r="G1037" s="1">
        <v>45989</v>
      </c>
      <c r="H1037" s="2">
        <v>45990.364907673611</v>
      </c>
      <c r="I1037">
        <v>2039</v>
      </c>
      <c r="J1037" t="s">
        <v>54</v>
      </c>
      <c r="K1037" t="s">
        <v>31</v>
      </c>
      <c r="L1037">
        <v>50</v>
      </c>
      <c r="M1037">
        <v>50</v>
      </c>
      <c r="N1037" t="s">
        <v>32</v>
      </c>
      <c r="O1037">
        <v>1</v>
      </c>
      <c r="P1037">
        <v>150</v>
      </c>
      <c r="Q1037" t="b">
        <v>1</v>
      </c>
      <c r="R1037" t="b">
        <v>0</v>
      </c>
      <c r="S1037" t="b">
        <v>0</v>
      </c>
      <c r="T1037">
        <v>231</v>
      </c>
      <c r="U1037">
        <v>0</v>
      </c>
      <c r="V1037" t="s">
        <v>33</v>
      </c>
      <c r="W1037" t="s">
        <v>33</v>
      </c>
      <c r="X1037">
        <v>50</v>
      </c>
      <c r="Y1037">
        <v>359</v>
      </c>
      <c r="Z1037" t="s">
        <v>34</v>
      </c>
      <c r="AA1037">
        <v>359</v>
      </c>
      <c r="AB1037" t="s">
        <v>121</v>
      </c>
      <c r="AC1037" t="s">
        <v>121</v>
      </c>
      <c r="AD1037" t="str">
        <f t="shared" si="16"/>
        <v>Escobedo → Escobedo</v>
      </c>
      <c r="AE1037" t="s">
        <v>1358</v>
      </c>
      <c r="AF1037" s="4">
        <v>45962</v>
      </c>
      <c r="AG1037" t="str">
        <f>YEAR(Table1[[#This Row],[Fecha]])&amp;" - " &amp;UPPER(TEXT(Table1[[#This Row],[Fecha]],"mm-mmm"))</f>
        <v>2025 - 11-NOV</v>
      </c>
      <c r="AH1037" s="5">
        <v>0</v>
      </c>
    </row>
    <row r="1038" spans="1:34" x14ac:dyDescent="0.25">
      <c r="A1038" t="s">
        <v>1044</v>
      </c>
      <c r="B1038">
        <v>2025</v>
      </c>
      <c r="C1038">
        <v>11</v>
      </c>
      <c r="D1038" s="1">
        <v>45964</v>
      </c>
      <c r="E1038" s="1">
        <v>45964</v>
      </c>
      <c r="F1038" s="1">
        <v>45964</v>
      </c>
      <c r="G1038" s="1">
        <v>45964</v>
      </c>
      <c r="H1038" s="1">
        <v>45964</v>
      </c>
      <c r="I1038">
        <v>2039</v>
      </c>
      <c r="J1038" t="s">
        <v>54</v>
      </c>
      <c r="K1038" t="s">
        <v>31</v>
      </c>
      <c r="L1038">
        <v>50</v>
      </c>
      <c r="M1038">
        <v>50</v>
      </c>
      <c r="N1038" t="s">
        <v>32</v>
      </c>
      <c r="O1038">
        <v>1</v>
      </c>
      <c r="P1038">
        <v>150</v>
      </c>
      <c r="Q1038" t="b">
        <v>1</v>
      </c>
      <c r="R1038" t="b">
        <v>0</v>
      </c>
      <c r="S1038" t="b">
        <v>0</v>
      </c>
      <c r="T1038">
        <v>231</v>
      </c>
      <c r="U1038">
        <v>0</v>
      </c>
      <c r="V1038" t="s">
        <v>33</v>
      </c>
      <c r="W1038" t="s">
        <v>33</v>
      </c>
      <c r="X1038">
        <v>50</v>
      </c>
      <c r="Y1038">
        <v>359</v>
      </c>
      <c r="Z1038" t="s">
        <v>34</v>
      </c>
      <c r="AA1038">
        <v>359</v>
      </c>
      <c r="AB1038" t="s">
        <v>121</v>
      </c>
      <c r="AC1038" t="s">
        <v>121</v>
      </c>
      <c r="AD1038" t="str">
        <f t="shared" si="16"/>
        <v>Escobedo → Escobedo</v>
      </c>
      <c r="AE1038" t="s">
        <v>1358</v>
      </c>
      <c r="AF1038" s="4">
        <v>45962</v>
      </c>
      <c r="AG1038" t="str">
        <f>YEAR(Table1[[#This Row],[Fecha]])&amp;" - " &amp;UPPER(TEXT(Table1[[#This Row],[Fecha]],"mm-mmm"))</f>
        <v>2025 - 11-NOV</v>
      </c>
      <c r="AH1038" s="5">
        <v>0</v>
      </c>
    </row>
    <row r="1039" spans="1:34" x14ac:dyDescent="0.25">
      <c r="A1039" t="s">
        <v>369</v>
      </c>
      <c r="B1039">
        <v>2025</v>
      </c>
      <c r="C1039">
        <v>11</v>
      </c>
      <c r="D1039" s="1">
        <v>45990</v>
      </c>
      <c r="E1039" s="1">
        <v>45990</v>
      </c>
      <c r="F1039" s="1">
        <v>45992</v>
      </c>
      <c r="G1039" s="1">
        <v>45991</v>
      </c>
      <c r="H1039" s="1">
        <v>45992</v>
      </c>
      <c r="I1039">
        <v>2039</v>
      </c>
      <c r="J1039" t="s">
        <v>54</v>
      </c>
      <c r="K1039" t="s">
        <v>31</v>
      </c>
      <c r="L1039">
        <v>842</v>
      </c>
      <c r="M1039">
        <v>842</v>
      </c>
      <c r="N1039" t="s">
        <v>32</v>
      </c>
      <c r="O1039">
        <v>1</v>
      </c>
      <c r="P1039">
        <v>863</v>
      </c>
      <c r="Q1039" t="b">
        <v>1</v>
      </c>
      <c r="R1039" t="b">
        <v>0</v>
      </c>
      <c r="S1039" t="b">
        <v>0</v>
      </c>
      <c r="T1039">
        <v>1213</v>
      </c>
      <c r="U1039">
        <v>0</v>
      </c>
      <c r="V1039" t="s">
        <v>33</v>
      </c>
      <c r="W1039" t="s">
        <v>33</v>
      </c>
      <c r="X1039">
        <v>900</v>
      </c>
      <c r="Y1039">
        <v>1843</v>
      </c>
      <c r="Z1039" t="s">
        <v>123</v>
      </c>
      <c r="AA1039">
        <v>1843</v>
      </c>
      <c r="AB1039" t="s">
        <v>121</v>
      </c>
      <c r="AC1039" t="s">
        <v>364</v>
      </c>
      <c r="AD1039" t="str">
        <f t="shared" si="16"/>
        <v>Escobedo → Mazatlan</v>
      </c>
      <c r="AE1039" t="s">
        <v>1358</v>
      </c>
      <c r="AF1039" s="4">
        <v>45962</v>
      </c>
      <c r="AG1039" t="str">
        <f>YEAR(Table1[[#This Row],[Fecha]])&amp;" - " &amp;UPPER(TEXT(Table1[[#This Row],[Fecha]],"mm-mmm"))</f>
        <v>2025 - 11-NOV</v>
      </c>
      <c r="AH1039" s="5">
        <v>0</v>
      </c>
    </row>
    <row r="1040" spans="1:34" x14ac:dyDescent="0.25">
      <c r="A1040" t="s">
        <v>175</v>
      </c>
      <c r="B1040">
        <v>2025</v>
      </c>
      <c r="C1040">
        <v>11</v>
      </c>
      <c r="D1040" s="1">
        <v>45990</v>
      </c>
      <c r="E1040" s="1">
        <v>45990</v>
      </c>
      <c r="F1040" s="1">
        <v>45990</v>
      </c>
      <c r="G1040" s="1">
        <v>45990</v>
      </c>
      <c r="H1040" s="2">
        <v>45990.576705752312</v>
      </c>
      <c r="I1040">
        <v>2039</v>
      </c>
      <c r="J1040" t="s">
        <v>54</v>
      </c>
      <c r="K1040" t="s">
        <v>31</v>
      </c>
      <c r="L1040">
        <v>50</v>
      </c>
      <c r="M1040">
        <v>50</v>
      </c>
      <c r="N1040" t="s">
        <v>32</v>
      </c>
      <c r="O1040">
        <v>1</v>
      </c>
      <c r="P1040">
        <v>150</v>
      </c>
      <c r="Q1040" t="b">
        <v>1</v>
      </c>
      <c r="R1040" t="b">
        <v>0</v>
      </c>
      <c r="S1040" t="b">
        <v>0</v>
      </c>
      <c r="T1040">
        <v>231</v>
      </c>
      <c r="U1040">
        <v>0</v>
      </c>
      <c r="V1040" t="s">
        <v>33</v>
      </c>
      <c r="W1040" t="s">
        <v>33</v>
      </c>
      <c r="X1040">
        <v>50</v>
      </c>
      <c r="Y1040">
        <v>308</v>
      </c>
      <c r="Z1040" t="s">
        <v>34</v>
      </c>
      <c r="AA1040">
        <v>308</v>
      </c>
      <c r="AB1040" t="s">
        <v>121</v>
      </c>
      <c r="AC1040" t="s">
        <v>174</v>
      </c>
      <c r="AD1040" t="str">
        <f t="shared" si="16"/>
        <v>Escobedo → Guadalupe</v>
      </c>
      <c r="AE1040" t="s">
        <v>1358</v>
      </c>
      <c r="AF1040" s="4">
        <v>45962</v>
      </c>
      <c r="AG1040" t="str">
        <f>YEAR(Table1[[#This Row],[Fecha]])&amp;" - " &amp;UPPER(TEXT(Table1[[#This Row],[Fecha]],"mm-mmm"))</f>
        <v>2025 - 11-NOV</v>
      </c>
      <c r="AH1040" s="5">
        <v>0</v>
      </c>
    </row>
    <row r="1041" spans="1:34" x14ac:dyDescent="0.25">
      <c r="A1041" t="s">
        <v>1061</v>
      </c>
      <c r="B1041">
        <v>2025</v>
      </c>
      <c r="C1041">
        <v>11</v>
      </c>
      <c r="D1041" s="1">
        <v>45990</v>
      </c>
      <c r="E1041" s="1">
        <v>45990</v>
      </c>
      <c r="F1041" s="1">
        <v>45990</v>
      </c>
      <c r="G1041" s="1">
        <v>45990</v>
      </c>
      <c r="H1041" s="2">
        <v>45990.57772789352</v>
      </c>
      <c r="I1041">
        <v>2039</v>
      </c>
      <c r="J1041" t="s">
        <v>54</v>
      </c>
      <c r="K1041" t="s">
        <v>31</v>
      </c>
      <c r="L1041">
        <v>50</v>
      </c>
      <c r="M1041">
        <v>50</v>
      </c>
      <c r="N1041" t="s">
        <v>32</v>
      </c>
      <c r="O1041">
        <v>1</v>
      </c>
      <c r="P1041">
        <v>150</v>
      </c>
      <c r="Q1041" t="b">
        <v>1</v>
      </c>
      <c r="R1041" t="b">
        <v>0</v>
      </c>
      <c r="S1041" t="b">
        <v>0</v>
      </c>
      <c r="T1041">
        <v>231</v>
      </c>
      <c r="U1041">
        <v>0</v>
      </c>
      <c r="V1041" t="s">
        <v>33</v>
      </c>
      <c r="W1041" t="s">
        <v>33</v>
      </c>
      <c r="X1041">
        <v>50</v>
      </c>
      <c r="Y1041">
        <v>359</v>
      </c>
      <c r="Z1041" t="s">
        <v>34</v>
      </c>
      <c r="AA1041">
        <v>359</v>
      </c>
      <c r="AB1041" t="s">
        <v>121</v>
      </c>
      <c r="AC1041" t="s">
        <v>121</v>
      </c>
      <c r="AD1041" t="str">
        <f t="shared" si="16"/>
        <v>Escobedo → Escobedo</v>
      </c>
      <c r="AE1041" t="s">
        <v>1358</v>
      </c>
      <c r="AF1041" s="4">
        <v>45962</v>
      </c>
      <c r="AG1041" t="str">
        <f>YEAR(Table1[[#This Row],[Fecha]])&amp;" - " &amp;UPPER(TEXT(Table1[[#This Row],[Fecha]],"mm-mmm"))</f>
        <v>2025 - 11-NOV</v>
      </c>
      <c r="AH1041" s="5">
        <v>0</v>
      </c>
    </row>
    <row r="1042" spans="1:34" x14ac:dyDescent="0.25">
      <c r="A1042" t="s">
        <v>1062</v>
      </c>
      <c r="B1042">
        <v>2025</v>
      </c>
      <c r="C1042">
        <v>11</v>
      </c>
      <c r="D1042" s="1">
        <v>45990</v>
      </c>
      <c r="E1042" s="1">
        <v>45990</v>
      </c>
      <c r="F1042" s="1">
        <v>45990</v>
      </c>
      <c r="G1042" s="1">
        <v>45990</v>
      </c>
      <c r="H1042" s="2">
        <v>45990.578211493055</v>
      </c>
      <c r="I1042">
        <v>2039</v>
      </c>
      <c r="J1042" t="s">
        <v>54</v>
      </c>
      <c r="K1042" t="s">
        <v>31</v>
      </c>
      <c r="L1042">
        <v>50</v>
      </c>
      <c r="M1042">
        <v>50</v>
      </c>
      <c r="N1042" t="s">
        <v>32</v>
      </c>
      <c r="O1042">
        <v>1</v>
      </c>
      <c r="P1042">
        <v>150</v>
      </c>
      <c r="Q1042" t="b">
        <v>1</v>
      </c>
      <c r="R1042" t="b">
        <v>0</v>
      </c>
      <c r="S1042" t="b">
        <v>0</v>
      </c>
      <c r="T1042">
        <v>231</v>
      </c>
      <c r="U1042">
        <v>0</v>
      </c>
      <c r="V1042" t="s">
        <v>33</v>
      </c>
      <c r="W1042" t="s">
        <v>33</v>
      </c>
      <c r="X1042">
        <v>50</v>
      </c>
      <c r="Y1042">
        <v>359</v>
      </c>
      <c r="Z1042" t="s">
        <v>34</v>
      </c>
      <c r="AA1042">
        <v>359</v>
      </c>
      <c r="AB1042" t="s">
        <v>121</v>
      </c>
      <c r="AC1042" t="s">
        <v>121</v>
      </c>
      <c r="AD1042" t="str">
        <f t="shared" si="16"/>
        <v>Escobedo → Escobedo</v>
      </c>
      <c r="AE1042" t="s">
        <v>1358</v>
      </c>
      <c r="AF1042" s="4">
        <v>45962</v>
      </c>
      <c r="AG1042" t="str">
        <f>YEAR(Table1[[#This Row],[Fecha]])&amp;" - " &amp;UPPER(TEXT(Table1[[#This Row],[Fecha]],"mm-mmm"))</f>
        <v>2025 - 11-NOV</v>
      </c>
      <c r="AH1042" s="5">
        <v>0</v>
      </c>
    </row>
    <row r="1043" spans="1:34" x14ac:dyDescent="0.25">
      <c r="A1043" t="s">
        <v>1063</v>
      </c>
      <c r="B1043">
        <v>2025</v>
      </c>
      <c r="C1043">
        <v>11</v>
      </c>
      <c r="D1043" s="1">
        <v>45990</v>
      </c>
      <c r="E1043" s="1">
        <v>45990</v>
      </c>
      <c r="F1043" s="1">
        <v>45990</v>
      </c>
      <c r="G1043" s="1">
        <v>45990</v>
      </c>
      <c r="H1043" s="2">
        <v>45990.578595520834</v>
      </c>
      <c r="I1043">
        <v>2039</v>
      </c>
      <c r="J1043" t="s">
        <v>54</v>
      </c>
      <c r="K1043" t="s">
        <v>31</v>
      </c>
      <c r="L1043">
        <v>50</v>
      </c>
      <c r="M1043">
        <v>50</v>
      </c>
      <c r="N1043" t="s">
        <v>32</v>
      </c>
      <c r="O1043">
        <v>1</v>
      </c>
      <c r="P1043">
        <v>150</v>
      </c>
      <c r="Q1043" t="b">
        <v>1</v>
      </c>
      <c r="R1043" t="b">
        <v>0</v>
      </c>
      <c r="S1043" t="b">
        <v>0</v>
      </c>
      <c r="T1043">
        <v>231</v>
      </c>
      <c r="U1043">
        <v>0</v>
      </c>
      <c r="V1043" t="s">
        <v>33</v>
      </c>
      <c r="W1043" t="s">
        <v>33</v>
      </c>
      <c r="X1043">
        <v>50</v>
      </c>
      <c r="Y1043">
        <v>359</v>
      </c>
      <c r="Z1043" t="s">
        <v>34</v>
      </c>
      <c r="AA1043">
        <v>359</v>
      </c>
      <c r="AB1043" t="s">
        <v>121</v>
      </c>
      <c r="AC1043" t="s">
        <v>121</v>
      </c>
      <c r="AD1043" t="str">
        <f t="shared" si="16"/>
        <v>Escobedo → Escobedo</v>
      </c>
      <c r="AE1043" t="s">
        <v>1358</v>
      </c>
      <c r="AF1043" s="4">
        <v>45962</v>
      </c>
      <c r="AG1043" t="str">
        <f>YEAR(Table1[[#This Row],[Fecha]])&amp;" - " &amp;UPPER(TEXT(Table1[[#This Row],[Fecha]],"mm-mmm"))</f>
        <v>2025 - 11-NOV</v>
      </c>
      <c r="AH1043" s="5">
        <v>0</v>
      </c>
    </row>
    <row r="1044" spans="1:34" x14ac:dyDescent="0.25">
      <c r="A1044" t="s">
        <v>1064</v>
      </c>
      <c r="B1044">
        <v>2025</v>
      </c>
      <c r="C1044">
        <v>11</v>
      </c>
      <c r="D1044" s="1">
        <v>45990</v>
      </c>
      <c r="E1044" s="1">
        <v>45990</v>
      </c>
      <c r="F1044" s="1">
        <v>45990</v>
      </c>
      <c r="G1044" s="1">
        <v>45990</v>
      </c>
      <c r="H1044" s="2">
        <v>45990.579314780094</v>
      </c>
      <c r="I1044">
        <v>2039</v>
      </c>
      <c r="J1044" t="s">
        <v>54</v>
      </c>
      <c r="K1044" t="s">
        <v>31</v>
      </c>
      <c r="L1044">
        <v>50</v>
      </c>
      <c r="M1044">
        <v>50</v>
      </c>
      <c r="N1044" t="s">
        <v>32</v>
      </c>
      <c r="O1044">
        <v>1</v>
      </c>
      <c r="P1044">
        <v>150</v>
      </c>
      <c r="Q1044" t="b">
        <v>1</v>
      </c>
      <c r="R1044" t="b">
        <v>0</v>
      </c>
      <c r="S1044" t="b">
        <v>0</v>
      </c>
      <c r="T1044">
        <v>231</v>
      </c>
      <c r="U1044">
        <v>0</v>
      </c>
      <c r="V1044" t="s">
        <v>33</v>
      </c>
      <c r="W1044" t="s">
        <v>33</v>
      </c>
      <c r="X1044">
        <v>50</v>
      </c>
      <c r="Y1044">
        <v>359</v>
      </c>
      <c r="Z1044" t="s">
        <v>34</v>
      </c>
      <c r="AA1044">
        <v>359</v>
      </c>
      <c r="AB1044" t="s">
        <v>121</v>
      </c>
      <c r="AC1044" t="s">
        <v>121</v>
      </c>
      <c r="AD1044" t="str">
        <f t="shared" si="16"/>
        <v>Escobedo → Escobedo</v>
      </c>
      <c r="AE1044" t="s">
        <v>1358</v>
      </c>
      <c r="AF1044" s="4">
        <v>45962</v>
      </c>
      <c r="AG1044" t="str">
        <f>YEAR(Table1[[#This Row],[Fecha]])&amp;" - " &amp;UPPER(TEXT(Table1[[#This Row],[Fecha]],"mm-mmm"))</f>
        <v>2025 - 11-NOV</v>
      </c>
      <c r="AH1044" s="5">
        <v>0</v>
      </c>
    </row>
    <row r="1045" spans="1:34" x14ac:dyDescent="0.25">
      <c r="A1045" t="s">
        <v>1065</v>
      </c>
      <c r="B1045">
        <v>2025</v>
      </c>
      <c r="C1045">
        <v>11</v>
      </c>
      <c r="D1045" s="1">
        <v>45966</v>
      </c>
      <c r="E1045" s="1">
        <v>45966</v>
      </c>
      <c r="F1045" s="1">
        <v>45966</v>
      </c>
      <c r="G1045" s="1">
        <v>45966</v>
      </c>
      <c r="H1045" s="2">
        <v>45966.714636689816</v>
      </c>
      <c r="I1045">
        <v>2039</v>
      </c>
      <c r="J1045" t="s">
        <v>54</v>
      </c>
      <c r="K1045" t="s">
        <v>31</v>
      </c>
      <c r="L1045">
        <v>50</v>
      </c>
      <c r="M1045">
        <v>50</v>
      </c>
      <c r="N1045" t="s">
        <v>32</v>
      </c>
      <c r="O1045">
        <v>1</v>
      </c>
      <c r="P1045">
        <v>150</v>
      </c>
      <c r="Q1045" t="b">
        <v>1</v>
      </c>
      <c r="R1045" t="b">
        <v>0</v>
      </c>
      <c r="S1045" t="b">
        <v>0</v>
      </c>
      <c r="T1045">
        <v>231</v>
      </c>
      <c r="U1045">
        <v>0</v>
      </c>
      <c r="V1045" t="s">
        <v>33</v>
      </c>
      <c r="W1045" t="s">
        <v>33</v>
      </c>
      <c r="X1045">
        <v>50</v>
      </c>
      <c r="Y1045">
        <v>359</v>
      </c>
      <c r="Z1045" t="s">
        <v>34</v>
      </c>
      <c r="AA1045">
        <v>359</v>
      </c>
      <c r="AB1045" t="s">
        <v>121</v>
      </c>
      <c r="AC1045" t="s">
        <v>121</v>
      </c>
      <c r="AD1045" t="str">
        <f t="shared" si="16"/>
        <v>Escobedo → Escobedo</v>
      </c>
      <c r="AE1045" t="s">
        <v>1358</v>
      </c>
      <c r="AF1045" s="4">
        <v>45962</v>
      </c>
      <c r="AG1045" t="str">
        <f>YEAR(Table1[[#This Row],[Fecha]])&amp;" - " &amp;UPPER(TEXT(Table1[[#This Row],[Fecha]],"mm-mmm"))</f>
        <v>2025 - 11-NOV</v>
      </c>
      <c r="AH1045" s="5">
        <v>0</v>
      </c>
    </row>
    <row r="1046" spans="1:34" x14ac:dyDescent="0.25">
      <c r="A1046" t="s">
        <v>1066</v>
      </c>
      <c r="B1046">
        <v>2025</v>
      </c>
      <c r="C1046">
        <v>11</v>
      </c>
      <c r="D1046" s="1">
        <v>45966</v>
      </c>
      <c r="E1046" s="1">
        <v>45966</v>
      </c>
      <c r="F1046" s="1">
        <v>45966</v>
      </c>
      <c r="G1046" s="1">
        <v>45966</v>
      </c>
      <c r="H1046" s="2">
        <v>45966.714626736109</v>
      </c>
      <c r="I1046">
        <v>2039</v>
      </c>
      <c r="J1046" t="s">
        <v>54</v>
      </c>
      <c r="K1046" t="s">
        <v>31</v>
      </c>
      <c r="L1046">
        <v>50</v>
      </c>
      <c r="M1046">
        <v>50</v>
      </c>
      <c r="N1046" t="s">
        <v>32</v>
      </c>
      <c r="O1046">
        <v>1</v>
      </c>
      <c r="P1046">
        <v>150</v>
      </c>
      <c r="Q1046" t="b">
        <v>1</v>
      </c>
      <c r="R1046" t="b">
        <v>0</v>
      </c>
      <c r="S1046" t="b">
        <v>0</v>
      </c>
      <c r="T1046">
        <v>231</v>
      </c>
      <c r="U1046">
        <v>0</v>
      </c>
      <c r="V1046" t="s">
        <v>33</v>
      </c>
      <c r="W1046" t="s">
        <v>33</v>
      </c>
      <c r="X1046">
        <v>50</v>
      </c>
      <c r="Y1046">
        <v>359</v>
      </c>
      <c r="Z1046" t="s">
        <v>34</v>
      </c>
      <c r="AA1046">
        <v>359</v>
      </c>
      <c r="AB1046" t="s">
        <v>121</v>
      </c>
      <c r="AC1046" t="s">
        <v>121</v>
      </c>
      <c r="AD1046" t="str">
        <f t="shared" si="16"/>
        <v>Escobedo → Escobedo</v>
      </c>
      <c r="AE1046" t="s">
        <v>1358</v>
      </c>
      <c r="AF1046" s="4">
        <v>45962</v>
      </c>
      <c r="AG1046" t="str">
        <f>YEAR(Table1[[#This Row],[Fecha]])&amp;" - " &amp;UPPER(TEXT(Table1[[#This Row],[Fecha]],"mm-mmm"))</f>
        <v>2025 - 11-NOV</v>
      </c>
      <c r="AH1046" s="5">
        <v>0</v>
      </c>
    </row>
    <row r="1047" spans="1:34" x14ac:dyDescent="0.25">
      <c r="A1047" t="s">
        <v>1067</v>
      </c>
      <c r="B1047">
        <v>2025</v>
      </c>
      <c r="C1047">
        <v>11</v>
      </c>
      <c r="D1047" s="1">
        <v>45966</v>
      </c>
      <c r="E1047" s="1">
        <v>45966</v>
      </c>
      <c r="F1047" s="1">
        <v>45966</v>
      </c>
      <c r="G1047" s="1">
        <v>45966</v>
      </c>
      <c r="H1047" s="2">
        <v>45966.714615856479</v>
      </c>
      <c r="I1047">
        <v>2039</v>
      </c>
      <c r="J1047" t="s">
        <v>54</v>
      </c>
      <c r="K1047" t="s">
        <v>31</v>
      </c>
      <c r="L1047">
        <v>50</v>
      </c>
      <c r="M1047">
        <v>50</v>
      </c>
      <c r="N1047" t="s">
        <v>32</v>
      </c>
      <c r="O1047">
        <v>1</v>
      </c>
      <c r="P1047">
        <v>150</v>
      </c>
      <c r="Q1047" t="b">
        <v>1</v>
      </c>
      <c r="R1047" t="b">
        <v>0</v>
      </c>
      <c r="S1047" t="b">
        <v>0</v>
      </c>
      <c r="T1047">
        <v>231</v>
      </c>
      <c r="U1047">
        <v>0</v>
      </c>
      <c r="V1047" t="s">
        <v>33</v>
      </c>
      <c r="W1047" t="s">
        <v>33</v>
      </c>
      <c r="X1047">
        <v>50</v>
      </c>
      <c r="Y1047">
        <v>359</v>
      </c>
      <c r="Z1047" t="s">
        <v>34</v>
      </c>
      <c r="AA1047">
        <v>359</v>
      </c>
      <c r="AB1047" t="s">
        <v>121</v>
      </c>
      <c r="AC1047" t="s">
        <v>121</v>
      </c>
      <c r="AD1047" t="str">
        <f t="shared" si="16"/>
        <v>Escobedo → Escobedo</v>
      </c>
      <c r="AE1047" t="s">
        <v>1358</v>
      </c>
      <c r="AF1047" s="4">
        <v>45962</v>
      </c>
      <c r="AG1047" t="str">
        <f>YEAR(Table1[[#This Row],[Fecha]])&amp;" - " &amp;UPPER(TEXT(Table1[[#This Row],[Fecha]],"mm-mmm"))</f>
        <v>2025 - 11-NOV</v>
      </c>
      <c r="AH1047" s="5">
        <v>0</v>
      </c>
    </row>
    <row r="1048" spans="1:34" x14ac:dyDescent="0.25">
      <c r="A1048" t="s">
        <v>400</v>
      </c>
      <c r="B1048">
        <v>2025</v>
      </c>
      <c r="C1048">
        <v>11</v>
      </c>
      <c r="D1048" s="1">
        <v>45966</v>
      </c>
      <c r="E1048" s="1">
        <v>45966</v>
      </c>
      <c r="F1048" s="1">
        <v>45966</v>
      </c>
      <c r="G1048" s="1">
        <v>45966</v>
      </c>
      <c r="H1048" s="2">
        <v>45966.714595057871</v>
      </c>
      <c r="I1048">
        <v>2039</v>
      </c>
      <c r="J1048" t="s">
        <v>54</v>
      </c>
      <c r="K1048" t="s">
        <v>31</v>
      </c>
      <c r="L1048">
        <v>50</v>
      </c>
      <c r="M1048">
        <v>50</v>
      </c>
      <c r="N1048" t="s">
        <v>32</v>
      </c>
      <c r="O1048">
        <v>1</v>
      </c>
      <c r="P1048">
        <v>150</v>
      </c>
      <c r="Q1048" t="b">
        <v>1</v>
      </c>
      <c r="R1048" t="b">
        <v>0</v>
      </c>
      <c r="S1048" t="b">
        <v>0</v>
      </c>
      <c r="T1048">
        <v>231</v>
      </c>
      <c r="U1048">
        <v>0</v>
      </c>
      <c r="V1048" t="s">
        <v>33</v>
      </c>
      <c r="W1048" t="s">
        <v>33</v>
      </c>
      <c r="X1048">
        <v>50</v>
      </c>
      <c r="Y1048">
        <v>461</v>
      </c>
      <c r="Z1048" t="s">
        <v>34</v>
      </c>
      <c r="AA1048">
        <v>461</v>
      </c>
      <c r="AB1048" t="s">
        <v>121</v>
      </c>
      <c r="AC1048" t="s">
        <v>35</v>
      </c>
      <c r="AD1048" t="str">
        <f t="shared" si="16"/>
        <v>Escobedo → Monterrey</v>
      </c>
      <c r="AE1048" t="s">
        <v>1358</v>
      </c>
      <c r="AF1048" s="4">
        <v>45962</v>
      </c>
      <c r="AG1048" t="str">
        <f>YEAR(Table1[[#This Row],[Fecha]])&amp;" - " &amp;UPPER(TEXT(Table1[[#This Row],[Fecha]],"mm-mmm"))</f>
        <v>2025 - 11-NOV</v>
      </c>
      <c r="AH1048" s="5">
        <v>0</v>
      </c>
    </row>
    <row r="1049" spans="1:34" x14ac:dyDescent="0.25">
      <c r="A1049" t="s">
        <v>1068</v>
      </c>
      <c r="B1049">
        <v>2025</v>
      </c>
      <c r="C1049">
        <v>11</v>
      </c>
      <c r="D1049" s="1">
        <v>45967</v>
      </c>
      <c r="E1049" s="1">
        <v>45967</v>
      </c>
      <c r="F1049" s="1">
        <v>45967</v>
      </c>
      <c r="G1049" s="1">
        <v>45967</v>
      </c>
      <c r="H1049" s="1">
        <v>45967</v>
      </c>
      <c r="I1049">
        <v>2039</v>
      </c>
      <c r="J1049" t="s">
        <v>54</v>
      </c>
      <c r="K1049" t="s">
        <v>31</v>
      </c>
      <c r="L1049">
        <v>50</v>
      </c>
      <c r="M1049">
        <v>50</v>
      </c>
      <c r="N1049" t="s">
        <v>32</v>
      </c>
      <c r="O1049">
        <v>1</v>
      </c>
      <c r="P1049">
        <v>150</v>
      </c>
      <c r="Q1049" t="b">
        <v>1</v>
      </c>
      <c r="R1049" t="b">
        <v>0</v>
      </c>
      <c r="S1049" t="b">
        <v>0</v>
      </c>
      <c r="T1049">
        <v>231</v>
      </c>
      <c r="U1049">
        <v>0</v>
      </c>
      <c r="V1049" t="s">
        <v>33</v>
      </c>
      <c r="W1049" t="s">
        <v>33</v>
      </c>
      <c r="X1049">
        <v>50</v>
      </c>
      <c r="Y1049">
        <v>359</v>
      </c>
      <c r="Z1049" t="s">
        <v>123</v>
      </c>
      <c r="AA1049">
        <v>359</v>
      </c>
      <c r="AB1049" t="s">
        <v>121</v>
      </c>
      <c r="AC1049" t="s">
        <v>121</v>
      </c>
      <c r="AD1049" t="str">
        <f t="shared" si="16"/>
        <v>Escobedo → Escobedo</v>
      </c>
      <c r="AE1049" t="s">
        <v>1358</v>
      </c>
      <c r="AF1049" s="4">
        <v>45962</v>
      </c>
      <c r="AG1049" t="str">
        <f>YEAR(Table1[[#This Row],[Fecha]])&amp;" - " &amp;UPPER(TEXT(Table1[[#This Row],[Fecha]],"mm-mmm"))</f>
        <v>2025 - 11-NOV</v>
      </c>
      <c r="AH1049" s="5">
        <v>0</v>
      </c>
    </row>
    <row r="1050" spans="1:34" x14ac:dyDescent="0.25">
      <c r="A1050" t="s">
        <v>163</v>
      </c>
      <c r="B1050">
        <v>2025</v>
      </c>
      <c r="C1050">
        <v>11</v>
      </c>
      <c r="D1050" s="1">
        <v>45973</v>
      </c>
      <c r="E1050" s="1">
        <v>45973</v>
      </c>
      <c r="F1050" s="1">
        <v>45974</v>
      </c>
      <c r="G1050" s="1">
        <v>45974</v>
      </c>
      <c r="H1050" s="1">
        <v>45974</v>
      </c>
      <c r="I1050">
        <v>2244</v>
      </c>
      <c r="J1050" t="s">
        <v>41</v>
      </c>
      <c r="K1050" t="s">
        <v>42</v>
      </c>
      <c r="L1050">
        <v>360</v>
      </c>
      <c r="M1050">
        <v>180</v>
      </c>
      <c r="N1050" t="s">
        <v>43</v>
      </c>
      <c r="O1050">
        <v>1</v>
      </c>
      <c r="P1050">
        <v>208</v>
      </c>
      <c r="Q1050" t="b">
        <v>1</v>
      </c>
      <c r="R1050" t="b">
        <v>0</v>
      </c>
      <c r="S1050" t="b">
        <v>0</v>
      </c>
      <c r="T1050">
        <v>536</v>
      </c>
      <c r="U1050">
        <v>0</v>
      </c>
      <c r="V1050" t="s">
        <v>33</v>
      </c>
      <c r="W1050" t="s">
        <v>33</v>
      </c>
      <c r="X1050">
        <v>200</v>
      </c>
      <c r="Y1050">
        <v>464</v>
      </c>
      <c r="Z1050" t="s">
        <v>44</v>
      </c>
      <c r="AA1050">
        <v>464</v>
      </c>
      <c r="AB1050" t="s">
        <v>164</v>
      </c>
      <c r="AC1050" t="s">
        <v>165</v>
      </c>
      <c r="AD1050" t="str">
        <f t="shared" si="16"/>
        <v>San Luis Potosi → Aguascalientes</v>
      </c>
      <c r="AE1050" t="s">
        <v>1359</v>
      </c>
      <c r="AF1050" s="4">
        <v>45962</v>
      </c>
      <c r="AG1050" t="str">
        <f>YEAR(Table1[[#This Row],[Fecha]])&amp;" - " &amp;UPPER(TEXT(Table1[[#This Row],[Fecha]],"mm-mmm"))</f>
        <v>2025 - 11-NOV</v>
      </c>
      <c r="AH1050" s="5">
        <v>0</v>
      </c>
    </row>
    <row r="1051" spans="1:34" x14ac:dyDescent="0.25">
      <c r="A1051" t="s">
        <v>293</v>
      </c>
      <c r="B1051">
        <v>2025</v>
      </c>
      <c r="C1051">
        <v>11</v>
      </c>
      <c r="D1051" s="1">
        <v>45974</v>
      </c>
      <c r="E1051" s="1">
        <v>45974</v>
      </c>
      <c r="F1051" s="1">
        <v>45974</v>
      </c>
      <c r="G1051" s="1">
        <v>45974</v>
      </c>
      <c r="H1051" s="1">
        <v>45975</v>
      </c>
      <c r="I1051">
        <v>2244</v>
      </c>
      <c r="J1051" t="s">
        <v>41</v>
      </c>
      <c r="K1051" t="s">
        <v>42</v>
      </c>
      <c r="L1051">
        <v>961</v>
      </c>
      <c r="M1051">
        <v>0</v>
      </c>
      <c r="N1051" t="s">
        <v>43</v>
      </c>
      <c r="O1051">
        <v>1</v>
      </c>
      <c r="P1051">
        <v>964</v>
      </c>
      <c r="Q1051" t="b">
        <v>1</v>
      </c>
      <c r="R1051" t="b">
        <v>0</v>
      </c>
      <c r="S1051" t="b">
        <v>0</v>
      </c>
      <c r="T1051">
        <v>0</v>
      </c>
      <c r="U1051">
        <v>0</v>
      </c>
      <c r="V1051" t="s">
        <v>33</v>
      </c>
      <c r="W1051" t="s">
        <v>33</v>
      </c>
      <c r="X1051">
        <v>0</v>
      </c>
      <c r="Y1051">
        <v>8</v>
      </c>
      <c r="Z1051" t="s">
        <v>38</v>
      </c>
      <c r="AA1051">
        <v>8</v>
      </c>
      <c r="AB1051" t="s">
        <v>121</v>
      </c>
      <c r="AC1051" t="s">
        <v>56</v>
      </c>
      <c r="AD1051" t="str">
        <f t="shared" si="16"/>
        <v>Escobedo → Cd Sahagún</v>
      </c>
      <c r="AE1051" t="s">
        <v>1359</v>
      </c>
      <c r="AF1051" s="4">
        <v>45962</v>
      </c>
      <c r="AG1051" t="str">
        <f>YEAR(Table1[[#This Row],[Fecha]])&amp;" - " &amp;UPPER(TEXT(Table1[[#This Row],[Fecha]],"mm-mmm"))</f>
        <v>2025 - 11-NOV</v>
      </c>
      <c r="AH1051" s="5">
        <v>0</v>
      </c>
    </row>
    <row r="1052" spans="1:34" x14ac:dyDescent="0.25">
      <c r="A1052" t="s">
        <v>166</v>
      </c>
      <c r="B1052">
        <v>2025</v>
      </c>
      <c r="C1052">
        <v>11</v>
      </c>
      <c r="D1052" s="1">
        <v>45976</v>
      </c>
      <c r="E1052" s="1">
        <v>45976</v>
      </c>
      <c r="F1052" s="1">
        <v>45980</v>
      </c>
      <c r="G1052" s="1">
        <v>45978</v>
      </c>
      <c r="H1052" s="1">
        <v>45980</v>
      </c>
      <c r="I1052">
        <v>2244</v>
      </c>
      <c r="J1052" t="s">
        <v>41</v>
      </c>
      <c r="K1052" t="s">
        <v>42</v>
      </c>
      <c r="L1052">
        <v>2528</v>
      </c>
      <c r="M1052">
        <v>1264</v>
      </c>
      <c r="N1052" t="s">
        <v>43</v>
      </c>
      <c r="O1052">
        <v>1</v>
      </c>
      <c r="P1052">
        <v>1264</v>
      </c>
      <c r="Q1052" t="b">
        <v>1</v>
      </c>
      <c r="R1052" t="b">
        <v>0</v>
      </c>
      <c r="S1052" t="b">
        <v>0</v>
      </c>
      <c r="T1052">
        <v>1746</v>
      </c>
      <c r="U1052">
        <v>0</v>
      </c>
      <c r="V1052" t="s">
        <v>33</v>
      </c>
      <c r="W1052" t="s">
        <v>33</v>
      </c>
      <c r="X1052">
        <v>1300</v>
      </c>
      <c r="Y1052">
        <v>464</v>
      </c>
      <c r="Z1052" t="s">
        <v>38</v>
      </c>
      <c r="AA1052">
        <v>464</v>
      </c>
      <c r="AB1052" t="s">
        <v>164</v>
      </c>
      <c r="AC1052" t="s">
        <v>165</v>
      </c>
      <c r="AD1052" t="str">
        <f t="shared" si="16"/>
        <v>San Luis Potosi → Aguascalientes</v>
      </c>
      <c r="AE1052" t="s">
        <v>1359</v>
      </c>
      <c r="AF1052" s="4">
        <v>45962</v>
      </c>
      <c r="AG1052" t="str">
        <f>YEAR(Table1[[#This Row],[Fecha]])&amp;" - " &amp;UPPER(TEXT(Table1[[#This Row],[Fecha]],"mm-mmm"))</f>
        <v>2025 - 11-NOV</v>
      </c>
      <c r="AH1052" s="5">
        <v>0</v>
      </c>
    </row>
    <row r="1053" spans="1:34" x14ac:dyDescent="0.25">
      <c r="A1053" t="s">
        <v>88</v>
      </c>
      <c r="B1053">
        <v>2025</v>
      </c>
      <c r="C1053">
        <v>11</v>
      </c>
      <c r="D1053" s="1">
        <v>45981</v>
      </c>
      <c r="E1053" s="1">
        <v>45981</v>
      </c>
      <c r="F1053" s="1">
        <v>45981</v>
      </c>
      <c r="G1053" s="1">
        <v>45981</v>
      </c>
      <c r="H1053" s="2">
        <v>45982.680790625003</v>
      </c>
      <c r="I1053">
        <v>2244</v>
      </c>
      <c r="J1053" t="s">
        <v>41</v>
      </c>
      <c r="K1053" t="s">
        <v>42</v>
      </c>
      <c r="L1053">
        <v>32</v>
      </c>
      <c r="M1053">
        <v>0</v>
      </c>
      <c r="N1053" t="s">
        <v>43</v>
      </c>
      <c r="O1053">
        <v>1</v>
      </c>
      <c r="P1053">
        <v>100</v>
      </c>
      <c r="Q1053" t="b">
        <v>1</v>
      </c>
      <c r="R1053" t="b">
        <v>0</v>
      </c>
      <c r="S1053" t="b">
        <v>0</v>
      </c>
      <c r="T1053">
        <v>0</v>
      </c>
      <c r="U1053">
        <v>0</v>
      </c>
      <c r="V1053" t="s">
        <v>33</v>
      </c>
      <c r="W1053" t="s">
        <v>33</v>
      </c>
      <c r="X1053">
        <v>0</v>
      </c>
      <c r="Y1053">
        <v>4955</v>
      </c>
      <c r="Z1053" t="s">
        <v>44</v>
      </c>
      <c r="AA1053">
        <v>4955</v>
      </c>
      <c r="AB1053" t="s">
        <v>56</v>
      </c>
      <c r="AC1053" t="s">
        <v>89</v>
      </c>
      <c r="AD1053" t="str">
        <f t="shared" si="16"/>
        <v>Cd Sahagún → Calpulalpan</v>
      </c>
      <c r="AE1053" t="s">
        <v>1359</v>
      </c>
      <c r="AF1053" s="4">
        <v>45962</v>
      </c>
      <c r="AG1053" t="str">
        <f>YEAR(Table1[[#This Row],[Fecha]])&amp;" - " &amp;UPPER(TEXT(Table1[[#This Row],[Fecha]],"mm-mmm"))</f>
        <v>2025 - 11-NOV</v>
      </c>
      <c r="AH1053" s="5">
        <v>0</v>
      </c>
    </row>
    <row r="1054" spans="1:34" x14ac:dyDescent="0.25">
      <c r="A1054" t="s">
        <v>1333</v>
      </c>
      <c r="B1054">
        <v>2025</v>
      </c>
      <c r="C1054">
        <v>11</v>
      </c>
      <c r="D1054" s="1">
        <v>45981</v>
      </c>
      <c r="E1054" s="1">
        <v>45981</v>
      </c>
      <c r="F1054" s="1">
        <v>45982</v>
      </c>
      <c r="G1054" s="1">
        <v>45981</v>
      </c>
      <c r="H1054" s="1">
        <v>45983</v>
      </c>
      <c r="I1054">
        <v>2244</v>
      </c>
      <c r="J1054" t="s">
        <v>41</v>
      </c>
      <c r="K1054" t="s">
        <v>42</v>
      </c>
      <c r="L1054">
        <v>2544</v>
      </c>
      <c r="M1054">
        <v>1272</v>
      </c>
      <c r="N1054" t="s">
        <v>43</v>
      </c>
      <c r="O1054">
        <v>1</v>
      </c>
      <c r="P1054">
        <v>1272</v>
      </c>
      <c r="Q1054" t="b">
        <v>1</v>
      </c>
      <c r="R1054" t="b">
        <v>0</v>
      </c>
      <c r="S1054" t="b">
        <v>0</v>
      </c>
      <c r="T1054">
        <v>1746</v>
      </c>
      <c r="U1054">
        <v>0</v>
      </c>
      <c r="V1054" t="s">
        <v>33</v>
      </c>
      <c r="W1054" t="s">
        <v>33</v>
      </c>
      <c r="X1054">
        <v>1300</v>
      </c>
      <c r="Y1054">
        <v>4956</v>
      </c>
      <c r="Z1054" t="s">
        <v>44</v>
      </c>
      <c r="AA1054">
        <v>4956</v>
      </c>
      <c r="AB1054" t="s">
        <v>89</v>
      </c>
      <c r="AC1054" t="s">
        <v>60</v>
      </c>
      <c r="AD1054" t="str">
        <f t="shared" si="16"/>
        <v>Calpulalpan → Culiacan</v>
      </c>
      <c r="AE1054" t="s">
        <v>1359</v>
      </c>
      <c r="AF1054" s="4">
        <v>45962</v>
      </c>
      <c r="AG1054" t="str">
        <f>YEAR(Table1[[#This Row],[Fecha]])&amp;" - " &amp;UPPER(TEXT(Table1[[#This Row],[Fecha]],"mm-mmm"))</f>
        <v>2025 - 11-NOV</v>
      </c>
      <c r="AH1054" s="5">
        <v>0</v>
      </c>
    </row>
    <row r="1055" spans="1:34" x14ac:dyDescent="0.25">
      <c r="A1055" t="s">
        <v>294</v>
      </c>
      <c r="B1055">
        <v>2025</v>
      </c>
      <c r="C1055">
        <v>11</v>
      </c>
      <c r="D1055" s="1">
        <v>45982</v>
      </c>
      <c r="E1055" s="1">
        <v>45982</v>
      </c>
      <c r="F1055" s="1">
        <v>45985</v>
      </c>
      <c r="G1055" s="1">
        <v>45984</v>
      </c>
      <c r="H1055" s="1">
        <v>45985</v>
      </c>
      <c r="I1055">
        <v>2244</v>
      </c>
      <c r="J1055" t="s">
        <v>41</v>
      </c>
      <c r="K1055" t="s">
        <v>42</v>
      </c>
      <c r="L1055">
        <v>961</v>
      </c>
      <c r="M1055">
        <v>0</v>
      </c>
      <c r="N1055" t="s">
        <v>43</v>
      </c>
      <c r="O1055">
        <v>1</v>
      </c>
      <c r="P1055">
        <v>964</v>
      </c>
      <c r="Q1055" t="b">
        <v>1</v>
      </c>
      <c r="R1055" t="b">
        <v>0</v>
      </c>
      <c r="S1055" t="b">
        <v>0</v>
      </c>
      <c r="T1055">
        <v>0</v>
      </c>
      <c r="U1055">
        <v>0</v>
      </c>
      <c r="V1055" t="s">
        <v>33</v>
      </c>
      <c r="W1055" t="s">
        <v>295</v>
      </c>
      <c r="X1055">
        <v>0</v>
      </c>
      <c r="Y1055">
        <v>8</v>
      </c>
      <c r="Z1055" t="s">
        <v>44</v>
      </c>
      <c r="AA1055">
        <v>8</v>
      </c>
      <c r="AB1055" t="s">
        <v>121</v>
      </c>
      <c r="AC1055" t="s">
        <v>56</v>
      </c>
      <c r="AD1055" t="str">
        <f t="shared" si="16"/>
        <v>Escobedo → Cd Sahagún</v>
      </c>
      <c r="AE1055" t="s">
        <v>1359</v>
      </c>
      <c r="AF1055" s="4">
        <v>45962</v>
      </c>
      <c r="AG1055" t="str">
        <f>YEAR(Table1[[#This Row],[Fecha]])&amp;" - " &amp;UPPER(TEXT(Table1[[#This Row],[Fecha]],"mm-mmm"))</f>
        <v>2025 - 11-NOV</v>
      </c>
      <c r="AH1055" s="5">
        <v>0</v>
      </c>
    </row>
    <row r="1056" spans="1:34" x14ac:dyDescent="0.25">
      <c r="A1056" t="s">
        <v>170</v>
      </c>
      <c r="B1056">
        <v>2025</v>
      </c>
      <c r="C1056">
        <v>11</v>
      </c>
      <c r="D1056" s="1">
        <v>45985</v>
      </c>
      <c r="E1056" s="1">
        <v>45985</v>
      </c>
      <c r="F1056" s="1">
        <v>45986</v>
      </c>
      <c r="G1056" s="1">
        <v>45986</v>
      </c>
      <c r="H1056" s="1">
        <v>45986</v>
      </c>
      <c r="I1056">
        <v>2383</v>
      </c>
      <c r="J1056" t="s">
        <v>30</v>
      </c>
      <c r="K1056" t="s">
        <v>31</v>
      </c>
      <c r="L1056">
        <v>107</v>
      </c>
      <c r="M1056">
        <v>107</v>
      </c>
      <c r="N1056" t="s">
        <v>171</v>
      </c>
      <c r="O1056">
        <v>1</v>
      </c>
      <c r="P1056">
        <v>107</v>
      </c>
      <c r="Q1056" t="b">
        <v>1</v>
      </c>
      <c r="R1056" t="b">
        <v>0</v>
      </c>
      <c r="S1056" t="b">
        <v>0</v>
      </c>
      <c r="T1056">
        <v>536</v>
      </c>
      <c r="U1056">
        <v>0</v>
      </c>
      <c r="V1056" t="s">
        <v>33</v>
      </c>
      <c r="W1056" t="s">
        <v>172</v>
      </c>
      <c r="X1056">
        <v>200</v>
      </c>
      <c r="Y1056">
        <v>464</v>
      </c>
      <c r="Z1056" t="s">
        <v>38</v>
      </c>
      <c r="AA1056">
        <v>464</v>
      </c>
      <c r="AB1056" t="s">
        <v>164</v>
      </c>
      <c r="AC1056" t="s">
        <v>165</v>
      </c>
      <c r="AD1056" t="str">
        <f t="shared" si="16"/>
        <v>San Luis Potosi → Aguascalientes</v>
      </c>
      <c r="AE1056" t="s">
        <v>1357</v>
      </c>
      <c r="AF1056" s="4">
        <v>45962</v>
      </c>
      <c r="AG1056" t="str">
        <f>YEAR(Table1[[#This Row],[Fecha]])&amp;" - " &amp;UPPER(TEXT(Table1[[#This Row],[Fecha]],"mm-mmm"))</f>
        <v>2025 - 11-NOV</v>
      </c>
      <c r="AH1056" s="5">
        <v>0</v>
      </c>
    </row>
    <row r="1057" spans="1:34" x14ac:dyDescent="0.25">
      <c r="A1057" t="s">
        <v>296</v>
      </c>
      <c r="B1057">
        <v>2025</v>
      </c>
      <c r="C1057">
        <v>11</v>
      </c>
      <c r="D1057" s="1">
        <v>45989</v>
      </c>
      <c r="E1057" s="1">
        <v>45989</v>
      </c>
      <c r="F1057" s="1">
        <v>45991</v>
      </c>
      <c r="G1057" s="1">
        <v>45990</v>
      </c>
      <c r="H1057" s="1">
        <v>45991</v>
      </c>
      <c r="I1057">
        <v>2275</v>
      </c>
      <c r="J1057" t="s">
        <v>54</v>
      </c>
      <c r="K1057" t="s">
        <v>31</v>
      </c>
      <c r="L1057">
        <v>961</v>
      </c>
      <c r="M1057">
        <v>0</v>
      </c>
      <c r="N1057" t="s">
        <v>110</v>
      </c>
      <c r="O1057">
        <v>1</v>
      </c>
      <c r="P1057">
        <v>964</v>
      </c>
      <c r="Q1057" t="b">
        <v>1</v>
      </c>
      <c r="R1057" t="b">
        <v>0</v>
      </c>
      <c r="S1057" t="b">
        <v>0</v>
      </c>
      <c r="T1057">
        <v>0</v>
      </c>
      <c r="U1057">
        <v>0</v>
      </c>
      <c r="V1057" t="s">
        <v>33</v>
      </c>
      <c r="W1057" t="s">
        <v>297</v>
      </c>
      <c r="X1057">
        <v>0</v>
      </c>
      <c r="Y1057">
        <v>8</v>
      </c>
      <c r="Z1057" t="s">
        <v>44</v>
      </c>
      <c r="AA1057">
        <v>8</v>
      </c>
      <c r="AB1057" t="s">
        <v>121</v>
      </c>
      <c r="AC1057" t="s">
        <v>56</v>
      </c>
      <c r="AD1057" t="str">
        <f t="shared" si="16"/>
        <v>Escobedo → Cd Sahagún</v>
      </c>
      <c r="AE1057" t="s">
        <v>1358</v>
      </c>
      <c r="AF1057" s="4">
        <v>45962</v>
      </c>
      <c r="AG1057" t="str">
        <f>YEAR(Table1[[#This Row],[Fecha]])&amp;" - " &amp;UPPER(TEXT(Table1[[#This Row],[Fecha]],"mm-mmm"))</f>
        <v>2025 - 11-NOV</v>
      </c>
      <c r="AH1057" s="5">
        <v>0</v>
      </c>
    </row>
    <row r="1058" spans="1:34" x14ac:dyDescent="0.25">
      <c r="A1058" t="s">
        <v>298</v>
      </c>
      <c r="B1058">
        <v>2025</v>
      </c>
      <c r="C1058">
        <v>11</v>
      </c>
      <c r="D1058" s="1">
        <v>45989</v>
      </c>
      <c r="E1058" s="1">
        <v>45989</v>
      </c>
      <c r="F1058" s="1">
        <v>45992</v>
      </c>
      <c r="G1058" s="1">
        <v>45991</v>
      </c>
      <c r="H1058" s="1">
        <v>45992</v>
      </c>
      <c r="I1058">
        <v>2244</v>
      </c>
      <c r="J1058" t="s">
        <v>41</v>
      </c>
      <c r="K1058" t="s">
        <v>42</v>
      </c>
      <c r="L1058">
        <v>961</v>
      </c>
      <c r="M1058">
        <v>0</v>
      </c>
      <c r="N1058" t="s">
        <v>43</v>
      </c>
      <c r="O1058">
        <v>1</v>
      </c>
      <c r="P1058">
        <v>964</v>
      </c>
      <c r="Q1058" t="b">
        <v>1</v>
      </c>
      <c r="R1058" t="b">
        <v>0</v>
      </c>
      <c r="S1058" t="b">
        <v>0</v>
      </c>
      <c r="T1058">
        <v>0</v>
      </c>
      <c r="U1058">
        <v>0</v>
      </c>
      <c r="V1058" t="s">
        <v>33</v>
      </c>
      <c r="W1058" t="s">
        <v>299</v>
      </c>
      <c r="X1058">
        <v>0</v>
      </c>
      <c r="Y1058">
        <v>8</v>
      </c>
      <c r="Z1058" t="s">
        <v>44</v>
      </c>
      <c r="AA1058">
        <v>8</v>
      </c>
      <c r="AB1058" t="s">
        <v>121</v>
      </c>
      <c r="AC1058" t="s">
        <v>56</v>
      </c>
      <c r="AD1058" t="str">
        <f t="shared" si="16"/>
        <v>Escobedo → Cd Sahagún</v>
      </c>
      <c r="AE1058" t="s">
        <v>1359</v>
      </c>
      <c r="AF1058" s="4">
        <v>45962</v>
      </c>
      <c r="AG1058" t="str">
        <f>YEAR(Table1[[#This Row],[Fecha]])&amp;" - " &amp;UPPER(TEXT(Table1[[#This Row],[Fecha]],"mm-mmm"))</f>
        <v>2025 - 11-NOV</v>
      </c>
      <c r="AH1058" s="5">
        <v>0</v>
      </c>
    </row>
    <row r="1059" spans="1:34" x14ac:dyDescent="0.25">
      <c r="A1059" t="s">
        <v>167</v>
      </c>
      <c r="B1059">
        <v>2025</v>
      </c>
      <c r="C1059">
        <v>11</v>
      </c>
      <c r="D1059" s="1">
        <v>45968</v>
      </c>
      <c r="E1059" s="1">
        <v>45968</v>
      </c>
      <c r="F1059" s="1">
        <v>45970</v>
      </c>
      <c r="G1059" s="1">
        <v>45969</v>
      </c>
      <c r="H1059" s="1">
        <v>45970</v>
      </c>
      <c r="I1059">
        <v>2370</v>
      </c>
      <c r="J1059" t="s">
        <v>54</v>
      </c>
      <c r="K1059" t="s">
        <v>31</v>
      </c>
      <c r="L1059">
        <v>961</v>
      </c>
      <c r="M1059">
        <v>0</v>
      </c>
      <c r="N1059" t="s">
        <v>168</v>
      </c>
      <c r="O1059">
        <v>1</v>
      </c>
      <c r="P1059">
        <v>964</v>
      </c>
      <c r="Q1059" t="b">
        <v>1</v>
      </c>
      <c r="R1059" t="b">
        <v>0</v>
      </c>
      <c r="S1059" t="b">
        <v>0</v>
      </c>
      <c r="T1059">
        <v>0</v>
      </c>
      <c r="U1059">
        <v>0</v>
      </c>
      <c r="V1059" t="s">
        <v>33</v>
      </c>
      <c r="W1059" t="s">
        <v>169</v>
      </c>
      <c r="X1059">
        <v>0</v>
      </c>
      <c r="Y1059">
        <v>464</v>
      </c>
      <c r="Z1059" t="s">
        <v>44</v>
      </c>
      <c r="AA1059">
        <v>464</v>
      </c>
      <c r="AB1059" t="s">
        <v>164</v>
      </c>
      <c r="AC1059" t="s">
        <v>165</v>
      </c>
      <c r="AD1059" t="str">
        <f t="shared" si="16"/>
        <v>San Luis Potosi → Aguascalientes</v>
      </c>
      <c r="AE1059" t="s">
        <v>1358</v>
      </c>
      <c r="AF1059" s="4">
        <v>45962</v>
      </c>
      <c r="AG1059" t="str">
        <f>YEAR(Table1[[#This Row],[Fecha]])&amp;" - " &amp;UPPER(TEXT(Table1[[#This Row],[Fecha]],"mm-mmm"))</f>
        <v>2025 - 11-NOV</v>
      </c>
      <c r="AH1059" s="5">
        <v>0</v>
      </c>
    </row>
    <row r="1060" spans="1:34" x14ac:dyDescent="0.25">
      <c r="A1060" t="s">
        <v>68</v>
      </c>
      <c r="B1060">
        <v>2025</v>
      </c>
      <c r="C1060">
        <v>11</v>
      </c>
      <c r="D1060" s="1">
        <v>45969</v>
      </c>
      <c r="E1060" s="1">
        <v>45969</v>
      </c>
      <c r="F1060" s="1">
        <v>45972</v>
      </c>
      <c r="G1060" s="1">
        <v>45971</v>
      </c>
      <c r="H1060" s="1">
        <v>45973</v>
      </c>
      <c r="I1060">
        <v>2244</v>
      </c>
      <c r="J1060" t="s">
        <v>41</v>
      </c>
      <c r="K1060" t="s">
        <v>42</v>
      </c>
      <c r="L1060">
        <v>2528</v>
      </c>
      <c r="M1060">
        <v>1264</v>
      </c>
      <c r="N1060" t="s">
        <v>43</v>
      </c>
      <c r="O1060">
        <v>1</v>
      </c>
      <c r="P1060">
        <v>1264</v>
      </c>
      <c r="Q1060" t="b">
        <v>1</v>
      </c>
      <c r="R1060" t="b">
        <v>0</v>
      </c>
      <c r="S1060" t="b">
        <v>0</v>
      </c>
      <c r="T1060">
        <v>1746</v>
      </c>
      <c r="U1060">
        <v>0</v>
      </c>
      <c r="V1060" t="s">
        <v>33</v>
      </c>
      <c r="W1060" t="s">
        <v>33</v>
      </c>
      <c r="X1060">
        <v>1300</v>
      </c>
      <c r="Y1060">
        <v>98</v>
      </c>
      <c r="Z1060" t="s">
        <v>44</v>
      </c>
      <c r="AA1060">
        <v>98</v>
      </c>
      <c r="AB1060" t="s">
        <v>56</v>
      </c>
      <c r="AC1060" t="s">
        <v>60</v>
      </c>
      <c r="AD1060" t="str">
        <f t="shared" si="16"/>
        <v>Cd Sahagún → Culiacan</v>
      </c>
      <c r="AE1060" t="s">
        <v>1359</v>
      </c>
      <c r="AF1060" s="4">
        <v>45962</v>
      </c>
      <c r="AG1060" t="str">
        <f>YEAR(Table1[[#This Row],[Fecha]])&amp;" - " &amp;UPPER(TEXT(Table1[[#This Row],[Fecha]],"mm-mmm"))</f>
        <v>2025 - 11-NOV</v>
      </c>
      <c r="AH1060" s="5">
        <v>0</v>
      </c>
    </row>
    <row r="1061" spans="1:34" x14ac:dyDescent="0.25">
      <c r="A1061" t="s">
        <v>1069</v>
      </c>
      <c r="B1061">
        <v>2025</v>
      </c>
      <c r="C1061">
        <v>12</v>
      </c>
      <c r="D1061" s="1">
        <v>45992</v>
      </c>
      <c r="E1061" s="1">
        <v>45992</v>
      </c>
      <c r="F1061" s="1">
        <v>45992</v>
      </c>
      <c r="G1061" s="1">
        <v>45992</v>
      </c>
      <c r="H1061" s="1">
        <v>45992</v>
      </c>
      <c r="I1061">
        <v>2050</v>
      </c>
      <c r="J1061" t="s">
        <v>30</v>
      </c>
      <c r="K1061" t="s">
        <v>31</v>
      </c>
      <c r="L1061">
        <v>50</v>
      </c>
      <c r="M1061">
        <v>50</v>
      </c>
      <c r="N1061" t="s">
        <v>55</v>
      </c>
      <c r="O1061">
        <v>1</v>
      </c>
      <c r="P1061">
        <v>150</v>
      </c>
      <c r="Q1061" t="b">
        <v>1</v>
      </c>
      <c r="R1061" t="b">
        <v>0</v>
      </c>
      <c r="S1061" t="b">
        <v>0</v>
      </c>
      <c r="T1061">
        <v>231</v>
      </c>
      <c r="U1061">
        <v>0</v>
      </c>
      <c r="V1061" t="s">
        <v>33</v>
      </c>
      <c r="W1061" t="s">
        <v>33</v>
      </c>
      <c r="X1061">
        <v>50</v>
      </c>
      <c r="Y1061">
        <v>359</v>
      </c>
      <c r="Z1061" t="s">
        <v>34</v>
      </c>
      <c r="AA1061">
        <v>359</v>
      </c>
      <c r="AB1061" t="s">
        <v>121</v>
      </c>
      <c r="AC1061" t="s">
        <v>121</v>
      </c>
      <c r="AD1061" t="str">
        <f t="shared" si="16"/>
        <v>Escobedo → Escobedo</v>
      </c>
      <c r="AE1061" t="s">
        <v>1357</v>
      </c>
      <c r="AF1061" s="4">
        <v>45992</v>
      </c>
      <c r="AG1061" t="str">
        <f>YEAR(Table1[[#This Row],[Fecha]])&amp;" - " &amp;UPPER(TEXT(Table1[[#This Row],[Fecha]],"mm-mmm"))</f>
        <v>2025 - 12-DIC</v>
      </c>
      <c r="AH1061" s="5">
        <v>0</v>
      </c>
    </row>
    <row r="1062" spans="1:34" x14ac:dyDescent="0.25">
      <c r="A1062" t="s">
        <v>1070</v>
      </c>
      <c r="B1062">
        <v>2025</v>
      </c>
      <c r="C1062">
        <v>12</v>
      </c>
      <c r="D1062" s="1">
        <v>45995</v>
      </c>
      <c r="E1062" s="1">
        <v>45995</v>
      </c>
      <c r="F1062" s="1">
        <v>45995</v>
      </c>
      <c r="G1062" s="1">
        <v>45995</v>
      </c>
      <c r="H1062" s="1">
        <v>45996</v>
      </c>
      <c r="I1062">
        <v>2039</v>
      </c>
      <c r="J1062" t="s">
        <v>30</v>
      </c>
      <c r="K1062" t="s">
        <v>31</v>
      </c>
      <c r="L1062">
        <v>50</v>
      </c>
      <c r="M1062">
        <v>50</v>
      </c>
      <c r="N1062" t="s">
        <v>32</v>
      </c>
      <c r="O1062">
        <v>1</v>
      </c>
      <c r="P1062">
        <v>150</v>
      </c>
      <c r="Q1062" t="b">
        <v>1</v>
      </c>
      <c r="R1062" t="b">
        <v>0</v>
      </c>
      <c r="S1062" t="b">
        <v>0</v>
      </c>
      <c r="T1062">
        <v>231</v>
      </c>
      <c r="U1062">
        <v>0</v>
      </c>
      <c r="V1062" t="s">
        <v>33</v>
      </c>
      <c r="W1062" t="s">
        <v>33</v>
      </c>
      <c r="X1062">
        <v>50</v>
      </c>
      <c r="Y1062">
        <v>359</v>
      </c>
      <c r="Z1062" t="s">
        <v>34</v>
      </c>
      <c r="AA1062">
        <v>359</v>
      </c>
      <c r="AB1062" t="s">
        <v>121</v>
      </c>
      <c r="AC1062" t="s">
        <v>121</v>
      </c>
      <c r="AD1062" t="str">
        <f t="shared" si="16"/>
        <v>Escobedo → Escobedo</v>
      </c>
      <c r="AE1062" t="s">
        <v>1357</v>
      </c>
      <c r="AF1062" s="4">
        <v>45992</v>
      </c>
      <c r="AG1062" t="str">
        <f>YEAR(Table1[[#This Row],[Fecha]])&amp;" - " &amp;UPPER(TEXT(Table1[[#This Row],[Fecha]],"mm-mmm"))</f>
        <v>2025 - 12-DIC</v>
      </c>
      <c r="AH1062" s="5">
        <v>0</v>
      </c>
    </row>
    <row r="1063" spans="1:34" x14ac:dyDescent="0.25">
      <c r="A1063" t="s">
        <v>1071</v>
      </c>
      <c r="B1063">
        <v>2025</v>
      </c>
      <c r="C1063">
        <v>12</v>
      </c>
      <c r="D1063" s="1">
        <v>45995</v>
      </c>
      <c r="E1063" s="1">
        <v>45995</v>
      </c>
      <c r="F1063" s="1">
        <v>45995</v>
      </c>
      <c r="G1063" s="1">
        <v>45995</v>
      </c>
      <c r="H1063" s="1">
        <v>45996</v>
      </c>
      <c r="I1063">
        <v>2039</v>
      </c>
      <c r="J1063" t="s">
        <v>30</v>
      </c>
      <c r="K1063" t="s">
        <v>31</v>
      </c>
      <c r="L1063">
        <v>50</v>
      </c>
      <c r="M1063">
        <v>50</v>
      </c>
      <c r="N1063" t="s">
        <v>32</v>
      </c>
      <c r="O1063">
        <v>1</v>
      </c>
      <c r="P1063">
        <v>150</v>
      </c>
      <c r="Q1063" t="b">
        <v>1</v>
      </c>
      <c r="R1063" t="b">
        <v>0</v>
      </c>
      <c r="S1063" t="b">
        <v>0</v>
      </c>
      <c r="T1063">
        <v>231</v>
      </c>
      <c r="U1063">
        <v>0</v>
      </c>
      <c r="V1063" t="s">
        <v>33</v>
      </c>
      <c r="W1063" t="s">
        <v>33</v>
      </c>
      <c r="X1063">
        <v>50</v>
      </c>
      <c r="Y1063">
        <v>359</v>
      </c>
      <c r="Z1063" t="s">
        <v>34</v>
      </c>
      <c r="AA1063">
        <v>359</v>
      </c>
      <c r="AB1063" t="s">
        <v>121</v>
      </c>
      <c r="AC1063" t="s">
        <v>121</v>
      </c>
      <c r="AD1063" t="str">
        <f t="shared" si="16"/>
        <v>Escobedo → Escobedo</v>
      </c>
      <c r="AE1063" t="s">
        <v>1357</v>
      </c>
      <c r="AF1063" s="4">
        <v>45992</v>
      </c>
      <c r="AG1063" t="str">
        <f>YEAR(Table1[[#This Row],[Fecha]])&amp;" - " &amp;UPPER(TEXT(Table1[[#This Row],[Fecha]],"mm-mmm"))</f>
        <v>2025 - 12-DIC</v>
      </c>
      <c r="AH1063" s="5">
        <v>0</v>
      </c>
    </row>
    <row r="1064" spans="1:34" x14ac:dyDescent="0.25">
      <c r="A1064" t="s">
        <v>1072</v>
      </c>
      <c r="B1064">
        <v>2025</v>
      </c>
      <c r="C1064">
        <v>12</v>
      </c>
      <c r="D1064" s="1">
        <v>45995</v>
      </c>
      <c r="E1064" s="1">
        <v>45995</v>
      </c>
      <c r="F1064" s="1">
        <v>45995</v>
      </c>
      <c r="G1064" s="1">
        <v>45995</v>
      </c>
      <c r="H1064" s="1">
        <v>45996</v>
      </c>
      <c r="I1064">
        <v>2039</v>
      </c>
      <c r="J1064" t="s">
        <v>30</v>
      </c>
      <c r="K1064" t="s">
        <v>31</v>
      </c>
      <c r="L1064">
        <v>50</v>
      </c>
      <c r="M1064">
        <v>50</v>
      </c>
      <c r="N1064" t="s">
        <v>32</v>
      </c>
      <c r="O1064">
        <v>1</v>
      </c>
      <c r="P1064">
        <v>150</v>
      </c>
      <c r="Q1064" t="b">
        <v>1</v>
      </c>
      <c r="R1064" t="b">
        <v>0</v>
      </c>
      <c r="S1064" t="b">
        <v>0</v>
      </c>
      <c r="T1064">
        <v>231</v>
      </c>
      <c r="U1064">
        <v>0</v>
      </c>
      <c r="V1064" t="s">
        <v>33</v>
      </c>
      <c r="W1064" t="s">
        <v>33</v>
      </c>
      <c r="X1064">
        <v>50</v>
      </c>
      <c r="Y1064">
        <v>359</v>
      </c>
      <c r="Z1064" t="s">
        <v>34</v>
      </c>
      <c r="AA1064">
        <v>359</v>
      </c>
      <c r="AB1064" t="s">
        <v>121</v>
      </c>
      <c r="AC1064" t="s">
        <v>121</v>
      </c>
      <c r="AD1064" t="str">
        <f t="shared" si="16"/>
        <v>Escobedo → Escobedo</v>
      </c>
      <c r="AE1064" t="s">
        <v>1357</v>
      </c>
      <c r="AF1064" s="4">
        <v>45992</v>
      </c>
      <c r="AG1064" t="str">
        <f>YEAR(Table1[[#This Row],[Fecha]])&amp;" - " &amp;UPPER(TEXT(Table1[[#This Row],[Fecha]],"mm-mmm"))</f>
        <v>2025 - 12-DIC</v>
      </c>
      <c r="AH1064" s="5">
        <v>0</v>
      </c>
    </row>
    <row r="1065" spans="1:34" x14ac:dyDescent="0.25">
      <c r="A1065" t="s">
        <v>1073</v>
      </c>
      <c r="B1065">
        <v>2025</v>
      </c>
      <c r="C1065">
        <v>12</v>
      </c>
      <c r="D1065" s="1">
        <v>45995</v>
      </c>
      <c r="E1065" s="1">
        <v>45995</v>
      </c>
      <c r="F1065" s="1">
        <v>45995</v>
      </c>
      <c r="G1065" s="1">
        <v>45995</v>
      </c>
      <c r="H1065" s="1">
        <v>45996</v>
      </c>
      <c r="I1065">
        <v>2039</v>
      </c>
      <c r="J1065" t="s">
        <v>30</v>
      </c>
      <c r="K1065" t="s">
        <v>31</v>
      </c>
      <c r="L1065">
        <v>50</v>
      </c>
      <c r="M1065">
        <v>50</v>
      </c>
      <c r="N1065" t="s">
        <v>32</v>
      </c>
      <c r="O1065">
        <v>1</v>
      </c>
      <c r="P1065">
        <v>150</v>
      </c>
      <c r="Q1065" t="b">
        <v>1</v>
      </c>
      <c r="R1065" t="b">
        <v>0</v>
      </c>
      <c r="S1065" t="b">
        <v>0</v>
      </c>
      <c r="T1065">
        <v>231</v>
      </c>
      <c r="U1065">
        <v>0</v>
      </c>
      <c r="V1065" t="s">
        <v>33</v>
      </c>
      <c r="W1065" t="s">
        <v>33</v>
      </c>
      <c r="X1065">
        <v>50</v>
      </c>
      <c r="Y1065">
        <v>359</v>
      </c>
      <c r="Z1065" t="s">
        <v>34</v>
      </c>
      <c r="AA1065">
        <v>359</v>
      </c>
      <c r="AB1065" t="s">
        <v>121</v>
      </c>
      <c r="AC1065" t="s">
        <v>121</v>
      </c>
      <c r="AD1065" t="str">
        <f t="shared" si="16"/>
        <v>Escobedo → Escobedo</v>
      </c>
      <c r="AE1065" t="s">
        <v>1357</v>
      </c>
      <c r="AF1065" s="4">
        <v>45992</v>
      </c>
      <c r="AG1065" t="str">
        <f>YEAR(Table1[[#This Row],[Fecha]])&amp;" - " &amp;UPPER(TEXT(Table1[[#This Row],[Fecha]],"mm-mmm"))</f>
        <v>2025 - 12-DIC</v>
      </c>
      <c r="AH1065" s="5">
        <v>0</v>
      </c>
    </row>
    <row r="1066" spans="1:34" x14ac:dyDescent="0.25">
      <c r="A1066" t="s">
        <v>300</v>
      </c>
      <c r="B1066">
        <v>2025</v>
      </c>
      <c r="C1066">
        <v>12</v>
      </c>
      <c r="D1066" s="1">
        <v>45996</v>
      </c>
      <c r="E1066" s="1">
        <v>45996</v>
      </c>
      <c r="F1066" s="1">
        <v>45998</v>
      </c>
      <c r="G1066" s="1">
        <v>45997</v>
      </c>
      <c r="I1066">
        <v>2374</v>
      </c>
      <c r="J1066" t="s">
        <v>30</v>
      </c>
      <c r="K1066" t="s">
        <v>31</v>
      </c>
      <c r="L1066">
        <v>0</v>
      </c>
      <c r="M1066">
        <v>0</v>
      </c>
      <c r="N1066" t="s">
        <v>301</v>
      </c>
      <c r="O1066">
        <v>1</v>
      </c>
      <c r="P1066">
        <v>0</v>
      </c>
      <c r="Q1066" t="b">
        <v>1</v>
      </c>
      <c r="R1066" t="b">
        <v>1</v>
      </c>
      <c r="S1066" t="b">
        <v>0</v>
      </c>
      <c r="T1066">
        <v>0</v>
      </c>
      <c r="U1066">
        <v>0</v>
      </c>
      <c r="V1066" t="s">
        <v>33</v>
      </c>
      <c r="W1066" t="s">
        <v>33</v>
      </c>
      <c r="X1066">
        <v>0</v>
      </c>
      <c r="Y1066">
        <v>8</v>
      </c>
      <c r="Z1066" t="s">
        <v>149</v>
      </c>
      <c r="AA1066">
        <v>8</v>
      </c>
      <c r="AB1066" t="s">
        <v>121</v>
      </c>
      <c r="AC1066" t="s">
        <v>56</v>
      </c>
      <c r="AD1066" t="str">
        <f t="shared" si="16"/>
        <v>Escobedo → Cd Sahagún</v>
      </c>
      <c r="AE1066" t="s">
        <v>1357</v>
      </c>
      <c r="AF1066" s="4">
        <v>45992</v>
      </c>
      <c r="AG1066" t="str">
        <f>YEAR(Table1[[#This Row],[Fecha]])&amp;" - " &amp;UPPER(TEXT(Table1[[#This Row],[Fecha]],"mm-mmm"))</f>
        <v>2025 - 12-DIC</v>
      </c>
      <c r="AH1066" s="5">
        <v>0</v>
      </c>
    </row>
    <row r="1067" spans="1:34" x14ac:dyDescent="0.25">
      <c r="A1067" t="s">
        <v>1074</v>
      </c>
      <c r="B1067">
        <v>2025</v>
      </c>
      <c r="C1067">
        <v>12</v>
      </c>
      <c r="D1067" s="1">
        <v>45996</v>
      </c>
      <c r="E1067" s="1">
        <v>45996</v>
      </c>
      <c r="F1067" s="1">
        <v>45996</v>
      </c>
      <c r="G1067" s="1">
        <v>45996</v>
      </c>
      <c r="H1067" s="1">
        <v>45996</v>
      </c>
      <c r="I1067">
        <v>2039</v>
      </c>
      <c r="J1067" t="s">
        <v>54</v>
      </c>
      <c r="K1067" t="s">
        <v>31</v>
      </c>
      <c r="L1067">
        <v>50</v>
      </c>
      <c r="M1067">
        <v>50</v>
      </c>
      <c r="N1067" t="s">
        <v>32</v>
      </c>
      <c r="O1067">
        <v>1</v>
      </c>
      <c r="P1067">
        <v>150</v>
      </c>
      <c r="Q1067" t="b">
        <v>1</v>
      </c>
      <c r="R1067" t="b">
        <v>0</v>
      </c>
      <c r="S1067" t="b">
        <v>0</v>
      </c>
      <c r="T1067">
        <v>231</v>
      </c>
      <c r="U1067">
        <v>0</v>
      </c>
      <c r="V1067" t="s">
        <v>33</v>
      </c>
      <c r="W1067" t="s">
        <v>33</v>
      </c>
      <c r="X1067">
        <v>50</v>
      </c>
      <c r="Y1067">
        <v>359</v>
      </c>
      <c r="Z1067" t="s">
        <v>34</v>
      </c>
      <c r="AA1067">
        <v>359</v>
      </c>
      <c r="AB1067" t="s">
        <v>121</v>
      </c>
      <c r="AC1067" t="s">
        <v>121</v>
      </c>
      <c r="AD1067" t="str">
        <f t="shared" si="16"/>
        <v>Escobedo → Escobedo</v>
      </c>
      <c r="AE1067" t="s">
        <v>1358</v>
      </c>
      <c r="AF1067" s="4">
        <v>45992</v>
      </c>
      <c r="AG1067" t="str">
        <f>YEAR(Table1[[#This Row],[Fecha]])&amp;" - " &amp;UPPER(TEXT(Table1[[#This Row],[Fecha]],"mm-mmm"))</f>
        <v>2025 - 12-DIC</v>
      </c>
      <c r="AH1067" s="5">
        <v>0</v>
      </c>
    </row>
    <row r="1068" spans="1:34" x14ac:dyDescent="0.25">
      <c r="A1068" t="s">
        <v>1075</v>
      </c>
      <c r="B1068">
        <v>2025</v>
      </c>
      <c r="C1068">
        <v>12</v>
      </c>
      <c r="D1068" s="1">
        <v>45996</v>
      </c>
      <c r="E1068" s="1">
        <v>45996</v>
      </c>
      <c r="F1068" s="1">
        <v>45996</v>
      </c>
      <c r="G1068" s="1">
        <v>45996</v>
      </c>
      <c r="H1068" s="1">
        <v>45996</v>
      </c>
      <c r="I1068">
        <v>2039</v>
      </c>
      <c r="J1068" t="s">
        <v>30</v>
      </c>
      <c r="K1068" t="s">
        <v>31</v>
      </c>
      <c r="L1068">
        <v>50</v>
      </c>
      <c r="M1068">
        <v>50</v>
      </c>
      <c r="N1068" t="s">
        <v>32</v>
      </c>
      <c r="O1068">
        <v>1</v>
      </c>
      <c r="P1068">
        <v>150</v>
      </c>
      <c r="Q1068" t="b">
        <v>1</v>
      </c>
      <c r="R1068" t="b">
        <v>0</v>
      </c>
      <c r="S1068" t="b">
        <v>0</v>
      </c>
      <c r="T1068">
        <v>231</v>
      </c>
      <c r="U1068">
        <v>0</v>
      </c>
      <c r="V1068" t="s">
        <v>33</v>
      </c>
      <c r="W1068" t="s">
        <v>33</v>
      </c>
      <c r="X1068">
        <v>50</v>
      </c>
      <c r="Y1068">
        <v>359</v>
      </c>
      <c r="Z1068" t="s">
        <v>34</v>
      </c>
      <c r="AA1068">
        <v>359</v>
      </c>
      <c r="AB1068" t="s">
        <v>121</v>
      </c>
      <c r="AC1068" t="s">
        <v>121</v>
      </c>
      <c r="AD1068" t="str">
        <f t="shared" si="16"/>
        <v>Escobedo → Escobedo</v>
      </c>
      <c r="AE1068" t="s">
        <v>1357</v>
      </c>
      <c r="AF1068" s="4">
        <v>45992</v>
      </c>
      <c r="AG1068" t="str">
        <f>YEAR(Table1[[#This Row],[Fecha]])&amp;" - " &amp;UPPER(TEXT(Table1[[#This Row],[Fecha]],"mm-mmm"))</f>
        <v>2025 - 12-DIC</v>
      </c>
      <c r="AH1068" s="5">
        <v>0</v>
      </c>
    </row>
    <row r="1069" spans="1:34" x14ac:dyDescent="0.25">
      <c r="A1069" t="s">
        <v>1076</v>
      </c>
      <c r="B1069">
        <v>2025</v>
      </c>
      <c r="C1069">
        <v>12</v>
      </c>
      <c r="D1069" s="1">
        <v>45996</v>
      </c>
      <c r="E1069" s="1">
        <v>45996</v>
      </c>
      <c r="F1069" s="1">
        <v>45996</v>
      </c>
      <c r="G1069" s="1">
        <v>45996</v>
      </c>
      <c r="H1069" s="1">
        <v>45996</v>
      </c>
      <c r="I1069">
        <v>2039</v>
      </c>
      <c r="J1069" t="s">
        <v>30</v>
      </c>
      <c r="K1069" t="s">
        <v>31</v>
      </c>
      <c r="L1069">
        <v>50</v>
      </c>
      <c r="M1069">
        <v>50</v>
      </c>
      <c r="N1069" t="s">
        <v>32</v>
      </c>
      <c r="O1069">
        <v>1</v>
      </c>
      <c r="P1069">
        <v>150</v>
      </c>
      <c r="Q1069" t="b">
        <v>1</v>
      </c>
      <c r="R1069" t="b">
        <v>0</v>
      </c>
      <c r="S1069" t="b">
        <v>0</v>
      </c>
      <c r="T1069">
        <v>231</v>
      </c>
      <c r="U1069">
        <v>0</v>
      </c>
      <c r="V1069" t="s">
        <v>33</v>
      </c>
      <c r="W1069" t="s">
        <v>33</v>
      </c>
      <c r="X1069">
        <v>50</v>
      </c>
      <c r="Y1069">
        <v>359</v>
      </c>
      <c r="Z1069" t="s">
        <v>34</v>
      </c>
      <c r="AA1069">
        <v>359</v>
      </c>
      <c r="AB1069" t="s">
        <v>121</v>
      </c>
      <c r="AC1069" t="s">
        <v>121</v>
      </c>
      <c r="AD1069" t="str">
        <f t="shared" si="16"/>
        <v>Escobedo → Escobedo</v>
      </c>
      <c r="AE1069" t="s">
        <v>1357</v>
      </c>
      <c r="AF1069" s="4">
        <v>45992</v>
      </c>
      <c r="AG1069" t="str">
        <f>YEAR(Table1[[#This Row],[Fecha]])&amp;" - " &amp;UPPER(TEXT(Table1[[#This Row],[Fecha]],"mm-mmm"))</f>
        <v>2025 - 12-DIC</v>
      </c>
      <c r="AH1069" s="5">
        <v>0</v>
      </c>
    </row>
    <row r="1070" spans="1:34" x14ac:dyDescent="0.25">
      <c r="A1070" t="s">
        <v>1077</v>
      </c>
      <c r="B1070">
        <v>2025</v>
      </c>
      <c r="C1070">
        <v>12</v>
      </c>
      <c r="D1070" s="1">
        <v>45996</v>
      </c>
      <c r="E1070" s="1">
        <v>45996</v>
      </c>
      <c r="F1070" s="1">
        <v>45996</v>
      </c>
      <c r="G1070" s="1">
        <v>45996</v>
      </c>
      <c r="H1070" s="1">
        <v>45996</v>
      </c>
      <c r="I1070">
        <v>2039</v>
      </c>
      <c r="J1070" t="s">
        <v>30</v>
      </c>
      <c r="K1070" t="s">
        <v>31</v>
      </c>
      <c r="L1070">
        <v>50</v>
      </c>
      <c r="M1070">
        <v>50</v>
      </c>
      <c r="N1070" t="s">
        <v>32</v>
      </c>
      <c r="O1070">
        <v>1</v>
      </c>
      <c r="P1070">
        <v>150</v>
      </c>
      <c r="Q1070" t="b">
        <v>1</v>
      </c>
      <c r="R1070" t="b">
        <v>0</v>
      </c>
      <c r="S1070" t="b">
        <v>0</v>
      </c>
      <c r="T1070">
        <v>231</v>
      </c>
      <c r="U1070">
        <v>0</v>
      </c>
      <c r="V1070" t="s">
        <v>33</v>
      </c>
      <c r="W1070" t="s">
        <v>33</v>
      </c>
      <c r="X1070">
        <v>50</v>
      </c>
      <c r="Y1070">
        <v>359</v>
      </c>
      <c r="Z1070" t="s">
        <v>34</v>
      </c>
      <c r="AA1070">
        <v>359</v>
      </c>
      <c r="AB1070" t="s">
        <v>121</v>
      </c>
      <c r="AC1070" t="s">
        <v>121</v>
      </c>
      <c r="AD1070" t="str">
        <f t="shared" si="16"/>
        <v>Escobedo → Escobedo</v>
      </c>
      <c r="AE1070" t="s">
        <v>1357</v>
      </c>
      <c r="AF1070" s="4">
        <v>45992</v>
      </c>
      <c r="AG1070" t="str">
        <f>YEAR(Table1[[#This Row],[Fecha]])&amp;" - " &amp;UPPER(TEXT(Table1[[#This Row],[Fecha]],"mm-mmm"))</f>
        <v>2025 - 12-DIC</v>
      </c>
      <c r="AH1070" s="5">
        <v>0</v>
      </c>
    </row>
    <row r="1071" spans="1:34" x14ac:dyDescent="0.25">
      <c r="A1071" t="s">
        <v>1078</v>
      </c>
      <c r="B1071">
        <v>2025</v>
      </c>
      <c r="C1071">
        <v>12</v>
      </c>
      <c r="D1071" s="1">
        <v>45996</v>
      </c>
      <c r="E1071" s="1">
        <v>45996</v>
      </c>
      <c r="F1071" s="1">
        <v>45996</v>
      </c>
      <c r="G1071" s="1">
        <v>45996</v>
      </c>
      <c r="H1071" s="1">
        <v>45996</v>
      </c>
      <c r="I1071">
        <v>2039</v>
      </c>
      <c r="J1071" t="s">
        <v>30</v>
      </c>
      <c r="K1071" t="s">
        <v>31</v>
      </c>
      <c r="L1071">
        <v>50</v>
      </c>
      <c r="M1071">
        <v>50</v>
      </c>
      <c r="N1071" t="s">
        <v>32</v>
      </c>
      <c r="O1071">
        <v>1</v>
      </c>
      <c r="P1071">
        <v>150</v>
      </c>
      <c r="Q1071" t="b">
        <v>1</v>
      </c>
      <c r="R1071" t="b">
        <v>0</v>
      </c>
      <c r="S1071" t="b">
        <v>0</v>
      </c>
      <c r="T1071">
        <v>231</v>
      </c>
      <c r="U1071">
        <v>0</v>
      </c>
      <c r="V1071" t="s">
        <v>33</v>
      </c>
      <c r="W1071" t="s">
        <v>33</v>
      </c>
      <c r="X1071">
        <v>50</v>
      </c>
      <c r="Y1071">
        <v>359</v>
      </c>
      <c r="Z1071" t="s">
        <v>34</v>
      </c>
      <c r="AA1071">
        <v>359</v>
      </c>
      <c r="AB1071" t="s">
        <v>121</v>
      </c>
      <c r="AC1071" t="s">
        <v>121</v>
      </c>
      <c r="AD1071" t="str">
        <f t="shared" si="16"/>
        <v>Escobedo → Escobedo</v>
      </c>
      <c r="AE1071" t="s">
        <v>1357</v>
      </c>
      <c r="AF1071" s="4">
        <v>45992</v>
      </c>
      <c r="AG1071" t="str">
        <f>YEAR(Table1[[#This Row],[Fecha]])&amp;" - " &amp;UPPER(TEXT(Table1[[#This Row],[Fecha]],"mm-mmm"))</f>
        <v>2025 - 12-DIC</v>
      </c>
      <c r="AH1071" s="5">
        <v>0</v>
      </c>
    </row>
    <row r="1072" spans="1:34" x14ac:dyDescent="0.25">
      <c r="A1072" t="s">
        <v>1079</v>
      </c>
      <c r="B1072">
        <v>2025</v>
      </c>
      <c r="C1072">
        <v>12</v>
      </c>
      <c r="D1072" s="1">
        <v>45997</v>
      </c>
      <c r="E1072" s="1">
        <v>45997</v>
      </c>
      <c r="F1072" s="1">
        <v>45997</v>
      </c>
      <c r="G1072" s="1">
        <v>45997</v>
      </c>
      <c r="H1072" s="1">
        <v>45997</v>
      </c>
      <c r="I1072">
        <v>2039</v>
      </c>
      <c r="J1072" t="s">
        <v>54</v>
      </c>
      <c r="K1072" t="s">
        <v>31</v>
      </c>
      <c r="L1072">
        <v>50</v>
      </c>
      <c r="M1072">
        <v>50</v>
      </c>
      <c r="N1072" t="s">
        <v>32</v>
      </c>
      <c r="O1072">
        <v>1</v>
      </c>
      <c r="P1072">
        <v>150</v>
      </c>
      <c r="Q1072" t="b">
        <v>1</v>
      </c>
      <c r="R1072" t="b">
        <v>0</v>
      </c>
      <c r="S1072" t="b">
        <v>0</v>
      </c>
      <c r="T1072">
        <v>231</v>
      </c>
      <c r="U1072">
        <v>0</v>
      </c>
      <c r="V1072" t="s">
        <v>33</v>
      </c>
      <c r="W1072" t="s">
        <v>33</v>
      </c>
      <c r="X1072">
        <v>50</v>
      </c>
      <c r="Y1072">
        <v>359</v>
      </c>
      <c r="Z1072" t="s">
        <v>34</v>
      </c>
      <c r="AA1072">
        <v>359</v>
      </c>
      <c r="AB1072" t="s">
        <v>121</v>
      </c>
      <c r="AC1072" t="s">
        <v>121</v>
      </c>
      <c r="AD1072" t="str">
        <f t="shared" si="16"/>
        <v>Escobedo → Escobedo</v>
      </c>
      <c r="AE1072" t="s">
        <v>1358</v>
      </c>
      <c r="AF1072" s="4">
        <v>45992</v>
      </c>
      <c r="AG1072" t="str">
        <f>YEAR(Table1[[#This Row],[Fecha]])&amp;" - " &amp;UPPER(TEXT(Table1[[#This Row],[Fecha]],"mm-mmm"))</f>
        <v>2025 - 12-DIC</v>
      </c>
      <c r="AH1072" s="5">
        <v>0</v>
      </c>
    </row>
    <row r="1073" spans="1:34" x14ac:dyDescent="0.25">
      <c r="A1073" t="s">
        <v>1080</v>
      </c>
      <c r="B1073">
        <v>2025</v>
      </c>
      <c r="C1073">
        <v>12</v>
      </c>
      <c r="D1073" s="1">
        <v>45997</v>
      </c>
      <c r="E1073" s="1">
        <v>45997</v>
      </c>
      <c r="F1073" s="1">
        <v>45997</v>
      </c>
      <c r="G1073" s="1">
        <v>45997</v>
      </c>
      <c r="H1073" s="1">
        <v>45997</v>
      </c>
      <c r="I1073">
        <v>2039</v>
      </c>
      <c r="J1073" t="s">
        <v>54</v>
      </c>
      <c r="K1073" t="s">
        <v>31</v>
      </c>
      <c r="L1073">
        <v>50</v>
      </c>
      <c r="M1073">
        <v>50</v>
      </c>
      <c r="N1073" t="s">
        <v>32</v>
      </c>
      <c r="O1073">
        <v>1</v>
      </c>
      <c r="P1073">
        <v>150</v>
      </c>
      <c r="Q1073" t="b">
        <v>1</v>
      </c>
      <c r="R1073" t="b">
        <v>0</v>
      </c>
      <c r="S1073" t="b">
        <v>0</v>
      </c>
      <c r="T1073">
        <v>231</v>
      </c>
      <c r="U1073">
        <v>0</v>
      </c>
      <c r="V1073" t="s">
        <v>33</v>
      </c>
      <c r="W1073" t="s">
        <v>33</v>
      </c>
      <c r="X1073">
        <v>50</v>
      </c>
      <c r="Y1073">
        <v>359</v>
      </c>
      <c r="Z1073" t="s">
        <v>34</v>
      </c>
      <c r="AA1073">
        <v>359</v>
      </c>
      <c r="AB1073" t="s">
        <v>121</v>
      </c>
      <c r="AC1073" t="s">
        <v>121</v>
      </c>
      <c r="AD1073" t="str">
        <f t="shared" si="16"/>
        <v>Escobedo → Escobedo</v>
      </c>
      <c r="AE1073" t="s">
        <v>1358</v>
      </c>
      <c r="AF1073" s="4">
        <v>45992</v>
      </c>
      <c r="AG1073" t="str">
        <f>YEAR(Table1[[#This Row],[Fecha]])&amp;" - " &amp;UPPER(TEXT(Table1[[#This Row],[Fecha]],"mm-mmm"))</f>
        <v>2025 - 12-DIC</v>
      </c>
      <c r="AH1073" s="5">
        <v>0</v>
      </c>
    </row>
    <row r="1074" spans="1:34" x14ac:dyDescent="0.25">
      <c r="A1074" t="s">
        <v>1081</v>
      </c>
      <c r="B1074">
        <v>2025</v>
      </c>
      <c r="C1074">
        <v>12</v>
      </c>
      <c r="D1074" s="1">
        <v>45997</v>
      </c>
      <c r="E1074" s="1">
        <v>45997</v>
      </c>
      <c r="F1074" s="1">
        <v>45997</v>
      </c>
      <c r="G1074" s="1">
        <v>45997</v>
      </c>
      <c r="H1074" s="1">
        <v>45997</v>
      </c>
      <c r="I1074">
        <v>2039</v>
      </c>
      <c r="J1074" t="s">
        <v>54</v>
      </c>
      <c r="K1074" t="s">
        <v>31</v>
      </c>
      <c r="L1074">
        <v>50</v>
      </c>
      <c r="M1074">
        <v>50</v>
      </c>
      <c r="N1074" t="s">
        <v>32</v>
      </c>
      <c r="O1074">
        <v>1</v>
      </c>
      <c r="P1074">
        <v>150</v>
      </c>
      <c r="Q1074" t="b">
        <v>1</v>
      </c>
      <c r="R1074" t="b">
        <v>0</v>
      </c>
      <c r="S1074" t="b">
        <v>0</v>
      </c>
      <c r="T1074">
        <v>231</v>
      </c>
      <c r="U1074">
        <v>0</v>
      </c>
      <c r="V1074" t="s">
        <v>33</v>
      </c>
      <c r="W1074" t="s">
        <v>33</v>
      </c>
      <c r="X1074">
        <v>50</v>
      </c>
      <c r="Y1074">
        <v>359</v>
      </c>
      <c r="Z1074" t="s">
        <v>34</v>
      </c>
      <c r="AA1074">
        <v>359</v>
      </c>
      <c r="AB1074" t="s">
        <v>121</v>
      </c>
      <c r="AC1074" t="s">
        <v>121</v>
      </c>
      <c r="AD1074" t="str">
        <f t="shared" si="16"/>
        <v>Escobedo → Escobedo</v>
      </c>
      <c r="AE1074" t="s">
        <v>1358</v>
      </c>
      <c r="AF1074" s="4">
        <v>45992</v>
      </c>
      <c r="AG1074" t="str">
        <f>YEAR(Table1[[#This Row],[Fecha]])&amp;" - " &amp;UPPER(TEXT(Table1[[#This Row],[Fecha]],"mm-mmm"))</f>
        <v>2025 - 12-DIC</v>
      </c>
      <c r="AH1074" s="5">
        <v>0</v>
      </c>
    </row>
    <row r="1075" spans="1:34" x14ac:dyDescent="0.25">
      <c r="A1075" t="s">
        <v>1082</v>
      </c>
      <c r="B1075">
        <v>2025</v>
      </c>
      <c r="C1075">
        <v>12</v>
      </c>
      <c r="D1075" s="1">
        <v>45997</v>
      </c>
      <c r="E1075" s="1">
        <v>45997</v>
      </c>
      <c r="F1075" s="1">
        <v>45997</v>
      </c>
      <c r="G1075" s="1">
        <v>45997</v>
      </c>
      <c r="H1075" s="1">
        <v>45997</v>
      </c>
      <c r="I1075">
        <v>2039</v>
      </c>
      <c r="J1075" t="s">
        <v>54</v>
      </c>
      <c r="K1075" t="s">
        <v>31</v>
      </c>
      <c r="L1075">
        <v>50</v>
      </c>
      <c r="M1075">
        <v>50</v>
      </c>
      <c r="N1075" t="s">
        <v>32</v>
      </c>
      <c r="O1075">
        <v>1</v>
      </c>
      <c r="P1075">
        <v>150</v>
      </c>
      <c r="Q1075" t="b">
        <v>1</v>
      </c>
      <c r="R1075" t="b">
        <v>0</v>
      </c>
      <c r="S1075" t="b">
        <v>0</v>
      </c>
      <c r="T1075">
        <v>231</v>
      </c>
      <c r="U1075">
        <v>0</v>
      </c>
      <c r="V1075" t="s">
        <v>33</v>
      </c>
      <c r="W1075" t="s">
        <v>33</v>
      </c>
      <c r="X1075">
        <v>50</v>
      </c>
      <c r="Y1075">
        <v>359</v>
      </c>
      <c r="Z1075" t="s">
        <v>34</v>
      </c>
      <c r="AA1075">
        <v>359</v>
      </c>
      <c r="AB1075" t="s">
        <v>121</v>
      </c>
      <c r="AC1075" t="s">
        <v>121</v>
      </c>
      <c r="AD1075" t="str">
        <f t="shared" si="16"/>
        <v>Escobedo → Escobedo</v>
      </c>
      <c r="AE1075" t="s">
        <v>1358</v>
      </c>
      <c r="AF1075" s="4">
        <v>45992</v>
      </c>
      <c r="AG1075" t="str">
        <f>YEAR(Table1[[#This Row],[Fecha]])&amp;" - " &amp;UPPER(TEXT(Table1[[#This Row],[Fecha]],"mm-mmm"))</f>
        <v>2025 - 12-DIC</v>
      </c>
      <c r="AH1075" s="5">
        <v>0</v>
      </c>
    </row>
    <row r="1076" spans="1:34" x14ac:dyDescent="0.25">
      <c r="A1076" t="s">
        <v>302</v>
      </c>
      <c r="B1076">
        <v>2025</v>
      </c>
      <c r="C1076">
        <v>12</v>
      </c>
      <c r="D1076" s="1">
        <v>45997</v>
      </c>
      <c r="E1076" s="1">
        <v>45997</v>
      </c>
      <c r="F1076" s="1">
        <v>45997</v>
      </c>
      <c r="G1076" s="1">
        <v>45997</v>
      </c>
      <c r="H1076" s="1">
        <v>45998</v>
      </c>
      <c r="I1076">
        <v>2410</v>
      </c>
      <c r="J1076" t="s">
        <v>30</v>
      </c>
      <c r="K1076" t="s">
        <v>31</v>
      </c>
      <c r="L1076">
        <v>961</v>
      </c>
      <c r="M1076">
        <v>1059</v>
      </c>
      <c r="N1076" t="s">
        <v>37</v>
      </c>
      <c r="O1076">
        <v>1</v>
      </c>
      <c r="P1076">
        <v>964</v>
      </c>
      <c r="Q1076" t="b">
        <v>1</v>
      </c>
      <c r="R1076" t="b">
        <v>0</v>
      </c>
      <c r="S1076" t="b">
        <v>0</v>
      </c>
      <c r="T1076">
        <v>1494</v>
      </c>
      <c r="U1076">
        <v>0</v>
      </c>
      <c r="V1076" t="s">
        <v>33</v>
      </c>
      <c r="W1076" t="s">
        <v>33</v>
      </c>
      <c r="X1076">
        <v>1100</v>
      </c>
      <c r="Y1076">
        <v>8</v>
      </c>
      <c r="Z1076" t="s">
        <v>123</v>
      </c>
      <c r="AA1076">
        <v>8</v>
      </c>
      <c r="AB1076" t="s">
        <v>121</v>
      </c>
      <c r="AC1076" t="s">
        <v>56</v>
      </c>
      <c r="AD1076" t="str">
        <f t="shared" si="16"/>
        <v>Escobedo → Cd Sahagún</v>
      </c>
      <c r="AE1076" t="s">
        <v>1357</v>
      </c>
      <c r="AF1076" s="4">
        <v>45992</v>
      </c>
      <c r="AG1076" t="str">
        <f>YEAR(Table1[[#This Row],[Fecha]])&amp;" - " &amp;UPPER(TEXT(Table1[[#This Row],[Fecha]],"mm-mmm"))</f>
        <v>2025 - 12-DIC</v>
      </c>
      <c r="AH1076" s="5">
        <v>0</v>
      </c>
    </row>
    <row r="1077" spans="1:34" x14ac:dyDescent="0.25">
      <c r="A1077" t="s">
        <v>1091</v>
      </c>
      <c r="B1077">
        <v>2025</v>
      </c>
      <c r="C1077">
        <v>12</v>
      </c>
      <c r="D1077" s="1">
        <v>45998</v>
      </c>
      <c r="E1077" s="1">
        <v>45998</v>
      </c>
      <c r="F1077" s="1">
        <v>45998</v>
      </c>
      <c r="G1077" s="1">
        <v>45998</v>
      </c>
      <c r="H1077" s="1">
        <v>45998</v>
      </c>
      <c r="I1077">
        <v>2039</v>
      </c>
      <c r="J1077" t="s">
        <v>54</v>
      </c>
      <c r="K1077" t="s">
        <v>31</v>
      </c>
      <c r="L1077">
        <v>50</v>
      </c>
      <c r="M1077">
        <v>50</v>
      </c>
      <c r="N1077" t="s">
        <v>32</v>
      </c>
      <c r="O1077">
        <v>1</v>
      </c>
      <c r="P1077">
        <v>150</v>
      </c>
      <c r="Q1077" t="b">
        <v>1</v>
      </c>
      <c r="R1077" t="b">
        <v>0</v>
      </c>
      <c r="S1077" t="b">
        <v>0</v>
      </c>
      <c r="T1077">
        <v>231</v>
      </c>
      <c r="U1077">
        <v>0</v>
      </c>
      <c r="V1077" t="s">
        <v>33</v>
      </c>
      <c r="W1077" t="s">
        <v>33</v>
      </c>
      <c r="X1077">
        <v>50</v>
      </c>
      <c r="Y1077">
        <v>359</v>
      </c>
      <c r="Z1077" t="s">
        <v>149</v>
      </c>
      <c r="AA1077">
        <v>359</v>
      </c>
      <c r="AB1077" t="s">
        <v>121</v>
      </c>
      <c r="AC1077" t="s">
        <v>121</v>
      </c>
      <c r="AD1077" t="str">
        <f t="shared" si="16"/>
        <v>Escobedo → Escobedo</v>
      </c>
      <c r="AE1077" t="s">
        <v>1358</v>
      </c>
      <c r="AF1077" s="4">
        <v>45992</v>
      </c>
      <c r="AG1077" t="str">
        <f>YEAR(Table1[[#This Row],[Fecha]])&amp;" - " &amp;UPPER(TEXT(Table1[[#This Row],[Fecha]],"mm-mmm"))</f>
        <v>2025 - 12-DIC</v>
      </c>
      <c r="AH1077" s="5">
        <v>0</v>
      </c>
    </row>
    <row r="1078" spans="1:34" x14ac:dyDescent="0.25">
      <c r="A1078" t="s">
        <v>1092</v>
      </c>
      <c r="B1078">
        <v>2025</v>
      </c>
      <c r="C1078">
        <v>12</v>
      </c>
      <c r="D1078" s="1">
        <v>45998</v>
      </c>
      <c r="E1078" s="1">
        <v>45998</v>
      </c>
      <c r="F1078" s="1">
        <v>45998</v>
      </c>
      <c r="G1078" s="1">
        <v>45998</v>
      </c>
      <c r="H1078" s="1">
        <v>45999</v>
      </c>
      <c r="I1078">
        <v>2039</v>
      </c>
      <c r="J1078" t="s">
        <v>54</v>
      </c>
      <c r="K1078" t="s">
        <v>31</v>
      </c>
      <c r="L1078">
        <v>50</v>
      </c>
      <c r="M1078">
        <v>50</v>
      </c>
      <c r="N1078" t="s">
        <v>32</v>
      </c>
      <c r="O1078">
        <v>1</v>
      </c>
      <c r="P1078">
        <v>150</v>
      </c>
      <c r="Q1078" t="b">
        <v>1</v>
      </c>
      <c r="R1078" t="b">
        <v>0</v>
      </c>
      <c r="S1078" t="b">
        <v>0</v>
      </c>
      <c r="T1078">
        <v>231</v>
      </c>
      <c r="U1078">
        <v>0</v>
      </c>
      <c r="V1078" t="s">
        <v>33</v>
      </c>
      <c r="W1078" t="s">
        <v>33</v>
      </c>
      <c r="X1078">
        <v>50</v>
      </c>
      <c r="Y1078">
        <v>359</v>
      </c>
      <c r="Z1078" t="s">
        <v>34</v>
      </c>
      <c r="AA1078">
        <v>359</v>
      </c>
      <c r="AB1078" t="s">
        <v>121</v>
      </c>
      <c r="AC1078" t="s">
        <v>121</v>
      </c>
      <c r="AD1078" t="str">
        <f t="shared" si="16"/>
        <v>Escobedo → Escobedo</v>
      </c>
      <c r="AE1078" t="s">
        <v>1358</v>
      </c>
      <c r="AF1078" s="4">
        <v>45992</v>
      </c>
      <c r="AG1078" t="str">
        <f>YEAR(Table1[[#This Row],[Fecha]])&amp;" - " &amp;UPPER(TEXT(Table1[[#This Row],[Fecha]],"mm-mmm"))</f>
        <v>2025 - 12-DIC</v>
      </c>
      <c r="AH1078" s="5">
        <v>0</v>
      </c>
    </row>
    <row r="1079" spans="1:34" x14ac:dyDescent="0.25">
      <c r="A1079" t="s">
        <v>1093</v>
      </c>
      <c r="B1079">
        <v>2025</v>
      </c>
      <c r="C1079">
        <v>12</v>
      </c>
      <c r="D1079" s="1">
        <v>45998</v>
      </c>
      <c r="E1079" s="1">
        <v>45998</v>
      </c>
      <c r="F1079" s="1">
        <v>45998</v>
      </c>
      <c r="G1079" s="1">
        <v>45998</v>
      </c>
      <c r="H1079" s="1">
        <v>45999</v>
      </c>
      <c r="I1079">
        <v>2039</v>
      </c>
      <c r="J1079" t="s">
        <v>54</v>
      </c>
      <c r="K1079" t="s">
        <v>31</v>
      </c>
      <c r="L1079">
        <v>50</v>
      </c>
      <c r="M1079">
        <v>50</v>
      </c>
      <c r="N1079" t="s">
        <v>32</v>
      </c>
      <c r="O1079">
        <v>1</v>
      </c>
      <c r="P1079">
        <v>150</v>
      </c>
      <c r="Q1079" t="b">
        <v>1</v>
      </c>
      <c r="R1079" t="b">
        <v>0</v>
      </c>
      <c r="S1079" t="b">
        <v>0</v>
      </c>
      <c r="T1079">
        <v>231</v>
      </c>
      <c r="U1079">
        <v>0</v>
      </c>
      <c r="V1079" t="s">
        <v>33</v>
      </c>
      <c r="W1079" t="s">
        <v>33</v>
      </c>
      <c r="X1079">
        <v>50</v>
      </c>
      <c r="Y1079">
        <v>359</v>
      </c>
      <c r="Z1079" t="s">
        <v>34</v>
      </c>
      <c r="AA1079">
        <v>359</v>
      </c>
      <c r="AB1079" t="s">
        <v>121</v>
      </c>
      <c r="AC1079" t="s">
        <v>121</v>
      </c>
      <c r="AD1079" t="str">
        <f t="shared" si="16"/>
        <v>Escobedo → Escobedo</v>
      </c>
      <c r="AE1079" t="s">
        <v>1358</v>
      </c>
      <c r="AF1079" s="4">
        <v>45992</v>
      </c>
      <c r="AG1079" t="str">
        <f>YEAR(Table1[[#This Row],[Fecha]])&amp;" - " &amp;UPPER(TEXT(Table1[[#This Row],[Fecha]],"mm-mmm"))</f>
        <v>2025 - 12-DIC</v>
      </c>
      <c r="AH1079" s="5">
        <v>0</v>
      </c>
    </row>
    <row r="1080" spans="1:34" x14ac:dyDescent="0.25">
      <c r="A1080" t="s">
        <v>1094</v>
      </c>
      <c r="B1080">
        <v>2025</v>
      </c>
      <c r="C1080">
        <v>12</v>
      </c>
      <c r="D1080" s="1">
        <v>45999</v>
      </c>
      <c r="E1080" s="1">
        <v>45999</v>
      </c>
      <c r="F1080" s="1">
        <v>45999</v>
      </c>
      <c r="G1080" s="1">
        <v>45999</v>
      </c>
      <c r="H1080" s="1">
        <v>46000</v>
      </c>
      <c r="I1080">
        <v>2039</v>
      </c>
      <c r="J1080" t="s">
        <v>54</v>
      </c>
      <c r="K1080" t="s">
        <v>31</v>
      </c>
      <c r="L1080">
        <v>50</v>
      </c>
      <c r="M1080">
        <v>50</v>
      </c>
      <c r="N1080" t="s">
        <v>32</v>
      </c>
      <c r="O1080">
        <v>1</v>
      </c>
      <c r="P1080">
        <v>150</v>
      </c>
      <c r="Q1080" t="b">
        <v>1</v>
      </c>
      <c r="R1080" t="b">
        <v>0</v>
      </c>
      <c r="S1080" t="b">
        <v>0</v>
      </c>
      <c r="T1080">
        <v>231</v>
      </c>
      <c r="U1080">
        <v>0</v>
      </c>
      <c r="V1080" t="s">
        <v>33</v>
      </c>
      <c r="W1080" t="s">
        <v>33</v>
      </c>
      <c r="X1080">
        <v>50</v>
      </c>
      <c r="Y1080">
        <v>359</v>
      </c>
      <c r="Z1080" t="s">
        <v>34</v>
      </c>
      <c r="AA1080">
        <v>359</v>
      </c>
      <c r="AB1080" t="s">
        <v>121</v>
      </c>
      <c r="AC1080" t="s">
        <v>121</v>
      </c>
      <c r="AD1080" t="str">
        <f t="shared" si="16"/>
        <v>Escobedo → Escobedo</v>
      </c>
      <c r="AE1080" t="s">
        <v>1358</v>
      </c>
      <c r="AF1080" s="4">
        <v>45992</v>
      </c>
      <c r="AG1080" t="str">
        <f>YEAR(Table1[[#This Row],[Fecha]])&amp;" - " &amp;UPPER(TEXT(Table1[[#This Row],[Fecha]],"mm-mmm"))</f>
        <v>2025 - 12-DIC</v>
      </c>
      <c r="AH1080" s="5">
        <v>0</v>
      </c>
    </row>
    <row r="1081" spans="1:34" x14ac:dyDescent="0.25">
      <c r="A1081" t="s">
        <v>1095</v>
      </c>
      <c r="B1081">
        <v>2025</v>
      </c>
      <c r="C1081">
        <v>12</v>
      </c>
      <c r="D1081" s="1">
        <v>45999</v>
      </c>
      <c r="E1081" s="1">
        <v>45999</v>
      </c>
      <c r="F1081" s="1">
        <v>45999</v>
      </c>
      <c r="G1081" s="1">
        <v>45999</v>
      </c>
      <c r="H1081" s="1">
        <v>46000</v>
      </c>
      <c r="I1081">
        <v>2039</v>
      </c>
      <c r="J1081" t="s">
        <v>54</v>
      </c>
      <c r="K1081" t="s">
        <v>31</v>
      </c>
      <c r="L1081">
        <v>50</v>
      </c>
      <c r="M1081">
        <v>50</v>
      </c>
      <c r="N1081" t="s">
        <v>32</v>
      </c>
      <c r="O1081">
        <v>1</v>
      </c>
      <c r="P1081">
        <v>150</v>
      </c>
      <c r="Q1081" t="b">
        <v>1</v>
      </c>
      <c r="R1081" t="b">
        <v>0</v>
      </c>
      <c r="S1081" t="b">
        <v>0</v>
      </c>
      <c r="T1081">
        <v>231</v>
      </c>
      <c r="U1081">
        <v>0</v>
      </c>
      <c r="V1081" t="s">
        <v>33</v>
      </c>
      <c r="W1081" t="s">
        <v>33</v>
      </c>
      <c r="X1081">
        <v>50</v>
      </c>
      <c r="Y1081">
        <v>359</v>
      </c>
      <c r="Z1081" t="s">
        <v>34</v>
      </c>
      <c r="AA1081">
        <v>359</v>
      </c>
      <c r="AB1081" t="s">
        <v>121</v>
      </c>
      <c r="AC1081" t="s">
        <v>121</v>
      </c>
      <c r="AD1081" t="str">
        <f t="shared" si="16"/>
        <v>Escobedo → Escobedo</v>
      </c>
      <c r="AE1081" t="s">
        <v>1358</v>
      </c>
      <c r="AF1081" s="4">
        <v>45992</v>
      </c>
      <c r="AG1081" t="str">
        <f>YEAR(Table1[[#This Row],[Fecha]])&amp;" - " &amp;UPPER(TEXT(Table1[[#This Row],[Fecha]],"mm-mmm"))</f>
        <v>2025 - 12-DIC</v>
      </c>
      <c r="AH1081" s="5">
        <v>0</v>
      </c>
    </row>
    <row r="1082" spans="1:34" x14ac:dyDescent="0.25">
      <c r="A1082" t="s">
        <v>1096</v>
      </c>
      <c r="B1082">
        <v>2025</v>
      </c>
      <c r="C1082">
        <v>12</v>
      </c>
      <c r="D1082" s="1">
        <v>45999</v>
      </c>
      <c r="E1082" s="1">
        <v>45999</v>
      </c>
      <c r="F1082" s="1">
        <v>45999</v>
      </c>
      <c r="G1082" s="1">
        <v>45999</v>
      </c>
      <c r="H1082" s="1">
        <v>46000</v>
      </c>
      <c r="I1082">
        <v>2039</v>
      </c>
      <c r="J1082" t="s">
        <v>54</v>
      </c>
      <c r="K1082" t="s">
        <v>31</v>
      </c>
      <c r="L1082">
        <v>50</v>
      </c>
      <c r="M1082">
        <v>50</v>
      </c>
      <c r="N1082" t="s">
        <v>32</v>
      </c>
      <c r="O1082">
        <v>1</v>
      </c>
      <c r="P1082">
        <v>150</v>
      </c>
      <c r="Q1082" t="b">
        <v>1</v>
      </c>
      <c r="R1082" t="b">
        <v>0</v>
      </c>
      <c r="S1082" t="b">
        <v>0</v>
      </c>
      <c r="T1082">
        <v>231</v>
      </c>
      <c r="U1082">
        <v>0</v>
      </c>
      <c r="V1082" t="s">
        <v>33</v>
      </c>
      <c r="W1082" t="s">
        <v>33</v>
      </c>
      <c r="X1082">
        <v>50</v>
      </c>
      <c r="Y1082">
        <v>359</v>
      </c>
      <c r="Z1082" t="s">
        <v>34</v>
      </c>
      <c r="AA1082">
        <v>359</v>
      </c>
      <c r="AB1082" t="s">
        <v>121</v>
      </c>
      <c r="AC1082" t="s">
        <v>121</v>
      </c>
      <c r="AD1082" t="str">
        <f t="shared" si="16"/>
        <v>Escobedo → Escobedo</v>
      </c>
      <c r="AE1082" t="s">
        <v>1358</v>
      </c>
      <c r="AF1082" s="4">
        <v>45992</v>
      </c>
      <c r="AG1082" t="str">
        <f>YEAR(Table1[[#This Row],[Fecha]])&amp;" - " &amp;UPPER(TEXT(Table1[[#This Row],[Fecha]],"mm-mmm"))</f>
        <v>2025 - 12-DIC</v>
      </c>
      <c r="AH1082" s="5">
        <v>0</v>
      </c>
    </row>
    <row r="1083" spans="1:34" x14ac:dyDescent="0.25">
      <c r="A1083" t="s">
        <v>1097</v>
      </c>
      <c r="B1083">
        <v>2025</v>
      </c>
      <c r="C1083">
        <v>12</v>
      </c>
      <c r="D1083" s="1">
        <v>46000</v>
      </c>
      <c r="E1083" s="1">
        <v>46000</v>
      </c>
      <c r="F1083" s="1">
        <v>46000</v>
      </c>
      <c r="G1083" s="1">
        <v>46000</v>
      </c>
      <c r="H1083" s="1">
        <v>46000</v>
      </c>
      <c r="I1083">
        <v>2039</v>
      </c>
      <c r="J1083" t="s">
        <v>54</v>
      </c>
      <c r="K1083" t="s">
        <v>31</v>
      </c>
      <c r="L1083">
        <v>50</v>
      </c>
      <c r="M1083">
        <v>50</v>
      </c>
      <c r="N1083" t="s">
        <v>32</v>
      </c>
      <c r="O1083">
        <v>1</v>
      </c>
      <c r="P1083">
        <v>150</v>
      </c>
      <c r="Q1083" t="b">
        <v>1</v>
      </c>
      <c r="R1083" t="b">
        <v>0</v>
      </c>
      <c r="S1083" t="b">
        <v>0</v>
      </c>
      <c r="T1083">
        <v>231</v>
      </c>
      <c r="U1083">
        <v>0</v>
      </c>
      <c r="V1083" t="s">
        <v>33</v>
      </c>
      <c r="W1083" t="s">
        <v>33</v>
      </c>
      <c r="X1083">
        <v>50</v>
      </c>
      <c r="Y1083">
        <v>359</v>
      </c>
      <c r="Z1083" t="s">
        <v>34</v>
      </c>
      <c r="AA1083">
        <v>359</v>
      </c>
      <c r="AB1083" t="s">
        <v>121</v>
      </c>
      <c r="AC1083" t="s">
        <v>121</v>
      </c>
      <c r="AD1083" t="str">
        <f t="shared" si="16"/>
        <v>Escobedo → Escobedo</v>
      </c>
      <c r="AE1083" t="s">
        <v>1358</v>
      </c>
      <c r="AF1083" s="4">
        <v>45992</v>
      </c>
      <c r="AG1083" t="str">
        <f>YEAR(Table1[[#This Row],[Fecha]])&amp;" - " &amp;UPPER(TEXT(Table1[[#This Row],[Fecha]],"mm-mmm"))</f>
        <v>2025 - 12-DIC</v>
      </c>
      <c r="AH1083" s="5">
        <v>0</v>
      </c>
    </row>
    <row r="1084" spans="1:34" x14ac:dyDescent="0.25">
      <c r="A1084" t="s">
        <v>398</v>
      </c>
      <c r="B1084">
        <v>2025</v>
      </c>
      <c r="C1084">
        <v>12</v>
      </c>
      <c r="D1084" s="1">
        <v>46000</v>
      </c>
      <c r="E1084" s="1">
        <v>46000</v>
      </c>
      <c r="F1084" s="1">
        <v>46000</v>
      </c>
      <c r="G1084" s="1">
        <v>46000</v>
      </c>
      <c r="H1084" s="1">
        <v>46000</v>
      </c>
      <c r="I1084">
        <v>2039</v>
      </c>
      <c r="J1084" t="s">
        <v>54</v>
      </c>
      <c r="K1084" t="s">
        <v>31</v>
      </c>
      <c r="L1084">
        <v>50</v>
      </c>
      <c r="M1084">
        <v>50</v>
      </c>
      <c r="N1084" t="s">
        <v>32</v>
      </c>
      <c r="O1084">
        <v>1</v>
      </c>
      <c r="P1084">
        <v>150</v>
      </c>
      <c r="Q1084" t="b">
        <v>1</v>
      </c>
      <c r="R1084" t="b">
        <v>0</v>
      </c>
      <c r="S1084" t="b">
        <v>0</v>
      </c>
      <c r="T1084">
        <v>231</v>
      </c>
      <c r="U1084">
        <v>0</v>
      </c>
      <c r="V1084" t="s">
        <v>33</v>
      </c>
      <c r="W1084" t="s">
        <v>33</v>
      </c>
      <c r="X1084">
        <v>50</v>
      </c>
      <c r="Y1084">
        <v>461</v>
      </c>
      <c r="Z1084" t="s">
        <v>34</v>
      </c>
      <c r="AA1084">
        <v>461</v>
      </c>
      <c r="AB1084" t="s">
        <v>121</v>
      </c>
      <c r="AC1084" t="s">
        <v>35</v>
      </c>
      <c r="AD1084" t="str">
        <f t="shared" si="16"/>
        <v>Escobedo → Monterrey</v>
      </c>
      <c r="AE1084" t="s">
        <v>1358</v>
      </c>
      <c r="AF1084" s="4">
        <v>45992</v>
      </c>
      <c r="AG1084" t="str">
        <f>YEAR(Table1[[#This Row],[Fecha]])&amp;" - " &amp;UPPER(TEXT(Table1[[#This Row],[Fecha]],"mm-mmm"))</f>
        <v>2025 - 12-DIC</v>
      </c>
      <c r="AH1084" s="5">
        <v>0</v>
      </c>
    </row>
    <row r="1085" spans="1:34" x14ac:dyDescent="0.25">
      <c r="A1085" t="s">
        <v>399</v>
      </c>
      <c r="B1085">
        <v>2025</v>
      </c>
      <c r="C1085">
        <v>12</v>
      </c>
      <c r="D1085" s="1">
        <v>46000</v>
      </c>
      <c r="E1085" s="1">
        <v>46000</v>
      </c>
      <c r="F1085" s="1">
        <v>46000</v>
      </c>
      <c r="G1085" s="1">
        <v>46000</v>
      </c>
      <c r="H1085" s="1">
        <v>46000</v>
      </c>
      <c r="I1085">
        <v>2039</v>
      </c>
      <c r="J1085" t="s">
        <v>54</v>
      </c>
      <c r="K1085" t="s">
        <v>31</v>
      </c>
      <c r="L1085">
        <v>50</v>
      </c>
      <c r="M1085">
        <v>50</v>
      </c>
      <c r="N1085" t="s">
        <v>32</v>
      </c>
      <c r="O1085">
        <v>1</v>
      </c>
      <c r="P1085">
        <v>150</v>
      </c>
      <c r="Q1085" t="b">
        <v>1</v>
      </c>
      <c r="R1085" t="b">
        <v>0</v>
      </c>
      <c r="S1085" t="b">
        <v>0</v>
      </c>
      <c r="T1085">
        <v>231</v>
      </c>
      <c r="U1085">
        <v>0</v>
      </c>
      <c r="V1085" t="s">
        <v>33</v>
      </c>
      <c r="W1085" t="s">
        <v>33</v>
      </c>
      <c r="X1085">
        <v>50</v>
      </c>
      <c r="Y1085">
        <v>461</v>
      </c>
      <c r="Z1085" t="s">
        <v>34</v>
      </c>
      <c r="AA1085">
        <v>461</v>
      </c>
      <c r="AB1085" t="s">
        <v>121</v>
      </c>
      <c r="AC1085" t="s">
        <v>35</v>
      </c>
      <c r="AD1085" t="str">
        <f t="shared" si="16"/>
        <v>Escobedo → Monterrey</v>
      </c>
      <c r="AE1085" t="s">
        <v>1358</v>
      </c>
      <c r="AF1085" s="4">
        <v>45992</v>
      </c>
      <c r="AG1085" t="str">
        <f>YEAR(Table1[[#This Row],[Fecha]])&amp;" - " &amp;UPPER(TEXT(Table1[[#This Row],[Fecha]],"mm-mmm"))</f>
        <v>2025 - 12-DIC</v>
      </c>
      <c r="AH1085" s="5">
        <v>0</v>
      </c>
    </row>
    <row r="1086" spans="1:34" x14ac:dyDescent="0.25">
      <c r="A1086" t="s">
        <v>1098</v>
      </c>
      <c r="B1086">
        <v>2025</v>
      </c>
      <c r="C1086">
        <v>12</v>
      </c>
      <c r="D1086" s="1">
        <v>46001</v>
      </c>
      <c r="E1086" s="1">
        <v>46001</v>
      </c>
      <c r="F1086" s="1">
        <v>46001</v>
      </c>
      <c r="G1086" s="1">
        <v>46001</v>
      </c>
      <c r="H1086" s="1">
        <v>46001</v>
      </c>
      <c r="I1086">
        <v>2039</v>
      </c>
      <c r="J1086" t="s">
        <v>54</v>
      </c>
      <c r="K1086" t="s">
        <v>31</v>
      </c>
      <c r="L1086">
        <v>50</v>
      </c>
      <c r="M1086">
        <v>50</v>
      </c>
      <c r="N1086" t="s">
        <v>32</v>
      </c>
      <c r="O1086">
        <v>1</v>
      </c>
      <c r="P1086">
        <v>150</v>
      </c>
      <c r="Q1086" t="b">
        <v>1</v>
      </c>
      <c r="R1086" t="b">
        <v>0</v>
      </c>
      <c r="S1086" t="b">
        <v>0</v>
      </c>
      <c r="T1086">
        <v>231</v>
      </c>
      <c r="U1086">
        <v>0</v>
      </c>
      <c r="V1086" t="s">
        <v>33</v>
      </c>
      <c r="W1086" t="s">
        <v>33</v>
      </c>
      <c r="X1086">
        <v>50</v>
      </c>
      <c r="Y1086">
        <v>359</v>
      </c>
      <c r="Z1086" t="s">
        <v>149</v>
      </c>
      <c r="AA1086">
        <v>359</v>
      </c>
      <c r="AB1086" t="s">
        <v>121</v>
      </c>
      <c r="AC1086" t="s">
        <v>121</v>
      </c>
      <c r="AD1086" t="str">
        <f t="shared" si="16"/>
        <v>Escobedo → Escobedo</v>
      </c>
      <c r="AE1086" t="s">
        <v>1358</v>
      </c>
      <c r="AF1086" s="4">
        <v>45992</v>
      </c>
      <c r="AG1086" t="str">
        <f>YEAR(Table1[[#This Row],[Fecha]])&amp;" - " &amp;UPPER(TEXT(Table1[[#This Row],[Fecha]],"mm-mmm"))</f>
        <v>2025 - 12-DIC</v>
      </c>
      <c r="AH1086" s="5">
        <v>0</v>
      </c>
    </row>
    <row r="1087" spans="1:34" x14ac:dyDescent="0.25">
      <c r="A1087" t="s">
        <v>1099</v>
      </c>
      <c r="B1087">
        <v>2025</v>
      </c>
      <c r="C1087">
        <v>12</v>
      </c>
      <c r="D1087" s="1">
        <v>46001</v>
      </c>
      <c r="E1087" s="1">
        <v>46001</v>
      </c>
      <c r="F1087" s="1">
        <v>46001</v>
      </c>
      <c r="G1087" s="1">
        <v>46001</v>
      </c>
      <c r="H1087" s="1">
        <v>46002</v>
      </c>
      <c r="I1087">
        <v>2039</v>
      </c>
      <c r="J1087" t="s">
        <v>54</v>
      </c>
      <c r="K1087" t="s">
        <v>31</v>
      </c>
      <c r="L1087">
        <v>50</v>
      </c>
      <c r="M1087">
        <v>50</v>
      </c>
      <c r="N1087" t="s">
        <v>32</v>
      </c>
      <c r="O1087">
        <v>1</v>
      </c>
      <c r="P1087">
        <v>150</v>
      </c>
      <c r="Q1087" t="b">
        <v>1</v>
      </c>
      <c r="R1087" t="b">
        <v>0</v>
      </c>
      <c r="S1087" t="b">
        <v>0</v>
      </c>
      <c r="T1087">
        <v>231</v>
      </c>
      <c r="U1087">
        <v>0</v>
      </c>
      <c r="V1087" t="s">
        <v>33</v>
      </c>
      <c r="W1087" t="s">
        <v>33</v>
      </c>
      <c r="X1087">
        <v>50</v>
      </c>
      <c r="Y1087">
        <v>359</v>
      </c>
      <c r="Z1087" t="s">
        <v>34</v>
      </c>
      <c r="AA1087">
        <v>359</v>
      </c>
      <c r="AB1087" t="s">
        <v>121</v>
      </c>
      <c r="AC1087" t="s">
        <v>121</v>
      </c>
      <c r="AD1087" t="str">
        <f t="shared" si="16"/>
        <v>Escobedo → Escobedo</v>
      </c>
      <c r="AE1087" t="s">
        <v>1358</v>
      </c>
      <c r="AF1087" s="4">
        <v>45992</v>
      </c>
      <c r="AG1087" t="str">
        <f>YEAR(Table1[[#This Row],[Fecha]])&amp;" - " &amp;UPPER(TEXT(Table1[[#This Row],[Fecha]],"mm-mmm"))</f>
        <v>2025 - 12-DIC</v>
      </c>
      <c r="AH1087" s="5">
        <v>0</v>
      </c>
    </row>
    <row r="1088" spans="1:34" x14ac:dyDescent="0.25">
      <c r="A1088" t="s">
        <v>1100</v>
      </c>
      <c r="B1088">
        <v>2025</v>
      </c>
      <c r="C1088">
        <v>12</v>
      </c>
      <c r="D1088" s="1">
        <v>46002</v>
      </c>
      <c r="E1088" s="1">
        <v>46002</v>
      </c>
      <c r="F1088" s="1">
        <v>46002</v>
      </c>
      <c r="G1088" s="1">
        <v>46002</v>
      </c>
      <c r="H1088" s="1">
        <v>46002</v>
      </c>
      <c r="I1088">
        <v>2039</v>
      </c>
      <c r="J1088" t="s">
        <v>54</v>
      </c>
      <c r="K1088" t="s">
        <v>31</v>
      </c>
      <c r="L1088">
        <v>50</v>
      </c>
      <c r="M1088">
        <v>50</v>
      </c>
      <c r="N1088" t="s">
        <v>32</v>
      </c>
      <c r="O1088">
        <v>1</v>
      </c>
      <c r="P1088">
        <v>150</v>
      </c>
      <c r="Q1088" t="b">
        <v>1</v>
      </c>
      <c r="R1088" t="b">
        <v>0</v>
      </c>
      <c r="S1088" t="b">
        <v>0</v>
      </c>
      <c r="T1088">
        <v>231</v>
      </c>
      <c r="U1088">
        <v>0</v>
      </c>
      <c r="V1088" t="s">
        <v>33</v>
      </c>
      <c r="W1088" t="s">
        <v>33</v>
      </c>
      <c r="X1088">
        <v>50</v>
      </c>
      <c r="Y1088">
        <v>359</v>
      </c>
      <c r="Z1088" t="s">
        <v>34</v>
      </c>
      <c r="AA1088">
        <v>359</v>
      </c>
      <c r="AB1088" t="s">
        <v>121</v>
      </c>
      <c r="AC1088" t="s">
        <v>121</v>
      </c>
      <c r="AD1088" t="str">
        <f t="shared" si="16"/>
        <v>Escobedo → Escobedo</v>
      </c>
      <c r="AE1088" t="s">
        <v>1358</v>
      </c>
      <c r="AF1088" s="4">
        <v>45992</v>
      </c>
      <c r="AG1088" t="str">
        <f>YEAR(Table1[[#This Row],[Fecha]])&amp;" - " &amp;UPPER(TEXT(Table1[[#This Row],[Fecha]],"mm-mmm"))</f>
        <v>2025 - 12-DIC</v>
      </c>
      <c r="AH1088" s="5">
        <v>0</v>
      </c>
    </row>
    <row r="1089" spans="1:34" x14ac:dyDescent="0.25">
      <c r="A1089" t="s">
        <v>1101</v>
      </c>
      <c r="B1089">
        <v>2025</v>
      </c>
      <c r="C1089">
        <v>12</v>
      </c>
      <c r="D1089" s="1">
        <v>46002</v>
      </c>
      <c r="E1089" s="1">
        <v>46002</v>
      </c>
      <c r="F1089" s="1">
        <v>46002</v>
      </c>
      <c r="G1089" s="1">
        <v>46002</v>
      </c>
      <c r="H1089" s="1">
        <v>46002</v>
      </c>
      <c r="I1089">
        <v>2039</v>
      </c>
      <c r="J1089" t="s">
        <v>54</v>
      </c>
      <c r="K1089" t="s">
        <v>31</v>
      </c>
      <c r="L1089">
        <v>50</v>
      </c>
      <c r="M1089">
        <v>50</v>
      </c>
      <c r="N1089" t="s">
        <v>32</v>
      </c>
      <c r="O1089">
        <v>1</v>
      </c>
      <c r="P1089">
        <v>150</v>
      </c>
      <c r="Q1089" t="b">
        <v>1</v>
      </c>
      <c r="R1089" t="b">
        <v>0</v>
      </c>
      <c r="S1089" t="b">
        <v>0</v>
      </c>
      <c r="T1089">
        <v>231</v>
      </c>
      <c r="U1089">
        <v>0</v>
      </c>
      <c r="V1089" t="s">
        <v>33</v>
      </c>
      <c r="W1089" t="s">
        <v>33</v>
      </c>
      <c r="X1089">
        <v>50</v>
      </c>
      <c r="Y1089">
        <v>359</v>
      </c>
      <c r="Z1089" t="s">
        <v>34</v>
      </c>
      <c r="AA1089">
        <v>359</v>
      </c>
      <c r="AB1089" t="s">
        <v>121</v>
      </c>
      <c r="AC1089" t="s">
        <v>121</v>
      </c>
      <c r="AD1089" t="str">
        <f t="shared" si="16"/>
        <v>Escobedo → Escobedo</v>
      </c>
      <c r="AE1089" t="s">
        <v>1358</v>
      </c>
      <c r="AF1089" s="4">
        <v>45992</v>
      </c>
      <c r="AG1089" t="str">
        <f>YEAR(Table1[[#This Row],[Fecha]])&amp;" - " &amp;UPPER(TEXT(Table1[[#This Row],[Fecha]],"mm-mmm"))</f>
        <v>2025 - 12-DIC</v>
      </c>
      <c r="AH1089" s="5">
        <v>0</v>
      </c>
    </row>
    <row r="1090" spans="1:34" x14ac:dyDescent="0.25">
      <c r="A1090" t="s">
        <v>1102</v>
      </c>
      <c r="B1090">
        <v>2025</v>
      </c>
      <c r="C1090">
        <v>12</v>
      </c>
      <c r="D1090" s="1">
        <v>46002</v>
      </c>
      <c r="E1090" s="1">
        <v>46002</v>
      </c>
      <c r="F1090" s="1">
        <v>46002</v>
      </c>
      <c r="G1090" s="1">
        <v>46002</v>
      </c>
      <c r="H1090" s="1">
        <v>46002</v>
      </c>
      <c r="I1090">
        <v>2039</v>
      </c>
      <c r="J1090" t="s">
        <v>54</v>
      </c>
      <c r="K1090" t="s">
        <v>31</v>
      </c>
      <c r="L1090">
        <v>50</v>
      </c>
      <c r="M1090">
        <v>50</v>
      </c>
      <c r="N1090" t="s">
        <v>32</v>
      </c>
      <c r="O1090">
        <v>1</v>
      </c>
      <c r="P1090">
        <v>150</v>
      </c>
      <c r="Q1090" t="b">
        <v>1</v>
      </c>
      <c r="R1090" t="b">
        <v>0</v>
      </c>
      <c r="S1090" t="b">
        <v>0</v>
      </c>
      <c r="T1090">
        <v>231</v>
      </c>
      <c r="U1090">
        <v>0</v>
      </c>
      <c r="V1090" t="s">
        <v>33</v>
      </c>
      <c r="W1090" t="s">
        <v>33</v>
      </c>
      <c r="X1090">
        <v>50</v>
      </c>
      <c r="Y1090">
        <v>359</v>
      </c>
      <c r="Z1090" t="s">
        <v>34</v>
      </c>
      <c r="AA1090">
        <v>359</v>
      </c>
      <c r="AB1090" t="s">
        <v>121</v>
      </c>
      <c r="AC1090" t="s">
        <v>121</v>
      </c>
      <c r="AD1090" t="str">
        <f t="shared" ref="AD1090:AD1153" si="17">+AB1090&amp;" → "&amp;AC1090</f>
        <v>Escobedo → Escobedo</v>
      </c>
      <c r="AE1090" t="s">
        <v>1358</v>
      </c>
      <c r="AF1090" s="4">
        <v>45992</v>
      </c>
      <c r="AG1090" t="str">
        <f>YEAR(Table1[[#This Row],[Fecha]])&amp;" - " &amp;UPPER(TEXT(Table1[[#This Row],[Fecha]],"mm-mmm"))</f>
        <v>2025 - 12-DIC</v>
      </c>
      <c r="AH1090" s="5">
        <v>0</v>
      </c>
    </row>
    <row r="1091" spans="1:34" x14ac:dyDescent="0.25">
      <c r="A1091" t="s">
        <v>1103</v>
      </c>
      <c r="B1091">
        <v>2025</v>
      </c>
      <c r="C1091">
        <v>12</v>
      </c>
      <c r="D1091" s="1">
        <v>46002</v>
      </c>
      <c r="E1091" s="1">
        <v>46002</v>
      </c>
      <c r="F1091" s="1">
        <v>46002</v>
      </c>
      <c r="G1091" s="1">
        <v>46002</v>
      </c>
      <c r="H1091" s="1">
        <v>46002</v>
      </c>
      <c r="I1091">
        <v>2039</v>
      </c>
      <c r="J1091" t="s">
        <v>54</v>
      </c>
      <c r="K1091" t="s">
        <v>31</v>
      </c>
      <c r="L1091">
        <v>50</v>
      </c>
      <c r="M1091">
        <v>50</v>
      </c>
      <c r="N1091" t="s">
        <v>32</v>
      </c>
      <c r="O1091">
        <v>1</v>
      </c>
      <c r="P1091">
        <v>150</v>
      </c>
      <c r="Q1091" t="b">
        <v>1</v>
      </c>
      <c r="R1091" t="b">
        <v>0</v>
      </c>
      <c r="S1091" t="b">
        <v>0</v>
      </c>
      <c r="T1091">
        <v>231</v>
      </c>
      <c r="U1091">
        <v>0</v>
      </c>
      <c r="V1091" t="s">
        <v>33</v>
      </c>
      <c r="W1091" t="s">
        <v>33</v>
      </c>
      <c r="X1091">
        <v>50</v>
      </c>
      <c r="Y1091">
        <v>359</v>
      </c>
      <c r="Z1091" t="s">
        <v>34</v>
      </c>
      <c r="AA1091">
        <v>359</v>
      </c>
      <c r="AB1091" t="s">
        <v>121</v>
      </c>
      <c r="AC1091" t="s">
        <v>121</v>
      </c>
      <c r="AD1091" t="str">
        <f t="shared" si="17"/>
        <v>Escobedo → Escobedo</v>
      </c>
      <c r="AE1091" t="s">
        <v>1358</v>
      </c>
      <c r="AF1091" s="4">
        <v>45992</v>
      </c>
      <c r="AG1091" t="str">
        <f>YEAR(Table1[[#This Row],[Fecha]])&amp;" - " &amp;UPPER(TEXT(Table1[[#This Row],[Fecha]],"mm-mmm"))</f>
        <v>2025 - 12-DIC</v>
      </c>
      <c r="AH1091" s="5">
        <v>0</v>
      </c>
    </row>
    <row r="1092" spans="1:34" x14ac:dyDescent="0.25">
      <c r="A1092" t="s">
        <v>1104</v>
      </c>
      <c r="B1092">
        <v>2025</v>
      </c>
      <c r="C1092">
        <v>12</v>
      </c>
      <c r="D1092" s="1">
        <v>46002</v>
      </c>
      <c r="E1092" s="1">
        <v>46002</v>
      </c>
      <c r="F1092" s="1">
        <v>46002</v>
      </c>
      <c r="G1092" s="1">
        <v>46002</v>
      </c>
      <c r="H1092" s="1">
        <v>46002</v>
      </c>
      <c r="I1092">
        <v>2039</v>
      </c>
      <c r="J1092" t="s">
        <v>54</v>
      </c>
      <c r="K1092" t="s">
        <v>31</v>
      </c>
      <c r="L1092">
        <v>50</v>
      </c>
      <c r="M1092">
        <v>50</v>
      </c>
      <c r="N1092" t="s">
        <v>32</v>
      </c>
      <c r="O1092">
        <v>1</v>
      </c>
      <c r="P1092">
        <v>150</v>
      </c>
      <c r="Q1092" t="b">
        <v>1</v>
      </c>
      <c r="R1092" t="b">
        <v>0</v>
      </c>
      <c r="S1092" t="b">
        <v>0</v>
      </c>
      <c r="T1092">
        <v>231</v>
      </c>
      <c r="U1092">
        <v>0</v>
      </c>
      <c r="V1092" t="s">
        <v>33</v>
      </c>
      <c r="W1092" t="s">
        <v>33</v>
      </c>
      <c r="X1092">
        <v>50</v>
      </c>
      <c r="Y1092">
        <v>359</v>
      </c>
      <c r="Z1092" t="s">
        <v>34</v>
      </c>
      <c r="AA1092">
        <v>359</v>
      </c>
      <c r="AB1092" t="s">
        <v>121</v>
      </c>
      <c r="AC1092" t="s">
        <v>121</v>
      </c>
      <c r="AD1092" t="str">
        <f t="shared" si="17"/>
        <v>Escobedo → Escobedo</v>
      </c>
      <c r="AE1092" t="s">
        <v>1358</v>
      </c>
      <c r="AF1092" s="4">
        <v>45992</v>
      </c>
      <c r="AG1092" t="str">
        <f>YEAR(Table1[[#This Row],[Fecha]])&amp;" - " &amp;UPPER(TEXT(Table1[[#This Row],[Fecha]],"mm-mmm"))</f>
        <v>2025 - 12-DIC</v>
      </c>
      <c r="AH1092" s="5">
        <v>0</v>
      </c>
    </row>
    <row r="1093" spans="1:34" x14ac:dyDescent="0.25">
      <c r="A1093" t="s">
        <v>1105</v>
      </c>
      <c r="B1093">
        <v>2025</v>
      </c>
      <c r="C1093">
        <v>12</v>
      </c>
      <c r="D1093" s="1">
        <v>46003</v>
      </c>
      <c r="E1093" s="1">
        <v>46003</v>
      </c>
      <c r="F1093" s="1">
        <v>46003</v>
      </c>
      <c r="G1093" s="1">
        <v>46003</v>
      </c>
      <c r="H1093" s="1">
        <v>46003</v>
      </c>
      <c r="I1093">
        <v>2039</v>
      </c>
      <c r="J1093" t="s">
        <v>54</v>
      </c>
      <c r="K1093" t="s">
        <v>31</v>
      </c>
      <c r="L1093">
        <v>50</v>
      </c>
      <c r="M1093">
        <v>50</v>
      </c>
      <c r="N1093" t="s">
        <v>32</v>
      </c>
      <c r="O1093">
        <v>1</v>
      </c>
      <c r="P1093">
        <v>150</v>
      </c>
      <c r="Q1093" t="b">
        <v>1</v>
      </c>
      <c r="R1093" t="b">
        <v>0</v>
      </c>
      <c r="S1093" t="b">
        <v>0</v>
      </c>
      <c r="T1093">
        <v>231</v>
      </c>
      <c r="U1093">
        <v>0</v>
      </c>
      <c r="V1093" t="s">
        <v>33</v>
      </c>
      <c r="W1093" t="s">
        <v>33</v>
      </c>
      <c r="X1093">
        <v>50</v>
      </c>
      <c r="Y1093">
        <v>359</v>
      </c>
      <c r="Z1093" t="s">
        <v>149</v>
      </c>
      <c r="AA1093">
        <v>359</v>
      </c>
      <c r="AB1093" t="s">
        <v>121</v>
      </c>
      <c r="AC1093" t="s">
        <v>121</v>
      </c>
      <c r="AD1093" t="str">
        <f t="shared" si="17"/>
        <v>Escobedo → Escobedo</v>
      </c>
      <c r="AE1093" t="s">
        <v>1358</v>
      </c>
      <c r="AF1093" s="4">
        <v>45992</v>
      </c>
      <c r="AG1093" t="str">
        <f>YEAR(Table1[[#This Row],[Fecha]])&amp;" - " &amp;UPPER(TEXT(Table1[[#This Row],[Fecha]],"mm-mmm"))</f>
        <v>2025 - 12-DIC</v>
      </c>
      <c r="AH1093" s="5">
        <v>0</v>
      </c>
    </row>
    <row r="1094" spans="1:34" x14ac:dyDescent="0.25">
      <c r="A1094" t="s">
        <v>1106</v>
      </c>
      <c r="B1094">
        <v>2025</v>
      </c>
      <c r="C1094">
        <v>12</v>
      </c>
      <c r="D1094" s="1">
        <v>46003</v>
      </c>
      <c r="E1094" s="1">
        <v>46003</v>
      </c>
      <c r="F1094" s="1">
        <v>46003</v>
      </c>
      <c r="G1094" s="1">
        <v>46003</v>
      </c>
      <c r="H1094" s="1">
        <v>46004</v>
      </c>
      <c r="I1094">
        <v>2039</v>
      </c>
      <c r="J1094" t="s">
        <v>54</v>
      </c>
      <c r="K1094" t="s">
        <v>31</v>
      </c>
      <c r="L1094">
        <v>50</v>
      </c>
      <c r="M1094">
        <v>50</v>
      </c>
      <c r="N1094" t="s">
        <v>32</v>
      </c>
      <c r="O1094">
        <v>1</v>
      </c>
      <c r="P1094">
        <v>150</v>
      </c>
      <c r="Q1094" t="b">
        <v>1</v>
      </c>
      <c r="R1094" t="b">
        <v>0</v>
      </c>
      <c r="S1094" t="b">
        <v>0</v>
      </c>
      <c r="T1094">
        <v>231</v>
      </c>
      <c r="U1094">
        <v>0</v>
      </c>
      <c r="V1094" t="s">
        <v>33</v>
      </c>
      <c r="W1094" t="s">
        <v>33</v>
      </c>
      <c r="X1094">
        <v>50</v>
      </c>
      <c r="Y1094">
        <v>359</v>
      </c>
      <c r="Z1094" t="s">
        <v>149</v>
      </c>
      <c r="AA1094">
        <v>359</v>
      </c>
      <c r="AB1094" t="s">
        <v>121</v>
      </c>
      <c r="AC1094" t="s">
        <v>121</v>
      </c>
      <c r="AD1094" t="str">
        <f t="shared" si="17"/>
        <v>Escobedo → Escobedo</v>
      </c>
      <c r="AE1094" t="s">
        <v>1358</v>
      </c>
      <c r="AF1094" s="4">
        <v>45992</v>
      </c>
      <c r="AG1094" t="str">
        <f>YEAR(Table1[[#This Row],[Fecha]])&amp;" - " &amp;UPPER(TEXT(Table1[[#This Row],[Fecha]],"mm-mmm"))</f>
        <v>2025 - 12-DIC</v>
      </c>
      <c r="AH1094" s="5">
        <v>0</v>
      </c>
    </row>
    <row r="1095" spans="1:34" x14ac:dyDescent="0.25">
      <c r="A1095" t="s">
        <v>1107</v>
      </c>
      <c r="B1095">
        <v>2025</v>
      </c>
      <c r="C1095">
        <v>12</v>
      </c>
      <c r="D1095" s="1">
        <v>46003</v>
      </c>
      <c r="E1095" s="1">
        <v>46003</v>
      </c>
      <c r="F1095" s="1">
        <v>46003</v>
      </c>
      <c r="G1095" s="1">
        <v>46003</v>
      </c>
      <c r="H1095" s="1">
        <v>46004</v>
      </c>
      <c r="I1095">
        <v>2039</v>
      </c>
      <c r="J1095" t="s">
        <v>54</v>
      </c>
      <c r="K1095" t="s">
        <v>31</v>
      </c>
      <c r="L1095">
        <v>50</v>
      </c>
      <c r="M1095">
        <v>50</v>
      </c>
      <c r="N1095" t="s">
        <v>32</v>
      </c>
      <c r="O1095">
        <v>1</v>
      </c>
      <c r="P1095">
        <v>150</v>
      </c>
      <c r="Q1095" t="b">
        <v>1</v>
      </c>
      <c r="R1095" t="b">
        <v>0</v>
      </c>
      <c r="S1095" t="b">
        <v>0</v>
      </c>
      <c r="T1095">
        <v>231</v>
      </c>
      <c r="U1095">
        <v>0</v>
      </c>
      <c r="V1095" t="s">
        <v>33</v>
      </c>
      <c r="W1095" t="s">
        <v>33</v>
      </c>
      <c r="X1095">
        <v>50</v>
      </c>
      <c r="Y1095">
        <v>359</v>
      </c>
      <c r="Z1095" t="s">
        <v>149</v>
      </c>
      <c r="AA1095">
        <v>359</v>
      </c>
      <c r="AB1095" t="s">
        <v>121</v>
      </c>
      <c r="AC1095" t="s">
        <v>121</v>
      </c>
      <c r="AD1095" t="str">
        <f t="shared" si="17"/>
        <v>Escobedo → Escobedo</v>
      </c>
      <c r="AE1095" t="s">
        <v>1358</v>
      </c>
      <c r="AF1095" s="4">
        <v>45992</v>
      </c>
      <c r="AG1095" t="str">
        <f>YEAR(Table1[[#This Row],[Fecha]])&amp;" - " &amp;UPPER(TEXT(Table1[[#This Row],[Fecha]],"mm-mmm"))</f>
        <v>2025 - 12-DIC</v>
      </c>
      <c r="AH1095" s="5">
        <v>0</v>
      </c>
    </row>
    <row r="1096" spans="1:34" x14ac:dyDescent="0.25">
      <c r="A1096" t="s">
        <v>1108</v>
      </c>
      <c r="B1096">
        <v>2025</v>
      </c>
      <c r="C1096">
        <v>12</v>
      </c>
      <c r="D1096" s="1">
        <v>46003</v>
      </c>
      <c r="E1096" s="1">
        <v>46003</v>
      </c>
      <c r="F1096" s="1">
        <v>46003</v>
      </c>
      <c r="G1096" s="1">
        <v>46003</v>
      </c>
      <c r="H1096" s="2">
        <v>46004.357248958331</v>
      </c>
      <c r="I1096">
        <v>2039</v>
      </c>
      <c r="J1096" t="s">
        <v>54</v>
      </c>
      <c r="K1096" t="s">
        <v>31</v>
      </c>
      <c r="L1096">
        <v>50</v>
      </c>
      <c r="M1096">
        <v>50</v>
      </c>
      <c r="N1096" t="s">
        <v>32</v>
      </c>
      <c r="O1096">
        <v>1</v>
      </c>
      <c r="P1096">
        <v>150</v>
      </c>
      <c r="Q1096" t="b">
        <v>1</v>
      </c>
      <c r="R1096" t="b">
        <v>0</v>
      </c>
      <c r="S1096" t="b">
        <v>0</v>
      </c>
      <c r="T1096">
        <v>231</v>
      </c>
      <c r="U1096">
        <v>0</v>
      </c>
      <c r="V1096" t="s">
        <v>33</v>
      </c>
      <c r="W1096" t="s">
        <v>33</v>
      </c>
      <c r="X1096">
        <v>50</v>
      </c>
      <c r="Y1096">
        <v>359</v>
      </c>
      <c r="Z1096" t="s">
        <v>149</v>
      </c>
      <c r="AA1096">
        <v>359</v>
      </c>
      <c r="AB1096" t="s">
        <v>121</v>
      </c>
      <c r="AC1096" t="s">
        <v>121</v>
      </c>
      <c r="AD1096" t="str">
        <f t="shared" si="17"/>
        <v>Escobedo → Escobedo</v>
      </c>
      <c r="AE1096" t="s">
        <v>1358</v>
      </c>
      <c r="AF1096" s="4">
        <v>45992</v>
      </c>
      <c r="AG1096" t="str">
        <f>YEAR(Table1[[#This Row],[Fecha]])&amp;" - " &amp;UPPER(TEXT(Table1[[#This Row],[Fecha]],"mm-mmm"))</f>
        <v>2025 - 12-DIC</v>
      </c>
      <c r="AH1096" s="5">
        <v>0</v>
      </c>
    </row>
    <row r="1097" spans="1:34" x14ac:dyDescent="0.25">
      <c r="A1097" t="s">
        <v>1109</v>
      </c>
      <c r="B1097">
        <v>2025</v>
      </c>
      <c r="C1097">
        <v>12</v>
      </c>
      <c r="D1097" s="1">
        <v>46004</v>
      </c>
      <c r="E1097" s="1">
        <v>46004</v>
      </c>
      <c r="F1097" s="1">
        <v>46004</v>
      </c>
      <c r="G1097" s="1">
        <v>46004</v>
      </c>
      <c r="H1097" s="1">
        <v>46004</v>
      </c>
      <c r="I1097">
        <v>2039</v>
      </c>
      <c r="J1097" t="s">
        <v>54</v>
      </c>
      <c r="K1097" t="s">
        <v>31</v>
      </c>
      <c r="L1097">
        <v>50</v>
      </c>
      <c r="M1097">
        <v>50</v>
      </c>
      <c r="N1097" t="s">
        <v>32</v>
      </c>
      <c r="O1097">
        <v>1</v>
      </c>
      <c r="P1097">
        <v>150</v>
      </c>
      <c r="Q1097" t="b">
        <v>1</v>
      </c>
      <c r="R1097" t="b">
        <v>0</v>
      </c>
      <c r="S1097" t="b">
        <v>0</v>
      </c>
      <c r="T1097">
        <v>231</v>
      </c>
      <c r="U1097">
        <v>0</v>
      </c>
      <c r="V1097" t="s">
        <v>33</v>
      </c>
      <c r="W1097" t="s">
        <v>33</v>
      </c>
      <c r="X1097">
        <v>50</v>
      </c>
      <c r="Y1097">
        <v>359</v>
      </c>
      <c r="Z1097" t="s">
        <v>156</v>
      </c>
      <c r="AA1097">
        <v>359</v>
      </c>
      <c r="AB1097" t="s">
        <v>121</v>
      </c>
      <c r="AC1097" t="s">
        <v>121</v>
      </c>
      <c r="AD1097" t="str">
        <f t="shared" si="17"/>
        <v>Escobedo → Escobedo</v>
      </c>
      <c r="AE1097" t="s">
        <v>1358</v>
      </c>
      <c r="AF1097" s="4">
        <v>45992</v>
      </c>
      <c r="AG1097" t="str">
        <f>YEAR(Table1[[#This Row],[Fecha]])&amp;" - " &amp;UPPER(TEXT(Table1[[#This Row],[Fecha]],"mm-mmm"))</f>
        <v>2025 - 12-DIC</v>
      </c>
      <c r="AH1097" s="5">
        <v>0</v>
      </c>
    </row>
    <row r="1098" spans="1:34" x14ac:dyDescent="0.25">
      <c r="A1098" t="s">
        <v>1110</v>
      </c>
      <c r="B1098">
        <v>2025</v>
      </c>
      <c r="C1098">
        <v>12</v>
      </c>
      <c r="D1098" s="1">
        <v>46004</v>
      </c>
      <c r="E1098" s="1">
        <v>46004</v>
      </c>
      <c r="F1098" s="1">
        <v>46004</v>
      </c>
      <c r="G1098" s="1">
        <v>46004</v>
      </c>
      <c r="H1098" s="2">
        <v>46004.569288541665</v>
      </c>
      <c r="I1098">
        <v>2039</v>
      </c>
      <c r="J1098" t="s">
        <v>54</v>
      </c>
      <c r="K1098" t="s">
        <v>31</v>
      </c>
      <c r="L1098">
        <v>50</v>
      </c>
      <c r="M1098">
        <v>50</v>
      </c>
      <c r="N1098" t="s">
        <v>32</v>
      </c>
      <c r="O1098">
        <v>1</v>
      </c>
      <c r="P1098">
        <v>150</v>
      </c>
      <c r="Q1098" t="b">
        <v>1</v>
      </c>
      <c r="R1098" t="b">
        <v>0</v>
      </c>
      <c r="S1098" t="b">
        <v>0</v>
      </c>
      <c r="T1098">
        <v>231</v>
      </c>
      <c r="U1098">
        <v>0</v>
      </c>
      <c r="V1098" t="s">
        <v>33</v>
      </c>
      <c r="W1098" t="s">
        <v>33</v>
      </c>
      <c r="X1098">
        <v>50</v>
      </c>
      <c r="Y1098">
        <v>359</v>
      </c>
      <c r="Z1098" t="s">
        <v>156</v>
      </c>
      <c r="AA1098">
        <v>359</v>
      </c>
      <c r="AB1098" t="s">
        <v>121</v>
      </c>
      <c r="AC1098" t="s">
        <v>121</v>
      </c>
      <c r="AD1098" t="str">
        <f t="shared" si="17"/>
        <v>Escobedo → Escobedo</v>
      </c>
      <c r="AE1098" t="s">
        <v>1358</v>
      </c>
      <c r="AF1098" s="4">
        <v>45992</v>
      </c>
      <c r="AG1098" t="str">
        <f>YEAR(Table1[[#This Row],[Fecha]])&amp;" - " &amp;UPPER(TEXT(Table1[[#This Row],[Fecha]],"mm-mmm"))</f>
        <v>2025 - 12-DIC</v>
      </c>
      <c r="AH1098" s="5">
        <v>0</v>
      </c>
    </row>
    <row r="1099" spans="1:34" x14ac:dyDescent="0.25">
      <c r="A1099" t="s">
        <v>1111</v>
      </c>
      <c r="B1099">
        <v>2025</v>
      </c>
      <c r="C1099">
        <v>12</v>
      </c>
      <c r="D1099" s="1">
        <v>46004</v>
      </c>
      <c r="E1099" s="1">
        <v>46004</v>
      </c>
      <c r="F1099" s="1">
        <v>46004</v>
      </c>
      <c r="G1099" s="1">
        <v>46004</v>
      </c>
      <c r="H1099" s="2">
        <v>46004.569650266203</v>
      </c>
      <c r="I1099">
        <v>2039</v>
      </c>
      <c r="J1099" t="s">
        <v>54</v>
      </c>
      <c r="K1099" t="s">
        <v>31</v>
      </c>
      <c r="L1099">
        <v>50</v>
      </c>
      <c r="M1099">
        <v>50</v>
      </c>
      <c r="N1099" t="s">
        <v>32</v>
      </c>
      <c r="O1099">
        <v>1</v>
      </c>
      <c r="P1099">
        <v>150</v>
      </c>
      <c r="Q1099" t="b">
        <v>1</v>
      </c>
      <c r="R1099" t="b">
        <v>0</v>
      </c>
      <c r="S1099" t="b">
        <v>0</v>
      </c>
      <c r="T1099">
        <v>231</v>
      </c>
      <c r="U1099">
        <v>0</v>
      </c>
      <c r="V1099" t="s">
        <v>33</v>
      </c>
      <c r="W1099" t="s">
        <v>33</v>
      </c>
      <c r="X1099">
        <v>50</v>
      </c>
      <c r="Y1099">
        <v>359</v>
      </c>
      <c r="Z1099" t="s">
        <v>156</v>
      </c>
      <c r="AA1099">
        <v>359</v>
      </c>
      <c r="AB1099" t="s">
        <v>121</v>
      </c>
      <c r="AC1099" t="s">
        <v>121</v>
      </c>
      <c r="AD1099" t="str">
        <f t="shared" si="17"/>
        <v>Escobedo → Escobedo</v>
      </c>
      <c r="AE1099" t="s">
        <v>1358</v>
      </c>
      <c r="AF1099" s="4">
        <v>45992</v>
      </c>
      <c r="AG1099" t="str">
        <f>YEAR(Table1[[#This Row],[Fecha]])&amp;" - " &amp;UPPER(TEXT(Table1[[#This Row],[Fecha]],"mm-mmm"))</f>
        <v>2025 - 12-DIC</v>
      </c>
      <c r="AH1099" s="5">
        <v>0</v>
      </c>
    </row>
    <row r="1100" spans="1:34" x14ac:dyDescent="0.25">
      <c r="A1100" t="s">
        <v>1112</v>
      </c>
      <c r="B1100">
        <v>2025</v>
      </c>
      <c r="C1100">
        <v>12</v>
      </c>
      <c r="D1100" s="1">
        <v>46004</v>
      </c>
      <c r="E1100" s="1">
        <v>46004</v>
      </c>
      <c r="F1100" s="1">
        <v>46004</v>
      </c>
      <c r="G1100" s="1">
        <v>46004</v>
      </c>
      <c r="H1100" s="2">
        <v>46004.570186921293</v>
      </c>
      <c r="I1100">
        <v>2039</v>
      </c>
      <c r="J1100" t="s">
        <v>54</v>
      </c>
      <c r="K1100" t="s">
        <v>31</v>
      </c>
      <c r="L1100">
        <v>50</v>
      </c>
      <c r="M1100">
        <v>50</v>
      </c>
      <c r="N1100" t="s">
        <v>32</v>
      </c>
      <c r="O1100">
        <v>1</v>
      </c>
      <c r="P1100">
        <v>150</v>
      </c>
      <c r="Q1100" t="b">
        <v>1</v>
      </c>
      <c r="R1100" t="b">
        <v>0</v>
      </c>
      <c r="S1100" t="b">
        <v>0</v>
      </c>
      <c r="T1100">
        <v>231</v>
      </c>
      <c r="U1100">
        <v>0</v>
      </c>
      <c r="V1100" t="s">
        <v>33</v>
      </c>
      <c r="W1100" t="s">
        <v>33</v>
      </c>
      <c r="X1100">
        <v>50</v>
      </c>
      <c r="Y1100">
        <v>359</v>
      </c>
      <c r="Z1100" t="s">
        <v>156</v>
      </c>
      <c r="AA1100">
        <v>359</v>
      </c>
      <c r="AB1100" t="s">
        <v>121</v>
      </c>
      <c r="AC1100" t="s">
        <v>121</v>
      </c>
      <c r="AD1100" t="str">
        <f t="shared" si="17"/>
        <v>Escobedo → Escobedo</v>
      </c>
      <c r="AE1100" t="s">
        <v>1358</v>
      </c>
      <c r="AF1100" s="4">
        <v>45992</v>
      </c>
      <c r="AG1100" t="str">
        <f>YEAR(Table1[[#This Row],[Fecha]])&amp;" - " &amp;UPPER(TEXT(Table1[[#This Row],[Fecha]],"mm-mmm"))</f>
        <v>2025 - 12-DIC</v>
      </c>
      <c r="AH1100" s="5">
        <v>0</v>
      </c>
    </row>
    <row r="1101" spans="1:34" x14ac:dyDescent="0.25">
      <c r="A1101" t="s">
        <v>1113</v>
      </c>
      <c r="B1101">
        <v>2025</v>
      </c>
      <c r="C1101">
        <v>12</v>
      </c>
      <c r="D1101" s="1">
        <v>46004</v>
      </c>
      <c r="E1101" s="1">
        <v>46004</v>
      </c>
      <c r="F1101" s="1">
        <v>46004</v>
      </c>
      <c r="G1101" s="1">
        <v>46004</v>
      </c>
      <c r="H1101" s="2">
        <v>46004.570582789354</v>
      </c>
      <c r="I1101">
        <v>2039</v>
      </c>
      <c r="J1101" t="s">
        <v>54</v>
      </c>
      <c r="K1101" t="s">
        <v>31</v>
      </c>
      <c r="L1101">
        <v>50</v>
      </c>
      <c r="M1101">
        <v>50</v>
      </c>
      <c r="N1101" t="s">
        <v>32</v>
      </c>
      <c r="O1101">
        <v>1</v>
      </c>
      <c r="P1101">
        <v>150</v>
      </c>
      <c r="Q1101" t="b">
        <v>1</v>
      </c>
      <c r="R1101" t="b">
        <v>0</v>
      </c>
      <c r="S1101" t="b">
        <v>0</v>
      </c>
      <c r="T1101">
        <v>231</v>
      </c>
      <c r="U1101">
        <v>0</v>
      </c>
      <c r="V1101" t="s">
        <v>33</v>
      </c>
      <c r="W1101" t="s">
        <v>33</v>
      </c>
      <c r="X1101">
        <v>50</v>
      </c>
      <c r="Y1101">
        <v>359</v>
      </c>
      <c r="Z1101" t="s">
        <v>156</v>
      </c>
      <c r="AA1101">
        <v>359</v>
      </c>
      <c r="AB1101" t="s">
        <v>121</v>
      </c>
      <c r="AC1101" t="s">
        <v>121</v>
      </c>
      <c r="AD1101" t="str">
        <f t="shared" si="17"/>
        <v>Escobedo → Escobedo</v>
      </c>
      <c r="AE1101" t="s">
        <v>1358</v>
      </c>
      <c r="AF1101" s="4">
        <v>45992</v>
      </c>
      <c r="AG1101" t="str">
        <f>YEAR(Table1[[#This Row],[Fecha]])&amp;" - " &amp;UPPER(TEXT(Table1[[#This Row],[Fecha]],"mm-mmm"))</f>
        <v>2025 - 12-DIC</v>
      </c>
      <c r="AH1101" s="5">
        <v>0</v>
      </c>
    </row>
    <row r="1102" spans="1:34" x14ac:dyDescent="0.25">
      <c r="A1102" t="s">
        <v>1083</v>
      </c>
      <c r="B1102">
        <v>2025</v>
      </c>
      <c r="C1102">
        <v>12</v>
      </c>
      <c r="D1102" s="1">
        <v>46005</v>
      </c>
      <c r="E1102" s="1">
        <v>46005</v>
      </c>
      <c r="F1102" s="1">
        <v>46005</v>
      </c>
      <c r="G1102" s="1">
        <v>46005</v>
      </c>
      <c r="H1102" s="1">
        <v>46006</v>
      </c>
      <c r="I1102">
        <v>2039</v>
      </c>
      <c r="J1102" t="s">
        <v>54</v>
      </c>
      <c r="K1102" t="s">
        <v>31</v>
      </c>
      <c r="L1102">
        <v>50</v>
      </c>
      <c r="M1102">
        <v>50</v>
      </c>
      <c r="N1102" t="s">
        <v>32</v>
      </c>
      <c r="O1102">
        <v>1</v>
      </c>
      <c r="P1102">
        <v>150</v>
      </c>
      <c r="Q1102" t="b">
        <v>1</v>
      </c>
      <c r="R1102" t="b">
        <v>0</v>
      </c>
      <c r="S1102" t="b">
        <v>0</v>
      </c>
      <c r="T1102">
        <v>231</v>
      </c>
      <c r="U1102">
        <v>0</v>
      </c>
      <c r="V1102" t="s">
        <v>33</v>
      </c>
      <c r="W1102" t="s">
        <v>33</v>
      </c>
      <c r="X1102">
        <v>50</v>
      </c>
      <c r="Y1102">
        <v>359</v>
      </c>
      <c r="Z1102" t="s">
        <v>34</v>
      </c>
      <c r="AA1102">
        <v>359</v>
      </c>
      <c r="AB1102" t="s">
        <v>121</v>
      </c>
      <c r="AC1102" t="s">
        <v>121</v>
      </c>
      <c r="AD1102" t="str">
        <f t="shared" si="17"/>
        <v>Escobedo → Escobedo</v>
      </c>
      <c r="AE1102" t="s">
        <v>1358</v>
      </c>
      <c r="AF1102" s="4">
        <v>45992</v>
      </c>
      <c r="AG1102" t="str">
        <f>YEAR(Table1[[#This Row],[Fecha]])&amp;" - " &amp;UPPER(TEXT(Table1[[#This Row],[Fecha]],"mm-mmm"))</f>
        <v>2025 - 12-DIC</v>
      </c>
      <c r="AH1102" s="5">
        <v>0</v>
      </c>
    </row>
    <row r="1103" spans="1:34" x14ac:dyDescent="0.25">
      <c r="A1103" t="s">
        <v>1084</v>
      </c>
      <c r="B1103">
        <v>2025</v>
      </c>
      <c r="C1103">
        <v>12</v>
      </c>
      <c r="D1103" s="1">
        <v>46006</v>
      </c>
      <c r="E1103" s="1">
        <v>46006</v>
      </c>
      <c r="F1103" s="1">
        <v>46006</v>
      </c>
      <c r="G1103" s="1">
        <v>46006</v>
      </c>
      <c r="H1103" s="2">
        <v>46006.698857951385</v>
      </c>
      <c r="I1103">
        <v>2039</v>
      </c>
      <c r="J1103" t="s">
        <v>54</v>
      </c>
      <c r="K1103" t="s">
        <v>31</v>
      </c>
      <c r="L1103">
        <v>50</v>
      </c>
      <c r="M1103">
        <v>50</v>
      </c>
      <c r="N1103" t="s">
        <v>32</v>
      </c>
      <c r="O1103">
        <v>1</v>
      </c>
      <c r="P1103">
        <v>150</v>
      </c>
      <c r="Q1103" t="b">
        <v>1</v>
      </c>
      <c r="R1103" t="b">
        <v>0</v>
      </c>
      <c r="S1103" t="b">
        <v>0</v>
      </c>
      <c r="T1103">
        <v>231</v>
      </c>
      <c r="U1103">
        <v>0</v>
      </c>
      <c r="V1103" t="s">
        <v>33</v>
      </c>
      <c r="W1103" t="s">
        <v>33</v>
      </c>
      <c r="X1103">
        <v>50</v>
      </c>
      <c r="Y1103">
        <v>359</v>
      </c>
      <c r="Z1103" t="s">
        <v>34</v>
      </c>
      <c r="AA1103">
        <v>359</v>
      </c>
      <c r="AB1103" t="s">
        <v>121</v>
      </c>
      <c r="AC1103" t="s">
        <v>121</v>
      </c>
      <c r="AD1103" t="str">
        <f t="shared" si="17"/>
        <v>Escobedo → Escobedo</v>
      </c>
      <c r="AE1103" t="s">
        <v>1358</v>
      </c>
      <c r="AF1103" s="4">
        <v>45992</v>
      </c>
      <c r="AG1103" t="str">
        <f>YEAR(Table1[[#This Row],[Fecha]])&amp;" - " &amp;UPPER(TEXT(Table1[[#This Row],[Fecha]],"mm-mmm"))</f>
        <v>2025 - 12-DIC</v>
      </c>
      <c r="AH1103" s="5">
        <v>0</v>
      </c>
    </row>
    <row r="1104" spans="1:34" x14ac:dyDescent="0.25">
      <c r="A1104" t="s">
        <v>1085</v>
      </c>
      <c r="B1104">
        <v>2025</v>
      </c>
      <c r="C1104">
        <v>12</v>
      </c>
      <c r="D1104" s="1">
        <v>46006</v>
      </c>
      <c r="E1104" s="1">
        <v>46006</v>
      </c>
      <c r="F1104" s="1">
        <v>46006</v>
      </c>
      <c r="G1104" s="1">
        <v>46006</v>
      </c>
      <c r="H1104" s="2">
        <v>46006.701314004633</v>
      </c>
      <c r="I1104">
        <v>2039</v>
      </c>
      <c r="J1104" t="s">
        <v>54</v>
      </c>
      <c r="K1104" t="s">
        <v>31</v>
      </c>
      <c r="L1104">
        <v>50</v>
      </c>
      <c r="M1104">
        <v>50</v>
      </c>
      <c r="N1104" t="s">
        <v>32</v>
      </c>
      <c r="O1104">
        <v>1</v>
      </c>
      <c r="P1104">
        <v>150</v>
      </c>
      <c r="Q1104" t="b">
        <v>1</v>
      </c>
      <c r="R1104" t="b">
        <v>0</v>
      </c>
      <c r="S1104" t="b">
        <v>0</v>
      </c>
      <c r="T1104">
        <v>231</v>
      </c>
      <c r="U1104">
        <v>0</v>
      </c>
      <c r="V1104" t="s">
        <v>33</v>
      </c>
      <c r="W1104" t="s">
        <v>33</v>
      </c>
      <c r="X1104">
        <v>50</v>
      </c>
      <c r="Y1104">
        <v>359</v>
      </c>
      <c r="Z1104" t="s">
        <v>34</v>
      </c>
      <c r="AA1104">
        <v>359</v>
      </c>
      <c r="AB1104" t="s">
        <v>121</v>
      </c>
      <c r="AC1104" t="s">
        <v>121</v>
      </c>
      <c r="AD1104" t="str">
        <f t="shared" si="17"/>
        <v>Escobedo → Escobedo</v>
      </c>
      <c r="AE1104" t="s">
        <v>1358</v>
      </c>
      <c r="AF1104" s="4">
        <v>45992</v>
      </c>
      <c r="AG1104" t="str">
        <f>YEAR(Table1[[#This Row],[Fecha]])&amp;" - " &amp;UPPER(TEXT(Table1[[#This Row],[Fecha]],"mm-mmm"))</f>
        <v>2025 - 12-DIC</v>
      </c>
      <c r="AH1104" s="5">
        <v>0</v>
      </c>
    </row>
    <row r="1105" spans="1:34" x14ac:dyDescent="0.25">
      <c r="A1105" t="s">
        <v>1086</v>
      </c>
      <c r="B1105">
        <v>2025</v>
      </c>
      <c r="C1105">
        <v>12</v>
      </c>
      <c r="D1105" s="1">
        <v>46006</v>
      </c>
      <c r="E1105" s="1">
        <v>46006</v>
      </c>
      <c r="F1105" s="1">
        <v>46006</v>
      </c>
      <c r="G1105" s="1">
        <v>46006</v>
      </c>
      <c r="H1105" s="2">
        <v>46006.702818483798</v>
      </c>
      <c r="I1105">
        <v>2039</v>
      </c>
      <c r="J1105" t="s">
        <v>54</v>
      </c>
      <c r="K1105" t="s">
        <v>31</v>
      </c>
      <c r="L1105">
        <v>50</v>
      </c>
      <c r="M1105">
        <v>50</v>
      </c>
      <c r="N1105" t="s">
        <v>32</v>
      </c>
      <c r="O1105">
        <v>1</v>
      </c>
      <c r="P1105">
        <v>150</v>
      </c>
      <c r="Q1105" t="b">
        <v>1</v>
      </c>
      <c r="R1105" t="b">
        <v>0</v>
      </c>
      <c r="S1105" t="b">
        <v>0</v>
      </c>
      <c r="T1105">
        <v>231</v>
      </c>
      <c r="U1105">
        <v>0</v>
      </c>
      <c r="V1105" t="s">
        <v>33</v>
      </c>
      <c r="W1105" t="s">
        <v>33</v>
      </c>
      <c r="X1105">
        <v>50</v>
      </c>
      <c r="Y1105">
        <v>359</v>
      </c>
      <c r="Z1105" t="s">
        <v>34</v>
      </c>
      <c r="AA1105">
        <v>359</v>
      </c>
      <c r="AB1105" t="s">
        <v>121</v>
      </c>
      <c r="AC1105" t="s">
        <v>121</v>
      </c>
      <c r="AD1105" t="str">
        <f t="shared" si="17"/>
        <v>Escobedo → Escobedo</v>
      </c>
      <c r="AE1105" t="s">
        <v>1358</v>
      </c>
      <c r="AF1105" s="4">
        <v>45992</v>
      </c>
      <c r="AG1105" t="str">
        <f>YEAR(Table1[[#This Row],[Fecha]])&amp;" - " &amp;UPPER(TEXT(Table1[[#This Row],[Fecha]],"mm-mmm"))</f>
        <v>2025 - 12-DIC</v>
      </c>
      <c r="AH1105" s="5">
        <v>0</v>
      </c>
    </row>
    <row r="1106" spans="1:34" x14ac:dyDescent="0.25">
      <c r="A1106" t="s">
        <v>1087</v>
      </c>
      <c r="B1106">
        <v>2025</v>
      </c>
      <c r="C1106">
        <v>12</v>
      </c>
      <c r="D1106" s="1">
        <v>46006</v>
      </c>
      <c r="E1106" s="1">
        <v>46006</v>
      </c>
      <c r="F1106" s="1">
        <v>46006</v>
      </c>
      <c r="G1106" s="1">
        <v>46006</v>
      </c>
      <c r="H1106" s="1">
        <v>46006</v>
      </c>
      <c r="I1106">
        <v>2039</v>
      </c>
      <c r="J1106" t="s">
        <v>54</v>
      </c>
      <c r="K1106" t="s">
        <v>31</v>
      </c>
      <c r="L1106">
        <v>50</v>
      </c>
      <c r="M1106">
        <v>50</v>
      </c>
      <c r="N1106" t="s">
        <v>32</v>
      </c>
      <c r="O1106">
        <v>1</v>
      </c>
      <c r="P1106">
        <v>150</v>
      </c>
      <c r="Q1106" t="b">
        <v>1</v>
      </c>
      <c r="R1106" t="b">
        <v>0</v>
      </c>
      <c r="S1106" t="b">
        <v>0</v>
      </c>
      <c r="T1106">
        <v>231</v>
      </c>
      <c r="U1106">
        <v>0</v>
      </c>
      <c r="V1106" t="s">
        <v>33</v>
      </c>
      <c r="W1106" t="s">
        <v>33</v>
      </c>
      <c r="X1106">
        <v>50</v>
      </c>
      <c r="Y1106">
        <v>359</v>
      </c>
      <c r="Z1106" t="s">
        <v>34</v>
      </c>
      <c r="AA1106">
        <v>359</v>
      </c>
      <c r="AB1106" t="s">
        <v>121</v>
      </c>
      <c r="AC1106" t="s">
        <v>121</v>
      </c>
      <c r="AD1106" t="str">
        <f t="shared" si="17"/>
        <v>Escobedo → Escobedo</v>
      </c>
      <c r="AE1106" t="s">
        <v>1358</v>
      </c>
      <c r="AF1106" s="4">
        <v>45992</v>
      </c>
      <c r="AG1106" t="str">
        <f>YEAR(Table1[[#This Row],[Fecha]])&amp;" - " &amp;UPPER(TEXT(Table1[[#This Row],[Fecha]],"mm-mmm"))</f>
        <v>2025 - 12-DIC</v>
      </c>
      <c r="AH1106" s="5">
        <v>0</v>
      </c>
    </row>
    <row r="1107" spans="1:34" x14ac:dyDescent="0.25">
      <c r="A1107" t="s">
        <v>1088</v>
      </c>
      <c r="B1107">
        <v>2025</v>
      </c>
      <c r="C1107">
        <v>12</v>
      </c>
      <c r="D1107" s="1">
        <v>46006</v>
      </c>
      <c r="E1107" s="1">
        <v>46006</v>
      </c>
      <c r="F1107" s="1">
        <v>46006</v>
      </c>
      <c r="G1107" s="1">
        <v>46006</v>
      </c>
      <c r="H1107" s="1">
        <v>46006</v>
      </c>
      <c r="I1107">
        <v>2039</v>
      </c>
      <c r="J1107" t="s">
        <v>54</v>
      </c>
      <c r="K1107" t="s">
        <v>31</v>
      </c>
      <c r="L1107">
        <v>50</v>
      </c>
      <c r="M1107">
        <v>50</v>
      </c>
      <c r="N1107" t="s">
        <v>32</v>
      </c>
      <c r="O1107">
        <v>1</v>
      </c>
      <c r="P1107">
        <v>150</v>
      </c>
      <c r="Q1107" t="b">
        <v>1</v>
      </c>
      <c r="R1107" t="b">
        <v>0</v>
      </c>
      <c r="S1107" t="b">
        <v>0</v>
      </c>
      <c r="T1107">
        <v>231</v>
      </c>
      <c r="U1107">
        <v>0</v>
      </c>
      <c r="V1107" t="s">
        <v>33</v>
      </c>
      <c r="W1107" t="s">
        <v>33</v>
      </c>
      <c r="X1107">
        <v>50</v>
      </c>
      <c r="Y1107">
        <v>359</v>
      </c>
      <c r="Z1107" t="s">
        <v>34</v>
      </c>
      <c r="AA1107">
        <v>359</v>
      </c>
      <c r="AB1107" t="s">
        <v>121</v>
      </c>
      <c r="AC1107" t="s">
        <v>121</v>
      </c>
      <c r="AD1107" t="str">
        <f t="shared" si="17"/>
        <v>Escobedo → Escobedo</v>
      </c>
      <c r="AE1107" t="s">
        <v>1358</v>
      </c>
      <c r="AF1107" s="4">
        <v>45992</v>
      </c>
      <c r="AG1107" t="str">
        <f>YEAR(Table1[[#This Row],[Fecha]])&amp;" - " &amp;UPPER(TEXT(Table1[[#This Row],[Fecha]],"mm-mmm"))</f>
        <v>2025 - 12-DIC</v>
      </c>
      <c r="AH1107" s="5">
        <v>0</v>
      </c>
    </row>
    <row r="1108" spans="1:34" x14ac:dyDescent="0.25">
      <c r="A1108" t="s">
        <v>1089</v>
      </c>
      <c r="B1108">
        <v>2025</v>
      </c>
      <c r="C1108">
        <v>12</v>
      </c>
      <c r="D1108" s="1">
        <v>46008</v>
      </c>
      <c r="E1108" s="1">
        <v>46008</v>
      </c>
      <c r="F1108" s="1">
        <v>46008</v>
      </c>
      <c r="G1108" s="1">
        <v>46008</v>
      </c>
      <c r="H1108" s="2">
        <v>46008.523700844904</v>
      </c>
      <c r="I1108">
        <v>2039</v>
      </c>
      <c r="J1108" t="s">
        <v>54</v>
      </c>
      <c r="K1108" t="s">
        <v>31</v>
      </c>
      <c r="L1108">
        <v>50</v>
      </c>
      <c r="M1108">
        <v>50</v>
      </c>
      <c r="N1108" t="s">
        <v>32</v>
      </c>
      <c r="O1108">
        <v>1</v>
      </c>
      <c r="P1108">
        <v>150</v>
      </c>
      <c r="Q1108" t="b">
        <v>1</v>
      </c>
      <c r="R1108" t="b">
        <v>0</v>
      </c>
      <c r="S1108" t="b">
        <v>0</v>
      </c>
      <c r="T1108">
        <v>231</v>
      </c>
      <c r="U1108">
        <v>0</v>
      </c>
      <c r="V1108" t="s">
        <v>33</v>
      </c>
      <c r="W1108" t="s">
        <v>33</v>
      </c>
      <c r="X1108">
        <v>50</v>
      </c>
      <c r="Y1108">
        <v>359</v>
      </c>
      <c r="Z1108" t="s">
        <v>34</v>
      </c>
      <c r="AA1108">
        <v>359</v>
      </c>
      <c r="AB1108" t="s">
        <v>121</v>
      </c>
      <c r="AC1108" t="s">
        <v>121</v>
      </c>
      <c r="AD1108" t="str">
        <f t="shared" si="17"/>
        <v>Escobedo → Escobedo</v>
      </c>
      <c r="AE1108" t="s">
        <v>1358</v>
      </c>
      <c r="AF1108" s="4">
        <v>45992</v>
      </c>
      <c r="AG1108" t="str">
        <f>YEAR(Table1[[#This Row],[Fecha]])&amp;" - " &amp;UPPER(TEXT(Table1[[#This Row],[Fecha]],"mm-mmm"))</f>
        <v>2025 - 12-DIC</v>
      </c>
      <c r="AH1108" s="5">
        <v>0</v>
      </c>
    </row>
    <row r="1109" spans="1:34" x14ac:dyDescent="0.25">
      <c r="A1109" t="s">
        <v>1090</v>
      </c>
      <c r="B1109">
        <v>2025</v>
      </c>
      <c r="C1109">
        <v>12</v>
      </c>
      <c r="D1109" s="1">
        <v>46008</v>
      </c>
      <c r="E1109" s="1">
        <v>46008</v>
      </c>
      <c r="F1109" s="1">
        <v>46008</v>
      </c>
      <c r="G1109" s="1">
        <v>46008</v>
      </c>
      <c r="H1109" s="2">
        <v>46008.736095949076</v>
      </c>
      <c r="I1109">
        <v>2039</v>
      </c>
      <c r="J1109" t="s">
        <v>54</v>
      </c>
      <c r="K1109" t="s">
        <v>31</v>
      </c>
      <c r="L1109">
        <v>50</v>
      </c>
      <c r="M1109">
        <v>50</v>
      </c>
      <c r="N1109" t="s">
        <v>32</v>
      </c>
      <c r="O1109">
        <v>1</v>
      </c>
      <c r="P1109">
        <v>150</v>
      </c>
      <c r="Q1109" t="b">
        <v>1</v>
      </c>
      <c r="R1109" t="b">
        <v>0</v>
      </c>
      <c r="S1109" t="b">
        <v>0</v>
      </c>
      <c r="T1109">
        <v>231</v>
      </c>
      <c r="U1109">
        <v>0</v>
      </c>
      <c r="V1109" t="s">
        <v>33</v>
      </c>
      <c r="W1109" t="s">
        <v>33</v>
      </c>
      <c r="X1109">
        <v>50</v>
      </c>
      <c r="Y1109">
        <v>359</v>
      </c>
      <c r="Z1109" t="s">
        <v>34</v>
      </c>
      <c r="AA1109">
        <v>359</v>
      </c>
      <c r="AB1109" t="s">
        <v>121</v>
      </c>
      <c r="AC1109" t="s">
        <v>121</v>
      </c>
      <c r="AD1109" t="str">
        <f t="shared" si="17"/>
        <v>Escobedo → Escobedo</v>
      </c>
      <c r="AE1109" t="s">
        <v>1358</v>
      </c>
      <c r="AF1109" s="4">
        <v>45992</v>
      </c>
      <c r="AG1109" t="str">
        <f>YEAR(Table1[[#This Row],[Fecha]])&amp;" - " &amp;UPPER(TEXT(Table1[[#This Row],[Fecha]],"mm-mmm"))</f>
        <v>2025 - 12-DIC</v>
      </c>
      <c r="AH1109" s="5">
        <v>0</v>
      </c>
    </row>
    <row r="1110" spans="1:34" x14ac:dyDescent="0.25">
      <c r="A1110" t="s">
        <v>1136</v>
      </c>
      <c r="B1110">
        <v>2025</v>
      </c>
      <c r="C1110">
        <v>12</v>
      </c>
      <c r="D1110" s="1">
        <v>46011</v>
      </c>
      <c r="E1110" s="1">
        <v>46011</v>
      </c>
      <c r="F1110" s="1">
        <v>46011</v>
      </c>
      <c r="G1110" s="1">
        <v>46011</v>
      </c>
      <c r="H1110" s="1">
        <v>46013</v>
      </c>
      <c r="I1110">
        <v>2421</v>
      </c>
      <c r="J1110" t="s">
        <v>30</v>
      </c>
      <c r="K1110" t="s">
        <v>31</v>
      </c>
      <c r="L1110">
        <v>50</v>
      </c>
      <c r="M1110">
        <v>50</v>
      </c>
      <c r="N1110" t="s">
        <v>1115</v>
      </c>
      <c r="O1110">
        <v>1</v>
      </c>
      <c r="P1110">
        <v>150</v>
      </c>
      <c r="Q1110" t="b">
        <v>1</v>
      </c>
      <c r="R1110" t="b">
        <v>0</v>
      </c>
      <c r="S1110" t="b">
        <v>0</v>
      </c>
      <c r="T1110">
        <v>231</v>
      </c>
      <c r="U1110">
        <v>0</v>
      </c>
      <c r="V1110" t="s">
        <v>33</v>
      </c>
      <c r="W1110" t="s">
        <v>33</v>
      </c>
      <c r="X1110">
        <v>50</v>
      </c>
      <c r="Y1110">
        <v>359</v>
      </c>
      <c r="Z1110" t="s">
        <v>34</v>
      </c>
      <c r="AA1110">
        <v>359</v>
      </c>
      <c r="AB1110" t="s">
        <v>121</v>
      </c>
      <c r="AC1110" t="s">
        <v>121</v>
      </c>
      <c r="AD1110" t="str">
        <f t="shared" si="17"/>
        <v>Escobedo → Escobedo</v>
      </c>
      <c r="AE1110" t="s">
        <v>1357</v>
      </c>
      <c r="AF1110" s="4">
        <v>45992</v>
      </c>
      <c r="AG1110" t="str">
        <f>YEAR(Table1[[#This Row],[Fecha]])&amp;" - " &amp;UPPER(TEXT(Table1[[#This Row],[Fecha]],"mm-mmm"))</f>
        <v>2025 - 12-DIC</v>
      </c>
      <c r="AH1110" s="5">
        <v>0</v>
      </c>
    </row>
    <row r="1111" spans="1:34" x14ac:dyDescent="0.25">
      <c r="A1111" t="s">
        <v>1114</v>
      </c>
      <c r="B1111">
        <v>2025</v>
      </c>
      <c r="C1111">
        <v>12</v>
      </c>
      <c r="D1111" s="1">
        <v>46011</v>
      </c>
      <c r="E1111" s="1">
        <v>46011</v>
      </c>
      <c r="F1111" s="1">
        <v>46011</v>
      </c>
      <c r="G1111" s="1">
        <v>46011</v>
      </c>
      <c r="H1111" s="1">
        <v>46016</v>
      </c>
      <c r="I1111">
        <v>2421</v>
      </c>
      <c r="J1111" t="s">
        <v>30</v>
      </c>
      <c r="K1111" t="s">
        <v>31</v>
      </c>
      <c r="L1111">
        <v>50</v>
      </c>
      <c r="M1111">
        <v>50</v>
      </c>
      <c r="N1111" t="s">
        <v>1115</v>
      </c>
      <c r="O1111">
        <v>1</v>
      </c>
      <c r="P1111">
        <v>150</v>
      </c>
      <c r="Q1111" t="b">
        <v>1</v>
      </c>
      <c r="R1111" t="b">
        <v>0</v>
      </c>
      <c r="S1111" t="b">
        <v>0</v>
      </c>
      <c r="T1111">
        <v>231</v>
      </c>
      <c r="U1111">
        <v>0</v>
      </c>
      <c r="V1111" t="s">
        <v>33</v>
      </c>
      <c r="W1111" t="s">
        <v>33</v>
      </c>
      <c r="X1111">
        <v>50</v>
      </c>
      <c r="Y1111">
        <v>359</v>
      </c>
      <c r="Z1111" t="s">
        <v>34</v>
      </c>
      <c r="AA1111">
        <v>359</v>
      </c>
      <c r="AB1111" t="s">
        <v>121</v>
      </c>
      <c r="AC1111" t="s">
        <v>121</v>
      </c>
      <c r="AD1111" t="str">
        <f t="shared" si="17"/>
        <v>Escobedo → Escobedo</v>
      </c>
      <c r="AE1111" t="s">
        <v>1357</v>
      </c>
      <c r="AF1111" s="4">
        <v>45992</v>
      </c>
      <c r="AG1111" t="str">
        <f>YEAR(Table1[[#This Row],[Fecha]])&amp;" - " &amp;UPPER(TEXT(Table1[[#This Row],[Fecha]],"mm-mmm"))</f>
        <v>2025 - 12-DIC</v>
      </c>
      <c r="AH1111" s="5">
        <v>0</v>
      </c>
    </row>
    <row r="1112" spans="1:34" x14ac:dyDescent="0.25">
      <c r="A1112" t="s">
        <v>1116</v>
      </c>
      <c r="B1112">
        <v>2025</v>
      </c>
      <c r="C1112">
        <v>12</v>
      </c>
      <c r="D1112" s="1">
        <v>46011</v>
      </c>
      <c r="E1112" s="1">
        <v>46011</v>
      </c>
      <c r="F1112" s="1">
        <v>46011</v>
      </c>
      <c r="G1112" s="1">
        <v>46011</v>
      </c>
      <c r="H1112" s="1">
        <v>46013</v>
      </c>
      <c r="I1112">
        <v>2420</v>
      </c>
      <c r="J1112" t="s">
        <v>30</v>
      </c>
      <c r="K1112" t="s">
        <v>31</v>
      </c>
      <c r="L1112">
        <v>50</v>
      </c>
      <c r="M1112">
        <v>50</v>
      </c>
      <c r="N1112" t="s">
        <v>1117</v>
      </c>
      <c r="O1112">
        <v>1</v>
      </c>
      <c r="P1112">
        <v>150</v>
      </c>
      <c r="Q1112" t="b">
        <v>1</v>
      </c>
      <c r="R1112" t="b">
        <v>0</v>
      </c>
      <c r="S1112" t="b">
        <v>0</v>
      </c>
      <c r="T1112">
        <v>231</v>
      </c>
      <c r="U1112">
        <v>0</v>
      </c>
      <c r="V1112" t="s">
        <v>33</v>
      </c>
      <c r="W1112" t="s">
        <v>33</v>
      </c>
      <c r="X1112">
        <v>50</v>
      </c>
      <c r="Y1112">
        <v>359</v>
      </c>
      <c r="Z1112" t="s">
        <v>34</v>
      </c>
      <c r="AA1112">
        <v>359</v>
      </c>
      <c r="AB1112" t="s">
        <v>121</v>
      </c>
      <c r="AC1112" t="s">
        <v>121</v>
      </c>
      <c r="AD1112" t="str">
        <f t="shared" si="17"/>
        <v>Escobedo → Escobedo</v>
      </c>
      <c r="AE1112" t="s">
        <v>1357</v>
      </c>
      <c r="AF1112" s="4">
        <v>45992</v>
      </c>
      <c r="AG1112" t="str">
        <f>YEAR(Table1[[#This Row],[Fecha]])&amp;" - " &amp;UPPER(TEXT(Table1[[#This Row],[Fecha]],"mm-mmm"))</f>
        <v>2025 - 12-DIC</v>
      </c>
      <c r="AH1112" s="5">
        <v>0</v>
      </c>
    </row>
    <row r="1113" spans="1:34" x14ac:dyDescent="0.25">
      <c r="A1113" t="s">
        <v>1118</v>
      </c>
      <c r="B1113">
        <v>2025</v>
      </c>
      <c r="C1113">
        <v>12</v>
      </c>
      <c r="D1113" s="1">
        <v>46011</v>
      </c>
      <c r="E1113" s="1">
        <v>46011</v>
      </c>
      <c r="F1113" s="1">
        <v>46011</v>
      </c>
      <c r="G1113" s="1">
        <v>46011</v>
      </c>
      <c r="H1113" s="1">
        <v>46015</v>
      </c>
      <c r="I1113">
        <v>2420</v>
      </c>
      <c r="J1113" t="s">
        <v>30</v>
      </c>
      <c r="K1113" t="s">
        <v>31</v>
      </c>
      <c r="L1113">
        <v>50</v>
      </c>
      <c r="M1113">
        <v>50</v>
      </c>
      <c r="N1113" t="s">
        <v>1117</v>
      </c>
      <c r="O1113">
        <v>1</v>
      </c>
      <c r="P1113">
        <v>150</v>
      </c>
      <c r="Q1113" t="b">
        <v>1</v>
      </c>
      <c r="R1113" t="b">
        <v>0</v>
      </c>
      <c r="S1113" t="b">
        <v>0</v>
      </c>
      <c r="T1113">
        <v>231</v>
      </c>
      <c r="U1113">
        <v>0</v>
      </c>
      <c r="V1113" t="s">
        <v>33</v>
      </c>
      <c r="W1113" t="s">
        <v>33</v>
      </c>
      <c r="X1113">
        <v>50</v>
      </c>
      <c r="Y1113">
        <v>359</v>
      </c>
      <c r="Z1113" t="s">
        <v>34</v>
      </c>
      <c r="AA1113">
        <v>359</v>
      </c>
      <c r="AB1113" t="s">
        <v>121</v>
      </c>
      <c r="AC1113" t="s">
        <v>121</v>
      </c>
      <c r="AD1113" t="str">
        <f t="shared" si="17"/>
        <v>Escobedo → Escobedo</v>
      </c>
      <c r="AE1113" t="s">
        <v>1357</v>
      </c>
      <c r="AF1113" s="4">
        <v>45992</v>
      </c>
      <c r="AG1113" t="str">
        <f>YEAR(Table1[[#This Row],[Fecha]])&amp;" - " &amp;UPPER(TEXT(Table1[[#This Row],[Fecha]],"mm-mmm"))</f>
        <v>2025 - 12-DIC</v>
      </c>
      <c r="AH1113" s="5">
        <v>0</v>
      </c>
    </row>
    <row r="1114" spans="1:34" x14ac:dyDescent="0.25">
      <c r="A1114" t="s">
        <v>1134</v>
      </c>
      <c r="B1114">
        <v>2025</v>
      </c>
      <c r="C1114">
        <v>12</v>
      </c>
      <c r="D1114" s="1">
        <v>46017</v>
      </c>
      <c r="E1114" s="1">
        <v>46017</v>
      </c>
      <c r="F1114" s="1">
        <v>46017</v>
      </c>
      <c r="G1114" s="1">
        <v>46017</v>
      </c>
      <c r="H1114" s="1">
        <v>46017</v>
      </c>
      <c r="I1114">
        <v>2244</v>
      </c>
      <c r="J1114" t="s">
        <v>41</v>
      </c>
      <c r="K1114" t="s">
        <v>42</v>
      </c>
      <c r="L1114">
        <v>50</v>
      </c>
      <c r="M1114">
        <v>50</v>
      </c>
      <c r="N1114" t="s">
        <v>43</v>
      </c>
      <c r="O1114">
        <v>1</v>
      </c>
      <c r="P1114">
        <v>150</v>
      </c>
      <c r="Q1114" t="b">
        <v>1</v>
      </c>
      <c r="R1114" t="b">
        <v>0</v>
      </c>
      <c r="S1114" t="b">
        <v>0</v>
      </c>
      <c r="T1114">
        <v>231</v>
      </c>
      <c r="U1114">
        <v>0</v>
      </c>
      <c r="V1114" t="s">
        <v>33</v>
      </c>
      <c r="W1114" t="s">
        <v>33</v>
      </c>
      <c r="X1114">
        <v>50</v>
      </c>
      <c r="Y1114">
        <v>359</v>
      </c>
      <c r="Z1114" t="s">
        <v>34</v>
      </c>
      <c r="AA1114">
        <v>359</v>
      </c>
      <c r="AB1114" t="s">
        <v>121</v>
      </c>
      <c r="AC1114" t="s">
        <v>121</v>
      </c>
      <c r="AD1114" t="str">
        <f t="shared" si="17"/>
        <v>Escobedo → Escobedo</v>
      </c>
      <c r="AE1114" t="s">
        <v>1359</v>
      </c>
      <c r="AF1114" s="4">
        <v>45992</v>
      </c>
      <c r="AG1114" t="str">
        <f>YEAR(Table1[[#This Row],[Fecha]])&amp;" - " &amp;UPPER(TEXT(Table1[[#This Row],[Fecha]],"mm-mmm"))</f>
        <v>2025 - 12-DIC</v>
      </c>
      <c r="AH1114" s="5">
        <v>0</v>
      </c>
    </row>
    <row r="1115" spans="1:34" x14ac:dyDescent="0.25">
      <c r="A1115" t="s">
        <v>1135</v>
      </c>
      <c r="B1115">
        <v>2025</v>
      </c>
      <c r="C1115">
        <v>12</v>
      </c>
      <c r="D1115" s="1">
        <v>46017</v>
      </c>
      <c r="E1115" s="1">
        <v>46017</v>
      </c>
      <c r="F1115" s="1">
        <v>46017</v>
      </c>
      <c r="G1115" s="1">
        <v>46017</v>
      </c>
      <c r="H1115" s="1">
        <v>46017</v>
      </c>
      <c r="I1115">
        <v>2244</v>
      </c>
      <c r="J1115" t="s">
        <v>41</v>
      </c>
      <c r="K1115" t="s">
        <v>42</v>
      </c>
      <c r="L1115">
        <v>50</v>
      </c>
      <c r="M1115">
        <v>50</v>
      </c>
      <c r="N1115" t="s">
        <v>43</v>
      </c>
      <c r="O1115">
        <v>1</v>
      </c>
      <c r="P1115">
        <v>150</v>
      </c>
      <c r="Q1115" t="b">
        <v>1</v>
      </c>
      <c r="R1115" t="b">
        <v>0</v>
      </c>
      <c r="S1115" t="b">
        <v>0</v>
      </c>
      <c r="T1115">
        <v>231</v>
      </c>
      <c r="U1115">
        <v>0</v>
      </c>
      <c r="V1115" t="s">
        <v>33</v>
      </c>
      <c r="W1115" t="s">
        <v>33</v>
      </c>
      <c r="X1115">
        <v>50</v>
      </c>
      <c r="Y1115">
        <v>359</v>
      </c>
      <c r="Z1115" t="s">
        <v>34</v>
      </c>
      <c r="AA1115">
        <v>359</v>
      </c>
      <c r="AB1115" t="s">
        <v>121</v>
      </c>
      <c r="AC1115" t="s">
        <v>121</v>
      </c>
      <c r="AD1115" t="str">
        <f t="shared" si="17"/>
        <v>Escobedo → Escobedo</v>
      </c>
      <c r="AE1115" t="s">
        <v>1359</v>
      </c>
      <c r="AF1115" s="4">
        <v>45992</v>
      </c>
      <c r="AG1115" t="str">
        <f>YEAR(Table1[[#This Row],[Fecha]])&amp;" - " &amp;UPPER(TEXT(Table1[[#This Row],[Fecha]],"mm-mmm"))</f>
        <v>2025 - 12-DIC</v>
      </c>
      <c r="AH1115" s="5">
        <v>0</v>
      </c>
    </row>
    <row r="1116" spans="1:34" x14ac:dyDescent="0.25">
      <c r="A1116" t="s">
        <v>371</v>
      </c>
      <c r="B1116">
        <v>2025</v>
      </c>
      <c r="C1116">
        <v>12</v>
      </c>
      <c r="D1116" s="1">
        <v>45993</v>
      </c>
      <c r="E1116" s="1">
        <v>45993</v>
      </c>
      <c r="F1116" s="1">
        <v>45994</v>
      </c>
      <c r="G1116" s="1">
        <v>45993</v>
      </c>
      <c r="H1116" s="1">
        <v>45993</v>
      </c>
      <c r="I1116">
        <v>2039</v>
      </c>
      <c r="J1116" t="s">
        <v>30</v>
      </c>
      <c r="K1116" t="s">
        <v>31</v>
      </c>
      <c r="L1116">
        <v>842</v>
      </c>
      <c r="M1116">
        <v>842</v>
      </c>
      <c r="N1116" t="s">
        <v>32</v>
      </c>
      <c r="O1116">
        <v>1</v>
      </c>
      <c r="P1116">
        <v>863</v>
      </c>
      <c r="Q1116" t="b">
        <v>1</v>
      </c>
      <c r="R1116" t="b">
        <v>0</v>
      </c>
      <c r="S1116" t="b">
        <v>0</v>
      </c>
      <c r="T1116">
        <v>1213</v>
      </c>
      <c r="U1116">
        <v>0</v>
      </c>
      <c r="V1116" t="s">
        <v>33</v>
      </c>
      <c r="W1116" t="s">
        <v>33</v>
      </c>
      <c r="X1116">
        <v>900</v>
      </c>
      <c r="Y1116">
        <v>1843</v>
      </c>
      <c r="Z1116" t="s">
        <v>123</v>
      </c>
      <c r="AA1116">
        <v>1843</v>
      </c>
      <c r="AB1116" t="s">
        <v>121</v>
      </c>
      <c r="AC1116" t="s">
        <v>364</v>
      </c>
      <c r="AD1116" t="str">
        <f t="shared" si="17"/>
        <v>Escobedo → Mazatlan</v>
      </c>
      <c r="AE1116" t="s">
        <v>1357</v>
      </c>
      <c r="AF1116" s="4">
        <v>45992</v>
      </c>
      <c r="AG1116" t="str">
        <f>YEAR(Table1[[#This Row],[Fecha]])&amp;" - " &amp;UPPER(TEXT(Table1[[#This Row],[Fecha]],"mm-mmm"))</f>
        <v>2025 - 12-DIC</v>
      </c>
      <c r="AH1116" s="5">
        <v>0</v>
      </c>
    </row>
    <row r="1117" spans="1:34" x14ac:dyDescent="0.25">
      <c r="A1117" t="s">
        <v>1137</v>
      </c>
      <c r="B1117">
        <v>2025</v>
      </c>
      <c r="C1117">
        <v>12</v>
      </c>
      <c r="D1117" s="1">
        <v>46017</v>
      </c>
      <c r="E1117" s="1">
        <v>46017</v>
      </c>
      <c r="F1117" s="1">
        <v>46017</v>
      </c>
      <c r="G1117" s="1">
        <v>46017</v>
      </c>
      <c r="H1117" s="2">
        <v>46017.674071909722</v>
      </c>
      <c r="I1117">
        <v>2244</v>
      </c>
      <c r="J1117" t="s">
        <v>54</v>
      </c>
      <c r="K1117" t="s">
        <v>31</v>
      </c>
      <c r="L1117">
        <v>50</v>
      </c>
      <c r="M1117">
        <v>50</v>
      </c>
      <c r="N1117" t="s">
        <v>43</v>
      </c>
      <c r="O1117">
        <v>1</v>
      </c>
      <c r="P1117">
        <v>150</v>
      </c>
      <c r="Q1117" t="b">
        <v>1</v>
      </c>
      <c r="R1117" t="b">
        <v>0</v>
      </c>
      <c r="S1117" t="b">
        <v>0</v>
      </c>
      <c r="T1117">
        <v>231</v>
      </c>
      <c r="U1117">
        <v>0</v>
      </c>
      <c r="V1117" t="s">
        <v>33</v>
      </c>
      <c r="W1117" t="s">
        <v>33</v>
      </c>
      <c r="X1117">
        <v>50</v>
      </c>
      <c r="Y1117">
        <v>359</v>
      </c>
      <c r="Z1117" t="s">
        <v>34</v>
      </c>
      <c r="AA1117">
        <v>359</v>
      </c>
      <c r="AB1117" t="s">
        <v>121</v>
      </c>
      <c r="AC1117" t="s">
        <v>121</v>
      </c>
      <c r="AD1117" t="str">
        <f t="shared" si="17"/>
        <v>Escobedo → Escobedo</v>
      </c>
      <c r="AE1117" t="s">
        <v>1358</v>
      </c>
      <c r="AF1117" s="4">
        <v>45992</v>
      </c>
      <c r="AG1117" t="str">
        <f>YEAR(Table1[[#This Row],[Fecha]])&amp;" - " &amp;UPPER(TEXT(Table1[[#This Row],[Fecha]],"mm-mmm"))</f>
        <v>2025 - 12-DIC</v>
      </c>
      <c r="AH1117" s="5">
        <v>0</v>
      </c>
    </row>
    <row r="1118" spans="1:34" x14ac:dyDescent="0.25">
      <c r="A1118" t="s">
        <v>1138</v>
      </c>
      <c r="B1118">
        <v>2025</v>
      </c>
      <c r="C1118">
        <v>12</v>
      </c>
      <c r="D1118" s="1">
        <v>46017</v>
      </c>
      <c r="E1118" s="1">
        <v>46017</v>
      </c>
      <c r="F1118" s="1">
        <v>46017</v>
      </c>
      <c r="G1118" s="1">
        <v>46017</v>
      </c>
      <c r="H1118" s="2">
        <v>46017.736024386577</v>
      </c>
      <c r="I1118">
        <v>2244</v>
      </c>
      <c r="J1118" t="s">
        <v>54</v>
      </c>
      <c r="K1118" t="s">
        <v>31</v>
      </c>
      <c r="L1118">
        <v>50</v>
      </c>
      <c r="M1118">
        <v>50</v>
      </c>
      <c r="N1118" t="s">
        <v>43</v>
      </c>
      <c r="O1118">
        <v>1</v>
      </c>
      <c r="P1118">
        <v>150</v>
      </c>
      <c r="Q1118" t="b">
        <v>1</v>
      </c>
      <c r="R1118" t="b">
        <v>0</v>
      </c>
      <c r="S1118" t="b">
        <v>0</v>
      </c>
      <c r="T1118">
        <v>231</v>
      </c>
      <c r="U1118">
        <v>0</v>
      </c>
      <c r="V1118" t="s">
        <v>33</v>
      </c>
      <c r="W1118" t="s">
        <v>33</v>
      </c>
      <c r="X1118">
        <v>50</v>
      </c>
      <c r="Y1118">
        <v>359</v>
      </c>
      <c r="Z1118" t="s">
        <v>34</v>
      </c>
      <c r="AA1118">
        <v>359</v>
      </c>
      <c r="AB1118" t="s">
        <v>121</v>
      </c>
      <c r="AC1118" t="s">
        <v>121</v>
      </c>
      <c r="AD1118" t="str">
        <f t="shared" si="17"/>
        <v>Escobedo → Escobedo</v>
      </c>
      <c r="AE1118" t="s">
        <v>1358</v>
      </c>
      <c r="AF1118" s="4">
        <v>45992</v>
      </c>
      <c r="AG1118" t="str">
        <f>YEAR(Table1[[#This Row],[Fecha]])&amp;" - " &amp;UPPER(TEXT(Table1[[#This Row],[Fecha]],"mm-mmm"))</f>
        <v>2025 - 12-DIC</v>
      </c>
      <c r="AH1118" s="5">
        <v>0</v>
      </c>
    </row>
    <row r="1119" spans="1:34" x14ac:dyDescent="0.25">
      <c r="A1119" t="s">
        <v>1139</v>
      </c>
      <c r="B1119">
        <v>2025</v>
      </c>
      <c r="C1119">
        <v>12</v>
      </c>
      <c r="D1119" s="1">
        <v>46017</v>
      </c>
      <c r="E1119" s="1">
        <v>46017</v>
      </c>
      <c r="F1119" s="1">
        <v>46017</v>
      </c>
      <c r="G1119" s="1">
        <v>46017</v>
      </c>
      <c r="H1119" s="2">
        <v>46017.831311076392</v>
      </c>
      <c r="I1119">
        <v>2244</v>
      </c>
      <c r="J1119" t="s">
        <v>54</v>
      </c>
      <c r="K1119" t="s">
        <v>31</v>
      </c>
      <c r="L1119">
        <v>50</v>
      </c>
      <c r="M1119">
        <v>50</v>
      </c>
      <c r="N1119" t="s">
        <v>43</v>
      </c>
      <c r="O1119">
        <v>1</v>
      </c>
      <c r="P1119">
        <v>150</v>
      </c>
      <c r="Q1119" t="b">
        <v>1</v>
      </c>
      <c r="R1119" t="b">
        <v>0</v>
      </c>
      <c r="S1119" t="b">
        <v>0</v>
      </c>
      <c r="T1119">
        <v>231</v>
      </c>
      <c r="U1119">
        <v>0</v>
      </c>
      <c r="V1119" t="s">
        <v>33</v>
      </c>
      <c r="W1119" t="s">
        <v>33</v>
      </c>
      <c r="X1119">
        <v>50</v>
      </c>
      <c r="Y1119">
        <v>359</v>
      </c>
      <c r="Z1119" t="s">
        <v>34</v>
      </c>
      <c r="AA1119">
        <v>359</v>
      </c>
      <c r="AB1119" t="s">
        <v>121</v>
      </c>
      <c r="AC1119" t="s">
        <v>121</v>
      </c>
      <c r="AD1119" t="str">
        <f t="shared" si="17"/>
        <v>Escobedo → Escobedo</v>
      </c>
      <c r="AE1119" t="s">
        <v>1358</v>
      </c>
      <c r="AF1119" s="4">
        <v>45992</v>
      </c>
      <c r="AG1119" t="str">
        <f>YEAR(Table1[[#This Row],[Fecha]])&amp;" - " &amp;UPPER(TEXT(Table1[[#This Row],[Fecha]],"mm-mmm"))</f>
        <v>2025 - 12-DIC</v>
      </c>
      <c r="AH1119" s="5">
        <v>0</v>
      </c>
    </row>
    <row r="1120" spans="1:34" x14ac:dyDescent="0.25">
      <c r="A1120" t="s">
        <v>1140</v>
      </c>
      <c r="B1120">
        <v>2025</v>
      </c>
      <c r="C1120">
        <v>12</v>
      </c>
      <c r="D1120" s="1">
        <v>46017</v>
      </c>
      <c r="E1120" s="1">
        <v>46017</v>
      </c>
      <c r="F1120" s="1">
        <v>46017</v>
      </c>
      <c r="G1120" s="1">
        <v>46017</v>
      </c>
      <c r="H1120" s="2">
        <v>46017.887022337964</v>
      </c>
      <c r="I1120">
        <v>2244</v>
      </c>
      <c r="J1120" t="s">
        <v>54</v>
      </c>
      <c r="K1120" t="s">
        <v>31</v>
      </c>
      <c r="L1120">
        <v>50</v>
      </c>
      <c r="M1120">
        <v>50</v>
      </c>
      <c r="N1120" t="s">
        <v>43</v>
      </c>
      <c r="O1120">
        <v>1</v>
      </c>
      <c r="P1120">
        <v>150</v>
      </c>
      <c r="Q1120" t="b">
        <v>1</v>
      </c>
      <c r="R1120" t="b">
        <v>0</v>
      </c>
      <c r="S1120" t="b">
        <v>0</v>
      </c>
      <c r="T1120">
        <v>231</v>
      </c>
      <c r="U1120">
        <v>0</v>
      </c>
      <c r="V1120" t="s">
        <v>33</v>
      </c>
      <c r="W1120" t="s">
        <v>33</v>
      </c>
      <c r="X1120">
        <v>50</v>
      </c>
      <c r="Y1120">
        <v>359</v>
      </c>
      <c r="Z1120" t="s">
        <v>34</v>
      </c>
      <c r="AA1120">
        <v>359</v>
      </c>
      <c r="AB1120" t="s">
        <v>121</v>
      </c>
      <c r="AC1120" t="s">
        <v>121</v>
      </c>
      <c r="AD1120" t="str">
        <f t="shared" si="17"/>
        <v>Escobedo → Escobedo</v>
      </c>
      <c r="AE1120" t="s">
        <v>1358</v>
      </c>
      <c r="AF1120" s="4">
        <v>45992</v>
      </c>
      <c r="AG1120" t="str">
        <f>YEAR(Table1[[#This Row],[Fecha]])&amp;" - " &amp;UPPER(TEXT(Table1[[#This Row],[Fecha]],"mm-mmm"))</f>
        <v>2025 - 12-DIC</v>
      </c>
      <c r="AH1120" s="5">
        <v>0</v>
      </c>
    </row>
    <row r="1121" spans="1:34" x14ac:dyDescent="0.25">
      <c r="A1121" t="s">
        <v>1141</v>
      </c>
      <c r="B1121">
        <v>2025</v>
      </c>
      <c r="C1121">
        <v>12</v>
      </c>
      <c r="D1121" s="1">
        <v>46017</v>
      </c>
      <c r="E1121" s="1">
        <v>46017</v>
      </c>
      <c r="F1121" s="1">
        <v>46017</v>
      </c>
      <c r="G1121" s="1">
        <v>46017</v>
      </c>
      <c r="H1121" s="2">
        <v>46018.263928553242</v>
      </c>
      <c r="I1121">
        <v>2244</v>
      </c>
      <c r="J1121" t="s">
        <v>54</v>
      </c>
      <c r="K1121" t="s">
        <v>31</v>
      </c>
      <c r="L1121">
        <v>50</v>
      </c>
      <c r="M1121">
        <v>50</v>
      </c>
      <c r="N1121" t="s">
        <v>43</v>
      </c>
      <c r="O1121">
        <v>1</v>
      </c>
      <c r="P1121">
        <v>150</v>
      </c>
      <c r="Q1121" t="b">
        <v>1</v>
      </c>
      <c r="R1121" t="b">
        <v>0</v>
      </c>
      <c r="S1121" t="b">
        <v>0</v>
      </c>
      <c r="T1121">
        <v>231</v>
      </c>
      <c r="U1121">
        <v>0</v>
      </c>
      <c r="V1121" t="s">
        <v>33</v>
      </c>
      <c r="W1121" t="s">
        <v>33</v>
      </c>
      <c r="X1121">
        <v>50</v>
      </c>
      <c r="Y1121">
        <v>359</v>
      </c>
      <c r="Z1121" t="s">
        <v>34</v>
      </c>
      <c r="AA1121">
        <v>359</v>
      </c>
      <c r="AB1121" t="s">
        <v>121</v>
      </c>
      <c r="AC1121" t="s">
        <v>121</v>
      </c>
      <c r="AD1121" t="str">
        <f t="shared" si="17"/>
        <v>Escobedo → Escobedo</v>
      </c>
      <c r="AE1121" t="s">
        <v>1358</v>
      </c>
      <c r="AF1121" s="4">
        <v>45992</v>
      </c>
      <c r="AG1121" t="str">
        <f>YEAR(Table1[[#This Row],[Fecha]])&amp;" - " &amp;UPPER(TEXT(Table1[[#This Row],[Fecha]],"mm-mmm"))</f>
        <v>2025 - 12-DIC</v>
      </c>
      <c r="AH1121" s="5">
        <v>0</v>
      </c>
    </row>
    <row r="1122" spans="1:34" x14ac:dyDescent="0.25">
      <c r="A1122" t="s">
        <v>1142</v>
      </c>
      <c r="B1122">
        <v>2025</v>
      </c>
      <c r="C1122">
        <v>12</v>
      </c>
      <c r="D1122" s="1">
        <v>46018</v>
      </c>
      <c r="E1122" s="1">
        <v>46018</v>
      </c>
      <c r="F1122" s="1">
        <v>46018</v>
      </c>
      <c r="G1122" s="1">
        <v>46018</v>
      </c>
      <c r="H1122" s="2">
        <v>46018.548013194442</v>
      </c>
      <c r="I1122">
        <v>2244</v>
      </c>
      <c r="J1122" t="s">
        <v>54</v>
      </c>
      <c r="K1122" t="s">
        <v>31</v>
      </c>
      <c r="L1122">
        <v>50</v>
      </c>
      <c r="M1122">
        <v>50</v>
      </c>
      <c r="N1122" t="s">
        <v>43</v>
      </c>
      <c r="O1122">
        <v>1</v>
      </c>
      <c r="P1122">
        <v>150</v>
      </c>
      <c r="Q1122" t="b">
        <v>1</v>
      </c>
      <c r="R1122" t="b">
        <v>0</v>
      </c>
      <c r="S1122" t="b">
        <v>0</v>
      </c>
      <c r="T1122">
        <v>231</v>
      </c>
      <c r="U1122">
        <v>0</v>
      </c>
      <c r="V1122" t="s">
        <v>33</v>
      </c>
      <c r="W1122" t="s">
        <v>33</v>
      </c>
      <c r="X1122">
        <v>50</v>
      </c>
      <c r="Y1122">
        <v>359</v>
      </c>
      <c r="Z1122" t="s">
        <v>34</v>
      </c>
      <c r="AA1122">
        <v>359</v>
      </c>
      <c r="AB1122" t="s">
        <v>121</v>
      </c>
      <c r="AC1122" t="s">
        <v>121</v>
      </c>
      <c r="AD1122" t="str">
        <f t="shared" si="17"/>
        <v>Escobedo → Escobedo</v>
      </c>
      <c r="AE1122" t="s">
        <v>1358</v>
      </c>
      <c r="AF1122" s="4">
        <v>45992</v>
      </c>
      <c r="AG1122" t="str">
        <f>YEAR(Table1[[#This Row],[Fecha]])&amp;" - " &amp;UPPER(TEXT(Table1[[#This Row],[Fecha]],"mm-mmm"))</f>
        <v>2025 - 12-DIC</v>
      </c>
      <c r="AH1122" s="5">
        <v>0</v>
      </c>
    </row>
    <row r="1123" spans="1:34" x14ac:dyDescent="0.25">
      <c r="A1123" t="s">
        <v>1143</v>
      </c>
      <c r="B1123">
        <v>2025</v>
      </c>
      <c r="C1123">
        <v>12</v>
      </c>
      <c r="D1123" s="1">
        <v>46018</v>
      </c>
      <c r="E1123" s="1">
        <v>46018</v>
      </c>
      <c r="F1123" s="1">
        <v>46018</v>
      </c>
      <c r="G1123" s="1">
        <v>46018</v>
      </c>
      <c r="H1123" s="2">
        <v>46018.401172534723</v>
      </c>
      <c r="I1123">
        <v>2244</v>
      </c>
      <c r="J1123" t="s">
        <v>54</v>
      </c>
      <c r="K1123" t="s">
        <v>31</v>
      </c>
      <c r="L1123">
        <v>50</v>
      </c>
      <c r="M1123">
        <v>50</v>
      </c>
      <c r="N1123" t="s">
        <v>43</v>
      </c>
      <c r="O1123">
        <v>1</v>
      </c>
      <c r="P1123">
        <v>150</v>
      </c>
      <c r="Q1123" t="b">
        <v>1</v>
      </c>
      <c r="R1123" t="b">
        <v>0</v>
      </c>
      <c r="S1123" t="b">
        <v>0</v>
      </c>
      <c r="T1123">
        <v>231</v>
      </c>
      <c r="U1123">
        <v>0</v>
      </c>
      <c r="V1123" t="s">
        <v>33</v>
      </c>
      <c r="W1123" t="s">
        <v>33</v>
      </c>
      <c r="X1123">
        <v>50</v>
      </c>
      <c r="Y1123">
        <v>359</v>
      </c>
      <c r="Z1123" t="s">
        <v>34</v>
      </c>
      <c r="AA1123">
        <v>359</v>
      </c>
      <c r="AB1123" t="s">
        <v>121</v>
      </c>
      <c r="AC1123" t="s">
        <v>121</v>
      </c>
      <c r="AD1123" t="str">
        <f t="shared" si="17"/>
        <v>Escobedo → Escobedo</v>
      </c>
      <c r="AE1123" t="s">
        <v>1358</v>
      </c>
      <c r="AF1123" s="4">
        <v>45992</v>
      </c>
      <c r="AG1123" t="str">
        <f>YEAR(Table1[[#This Row],[Fecha]])&amp;" - " &amp;UPPER(TEXT(Table1[[#This Row],[Fecha]],"mm-mmm"))</f>
        <v>2025 - 12-DIC</v>
      </c>
      <c r="AH1123" s="5">
        <v>0</v>
      </c>
    </row>
    <row r="1124" spans="1:34" x14ac:dyDescent="0.25">
      <c r="A1124" t="s">
        <v>1144</v>
      </c>
      <c r="B1124">
        <v>2025</v>
      </c>
      <c r="C1124">
        <v>12</v>
      </c>
      <c r="D1124" s="1">
        <v>46018</v>
      </c>
      <c r="E1124" s="1">
        <v>46018</v>
      </c>
      <c r="F1124" s="1">
        <v>46018</v>
      </c>
      <c r="G1124" s="1">
        <v>46018</v>
      </c>
      <c r="H1124" s="2">
        <v>46018.401442708331</v>
      </c>
      <c r="I1124">
        <v>2244</v>
      </c>
      <c r="J1124" t="s">
        <v>54</v>
      </c>
      <c r="K1124" t="s">
        <v>31</v>
      </c>
      <c r="L1124">
        <v>50</v>
      </c>
      <c r="M1124">
        <v>50</v>
      </c>
      <c r="N1124" t="s">
        <v>43</v>
      </c>
      <c r="O1124">
        <v>1</v>
      </c>
      <c r="P1124">
        <v>150</v>
      </c>
      <c r="Q1124" t="b">
        <v>1</v>
      </c>
      <c r="R1124" t="b">
        <v>0</v>
      </c>
      <c r="S1124" t="b">
        <v>0</v>
      </c>
      <c r="T1124">
        <v>231</v>
      </c>
      <c r="U1124">
        <v>0</v>
      </c>
      <c r="V1124" t="s">
        <v>33</v>
      </c>
      <c r="W1124" t="s">
        <v>33</v>
      </c>
      <c r="X1124">
        <v>50</v>
      </c>
      <c r="Y1124">
        <v>359</v>
      </c>
      <c r="Z1124" t="s">
        <v>34</v>
      </c>
      <c r="AA1124">
        <v>359</v>
      </c>
      <c r="AB1124" t="s">
        <v>121</v>
      </c>
      <c r="AC1124" t="s">
        <v>121</v>
      </c>
      <c r="AD1124" t="str">
        <f t="shared" si="17"/>
        <v>Escobedo → Escobedo</v>
      </c>
      <c r="AE1124" t="s">
        <v>1358</v>
      </c>
      <c r="AF1124" s="4">
        <v>45992</v>
      </c>
      <c r="AG1124" t="str">
        <f>YEAR(Table1[[#This Row],[Fecha]])&amp;" - " &amp;UPPER(TEXT(Table1[[#This Row],[Fecha]],"mm-mmm"))</f>
        <v>2025 - 12-DIC</v>
      </c>
      <c r="AH1124" s="5">
        <v>0</v>
      </c>
    </row>
    <row r="1125" spans="1:34" x14ac:dyDescent="0.25">
      <c r="A1125" t="s">
        <v>1145</v>
      </c>
      <c r="B1125">
        <v>2025</v>
      </c>
      <c r="C1125">
        <v>12</v>
      </c>
      <c r="D1125" s="1">
        <v>46018</v>
      </c>
      <c r="E1125" s="1">
        <v>46018</v>
      </c>
      <c r="F1125" s="1">
        <v>46018</v>
      </c>
      <c r="G1125" s="1">
        <v>46018</v>
      </c>
      <c r="H1125" s="2">
        <v>46018.401691053237</v>
      </c>
      <c r="I1125">
        <v>2244</v>
      </c>
      <c r="J1125" t="s">
        <v>54</v>
      </c>
      <c r="K1125" t="s">
        <v>31</v>
      </c>
      <c r="L1125">
        <v>50</v>
      </c>
      <c r="M1125">
        <v>50</v>
      </c>
      <c r="N1125" t="s">
        <v>43</v>
      </c>
      <c r="O1125">
        <v>1</v>
      </c>
      <c r="P1125">
        <v>150</v>
      </c>
      <c r="Q1125" t="b">
        <v>1</v>
      </c>
      <c r="R1125" t="b">
        <v>0</v>
      </c>
      <c r="S1125" t="b">
        <v>0</v>
      </c>
      <c r="T1125">
        <v>231</v>
      </c>
      <c r="U1125">
        <v>0</v>
      </c>
      <c r="V1125" t="s">
        <v>33</v>
      </c>
      <c r="W1125" t="s">
        <v>33</v>
      </c>
      <c r="X1125">
        <v>50</v>
      </c>
      <c r="Y1125">
        <v>359</v>
      </c>
      <c r="Z1125" t="s">
        <v>34</v>
      </c>
      <c r="AA1125">
        <v>359</v>
      </c>
      <c r="AB1125" t="s">
        <v>121</v>
      </c>
      <c r="AC1125" t="s">
        <v>121</v>
      </c>
      <c r="AD1125" t="str">
        <f t="shared" si="17"/>
        <v>Escobedo → Escobedo</v>
      </c>
      <c r="AE1125" t="s">
        <v>1358</v>
      </c>
      <c r="AF1125" s="4">
        <v>45992</v>
      </c>
      <c r="AG1125" t="str">
        <f>YEAR(Table1[[#This Row],[Fecha]])&amp;" - " &amp;UPPER(TEXT(Table1[[#This Row],[Fecha]],"mm-mmm"))</f>
        <v>2025 - 12-DIC</v>
      </c>
      <c r="AH1125" s="5">
        <v>0</v>
      </c>
    </row>
    <row r="1126" spans="1:34" x14ac:dyDescent="0.25">
      <c r="A1126" t="s">
        <v>1146</v>
      </c>
      <c r="B1126">
        <v>2025</v>
      </c>
      <c r="C1126">
        <v>12</v>
      </c>
      <c r="D1126" s="1">
        <v>46018</v>
      </c>
      <c r="E1126" s="1">
        <v>46018</v>
      </c>
      <c r="F1126" s="1">
        <v>46018</v>
      </c>
      <c r="G1126" s="1">
        <v>46018</v>
      </c>
      <c r="H1126" s="2">
        <v>46018.402067048613</v>
      </c>
      <c r="I1126">
        <v>2244</v>
      </c>
      <c r="J1126" t="s">
        <v>54</v>
      </c>
      <c r="K1126" t="s">
        <v>31</v>
      </c>
      <c r="L1126">
        <v>50</v>
      </c>
      <c r="M1126">
        <v>50</v>
      </c>
      <c r="N1126" t="s">
        <v>43</v>
      </c>
      <c r="O1126">
        <v>1</v>
      </c>
      <c r="P1126">
        <v>150</v>
      </c>
      <c r="Q1126" t="b">
        <v>1</v>
      </c>
      <c r="R1126" t="b">
        <v>0</v>
      </c>
      <c r="S1126" t="b">
        <v>0</v>
      </c>
      <c r="T1126">
        <v>231</v>
      </c>
      <c r="U1126">
        <v>0</v>
      </c>
      <c r="V1126" t="s">
        <v>33</v>
      </c>
      <c r="W1126" t="s">
        <v>33</v>
      </c>
      <c r="X1126">
        <v>50</v>
      </c>
      <c r="Y1126">
        <v>359</v>
      </c>
      <c r="Z1126" t="s">
        <v>34</v>
      </c>
      <c r="AA1126">
        <v>359</v>
      </c>
      <c r="AB1126" t="s">
        <v>121</v>
      </c>
      <c r="AC1126" t="s">
        <v>121</v>
      </c>
      <c r="AD1126" t="str">
        <f t="shared" si="17"/>
        <v>Escobedo → Escobedo</v>
      </c>
      <c r="AE1126" t="s">
        <v>1358</v>
      </c>
      <c r="AF1126" s="4">
        <v>45992</v>
      </c>
      <c r="AG1126" t="str">
        <f>YEAR(Table1[[#This Row],[Fecha]])&amp;" - " &amp;UPPER(TEXT(Table1[[#This Row],[Fecha]],"mm-mmm"))</f>
        <v>2025 - 12-DIC</v>
      </c>
      <c r="AH1126" s="5">
        <v>0</v>
      </c>
    </row>
    <row r="1127" spans="1:34" x14ac:dyDescent="0.25">
      <c r="A1127" t="s">
        <v>1147</v>
      </c>
      <c r="B1127">
        <v>2025</v>
      </c>
      <c r="C1127">
        <v>12</v>
      </c>
      <c r="D1127" s="1">
        <v>46019</v>
      </c>
      <c r="E1127" s="1">
        <v>46019</v>
      </c>
      <c r="F1127" s="1">
        <v>46019</v>
      </c>
      <c r="G1127" s="1">
        <v>46019</v>
      </c>
      <c r="H1127" s="2">
        <v>46019.608856250001</v>
      </c>
      <c r="I1127">
        <v>2244</v>
      </c>
      <c r="J1127" t="s">
        <v>54</v>
      </c>
      <c r="K1127" t="s">
        <v>31</v>
      </c>
      <c r="L1127">
        <v>50</v>
      </c>
      <c r="M1127">
        <v>50</v>
      </c>
      <c r="N1127" t="s">
        <v>43</v>
      </c>
      <c r="O1127">
        <v>1</v>
      </c>
      <c r="P1127">
        <v>150</v>
      </c>
      <c r="Q1127" t="b">
        <v>1</v>
      </c>
      <c r="R1127" t="b">
        <v>0</v>
      </c>
      <c r="S1127" t="b">
        <v>0</v>
      </c>
      <c r="T1127">
        <v>0</v>
      </c>
      <c r="U1127">
        <v>0</v>
      </c>
      <c r="V1127" t="s">
        <v>33</v>
      </c>
      <c r="W1127" t="s">
        <v>33</v>
      </c>
      <c r="X1127">
        <v>50</v>
      </c>
      <c r="Y1127">
        <v>359</v>
      </c>
      <c r="Z1127" t="s">
        <v>34</v>
      </c>
      <c r="AA1127">
        <v>359</v>
      </c>
      <c r="AB1127" t="s">
        <v>121</v>
      </c>
      <c r="AC1127" t="s">
        <v>121</v>
      </c>
      <c r="AD1127" t="str">
        <f t="shared" si="17"/>
        <v>Escobedo → Escobedo</v>
      </c>
      <c r="AE1127" t="s">
        <v>1358</v>
      </c>
      <c r="AF1127" s="4">
        <v>45992</v>
      </c>
      <c r="AG1127" t="str">
        <f>YEAR(Table1[[#This Row],[Fecha]])&amp;" - " &amp;UPPER(TEXT(Table1[[#This Row],[Fecha]],"mm-mmm"))</f>
        <v>2025 - 12-DIC</v>
      </c>
      <c r="AH1127" s="5">
        <v>0</v>
      </c>
    </row>
    <row r="1128" spans="1:34" x14ac:dyDescent="0.25">
      <c r="A1128" t="s">
        <v>1148</v>
      </c>
      <c r="B1128">
        <v>2025</v>
      </c>
      <c r="C1128">
        <v>12</v>
      </c>
      <c r="D1128" s="1">
        <v>46020</v>
      </c>
      <c r="E1128" s="1">
        <v>46020</v>
      </c>
      <c r="F1128" s="1">
        <v>46020</v>
      </c>
      <c r="G1128" s="1">
        <v>46020</v>
      </c>
      <c r="H1128" s="1">
        <v>46020</v>
      </c>
      <c r="I1128">
        <v>2039</v>
      </c>
      <c r="J1128" t="s">
        <v>30</v>
      </c>
      <c r="K1128" t="s">
        <v>31</v>
      </c>
      <c r="L1128">
        <v>50</v>
      </c>
      <c r="M1128">
        <v>50</v>
      </c>
      <c r="N1128" t="s">
        <v>32</v>
      </c>
      <c r="O1128">
        <v>1</v>
      </c>
      <c r="P1128">
        <v>150</v>
      </c>
      <c r="Q1128" t="b">
        <v>1</v>
      </c>
      <c r="R1128" t="b">
        <v>0</v>
      </c>
      <c r="S1128" t="b">
        <v>0</v>
      </c>
      <c r="T1128">
        <v>231</v>
      </c>
      <c r="U1128">
        <v>0</v>
      </c>
      <c r="V1128" t="s">
        <v>33</v>
      </c>
      <c r="W1128" t="s">
        <v>33</v>
      </c>
      <c r="X1128">
        <v>50</v>
      </c>
      <c r="Y1128">
        <v>359</v>
      </c>
      <c r="Z1128" t="s">
        <v>34</v>
      </c>
      <c r="AA1128">
        <v>359</v>
      </c>
      <c r="AB1128" t="s">
        <v>121</v>
      </c>
      <c r="AC1128" t="s">
        <v>121</v>
      </c>
      <c r="AD1128" t="str">
        <f t="shared" si="17"/>
        <v>Escobedo → Escobedo</v>
      </c>
      <c r="AE1128" t="s">
        <v>1357</v>
      </c>
      <c r="AF1128" s="4">
        <v>45992</v>
      </c>
      <c r="AG1128" t="str">
        <f>YEAR(Table1[[#This Row],[Fecha]])&amp;" - " &amp;UPPER(TEXT(Table1[[#This Row],[Fecha]],"mm-mmm"))</f>
        <v>2025 - 12-DIC</v>
      </c>
      <c r="AH1128" s="5">
        <v>0</v>
      </c>
    </row>
    <row r="1129" spans="1:34" x14ac:dyDescent="0.25">
      <c r="A1129" t="s">
        <v>1149</v>
      </c>
      <c r="B1129">
        <v>2025</v>
      </c>
      <c r="C1129">
        <v>12</v>
      </c>
      <c r="D1129" s="1">
        <v>46020</v>
      </c>
      <c r="E1129" s="1">
        <v>46020</v>
      </c>
      <c r="F1129" s="1">
        <v>46020</v>
      </c>
      <c r="G1129" s="1">
        <v>46020</v>
      </c>
      <c r="H1129" s="1">
        <v>46020</v>
      </c>
      <c r="I1129">
        <v>2039</v>
      </c>
      <c r="J1129" t="s">
        <v>30</v>
      </c>
      <c r="K1129" t="s">
        <v>31</v>
      </c>
      <c r="L1129">
        <v>50</v>
      </c>
      <c r="M1129">
        <v>50</v>
      </c>
      <c r="N1129" t="s">
        <v>32</v>
      </c>
      <c r="O1129">
        <v>1</v>
      </c>
      <c r="P1129">
        <v>150</v>
      </c>
      <c r="Q1129" t="b">
        <v>1</v>
      </c>
      <c r="R1129" t="b">
        <v>0</v>
      </c>
      <c r="S1129" t="b">
        <v>0</v>
      </c>
      <c r="T1129">
        <v>231</v>
      </c>
      <c r="U1129">
        <v>0</v>
      </c>
      <c r="V1129" t="s">
        <v>33</v>
      </c>
      <c r="W1129" t="s">
        <v>33</v>
      </c>
      <c r="X1129">
        <v>50</v>
      </c>
      <c r="Y1129">
        <v>359</v>
      </c>
      <c r="Z1129" t="s">
        <v>34</v>
      </c>
      <c r="AA1129">
        <v>359</v>
      </c>
      <c r="AB1129" t="s">
        <v>121</v>
      </c>
      <c r="AC1129" t="s">
        <v>121</v>
      </c>
      <c r="AD1129" t="str">
        <f t="shared" si="17"/>
        <v>Escobedo → Escobedo</v>
      </c>
      <c r="AE1129" t="s">
        <v>1357</v>
      </c>
      <c r="AF1129" s="4">
        <v>45992</v>
      </c>
      <c r="AG1129" t="str">
        <f>YEAR(Table1[[#This Row],[Fecha]])&amp;" - " &amp;UPPER(TEXT(Table1[[#This Row],[Fecha]],"mm-mmm"))</f>
        <v>2025 - 12-DIC</v>
      </c>
      <c r="AH1129" s="5">
        <v>0</v>
      </c>
    </row>
    <row r="1130" spans="1:34" x14ac:dyDescent="0.25">
      <c r="A1130" t="s">
        <v>1150</v>
      </c>
      <c r="B1130">
        <v>2025</v>
      </c>
      <c r="C1130">
        <v>12</v>
      </c>
      <c r="D1130" s="1">
        <v>46020</v>
      </c>
      <c r="E1130" s="1">
        <v>46020</v>
      </c>
      <c r="F1130" s="1">
        <v>46020</v>
      </c>
      <c r="G1130" s="1">
        <v>46020</v>
      </c>
      <c r="H1130" s="1">
        <v>46020</v>
      </c>
      <c r="I1130">
        <v>2039</v>
      </c>
      <c r="J1130" t="s">
        <v>30</v>
      </c>
      <c r="K1130" t="s">
        <v>31</v>
      </c>
      <c r="L1130">
        <v>50</v>
      </c>
      <c r="M1130">
        <v>50</v>
      </c>
      <c r="N1130" t="s">
        <v>32</v>
      </c>
      <c r="O1130">
        <v>1</v>
      </c>
      <c r="P1130">
        <v>150</v>
      </c>
      <c r="Q1130" t="b">
        <v>1</v>
      </c>
      <c r="R1130" t="b">
        <v>0</v>
      </c>
      <c r="S1130" t="b">
        <v>0</v>
      </c>
      <c r="T1130">
        <v>231</v>
      </c>
      <c r="U1130">
        <v>0</v>
      </c>
      <c r="V1130" t="s">
        <v>33</v>
      </c>
      <c r="W1130" t="s">
        <v>33</v>
      </c>
      <c r="X1130">
        <v>50</v>
      </c>
      <c r="Y1130">
        <v>359</v>
      </c>
      <c r="Z1130" t="s">
        <v>34</v>
      </c>
      <c r="AA1130">
        <v>359</v>
      </c>
      <c r="AB1130" t="s">
        <v>121</v>
      </c>
      <c r="AC1130" t="s">
        <v>121</v>
      </c>
      <c r="AD1130" t="str">
        <f t="shared" si="17"/>
        <v>Escobedo → Escobedo</v>
      </c>
      <c r="AE1130" t="s">
        <v>1357</v>
      </c>
      <c r="AF1130" s="4">
        <v>45992</v>
      </c>
      <c r="AG1130" t="str">
        <f>YEAR(Table1[[#This Row],[Fecha]])&amp;" - " &amp;UPPER(TEXT(Table1[[#This Row],[Fecha]],"mm-mmm"))</f>
        <v>2025 - 12-DIC</v>
      </c>
      <c r="AH1130" s="5">
        <v>0</v>
      </c>
    </row>
    <row r="1131" spans="1:34" x14ac:dyDescent="0.25">
      <c r="A1131" t="s">
        <v>1151</v>
      </c>
      <c r="B1131">
        <v>2025</v>
      </c>
      <c r="C1131">
        <v>12</v>
      </c>
      <c r="D1131" s="1">
        <v>46020</v>
      </c>
      <c r="E1131" s="1">
        <v>46020</v>
      </c>
      <c r="F1131" s="1">
        <v>46020</v>
      </c>
      <c r="G1131" s="1">
        <v>46020</v>
      </c>
      <c r="H1131" s="2">
        <v>46020.605186956018</v>
      </c>
      <c r="I1131">
        <v>2244</v>
      </c>
      <c r="J1131" t="s">
        <v>54</v>
      </c>
      <c r="K1131" t="s">
        <v>31</v>
      </c>
      <c r="L1131">
        <v>50</v>
      </c>
      <c r="M1131">
        <v>50</v>
      </c>
      <c r="N1131" t="s">
        <v>43</v>
      </c>
      <c r="O1131">
        <v>1</v>
      </c>
      <c r="P1131">
        <v>150</v>
      </c>
      <c r="Q1131" t="b">
        <v>1</v>
      </c>
      <c r="R1131" t="b">
        <v>0</v>
      </c>
      <c r="S1131" t="b">
        <v>0</v>
      </c>
      <c r="T1131">
        <v>231</v>
      </c>
      <c r="U1131">
        <v>0</v>
      </c>
      <c r="V1131" t="s">
        <v>33</v>
      </c>
      <c r="W1131" t="s">
        <v>33</v>
      </c>
      <c r="X1131">
        <v>50</v>
      </c>
      <c r="Y1131">
        <v>359</v>
      </c>
      <c r="Z1131" t="s">
        <v>34</v>
      </c>
      <c r="AA1131">
        <v>359</v>
      </c>
      <c r="AB1131" t="s">
        <v>121</v>
      </c>
      <c r="AC1131" t="s">
        <v>121</v>
      </c>
      <c r="AD1131" t="str">
        <f t="shared" si="17"/>
        <v>Escobedo → Escobedo</v>
      </c>
      <c r="AE1131" t="s">
        <v>1358</v>
      </c>
      <c r="AF1131" s="4">
        <v>45992</v>
      </c>
      <c r="AG1131" t="str">
        <f>YEAR(Table1[[#This Row],[Fecha]])&amp;" - " &amp;UPPER(TEXT(Table1[[#This Row],[Fecha]],"mm-mmm"))</f>
        <v>2025 - 12-DIC</v>
      </c>
      <c r="AH1131" s="5">
        <v>0</v>
      </c>
    </row>
    <row r="1132" spans="1:34" x14ac:dyDescent="0.25">
      <c r="A1132" t="s">
        <v>1152</v>
      </c>
      <c r="B1132">
        <v>2025</v>
      </c>
      <c r="C1132">
        <v>12</v>
      </c>
      <c r="D1132" s="1">
        <v>46020</v>
      </c>
      <c r="E1132" s="1">
        <v>46020</v>
      </c>
      <c r="F1132" s="1">
        <v>46020</v>
      </c>
      <c r="G1132" s="1">
        <v>46020</v>
      </c>
      <c r="H1132" s="2">
        <v>46020.633527777776</v>
      </c>
      <c r="I1132">
        <v>2244</v>
      </c>
      <c r="J1132" t="s">
        <v>54</v>
      </c>
      <c r="K1132" t="s">
        <v>31</v>
      </c>
      <c r="L1132">
        <v>50</v>
      </c>
      <c r="M1132">
        <v>50</v>
      </c>
      <c r="N1132" t="s">
        <v>43</v>
      </c>
      <c r="O1132">
        <v>1</v>
      </c>
      <c r="P1132">
        <v>150</v>
      </c>
      <c r="Q1132" t="b">
        <v>1</v>
      </c>
      <c r="R1132" t="b">
        <v>0</v>
      </c>
      <c r="S1132" t="b">
        <v>0</v>
      </c>
      <c r="T1132">
        <v>231</v>
      </c>
      <c r="U1132">
        <v>0</v>
      </c>
      <c r="V1132" t="s">
        <v>33</v>
      </c>
      <c r="W1132" t="s">
        <v>33</v>
      </c>
      <c r="X1132">
        <v>50</v>
      </c>
      <c r="Y1132">
        <v>359</v>
      </c>
      <c r="Z1132" t="s">
        <v>34</v>
      </c>
      <c r="AA1132">
        <v>359</v>
      </c>
      <c r="AB1132" t="s">
        <v>121</v>
      </c>
      <c r="AC1132" t="s">
        <v>121</v>
      </c>
      <c r="AD1132" t="str">
        <f t="shared" si="17"/>
        <v>Escobedo → Escobedo</v>
      </c>
      <c r="AE1132" t="s">
        <v>1358</v>
      </c>
      <c r="AF1132" s="4">
        <v>45992</v>
      </c>
      <c r="AG1132" t="str">
        <f>YEAR(Table1[[#This Row],[Fecha]])&amp;" - " &amp;UPPER(TEXT(Table1[[#This Row],[Fecha]],"mm-mmm"))</f>
        <v>2025 - 12-DIC</v>
      </c>
      <c r="AH1132" s="5">
        <v>0</v>
      </c>
    </row>
    <row r="1133" spans="1:34" x14ac:dyDescent="0.25">
      <c r="A1133" t="s">
        <v>1153</v>
      </c>
      <c r="B1133">
        <v>2025</v>
      </c>
      <c r="C1133">
        <v>12</v>
      </c>
      <c r="D1133" s="1">
        <v>46020</v>
      </c>
      <c r="E1133" s="1">
        <v>46020</v>
      </c>
      <c r="F1133" s="1">
        <v>46020</v>
      </c>
      <c r="G1133" s="1">
        <v>46020</v>
      </c>
      <c r="H1133" s="2">
        <v>46020.68910679398</v>
      </c>
      <c r="I1133">
        <v>2244</v>
      </c>
      <c r="J1133" t="s">
        <v>54</v>
      </c>
      <c r="K1133" t="s">
        <v>31</v>
      </c>
      <c r="L1133">
        <v>50</v>
      </c>
      <c r="M1133">
        <v>50</v>
      </c>
      <c r="N1133" t="s">
        <v>43</v>
      </c>
      <c r="O1133">
        <v>1</v>
      </c>
      <c r="P1133">
        <v>150</v>
      </c>
      <c r="Q1133" t="b">
        <v>1</v>
      </c>
      <c r="R1133" t="b">
        <v>0</v>
      </c>
      <c r="S1133" t="b">
        <v>0</v>
      </c>
      <c r="T1133">
        <v>231</v>
      </c>
      <c r="U1133">
        <v>0</v>
      </c>
      <c r="V1133" t="s">
        <v>33</v>
      </c>
      <c r="W1133" t="s">
        <v>33</v>
      </c>
      <c r="X1133">
        <v>50</v>
      </c>
      <c r="Y1133">
        <v>359</v>
      </c>
      <c r="Z1133" t="s">
        <v>34</v>
      </c>
      <c r="AA1133">
        <v>359</v>
      </c>
      <c r="AB1133" t="s">
        <v>121</v>
      </c>
      <c r="AC1133" t="s">
        <v>121</v>
      </c>
      <c r="AD1133" t="str">
        <f t="shared" si="17"/>
        <v>Escobedo → Escobedo</v>
      </c>
      <c r="AE1133" t="s">
        <v>1358</v>
      </c>
      <c r="AF1133" s="4">
        <v>45992</v>
      </c>
      <c r="AG1133" t="str">
        <f>YEAR(Table1[[#This Row],[Fecha]])&amp;" - " &amp;UPPER(TEXT(Table1[[#This Row],[Fecha]],"mm-mmm"))</f>
        <v>2025 - 12-DIC</v>
      </c>
      <c r="AH1133" s="5">
        <v>0</v>
      </c>
    </row>
    <row r="1134" spans="1:34" x14ac:dyDescent="0.25">
      <c r="A1134" t="s">
        <v>1154</v>
      </c>
      <c r="B1134">
        <v>2025</v>
      </c>
      <c r="C1134">
        <v>12</v>
      </c>
      <c r="D1134" s="1">
        <v>45993</v>
      </c>
      <c r="E1134" s="1">
        <v>45993</v>
      </c>
      <c r="F1134" s="1">
        <v>45993</v>
      </c>
      <c r="G1134" s="1">
        <v>45993</v>
      </c>
      <c r="H1134" s="2">
        <v>45994.571569641201</v>
      </c>
      <c r="I1134">
        <v>2039</v>
      </c>
      <c r="J1134" t="s">
        <v>54</v>
      </c>
      <c r="K1134" t="s">
        <v>31</v>
      </c>
      <c r="L1134">
        <v>50</v>
      </c>
      <c r="M1134">
        <v>50</v>
      </c>
      <c r="N1134" t="s">
        <v>32</v>
      </c>
      <c r="O1134">
        <v>1</v>
      </c>
      <c r="P1134">
        <v>150</v>
      </c>
      <c r="Q1134" t="b">
        <v>1</v>
      </c>
      <c r="R1134" t="b">
        <v>0</v>
      </c>
      <c r="S1134" t="b">
        <v>0</v>
      </c>
      <c r="T1134">
        <v>231</v>
      </c>
      <c r="U1134">
        <v>0</v>
      </c>
      <c r="V1134" t="s">
        <v>33</v>
      </c>
      <c r="W1134" t="s">
        <v>33</v>
      </c>
      <c r="X1134">
        <v>50</v>
      </c>
      <c r="Y1134">
        <v>359</v>
      </c>
      <c r="Z1134" t="s">
        <v>34</v>
      </c>
      <c r="AA1134">
        <v>359</v>
      </c>
      <c r="AB1134" t="s">
        <v>121</v>
      </c>
      <c r="AC1134" t="s">
        <v>121</v>
      </c>
      <c r="AD1134" t="str">
        <f t="shared" si="17"/>
        <v>Escobedo → Escobedo</v>
      </c>
      <c r="AE1134" t="s">
        <v>1358</v>
      </c>
      <c r="AF1134" s="4">
        <v>45992</v>
      </c>
      <c r="AG1134" t="str">
        <f>YEAR(Table1[[#This Row],[Fecha]])&amp;" - " &amp;UPPER(TEXT(Table1[[#This Row],[Fecha]],"mm-mmm"))</f>
        <v>2025 - 12-DIC</v>
      </c>
      <c r="AH1134" s="5">
        <v>0</v>
      </c>
    </row>
    <row r="1135" spans="1:34" x14ac:dyDescent="0.25">
      <c r="A1135" t="s">
        <v>309</v>
      </c>
      <c r="B1135">
        <v>2025</v>
      </c>
      <c r="C1135">
        <v>12</v>
      </c>
      <c r="D1135" s="1">
        <v>46020</v>
      </c>
      <c r="E1135" s="1">
        <v>46020</v>
      </c>
      <c r="F1135" s="1">
        <v>46020</v>
      </c>
      <c r="G1135" s="1">
        <v>46020</v>
      </c>
      <c r="H1135" s="1">
        <v>46021</v>
      </c>
      <c r="I1135">
        <v>2039</v>
      </c>
      <c r="J1135" t="s">
        <v>30</v>
      </c>
      <c r="K1135" t="s">
        <v>31</v>
      </c>
      <c r="L1135">
        <v>961</v>
      </c>
      <c r="M1135">
        <v>1059</v>
      </c>
      <c r="N1135" t="s">
        <v>32</v>
      </c>
      <c r="O1135">
        <v>1</v>
      </c>
      <c r="P1135">
        <v>964</v>
      </c>
      <c r="Q1135" t="b">
        <v>1</v>
      </c>
      <c r="R1135" t="b">
        <v>0</v>
      </c>
      <c r="S1135" t="b">
        <v>0</v>
      </c>
      <c r="T1135">
        <v>1494</v>
      </c>
      <c r="U1135">
        <v>0</v>
      </c>
      <c r="V1135" t="s">
        <v>33</v>
      </c>
      <c r="W1135" t="s">
        <v>33</v>
      </c>
      <c r="X1135">
        <v>1100</v>
      </c>
      <c r="Y1135">
        <v>8</v>
      </c>
      <c r="Z1135" t="s">
        <v>156</v>
      </c>
      <c r="AA1135">
        <v>8</v>
      </c>
      <c r="AB1135" t="s">
        <v>121</v>
      </c>
      <c r="AC1135" t="s">
        <v>56</v>
      </c>
      <c r="AD1135" t="str">
        <f t="shared" si="17"/>
        <v>Escobedo → Cd Sahagún</v>
      </c>
      <c r="AE1135" t="s">
        <v>1357</v>
      </c>
      <c r="AF1135" s="4">
        <v>45992</v>
      </c>
      <c r="AG1135" t="str">
        <f>YEAR(Table1[[#This Row],[Fecha]])&amp;" - " &amp;UPPER(TEXT(Table1[[#This Row],[Fecha]],"mm-mmm"))</f>
        <v>2025 - 12-DIC</v>
      </c>
      <c r="AH1135" s="5">
        <v>0</v>
      </c>
    </row>
    <row r="1136" spans="1:34" x14ac:dyDescent="0.25">
      <c r="A1136" t="s">
        <v>1130</v>
      </c>
      <c r="B1136">
        <v>2025</v>
      </c>
      <c r="C1136">
        <v>12</v>
      </c>
      <c r="D1136" s="1">
        <v>46020</v>
      </c>
      <c r="E1136" s="1">
        <v>46020</v>
      </c>
      <c r="F1136" s="1">
        <v>46020</v>
      </c>
      <c r="G1136" s="1">
        <v>46020</v>
      </c>
      <c r="H1136" s="2">
        <v>46024.360020520835</v>
      </c>
      <c r="I1136">
        <v>2244</v>
      </c>
      <c r="J1136" t="s">
        <v>54</v>
      </c>
      <c r="K1136" t="s">
        <v>31</v>
      </c>
      <c r="L1136">
        <v>50</v>
      </c>
      <c r="M1136">
        <v>50</v>
      </c>
      <c r="N1136" t="s">
        <v>43</v>
      </c>
      <c r="O1136">
        <v>1</v>
      </c>
      <c r="P1136">
        <v>150</v>
      </c>
      <c r="Q1136" t="b">
        <v>1</v>
      </c>
      <c r="R1136" t="b">
        <v>0</v>
      </c>
      <c r="S1136" t="b">
        <v>0</v>
      </c>
      <c r="T1136">
        <v>231</v>
      </c>
      <c r="U1136">
        <v>0</v>
      </c>
      <c r="V1136" t="s">
        <v>33</v>
      </c>
      <c r="W1136" t="s">
        <v>33</v>
      </c>
      <c r="X1136">
        <v>50</v>
      </c>
      <c r="Y1136">
        <v>359</v>
      </c>
      <c r="Z1136" t="s">
        <v>34</v>
      </c>
      <c r="AA1136">
        <v>359</v>
      </c>
      <c r="AB1136" t="s">
        <v>121</v>
      </c>
      <c r="AC1136" t="s">
        <v>121</v>
      </c>
      <c r="AD1136" t="str">
        <f t="shared" si="17"/>
        <v>Escobedo → Escobedo</v>
      </c>
      <c r="AE1136" t="s">
        <v>1358</v>
      </c>
      <c r="AF1136" s="4">
        <v>45992</v>
      </c>
      <c r="AG1136" t="str">
        <f>YEAR(Table1[[#This Row],[Fecha]])&amp;" - " &amp;UPPER(TEXT(Table1[[#This Row],[Fecha]],"mm-mmm"))</f>
        <v>2025 - 12-DIC</v>
      </c>
      <c r="AH1136" s="5">
        <v>0</v>
      </c>
    </row>
    <row r="1137" spans="1:34" x14ac:dyDescent="0.25">
      <c r="A1137" t="s">
        <v>1131</v>
      </c>
      <c r="B1137">
        <v>2025</v>
      </c>
      <c r="C1137">
        <v>12</v>
      </c>
      <c r="D1137" s="1">
        <v>46021</v>
      </c>
      <c r="E1137" s="1">
        <v>46021</v>
      </c>
      <c r="F1137" s="1">
        <v>46021</v>
      </c>
      <c r="G1137" s="1">
        <v>46021</v>
      </c>
      <c r="H1137" s="2">
        <v>46024.359486111112</v>
      </c>
      <c r="I1137">
        <v>2244</v>
      </c>
      <c r="J1137" t="s">
        <v>54</v>
      </c>
      <c r="K1137" t="s">
        <v>31</v>
      </c>
      <c r="L1137">
        <v>50</v>
      </c>
      <c r="M1137">
        <v>50</v>
      </c>
      <c r="N1137" t="s">
        <v>43</v>
      </c>
      <c r="O1137">
        <v>1</v>
      </c>
      <c r="P1137">
        <v>150</v>
      </c>
      <c r="Q1137" t="b">
        <v>1</v>
      </c>
      <c r="R1137" t="b">
        <v>0</v>
      </c>
      <c r="S1137" t="b">
        <v>0</v>
      </c>
      <c r="T1137">
        <v>231</v>
      </c>
      <c r="U1137">
        <v>0</v>
      </c>
      <c r="V1137" t="s">
        <v>33</v>
      </c>
      <c r="W1137" t="s">
        <v>33</v>
      </c>
      <c r="X1137">
        <v>50</v>
      </c>
      <c r="Y1137">
        <v>359</v>
      </c>
      <c r="Z1137" t="s">
        <v>34</v>
      </c>
      <c r="AA1137">
        <v>359</v>
      </c>
      <c r="AB1137" t="s">
        <v>121</v>
      </c>
      <c r="AC1137" t="s">
        <v>121</v>
      </c>
      <c r="AD1137" t="str">
        <f t="shared" si="17"/>
        <v>Escobedo → Escobedo</v>
      </c>
      <c r="AE1137" t="s">
        <v>1358</v>
      </c>
      <c r="AF1137" s="4">
        <v>45992</v>
      </c>
      <c r="AG1137" t="str">
        <f>YEAR(Table1[[#This Row],[Fecha]])&amp;" - " &amp;UPPER(TEXT(Table1[[#This Row],[Fecha]],"mm-mmm"))</f>
        <v>2025 - 12-DIC</v>
      </c>
      <c r="AH1137" s="5">
        <v>0</v>
      </c>
    </row>
    <row r="1138" spans="1:34" x14ac:dyDescent="0.25">
      <c r="A1138" t="s">
        <v>1132</v>
      </c>
      <c r="B1138">
        <v>2025</v>
      </c>
      <c r="C1138">
        <v>12</v>
      </c>
      <c r="D1138" s="1">
        <v>46021</v>
      </c>
      <c r="E1138" s="1">
        <v>46021</v>
      </c>
      <c r="F1138" s="1">
        <v>46021</v>
      </c>
      <c r="G1138" s="1">
        <v>46021</v>
      </c>
      <c r="H1138" s="2">
        <v>46024.35947855324</v>
      </c>
      <c r="I1138">
        <v>2244</v>
      </c>
      <c r="J1138" t="s">
        <v>54</v>
      </c>
      <c r="K1138" t="s">
        <v>31</v>
      </c>
      <c r="L1138">
        <v>50</v>
      </c>
      <c r="M1138">
        <v>50</v>
      </c>
      <c r="N1138" t="s">
        <v>43</v>
      </c>
      <c r="O1138">
        <v>1</v>
      </c>
      <c r="P1138">
        <v>150</v>
      </c>
      <c r="Q1138" t="b">
        <v>1</v>
      </c>
      <c r="R1138" t="b">
        <v>0</v>
      </c>
      <c r="S1138" t="b">
        <v>0</v>
      </c>
      <c r="T1138">
        <v>231</v>
      </c>
      <c r="U1138">
        <v>0</v>
      </c>
      <c r="V1138" t="s">
        <v>33</v>
      </c>
      <c r="W1138" t="s">
        <v>33</v>
      </c>
      <c r="X1138">
        <v>50</v>
      </c>
      <c r="Y1138">
        <v>359</v>
      </c>
      <c r="Z1138" t="s">
        <v>34</v>
      </c>
      <c r="AA1138">
        <v>359</v>
      </c>
      <c r="AB1138" t="s">
        <v>121</v>
      </c>
      <c r="AC1138" t="s">
        <v>121</v>
      </c>
      <c r="AD1138" t="str">
        <f t="shared" si="17"/>
        <v>Escobedo → Escobedo</v>
      </c>
      <c r="AE1138" t="s">
        <v>1358</v>
      </c>
      <c r="AF1138" s="4">
        <v>45992</v>
      </c>
      <c r="AG1138" t="str">
        <f>YEAR(Table1[[#This Row],[Fecha]])&amp;" - " &amp;UPPER(TEXT(Table1[[#This Row],[Fecha]],"mm-mmm"))</f>
        <v>2025 - 12-DIC</v>
      </c>
      <c r="AH1138" s="5">
        <v>0</v>
      </c>
    </row>
    <row r="1139" spans="1:34" x14ac:dyDescent="0.25">
      <c r="A1139" t="s">
        <v>1133</v>
      </c>
      <c r="B1139">
        <v>2025</v>
      </c>
      <c r="C1139">
        <v>12</v>
      </c>
      <c r="D1139" s="1">
        <v>46021</v>
      </c>
      <c r="E1139" s="1">
        <v>46021</v>
      </c>
      <c r="F1139" s="1">
        <v>46021</v>
      </c>
      <c r="G1139" s="1">
        <v>46021</v>
      </c>
      <c r="H1139" s="2">
        <v>46024.359492476855</v>
      </c>
      <c r="I1139">
        <v>2244</v>
      </c>
      <c r="J1139" t="s">
        <v>54</v>
      </c>
      <c r="K1139" t="s">
        <v>31</v>
      </c>
      <c r="L1139">
        <v>50</v>
      </c>
      <c r="M1139">
        <v>50</v>
      </c>
      <c r="N1139" t="s">
        <v>43</v>
      </c>
      <c r="O1139">
        <v>1</v>
      </c>
      <c r="P1139">
        <v>150</v>
      </c>
      <c r="Q1139" t="b">
        <v>1</v>
      </c>
      <c r="R1139" t="b">
        <v>0</v>
      </c>
      <c r="S1139" t="b">
        <v>0</v>
      </c>
      <c r="T1139">
        <v>231</v>
      </c>
      <c r="U1139">
        <v>0</v>
      </c>
      <c r="V1139" t="s">
        <v>33</v>
      </c>
      <c r="W1139" t="s">
        <v>33</v>
      </c>
      <c r="X1139">
        <v>50</v>
      </c>
      <c r="Y1139">
        <v>359</v>
      </c>
      <c r="Z1139" t="s">
        <v>34</v>
      </c>
      <c r="AA1139">
        <v>359</v>
      </c>
      <c r="AB1139" t="s">
        <v>121</v>
      </c>
      <c r="AC1139" t="s">
        <v>121</v>
      </c>
      <c r="AD1139" t="str">
        <f t="shared" si="17"/>
        <v>Escobedo → Escobedo</v>
      </c>
      <c r="AE1139" t="s">
        <v>1358</v>
      </c>
      <c r="AF1139" s="4">
        <v>45992</v>
      </c>
      <c r="AG1139" t="str">
        <f>YEAR(Table1[[#This Row],[Fecha]])&amp;" - " &amp;UPPER(TEXT(Table1[[#This Row],[Fecha]],"mm-mmm"))</f>
        <v>2025 - 12-DIC</v>
      </c>
      <c r="AH1139" s="5">
        <v>0</v>
      </c>
    </row>
    <row r="1140" spans="1:34" x14ac:dyDescent="0.25">
      <c r="A1140" t="s">
        <v>310</v>
      </c>
      <c r="B1140">
        <v>2025</v>
      </c>
      <c r="C1140">
        <v>12</v>
      </c>
      <c r="D1140" s="1">
        <v>46021</v>
      </c>
      <c r="E1140" s="1">
        <v>46021</v>
      </c>
      <c r="F1140" s="1">
        <v>46022</v>
      </c>
      <c r="G1140" s="1">
        <v>46021</v>
      </c>
      <c r="H1140" s="1">
        <v>46024</v>
      </c>
      <c r="I1140">
        <v>2244</v>
      </c>
      <c r="J1140" t="s">
        <v>41</v>
      </c>
      <c r="K1140" t="s">
        <v>42</v>
      </c>
      <c r="L1140">
        <v>961</v>
      </c>
      <c r="M1140">
        <v>1059</v>
      </c>
      <c r="N1140" t="s">
        <v>43</v>
      </c>
      <c r="O1140">
        <v>1</v>
      </c>
      <c r="P1140">
        <v>964</v>
      </c>
      <c r="Q1140" t="b">
        <v>1</v>
      </c>
      <c r="R1140" t="b">
        <v>0</v>
      </c>
      <c r="S1140" t="b">
        <v>0</v>
      </c>
      <c r="T1140">
        <v>1494</v>
      </c>
      <c r="U1140">
        <v>0</v>
      </c>
      <c r="V1140" t="s">
        <v>33</v>
      </c>
      <c r="W1140" t="s">
        <v>311</v>
      </c>
      <c r="X1140">
        <v>1100</v>
      </c>
      <c r="Y1140">
        <v>8</v>
      </c>
      <c r="Z1140" t="s">
        <v>156</v>
      </c>
      <c r="AA1140">
        <v>8</v>
      </c>
      <c r="AB1140" t="s">
        <v>121</v>
      </c>
      <c r="AC1140" t="s">
        <v>56</v>
      </c>
      <c r="AD1140" t="str">
        <f t="shared" si="17"/>
        <v>Escobedo → Cd Sahagún</v>
      </c>
      <c r="AE1140" t="s">
        <v>1359</v>
      </c>
      <c r="AF1140" s="4">
        <v>45992</v>
      </c>
      <c r="AG1140" t="str">
        <f>YEAR(Table1[[#This Row],[Fecha]])&amp;" - " &amp;UPPER(TEXT(Table1[[#This Row],[Fecha]],"mm-mmm"))</f>
        <v>2025 - 12-DIC</v>
      </c>
      <c r="AH1140" s="5">
        <v>0</v>
      </c>
    </row>
    <row r="1141" spans="1:34" x14ac:dyDescent="0.25">
      <c r="A1141" t="s">
        <v>1127</v>
      </c>
      <c r="B1141">
        <v>2025</v>
      </c>
      <c r="C1141">
        <v>12</v>
      </c>
      <c r="D1141" s="1">
        <v>45994</v>
      </c>
      <c r="E1141" s="1">
        <v>45994</v>
      </c>
      <c r="F1141" s="1">
        <v>45994</v>
      </c>
      <c r="G1141" s="1">
        <v>45994</v>
      </c>
      <c r="H1141" s="1">
        <v>45994</v>
      </c>
      <c r="I1141">
        <v>2244</v>
      </c>
      <c r="J1141" t="s">
        <v>54</v>
      </c>
      <c r="K1141" t="s">
        <v>31</v>
      </c>
      <c r="L1141">
        <v>50</v>
      </c>
      <c r="M1141">
        <v>50</v>
      </c>
      <c r="N1141" t="s">
        <v>43</v>
      </c>
      <c r="O1141">
        <v>1</v>
      </c>
      <c r="P1141">
        <v>150</v>
      </c>
      <c r="Q1141" t="b">
        <v>1</v>
      </c>
      <c r="R1141" t="b">
        <v>0</v>
      </c>
      <c r="S1141" t="b">
        <v>0</v>
      </c>
      <c r="T1141">
        <v>231</v>
      </c>
      <c r="U1141">
        <v>0</v>
      </c>
      <c r="V1141" t="s">
        <v>33</v>
      </c>
      <c r="W1141" t="s">
        <v>33</v>
      </c>
      <c r="X1141">
        <v>50</v>
      </c>
      <c r="Y1141">
        <v>359</v>
      </c>
      <c r="Z1141" t="s">
        <v>34</v>
      </c>
      <c r="AA1141">
        <v>359</v>
      </c>
      <c r="AB1141" t="s">
        <v>121</v>
      </c>
      <c r="AC1141" t="s">
        <v>121</v>
      </c>
      <c r="AD1141" t="str">
        <f t="shared" si="17"/>
        <v>Escobedo → Escobedo</v>
      </c>
      <c r="AE1141" t="s">
        <v>1358</v>
      </c>
      <c r="AF1141" s="4">
        <v>45992</v>
      </c>
      <c r="AG1141" t="str">
        <f>YEAR(Table1[[#This Row],[Fecha]])&amp;" - " &amp;UPPER(TEXT(Table1[[#This Row],[Fecha]],"mm-mmm"))</f>
        <v>2025 - 12-DIC</v>
      </c>
      <c r="AH1141" s="5">
        <v>0</v>
      </c>
    </row>
    <row r="1142" spans="1:34" x14ac:dyDescent="0.25">
      <c r="A1142" t="s">
        <v>1128</v>
      </c>
      <c r="B1142">
        <v>2025</v>
      </c>
      <c r="C1142">
        <v>12</v>
      </c>
      <c r="D1142" s="1">
        <v>45994</v>
      </c>
      <c r="E1142" s="1">
        <v>45994</v>
      </c>
      <c r="F1142" s="1">
        <v>45994</v>
      </c>
      <c r="G1142" s="1">
        <v>45994</v>
      </c>
      <c r="H1142" s="1">
        <v>45994</v>
      </c>
      <c r="I1142">
        <v>2244</v>
      </c>
      <c r="J1142" t="s">
        <v>54</v>
      </c>
      <c r="K1142" t="s">
        <v>31</v>
      </c>
      <c r="L1142">
        <v>50</v>
      </c>
      <c r="M1142">
        <v>50</v>
      </c>
      <c r="N1142" t="s">
        <v>43</v>
      </c>
      <c r="O1142">
        <v>1</v>
      </c>
      <c r="P1142">
        <v>150</v>
      </c>
      <c r="Q1142" t="b">
        <v>1</v>
      </c>
      <c r="R1142" t="b">
        <v>0</v>
      </c>
      <c r="S1142" t="b">
        <v>0</v>
      </c>
      <c r="T1142">
        <v>231</v>
      </c>
      <c r="U1142">
        <v>0</v>
      </c>
      <c r="V1142" t="s">
        <v>33</v>
      </c>
      <c r="W1142" t="s">
        <v>33</v>
      </c>
      <c r="X1142">
        <v>50</v>
      </c>
      <c r="Y1142">
        <v>359</v>
      </c>
      <c r="Z1142" t="s">
        <v>34</v>
      </c>
      <c r="AA1142">
        <v>359</v>
      </c>
      <c r="AB1142" t="s">
        <v>121</v>
      </c>
      <c r="AC1142" t="s">
        <v>121</v>
      </c>
      <c r="AD1142" t="str">
        <f t="shared" si="17"/>
        <v>Escobedo → Escobedo</v>
      </c>
      <c r="AE1142" t="s">
        <v>1358</v>
      </c>
      <c r="AF1142" s="4">
        <v>45992</v>
      </c>
      <c r="AG1142" t="str">
        <f>YEAR(Table1[[#This Row],[Fecha]])&amp;" - " &amp;UPPER(TEXT(Table1[[#This Row],[Fecha]],"mm-mmm"))</f>
        <v>2025 - 12-DIC</v>
      </c>
      <c r="AH1142" s="5">
        <v>0</v>
      </c>
    </row>
    <row r="1143" spans="1:34" x14ac:dyDescent="0.25">
      <c r="A1143" t="s">
        <v>1129</v>
      </c>
      <c r="B1143">
        <v>2025</v>
      </c>
      <c r="C1143">
        <v>12</v>
      </c>
      <c r="D1143" s="1">
        <v>45995</v>
      </c>
      <c r="E1143" s="1">
        <v>45995</v>
      </c>
      <c r="F1143" s="1">
        <v>45995</v>
      </c>
      <c r="G1143" s="1">
        <v>45995</v>
      </c>
      <c r="H1143" s="2">
        <v>45995.439016319448</v>
      </c>
      <c r="I1143">
        <v>2039</v>
      </c>
      <c r="J1143" t="s">
        <v>30</v>
      </c>
      <c r="K1143" t="s">
        <v>31</v>
      </c>
      <c r="L1143">
        <v>50</v>
      </c>
      <c r="M1143">
        <v>50</v>
      </c>
      <c r="N1143" t="s">
        <v>32</v>
      </c>
      <c r="O1143">
        <v>1</v>
      </c>
      <c r="P1143">
        <v>150</v>
      </c>
      <c r="Q1143" t="b">
        <v>1</v>
      </c>
      <c r="R1143" t="b">
        <v>0</v>
      </c>
      <c r="S1143" t="b">
        <v>0</v>
      </c>
      <c r="T1143">
        <v>231</v>
      </c>
      <c r="U1143">
        <v>0</v>
      </c>
      <c r="V1143" t="s">
        <v>33</v>
      </c>
      <c r="W1143" t="s">
        <v>33</v>
      </c>
      <c r="X1143">
        <v>50</v>
      </c>
      <c r="Y1143">
        <v>359</v>
      </c>
      <c r="Z1143" t="s">
        <v>34</v>
      </c>
      <c r="AA1143">
        <v>359</v>
      </c>
      <c r="AB1143" t="s">
        <v>121</v>
      </c>
      <c r="AC1143" t="s">
        <v>121</v>
      </c>
      <c r="AD1143" t="str">
        <f t="shared" si="17"/>
        <v>Escobedo → Escobedo</v>
      </c>
      <c r="AE1143" t="s">
        <v>1357</v>
      </c>
      <c r="AF1143" s="4">
        <v>45992</v>
      </c>
      <c r="AG1143" t="str">
        <f>YEAR(Table1[[#This Row],[Fecha]])&amp;" - " &amp;UPPER(TEXT(Table1[[#This Row],[Fecha]],"mm-mmm"))</f>
        <v>2025 - 12-DIC</v>
      </c>
      <c r="AH1143" s="5">
        <v>0</v>
      </c>
    </row>
    <row r="1144" spans="1:34" x14ac:dyDescent="0.25">
      <c r="A1144" t="s">
        <v>45</v>
      </c>
      <c r="B1144">
        <v>2025</v>
      </c>
      <c r="C1144">
        <v>12</v>
      </c>
      <c r="D1144" s="1">
        <v>46000</v>
      </c>
      <c r="E1144" s="1">
        <v>46000</v>
      </c>
      <c r="F1144" s="1">
        <v>46002</v>
      </c>
      <c r="G1144" s="1">
        <v>46001</v>
      </c>
      <c r="H1144" s="1">
        <v>46002</v>
      </c>
      <c r="I1144">
        <v>2195</v>
      </c>
      <c r="J1144" t="s">
        <v>30</v>
      </c>
      <c r="K1144" t="s">
        <v>31</v>
      </c>
      <c r="L1144">
        <v>961</v>
      </c>
      <c r="M1144">
        <v>0</v>
      </c>
      <c r="N1144" t="s">
        <v>46</v>
      </c>
      <c r="O1144">
        <v>1</v>
      </c>
      <c r="P1144">
        <v>964</v>
      </c>
      <c r="Q1144" t="b">
        <v>1</v>
      </c>
      <c r="R1144" t="b">
        <v>0</v>
      </c>
      <c r="S1144" t="b">
        <v>0</v>
      </c>
      <c r="T1144">
        <v>0</v>
      </c>
      <c r="U1144">
        <v>0</v>
      </c>
      <c r="V1144" t="s">
        <v>33</v>
      </c>
      <c r="W1144" t="s">
        <v>47</v>
      </c>
      <c r="X1144">
        <v>0</v>
      </c>
      <c r="Y1144">
        <v>3284</v>
      </c>
      <c r="Z1144" t="s">
        <v>44</v>
      </c>
      <c r="AA1144">
        <v>3284</v>
      </c>
      <c r="AB1144" t="s">
        <v>35</v>
      </c>
      <c r="AC1144" t="s">
        <v>39</v>
      </c>
      <c r="AD1144" t="str">
        <f t="shared" si="17"/>
        <v>Monterrey → Villahermosa</v>
      </c>
      <c r="AE1144" t="s">
        <v>1357</v>
      </c>
      <c r="AF1144" s="4">
        <v>45992</v>
      </c>
      <c r="AG1144" t="str">
        <f>YEAR(Table1[[#This Row],[Fecha]])&amp;" - " &amp;UPPER(TEXT(Table1[[#This Row],[Fecha]],"mm-mmm"))</f>
        <v>2025 - 12-DIC</v>
      </c>
      <c r="AH1144" s="5">
        <v>0</v>
      </c>
    </row>
    <row r="1145" spans="1:34" x14ac:dyDescent="0.25">
      <c r="A1145" t="s">
        <v>48</v>
      </c>
      <c r="B1145">
        <v>2025</v>
      </c>
      <c r="C1145">
        <v>12</v>
      </c>
      <c r="D1145" s="1">
        <v>46002</v>
      </c>
      <c r="E1145" s="1">
        <v>46002</v>
      </c>
      <c r="F1145" s="1">
        <v>46004</v>
      </c>
      <c r="G1145" s="1">
        <v>46002</v>
      </c>
      <c r="H1145" s="1">
        <v>46004</v>
      </c>
      <c r="I1145">
        <v>2244</v>
      </c>
      <c r="J1145" t="s">
        <v>41</v>
      </c>
      <c r="K1145" t="s">
        <v>42</v>
      </c>
      <c r="L1145">
        <v>2528</v>
      </c>
      <c r="M1145">
        <v>1264</v>
      </c>
      <c r="N1145" t="s">
        <v>43</v>
      </c>
      <c r="O1145">
        <v>1</v>
      </c>
      <c r="P1145">
        <v>1264</v>
      </c>
      <c r="Q1145" t="b">
        <v>1</v>
      </c>
      <c r="R1145" t="b">
        <v>0</v>
      </c>
      <c r="S1145" t="b">
        <v>0</v>
      </c>
      <c r="T1145">
        <v>1746</v>
      </c>
      <c r="U1145">
        <v>0</v>
      </c>
      <c r="V1145" t="s">
        <v>33</v>
      </c>
      <c r="W1145" t="s">
        <v>33</v>
      </c>
      <c r="X1145">
        <v>1300</v>
      </c>
      <c r="Y1145">
        <v>3284</v>
      </c>
      <c r="Z1145" t="s">
        <v>44</v>
      </c>
      <c r="AA1145">
        <v>3284</v>
      </c>
      <c r="AB1145" t="s">
        <v>35</v>
      </c>
      <c r="AC1145" t="s">
        <v>39</v>
      </c>
      <c r="AD1145" t="str">
        <f t="shared" si="17"/>
        <v>Monterrey → Villahermosa</v>
      </c>
      <c r="AE1145" t="s">
        <v>1359</v>
      </c>
      <c r="AF1145" s="4">
        <v>45992</v>
      </c>
      <c r="AG1145" t="str">
        <f>YEAR(Table1[[#This Row],[Fecha]])&amp;" - " &amp;UPPER(TEXT(Table1[[#This Row],[Fecha]],"mm-mmm"))</f>
        <v>2025 - 12-DIC</v>
      </c>
      <c r="AH1145" s="5">
        <v>0</v>
      </c>
    </row>
    <row r="1146" spans="1:34" x14ac:dyDescent="0.25">
      <c r="A1146" t="s">
        <v>49</v>
      </c>
      <c r="B1146">
        <v>2025</v>
      </c>
      <c r="C1146">
        <v>12</v>
      </c>
      <c r="D1146" s="1">
        <v>46003</v>
      </c>
      <c r="E1146" s="1">
        <v>46003</v>
      </c>
      <c r="F1146" s="1">
        <v>46006</v>
      </c>
      <c r="G1146" s="1">
        <v>46005</v>
      </c>
      <c r="H1146" s="1">
        <v>46006</v>
      </c>
      <c r="I1146">
        <v>2151</v>
      </c>
      <c r="J1146" t="s">
        <v>41</v>
      </c>
      <c r="K1146" t="s">
        <v>42</v>
      </c>
      <c r="L1146">
        <v>961</v>
      </c>
      <c r="M1146">
        <v>0</v>
      </c>
      <c r="N1146" t="s">
        <v>50</v>
      </c>
      <c r="O1146">
        <v>1</v>
      </c>
      <c r="P1146">
        <v>964</v>
      </c>
      <c r="Q1146" t="b">
        <v>1</v>
      </c>
      <c r="R1146" t="b">
        <v>0</v>
      </c>
      <c r="S1146" t="b">
        <v>0</v>
      </c>
      <c r="T1146">
        <v>0</v>
      </c>
      <c r="U1146">
        <v>0</v>
      </c>
      <c r="V1146" t="s">
        <v>33</v>
      </c>
      <c r="W1146" t="s">
        <v>51</v>
      </c>
      <c r="X1146">
        <v>0</v>
      </c>
      <c r="Y1146">
        <v>3284</v>
      </c>
      <c r="Z1146" t="s">
        <v>44</v>
      </c>
      <c r="AA1146">
        <v>3284</v>
      </c>
      <c r="AB1146" t="s">
        <v>35</v>
      </c>
      <c r="AC1146" t="s">
        <v>39</v>
      </c>
      <c r="AD1146" t="str">
        <f t="shared" si="17"/>
        <v>Monterrey → Villahermosa</v>
      </c>
      <c r="AE1146" t="s">
        <v>1359</v>
      </c>
      <c r="AF1146" s="4">
        <v>45992</v>
      </c>
      <c r="AG1146" t="str">
        <f>YEAR(Table1[[#This Row],[Fecha]])&amp;" - " &amp;UPPER(TEXT(Table1[[#This Row],[Fecha]],"mm-mmm"))</f>
        <v>2025 - 12-DIC</v>
      </c>
      <c r="AH1146" s="5">
        <v>0</v>
      </c>
    </row>
    <row r="1147" spans="1:34" x14ac:dyDescent="0.25">
      <c r="A1147" t="s">
        <v>52</v>
      </c>
      <c r="B1147">
        <v>2025</v>
      </c>
      <c r="C1147">
        <v>12</v>
      </c>
      <c r="D1147" s="1">
        <v>46007</v>
      </c>
      <c r="E1147" s="1">
        <v>46007</v>
      </c>
      <c r="F1147" s="1">
        <v>46008</v>
      </c>
      <c r="G1147" s="1">
        <v>46007</v>
      </c>
      <c r="H1147" s="2">
        <v>46008.508102083331</v>
      </c>
      <c r="I1147">
        <v>2039</v>
      </c>
      <c r="J1147" t="s">
        <v>30</v>
      </c>
      <c r="K1147" t="s">
        <v>31</v>
      </c>
      <c r="L1147">
        <v>961</v>
      </c>
      <c r="M1147">
        <v>0</v>
      </c>
      <c r="N1147" t="s">
        <v>32</v>
      </c>
      <c r="O1147">
        <v>1</v>
      </c>
      <c r="P1147">
        <v>964</v>
      </c>
      <c r="Q1147" t="b">
        <v>1</v>
      </c>
      <c r="R1147" t="b">
        <v>0</v>
      </c>
      <c r="S1147" t="b">
        <v>0</v>
      </c>
      <c r="T1147">
        <v>0</v>
      </c>
      <c r="U1147">
        <v>0</v>
      </c>
      <c r="V1147" t="s">
        <v>33</v>
      </c>
      <c r="W1147" t="s">
        <v>33</v>
      </c>
      <c r="X1147">
        <v>0</v>
      </c>
      <c r="Y1147">
        <v>3284</v>
      </c>
      <c r="Z1147" t="s">
        <v>38</v>
      </c>
      <c r="AA1147">
        <v>3284</v>
      </c>
      <c r="AB1147" t="s">
        <v>35</v>
      </c>
      <c r="AC1147" t="s">
        <v>39</v>
      </c>
      <c r="AD1147" t="str">
        <f t="shared" si="17"/>
        <v>Monterrey → Villahermosa</v>
      </c>
      <c r="AE1147" t="s">
        <v>1357</v>
      </c>
      <c r="AF1147" s="4">
        <v>45992</v>
      </c>
      <c r="AG1147" t="str">
        <f>YEAR(Table1[[#This Row],[Fecha]])&amp;" - " &amp;UPPER(TEXT(Table1[[#This Row],[Fecha]],"mm-mmm"))</f>
        <v>2025 - 12-DIC</v>
      </c>
      <c r="AH1147" s="5">
        <v>0</v>
      </c>
    </row>
    <row r="1148" spans="1:34" x14ac:dyDescent="0.25">
      <c r="A1148" t="s">
        <v>313</v>
      </c>
      <c r="B1148">
        <v>2025</v>
      </c>
      <c r="C1148">
        <v>12</v>
      </c>
      <c r="D1148" s="1">
        <v>46010</v>
      </c>
      <c r="E1148" s="1">
        <v>46010</v>
      </c>
      <c r="F1148" s="1">
        <v>46013</v>
      </c>
      <c r="G1148" s="1">
        <v>46012</v>
      </c>
      <c r="H1148" s="1">
        <v>46013</v>
      </c>
      <c r="I1148">
        <v>2244</v>
      </c>
      <c r="J1148" t="s">
        <v>41</v>
      </c>
      <c r="K1148" t="s">
        <v>42</v>
      </c>
      <c r="L1148">
        <v>961</v>
      </c>
      <c r="M1148">
        <v>961</v>
      </c>
      <c r="N1148" t="s">
        <v>43</v>
      </c>
      <c r="O1148">
        <v>1</v>
      </c>
      <c r="P1148">
        <v>964</v>
      </c>
      <c r="Q1148" t="b">
        <v>1</v>
      </c>
      <c r="R1148" t="b">
        <v>0</v>
      </c>
      <c r="S1148" t="b">
        <v>0</v>
      </c>
      <c r="T1148">
        <v>1347</v>
      </c>
      <c r="U1148">
        <v>0</v>
      </c>
      <c r="V1148" t="s">
        <v>33</v>
      </c>
      <c r="W1148" t="s">
        <v>314</v>
      </c>
      <c r="X1148">
        <v>1000</v>
      </c>
      <c r="Y1148">
        <v>8</v>
      </c>
      <c r="Z1148" t="s">
        <v>67</v>
      </c>
      <c r="AA1148">
        <v>8</v>
      </c>
      <c r="AB1148" t="s">
        <v>121</v>
      </c>
      <c r="AC1148" t="s">
        <v>56</v>
      </c>
      <c r="AD1148" t="str">
        <f t="shared" si="17"/>
        <v>Escobedo → Cd Sahagún</v>
      </c>
      <c r="AE1148" t="s">
        <v>1359</v>
      </c>
      <c r="AF1148" s="4">
        <v>45992</v>
      </c>
      <c r="AG1148" t="str">
        <f>YEAR(Table1[[#This Row],[Fecha]])&amp;" - " &amp;UPPER(TEXT(Table1[[#This Row],[Fecha]],"mm-mmm"))</f>
        <v>2025 - 12-DIC</v>
      </c>
      <c r="AH1148" s="5">
        <v>0</v>
      </c>
    </row>
    <row r="1149" spans="1:34" x14ac:dyDescent="0.25">
      <c r="A1149" t="s">
        <v>315</v>
      </c>
      <c r="B1149">
        <v>2025</v>
      </c>
      <c r="C1149">
        <v>12</v>
      </c>
      <c r="D1149" s="1">
        <v>46014</v>
      </c>
      <c r="E1149" s="1">
        <v>46014</v>
      </c>
      <c r="F1149" s="1">
        <v>46017</v>
      </c>
      <c r="G1149" s="1">
        <v>46016</v>
      </c>
      <c r="H1149" s="1">
        <v>46017</v>
      </c>
      <c r="I1149">
        <v>2244</v>
      </c>
      <c r="J1149" t="s">
        <v>41</v>
      </c>
      <c r="K1149" t="s">
        <v>42</v>
      </c>
      <c r="L1149">
        <v>961</v>
      </c>
      <c r="M1149">
        <v>0</v>
      </c>
      <c r="N1149" t="s">
        <v>43</v>
      </c>
      <c r="O1149">
        <v>1</v>
      </c>
      <c r="P1149">
        <v>964</v>
      </c>
      <c r="Q1149" t="b">
        <v>1</v>
      </c>
      <c r="R1149" t="b">
        <v>0</v>
      </c>
      <c r="S1149" t="b">
        <v>0</v>
      </c>
      <c r="T1149">
        <v>0</v>
      </c>
      <c r="U1149">
        <v>0</v>
      </c>
      <c r="V1149" t="s">
        <v>33</v>
      </c>
      <c r="W1149" t="s">
        <v>316</v>
      </c>
      <c r="X1149">
        <v>0</v>
      </c>
      <c r="Y1149">
        <v>8</v>
      </c>
      <c r="Z1149" t="s">
        <v>44</v>
      </c>
      <c r="AA1149">
        <v>8</v>
      </c>
      <c r="AB1149" t="s">
        <v>121</v>
      </c>
      <c r="AC1149" t="s">
        <v>56</v>
      </c>
      <c r="AD1149" t="str">
        <f t="shared" si="17"/>
        <v>Escobedo → Cd Sahagún</v>
      </c>
      <c r="AE1149" t="s">
        <v>1359</v>
      </c>
      <c r="AF1149" s="4">
        <v>45992</v>
      </c>
      <c r="AG1149" t="str">
        <f>YEAR(Table1[[#This Row],[Fecha]])&amp;" - " &amp;UPPER(TEXT(Table1[[#This Row],[Fecha]],"mm-mmm"))</f>
        <v>2025 - 12-DIC</v>
      </c>
      <c r="AH1149" s="5">
        <v>0</v>
      </c>
    </row>
    <row r="1150" spans="1:34" x14ac:dyDescent="0.25">
      <c r="A1150" t="s">
        <v>94</v>
      </c>
      <c r="B1150">
        <v>2025</v>
      </c>
      <c r="C1150">
        <v>12</v>
      </c>
      <c r="D1150" s="1">
        <v>46014</v>
      </c>
      <c r="E1150" s="1">
        <v>46014</v>
      </c>
      <c r="F1150" s="1">
        <v>46017</v>
      </c>
      <c r="G1150" s="1">
        <v>46017</v>
      </c>
      <c r="H1150" s="2">
        <v>46017.823749768519</v>
      </c>
      <c r="I1150">
        <v>2039</v>
      </c>
      <c r="J1150" t="s">
        <v>30</v>
      </c>
      <c r="K1150" t="s">
        <v>31</v>
      </c>
      <c r="L1150">
        <v>640</v>
      </c>
      <c r="M1150">
        <v>0</v>
      </c>
      <c r="N1150" t="s">
        <v>32</v>
      </c>
      <c r="O1150">
        <v>1</v>
      </c>
      <c r="P1150">
        <v>640</v>
      </c>
      <c r="Q1150" t="b">
        <v>1</v>
      </c>
      <c r="R1150" t="b">
        <v>0</v>
      </c>
      <c r="S1150" t="b">
        <v>0</v>
      </c>
      <c r="T1150">
        <v>0</v>
      </c>
      <c r="U1150">
        <v>0</v>
      </c>
      <c r="V1150" t="s">
        <v>33</v>
      </c>
      <c r="W1150" t="s">
        <v>95</v>
      </c>
      <c r="X1150">
        <v>0</v>
      </c>
      <c r="Y1150">
        <v>4793</v>
      </c>
      <c r="Z1150" t="s">
        <v>44</v>
      </c>
      <c r="AA1150">
        <v>4793</v>
      </c>
      <c r="AB1150" t="s">
        <v>56</v>
      </c>
      <c r="AC1150" t="s">
        <v>91</v>
      </c>
      <c r="AD1150" t="str">
        <f t="shared" si="17"/>
        <v>Cd Sahagún → Guerrero</v>
      </c>
      <c r="AE1150" t="s">
        <v>1357</v>
      </c>
      <c r="AF1150" s="4">
        <v>45992</v>
      </c>
      <c r="AG1150" t="str">
        <f>YEAR(Table1[[#This Row],[Fecha]])&amp;" - " &amp;UPPER(TEXT(Table1[[#This Row],[Fecha]],"mm-mmm"))</f>
        <v>2025 - 12-DIC</v>
      </c>
      <c r="AH1150" s="5">
        <v>0</v>
      </c>
    </row>
    <row r="1151" spans="1:34" x14ac:dyDescent="0.25">
      <c r="A1151" t="s">
        <v>1338</v>
      </c>
      <c r="B1151">
        <v>2025</v>
      </c>
      <c r="C1151">
        <v>12</v>
      </c>
      <c r="D1151" s="1">
        <v>46017</v>
      </c>
      <c r="E1151" s="1">
        <v>46017</v>
      </c>
      <c r="F1151" s="1">
        <v>46019</v>
      </c>
      <c r="G1151" s="1">
        <v>46018</v>
      </c>
      <c r="H1151" s="1">
        <v>46018</v>
      </c>
      <c r="I1151">
        <v>2039</v>
      </c>
      <c r="J1151" t="s">
        <v>30</v>
      </c>
      <c r="K1151" t="s">
        <v>31</v>
      </c>
      <c r="L1151">
        <v>695</v>
      </c>
      <c r="M1151">
        <v>695</v>
      </c>
      <c r="N1151" t="s">
        <v>32</v>
      </c>
      <c r="O1151">
        <v>1</v>
      </c>
      <c r="P1151">
        <v>695</v>
      </c>
      <c r="Q1151" t="b">
        <v>1</v>
      </c>
      <c r="R1151" t="b">
        <v>0</v>
      </c>
      <c r="S1151" t="b">
        <v>0</v>
      </c>
      <c r="T1151">
        <v>1013</v>
      </c>
      <c r="U1151">
        <v>0</v>
      </c>
      <c r="V1151" t="s">
        <v>33</v>
      </c>
      <c r="W1151" t="s">
        <v>33</v>
      </c>
      <c r="X1151">
        <v>700</v>
      </c>
      <c r="Y1151">
        <v>4993</v>
      </c>
      <c r="Z1151" t="s">
        <v>44</v>
      </c>
      <c r="AA1151">
        <v>4993</v>
      </c>
      <c r="AB1151" t="s">
        <v>91</v>
      </c>
      <c r="AC1151" t="s">
        <v>251</v>
      </c>
      <c r="AD1151" t="str">
        <f t="shared" si="17"/>
        <v>Guerrero → Soledad de Gracianos Sanchez</v>
      </c>
      <c r="AE1151" t="s">
        <v>1357</v>
      </c>
      <c r="AF1151" s="4">
        <v>45992</v>
      </c>
      <c r="AG1151" t="str">
        <f>YEAR(Table1[[#This Row],[Fecha]])&amp;" - " &amp;UPPER(TEXT(Table1[[#This Row],[Fecha]],"mm-mmm"))</f>
        <v>2025 - 12-DIC</v>
      </c>
      <c r="AH1151" s="5">
        <v>0</v>
      </c>
    </row>
    <row r="1152" spans="1:34" x14ac:dyDescent="0.25">
      <c r="A1152" t="s">
        <v>250</v>
      </c>
      <c r="B1152">
        <v>2025</v>
      </c>
      <c r="C1152">
        <v>12</v>
      </c>
      <c r="D1152" s="1">
        <v>46018</v>
      </c>
      <c r="E1152" s="1">
        <v>46018</v>
      </c>
      <c r="F1152" s="1">
        <v>46019</v>
      </c>
      <c r="G1152" s="1">
        <v>46019</v>
      </c>
      <c r="H1152" s="1">
        <v>46019</v>
      </c>
      <c r="I1152">
        <v>2039</v>
      </c>
      <c r="J1152" t="s">
        <v>30</v>
      </c>
      <c r="K1152" t="s">
        <v>31</v>
      </c>
      <c r="L1152">
        <v>518</v>
      </c>
      <c r="M1152">
        <v>518</v>
      </c>
      <c r="N1152" t="s">
        <v>32</v>
      </c>
      <c r="O1152">
        <v>1</v>
      </c>
      <c r="P1152">
        <v>525</v>
      </c>
      <c r="Q1152" t="b">
        <v>1</v>
      </c>
      <c r="R1152" t="b">
        <v>0</v>
      </c>
      <c r="S1152" t="b">
        <v>0</v>
      </c>
      <c r="T1152">
        <v>942</v>
      </c>
      <c r="U1152">
        <v>0</v>
      </c>
      <c r="V1152" t="s">
        <v>33</v>
      </c>
      <c r="W1152" t="s">
        <v>33</v>
      </c>
      <c r="X1152">
        <v>600</v>
      </c>
      <c r="Y1152">
        <v>2100</v>
      </c>
      <c r="Z1152" t="s">
        <v>44</v>
      </c>
      <c r="AA1152">
        <v>2100</v>
      </c>
      <c r="AB1152" t="s">
        <v>121</v>
      </c>
      <c r="AC1152" t="s">
        <v>251</v>
      </c>
      <c r="AD1152" t="str">
        <f t="shared" si="17"/>
        <v>Escobedo → Soledad de Gracianos Sanchez</v>
      </c>
      <c r="AE1152" t="s">
        <v>1357</v>
      </c>
      <c r="AF1152" s="4">
        <v>45992</v>
      </c>
      <c r="AG1152" t="str">
        <f>YEAR(Table1[[#This Row],[Fecha]])&amp;" - " &amp;UPPER(TEXT(Table1[[#This Row],[Fecha]],"mm-mmm"))</f>
        <v>2025 - 12-DIC</v>
      </c>
      <c r="AH1152" s="5">
        <v>0</v>
      </c>
    </row>
    <row r="1153" spans="1:34" x14ac:dyDescent="0.25">
      <c r="A1153" t="s">
        <v>36</v>
      </c>
      <c r="B1153">
        <v>2025</v>
      </c>
      <c r="C1153">
        <v>12</v>
      </c>
      <c r="D1153" s="1">
        <v>45996</v>
      </c>
      <c r="E1153" s="1">
        <v>45996</v>
      </c>
      <c r="F1153" s="1">
        <v>46000</v>
      </c>
      <c r="G1153" s="1">
        <v>45998</v>
      </c>
      <c r="H1153" s="1">
        <v>45999</v>
      </c>
      <c r="I1153">
        <v>2410</v>
      </c>
      <c r="J1153" t="s">
        <v>30</v>
      </c>
      <c r="K1153" t="s">
        <v>31</v>
      </c>
      <c r="L1153">
        <v>2528</v>
      </c>
      <c r="M1153">
        <v>1264</v>
      </c>
      <c r="N1153" t="s">
        <v>37</v>
      </c>
      <c r="O1153">
        <v>1</v>
      </c>
      <c r="P1153">
        <v>1264</v>
      </c>
      <c r="Q1153" t="b">
        <v>1</v>
      </c>
      <c r="R1153" t="b">
        <v>0</v>
      </c>
      <c r="S1153" t="b">
        <v>0</v>
      </c>
      <c r="T1153">
        <v>1746</v>
      </c>
      <c r="U1153">
        <v>0</v>
      </c>
      <c r="V1153" t="s">
        <v>33</v>
      </c>
      <c r="W1153" t="s">
        <v>33</v>
      </c>
      <c r="X1153">
        <v>1300</v>
      </c>
      <c r="Y1153">
        <v>3284</v>
      </c>
      <c r="Z1153" t="s">
        <v>38</v>
      </c>
      <c r="AA1153">
        <v>3284</v>
      </c>
      <c r="AB1153" t="s">
        <v>35</v>
      </c>
      <c r="AC1153" t="s">
        <v>39</v>
      </c>
      <c r="AD1153" t="str">
        <f t="shared" si="17"/>
        <v>Monterrey → Villahermosa</v>
      </c>
      <c r="AE1153" t="s">
        <v>1357</v>
      </c>
      <c r="AF1153" s="4">
        <v>45992</v>
      </c>
      <c r="AG1153" t="str">
        <f>YEAR(Table1[[#This Row],[Fecha]])&amp;" - " &amp;UPPER(TEXT(Table1[[#This Row],[Fecha]],"mm-mmm"))</f>
        <v>2025 - 12-DIC</v>
      </c>
      <c r="AH1153" s="5">
        <v>0</v>
      </c>
    </row>
    <row r="1154" spans="1:34" x14ac:dyDescent="0.25">
      <c r="A1154" t="s">
        <v>92</v>
      </c>
      <c r="B1154">
        <v>2025</v>
      </c>
      <c r="C1154">
        <v>12</v>
      </c>
      <c r="D1154" s="1">
        <v>45996</v>
      </c>
      <c r="E1154" s="1">
        <v>45996</v>
      </c>
      <c r="F1154" s="1">
        <v>45999</v>
      </c>
      <c r="G1154" s="1">
        <v>45998</v>
      </c>
      <c r="H1154" s="1">
        <v>45999</v>
      </c>
      <c r="I1154">
        <v>2244</v>
      </c>
      <c r="J1154" t="s">
        <v>41</v>
      </c>
      <c r="K1154" t="s">
        <v>42</v>
      </c>
      <c r="L1154">
        <v>640</v>
      </c>
      <c r="M1154">
        <v>0</v>
      </c>
      <c r="N1154" t="s">
        <v>43</v>
      </c>
      <c r="O1154">
        <v>1</v>
      </c>
      <c r="P1154">
        <v>640</v>
      </c>
      <c r="Q1154" t="b">
        <v>1</v>
      </c>
      <c r="R1154" t="b">
        <v>0</v>
      </c>
      <c r="S1154" t="b">
        <v>0</v>
      </c>
      <c r="T1154">
        <v>0</v>
      </c>
      <c r="U1154">
        <v>0</v>
      </c>
      <c r="V1154" t="s">
        <v>33</v>
      </c>
      <c r="W1154" t="s">
        <v>93</v>
      </c>
      <c r="X1154">
        <v>0</v>
      </c>
      <c r="Y1154">
        <v>4793</v>
      </c>
      <c r="Z1154" t="s">
        <v>44</v>
      </c>
      <c r="AA1154">
        <v>4793</v>
      </c>
      <c r="AB1154" t="s">
        <v>56</v>
      </c>
      <c r="AC1154" t="s">
        <v>91</v>
      </c>
      <c r="AD1154" t="str">
        <f t="shared" ref="AD1154:AD1217" si="18">+AB1154&amp;" → "&amp;AC1154</f>
        <v>Cd Sahagún → Guerrero</v>
      </c>
      <c r="AE1154" t="s">
        <v>1359</v>
      </c>
      <c r="AF1154" s="4">
        <v>45992</v>
      </c>
      <c r="AG1154" t="str">
        <f>YEAR(Table1[[#This Row],[Fecha]])&amp;" - " &amp;UPPER(TEXT(Table1[[#This Row],[Fecha]],"mm-mmm"))</f>
        <v>2025 - 12-DIC</v>
      </c>
      <c r="AH1154" s="5">
        <v>0</v>
      </c>
    </row>
    <row r="1155" spans="1:34" x14ac:dyDescent="0.25">
      <c r="A1155" t="s">
        <v>1334</v>
      </c>
      <c r="B1155">
        <v>2025</v>
      </c>
      <c r="C1155">
        <v>12</v>
      </c>
      <c r="D1155" s="1">
        <v>45999</v>
      </c>
      <c r="E1155" s="1">
        <v>45999</v>
      </c>
      <c r="F1155" s="1">
        <v>45999</v>
      </c>
      <c r="G1155" s="1">
        <v>45999</v>
      </c>
      <c r="H1155" s="1">
        <v>46000</v>
      </c>
      <c r="I1155">
        <v>2244</v>
      </c>
      <c r="J1155" t="s">
        <v>41</v>
      </c>
      <c r="K1155" t="s">
        <v>42</v>
      </c>
      <c r="L1155">
        <v>497</v>
      </c>
      <c r="M1155">
        <v>497</v>
      </c>
      <c r="N1155" t="s">
        <v>43</v>
      </c>
      <c r="O1155">
        <v>1</v>
      </c>
      <c r="P1155">
        <v>497</v>
      </c>
      <c r="Q1155" t="b">
        <v>1</v>
      </c>
      <c r="R1155" t="b">
        <v>0</v>
      </c>
      <c r="S1155" t="b">
        <v>0</v>
      </c>
      <c r="T1155">
        <v>857</v>
      </c>
      <c r="U1155">
        <v>0</v>
      </c>
      <c r="V1155" t="s">
        <v>33</v>
      </c>
      <c r="W1155" t="s">
        <v>33</v>
      </c>
      <c r="X1155">
        <v>500</v>
      </c>
      <c r="Y1155">
        <v>4792</v>
      </c>
      <c r="Z1155" t="s">
        <v>44</v>
      </c>
      <c r="AA1155">
        <v>4792</v>
      </c>
      <c r="AB1155" t="s">
        <v>91</v>
      </c>
      <c r="AC1155" t="s">
        <v>225</v>
      </c>
      <c r="AD1155" t="str">
        <f t="shared" si="18"/>
        <v>Guerrero → Queretaro</v>
      </c>
      <c r="AE1155" t="s">
        <v>1359</v>
      </c>
      <c r="AF1155" s="4">
        <v>45992</v>
      </c>
      <c r="AG1155" t="str">
        <f>YEAR(Table1[[#This Row],[Fecha]])&amp;" - " &amp;UPPER(TEXT(Table1[[#This Row],[Fecha]],"mm-mmm"))</f>
        <v>2025 - 12-DIC</v>
      </c>
      <c r="AH1155" s="5">
        <v>0</v>
      </c>
    </row>
    <row r="1156" spans="1:34" x14ac:dyDescent="0.25">
      <c r="A1156" t="s">
        <v>40</v>
      </c>
      <c r="B1156">
        <v>2025</v>
      </c>
      <c r="C1156">
        <v>12</v>
      </c>
      <c r="D1156" s="1">
        <v>45999</v>
      </c>
      <c r="E1156" s="1">
        <v>45999</v>
      </c>
      <c r="F1156" s="1">
        <v>46000</v>
      </c>
      <c r="G1156" s="1">
        <v>46000</v>
      </c>
      <c r="H1156" s="1">
        <v>46001</v>
      </c>
      <c r="I1156">
        <v>2244</v>
      </c>
      <c r="J1156" t="s">
        <v>41</v>
      </c>
      <c r="K1156" t="s">
        <v>42</v>
      </c>
      <c r="L1156">
        <v>497</v>
      </c>
      <c r="M1156">
        <v>0</v>
      </c>
      <c r="N1156" t="s">
        <v>43</v>
      </c>
      <c r="O1156">
        <v>1</v>
      </c>
      <c r="P1156">
        <v>497</v>
      </c>
      <c r="Q1156" t="b">
        <v>1</v>
      </c>
      <c r="R1156" t="b">
        <v>0</v>
      </c>
      <c r="S1156" t="b">
        <v>0</v>
      </c>
      <c r="T1156">
        <v>0</v>
      </c>
      <c r="U1156">
        <v>0</v>
      </c>
      <c r="V1156" t="s">
        <v>33</v>
      </c>
      <c r="W1156" t="s">
        <v>33</v>
      </c>
      <c r="X1156">
        <v>0</v>
      </c>
      <c r="Y1156">
        <v>3284</v>
      </c>
      <c r="Z1156" t="s">
        <v>44</v>
      </c>
      <c r="AA1156">
        <v>3284</v>
      </c>
      <c r="AB1156" t="s">
        <v>35</v>
      </c>
      <c r="AC1156" t="s">
        <v>39</v>
      </c>
      <c r="AD1156" t="str">
        <f t="shared" si="18"/>
        <v>Monterrey → Villahermosa</v>
      </c>
      <c r="AE1156" t="s">
        <v>1359</v>
      </c>
      <c r="AF1156" s="4">
        <v>45992</v>
      </c>
      <c r="AG1156" t="str">
        <f>YEAR(Table1[[#This Row],[Fecha]])&amp;" - " &amp;UPPER(TEXT(Table1[[#This Row],[Fecha]],"mm-mmm"))</f>
        <v>2025 - 12-DIC</v>
      </c>
      <c r="AH1156" s="5">
        <v>0</v>
      </c>
    </row>
    <row r="1157" spans="1:34" x14ac:dyDescent="0.25">
      <c r="A1157" t="s">
        <v>1335</v>
      </c>
      <c r="B1157">
        <v>2025</v>
      </c>
      <c r="C1157">
        <v>12</v>
      </c>
      <c r="D1157" s="1">
        <v>46000</v>
      </c>
      <c r="E1157" s="1">
        <v>46000</v>
      </c>
      <c r="F1157" s="1">
        <v>46002</v>
      </c>
      <c r="G1157" s="1">
        <v>46001</v>
      </c>
      <c r="H1157" s="1">
        <v>46001</v>
      </c>
      <c r="I1157">
        <v>2244</v>
      </c>
      <c r="J1157" t="s">
        <v>41</v>
      </c>
      <c r="K1157" t="s">
        <v>42</v>
      </c>
      <c r="L1157">
        <v>497</v>
      </c>
      <c r="M1157">
        <v>497</v>
      </c>
      <c r="N1157" t="s">
        <v>43</v>
      </c>
      <c r="O1157">
        <v>1</v>
      </c>
      <c r="P1157">
        <v>497</v>
      </c>
      <c r="Q1157" t="b">
        <v>1</v>
      </c>
      <c r="R1157" t="b">
        <v>0</v>
      </c>
      <c r="S1157" t="b">
        <v>0</v>
      </c>
      <c r="T1157">
        <v>857</v>
      </c>
      <c r="U1157">
        <v>0</v>
      </c>
      <c r="V1157" t="s">
        <v>33</v>
      </c>
      <c r="W1157" t="s">
        <v>33</v>
      </c>
      <c r="X1157">
        <v>500</v>
      </c>
      <c r="Y1157">
        <v>4792</v>
      </c>
      <c r="Z1157" t="s">
        <v>44</v>
      </c>
      <c r="AA1157">
        <v>4792</v>
      </c>
      <c r="AB1157" t="s">
        <v>91</v>
      </c>
      <c r="AC1157" t="s">
        <v>225</v>
      </c>
      <c r="AD1157" t="str">
        <f t="shared" si="18"/>
        <v>Guerrero → Queretaro</v>
      </c>
      <c r="AE1157" t="s">
        <v>1359</v>
      </c>
      <c r="AF1157" s="4">
        <v>45992</v>
      </c>
      <c r="AG1157" t="str">
        <f>YEAR(Table1[[#This Row],[Fecha]])&amp;" - " &amp;UPPER(TEXT(Table1[[#This Row],[Fecha]],"mm-mmm"))</f>
        <v>2025 - 12-DIC</v>
      </c>
      <c r="AH1157" s="5">
        <v>0</v>
      </c>
    </row>
    <row r="1158" spans="1:34" x14ac:dyDescent="0.25">
      <c r="A1158" t="s">
        <v>1354</v>
      </c>
      <c r="B1158">
        <v>2025</v>
      </c>
      <c r="C1158">
        <v>12</v>
      </c>
      <c r="D1158" s="1">
        <v>46000</v>
      </c>
      <c r="E1158" s="1">
        <v>46000</v>
      </c>
      <c r="F1158" s="1">
        <v>46002</v>
      </c>
      <c r="G1158" s="1">
        <v>46002</v>
      </c>
      <c r="H1158" s="1">
        <v>46002</v>
      </c>
      <c r="I1158">
        <v>2244</v>
      </c>
      <c r="J1158" t="s">
        <v>41</v>
      </c>
      <c r="K1158" t="s">
        <v>42</v>
      </c>
      <c r="L1158">
        <v>238</v>
      </c>
      <c r="M1158">
        <v>0</v>
      </c>
      <c r="N1158" t="s">
        <v>43</v>
      </c>
      <c r="O1158">
        <v>1</v>
      </c>
      <c r="P1158">
        <v>236</v>
      </c>
      <c r="Q1158" t="b">
        <v>1</v>
      </c>
      <c r="R1158" t="b">
        <v>0</v>
      </c>
      <c r="S1158" t="b">
        <v>0</v>
      </c>
      <c r="T1158">
        <v>0</v>
      </c>
      <c r="U1158">
        <v>0</v>
      </c>
      <c r="V1158" t="s">
        <v>33</v>
      </c>
      <c r="W1158" t="s">
        <v>33</v>
      </c>
      <c r="X1158">
        <v>0</v>
      </c>
      <c r="Y1158">
        <v>3950</v>
      </c>
      <c r="Z1158" t="s">
        <v>44</v>
      </c>
      <c r="AA1158">
        <v>3950</v>
      </c>
      <c r="AB1158" t="s">
        <v>225</v>
      </c>
      <c r="AC1158" t="s">
        <v>56</v>
      </c>
      <c r="AD1158" t="str">
        <f t="shared" si="18"/>
        <v>Queretaro → Cd Sahagún</v>
      </c>
      <c r="AE1158" t="s">
        <v>1359</v>
      </c>
      <c r="AF1158" s="4">
        <v>45992</v>
      </c>
      <c r="AG1158" t="str">
        <f>YEAR(Table1[[#This Row],[Fecha]])&amp;" - " &amp;UPPER(TEXT(Table1[[#This Row],[Fecha]],"mm-mmm"))</f>
        <v>2025 - 12-DIC</v>
      </c>
      <c r="AH1158" s="5">
        <v>0</v>
      </c>
    </row>
    <row r="1159" spans="1:34" x14ac:dyDescent="0.25">
      <c r="A1159" t="s">
        <v>1119</v>
      </c>
      <c r="B1159">
        <v>2026</v>
      </c>
      <c r="C1159">
        <v>1</v>
      </c>
      <c r="D1159" s="1">
        <v>46027</v>
      </c>
      <c r="E1159" s="1">
        <v>46027</v>
      </c>
      <c r="F1159" s="1">
        <v>46027</v>
      </c>
      <c r="G1159" s="1">
        <v>46027</v>
      </c>
      <c r="H1159" s="1">
        <v>46027</v>
      </c>
      <c r="I1159">
        <v>2423</v>
      </c>
      <c r="J1159" t="s">
        <v>54</v>
      </c>
      <c r="K1159" t="s">
        <v>31</v>
      </c>
      <c r="L1159">
        <v>50</v>
      </c>
      <c r="M1159">
        <v>50</v>
      </c>
      <c r="N1159" t="s">
        <v>1120</v>
      </c>
      <c r="O1159">
        <v>1</v>
      </c>
      <c r="P1159">
        <v>150</v>
      </c>
      <c r="Q1159" t="b">
        <v>1</v>
      </c>
      <c r="R1159" t="b">
        <v>0</v>
      </c>
      <c r="S1159" t="b">
        <v>0</v>
      </c>
      <c r="T1159">
        <v>231</v>
      </c>
      <c r="U1159">
        <v>0</v>
      </c>
      <c r="V1159" t="s">
        <v>33</v>
      </c>
      <c r="W1159" t="s">
        <v>33</v>
      </c>
      <c r="X1159">
        <v>50</v>
      </c>
      <c r="Y1159">
        <v>359</v>
      </c>
      <c r="Z1159" t="s">
        <v>34</v>
      </c>
      <c r="AA1159">
        <v>359</v>
      </c>
      <c r="AB1159" t="s">
        <v>121</v>
      </c>
      <c r="AC1159" t="s">
        <v>121</v>
      </c>
      <c r="AD1159" t="str">
        <f t="shared" si="18"/>
        <v>Escobedo → Escobedo</v>
      </c>
      <c r="AE1159" t="s">
        <v>1358</v>
      </c>
      <c r="AF1159" s="4">
        <v>46023</v>
      </c>
      <c r="AG1159" t="str">
        <f>YEAR(Table1[[#This Row],[Fecha]])&amp;" - " &amp;UPPER(TEXT(Table1[[#This Row],[Fecha]],"mm-mmm"))</f>
        <v>2026 - 01-ENE</v>
      </c>
      <c r="AH1159" s="5">
        <v>0</v>
      </c>
    </row>
    <row r="1160" spans="1:34" x14ac:dyDescent="0.25">
      <c r="A1160" t="s">
        <v>1121</v>
      </c>
      <c r="B1160">
        <v>2026</v>
      </c>
      <c r="C1160">
        <v>1</v>
      </c>
      <c r="D1160" s="1">
        <v>46027</v>
      </c>
      <c r="E1160" s="1">
        <v>46027</v>
      </c>
      <c r="F1160" s="1">
        <v>46027</v>
      </c>
      <c r="G1160" s="1">
        <v>46027</v>
      </c>
      <c r="H1160" s="1">
        <v>46028</v>
      </c>
      <c r="I1160">
        <v>2423</v>
      </c>
      <c r="J1160" t="s">
        <v>54</v>
      </c>
      <c r="K1160" t="s">
        <v>31</v>
      </c>
      <c r="L1160">
        <v>50</v>
      </c>
      <c r="M1160">
        <v>50</v>
      </c>
      <c r="N1160" t="s">
        <v>1120</v>
      </c>
      <c r="O1160">
        <v>1</v>
      </c>
      <c r="P1160">
        <v>150</v>
      </c>
      <c r="Q1160" t="b">
        <v>1</v>
      </c>
      <c r="R1160" t="b">
        <v>0</v>
      </c>
      <c r="S1160" t="b">
        <v>0</v>
      </c>
      <c r="T1160">
        <v>231</v>
      </c>
      <c r="U1160">
        <v>0</v>
      </c>
      <c r="V1160" t="s">
        <v>33</v>
      </c>
      <c r="W1160" t="s">
        <v>1122</v>
      </c>
      <c r="X1160">
        <v>50</v>
      </c>
      <c r="Y1160">
        <v>359</v>
      </c>
      <c r="Z1160" t="s">
        <v>1123</v>
      </c>
      <c r="AA1160">
        <v>359</v>
      </c>
      <c r="AB1160" t="s">
        <v>121</v>
      </c>
      <c r="AC1160" t="s">
        <v>121</v>
      </c>
      <c r="AD1160" t="str">
        <f t="shared" si="18"/>
        <v>Escobedo → Escobedo</v>
      </c>
      <c r="AE1160" t="s">
        <v>1358</v>
      </c>
      <c r="AF1160" s="4">
        <v>46023</v>
      </c>
      <c r="AG1160" t="str">
        <f>YEAR(Table1[[#This Row],[Fecha]])&amp;" - " &amp;UPPER(TEXT(Table1[[#This Row],[Fecha]],"mm-mmm"))</f>
        <v>2026 - 01-ENE</v>
      </c>
      <c r="AH1160" s="5">
        <v>0</v>
      </c>
    </row>
    <row r="1161" spans="1:34" x14ac:dyDescent="0.25">
      <c r="A1161" t="s">
        <v>1124</v>
      </c>
      <c r="B1161">
        <v>2026</v>
      </c>
      <c r="C1161">
        <v>1</v>
      </c>
      <c r="D1161" s="1">
        <v>46024</v>
      </c>
      <c r="E1161" s="1">
        <v>46024</v>
      </c>
      <c r="F1161" s="1">
        <v>46024</v>
      </c>
      <c r="G1161" s="1">
        <v>46024</v>
      </c>
      <c r="H1161" s="1">
        <v>46027</v>
      </c>
      <c r="I1161">
        <v>2423</v>
      </c>
      <c r="J1161" t="s">
        <v>54</v>
      </c>
      <c r="K1161" t="s">
        <v>31</v>
      </c>
      <c r="L1161">
        <v>50</v>
      </c>
      <c r="M1161">
        <v>50</v>
      </c>
      <c r="N1161" t="s">
        <v>1120</v>
      </c>
      <c r="O1161">
        <v>1</v>
      </c>
      <c r="P1161">
        <v>150</v>
      </c>
      <c r="Q1161" t="b">
        <v>1</v>
      </c>
      <c r="R1161" t="b">
        <v>0</v>
      </c>
      <c r="S1161" t="b">
        <v>0</v>
      </c>
      <c r="T1161">
        <v>231</v>
      </c>
      <c r="U1161">
        <v>0</v>
      </c>
      <c r="V1161" t="s">
        <v>33</v>
      </c>
      <c r="W1161" t="s">
        <v>33</v>
      </c>
      <c r="X1161">
        <v>50</v>
      </c>
      <c r="Y1161">
        <v>359</v>
      </c>
      <c r="Z1161" t="s">
        <v>34</v>
      </c>
      <c r="AA1161">
        <v>359</v>
      </c>
      <c r="AB1161" t="s">
        <v>121</v>
      </c>
      <c r="AC1161" t="s">
        <v>121</v>
      </c>
      <c r="AD1161" t="str">
        <f t="shared" si="18"/>
        <v>Escobedo → Escobedo</v>
      </c>
      <c r="AE1161" t="s">
        <v>1358</v>
      </c>
      <c r="AF1161" s="4">
        <v>46023</v>
      </c>
      <c r="AG1161" t="str">
        <f>YEAR(Table1[[#This Row],[Fecha]])&amp;" - " &amp;UPPER(TEXT(Table1[[#This Row],[Fecha]],"mm-mmm"))</f>
        <v>2026 - 01-ENE</v>
      </c>
      <c r="AH1161" s="5">
        <v>0</v>
      </c>
    </row>
    <row r="1162" spans="1:34" x14ac:dyDescent="0.25">
      <c r="A1162" t="s">
        <v>1125</v>
      </c>
      <c r="B1162">
        <v>2026</v>
      </c>
      <c r="C1162">
        <v>1</v>
      </c>
      <c r="D1162" s="1">
        <v>46024</v>
      </c>
      <c r="E1162" s="1">
        <v>46024</v>
      </c>
      <c r="F1162" s="1">
        <v>46024</v>
      </c>
      <c r="G1162" s="1">
        <v>46024</v>
      </c>
      <c r="H1162" s="1">
        <v>46027</v>
      </c>
      <c r="I1162">
        <v>2423</v>
      </c>
      <c r="J1162" t="s">
        <v>54</v>
      </c>
      <c r="K1162" t="s">
        <v>31</v>
      </c>
      <c r="L1162">
        <v>50</v>
      </c>
      <c r="M1162">
        <v>50</v>
      </c>
      <c r="N1162" t="s">
        <v>1120</v>
      </c>
      <c r="O1162">
        <v>1</v>
      </c>
      <c r="P1162">
        <v>150</v>
      </c>
      <c r="Q1162" t="b">
        <v>1</v>
      </c>
      <c r="R1162" t="b">
        <v>0</v>
      </c>
      <c r="S1162" t="b">
        <v>0</v>
      </c>
      <c r="T1162">
        <v>231</v>
      </c>
      <c r="U1162">
        <v>0</v>
      </c>
      <c r="V1162" t="s">
        <v>33</v>
      </c>
      <c r="W1162" t="s">
        <v>33</v>
      </c>
      <c r="X1162">
        <v>50</v>
      </c>
      <c r="Y1162">
        <v>359</v>
      </c>
      <c r="Z1162" t="s">
        <v>34</v>
      </c>
      <c r="AA1162">
        <v>359</v>
      </c>
      <c r="AB1162" t="s">
        <v>121</v>
      </c>
      <c r="AC1162" t="s">
        <v>121</v>
      </c>
      <c r="AD1162" t="str">
        <f t="shared" si="18"/>
        <v>Escobedo → Escobedo</v>
      </c>
      <c r="AE1162" t="s">
        <v>1358</v>
      </c>
      <c r="AF1162" s="4">
        <v>46023</v>
      </c>
      <c r="AG1162" t="str">
        <f>YEAR(Table1[[#This Row],[Fecha]])&amp;" - " &amp;UPPER(TEXT(Table1[[#This Row],[Fecha]],"mm-mmm"))</f>
        <v>2026 - 01-ENE</v>
      </c>
      <c r="AH1162" s="5">
        <v>0</v>
      </c>
    </row>
    <row r="1163" spans="1:34" x14ac:dyDescent="0.25">
      <c r="A1163" t="s">
        <v>1126</v>
      </c>
      <c r="B1163">
        <v>2026</v>
      </c>
      <c r="C1163">
        <v>1</v>
      </c>
      <c r="D1163" s="1">
        <v>46024</v>
      </c>
      <c r="E1163" s="1">
        <v>46024</v>
      </c>
      <c r="F1163" s="1">
        <v>46024</v>
      </c>
      <c r="G1163" s="1">
        <v>46024</v>
      </c>
      <c r="H1163" s="1">
        <v>46027</v>
      </c>
      <c r="I1163">
        <v>2423</v>
      </c>
      <c r="J1163" t="s">
        <v>54</v>
      </c>
      <c r="K1163" t="s">
        <v>31</v>
      </c>
      <c r="L1163">
        <v>50</v>
      </c>
      <c r="M1163">
        <v>50</v>
      </c>
      <c r="N1163" t="s">
        <v>1120</v>
      </c>
      <c r="O1163">
        <v>1</v>
      </c>
      <c r="P1163">
        <v>150</v>
      </c>
      <c r="Q1163" t="b">
        <v>1</v>
      </c>
      <c r="R1163" t="b">
        <v>0</v>
      </c>
      <c r="S1163" t="b">
        <v>0</v>
      </c>
      <c r="T1163">
        <v>231</v>
      </c>
      <c r="U1163">
        <v>0</v>
      </c>
      <c r="V1163" t="s">
        <v>33</v>
      </c>
      <c r="W1163" t="s">
        <v>33</v>
      </c>
      <c r="X1163">
        <v>50</v>
      </c>
      <c r="Y1163">
        <v>359</v>
      </c>
      <c r="Z1163" t="s">
        <v>34</v>
      </c>
      <c r="AA1163">
        <v>359</v>
      </c>
      <c r="AB1163" t="s">
        <v>121</v>
      </c>
      <c r="AC1163" t="s">
        <v>121</v>
      </c>
      <c r="AD1163" t="str">
        <f t="shared" si="18"/>
        <v>Escobedo → Escobedo</v>
      </c>
      <c r="AE1163" t="s">
        <v>1358</v>
      </c>
      <c r="AF1163" s="4">
        <v>46023</v>
      </c>
      <c r="AG1163" t="str">
        <f>YEAR(Table1[[#This Row],[Fecha]])&amp;" - " &amp;UPPER(TEXT(Table1[[#This Row],[Fecha]],"mm-mmm"))</f>
        <v>2026 - 01-ENE</v>
      </c>
      <c r="AH1163" s="5">
        <v>0</v>
      </c>
    </row>
    <row r="1164" spans="1:34" x14ac:dyDescent="0.25">
      <c r="A1164" t="s">
        <v>96</v>
      </c>
      <c r="B1164">
        <v>2026</v>
      </c>
      <c r="C1164">
        <v>1</v>
      </c>
      <c r="D1164" s="1">
        <v>46024</v>
      </c>
      <c r="E1164" s="1">
        <v>46024</v>
      </c>
      <c r="F1164" s="1">
        <v>46025</v>
      </c>
      <c r="G1164" s="1">
        <v>46024</v>
      </c>
      <c r="H1164" s="1">
        <v>46025</v>
      </c>
      <c r="I1164">
        <v>2244</v>
      </c>
      <c r="J1164" t="s">
        <v>41</v>
      </c>
      <c r="K1164" t="s">
        <v>42</v>
      </c>
      <c r="L1164">
        <v>640</v>
      </c>
      <c r="M1164">
        <v>0</v>
      </c>
      <c r="N1164" t="s">
        <v>43</v>
      </c>
      <c r="O1164">
        <v>1</v>
      </c>
      <c r="P1164">
        <v>640</v>
      </c>
      <c r="Q1164" t="b">
        <v>1</v>
      </c>
      <c r="R1164" t="b">
        <v>0</v>
      </c>
      <c r="S1164" t="b">
        <v>0</v>
      </c>
      <c r="T1164">
        <v>0</v>
      </c>
      <c r="U1164">
        <v>0</v>
      </c>
      <c r="V1164" t="s">
        <v>33</v>
      </c>
      <c r="W1164" t="s">
        <v>33</v>
      </c>
      <c r="X1164">
        <v>0</v>
      </c>
      <c r="Y1164">
        <v>4793</v>
      </c>
      <c r="Z1164" t="s">
        <v>44</v>
      </c>
      <c r="AA1164">
        <v>4793</v>
      </c>
      <c r="AB1164" t="s">
        <v>56</v>
      </c>
      <c r="AC1164" t="s">
        <v>91</v>
      </c>
      <c r="AD1164" t="str">
        <f t="shared" si="18"/>
        <v>Cd Sahagún → Guerrero</v>
      </c>
      <c r="AE1164" t="s">
        <v>1359</v>
      </c>
      <c r="AF1164" s="4">
        <v>46023</v>
      </c>
      <c r="AG1164" t="str">
        <f>YEAR(Table1[[#This Row],[Fecha]])&amp;" - " &amp;UPPER(TEXT(Table1[[#This Row],[Fecha]],"mm-mmm"))</f>
        <v>2026 - 01-ENE</v>
      </c>
      <c r="AH1164" s="5">
        <v>0</v>
      </c>
    </row>
    <row r="1165" spans="1:34" x14ac:dyDescent="0.25">
      <c r="A1165" t="s">
        <v>97</v>
      </c>
      <c r="B1165">
        <v>2026</v>
      </c>
      <c r="C1165">
        <v>1</v>
      </c>
      <c r="D1165" s="1">
        <v>46024</v>
      </c>
      <c r="E1165" s="1">
        <v>46024</v>
      </c>
      <c r="F1165" s="1">
        <v>46025</v>
      </c>
      <c r="G1165" s="1">
        <v>46024</v>
      </c>
      <c r="H1165" s="1">
        <v>46025</v>
      </c>
      <c r="I1165">
        <v>2039</v>
      </c>
      <c r="J1165" t="s">
        <v>54</v>
      </c>
      <c r="K1165" t="s">
        <v>31</v>
      </c>
      <c r="L1165">
        <v>640</v>
      </c>
      <c r="M1165">
        <v>0</v>
      </c>
      <c r="N1165" t="s">
        <v>32</v>
      </c>
      <c r="O1165">
        <v>1</v>
      </c>
      <c r="P1165">
        <v>640</v>
      </c>
      <c r="Q1165" t="b">
        <v>1</v>
      </c>
      <c r="R1165" t="b">
        <v>0</v>
      </c>
      <c r="S1165" t="b">
        <v>0</v>
      </c>
      <c r="T1165">
        <v>0</v>
      </c>
      <c r="U1165">
        <v>0</v>
      </c>
      <c r="V1165" t="s">
        <v>33</v>
      </c>
      <c r="W1165" t="s">
        <v>33</v>
      </c>
      <c r="X1165">
        <v>0</v>
      </c>
      <c r="Y1165">
        <v>4793</v>
      </c>
      <c r="Z1165" t="s">
        <v>98</v>
      </c>
      <c r="AA1165">
        <v>4793</v>
      </c>
      <c r="AB1165" t="s">
        <v>56</v>
      </c>
      <c r="AC1165" t="s">
        <v>91</v>
      </c>
      <c r="AD1165" t="str">
        <f t="shared" si="18"/>
        <v>Cd Sahagún → Guerrero</v>
      </c>
      <c r="AE1165" t="s">
        <v>1358</v>
      </c>
      <c r="AF1165" s="4">
        <v>46023</v>
      </c>
      <c r="AG1165" t="str">
        <f>YEAR(Table1[[#This Row],[Fecha]])&amp;" - " &amp;UPPER(TEXT(Table1[[#This Row],[Fecha]],"mm-mmm"))</f>
        <v>2026 - 01-ENE</v>
      </c>
      <c r="AH1165" s="5">
        <v>0</v>
      </c>
    </row>
    <row r="1166" spans="1:34" x14ac:dyDescent="0.25">
      <c r="A1166" t="s">
        <v>1345</v>
      </c>
      <c r="B1166">
        <v>2026</v>
      </c>
      <c r="C1166">
        <v>1</v>
      </c>
      <c r="D1166" s="1">
        <v>46025</v>
      </c>
      <c r="E1166" s="1">
        <v>46025</v>
      </c>
      <c r="F1166" s="1">
        <v>46028</v>
      </c>
      <c r="G1166" s="1">
        <v>46027</v>
      </c>
      <c r="H1166" s="2">
        <v>46028.634587812499</v>
      </c>
      <c r="I1166">
        <v>2244</v>
      </c>
      <c r="J1166" t="s">
        <v>41</v>
      </c>
      <c r="K1166" t="s">
        <v>42</v>
      </c>
      <c r="L1166">
        <v>1008</v>
      </c>
      <c r="M1166">
        <v>0</v>
      </c>
      <c r="N1166" t="s">
        <v>43</v>
      </c>
      <c r="O1166">
        <v>1</v>
      </c>
      <c r="P1166">
        <v>1008</v>
      </c>
      <c r="Q1166" t="b">
        <v>1</v>
      </c>
      <c r="R1166" t="b">
        <v>0</v>
      </c>
      <c r="S1166" t="b">
        <v>0</v>
      </c>
      <c r="T1166">
        <v>0</v>
      </c>
      <c r="U1166">
        <v>0</v>
      </c>
      <c r="V1166" t="s">
        <v>33</v>
      </c>
      <c r="W1166" t="s">
        <v>33</v>
      </c>
      <c r="X1166">
        <v>0</v>
      </c>
      <c r="Y1166">
        <v>4852</v>
      </c>
      <c r="Z1166" t="s">
        <v>44</v>
      </c>
      <c r="AA1166">
        <v>4852</v>
      </c>
      <c r="AB1166" t="s">
        <v>91</v>
      </c>
      <c r="AC1166" t="s">
        <v>1340</v>
      </c>
      <c r="AD1166" t="str">
        <f t="shared" si="18"/>
        <v>Guerrero → Veracruz</v>
      </c>
      <c r="AE1166" t="s">
        <v>1359</v>
      </c>
      <c r="AF1166" s="4">
        <v>46023</v>
      </c>
      <c r="AG1166" t="str">
        <f>YEAR(Table1[[#This Row],[Fecha]])&amp;" - " &amp;UPPER(TEXT(Table1[[#This Row],[Fecha]],"mm-mmm"))</f>
        <v>2026 - 01-ENE</v>
      </c>
      <c r="AH1166" s="5">
        <v>0</v>
      </c>
    </row>
    <row r="1167" spans="1:34" x14ac:dyDescent="0.25">
      <c r="A1167" t="s">
        <v>1346</v>
      </c>
      <c r="B1167">
        <v>2026</v>
      </c>
      <c r="C1167">
        <v>1</v>
      </c>
      <c r="D1167" s="1">
        <v>46025</v>
      </c>
      <c r="E1167" s="1">
        <v>46025</v>
      </c>
      <c r="F1167" s="1">
        <v>46028</v>
      </c>
      <c r="G1167" s="1">
        <v>46027</v>
      </c>
      <c r="H1167" s="2">
        <v>46028.426778240741</v>
      </c>
      <c r="I1167">
        <v>2039</v>
      </c>
      <c r="J1167" t="s">
        <v>54</v>
      </c>
      <c r="K1167" t="s">
        <v>31</v>
      </c>
      <c r="L1167">
        <v>1008</v>
      </c>
      <c r="M1167">
        <v>0</v>
      </c>
      <c r="N1167" t="s">
        <v>32</v>
      </c>
      <c r="O1167">
        <v>1</v>
      </c>
      <c r="P1167">
        <v>1008</v>
      </c>
      <c r="Q1167" t="b">
        <v>1</v>
      </c>
      <c r="R1167" t="b">
        <v>0</v>
      </c>
      <c r="S1167" t="b">
        <v>0</v>
      </c>
      <c r="T1167">
        <v>0</v>
      </c>
      <c r="U1167">
        <v>0</v>
      </c>
      <c r="V1167" t="s">
        <v>33</v>
      </c>
      <c r="W1167" t="s">
        <v>33</v>
      </c>
      <c r="X1167">
        <v>0</v>
      </c>
      <c r="Y1167">
        <v>4852</v>
      </c>
      <c r="Z1167" t="s">
        <v>44</v>
      </c>
      <c r="AA1167">
        <v>4852</v>
      </c>
      <c r="AB1167" t="s">
        <v>91</v>
      </c>
      <c r="AC1167" t="s">
        <v>1340</v>
      </c>
      <c r="AD1167" t="str">
        <f t="shared" si="18"/>
        <v>Guerrero → Veracruz</v>
      </c>
      <c r="AE1167" t="s">
        <v>1358</v>
      </c>
      <c r="AF1167" s="4">
        <v>46023</v>
      </c>
      <c r="AG1167" t="str">
        <f>YEAR(Table1[[#This Row],[Fecha]])&amp;" - " &amp;UPPER(TEXT(Table1[[#This Row],[Fecha]],"mm-mmm"))</f>
        <v>2026 - 01-ENE</v>
      </c>
      <c r="AH1167" s="5">
        <v>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IAVE</cp:lastModifiedBy>
  <dcterms:modified xsi:type="dcterms:W3CDTF">2026-05-19T00:15:39Z</dcterms:modified>
</cp:coreProperties>
</file>