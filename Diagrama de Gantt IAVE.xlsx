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bookViews>
    <workbookView xWindow="-120" yWindow="-120" windowWidth="29040" windowHeight="15720" activeTab="2"/>
  </bookViews>
  <sheets>
    <sheet name="Sheet2" sheetId="15" r:id="rId1"/>
    <sheet name="Sheet1" sheetId="16" r:id="rId2"/>
    <sheet name="Gantt" sheetId="11" r:id="rId3"/>
    <sheet name="Acerca de" sheetId="12" state="hidden" r:id="rId4"/>
  </sheets>
  <definedNames>
    <definedName name="hoy" localSheetId="2">TODAY()</definedName>
    <definedName name="Inicio_del_proyecto">Gantt!$F$3</definedName>
    <definedName name="_xlnm.Print_Titles" localSheetId="2">Gantt!$4:$6</definedName>
    <definedName name="Semana_para_mostrar">Gantt!$F$4</definedName>
    <definedName name="task_end" localSheetId="2">Gantt!$G1</definedName>
    <definedName name="task_progress" localSheetId="2">Gantt!$E1</definedName>
    <definedName name="task_start" localSheetId="2">Gantt!$F1</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1" l="1"/>
  <c r="K7" i="11" l="1"/>
  <c r="F9" i="11" l="1"/>
  <c r="L5" i="11" l="1"/>
  <c r="K115" i="11"/>
  <c r="K114" i="11"/>
  <c r="K38" i="11"/>
  <c r="K26" i="11"/>
  <c r="K25" i="11"/>
  <c r="K22" i="11"/>
  <c r="K21" i="11"/>
  <c r="K20" i="11"/>
  <c r="K14" i="11"/>
  <c r="K8" i="11"/>
  <c r="F11" i="11" l="1"/>
  <c r="F13" i="11"/>
  <c r="L6" i="11"/>
  <c r="K9" i="11" l="1"/>
  <c r="K24" i="11"/>
  <c r="K10" i="11"/>
  <c r="G15" i="11"/>
  <c r="K15" i="11" s="1"/>
  <c r="G13" i="11"/>
  <c r="K13" i="11" s="1"/>
  <c r="G11" i="11"/>
  <c r="M5" i="11"/>
  <c r="N5" i="11" s="1"/>
  <c r="O5" i="11" s="1"/>
  <c r="P5" i="11" s="1"/>
  <c r="Q5" i="11" s="1"/>
  <c r="R5" i="11" s="1"/>
  <c r="S5" i="11" s="1"/>
  <c r="L4" i="11"/>
  <c r="K16" i="11" l="1"/>
  <c r="K11" i="11"/>
  <c r="S4" i="11"/>
  <c r="T5" i="11"/>
  <c r="U5" i="11" s="1"/>
  <c r="V5" i="11" s="1"/>
  <c r="W5" i="11" s="1"/>
  <c r="X5" i="11" s="1"/>
  <c r="Y5" i="11" s="1"/>
  <c r="Z5" i="11" s="1"/>
  <c r="M6" i="11"/>
  <c r="K19" i="11" l="1"/>
  <c r="K18" i="11"/>
  <c r="K17" i="11"/>
  <c r="Z4" i="11"/>
  <c r="AA5" i="11"/>
  <c r="AB5" i="11" s="1"/>
  <c r="AC5" i="11" s="1"/>
  <c r="AD5" i="11" s="1"/>
  <c r="AE5" i="11" s="1"/>
  <c r="AF5" i="11" s="1"/>
  <c r="AG5" i="11" s="1"/>
  <c r="N6" i="11"/>
  <c r="AH5" i="11" l="1"/>
  <c r="AI5" i="11" s="1"/>
  <c r="AJ5" i="11" s="1"/>
  <c r="AK5" i="11" s="1"/>
  <c r="AL5" i="11" s="1"/>
  <c r="AM5" i="11" s="1"/>
  <c r="AG4" i="11"/>
  <c r="O6" i="11"/>
  <c r="AN5" i="11" l="1"/>
  <c r="AO5" i="11" s="1"/>
  <c r="AP5" i="11" s="1"/>
  <c r="AQ5" i="11" s="1"/>
  <c r="AR5" i="11" s="1"/>
  <c r="AS5" i="11" s="1"/>
  <c r="AT5" i="11" s="1"/>
  <c r="P6" i="11"/>
  <c r="AU5" i="11" l="1"/>
  <c r="AV5" i="11" s="1"/>
  <c r="AN4" i="11"/>
  <c r="Q6" i="11"/>
  <c r="AW5" i="11" l="1"/>
  <c r="AV6" i="11"/>
  <c r="AU4" i="11"/>
  <c r="R6" i="11"/>
  <c r="AW6" i="11" l="1"/>
  <c r="S6" i="11" l="1"/>
  <c r="U6" i="11" l="1"/>
  <c r="V6" i="11" l="1"/>
  <c r="AU6" i="11"/>
  <c r="AX5" i="11" s="1"/>
  <c r="AY5" i="11" s="1"/>
  <c r="AT6" i="11"/>
  <c r="AS6" i="11"/>
  <c r="AR6" i="11"/>
  <c r="AQ6" i="11"/>
  <c r="AP6" i="11"/>
  <c r="AO6" i="11"/>
  <c r="AN6" i="11"/>
  <c r="AM6" i="11"/>
  <c r="AL6" i="11"/>
  <c r="AK6" i="11"/>
  <c r="AJ6" i="11"/>
  <c r="AI6" i="11"/>
  <c r="AH6" i="11"/>
  <c r="AG6" i="11"/>
  <c r="AF6" i="11"/>
  <c r="AE6" i="11"/>
  <c r="AD6" i="11"/>
  <c r="AC6" i="11"/>
  <c r="AB6" i="11"/>
  <c r="AA6" i="11"/>
  <c r="Z6" i="11"/>
  <c r="Y6" i="11"/>
  <c r="X6" i="11"/>
  <c r="W6" i="11"/>
  <c r="T6" i="11"/>
  <c r="AZ5" i="11" l="1"/>
  <c r="BA5" i="11" s="1"/>
  <c r="AY6" i="11"/>
  <c r="AX6" i="11"/>
  <c r="AZ6" i="11" l="1"/>
  <c r="BB5" i="11"/>
  <c r="BC5" i="11" l="1"/>
  <c r="BB6" i="11"/>
  <c r="BB4" i="11"/>
  <c r="BA6" i="11" s="1"/>
  <c r="BD5" i="11" l="1"/>
  <c r="BC6" i="11"/>
  <c r="BE5" i="11" l="1"/>
  <c r="BD6" i="11"/>
  <c r="BE6" i="11" l="1"/>
  <c r="BF5" i="11"/>
  <c r="BG5" i="11" l="1"/>
  <c r="BF6" i="11"/>
  <c r="BH5" i="11" l="1"/>
  <c r="BI5" i="11" s="1"/>
  <c r="BG6" i="11"/>
  <c r="BI4" i="11" l="1"/>
  <c r="BJ5" i="11"/>
  <c r="BI6" i="11"/>
  <c r="BK5" i="11" l="1"/>
  <c r="BJ6" i="11"/>
  <c r="BL5" i="11" l="1"/>
  <c r="BK6" i="11"/>
  <c r="BM5" i="11" l="1"/>
  <c r="BL6" i="11"/>
  <c r="BN5" i="11" l="1"/>
  <c r="BM6" i="11"/>
  <c r="BO5" i="11" l="1"/>
  <c r="BN6" i="11"/>
  <c r="BP5" i="11" l="1"/>
  <c r="BO6" i="11"/>
  <c r="BQ5" i="11" l="1"/>
  <c r="BR5" i="11" s="1"/>
  <c r="BS5" i="11" s="1"/>
  <c r="BT5" i="11" s="1"/>
  <c r="BU5" i="11" s="1"/>
  <c r="BP4" i="11"/>
  <c r="BV5" i="11" l="1"/>
  <c r="BU6" i="11"/>
  <c r="BW5" i="11" l="1"/>
  <c r="BV6" i="11"/>
  <c r="BX5" i="11" l="1"/>
  <c r="BY5" i="11" s="1"/>
  <c r="BZ5" i="11" s="1"/>
  <c r="CA5" i="11" s="1"/>
  <c r="CB5" i="11" s="1"/>
  <c r="CB6" i="11" s="1"/>
  <c r="BW4" i="11"/>
  <c r="CC5" i="11" l="1"/>
  <c r="CC6" i="11" s="1"/>
  <c r="CD5" i="11" l="1"/>
  <c r="CE5" i="11" l="1"/>
  <c r="CD4" i="11"/>
  <c r="BH6" i="11" s="1"/>
  <c r="CD6" i="11"/>
  <c r="CF5" i="11" l="1"/>
  <c r="CE6" i="11"/>
  <c r="CG5" i="11" l="1"/>
  <c r="CF6" i="11"/>
  <c r="CH5" i="11" l="1"/>
  <c r="CG6" i="11"/>
  <c r="CI5" i="11" l="1"/>
  <c r="CH6" i="11"/>
  <c r="CJ5" i="11" l="1"/>
  <c r="CI6" i="11"/>
  <c r="CJ6" i="11" l="1"/>
  <c r="CK5" i="11"/>
  <c r="CL5" i="11" l="1"/>
  <c r="CK6" i="11"/>
  <c r="CK4" i="11"/>
  <c r="CM5" i="11" l="1"/>
  <c r="CL6" i="11"/>
  <c r="CM6" i="11" l="1"/>
  <c r="CN5" i="11"/>
  <c r="CO5" i="11" l="1"/>
  <c r="CN6" i="11"/>
  <c r="CP5" i="11" l="1"/>
  <c r="CO6" i="11"/>
  <c r="CP6" i="11" l="1"/>
  <c r="CQ5" i="11"/>
  <c r="CQ6" i="11" l="1"/>
  <c r="CR5" i="11"/>
  <c r="CR4" i="11" l="1"/>
  <c r="CS5" i="11"/>
  <c r="CR6" i="11"/>
  <c r="CT5" i="11" l="1"/>
  <c r="CS6" i="11"/>
  <c r="CU5" i="11" l="1"/>
  <c r="CT6" i="11"/>
  <c r="CV5" i="11" l="1"/>
  <c r="CU6" i="11"/>
  <c r="CV6" i="11" l="1"/>
  <c r="CW5" i="11"/>
  <c r="CW6" i="11" l="1"/>
  <c r="CX5" i="11"/>
  <c r="CX6" i="11" l="1"/>
  <c r="CY5" i="11"/>
  <c r="CZ5" i="11" l="1"/>
  <c r="CY4" i="11"/>
  <c r="CY6" i="11"/>
  <c r="DA5" i="11" l="1"/>
  <c r="CZ6" i="11"/>
  <c r="DB5" i="11" l="1"/>
  <c r="DA6" i="11"/>
  <c r="DB6" i="11" l="1"/>
  <c r="DC5" i="11"/>
  <c r="DD5" i="11" l="1"/>
  <c r="DC6" i="11"/>
  <c r="DD6" i="11" l="1"/>
  <c r="DE5" i="11"/>
  <c r="DE6" i="11" l="1"/>
  <c r="DF5" i="11"/>
  <c r="DG5" i="11" l="1"/>
  <c r="DF6" i="11"/>
  <c r="DF4" i="11"/>
  <c r="DH5" i="11" l="1"/>
  <c r="DG6" i="11"/>
  <c r="DI5" i="11" l="1"/>
  <c r="DH6" i="11"/>
  <c r="DI6" i="11" l="1"/>
  <c r="DJ5" i="11"/>
  <c r="DK5" i="11" l="1"/>
  <c r="DJ6" i="11"/>
  <c r="DK6" i="11" l="1"/>
  <c r="DL5" i="11"/>
  <c r="DL6" i="11" l="1"/>
  <c r="DM5" i="11"/>
  <c r="DN5" i="11" l="1"/>
  <c r="DM6" i="11"/>
  <c r="DM4" i="11"/>
  <c r="DN6" i="11" l="1"/>
  <c r="DO5" i="11"/>
  <c r="DP5" i="11" l="1"/>
  <c r="DO6" i="11"/>
  <c r="DQ5" i="11" l="1"/>
  <c r="DP6" i="11"/>
  <c r="DR5" i="11" l="1"/>
  <c r="DQ6" i="11"/>
  <c r="DR6" i="11" l="1"/>
  <c r="DS5" i="11"/>
  <c r="DS6" i="11" l="1"/>
  <c r="DT5" i="11"/>
  <c r="DT4" i="11" l="1"/>
  <c r="DT6" i="11"/>
  <c r="DU5" i="11"/>
  <c r="DU6" i="11" l="1"/>
  <c r="DV5" i="11"/>
  <c r="DW5" i="11" l="1"/>
  <c r="DV6" i="11"/>
  <c r="DX5" i="11" l="1"/>
  <c r="DW6" i="11"/>
  <c r="DY5" i="11" l="1"/>
  <c r="DX6" i="11"/>
  <c r="DY6" i="11" l="1"/>
  <c r="DZ5" i="11"/>
  <c r="DZ6" i="11" l="1"/>
  <c r="EA5" i="11"/>
  <c r="EB5" i="11" l="1"/>
  <c r="EA4" i="11"/>
  <c r="EA6" i="11"/>
  <c r="EB6" i="11" l="1"/>
  <c r="EC5" i="11"/>
  <c r="EC6" i="11" l="1"/>
  <c r="ED5" i="11"/>
  <c r="ED6" i="11" l="1"/>
  <c r="EE5" i="11"/>
  <c r="EE6" i="11" l="1"/>
  <c r="EF5" i="11"/>
  <c r="EG5" i="11" l="1"/>
  <c r="EF6" i="11"/>
  <c r="EG6" i="11" l="1"/>
  <c r="EH5" i="11"/>
  <c r="EI5" i="11" l="1"/>
  <c r="EH4" i="11"/>
  <c r="EH6" i="11"/>
  <c r="EJ5" i="11" l="1"/>
  <c r="EI6" i="11"/>
  <c r="EK5" i="11" l="1"/>
  <c r="EJ6" i="11"/>
  <c r="EL5" i="11" l="1"/>
  <c r="EK6" i="11"/>
  <c r="EL6" i="11" l="1"/>
  <c r="EM5" i="11"/>
  <c r="EM6" i="11" l="1"/>
  <c r="EN5" i="11"/>
  <c r="EN6" i="11" l="1"/>
  <c r="EO5" i="11"/>
  <c r="EO6" i="11" l="1"/>
  <c r="EP5" i="11"/>
  <c r="EO4" i="11"/>
  <c r="EP6" i="11" l="1"/>
  <c r="EQ5" i="11"/>
  <c r="EQ6" i="11" l="1"/>
  <c r="ER5" i="11"/>
  <c r="ER6" i="11" l="1"/>
  <c r="ES5" i="11"/>
  <c r="ES6" i="11" l="1"/>
  <c r="ET5" i="11"/>
  <c r="ET6" i="11" l="1"/>
  <c r="EU5" i="11"/>
  <c r="EU6" i="11" l="1"/>
  <c r="EV5" i="11"/>
  <c r="EV6" i="11" l="1"/>
  <c r="EW5" i="11"/>
  <c r="EV4" i="11"/>
  <c r="EW6" i="11" l="1"/>
  <c r="EX5" i="11"/>
  <c r="EX6" i="11" l="1"/>
  <c r="EY5" i="11"/>
  <c r="EY6" i="11" l="1"/>
  <c r="EZ5" i="11"/>
  <c r="EZ6" i="11" l="1"/>
  <c r="FA5" i="11"/>
  <c r="FA6" i="11" l="1"/>
  <c r="FB5" i="11"/>
  <c r="FB6" i="11" l="1"/>
  <c r="FC5" i="11"/>
  <c r="FD5" i="11" l="1"/>
  <c r="FC4" i="11"/>
  <c r="FC6" i="11"/>
  <c r="FE5" i="11" l="1"/>
  <c r="FD6" i="11"/>
  <c r="FF5" i="11" l="1"/>
  <c r="FE6" i="11"/>
  <c r="FG5" i="11" l="1"/>
  <c r="FF6" i="11"/>
  <c r="FG6" i="11" l="1"/>
  <c r="FH5" i="11"/>
  <c r="FH6" i="11" l="1"/>
  <c r="FI5" i="11"/>
  <c r="FI6" i="11" l="1"/>
  <c r="FJ5" i="11"/>
  <c r="FJ6" i="11" l="1"/>
  <c r="FK5" i="11"/>
  <c r="FJ4" i="11"/>
  <c r="FK6" i="11" l="1"/>
  <c r="FL5" i="11"/>
  <c r="FL6" i="11" l="1"/>
  <c r="FM5" i="11"/>
  <c r="FM6" i="11" l="1"/>
  <c r="FN5" i="11"/>
  <c r="FN6" i="11" l="1"/>
  <c r="FO5" i="11"/>
  <c r="FP5" i="11" l="1"/>
  <c r="FO6" i="11"/>
  <c r="FP6" i="11" l="1"/>
  <c r="FQ5" i="11"/>
  <c r="FQ6" i="11" l="1"/>
  <c r="FR5" i="11"/>
  <c r="FQ4" i="11"/>
  <c r="FR6" i="11" l="1"/>
  <c r="FS5" i="11"/>
  <c r="FS6" i="11" l="1"/>
  <c r="FT5" i="11"/>
  <c r="FT6" i="11" l="1"/>
  <c r="FU5" i="11"/>
  <c r="FU6" i="11" l="1"/>
  <c r="FV5" i="11"/>
  <c r="FV6" i="11" l="1"/>
  <c r="FW5" i="11"/>
  <c r="FW6" i="11" l="1"/>
  <c r="FX5" i="11"/>
  <c r="FX6" i="11" l="1"/>
  <c r="FY5" i="11"/>
  <c r="FX4" i="11"/>
  <c r="FY6" i="11" l="1"/>
  <c r="FZ5" i="11"/>
  <c r="FZ6" i="11" l="1"/>
  <c r="GA5" i="11"/>
  <c r="GA6" i="11" l="1"/>
  <c r="GB5" i="11"/>
  <c r="GB6" i="11" l="1"/>
  <c r="GC5" i="11"/>
  <c r="GC6" i="11" l="1"/>
  <c r="GD5" i="11"/>
  <c r="GD6" i="11" l="1"/>
  <c r="GE5" i="11"/>
  <c r="GE6" i="11" l="1"/>
  <c r="GF5" i="11"/>
  <c r="GE4" i="11"/>
  <c r="GG5" i="11" l="1"/>
  <c r="GF6" i="11"/>
  <c r="GG6" i="11" l="1"/>
  <c r="GH5" i="11"/>
  <c r="GH6" i="11" l="1"/>
  <c r="GI5" i="11"/>
  <c r="GI6" i="11" l="1"/>
  <c r="GJ5" i="11"/>
  <c r="GJ6" i="11" l="1"/>
  <c r="GK5" i="11"/>
  <c r="GK6" i="11" l="1"/>
  <c r="GL5" i="11"/>
  <c r="GL4" i="11" s="1"/>
  <c r="GL6" i="11" l="1"/>
  <c r="GM5" i="11"/>
  <c r="GM6" i="11" l="1"/>
  <c r="GN5" i="11"/>
  <c r="GN6" i="11" l="1"/>
  <c r="GO5" i="11"/>
  <c r="GO6" i="11" l="1"/>
  <c r="GP5" i="11"/>
  <c r="GP6" i="11" l="1"/>
  <c r="GQ5" i="11"/>
  <c r="GQ6" i="11" l="1"/>
  <c r="GR5" i="11"/>
  <c r="GR6" i="11" l="1"/>
  <c r="GS5" i="11"/>
  <c r="GS6" i="11" l="1"/>
  <c r="GT5" i="11"/>
  <c r="GS4" i="11"/>
  <c r="GT6" i="11" l="1"/>
  <c r="GU5" i="11"/>
  <c r="GU6" i="11" l="1"/>
  <c r="GV5" i="11"/>
  <c r="GV6" i="11" l="1"/>
  <c r="GW5" i="11"/>
  <c r="GW6" i="11" l="1"/>
  <c r="GX5" i="11"/>
  <c r="GX6" i="11" l="1"/>
  <c r="GY5" i="11"/>
  <c r="GY6" i="11" l="1"/>
  <c r="GZ5" i="11"/>
  <c r="GZ6" i="11" l="1"/>
  <c r="HA5" i="11"/>
  <c r="GZ4" i="11"/>
  <c r="HB5" i="11" l="1"/>
  <c r="HA6" i="11"/>
  <c r="HC5" i="11" l="1"/>
  <c r="HB6" i="11"/>
  <c r="HD5" i="11" l="1"/>
  <c r="HC6" i="11"/>
  <c r="HE5" i="11" l="1"/>
  <c r="HD6" i="11"/>
  <c r="HF5" i="11" l="1"/>
  <c r="HE6" i="11"/>
  <c r="HF6" i="11" l="1"/>
  <c r="HG5" i="11"/>
  <c r="HG6" i="11" l="1"/>
  <c r="HH5" i="11"/>
  <c r="HG4" i="11"/>
  <c r="HH6" i="11" l="1"/>
  <c r="HI5" i="11"/>
  <c r="HI6" i="11" l="1"/>
  <c r="HJ5" i="11"/>
  <c r="HJ6" i="11" l="1"/>
  <c r="HK5" i="11"/>
  <c r="HK6" i="11" l="1"/>
  <c r="HL5" i="11"/>
  <c r="HM5" i="11" l="1"/>
  <c r="HL6" i="11"/>
  <c r="HM6" i="11" l="1"/>
  <c r="HN5" i="11"/>
  <c r="HO5" i="11" l="1"/>
  <c r="HN4" i="11"/>
  <c r="HN6" i="11"/>
  <c r="HP5" i="11" l="1"/>
  <c r="HO6" i="11"/>
  <c r="HQ5" i="11" l="1"/>
  <c r="HP6" i="11"/>
  <c r="HR5" i="11" l="1"/>
  <c r="HQ6" i="11"/>
  <c r="HR6" i="11" l="1"/>
  <c r="HS5" i="11"/>
  <c r="HS6" i="11" l="1"/>
  <c r="HT5" i="11"/>
  <c r="HT6" i="11" l="1"/>
  <c r="HU5" i="11"/>
  <c r="HU6" i="11" l="1"/>
  <c r="HV5" i="11"/>
  <c r="HU4" i="11"/>
  <c r="HV6" i="11" l="1"/>
  <c r="HW5" i="11"/>
  <c r="HW6" i="11" l="1"/>
  <c r="HX5" i="11"/>
  <c r="HX6" i="11" l="1"/>
  <c r="HY5" i="11"/>
  <c r="HY6" i="11" l="1"/>
  <c r="HZ5" i="11"/>
  <c r="HZ6" i="11" l="1"/>
  <c r="IA5" i="11"/>
  <c r="IA6" i="11" l="1"/>
  <c r="IB5" i="11"/>
  <c r="IB6" i="11" l="1"/>
  <c r="IC5" i="11"/>
  <c r="IB4" i="11"/>
  <c r="IC6" i="11" l="1"/>
  <c r="ID5" i="11"/>
  <c r="ID6" i="11" l="1"/>
  <c r="IE5" i="11"/>
  <c r="IE6" i="11" l="1"/>
  <c r="IF5" i="11"/>
  <c r="IF6" i="11" l="1"/>
  <c r="IG5" i="11"/>
  <c r="IG6" i="11" l="1"/>
  <c r="IH5" i="11"/>
  <c r="IH6" i="11" l="1"/>
  <c r="II5" i="11"/>
  <c r="II6" i="11" l="1"/>
  <c r="IJ5" i="11"/>
  <c r="II4" i="11"/>
  <c r="IJ6" i="11" l="1"/>
  <c r="IK5" i="11"/>
  <c r="IK6" i="11" l="1"/>
  <c r="IL5" i="11"/>
  <c r="IL6" i="11" l="1"/>
  <c r="IM5" i="11"/>
  <c r="IM6" i="11" l="1"/>
  <c r="IN5" i="11"/>
  <c r="IN6" i="11" l="1"/>
  <c r="IO5" i="11"/>
  <c r="IO6" i="11" l="1"/>
  <c r="IP5" i="11"/>
  <c r="IP6" i="11" l="1"/>
  <c r="IQ5" i="11"/>
  <c r="IP4" i="11"/>
  <c r="IQ6" i="11" l="1"/>
  <c r="IR5" i="11"/>
  <c r="IR6" i="11" l="1"/>
  <c r="IS5" i="11"/>
  <c r="IS6" i="11" l="1"/>
  <c r="IT5" i="11"/>
  <c r="IT6" i="11" l="1"/>
  <c r="IU5" i="11"/>
  <c r="IU6" i="11" l="1"/>
  <c r="IV5" i="11"/>
  <c r="IV6" i="11" l="1"/>
  <c r="IW5" i="11"/>
  <c r="IW6" i="11" l="1"/>
  <c r="IX5" i="11"/>
  <c r="IW4" i="11"/>
  <c r="IX6" i="11" l="1"/>
  <c r="IY5" i="11"/>
  <c r="IY6" i="11" l="1"/>
  <c r="IZ5" i="11"/>
  <c r="IZ6" i="11" l="1"/>
  <c r="JA5" i="11"/>
  <c r="JA6" i="11" l="1"/>
  <c r="JB5" i="11"/>
  <c r="JB6" i="11" l="1"/>
  <c r="JC5" i="11"/>
  <c r="JC6" i="11" l="1"/>
  <c r="JD5" i="11"/>
  <c r="JD6" i="11" l="1"/>
  <c r="JE5" i="11"/>
  <c r="JD4" i="11"/>
  <c r="JF5" i="11" l="1"/>
  <c r="JE6" i="11"/>
  <c r="JF6" i="11" l="1"/>
  <c r="JG5" i="11"/>
  <c r="JG6" i="11" l="1"/>
  <c r="JH5" i="11"/>
  <c r="JH6" i="11" l="1"/>
  <c r="JI5" i="11"/>
  <c r="JI6" i="11" l="1"/>
  <c r="JJ5" i="11"/>
  <c r="JJ6" i="11" l="1"/>
  <c r="JK5" i="11"/>
  <c r="JL5" i="11" l="1"/>
  <c r="JK4" i="11"/>
  <c r="JK6" i="11"/>
  <c r="JM5" i="11" l="1"/>
  <c r="JL6" i="11"/>
  <c r="JN5" i="11" l="1"/>
  <c r="JM6" i="11"/>
  <c r="JO5" i="11" l="1"/>
  <c r="JN6" i="11"/>
  <c r="JO6" i="11" l="1"/>
  <c r="JP5" i="11"/>
  <c r="JP6" i="11" l="1"/>
  <c r="JQ5" i="11"/>
  <c r="JQ6" i="11" l="1"/>
  <c r="JR5" i="11"/>
  <c r="JS5" i="11" l="1"/>
  <c r="JR4" i="11"/>
  <c r="JR6" i="11"/>
  <c r="JT5" i="11" l="1"/>
  <c r="JS6" i="11"/>
  <c r="JU5" i="11" l="1"/>
  <c r="JT6" i="11"/>
  <c r="JV5" i="11" l="1"/>
  <c r="JU6" i="11"/>
  <c r="JW5" i="11" l="1"/>
  <c r="JV6" i="11"/>
  <c r="JW6" i="11" l="1"/>
  <c r="JX5" i="11"/>
  <c r="JX6" i="11" l="1"/>
  <c r="JY5" i="11"/>
  <c r="JZ5" i="11" l="1"/>
  <c r="JY4" i="11"/>
  <c r="JY6" i="11"/>
  <c r="KA5" i="11" l="1"/>
  <c r="JZ6" i="11"/>
  <c r="KB5" i="11" l="1"/>
  <c r="KA6" i="11"/>
  <c r="KC5" i="11" l="1"/>
  <c r="KB6" i="11"/>
  <c r="KD5" i="11" l="1"/>
  <c r="KC6" i="11"/>
  <c r="KD6" i="11" l="1"/>
  <c r="KE5" i="11"/>
  <c r="KE6" i="11" l="1"/>
  <c r="KF5" i="11"/>
  <c r="KF6" i="11" l="1"/>
  <c r="KG5" i="11"/>
  <c r="KF4" i="11"/>
  <c r="KG6" i="11" l="1"/>
  <c r="KH5" i="11"/>
  <c r="KH6" i="11" l="1"/>
  <c r="KI5" i="11"/>
  <c r="KI6" i="11" l="1"/>
  <c r="KJ5" i="11"/>
  <c r="KJ6" i="11" l="1"/>
  <c r="KK5" i="11"/>
  <c r="KK6" i="11" l="1"/>
  <c r="KL5" i="11"/>
  <c r="KL6" i="11" l="1"/>
  <c r="KM5" i="11"/>
  <c r="KM6" i="11" l="1"/>
  <c r="KN5" i="11"/>
  <c r="KM4" i="11"/>
  <c r="KN6" i="11" l="1"/>
  <c r="KO5" i="11"/>
  <c r="KO6" i="11" l="1"/>
  <c r="KP5" i="11"/>
  <c r="KP6" i="11" l="1"/>
  <c r="KQ5" i="11"/>
  <c r="KQ6" i="11" l="1"/>
  <c r="KR5" i="11"/>
  <c r="KR6" i="11" l="1"/>
  <c r="KS5" i="11"/>
  <c r="KS6" i="11" l="1"/>
  <c r="KT5" i="11"/>
  <c r="KT6" i="11" l="1"/>
  <c r="KU5" i="11"/>
  <c r="KT4" i="11"/>
  <c r="KU6" i="11" l="1"/>
  <c r="KV5" i="11"/>
  <c r="KV6" i="11" l="1"/>
  <c r="KW5" i="11"/>
  <c r="KW6" i="11" l="1"/>
  <c r="KX5" i="11"/>
  <c r="KX6" i="11" l="1"/>
  <c r="KY5" i="11"/>
  <c r="KY6" i="11" l="1"/>
  <c r="KZ5" i="11"/>
  <c r="KZ6" i="11" l="1"/>
  <c r="LA5" i="11"/>
  <c r="LA6" i="11" l="1"/>
  <c r="LB5" i="11"/>
  <c r="LA4" i="11"/>
  <c r="LC5" i="11" l="1"/>
  <c r="LB6" i="11"/>
  <c r="LC6" i="11" l="1"/>
  <c r="LD5" i="11"/>
  <c r="LD6" i="11" l="1"/>
  <c r="LE5" i="11"/>
  <c r="LF5" i="11" l="1"/>
  <c r="LE6" i="11"/>
  <c r="LF6" i="11" l="1"/>
  <c r="LG5" i="11"/>
  <c r="LG6" i="11" l="1"/>
  <c r="LH5" i="11"/>
  <c r="LH6" i="11" l="1"/>
  <c r="LI5" i="11"/>
  <c r="LH4" i="11"/>
  <c r="LI6" i="11" l="1"/>
  <c r="LJ5" i="11"/>
  <c r="LJ6" i="11" l="1"/>
  <c r="LK5" i="11"/>
  <c r="LK6" i="11" l="1"/>
  <c r="LL5" i="11"/>
  <c r="LL6" i="11" l="1"/>
  <c r="LM5" i="11"/>
  <c r="LM6" i="11" l="1"/>
  <c r="LN5" i="11"/>
  <c r="LN6" i="11" l="1"/>
  <c r="LO5" i="11"/>
  <c r="LP5" i="11" l="1"/>
  <c r="LO4" i="11"/>
  <c r="LO6" i="11"/>
  <c r="LQ5" i="11" l="1"/>
  <c r="LP6" i="11"/>
  <c r="LR5" i="11" l="1"/>
  <c r="LQ6" i="11"/>
  <c r="LS5" i="11" l="1"/>
  <c r="LR6" i="11"/>
  <c r="LT5" i="11" l="1"/>
  <c r="LS6" i="11"/>
  <c r="LT6" i="11" l="1"/>
  <c r="LU5" i="11"/>
  <c r="LU6" i="11" l="1"/>
  <c r="LV5" i="11"/>
  <c r="LV6" i="11" l="1"/>
  <c r="LW5" i="11"/>
  <c r="LV4" i="11"/>
  <c r="LW6" i="11" l="1"/>
  <c r="LX5" i="11"/>
  <c r="LX6" i="11" l="1"/>
  <c r="LY5" i="11"/>
  <c r="LY6" i="11" l="1"/>
  <c r="LZ5" i="11"/>
  <c r="LZ6" i="11" l="1"/>
  <c r="MA5" i="11"/>
  <c r="MA6" i="11" l="1"/>
  <c r="MB5" i="11"/>
  <c r="MB6" i="11" l="1"/>
  <c r="MC5" i="11"/>
  <c r="MC6" i="11" l="1"/>
  <c r="MD5" i="11"/>
  <c r="MC4" i="11"/>
  <c r="MD6" i="11" l="1"/>
  <c r="ME5" i="11"/>
  <c r="ME6" i="11" l="1"/>
  <c r="MF5" i="11"/>
  <c r="MF6" i="11" l="1"/>
  <c r="MG5" i="11"/>
  <c r="MG6" i="11" l="1"/>
  <c r="MH5" i="11"/>
  <c r="MH6" i="11" l="1"/>
  <c r="MI5" i="11"/>
  <c r="MI6" i="11" l="1"/>
  <c r="MJ5" i="11"/>
  <c r="MJ6" i="11" l="1"/>
  <c r="MK5" i="11"/>
  <c r="MJ4" i="11"/>
  <c r="MK6" i="11" l="1"/>
  <c r="ML5" i="11"/>
  <c r="ML6" i="11" l="1"/>
  <c r="MM5" i="11"/>
  <c r="MM6" i="11" l="1"/>
  <c r="MN5" i="11"/>
  <c r="MN6" i="11" l="1"/>
  <c r="MO5" i="11"/>
  <c r="MP5" i="11" l="1"/>
  <c r="MO6" i="11"/>
  <c r="MP6" i="11" l="1"/>
  <c r="MQ5" i="11"/>
  <c r="MQ6" i="11" l="1"/>
  <c r="MR5" i="11"/>
  <c r="MQ4" i="11"/>
  <c r="MR6" i="11" l="1"/>
  <c r="MS5" i="11"/>
  <c r="MS6" i="11" l="1"/>
  <c r="MT5" i="11"/>
  <c r="MT6" i="11" l="1"/>
  <c r="MU5" i="11"/>
  <c r="MU6" i="11" l="1"/>
  <c r="MV5" i="11"/>
  <c r="MV6" i="11" l="1"/>
  <c r="MW5" i="11"/>
  <c r="MW6" i="11" l="1"/>
</calcChain>
</file>

<file path=xl/sharedStrings.xml><?xml version="1.0" encoding="utf-8"?>
<sst xmlns="http://schemas.openxmlformats.org/spreadsheetml/2006/main" count="379" uniqueCount="300">
  <si>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</si>
  <si>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</si>
  <si>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</si>
  <si>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</si>
  <si>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</si>
  <si>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</si>
  <si>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Esta es una fila vacía.</t>
  </si>
  <si>
    <t>Esta fila indica el final de la programación del proyecto. NO escriba nada en esta fila. 
Inserte nuevas filas encima de ésta para continuar creando la programación del proyecto.</t>
  </si>
  <si>
    <t>Tarea 5</t>
  </si>
  <si>
    <t>Inserte nuevas filas ENCIMA de ésta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</si>
  <si>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</si>
  <si>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</si>
  <si>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</si>
  <si>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</si>
  <si>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</si>
  <si>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</si>
  <si>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</si>
  <si>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</si>
  <si>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</si>
  <si>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</si>
  <si>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</si>
  <si>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</si>
  <si>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</si>
  <si>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</si>
  <si>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</si>
  <si>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</si>
  <si>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</si>
  <si>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</si>
  <si>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</si>
  <si>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</si>
  <si>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</si>
  <si>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IAVE</t>
  </si>
  <si>
    <t xml:space="preserve">ATM </t>
  </si>
  <si>
    <t>Operaciones</t>
  </si>
  <si>
    <t>Inducción</t>
  </si>
  <si>
    <t>Presentación de las áreas y alcances</t>
  </si>
  <si>
    <t>HERRAMIENTAS / AREAS DE APOYO</t>
  </si>
  <si>
    <t>Hoja de inducción firmada</t>
  </si>
  <si>
    <t>Desarrollo de la plataforma</t>
  </si>
  <si>
    <t>Recolección y Análisis de Datos</t>
  </si>
  <si>
    <t>Detección y Evaluación de Inconsistencias</t>
  </si>
  <si>
    <t>Análisis de Tendencias y Patrones</t>
  </si>
  <si>
    <t>Validación y Ajustes Finales</t>
  </si>
  <si>
    <t>PC lista para iniciar actividades</t>
  </si>
  <si>
    <t>Introducción y dominio del flujo de información entre portales / sistemas</t>
  </si>
  <si>
    <t>Detección y correción de errores en el sistema</t>
  </si>
  <si>
    <t>PANDAS</t>
  </si>
  <si>
    <t>CONTRATACIÓN</t>
  </si>
  <si>
    <t>SISTEMAS</t>
  </si>
  <si>
    <t>MATPLOTLIB</t>
  </si>
  <si>
    <t>Definición de la solución tecnológica</t>
  </si>
  <si>
    <t>COORDINACIÓN DE
OPERACIONES</t>
  </si>
  <si>
    <t>COORDINACIÓN / GERENCIA</t>
  </si>
  <si>
    <t>DETALLE</t>
  </si>
  <si>
    <t>ENTREGABLE</t>
  </si>
  <si>
    <t>OPERACIONES / SISTEMAS</t>
  </si>
  <si>
    <t>Mediante el uso de las diferentes tablas disponibles en TUSA y portales web (PASE, SCT, INEGI)</t>
  </si>
  <si>
    <t>Unificación, estandarización, equivalencias entre nombres de:
-Casetas.
-Costos de peaje.</t>
  </si>
  <si>
    <t>Conocer la interacción necesaria para el desarrollo del proyecto IAVE</t>
  </si>
  <si>
    <t>Se configura la librería de PANDAS y se comienzan a definir los dataframes necesarios para el analisis de la información</t>
  </si>
  <si>
    <t>Reporte de conciliación v1</t>
  </si>
  <si>
    <t>Con base en el analisis realizado sobre los dataframes se generan los primeros gráficos y durante el periodo considerado de esta tarea se recibe y realizan las retroalimentaciones pertinentes a la entrega de gráficos / metricas.</t>
  </si>
  <si>
    <t>COORDINACIÓN DE
OPERACIONES - PROYECTO IAVE</t>
  </si>
  <si>
    <t>Se designan los periodos en que serán entregados los reportes del área</t>
  </si>
  <si>
    <t>Calendario de reportes</t>
  </si>
  <si>
    <r>
      <t>Se presenta el avance del proyecto para definir la forma en que será automatizado con el proveedor.</t>
    </r>
    <r>
      <rPr>
        <b/>
        <i/>
        <sz val="11"/>
        <color rgb="FF0070C0"/>
        <rFont val="Calibri"/>
        <family val="2"/>
        <scheme val="minor"/>
      </rPr>
      <t xml:space="preserve"> USO DEL CICLO PDCA</t>
    </r>
  </si>
  <si>
    <t>Inducción al sistema TUSA, APP móvil y el alcance con los operadores.</t>
  </si>
  <si>
    <t>Uso de sistema TUSA, APIs y  BDs necesarias para el desarrollo del proyecto</t>
  </si>
  <si>
    <t>Definición de la entrega de reportes periodicos</t>
  </si>
  <si>
    <t>Asignación de equipo / instalación de programas (vs code, python, Sublime Text, Sistema TUSA, )</t>
  </si>
  <si>
    <t>Uso de Python como lenguaje y motor de desarrollo para pruebas de analisis y automatización</t>
  </si>
  <si>
    <t>Dashboard en Matplotlib v1</t>
  </si>
  <si>
    <t>Desarrollo de sistema automatizado</t>
  </si>
  <si>
    <t>PROCESO (FASE  →  ACTIVIDAD)</t>
  </si>
  <si>
    <t>DEFINIR EN CONJUNTO CON COORDINACIÓN DE OPERACIONES</t>
  </si>
  <si>
    <t>DDS MEDIA</t>
  </si>
  <si>
    <t>Depuración de las casetas en sistema</t>
  </si>
  <si>
    <t>Implementación del sistema (Actualidad)</t>
  </si>
  <si>
    <t>SCT, INEGI, PASE</t>
  </si>
  <si>
    <t>Se validan las casetas en sistema para actualizar costos, agregar casetas faltantes, eliminar duplicados o casetas inexistentes.</t>
  </si>
  <si>
    <t>COMENTARIOS</t>
  </si>
  <si>
    <t>Se autorizo el desarrollo interno del sistema.</t>
  </si>
  <si>
    <t>Aseguramiento del 98% en la confiabilidad de las casetas en sistema  TUSA</t>
  </si>
  <si>
    <t>l</t>
  </si>
  <si>
    <t>m</t>
  </si>
  <si>
    <t>j</t>
  </si>
  <si>
    <t>v</t>
  </si>
  <si>
    <t>Frontend</t>
  </si>
  <si>
    <t>Carga de archivo CSV de PASE al servidor a través de la API</t>
  </si>
  <si>
    <t>Desarrollo de la funcionalidad pertinente para que se inserten registros de manera masiva con base en un archivo CSV.</t>
  </si>
  <si>
    <t>NODE.js/ Express</t>
  </si>
  <si>
    <t>Funcionalidad lista en el proyecto WEB</t>
  </si>
  <si>
    <t>Generación automática de ID_Cruce único</t>
  </si>
  <si>
    <t>Se define la estructura de un ID para que sea única y se pueda generar de manera dinamica.</t>
  </si>
  <si>
    <t>Clasificación automática de cruces (Aclaración, Abuso, Error)</t>
  </si>
  <si>
    <t>Campo automatizado para identificar los cruces.</t>
  </si>
  <si>
    <t>Componente CrucesTable.js con filtros, ordenamiento y exportación</t>
  </si>
  <si>
    <t>Vista principal para revisión</t>
  </si>
  <si>
    <t>Desarrollo del componente de la página principal del proyecto IAVE-WEB</t>
  </si>
  <si>
    <t>Coloreado visual por tipo de cruce (rojo, amarillo, azul o verde)</t>
  </si>
  <si>
    <t xml:space="preserve">React.js </t>
  </si>
  <si>
    <t>Filtros por fecha, semana y operador</t>
  </si>
  <si>
    <t>Con base al estatus que se determine a cada cruce se cambia el color de la fila para poder diferenciar de manera más directa los dictamenes.</t>
  </si>
  <si>
    <t>Actualización del componente de CrucesTable.js para incluir el colorado de filas.</t>
  </si>
  <si>
    <t>Para facilitar búsqueda</t>
  </si>
  <si>
    <t>Mejora visual en los cruces.</t>
  </si>
  <si>
    <t>useStates(), useEffects() → React.js</t>
  </si>
  <si>
    <t>Registro de comentarios/justificaciones por operador</t>
  </si>
  <si>
    <t>Abusos</t>
  </si>
  <si>
    <t>React.js</t>
  </si>
  <si>
    <t>Actualizar los registros de los operadores para que en caso de que se agreguen comentarios se guarden también en la base de datos.</t>
  </si>
  <si>
    <t>Añadir campos que sirvan cómo filtros dentro del componente de cruces para segmentar la información.</t>
  </si>
  <si>
    <t>Campos filtros funcionales</t>
  </si>
  <si>
    <t>Implementación de expediente histórico de abusos</t>
  </si>
  <si>
    <t>Relación con actas y descuentos</t>
  </si>
  <si>
    <t>Reporte historico de las abusos documentados.</t>
  </si>
  <si>
    <r>
      <t xml:space="preserve">Justificación dentro del sistema
</t>
    </r>
    <r>
      <rPr>
        <b/>
        <sz val="11"/>
        <color theme="1"/>
        <rFont val="Calibri"/>
        <family val="2"/>
        <scheme val="minor"/>
      </rPr>
      <t>(En proceso)</t>
    </r>
  </si>
  <si>
    <t>Control de TAGs</t>
  </si>
  <si>
    <t>Alerta por operadores con permiso o descanso</t>
  </si>
  <si>
    <t>Desarrollo del modulo pertinente para permitir el control de TAGs directo desde el portal IAVE-WEB</t>
  </si>
  <si>
    <t>Desarrollar un modulo para que mediante la tabla del estado del personal alerte sobre los proximos descansos, vacaciones o permisos para inactivar TAGs</t>
  </si>
  <si>
    <r>
      <t xml:space="preserve">Visualización del TAG afectado + iframe a </t>
    </r>
    <r>
      <rPr>
        <b/>
        <i/>
        <u/>
        <sz val="11"/>
        <color theme="1"/>
        <rFont val="Calibri"/>
        <family val="2"/>
        <scheme val="minor"/>
      </rPr>
      <t>https://apps.pase.com.mx/uc/</t>
    </r>
  </si>
  <si>
    <t>Configurar una sección de alertas para notificar sobre matriculas proximas a estar de regreso en traslados</t>
  </si>
  <si>
    <t>API para la devolución de abusos (getAbusos)</t>
  </si>
  <si>
    <t>Desarrollo de una función que permita la clasificación automática de los cruces.</t>
  </si>
  <si>
    <r>
      <t xml:space="preserve">Con el uso de vínculos con OTs, rutas, la lista de asistencia estados
</t>
    </r>
    <r>
      <rPr>
        <b/>
        <sz val="11"/>
        <color theme="1"/>
        <rFont val="Calibri"/>
        <family val="2"/>
        <scheme val="minor"/>
      </rPr>
      <t>(En proceso)</t>
    </r>
  </si>
  <si>
    <t>Notificaciones automatizadas</t>
  </si>
  <si>
    <t>Reporte de abusos</t>
  </si>
  <si>
    <t>Reporte de aclaraciones</t>
  </si>
  <si>
    <t>Desarrollo de la ruta, controlador(API) para obtener los cruces identificados cómo "Abusos", mediante peticiones</t>
  </si>
  <si>
    <t>API funcional</t>
  </si>
  <si>
    <t>Desarrollo de un modulo que permita controlar y actualizar los abusos.</t>
  </si>
  <si>
    <t>Modulo funcional</t>
  </si>
  <si>
    <t>Aclaraciones</t>
  </si>
  <si>
    <t>Control de aclaraciones</t>
  </si>
  <si>
    <t xml:space="preserve">Se gestionan las aclaraciones para tener un control puntual de las aclaraciones que están pendientes de cargar en sistema, las dictaminadas y las que están en proceso </t>
  </si>
  <si>
    <t>Permitirá consultar el detalle de las aclaraciones mediante un pop-up</t>
  </si>
  <si>
    <t>Implementación de ventana para abrir PASE</t>
  </si>
  <si>
    <t>Se tenía contemplado un iFrame, pero PASE no permite el crossorigin, por lo que será una ventana independiente con acceso directo al portal del proveedor</t>
  </si>
  <si>
    <t>Componente de control PASE para agilizar la interacción con el portal del proveedor</t>
  </si>
  <si>
    <t>Se cambió la intención de este proceso por las limitantes del proveedor</t>
  </si>
  <si>
    <t>Recordatorio para reactivar TAG al finalizar permisos</t>
  </si>
  <si>
    <t>Casetas</t>
  </si>
  <si>
    <t>Visualización de tarifas desactualizadas</t>
  </si>
  <si>
    <t>Se genera un reporte en pantalla que permita visualizar el costo de las tarifas vigentes de acuerdo al INEGI y comparar en el momento contra la base de datos de TUSA</t>
  </si>
  <si>
    <t>Permitirá actualizar el costo de las casetas de acuerdo al tamaño de la unidad y las casetas seleccionadas.</t>
  </si>
  <si>
    <t xml:space="preserve">Se realizo una solcitud formal mediante el portal del INAI de una BD con las casetas costos y tramos de la republica mexicana
</t>
  </si>
  <si>
    <t>ETAPA</t>
  </si>
  <si>
    <t>ENTREGABLES REQUERIDOS</t>
  </si>
  <si>
    <t>DESCRIPCIÓN</t>
  </si>
  <si>
    <t>ETAPA 1: ANÁLISIS Y DISEÑO</t>
  </si>
  <si>
    <t>• Documento de Arquitectura Técnica</t>
  </si>
  <si>
    <t>• Especificación de Requerimientos</t>
  </si>
  <si>
    <t>• Modelo de Datos documentado</t>
  </si>
  <si>
    <t>• Documento de Arquitectura Técnica = Revisión de elementos de software utilizado, versiones, diagrama de arquitectura utilizado. </t>
  </si>
  <si>
    <t>• Especificación de Requerimientos = Listado de requerimientos desarrollado (la presentación de PREZI actualizada con los últimos cambios)</t>
  </si>
  <si>
    <t>• Modelo de Datos documentado = diagrama entidad relación , lógica del negocio</t>
  </si>
  <si>
    <t>ETAPA 2: DESARROLLO Y CÓDIGO</t>
  </si>
  <si>
    <t>• Código Fuente documentado</t>
  </si>
  <si>
    <t>• Documentación técnica</t>
  </si>
  <si>
    <t>• Evidencias de seguridad</t>
  </si>
  <si>
    <t>• Código Fuente documentado = comentarios en el desarrollo para guía a programadores</t>
  </si>
  <si>
    <t>• Documentación técnica </t>
  </si>
  <si>
    <t>• Evidencias de seguridad = Explicación de métodos de seguridad utilizados</t>
  </si>
  <si>
    <t>ETAPA 3: TESTING Y CALIDAD</t>
  </si>
  <si>
    <t>• Plan de Pruebas ejecutado</t>
  </si>
  <si>
    <t>• Reporte de Cobertura</t>
  </si>
  <si>
    <t>• Certificado de Seguridad (SAST/DAST)</t>
  </si>
  <si>
    <t>• Métricas de performance</t>
  </si>
  <si>
    <t>• Plan de Pruebas ejecutado = Reporte de pruebas realizadas al desarrollo</t>
  </si>
  <si>
    <t>• Reporte de validación = Todos los formularios validados, resultados de pruebas de validación de cada formulario </t>
  </si>
  <si>
    <t>• Métricas de performance = Número máximo de registros que procesa el desarrollo antes de reportar error</t>
  </si>
  <si>
    <t>ETAPA 4: DEPLOYMENT</t>
  </si>
  <si>
    <t>• Procedimientos de Deployment</t>
  </si>
  <si>
    <t>• Plan de Disaster Recovery</t>
  </si>
  <si>
    <t>• Procedimientos de Deployment = lista de tablas afectadas por el desarrollo cambios en BD y tablas nuevas creadas para este desarrollo. Plan de despliegue de version, datos utilizados y ETL de datos.</t>
  </si>
  <si>
    <t>• Plan de Disaster Recovery = Proceso de reversión de versión en caso de contingencia.</t>
  </si>
  <si>
    <t>ETAPA 5: OPERACIÓN Y SOPORTE</t>
  </si>
  <si>
    <t>• Manual de Operaciones</t>
  </si>
  <si>
    <t>• Documentación de APIs</t>
  </si>
  <si>
    <t>• Manual de Operaciones = Manual de usuario</t>
  </si>
  <si>
    <t>• Documentación de APIs = documentacion de conexiones exixtentes</t>
  </si>
  <si>
    <t>Soporte Sistemas</t>
  </si>
  <si>
    <t>Documento de Arquitectura Técnica</t>
  </si>
  <si>
    <t>Especificación de Requerimientos</t>
  </si>
  <si>
    <t>Modelo de Datos documentado</t>
  </si>
  <si>
    <t>Documentación técnica</t>
  </si>
  <si>
    <t>Codigo fuente documentado</t>
  </si>
  <si>
    <t>Evidencias de seguridad</t>
  </si>
  <si>
    <t xml:space="preserve">Documento de Arquitectura Técnica </t>
  </si>
  <si>
    <t>Revisión de elementos de software utilizado, versiones, diagrama de arquitectura utilizado.</t>
  </si>
  <si>
    <t>Listado de requerimientos desarrollado (la presentación de PREZI actualizada con los últimos cambios)</t>
  </si>
  <si>
    <t>Diagrama entidad relación , lógica del negocio</t>
  </si>
  <si>
    <t>Código Fuente documentado</t>
  </si>
  <si>
    <t>Comentarios en el desarrollo para guía a programadores</t>
  </si>
  <si>
    <t>Explicación de métodos de seguridad utilizados</t>
  </si>
  <si>
    <t>Plan de Pruebas ejecutado</t>
  </si>
  <si>
    <t>Reporte de pruebas realizadas al desarrollo</t>
  </si>
  <si>
    <t>Reporte de validación</t>
  </si>
  <si>
    <t>Todos los formularios validados, resultados de pruebas de validación de cada formulario</t>
  </si>
  <si>
    <t>Métricas de performance</t>
  </si>
  <si>
    <t>Número máximo de registros que procesa el desarrollo antes de reportar error</t>
  </si>
  <si>
    <t>Procedimientos de Deployment</t>
  </si>
  <si>
    <t>Lista de tablas afectadas por el desarrollo cambios en BD y tablas nuevas creadas para este desarrollo. Plan de despliegue de version, datos utilizados y ETL de datos.</t>
  </si>
  <si>
    <t>Plan de Disaster Recovery</t>
  </si>
  <si>
    <t>Proceso de reversión de versión en caso de contingencia.</t>
  </si>
  <si>
    <t>Manual de Operaciones</t>
  </si>
  <si>
    <t>Manual de usuario</t>
  </si>
  <si>
    <t>Documentación de APIs</t>
  </si>
  <si>
    <t>Documentacion de conexiones exixtentes</t>
  </si>
  <si>
    <t>Reporte de Cobertura</t>
  </si>
  <si>
    <t>Certificado de Seguridad (SAST/DAST)
Métricas de performance</t>
  </si>
  <si>
    <t>Backend</t>
  </si>
  <si>
    <t>Cruces</t>
  </si>
  <si>
    <t xml:space="preserve">Documentación Técnica </t>
  </si>
  <si>
    <t>Ya tenemos un pre que había sido enviado anteriormente</t>
  </si>
  <si>
    <t>Draw.io</t>
  </si>
  <si>
    <t>-</t>
  </si>
  <si>
    <t>Tenemos varios diagramas ya documentados</t>
  </si>
  <si>
    <t>VS Code</t>
  </si>
  <si>
    <t>Gran parte del código se documenta conforme se desarrolla (actualmente). Pero verificaré el código que escribí al inicio</t>
  </si>
  <si>
    <t>Se validará con Sistemas si es necesario, aparte de la demás documentación.</t>
  </si>
  <si>
    <t>Actualmente las consultas se hacen evitando una posible inyección de SQL. Proporcionado por Express.js</t>
  </si>
  <si>
    <t>Se va a verificar de donde obtener el certificado de seguridad citado</t>
  </si>
  <si>
    <t>Se tiene un manual del uso de la plataforma definido en la instrucción de Trabajo de IAVE.</t>
  </si>
  <si>
    <t>Basado en el plan RPO actual de TUSA</t>
  </si>
  <si>
    <t>Se tienen ya documentadas varias APIs actualmente</t>
  </si>
  <si>
    <t>Ya se tiene el frontEnd plasmado en el diagrama.</t>
  </si>
  <si>
    <t>Pendientes</t>
  </si>
  <si>
    <t>Se tiene pendiente definir el formato de las tablas de reporte</t>
  </si>
  <si>
    <t>Rutas</t>
  </si>
  <si>
    <t>Desarrollo de la ruta, controlador(API) para obtener los directorios con hasta 2 kms de distancia de un punto dado</t>
  </si>
  <si>
    <t>API para obtener el directorio más cercano a un punto</t>
  </si>
  <si>
    <t>API para obtener el listado de clientes que coinciden con la población buscada.</t>
  </si>
  <si>
    <t>Desarrollo de la ruta, controlador(API) para obtener las razones sociales que cuya población coincide con la población buscada.</t>
  </si>
  <si>
    <t>15/17</t>
  </si>
  <si>
    <t>Depuración de las rutas que no cuentan con las coordenadas completas</t>
  </si>
  <si>
    <t>Envío de correo para que el área de tráfico nos apoye con la generación correcta de los directorios en el sistema</t>
  </si>
  <si>
    <t>Email enviado</t>
  </si>
  <si>
    <t>Gestión de versiones</t>
  </si>
  <si>
    <t>Refactorización de componentes, eliminación de funciones inutilizadas y depuración de variables no usadas</t>
  </si>
  <si>
    <t>VSCode</t>
  </si>
  <si>
    <t>Mejora en ModalSelector: Selección de ruta y activar llamada a onSelect en caso de cambio</t>
  </si>
  <si>
    <t>Se corrije el Modal selector para aplicar correctamente la selección de la ruta que se está buscando.</t>
  </si>
  <si>
    <t>Corrección en la UX para seleccionar mejor las rutas, conforme a la población buscada, para ofrecer alternativas cuando no se encuentran rutas con los directorios consultados</t>
  </si>
  <si>
    <t>Generación de una ventana modal para cuando no existen rutas con las poblaciones consultadas.</t>
  </si>
  <si>
    <t>Ventana modal para la selección de ruta</t>
  </si>
  <si>
    <t>Dashboard principal</t>
  </si>
  <si>
    <t>Desarrollo de un panel dinamico con la información más relevante de manera resumida</t>
  </si>
  <si>
    <t>Panel dinamico</t>
  </si>
  <si>
    <t>Ventana de consulta de la información.</t>
  </si>
  <si>
    <t>ETAPA ALTERNA: Levantamiento del contenedor de la aplicación.</t>
  </si>
  <si>
    <t>Sistemas se encarga del levantamiento del contenedor (VM) para despliegue de la aplicación</t>
  </si>
  <si>
    <t>Departamento de Sistemas</t>
  </si>
  <si>
    <t>Ambiente ideal para el despliegue de la aplicación</t>
  </si>
  <si>
    <t>El cumplimiento de esta tarea es crucial para poder ver la aplicación en línea.</t>
  </si>
  <si>
    <t>Docker</t>
  </si>
  <si>
    <t>Desarrollo del Dockerfile con la imagen base, instalación de dependencias, configuración de variables de entorno y de las capas del desarrollo creado.</t>
  </si>
  <si>
    <t xml:space="preserve">Implementación de pipeline para build automático, push a registry, y deployment automatizado. </t>
  </si>
  <si>
    <t>Docker, GITHUB</t>
  </si>
  <si>
    <t>Despliegue de la aplicación</t>
  </si>
  <si>
    <t>Cambio del servidor y de BD que sirve a la API de la aplicación actual</t>
  </si>
  <si>
    <t>BD, sistemas</t>
  </si>
  <si>
    <t>Datos enlazados al ambiente de producción</t>
  </si>
  <si>
    <t>Sistemas ya otorgó los cambios necesarios.</t>
  </si>
  <si>
    <t>Requiere de pruebas de persistencia de datos, conexión exitosa y permisos comprobados de todas las tablas a las que se solicitaron accesos</t>
  </si>
  <si>
    <t>Desarrollo de Dashboard (Conciliación/Resumen) dinamico.</t>
  </si>
  <si>
    <t>API</t>
  </si>
  <si>
    <t>INTERFAZ</t>
  </si>
  <si>
    <t>Desarrollo de la lógica de negocios necesaria para surtir la interfaz</t>
  </si>
  <si>
    <t>NODE.js</t>
  </si>
  <si>
    <t>Se requieren las consultas con integraciones de filtros para servir la interfaz de manera efectiva.</t>
  </si>
  <si>
    <t>Integración de la plantilla con la que ya se cuenta, para que renderice correctamente la API que le administra los datos</t>
  </si>
  <si>
    <t>Peticiones AXIOS/FETCH correctamente estructuradas y actualización de estados eficiente.</t>
  </si>
  <si>
    <t>Reporte dinamico funcional</t>
  </si>
  <si>
    <t>Implementación de blob para exportación a Excel del reporte consultado en la interfaz</t>
  </si>
  <si>
    <t>BLOB, React.js</t>
  </si>
  <si>
    <t>URL.createObjectURL(blob);</t>
  </si>
  <si>
    <t>Exportación a excel funcional</t>
  </si>
  <si>
    <t>Duración estimada de 2 semanas</t>
  </si>
  <si>
    <t>Con documentación de lo realizado durante la implementación</t>
  </si>
  <si>
    <t>CAMBIO EN ROUTE-CREATOR.JSX</t>
  </si>
  <si>
    <t>Corrección en el modulo de RouteCreator para que se pueda realizar una consulta con base en razones sociales desde un inicio.</t>
  </si>
  <si>
    <t>Cambio implementado</t>
  </si>
  <si>
    <t>Por solicitud y como propuesta se plantea esta modificación al desarrollo ya realizado.</t>
  </si>
  <si>
    <t>ETAPA 1: CONEXIÓN A BD PRODUCTIVA</t>
  </si>
  <si>
    <t>ETAPA 2: SETUP DE DOCKER</t>
  </si>
  <si>
    <t>ETAPA 3: CONFIGURACIÓN DE CI/CD</t>
  </si>
  <si>
    <t>ETAPA 4: INTEGRACIÓN CON OAUTH2</t>
  </si>
  <si>
    <t>Creación de usuario y definición del registro para la tabla de OAUTH_Cliente (tabla que nos mostró Jon)</t>
  </si>
  <si>
    <t>Sistemas</t>
  </si>
  <si>
    <t>Duración estimada de 1 semana</t>
  </si>
  <si>
    <t>Duración estimada de 2 días</t>
  </si>
  <si>
    <t>Con definición de página previa a autenticación, integración de Login y página de recibimiento al portal IAVE-WEB. 
Definición de permisos, módulos a acceder</t>
  </si>
  <si>
    <t>Creación de Login Page y gestión de sesión</t>
  </si>
  <si>
    <t>REACT.JS, react-oauth2-code-pkce</t>
  </si>
  <si>
    <t>Implementación de la librería para gestión del token y validación de permisos</t>
  </si>
  <si>
    <t>Se contemplan 5 semanas y 2 días para la culminación del proyecto con visualización en línea, integrando seguridad y logín</t>
  </si>
  <si>
    <t>Se sugiere dejar con poblaciones por el tema de los kms que impactan</t>
  </si>
  <si>
    <t>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</si>
</sst>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
    <numFmt numFmtId="170" formatCode="ddd\,\ yyyy\-mm\-dd;@"/>
    <numFmt numFmtId="171" formatCode="d\ &quot;de&quot;\ mmmm\ &quot;de&quot;\ yyyy"/>
    <numFmt numFmtId="172" formatCode="dd\ /\ mmm"/>
  </numFmts>
  <fonts count="42"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i/>
      <sz val="11"/>
      <color rgb="FF0070C0"/>
      <name val="Calibri"/>
      <family val="2"/>
      <scheme val="minor"/>
    </font>
    <font>
      <b/>
      <sz val="12"/>
      <color theme="1"/>
      <name val="Calibri"/>
      <family val="2"/>
      <scheme val="minor"/>
    </font>
    <font>
      <b/>
      <i/>
      <u/>
      <sz val="11"/>
      <color theme="1"/>
      <name val="Calibri"/>
      <family val="2"/>
      <scheme val="minor"/>
    </font>
    <font>
      <b/>
      <i/>
      <sz val="11"/>
      <color rgb="FFC00000"/>
      <name val="Calibri"/>
      <family val="2"/>
      <scheme val="minor"/>
    </font>
    <font>
      <b/>
      <sz val="12"/>
      <color theme="1"/>
      <name val="Times New Roman"/>
      <family val="1"/>
    </font>
    <font>
      <sz val="12"/>
      <color theme="1"/>
      <name val="Times New Roman"/>
      <family val="1"/>
    </font>
    <font>
      <i/>
      <sz val="12"/>
      <color theme="1"/>
      <name val="Calibri"/>
      <family val="2"/>
      <scheme val="minor"/>
    </font>
    <font>
      <i/>
      <sz val="12"/>
      <name val="Calibri"/>
      <family val="2"/>
      <scheme val="minor"/>
    </font>
  </fonts>
  <fills count="4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39997558519241921"/>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8" tint="0.39997558519241921"/>
        <bgColor indexed="64"/>
      </patternFill>
    </fill>
  </fills>
  <borders count="3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theme="0" tint="-0.14996795556505021"/>
      </top>
      <bottom/>
      <diagonal/>
    </border>
    <border>
      <left/>
      <right/>
      <top/>
      <bottom style="medium">
        <color theme="0" tint="-0.14996795556505021"/>
      </bottom>
      <diagonal/>
    </border>
    <border>
      <left/>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bottom/>
      <diagonal/>
    </border>
    <border>
      <left style="thin">
        <color indexed="64"/>
      </left>
      <right style="medium">
        <color indexed="64"/>
      </right>
      <top/>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8"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70" fontId="7" fillId="0" borderId="3">
      <alignment horizontal="center" vertical="center"/>
    </xf>
    <xf numFmtId="168"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1"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22" fillId="0" borderId="0" applyNumberFormat="0" applyFill="0" applyBorder="0" applyAlignment="0" applyProtection="0"/>
    <xf numFmtId="0" fontId="23" fillId="13" borderId="0" applyNumberFormat="0" applyBorder="0" applyAlignment="0" applyProtection="0"/>
    <xf numFmtId="0" fontId="24" fillId="14" borderId="0" applyNumberFormat="0" applyBorder="0" applyAlignment="0" applyProtection="0"/>
    <xf numFmtId="0" fontId="25" fillId="15" borderId="0" applyNumberFormat="0" applyBorder="0" applyAlignment="0" applyProtection="0"/>
    <xf numFmtId="0" fontId="26" fillId="16" borderId="11" applyNumberFormat="0" applyAlignment="0" applyProtection="0"/>
    <xf numFmtId="0" fontId="27" fillId="17" borderId="12" applyNumberFormat="0" applyAlignment="0" applyProtection="0"/>
    <xf numFmtId="0" fontId="28" fillId="17" borderId="11" applyNumberFormat="0" applyAlignment="0" applyProtection="0"/>
    <xf numFmtId="0" fontId="29" fillId="0" borderId="13" applyNumberFormat="0" applyFill="0" applyAlignment="0" applyProtection="0"/>
    <xf numFmtId="0" fontId="30" fillId="18" borderId="14" applyNumberFormat="0" applyAlignment="0" applyProtection="0"/>
    <xf numFmtId="0" fontId="31" fillId="0" borderId="0" applyNumberFormat="0" applyFill="0" applyBorder="0" applyAlignment="0" applyProtection="0"/>
    <xf numFmtId="0" fontId="7" fillId="19"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8"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8"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8"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8"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8"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24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9" fontId="4" fillId="3"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2" fillId="0" borderId="0" xfId="0" applyFont="1" applyAlignment="1">
      <alignment horizontal="left" vertical="top"/>
    </xf>
    <xf numFmtId="0" fontId="14"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0" fillId="0" borderId="0" xfId="0" applyAlignment="1">
      <alignment wrapText="1"/>
    </xf>
    <xf numFmtId="0" fontId="7" fillId="2" borderId="2" xfId="11" applyFill="1">
      <alignment horizontal="center" vertical="center"/>
    </xf>
    <xf numFmtId="0" fontId="7" fillId="9" borderId="2" xfId="11" applyFill="1">
      <alignment horizontal="center" vertical="center"/>
    </xf>
    <xf numFmtId="0" fontId="7" fillId="0" borderId="2" xfId="11">
      <alignment horizontal="center" vertical="center"/>
    </xf>
    <xf numFmtId="0" fontId="7" fillId="3" borderId="2" xfId="12" applyFill="1">
      <alignment horizontal="left" vertical="center" indent="2"/>
    </xf>
    <xf numFmtId="0" fontId="7" fillId="9" borderId="2" xfId="12" applyFill="1">
      <alignment horizontal="left" vertical="center" indent="2"/>
    </xf>
    <xf numFmtId="0" fontId="7"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8" fontId="7" fillId="0" borderId="2" xfId="10">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172" fontId="7" fillId="2" borderId="2" xfId="10" applyNumberFormat="1" applyFill="1">
      <alignment horizontal="center" vertical="center"/>
    </xf>
    <xf numFmtId="172" fontId="7" fillId="3" borderId="2" xfId="10" applyNumberFormat="1" applyFill="1">
      <alignment horizontal="center" vertical="center"/>
    </xf>
    <xf numFmtId="172" fontId="7" fillId="9" borderId="2" xfId="10" applyNumberFormat="1" applyFill="1">
      <alignment horizontal="center" vertical="center"/>
    </xf>
    <xf numFmtId="0" fontId="0" fillId="3" borderId="2" xfId="11" applyFont="1" applyFill="1">
      <alignment horizontal="center" vertical="center"/>
    </xf>
    <xf numFmtId="0" fontId="0" fillId="2" borderId="2" xfId="11" applyFont="1" applyFill="1" applyAlignment="1">
      <alignment horizontal="center" vertical="center" wrapText="1"/>
    </xf>
    <xf numFmtId="0" fontId="7" fillId="0" borderId="0" xfId="8" applyAlignment="1"/>
    <xf numFmtId="0" fontId="6" fillId="12" borderId="17" xfId="0" applyFont="1" applyFill="1" applyBorder="1" applyAlignment="1">
      <alignment horizontal="right" vertical="center" wrapText="1" indent="1"/>
    </xf>
    <xf numFmtId="0" fontId="6" fillId="12" borderId="18" xfId="0" applyFont="1" applyFill="1" applyBorder="1" applyAlignment="1">
      <alignment horizontal="left" vertical="center" wrapText="1" indent="1"/>
    </xf>
    <xf numFmtId="168" fontId="33" fillId="3" borderId="2" xfId="10" applyFont="1" applyFill="1" applyAlignment="1">
      <alignment horizontal="left" vertical="center" wrapText="1"/>
    </xf>
    <xf numFmtId="168" fontId="33" fillId="2" borderId="2" xfId="10" applyFont="1" applyFill="1" applyAlignment="1">
      <alignment horizontal="left" vertical="center" wrapText="1"/>
    </xf>
    <xf numFmtId="168" fontId="7" fillId="2" borderId="2" xfId="10" applyFill="1" applyAlignment="1">
      <alignment horizontal="left" vertical="center"/>
    </xf>
    <xf numFmtId="168" fontId="33" fillId="3" borderId="2" xfId="10" applyFont="1" applyFill="1" applyAlignment="1">
      <alignment horizontal="left" vertical="center"/>
    </xf>
    <xf numFmtId="168" fontId="7" fillId="9" borderId="2" xfId="10" applyFill="1" applyAlignment="1">
      <alignment horizontal="left" vertical="center"/>
    </xf>
    <xf numFmtId="0" fontId="7" fillId="9" borderId="2" xfId="11" applyFill="1" applyAlignment="1">
      <alignment horizontal="center" vertical="center" wrapText="1"/>
    </xf>
    <xf numFmtId="0" fontId="0" fillId="3" borderId="2" xfId="11" applyFont="1" applyFill="1" applyAlignment="1">
      <alignment horizontal="left" vertical="center" wrapText="1" indent="11"/>
    </xf>
    <xf numFmtId="0" fontId="0" fillId="2" borderId="2" xfId="11" applyFont="1" applyFill="1" applyAlignment="1">
      <alignment horizontal="left" vertical="center" wrapText="1"/>
    </xf>
    <xf numFmtId="0" fontId="0" fillId="3" borderId="2" xfId="11" applyFont="1" applyFill="1" applyAlignment="1">
      <alignment horizontal="left" vertical="center" wrapText="1"/>
    </xf>
    <xf numFmtId="0" fontId="0" fillId="2" borderId="2" xfId="12" applyFont="1" applyFill="1" applyAlignment="1">
      <alignment horizontal="left" vertical="top" wrapText="1" indent="2"/>
    </xf>
    <xf numFmtId="0" fontId="7" fillId="2" borderId="2" xfId="11" applyFill="1" applyAlignment="1">
      <alignment horizontal="center" vertical="center" wrapText="1"/>
    </xf>
    <xf numFmtId="0" fontId="7" fillId="9" borderId="20" xfId="11" applyFill="1" applyBorder="1">
      <alignment horizontal="center" vertical="center"/>
    </xf>
    <xf numFmtId="0" fontId="7" fillId="9" borderId="20" xfId="11" applyFill="1" applyBorder="1" applyAlignment="1">
      <alignment horizontal="center" vertical="center" wrapText="1"/>
    </xf>
    <xf numFmtId="9" fontId="4" fillId="9" borderId="20" xfId="2" applyFont="1" applyFill="1" applyBorder="1" applyAlignment="1">
      <alignment horizontal="center" vertical="center"/>
    </xf>
    <xf numFmtId="172" fontId="7" fillId="9" borderId="20" xfId="10" applyNumberFormat="1" applyFill="1" applyBorder="1">
      <alignment horizontal="center" vertical="center"/>
    </xf>
    <xf numFmtId="168" fontId="7" fillId="9" borderId="20" xfId="10" applyFill="1" applyBorder="1" applyAlignment="1">
      <alignment horizontal="left" vertical="center"/>
    </xf>
    <xf numFmtId="0" fontId="5" fillId="4" borderId="17" xfId="0" applyFont="1" applyFill="1" applyBorder="1" applyAlignment="1">
      <alignment horizontal="left" vertical="center" indent="1"/>
    </xf>
    <xf numFmtId="0" fontId="7" fillId="4" borderId="21" xfId="11" applyFill="1" applyBorder="1">
      <alignment horizontal="center" vertical="center"/>
    </xf>
    <xf numFmtId="0" fontId="7" fillId="4" borderId="21" xfId="11" applyFill="1" applyBorder="1" applyAlignment="1">
      <alignment horizontal="center" vertical="center" wrapText="1"/>
    </xf>
    <xf numFmtId="9" fontId="4" fillId="4" borderId="21" xfId="2" applyFont="1" applyFill="1" applyBorder="1" applyAlignment="1">
      <alignment horizontal="center" vertical="center"/>
    </xf>
    <xf numFmtId="172" fontId="0" fillId="4" borderId="21" xfId="0" applyNumberFormat="1" applyFill="1" applyBorder="1" applyAlignment="1">
      <alignment horizontal="center" vertical="center"/>
    </xf>
    <xf numFmtId="172" fontId="4" fillId="4" borderId="21" xfId="0" applyNumberFormat="1" applyFont="1" applyFill="1" applyBorder="1" applyAlignment="1">
      <alignment horizontal="center" vertical="center"/>
    </xf>
    <xf numFmtId="168" fontId="4" fillId="4" borderId="21" xfId="0" applyNumberFormat="1" applyFont="1" applyFill="1" applyBorder="1" applyAlignment="1">
      <alignment horizontal="left" vertical="center"/>
    </xf>
    <xf numFmtId="168" fontId="4" fillId="4" borderId="18" xfId="0" applyNumberFormat="1" applyFont="1" applyFill="1" applyBorder="1" applyAlignment="1">
      <alignment horizontal="left" vertical="center"/>
    </xf>
    <xf numFmtId="0" fontId="7" fillId="9" borderId="19" xfId="11" applyFill="1" applyBorder="1">
      <alignment horizontal="center" vertical="center"/>
    </xf>
    <xf numFmtId="0" fontId="7" fillId="9" borderId="19" xfId="11" applyFill="1" applyBorder="1" applyAlignment="1">
      <alignment horizontal="center" vertical="center" wrapText="1"/>
    </xf>
    <xf numFmtId="9" fontId="4" fillId="9" borderId="19" xfId="2" applyFont="1" applyFill="1" applyBorder="1" applyAlignment="1">
      <alignment horizontal="center" vertical="center"/>
    </xf>
    <xf numFmtId="172" fontId="7" fillId="9" borderId="19" xfId="10" applyNumberFormat="1" applyFill="1" applyBorder="1">
      <alignment horizontal="center" vertical="center"/>
    </xf>
    <xf numFmtId="168" fontId="7" fillId="9" borderId="19" xfId="10" applyFill="1" applyBorder="1" applyAlignment="1">
      <alignment horizontal="left" vertical="center"/>
    </xf>
    <xf numFmtId="0" fontId="7" fillId="2" borderId="20" xfId="11" applyFill="1" applyBorder="1">
      <alignment horizontal="center" vertical="center"/>
    </xf>
    <xf numFmtId="0" fontId="7" fillId="2" borderId="20" xfId="11" applyFill="1" applyBorder="1" applyAlignment="1">
      <alignment horizontal="center" vertical="center" wrapText="1"/>
    </xf>
    <xf numFmtId="9" fontId="4" fillId="2" borderId="20" xfId="2" applyFont="1" applyFill="1" applyBorder="1" applyAlignment="1">
      <alignment horizontal="center" vertical="center"/>
    </xf>
    <xf numFmtId="172" fontId="7" fillId="2" borderId="20" xfId="10" applyNumberFormat="1" applyFill="1" applyBorder="1">
      <alignment horizontal="center" vertical="center"/>
    </xf>
    <xf numFmtId="168" fontId="7" fillId="2" borderId="20" xfId="10" applyFill="1" applyBorder="1" applyAlignment="1">
      <alignment horizontal="left" vertical="center"/>
    </xf>
    <xf numFmtId="0" fontId="5" fillId="44" borderId="17" xfId="0" applyFont="1" applyFill="1" applyBorder="1" applyAlignment="1">
      <alignment horizontal="left" vertical="center" indent="1"/>
    </xf>
    <xf numFmtId="0" fontId="7" fillId="44" borderId="21" xfId="11" applyFill="1" applyBorder="1">
      <alignment horizontal="center" vertical="center"/>
    </xf>
    <xf numFmtId="0" fontId="7" fillId="44" borderId="21" xfId="11" applyFill="1" applyBorder="1" applyAlignment="1">
      <alignment horizontal="center" vertical="center" wrapText="1"/>
    </xf>
    <xf numFmtId="9" fontId="4" fillId="44" borderId="21" xfId="2" applyFont="1" applyFill="1" applyBorder="1" applyAlignment="1">
      <alignment horizontal="center" vertical="center"/>
    </xf>
    <xf numFmtId="172" fontId="0" fillId="44" borderId="21" xfId="0" applyNumberFormat="1" applyFill="1" applyBorder="1" applyAlignment="1">
      <alignment horizontal="center" vertical="center"/>
    </xf>
    <xf numFmtId="172" fontId="4" fillId="44" borderId="21" xfId="0" applyNumberFormat="1" applyFont="1" applyFill="1" applyBorder="1" applyAlignment="1">
      <alignment horizontal="center" vertical="center"/>
    </xf>
    <xf numFmtId="168" fontId="4" fillId="44" borderId="21" xfId="0" applyNumberFormat="1" applyFont="1" applyFill="1" applyBorder="1" applyAlignment="1">
      <alignment horizontal="left" vertical="center"/>
    </xf>
    <xf numFmtId="168" fontId="4" fillId="44" borderId="18" xfId="0" applyNumberFormat="1" applyFont="1" applyFill="1" applyBorder="1" applyAlignment="1">
      <alignment horizontal="left" vertical="center"/>
    </xf>
    <xf numFmtId="0" fontId="7" fillId="3" borderId="19" xfId="12" applyFill="1" applyBorder="1">
      <alignment horizontal="left" vertical="center" indent="2"/>
    </xf>
    <xf numFmtId="0" fontId="0" fillId="3" borderId="19" xfId="11" applyFont="1" applyFill="1" applyBorder="1" applyAlignment="1">
      <alignment horizontal="center" vertical="center" wrapText="1"/>
    </xf>
    <xf numFmtId="9" fontId="4" fillId="3" borderId="19" xfId="2" applyFont="1" applyFill="1" applyBorder="1" applyAlignment="1">
      <alignment horizontal="center" vertical="center"/>
    </xf>
    <xf numFmtId="172" fontId="7" fillId="3" borderId="19" xfId="10" applyNumberFormat="1" applyFill="1" applyBorder="1">
      <alignment horizontal="center" vertical="center"/>
    </xf>
    <xf numFmtId="168" fontId="33" fillId="3" borderId="19" xfId="10" applyFont="1" applyFill="1" applyBorder="1" applyAlignment="1">
      <alignment horizontal="left" vertical="center" wrapText="1"/>
    </xf>
    <xf numFmtId="0" fontId="7" fillId="10" borderId="20" xfId="12" applyFill="1" applyBorder="1">
      <alignment horizontal="left" vertical="center" indent="2"/>
    </xf>
    <xf numFmtId="0" fontId="7" fillId="10" borderId="20" xfId="11" applyFill="1" applyBorder="1">
      <alignment horizontal="center" vertical="center"/>
    </xf>
    <xf numFmtId="0" fontId="7" fillId="10" borderId="20" xfId="11" applyFill="1" applyBorder="1" applyAlignment="1">
      <alignment horizontal="center" vertical="center" wrapText="1"/>
    </xf>
    <xf numFmtId="9" fontId="4" fillId="10" borderId="20" xfId="2" applyFont="1" applyFill="1" applyBorder="1" applyAlignment="1">
      <alignment horizontal="center" vertical="center"/>
    </xf>
    <xf numFmtId="172" fontId="0" fillId="10" borderId="20" xfId="10" applyNumberFormat="1" applyFont="1" applyFill="1" applyBorder="1">
      <alignment horizontal="center" vertical="center"/>
    </xf>
    <xf numFmtId="172" fontId="7" fillId="10" borderId="20" xfId="10" applyNumberFormat="1" applyFill="1" applyBorder="1">
      <alignment horizontal="center" vertical="center"/>
    </xf>
    <xf numFmtId="168" fontId="33" fillId="10" borderId="20" xfId="10" applyFont="1" applyFill="1" applyBorder="1" applyAlignment="1">
      <alignment horizontal="left" vertical="center" wrapText="1"/>
    </xf>
    <xf numFmtId="0" fontId="5" fillId="5" borderId="17" xfId="0" applyFont="1" applyFill="1" applyBorder="1" applyAlignment="1">
      <alignment horizontal="left" vertical="center" indent="1"/>
    </xf>
    <xf numFmtId="0" fontId="7" fillId="5" borderId="21" xfId="11" applyFill="1" applyBorder="1">
      <alignment horizontal="center" vertical="center"/>
    </xf>
    <xf numFmtId="0" fontId="7" fillId="5" borderId="21" xfId="11" applyFill="1" applyBorder="1" applyAlignment="1">
      <alignment horizontal="center" vertical="center" wrapText="1"/>
    </xf>
    <xf numFmtId="9" fontId="4" fillId="5" borderId="21" xfId="2" applyFont="1" applyFill="1" applyBorder="1" applyAlignment="1">
      <alignment horizontal="center" vertical="center"/>
    </xf>
    <xf numFmtId="172" fontId="0" fillId="5" borderId="21" xfId="0" applyNumberFormat="1" applyFill="1" applyBorder="1" applyAlignment="1">
      <alignment horizontal="center" vertical="center"/>
    </xf>
    <xf numFmtId="172" fontId="4" fillId="5" borderId="21" xfId="0" applyNumberFormat="1" applyFont="1" applyFill="1" applyBorder="1" applyAlignment="1">
      <alignment horizontal="center" vertical="center"/>
    </xf>
    <xf numFmtId="168" fontId="4" fillId="5" borderId="21" xfId="0" applyNumberFormat="1" applyFont="1" applyFill="1" applyBorder="1" applyAlignment="1">
      <alignment horizontal="left" vertical="center"/>
    </xf>
    <xf numFmtId="168" fontId="4" fillId="5" borderId="18" xfId="0" applyNumberFormat="1" applyFont="1" applyFill="1" applyBorder="1" applyAlignment="1">
      <alignment horizontal="left" vertical="center"/>
    </xf>
    <xf numFmtId="0" fontId="7" fillId="2" borderId="19" xfId="12" applyFill="1" applyBorder="1">
      <alignment horizontal="left" vertical="center" indent="2"/>
    </xf>
    <xf numFmtId="0" fontId="7" fillId="2" borderId="19" xfId="11" applyFill="1" applyBorder="1">
      <alignment horizontal="center" vertical="center"/>
    </xf>
    <xf numFmtId="0" fontId="7" fillId="2" borderId="19" xfId="11" applyFill="1" applyBorder="1" applyAlignment="1">
      <alignment horizontal="left" vertical="center" wrapText="1"/>
    </xf>
    <xf numFmtId="9" fontId="4" fillId="2" borderId="19" xfId="2" applyFont="1" applyFill="1" applyBorder="1" applyAlignment="1">
      <alignment horizontal="center" vertical="center"/>
    </xf>
    <xf numFmtId="172" fontId="7" fillId="2" borderId="19" xfId="10" applyNumberFormat="1" applyFill="1" applyBorder="1">
      <alignment horizontal="center" vertical="center"/>
    </xf>
    <xf numFmtId="168" fontId="7" fillId="2" borderId="19" xfId="10" applyFill="1" applyBorder="1" applyAlignment="1">
      <alignment horizontal="left" vertical="center"/>
    </xf>
    <xf numFmtId="0" fontId="0" fillId="3" borderId="20" xfId="12" applyFont="1" applyFill="1" applyBorder="1">
      <alignment horizontal="left" vertical="center" indent="2"/>
    </xf>
    <xf numFmtId="0" fontId="0" fillId="3" borderId="20" xfId="11" applyFont="1" applyFill="1" applyBorder="1">
      <alignment horizontal="center" vertical="center"/>
    </xf>
    <xf numFmtId="0" fontId="0" fillId="3" borderId="20" xfId="11" applyFont="1" applyFill="1" applyBorder="1" applyAlignment="1">
      <alignment horizontal="left" vertical="center" wrapText="1"/>
    </xf>
    <xf numFmtId="9" fontId="4" fillId="3" borderId="20" xfId="2" applyFont="1" applyFill="1" applyBorder="1" applyAlignment="1">
      <alignment horizontal="center" vertical="center"/>
    </xf>
    <xf numFmtId="172" fontId="7" fillId="3" borderId="20" xfId="10" applyNumberFormat="1" applyFill="1" applyBorder="1">
      <alignment horizontal="center" vertical="center"/>
    </xf>
    <xf numFmtId="168" fontId="33" fillId="3" borderId="20" xfId="10" applyFont="1" applyFill="1" applyBorder="1" applyAlignment="1">
      <alignment horizontal="left" vertical="center" wrapText="1"/>
    </xf>
    <xf numFmtId="0" fontId="5" fillId="8" borderId="17" xfId="0" applyFont="1" applyFill="1" applyBorder="1" applyAlignment="1">
      <alignment horizontal="left" vertical="center" indent="1"/>
    </xf>
    <xf numFmtId="0" fontId="7" fillId="8" borderId="21" xfId="11" applyFill="1" applyBorder="1">
      <alignment horizontal="center" vertical="center"/>
    </xf>
    <xf numFmtId="0" fontId="7" fillId="8" borderId="21" xfId="11" applyFill="1" applyBorder="1" applyAlignment="1">
      <alignment horizontal="left" vertical="center" wrapText="1"/>
    </xf>
    <xf numFmtId="9" fontId="4" fillId="8" borderId="21" xfId="2" applyFont="1" applyFill="1" applyBorder="1" applyAlignment="1">
      <alignment horizontal="center" vertical="center"/>
    </xf>
    <xf numFmtId="172" fontId="0" fillId="8" borderId="21" xfId="0" applyNumberFormat="1" applyFill="1" applyBorder="1" applyAlignment="1">
      <alignment horizontal="center" vertical="center"/>
    </xf>
    <xf numFmtId="172" fontId="4" fillId="8" borderId="21" xfId="0" applyNumberFormat="1" applyFont="1" applyFill="1" applyBorder="1" applyAlignment="1">
      <alignment horizontal="center" vertical="center"/>
    </xf>
    <xf numFmtId="168" fontId="4" fillId="8" borderId="21" xfId="0" applyNumberFormat="1" applyFont="1" applyFill="1" applyBorder="1" applyAlignment="1">
      <alignment horizontal="left" vertical="center"/>
    </xf>
    <xf numFmtId="168" fontId="4" fillId="8" borderId="18" xfId="0" applyNumberFormat="1" applyFont="1" applyFill="1" applyBorder="1" applyAlignment="1">
      <alignment horizontal="left" vertical="center"/>
    </xf>
    <xf numFmtId="0" fontId="0" fillId="2" borderId="20" xfId="12" applyFont="1" applyFill="1" applyBorder="1">
      <alignment horizontal="left" vertical="center" indent="2"/>
    </xf>
    <xf numFmtId="0" fontId="0" fillId="2" borderId="20" xfId="11" applyFont="1" applyFill="1" applyBorder="1">
      <alignment horizontal="center" vertical="center"/>
    </xf>
    <xf numFmtId="0" fontId="0" fillId="2" borderId="20" xfId="11" applyFont="1" applyFill="1" applyBorder="1" applyAlignment="1">
      <alignment horizontal="left" vertical="center" wrapText="1"/>
    </xf>
    <xf numFmtId="168" fontId="33" fillId="2" borderId="20" xfId="10" applyFont="1" applyFill="1" applyBorder="1" applyAlignment="1">
      <alignment horizontal="left" vertical="center" wrapText="1"/>
    </xf>
    <xf numFmtId="0" fontId="5" fillId="7" borderId="17" xfId="0" applyFont="1" applyFill="1" applyBorder="1" applyAlignment="1">
      <alignment horizontal="left" vertical="center" indent="1"/>
    </xf>
    <xf numFmtId="0" fontId="7" fillId="7" borderId="21" xfId="11" applyFill="1" applyBorder="1">
      <alignment horizontal="center" vertical="center"/>
    </xf>
    <xf numFmtId="0" fontId="7" fillId="7" borderId="21" xfId="11" applyFill="1" applyBorder="1" applyAlignment="1">
      <alignment horizontal="center" vertical="center" wrapText="1"/>
    </xf>
    <xf numFmtId="9" fontId="4" fillId="7" borderId="21" xfId="2" applyFont="1" applyFill="1" applyBorder="1" applyAlignment="1">
      <alignment horizontal="center" vertical="center"/>
    </xf>
    <xf numFmtId="168" fontId="0" fillId="7" borderId="21" xfId="0" applyNumberFormat="1" applyFill="1" applyBorder="1" applyAlignment="1">
      <alignment horizontal="center" vertical="center"/>
    </xf>
    <xf numFmtId="168" fontId="4" fillId="7" borderId="21" xfId="0" applyNumberFormat="1" applyFont="1" applyFill="1" applyBorder="1" applyAlignment="1">
      <alignment horizontal="center" vertical="center"/>
    </xf>
    <xf numFmtId="168" fontId="4" fillId="7" borderId="21" xfId="0" applyNumberFormat="1" applyFont="1" applyFill="1" applyBorder="1" applyAlignment="1">
      <alignment horizontal="left" vertical="center"/>
    </xf>
    <xf numFmtId="168" fontId="4" fillId="7" borderId="18" xfId="0" applyNumberFormat="1" applyFont="1" applyFill="1" applyBorder="1" applyAlignment="1">
      <alignment horizontal="left" vertical="center"/>
    </xf>
    <xf numFmtId="0" fontId="7" fillId="2" borderId="2" xfId="12" applyFill="1" applyAlignment="1">
      <alignment horizontal="left" vertical="center" indent="4"/>
    </xf>
    <xf numFmtId="0" fontId="35" fillId="2" borderId="20" xfId="12" applyFont="1" applyFill="1" applyBorder="1">
      <alignment horizontal="left" vertical="center" indent="2"/>
    </xf>
    <xf numFmtId="168" fontId="7" fillId="2" borderId="2" xfId="10" applyFill="1" applyAlignment="1">
      <alignment horizontal="left" vertical="center" wrapText="1"/>
    </xf>
    <xf numFmtId="168" fontId="0" fillId="2" borderId="2" xfId="10" applyFont="1" applyFill="1" applyAlignment="1">
      <alignment horizontal="left" vertical="center" wrapText="1"/>
    </xf>
    <xf numFmtId="168" fontId="0" fillId="10" borderId="20" xfId="10" applyFont="1" applyFill="1" applyBorder="1" applyAlignment="1">
      <alignment horizontal="left" vertical="center" wrapText="1"/>
    </xf>
    <xf numFmtId="0" fontId="5" fillId="2" borderId="2" xfId="11" applyFont="1" applyFill="1" applyAlignment="1">
      <alignment horizontal="center" vertical="center" wrapText="1"/>
    </xf>
    <xf numFmtId="0" fontId="0" fillId="2" borderId="2" xfId="12" applyFont="1" applyFill="1" applyAlignment="1">
      <alignment horizontal="left" vertical="center" indent="4"/>
    </xf>
    <xf numFmtId="0" fontId="35" fillId="9" borderId="20" xfId="12" applyFont="1" applyFill="1" applyBorder="1">
      <alignment horizontal="left" vertical="center" indent="2"/>
    </xf>
    <xf numFmtId="0" fontId="7" fillId="9" borderId="20" xfId="12" applyFill="1" applyBorder="1" applyAlignment="1">
      <alignment horizontal="left" vertical="center" indent="4"/>
    </xf>
    <xf numFmtId="0" fontId="7" fillId="9" borderId="2" xfId="12" applyFill="1" applyAlignment="1">
      <alignment horizontal="left" vertical="center" indent="4"/>
    </xf>
    <xf numFmtId="168" fontId="0" fillId="9" borderId="2" xfId="10" applyFont="1" applyFill="1" applyAlignment="1">
      <alignment horizontal="left" vertical="center" wrapText="1"/>
    </xf>
    <xf numFmtId="168" fontId="37" fillId="2" borderId="2" xfId="10" applyFont="1" applyFill="1" applyAlignment="1">
      <alignment horizontal="left" vertical="center" wrapText="1"/>
    </xf>
    <xf numFmtId="0" fontId="39" fillId="0" borderId="23" xfId="0" applyFont="1" applyBorder="1" applyAlignment="1">
      <alignment vertical="center" wrapText="1"/>
    </xf>
    <xf numFmtId="0" fontId="39" fillId="0" borderId="26" xfId="0" applyFont="1" applyBorder="1" applyAlignment="1">
      <alignment vertical="center"/>
    </xf>
    <xf numFmtId="0" fontId="39" fillId="0" borderId="27" xfId="0" applyFont="1" applyBorder="1" applyAlignment="1">
      <alignment vertical="center"/>
    </xf>
    <xf numFmtId="0" fontId="39" fillId="0" borderId="22" xfId="0" applyFont="1" applyBorder="1" applyAlignment="1">
      <alignment vertical="center" wrapText="1"/>
    </xf>
    <xf numFmtId="0" fontId="39" fillId="0" borderId="24" xfId="0" applyFont="1" applyBorder="1" applyAlignment="1">
      <alignment vertical="center" wrapText="1"/>
    </xf>
    <xf numFmtId="0" fontId="0" fillId="0" borderId="24" xfId="0" applyBorder="1" applyAlignment="1">
      <alignment vertical="center" wrapText="1"/>
    </xf>
    <xf numFmtId="0" fontId="38" fillId="0" borderId="31" xfId="0" applyFont="1" applyBorder="1" applyAlignment="1">
      <alignment vertical="center"/>
    </xf>
    <xf numFmtId="0" fontId="38" fillId="0" borderId="32" xfId="0" applyFont="1" applyBorder="1" applyAlignment="1">
      <alignment vertical="center"/>
    </xf>
    <xf numFmtId="0" fontId="38" fillId="0" borderId="33" xfId="0" applyFont="1" applyBorder="1" applyAlignment="1">
      <alignment vertical="center" wrapText="1"/>
    </xf>
    <xf numFmtId="0" fontId="39" fillId="0" borderId="25" xfId="0" applyFont="1" applyBorder="1" applyAlignment="1">
      <alignment vertical="center"/>
    </xf>
    <xf numFmtId="0" fontId="0" fillId="45" borderId="0" xfId="0" applyFill="1"/>
    <xf numFmtId="0" fontId="38" fillId="0" borderId="34" xfId="0" applyFont="1" applyBorder="1" applyAlignment="1">
      <alignment vertical="center"/>
    </xf>
    <xf numFmtId="0" fontId="39" fillId="0" borderId="35" xfId="0" applyFont="1" applyBorder="1" applyAlignment="1">
      <alignment vertical="center"/>
    </xf>
    <xf numFmtId="0" fontId="39" fillId="0" borderId="36" xfId="0" applyFont="1" applyBorder="1" applyAlignment="1">
      <alignment vertical="center" wrapText="1"/>
    </xf>
    <xf numFmtId="0" fontId="0" fillId="0" borderId="36" xfId="0" applyBorder="1" applyAlignment="1">
      <alignment vertical="center" wrapText="1"/>
    </xf>
    <xf numFmtId="0" fontId="7" fillId="2" borderId="2" xfId="12" applyFill="1" applyAlignment="1">
      <alignment horizontal="left" vertical="center" wrapText="1" indent="4"/>
    </xf>
    <xf numFmtId="168" fontId="0" fillId="2" borderId="2" xfId="10" applyFont="1" applyFill="1" applyAlignment="1">
      <alignment horizontal="left" vertical="center"/>
    </xf>
    <xf numFmtId="0" fontId="0" fillId="2" borderId="2" xfId="12" applyFont="1" applyFill="1" applyAlignment="1">
      <alignment horizontal="left" vertical="center" wrapText="1" indent="4"/>
    </xf>
    <xf numFmtId="0" fontId="7" fillId="7" borderId="2" xfId="11" applyFill="1">
      <alignment horizontal="center" vertical="center"/>
    </xf>
    <xf numFmtId="0" fontId="7" fillId="7" borderId="2" xfId="11" applyFill="1" applyAlignment="1">
      <alignment horizontal="center" vertical="center" wrapText="1"/>
    </xf>
    <xf numFmtId="9" fontId="4" fillId="7" borderId="2" xfId="2" applyFont="1" applyFill="1" applyBorder="1" applyAlignment="1">
      <alignment horizontal="center" vertical="center"/>
    </xf>
    <xf numFmtId="172" fontId="7" fillId="7" borderId="2" xfId="10" applyNumberFormat="1" applyFill="1">
      <alignment horizontal="center" vertical="center"/>
    </xf>
    <xf numFmtId="168" fontId="7" fillId="7" borderId="2" xfId="10" applyFill="1" applyAlignment="1">
      <alignment horizontal="left" vertical="center"/>
    </xf>
    <xf numFmtId="0" fontId="35" fillId="7" borderId="20" xfId="12" applyFont="1" applyFill="1" applyBorder="1" applyAlignment="1">
      <alignment horizontal="left" vertical="center" wrapText="1" indent="2"/>
    </xf>
    <xf numFmtId="0" fontId="35" fillId="7" borderId="20" xfId="12" applyFont="1" applyFill="1" applyBorder="1">
      <alignment horizontal="left" vertical="center" indent="2"/>
    </xf>
    <xf numFmtId="0" fontId="7" fillId="7" borderId="20" xfId="11" applyFill="1" applyBorder="1">
      <alignment horizontal="center" vertical="center"/>
    </xf>
    <xf numFmtId="0" fontId="7" fillId="7" borderId="20" xfId="11" applyFill="1" applyBorder="1" applyAlignment="1">
      <alignment horizontal="center" vertical="center" wrapText="1"/>
    </xf>
    <xf numFmtId="9" fontId="4" fillId="7" borderId="20" xfId="2" applyFont="1" applyFill="1" applyBorder="1" applyAlignment="1">
      <alignment horizontal="center" vertical="center"/>
    </xf>
    <xf numFmtId="172" fontId="7" fillId="7" borderId="20" xfId="10" applyNumberFormat="1" applyFill="1" applyBorder="1">
      <alignment horizontal="center" vertical="center"/>
    </xf>
    <xf numFmtId="168" fontId="7" fillId="7" borderId="20" xfId="10" applyFill="1" applyBorder="1" applyAlignment="1">
      <alignment horizontal="left" vertical="center" wrapText="1"/>
    </xf>
    <xf numFmtId="168" fontId="7" fillId="7" borderId="20" xfId="10" applyFill="1" applyBorder="1" applyAlignment="1">
      <alignment horizontal="left" vertical="center"/>
    </xf>
    <xf numFmtId="0" fontId="40" fillId="2" borderId="2" xfId="11" applyFont="1" applyFill="1" applyAlignment="1">
      <alignment horizontal="center" vertical="center" wrapText="1"/>
    </xf>
    <xf numFmtId="0" fontId="0" fillId="9" borderId="2" xfId="12" applyFont="1" applyFill="1">
      <alignment horizontal="left" vertical="center" indent="2"/>
    </xf>
    <xf numFmtId="0" fontId="0" fillId="9" borderId="2" xfId="11" applyFont="1" applyFill="1" applyAlignment="1">
      <alignment horizontal="center" vertical="center" wrapText="1"/>
    </xf>
    <xf numFmtId="168" fontId="0" fillId="9" borderId="2" xfId="10" applyFont="1" applyFill="1" applyAlignment="1">
      <alignment horizontal="left" vertical="center"/>
    </xf>
    <xf numFmtId="172" fontId="0" fillId="9" borderId="2" xfId="10" applyNumberFormat="1" applyFont="1" applyFill="1">
      <alignment horizontal="center" vertical="center"/>
    </xf>
    <xf numFmtId="0" fontId="0" fillId="9" borderId="19" xfId="12" applyFont="1" applyFill="1" applyBorder="1">
      <alignment horizontal="left" vertical="center" indent="2"/>
    </xf>
    <xf numFmtId="0" fontId="0" fillId="9" borderId="2" xfId="11" applyFont="1" applyFill="1">
      <alignment horizontal="center" vertical="center"/>
    </xf>
    <xf numFmtId="0" fontId="0" fillId="9" borderId="2" xfId="12" applyFont="1" applyFill="1" applyAlignment="1">
      <alignment horizontal="left" vertical="center" wrapText="1" indent="2"/>
    </xf>
    <xf numFmtId="168" fontId="0" fillId="2" borderId="20" xfId="10" applyFont="1" applyFill="1" applyBorder="1" applyAlignment="1">
      <alignment horizontal="left" vertical="center"/>
    </xf>
    <xf numFmtId="0" fontId="5" fillId="47" borderId="17" xfId="0" applyFont="1" applyFill="1" applyBorder="1" applyAlignment="1">
      <alignment horizontal="left" vertical="center" indent="1"/>
    </xf>
    <xf numFmtId="0" fontId="7" fillId="47" borderId="21" xfId="11" applyFill="1" applyBorder="1">
      <alignment horizontal="center" vertical="center"/>
    </xf>
    <xf numFmtId="0" fontId="7" fillId="47" borderId="21" xfId="11" applyFill="1" applyBorder="1" applyAlignment="1">
      <alignment horizontal="center" vertical="center" wrapText="1"/>
    </xf>
    <xf numFmtId="9" fontId="4" fillId="47" borderId="21" xfId="2" applyFont="1" applyFill="1" applyBorder="1" applyAlignment="1">
      <alignment horizontal="center" vertical="center"/>
    </xf>
    <xf numFmtId="172" fontId="0" fillId="47" borderId="21" xfId="0" applyNumberFormat="1" applyFill="1" applyBorder="1" applyAlignment="1">
      <alignment horizontal="center" vertical="center"/>
    </xf>
    <xf numFmtId="172" fontId="4" fillId="47" borderId="21" xfId="0" applyNumberFormat="1" applyFont="1" applyFill="1" applyBorder="1" applyAlignment="1">
      <alignment horizontal="center" vertical="center"/>
    </xf>
    <xf numFmtId="168" fontId="4" fillId="47" borderId="21" xfId="0" applyNumberFormat="1" applyFont="1" applyFill="1" applyBorder="1" applyAlignment="1">
      <alignment horizontal="left" vertical="center"/>
    </xf>
    <xf numFmtId="168" fontId="4" fillId="47" borderId="18" xfId="0" applyNumberFormat="1" applyFont="1" applyFill="1" applyBorder="1" applyAlignment="1">
      <alignment horizontal="left" vertical="center"/>
    </xf>
    <xf numFmtId="9" fontId="4" fillId="46" borderId="20" xfId="2" applyFont="1" applyFill="1" applyBorder="1" applyAlignment="1">
      <alignment horizontal="center" vertical="center"/>
    </xf>
    <xf numFmtId="0" fontId="0" fillId="46" borderId="2" xfId="12" applyFont="1" applyFill="1" applyAlignment="1">
      <alignment horizontal="left" vertical="center" wrapText="1" indent="4"/>
    </xf>
    <xf numFmtId="0" fontId="0" fillId="46" borderId="2" xfId="11" applyFont="1" applyFill="1">
      <alignment horizontal="center" vertical="center"/>
    </xf>
    <xf numFmtId="0" fontId="0" fillId="46" borderId="2" xfId="11" applyFont="1" applyFill="1" applyAlignment="1">
      <alignment horizontal="center" vertical="center" wrapText="1"/>
    </xf>
    <xf numFmtId="9" fontId="4" fillId="46" borderId="2" xfId="2" applyFont="1" applyFill="1" applyBorder="1" applyAlignment="1">
      <alignment horizontal="center" vertical="center"/>
    </xf>
    <xf numFmtId="172" fontId="7" fillId="46" borderId="2" xfId="10" applyNumberFormat="1" applyFill="1">
      <alignment horizontal="center" vertical="center"/>
    </xf>
    <xf numFmtId="168" fontId="0" fillId="46" borderId="2" xfId="10" applyFont="1" applyFill="1" applyAlignment="1">
      <alignment horizontal="left" vertical="center" wrapText="1"/>
    </xf>
    <xf numFmtId="0" fontId="7" fillId="46" borderId="2" xfId="11" applyFill="1">
      <alignment horizontal="center" vertical="center"/>
    </xf>
    <xf numFmtId="168" fontId="7" fillId="46" borderId="2" xfId="10" applyFill="1" applyAlignment="1">
      <alignment horizontal="left" vertical="center"/>
    </xf>
    <xf numFmtId="0" fontId="35" fillId="48" borderId="20" xfId="12" applyFont="1" applyFill="1" applyBorder="1">
      <alignment horizontal="left" vertical="center" indent="2"/>
    </xf>
    <xf numFmtId="0" fontId="7" fillId="48" borderId="20" xfId="11" applyFill="1" applyBorder="1">
      <alignment horizontal="center" vertical="center"/>
    </xf>
    <xf numFmtId="0" fontId="7" fillId="48" borderId="20" xfId="11" applyFill="1" applyBorder="1" applyAlignment="1">
      <alignment horizontal="center" vertical="center" wrapText="1"/>
    </xf>
    <xf numFmtId="9" fontId="4" fillId="48" borderId="20" xfId="2" applyFont="1" applyFill="1" applyBorder="1" applyAlignment="1">
      <alignment horizontal="center" vertical="center"/>
    </xf>
    <xf numFmtId="172" fontId="7" fillId="48" borderId="20" xfId="10" applyNumberFormat="1" applyFill="1" applyBorder="1">
      <alignment horizontal="center" vertical="center"/>
    </xf>
    <xf numFmtId="168" fontId="7" fillId="48" borderId="20" xfId="10" applyFill="1" applyBorder="1" applyAlignment="1">
      <alignment horizontal="left" vertical="center" wrapText="1"/>
    </xf>
    <xf numFmtId="168" fontId="7" fillId="48" borderId="20" xfId="10" applyFill="1" applyBorder="1" applyAlignment="1">
      <alignment horizontal="left" vertical="center"/>
    </xf>
    <xf numFmtId="172" fontId="0" fillId="46" borderId="2" xfId="10" applyNumberFormat="1" applyFont="1" applyFill="1">
      <alignment horizontal="center" vertical="center"/>
    </xf>
    <xf numFmtId="168" fontId="0" fillId="46" borderId="2" xfId="10" applyFont="1" applyFill="1" applyAlignment="1">
      <alignment horizontal="left" vertical="center"/>
    </xf>
    <xf numFmtId="168" fontId="41" fillId="47" borderId="18" xfId="0" applyNumberFormat="1" applyFont="1" applyFill="1" applyBorder="1" applyAlignment="1">
      <alignment horizontal="left" vertical="center" wrapText="1"/>
    </xf>
    <xf numFmtId="0" fontId="38" fillId="0" borderId="28" xfId="0" applyFont="1" applyBorder="1" applyAlignment="1">
      <alignment vertical="center"/>
    </xf>
    <xf numFmtId="0" fontId="38" fillId="0" borderId="29" xfId="0" applyFont="1" applyBorder="1" applyAlignment="1">
      <alignment vertical="center"/>
    </xf>
    <xf numFmtId="0" fontId="38" fillId="0" borderId="30" xfId="0" applyFont="1" applyBorder="1" applyAlignment="1">
      <alignment vertical="center"/>
    </xf>
    <xf numFmtId="171" fontId="0" fillId="6" borderId="4" xfId="0" applyNumberFormat="1" applyFill="1" applyBorder="1" applyAlignment="1">
      <alignment horizontal="left" vertical="center" wrapText="1" indent="1"/>
    </xf>
    <xf numFmtId="171" fontId="0" fillId="6" borderId="1" xfId="0" applyNumberFormat="1" applyFill="1" applyBorder="1" applyAlignment="1">
      <alignment horizontal="left" vertical="center" wrapText="1" indent="1"/>
    </xf>
    <xf numFmtId="171" fontId="0" fillId="6" borderId="5" xfId="0" applyNumberFormat="1" applyFill="1" applyBorder="1" applyAlignment="1">
      <alignment horizontal="left" vertical="center" wrapText="1" indent="1"/>
    </xf>
    <xf numFmtId="170" fontId="7" fillId="0" borderId="3" xfId="9">
      <alignment horizontal="center" vertical="center"/>
    </xf>
    <xf numFmtId="0" fontId="11" fillId="0" borderId="0" xfId="5" applyAlignment="1">
      <alignment horizontal="center"/>
    </xf>
    <xf numFmtId="0" fontId="8" fillId="0" borderId="0" xfId="6" applyAlignment="1">
      <alignment horizontal="center"/>
    </xf>
    <xf numFmtId="0" fontId="8" fillId="0" borderId="0" xfId="7" applyAlignment="1">
      <alignment horizontal="center" vertical="top"/>
    </xf>
    <xf numFmtId="0" fontId="7" fillId="0" borderId="0" xfId="8" applyAlignment="1">
      <alignment horizontal="right" vertical="center" indent="2"/>
    </xf>
    <xf numFmtId="0" fontId="7" fillId="0" borderId="7" xfId="8" applyBorder="1" applyAlignment="1">
      <alignment horizontal="right" vertical="center"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Explanatory Text" xfId="28" builtinId="53" customBuiltin="1"/>
    <cellStyle name="Fecha" xfId="10"/>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icio del proyecto" xfId="9"/>
    <cellStyle name="Input" xfId="21" builtinId="20" customBuiltin="1"/>
    <cellStyle name="Linked Cell" xfId="24" builtinId="24" customBuiltin="1"/>
    <cellStyle name="Neutral" xfId="20" builtinId="28" customBuiltin="1"/>
    <cellStyle name="Nombre" xfId="11"/>
    <cellStyle name="Normal" xfId="0" builtinId="0" customBuiltin="1"/>
    <cellStyle name="Note" xfId="27" builtinId="10" customBuiltin="1"/>
    <cellStyle name="Output" xfId="22" builtinId="21" customBuiltin="1"/>
    <cellStyle name="Percent" xfId="2" builtinId="5" customBuiltin="1"/>
    <cellStyle name="Tarea" xfId="12"/>
    <cellStyle name="Title" xfId="5" builtinId="15" customBuiltin="1"/>
    <cellStyle name="Total" xfId="29" builtinId="25" customBuiltin="1"/>
    <cellStyle name="Warning Text" xfId="26" builtinId="11" customBuiltin="1"/>
    <cellStyle name="zTextoOculto" xfId="3"/>
  </cellStyles>
  <dxfs count="654">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tableStyleElement type="wholeTable" dxfId="653"/>
      <tableStyleElement type="headerRow" dxfId="652"/>
      <tableStyleElement type="totalRow" dxfId="651"/>
      <tableStyleElement type="firstColumn" dxfId="650"/>
      <tableStyleElement type="lastColumn" dxfId="649"/>
      <tableStyleElement type="firstRowStripe" dxfId="648"/>
      <tableStyleElement type="secondRowStripe" dxfId="647"/>
      <tableStyleElement type="firstColumnStripe" dxfId="646"/>
      <tableStyleElement type="secondColumnStripe" dxfId="6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D3F2FD"/>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2</xdr:col>
      <xdr:colOff>2050790</xdr:colOff>
      <xdr:row>19</xdr:row>
      <xdr:rowOff>361950</xdr:rowOff>
    </xdr:from>
    <xdr:to>
      <xdr:col>4</xdr:col>
      <xdr:colOff>11997</xdr:colOff>
      <xdr:row>21</xdr:row>
      <xdr:rowOff>0</xdr:rowOff>
    </xdr:to>
    <xdr:sp macro="" textlink="">
      <xdr:nvSpPr>
        <xdr:cNvPr id="3" name="Rectángulo redondeado 2">
          <a:extLst>
            <a:ext uri="{FF2B5EF4-FFF2-40B4-BE49-F238E27FC236}">
              <a16:creationId xmlns:a16="http://schemas.microsoft.com/office/drawing/2014/main" id="{00000000-0008-0000-0000-000003000000}"/>
            </a:ext>
          </a:extLst>
        </xdr:cNvPr>
        <xdr:cNvSpPr/>
      </xdr:nvSpPr>
      <xdr:spPr>
        <a:xfrm>
          <a:off x="6667499" y="8778940"/>
          <a:ext cx="3015289" cy="428112"/>
        </a:xfrm>
        <a:prstGeom prst="round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0</xdr:colOff>
      <xdr:row>19</xdr:row>
      <xdr:rowOff>323850</xdr:rowOff>
    </xdr:from>
    <xdr:to>
      <xdr:col>4</xdr:col>
      <xdr:colOff>314325</xdr:colOff>
      <xdr:row>20</xdr:row>
      <xdr:rowOff>19050</xdr:rowOff>
    </xdr:to>
    <xdr:cxnSp macro="">
      <xdr:nvCxnSpPr>
        <xdr:cNvPr id="5" name="Conector recto de flecha 4">
          <a:extLst>
            <a:ext uri="{FF2B5EF4-FFF2-40B4-BE49-F238E27FC236}">
              <a16:creationId xmlns:a16="http://schemas.microsoft.com/office/drawing/2014/main" id="{00000000-0008-0000-0000-000005000000}"/>
            </a:ext>
          </a:extLst>
        </xdr:cNvPr>
        <xdr:cNvCxnSpPr/>
      </xdr:nvCxnSpPr>
      <xdr:spPr>
        <a:xfrm flipH="1">
          <a:off x="9658350" y="8743950"/>
          <a:ext cx="314325" cy="76200"/>
        </a:xfrm>
        <a:prstGeom prst="straightConnector1">
          <a:avLst/>
        </a:prstGeom>
        <a:ln w="571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0</xdr:colOff>
      <xdr:row>0</xdr:row>
      <xdr:rowOff>0</xdr:rowOff>
    </xdr:from>
    <xdr:to>
      <xdr:col>1</xdr:col>
      <xdr:colOff>1909145</xdr:colOff>
      <xdr:row>3</xdr:row>
      <xdr:rowOff>142765</xdr:rowOff>
    </xdr:to>
    <xdr:pic>
      <xdr:nvPicPr>
        <xdr:cNvPr id="8" name="Imagen 7">
          <a:extLst>
            <a:ext uri="{FF2B5EF4-FFF2-40B4-BE49-F238E27FC236}">
              <a16:creationId xmlns:a16="http://schemas.microsoft.com/office/drawing/2014/main" id="{00000000-0008-0000-00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761" t="21112" r="1060" b="22198"/>
        <a:stretch/>
      </xdr:blipFill>
      <xdr:spPr bwMode="auto">
        <a:xfrm>
          <a:off x="0" y="0"/>
          <a:ext cx="2090120" cy="972000"/>
        </a:xfrm>
        <a:prstGeom prst="rect">
          <a:avLst/>
        </a:prstGeom>
        <a:ln w="3175">
          <a:solidFill>
            <a:schemeClr val="accent1">
              <a:lumMod val="40000"/>
              <a:lumOff val="60000"/>
            </a:schemeClr>
          </a:solidFill>
        </a:ln>
        <a:extLst>
          <a:ext uri="{53640926-AAD7-44D8-BBD7-CCE9431645EC}">
            <a14:shadowObscured xmlns:a14="http://schemas.microsoft.com/office/drawing/2010/main"/>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Verde">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19"/>
  <sheetViews>
    <sheetView zoomScale="130" zoomScaleNormal="130" workbookViewId="0">
      <selection activeCell="C18" sqref="C18"/>
    </sheetView>
  </sheetViews>
  <sheetFormatPr defaultRowHeight="15" x14ac:dyDescent="0.25"/>
  <cols>
    <col min="1" max="1" width="2.85546875" style="172" customWidth="1"/>
    <col min="2" max="2" width="39.85546875" style="172" bestFit="1" customWidth="1"/>
    <col min="3" max="3" width="38.7109375" style="172" bestFit="1" customWidth="1"/>
    <col min="4" max="4" width="80.5703125" style="172" customWidth="1"/>
    <col min="5" max="16384" width="9.140625" style="172"/>
  </cols>
  <sheetData>
    <row r="1" spans="2:4" ht="15" customHeight="1" thickBot="1" x14ac:dyDescent="0.3"/>
    <row r="2" spans="2:4" ht="16.5" thickBot="1" x14ac:dyDescent="0.3">
      <c r="B2" s="168" t="s">
        <v>147</v>
      </c>
      <c r="C2" s="169" t="s">
        <v>148</v>
      </c>
      <c r="D2" s="170" t="s">
        <v>149</v>
      </c>
    </row>
    <row r="3" spans="2:4" ht="31.5" x14ac:dyDescent="0.25">
      <c r="B3" s="229" t="s">
        <v>150</v>
      </c>
      <c r="C3" s="171" t="s">
        <v>151</v>
      </c>
      <c r="D3" s="165" t="s">
        <v>154</v>
      </c>
    </row>
    <row r="4" spans="2:4" ht="31.5" x14ac:dyDescent="0.25">
      <c r="B4" s="230"/>
      <c r="C4" s="163" t="s">
        <v>152</v>
      </c>
      <c r="D4" s="162" t="s">
        <v>155</v>
      </c>
    </row>
    <row r="5" spans="2:4" ht="16.5" thickBot="1" x14ac:dyDescent="0.3">
      <c r="B5" s="231"/>
      <c r="C5" s="164" t="s">
        <v>153</v>
      </c>
      <c r="D5" s="166" t="s">
        <v>156</v>
      </c>
    </row>
    <row r="6" spans="2:4" ht="15.75" x14ac:dyDescent="0.25">
      <c r="B6" s="229" t="s">
        <v>157</v>
      </c>
      <c r="C6" s="171" t="s">
        <v>158</v>
      </c>
      <c r="D6" s="165" t="s">
        <v>161</v>
      </c>
    </row>
    <row r="7" spans="2:4" ht="15.75" x14ac:dyDescent="0.25">
      <c r="B7" s="230"/>
      <c r="C7" s="163" t="s">
        <v>159</v>
      </c>
      <c r="D7" s="162" t="s">
        <v>162</v>
      </c>
    </row>
    <row r="8" spans="2:4" ht="16.5" thickBot="1" x14ac:dyDescent="0.3">
      <c r="B8" s="231"/>
      <c r="C8" s="164" t="s">
        <v>160</v>
      </c>
      <c r="D8" s="166" t="s">
        <v>163</v>
      </c>
    </row>
    <row r="9" spans="2:4" ht="16.5" thickBot="1" x14ac:dyDescent="0.3">
      <c r="B9" s="173"/>
      <c r="C9" s="174"/>
      <c r="D9" s="175"/>
    </row>
    <row r="10" spans="2:4" ht="15.75" x14ac:dyDescent="0.25">
      <c r="B10" s="229" t="s">
        <v>164</v>
      </c>
      <c r="C10" s="171" t="s">
        <v>165</v>
      </c>
      <c r="D10" s="165" t="s">
        <v>169</v>
      </c>
    </row>
    <row r="11" spans="2:4" ht="31.5" x14ac:dyDescent="0.25">
      <c r="B11" s="230"/>
      <c r="C11" s="163" t="s">
        <v>166</v>
      </c>
      <c r="D11" s="162" t="s">
        <v>170</v>
      </c>
    </row>
    <row r="12" spans="2:4" ht="31.5" x14ac:dyDescent="0.25">
      <c r="B12" s="230"/>
      <c r="C12" s="163" t="s">
        <v>167</v>
      </c>
      <c r="D12" s="162" t="s">
        <v>171</v>
      </c>
    </row>
    <row r="13" spans="2:4" ht="16.5" thickBot="1" x14ac:dyDescent="0.3">
      <c r="B13" s="231"/>
      <c r="C13" s="164" t="s">
        <v>168</v>
      </c>
      <c r="D13" s="167"/>
    </row>
    <row r="14" spans="2:4" ht="16.5" thickBot="1" x14ac:dyDescent="0.3">
      <c r="B14" s="173"/>
      <c r="C14" s="174"/>
      <c r="D14" s="176"/>
    </row>
    <row r="15" spans="2:4" ht="47.25" x14ac:dyDescent="0.25">
      <c r="B15" s="229" t="s">
        <v>172</v>
      </c>
      <c r="C15" s="171" t="s">
        <v>173</v>
      </c>
      <c r="D15" s="165" t="s">
        <v>175</v>
      </c>
    </row>
    <row r="16" spans="2:4" ht="16.5" thickBot="1" x14ac:dyDescent="0.3">
      <c r="B16" s="231"/>
      <c r="C16" s="164" t="s">
        <v>174</v>
      </c>
      <c r="D16" s="166" t="s">
        <v>176</v>
      </c>
    </row>
    <row r="17" spans="2:4" ht="16.5" thickBot="1" x14ac:dyDescent="0.3">
      <c r="B17" s="173"/>
      <c r="C17" s="174"/>
      <c r="D17" s="175"/>
    </row>
    <row r="18" spans="2:4" ht="15.75" x14ac:dyDescent="0.25">
      <c r="B18" s="229" t="s">
        <v>177</v>
      </c>
      <c r="C18" s="171" t="s">
        <v>178</v>
      </c>
      <c r="D18" s="165" t="s">
        <v>180</v>
      </c>
    </row>
    <row r="19" spans="2:4" ht="16.5" thickBot="1" x14ac:dyDescent="0.3">
      <c r="B19" s="231"/>
      <c r="C19" s="164" t="s">
        <v>179</v>
      </c>
      <c r="D19" s="166" t="s">
        <v>181</v>
      </c>
    </row>
  </sheetData>
  <mergeCells count="5">
    <mergeCell ref="B3:B5"/>
    <mergeCell ref="B6:B8"/>
    <mergeCell ref="B10:B13"/>
    <mergeCell ref="B15:B16"/>
    <mergeCell ref="B18:B1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MW115"/>
  <sheetViews>
    <sheetView showGridLines="0" tabSelected="1" showRuler="0" zoomScale="85" zoomScaleNormal="85" zoomScalePageLayoutView="70" workbookViewId="0">
      <pane xSplit="8" ySplit="7" topLeftCell="I87" activePane="bottomRight" state="frozen"/>
      <selection pane="topRight" activeCell="I1" sqref="I1"/>
      <selection pane="bottomLeft" activeCell="A8" sqref="A8"/>
      <selection pane="bottomRight" activeCell="F91" sqref="F91:G91"/>
    </sheetView>
  </sheetViews>
  <sheetFormatPr defaultColWidth="9.140625" defaultRowHeight="30" customHeight="1" x14ac:dyDescent="0.25"/>
  <cols>
    <col min="1" max="1" width="2.7109375" style="28" customWidth="1"/>
    <col min="2" max="2" width="71" customWidth="1"/>
    <col min="3" max="3" width="33.85546875" bestFit="1" customWidth="1"/>
    <col min="4" max="4" width="58.5703125" customWidth="1"/>
    <col min="5" max="5" width="9.7109375" bestFit="1" customWidth="1"/>
    <col min="6" max="6" width="8.7109375" style="5" bestFit="1" customWidth="1"/>
    <col min="7" max="7" width="8.7109375" bestFit="1" customWidth="1"/>
    <col min="8" max="8" width="47" bestFit="1" customWidth="1"/>
    <col min="9" max="9" width="41.28515625" customWidth="1"/>
    <col min="10" max="10" width="3.140625" customWidth="1"/>
    <col min="11" max="11" width="6.140625" hidden="1" customWidth="1"/>
    <col min="12" max="16" width="4.28515625" customWidth="1"/>
    <col min="17" max="17" width="4.28515625" hidden="1" customWidth="1"/>
    <col min="18" max="18" width="3.140625" hidden="1" customWidth="1"/>
    <col min="19" max="24" width="4.28515625" customWidth="1"/>
    <col min="25" max="25" width="3.140625" hidden="1" customWidth="1"/>
    <col min="26" max="31" width="4.28515625" customWidth="1"/>
    <col min="32" max="32" width="3.140625" hidden="1" customWidth="1"/>
    <col min="33" max="38" width="4.28515625" customWidth="1"/>
    <col min="39" max="39" width="4.28515625" hidden="1" customWidth="1"/>
    <col min="40" max="45" width="4.28515625" customWidth="1"/>
    <col min="46" max="46" width="4.28515625" hidden="1" customWidth="1"/>
    <col min="47" max="52" width="4.28515625" customWidth="1"/>
    <col min="53" max="53" width="4.28515625" hidden="1" customWidth="1"/>
    <col min="54" max="59" width="4.28515625" customWidth="1"/>
    <col min="60" max="60" width="4.28515625" hidden="1" customWidth="1"/>
    <col min="61" max="66" width="4.28515625" customWidth="1"/>
    <col min="67" max="67" width="4.28515625" hidden="1" customWidth="1"/>
    <col min="68" max="73" width="4.28515625" customWidth="1"/>
    <col min="74" max="74" width="4.28515625" hidden="1" customWidth="1"/>
    <col min="75" max="80" width="4.28515625" customWidth="1"/>
    <col min="81" max="81" width="4.28515625" hidden="1" customWidth="1"/>
    <col min="82" max="87" width="4.28515625" customWidth="1"/>
    <col min="88" max="88" width="4.28515625" hidden="1" customWidth="1"/>
    <col min="89" max="94" width="4.28515625" customWidth="1"/>
    <col min="95" max="95" width="4.28515625" hidden="1" customWidth="1"/>
    <col min="96" max="361" width="4.28515625" customWidth="1"/>
  </cols>
  <sheetData>
    <row r="1" spans="1:361" ht="28.5" x14ac:dyDescent="0.45">
      <c r="A1"/>
      <c r="B1" s="236" t="s">
        <v>31</v>
      </c>
      <c r="C1" s="236"/>
      <c r="D1" s="1"/>
      <c r="E1" s="2"/>
      <c r="F1" s="4"/>
      <c r="G1" s="17"/>
      <c r="H1" s="17"/>
      <c r="I1" s="17"/>
      <c r="K1" s="2"/>
      <c r="L1" s="38"/>
    </row>
    <row r="2" spans="1:361" ht="18.75" customHeight="1" x14ac:dyDescent="0.3">
      <c r="A2" s="28" t="s">
        <v>0</v>
      </c>
      <c r="B2" s="237" t="s">
        <v>32</v>
      </c>
      <c r="C2" s="237"/>
      <c r="L2" s="39"/>
    </row>
    <row r="3" spans="1:361" ht="18.75" x14ac:dyDescent="0.25">
      <c r="A3" s="28" t="s">
        <v>1</v>
      </c>
      <c r="B3" s="238" t="s">
        <v>33</v>
      </c>
      <c r="C3" s="238"/>
      <c r="D3" s="239" t="s">
        <v>10</v>
      </c>
      <c r="E3" s="240"/>
      <c r="F3" s="235">
        <v>45714</v>
      </c>
      <c r="G3" s="235"/>
    </row>
    <row r="4" spans="1:361" ht="21" customHeight="1" x14ac:dyDescent="0.25">
      <c r="A4" s="29" t="s">
        <v>2</v>
      </c>
      <c r="C4" s="53"/>
      <c r="D4" s="239" t="s">
        <v>11</v>
      </c>
      <c r="E4" s="240"/>
      <c r="F4" s="6">
        <v>49</v>
      </c>
      <c r="L4" s="232">
        <f>L5</f>
        <v>46048</v>
      </c>
      <c r="M4" s="233"/>
      <c r="N4" s="233"/>
      <c r="O4" s="233"/>
      <c r="P4" s="233"/>
      <c r="Q4" s="233"/>
      <c r="R4" s="234"/>
      <c r="S4" s="232">
        <f>S5</f>
        <v>46055</v>
      </c>
      <c r="T4" s="233"/>
      <c r="U4" s="233"/>
      <c r="V4" s="233"/>
      <c r="W4" s="233"/>
      <c r="X4" s="233"/>
      <c r="Y4" s="234"/>
      <c r="Z4" s="232">
        <f>Z5</f>
        <v>46062</v>
      </c>
      <c r="AA4" s="233"/>
      <c r="AB4" s="233"/>
      <c r="AC4" s="233"/>
      <c r="AD4" s="233"/>
      <c r="AE4" s="233"/>
      <c r="AF4" s="234"/>
      <c r="AG4" s="232">
        <f>AG5</f>
        <v>46069</v>
      </c>
      <c r="AH4" s="233"/>
      <c r="AI4" s="233"/>
      <c r="AJ4" s="233"/>
      <c r="AK4" s="233"/>
      <c r="AL4" s="233"/>
      <c r="AM4" s="234"/>
      <c r="AN4" s="232">
        <f>AN5</f>
        <v>46076</v>
      </c>
      <c r="AO4" s="233"/>
      <c r="AP4" s="233"/>
      <c r="AQ4" s="233"/>
      <c r="AR4" s="233"/>
      <c r="AS4" s="233"/>
      <c r="AT4" s="234"/>
      <c r="AU4" s="232">
        <f>AU5</f>
        <v>46083</v>
      </c>
      <c r="AV4" s="233"/>
      <c r="AW4" s="233"/>
      <c r="AX4" s="233"/>
      <c r="AY4" s="233"/>
      <c r="AZ4" s="233"/>
      <c r="BA4" s="234"/>
      <c r="BB4" s="232">
        <f>BB5</f>
        <v>46090</v>
      </c>
      <c r="BC4" s="233"/>
      <c r="BD4" s="233"/>
      <c r="BE4" s="233"/>
      <c r="BF4" s="233"/>
      <c r="BG4" s="233"/>
      <c r="BH4" s="234"/>
      <c r="BI4" s="232">
        <f>BI5</f>
        <v>46097</v>
      </c>
      <c r="BJ4" s="233"/>
      <c r="BK4" s="233"/>
      <c r="BL4" s="233"/>
      <c r="BM4" s="233"/>
      <c r="BN4" s="233"/>
      <c r="BO4" s="234"/>
      <c r="BP4" s="232">
        <f>BP5</f>
        <v>46104</v>
      </c>
      <c r="BQ4" s="233"/>
      <c r="BR4" s="233"/>
      <c r="BS4" s="233"/>
      <c r="BT4" s="233"/>
      <c r="BU4" s="233"/>
      <c r="BV4" s="234"/>
      <c r="BW4" s="232">
        <f>BW5</f>
        <v>46111</v>
      </c>
      <c r="BX4" s="233"/>
      <c r="BY4" s="233"/>
      <c r="BZ4" s="233"/>
      <c r="CA4" s="233"/>
      <c r="CB4" s="233"/>
      <c r="CC4" s="234"/>
      <c r="CD4" s="232">
        <f>CD5</f>
        <v>46118</v>
      </c>
      <c r="CE4" s="233"/>
      <c r="CF4" s="233"/>
      <c r="CG4" s="233"/>
      <c r="CH4" s="233"/>
      <c r="CI4" s="233"/>
      <c r="CJ4" s="234"/>
      <c r="CK4" s="232">
        <f>CK5</f>
        <v>46125</v>
      </c>
      <c r="CL4" s="233"/>
      <c r="CM4" s="233"/>
      <c r="CN4" s="233"/>
      <c r="CO4" s="233"/>
      <c r="CP4" s="233"/>
      <c r="CQ4" s="234"/>
      <c r="CR4" s="232">
        <f>CR5</f>
        <v>46132</v>
      </c>
      <c r="CS4" s="233"/>
      <c r="CT4" s="233"/>
      <c r="CU4" s="233"/>
      <c r="CV4" s="233"/>
      <c r="CW4" s="233"/>
      <c r="CX4" s="234"/>
      <c r="CY4" s="232">
        <f>CY5</f>
        <v>46139</v>
      </c>
      <c r="CZ4" s="233"/>
      <c r="DA4" s="233"/>
      <c r="DB4" s="233"/>
      <c r="DC4" s="233"/>
      <c r="DD4" s="233"/>
      <c r="DE4" s="234"/>
      <c r="DF4" s="232">
        <f>DF5</f>
        <v>46146</v>
      </c>
      <c r="DG4" s="233"/>
      <c r="DH4" s="233"/>
      <c r="DI4" s="233"/>
      <c r="DJ4" s="233"/>
      <c r="DK4" s="233"/>
      <c r="DL4" s="234"/>
      <c r="DM4" s="232">
        <f>DM5</f>
        <v>46153</v>
      </c>
      <c r="DN4" s="233"/>
      <c r="DO4" s="233"/>
      <c r="DP4" s="233"/>
      <c r="DQ4" s="233"/>
      <c r="DR4" s="233"/>
      <c r="DS4" s="234"/>
      <c r="DT4" s="232">
        <f>DT5</f>
        <v>46160</v>
      </c>
      <c r="DU4" s="233"/>
      <c r="DV4" s="233"/>
      <c r="DW4" s="233"/>
      <c r="DX4" s="233"/>
      <c r="DY4" s="233"/>
      <c r="DZ4" s="234"/>
      <c r="EA4" s="232">
        <f>EA5</f>
        <v>46167</v>
      </c>
      <c r="EB4" s="233"/>
      <c r="EC4" s="233"/>
      <c r="ED4" s="233"/>
      <c r="EE4" s="233"/>
      <c r="EF4" s="233"/>
      <c r="EG4" s="234"/>
      <c r="EH4" s="232">
        <f>EH5</f>
        <v>46174</v>
      </c>
      <c r="EI4" s="233"/>
      <c r="EJ4" s="233"/>
      <c r="EK4" s="233"/>
      <c r="EL4" s="233"/>
      <c r="EM4" s="233"/>
      <c r="EN4" s="234"/>
      <c r="EO4" s="232">
        <f>EO5</f>
        <v>46181</v>
      </c>
      <c r="EP4" s="233"/>
      <c r="EQ4" s="233"/>
      <c r="ER4" s="233"/>
      <c r="ES4" s="233"/>
      <c r="ET4" s="233"/>
      <c r="EU4" s="234"/>
      <c r="EV4" s="232">
        <f>EV5</f>
        <v>46188</v>
      </c>
      <c r="EW4" s="233"/>
      <c r="EX4" s="233"/>
      <c r="EY4" s="233"/>
      <c r="EZ4" s="233"/>
      <c r="FA4" s="233"/>
      <c r="FB4" s="234"/>
      <c r="FC4" s="232">
        <f>FC5</f>
        <v>46195</v>
      </c>
      <c r="FD4" s="233"/>
      <c r="FE4" s="233"/>
      <c r="FF4" s="233"/>
      <c r="FG4" s="233"/>
      <c r="FH4" s="233"/>
      <c r="FI4" s="234"/>
      <c r="FJ4" s="232">
        <f>FJ5</f>
        <v>46202</v>
      </c>
      <c r="FK4" s="233"/>
      <c r="FL4" s="233"/>
      <c r="FM4" s="233"/>
      <c r="FN4" s="233"/>
      <c r="FO4" s="233"/>
      <c r="FP4" s="234"/>
      <c r="FQ4" s="232">
        <f>FQ5</f>
        <v>46209</v>
      </c>
      <c r="FR4" s="233"/>
      <c r="FS4" s="233"/>
      <c r="FT4" s="233"/>
      <c r="FU4" s="233"/>
      <c r="FV4" s="233"/>
      <c r="FW4" s="234"/>
      <c r="FX4" s="232">
        <f>FX5</f>
        <v>46216</v>
      </c>
      <c r="FY4" s="233"/>
      <c r="FZ4" s="233"/>
      <c r="GA4" s="233"/>
      <c r="GB4" s="233"/>
      <c r="GC4" s="233"/>
      <c r="GD4" s="234"/>
      <c r="GE4" s="232">
        <f>GE5</f>
        <v>46223</v>
      </c>
      <c r="GF4" s="233"/>
      <c r="GG4" s="233"/>
      <c r="GH4" s="233"/>
      <c r="GI4" s="233"/>
      <c r="GJ4" s="233"/>
      <c r="GK4" s="234"/>
      <c r="GL4" s="232">
        <f>GL5</f>
        <v>46230</v>
      </c>
      <c r="GM4" s="233"/>
      <c r="GN4" s="233"/>
      <c r="GO4" s="233"/>
      <c r="GP4" s="233"/>
      <c r="GQ4" s="233"/>
      <c r="GR4" s="234"/>
      <c r="GS4" s="232">
        <f>GS5</f>
        <v>46237</v>
      </c>
      <c r="GT4" s="233"/>
      <c r="GU4" s="233"/>
      <c r="GV4" s="233"/>
      <c r="GW4" s="233"/>
      <c r="GX4" s="233"/>
      <c r="GY4" s="234"/>
      <c r="GZ4" s="232">
        <f>GZ5</f>
        <v>46244</v>
      </c>
      <c r="HA4" s="233"/>
      <c r="HB4" s="233"/>
      <c r="HC4" s="233"/>
      <c r="HD4" s="233"/>
      <c r="HE4" s="233"/>
      <c r="HF4" s="234"/>
      <c r="HG4" s="232">
        <f>HG5</f>
        <v>46251</v>
      </c>
      <c r="HH4" s="233"/>
      <c r="HI4" s="233"/>
      <c r="HJ4" s="233"/>
      <c r="HK4" s="233"/>
      <c r="HL4" s="233"/>
      <c r="HM4" s="234"/>
      <c r="HN4" s="232">
        <f>HN5</f>
        <v>46258</v>
      </c>
      <c r="HO4" s="233"/>
      <c r="HP4" s="233"/>
      <c r="HQ4" s="233"/>
      <c r="HR4" s="233"/>
      <c r="HS4" s="233"/>
      <c r="HT4" s="234"/>
      <c r="HU4" s="232">
        <f>HU5</f>
        <v>46265</v>
      </c>
      <c r="HV4" s="233"/>
      <c r="HW4" s="233"/>
      <c r="HX4" s="233"/>
      <c r="HY4" s="233"/>
      <c r="HZ4" s="233"/>
      <c r="IA4" s="234"/>
      <c r="IB4" s="232">
        <f>IB5</f>
        <v>46272</v>
      </c>
      <c r="IC4" s="233"/>
      <c r="ID4" s="233"/>
      <c r="IE4" s="233"/>
      <c r="IF4" s="233"/>
      <c r="IG4" s="233"/>
      <c r="IH4" s="234"/>
      <c r="II4" s="232">
        <f>II5</f>
        <v>46279</v>
      </c>
      <c r="IJ4" s="233"/>
      <c r="IK4" s="233"/>
      <c r="IL4" s="233"/>
      <c r="IM4" s="233"/>
      <c r="IN4" s="233"/>
      <c r="IO4" s="234"/>
      <c r="IP4" s="232">
        <f>IP5</f>
        <v>46286</v>
      </c>
      <c r="IQ4" s="233"/>
      <c r="IR4" s="233"/>
      <c r="IS4" s="233"/>
      <c r="IT4" s="233"/>
      <c r="IU4" s="233"/>
      <c r="IV4" s="234"/>
      <c r="IW4" s="232">
        <f>IW5</f>
        <v>46293</v>
      </c>
      <c r="IX4" s="233"/>
      <c r="IY4" s="233"/>
      <c r="IZ4" s="233"/>
      <c r="JA4" s="233"/>
      <c r="JB4" s="233"/>
      <c r="JC4" s="234"/>
      <c r="JD4" s="232">
        <f>JD5</f>
        <v>46300</v>
      </c>
      <c r="JE4" s="233"/>
      <c r="JF4" s="233"/>
      <c r="JG4" s="233"/>
      <c r="JH4" s="233"/>
      <c r="JI4" s="233"/>
      <c r="JJ4" s="234"/>
      <c r="JK4" s="232">
        <f>JK5</f>
        <v>46307</v>
      </c>
      <c r="JL4" s="233"/>
      <c r="JM4" s="233"/>
      <c r="JN4" s="233"/>
      <c r="JO4" s="233"/>
      <c r="JP4" s="233"/>
      <c r="JQ4" s="234"/>
      <c r="JR4" s="232">
        <f>JR5</f>
        <v>46314</v>
      </c>
      <c r="JS4" s="233"/>
      <c r="JT4" s="233"/>
      <c r="JU4" s="233"/>
      <c r="JV4" s="233"/>
      <c r="JW4" s="233"/>
      <c r="JX4" s="234"/>
      <c r="JY4" s="232">
        <f>JY5</f>
        <v>46321</v>
      </c>
      <c r="JZ4" s="233"/>
      <c r="KA4" s="233"/>
      <c r="KB4" s="233"/>
      <c r="KC4" s="233"/>
      <c r="KD4" s="233"/>
      <c r="KE4" s="234"/>
      <c r="KF4" s="232">
        <f>KF5</f>
        <v>46328</v>
      </c>
      <c r="KG4" s="233"/>
      <c r="KH4" s="233"/>
      <c r="KI4" s="233"/>
      <c r="KJ4" s="233"/>
      <c r="KK4" s="233"/>
      <c r="KL4" s="234"/>
      <c r="KM4" s="232">
        <f>KM5</f>
        <v>46335</v>
      </c>
      <c r="KN4" s="233"/>
      <c r="KO4" s="233"/>
      <c r="KP4" s="233"/>
      <c r="KQ4" s="233"/>
      <c r="KR4" s="233"/>
      <c r="KS4" s="234"/>
      <c r="KT4" s="232">
        <f>KT5</f>
        <v>46342</v>
      </c>
      <c r="KU4" s="233"/>
      <c r="KV4" s="233"/>
      <c r="KW4" s="233"/>
      <c r="KX4" s="233"/>
      <c r="KY4" s="233"/>
      <c r="KZ4" s="234"/>
      <c r="LA4" s="232">
        <f>LA5</f>
        <v>46349</v>
      </c>
      <c r="LB4" s="233"/>
      <c r="LC4" s="233"/>
      <c r="LD4" s="233"/>
      <c r="LE4" s="233"/>
      <c r="LF4" s="233"/>
      <c r="LG4" s="234"/>
      <c r="LH4" s="232">
        <f>LH5</f>
        <v>46356</v>
      </c>
      <c r="LI4" s="233"/>
      <c r="LJ4" s="233"/>
      <c r="LK4" s="233"/>
      <c r="LL4" s="233"/>
      <c r="LM4" s="233"/>
      <c r="LN4" s="234"/>
      <c r="LO4" s="232">
        <f>LO5</f>
        <v>46363</v>
      </c>
      <c r="LP4" s="233"/>
      <c r="LQ4" s="233"/>
      <c r="LR4" s="233"/>
      <c r="LS4" s="233"/>
      <c r="LT4" s="233"/>
      <c r="LU4" s="234"/>
      <c r="LV4" s="232">
        <f>LV5</f>
        <v>46370</v>
      </c>
      <c r="LW4" s="233"/>
      <c r="LX4" s="233"/>
      <c r="LY4" s="233"/>
      <c r="LZ4" s="233"/>
      <c r="MA4" s="233"/>
      <c r="MB4" s="234"/>
      <c r="MC4" s="232">
        <f>MC5</f>
        <v>46377</v>
      </c>
      <c r="MD4" s="233"/>
      <c r="ME4" s="233"/>
      <c r="MF4" s="233"/>
      <c r="MG4" s="233"/>
      <c r="MH4" s="233"/>
      <c r="MI4" s="234"/>
      <c r="MJ4" s="232">
        <f>MJ5</f>
        <v>46384</v>
      </c>
      <c r="MK4" s="233"/>
      <c r="ML4" s="233"/>
      <c r="MM4" s="233"/>
      <c r="MN4" s="233"/>
      <c r="MO4" s="233"/>
      <c r="MP4" s="234"/>
      <c r="MQ4" s="232">
        <f>MQ5</f>
        <v>46391</v>
      </c>
      <c r="MR4" s="233"/>
      <c r="MS4" s="233"/>
      <c r="MT4" s="233"/>
      <c r="MU4" s="233"/>
      <c r="MV4" s="233"/>
      <c r="MW4" s="234"/>
    </row>
    <row r="5" spans="1:361" ht="15" customHeight="1" thickBot="1" x14ac:dyDescent="0.3">
      <c r="A5" s="29" t="s">
        <v>3</v>
      </c>
      <c r="B5" s="37"/>
      <c r="E5" s="37"/>
      <c r="F5" s="37"/>
      <c r="G5" s="37"/>
      <c r="H5" s="37"/>
      <c r="I5" s="37"/>
      <c r="J5" s="37"/>
      <c r="L5" s="42">
        <f>Inicio_del_proyecto-WEEKDAY(Inicio_del_proyecto,1)+2+7*(Semana_para_mostrar-1)</f>
        <v>46048</v>
      </c>
      <c r="M5" s="43">
        <f>L5+1</f>
        <v>46049</v>
      </c>
      <c r="N5" s="43">
        <f t="shared" ref="N5:BA5" si="0">M5+1</f>
        <v>46050</v>
      </c>
      <c r="O5" s="43">
        <f t="shared" si="0"/>
        <v>46051</v>
      </c>
      <c r="P5" s="43">
        <f t="shared" si="0"/>
        <v>46052</v>
      </c>
      <c r="Q5" s="43">
        <f t="shared" si="0"/>
        <v>46053</v>
      </c>
      <c r="R5" s="44">
        <f t="shared" si="0"/>
        <v>46054</v>
      </c>
      <c r="S5" s="42">
        <f>R5+1</f>
        <v>46055</v>
      </c>
      <c r="T5" s="43">
        <f>S5+1</f>
        <v>46056</v>
      </c>
      <c r="U5" s="43">
        <f t="shared" si="0"/>
        <v>46057</v>
      </c>
      <c r="V5" s="43">
        <f t="shared" si="0"/>
        <v>46058</v>
      </c>
      <c r="W5" s="43">
        <f t="shared" si="0"/>
        <v>46059</v>
      </c>
      <c r="X5" s="43">
        <f t="shared" si="0"/>
        <v>46060</v>
      </c>
      <c r="Y5" s="44">
        <f t="shared" si="0"/>
        <v>46061</v>
      </c>
      <c r="Z5" s="42">
        <f>Y5+1</f>
        <v>46062</v>
      </c>
      <c r="AA5" s="43">
        <f>Z5+1</f>
        <v>46063</v>
      </c>
      <c r="AB5" s="43">
        <f t="shared" si="0"/>
        <v>46064</v>
      </c>
      <c r="AC5" s="43">
        <f t="shared" si="0"/>
        <v>46065</v>
      </c>
      <c r="AD5" s="43">
        <f t="shared" si="0"/>
        <v>46066</v>
      </c>
      <c r="AE5" s="43">
        <f t="shared" si="0"/>
        <v>46067</v>
      </c>
      <c r="AF5" s="44">
        <f t="shared" si="0"/>
        <v>46068</v>
      </c>
      <c r="AG5" s="42">
        <f>AF5+1</f>
        <v>46069</v>
      </c>
      <c r="AH5" s="43">
        <f>AG5+1</f>
        <v>46070</v>
      </c>
      <c r="AI5" s="43">
        <f t="shared" si="0"/>
        <v>46071</v>
      </c>
      <c r="AJ5" s="43">
        <f t="shared" si="0"/>
        <v>46072</v>
      </c>
      <c r="AK5" s="43">
        <f t="shared" si="0"/>
        <v>46073</v>
      </c>
      <c r="AL5" s="43">
        <f t="shared" si="0"/>
        <v>46074</v>
      </c>
      <c r="AM5" s="44">
        <f t="shared" si="0"/>
        <v>46075</v>
      </c>
      <c r="AN5" s="42">
        <f>AM5+1</f>
        <v>46076</v>
      </c>
      <c r="AO5" s="43">
        <f>AN5+1</f>
        <v>46077</v>
      </c>
      <c r="AP5" s="43">
        <f t="shared" si="0"/>
        <v>46078</v>
      </c>
      <c r="AQ5" s="43">
        <f t="shared" si="0"/>
        <v>46079</v>
      </c>
      <c r="AR5" s="43">
        <f t="shared" si="0"/>
        <v>46080</v>
      </c>
      <c r="AS5" s="43">
        <f t="shared" si="0"/>
        <v>46081</v>
      </c>
      <c r="AT5" s="44">
        <f t="shared" si="0"/>
        <v>46082</v>
      </c>
      <c r="AU5" s="42">
        <f>AT5+1</f>
        <v>46083</v>
      </c>
      <c r="AV5" s="43">
        <f>AU5+1</f>
        <v>46084</v>
      </c>
      <c r="AW5" s="43">
        <f t="shared" si="0"/>
        <v>46085</v>
      </c>
      <c r="AX5" s="43">
        <f t="shared" si="0"/>
        <v>46086</v>
      </c>
      <c r="AY5" s="43">
        <f t="shared" si="0"/>
        <v>46087</v>
      </c>
      <c r="AZ5" s="43">
        <f t="shared" si="0"/>
        <v>46088</v>
      </c>
      <c r="BA5" s="44">
        <f t="shared" si="0"/>
        <v>46089</v>
      </c>
      <c r="BB5" s="42">
        <f t="shared" ref="BB5:BH5" si="1">BA5+1</f>
        <v>46090</v>
      </c>
      <c r="BC5" s="43">
        <f t="shared" si="1"/>
        <v>46091</v>
      </c>
      <c r="BD5" s="43">
        <f t="shared" si="1"/>
        <v>46092</v>
      </c>
      <c r="BE5" s="43">
        <f t="shared" si="1"/>
        <v>46093</v>
      </c>
      <c r="BF5" s="43">
        <f t="shared" si="1"/>
        <v>46094</v>
      </c>
      <c r="BG5" s="43">
        <f t="shared" si="1"/>
        <v>46095</v>
      </c>
      <c r="BH5" s="44">
        <f t="shared" si="1"/>
        <v>46096</v>
      </c>
      <c r="BI5" s="42">
        <f t="shared" ref="BI5" si="2">BH5+1</f>
        <v>46097</v>
      </c>
      <c r="BJ5" s="42">
        <f t="shared" ref="BJ5" si="3">BI5+1</f>
        <v>46098</v>
      </c>
      <c r="BK5" s="42">
        <f t="shared" ref="BK5" si="4">BJ5+1</f>
        <v>46099</v>
      </c>
      <c r="BL5" s="42">
        <f t="shared" ref="BL5" si="5">BK5+1</f>
        <v>46100</v>
      </c>
      <c r="BM5" s="42">
        <f t="shared" ref="BM5" si="6">BL5+1</f>
        <v>46101</v>
      </c>
      <c r="BN5" s="42">
        <f t="shared" ref="BN5" si="7">BM5+1</f>
        <v>46102</v>
      </c>
      <c r="BO5" s="42">
        <f t="shared" ref="BO5" si="8">BN5+1</f>
        <v>46103</v>
      </c>
      <c r="BP5" s="42">
        <f t="shared" ref="BP5" si="9">BO5+1</f>
        <v>46104</v>
      </c>
      <c r="BQ5" s="42">
        <f t="shared" ref="BQ5" si="10">BP5+1</f>
        <v>46105</v>
      </c>
      <c r="BR5" s="42">
        <f t="shared" ref="BR5" si="11">BQ5+1</f>
        <v>46106</v>
      </c>
      <c r="BS5" s="42">
        <f t="shared" ref="BS5" si="12">BR5+1</f>
        <v>46107</v>
      </c>
      <c r="BT5" s="42">
        <f t="shared" ref="BT5" si="13">BS5+1</f>
        <v>46108</v>
      </c>
      <c r="BU5" s="42">
        <f t="shared" ref="BU5" si="14">BT5+1</f>
        <v>46109</v>
      </c>
      <c r="BV5" s="42">
        <f t="shared" ref="BV5" si="15">BU5+1</f>
        <v>46110</v>
      </c>
      <c r="BW5" s="42">
        <f t="shared" ref="BW5" si="16">BV5+1</f>
        <v>46111</v>
      </c>
      <c r="BX5" s="42">
        <f t="shared" ref="BX5" si="17">BW5+1</f>
        <v>46112</v>
      </c>
      <c r="BY5" s="42">
        <f t="shared" ref="BY5" si="18">BX5+1</f>
        <v>46113</v>
      </c>
      <c r="BZ5" s="42">
        <f t="shared" ref="BZ5" si="19">BY5+1</f>
        <v>46114</v>
      </c>
      <c r="CA5" s="42">
        <f t="shared" ref="CA5" si="20">BZ5+1</f>
        <v>46115</v>
      </c>
      <c r="CB5" s="42">
        <f t="shared" ref="CB5" si="21">CA5+1</f>
        <v>46116</v>
      </c>
      <c r="CC5" s="42">
        <f t="shared" ref="CC5" si="22">CB5+1</f>
        <v>46117</v>
      </c>
      <c r="CD5" s="42">
        <f t="shared" ref="CD5" si="23">CC5+1</f>
        <v>46118</v>
      </c>
      <c r="CE5" s="42">
        <f t="shared" ref="CE5" si="24">CD5+1</f>
        <v>46119</v>
      </c>
      <c r="CF5" s="42">
        <f t="shared" ref="CF5" si="25">CE5+1</f>
        <v>46120</v>
      </c>
      <c r="CG5" s="42">
        <f t="shared" ref="CG5" si="26">CF5+1</f>
        <v>46121</v>
      </c>
      <c r="CH5" s="42">
        <f t="shared" ref="CH5" si="27">CG5+1</f>
        <v>46122</v>
      </c>
      <c r="CI5" s="42">
        <f t="shared" ref="CI5" si="28">CH5+1</f>
        <v>46123</v>
      </c>
      <c r="CJ5" s="42">
        <f t="shared" ref="CJ5" si="29">CI5+1</f>
        <v>46124</v>
      </c>
      <c r="CK5" s="42">
        <f t="shared" ref="CK5" si="30">CJ5+1</f>
        <v>46125</v>
      </c>
      <c r="CL5" s="42">
        <f t="shared" ref="CL5" si="31">CK5+1</f>
        <v>46126</v>
      </c>
      <c r="CM5" s="42">
        <f t="shared" ref="CM5" si="32">CL5+1</f>
        <v>46127</v>
      </c>
      <c r="CN5" s="42">
        <f t="shared" ref="CN5" si="33">CM5+1</f>
        <v>46128</v>
      </c>
      <c r="CO5" s="42">
        <f t="shared" ref="CO5" si="34">CN5+1</f>
        <v>46129</v>
      </c>
      <c r="CP5" s="42">
        <f t="shared" ref="CP5" si="35">CO5+1</f>
        <v>46130</v>
      </c>
      <c r="CQ5" s="42">
        <f t="shared" ref="CQ5" si="36">CP5+1</f>
        <v>46131</v>
      </c>
      <c r="CR5" s="42">
        <f t="shared" ref="CR5" si="37">CQ5+1</f>
        <v>46132</v>
      </c>
      <c r="CS5" s="42">
        <f t="shared" ref="CS5" si="38">CR5+1</f>
        <v>46133</v>
      </c>
      <c r="CT5" s="42">
        <f t="shared" ref="CT5" si="39">CS5+1</f>
        <v>46134</v>
      </c>
      <c r="CU5" s="42">
        <f t="shared" ref="CU5" si="40">CT5+1</f>
        <v>46135</v>
      </c>
      <c r="CV5" s="42">
        <f t="shared" ref="CV5" si="41">CU5+1</f>
        <v>46136</v>
      </c>
      <c r="CW5" s="42">
        <f t="shared" ref="CW5" si="42">CV5+1</f>
        <v>46137</v>
      </c>
      <c r="CX5" s="42">
        <f t="shared" ref="CX5" si="43">CW5+1</f>
        <v>46138</v>
      </c>
      <c r="CY5" s="42">
        <f t="shared" ref="CY5" si="44">CX5+1</f>
        <v>46139</v>
      </c>
      <c r="CZ5" s="42">
        <f t="shared" ref="CZ5" si="45">CY5+1</f>
        <v>46140</v>
      </c>
      <c r="DA5" s="42">
        <f t="shared" ref="DA5" si="46">CZ5+1</f>
        <v>46141</v>
      </c>
      <c r="DB5" s="42">
        <f t="shared" ref="DB5" si="47">DA5+1</f>
        <v>46142</v>
      </c>
      <c r="DC5" s="42">
        <f t="shared" ref="DC5" si="48">DB5+1</f>
        <v>46143</v>
      </c>
      <c r="DD5" s="42">
        <f t="shared" ref="DD5" si="49">DC5+1</f>
        <v>46144</v>
      </c>
      <c r="DE5" s="42">
        <f t="shared" ref="DE5" si="50">DD5+1</f>
        <v>46145</v>
      </c>
      <c r="DF5" s="42">
        <f t="shared" ref="DF5" si="51">DE5+1</f>
        <v>46146</v>
      </c>
      <c r="DG5" s="42">
        <f t="shared" ref="DG5" si="52">DF5+1</f>
        <v>46147</v>
      </c>
      <c r="DH5" s="42">
        <f t="shared" ref="DH5" si="53">DG5+1</f>
        <v>46148</v>
      </c>
      <c r="DI5" s="42">
        <f t="shared" ref="DI5" si="54">DH5+1</f>
        <v>46149</v>
      </c>
      <c r="DJ5" s="42">
        <f t="shared" ref="DJ5" si="55">DI5+1</f>
        <v>46150</v>
      </c>
      <c r="DK5" s="42">
        <f t="shared" ref="DK5" si="56">DJ5+1</f>
        <v>46151</v>
      </c>
      <c r="DL5" s="42">
        <f t="shared" ref="DL5" si="57">DK5+1</f>
        <v>46152</v>
      </c>
      <c r="DM5" s="42">
        <f t="shared" ref="DM5" si="58">DL5+1</f>
        <v>46153</v>
      </c>
      <c r="DN5" s="42">
        <f t="shared" ref="DN5" si="59">DM5+1</f>
        <v>46154</v>
      </c>
      <c r="DO5" s="42">
        <f t="shared" ref="DO5" si="60">DN5+1</f>
        <v>46155</v>
      </c>
      <c r="DP5" s="42">
        <f t="shared" ref="DP5" si="61">DO5+1</f>
        <v>46156</v>
      </c>
      <c r="DQ5" s="42">
        <f t="shared" ref="DQ5" si="62">DP5+1</f>
        <v>46157</v>
      </c>
      <c r="DR5" s="42">
        <f t="shared" ref="DR5" si="63">DQ5+1</f>
        <v>46158</v>
      </c>
      <c r="DS5" s="42">
        <f t="shared" ref="DS5" si="64">DR5+1</f>
        <v>46159</v>
      </c>
      <c r="DT5" s="42">
        <f t="shared" ref="DT5" si="65">DS5+1</f>
        <v>46160</v>
      </c>
      <c r="DU5" s="42">
        <f t="shared" ref="DU5" si="66">DT5+1</f>
        <v>46161</v>
      </c>
      <c r="DV5" s="42">
        <f t="shared" ref="DV5" si="67">DU5+1</f>
        <v>46162</v>
      </c>
      <c r="DW5" s="42">
        <f t="shared" ref="DW5" si="68">DV5+1</f>
        <v>46163</v>
      </c>
      <c r="DX5" s="42">
        <f t="shared" ref="DX5" si="69">DW5+1</f>
        <v>46164</v>
      </c>
      <c r="DY5" s="42">
        <f t="shared" ref="DY5" si="70">DX5+1</f>
        <v>46165</v>
      </c>
      <c r="DZ5" s="42">
        <f t="shared" ref="DZ5" si="71">DY5+1</f>
        <v>46166</v>
      </c>
      <c r="EA5" s="42">
        <f t="shared" ref="EA5" si="72">DZ5+1</f>
        <v>46167</v>
      </c>
      <c r="EB5" s="42">
        <f t="shared" ref="EB5" si="73">EA5+1</f>
        <v>46168</v>
      </c>
      <c r="EC5" s="42">
        <f t="shared" ref="EC5" si="74">EB5+1</f>
        <v>46169</v>
      </c>
      <c r="ED5" s="42">
        <f t="shared" ref="ED5" si="75">EC5+1</f>
        <v>46170</v>
      </c>
      <c r="EE5" s="42">
        <f t="shared" ref="EE5" si="76">ED5+1</f>
        <v>46171</v>
      </c>
      <c r="EF5" s="42">
        <f t="shared" ref="EF5" si="77">EE5+1</f>
        <v>46172</v>
      </c>
      <c r="EG5" s="42">
        <f t="shared" ref="EG5" si="78">EF5+1</f>
        <v>46173</v>
      </c>
      <c r="EH5" s="42">
        <f t="shared" ref="EH5" si="79">EG5+1</f>
        <v>46174</v>
      </c>
      <c r="EI5" s="42">
        <f t="shared" ref="EI5" si="80">EH5+1</f>
        <v>46175</v>
      </c>
      <c r="EJ5" s="42">
        <f t="shared" ref="EJ5" si="81">EI5+1</f>
        <v>46176</v>
      </c>
      <c r="EK5" s="42">
        <f t="shared" ref="EK5" si="82">EJ5+1</f>
        <v>46177</v>
      </c>
      <c r="EL5" s="42">
        <f t="shared" ref="EL5" si="83">EK5+1</f>
        <v>46178</v>
      </c>
      <c r="EM5" s="42">
        <f t="shared" ref="EM5" si="84">EL5+1</f>
        <v>46179</v>
      </c>
      <c r="EN5" s="42">
        <f t="shared" ref="EN5" si="85">EM5+1</f>
        <v>46180</v>
      </c>
      <c r="EO5" s="42">
        <f t="shared" ref="EO5" si="86">EN5+1</f>
        <v>46181</v>
      </c>
      <c r="EP5" s="42">
        <f t="shared" ref="EP5" si="87">EO5+1</f>
        <v>46182</v>
      </c>
      <c r="EQ5" s="42">
        <f t="shared" ref="EQ5" si="88">EP5+1</f>
        <v>46183</v>
      </c>
      <c r="ER5" s="42">
        <f t="shared" ref="ER5" si="89">EQ5+1</f>
        <v>46184</v>
      </c>
      <c r="ES5" s="42">
        <f t="shared" ref="ES5" si="90">ER5+1</f>
        <v>46185</v>
      </c>
      <c r="ET5" s="42">
        <f t="shared" ref="ET5" si="91">ES5+1</f>
        <v>46186</v>
      </c>
      <c r="EU5" s="42">
        <f t="shared" ref="EU5" si="92">ET5+1</f>
        <v>46187</v>
      </c>
      <c r="EV5" s="42">
        <f t="shared" ref="EV5" si="93">EU5+1</f>
        <v>46188</v>
      </c>
      <c r="EW5" s="42">
        <f t="shared" ref="EW5" si="94">EV5+1</f>
        <v>46189</v>
      </c>
      <c r="EX5" s="42">
        <f t="shared" ref="EX5" si="95">EW5+1</f>
        <v>46190</v>
      </c>
      <c r="EY5" s="42">
        <f t="shared" ref="EY5" si="96">EX5+1</f>
        <v>46191</v>
      </c>
      <c r="EZ5" s="42">
        <f t="shared" ref="EZ5" si="97">EY5+1</f>
        <v>46192</v>
      </c>
      <c r="FA5" s="42">
        <f t="shared" ref="FA5" si="98">EZ5+1</f>
        <v>46193</v>
      </c>
      <c r="FB5" s="42">
        <f t="shared" ref="FB5" si="99">FA5+1</f>
        <v>46194</v>
      </c>
      <c r="FC5" s="42">
        <f t="shared" ref="FC5" si="100">FB5+1</f>
        <v>46195</v>
      </c>
      <c r="FD5" s="42">
        <f t="shared" ref="FD5" si="101">FC5+1</f>
        <v>46196</v>
      </c>
      <c r="FE5" s="42">
        <f t="shared" ref="FE5" si="102">FD5+1</f>
        <v>46197</v>
      </c>
      <c r="FF5" s="42">
        <f t="shared" ref="FF5" si="103">FE5+1</f>
        <v>46198</v>
      </c>
      <c r="FG5" s="42">
        <f t="shared" ref="FG5" si="104">FF5+1</f>
        <v>46199</v>
      </c>
      <c r="FH5" s="42">
        <f t="shared" ref="FH5" si="105">FG5+1</f>
        <v>46200</v>
      </c>
      <c r="FI5" s="42">
        <f t="shared" ref="FI5" si="106">FH5+1</f>
        <v>46201</v>
      </c>
      <c r="FJ5" s="42">
        <f t="shared" ref="FJ5" si="107">FI5+1</f>
        <v>46202</v>
      </c>
      <c r="FK5" s="42">
        <f t="shared" ref="FK5" si="108">FJ5+1</f>
        <v>46203</v>
      </c>
      <c r="FL5" s="42">
        <f t="shared" ref="FL5" si="109">FK5+1</f>
        <v>46204</v>
      </c>
      <c r="FM5" s="42">
        <f t="shared" ref="FM5" si="110">FL5+1</f>
        <v>46205</v>
      </c>
      <c r="FN5" s="42">
        <f t="shared" ref="FN5" si="111">FM5+1</f>
        <v>46206</v>
      </c>
      <c r="FO5" s="42">
        <f t="shared" ref="FO5" si="112">FN5+1</f>
        <v>46207</v>
      </c>
      <c r="FP5" s="42">
        <f t="shared" ref="FP5" si="113">FO5+1</f>
        <v>46208</v>
      </c>
      <c r="FQ5" s="42">
        <f t="shared" ref="FQ5" si="114">FP5+1</f>
        <v>46209</v>
      </c>
      <c r="FR5" s="42">
        <f t="shared" ref="FR5" si="115">FQ5+1</f>
        <v>46210</v>
      </c>
      <c r="FS5" s="42">
        <f t="shared" ref="FS5" si="116">FR5+1</f>
        <v>46211</v>
      </c>
      <c r="FT5" s="42">
        <f t="shared" ref="FT5" si="117">FS5+1</f>
        <v>46212</v>
      </c>
      <c r="FU5" s="42">
        <f t="shared" ref="FU5" si="118">FT5+1</f>
        <v>46213</v>
      </c>
      <c r="FV5" s="42">
        <f t="shared" ref="FV5" si="119">FU5+1</f>
        <v>46214</v>
      </c>
      <c r="FW5" s="42">
        <f t="shared" ref="FW5" si="120">FV5+1</f>
        <v>46215</v>
      </c>
      <c r="FX5" s="42">
        <f t="shared" ref="FX5" si="121">FW5+1</f>
        <v>46216</v>
      </c>
      <c r="FY5" s="42">
        <f t="shared" ref="FY5" si="122">FX5+1</f>
        <v>46217</v>
      </c>
      <c r="FZ5" s="42">
        <f t="shared" ref="FZ5" si="123">FY5+1</f>
        <v>46218</v>
      </c>
      <c r="GA5" s="42">
        <f t="shared" ref="GA5" si="124">FZ5+1</f>
        <v>46219</v>
      </c>
      <c r="GB5" s="42">
        <f t="shared" ref="GB5" si="125">GA5+1</f>
        <v>46220</v>
      </c>
      <c r="GC5" s="42">
        <f t="shared" ref="GC5" si="126">GB5+1</f>
        <v>46221</v>
      </c>
      <c r="GD5" s="42">
        <f t="shared" ref="GD5" si="127">GC5+1</f>
        <v>46222</v>
      </c>
      <c r="GE5" s="42">
        <f t="shared" ref="GE5" si="128">GD5+1</f>
        <v>46223</v>
      </c>
      <c r="GF5" s="42">
        <f t="shared" ref="GF5" si="129">GE5+1</f>
        <v>46224</v>
      </c>
      <c r="GG5" s="42">
        <f t="shared" ref="GG5" si="130">GF5+1</f>
        <v>46225</v>
      </c>
      <c r="GH5" s="42">
        <f t="shared" ref="GH5" si="131">GG5+1</f>
        <v>46226</v>
      </c>
      <c r="GI5" s="42">
        <f t="shared" ref="GI5" si="132">GH5+1</f>
        <v>46227</v>
      </c>
      <c r="GJ5" s="42">
        <f t="shared" ref="GJ5" si="133">GI5+1</f>
        <v>46228</v>
      </c>
      <c r="GK5" s="42">
        <f t="shared" ref="GK5" si="134">GJ5+1</f>
        <v>46229</v>
      </c>
      <c r="GL5" s="42">
        <f t="shared" ref="GL5" si="135">GK5+1</f>
        <v>46230</v>
      </c>
      <c r="GM5" s="42">
        <f t="shared" ref="GM5" si="136">GL5+1</f>
        <v>46231</v>
      </c>
      <c r="GN5" s="42">
        <f t="shared" ref="GN5" si="137">GM5+1</f>
        <v>46232</v>
      </c>
      <c r="GO5" s="42">
        <f t="shared" ref="GO5" si="138">GN5+1</f>
        <v>46233</v>
      </c>
      <c r="GP5" s="42">
        <f t="shared" ref="GP5" si="139">GO5+1</f>
        <v>46234</v>
      </c>
      <c r="GQ5" s="42">
        <f t="shared" ref="GQ5" si="140">GP5+1</f>
        <v>46235</v>
      </c>
      <c r="GR5" s="42">
        <f t="shared" ref="GR5" si="141">GQ5+1</f>
        <v>46236</v>
      </c>
      <c r="GS5" s="42">
        <f t="shared" ref="GS5" si="142">GR5+1</f>
        <v>46237</v>
      </c>
      <c r="GT5" s="42">
        <f t="shared" ref="GT5" si="143">GS5+1</f>
        <v>46238</v>
      </c>
      <c r="GU5" s="42">
        <f t="shared" ref="GU5" si="144">GT5+1</f>
        <v>46239</v>
      </c>
      <c r="GV5" s="42">
        <f t="shared" ref="GV5" si="145">GU5+1</f>
        <v>46240</v>
      </c>
      <c r="GW5" s="42">
        <f t="shared" ref="GW5" si="146">GV5+1</f>
        <v>46241</v>
      </c>
      <c r="GX5" s="42">
        <f t="shared" ref="GX5" si="147">GW5+1</f>
        <v>46242</v>
      </c>
      <c r="GY5" s="42">
        <f t="shared" ref="GY5" si="148">GX5+1</f>
        <v>46243</v>
      </c>
      <c r="GZ5" s="42">
        <f t="shared" ref="GZ5" si="149">GY5+1</f>
        <v>46244</v>
      </c>
      <c r="HA5" s="42">
        <f t="shared" ref="HA5" si="150">GZ5+1</f>
        <v>46245</v>
      </c>
      <c r="HB5" s="42">
        <f t="shared" ref="HB5" si="151">HA5+1</f>
        <v>46246</v>
      </c>
      <c r="HC5" s="42">
        <f t="shared" ref="HC5" si="152">HB5+1</f>
        <v>46247</v>
      </c>
      <c r="HD5" s="42">
        <f t="shared" ref="HD5" si="153">HC5+1</f>
        <v>46248</v>
      </c>
      <c r="HE5" s="42">
        <f t="shared" ref="HE5" si="154">HD5+1</f>
        <v>46249</v>
      </c>
      <c r="HF5" s="42">
        <f t="shared" ref="HF5" si="155">HE5+1</f>
        <v>46250</v>
      </c>
      <c r="HG5" s="42">
        <f t="shared" ref="HG5" si="156">HF5+1</f>
        <v>46251</v>
      </c>
      <c r="HH5" s="42">
        <f t="shared" ref="HH5" si="157">HG5+1</f>
        <v>46252</v>
      </c>
      <c r="HI5" s="42">
        <f t="shared" ref="HI5" si="158">HH5+1</f>
        <v>46253</v>
      </c>
      <c r="HJ5" s="42">
        <f t="shared" ref="HJ5" si="159">HI5+1</f>
        <v>46254</v>
      </c>
      <c r="HK5" s="42">
        <f t="shared" ref="HK5" si="160">HJ5+1</f>
        <v>46255</v>
      </c>
      <c r="HL5" s="42">
        <f t="shared" ref="HL5" si="161">HK5+1</f>
        <v>46256</v>
      </c>
      <c r="HM5" s="42">
        <f t="shared" ref="HM5" si="162">HL5+1</f>
        <v>46257</v>
      </c>
      <c r="HN5" s="42">
        <f t="shared" ref="HN5" si="163">HM5+1</f>
        <v>46258</v>
      </c>
      <c r="HO5" s="42">
        <f t="shared" ref="HO5" si="164">HN5+1</f>
        <v>46259</v>
      </c>
      <c r="HP5" s="42">
        <f t="shared" ref="HP5" si="165">HO5+1</f>
        <v>46260</v>
      </c>
      <c r="HQ5" s="42">
        <f t="shared" ref="HQ5" si="166">HP5+1</f>
        <v>46261</v>
      </c>
      <c r="HR5" s="42">
        <f t="shared" ref="HR5" si="167">HQ5+1</f>
        <v>46262</v>
      </c>
      <c r="HS5" s="42">
        <f t="shared" ref="HS5" si="168">HR5+1</f>
        <v>46263</v>
      </c>
      <c r="HT5" s="42">
        <f t="shared" ref="HT5" si="169">HS5+1</f>
        <v>46264</v>
      </c>
      <c r="HU5" s="42">
        <f t="shared" ref="HU5" si="170">HT5+1</f>
        <v>46265</v>
      </c>
      <c r="HV5" s="42">
        <f t="shared" ref="HV5" si="171">HU5+1</f>
        <v>46266</v>
      </c>
      <c r="HW5" s="42">
        <f t="shared" ref="HW5" si="172">HV5+1</f>
        <v>46267</v>
      </c>
      <c r="HX5" s="42">
        <f t="shared" ref="HX5" si="173">HW5+1</f>
        <v>46268</v>
      </c>
      <c r="HY5" s="42">
        <f t="shared" ref="HY5" si="174">HX5+1</f>
        <v>46269</v>
      </c>
      <c r="HZ5" s="42">
        <f t="shared" ref="HZ5" si="175">HY5+1</f>
        <v>46270</v>
      </c>
      <c r="IA5" s="42">
        <f t="shared" ref="IA5" si="176">HZ5+1</f>
        <v>46271</v>
      </c>
      <c r="IB5" s="42">
        <f t="shared" ref="IB5" si="177">IA5+1</f>
        <v>46272</v>
      </c>
      <c r="IC5" s="42">
        <f t="shared" ref="IC5" si="178">IB5+1</f>
        <v>46273</v>
      </c>
      <c r="ID5" s="42">
        <f t="shared" ref="ID5" si="179">IC5+1</f>
        <v>46274</v>
      </c>
      <c r="IE5" s="42">
        <f t="shared" ref="IE5" si="180">ID5+1</f>
        <v>46275</v>
      </c>
      <c r="IF5" s="42">
        <f t="shared" ref="IF5" si="181">IE5+1</f>
        <v>46276</v>
      </c>
      <c r="IG5" s="42">
        <f t="shared" ref="IG5" si="182">IF5+1</f>
        <v>46277</v>
      </c>
      <c r="IH5" s="42">
        <f t="shared" ref="IH5" si="183">IG5+1</f>
        <v>46278</v>
      </c>
      <c r="II5" s="42">
        <f t="shared" ref="II5" si="184">IH5+1</f>
        <v>46279</v>
      </c>
      <c r="IJ5" s="42">
        <f t="shared" ref="IJ5" si="185">II5+1</f>
        <v>46280</v>
      </c>
      <c r="IK5" s="42">
        <f t="shared" ref="IK5" si="186">IJ5+1</f>
        <v>46281</v>
      </c>
      <c r="IL5" s="42">
        <f t="shared" ref="IL5" si="187">IK5+1</f>
        <v>46282</v>
      </c>
      <c r="IM5" s="42">
        <f t="shared" ref="IM5" si="188">IL5+1</f>
        <v>46283</v>
      </c>
      <c r="IN5" s="42">
        <f t="shared" ref="IN5" si="189">IM5+1</f>
        <v>46284</v>
      </c>
      <c r="IO5" s="42">
        <f t="shared" ref="IO5" si="190">IN5+1</f>
        <v>46285</v>
      </c>
      <c r="IP5" s="42">
        <f t="shared" ref="IP5" si="191">IO5+1</f>
        <v>46286</v>
      </c>
      <c r="IQ5" s="42">
        <f t="shared" ref="IQ5" si="192">IP5+1</f>
        <v>46287</v>
      </c>
      <c r="IR5" s="42">
        <f t="shared" ref="IR5" si="193">IQ5+1</f>
        <v>46288</v>
      </c>
      <c r="IS5" s="42">
        <f t="shared" ref="IS5" si="194">IR5+1</f>
        <v>46289</v>
      </c>
      <c r="IT5" s="42">
        <f t="shared" ref="IT5" si="195">IS5+1</f>
        <v>46290</v>
      </c>
      <c r="IU5" s="42">
        <f t="shared" ref="IU5" si="196">IT5+1</f>
        <v>46291</v>
      </c>
      <c r="IV5" s="42">
        <f t="shared" ref="IV5" si="197">IU5+1</f>
        <v>46292</v>
      </c>
      <c r="IW5" s="42">
        <f t="shared" ref="IW5" si="198">IV5+1</f>
        <v>46293</v>
      </c>
      <c r="IX5" s="42">
        <f t="shared" ref="IX5" si="199">IW5+1</f>
        <v>46294</v>
      </c>
      <c r="IY5" s="42">
        <f t="shared" ref="IY5" si="200">IX5+1</f>
        <v>46295</v>
      </c>
      <c r="IZ5" s="42">
        <f t="shared" ref="IZ5" si="201">IY5+1</f>
        <v>46296</v>
      </c>
      <c r="JA5" s="42">
        <f t="shared" ref="JA5" si="202">IZ5+1</f>
        <v>46297</v>
      </c>
      <c r="JB5" s="42">
        <f t="shared" ref="JB5" si="203">JA5+1</f>
        <v>46298</v>
      </c>
      <c r="JC5" s="42">
        <f t="shared" ref="JC5" si="204">JB5+1</f>
        <v>46299</v>
      </c>
      <c r="JD5" s="42">
        <f t="shared" ref="JD5" si="205">JC5+1</f>
        <v>46300</v>
      </c>
      <c r="JE5" s="42">
        <f t="shared" ref="JE5" si="206">JD5+1</f>
        <v>46301</v>
      </c>
      <c r="JF5" s="42">
        <f t="shared" ref="JF5" si="207">JE5+1</f>
        <v>46302</v>
      </c>
      <c r="JG5" s="42">
        <f t="shared" ref="JG5" si="208">JF5+1</f>
        <v>46303</v>
      </c>
      <c r="JH5" s="42">
        <f t="shared" ref="JH5" si="209">JG5+1</f>
        <v>46304</v>
      </c>
      <c r="JI5" s="42">
        <f t="shared" ref="JI5" si="210">JH5+1</f>
        <v>46305</v>
      </c>
      <c r="JJ5" s="42">
        <f t="shared" ref="JJ5" si="211">JI5+1</f>
        <v>46306</v>
      </c>
      <c r="JK5" s="42">
        <f t="shared" ref="JK5" si="212">JJ5+1</f>
        <v>46307</v>
      </c>
      <c r="JL5" s="42">
        <f t="shared" ref="JL5" si="213">JK5+1</f>
        <v>46308</v>
      </c>
      <c r="JM5" s="42">
        <f t="shared" ref="JM5" si="214">JL5+1</f>
        <v>46309</v>
      </c>
      <c r="JN5" s="42">
        <f t="shared" ref="JN5" si="215">JM5+1</f>
        <v>46310</v>
      </c>
      <c r="JO5" s="42">
        <f t="shared" ref="JO5" si="216">JN5+1</f>
        <v>46311</v>
      </c>
      <c r="JP5" s="42">
        <f t="shared" ref="JP5" si="217">JO5+1</f>
        <v>46312</v>
      </c>
      <c r="JQ5" s="42">
        <f t="shared" ref="JQ5" si="218">JP5+1</f>
        <v>46313</v>
      </c>
      <c r="JR5" s="42">
        <f t="shared" ref="JR5" si="219">JQ5+1</f>
        <v>46314</v>
      </c>
      <c r="JS5" s="42">
        <f t="shared" ref="JS5" si="220">JR5+1</f>
        <v>46315</v>
      </c>
      <c r="JT5" s="42">
        <f t="shared" ref="JT5" si="221">JS5+1</f>
        <v>46316</v>
      </c>
      <c r="JU5" s="42">
        <f t="shared" ref="JU5" si="222">JT5+1</f>
        <v>46317</v>
      </c>
      <c r="JV5" s="42">
        <f t="shared" ref="JV5" si="223">JU5+1</f>
        <v>46318</v>
      </c>
      <c r="JW5" s="42">
        <f t="shared" ref="JW5" si="224">JV5+1</f>
        <v>46319</v>
      </c>
      <c r="JX5" s="42">
        <f t="shared" ref="JX5" si="225">JW5+1</f>
        <v>46320</v>
      </c>
      <c r="JY5" s="42">
        <f t="shared" ref="JY5" si="226">JX5+1</f>
        <v>46321</v>
      </c>
      <c r="JZ5" s="42">
        <f t="shared" ref="JZ5" si="227">JY5+1</f>
        <v>46322</v>
      </c>
      <c r="KA5" s="42">
        <f t="shared" ref="KA5" si="228">JZ5+1</f>
        <v>46323</v>
      </c>
      <c r="KB5" s="42">
        <f t="shared" ref="KB5" si="229">KA5+1</f>
        <v>46324</v>
      </c>
      <c r="KC5" s="42">
        <f t="shared" ref="KC5" si="230">KB5+1</f>
        <v>46325</v>
      </c>
      <c r="KD5" s="42">
        <f t="shared" ref="KD5" si="231">KC5+1</f>
        <v>46326</v>
      </c>
      <c r="KE5" s="42">
        <f t="shared" ref="KE5" si="232">KD5+1</f>
        <v>46327</v>
      </c>
      <c r="KF5" s="42">
        <f t="shared" ref="KF5" si="233">KE5+1</f>
        <v>46328</v>
      </c>
      <c r="KG5" s="42">
        <f t="shared" ref="KG5" si="234">KF5+1</f>
        <v>46329</v>
      </c>
      <c r="KH5" s="42">
        <f t="shared" ref="KH5" si="235">KG5+1</f>
        <v>46330</v>
      </c>
      <c r="KI5" s="42">
        <f t="shared" ref="KI5" si="236">KH5+1</f>
        <v>46331</v>
      </c>
      <c r="KJ5" s="42">
        <f t="shared" ref="KJ5" si="237">KI5+1</f>
        <v>46332</v>
      </c>
      <c r="KK5" s="42">
        <f t="shared" ref="KK5" si="238">KJ5+1</f>
        <v>46333</v>
      </c>
      <c r="KL5" s="42">
        <f t="shared" ref="KL5" si="239">KK5+1</f>
        <v>46334</v>
      </c>
      <c r="KM5" s="42">
        <f t="shared" ref="KM5" si="240">KL5+1</f>
        <v>46335</v>
      </c>
      <c r="KN5" s="42">
        <f t="shared" ref="KN5" si="241">KM5+1</f>
        <v>46336</v>
      </c>
      <c r="KO5" s="42">
        <f t="shared" ref="KO5" si="242">KN5+1</f>
        <v>46337</v>
      </c>
      <c r="KP5" s="42">
        <f t="shared" ref="KP5" si="243">KO5+1</f>
        <v>46338</v>
      </c>
      <c r="KQ5" s="42">
        <f t="shared" ref="KQ5" si="244">KP5+1</f>
        <v>46339</v>
      </c>
      <c r="KR5" s="42">
        <f t="shared" ref="KR5" si="245">KQ5+1</f>
        <v>46340</v>
      </c>
      <c r="KS5" s="42">
        <f t="shared" ref="KS5" si="246">KR5+1</f>
        <v>46341</v>
      </c>
      <c r="KT5" s="42">
        <f t="shared" ref="KT5" si="247">KS5+1</f>
        <v>46342</v>
      </c>
      <c r="KU5" s="42">
        <f t="shared" ref="KU5" si="248">KT5+1</f>
        <v>46343</v>
      </c>
      <c r="KV5" s="42">
        <f t="shared" ref="KV5" si="249">KU5+1</f>
        <v>46344</v>
      </c>
      <c r="KW5" s="42">
        <f t="shared" ref="KW5" si="250">KV5+1</f>
        <v>46345</v>
      </c>
      <c r="KX5" s="42">
        <f t="shared" ref="KX5" si="251">KW5+1</f>
        <v>46346</v>
      </c>
      <c r="KY5" s="42">
        <f t="shared" ref="KY5" si="252">KX5+1</f>
        <v>46347</v>
      </c>
      <c r="KZ5" s="42">
        <f t="shared" ref="KZ5" si="253">KY5+1</f>
        <v>46348</v>
      </c>
      <c r="LA5" s="42">
        <f t="shared" ref="LA5" si="254">KZ5+1</f>
        <v>46349</v>
      </c>
      <c r="LB5" s="42">
        <f t="shared" ref="LB5" si="255">LA5+1</f>
        <v>46350</v>
      </c>
      <c r="LC5" s="42">
        <f t="shared" ref="LC5" si="256">LB5+1</f>
        <v>46351</v>
      </c>
      <c r="LD5" s="42">
        <f t="shared" ref="LD5" si="257">LC5+1</f>
        <v>46352</v>
      </c>
      <c r="LE5" s="42">
        <f t="shared" ref="LE5" si="258">LD5+1</f>
        <v>46353</v>
      </c>
      <c r="LF5" s="42">
        <f t="shared" ref="LF5" si="259">LE5+1</f>
        <v>46354</v>
      </c>
      <c r="LG5" s="42">
        <f t="shared" ref="LG5" si="260">LF5+1</f>
        <v>46355</v>
      </c>
      <c r="LH5" s="42">
        <f t="shared" ref="LH5" si="261">LG5+1</f>
        <v>46356</v>
      </c>
      <c r="LI5" s="42">
        <f t="shared" ref="LI5" si="262">LH5+1</f>
        <v>46357</v>
      </c>
      <c r="LJ5" s="42">
        <f t="shared" ref="LJ5" si="263">LI5+1</f>
        <v>46358</v>
      </c>
      <c r="LK5" s="42">
        <f t="shared" ref="LK5" si="264">LJ5+1</f>
        <v>46359</v>
      </c>
      <c r="LL5" s="42">
        <f t="shared" ref="LL5" si="265">LK5+1</f>
        <v>46360</v>
      </c>
      <c r="LM5" s="42">
        <f t="shared" ref="LM5" si="266">LL5+1</f>
        <v>46361</v>
      </c>
      <c r="LN5" s="42">
        <f t="shared" ref="LN5" si="267">LM5+1</f>
        <v>46362</v>
      </c>
      <c r="LO5" s="42">
        <f t="shared" ref="LO5" si="268">LN5+1</f>
        <v>46363</v>
      </c>
      <c r="LP5" s="42">
        <f t="shared" ref="LP5" si="269">LO5+1</f>
        <v>46364</v>
      </c>
      <c r="LQ5" s="42">
        <f t="shared" ref="LQ5" si="270">LP5+1</f>
        <v>46365</v>
      </c>
      <c r="LR5" s="42">
        <f t="shared" ref="LR5" si="271">LQ5+1</f>
        <v>46366</v>
      </c>
      <c r="LS5" s="42">
        <f t="shared" ref="LS5" si="272">LR5+1</f>
        <v>46367</v>
      </c>
      <c r="LT5" s="42">
        <f t="shared" ref="LT5" si="273">LS5+1</f>
        <v>46368</v>
      </c>
      <c r="LU5" s="42">
        <f t="shared" ref="LU5" si="274">LT5+1</f>
        <v>46369</v>
      </c>
      <c r="LV5" s="42">
        <f t="shared" ref="LV5" si="275">LU5+1</f>
        <v>46370</v>
      </c>
      <c r="LW5" s="42">
        <f t="shared" ref="LW5" si="276">LV5+1</f>
        <v>46371</v>
      </c>
      <c r="LX5" s="42">
        <f t="shared" ref="LX5" si="277">LW5+1</f>
        <v>46372</v>
      </c>
      <c r="LY5" s="42">
        <f t="shared" ref="LY5" si="278">LX5+1</f>
        <v>46373</v>
      </c>
      <c r="LZ5" s="42">
        <f t="shared" ref="LZ5" si="279">LY5+1</f>
        <v>46374</v>
      </c>
      <c r="MA5" s="42">
        <f t="shared" ref="MA5" si="280">LZ5+1</f>
        <v>46375</v>
      </c>
      <c r="MB5" s="42">
        <f t="shared" ref="MB5" si="281">MA5+1</f>
        <v>46376</v>
      </c>
      <c r="MC5" s="42">
        <f t="shared" ref="MC5" si="282">MB5+1</f>
        <v>46377</v>
      </c>
      <c r="MD5" s="42">
        <f t="shared" ref="MD5" si="283">MC5+1</f>
        <v>46378</v>
      </c>
      <c r="ME5" s="42">
        <f t="shared" ref="ME5" si="284">MD5+1</f>
        <v>46379</v>
      </c>
      <c r="MF5" s="42">
        <f t="shared" ref="MF5" si="285">ME5+1</f>
        <v>46380</v>
      </c>
      <c r="MG5" s="42">
        <f t="shared" ref="MG5" si="286">MF5+1</f>
        <v>46381</v>
      </c>
      <c r="MH5" s="42">
        <f t="shared" ref="MH5" si="287">MG5+1</f>
        <v>46382</v>
      </c>
      <c r="MI5" s="42">
        <f t="shared" ref="MI5" si="288">MH5+1</f>
        <v>46383</v>
      </c>
      <c r="MJ5" s="42">
        <f t="shared" ref="MJ5" si="289">MI5+1</f>
        <v>46384</v>
      </c>
      <c r="MK5" s="42">
        <f t="shared" ref="MK5" si="290">MJ5+1</f>
        <v>46385</v>
      </c>
      <c r="ML5" s="42">
        <f t="shared" ref="ML5" si="291">MK5+1</f>
        <v>46386</v>
      </c>
      <c r="MM5" s="42">
        <f t="shared" ref="MM5" si="292">ML5+1</f>
        <v>46387</v>
      </c>
      <c r="MN5" s="42">
        <f t="shared" ref="MN5" si="293">MM5+1</f>
        <v>46388</v>
      </c>
      <c r="MO5" s="42">
        <f t="shared" ref="MO5" si="294">MN5+1</f>
        <v>46389</v>
      </c>
      <c r="MP5" s="42">
        <f t="shared" ref="MP5" si="295">MO5+1</f>
        <v>46390</v>
      </c>
      <c r="MQ5" s="42">
        <f t="shared" ref="MQ5" si="296">MP5+1</f>
        <v>46391</v>
      </c>
      <c r="MR5" s="42">
        <f t="shared" ref="MR5" si="297">MQ5+1</f>
        <v>46392</v>
      </c>
      <c r="MS5" s="42">
        <f t="shared" ref="MS5" si="298">MR5+1</f>
        <v>46393</v>
      </c>
      <c r="MT5" s="42">
        <f t="shared" ref="MT5" si="299">MS5+1</f>
        <v>46394</v>
      </c>
      <c r="MU5" s="42">
        <f t="shared" ref="MU5" si="300">MT5+1</f>
        <v>46395</v>
      </c>
      <c r="MV5" s="42">
        <f t="shared" ref="MV5" si="301">MU5+1</f>
        <v>46396</v>
      </c>
      <c r="MW5" s="42">
        <f t="shared" ref="MW5" si="302">MV5+1</f>
        <v>46397</v>
      </c>
    </row>
    <row r="6" spans="1:361" ht="30" customHeight="1" thickBot="1" x14ac:dyDescent="0.3">
      <c r="A6" s="29" t="s">
        <v>4</v>
      </c>
      <c r="B6" s="7" t="s">
        <v>73</v>
      </c>
      <c r="C6" s="54" t="s">
        <v>36</v>
      </c>
      <c r="D6" s="55" t="s">
        <v>53</v>
      </c>
      <c r="E6" s="8" t="s">
        <v>12</v>
      </c>
      <c r="F6" s="8" t="s">
        <v>13</v>
      </c>
      <c r="G6" s="8" t="s">
        <v>14</v>
      </c>
      <c r="H6" s="8" t="s">
        <v>54</v>
      </c>
      <c r="I6" s="8" t="s">
        <v>80</v>
      </c>
      <c r="J6" s="8"/>
      <c r="K6" s="8" t="s">
        <v>15</v>
      </c>
      <c r="L6" s="9" t="str">
        <f>LEFT(TEXT(L5,"ddd"),1)</f>
        <v>l</v>
      </c>
      <c r="M6" s="9" t="str">
        <f t="shared" ref="M6:AU6" si="303">LEFT(TEXT(M5,"ddd"),1)</f>
        <v>m</v>
      </c>
      <c r="N6" s="9" t="str">
        <f t="shared" si="303"/>
        <v>m</v>
      </c>
      <c r="O6" s="9" t="str">
        <f t="shared" si="303"/>
        <v>j</v>
      </c>
      <c r="P6" s="9" t="str">
        <f t="shared" si="303"/>
        <v>v</v>
      </c>
      <c r="Q6" s="9" t="str">
        <f t="shared" si="303"/>
        <v>s</v>
      </c>
      <c r="R6" s="9" t="str">
        <f t="shared" si="303"/>
        <v>d</v>
      </c>
      <c r="S6" s="9" t="str">
        <f t="shared" si="303"/>
        <v>l</v>
      </c>
      <c r="T6" s="9" t="str">
        <f t="shared" si="303"/>
        <v>m</v>
      </c>
      <c r="U6" s="9" t="str">
        <f t="shared" si="303"/>
        <v>m</v>
      </c>
      <c r="V6" s="9" t="str">
        <f t="shared" si="303"/>
        <v>j</v>
      </c>
      <c r="W6" s="9" t="str">
        <f t="shared" si="303"/>
        <v>v</v>
      </c>
      <c r="X6" s="9" t="str">
        <f t="shared" si="303"/>
        <v>s</v>
      </c>
      <c r="Y6" s="9" t="str">
        <f t="shared" si="303"/>
        <v>d</v>
      </c>
      <c r="Z6" s="9" t="str">
        <f t="shared" si="303"/>
        <v>l</v>
      </c>
      <c r="AA6" s="9" t="str">
        <f t="shared" si="303"/>
        <v>m</v>
      </c>
      <c r="AB6" s="9" t="str">
        <f t="shared" si="303"/>
        <v>m</v>
      </c>
      <c r="AC6" s="9" t="str">
        <f t="shared" si="303"/>
        <v>j</v>
      </c>
      <c r="AD6" s="9" t="str">
        <f t="shared" si="303"/>
        <v>v</v>
      </c>
      <c r="AE6" s="9" t="str">
        <f t="shared" si="303"/>
        <v>s</v>
      </c>
      <c r="AF6" s="9" t="str">
        <f t="shared" si="303"/>
        <v>d</v>
      </c>
      <c r="AG6" s="9" t="str">
        <f t="shared" si="303"/>
        <v>l</v>
      </c>
      <c r="AH6" s="9" t="str">
        <f t="shared" si="303"/>
        <v>m</v>
      </c>
      <c r="AI6" s="9" t="str">
        <f t="shared" si="303"/>
        <v>m</v>
      </c>
      <c r="AJ6" s="9" t="str">
        <f t="shared" si="303"/>
        <v>j</v>
      </c>
      <c r="AK6" s="9" t="str">
        <f t="shared" si="303"/>
        <v>v</v>
      </c>
      <c r="AL6" s="9" t="str">
        <f t="shared" si="303"/>
        <v>s</v>
      </c>
      <c r="AM6" s="9" t="str">
        <f t="shared" si="303"/>
        <v>d</v>
      </c>
      <c r="AN6" s="9" t="str">
        <f t="shared" si="303"/>
        <v>l</v>
      </c>
      <c r="AO6" s="9" t="str">
        <f t="shared" si="303"/>
        <v>m</v>
      </c>
      <c r="AP6" s="9" t="str">
        <f t="shared" si="303"/>
        <v>m</v>
      </c>
      <c r="AQ6" s="9" t="str">
        <f t="shared" si="303"/>
        <v>j</v>
      </c>
      <c r="AR6" s="9" t="str">
        <f t="shared" si="303"/>
        <v>v</v>
      </c>
      <c r="AS6" s="9" t="str">
        <f t="shared" si="303"/>
        <v>s</v>
      </c>
      <c r="AT6" s="9" t="str">
        <f t="shared" si="303"/>
        <v>d</v>
      </c>
      <c r="AU6" s="9" t="str">
        <f t="shared" si="303"/>
        <v>l</v>
      </c>
      <c r="AV6" s="9" t="str">
        <f t="shared" ref="AV6:CJ6" si="304">LEFT(TEXT(AV5,"ddd"),1)</f>
        <v>m</v>
      </c>
      <c r="AW6" s="9" t="str">
        <f t="shared" si="304"/>
        <v>m</v>
      </c>
      <c r="AX6" s="9" t="str">
        <f t="shared" si="304"/>
        <v>j</v>
      </c>
      <c r="AY6" s="9" t="str">
        <f t="shared" si="304"/>
        <v>v</v>
      </c>
      <c r="AZ6" s="9" t="str">
        <f t="shared" si="304"/>
        <v>s</v>
      </c>
      <c r="BA6" s="9" t="str">
        <f t="shared" si="304"/>
        <v>d</v>
      </c>
      <c r="BB6" s="9" t="str">
        <f t="shared" si="304"/>
        <v>l</v>
      </c>
      <c r="BC6" s="9" t="str">
        <f t="shared" si="304"/>
        <v>m</v>
      </c>
      <c r="BD6" s="9" t="str">
        <f t="shared" si="304"/>
        <v>m</v>
      </c>
      <c r="BE6" s="9" t="str">
        <f t="shared" si="304"/>
        <v>j</v>
      </c>
      <c r="BF6" s="9" t="str">
        <f t="shared" si="304"/>
        <v>v</v>
      </c>
      <c r="BG6" s="9" t="str">
        <f t="shared" si="304"/>
        <v>s</v>
      </c>
      <c r="BH6" s="9" t="str">
        <f t="shared" si="304"/>
        <v>d</v>
      </c>
      <c r="BI6" s="9" t="str">
        <f t="shared" ref="BI6:BO6" si="305">LEFT(TEXT(BI5,"ddd"),1)</f>
        <v>l</v>
      </c>
      <c r="BJ6" s="9" t="str">
        <f t="shared" si="305"/>
        <v>m</v>
      </c>
      <c r="BK6" s="9" t="str">
        <f t="shared" si="305"/>
        <v>m</v>
      </c>
      <c r="BL6" s="9" t="str">
        <f t="shared" si="305"/>
        <v>j</v>
      </c>
      <c r="BM6" s="9" t="str">
        <f t="shared" si="305"/>
        <v>v</v>
      </c>
      <c r="BN6" s="9" t="str">
        <f t="shared" si="305"/>
        <v>s</v>
      </c>
      <c r="BO6" s="9" t="str">
        <f t="shared" si="305"/>
        <v>d</v>
      </c>
      <c r="BP6" s="9" t="s">
        <v>83</v>
      </c>
      <c r="BQ6" s="9" t="s">
        <v>84</v>
      </c>
      <c r="BR6" s="9" t="s">
        <v>84</v>
      </c>
      <c r="BS6" s="9" t="s">
        <v>85</v>
      </c>
      <c r="BT6" s="9" t="s">
        <v>86</v>
      </c>
      <c r="BU6" s="9" t="str">
        <f t="shared" ref="BU6:CC6" si="306">LEFT(TEXT(BU5,"ddd"),1)</f>
        <v>s</v>
      </c>
      <c r="BV6" s="9" t="str">
        <f t="shared" si="306"/>
        <v>d</v>
      </c>
      <c r="BW6" s="9" t="s">
        <v>83</v>
      </c>
      <c r="BX6" s="9" t="s">
        <v>84</v>
      </c>
      <c r="BY6" s="9" t="s">
        <v>84</v>
      </c>
      <c r="BZ6" s="9" t="s">
        <v>85</v>
      </c>
      <c r="CA6" s="9" t="s">
        <v>86</v>
      </c>
      <c r="CB6" s="9" t="str">
        <f t="shared" si="306"/>
        <v>s</v>
      </c>
      <c r="CC6" s="9" t="str">
        <f t="shared" si="306"/>
        <v>d</v>
      </c>
      <c r="CD6" s="9" t="str">
        <f t="shared" si="304"/>
        <v>l</v>
      </c>
      <c r="CE6" s="9" t="str">
        <f t="shared" si="304"/>
        <v>m</v>
      </c>
      <c r="CF6" s="9" t="str">
        <f t="shared" si="304"/>
        <v>m</v>
      </c>
      <c r="CG6" s="9" t="str">
        <f t="shared" si="304"/>
        <v>j</v>
      </c>
      <c r="CH6" s="9" t="str">
        <f t="shared" si="304"/>
        <v>v</v>
      </c>
      <c r="CI6" s="9" t="str">
        <f t="shared" si="304"/>
        <v>s</v>
      </c>
      <c r="CJ6" s="9" t="str">
        <f t="shared" si="304"/>
        <v>d</v>
      </c>
      <c r="CK6" s="9" t="str">
        <f t="shared" ref="CK6:CQ6" si="307">LEFT(TEXT(CK5,"ddd"),1)</f>
        <v>l</v>
      </c>
      <c r="CL6" s="9" t="str">
        <f t="shared" si="307"/>
        <v>m</v>
      </c>
      <c r="CM6" s="9" t="str">
        <f t="shared" si="307"/>
        <v>m</v>
      </c>
      <c r="CN6" s="9" t="str">
        <f t="shared" si="307"/>
        <v>j</v>
      </c>
      <c r="CO6" s="9" t="str">
        <f t="shared" si="307"/>
        <v>v</v>
      </c>
      <c r="CP6" s="9" t="str">
        <f t="shared" si="307"/>
        <v>s</v>
      </c>
      <c r="CQ6" s="9" t="str">
        <f t="shared" si="307"/>
        <v>d</v>
      </c>
      <c r="CR6" s="9" t="str">
        <f t="shared" ref="CR6:CX6" si="308">LEFT(TEXT(CR5,"ddd"),1)</f>
        <v>l</v>
      </c>
      <c r="CS6" s="9" t="str">
        <f t="shared" si="308"/>
        <v>m</v>
      </c>
      <c r="CT6" s="9" t="str">
        <f t="shared" si="308"/>
        <v>m</v>
      </c>
      <c r="CU6" s="9" t="str">
        <f t="shared" si="308"/>
        <v>j</v>
      </c>
      <c r="CV6" s="9" t="str">
        <f t="shared" si="308"/>
        <v>v</v>
      </c>
      <c r="CW6" s="9" t="str">
        <f t="shared" si="308"/>
        <v>s</v>
      </c>
      <c r="CX6" s="9" t="str">
        <f t="shared" si="308"/>
        <v>d</v>
      </c>
      <c r="CY6" s="9" t="str">
        <f t="shared" ref="CY6:DE6" si="309">LEFT(TEXT(CY5,"ddd"),1)</f>
        <v>l</v>
      </c>
      <c r="CZ6" s="9" t="str">
        <f t="shared" si="309"/>
        <v>m</v>
      </c>
      <c r="DA6" s="9" t="str">
        <f t="shared" si="309"/>
        <v>m</v>
      </c>
      <c r="DB6" s="9" t="str">
        <f t="shared" si="309"/>
        <v>j</v>
      </c>
      <c r="DC6" s="9" t="str">
        <f t="shared" si="309"/>
        <v>v</v>
      </c>
      <c r="DD6" s="9" t="str">
        <f t="shared" si="309"/>
        <v>s</v>
      </c>
      <c r="DE6" s="9" t="str">
        <f t="shared" si="309"/>
        <v>d</v>
      </c>
      <c r="DF6" s="9" t="str">
        <f t="shared" ref="DF6:DL6" si="310">LEFT(TEXT(DF5,"ddd"),1)</f>
        <v>l</v>
      </c>
      <c r="DG6" s="9" t="str">
        <f t="shared" si="310"/>
        <v>m</v>
      </c>
      <c r="DH6" s="9" t="str">
        <f t="shared" si="310"/>
        <v>m</v>
      </c>
      <c r="DI6" s="9" t="str">
        <f t="shared" si="310"/>
        <v>j</v>
      </c>
      <c r="DJ6" s="9" t="str">
        <f t="shared" si="310"/>
        <v>v</v>
      </c>
      <c r="DK6" s="9" t="str">
        <f t="shared" si="310"/>
        <v>s</v>
      </c>
      <c r="DL6" s="9" t="str">
        <f t="shared" si="310"/>
        <v>d</v>
      </c>
      <c r="DM6" s="9" t="str">
        <f t="shared" ref="DM6:DS6" si="311">LEFT(TEXT(DM5,"ddd"),1)</f>
        <v>l</v>
      </c>
      <c r="DN6" s="9" t="str">
        <f t="shared" si="311"/>
        <v>m</v>
      </c>
      <c r="DO6" s="9" t="str">
        <f t="shared" si="311"/>
        <v>m</v>
      </c>
      <c r="DP6" s="9" t="str">
        <f t="shared" si="311"/>
        <v>j</v>
      </c>
      <c r="DQ6" s="9" t="str">
        <f t="shared" si="311"/>
        <v>v</v>
      </c>
      <c r="DR6" s="9" t="str">
        <f t="shared" si="311"/>
        <v>s</v>
      </c>
      <c r="DS6" s="9" t="str">
        <f t="shared" si="311"/>
        <v>d</v>
      </c>
      <c r="DT6" s="9" t="str">
        <f t="shared" ref="DT6:DZ6" si="312">LEFT(TEXT(DT5,"ddd"),1)</f>
        <v>l</v>
      </c>
      <c r="DU6" s="9" t="str">
        <f t="shared" si="312"/>
        <v>m</v>
      </c>
      <c r="DV6" s="9" t="str">
        <f t="shared" si="312"/>
        <v>m</v>
      </c>
      <c r="DW6" s="9" t="str">
        <f t="shared" si="312"/>
        <v>j</v>
      </c>
      <c r="DX6" s="9" t="str">
        <f t="shared" si="312"/>
        <v>v</v>
      </c>
      <c r="DY6" s="9" t="str">
        <f t="shared" si="312"/>
        <v>s</v>
      </c>
      <c r="DZ6" s="9" t="str">
        <f t="shared" si="312"/>
        <v>d</v>
      </c>
      <c r="EA6" s="9" t="str">
        <f t="shared" ref="EA6:EG6" si="313">LEFT(TEXT(EA5,"ddd"),1)</f>
        <v>l</v>
      </c>
      <c r="EB6" s="9" t="str">
        <f t="shared" si="313"/>
        <v>m</v>
      </c>
      <c r="EC6" s="9" t="str">
        <f t="shared" si="313"/>
        <v>m</v>
      </c>
      <c r="ED6" s="9" t="str">
        <f t="shared" si="313"/>
        <v>j</v>
      </c>
      <c r="EE6" s="9" t="str">
        <f t="shared" si="313"/>
        <v>v</v>
      </c>
      <c r="EF6" s="9" t="str">
        <f t="shared" si="313"/>
        <v>s</v>
      </c>
      <c r="EG6" s="9" t="str">
        <f t="shared" si="313"/>
        <v>d</v>
      </c>
      <c r="EH6" s="9" t="str">
        <f t="shared" ref="EH6:EN6" si="314">LEFT(TEXT(EH5,"ddd"),1)</f>
        <v>l</v>
      </c>
      <c r="EI6" s="9" t="str">
        <f t="shared" si="314"/>
        <v>m</v>
      </c>
      <c r="EJ6" s="9" t="str">
        <f t="shared" si="314"/>
        <v>m</v>
      </c>
      <c r="EK6" s="9" t="str">
        <f t="shared" si="314"/>
        <v>j</v>
      </c>
      <c r="EL6" s="9" t="str">
        <f t="shared" si="314"/>
        <v>v</v>
      </c>
      <c r="EM6" s="9" t="str">
        <f t="shared" si="314"/>
        <v>s</v>
      </c>
      <c r="EN6" s="9" t="str">
        <f t="shared" si="314"/>
        <v>d</v>
      </c>
      <c r="EO6" s="9" t="str">
        <f t="shared" ref="EO6:EU6" si="315">LEFT(TEXT(EO5,"ddd"),1)</f>
        <v>l</v>
      </c>
      <c r="EP6" s="9" t="str">
        <f t="shared" si="315"/>
        <v>m</v>
      </c>
      <c r="EQ6" s="9" t="str">
        <f t="shared" si="315"/>
        <v>m</v>
      </c>
      <c r="ER6" s="9" t="str">
        <f t="shared" si="315"/>
        <v>j</v>
      </c>
      <c r="ES6" s="9" t="str">
        <f t="shared" si="315"/>
        <v>v</v>
      </c>
      <c r="ET6" s="9" t="str">
        <f t="shared" si="315"/>
        <v>s</v>
      </c>
      <c r="EU6" s="9" t="str">
        <f t="shared" si="315"/>
        <v>d</v>
      </c>
      <c r="EV6" s="9" t="str">
        <f t="shared" ref="EV6:FB6" si="316">LEFT(TEXT(EV5,"ddd"),1)</f>
        <v>l</v>
      </c>
      <c r="EW6" s="9" t="str">
        <f t="shared" si="316"/>
        <v>m</v>
      </c>
      <c r="EX6" s="9" t="str">
        <f t="shared" si="316"/>
        <v>m</v>
      </c>
      <c r="EY6" s="9" t="str">
        <f t="shared" si="316"/>
        <v>j</v>
      </c>
      <c r="EZ6" s="9" t="str">
        <f t="shared" si="316"/>
        <v>v</v>
      </c>
      <c r="FA6" s="9" t="str">
        <f t="shared" si="316"/>
        <v>s</v>
      </c>
      <c r="FB6" s="9" t="str">
        <f t="shared" si="316"/>
        <v>d</v>
      </c>
      <c r="FC6" s="9" t="str">
        <f t="shared" ref="FC6:FI6" si="317">LEFT(TEXT(FC5,"ddd"),1)</f>
        <v>l</v>
      </c>
      <c r="FD6" s="9" t="str">
        <f t="shared" si="317"/>
        <v>m</v>
      </c>
      <c r="FE6" s="9" t="str">
        <f t="shared" si="317"/>
        <v>m</v>
      </c>
      <c r="FF6" s="9" t="str">
        <f t="shared" si="317"/>
        <v>j</v>
      </c>
      <c r="FG6" s="9" t="str">
        <f t="shared" si="317"/>
        <v>v</v>
      </c>
      <c r="FH6" s="9" t="str">
        <f t="shared" si="317"/>
        <v>s</v>
      </c>
      <c r="FI6" s="9" t="str">
        <f t="shared" si="317"/>
        <v>d</v>
      </c>
      <c r="FJ6" s="9" t="str">
        <f t="shared" ref="FJ6:FP6" si="318">LEFT(TEXT(FJ5,"ddd"),1)</f>
        <v>l</v>
      </c>
      <c r="FK6" s="9" t="str">
        <f t="shared" si="318"/>
        <v>m</v>
      </c>
      <c r="FL6" s="9" t="str">
        <f t="shared" si="318"/>
        <v>m</v>
      </c>
      <c r="FM6" s="9" t="str">
        <f t="shared" si="318"/>
        <v>j</v>
      </c>
      <c r="FN6" s="9" t="str">
        <f t="shared" si="318"/>
        <v>v</v>
      </c>
      <c r="FO6" s="9" t="str">
        <f t="shared" si="318"/>
        <v>s</v>
      </c>
      <c r="FP6" s="9" t="str">
        <f t="shared" si="318"/>
        <v>d</v>
      </c>
      <c r="FQ6" s="9" t="str">
        <f t="shared" ref="FQ6:FW6" si="319">LEFT(TEXT(FQ5,"ddd"),1)</f>
        <v>l</v>
      </c>
      <c r="FR6" s="9" t="str">
        <f t="shared" si="319"/>
        <v>m</v>
      </c>
      <c r="FS6" s="9" t="str">
        <f t="shared" si="319"/>
        <v>m</v>
      </c>
      <c r="FT6" s="9" t="str">
        <f t="shared" si="319"/>
        <v>j</v>
      </c>
      <c r="FU6" s="9" t="str">
        <f t="shared" si="319"/>
        <v>v</v>
      </c>
      <c r="FV6" s="9" t="str">
        <f t="shared" si="319"/>
        <v>s</v>
      </c>
      <c r="FW6" s="9" t="str">
        <f t="shared" si="319"/>
        <v>d</v>
      </c>
      <c r="FX6" s="9" t="str">
        <f t="shared" ref="FX6:GD6" si="320">LEFT(TEXT(FX5,"ddd"),1)</f>
        <v>l</v>
      </c>
      <c r="FY6" s="9" t="str">
        <f t="shared" si="320"/>
        <v>m</v>
      </c>
      <c r="FZ6" s="9" t="str">
        <f t="shared" si="320"/>
        <v>m</v>
      </c>
      <c r="GA6" s="9" t="str">
        <f t="shared" si="320"/>
        <v>j</v>
      </c>
      <c r="GB6" s="9" t="str">
        <f t="shared" si="320"/>
        <v>v</v>
      </c>
      <c r="GC6" s="9" t="str">
        <f t="shared" si="320"/>
        <v>s</v>
      </c>
      <c r="GD6" s="9" t="str">
        <f t="shared" si="320"/>
        <v>d</v>
      </c>
      <c r="GE6" s="9" t="str">
        <f t="shared" ref="GE6:GK6" si="321">LEFT(TEXT(GE5,"ddd"),1)</f>
        <v>l</v>
      </c>
      <c r="GF6" s="9" t="str">
        <f t="shared" si="321"/>
        <v>m</v>
      </c>
      <c r="GG6" s="9" t="str">
        <f t="shared" si="321"/>
        <v>m</v>
      </c>
      <c r="GH6" s="9" t="str">
        <f t="shared" si="321"/>
        <v>j</v>
      </c>
      <c r="GI6" s="9" t="str">
        <f t="shared" si="321"/>
        <v>v</v>
      </c>
      <c r="GJ6" s="9" t="str">
        <f t="shared" si="321"/>
        <v>s</v>
      </c>
      <c r="GK6" s="9" t="str">
        <f t="shared" si="321"/>
        <v>d</v>
      </c>
      <c r="GL6" s="9" t="str">
        <f t="shared" ref="GL6:GR6" si="322">LEFT(TEXT(GL5,"ddd"),1)</f>
        <v>l</v>
      </c>
      <c r="GM6" s="9" t="str">
        <f t="shared" si="322"/>
        <v>m</v>
      </c>
      <c r="GN6" s="9" t="str">
        <f t="shared" si="322"/>
        <v>m</v>
      </c>
      <c r="GO6" s="9" t="str">
        <f t="shared" si="322"/>
        <v>j</v>
      </c>
      <c r="GP6" s="9" t="str">
        <f t="shared" si="322"/>
        <v>v</v>
      </c>
      <c r="GQ6" s="9" t="str">
        <f t="shared" si="322"/>
        <v>s</v>
      </c>
      <c r="GR6" s="9" t="str">
        <f t="shared" si="322"/>
        <v>d</v>
      </c>
      <c r="GS6" s="9" t="str">
        <f t="shared" ref="GS6:GY6" si="323">LEFT(TEXT(GS5,"ddd"),1)</f>
        <v>l</v>
      </c>
      <c r="GT6" s="9" t="str">
        <f t="shared" si="323"/>
        <v>m</v>
      </c>
      <c r="GU6" s="9" t="str">
        <f t="shared" si="323"/>
        <v>m</v>
      </c>
      <c r="GV6" s="9" t="str">
        <f t="shared" si="323"/>
        <v>j</v>
      </c>
      <c r="GW6" s="9" t="str">
        <f t="shared" si="323"/>
        <v>v</v>
      </c>
      <c r="GX6" s="9" t="str">
        <f t="shared" si="323"/>
        <v>s</v>
      </c>
      <c r="GY6" s="9" t="str">
        <f t="shared" si="323"/>
        <v>d</v>
      </c>
      <c r="GZ6" s="9" t="str">
        <f t="shared" ref="GZ6:HF6" si="324">LEFT(TEXT(GZ5,"ddd"),1)</f>
        <v>l</v>
      </c>
      <c r="HA6" s="9" t="str">
        <f t="shared" si="324"/>
        <v>m</v>
      </c>
      <c r="HB6" s="9" t="str">
        <f t="shared" si="324"/>
        <v>m</v>
      </c>
      <c r="HC6" s="9" t="str">
        <f t="shared" si="324"/>
        <v>j</v>
      </c>
      <c r="HD6" s="9" t="str">
        <f t="shared" si="324"/>
        <v>v</v>
      </c>
      <c r="HE6" s="9" t="str">
        <f t="shared" si="324"/>
        <v>s</v>
      </c>
      <c r="HF6" s="9" t="str">
        <f t="shared" si="324"/>
        <v>d</v>
      </c>
      <c r="HG6" s="9" t="str">
        <f t="shared" ref="HG6:HM6" si="325">LEFT(TEXT(HG5,"ddd"),1)</f>
        <v>l</v>
      </c>
      <c r="HH6" s="9" t="str">
        <f t="shared" si="325"/>
        <v>m</v>
      </c>
      <c r="HI6" s="9" t="str">
        <f t="shared" si="325"/>
        <v>m</v>
      </c>
      <c r="HJ6" s="9" t="str">
        <f t="shared" si="325"/>
        <v>j</v>
      </c>
      <c r="HK6" s="9" t="str">
        <f t="shared" si="325"/>
        <v>v</v>
      </c>
      <c r="HL6" s="9" t="str">
        <f t="shared" si="325"/>
        <v>s</v>
      </c>
      <c r="HM6" s="9" t="str">
        <f t="shared" si="325"/>
        <v>d</v>
      </c>
      <c r="HN6" s="9" t="str">
        <f t="shared" ref="HN6:HT6" si="326">LEFT(TEXT(HN5,"ddd"),1)</f>
        <v>l</v>
      </c>
      <c r="HO6" s="9" t="str">
        <f t="shared" si="326"/>
        <v>m</v>
      </c>
      <c r="HP6" s="9" t="str">
        <f t="shared" si="326"/>
        <v>m</v>
      </c>
      <c r="HQ6" s="9" t="str">
        <f t="shared" si="326"/>
        <v>j</v>
      </c>
      <c r="HR6" s="9" t="str">
        <f t="shared" si="326"/>
        <v>v</v>
      </c>
      <c r="HS6" s="9" t="str">
        <f t="shared" si="326"/>
        <v>s</v>
      </c>
      <c r="HT6" s="9" t="str">
        <f t="shared" si="326"/>
        <v>d</v>
      </c>
      <c r="HU6" s="9" t="str">
        <f t="shared" ref="HU6:IA6" si="327">LEFT(TEXT(HU5,"ddd"),1)</f>
        <v>l</v>
      </c>
      <c r="HV6" s="9" t="str">
        <f t="shared" si="327"/>
        <v>m</v>
      </c>
      <c r="HW6" s="9" t="str">
        <f t="shared" si="327"/>
        <v>m</v>
      </c>
      <c r="HX6" s="9" t="str">
        <f t="shared" si="327"/>
        <v>j</v>
      </c>
      <c r="HY6" s="9" t="str">
        <f t="shared" si="327"/>
        <v>v</v>
      </c>
      <c r="HZ6" s="9" t="str">
        <f t="shared" si="327"/>
        <v>s</v>
      </c>
      <c r="IA6" s="9" t="str">
        <f t="shared" si="327"/>
        <v>d</v>
      </c>
      <c r="IB6" s="9" t="str">
        <f t="shared" ref="IB6:IH6" si="328">LEFT(TEXT(IB5,"ddd"),1)</f>
        <v>l</v>
      </c>
      <c r="IC6" s="9" t="str">
        <f t="shared" si="328"/>
        <v>m</v>
      </c>
      <c r="ID6" s="9" t="str">
        <f t="shared" si="328"/>
        <v>m</v>
      </c>
      <c r="IE6" s="9" t="str">
        <f t="shared" si="328"/>
        <v>j</v>
      </c>
      <c r="IF6" s="9" t="str">
        <f t="shared" si="328"/>
        <v>v</v>
      </c>
      <c r="IG6" s="9" t="str">
        <f t="shared" si="328"/>
        <v>s</v>
      </c>
      <c r="IH6" s="9" t="str">
        <f t="shared" si="328"/>
        <v>d</v>
      </c>
      <c r="II6" s="9" t="str">
        <f t="shared" ref="II6:IO6" si="329">LEFT(TEXT(II5,"ddd"),1)</f>
        <v>l</v>
      </c>
      <c r="IJ6" s="9" t="str">
        <f t="shared" si="329"/>
        <v>m</v>
      </c>
      <c r="IK6" s="9" t="str">
        <f t="shared" si="329"/>
        <v>m</v>
      </c>
      <c r="IL6" s="9" t="str">
        <f t="shared" si="329"/>
        <v>j</v>
      </c>
      <c r="IM6" s="9" t="str">
        <f t="shared" si="329"/>
        <v>v</v>
      </c>
      <c r="IN6" s="9" t="str">
        <f t="shared" si="329"/>
        <v>s</v>
      </c>
      <c r="IO6" s="9" t="str">
        <f t="shared" si="329"/>
        <v>d</v>
      </c>
      <c r="IP6" s="9" t="str">
        <f t="shared" ref="IP6:IV6" si="330">LEFT(TEXT(IP5,"ddd"),1)</f>
        <v>l</v>
      </c>
      <c r="IQ6" s="9" t="str">
        <f t="shared" si="330"/>
        <v>m</v>
      </c>
      <c r="IR6" s="9" t="str">
        <f t="shared" si="330"/>
        <v>m</v>
      </c>
      <c r="IS6" s="9" t="str">
        <f t="shared" si="330"/>
        <v>j</v>
      </c>
      <c r="IT6" s="9" t="str">
        <f t="shared" si="330"/>
        <v>v</v>
      </c>
      <c r="IU6" s="9" t="str">
        <f t="shared" si="330"/>
        <v>s</v>
      </c>
      <c r="IV6" s="9" t="str">
        <f t="shared" si="330"/>
        <v>d</v>
      </c>
      <c r="IW6" s="9" t="str">
        <f t="shared" ref="IW6:JC6" si="331">LEFT(TEXT(IW5,"ddd"),1)</f>
        <v>l</v>
      </c>
      <c r="IX6" s="9" t="str">
        <f t="shared" si="331"/>
        <v>m</v>
      </c>
      <c r="IY6" s="9" t="str">
        <f t="shared" si="331"/>
        <v>m</v>
      </c>
      <c r="IZ6" s="9" t="str">
        <f t="shared" si="331"/>
        <v>j</v>
      </c>
      <c r="JA6" s="9" t="str">
        <f t="shared" si="331"/>
        <v>v</v>
      </c>
      <c r="JB6" s="9" t="str">
        <f t="shared" si="331"/>
        <v>s</v>
      </c>
      <c r="JC6" s="9" t="str">
        <f t="shared" si="331"/>
        <v>d</v>
      </c>
      <c r="JD6" s="9" t="str">
        <f t="shared" ref="JD6:JJ6" si="332">LEFT(TEXT(JD5,"ddd"),1)</f>
        <v>l</v>
      </c>
      <c r="JE6" s="9" t="str">
        <f t="shared" si="332"/>
        <v>m</v>
      </c>
      <c r="JF6" s="9" t="str">
        <f t="shared" si="332"/>
        <v>m</v>
      </c>
      <c r="JG6" s="9" t="str">
        <f t="shared" si="332"/>
        <v>j</v>
      </c>
      <c r="JH6" s="9" t="str">
        <f t="shared" si="332"/>
        <v>v</v>
      </c>
      <c r="JI6" s="9" t="str">
        <f t="shared" si="332"/>
        <v>s</v>
      </c>
      <c r="JJ6" s="9" t="str">
        <f t="shared" si="332"/>
        <v>d</v>
      </c>
      <c r="JK6" s="9" t="str">
        <f t="shared" ref="JK6:JQ6" si="333">LEFT(TEXT(JK5,"ddd"),1)</f>
        <v>l</v>
      </c>
      <c r="JL6" s="9" t="str">
        <f t="shared" si="333"/>
        <v>m</v>
      </c>
      <c r="JM6" s="9" t="str">
        <f t="shared" si="333"/>
        <v>m</v>
      </c>
      <c r="JN6" s="9" t="str">
        <f t="shared" si="333"/>
        <v>j</v>
      </c>
      <c r="JO6" s="9" t="str">
        <f t="shared" si="333"/>
        <v>v</v>
      </c>
      <c r="JP6" s="9" t="str">
        <f t="shared" si="333"/>
        <v>s</v>
      </c>
      <c r="JQ6" s="9" t="str">
        <f t="shared" si="333"/>
        <v>d</v>
      </c>
      <c r="JR6" s="9" t="str">
        <f t="shared" ref="JR6:JX6" si="334">LEFT(TEXT(JR5,"ddd"),1)</f>
        <v>l</v>
      </c>
      <c r="JS6" s="9" t="str">
        <f t="shared" si="334"/>
        <v>m</v>
      </c>
      <c r="JT6" s="9" t="str">
        <f t="shared" si="334"/>
        <v>m</v>
      </c>
      <c r="JU6" s="9" t="str">
        <f t="shared" si="334"/>
        <v>j</v>
      </c>
      <c r="JV6" s="9" t="str">
        <f t="shared" si="334"/>
        <v>v</v>
      </c>
      <c r="JW6" s="9" t="str">
        <f t="shared" si="334"/>
        <v>s</v>
      </c>
      <c r="JX6" s="9" t="str">
        <f t="shared" si="334"/>
        <v>d</v>
      </c>
      <c r="JY6" s="9" t="str">
        <f t="shared" ref="JY6:KE6" si="335">LEFT(TEXT(JY5,"ddd"),1)</f>
        <v>l</v>
      </c>
      <c r="JZ6" s="9" t="str">
        <f t="shared" si="335"/>
        <v>m</v>
      </c>
      <c r="KA6" s="9" t="str">
        <f t="shared" si="335"/>
        <v>m</v>
      </c>
      <c r="KB6" s="9" t="str">
        <f t="shared" si="335"/>
        <v>j</v>
      </c>
      <c r="KC6" s="9" t="str">
        <f t="shared" si="335"/>
        <v>v</v>
      </c>
      <c r="KD6" s="9" t="str">
        <f t="shared" si="335"/>
        <v>s</v>
      </c>
      <c r="KE6" s="9" t="str">
        <f t="shared" si="335"/>
        <v>d</v>
      </c>
      <c r="KF6" s="9" t="str">
        <f t="shared" ref="KF6:KL6" si="336">LEFT(TEXT(KF5,"ddd"),1)</f>
        <v>l</v>
      </c>
      <c r="KG6" s="9" t="str">
        <f t="shared" si="336"/>
        <v>m</v>
      </c>
      <c r="KH6" s="9" t="str">
        <f t="shared" si="336"/>
        <v>m</v>
      </c>
      <c r="KI6" s="9" t="str">
        <f t="shared" si="336"/>
        <v>j</v>
      </c>
      <c r="KJ6" s="9" t="str">
        <f t="shared" si="336"/>
        <v>v</v>
      </c>
      <c r="KK6" s="9" t="str">
        <f t="shared" si="336"/>
        <v>s</v>
      </c>
      <c r="KL6" s="9" t="str">
        <f t="shared" si="336"/>
        <v>d</v>
      </c>
      <c r="KM6" s="9" t="str">
        <f t="shared" ref="KM6:KS6" si="337">LEFT(TEXT(KM5,"ddd"),1)</f>
        <v>l</v>
      </c>
      <c r="KN6" s="9" t="str">
        <f t="shared" si="337"/>
        <v>m</v>
      </c>
      <c r="KO6" s="9" t="str">
        <f t="shared" si="337"/>
        <v>m</v>
      </c>
      <c r="KP6" s="9" t="str">
        <f t="shared" si="337"/>
        <v>j</v>
      </c>
      <c r="KQ6" s="9" t="str">
        <f t="shared" si="337"/>
        <v>v</v>
      </c>
      <c r="KR6" s="9" t="str">
        <f t="shared" si="337"/>
        <v>s</v>
      </c>
      <c r="KS6" s="9" t="str">
        <f t="shared" si="337"/>
        <v>d</v>
      </c>
      <c r="KT6" s="9" t="str">
        <f t="shared" ref="KT6:KZ6" si="338">LEFT(TEXT(KT5,"ddd"),1)</f>
        <v>l</v>
      </c>
      <c r="KU6" s="9" t="str">
        <f t="shared" si="338"/>
        <v>m</v>
      </c>
      <c r="KV6" s="9" t="str">
        <f t="shared" si="338"/>
        <v>m</v>
      </c>
      <c r="KW6" s="9" t="str">
        <f t="shared" si="338"/>
        <v>j</v>
      </c>
      <c r="KX6" s="9" t="str">
        <f t="shared" si="338"/>
        <v>v</v>
      </c>
      <c r="KY6" s="9" t="str">
        <f t="shared" si="338"/>
        <v>s</v>
      </c>
      <c r="KZ6" s="9" t="str">
        <f t="shared" si="338"/>
        <v>d</v>
      </c>
      <c r="LA6" s="9" t="str">
        <f t="shared" ref="LA6:LG6" si="339">LEFT(TEXT(LA5,"ddd"),1)</f>
        <v>l</v>
      </c>
      <c r="LB6" s="9" t="str">
        <f t="shared" si="339"/>
        <v>m</v>
      </c>
      <c r="LC6" s="9" t="str">
        <f t="shared" si="339"/>
        <v>m</v>
      </c>
      <c r="LD6" s="9" t="str">
        <f t="shared" si="339"/>
        <v>j</v>
      </c>
      <c r="LE6" s="9" t="str">
        <f t="shared" si="339"/>
        <v>v</v>
      </c>
      <c r="LF6" s="9" t="str">
        <f t="shared" si="339"/>
        <v>s</v>
      </c>
      <c r="LG6" s="9" t="str">
        <f t="shared" si="339"/>
        <v>d</v>
      </c>
      <c r="LH6" s="9" t="str">
        <f t="shared" ref="LH6:LN6" si="340">LEFT(TEXT(LH5,"ddd"),1)</f>
        <v>l</v>
      </c>
      <c r="LI6" s="9" t="str">
        <f t="shared" si="340"/>
        <v>m</v>
      </c>
      <c r="LJ6" s="9" t="str">
        <f t="shared" si="340"/>
        <v>m</v>
      </c>
      <c r="LK6" s="9" t="str">
        <f t="shared" si="340"/>
        <v>j</v>
      </c>
      <c r="LL6" s="9" t="str">
        <f t="shared" si="340"/>
        <v>v</v>
      </c>
      <c r="LM6" s="9" t="str">
        <f t="shared" si="340"/>
        <v>s</v>
      </c>
      <c r="LN6" s="9" t="str">
        <f t="shared" si="340"/>
        <v>d</v>
      </c>
      <c r="LO6" s="9" t="str">
        <f t="shared" ref="LO6:LU6" si="341">LEFT(TEXT(LO5,"ddd"),1)</f>
        <v>l</v>
      </c>
      <c r="LP6" s="9" t="str">
        <f t="shared" si="341"/>
        <v>m</v>
      </c>
      <c r="LQ6" s="9" t="str">
        <f t="shared" si="341"/>
        <v>m</v>
      </c>
      <c r="LR6" s="9" t="str">
        <f t="shared" si="341"/>
        <v>j</v>
      </c>
      <c r="LS6" s="9" t="str">
        <f t="shared" si="341"/>
        <v>v</v>
      </c>
      <c r="LT6" s="9" t="str">
        <f t="shared" si="341"/>
        <v>s</v>
      </c>
      <c r="LU6" s="9" t="str">
        <f t="shared" si="341"/>
        <v>d</v>
      </c>
      <c r="LV6" s="9" t="str">
        <f t="shared" ref="LV6:MB6" si="342">LEFT(TEXT(LV5,"ddd"),1)</f>
        <v>l</v>
      </c>
      <c r="LW6" s="9" t="str">
        <f t="shared" si="342"/>
        <v>m</v>
      </c>
      <c r="LX6" s="9" t="str">
        <f t="shared" si="342"/>
        <v>m</v>
      </c>
      <c r="LY6" s="9" t="str">
        <f t="shared" si="342"/>
        <v>j</v>
      </c>
      <c r="LZ6" s="9" t="str">
        <f t="shared" si="342"/>
        <v>v</v>
      </c>
      <c r="MA6" s="9" t="str">
        <f t="shared" si="342"/>
        <v>s</v>
      </c>
      <c r="MB6" s="9" t="str">
        <f t="shared" si="342"/>
        <v>d</v>
      </c>
      <c r="MC6" s="9" t="str">
        <f t="shared" ref="MC6:MI6" si="343">LEFT(TEXT(MC5,"ddd"),1)</f>
        <v>l</v>
      </c>
      <c r="MD6" s="9" t="str">
        <f t="shared" si="343"/>
        <v>m</v>
      </c>
      <c r="ME6" s="9" t="str">
        <f t="shared" si="343"/>
        <v>m</v>
      </c>
      <c r="MF6" s="9" t="str">
        <f t="shared" si="343"/>
        <v>j</v>
      </c>
      <c r="MG6" s="9" t="str">
        <f t="shared" si="343"/>
        <v>v</v>
      </c>
      <c r="MH6" s="9" t="str">
        <f t="shared" si="343"/>
        <v>s</v>
      </c>
      <c r="MI6" s="9" t="str">
        <f t="shared" si="343"/>
        <v>d</v>
      </c>
      <c r="MJ6" s="9" t="str">
        <f t="shared" ref="MJ6:MP6" si="344">LEFT(TEXT(MJ5,"ddd"),1)</f>
        <v>l</v>
      </c>
      <c r="MK6" s="9" t="str">
        <f t="shared" si="344"/>
        <v>m</v>
      </c>
      <c r="ML6" s="9" t="str">
        <f t="shared" si="344"/>
        <v>m</v>
      </c>
      <c r="MM6" s="9" t="str">
        <f t="shared" si="344"/>
        <v>j</v>
      </c>
      <c r="MN6" s="9" t="str">
        <f t="shared" si="344"/>
        <v>v</v>
      </c>
      <c r="MO6" s="9" t="str">
        <f t="shared" si="344"/>
        <v>s</v>
      </c>
      <c r="MP6" s="9" t="str">
        <f t="shared" si="344"/>
        <v>d</v>
      </c>
      <c r="MQ6" s="9" t="str">
        <f t="shared" ref="MQ6:MW6" si="345">LEFT(TEXT(MQ5,"ddd"),1)</f>
        <v>l</v>
      </c>
      <c r="MR6" s="9" t="str">
        <f t="shared" si="345"/>
        <v>m</v>
      </c>
      <c r="MS6" s="9" t="str">
        <f t="shared" si="345"/>
        <v>m</v>
      </c>
      <c r="MT6" s="9" t="str">
        <f t="shared" si="345"/>
        <v>j</v>
      </c>
      <c r="MU6" s="9" t="str">
        <f t="shared" si="345"/>
        <v>v</v>
      </c>
      <c r="MV6" s="9" t="str">
        <f t="shared" si="345"/>
        <v>s</v>
      </c>
      <c r="MW6" s="9" t="str">
        <f t="shared" si="345"/>
        <v>d</v>
      </c>
    </row>
    <row r="7" spans="1:361" ht="15.75" customHeight="1" thickBot="1" x14ac:dyDescent="0.3">
      <c r="A7" s="28" t="s">
        <v>5</v>
      </c>
      <c r="C7" s="30"/>
      <c r="D7" s="30"/>
      <c r="F7"/>
      <c r="K7" t="str">
        <f>IF(OR(ISBLANK(task_start),ISBLANK(task_end)),"",task_end-task_start+1)</f>
        <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row>
    <row r="8" spans="1:361" s="3" customFormat="1" ht="15.75" customHeight="1" thickBot="1" x14ac:dyDescent="0.3">
      <c r="A8" s="29"/>
      <c r="B8" s="142" t="s">
        <v>34</v>
      </c>
      <c r="C8" s="143"/>
      <c r="D8" s="144"/>
      <c r="E8" s="145"/>
      <c r="F8" s="146"/>
      <c r="G8" s="147"/>
      <c r="H8" s="148"/>
      <c r="I8" s="149"/>
      <c r="J8" s="11"/>
      <c r="K8" s="11" t="str">
        <f t="shared" ref="K8:K115" si="346">IF(OR(ISBLANK(task_start),ISBLANK(task_end)),"",task_end-task_start+1)</f>
        <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row>
    <row r="9" spans="1:361" s="3" customFormat="1" ht="30.75" customHeight="1" thickBot="1" x14ac:dyDescent="0.3">
      <c r="A9" s="29"/>
      <c r="B9" s="138" t="s">
        <v>35</v>
      </c>
      <c r="C9" s="139" t="s">
        <v>47</v>
      </c>
      <c r="D9" s="140" t="s">
        <v>58</v>
      </c>
      <c r="E9" s="87">
        <v>1</v>
      </c>
      <c r="F9" s="88">
        <f>Inicio_del_proyecto</f>
        <v>45714</v>
      </c>
      <c r="G9" s="88">
        <v>45715</v>
      </c>
      <c r="H9" s="141" t="s">
        <v>37</v>
      </c>
      <c r="I9" s="141"/>
      <c r="J9" s="11"/>
      <c r="K9" s="11">
        <f t="shared" si="346"/>
        <v>2</v>
      </c>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row>
    <row r="10" spans="1:361" s="3" customFormat="1" ht="30.75" customHeight="1" thickBot="1" x14ac:dyDescent="0.3">
      <c r="A10" s="29"/>
      <c r="B10" s="65" t="s">
        <v>69</v>
      </c>
      <c r="C10" s="47" t="s">
        <v>48</v>
      </c>
      <c r="D10" s="63" t="s">
        <v>70</v>
      </c>
      <c r="E10" s="12">
        <v>1</v>
      </c>
      <c r="F10" s="48">
        <v>45715</v>
      </c>
      <c r="G10" s="48">
        <v>45716</v>
      </c>
      <c r="H10" s="57" t="s">
        <v>43</v>
      </c>
      <c r="I10" s="57"/>
      <c r="J10" s="11"/>
      <c r="K10" s="11">
        <f t="shared" si="346"/>
        <v>2</v>
      </c>
      <c r="L10" s="15"/>
      <c r="M10" s="15"/>
      <c r="N10" s="15"/>
      <c r="O10" s="15"/>
      <c r="P10" s="15"/>
      <c r="Q10" s="15"/>
      <c r="R10" s="15"/>
      <c r="S10" s="15"/>
      <c r="T10" s="15"/>
      <c r="U10" s="15"/>
      <c r="V10" s="15"/>
      <c r="W10" s="15"/>
      <c r="X10" s="16"/>
      <c r="Y10" s="16"/>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row>
    <row r="11" spans="1:361" s="3" customFormat="1" ht="30.75" customHeight="1" thickBot="1" x14ac:dyDescent="0.3">
      <c r="A11" s="28"/>
      <c r="B11" s="45" t="s">
        <v>44</v>
      </c>
      <c r="C11" s="52" t="s">
        <v>51</v>
      </c>
      <c r="D11" s="63" t="s">
        <v>66</v>
      </c>
      <c r="E11" s="12">
        <v>1</v>
      </c>
      <c r="F11" s="48">
        <f>G10</f>
        <v>45716</v>
      </c>
      <c r="G11" s="48">
        <f>F11+4</f>
        <v>45720</v>
      </c>
      <c r="H11" s="57" t="s">
        <v>67</v>
      </c>
      <c r="I11" s="57"/>
      <c r="J11" s="11"/>
      <c r="K11" s="11">
        <f t="shared" si="346"/>
        <v>5</v>
      </c>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row>
    <row r="12" spans="1:361" s="3" customFormat="1" ht="30.75" customHeight="1" thickBot="1" x14ac:dyDescent="0.3">
      <c r="A12" s="28"/>
      <c r="B12" s="45" t="s">
        <v>68</v>
      </c>
      <c r="C12" s="52" t="s">
        <v>62</v>
      </c>
      <c r="D12" s="63" t="s">
        <v>63</v>
      </c>
      <c r="E12" s="12">
        <v>1</v>
      </c>
      <c r="F12" s="48">
        <v>45719</v>
      </c>
      <c r="G12" s="48">
        <v>45719</v>
      </c>
      <c r="H12" s="57" t="s">
        <v>64</v>
      </c>
      <c r="I12" s="57"/>
      <c r="J12" s="11"/>
      <c r="K12" s="11">
        <f t="shared" si="346"/>
        <v>1</v>
      </c>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row>
    <row r="13" spans="1:361" s="3" customFormat="1" ht="15.75" customHeight="1" thickBot="1" x14ac:dyDescent="0.3">
      <c r="A13" s="28"/>
      <c r="B13" s="118" t="s">
        <v>8</v>
      </c>
      <c r="C13" s="119"/>
      <c r="D13" s="120"/>
      <c r="E13" s="121"/>
      <c r="F13" s="122">
        <f>F10+1</f>
        <v>45716</v>
      </c>
      <c r="G13" s="122">
        <f>F13+2</f>
        <v>45718</v>
      </c>
      <c r="H13" s="123"/>
      <c r="I13" s="123"/>
      <c r="J13" s="11"/>
      <c r="K13" s="11">
        <f t="shared" si="346"/>
        <v>3</v>
      </c>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row>
    <row r="14" spans="1:361" s="3" customFormat="1" ht="15.75" customHeight="1" thickBot="1" x14ac:dyDescent="0.3">
      <c r="A14" s="29"/>
      <c r="B14" s="130" t="s">
        <v>38</v>
      </c>
      <c r="C14" s="131"/>
      <c r="D14" s="132"/>
      <c r="E14" s="133"/>
      <c r="F14" s="134"/>
      <c r="G14" s="135"/>
      <c r="H14" s="136"/>
      <c r="I14" s="137"/>
      <c r="J14" s="11"/>
      <c r="K14" s="11" t="str">
        <f t="shared" si="346"/>
        <v/>
      </c>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row>
    <row r="15" spans="1:361" s="3" customFormat="1" ht="48.75" customHeight="1" thickBot="1" x14ac:dyDescent="0.3">
      <c r="A15" s="29"/>
      <c r="B15" s="124" t="s">
        <v>39</v>
      </c>
      <c r="C15" s="125" t="s">
        <v>55</v>
      </c>
      <c r="D15" s="126" t="s">
        <v>56</v>
      </c>
      <c r="E15" s="127">
        <v>1</v>
      </c>
      <c r="F15" s="128">
        <v>45716</v>
      </c>
      <c r="G15" s="128">
        <f>F15+4</f>
        <v>45720</v>
      </c>
      <c r="H15" s="129" t="s">
        <v>57</v>
      </c>
      <c r="I15" s="129"/>
      <c r="J15" s="11"/>
      <c r="K15" s="11">
        <f t="shared" si="346"/>
        <v>5</v>
      </c>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row>
    <row r="16" spans="1:361" s="3" customFormat="1" ht="30.75" customHeight="1" thickBot="1" x14ac:dyDescent="0.3">
      <c r="A16" s="28"/>
      <c r="B16" s="34" t="s">
        <v>40</v>
      </c>
      <c r="C16" s="51" t="s">
        <v>46</v>
      </c>
      <c r="D16" s="64" t="s">
        <v>59</v>
      </c>
      <c r="E16" s="13">
        <v>1</v>
      </c>
      <c r="F16" s="49">
        <v>45719</v>
      </c>
      <c r="G16" s="49">
        <v>45726</v>
      </c>
      <c r="H16" s="59" t="s">
        <v>60</v>
      </c>
      <c r="I16" s="59"/>
      <c r="J16" s="11"/>
      <c r="K16" s="11">
        <f t="shared" si="346"/>
        <v>8</v>
      </c>
      <c r="L16" s="15"/>
      <c r="M16" s="15"/>
      <c r="N16" s="15"/>
      <c r="O16" s="15"/>
      <c r="P16" s="15"/>
      <c r="Q16" s="15"/>
      <c r="R16" s="15"/>
      <c r="S16" s="15"/>
      <c r="T16" s="15"/>
      <c r="U16" s="15"/>
      <c r="V16" s="15"/>
      <c r="W16" s="15"/>
      <c r="X16" s="16"/>
      <c r="Y16" s="16"/>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row>
    <row r="17" spans="1:361" s="3" customFormat="1" ht="60.75" customHeight="1" thickBot="1" x14ac:dyDescent="0.3">
      <c r="A17" s="28"/>
      <c r="B17" s="34" t="s">
        <v>41</v>
      </c>
      <c r="C17" s="51" t="s">
        <v>49</v>
      </c>
      <c r="D17" s="64" t="s">
        <v>61</v>
      </c>
      <c r="E17" s="13">
        <v>1</v>
      </c>
      <c r="F17" s="49">
        <v>45721</v>
      </c>
      <c r="G17" s="49">
        <v>45731</v>
      </c>
      <c r="H17" s="59" t="s">
        <v>71</v>
      </c>
      <c r="I17" s="59"/>
      <c r="J17" s="11"/>
      <c r="K17" s="11">
        <f t="shared" si="346"/>
        <v>11</v>
      </c>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row>
    <row r="18" spans="1:361" s="3" customFormat="1" ht="45.75" customHeight="1" thickBot="1" x14ac:dyDescent="0.3">
      <c r="A18" s="28"/>
      <c r="B18" s="46" t="s">
        <v>50</v>
      </c>
      <c r="C18" s="51" t="s">
        <v>75</v>
      </c>
      <c r="D18" s="62" t="s">
        <v>65</v>
      </c>
      <c r="E18" s="13">
        <v>1</v>
      </c>
      <c r="F18" s="49">
        <v>45744</v>
      </c>
      <c r="G18" s="49">
        <v>45866</v>
      </c>
      <c r="H18" s="59" t="s">
        <v>72</v>
      </c>
      <c r="I18" s="56" t="s">
        <v>81</v>
      </c>
      <c r="J18" s="11"/>
      <c r="K18" s="11">
        <f t="shared" si="346"/>
        <v>123</v>
      </c>
      <c r="L18" s="15"/>
      <c r="M18" s="15"/>
      <c r="N18" s="15"/>
      <c r="O18" s="15"/>
      <c r="P18" s="15"/>
      <c r="Q18" s="15"/>
      <c r="R18" s="15"/>
      <c r="S18" s="15"/>
      <c r="T18" s="15"/>
      <c r="U18" s="15"/>
      <c r="V18" s="15"/>
      <c r="W18" s="15"/>
      <c r="X18" s="15"/>
      <c r="Y18" s="15"/>
      <c r="Z18" s="15"/>
      <c r="AA18" s="15"/>
      <c r="AB18" s="16"/>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row>
    <row r="19" spans="1:361" s="3" customFormat="1" ht="15.75" customHeight="1" thickBot="1" x14ac:dyDescent="0.3">
      <c r="A19" s="28"/>
      <c r="B19" s="98" t="s">
        <v>42</v>
      </c>
      <c r="C19" s="99" t="s">
        <v>52</v>
      </c>
      <c r="D19" s="99" t="s">
        <v>74</v>
      </c>
      <c r="E19" s="100">
        <v>1</v>
      </c>
      <c r="F19" s="101">
        <v>45848</v>
      </c>
      <c r="G19" s="101"/>
      <c r="H19" s="102" t="s">
        <v>45</v>
      </c>
      <c r="I19" s="102"/>
      <c r="J19" s="11"/>
      <c r="K19" s="11" t="str">
        <f t="shared" si="346"/>
        <v/>
      </c>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row>
    <row r="20" spans="1:361" s="3" customFormat="1" ht="15.75" customHeight="1" thickBot="1" x14ac:dyDescent="0.3">
      <c r="A20" s="28"/>
      <c r="B20" s="110" t="s">
        <v>77</v>
      </c>
      <c r="C20" s="111"/>
      <c r="D20" s="112"/>
      <c r="E20" s="113"/>
      <c r="F20" s="114"/>
      <c r="G20" s="115"/>
      <c r="H20" s="116"/>
      <c r="I20" s="117"/>
      <c r="J20" s="11"/>
      <c r="K20" s="11" t="str">
        <f t="shared" si="346"/>
        <v/>
      </c>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row>
    <row r="21" spans="1:361" s="3" customFormat="1" ht="60.75" customHeight="1" thickBot="1" x14ac:dyDescent="0.3">
      <c r="A21" s="28"/>
      <c r="B21" s="103" t="s">
        <v>76</v>
      </c>
      <c r="C21" s="104" t="s">
        <v>78</v>
      </c>
      <c r="D21" s="105" t="s">
        <v>79</v>
      </c>
      <c r="E21" s="106">
        <v>1</v>
      </c>
      <c r="F21" s="107">
        <v>45775</v>
      </c>
      <c r="G21" s="108">
        <v>45805</v>
      </c>
      <c r="H21" s="109" t="s">
        <v>82</v>
      </c>
      <c r="I21" s="154" t="s">
        <v>146</v>
      </c>
      <c r="J21" s="11"/>
      <c r="K21" s="11">
        <f t="shared" si="346"/>
        <v>31</v>
      </c>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row>
    <row r="22" spans="1:361" s="3" customFormat="1" ht="15.75" customHeight="1" thickBot="1" x14ac:dyDescent="0.3">
      <c r="A22" s="28"/>
      <c r="B22" s="72" t="s">
        <v>212</v>
      </c>
      <c r="C22" s="73"/>
      <c r="D22" s="74"/>
      <c r="E22" s="75"/>
      <c r="F22" s="76"/>
      <c r="G22" s="77"/>
      <c r="H22" s="78"/>
      <c r="I22" s="79"/>
      <c r="J22" s="11"/>
      <c r="K22" s="11" t="str">
        <f t="shared" si="346"/>
        <v/>
      </c>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row>
    <row r="23" spans="1:361" s="3" customFormat="1" ht="16.5" customHeight="1" thickBot="1" x14ac:dyDescent="0.3">
      <c r="A23" s="28"/>
      <c r="B23" s="157" t="s">
        <v>213</v>
      </c>
      <c r="C23" s="32"/>
      <c r="D23" s="61"/>
      <c r="E23" s="82"/>
      <c r="F23" s="50"/>
      <c r="G23" s="50"/>
      <c r="H23" s="60"/>
      <c r="I23" s="60"/>
      <c r="J23" s="11"/>
      <c r="K23" s="11"/>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row>
    <row r="24" spans="1:361" s="3" customFormat="1" ht="30.75" customHeight="1" thickBot="1" x14ac:dyDescent="0.3">
      <c r="A24" s="28"/>
      <c r="B24" s="158" t="s">
        <v>88</v>
      </c>
      <c r="C24" s="67" t="s">
        <v>90</v>
      </c>
      <c r="D24" s="68" t="s">
        <v>89</v>
      </c>
      <c r="E24" s="69">
        <v>1</v>
      </c>
      <c r="F24" s="70">
        <v>45757</v>
      </c>
      <c r="G24" s="70">
        <v>45762</v>
      </c>
      <c r="H24" s="71" t="s">
        <v>91</v>
      </c>
      <c r="I24" s="71"/>
      <c r="J24" s="11"/>
      <c r="K24" s="11">
        <f t="shared" si="346"/>
        <v>6</v>
      </c>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row>
    <row r="25" spans="1:361" s="3" customFormat="1" ht="30.75" customHeight="1" thickBot="1" x14ac:dyDescent="0.3">
      <c r="A25" s="28"/>
      <c r="B25" s="159" t="s">
        <v>92</v>
      </c>
      <c r="C25" s="32" t="s">
        <v>90</v>
      </c>
      <c r="D25" s="61" t="s">
        <v>93</v>
      </c>
      <c r="E25" s="14">
        <v>1</v>
      </c>
      <c r="F25" s="50">
        <v>45762</v>
      </c>
      <c r="G25" s="50">
        <v>45764</v>
      </c>
      <c r="H25" s="60" t="s">
        <v>95</v>
      </c>
      <c r="I25" s="60"/>
      <c r="J25" s="11"/>
      <c r="K25" s="11">
        <f t="shared" si="346"/>
        <v>3</v>
      </c>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row>
    <row r="26" spans="1:361" s="3" customFormat="1" ht="45.75" customHeight="1" thickBot="1" x14ac:dyDescent="0.3">
      <c r="A26" s="28"/>
      <c r="B26" s="159" t="s">
        <v>94</v>
      </c>
      <c r="C26" s="32" t="s">
        <v>90</v>
      </c>
      <c r="D26" s="61" t="s">
        <v>124</v>
      </c>
      <c r="E26" s="14">
        <v>1</v>
      </c>
      <c r="F26" s="50">
        <v>45789</v>
      </c>
      <c r="G26" s="50">
        <v>45794</v>
      </c>
      <c r="H26" s="60"/>
      <c r="I26" s="160" t="s">
        <v>125</v>
      </c>
      <c r="J26" s="11"/>
      <c r="K26" s="11">
        <f t="shared" si="346"/>
        <v>6</v>
      </c>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row>
    <row r="27" spans="1:361" s="3" customFormat="1" ht="16.5" customHeight="1" thickBot="1" x14ac:dyDescent="0.3">
      <c r="A27" s="28"/>
      <c r="B27" s="157" t="s">
        <v>108</v>
      </c>
      <c r="C27" s="32"/>
      <c r="D27" s="61"/>
      <c r="E27" s="82"/>
      <c r="F27" s="50"/>
      <c r="G27" s="50"/>
      <c r="H27" s="60"/>
      <c r="I27" s="60"/>
      <c r="J27" s="11"/>
      <c r="K27" s="11"/>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row>
    <row r="28" spans="1:361" s="3" customFormat="1" ht="30.75" customHeight="1" thickBot="1" x14ac:dyDescent="0.3">
      <c r="A28" s="28"/>
      <c r="B28" s="35" t="s">
        <v>123</v>
      </c>
      <c r="C28" s="32" t="s">
        <v>90</v>
      </c>
      <c r="D28" s="61" t="s">
        <v>129</v>
      </c>
      <c r="E28" s="82">
        <v>1</v>
      </c>
      <c r="F28" s="50">
        <v>45778</v>
      </c>
      <c r="G28" s="50">
        <v>45782</v>
      </c>
      <c r="H28" s="60" t="s">
        <v>130</v>
      </c>
      <c r="I28" s="60"/>
      <c r="J28" s="11"/>
      <c r="K28" s="11"/>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row>
    <row r="29" spans="1:361" s="3" customFormat="1" ht="16.5" customHeight="1" thickBot="1" x14ac:dyDescent="0.3">
      <c r="A29" s="28"/>
      <c r="B29" s="157" t="s">
        <v>133</v>
      </c>
      <c r="C29" s="32"/>
      <c r="D29" s="61"/>
      <c r="E29" s="82"/>
      <c r="F29" s="50"/>
      <c r="G29" s="50"/>
      <c r="H29" s="60"/>
      <c r="I29" s="60"/>
      <c r="J29" s="11"/>
      <c r="K29" s="11"/>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row>
    <row r="30" spans="1:361" s="3" customFormat="1" ht="30.75" customHeight="1" thickBot="1" x14ac:dyDescent="0.3">
      <c r="A30" s="28"/>
      <c r="B30" s="35" t="s">
        <v>123</v>
      </c>
      <c r="C30" s="32" t="s">
        <v>90</v>
      </c>
      <c r="D30" s="61" t="s">
        <v>129</v>
      </c>
      <c r="E30" s="82">
        <v>1</v>
      </c>
      <c r="F30" s="50">
        <v>45778</v>
      </c>
      <c r="G30" s="50">
        <v>45782</v>
      </c>
      <c r="H30" s="60" t="s">
        <v>130</v>
      </c>
      <c r="I30" s="60"/>
      <c r="J30" s="11"/>
      <c r="K30" s="11"/>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row>
    <row r="31" spans="1:361" s="3" customFormat="1" ht="16.5" customHeight="1" thickBot="1" x14ac:dyDescent="0.3">
      <c r="A31" s="28"/>
      <c r="B31" s="157" t="s">
        <v>117</v>
      </c>
      <c r="C31" s="32"/>
      <c r="D31" s="61"/>
      <c r="E31" s="82"/>
      <c r="F31" s="50"/>
      <c r="G31" s="50"/>
      <c r="H31" s="60"/>
      <c r="I31" s="60"/>
      <c r="J31" s="11"/>
      <c r="K31" s="11"/>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row>
    <row r="32" spans="1:361" s="3" customFormat="1" ht="15.75" customHeight="1" thickBot="1" x14ac:dyDescent="0.3">
      <c r="A32" s="28"/>
      <c r="B32" s="35" t="s">
        <v>117</v>
      </c>
      <c r="C32" s="32" t="s">
        <v>90</v>
      </c>
      <c r="D32" s="61"/>
      <c r="E32" s="82"/>
      <c r="F32" s="50"/>
      <c r="G32" s="50"/>
      <c r="H32" s="60"/>
      <c r="I32" s="60"/>
      <c r="J32" s="11"/>
      <c r="K32" s="11"/>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row>
    <row r="33" spans="1:361" s="3" customFormat="1" ht="15.75" customHeight="1" thickBot="1" x14ac:dyDescent="0.3">
      <c r="A33" s="28"/>
      <c r="B33" s="35"/>
      <c r="C33" s="32"/>
      <c r="D33" s="61"/>
      <c r="E33" s="82"/>
      <c r="F33" s="50"/>
      <c r="G33" s="50"/>
      <c r="H33" s="60"/>
      <c r="I33" s="60"/>
      <c r="J33" s="11"/>
      <c r="K33" s="11"/>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row>
    <row r="34" spans="1:361" s="3" customFormat="1" ht="16.5" customHeight="1" thickBot="1" x14ac:dyDescent="0.3">
      <c r="A34" s="28"/>
      <c r="B34" s="157" t="s">
        <v>230</v>
      </c>
      <c r="C34" s="32"/>
      <c r="D34" s="61"/>
      <c r="E34" s="82"/>
      <c r="F34" s="50"/>
      <c r="G34" s="50"/>
      <c r="H34" s="60"/>
      <c r="I34" s="60"/>
      <c r="J34" s="11"/>
      <c r="K34" s="11"/>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row>
    <row r="35" spans="1:361" s="3" customFormat="1" ht="30.75" thickBot="1" x14ac:dyDescent="0.3">
      <c r="A35" s="28"/>
      <c r="B35" s="194" t="s">
        <v>232</v>
      </c>
      <c r="C35" s="32" t="s">
        <v>90</v>
      </c>
      <c r="D35" s="195" t="s">
        <v>231</v>
      </c>
      <c r="E35" s="82">
        <v>1</v>
      </c>
      <c r="F35" s="50">
        <v>46002</v>
      </c>
      <c r="G35" s="50">
        <v>46006</v>
      </c>
      <c r="H35" s="196" t="s">
        <v>130</v>
      </c>
      <c r="I35" s="60"/>
      <c r="J35" s="11"/>
      <c r="K35" s="11"/>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row>
    <row r="36" spans="1:361" s="3" customFormat="1" ht="36.75" customHeight="1" thickBot="1" x14ac:dyDescent="0.3">
      <c r="A36" s="28"/>
      <c r="B36" s="194" t="s">
        <v>236</v>
      </c>
      <c r="C36" s="32" t="s">
        <v>90</v>
      </c>
      <c r="D36" s="195" t="s">
        <v>237</v>
      </c>
      <c r="E36" s="82">
        <v>1</v>
      </c>
      <c r="F36" s="50">
        <v>46003</v>
      </c>
      <c r="G36" s="50">
        <v>46003</v>
      </c>
      <c r="H36" s="196" t="s">
        <v>238</v>
      </c>
      <c r="I36" s="60"/>
      <c r="J36" s="11"/>
      <c r="K36" s="11"/>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row>
    <row r="37" spans="1:361" s="3" customFormat="1" ht="42" customHeight="1" thickBot="1" x14ac:dyDescent="0.3">
      <c r="A37" s="28"/>
      <c r="B37" s="194" t="s">
        <v>233</v>
      </c>
      <c r="C37" s="32" t="s">
        <v>90</v>
      </c>
      <c r="D37" s="195" t="s">
        <v>234</v>
      </c>
      <c r="E37" s="82">
        <v>1</v>
      </c>
      <c r="F37" s="197" t="s">
        <v>235</v>
      </c>
      <c r="G37" s="50">
        <v>46006</v>
      </c>
      <c r="H37" s="196" t="s">
        <v>130</v>
      </c>
      <c r="I37" s="60"/>
      <c r="J37" s="11"/>
      <c r="K37" s="11"/>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row>
    <row r="38" spans="1:361" s="3" customFormat="1" ht="15.75" customHeight="1" thickBot="1" x14ac:dyDescent="0.3">
      <c r="A38" s="28"/>
      <c r="B38" s="198"/>
      <c r="C38" s="80"/>
      <c r="D38" s="81"/>
      <c r="E38" s="82"/>
      <c r="F38" s="83"/>
      <c r="G38" s="83"/>
      <c r="H38" s="84"/>
      <c r="I38" s="84"/>
      <c r="J38" s="11"/>
      <c r="K38" s="11" t="str">
        <f t="shared" si="346"/>
        <v/>
      </c>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row>
    <row r="39" spans="1:361" s="3" customFormat="1" ht="16.5" customHeight="1" thickBot="1" x14ac:dyDescent="0.3">
      <c r="A39" s="28"/>
      <c r="B39" s="157" t="s">
        <v>239</v>
      </c>
      <c r="C39" s="32"/>
      <c r="D39" s="61"/>
      <c r="E39" s="82"/>
      <c r="F39" s="50"/>
      <c r="G39" s="50"/>
      <c r="H39" s="60"/>
      <c r="I39" s="60"/>
      <c r="J39" s="11"/>
      <c r="K39" s="11"/>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row>
    <row r="40" spans="1:361" s="3" customFormat="1" ht="44.25" customHeight="1" thickBot="1" x14ac:dyDescent="0.3">
      <c r="A40" s="28"/>
      <c r="B40" s="200" t="s">
        <v>240</v>
      </c>
      <c r="C40" s="199" t="s">
        <v>241</v>
      </c>
      <c r="D40" s="195" t="s">
        <v>231</v>
      </c>
      <c r="E40" s="82">
        <v>1</v>
      </c>
      <c r="F40" s="197">
        <v>46006</v>
      </c>
      <c r="G40" s="50">
        <v>46007</v>
      </c>
      <c r="H40" s="196" t="s">
        <v>130</v>
      </c>
      <c r="I40" s="60"/>
      <c r="J40" s="11"/>
      <c r="K40" s="11"/>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row>
    <row r="41" spans="1:361" s="3" customFormat="1" ht="15.75" thickBot="1" x14ac:dyDescent="0.3">
      <c r="A41" s="28"/>
      <c r="B41" s="194"/>
      <c r="C41" s="199"/>
      <c r="D41" s="195"/>
      <c r="E41" s="82"/>
      <c r="F41" s="50"/>
      <c r="G41" s="50"/>
      <c r="H41" s="196"/>
      <c r="I41" s="60"/>
      <c r="J41" s="11"/>
      <c r="K41" s="11"/>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row>
    <row r="42" spans="1:361" s="3" customFormat="1" ht="15.75" thickBot="1" x14ac:dyDescent="0.3">
      <c r="A42" s="28"/>
      <c r="B42" s="194"/>
      <c r="C42" s="199"/>
      <c r="D42" s="195"/>
      <c r="E42" s="82"/>
      <c r="F42" s="50"/>
      <c r="G42" s="50"/>
      <c r="H42" s="196"/>
      <c r="I42" s="60"/>
      <c r="J42" s="11"/>
      <c r="K42" s="11"/>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row>
    <row r="43" spans="1:361" s="3" customFormat="1" ht="15.75" customHeight="1" thickBot="1" x14ac:dyDescent="0.3">
      <c r="A43" s="28"/>
      <c r="B43" s="90" t="s">
        <v>87</v>
      </c>
      <c r="C43" s="91"/>
      <c r="D43" s="92"/>
      <c r="E43" s="93"/>
      <c r="F43" s="94"/>
      <c r="G43" s="95"/>
      <c r="H43" s="96"/>
      <c r="I43" s="97"/>
      <c r="J43" s="11"/>
      <c r="K43" s="11"/>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row>
    <row r="44" spans="1:361" s="3" customFormat="1" ht="45.75" customHeight="1" thickBot="1" x14ac:dyDescent="0.3">
      <c r="A44" s="28"/>
      <c r="B44" s="151" t="s">
        <v>247</v>
      </c>
      <c r="C44" s="31"/>
      <c r="D44" s="66"/>
      <c r="E44" s="12"/>
      <c r="F44" s="48"/>
      <c r="G44" s="48"/>
      <c r="H44" s="152"/>
      <c r="I44" s="58"/>
      <c r="J44" s="11"/>
      <c r="K44" s="11"/>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row>
    <row r="45" spans="1:361" s="3" customFormat="1" ht="45.75" customHeight="1" thickBot="1" x14ac:dyDescent="0.3">
      <c r="A45" s="28"/>
      <c r="B45" s="179" t="s">
        <v>249</v>
      </c>
      <c r="C45" s="85" t="s">
        <v>100</v>
      </c>
      <c r="D45" s="86" t="s">
        <v>248</v>
      </c>
      <c r="E45" s="87">
        <v>0.1</v>
      </c>
      <c r="F45" s="48">
        <v>46017</v>
      </c>
      <c r="G45" s="48">
        <v>46031</v>
      </c>
      <c r="H45" s="201" t="s">
        <v>250</v>
      </c>
      <c r="I45" s="58"/>
      <c r="J45" s="11"/>
      <c r="K45" s="11"/>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row>
    <row r="46" spans="1:361" s="3" customFormat="1" ht="45.75" customHeight="1" thickBot="1" x14ac:dyDescent="0.3">
      <c r="A46" s="28"/>
      <c r="B46" s="179"/>
      <c r="C46" s="85"/>
      <c r="D46" s="86"/>
      <c r="E46" s="87"/>
      <c r="F46" s="48"/>
      <c r="G46" s="48"/>
      <c r="H46" s="152"/>
      <c r="I46" s="58"/>
      <c r="J46" s="11"/>
      <c r="K46" s="11"/>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row>
    <row r="47" spans="1:361" s="3" customFormat="1" ht="30.75" customHeight="1" thickBot="1" x14ac:dyDescent="0.3">
      <c r="A47" s="28"/>
      <c r="B47" s="151" t="s">
        <v>96</v>
      </c>
      <c r="C47" s="85" t="s">
        <v>100</v>
      </c>
      <c r="D47" s="86" t="s">
        <v>98</v>
      </c>
      <c r="E47" s="87">
        <v>1</v>
      </c>
      <c r="F47" s="88">
        <v>45778</v>
      </c>
      <c r="G47" s="88">
        <v>45797</v>
      </c>
      <c r="H47" s="89" t="s">
        <v>97</v>
      </c>
      <c r="I47" s="89" t="s">
        <v>97</v>
      </c>
      <c r="J47" s="11"/>
      <c r="K47" s="11"/>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row>
    <row r="48" spans="1:361" s="3" customFormat="1" ht="45.75" customHeight="1" thickBot="1" x14ac:dyDescent="0.3">
      <c r="A48" s="28"/>
      <c r="B48" s="150" t="s">
        <v>99</v>
      </c>
      <c r="C48" s="31" t="s">
        <v>100</v>
      </c>
      <c r="D48" s="66" t="s">
        <v>102</v>
      </c>
      <c r="E48" s="12">
        <v>1</v>
      </c>
      <c r="F48" s="48">
        <v>45778</v>
      </c>
      <c r="G48" s="48">
        <v>45787</v>
      </c>
      <c r="H48" s="152" t="s">
        <v>103</v>
      </c>
      <c r="I48" s="58" t="s">
        <v>105</v>
      </c>
      <c r="J48" s="11"/>
      <c r="K48" s="11"/>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row>
    <row r="49" spans="1:361" s="3" customFormat="1" ht="30.75" customHeight="1" thickBot="1" x14ac:dyDescent="0.3">
      <c r="A49" s="28"/>
      <c r="B49" s="150" t="s">
        <v>101</v>
      </c>
      <c r="C49" s="31" t="s">
        <v>106</v>
      </c>
      <c r="D49" s="66" t="s">
        <v>111</v>
      </c>
      <c r="E49" s="12">
        <v>1</v>
      </c>
      <c r="F49" s="48">
        <v>45787</v>
      </c>
      <c r="G49" s="48">
        <v>45797</v>
      </c>
      <c r="H49" s="58" t="s">
        <v>112</v>
      </c>
      <c r="I49" s="58" t="s">
        <v>104</v>
      </c>
      <c r="J49" s="11"/>
      <c r="K49" s="11"/>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row>
    <row r="50" spans="1:361" s="3" customFormat="1" ht="16.5" customHeight="1" thickBot="1" x14ac:dyDescent="0.3">
      <c r="A50" s="28"/>
      <c r="B50" s="151" t="s">
        <v>108</v>
      </c>
      <c r="C50" s="31"/>
      <c r="D50" s="66"/>
      <c r="E50" s="12"/>
      <c r="F50" s="48"/>
      <c r="G50" s="48"/>
      <c r="H50" s="58"/>
      <c r="I50" s="58"/>
      <c r="J50" s="11"/>
      <c r="K50" s="11"/>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row>
    <row r="51" spans="1:361" s="3" customFormat="1" ht="45.75" customHeight="1" thickBot="1" x14ac:dyDescent="0.3">
      <c r="A51" s="28"/>
      <c r="B51" s="150" t="s">
        <v>107</v>
      </c>
      <c r="C51" s="31" t="s">
        <v>109</v>
      </c>
      <c r="D51" s="66" t="s">
        <v>110</v>
      </c>
      <c r="E51" s="12">
        <v>1</v>
      </c>
      <c r="F51" s="48">
        <v>45789</v>
      </c>
      <c r="G51" s="48">
        <v>45794</v>
      </c>
      <c r="H51" s="58" t="s">
        <v>132</v>
      </c>
      <c r="I51" s="153" t="s">
        <v>116</v>
      </c>
      <c r="J51" s="11"/>
      <c r="K51" s="11"/>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row>
    <row r="52" spans="1:361" s="3" customFormat="1" ht="30.75" customHeight="1" thickBot="1" x14ac:dyDescent="0.3">
      <c r="A52" s="28"/>
      <c r="B52" s="150" t="s">
        <v>113</v>
      </c>
      <c r="C52" s="31" t="s">
        <v>109</v>
      </c>
      <c r="D52" s="66" t="s">
        <v>131</v>
      </c>
      <c r="E52" s="12">
        <v>1</v>
      </c>
      <c r="F52" s="48">
        <v>45797</v>
      </c>
      <c r="G52" s="48">
        <v>45818</v>
      </c>
      <c r="H52" s="58" t="s">
        <v>115</v>
      </c>
      <c r="I52" s="58" t="s">
        <v>114</v>
      </c>
      <c r="J52" s="11"/>
      <c r="K52" s="11"/>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row>
    <row r="53" spans="1:361" s="3" customFormat="1" ht="16.5" customHeight="1" thickBot="1" x14ac:dyDescent="0.3">
      <c r="A53" s="28"/>
      <c r="B53" s="151" t="s">
        <v>133</v>
      </c>
      <c r="C53" s="31"/>
      <c r="D53" s="66"/>
      <c r="E53" s="12"/>
      <c r="F53" s="48"/>
      <c r="G53" s="48"/>
      <c r="H53" s="58"/>
      <c r="I53" s="58"/>
      <c r="J53" s="11"/>
      <c r="K53" s="11"/>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row>
    <row r="54" spans="1:361" s="3" customFormat="1" ht="45.75" customHeight="1" thickBot="1" x14ac:dyDescent="0.3">
      <c r="A54" s="28"/>
      <c r="B54" s="150" t="s">
        <v>134</v>
      </c>
      <c r="C54" s="31" t="s">
        <v>109</v>
      </c>
      <c r="D54" s="66" t="s">
        <v>135</v>
      </c>
      <c r="E54" s="12">
        <v>1</v>
      </c>
      <c r="F54" s="48">
        <v>45789</v>
      </c>
      <c r="G54" s="48">
        <v>45794</v>
      </c>
      <c r="H54" s="58" t="s">
        <v>132</v>
      </c>
      <c r="I54" s="153" t="s">
        <v>136</v>
      </c>
      <c r="J54" s="11"/>
      <c r="K54" s="11"/>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row>
    <row r="55" spans="1:361" s="3" customFormat="1" ht="45.75" customHeight="1" thickBot="1" x14ac:dyDescent="0.3">
      <c r="A55" s="28"/>
      <c r="B55" s="150" t="s">
        <v>137</v>
      </c>
      <c r="C55" s="31" t="s">
        <v>109</v>
      </c>
      <c r="D55" s="66" t="s">
        <v>138</v>
      </c>
      <c r="E55" s="12">
        <v>1</v>
      </c>
      <c r="F55" s="48">
        <v>45797</v>
      </c>
      <c r="G55" s="48">
        <v>45818</v>
      </c>
      <c r="H55" s="58" t="s">
        <v>139</v>
      </c>
      <c r="I55" s="161" t="s">
        <v>140</v>
      </c>
      <c r="J55" s="11"/>
      <c r="K55" s="11"/>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row>
    <row r="56" spans="1:361" s="3" customFormat="1" ht="16.5" customHeight="1" thickBot="1" x14ac:dyDescent="0.3">
      <c r="A56" s="28"/>
      <c r="B56" s="151" t="s">
        <v>142</v>
      </c>
      <c r="C56" s="31"/>
      <c r="D56" s="66"/>
      <c r="E56" s="12"/>
      <c r="F56" s="48"/>
      <c r="G56" s="48"/>
      <c r="H56" s="58"/>
      <c r="I56" s="58"/>
      <c r="J56" s="11"/>
      <c r="K56" s="11"/>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row>
    <row r="57" spans="1:361" s="3" customFormat="1" ht="45.75" customHeight="1" thickBot="1" x14ac:dyDescent="0.3">
      <c r="A57" s="28"/>
      <c r="B57" s="150" t="s">
        <v>143</v>
      </c>
      <c r="C57" s="31" t="s">
        <v>109</v>
      </c>
      <c r="D57" s="66" t="s">
        <v>144</v>
      </c>
      <c r="E57" s="12">
        <v>0.9</v>
      </c>
      <c r="F57" s="48">
        <v>45789</v>
      </c>
      <c r="G57" s="48">
        <v>45794</v>
      </c>
      <c r="H57" s="58" t="s">
        <v>132</v>
      </c>
      <c r="I57" s="153" t="s">
        <v>145</v>
      </c>
      <c r="J57" s="11"/>
      <c r="K57" s="11"/>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row>
    <row r="58" spans="1:361" s="3" customFormat="1" ht="45.75" customHeight="1" thickBot="1" x14ac:dyDescent="0.3">
      <c r="A58" s="28"/>
      <c r="B58" s="177" t="s">
        <v>242</v>
      </c>
      <c r="C58" s="31" t="s">
        <v>109</v>
      </c>
      <c r="D58" s="52" t="s">
        <v>243</v>
      </c>
      <c r="E58" s="12">
        <v>1</v>
      </c>
      <c r="F58" s="48">
        <v>46006</v>
      </c>
      <c r="G58" s="48">
        <v>46007</v>
      </c>
      <c r="H58" s="58" t="s">
        <v>132</v>
      </c>
      <c r="I58" s="153"/>
      <c r="J58" s="11"/>
      <c r="K58" s="11"/>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row>
    <row r="59" spans="1:361" s="3" customFormat="1" ht="45.75" customHeight="1" thickBot="1" x14ac:dyDescent="0.3">
      <c r="A59" s="28"/>
      <c r="B59" s="179" t="s">
        <v>244</v>
      </c>
      <c r="C59" s="31" t="s">
        <v>109</v>
      </c>
      <c r="D59" s="52" t="s">
        <v>245</v>
      </c>
      <c r="E59" s="12">
        <v>0</v>
      </c>
      <c r="F59" s="48">
        <v>46017</v>
      </c>
      <c r="G59" s="48">
        <v>46020</v>
      </c>
      <c r="H59" s="178" t="s">
        <v>246</v>
      </c>
      <c r="I59" s="153"/>
      <c r="J59" s="11"/>
      <c r="K59" s="11"/>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row>
    <row r="60" spans="1:361" s="3" customFormat="1" ht="45.75" customHeight="1" thickBot="1" x14ac:dyDescent="0.3">
      <c r="A60" s="28"/>
      <c r="B60" s="179"/>
      <c r="C60" s="31"/>
      <c r="D60" s="52"/>
      <c r="E60" s="12"/>
      <c r="F60" s="48"/>
      <c r="G60" s="48"/>
      <c r="H60" s="58"/>
      <c r="I60" s="153"/>
      <c r="J60" s="11"/>
      <c r="K60" s="11"/>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row>
    <row r="61" spans="1:361" s="3" customFormat="1" ht="16.5" customHeight="1" thickBot="1" x14ac:dyDescent="0.3">
      <c r="A61" s="28"/>
      <c r="B61" s="151" t="s">
        <v>117</v>
      </c>
      <c r="C61" s="31"/>
      <c r="D61" s="155"/>
      <c r="E61" s="12"/>
      <c r="F61" s="48"/>
      <c r="G61" s="48"/>
      <c r="H61" s="58"/>
      <c r="I61" s="152"/>
      <c r="J61" s="11"/>
      <c r="K61" s="11"/>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row>
    <row r="62" spans="1:361" s="3" customFormat="1" ht="45.75" customHeight="1" thickBot="1" x14ac:dyDescent="0.3">
      <c r="A62" s="28"/>
      <c r="B62" s="150" t="s">
        <v>118</v>
      </c>
      <c r="C62" s="31"/>
      <c r="D62" s="66" t="s">
        <v>120</v>
      </c>
      <c r="E62" s="12">
        <v>1</v>
      </c>
      <c r="F62" s="48"/>
      <c r="G62" s="48"/>
      <c r="H62" s="58"/>
      <c r="I62" s="152"/>
      <c r="J62" s="11"/>
      <c r="K62" s="11"/>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row>
    <row r="63" spans="1:361" s="3" customFormat="1" ht="30.75" customHeight="1" thickBot="1" x14ac:dyDescent="0.3">
      <c r="A63" s="28"/>
      <c r="B63" s="156" t="s">
        <v>121</v>
      </c>
      <c r="C63" s="31"/>
      <c r="D63" s="66" t="s">
        <v>119</v>
      </c>
      <c r="E63" s="12">
        <v>1</v>
      </c>
      <c r="F63" s="48"/>
      <c r="G63" s="48"/>
      <c r="H63" s="58"/>
      <c r="I63" s="58"/>
      <c r="J63" s="11"/>
      <c r="K63" s="11"/>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row>
    <row r="64" spans="1:361" s="3" customFormat="1" ht="30.75" customHeight="1" thickBot="1" x14ac:dyDescent="0.3">
      <c r="A64" s="28"/>
      <c r="B64" s="150" t="s">
        <v>141</v>
      </c>
      <c r="C64" s="31"/>
      <c r="D64" s="66" t="s">
        <v>122</v>
      </c>
      <c r="E64" s="12">
        <v>1</v>
      </c>
      <c r="F64" s="48"/>
      <c r="G64" s="48"/>
      <c r="H64" s="58"/>
      <c r="I64" s="58"/>
      <c r="J64" s="11"/>
      <c r="K64" s="11"/>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row>
    <row r="65" spans="1:361" s="3" customFormat="1" ht="16.5" customHeight="1" thickBot="1" x14ac:dyDescent="0.3">
      <c r="A65" s="28"/>
      <c r="B65" s="151" t="s">
        <v>126</v>
      </c>
      <c r="C65" s="31"/>
      <c r="D65" s="155" t="s">
        <v>228</v>
      </c>
      <c r="E65" s="12"/>
      <c r="F65" s="48"/>
      <c r="G65" s="48"/>
      <c r="H65" s="58"/>
      <c r="I65" s="58"/>
      <c r="J65" s="11"/>
      <c r="K65" s="11"/>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row>
    <row r="66" spans="1:361" s="3" customFormat="1" ht="15.75" customHeight="1" thickBot="1" x14ac:dyDescent="0.3">
      <c r="A66" s="28"/>
      <c r="B66" s="150" t="s">
        <v>127</v>
      </c>
      <c r="C66" s="31"/>
      <c r="D66" s="66"/>
      <c r="E66" s="12"/>
      <c r="F66" s="48"/>
      <c r="G66" s="48"/>
      <c r="H66" s="58"/>
      <c r="I66" s="178" t="s">
        <v>229</v>
      </c>
      <c r="J66" s="11"/>
      <c r="K66" s="11"/>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row>
    <row r="67" spans="1:361" s="3" customFormat="1" ht="15.75" customHeight="1" thickBot="1" x14ac:dyDescent="0.3">
      <c r="A67" s="28"/>
      <c r="B67" s="150" t="s">
        <v>128</v>
      </c>
      <c r="C67" s="31"/>
      <c r="D67" s="66"/>
      <c r="E67" s="12"/>
      <c r="F67" s="48"/>
      <c r="G67" s="48"/>
      <c r="H67" s="58"/>
      <c r="I67" s="178" t="s">
        <v>229</v>
      </c>
      <c r="J67" s="11"/>
      <c r="K67" s="11"/>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row>
    <row r="68" spans="1:361" s="3" customFormat="1" ht="15.75" customHeight="1" thickBot="1" x14ac:dyDescent="0.3">
      <c r="A68" s="28"/>
      <c r="B68" s="150"/>
      <c r="C68" s="31"/>
      <c r="D68" s="66"/>
      <c r="E68" s="12"/>
      <c r="F68" s="48"/>
      <c r="G68" s="48"/>
      <c r="H68" s="58"/>
      <c r="I68" s="58"/>
      <c r="J68" s="11"/>
      <c r="K68" s="11"/>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row>
    <row r="69" spans="1:361" s="3" customFormat="1" ht="15.75" thickBot="1" x14ac:dyDescent="0.3">
      <c r="A69" s="28"/>
      <c r="B69" s="90" t="s">
        <v>182</v>
      </c>
      <c r="C69" s="91"/>
      <c r="D69" s="92"/>
      <c r="E69" s="93"/>
      <c r="F69" s="94"/>
      <c r="G69" s="95"/>
      <c r="H69" s="96"/>
      <c r="I69" s="97"/>
      <c r="J69" s="11"/>
      <c r="K69" s="11"/>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row>
    <row r="70" spans="1:361" s="3" customFormat="1" ht="16.5" thickBot="1" x14ac:dyDescent="0.3">
      <c r="A70" s="28"/>
      <c r="B70" s="186" t="s">
        <v>150</v>
      </c>
      <c r="C70" s="187"/>
      <c r="D70" s="188"/>
      <c r="E70" s="189"/>
      <c r="F70" s="190"/>
      <c r="G70" s="190"/>
      <c r="H70" s="191"/>
      <c r="I70" s="192"/>
      <c r="J70" s="11"/>
      <c r="K70" s="11"/>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row>
    <row r="71" spans="1:361" s="3" customFormat="1" ht="30.75" thickBot="1" x14ac:dyDescent="0.3">
      <c r="A71" s="28"/>
      <c r="B71" s="179" t="s">
        <v>189</v>
      </c>
      <c r="C71" s="47" t="s">
        <v>216</v>
      </c>
      <c r="D71" s="52" t="s">
        <v>190</v>
      </c>
      <c r="E71" s="12">
        <v>1</v>
      </c>
      <c r="F71" s="48">
        <v>45980</v>
      </c>
      <c r="G71" s="48">
        <v>45981</v>
      </c>
      <c r="H71" s="152" t="s">
        <v>183</v>
      </c>
      <c r="I71" s="153" t="s">
        <v>227</v>
      </c>
      <c r="J71" s="11"/>
      <c r="K71" s="11"/>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row>
    <row r="72" spans="1:361" s="3" customFormat="1" ht="30.75" thickBot="1" x14ac:dyDescent="0.3">
      <c r="A72" s="28"/>
      <c r="B72" s="179" t="s">
        <v>184</v>
      </c>
      <c r="C72" s="47" t="s">
        <v>217</v>
      </c>
      <c r="D72" s="66" t="s">
        <v>191</v>
      </c>
      <c r="E72" s="12">
        <v>1</v>
      </c>
      <c r="F72" s="48">
        <v>45981</v>
      </c>
      <c r="G72" s="48">
        <v>45981</v>
      </c>
      <c r="H72" s="58" t="s">
        <v>184</v>
      </c>
      <c r="I72" s="153" t="s">
        <v>215</v>
      </c>
      <c r="J72" s="11"/>
      <c r="K72" s="11"/>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row>
    <row r="73" spans="1:361" s="3" customFormat="1" ht="30" customHeight="1" thickBot="1" x14ac:dyDescent="0.3">
      <c r="A73" s="28"/>
      <c r="B73" s="179" t="s">
        <v>185</v>
      </c>
      <c r="C73" s="47" t="s">
        <v>216</v>
      </c>
      <c r="D73" s="52" t="s">
        <v>192</v>
      </c>
      <c r="E73" s="12">
        <v>1</v>
      </c>
      <c r="F73" s="48">
        <v>45982</v>
      </c>
      <c r="G73" s="48">
        <v>45983</v>
      </c>
      <c r="H73" s="58" t="s">
        <v>185</v>
      </c>
      <c r="I73" s="153" t="s">
        <v>218</v>
      </c>
      <c r="J73" s="11"/>
      <c r="K73" s="11"/>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row>
    <row r="74" spans="1:361" s="3" customFormat="1" ht="16.5" thickBot="1" x14ac:dyDescent="0.3">
      <c r="A74" s="28"/>
      <c r="B74" s="185" t="s">
        <v>157</v>
      </c>
      <c r="C74" s="180"/>
      <c r="D74" s="181"/>
      <c r="E74" s="182"/>
      <c r="F74" s="183"/>
      <c r="G74" s="183"/>
      <c r="H74" s="184"/>
      <c r="I74" s="184"/>
      <c r="J74" s="11"/>
      <c r="K74" s="11"/>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row>
    <row r="75" spans="1:361" s="3" customFormat="1" ht="43.5" customHeight="1" thickBot="1" x14ac:dyDescent="0.3">
      <c r="A75" s="28"/>
      <c r="B75" s="179" t="s">
        <v>193</v>
      </c>
      <c r="C75" s="47" t="s">
        <v>219</v>
      </c>
      <c r="D75" s="52" t="s">
        <v>194</v>
      </c>
      <c r="E75" s="12">
        <v>1</v>
      </c>
      <c r="F75" s="48">
        <v>45980</v>
      </c>
      <c r="G75" s="48">
        <v>45993</v>
      </c>
      <c r="H75" s="178" t="s">
        <v>187</v>
      </c>
      <c r="I75" s="153" t="s">
        <v>220</v>
      </c>
      <c r="J75" s="11"/>
      <c r="K75" s="11"/>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row>
    <row r="76" spans="1:361" s="3" customFormat="1" ht="30.75" thickBot="1" x14ac:dyDescent="0.3">
      <c r="A76" s="28"/>
      <c r="B76" s="177" t="s">
        <v>186</v>
      </c>
      <c r="C76" s="47" t="s">
        <v>217</v>
      </c>
      <c r="D76" s="52" t="s">
        <v>217</v>
      </c>
      <c r="E76" s="12">
        <v>1</v>
      </c>
      <c r="F76" s="48">
        <v>45983</v>
      </c>
      <c r="G76" s="48">
        <v>45994</v>
      </c>
      <c r="H76" s="178" t="s">
        <v>214</v>
      </c>
      <c r="I76" s="153" t="s">
        <v>221</v>
      </c>
      <c r="J76" s="11"/>
      <c r="K76" s="11"/>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row>
    <row r="77" spans="1:361" s="3" customFormat="1" ht="45.75" thickBot="1" x14ac:dyDescent="0.3">
      <c r="A77" s="28"/>
      <c r="B77" s="179" t="s">
        <v>188</v>
      </c>
      <c r="C77" s="47" t="s">
        <v>217</v>
      </c>
      <c r="D77" s="66" t="s">
        <v>195</v>
      </c>
      <c r="E77" s="12">
        <v>1</v>
      </c>
      <c r="F77" s="48">
        <v>45993</v>
      </c>
      <c r="G77" s="48">
        <v>45995</v>
      </c>
      <c r="H77" s="178" t="s">
        <v>188</v>
      </c>
      <c r="I77" s="153" t="s">
        <v>222</v>
      </c>
      <c r="J77" s="11"/>
      <c r="K77" s="11"/>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row>
    <row r="78" spans="1:361" s="3" customFormat="1" ht="16.5" thickBot="1" x14ac:dyDescent="0.3">
      <c r="A78" s="28"/>
      <c r="B78" s="185" t="s">
        <v>164</v>
      </c>
      <c r="C78" s="180"/>
      <c r="D78" s="181"/>
      <c r="E78" s="182"/>
      <c r="F78" s="183"/>
      <c r="G78" s="183"/>
      <c r="H78" s="184"/>
      <c r="I78" s="184"/>
      <c r="J78" s="11"/>
      <c r="K78" s="11"/>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row>
    <row r="79" spans="1:361" s="3" customFormat="1" ht="34.5" customHeight="1" thickBot="1" x14ac:dyDescent="0.3">
      <c r="A79" s="28"/>
      <c r="B79" s="179" t="s">
        <v>196</v>
      </c>
      <c r="C79" s="47" t="s">
        <v>217</v>
      </c>
      <c r="D79" s="66" t="s">
        <v>197</v>
      </c>
      <c r="E79" s="12">
        <v>1</v>
      </c>
      <c r="F79" s="48">
        <v>45995</v>
      </c>
      <c r="G79" s="48">
        <v>45996</v>
      </c>
      <c r="H79" s="58" t="s">
        <v>196</v>
      </c>
      <c r="I79" s="58"/>
      <c r="J79" s="11"/>
      <c r="K79" s="11"/>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row>
    <row r="80" spans="1:361" s="3" customFormat="1" ht="30.75" thickBot="1" x14ac:dyDescent="0.3">
      <c r="A80" s="28"/>
      <c r="B80" s="179" t="s">
        <v>198</v>
      </c>
      <c r="C80" s="47" t="s">
        <v>217</v>
      </c>
      <c r="D80" s="66" t="s">
        <v>199</v>
      </c>
      <c r="E80" s="12">
        <v>1</v>
      </c>
      <c r="F80" s="48">
        <v>45981</v>
      </c>
      <c r="G80" s="48">
        <v>45993</v>
      </c>
      <c r="H80" s="58" t="s">
        <v>210</v>
      </c>
      <c r="I80" s="58"/>
      <c r="J80" s="11"/>
      <c r="K80" s="11"/>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row>
    <row r="81" spans="1:361" s="3" customFormat="1" ht="30.75" thickBot="1" x14ac:dyDescent="0.3">
      <c r="A81" s="28"/>
      <c r="B81" s="179" t="s">
        <v>200</v>
      </c>
      <c r="C81" s="47" t="s">
        <v>217</v>
      </c>
      <c r="D81" s="66" t="s">
        <v>201</v>
      </c>
      <c r="E81" s="12">
        <v>0.9</v>
      </c>
      <c r="F81" s="48">
        <v>45993</v>
      </c>
      <c r="G81" s="48">
        <v>45993</v>
      </c>
      <c r="H81" s="153" t="s">
        <v>211</v>
      </c>
      <c r="I81" s="153" t="s">
        <v>223</v>
      </c>
      <c r="J81" s="11"/>
      <c r="K81" s="11"/>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row>
    <row r="82" spans="1:361" s="3" customFormat="1" ht="16.5" thickBot="1" x14ac:dyDescent="0.3">
      <c r="A82" s="28"/>
      <c r="B82" s="185" t="s">
        <v>172</v>
      </c>
      <c r="C82" s="180"/>
      <c r="D82" s="181"/>
      <c r="E82" s="182"/>
      <c r="F82" s="183"/>
      <c r="G82" s="183"/>
      <c r="H82" s="184"/>
      <c r="I82" s="184"/>
      <c r="J82" s="11"/>
      <c r="K82" s="11"/>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row>
    <row r="83" spans="1:361" s="3" customFormat="1" ht="61.5" customHeight="1" thickBot="1" x14ac:dyDescent="0.3">
      <c r="A83" s="28"/>
      <c r="B83" s="179" t="s">
        <v>202</v>
      </c>
      <c r="C83" s="47" t="s">
        <v>216</v>
      </c>
      <c r="D83" s="52" t="s">
        <v>203</v>
      </c>
      <c r="E83" s="12">
        <v>1</v>
      </c>
      <c r="F83" s="48">
        <v>45993</v>
      </c>
      <c r="G83" s="48">
        <v>45996</v>
      </c>
      <c r="H83" s="58" t="s">
        <v>202</v>
      </c>
      <c r="I83" s="58"/>
      <c r="J83" s="11"/>
      <c r="K83" s="11"/>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row>
    <row r="84" spans="1:361" s="3" customFormat="1" ht="36" customHeight="1" thickBot="1" x14ac:dyDescent="0.3">
      <c r="A84" s="28"/>
      <c r="B84" s="179" t="s">
        <v>204</v>
      </c>
      <c r="C84" s="193" t="s">
        <v>225</v>
      </c>
      <c r="D84" s="66" t="s">
        <v>205</v>
      </c>
      <c r="E84" s="12">
        <v>0</v>
      </c>
      <c r="F84" s="48">
        <v>45993</v>
      </c>
      <c r="G84" s="48">
        <v>45996</v>
      </c>
      <c r="H84" s="58" t="s">
        <v>204</v>
      </c>
      <c r="I84" s="58"/>
      <c r="J84" s="11"/>
      <c r="K84" s="11"/>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row>
    <row r="85" spans="1:361" s="3" customFormat="1" ht="16.5" thickBot="1" x14ac:dyDescent="0.3">
      <c r="A85" s="28"/>
      <c r="B85" s="185" t="s">
        <v>177</v>
      </c>
      <c r="C85" s="180"/>
      <c r="D85" s="181"/>
      <c r="E85" s="182"/>
      <c r="F85" s="183"/>
      <c r="G85" s="183"/>
      <c r="H85" s="184"/>
      <c r="I85" s="184"/>
      <c r="J85" s="11"/>
      <c r="K85" s="11"/>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row>
    <row r="86" spans="1:361" s="3" customFormat="1" ht="48.75" customHeight="1" thickBot="1" x14ac:dyDescent="0.3">
      <c r="A86" s="28"/>
      <c r="B86" s="179" t="s">
        <v>206</v>
      </c>
      <c r="C86" s="31"/>
      <c r="D86" s="66" t="s">
        <v>207</v>
      </c>
      <c r="E86" s="12">
        <v>1</v>
      </c>
      <c r="F86" s="48">
        <v>45981</v>
      </c>
      <c r="G86" s="48">
        <v>45996</v>
      </c>
      <c r="H86" s="58" t="s">
        <v>206</v>
      </c>
      <c r="I86" s="153" t="s">
        <v>224</v>
      </c>
      <c r="J86" s="11"/>
      <c r="K86" s="11"/>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row>
    <row r="87" spans="1:361" s="3" customFormat="1" ht="33.75" customHeight="1" thickBot="1" x14ac:dyDescent="0.3">
      <c r="A87" s="28"/>
      <c r="B87" s="179" t="s">
        <v>208</v>
      </c>
      <c r="C87" s="31"/>
      <c r="D87" s="52" t="s">
        <v>209</v>
      </c>
      <c r="E87" s="12">
        <v>1</v>
      </c>
      <c r="F87" s="48">
        <v>45980</v>
      </c>
      <c r="G87" s="48">
        <v>46000</v>
      </c>
      <c r="H87" s="58" t="s">
        <v>208</v>
      </c>
      <c r="I87" s="153" t="s">
        <v>226</v>
      </c>
      <c r="J87" s="11"/>
      <c r="K87" s="11"/>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row>
    <row r="88" spans="1:361" s="3" customFormat="1" ht="33.75" customHeight="1" thickBot="1" x14ac:dyDescent="0.3">
      <c r="A88" s="28"/>
      <c r="B88" s="179"/>
      <c r="C88" s="31"/>
      <c r="D88" s="52"/>
      <c r="E88" s="12"/>
      <c r="F88" s="48"/>
      <c r="G88" s="48"/>
      <c r="H88" s="58"/>
      <c r="I88" s="153"/>
      <c r="J88" s="11"/>
      <c r="K88" s="11"/>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row>
    <row r="89" spans="1:361" s="3" customFormat="1" ht="15.75" thickBot="1" x14ac:dyDescent="0.3">
      <c r="A89" s="28"/>
      <c r="B89" s="202" t="s">
        <v>266</v>
      </c>
      <c r="C89" s="203"/>
      <c r="D89" s="204"/>
      <c r="E89" s="205"/>
      <c r="F89" s="206"/>
      <c r="G89" s="207"/>
      <c r="H89" s="208"/>
      <c r="I89" s="209"/>
      <c r="J89" s="11"/>
      <c r="K89" s="11"/>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row>
    <row r="90" spans="1:361" s="3" customFormat="1" ht="16.5" thickBot="1" x14ac:dyDescent="0.3">
      <c r="A90" s="28"/>
      <c r="B90" s="219" t="s">
        <v>267</v>
      </c>
      <c r="C90" s="220"/>
      <c r="D90" s="221"/>
      <c r="E90" s="222"/>
      <c r="F90" s="223"/>
      <c r="G90" s="223"/>
      <c r="H90" s="224"/>
      <c r="I90" s="225"/>
      <c r="J90" s="11"/>
      <c r="K90" s="11"/>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row>
    <row r="91" spans="1:361" s="3" customFormat="1" ht="30.75" thickBot="1" x14ac:dyDescent="0.3">
      <c r="A91" s="28"/>
      <c r="B91" s="211" t="s">
        <v>269</v>
      </c>
      <c r="C91" s="212" t="s">
        <v>270</v>
      </c>
      <c r="D91" s="213" t="s">
        <v>271</v>
      </c>
      <c r="E91" s="214">
        <v>0.1</v>
      </c>
      <c r="F91" s="215">
        <v>27</v>
      </c>
      <c r="G91" s="215">
        <v>46059</v>
      </c>
      <c r="H91" s="216" t="s">
        <v>130</v>
      </c>
      <c r="I91" s="216"/>
      <c r="J91" s="11"/>
      <c r="K91" s="11"/>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row>
    <row r="92" spans="1:361" s="3" customFormat="1" ht="16.5" thickBot="1" x14ac:dyDescent="0.3">
      <c r="A92" s="28"/>
      <c r="B92" s="219" t="s">
        <v>268</v>
      </c>
      <c r="C92" s="220"/>
      <c r="D92" s="221"/>
      <c r="E92" s="222"/>
      <c r="F92" s="223"/>
      <c r="G92" s="223"/>
      <c r="H92" s="224"/>
      <c r="I92" s="225"/>
      <c r="J92" s="11"/>
      <c r="K92" s="11"/>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row>
    <row r="93" spans="1:361" s="3" customFormat="1" ht="30.75" thickBot="1" x14ac:dyDescent="0.3">
      <c r="A93" s="28"/>
      <c r="B93" s="211" t="s">
        <v>272</v>
      </c>
      <c r="C93" s="212" t="s">
        <v>109</v>
      </c>
      <c r="D93" s="213" t="s">
        <v>273</v>
      </c>
      <c r="E93" s="214">
        <v>0</v>
      </c>
      <c r="F93" s="215">
        <v>46049</v>
      </c>
      <c r="G93" s="215">
        <v>46064</v>
      </c>
      <c r="H93" s="216" t="s">
        <v>274</v>
      </c>
      <c r="I93" s="216"/>
      <c r="J93" s="11"/>
      <c r="K93" s="11"/>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row>
    <row r="94" spans="1:361" s="3" customFormat="1" ht="30.75" thickBot="1" x14ac:dyDescent="0.3">
      <c r="A94" s="28"/>
      <c r="B94" s="211" t="s">
        <v>275</v>
      </c>
      <c r="C94" s="212" t="s">
        <v>276</v>
      </c>
      <c r="D94" s="213" t="s">
        <v>277</v>
      </c>
      <c r="E94" s="214">
        <v>0</v>
      </c>
      <c r="F94" s="215">
        <v>46059</v>
      </c>
      <c r="G94" s="215">
        <v>46066</v>
      </c>
      <c r="H94" s="216" t="s">
        <v>278</v>
      </c>
      <c r="I94" s="216"/>
      <c r="J94" s="11"/>
      <c r="K94" s="11"/>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row>
    <row r="95" spans="1:361" s="3" customFormat="1" ht="16.5" thickBot="1" x14ac:dyDescent="0.3">
      <c r="A95" s="28"/>
      <c r="B95" s="219" t="s">
        <v>281</v>
      </c>
      <c r="C95" s="220"/>
      <c r="D95" s="221"/>
      <c r="E95" s="222"/>
      <c r="F95" s="223"/>
      <c r="G95" s="223"/>
      <c r="H95" s="224"/>
      <c r="I95" s="225"/>
      <c r="J95" s="11"/>
      <c r="K95" s="11"/>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row>
    <row r="96" spans="1:361" s="3" customFormat="1" ht="30.75" thickBot="1" x14ac:dyDescent="0.3">
      <c r="A96" s="28"/>
      <c r="B96" s="211" t="s">
        <v>282</v>
      </c>
      <c r="C96" s="212" t="s">
        <v>109</v>
      </c>
      <c r="D96" s="213" t="s">
        <v>284</v>
      </c>
      <c r="E96" s="214">
        <v>0</v>
      </c>
      <c r="F96" s="215"/>
      <c r="G96" s="215"/>
      <c r="H96" s="216" t="s">
        <v>283</v>
      </c>
      <c r="I96" s="216" t="s">
        <v>298</v>
      </c>
      <c r="J96" s="11"/>
      <c r="K96" s="11"/>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row>
    <row r="97" spans="1:361" s="3" customFormat="1" ht="15.75" thickBot="1" x14ac:dyDescent="0.3">
      <c r="A97" s="28"/>
      <c r="B97" s="211"/>
      <c r="C97" s="212"/>
      <c r="D97" s="213"/>
      <c r="E97" s="214"/>
      <c r="F97" s="215"/>
      <c r="G97" s="215"/>
      <c r="H97" s="216"/>
      <c r="I97" s="216"/>
      <c r="J97" s="11"/>
      <c r="K97" s="11"/>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row>
    <row r="98" spans="1:361" s="3" customFormat="1" ht="63.75" thickBot="1" x14ac:dyDescent="0.3">
      <c r="A98" s="28"/>
      <c r="B98" s="202" t="s">
        <v>260</v>
      </c>
      <c r="C98" s="203"/>
      <c r="D98" s="204"/>
      <c r="E98" s="205"/>
      <c r="F98" s="206"/>
      <c r="G98" s="207"/>
      <c r="H98" s="208"/>
      <c r="I98" s="228" t="s">
        <v>297</v>
      </c>
      <c r="J98" s="11"/>
      <c r="K98" s="11"/>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row>
    <row r="99" spans="1:361" s="3" customFormat="1" ht="16.5" thickBot="1" x14ac:dyDescent="0.3">
      <c r="A99" s="28"/>
      <c r="B99" s="219" t="s">
        <v>251</v>
      </c>
      <c r="C99" s="220"/>
      <c r="D99" s="221"/>
      <c r="E99" s="222"/>
      <c r="F99" s="223"/>
      <c r="G99" s="223"/>
      <c r="H99" s="224"/>
      <c r="I99" s="225"/>
      <c r="J99" s="11"/>
      <c r="K99" s="11"/>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row>
    <row r="100" spans="1:361" s="3" customFormat="1" ht="30.75" thickBot="1" x14ac:dyDescent="0.3">
      <c r="A100" s="28"/>
      <c r="B100" s="211" t="s">
        <v>252</v>
      </c>
      <c r="C100" s="212" t="s">
        <v>253</v>
      </c>
      <c r="D100" s="213"/>
      <c r="E100" s="214" t="s">
        <v>217</v>
      </c>
      <c r="F100" s="215"/>
      <c r="G100" s="215"/>
      <c r="H100" s="216" t="s">
        <v>254</v>
      </c>
      <c r="I100" s="216" t="s">
        <v>255</v>
      </c>
      <c r="J100" s="11"/>
      <c r="K100" s="11"/>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row>
    <row r="101" spans="1:361" s="3" customFormat="1" ht="15.75" thickBot="1" x14ac:dyDescent="0.3">
      <c r="A101" s="28"/>
      <c r="B101" s="211"/>
      <c r="C101" s="212"/>
      <c r="D101" s="213"/>
      <c r="E101" s="210"/>
      <c r="F101" s="215"/>
      <c r="G101" s="215"/>
      <c r="H101" s="216"/>
      <c r="I101" s="216"/>
      <c r="J101" s="11"/>
      <c r="K101" s="11"/>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row>
    <row r="102" spans="1:361" s="3" customFormat="1" ht="16.5" thickBot="1" x14ac:dyDescent="0.3">
      <c r="A102" s="28"/>
      <c r="B102" s="219" t="s">
        <v>285</v>
      </c>
      <c r="C102" s="220"/>
      <c r="D102" s="221"/>
      <c r="E102" s="222"/>
      <c r="F102" s="223"/>
      <c r="G102" s="223"/>
      <c r="H102" s="224"/>
      <c r="I102" s="225"/>
      <c r="J102" s="11"/>
      <c r="K102" s="11"/>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row>
    <row r="103" spans="1:361" s="3" customFormat="1" ht="60.75" thickBot="1" x14ac:dyDescent="0.3">
      <c r="A103" s="28"/>
      <c r="B103" s="211" t="s">
        <v>261</v>
      </c>
      <c r="C103" s="212" t="s">
        <v>262</v>
      </c>
      <c r="D103" s="213" t="s">
        <v>264</v>
      </c>
      <c r="E103" s="214">
        <v>0</v>
      </c>
      <c r="F103" s="226">
        <v>46051</v>
      </c>
      <c r="G103" s="226">
        <v>46052</v>
      </c>
      <c r="H103" s="216" t="s">
        <v>263</v>
      </c>
      <c r="I103" s="216" t="s">
        <v>265</v>
      </c>
      <c r="J103" s="11"/>
      <c r="K103" s="11"/>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row>
    <row r="104" spans="1:361" s="3" customFormat="1" ht="16.5" thickBot="1" x14ac:dyDescent="0.3">
      <c r="A104" s="28"/>
      <c r="B104" s="219" t="s">
        <v>286</v>
      </c>
      <c r="C104" s="220"/>
      <c r="D104" s="221"/>
      <c r="E104" s="222"/>
      <c r="F104" s="223"/>
      <c r="G104" s="223"/>
      <c r="H104" s="224"/>
      <c r="I104" s="225"/>
      <c r="J104" s="11"/>
      <c r="K104" s="11"/>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row>
    <row r="105" spans="1:361" s="3" customFormat="1" ht="45.75" thickBot="1" x14ac:dyDescent="0.3">
      <c r="A105" s="28"/>
      <c r="B105" s="211" t="s">
        <v>257</v>
      </c>
      <c r="C105" s="212" t="s">
        <v>256</v>
      </c>
      <c r="D105" s="213" t="s">
        <v>280</v>
      </c>
      <c r="E105" s="214">
        <v>0</v>
      </c>
      <c r="F105" s="226" t="s">
        <v>217</v>
      </c>
      <c r="G105" s="226" t="s">
        <v>217</v>
      </c>
      <c r="H105" s="216" t="s">
        <v>279</v>
      </c>
      <c r="I105" s="216"/>
      <c r="J105" s="11"/>
      <c r="K105" s="11"/>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row>
    <row r="106" spans="1:361" s="3" customFormat="1" ht="16.5" thickBot="1" x14ac:dyDescent="0.3">
      <c r="A106" s="28"/>
      <c r="B106" s="219" t="s">
        <v>287</v>
      </c>
      <c r="C106" s="220"/>
      <c r="D106" s="221"/>
      <c r="E106" s="222"/>
      <c r="F106" s="223"/>
      <c r="G106" s="223"/>
      <c r="H106" s="224"/>
      <c r="I106" s="225"/>
      <c r="J106" s="11"/>
      <c r="K106" s="11"/>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row>
    <row r="107" spans="1:361" s="3" customFormat="1" ht="30.75" thickBot="1" x14ac:dyDescent="0.3">
      <c r="A107" s="28"/>
      <c r="B107" s="211" t="s">
        <v>258</v>
      </c>
      <c r="C107" s="212" t="s">
        <v>259</v>
      </c>
      <c r="D107" s="213" t="s">
        <v>280</v>
      </c>
      <c r="E107" s="214">
        <v>0</v>
      </c>
      <c r="F107" s="226" t="s">
        <v>217</v>
      </c>
      <c r="G107" s="226" t="s">
        <v>217</v>
      </c>
      <c r="H107" s="216" t="s">
        <v>279</v>
      </c>
      <c r="I107" s="216"/>
      <c r="J107" s="11"/>
      <c r="K107" s="11"/>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row>
    <row r="108" spans="1:361" s="3" customFormat="1" ht="16.5" thickBot="1" x14ac:dyDescent="0.3">
      <c r="A108" s="28"/>
      <c r="B108" s="219" t="s">
        <v>288</v>
      </c>
      <c r="C108" s="220"/>
      <c r="D108" s="221"/>
      <c r="E108" s="222"/>
      <c r="F108" s="223"/>
      <c r="G108" s="223"/>
      <c r="H108" s="224"/>
      <c r="I108" s="225"/>
      <c r="J108" s="11"/>
      <c r="K108" s="11"/>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row>
    <row r="109" spans="1:361" s="3" customFormat="1" ht="45.75" thickBot="1" x14ac:dyDescent="0.3">
      <c r="A109" s="28"/>
      <c r="B109" s="211" t="s">
        <v>289</v>
      </c>
      <c r="C109" s="212" t="s">
        <v>290</v>
      </c>
      <c r="D109" s="213" t="s">
        <v>293</v>
      </c>
      <c r="E109" s="214">
        <v>0</v>
      </c>
      <c r="F109" s="226" t="s">
        <v>217</v>
      </c>
      <c r="G109" s="226" t="s">
        <v>217</v>
      </c>
      <c r="H109" s="216" t="s">
        <v>292</v>
      </c>
      <c r="I109" s="216"/>
      <c r="J109" s="11"/>
      <c r="K109" s="11"/>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row>
    <row r="110" spans="1:361" s="3" customFormat="1" ht="33.75" customHeight="1" thickBot="1" x14ac:dyDescent="0.3">
      <c r="A110" s="28"/>
      <c r="B110" s="211" t="s">
        <v>294</v>
      </c>
      <c r="C110" s="212" t="s">
        <v>295</v>
      </c>
      <c r="D110" s="213" t="s">
        <v>296</v>
      </c>
      <c r="E110" s="214">
        <v>0</v>
      </c>
      <c r="F110" s="226" t="s">
        <v>217</v>
      </c>
      <c r="G110" s="226" t="s">
        <v>217</v>
      </c>
      <c r="H110" s="227" t="s">
        <v>291</v>
      </c>
      <c r="I110" s="216"/>
      <c r="J110" s="11"/>
      <c r="K110" s="11"/>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row>
    <row r="111" spans="1:361" s="3" customFormat="1" ht="16.5" thickBot="1" x14ac:dyDescent="0.3">
      <c r="A111" s="28"/>
      <c r="B111" s="219" t="s">
        <v>299</v>
      </c>
      <c r="C111" s="220"/>
      <c r="D111" s="221"/>
      <c r="E111" s="222"/>
      <c r="F111" s="223"/>
      <c r="G111" s="223"/>
      <c r="H111" s="224"/>
      <c r="I111" s="225"/>
      <c r="J111" s="11"/>
      <c r="K111" s="11"/>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row>
    <row r="112" spans="1:361" s="3" customFormat="1" ht="45.75" thickBot="1" x14ac:dyDescent="0.3">
      <c r="A112" s="28"/>
      <c r="B112" s="211" t="s">
        <v>289</v>
      </c>
      <c r="C112" s="212" t="s">
        <v>290</v>
      </c>
      <c r="D112" s="213" t="s">
        <v>293</v>
      </c>
      <c r="E112" s="214">
        <v>0</v>
      </c>
      <c r="F112" s="226" t="s">
        <v>217</v>
      </c>
      <c r="G112" s="226" t="s">
        <v>217</v>
      </c>
      <c r="H112" s="216" t="s">
        <v>292</v>
      </c>
      <c r="I112" s="216"/>
      <c r="J112" s="11"/>
      <c r="K112" s="11"/>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row>
    <row r="113" spans="1:361" s="3" customFormat="1" ht="33.75" customHeight="1" thickBot="1" x14ac:dyDescent="0.3">
      <c r="A113" s="28"/>
      <c r="B113" s="211"/>
      <c r="C113" s="217"/>
      <c r="D113" s="213"/>
      <c r="E113" s="214"/>
      <c r="F113" s="215"/>
      <c r="G113" s="215"/>
      <c r="H113" s="218"/>
      <c r="I113" s="216"/>
      <c r="J113" s="11"/>
      <c r="K113" s="11"/>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row>
    <row r="114" spans="1:361" s="3" customFormat="1" ht="15.75" thickBot="1" x14ac:dyDescent="0.3">
      <c r="A114" s="28" t="s">
        <v>6</v>
      </c>
      <c r="B114" s="36"/>
      <c r="C114" s="33"/>
      <c r="D114" s="33"/>
      <c r="E114" s="10"/>
      <c r="F114" s="41"/>
      <c r="G114" s="41"/>
      <c r="H114" s="41"/>
      <c r="I114" s="41"/>
      <c r="J114" s="11"/>
      <c r="K114" s="11" t="str">
        <f t="shared" si="346"/>
        <v/>
      </c>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row>
    <row r="115" spans="1:361" s="3" customFormat="1" ht="15.75" thickBot="1" x14ac:dyDescent="0.3">
      <c r="A115" s="28" t="s">
        <v>7</v>
      </c>
      <c r="B115" s="36" t="s">
        <v>9</v>
      </c>
      <c r="C115" s="33"/>
      <c r="D115" s="33"/>
      <c r="E115" s="10"/>
      <c r="F115" s="41"/>
      <c r="G115" s="41"/>
      <c r="H115" s="41"/>
      <c r="I115" s="41"/>
      <c r="J115" s="11"/>
      <c r="K115" s="11" t="str">
        <f t="shared" si="346"/>
        <v/>
      </c>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row>
  </sheetData>
  <mergeCells count="56">
    <mergeCell ref="MC4:MI4"/>
    <mergeCell ref="MJ4:MP4"/>
    <mergeCell ref="MQ4:MW4"/>
    <mergeCell ref="KT4:KZ4"/>
    <mergeCell ref="LA4:LG4"/>
    <mergeCell ref="LH4:LN4"/>
    <mergeCell ref="LO4:LU4"/>
    <mergeCell ref="LV4:MB4"/>
    <mergeCell ref="JK4:JQ4"/>
    <mergeCell ref="JR4:JX4"/>
    <mergeCell ref="JY4:KE4"/>
    <mergeCell ref="KF4:KL4"/>
    <mergeCell ref="KM4:KS4"/>
    <mergeCell ref="IB4:IH4"/>
    <mergeCell ref="II4:IO4"/>
    <mergeCell ref="IP4:IV4"/>
    <mergeCell ref="IW4:JC4"/>
    <mergeCell ref="JD4:JJ4"/>
    <mergeCell ref="GS4:GY4"/>
    <mergeCell ref="GZ4:HF4"/>
    <mergeCell ref="HG4:HM4"/>
    <mergeCell ref="HN4:HT4"/>
    <mergeCell ref="HU4:IA4"/>
    <mergeCell ref="FJ4:FP4"/>
    <mergeCell ref="FQ4:FW4"/>
    <mergeCell ref="FX4:GD4"/>
    <mergeCell ref="GE4:GK4"/>
    <mergeCell ref="GL4:GR4"/>
    <mergeCell ref="EA4:EG4"/>
    <mergeCell ref="EH4:EN4"/>
    <mergeCell ref="EO4:EU4"/>
    <mergeCell ref="EV4:FB4"/>
    <mergeCell ref="FC4:FI4"/>
    <mergeCell ref="DT4:DZ4"/>
    <mergeCell ref="CK4:CQ4"/>
    <mergeCell ref="CR4:CX4"/>
    <mergeCell ref="CY4:DE4"/>
    <mergeCell ref="DF4:DL4"/>
    <mergeCell ref="DM4:DS4"/>
    <mergeCell ref="B1:C1"/>
    <mergeCell ref="B2:C2"/>
    <mergeCell ref="B3:C3"/>
    <mergeCell ref="D3:E3"/>
    <mergeCell ref="D4:E4"/>
    <mergeCell ref="CD4:CJ4"/>
    <mergeCell ref="F3:G3"/>
    <mergeCell ref="L4:R4"/>
    <mergeCell ref="S4:Y4"/>
    <mergeCell ref="Z4:AF4"/>
    <mergeCell ref="AG4:AM4"/>
    <mergeCell ref="AN4:AT4"/>
    <mergeCell ref="AU4:BA4"/>
    <mergeCell ref="BB4:BH4"/>
    <mergeCell ref="BI4:BO4"/>
    <mergeCell ref="BP4:BV4"/>
    <mergeCell ref="BW4:CC4"/>
  </mergeCells>
  <conditionalFormatting sqref="E114:E115 E24:E28 E31:E33 E7:E22 E38 E36 E41:E43 E61:E86 E47:E58">
    <cfRule type="dataBar" priority="98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CA7:CI17 BI5:BV5 CB5:CI6 BU114:BV115 L114:BG115 BI24:BN28 BU24:BV28 L24:BG28 L31:BG33 BU31:BV33 BI31:BN33 L5:BG22 BU6:BV22 BI6:BN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I38:BN38 BI36:BN36 BU38:BV38 BU36:BV36 L38:BG38 L36:BG36 L41:BG43 BU41:BV43 BI41:BN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I61:BN86 BU61:BV86 L61:BG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I47:BN58 BU47:BV58 L47:BG58 CA110:DY110 EA110:EF110 EH110:EM110 EO110:ET110 EV110:FA110 FC110:FH110 FJ110:FO110 FQ110:FV110 FX110:GC110 GE110:GJ110 GL110:GQ110 GS110:GX110 GZ110:HE110 HG110:HL110 HN110:HS110 HU110:HZ110 IB110:IG110 II110:IN110 IP110:IU110 IW110:JB110 JD110:JI110 JK110:JP110 JR110:JW110 JY110:KD110 KF110:KK110 KM110:KR110 KT110:KY110 LA110:LF110 LH110:LM110 LO110:LT110 LV110:MA110 MC110:MH110 MJ110:MO110 MQ110:MV110 MQ113:MV115 MJ113:MO115 MC113:MH115 LV113:MA115 LO113:LT115 LH113:LM115 LA113:LF115 KT113:KY115 KM113:KR115 KF113:KK115 JY113:KD115 JR113:JW115 JK113:JP115 JD113:JI115 IW113:JB115 IP113:IU115 II113:IN115 IB113:IG115 HU113:HZ115 HN113:HS115 HG113:HL115 GZ113:HE115 GS113:GX115 GL113:GQ115 GE113:GJ115 FX113:GC115 FQ113:FV115 FJ113:FO115 FC113:FH115 EV113:FA115 EO113:ET115 EH113:EM115 EA113:EF115 CA113:DY115">
    <cfRule type="expression" dxfId="644" priority="968">
      <formula>AND(TODAY()&gt;=L$5,TODAY()&lt;M$5)</formula>
    </cfRule>
  </conditionalFormatting>
  <conditionalFormatting sqref="L7:CX17 L114:DZ115 L24:MW28 L31:MW33 L18:MW22 L38:MW38 L36:MW36 L41:MW43 L61:MW86 L47:MW58">
    <cfRule type="expression" dxfId="643" priority="957">
      <formula>AND(task_start&lt;=L$5,ROUNDDOWN((task_end-task_start+1)*task_progress,0)+task_start-1&gt;=L$5)</formula>
    </cfRule>
  </conditionalFormatting>
  <conditionalFormatting sqref="BH114:BH115 BH24:BH28 BH31:BH33 BH5:BH22 BH38 BH36 BH41:BH43 BH61:BH86 BH47:BH58">
    <cfRule type="expression" dxfId="642" priority="992">
      <formula>AND(TODAY()&gt;=BH$5,TODAY()&lt;CD$5)</formula>
    </cfRule>
  </conditionalFormatting>
  <conditionalFormatting sqref="BH114:BH115 BH24:BH28 BH31:BH33 BH7:BH22 BH38 BH36 BH41:BH43 BH61:BH86 BH47:BH58">
    <cfRule type="expression" dxfId="641" priority="995" stopIfTrue="1">
      <formula>AND(task_end&gt;=BH$5,task_start&lt;CD$5)</formula>
    </cfRule>
  </conditionalFormatting>
  <conditionalFormatting sqref="BI114:BN115">
    <cfRule type="expression" dxfId="640" priority="959">
      <formula>AND(TODAY()&gt;=BI$5,TODAY()&lt;BJ$5)</formula>
    </cfRule>
  </conditionalFormatting>
  <conditionalFormatting sqref="BI114:BN115 BU24:BV28 L24:BG28 BI24:BN28 BI31:BN33 L31:BG33 BU31:BV33 BI7:BN22 L7:BG22 BU7:BV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U38:BV38 BU36:BV36 L38:BG38 L36:BG36 BI38:BN38 BI36:BN36 BI41:BN43 L41:BG43 BU41:BV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U61:BV86 L61:BG86 BI61:BN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U47:BV58 L47:BG58 BI47:BN58 CA110:DY110 EA110:EF110 EH110:EM110 EO110:ET110 EV110:FA110 FC110:FH110 FJ110:FO110 FQ110:FV110 FX110:GC110 GE110:GJ110 GL110:GQ110 GS110:GX110 GZ110:HE110 HG110:HL110 HN110:HS110 HU110:HZ110 IB110:IG110 II110:IN110 IP110:IU110 IW110:JB110 JD110:JI110 JK110:JP110 JR110:JW110 JY110:KD110 KF110:KK110 KM110:KR110 KT110:KY110 LA110:LF110 LH110:LM110 LO110:LT110 LV110:MA110 MC110:MH110 MJ110:MO110 MQ110:MV110 MQ113:MV115 MJ113:MO115 MC113:MH115 LV113:MA115 LO113:LT115 LH113:LM115 LA113:LF115 KT113:KY115 KM113:KR115 KF113:KK115 JY113:KD115 JR113:JW115 JK113:JP115 JD113:JI115 IW113:JB115 IP113:IU115 II113:IN115 IB113:IG115 HU113:HZ115 HN113:HS115 HG113:HL115 GZ113:HE115 GS113:GX115 GL113:GQ115 GE113:GJ115 FX113:GC115 FQ113:FV115 FJ113:FO115 FC113:FH115 EV113:FA115 EO113:ET115 EH113:EM115 EA113:EF115 CA113:DY115">
    <cfRule type="expression" dxfId="639" priority="958" stopIfTrue="1">
      <formula>AND(task_end&gt;=L$5,task_start&lt;M$5)</formula>
    </cfRule>
  </conditionalFormatting>
  <conditionalFormatting sqref="BO114:BO115 BO24:BO28 BO31:BO33 BO6:BO22 BO38 BO36 BO41:BO43 BO61:BO86 BO47:BO58">
    <cfRule type="expression" dxfId="638" priority="960">
      <formula>AND(TODAY()&gt;=BO$5,TODAY()&lt;CY$5)</formula>
    </cfRule>
  </conditionalFormatting>
  <conditionalFormatting sqref="BO114:BO115 BO24:BO28 BO31:BO33 BO7:BO22 BO38 BO36 BO41:BO43 BO61:BO86 BO47:BO58">
    <cfRule type="expression" dxfId="637" priority="962" stopIfTrue="1">
      <formula>AND(task_end&gt;=BO$5,task_start&lt;CY$5)</formula>
    </cfRule>
  </conditionalFormatting>
  <conditionalFormatting sqref="BP114:BT115 BP24:BT28 BP31:BT33 BP6:BT22 BP38:BT38 BP36:BT36 BP41:BT43 BP61:BT86 BP47:BT58">
    <cfRule type="expression" dxfId="636" priority="1015">
      <formula>AND(TODAY()&gt;=BP$5,TODAY()&lt;CF$5)</formula>
    </cfRule>
  </conditionalFormatting>
  <conditionalFormatting sqref="BP114:BT115 BP24:BT28 BP31:BT33 BP7:BT22 BP38:BT38 BP36:BT36 BP41:BT43 BP61:BT86 BP47:BT58">
    <cfRule type="expression" dxfId="635" priority="1017" stopIfTrue="1">
      <formula>AND(task_end&gt;=BP$5,task_start&lt;CF$5)</formula>
    </cfRule>
  </conditionalFormatting>
  <conditionalFormatting sqref="BW114:BX115 BW24:BX28 BW31:BX33 BW7:BX22 BW38:BX38 BW36:BX36 BW41:BX43 BW61:BX86 BW47:BX58">
    <cfRule type="expression" dxfId="634" priority="1021" stopIfTrue="1">
      <formula>AND(task_end&gt;=BW$5,task_start&lt;CA$5)</formula>
    </cfRule>
  </conditionalFormatting>
  <conditionalFormatting sqref="BW5:CA5 BW114:BX115 BW24:BX28 BW31:BX33 BW7:BX22 BW38:BX38 BW36:BX36 BW41:BX43 BW61:BX86 BW47:BX58">
    <cfRule type="expression" dxfId="633" priority="1018">
      <formula>AND(TODAY()&gt;=BW$5,TODAY()&lt;CA$5)</formula>
    </cfRule>
  </conditionalFormatting>
  <conditionalFormatting sqref="BW6:CA6">
    <cfRule type="expression" dxfId="632" priority="1031">
      <formula>AND(TODAY()&gt;=BW$5,TODAY()&lt;DA$5)</formula>
    </cfRule>
  </conditionalFormatting>
  <conditionalFormatting sqref="BY114:BY115 BY24:BY28 BY31:BY33 BY7:BY22 BY38 BY36 BY41:BY43 BY61:BY86 BY47:BY58">
    <cfRule type="expression" dxfId="631" priority="1011">
      <formula>AND(TODAY()&gt;=BY$5,TODAY()&lt;CB$5)</formula>
    </cfRule>
    <cfRule type="expression" dxfId="630" priority="1014" stopIfTrue="1">
      <formula>AND(task_end&gt;=BY$5,task_start&lt;CB$5)</formula>
    </cfRule>
  </conditionalFormatting>
  <conditionalFormatting sqref="BZ114:BZ115 BZ24:BZ28 BZ31:BZ33 BZ7:BZ22 BZ38 BZ36 BZ41:BZ43 BZ61:BZ86 BZ47:BZ58">
    <cfRule type="expression" dxfId="629" priority="1001">
      <formula>AND(TODAY()&gt;=BZ$5,TODAY()&lt;CB$5)</formula>
    </cfRule>
    <cfRule type="expression" dxfId="628" priority="1007" stopIfTrue="1">
      <formula>AND(task_end&gt;=BZ$5,task_start&lt;CB$5)</formula>
    </cfRule>
  </conditionalFormatting>
  <conditionalFormatting sqref="CA7:CI17 BU114:BV115 L114:BG115">
    <cfRule type="expression" dxfId="627" priority="967" stopIfTrue="1">
      <formula>AND(task_end&gt;=L$5,task_start&lt;M$5)</formula>
    </cfRule>
  </conditionalFormatting>
  <conditionalFormatting sqref="CJ5:CJ17 CQ5:CQ17 CX5:CX17">
    <cfRule type="expression" dxfId="626" priority="1023">
      <formula>AND(TODAY()&gt;=CJ$5,TODAY()&lt;CY$5)</formula>
    </cfRule>
  </conditionalFormatting>
  <conditionalFormatting sqref="CJ7:CJ17 CQ7:CQ17 CX7:CX17">
    <cfRule type="expression" dxfId="625" priority="1027" stopIfTrue="1">
      <formula>AND(task_end&gt;=CJ$5,task_start&lt;CY$5)</formula>
    </cfRule>
  </conditionalFormatting>
  <conditionalFormatting sqref="CK5:CP17">
    <cfRule type="expression" dxfId="624" priority="955">
      <formula>AND(TODAY()&gt;=CK$5,TODAY()&lt;CL$5)</formula>
    </cfRule>
  </conditionalFormatting>
  <conditionalFormatting sqref="CK7:CP17">
    <cfRule type="expression" dxfId="623" priority="954" stopIfTrue="1">
      <formula>AND(task_end&gt;=CK$5,task_start&lt;CL$5)</formula>
    </cfRule>
  </conditionalFormatting>
  <conditionalFormatting sqref="CR5:CW17">
    <cfRule type="expression" dxfId="622" priority="953">
      <formula>AND(TODAY()&gt;=CR$5,TODAY()&lt;CS$5)</formula>
    </cfRule>
  </conditionalFormatting>
  <conditionalFormatting sqref="CR7:CW17">
    <cfRule type="expression" dxfId="621" priority="952" stopIfTrue="1">
      <formula>AND(task_end&gt;=CR$5,task_start&lt;CS$5)</formula>
    </cfRule>
  </conditionalFormatting>
  <conditionalFormatting sqref="CY5:DD17">
    <cfRule type="expression" dxfId="620" priority="948">
      <formula>AND(TODAY()&gt;=CY$5,TODAY()&lt;CZ$5)</formula>
    </cfRule>
  </conditionalFormatting>
  <conditionalFormatting sqref="CY7:DD17">
    <cfRule type="expression" dxfId="619" priority="947" stopIfTrue="1">
      <formula>AND(task_end&gt;=CY$5,task_start&lt;CZ$5)</formula>
    </cfRule>
  </conditionalFormatting>
  <conditionalFormatting sqref="CY7:DE17">
    <cfRule type="expression" dxfId="618" priority="949">
      <formula>AND(task_start&lt;=CY$5,ROUNDDOWN((task_end-task_start+1)*task_progress,0)+task_start-1&gt;=CY$5)</formula>
    </cfRule>
  </conditionalFormatting>
  <conditionalFormatting sqref="DE5:DE17">
    <cfRule type="expression" dxfId="617" priority="950">
      <formula>AND(TODAY()&gt;=DE$5,TODAY()&lt;DT$5)</formula>
    </cfRule>
  </conditionalFormatting>
  <conditionalFormatting sqref="DE7:DE17">
    <cfRule type="expression" dxfId="616" priority="951" stopIfTrue="1">
      <formula>AND(task_end&gt;=DE$5,task_start&lt;DT$5)</formula>
    </cfRule>
  </conditionalFormatting>
  <conditionalFormatting sqref="DF5:DK17">
    <cfRule type="expression" dxfId="615" priority="943">
      <formula>AND(TODAY()&gt;=DF$5,TODAY()&lt;DG$5)</formula>
    </cfRule>
  </conditionalFormatting>
  <conditionalFormatting sqref="DF7:DK17">
    <cfRule type="expression" dxfId="614" priority="942" stopIfTrue="1">
      <formula>AND(task_end&gt;=DF$5,task_start&lt;DG$5)</formula>
    </cfRule>
  </conditionalFormatting>
  <conditionalFormatting sqref="DF7:DL17">
    <cfRule type="expression" dxfId="613" priority="944">
      <formula>AND(task_start&lt;=DF$5,ROUNDDOWN((task_end-task_start+1)*task_progress,0)+task_start-1&gt;=DF$5)</formula>
    </cfRule>
  </conditionalFormatting>
  <conditionalFormatting sqref="DL5:DL17">
    <cfRule type="expression" dxfId="612" priority="945">
      <formula>AND(TODAY()&gt;=DL$5,TODAY()&lt;MX$5)</formula>
    </cfRule>
  </conditionalFormatting>
  <conditionalFormatting sqref="DL7:DL17">
    <cfRule type="expression" dxfId="611" priority="946" stopIfTrue="1">
      <formula>AND(task_end&gt;=DL$5,task_start&lt;MX$5)</formula>
    </cfRule>
  </conditionalFormatting>
  <conditionalFormatting sqref="DM5:DR17">
    <cfRule type="expression" dxfId="610" priority="938">
      <formula>AND(TODAY()&gt;=DM$5,TODAY()&lt;DN$5)</formula>
    </cfRule>
  </conditionalFormatting>
  <conditionalFormatting sqref="DM7:DR17">
    <cfRule type="expression" dxfId="609" priority="937" stopIfTrue="1">
      <formula>AND(task_end&gt;=DM$5,task_start&lt;DN$5)</formula>
    </cfRule>
  </conditionalFormatting>
  <conditionalFormatting sqref="DM7:DS17">
    <cfRule type="expression" dxfId="608" priority="939">
      <formula>AND(task_start&lt;=DM$5,ROUNDDOWN((task_end-task_start+1)*task_progress,0)+task_start-1&gt;=DM$5)</formula>
    </cfRule>
  </conditionalFormatting>
  <conditionalFormatting sqref="DS5:DS17">
    <cfRule type="expression" dxfId="607" priority="940">
      <formula>AND(TODAY()&gt;=DS$5,TODAY()&lt;NE$5)</formula>
    </cfRule>
  </conditionalFormatting>
  <conditionalFormatting sqref="DS7:DS17">
    <cfRule type="expression" dxfId="606" priority="941" stopIfTrue="1">
      <formula>AND(task_end&gt;=DS$5,task_start&lt;NE$5)</formula>
    </cfRule>
  </conditionalFormatting>
  <conditionalFormatting sqref="DT5:DY17">
    <cfRule type="expression" dxfId="605" priority="933">
      <formula>AND(TODAY()&gt;=DT$5,TODAY()&lt;DU$5)</formula>
    </cfRule>
  </conditionalFormatting>
  <conditionalFormatting sqref="DT7:DY17">
    <cfRule type="expression" dxfId="604" priority="932" stopIfTrue="1">
      <formula>AND(task_end&gt;=DT$5,task_start&lt;DU$5)</formula>
    </cfRule>
  </conditionalFormatting>
  <conditionalFormatting sqref="DT7:DZ17">
    <cfRule type="expression" dxfId="603" priority="934">
      <formula>AND(task_start&lt;=DT$5,ROUNDDOWN((task_end-task_start+1)*task_progress,0)+task_start-1&gt;=DT$5)</formula>
    </cfRule>
  </conditionalFormatting>
  <conditionalFormatting sqref="DZ5:DZ17">
    <cfRule type="expression" dxfId="602" priority="935">
      <formula>AND(TODAY()&gt;=DZ$5,TODAY()&lt;NL$5)</formula>
    </cfRule>
  </conditionalFormatting>
  <conditionalFormatting sqref="DZ7:DZ17">
    <cfRule type="expression" dxfId="601" priority="936" stopIfTrue="1">
      <formula>AND(task_end&gt;=DZ$5,task_start&lt;NL$5)</formula>
    </cfRule>
  </conditionalFormatting>
  <conditionalFormatting sqref="E87:E88 E110 E113">
    <cfRule type="dataBar" priority="903">
      <dataBar>
        <cfvo type="num" val="0"/>
        <cfvo type="num" val="1"/>
        <color theme="0" tint="-0.249977111117893"/>
      </dataBar>
      <extLst>
        <ext xmlns:x14="http://schemas.microsoft.com/office/spreadsheetml/2009/9/main" uri="{B025F937-C7B1-47D3-B67F-A62EFF666E3E}">
          <x14:id>{5DC85D2E-551F-4C05-AEA1-F829B92303BA}</x14:id>
        </ext>
      </extLst>
    </cfRule>
  </conditionalFormatting>
  <conditionalFormatting sqref="L87:BG88 BU87:BV88 BU110:BV110 L110:BG110 L113:BG113 BU113:BV113">
    <cfRule type="expression" dxfId="600" priority="902">
      <formula>AND(TODAY()&gt;=L$5,TODAY()&lt;M$5)</formula>
    </cfRule>
  </conditionalFormatting>
  <conditionalFormatting sqref="L87:DZ88 L110:DZ110 L113:DZ113">
    <cfRule type="expression" dxfId="599" priority="896">
      <formula>AND(task_start&lt;=L$5,ROUNDDOWN((task_end-task_start+1)*task_progress,0)+task_start-1&gt;=L$5)</formula>
    </cfRule>
  </conditionalFormatting>
  <conditionalFormatting sqref="BH87:BH88 BH110 BH113">
    <cfRule type="expression" dxfId="598" priority="904">
      <formula>AND(TODAY()&gt;=BH$5,TODAY()&lt;CD$5)</formula>
    </cfRule>
  </conditionalFormatting>
  <conditionalFormatting sqref="BH87:BH88 BH110 BH113">
    <cfRule type="expression" dxfId="597" priority="905" stopIfTrue="1">
      <formula>AND(task_end&gt;=BH$5,task_start&lt;CD$5)</formula>
    </cfRule>
  </conditionalFormatting>
  <conditionalFormatting sqref="BI87:BN88 BI110:BN110 BI113:BN113">
    <cfRule type="expression" dxfId="596" priority="898">
      <formula>AND(TODAY()&gt;=BI$5,TODAY()&lt;BJ$5)</formula>
    </cfRule>
  </conditionalFormatting>
  <conditionalFormatting sqref="BI87:BN88 BI110:BN110 BI113:BN113">
    <cfRule type="expression" dxfId="595" priority="897" stopIfTrue="1">
      <formula>AND(task_end&gt;=BI$5,task_start&lt;BJ$5)</formula>
    </cfRule>
  </conditionalFormatting>
  <conditionalFormatting sqref="BO87:BO88 BO110 BO113">
    <cfRule type="expression" dxfId="594" priority="899">
      <formula>AND(TODAY()&gt;=BO$5,TODAY()&lt;CY$5)</formula>
    </cfRule>
  </conditionalFormatting>
  <conditionalFormatting sqref="BO87:BO88 BO110 BO113">
    <cfRule type="expression" dxfId="593" priority="900" stopIfTrue="1">
      <formula>AND(task_end&gt;=BO$5,task_start&lt;CY$5)</formula>
    </cfRule>
  </conditionalFormatting>
  <conditionalFormatting sqref="BP87:BT88 BP110:BT110 BP113:BT113">
    <cfRule type="expression" dxfId="592" priority="910">
      <formula>AND(TODAY()&gt;=BP$5,TODAY()&lt;CF$5)</formula>
    </cfRule>
  </conditionalFormatting>
  <conditionalFormatting sqref="BP87:BT88 BP110:BT110 BP113:BT113">
    <cfRule type="expression" dxfId="591" priority="911" stopIfTrue="1">
      <formula>AND(task_end&gt;=BP$5,task_start&lt;CF$5)</formula>
    </cfRule>
  </conditionalFormatting>
  <conditionalFormatting sqref="BW87:BX88 BW110:BX110 BW113:BX113">
    <cfRule type="expression" dxfId="590" priority="913" stopIfTrue="1">
      <formula>AND(task_end&gt;=BW$5,task_start&lt;CA$5)</formula>
    </cfRule>
  </conditionalFormatting>
  <conditionalFormatting sqref="BW87:BX88 BW110:BX110 BW113:BX113">
    <cfRule type="expression" dxfId="589" priority="912">
      <formula>AND(TODAY()&gt;=BW$5,TODAY()&lt;CA$5)</formula>
    </cfRule>
  </conditionalFormatting>
  <conditionalFormatting sqref="BY87:BY88 BY110 BY113">
    <cfRule type="expression" dxfId="588" priority="908">
      <formula>AND(TODAY()&gt;=BY$5,TODAY()&lt;CB$5)</formula>
    </cfRule>
    <cfRule type="expression" dxfId="587" priority="909" stopIfTrue="1">
      <formula>AND(task_end&gt;=BY$5,task_start&lt;CB$5)</formula>
    </cfRule>
  </conditionalFormatting>
  <conditionalFormatting sqref="BZ87:BZ88 BZ110 BZ113">
    <cfRule type="expression" dxfId="586" priority="906">
      <formula>AND(TODAY()&gt;=BZ$5,TODAY()&lt;CB$5)</formula>
    </cfRule>
    <cfRule type="expression" dxfId="585" priority="907" stopIfTrue="1">
      <formula>AND(task_end&gt;=BZ$5,task_start&lt;CB$5)</formula>
    </cfRule>
  </conditionalFormatting>
  <conditionalFormatting sqref="L87:BG88 BU87:BV88 BU110:BV110 L110:BG110 L113:BG113 BU113:BV113">
    <cfRule type="expression" dxfId="584" priority="901" stopIfTrue="1">
      <formula>AND(task_end&gt;=L$5,task_start&lt;M$5)</formula>
    </cfRule>
  </conditionalFormatting>
  <conditionalFormatting sqref="E23">
    <cfRule type="dataBar" priority="885">
      <dataBar>
        <cfvo type="num" val="0"/>
        <cfvo type="num" val="1"/>
        <color theme="0" tint="-0.249977111117893"/>
      </dataBar>
      <extLst>
        <ext xmlns:x14="http://schemas.microsoft.com/office/spreadsheetml/2009/9/main" uri="{B025F937-C7B1-47D3-B67F-A62EFF666E3E}">
          <x14:id>{C712EFF7-67C0-4C64-A5D5-32E0F9CE3762}</x14:id>
        </ext>
      </extLst>
    </cfRule>
  </conditionalFormatting>
  <conditionalFormatting sqref="BI23:BN23 BU23:BV23 L23:BG23">
    <cfRule type="expression" dxfId="583" priority="884">
      <formula>AND(TODAY()&gt;=L$5,TODAY()&lt;M$5)</formula>
    </cfRule>
  </conditionalFormatting>
  <conditionalFormatting sqref="L23:DZ23">
    <cfRule type="expression" dxfId="582" priority="880">
      <formula>AND(task_start&lt;=L$5,ROUNDDOWN((task_end-task_start+1)*task_progress,0)+task_start-1&gt;=L$5)</formula>
    </cfRule>
  </conditionalFormatting>
  <conditionalFormatting sqref="BH23">
    <cfRule type="expression" dxfId="581" priority="886">
      <formula>AND(TODAY()&gt;=BH$5,TODAY()&lt;CD$5)</formula>
    </cfRule>
  </conditionalFormatting>
  <conditionalFormatting sqref="BH23">
    <cfRule type="expression" dxfId="580" priority="887" stopIfTrue="1">
      <formula>AND(task_end&gt;=BH$5,task_start&lt;CD$5)</formula>
    </cfRule>
  </conditionalFormatting>
  <conditionalFormatting sqref="BU23:BV23 L23:BG23 BI23:BN23">
    <cfRule type="expression" dxfId="579" priority="881" stopIfTrue="1">
      <formula>AND(task_end&gt;=L$5,task_start&lt;M$5)</formula>
    </cfRule>
  </conditionalFormatting>
  <conditionalFormatting sqref="BO23">
    <cfRule type="expression" dxfId="578" priority="882">
      <formula>AND(TODAY()&gt;=BO$5,TODAY()&lt;CY$5)</formula>
    </cfRule>
  </conditionalFormatting>
  <conditionalFormatting sqref="BO23">
    <cfRule type="expression" dxfId="577" priority="883" stopIfTrue="1">
      <formula>AND(task_end&gt;=BO$5,task_start&lt;CY$5)</formula>
    </cfRule>
  </conditionalFormatting>
  <conditionalFormatting sqref="BP23:BT23">
    <cfRule type="expression" dxfId="576" priority="892">
      <formula>AND(TODAY()&gt;=BP$5,TODAY()&lt;CF$5)</formula>
    </cfRule>
  </conditionalFormatting>
  <conditionalFormatting sqref="BP23:BT23">
    <cfRule type="expression" dxfId="575" priority="893" stopIfTrue="1">
      <formula>AND(task_end&gt;=BP$5,task_start&lt;CF$5)</formula>
    </cfRule>
  </conditionalFormatting>
  <conditionalFormatting sqref="BW23:BX23">
    <cfRule type="expression" dxfId="574" priority="895" stopIfTrue="1">
      <formula>AND(task_end&gt;=BW$5,task_start&lt;CA$5)</formula>
    </cfRule>
  </conditionalFormatting>
  <conditionalFormatting sqref="BW23:BX23">
    <cfRule type="expression" dxfId="573" priority="894">
      <formula>AND(TODAY()&gt;=BW$5,TODAY()&lt;CA$5)</formula>
    </cfRule>
  </conditionalFormatting>
  <conditionalFormatting sqref="BY23">
    <cfRule type="expression" dxfId="572" priority="890">
      <formula>AND(TODAY()&gt;=BY$5,TODAY()&lt;CB$5)</formula>
    </cfRule>
    <cfRule type="expression" dxfId="571" priority="891" stopIfTrue="1">
      <formula>AND(task_end&gt;=BY$5,task_start&lt;CB$5)</formula>
    </cfRule>
  </conditionalFormatting>
  <conditionalFormatting sqref="BZ23">
    <cfRule type="expression" dxfId="570" priority="888">
      <formula>AND(TODAY()&gt;=BZ$5,TODAY()&lt;CB$5)</formula>
    </cfRule>
    <cfRule type="expression" dxfId="569" priority="889" stopIfTrue="1">
      <formula>AND(task_end&gt;=BZ$5,task_start&lt;CB$5)</formula>
    </cfRule>
  </conditionalFormatting>
  <conditionalFormatting sqref="E29:E30">
    <cfRule type="dataBar" priority="869">
      <dataBar>
        <cfvo type="num" val="0"/>
        <cfvo type="num" val="1"/>
        <color theme="0" tint="-0.249977111117893"/>
      </dataBar>
      <extLst>
        <ext xmlns:x14="http://schemas.microsoft.com/office/spreadsheetml/2009/9/main" uri="{B025F937-C7B1-47D3-B67F-A62EFF666E3E}">
          <x14:id>{4B514E0C-1AC2-4A06-A5E3-77DB22849210}</x14:id>
        </ext>
      </extLst>
    </cfRule>
  </conditionalFormatting>
  <conditionalFormatting sqref="BI29:BN30 BU29:BV30 L29:BG30">
    <cfRule type="expression" dxfId="568" priority="868">
      <formula>AND(TODAY()&gt;=L$5,TODAY()&lt;M$5)</formula>
    </cfRule>
  </conditionalFormatting>
  <conditionalFormatting sqref="L29:DZ30">
    <cfRule type="expression" dxfId="567" priority="864">
      <formula>AND(task_start&lt;=L$5,ROUNDDOWN((task_end-task_start+1)*task_progress,0)+task_start-1&gt;=L$5)</formula>
    </cfRule>
  </conditionalFormatting>
  <conditionalFormatting sqref="BH29:BH30">
    <cfRule type="expression" dxfId="566" priority="870">
      <formula>AND(TODAY()&gt;=BH$5,TODAY()&lt;CD$5)</formula>
    </cfRule>
  </conditionalFormatting>
  <conditionalFormatting sqref="BH29:BH30">
    <cfRule type="expression" dxfId="565" priority="871" stopIfTrue="1">
      <formula>AND(task_end&gt;=BH$5,task_start&lt;CD$5)</formula>
    </cfRule>
  </conditionalFormatting>
  <conditionalFormatting sqref="BU29:BV30 L29:BG30 BI29:BN30">
    <cfRule type="expression" dxfId="564" priority="865" stopIfTrue="1">
      <formula>AND(task_end&gt;=L$5,task_start&lt;M$5)</formula>
    </cfRule>
  </conditionalFormatting>
  <conditionalFormatting sqref="BO29:BO30">
    <cfRule type="expression" dxfId="563" priority="866">
      <formula>AND(TODAY()&gt;=BO$5,TODAY()&lt;CY$5)</formula>
    </cfRule>
  </conditionalFormatting>
  <conditionalFormatting sqref="BO29:BO30">
    <cfRule type="expression" dxfId="562" priority="867" stopIfTrue="1">
      <formula>AND(task_end&gt;=BO$5,task_start&lt;CY$5)</formula>
    </cfRule>
  </conditionalFormatting>
  <conditionalFormatting sqref="BP29:BT30">
    <cfRule type="expression" dxfId="561" priority="876">
      <formula>AND(TODAY()&gt;=BP$5,TODAY()&lt;CF$5)</formula>
    </cfRule>
  </conditionalFormatting>
  <conditionalFormatting sqref="BP29:BT30">
    <cfRule type="expression" dxfId="560" priority="877" stopIfTrue="1">
      <formula>AND(task_end&gt;=BP$5,task_start&lt;CF$5)</formula>
    </cfRule>
  </conditionalFormatting>
  <conditionalFormatting sqref="BW29:BX30">
    <cfRule type="expression" dxfId="559" priority="879" stopIfTrue="1">
      <formula>AND(task_end&gt;=BW$5,task_start&lt;CA$5)</formula>
    </cfRule>
  </conditionalFormatting>
  <conditionalFormatting sqref="BW29:BX30">
    <cfRule type="expression" dxfId="558" priority="878">
      <formula>AND(TODAY()&gt;=BW$5,TODAY()&lt;CA$5)</formula>
    </cfRule>
  </conditionalFormatting>
  <conditionalFormatting sqref="BY29:BY30">
    <cfRule type="expression" dxfId="557" priority="874">
      <formula>AND(TODAY()&gt;=BY$5,TODAY()&lt;CB$5)</formula>
    </cfRule>
    <cfRule type="expression" dxfId="556" priority="875" stopIfTrue="1">
      <formula>AND(task_end&gt;=BY$5,task_start&lt;CB$5)</formula>
    </cfRule>
  </conditionalFormatting>
  <conditionalFormatting sqref="BZ29:BZ30">
    <cfRule type="expression" dxfId="555" priority="872">
      <formula>AND(TODAY()&gt;=BZ$5,TODAY()&lt;CB$5)</formula>
    </cfRule>
    <cfRule type="expression" dxfId="554" priority="873" stopIfTrue="1">
      <formula>AND(task_end&gt;=BZ$5,task_start&lt;CB$5)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10 EG110 EN110 EU110 FB110 FI110 FP110 FW110 GD110 GK110 GR110 GY110 HF110 HM110 HT110 IA110 IH110 IO110 IV110 JC110 JJ110 JQ110 JX110 KE110 KL110 KS110 KZ110 LG110 LN110 LU110 MB110 MI110 MP110 MW110 MW113:MW115 MP113:MP115 MI113:MI115 MB113:MB115 LU113:LU115 LN113:LN115 LG113:LG115 KZ113:KZ115 KS113:KS115 KL113:KL115 KE113:KE115 JX113:JX115 JQ113:JQ115 JJ113:JJ115 JC113:JC115 IV113:IV115 IO113:IO115 IH113:IH115 IA113:IA115 HT113:HT115 HM113:HM115 HF113:HF115 GY113:GY115 GR113:GR115 GK113:GK115 GD113:GD115 FW113:FW115 FP113:FP115 FI113:FI115 FB113:FB115 EU113:EU115 EN113:EN115 EG113:EG115 DZ113:DZ115">
    <cfRule type="expression" dxfId="553" priority="1033">
      <formula>AND(TODAY()&gt;=DZ$5,TODAY()&lt;MX$5)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10 EG110 EN110 EU110 FB110 FI110 FP110 FW110 GD110 GK110 GR110 GY110 HF110 HM110 HT110 IA110 IH110 IO110 IV110 JC110 JJ110 JQ110 JX110 KE110 KL110 KS110 KZ110 LG110 LN110 LU110 MB110 MI110 MP110 MW110 MW113:MW115 MP113:MP115 MI113:MI115 MB113:MB115 LU113:LU115 LN113:LN115 LG113:LG115 KZ113:KZ115 KS113:KS115 KL113:KL115 KE113:KE115 JX113:JX115 JQ113:JQ115 JJ113:JJ115 JC113:JC115 IV113:IV115 IO113:IO115 IH113:IH115 IA113:IA115 HT113:HT115 HM113:HM115 HF113:HF115 GY113:GY115 GR113:GR115 GK113:GK115 GD113:GD115 FW113:FW115 FP113:FP115 FI113:FI115 FB113:FB115 EU113:EU115 EN113:EN115 EG113:EG115 DZ113:DZ115">
    <cfRule type="expression" dxfId="552" priority="1041" stopIfTrue="1">
      <formula>AND(task_end&gt;=DZ$5,task_start&lt;MX$5)</formula>
    </cfRule>
  </conditionalFormatting>
  <conditionalFormatting sqref="EA114:EG115">
    <cfRule type="expression" dxfId="551" priority="859">
      <formula>AND(task_start&lt;=EA$5,ROUNDDOWN((task_end-task_start+1)*task_progress,0)+task_start-1&gt;=EA$5)</formula>
    </cfRule>
  </conditionalFormatting>
  <conditionalFormatting sqref="EA5:EF17">
    <cfRule type="expression" dxfId="550" priority="855">
      <formula>AND(TODAY()&gt;=EA$5,TODAY()&lt;EB$5)</formula>
    </cfRule>
  </conditionalFormatting>
  <conditionalFormatting sqref="EA7:EF17">
    <cfRule type="expression" dxfId="549" priority="854" stopIfTrue="1">
      <formula>AND(task_end&gt;=EA$5,task_start&lt;EB$5)</formula>
    </cfRule>
  </conditionalFormatting>
  <conditionalFormatting sqref="EA7:EG17">
    <cfRule type="expression" dxfId="548" priority="856">
      <formula>AND(task_start&lt;=EA$5,ROUNDDOWN((task_end-task_start+1)*task_progress,0)+task_start-1&gt;=EA$5)</formula>
    </cfRule>
  </conditionalFormatting>
  <conditionalFormatting sqref="EG5:EG17">
    <cfRule type="expression" dxfId="547" priority="857">
      <formula>AND(TODAY()&gt;=EG$5,TODAY()&lt;NS$5)</formula>
    </cfRule>
  </conditionalFormatting>
  <conditionalFormatting sqref="EG7:EG17">
    <cfRule type="expression" dxfId="546" priority="858" stopIfTrue="1">
      <formula>AND(task_end&gt;=EG$5,task_start&lt;NS$5)</formula>
    </cfRule>
  </conditionalFormatting>
  <conditionalFormatting sqref="EA87:EG88 EA110:EG110 EA113:EG113">
    <cfRule type="expression" dxfId="545" priority="853">
      <formula>AND(task_start&lt;=EA$5,ROUNDDOWN((task_end-task_start+1)*task_progress,0)+task_start-1&gt;=EA$5)</formula>
    </cfRule>
  </conditionalFormatting>
  <conditionalFormatting sqref="EA23:EG23">
    <cfRule type="expression" dxfId="544" priority="852">
      <formula>AND(task_start&lt;=EA$5,ROUNDDOWN((task_end-task_start+1)*task_progress,0)+task_start-1&gt;=EA$5)</formula>
    </cfRule>
  </conditionalFormatting>
  <conditionalFormatting sqref="EA29:EG30">
    <cfRule type="expression" dxfId="543" priority="851">
      <formula>AND(task_start&lt;=EA$5,ROUNDDOWN((task_end-task_start+1)*task_progress,0)+task_start-1&gt;=EA$5)</formula>
    </cfRule>
  </conditionalFormatting>
  <conditionalFormatting sqref="EH114:EN115">
    <cfRule type="expression" dxfId="542" priority="846">
      <formula>AND(task_start&lt;=EH$5,ROUNDDOWN((task_end-task_start+1)*task_progress,0)+task_start-1&gt;=EH$5)</formula>
    </cfRule>
  </conditionalFormatting>
  <conditionalFormatting sqref="EH5:EM17">
    <cfRule type="expression" dxfId="541" priority="842">
      <formula>AND(TODAY()&gt;=EH$5,TODAY()&lt;EI$5)</formula>
    </cfRule>
  </conditionalFormatting>
  <conditionalFormatting sqref="EH7:EM17">
    <cfRule type="expression" dxfId="540" priority="841" stopIfTrue="1">
      <formula>AND(task_end&gt;=EH$5,task_start&lt;EI$5)</formula>
    </cfRule>
  </conditionalFormatting>
  <conditionalFormatting sqref="EH7:EN17">
    <cfRule type="expression" dxfId="539" priority="843">
      <formula>AND(task_start&lt;=EH$5,ROUNDDOWN((task_end-task_start+1)*task_progress,0)+task_start-1&gt;=EH$5)</formula>
    </cfRule>
  </conditionalFormatting>
  <conditionalFormatting sqref="EN5:EN17">
    <cfRule type="expression" dxfId="538" priority="844">
      <formula>AND(TODAY()&gt;=EN$5,TODAY()&lt;NZ$5)</formula>
    </cfRule>
  </conditionalFormatting>
  <conditionalFormatting sqref="EN7:EN17">
    <cfRule type="expression" dxfId="537" priority="845" stopIfTrue="1">
      <formula>AND(task_end&gt;=EN$5,task_start&lt;NZ$5)</formula>
    </cfRule>
  </conditionalFormatting>
  <conditionalFormatting sqref="EH87:EN88 EH110:EN110 EH113:EN113">
    <cfRule type="expression" dxfId="536" priority="840">
      <formula>AND(task_start&lt;=EH$5,ROUNDDOWN((task_end-task_start+1)*task_progress,0)+task_start-1&gt;=EH$5)</formula>
    </cfRule>
  </conditionalFormatting>
  <conditionalFormatting sqref="EH23:EN23">
    <cfRule type="expression" dxfId="535" priority="839">
      <formula>AND(task_start&lt;=EH$5,ROUNDDOWN((task_end-task_start+1)*task_progress,0)+task_start-1&gt;=EH$5)</formula>
    </cfRule>
  </conditionalFormatting>
  <conditionalFormatting sqref="EH29:EN30">
    <cfRule type="expression" dxfId="534" priority="838">
      <formula>AND(task_start&lt;=EH$5,ROUNDDOWN((task_end-task_start+1)*task_progress,0)+task_start-1&gt;=EH$5)</formula>
    </cfRule>
  </conditionalFormatting>
  <conditionalFormatting sqref="EO114:EU115">
    <cfRule type="expression" dxfId="533" priority="833">
      <formula>AND(task_start&lt;=EO$5,ROUNDDOWN((task_end-task_start+1)*task_progress,0)+task_start-1&gt;=EO$5)</formula>
    </cfRule>
  </conditionalFormatting>
  <conditionalFormatting sqref="EO5:ET17">
    <cfRule type="expression" dxfId="532" priority="829">
      <formula>AND(TODAY()&gt;=EO$5,TODAY()&lt;EP$5)</formula>
    </cfRule>
  </conditionalFormatting>
  <conditionalFormatting sqref="EO7:ET17">
    <cfRule type="expression" dxfId="531" priority="828" stopIfTrue="1">
      <formula>AND(task_end&gt;=EO$5,task_start&lt;EP$5)</formula>
    </cfRule>
  </conditionalFormatting>
  <conditionalFormatting sqref="EO7:EU17">
    <cfRule type="expression" dxfId="530" priority="830">
      <formula>AND(task_start&lt;=EO$5,ROUNDDOWN((task_end-task_start+1)*task_progress,0)+task_start-1&gt;=EO$5)</formula>
    </cfRule>
  </conditionalFormatting>
  <conditionalFormatting sqref="EU5:EU17">
    <cfRule type="expression" dxfId="529" priority="831">
      <formula>AND(TODAY()&gt;=EU$5,TODAY()&lt;OG$5)</formula>
    </cfRule>
  </conditionalFormatting>
  <conditionalFormatting sqref="EU7:EU17">
    <cfRule type="expression" dxfId="528" priority="832" stopIfTrue="1">
      <formula>AND(task_end&gt;=EU$5,task_start&lt;OG$5)</formula>
    </cfRule>
  </conditionalFormatting>
  <conditionalFormatting sqref="EO87:EU88 EO110:EU110 EO113:EU113">
    <cfRule type="expression" dxfId="527" priority="827">
      <formula>AND(task_start&lt;=EO$5,ROUNDDOWN((task_end-task_start+1)*task_progress,0)+task_start-1&gt;=EO$5)</formula>
    </cfRule>
  </conditionalFormatting>
  <conditionalFormatting sqref="EO23:EU23">
    <cfRule type="expression" dxfId="526" priority="826">
      <formula>AND(task_start&lt;=EO$5,ROUNDDOWN((task_end-task_start+1)*task_progress,0)+task_start-1&gt;=EO$5)</formula>
    </cfRule>
  </conditionalFormatting>
  <conditionalFormatting sqref="EO29:EU30">
    <cfRule type="expression" dxfId="525" priority="825">
      <formula>AND(task_start&lt;=EO$5,ROUNDDOWN((task_end-task_start+1)*task_progress,0)+task_start-1&gt;=EO$5)</formula>
    </cfRule>
  </conditionalFormatting>
  <conditionalFormatting sqref="EV114:FB115">
    <cfRule type="expression" dxfId="524" priority="820">
      <formula>AND(task_start&lt;=EV$5,ROUNDDOWN((task_end-task_start+1)*task_progress,0)+task_start-1&gt;=EV$5)</formula>
    </cfRule>
  </conditionalFormatting>
  <conditionalFormatting sqref="EV5:FA17">
    <cfRule type="expression" dxfId="523" priority="816">
      <formula>AND(TODAY()&gt;=EV$5,TODAY()&lt;EW$5)</formula>
    </cfRule>
  </conditionalFormatting>
  <conditionalFormatting sqref="EV7:FA17">
    <cfRule type="expression" dxfId="522" priority="815" stopIfTrue="1">
      <formula>AND(task_end&gt;=EV$5,task_start&lt;EW$5)</formula>
    </cfRule>
  </conditionalFormatting>
  <conditionalFormatting sqref="EV7:FB17">
    <cfRule type="expression" dxfId="521" priority="817">
      <formula>AND(task_start&lt;=EV$5,ROUNDDOWN((task_end-task_start+1)*task_progress,0)+task_start-1&gt;=EV$5)</formula>
    </cfRule>
  </conditionalFormatting>
  <conditionalFormatting sqref="FB5:FB17">
    <cfRule type="expression" dxfId="520" priority="818">
      <formula>AND(TODAY()&gt;=FB$5,TODAY()&lt;ON$5)</formula>
    </cfRule>
  </conditionalFormatting>
  <conditionalFormatting sqref="FB7:FB17">
    <cfRule type="expression" dxfId="519" priority="819" stopIfTrue="1">
      <formula>AND(task_end&gt;=FB$5,task_start&lt;ON$5)</formula>
    </cfRule>
  </conditionalFormatting>
  <conditionalFormatting sqref="EV87:FB88 EV110:FB110 EV113:FB113">
    <cfRule type="expression" dxfId="518" priority="814">
      <formula>AND(task_start&lt;=EV$5,ROUNDDOWN((task_end-task_start+1)*task_progress,0)+task_start-1&gt;=EV$5)</formula>
    </cfRule>
  </conditionalFormatting>
  <conditionalFormatting sqref="EV23:FB23">
    <cfRule type="expression" dxfId="517" priority="813">
      <formula>AND(task_start&lt;=EV$5,ROUNDDOWN((task_end-task_start+1)*task_progress,0)+task_start-1&gt;=EV$5)</formula>
    </cfRule>
  </conditionalFormatting>
  <conditionalFormatting sqref="EV29:FB30">
    <cfRule type="expression" dxfId="516" priority="812">
      <formula>AND(task_start&lt;=EV$5,ROUNDDOWN((task_end-task_start+1)*task_progress,0)+task_start-1&gt;=EV$5)</formula>
    </cfRule>
  </conditionalFormatting>
  <conditionalFormatting sqref="FC114:FI115">
    <cfRule type="expression" dxfId="515" priority="807">
      <formula>AND(task_start&lt;=FC$5,ROUNDDOWN((task_end-task_start+1)*task_progress,0)+task_start-1&gt;=FC$5)</formula>
    </cfRule>
  </conditionalFormatting>
  <conditionalFormatting sqref="FC5:FH17">
    <cfRule type="expression" dxfId="514" priority="803">
      <formula>AND(TODAY()&gt;=FC$5,TODAY()&lt;FD$5)</formula>
    </cfRule>
  </conditionalFormatting>
  <conditionalFormatting sqref="FC7:FH17">
    <cfRule type="expression" dxfId="513" priority="802" stopIfTrue="1">
      <formula>AND(task_end&gt;=FC$5,task_start&lt;FD$5)</formula>
    </cfRule>
  </conditionalFormatting>
  <conditionalFormatting sqref="FC7:FI17">
    <cfRule type="expression" dxfId="512" priority="804">
      <formula>AND(task_start&lt;=FC$5,ROUNDDOWN((task_end-task_start+1)*task_progress,0)+task_start-1&gt;=FC$5)</formula>
    </cfRule>
  </conditionalFormatting>
  <conditionalFormatting sqref="FI5:FI17">
    <cfRule type="expression" dxfId="511" priority="805">
      <formula>AND(TODAY()&gt;=FI$5,TODAY()&lt;OU$5)</formula>
    </cfRule>
  </conditionalFormatting>
  <conditionalFormatting sqref="FI7:FI17">
    <cfRule type="expression" dxfId="510" priority="806" stopIfTrue="1">
      <formula>AND(task_end&gt;=FI$5,task_start&lt;OU$5)</formula>
    </cfRule>
  </conditionalFormatting>
  <conditionalFormatting sqref="FC87:FI88 FC110:FI110 FC113:FI113">
    <cfRule type="expression" dxfId="509" priority="801">
      <formula>AND(task_start&lt;=FC$5,ROUNDDOWN((task_end-task_start+1)*task_progress,0)+task_start-1&gt;=FC$5)</formula>
    </cfRule>
  </conditionalFormatting>
  <conditionalFormatting sqref="FC23:FI23">
    <cfRule type="expression" dxfId="508" priority="800">
      <formula>AND(task_start&lt;=FC$5,ROUNDDOWN((task_end-task_start+1)*task_progress,0)+task_start-1&gt;=FC$5)</formula>
    </cfRule>
  </conditionalFormatting>
  <conditionalFormatting sqref="FC29:FI30">
    <cfRule type="expression" dxfId="507" priority="799">
      <formula>AND(task_start&lt;=FC$5,ROUNDDOWN((task_end-task_start+1)*task_progress,0)+task_start-1&gt;=FC$5)</formula>
    </cfRule>
  </conditionalFormatting>
  <conditionalFormatting sqref="FJ114:FP115">
    <cfRule type="expression" dxfId="506" priority="794">
      <formula>AND(task_start&lt;=FJ$5,ROUNDDOWN((task_end-task_start+1)*task_progress,0)+task_start-1&gt;=FJ$5)</formula>
    </cfRule>
  </conditionalFormatting>
  <conditionalFormatting sqref="FJ5:FO17">
    <cfRule type="expression" dxfId="505" priority="790">
      <formula>AND(TODAY()&gt;=FJ$5,TODAY()&lt;FK$5)</formula>
    </cfRule>
  </conditionalFormatting>
  <conditionalFormatting sqref="FJ7:FO17">
    <cfRule type="expression" dxfId="504" priority="789" stopIfTrue="1">
      <formula>AND(task_end&gt;=FJ$5,task_start&lt;FK$5)</formula>
    </cfRule>
  </conditionalFormatting>
  <conditionalFormatting sqref="FJ7:FP17">
    <cfRule type="expression" dxfId="503" priority="791">
      <formula>AND(task_start&lt;=FJ$5,ROUNDDOWN((task_end-task_start+1)*task_progress,0)+task_start-1&gt;=FJ$5)</formula>
    </cfRule>
  </conditionalFormatting>
  <conditionalFormatting sqref="FP5:FP17">
    <cfRule type="expression" dxfId="502" priority="792">
      <formula>AND(TODAY()&gt;=FP$5,TODAY()&lt;PB$5)</formula>
    </cfRule>
  </conditionalFormatting>
  <conditionalFormatting sqref="FP7:FP17">
    <cfRule type="expression" dxfId="501" priority="793" stopIfTrue="1">
      <formula>AND(task_end&gt;=FP$5,task_start&lt;PB$5)</formula>
    </cfRule>
  </conditionalFormatting>
  <conditionalFormatting sqref="FJ87:FP88 FJ110:FP110 FJ113:FP113">
    <cfRule type="expression" dxfId="500" priority="788">
      <formula>AND(task_start&lt;=FJ$5,ROUNDDOWN((task_end-task_start+1)*task_progress,0)+task_start-1&gt;=FJ$5)</formula>
    </cfRule>
  </conditionalFormatting>
  <conditionalFormatting sqref="FJ23:FP23">
    <cfRule type="expression" dxfId="499" priority="787">
      <formula>AND(task_start&lt;=FJ$5,ROUNDDOWN((task_end-task_start+1)*task_progress,0)+task_start-1&gt;=FJ$5)</formula>
    </cfRule>
  </conditionalFormatting>
  <conditionalFormatting sqref="FJ29:FP30">
    <cfRule type="expression" dxfId="498" priority="786">
      <formula>AND(task_start&lt;=FJ$5,ROUNDDOWN((task_end-task_start+1)*task_progress,0)+task_start-1&gt;=FJ$5)</formula>
    </cfRule>
  </conditionalFormatting>
  <conditionalFormatting sqref="FQ114:FW115">
    <cfRule type="expression" dxfId="497" priority="781">
      <formula>AND(task_start&lt;=FQ$5,ROUNDDOWN((task_end-task_start+1)*task_progress,0)+task_start-1&gt;=FQ$5)</formula>
    </cfRule>
  </conditionalFormatting>
  <conditionalFormatting sqref="FQ5:FV17">
    <cfRule type="expression" dxfId="496" priority="777">
      <formula>AND(TODAY()&gt;=FQ$5,TODAY()&lt;FR$5)</formula>
    </cfRule>
  </conditionalFormatting>
  <conditionalFormatting sqref="FQ7:FV17">
    <cfRule type="expression" dxfId="495" priority="776" stopIfTrue="1">
      <formula>AND(task_end&gt;=FQ$5,task_start&lt;FR$5)</formula>
    </cfRule>
  </conditionalFormatting>
  <conditionalFormatting sqref="FQ7:FW17">
    <cfRule type="expression" dxfId="494" priority="778">
      <formula>AND(task_start&lt;=FQ$5,ROUNDDOWN((task_end-task_start+1)*task_progress,0)+task_start-1&gt;=FQ$5)</formula>
    </cfRule>
  </conditionalFormatting>
  <conditionalFormatting sqref="FW5:FW17">
    <cfRule type="expression" dxfId="493" priority="779">
      <formula>AND(TODAY()&gt;=FW$5,TODAY()&lt;PI$5)</formula>
    </cfRule>
  </conditionalFormatting>
  <conditionalFormatting sqref="FW7:FW17">
    <cfRule type="expression" dxfId="492" priority="780" stopIfTrue="1">
      <formula>AND(task_end&gt;=FW$5,task_start&lt;PI$5)</formula>
    </cfRule>
  </conditionalFormatting>
  <conditionalFormatting sqref="FQ87:FW88 FQ110:FW110 FQ113:FW113">
    <cfRule type="expression" dxfId="491" priority="775">
      <formula>AND(task_start&lt;=FQ$5,ROUNDDOWN((task_end-task_start+1)*task_progress,0)+task_start-1&gt;=FQ$5)</formula>
    </cfRule>
  </conditionalFormatting>
  <conditionalFormatting sqref="FQ23:FW23">
    <cfRule type="expression" dxfId="490" priority="774">
      <formula>AND(task_start&lt;=FQ$5,ROUNDDOWN((task_end-task_start+1)*task_progress,0)+task_start-1&gt;=FQ$5)</formula>
    </cfRule>
  </conditionalFormatting>
  <conditionalFormatting sqref="FQ29:FW30">
    <cfRule type="expression" dxfId="489" priority="773">
      <formula>AND(task_start&lt;=FQ$5,ROUNDDOWN((task_end-task_start+1)*task_progress,0)+task_start-1&gt;=FQ$5)</formula>
    </cfRule>
  </conditionalFormatting>
  <conditionalFormatting sqref="FX114:GD115">
    <cfRule type="expression" dxfId="488" priority="768">
      <formula>AND(task_start&lt;=FX$5,ROUNDDOWN((task_end-task_start+1)*task_progress,0)+task_start-1&gt;=FX$5)</formula>
    </cfRule>
  </conditionalFormatting>
  <conditionalFormatting sqref="FX5:GC17">
    <cfRule type="expression" dxfId="487" priority="764">
      <formula>AND(TODAY()&gt;=FX$5,TODAY()&lt;FY$5)</formula>
    </cfRule>
  </conditionalFormatting>
  <conditionalFormatting sqref="FX7:GC17">
    <cfRule type="expression" dxfId="486" priority="763" stopIfTrue="1">
      <formula>AND(task_end&gt;=FX$5,task_start&lt;FY$5)</formula>
    </cfRule>
  </conditionalFormatting>
  <conditionalFormatting sqref="FX7:GD17">
    <cfRule type="expression" dxfId="485" priority="765">
      <formula>AND(task_start&lt;=FX$5,ROUNDDOWN((task_end-task_start+1)*task_progress,0)+task_start-1&gt;=FX$5)</formula>
    </cfRule>
  </conditionalFormatting>
  <conditionalFormatting sqref="GD5:GD17">
    <cfRule type="expression" dxfId="484" priority="766">
      <formula>AND(TODAY()&gt;=GD$5,TODAY()&lt;PP$5)</formula>
    </cfRule>
  </conditionalFormatting>
  <conditionalFormatting sqref="GD7:GD17">
    <cfRule type="expression" dxfId="483" priority="767" stopIfTrue="1">
      <formula>AND(task_end&gt;=GD$5,task_start&lt;PP$5)</formula>
    </cfRule>
  </conditionalFormatting>
  <conditionalFormatting sqref="FX87:GD88 FX110:GD110 FX113:GD113">
    <cfRule type="expression" dxfId="482" priority="762">
      <formula>AND(task_start&lt;=FX$5,ROUNDDOWN((task_end-task_start+1)*task_progress,0)+task_start-1&gt;=FX$5)</formula>
    </cfRule>
  </conditionalFormatting>
  <conditionalFormatting sqref="FX23:GD23">
    <cfRule type="expression" dxfId="481" priority="761">
      <formula>AND(task_start&lt;=FX$5,ROUNDDOWN((task_end-task_start+1)*task_progress,0)+task_start-1&gt;=FX$5)</formula>
    </cfRule>
  </conditionalFormatting>
  <conditionalFormatting sqref="FX29:GD30">
    <cfRule type="expression" dxfId="480" priority="760">
      <formula>AND(task_start&lt;=FX$5,ROUNDDOWN((task_end-task_start+1)*task_progress,0)+task_start-1&gt;=FX$5)</formula>
    </cfRule>
  </conditionalFormatting>
  <conditionalFormatting sqref="GE114:GK115">
    <cfRule type="expression" dxfId="479" priority="755">
      <formula>AND(task_start&lt;=GE$5,ROUNDDOWN((task_end-task_start+1)*task_progress,0)+task_start-1&gt;=GE$5)</formula>
    </cfRule>
  </conditionalFormatting>
  <conditionalFormatting sqref="GE5:GJ17">
    <cfRule type="expression" dxfId="478" priority="751">
      <formula>AND(TODAY()&gt;=GE$5,TODAY()&lt;GF$5)</formula>
    </cfRule>
  </conditionalFormatting>
  <conditionalFormatting sqref="GE7:GJ17">
    <cfRule type="expression" dxfId="477" priority="750" stopIfTrue="1">
      <formula>AND(task_end&gt;=GE$5,task_start&lt;GF$5)</formula>
    </cfRule>
  </conditionalFormatting>
  <conditionalFormatting sqref="GE7:GK17">
    <cfRule type="expression" dxfId="476" priority="752">
      <formula>AND(task_start&lt;=GE$5,ROUNDDOWN((task_end-task_start+1)*task_progress,0)+task_start-1&gt;=GE$5)</formula>
    </cfRule>
  </conditionalFormatting>
  <conditionalFormatting sqref="GK5:GK17">
    <cfRule type="expression" dxfId="475" priority="753">
      <formula>AND(TODAY()&gt;=GK$5,TODAY()&lt;PW$5)</formula>
    </cfRule>
  </conditionalFormatting>
  <conditionalFormatting sqref="GK7:GK17">
    <cfRule type="expression" dxfId="474" priority="754" stopIfTrue="1">
      <formula>AND(task_end&gt;=GK$5,task_start&lt;PW$5)</formula>
    </cfRule>
  </conditionalFormatting>
  <conditionalFormatting sqref="GE87:GK88 GE110:GK110 GE113:GK113">
    <cfRule type="expression" dxfId="473" priority="749">
      <formula>AND(task_start&lt;=GE$5,ROUNDDOWN((task_end-task_start+1)*task_progress,0)+task_start-1&gt;=GE$5)</formula>
    </cfRule>
  </conditionalFormatting>
  <conditionalFormatting sqref="GE23:GK23">
    <cfRule type="expression" dxfId="472" priority="748">
      <formula>AND(task_start&lt;=GE$5,ROUNDDOWN((task_end-task_start+1)*task_progress,0)+task_start-1&gt;=GE$5)</formula>
    </cfRule>
  </conditionalFormatting>
  <conditionalFormatting sqref="GE29:GK30">
    <cfRule type="expression" dxfId="471" priority="747">
      <formula>AND(task_start&lt;=GE$5,ROUNDDOWN((task_end-task_start+1)*task_progress,0)+task_start-1&gt;=GE$5)</formula>
    </cfRule>
  </conditionalFormatting>
  <conditionalFormatting sqref="GL114:GR115">
    <cfRule type="expression" dxfId="470" priority="742">
      <formula>AND(task_start&lt;=GL$5,ROUNDDOWN((task_end-task_start+1)*task_progress,0)+task_start-1&gt;=GL$5)</formula>
    </cfRule>
  </conditionalFormatting>
  <conditionalFormatting sqref="GL5:GQ17">
    <cfRule type="expression" dxfId="469" priority="738">
      <formula>AND(TODAY()&gt;=GL$5,TODAY()&lt;GM$5)</formula>
    </cfRule>
  </conditionalFormatting>
  <conditionalFormatting sqref="GL7:GQ17">
    <cfRule type="expression" dxfId="468" priority="737" stopIfTrue="1">
      <formula>AND(task_end&gt;=GL$5,task_start&lt;GM$5)</formula>
    </cfRule>
  </conditionalFormatting>
  <conditionalFormatting sqref="GL7:GR17">
    <cfRule type="expression" dxfId="467" priority="739">
      <formula>AND(task_start&lt;=GL$5,ROUNDDOWN((task_end-task_start+1)*task_progress,0)+task_start-1&gt;=GL$5)</formula>
    </cfRule>
  </conditionalFormatting>
  <conditionalFormatting sqref="GR5:GR17">
    <cfRule type="expression" dxfId="466" priority="740">
      <formula>AND(TODAY()&gt;=GR$5,TODAY()&lt;QD$5)</formula>
    </cfRule>
  </conditionalFormatting>
  <conditionalFormatting sqref="GR7:GR17">
    <cfRule type="expression" dxfId="465" priority="741" stopIfTrue="1">
      <formula>AND(task_end&gt;=GR$5,task_start&lt;QD$5)</formula>
    </cfRule>
  </conditionalFormatting>
  <conditionalFormatting sqref="GL87:GR88 GL110:GR110 GL113:GR113">
    <cfRule type="expression" dxfId="464" priority="736">
      <formula>AND(task_start&lt;=GL$5,ROUNDDOWN((task_end-task_start+1)*task_progress,0)+task_start-1&gt;=GL$5)</formula>
    </cfRule>
  </conditionalFormatting>
  <conditionalFormatting sqref="GL23:GR23">
    <cfRule type="expression" dxfId="463" priority="735">
      <formula>AND(task_start&lt;=GL$5,ROUNDDOWN((task_end-task_start+1)*task_progress,0)+task_start-1&gt;=GL$5)</formula>
    </cfRule>
  </conditionalFormatting>
  <conditionalFormatting sqref="GL29:GR30">
    <cfRule type="expression" dxfId="462" priority="734">
      <formula>AND(task_start&lt;=GL$5,ROUNDDOWN((task_end-task_start+1)*task_progress,0)+task_start-1&gt;=GL$5)</formula>
    </cfRule>
  </conditionalFormatting>
  <conditionalFormatting sqref="GS114:GY115">
    <cfRule type="expression" dxfId="461" priority="729">
      <formula>AND(task_start&lt;=GS$5,ROUNDDOWN((task_end-task_start+1)*task_progress,0)+task_start-1&gt;=GS$5)</formula>
    </cfRule>
  </conditionalFormatting>
  <conditionalFormatting sqref="GS5:GX17">
    <cfRule type="expression" dxfId="460" priority="725">
      <formula>AND(TODAY()&gt;=GS$5,TODAY()&lt;GT$5)</formula>
    </cfRule>
  </conditionalFormatting>
  <conditionalFormatting sqref="GS7:GX17">
    <cfRule type="expression" dxfId="459" priority="724" stopIfTrue="1">
      <formula>AND(task_end&gt;=GS$5,task_start&lt;GT$5)</formula>
    </cfRule>
  </conditionalFormatting>
  <conditionalFormatting sqref="GS7:GY17">
    <cfRule type="expression" dxfId="458" priority="726">
      <formula>AND(task_start&lt;=GS$5,ROUNDDOWN((task_end-task_start+1)*task_progress,0)+task_start-1&gt;=GS$5)</formula>
    </cfRule>
  </conditionalFormatting>
  <conditionalFormatting sqref="GY5:GY17">
    <cfRule type="expression" dxfId="457" priority="727">
      <formula>AND(TODAY()&gt;=GY$5,TODAY()&lt;QK$5)</formula>
    </cfRule>
  </conditionalFormatting>
  <conditionalFormatting sqref="GY7:GY17">
    <cfRule type="expression" dxfId="456" priority="728" stopIfTrue="1">
      <formula>AND(task_end&gt;=GY$5,task_start&lt;QK$5)</formula>
    </cfRule>
  </conditionalFormatting>
  <conditionalFormatting sqref="GS87:GY88 GS110:GY110 GS113:GY113">
    <cfRule type="expression" dxfId="455" priority="723">
      <formula>AND(task_start&lt;=GS$5,ROUNDDOWN((task_end-task_start+1)*task_progress,0)+task_start-1&gt;=GS$5)</formula>
    </cfRule>
  </conditionalFormatting>
  <conditionalFormatting sqref="GS23:GY23">
    <cfRule type="expression" dxfId="454" priority="722">
      <formula>AND(task_start&lt;=GS$5,ROUNDDOWN((task_end-task_start+1)*task_progress,0)+task_start-1&gt;=GS$5)</formula>
    </cfRule>
  </conditionalFormatting>
  <conditionalFormatting sqref="GS29:GY30">
    <cfRule type="expression" dxfId="453" priority="721">
      <formula>AND(task_start&lt;=GS$5,ROUNDDOWN((task_end-task_start+1)*task_progress,0)+task_start-1&gt;=GS$5)</formula>
    </cfRule>
  </conditionalFormatting>
  <conditionalFormatting sqref="GZ114:HF115">
    <cfRule type="expression" dxfId="452" priority="716">
      <formula>AND(task_start&lt;=GZ$5,ROUNDDOWN((task_end-task_start+1)*task_progress,0)+task_start-1&gt;=GZ$5)</formula>
    </cfRule>
  </conditionalFormatting>
  <conditionalFormatting sqref="GZ5:HE17">
    <cfRule type="expression" dxfId="451" priority="712">
      <formula>AND(TODAY()&gt;=GZ$5,TODAY()&lt;HA$5)</formula>
    </cfRule>
  </conditionalFormatting>
  <conditionalFormatting sqref="GZ7:HE17">
    <cfRule type="expression" dxfId="450" priority="711" stopIfTrue="1">
      <formula>AND(task_end&gt;=GZ$5,task_start&lt;HA$5)</formula>
    </cfRule>
  </conditionalFormatting>
  <conditionalFormatting sqref="GZ7:HF17">
    <cfRule type="expression" dxfId="449" priority="713">
      <formula>AND(task_start&lt;=GZ$5,ROUNDDOWN((task_end-task_start+1)*task_progress,0)+task_start-1&gt;=GZ$5)</formula>
    </cfRule>
  </conditionalFormatting>
  <conditionalFormatting sqref="HF5:HF17">
    <cfRule type="expression" dxfId="448" priority="714">
      <formula>AND(TODAY()&gt;=HF$5,TODAY()&lt;QR$5)</formula>
    </cfRule>
  </conditionalFormatting>
  <conditionalFormatting sqref="HF7:HF17">
    <cfRule type="expression" dxfId="447" priority="715" stopIfTrue="1">
      <formula>AND(task_end&gt;=HF$5,task_start&lt;QR$5)</formula>
    </cfRule>
  </conditionalFormatting>
  <conditionalFormatting sqref="GZ87:HF88 GZ110:HF110 GZ113:HF113">
    <cfRule type="expression" dxfId="446" priority="710">
      <formula>AND(task_start&lt;=GZ$5,ROUNDDOWN((task_end-task_start+1)*task_progress,0)+task_start-1&gt;=GZ$5)</formula>
    </cfRule>
  </conditionalFormatting>
  <conditionalFormatting sqref="GZ23:HF23">
    <cfRule type="expression" dxfId="445" priority="709">
      <formula>AND(task_start&lt;=GZ$5,ROUNDDOWN((task_end-task_start+1)*task_progress,0)+task_start-1&gt;=GZ$5)</formula>
    </cfRule>
  </conditionalFormatting>
  <conditionalFormatting sqref="GZ29:HF30">
    <cfRule type="expression" dxfId="444" priority="708">
      <formula>AND(task_start&lt;=GZ$5,ROUNDDOWN((task_end-task_start+1)*task_progress,0)+task_start-1&gt;=GZ$5)</formula>
    </cfRule>
  </conditionalFormatting>
  <conditionalFormatting sqref="HG114:HM115">
    <cfRule type="expression" dxfId="443" priority="703">
      <formula>AND(task_start&lt;=HG$5,ROUNDDOWN((task_end-task_start+1)*task_progress,0)+task_start-1&gt;=HG$5)</formula>
    </cfRule>
  </conditionalFormatting>
  <conditionalFormatting sqref="HG5:HL17">
    <cfRule type="expression" dxfId="442" priority="699">
      <formula>AND(TODAY()&gt;=HG$5,TODAY()&lt;HH$5)</formula>
    </cfRule>
  </conditionalFormatting>
  <conditionalFormatting sqref="HG7:HL17">
    <cfRule type="expression" dxfId="441" priority="698" stopIfTrue="1">
      <formula>AND(task_end&gt;=HG$5,task_start&lt;HH$5)</formula>
    </cfRule>
  </conditionalFormatting>
  <conditionalFormatting sqref="HG7:HM17">
    <cfRule type="expression" dxfId="440" priority="700">
      <formula>AND(task_start&lt;=HG$5,ROUNDDOWN((task_end-task_start+1)*task_progress,0)+task_start-1&gt;=HG$5)</formula>
    </cfRule>
  </conditionalFormatting>
  <conditionalFormatting sqref="HM5:HM17">
    <cfRule type="expression" dxfId="439" priority="701">
      <formula>AND(TODAY()&gt;=HM$5,TODAY()&lt;QY$5)</formula>
    </cfRule>
  </conditionalFormatting>
  <conditionalFormatting sqref="HM7:HM17">
    <cfRule type="expression" dxfId="438" priority="702" stopIfTrue="1">
      <formula>AND(task_end&gt;=HM$5,task_start&lt;QY$5)</formula>
    </cfRule>
  </conditionalFormatting>
  <conditionalFormatting sqref="HG87:HM88 HG110:HM110 HG113:HM113">
    <cfRule type="expression" dxfId="437" priority="697">
      <formula>AND(task_start&lt;=HG$5,ROUNDDOWN((task_end-task_start+1)*task_progress,0)+task_start-1&gt;=HG$5)</formula>
    </cfRule>
  </conditionalFormatting>
  <conditionalFormatting sqref="HG23:HM23">
    <cfRule type="expression" dxfId="436" priority="696">
      <formula>AND(task_start&lt;=HG$5,ROUNDDOWN((task_end-task_start+1)*task_progress,0)+task_start-1&gt;=HG$5)</formula>
    </cfRule>
  </conditionalFormatting>
  <conditionalFormatting sqref="HG29:HM30">
    <cfRule type="expression" dxfId="435" priority="695">
      <formula>AND(task_start&lt;=HG$5,ROUNDDOWN((task_end-task_start+1)*task_progress,0)+task_start-1&gt;=HG$5)</formula>
    </cfRule>
  </conditionalFormatting>
  <conditionalFormatting sqref="HN114:HT115">
    <cfRule type="expression" dxfId="434" priority="690">
      <formula>AND(task_start&lt;=HN$5,ROUNDDOWN((task_end-task_start+1)*task_progress,0)+task_start-1&gt;=HN$5)</formula>
    </cfRule>
  </conditionalFormatting>
  <conditionalFormatting sqref="HN5:HS17">
    <cfRule type="expression" dxfId="433" priority="686">
      <formula>AND(TODAY()&gt;=HN$5,TODAY()&lt;HO$5)</formula>
    </cfRule>
  </conditionalFormatting>
  <conditionalFormatting sqref="HN7:HS17">
    <cfRule type="expression" dxfId="432" priority="685" stopIfTrue="1">
      <formula>AND(task_end&gt;=HN$5,task_start&lt;HO$5)</formula>
    </cfRule>
  </conditionalFormatting>
  <conditionalFormatting sqref="HN7:HT17">
    <cfRule type="expression" dxfId="431" priority="687">
      <formula>AND(task_start&lt;=HN$5,ROUNDDOWN((task_end-task_start+1)*task_progress,0)+task_start-1&gt;=HN$5)</formula>
    </cfRule>
  </conditionalFormatting>
  <conditionalFormatting sqref="HT5:HT17">
    <cfRule type="expression" dxfId="430" priority="688">
      <formula>AND(TODAY()&gt;=HT$5,TODAY()&lt;RF$5)</formula>
    </cfRule>
  </conditionalFormatting>
  <conditionalFormatting sqref="HT7:HT17">
    <cfRule type="expression" dxfId="429" priority="689" stopIfTrue="1">
      <formula>AND(task_end&gt;=HT$5,task_start&lt;RF$5)</formula>
    </cfRule>
  </conditionalFormatting>
  <conditionalFormatting sqref="HN87:HT88 HN110:HT110 HN113:HT113">
    <cfRule type="expression" dxfId="428" priority="684">
      <formula>AND(task_start&lt;=HN$5,ROUNDDOWN((task_end-task_start+1)*task_progress,0)+task_start-1&gt;=HN$5)</formula>
    </cfRule>
  </conditionalFormatting>
  <conditionalFormatting sqref="HN23:HT23">
    <cfRule type="expression" dxfId="427" priority="683">
      <formula>AND(task_start&lt;=HN$5,ROUNDDOWN((task_end-task_start+1)*task_progress,0)+task_start-1&gt;=HN$5)</formula>
    </cfRule>
  </conditionalFormatting>
  <conditionalFormatting sqref="HN29:HT30">
    <cfRule type="expression" dxfId="426" priority="682">
      <formula>AND(task_start&lt;=HN$5,ROUNDDOWN((task_end-task_start+1)*task_progress,0)+task_start-1&gt;=HN$5)</formula>
    </cfRule>
  </conditionalFormatting>
  <conditionalFormatting sqref="HU114:IA115">
    <cfRule type="expression" dxfId="425" priority="677">
      <formula>AND(task_start&lt;=HU$5,ROUNDDOWN((task_end-task_start+1)*task_progress,0)+task_start-1&gt;=HU$5)</formula>
    </cfRule>
  </conditionalFormatting>
  <conditionalFormatting sqref="HU5:HZ17">
    <cfRule type="expression" dxfId="424" priority="673">
      <formula>AND(TODAY()&gt;=HU$5,TODAY()&lt;HV$5)</formula>
    </cfRule>
  </conditionalFormatting>
  <conditionalFormatting sqref="HU7:HZ17">
    <cfRule type="expression" dxfId="423" priority="672" stopIfTrue="1">
      <formula>AND(task_end&gt;=HU$5,task_start&lt;HV$5)</formula>
    </cfRule>
  </conditionalFormatting>
  <conditionalFormatting sqref="HU7:IA17">
    <cfRule type="expression" dxfId="422" priority="674">
      <formula>AND(task_start&lt;=HU$5,ROUNDDOWN((task_end-task_start+1)*task_progress,0)+task_start-1&gt;=HU$5)</formula>
    </cfRule>
  </conditionalFormatting>
  <conditionalFormatting sqref="IA5:IA17">
    <cfRule type="expression" dxfId="421" priority="675">
      <formula>AND(TODAY()&gt;=IA$5,TODAY()&lt;RM$5)</formula>
    </cfRule>
  </conditionalFormatting>
  <conditionalFormatting sqref="IA7:IA17">
    <cfRule type="expression" dxfId="420" priority="676" stopIfTrue="1">
      <formula>AND(task_end&gt;=IA$5,task_start&lt;RM$5)</formula>
    </cfRule>
  </conditionalFormatting>
  <conditionalFormatting sqref="HU87:IA88 HU110:IA110 HU113:IA113">
    <cfRule type="expression" dxfId="419" priority="671">
      <formula>AND(task_start&lt;=HU$5,ROUNDDOWN((task_end-task_start+1)*task_progress,0)+task_start-1&gt;=HU$5)</formula>
    </cfRule>
  </conditionalFormatting>
  <conditionalFormatting sqref="HU23:IA23">
    <cfRule type="expression" dxfId="418" priority="670">
      <formula>AND(task_start&lt;=HU$5,ROUNDDOWN((task_end-task_start+1)*task_progress,0)+task_start-1&gt;=HU$5)</formula>
    </cfRule>
  </conditionalFormatting>
  <conditionalFormatting sqref="HU29:IA30">
    <cfRule type="expression" dxfId="417" priority="669">
      <formula>AND(task_start&lt;=HU$5,ROUNDDOWN((task_end-task_start+1)*task_progress,0)+task_start-1&gt;=HU$5)</formula>
    </cfRule>
  </conditionalFormatting>
  <conditionalFormatting sqref="IB114:IH115">
    <cfRule type="expression" dxfId="416" priority="664">
      <formula>AND(task_start&lt;=IB$5,ROUNDDOWN((task_end-task_start+1)*task_progress,0)+task_start-1&gt;=IB$5)</formula>
    </cfRule>
  </conditionalFormatting>
  <conditionalFormatting sqref="IB5:IG17">
    <cfRule type="expression" dxfId="415" priority="660">
      <formula>AND(TODAY()&gt;=IB$5,TODAY()&lt;IC$5)</formula>
    </cfRule>
  </conditionalFormatting>
  <conditionalFormatting sqref="IB7:IG17">
    <cfRule type="expression" dxfId="414" priority="659" stopIfTrue="1">
      <formula>AND(task_end&gt;=IB$5,task_start&lt;IC$5)</formula>
    </cfRule>
  </conditionalFormatting>
  <conditionalFormatting sqref="IB7:IH17">
    <cfRule type="expression" dxfId="413" priority="661">
      <formula>AND(task_start&lt;=IB$5,ROUNDDOWN((task_end-task_start+1)*task_progress,0)+task_start-1&gt;=IB$5)</formula>
    </cfRule>
  </conditionalFormatting>
  <conditionalFormatting sqref="IH5:IH17">
    <cfRule type="expression" dxfId="412" priority="662">
      <formula>AND(TODAY()&gt;=IH$5,TODAY()&lt;RT$5)</formula>
    </cfRule>
  </conditionalFormatting>
  <conditionalFormatting sqref="IH7:IH17">
    <cfRule type="expression" dxfId="411" priority="663" stopIfTrue="1">
      <formula>AND(task_end&gt;=IH$5,task_start&lt;RT$5)</formula>
    </cfRule>
  </conditionalFormatting>
  <conditionalFormatting sqref="IB87:IH88 IB110:IH110 IB113:IH113">
    <cfRule type="expression" dxfId="410" priority="658">
      <formula>AND(task_start&lt;=IB$5,ROUNDDOWN((task_end-task_start+1)*task_progress,0)+task_start-1&gt;=IB$5)</formula>
    </cfRule>
  </conditionalFormatting>
  <conditionalFormatting sqref="IB23:IH23">
    <cfRule type="expression" dxfId="409" priority="657">
      <formula>AND(task_start&lt;=IB$5,ROUNDDOWN((task_end-task_start+1)*task_progress,0)+task_start-1&gt;=IB$5)</formula>
    </cfRule>
  </conditionalFormatting>
  <conditionalFormatting sqref="IB29:IH30">
    <cfRule type="expression" dxfId="408" priority="656">
      <formula>AND(task_start&lt;=IB$5,ROUNDDOWN((task_end-task_start+1)*task_progress,0)+task_start-1&gt;=IB$5)</formula>
    </cfRule>
  </conditionalFormatting>
  <conditionalFormatting sqref="II114:IO115">
    <cfRule type="expression" dxfId="407" priority="651">
      <formula>AND(task_start&lt;=II$5,ROUNDDOWN((task_end-task_start+1)*task_progress,0)+task_start-1&gt;=II$5)</formula>
    </cfRule>
  </conditionalFormatting>
  <conditionalFormatting sqref="II5:IN17">
    <cfRule type="expression" dxfId="406" priority="647">
      <formula>AND(TODAY()&gt;=II$5,TODAY()&lt;IJ$5)</formula>
    </cfRule>
  </conditionalFormatting>
  <conditionalFormatting sqref="II7:IN17">
    <cfRule type="expression" dxfId="405" priority="646" stopIfTrue="1">
      <formula>AND(task_end&gt;=II$5,task_start&lt;IJ$5)</formula>
    </cfRule>
  </conditionalFormatting>
  <conditionalFormatting sqref="II7:IO17">
    <cfRule type="expression" dxfId="404" priority="648">
      <formula>AND(task_start&lt;=II$5,ROUNDDOWN((task_end-task_start+1)*task_progress,0)+task_start-1&gt;=II$5)</formula>
    </cfRule>
  </conditionalFormatting>
  <conditionalFormatting sqref="IO5:IO17">
    <cfRule type="expression" dxfId="403" priority="649">
      <formula>AND(TODAY()&gt;=IO$5,TODAY()&lt;SA$5)</formula>
    </cfRule>
  </conditionalFormatting>
  <conditionalFormatting sqref="IO7:IO17">
    <cfRule type="expression" dxfId="402" priority="650" stopIfTrue="1">
      <formula>AND(task_end&gt;=IO$5,task_start&lt;SA$5)</formula>
    </cfRule>
  </conditionalFormatting>
  <conditionalFormatting sqref="II87:IO88 II110:IO110 II113:IO113">
    <cfRule type="expression" dxfId="401" priority="645">
      <formula>AND(task_start&lt;=II$5,ROUNDDOWN((task_end-task_start+1)*task_progress,0)+task_start-1&gt;=II$5)</formula>
    </cfRule>
  </conditionalFormatting>
  <conditionalFormatting sqref="II23:IO23">
    <cfRule type="expression" dxfId="400" priority="644">
      <formula>AND(task_start&lt;=II$5,ROUNDDOWN((task_end-task_start+1)*task_progress,0)+task_start-1&gt;=II$5)</formula>
    </cfRule>
  </conditionalFormatting>
  <conditionalFormatting sqref="II29:IO30">
    <cfRule type="expression" dxfId="399" priority="643">
      <formula>AND(task_start&lt;=II$5,ROUNDDOWN((task_end-task_start+1)*task_progress,0)+task_start-1&gt;=II$5)</formula>
    </cfRule>
  </conditionalFormatting>
  <conditionalFormatting sqref="IP114:IV115">
    <cfRule type="expression" dxfId="398" priority="638">
      <formula>AND(task_start&lt;=IP$5,ROUNDDOWN((task_end-task_start+1)*task_progress,0)+task_start-1&gt;=IP$5)</formula>
    </cfRule>
  </conditionalFormatting>
  <conditionalFormatting sqref="IP5:IU17">
    <cfRule type="expression" dxfId="397" priority="634">
      <formula>AND(TODAY()&gt;=IP$5,TODAY()&lt;IQ$5)</formula>
    </cfRule>
  </conditionalFormatting>
  <conditionalFormatting sqref="IP7:IU17">
    <cfRule type="expression" dxfId="396" priority="633" stopIfTrue="1">
      <formula>AND(task_end&gt;=IP$5,task_start&lt;IQ$5)</formula>
    </cfRule>
  </conditionalFormatting>
  <conditionalFormatting sqref="IP7:IV17">
    <cfRule type="expression" dxfId="395" priority="635">
      <formula>AND(task_start&lt;=IP$5,ROUNDDOWN((task_end-task_start+1)*task_progress,0)+task_start-1&gt;=IP$5)</formula>
    </cfRule>
  </conditionalFormatting>
  <conditionalFormatting sqref="IV5:IV17">
    <cfRule type="expression" dxfId="394" priority="636">
      <formula>AND(TODAY()&gt;=IV$5,TODAY()&lt;SH$5)</formula>
    </cfRule>
  </conditionalFormatting>
  <conditionalFormatting sqref="IV7:IV17">
    <cfRule type="expression" dxfId="393" priority="637" stopIfTrue="1">
      <formula>AND(task_end&gt;=IV$5,task_start&lt;SH$5)</formula>
    </cfRule>
  </conditionalFormatting>
  <conditionalFormatting sqref="IP87:IV88 IP110:IV110 IP113:IV113">
    <cfRule type="expression" dxfId="392" priority="632">
      <formula>AND(task_start&lt;=IP$5,ROUNDDOWN((task_end-task_start+1)*task_progress,0)+task_start-1&gt;=IP$5)</formula>
    </cfRule>
  </conditionalFormatting>
  <conditionalFormatting sqref="IP23:IV23">
    <cfRule type="expression" dxfId="391" priority="631">
      <formula>AND(task_start&lt;=IP$5,ROUNDDOWN((task_end-task_start+1)*task_progress,0)+task_start-1&gt;=IP$5)</formula>
    </cfRule>
  </conditionalFormatting>
  <conditionalFormatting sqref="IP29:IV30">
    <cfRule type="expression" dxfId="390" priority="630">
      <formula>AND(task_start&lt;=IP$5,ROUNDDOWN((task_end-task_start+1)*task_progress,0)+task_start-1&gt;=IP$5)</formula>
    </cfRule>
  </conditionalFormatting>
  <conditionalFormatting sqref="IW114:JC115">
    <cfRule type="expression" dxfId="389" priority="625">
      <formula>AND(task_start&lt;=IW$5,ROUNDDOWN((task_end-task_start+1)*task_progress,0)+task_start-1&gt;=IW$5)</formula>
    </cfRule>
  </conditionalFormatting>
  <conditionalFormatting sqref="IW5:JB17">
    <cfRule type="expression" dxfId="388" priority="621">
      <formula>AND(TODAY()&gt;=IW$5,TODAY()&lt;IX$5)</formula>
    </cfRule>
  </conditionalFormatting>
  <conditionalFormatting sqref="IW7:JB17">
    <cfRule type="expression" dxfId="387" priority="620" stopIfTrue="1">
      <formula>AND(task_end&gt;=IW$5,task_start&lt;IX$5)</formula>
    </cfRule>
  </conditionalFormatting>
  <conditionalFormatting sqref="IW7:JC17">
    <cfRule type="expression" dxfId="386" priority="622">
      <formula>AND(task_start&lt;=IW$5,ROUNDDOWN((task_end-task_start+1)*task_progress,0)+task_start-1&gt;=IW$5)</formula>
    </cfRule>
  </conditionalFormatting>
  <conditionalFormatting sqref="JC5:JC17">
    <cfRule type="expression" dxfId="385" priority="623">
      <formula>AND(TODAY()&gt;=JC$5,TODAY()&lt;SO$5)</formula>
    </cfRule>
  </conditionalFormatting>
  <conditionalFormatting sqref="JC7:JC17">
    <cfRule type="expression" dxfId="384" priority="624" stopIfTrue="1">
      <formula>AND(task_end&gt;=JC$5,task_start&lt;SO$5)</formula>
    </cfRule>
  </conditionalFormatting>
  <conditionalFormatting sqref="IW87:JC88 IW110:JC110 IW113:JC113">
    <cfRule type="expression" dxfId="383" priority="619">
      <formula>AND(task_start&lt;=IW$5,ROUNDDOWN((task_end-task_start+1)*task_progress,0)+task_start-1&gt;=IW$5)</formula>
    </cfRule>
  </conditionalFormatting>
  <conditionalFormatting sqref="IW23:JC23">
    <cfRule type="expression" dxfId="382" priority="618">
      <formula>AND(task_start&lt;=IW$5,ROUNDDOWN((task_end-task_start+1)*task_progress,0)+task_start-1&gt;=IW$5)</formula>
    </cfRule>
  </conditionalFormatting>
  <conditionalFormatting sqref="IW29:JC30">
    <cfRule type="expression" dxfId="381" priority="617">
      <formula>AND(task_start&lt;=IW$5,ROUNDDOWN((task_end-task_start+1)*task_progress,0)+task_start-1&gt;=IW$5)</formula>
    </cfRule>
  </conditionalFormatting>
  <conditionalFormatting sqref="JD114:JJ115">
    <cfRule type="expression" dxfId="380" priority="612">
      <formula>AND(task_start&lt;=JD$5,ROUNDDOWN((task_end-task_start+1)*task_progress,0)+task_start-1&gt;=JD$5)</formula>
    </cfRule>
  </conditionalFormatting>
  <conditionalFormatting sqref="JD5:JI17">
    <cfRule type="expression" dxfId="379" priority="608">
      <formula>AND(TODAY()&gt;=JD$5,TODAY()&lt;JE$5)</formula>
    </cfRule>
  </conditionalFormatting>
  <conditionalFormatting sqref="JD7:JI17">
    <cfRule type="expression" dxfId="378" priority="607" stopIfTrue="1">
      <formula>AND(task_end&gt;=JD$5,task_start&lt;JE$5)</formula>
    </cfRule>
  </conditionalFormatting>
  <conditionalFormatting sqref="JD7:JJ17">
    <cfRule type="expression" dxfId="377" priority="609">
      <formula>AND(task_start&lt;=JD$5,ROUNDDOWN((task_end-task_start+1)*task_progress,0)+task_start-1&gt;=JD$5)</formula>
    </cfRule>
  </conditionalFormatting>
  <conditionalFormatting sqref="JJ5:JJ17">
    <cfRule type="expression" dxfId="376" priority="610">
      <formula>AND(TODAY()&gt;=JJ$5,TODAY()&lt;SV$5)</formula>
    </cfRule>
  </conditionalFormatting>
  <conditionalFormatting sqref="JJ7:JJ17">
    <cfRule type="expression" dxfId="375" priority="611" stopIfTrue="1">
      <formula>AND(task_end&gt;=JJ$5,task_start&lt;SV$5)</formula>
    </cfRule>
  </conditionalFormatting>
  <conditionalFormatting sqref="JD87:JJ88 JD110:JJ110 JD113:JJ113">
    <cfRule type="expression" dxfId="374" priority="606">
      <formula>AND(task_start&lt;=JD$5,ROUNDDOWN((task_end-task_start+1)*task_progress,0)+task_start-1&gt;=JD$5)</formula>
    </cfRule>
  </conditionalFormatting>
  <conditionalFormatting sqref="JD23:JJ23">
    <cfRule type="expression" dxfId="373" priority="605">
      <formula>AND(task_start&lt;=JD$5,ROUNDDOWN((task_end-task_start+1)*task_progress,0)+task_start-1&gt;=JD$5)</formula>
    </cfRule>
  </conditionalFormatting>
  <conditionalFormatting sqref="JD29:JJ30">
    <cfRule type="expression" dxfId="372" priority="604">
      <formula>AND(task_start&lt;=JD$5,ROUNDDOWN((task_end-task_start+1)*task_progress,0)+task_start-1&gt;=JD$5)</formula>
    </cfRule>
  </conditionalFormatting>
  <conditionalFormatting sqref="JK114:JQ115">
    <cfRule type="expression" dxfId="371" priority="599">
      <formula>AND(task_start&lt;=JK$5,ROUNDDOWN((task_end-task_start+1)*task_progress,0)+task_start-1&gt;=JK$5)</formula>
    </cfRule>
  </conditionalFormatting>
  <conditionalFormatting sqref="JK5:JP17">
    <cfRule type="expression" dxfId="370" priority="595">
      <formula>AND(TODAY()&gt;=JK$5,TODAY()&lt;JL$5)</formula>
    </cfRule>
  </conditionalFormatting>
  <conditionalFormatting sqref="JK7:JP17">
    <cfRule type="expression" dxfId="369" priority="594" stopIfTrue="1">
      <formula>AND(task_end&gt;=JK$5,task_start&lt;JL$5)</formula>
    </cfRule>
  </conditionalFormatting>
  <conditionalFormatting sqref="JK7:JQ17">
    <cfRule type="expression" dxfId="368" priority="596">
      <formula>AND(task_start&lt;=JK$5,ROUNDDOWN((task_end-task_start+1)*task_progress,0)+task_start-1&gt;=JK$5)</formula>
    </cfRule>
  </conditionalFormatting>
  <conditionalFormatting sqref="JQ5:JQ17">
    <cfRule type="expression" dxfId="367" priority="597">
      <formula>AND(TODAY()&gt;=JQ$5,TODAY()&lt;TC$5)</formula>
    </cfRule>
  </conditionalFormatting>
  <conditionalFormatting sqref="JQ7:JQ17">
    <cfRule type="expression" dxfId="366" priority="598" stopIfTrue="1">
      <formula>AND(task_end&gt;=JQ$5,task_start&lt;TC$5)</formula>
    </cfRule>
  </conditionalFormatting>
  <conditionalFormatting sqref="JK87:JQ88 JK110:JQ110 JK113:JQ113">
    <cfRule type="expression" dxfId="365" priority="593">
      <formula>AND(task_start&lt;=JK$5,ROUNDDOWN((task_end-task_start+1)*task_progress,0)+task_start-1&gt;=JK$5)</formula>
    </cfRule>
  </conditionalFormatting>
  <conditionalFormatting sqref="JK23:JQ23">
    <cfRule type="expression" dxfId="364" priority="592">
      <formula>AND(task_start&lt;=JK$5,ROUNDDOWN((task_end-task_start+1)*task_progress,0)+task_start-1&gt;=JK$5)</formula>
    </cfRule>
  </conditionalFormatting>
  <conditionalFormatting sqref="JK29:JQ30">
    <cfRule type="expression" dxfId="363" priority="591">
      <formula>AND(task_start&lt;=JK$5,ROUNDDOWN((task_end-task_start+1)*task_progress,0)+task_start-1&gt;=JK$5)</formula>
    </cfRule>
  </conditionalFormatting>
  <conditionalFormatting sqref="JR114:JX115">
    <cfRule type="expression" dxfId="362" priority="586">
      <formula>AND(task_start&lt;=JR$5,ROUNDDOWN((task_end-task_start+1)*task_progress,0)+task_start-1&gt;=JR$5)</formula>
    </cfRule>
  </conditionalFormatting>
  <conditionalFormatting sqref="JR5:JW17">
    <cfRule type="expression" dxfId="361" priority="582">
      <formula>AND(TODAY()&gt;=JR$5,TODAY()&lt;JS$5)</formula>
    </cfRule>
  </conditionalFormatting>
  <conditionalFormatting sqref="JR7:JW17">
    <cfRule type="expression" dxfId="360" priority="581" stopIfTrue="1">
      <formula>AND(task_end&gt;=JR$5,task_start&lt;JS$5)</formula>
    </cfRule>
  </conditionalFormatting>
  <conditionalFormatting sqref="JR7:JX17">
    <cfRule type="expression" dxfId="359" priority="583">
      <formula>AND(task_start&lt;=JR$5,ROUNDDOWN((task_end-task_start+1)*task_progress,0)+task_start-1&gt;=JR$5)</formula>
    </cfRule>
  </conditionalFormatting>
  <conditionalFormatting sqref="JX5:JX17">
    <cfRule type="expression" dxfId="358" priority="584">
      <formula>AND(TODAY()&gt;=JX$5,TODAY()&lt;TJ$5)</formula>
    </cfRule>
  </conditionalFormatting>
  <conditionalFormatting sqref="JX7:JX17">
    <cfRule type="expression" dxfId="357" priority="585" stopIfTrue="1">
      <formula>AND(task_end&gt;=JX$5,task_start&lt;TJ$5)</formula>
    </cfRule>
  </conditionalFormatting>
  <conditionalFormatting sqref="JR87:JX88 JR110:JX110 JR113:JX113">
    <cfRule type="expression" dxfId="356" priority="580">
      <formula>AND(task_start&lt;=JR$5,ROUNDDOWN((task_end-task_start+1)*task_progress,0)+task_start-1&gt;=JR$5)</formula>
    </cfRule>
  </conditionalFormatting>
  <conditionalFormatting sqref="JR23:JX23">
    <cfRule type="expression" dxfId="355" priority="579">
      <formula>AND(task_start&lt;=JR$5,ROUNDDOWN((task_end-task_start+1)*task_progress,0)+task_start-1&gt;=JR$5)</formula>
    </cfRule>
  </conditionalFormatting>
  <conditionalFormatting sqref="JR29:JX30">
    <cfRule type="expression" dxfId="354" priority="578">
      <formula>AND(task_start&lt;=JR$5,ROUNDDOWN((task_end-task_start+1)*task_progress,0)+task_start-1&gt;=JR$5)</formula>
    </cfRule>
  </conditionalFormatting>
  <conditionalFormatting sqref="JY114:KE115">
    <cfRule type="expression" dxfId="353" priority="573">
      <formula>AND(task_start&lt;=JY$5,ROUNDDOWN((task_end-task_start+1)*task_progress,0)+task_start-1&gt;=JY$5)</formula>
    </cfRule>
  </conditionalFormatting>
  <conditionalFormatting sqref="JY5:KD17">
    <cfRule type="expression" dxfId="352" priority="569">
      <formula>AND(TODAY()&gt;=JY$5,TODAY()&lt;JZ$5)</formula>
    </cfRule>
  </conditionalFormatting>
  <conditionalFormatting sqref="JY7:KD17">
    <cfRule type="expression" dxfId="351" priority="568" stopIfTrue="1">
      <formula>AND(task_end&gt;=JY$5,task_start&lt;JZ$5)</formula>
    </cfRule>
  </conditionalFormatting>
  <conditionalFormatting sqref="JY7:KE17">
    <cfRule type="expression" dxfId="350" priority="570">
      <formula>AND(task_start&lt;=JY$5,ROUNDDOWN((task_end-task_start+1)*task_progress,0)+task_start-1&gt;=JY$5)</formula>
    </cfRule>
  </conditionalFormatting>
  <conditionalFormatting sqref="KE5:KE17">
    <cfRule type="expression" dxfId="349" priority="571">
      <formula>AND(TODAY()&gt;=KE$5,TODAY()&lt;TQ$5)</formula>
    </cfRule>
  </conditionalFormatting>
  <conditionalFormatting sqref="KE7:KE17">
    <cfRule type="expression" dxfId="348" priority="572" stopIfTrue="1">
      <formula>AND(task_end&gt;=KE$5,task_start&lt;TQ$5)</formula>
    </cfRule>
  </conditionalFormatting>
  <conditionalFormatting sqref="JY87:KE88 JY110:KE110 JY113:KE113">
    <cfRule type="expression" dxfId="347" priority="567">
      <formula>AND(task_start&lt;=JY$5,ROUNDDOWN((task_end-task_start+1)*task_progress,0)+task_start-1&gt;=JY$5)</formula>
    </cfRule>
  </conditionalFormatting>
  <conditionalFormatting sqref="JY23:KE23">
    <cfRule type="expression" dxfId="346" priority="566">
      <formula>AND(task_start&lt;=JY$5,ROUNDDOWN((task_end-task_start+1)*task_progress,0)+task_start-1&gt;=JY$5)</formula>
    </cfRule>
  </conditionalFormatting>
  <conditionalFormatting sqref="JY29:KE30">
    <cfRule type="expression" dxfId="345" priority="565">
      <formula>AND(task_start&lt;=JY$5,ROUNDDOWN((task_end-task_start+1)*task_progress,0)+task_start-1&gt;=JY$5)</formula>
    </cfRule>
  </conditionalFormatting>
  <conditionalFormatting sqref="KF114:KL115">
    <cfRule type="expression" dxfId="344" priority="560">
      <formula>AND(task_start&lt;=KF$5,ROUNDDOWN((task_end-task_start+1)*task_progress,0)+task_start-1&gt;=KF$5)</formula>
    </cfRule>
  </conditionalFormatting>
  <conditionalFormatting sqref="KF5:KK17">
    <cfRule type="expression" dxfId="343" priority="556">
      <formula>AND(TODAY()&gt;=KF$5,TODAY()&lt;KG$5)</formula>
    </cfRule>
  </conditionalFormatting>
  <conditionalFormatting sqref="KF7:KK17">
    <cfRule type="expression" dxfId="342" priority="555" stopIfTrue="1">
      <formula>AND(task_end&gt;=KF$5,task_start&lt;KG$5)</formula>
    </cfRule>
  </conditionalFormatting>
  <conditionalFormatting sqref="KF7:KL17">
    <cfRule type="expression" dxfId="341" priority="557">
      <formula>AND(task_start&lt;=KF$5,ROUNDDOWN((task_end-task_start+1)*task_progress,0)+task_start-1&gt;=KF$5)</formula>
    </cfRule>
  </conditionalFormatting>
  <conditionalFormatting sqref="KL5:KL17">
    <cfRule type="expression" dxfId="340" priority="558">
      <formula>AND(TODAY()&gt;=KL$5,TODAY()&lt;TX$5)</formula>
    </cfRule>
  </conditionalFormatting>
  <conditionalFormatting sqref="KL7:KL17">
    <cfRule type="expression" dxfId="339" priority="559" stopIfTrue="1">
      <formula>AND(task_end&gt;=KL$5,task_start&lt;TX$5)</formula>
    </cfRule>
  </conditionalFormatting>
  <conditionalFormatting sqref="KF87:KL88 KF110:KL110 KF113:KL113">
    <cfRule type="expression" dxfId="338" priority="554">
      <formula>AND(task_start&lt;=KF$5,ROUNDDOWN((task_end-task_start+1)*task_progress,0)+task_start-1&gt;=KF$5)</formula>
    </cfRule>
  </conditionalFormatting>
  <conditionalFormatting sqref="KF23:KL23">
    <cfRule type="expression" dxfId="337" priority="553">
      <formula>AND(task_start&lt;=KF$5,ROUNDDOWN((task_end-task_start+1)*task_progress,0)+task_start-1&gt;=KF$5)</formula>
    </cfRule>
  </conditionalFormatting>
  <conditionalFormatting sqref="KF29:KL30">
    <cfRule type="expression" dxfId="336" priority="552">
      <formula>AND(task_start&lt;=KF$5,ROUNDDOWN((task_end-task_start+1)*task_progress,0)+task_start-1&gt;=KF$5)</formula>
    </cfRule>
  </conditionalFormatting>
  <conditionalFormatting sqref="KM114:KS115">
    <cfRule type="expression" dxfId="335" priority="547">
      <formula>AND(task_start&lt;=KM$5,ROUNDDOWN((task_end-task_start+1)*task_progress,0)+task_start-1&gt;=KM$5)</formula>
    </cfRule>
  </conditionalFormatting>
  <conditionalFormatting sqref="KM5:KR17">
    <cfRule type="expression" dxfId="334" priority="543">
      <formula>AND(TODAY()&gt;=KM$5,TODAY()&lt;KN$5)</formula>
    </cfRule>
  </conditionalFormatting>
  <conditionalFormatting sqref="KM7:KR17">
    <cfRule type="expression" dxfId="333" priority="542" stopIfTrue="1">
      <formula>AND(task_end&gt;=KM$5,task_start&lt;KN$5)</formula>
    </cfRule>
  </conditionalFormatting>
  <conditionalFormatting sqref="KM7:KS17">
    <cfRule type="expression" dxfId="332" priority="544">
      <formula>AND(task_start&lt;=KM$5,ROUNDDOWN((task_end-task_start+1)*task_progress,0)+task_start-1&gt;=KM$5)</formula>
    </cfRule>
  </conditionalFormatting>
  <conditionalFormatting sqref="KS5:KS17">
    <cfRule type="expression" dxfId="331" priority="545">
      <formula>AND(TODAY()&gt;=KS$5,TODAY()&lt;UE$5)</formula>
    </cfRule>
  </conditionalFormatting>
  <conditionalFormatting sqref="KS7:KS17">
    <cfRule type="expression" dxfId="330" priority="546" stopIfTrue="1">
      <formula>AND(task_end&gt;=KS$5,task_start&lt;UE$5)</formula>
    </cfRule>
  </conditionalFormatting>
  <conditionalFormatting sqref="KM87:KS88 KM110:KS110 KM113:KS113">
    <cfRule type="expression" dxfId="329" priority="541">
      <formula>AND(task_start&lt;=KM$5,ROUNDDOWN((task_end-task_start+1)*task_progress,0)+task_start-1&gt;=KM$5)</formula>
    </cfRule>
  </conditionalFormatting>
  <conditionalFormatting sqref="KM23:KS23">
    <cfRule type="expression" dxfId="328" priority="540">
      <formula>AND(task_start&lt;=KM$5,ROUNDDOWN((task_end-task_start+1)*task_progress,0)+task_start-1&gt;=KM$5)</formula>
    </cfRule>
  </conditionalFormatting>
  <conditionalFormatting sqref="KM29:KS30">
    <cfRule type="expression" dxfId="327" priority="539">
      <formula>AND(task_start&lt;=KM$5,ROUNDDOWN((task_end-task_start+1)*task_progress,0)+task_start-1&gt;=KM$5)</formula>
    </cfRule>
  </conditionalFormatting>
  <conditionalFormatting sqref="KT114:KZ115">
    <cfRule type="expression" dxfId="326" priority="534">
      <formula>AND(task_start&lt;=KT$5,ROUNDDOWN((task_end-task_start+1)*task_progress,0)+task_start-1&gt;=KT$5)</formula>
    </cfRule>
  </conditionalFormatting>
  <conditionalFormatting sqref="KT5:KY17">
    <cfRule type="expression" dxfId="325" priority="530">
      <formula>AND(TODAY()&gt;=KT$5,TODAY()&lt;KU$5)</formula>
    </cfRule>
  </conditionalFormatting>
  <conditionalFormatting sqref="KT7:KY17">
    <cfRule type="expression" dxfId="324" priority="529" stopIfTrue="1">
      <formula>AND(task_end&gt;=KT$5,task_start&lt;KU$5)</formula>
    </cfRule>
  </conditionalFormatting>
  <conditionalFormatting sqref="KT7:KZ17">
    <cfRule type="expression" dxfId="323" priority="531">
      <formula>AND(task_start&lt;=KT$5,ROUNDDOWN((task_end-task_start+1)*task_progress,0)+task_start-1&gt;=KT$5)</formula>
    </cfRule>
  </conditionalFormatting>
  <conditionalFormatting sqref="KZ5:KZ17">
    <cfRule type="expression" dxfId="322" priority="532">
      <formula>AND(TODAY()&gt;=KZ$5,TODAY()&lt;UL$5)</formula>
    </cfRule>
  </conditionalFormatting>
  <conditionalFormatting sqref="KZ7:KZ17">
    <cfRule type="expression" dxfId="321" priority="533" stopIfTrue="1">
      <formula>AND(task_end&gt;=KZ$5,task_start&lt;UL$5)</formula>
    </cfRule>
  </conditionalFormatting>
  <conditionalFormatting sqref="KT87:KZ88 KT110:KZ110 KT113:KZ113">
    <cfRule type="expression" dxfId="320" priority="528">
      <formula>AND(task_start&lt;=KT$5,ROUNDDOWN((task_end-task_start+1)*task_progress,0)+task_start-1&gt;=KT$5)</formula>
    </cfRule>
  </conditionalFormatting>
  <conditionalFormatting sqref="KT23:KZ23">
    <cfRule type="expression" dxfId="319" priority="527">
      <formula>AND(task_start&lt;=KT$5,ROUNDDOWN((task_end-task_start+1)*task_progress,0)+task_start-1&gt;=KT$5)</formula>
    </cfRule>
  </conditionalFormatting>
  <conditionalFormatting sqref="KT29:KZ30">
    <cfRule type="expression" dxfId="318" priority="526">
      <formula>AND(task_start&lt;=KT$5,ROUNDDOWN((task_end-task_start+1)*task_progress,0)+task_start-1&gt;=KT$5)</formula>
    </cfRule>
  </conditionalFormatting>
  <conditionalFormatting sqref="LA114:LG115">
    <cfRule type="expression" dxfId="317" priority="521">
      <formula>AND(task_start&lt;=LA$5,ROUNDDOWN((task_end-task_start+1)*task_progress,0)+task_start-1&gt;=LA$5)</formula>
    </cfRule>
  </conditionalFormatting>
  <conditionalFormatting sqref="LA5:LF17">
    <cfRule type="expression" dxfId="316" priority="517">
      <formula>AND(TODAY()&gt;=LA$5,TODAY()&lt;LB$5)</formula>
    </cfRule>
  </conditionalFormatting>
  <conditionalFormatting sqref="LA7:LF17">
    <cfRule type="expression" dxfId="315" priority="516" stopIfTrue="1">
      <formula>AND(task_end&gt;=LA$5,task_start&lt;LB$5)</formula>
    </cfRule>
  </conditionalFormatting>
  <conditionalFormatting sqref="LA7:LG17">
    <cfRule type="expression" dxfId="314" priority="518">
      <formula>AND(task_start&lt;=LA$5,ROUNDDOWN((task_end-task_start+1)*task_progress,0)+task_start-1&gt;=LA$5)</formula>
    </cfRule>
  </conditionalFormatting>
  <conditionalFormatting sqref="LG5:LG17">
    <cfRule type="expression" dxfId="313" priority="519">
      <formula>AND(TODAY()&gt;=LG$5,TODAY()&lt;US$5)</formula>
    </cfRule>
  </conditionalFormatting>
  <conditionalFormatting sqref="LG7:LG17">
    <cfRule type="expression" dxfId="312" priority="520" stopIfTrue="1">
      <formula>AND(task_end&gt;=LG$5,task_start&lt;US$5)</formula>
    </cfRule>
  </conditionalFormatting>
  <conditionalFormatting sqref="LA87:LG88 LA110:LG110 LA113:LG113">
    <cfRule type="expression" dxfId="311" priority="515">
      <formula>AND(task_start&lt;=LA$5,ROUNDDOWN((task_end-task_start+1)*task_progress,0)+task_start-1&gt;=LA$5)</formula>
    </cfRule>
  </conditionalFormatting>
  <conditionalFormatting sqref="LA23:LG23">
    <cfRule type="expression" dxfId="310" priority="514">
      <formula>AND(task_start&lt;=LA$5,ROUNDDOWN((task_end-task_start+1)*task_progress,0)+task_start-1&gt;=LA$5)</formula>
    </cfRule>
  </conditionalFormatting>
  <conditionalFormatting sqref="LA29:LG30">
    <cfRule type="expression" dxfId="309" priority="513">
      <formula>AND(task_start&lt;=LA$5,ROUNDDOWN((task_end-task_start+1)*task_progress,0)+task_start-1&gt;=LA$5)</formula>
    </cfRule>
  </conditionalFormatting>
  <conditionalFormatting sqref="LH114:LN115">
    <cfRule type="expression" dxfId="308" priority="508">
      <formula>AND(task_start&lt;=LH$5,ROUNDDOWN((task_end-task_start+1)*task_progress,0)+task_start-1&gt;=LH$5)</formula>
    </cfRule>
  </conditionalFormatting>
  <conditionalFormatting sqref="LH5:LM17">
    <cfRule type="expression" dxfId="307" priority="504">
      <formula>AND(TODAY()&gt;=LH$5,TODAY()&lt;LI$5)</formula>
    </cfRule>
  </conditionalFormatting>
  <conditionalFormatting sqref="LH7:LM17">
    <cfRule type="expression" dxfId="306" priority="503" stopIfTrue="1">
      <formula>AND(task_end&gt;=LH$5,task_start&lt;LI$5)</formula>
    </cfRule>
  </conditionalFormatting>
  <conditionalFormatting sqref="LH7:LN17">
    <cfRule type="expression" dxfId="305" priority="505">
      <formula>AND(task_start&lt;=LH$5,ROUNDDOWN((task_end-task_start+1)*task_progress,0)+task_start-1&gt;=LH$5)</formula>
    </cfRule>
  </conditionalFormatting>
  <conditionalFormatting sqref="LN5:LN17">
    <cfRule type="expression" dxfId="304" priority="506">
      <formula>AND(TODAY()&gt;=LN$5,TODAY()&lt;UZ$5)</formula>
    </cfRule>
  </conditionalFormatting>
  <conditionalFormatting sqref="LN7:LN17">
    <cfRule type="expression" dxfId="303" priority="507" stopIfTrue="1">
      <formula>AND(task_end&gt;=LN$5,task_start&lt;UZ$5)</formula>
    </cfRule>
  </conditionalFormatting>
  <conditionalFormatting sqref="LH87:LN88 LH110:LN110 LH113:LN113">
    <cfRule type="expression" dxfId="302" priority="502">
      <formula>AND(task_start&lt;=LH$5,ROUNDDOWN((task_end-task_start+1)*task_progress,0)+task_start-1&gt;=LH$5)</formula>
    </cfRule>
  </conditionalFormatting>
  <conditionalFormatting sqref="LH23:LN23">
    <cfRule type="expression" dxfId="301" priority="501">
      <formula>AND(task_start&lt;=LH$5,ROUNDDOWN((task_end-task_start+1)*task_progress,0)+task_start-1&gt;=LH$5)</formula>
    </cfRule>
  </conditionalFormatting>
  <conditionalFormatting sqref="LH29:LN30">
    <cfRule type="expression" dxfId="300" priority="500">
      <formula>AND(task_start&lt;=LH$5,ROUNDDOWN((task_end-task_start+1)*task_progress,0)+task_start-1&gt;=LH$5)</formula>
    </cfRule>
  </conditionalFormatting>
  <conditionalFormatting sqref="LO114:LU115">
    <cfRule type="expression" dxfId="299" priority="495">
      <formula>AND(task_start&lt;=LO$5,ROUNDDOWN((task_end-task_start+1)*task_progress,0)+task_start-1&gt;=LO$5)</formula>
    </cfRule>
  </conditionalFormatting>
  <conditionalFormatting sqref="LO5:LT17">
    <cfRule type="expression" dxfId="298" priority="491">
      <formula>AND(TODAY()&gt;=LO$5,TODAY()&lt;LP$5)</formula>
    </cfRule>
  </conditionalFormatting>
  <conditionalFormatting sqref="LO7:LT17">
    <cfRule type="expression" dxfId="297" priority="490" stopIfTrue="1">
      <formula>AND(task_end&gt;=LO$5,task_start&lt;LP$5)</formula>
    </cfRule>
  </conditionalFormatting>
  <conditionalFormatting sqref="LO7:LU17">
    <cfRule type="expression" dxfId="296" priority="492">
      <formula>AND(task_start&lt;=LO$5,ROUNDDOWN((task_end-task_start+1)*task_progress,0)+task_start-1&gt;=LO$5)</formula>
    </cfRule>
  </conditionalFormatting>
  <conditionalFormatting sqref="LU5:LU17">
    <cfRule type="expression" dxfId="295" priority="493">
      <formula>AND(TODAY()&gt;=LU$5,TODAY()&lt;VG$5)</formula>
    </cfRule>
  </conditionalFormatting>
  <conditionalFormatting sqref="LU7:LU17">
    <cfRule type="expression" dxfId="294" priority="494" stopIfTrue="1">
      <formula>AND(task_end&gt;=LU$5,task_start&lt;VG$5)</formula>
    </cfRule>
  </conditionalFormatting>
  <conditionalFormatting sqref="LO87:LU88 LO110:LU110 LO113:LU113">
    <cfRule type="expression" dxfId="293" priority="489">
      <formula>AND(task_start&lt;=LO$5,ROUNDDOWN((task_end-task_start+1)*task_progress,0)+task_start-1&gt;=LO$5)</formula>
    </cfRule>
  </conditionalFormatting>
  <conditionalFormatting sqref="LO23:LU23">
    <cfRule type="expression" dxfId="292" priority="488">
      <formula>AND(task_start&lt;=LO$5,ROUNDDOWN((task_end-task_start+1)*task_progress,0)+task_start-1&gt;=LO$5)</formula>
    </cfRule>
  </conditionalFormatting>
  <conditionalFormatting sqref="LO29:LU30">
    <cfRule type="expression" dxfId="291" priority="487">
      <formula>AND(task_start&lt;=LO$5,ROUNDDOWN((task_end-task_start+1)*task_progress,0)+task_start-1&gt;=LO$5)</formula>
    </cfRule>
  </conditionalFormatting>
  <conditionalFormatting sqref="LV114:MB115">
    <cfRule type="expression" dxfId="290" priority="482">
      <formula>AND(task_start&lt;=LV$5,ROUNDDOWN((task_end-task_start+1)*task_progress,0)+task_start-1&gt;=LV$5)</formula>
    </cfRule>
  </conditionalFormatting>
  <conditionalFormatting sqref="LV5:MA17">
    <cfRule type="expression" dxfId="289" priority="478">
      <formula>AND(TODAY()&gt;=LV$5,TODAY()&lt;LW$5)</formula>
    </cfRule>
  </conditionalFormatting>
  <conditionalFormatting sqref="LV7:MA17">
    <cfRule type="expression" dxfId="288" priority="477" stopIfTrue="1">
      <formula>AND(task_end&gt;=LV$5,task_start&lt;LW$5)</formula>
    </cfRule>
  </conditionalFormatting>
  <conditionalFormatting sqref="LV7:MB17">
    <cfRule type="expression" dxfId="287" priority="479">
      <formula>AND(task_start&lt;=LV$5,ROUNDDOWN((task_end-task_start+1)*task_progress,0)+task_start-1&gt;=LV$5)</formula>
    </cfRule>
  </conditionalFormatting>
  <conditionalFormatting sqref="MB5:MB17">
    <cfRule type="expression" dxfId="286" priority="480">
      <formula>AND(TODAY()&gt;=MB$5,TODAY()&lt;VN$5)</formula>
    </cfRule>
  </conditionalFormatting>
  <conditionalFormatting sqref="MB7:MB17">
    <cfRule type="expression" dxfId="285" priority="481" stopIfTrue="1">
      <formula>AND(task_end&gt;=MB$5,task_start&lt;VN$5)</formula>
    </cfRule>
  </conditionalFormatting>
  <conditionalFormatting sqref="LV87:MB88 LV110:MB110 LV113:MB113">
    <cfRule type="expression" dxfId="284" priority="476">
      <formula>AND(task_start&lt;=LV$5,ROUNDDOWN((task_end-task_start+1)*task_progress,0)+task_start-1&gt;=LV$5)</formula>
    </cfRule>
  </conditionalFormatting>
  <conditionalFormatting sqref="LV23:MB23">
    <cfRule type="expression" dxfId="283" priority="475">
      <formula>AND(task_start&lt;=LV$5,ROUNDDOWN((task_end-task_start+1)*task_progress,0)+task_start-1&gt;=LV$5)</formula>
    </cfRule>
  </conditionalFormatting>
  <conditionalFormatting sqref="LV29:MB30">
    <cfRule type="expression" dxfId="282" priority="474">
      <formula>AND(task_start&lt;=LV$5,ROUNDDOWN((task_end-task_start+1)*task_progress,0)+task_start-1&gt;=LV$5)</formula>
    </cfRule>
  </conditionalFormatting>
  <conditionalFormatting sqref="MC114:MI115">
    <cfRule type="expression" dxfId="281" priority="469">
      <formula>AND(task_start&lt;=MC$5,ROUNDDOWN((task_end-task_start+1)*task_progress,0)+task_start-1&gt;=MC$5)</formula>
    </cfRule>
  </conditionalFormatting>
  <conditionalFormatting sqref="MC5:MH17">
    <cfRule type="expression" dxfId="280" priority="465">
      <formula>AND(TODAY()&gt;=MC$5,TODAY()&lt;MD$5)</formula>
    </cfRule>
  </conditionalFormatting>
  <conditionalFormatting sqref="MC7:MH17">
    <cfRule type="expression" dxfId="279" priority="464" stopIfTrue="1">
      <formula>AND(task_end&gt;=MC$5,task_start&lt;MD$5)</formula>
    </cfRule>
  </conditionalFormatting>
  <conditionalFormatting sqref="MC7:MI17">
    <cfRule type="expression" dxfId="278" priority="466">
      <formula>AND(task_start&lt;=MC$5,ROUNDDOWN((task_end-task_start+1)*task_progress,0)+task_start-1&gt;=MC$5)</formula>
    </cfRule>
  </conditionalFormatting>
  <conditionalFormatting sqref="MI5:MI17">
    <cfRule type="expression" dxfId="277" priority="467">
      <formula>AND(TODAY()&gt;=MI$5,TODAY()&lt;VU$5)</formula>
    </cfRule>
  </conditionalFormatting>
  <conditionalFormatting sqref="MI7:MI17">
    <cfRule type="expression" dxfId="276" priority="468" stopIfTrue="1">
      <formula>AND(task_end&gt;=MI$5,task_start&lt;VU$5)</formula>
    </cfRule>
  </conditionalFormatting>
  <conditionalFormatting sqref="MC87:MI88 MC110:MI110 MC113:MI113">
    <cfRule type="expression" dxfId="275" priority="463">
      <formula>AND(task_start&lt;=MC$5,ROUNDDOWN((task_end-task_start+1)*task_progress,0)+task_start-1&gt;=MC$5)</formula>
    </cfRule>
  </conditionalFormatting>
  <conditionalFormatting sqref="MC23:MI23">
    <cfRule type="expression" dxfId="274" priority="462">
      <formula>AND(task_start&lt;=MC$5,ROUNDDOWN((task_end-task_start+1)*task_progress,0)+task_start-1&gt;=MC$5)</formula>
    </cfRule>
  </conditionalFormatting>
  <conditionalFormatting sqref="MC29:MI30">
    <cfRule type="expression" dxfId="273" priority="461">
      <formula>AND(task_start&lt;=MC$5,ROUNDDOWN((task_end-task_start+1)*task_progress,0)+task_start-1&gt;=MC$5)</formula>
    </cfRule>
  </conditionalFormatting>
  <conditionalFormatting sqref="MJ114:MP115">
    <cfRule type="expression" dxfId="272" priority="456">
      <formula>AND(task_start&lt;=MJ$5,ROUNDDOWN((task_end-task_start+1)*task_progress,0)+task_start-1&gt;=MJ$5)</formula>
    </cfRule>
  </conditionalFormatting>
  <conditionalFormatting sqref="MJ5:MO17">
    <cfRule type="expression" dxfId="271" priority="452">
      <formula>AND(TODAY()&gt;=MJ$5,TODAY()&lt;MK$5)</formula>
    </cfRule>
  </conditionalFormatting>
  <conditionalFormatting sqref="MJ7:MO17">
    <cfRule type="expression" dxfId="270" priority="451" stopIfTrue="1">
      <formula>AND(task_end&gt;=MJ$5,task_start&lt;MK$5)</formula>
    </cfRule>
  </conditionalFormatting>
  <conditionalFormatting sqref="MJ7:MP17">
    <cfRule type="expression" dxfId="269" priority="453">
      <formula>AND(task_start&lt;=MJ$5,ROUNDDOWN((task_end-task_start+1)*task_progress,0)+task_start-1&gt;=MJ$5)</formula>
    </cfRule>
  </conditionalFormatting>
  <conditionalFormatting sqref="MP5:MP17">
    <cfRule type="expression" dxfId="268" priority="454">
      <formula>AND(TODAY()&gt;=MP$5,TODAY()&lt;WB$5)</formula>
    </cfRule>
  </conditionalFormatting>
  <conditionalFormatting sqref="MP7:MP17">
    <cfRule type="expression" dxfId="267" priority="455" stopIfTrue="1">
      <formula>AND(task_end&gt;=MP$5,task_start&lt;WB$5)</formula>
    </cfRule>
  </conditionalFormatting>
  <conditionalFormatting sqref="MJ87:MP88 MJ110:MP110 MJ113:MP113">
    <cfRule type="expression" dxfId="266" priority="450">
      <formula>AND(task_start&lt;=MJ$5,ROUNDDOWN((task_end-task_start+1)*task_progress,0)+task_start-1&gt;=MJ$5)</formula>
    </cfRule>
  </conditionalFormatting>
  <conditionalFormatting sqref="MJ23:MP23">
    <cfRule type="expression" dxfId="265" priority="449">
      <formula>AND(task_start&lt;=MJ$5,ROUNDDOWN((task_end-task_start+1)*task_progress,0)+task_start-1&gt;=MJ$5)</formula>
    </cfRule>
  </conditionalFormatting>
  <conditionalFormatting sqref="MJ29:MP30">
    <cfRule type="expression" dxfId="264" priority="448">
      <formula>AND(task_start&lt;=MJ$5,ROUNDDOWN((task_end-task_start+1)*task_progress,0)+task_start-1&gt;=MJ$5)</formula>
    </cfRule>
  </conditionalFormatting>
  <conditionalFormatting sqref="MQ114:MW115">
    <cfRule type="expression" dxfId="263" priority="443">
      <formula>AND(task_start&lt;=MQ$5,ROUNDDOWN((task_end-task_start+1)*task_progress,0)+task_start-1&gt;=MQ$5)</formula>
    </cfRule>
  </conditionalFormatting>
  <conditionalFormatting sqref="MQ5:MV17">
    <cfRule type="expression" dxfId="262" priority="439">
      <formula>AND(TODAY()&gt;=MQ$5,TODAY()&lt;MR$5)</formula>
    </cfRule>
  </conditionalFormatting>
  <conditionalFormatting sqref="MQ7:MV17">
    <cfRule type="expression" dxfId="261" priority="438" stopIfTrue="1">
      <formula>AND(task_end&gt;=MQ$5,task_start&lt;MR$5)</formula>
    </cfRule>
  </conditionalFormatting>
  <conditionalFormatting sqref="MQ7:MW17">
    <cfRule type="expression" dxfId="260" priority="440">
      <formula>AND(task_start&lt;=MQ$5,ROUNDDOWN((task_end-task_start+1)*task_progress,0)+task_start-1&gt;=MQ$5)</formula>
    </cfRule>
  </conditionalFormatting>
  <conditionalFormatting sqref="MW5:MW17">
    <cfRule type="expression" dxfId="259" priority="441">
      <formula>AND(TODAY()&gt;=MW$5,TODAY()&lt;WI$5)</formula>
    </cfRule>
  </conditionalFormatting>
  <conditionalFormatting sqref="MW7:MW17">
    <cfRule type="expression" dxfId="258" priority="442" stopIfTrue="1">
      <formula>AND(task_end&gt;=MW$5,task_start&lt;WI$5)</formula>
    </cfRule>
  </conditionalFormatting>
  <conditionalFormatting sqref="MQ87:MW88 MQ110:MW110 MQ113:MW113">
    <cfRule type="expression" dxfId="257" priority="437">
      <formula>AND(task_start&lt;=MQ$5,ROUNDDOWN((task_end-task_start+1)*task_progress,0)+task_start-1&gt;=MQ$5)</formula>
    </cfRule>
  </conditionalFormatting>
  <conditionalFormatting sqref="MQ23:MW23">
    <cfRule type="expression" dxfId="256" priority="436">
      <formula>AND(task_start&lt;=MQ$5,ROUNDDOWN((task_end-task_start+1)*task_progress,0)+task_start-1&gt;=MQ$5)</formula>
    </cfRule>
  </conditionalFormatting>
  <conditionalFormatting sqref="MQ29:MW30">
    <cfRule type="expression" dxfId="255" priority="435">
      <formula>AND(task_start&lt;=MQ$5,ROUNDDOWN((task_end-task_start+1)*task_progress,0)+task_start-1&gt;=MQ$5)</formula>
    </cfRule>
  </conditionalFormatting>
  <conditionalFormatting sqref="E34:E35">
    <cfRule type="dataBar" priority="422">
      <dataBar>
        <cfvo type="num" val="0"/>
        <cfvo type="num" val="1"/>
        <color theme="0" tint="-0.249977111117893"/>
      </dataBar>
      <extLst>
        <ext xmlns:x14="http://schemas.microsoft.com/office/spreadsheetml/2009/9/main" uri="{B025F937-C7B1-47D3-B67F-A62EFF666E3E}">
          <x14:id>{6C1DCB77-7F3D-42EB-8845-D6DC15CA9585}</x14:id>
        </ext>
      </extLst>
    </cfRule>
  </conditionalFormatting>
  <conditionalFormatting sqref="L34:BG35 BU34:BV35 BI34:BN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I37:BN37 BU37:BV37 L37:BG37">
    <cfRule type="expression" dxfId="254" priority="421">
      <formula>AND(TODAY()&gt;=L$5,TODAY()&lt;M$5)</formula>
    </cfRule>
  </conditionalFormatting>
  <conditionalFormatting sqref="L34:MW35 L37:MW37">
    <cfRule type="expression" dxfId="253" priority="417">
      <formula>AND(task_start&lt;=L$5,ROUNDDOWN((task_end-task_start+1)*task_progress,0)+task_start-1&gt;=L$5)</formula>
    </cfRule>
  </conditionalFormatting>
  <conditionalFormatting sqref="BH34:BH35 BH37">
    <cfRule type="expression" dxfId="252" priority="423">
      <formula>AND(TODAY()&gt;=BH$5,TODAY()&lt;CD$5)</formula>
    </cfRule>
  </conditionalFormatting>
  <conditionalFormatting sqref="BH34:BH35 BH37">
    <cfRule type="expression" dxfId="251" priority="424" stopIfTrue="1">
      <formula>AND(task_end&gt;=BH$5,task_start&lt;CD$5)</formula>
    </cfRule>
  </conditionalFormatting>
  <conditionalFormatting sqref="BI34:BN35 L34:BG35 BU34:BV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U37:BV37 L37:BG37 BI37:BN37">
    <cfRule type="expression" dxfId="250" priority="418" stopIfTrue="1">
      <formula>AND(task_end&gt;=L$5,task_start&lt;M$5)</formula>
    </cfRule>
  </conditionalFormatting>
  <conditionalFormatting sqref="BO34:BO35 BO37">
    <cfRule type="expression" dxfId="249" priority="419">
      <formula>AND(TODAY()&gt;=BO$5,TODAY()&lt;CY$5)</formula>
    </cfRule>
  </conditionalFormatting>
  <conditionalFormatting sqref="BO34:BO35 BO37">
    <cfRule type="expression" dxfId="248" priority="420" stopIfTrue="1">
      <formula>AND(task_end&gt;=BO$5,task_start&lt;CY$5)</formula>
    </cfRule>
  </conditionalFormatting>
  <conditionalFormatting sqref="BP34:BT35 BP37:BT37">
    <cfRule type="expression" dxfId="247" priority="429">
      <formula>AND(TODAY()&gt;=BP$5,TODAY()&lt;CF$5)</formula>
    </cfRule>
  </conditionalFormatting>
  <conditionalFormatting sqref="BP34:BT35 BP37:BT37">
    <cfRule type="expression" dxfId="246" priority="430" stopIfTrue="1">
      <formula>AND(task_end&gt;=BP$5,task_start&lt;CF$5)</formula>
    </cfRule>
  </conditionalFormatting>
  <conditionalFormatting sqref="BW34:BX35 BW37:BX37">
    <cfRule type="expression" dxfId="245" priority="432" stopIfTrue="1">
      <formula>AND(task_end&gt;=BW$5,task_start&lt;CA$5)</formula>
    </cfRule>
  </conditionalFormatting>
  <conditionalFormatting sqref="BW34:BX35 BW37:BX37">
    <cfRule type="expression" dxfId="244" priority="431">
      <formula>AND(TODAY()&gt;=BW$5,TODAY()&lt;CA$5)</formula>
    </cfRule>
  </conditionalFormatting>
  <conditionalFormatting sqref="BY34:BY35 BY37">
    <cfRule type="expression" dxfId="243" priority="427">
      <formula>AND(TODAY()&gt;=BY$5,TODAY()&lt;CB$5)</formula>
    </cfRule>
    <cfRule type="expression" dxfId="242" priority="428" stopIfTrue="1">
      <formula>AND(task_end&gt;=BY$5,task_start&lt;CB$5)</formula>
    </cfRule>
  </conditionalFormatting>
  <conditionalFormatting sqref="BZ34:BZ35 BZ37">
    <cfRule type="expression" dxfId="241" priority="425">
      <formula>AND(TODAY()&gt;=BZ$5,TODAY()&lt;CB$5)</formula>
    </cfRule>
    <cfRule type="expression" dxfId="240" priority="426" stopIfTrue="1">
      <formula>AND(task_end&gt;=BZ$5,task_start&lt;CB$5)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239" priority="433">
      <formula>AND(TODAY()&gt;=DZ$5,TODAY()&lt;MX$5)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238" priority="434" stopIfTrue="1">
      <formula>AND(task_end&gt;=DZ$5,task_start&lt;MX$5)</formula>
    </cfRule>
  </conditionalFormatting>
  <conditionalFormatting sqref="E37">
    <cfRule type="dataBar" priority="416">
      <dataBar>
        <cfvo type="num" val="0"/>
        <cfvo type="num" val="1"/>
        <color theme="0" tint="-0.249977111117893"/>
      </dataBar>
      <extLst>
        <ext xmlns:x14="http://schemas.microsoft.com/office/spreadsheetml/2009/9/main" uri="{B025F937-C7B1-47D3-B67F-A62EFF666E3E}">
          <x14:id>{7A0E0A3A-9863-4D8B-9AD6-405DF3E82D43}</x14:id>
        </ext>
      </extLst>
    </cfRule>
  </conditionalFormatting>
  <conditionalFormatting sqref="E39:E42">
    <cfRule type="dataBar" priority="385">
      <dataBar>
        <cfvo type="num" val="0"/>
        <cfvo type="num" val="1"/>
        <color theme="0" tint="-0.249977111117893"/>
      </dataBar>
      <extLst>
        <ext xmlns:x14="http://schemas.microsoft.com/office/spreadsheetml/2009/9/main" uri="{B025F937-C7B1-47D3-B67F-A62EFF666E3E}">
          <x14:id>{DDFCE06C-FA69-4330-A51C-9E3A86915609}</x14:id>
        </ext>
      </extLst>
    </cfRule>
  </conditionalFormatting>
  <conditionalFormatting sqref="L39:BG42 BU39:BV42 BI39:BN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237" priority="384">
      <formula>AND(TODAY()&gt;=L$5,TODAY()&lt;M$5)</formula>
    </cfRule>
  </conditionalFormatting>
  <conditionalFormatting sqref="L39:MW42">
    <cfRule type="expression" dxfId="236" priority="380">
      <formula>AND(task_start&lt;=L$5,ROUNDDOWN((task_end-task_start+1)*task_progress,0)+task_start-1&gt;=L$5)</formula>
    </cfRule>
  </conditionalFormatting>
  <conditionalFormatting sqref="BH39:BH42">
    <cfRule type="expression" dxfId="235" priority="386">
      <formula>AND(TODAY()&gt;=BH$5,TODAY()&lt;CD$5)</formula>
    </cfRule>
  </conditionalFormatting>
  <conditionalFormatting sqref="BH39:BH42">
    <cfRule type="expression" dxfId="234" priority="387" stopIfTrue="1">
      <formula>AND(task_end&gt;=BH$5,task_start&lt;CD$5)</formula>
    </cfRule>
  </conditionalFormatting>
  <conditionalFormatting sqref="BI39:BN42 L39:BG42 BU39:BV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233" priority="381" stopIfTrue="1">
      <formula>AND(task_end&gt;=L$5,task_start&lt;M$5)</formula>
    </cfRule>
  </conditionalFormatting>
  <conditionalFormatting sqref="BO39:BO42">
    <cfRule type="expression" dxfId="232" priority="382">
      <formula>AND(TODAY()&gt;=BO$5,TODAY()&lt;CY$5)</formula>
    </cfRule>
  </conditionalFormatting>
  <conditionalFormatting sqref="BO39:BO42">
    <cfRule type="expression" dxfId="231" priority="383" stopIfTrue="1">
      <formula>AND(task_end&gt;=BO$5,task_start&lt;CY$5)</formula>
    </cfRule>
  </conditionalFormatting>
  <conditionalFormatting sqref="BP39:BT42">
    <cfRule type="expression" dxfId="230" priority="392">
      <formula>AND(TODAY()&gt;=BP$5,TODAY()&lt;CF$5)</formula>
    </cfRule>
  </conditionalFormatting>
  <conditionalFormatting sqref="BP39:BT42">
    <cfRule type="expression" dxfId="229" priority="393" stopIfTrue="1">
      <formula>AND(task_end&gt;=BP$5,task_start&lt;CF$5)</formula>
    </cfRule>
  </conditionalFormatting>
  <conditionalFormatting sqref="BW39:BX42">
    <cfRule type="expression" dxfId="228" priority="395" stopIfTrue="1">
      <formula>AND(task_end&gt;=BW$5,task_start&lt;CA$5)</formula>
    </cfRule>
  </conditionalFormatting>
  <conditionalFormatting sqref="BW39:BX42">
    <cfRule type="expression" dxfId="227" priority="394">
      <formula>AND(TODAY()&gt;=BW$5,TODAY()&lt;CA$5)</formula>
    </cfRule>
  </conditionalFormatting>
  <conditionalFormatting sqref="BY39:BY42">
    <cfRule type="expression" dxfId="226" priority="390">
      <formula>AND(TODAY()&gt;=BY$5,TODAY()&lt;CB$5)</formula>
    </cfRule>
    <cfRule type="expression" dxfId="225" priority="391" stopIfTrue="1">
      <formula>AND(task_end&gt;=BY$5,task_start&lt;CB$5)</formula>
    </cfRule>
  </conditionalFormatting>
  <conditionalFormatting sqref="BZ39:BZ42">
    <cfRule type="expression" dxfId="224" priority="388">
      <formula>AND(TODAY()&gt;=BZ$5,TODAY()&lt;CB$5)</formula>
    </cfRule>
    <cfRule type="expression" dxfId="223" priority="389" stopIfTrue="1">
      <formula>AND(task_end&gt;=BZ$5,task_start&lt;CB$5)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222" priority="396">
      <formula>AND(TODAY()&gt;=DZ$5,TODAY()&lt;MX$5)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221" priority="397" stopIfTrue="1">
      <formula>AND(task_end&gt;=DZ$5,task_start&lt;MX$5)</formula>
    </cfRule>
  </conditionalFormatting>
  <conditionalFormatting sqref="E59:E60">
    <cfRule type="dataBar" priority="366">
      <dataBar>
        <cfvo type="num" val="0"/>
        <cfvo type="num" val="1"/>
        <color theme="0" tint="-0.249977111117893"/>
      </dataBar>
      <extLst>
        <ext xmlns:x14="http://schemas.microsoft.com/office/spreadsheetml/2009/9/main" uri="{B025F937-C7B1-47D3-B67F-A62EFF666E3E}">
          <x14:id>{3D6F19D8-387D-424C-89F3-85C78D6F3B24}</x14:id>
        </ext>
      </extLst>
    </cfRule>
  </conditionalFormatting>
  <conditionalFormatting sqref="L59:BG60 BU59:BV60 BI59:BN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220" priority="365">
      <formula>AND(TODAY()&gt;=L$5,TODAY()&lt;M$5)</formula>
    </cfRule>
  </conditionalFormatting>
  <conditionalFormatting sqref="L59:MW60">
    <cfRule type="expression" dxfId="219" priority="361">
      <formula>AND(task_start&lt;=L$5,ROUNDDOWN((task_end-task_start+1)*task_progress,0)+task_start-1&gt;=L$5)</formula>
    </cfRule>
  </conditionalFormatting>
  <conditionalFormatting sqref="BH59:BH60">
    <cfRule type="expression" dxfId="218" priority="367">
      <formula>AND(TODAY()&gt;=BH$5,TODAY()&lt;CD$5)</formula>
    </cfRule>
  </conditionalFormatting>
  <conditionalFormatting sqref="BH59:BH60">
    <cfRule type="expression" dxfId="217" priority="368" stopIfTrue="1">
      <formula>AND(task_end&gt;=BH$5,task_start&lt;CD$5)</formula>
    </cfRule>
  </conditionalFormatting>
  <conditionalFormatting sqref="BI59:BN60 L59:BG60 BU59:BV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216" priority="362" stopIfTrue="1">
      <formula>AND(task_end&gt;=L$5,task_start&lt;M$5)</formula>
    </cfRule>
  </conditionalFormatting>
  <conditionalFormatting sqref="BO59:BO60">
    <cfRule type="expression" dxfId="215" priority="363">
      <formula>AND(TODAY()&gt;=BO$5,TODAY()&lt;CY$5)</formula>
    </cfRule>
  </conditionalFormatting>
  <conditionalFormatting sqref="BO59:BO60">
    <cfRule type="expression" dxfId="214" priority="364" stopIfTrue="1">
      <formula>AND(task_end&gt;=BO$5,task_start&lt;CY$5)</formula>
    </cfRule>
  </conditionalFormatting>
  <conditionalFormatting sqref="BP59:BT60">
    <cfRule type="expression" dxfId="213" priority="373">
      <formula>AND(TODAY()&gt;=BP$5,TODAY()&lt;CF$5)</formula>
    </cfRule>
  </conditionalFormatting>
  <conditionalFormatting sqref="BP59:BT60">
    <cfRule type="expression" dxfId="212" priority="374" stopIfTrue="1">
      <formula>AND(task_end&gt;=BP$5,task_start&lt;CF$5)</formula>
    </cfRule>
  </conditionalFormatting>
  <conditionalFormatting sqref="BW59:BX60">
    <cfRule type="expression" dxfId="211" priority="376" stopIfTrue="1">
      <formula>AND(task_end&gt;=BW$5,task_start&lt;CA$5)</formula>
    </cfRule>
  </conditionalFormatting>
  <conditionalFormatting sqref="BW59:BX60">
    <cfRule type="expression" dxfId="210" priority="375">
      <formula>AND(TODAY()&gt;=BW$5,TODAY()&lt;CA$5)</formula>
    </cfRule>
  </conditionalFormatting>
  <conditionalFormatting sqref="BY59:BY60">
    <cfRule type="expression" dxfId="209" priority="371">
      <formula>AND(TODAY()&gt;=BY$5,TODAY()&lt;CB$5)</formula>
    </cfRule>
    <cfRule type="expression" dxfId="208" priority="372" stopIfTrue="1">
      <formula>AND(task_end&gt;=BY$5,task_start&lt;CB$5)</formula>
    </cfRule>
  </conditionalFormatting>
  <conditionalFormatting sqref="BZ59:BZ60">
    <cfRule type="expression" dxfId="207" priority="369">
      <formula>AND(TODAY()&gt;=BZ$5,TODAY()&lt;CB$5)</formula>
    </cfRule>
    <cfRule type="expression" dxfId="206" priority="370" stopIfTrue="1">
      <formula>AND(task_end&gt;=BZ$5,task_start&lt;CB$5)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205" priority="377">
      <formula>AND(TODAY()&gt;=DZ$5,TODAY()&lt;MX$5)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204" priority="378" stopIfTrue="1">
      <formula>AND(task_end&gt;=DZ$5,task_start&lt;MX$5)</formula>
    </cfRule>
  </conditionalFormatting>
  <conditionalFormatting sqref="E44:E46">
    <cfRule type="dataBar" priority="348">
      <dataBar>
        <cfvo type="num" val="0"/>
        <cfvo type="num" val="1"/>
        <color theme="0" tint="-0.249977111117893"/>
      </dataBar>
      <extLst>
        <ext xmlns:x14="http://schemas.microsoft.com/office/spreadsheetml/2009/9/main" uri="{B025F937-C7B1-47D3-B67F-A62EFF666E3E}">
          <x14:id>{D222DAD6-05EA-492B-B50A-E3406B3B0FBE}</x14:id>
        </ext>
      </extLst>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I44:BN46 BU44:BV46 L44:BG46">
    <cfRule type="expression" dxfId="203" priority="347">
      <formula>AND(TODAY()&gt;=L$5,TODAY()&lt;M$5)</formula>
    </cfRule>
  </conditionalFormatting>
  <conditionalFormatting sqref="L44:MW46">
    <cfRule type="expression" dxfId="202" priority="343">
      <formula>AND(task_start&lt;=L$5,ROUNDDOWN((task_end-task_start+1)*task_progress,0)+task_start-1&gt;=L$5)</formula>
    </cfRule>
  </conditionalFormatting>
  <conditionalFormatting sqref="BH44:BH46">
    <cfRule type="expression" dxfId="201" priority="349">
      <formula>AND(TODAY()&gt;=BH$5,TODAY()&lt;CD$5)</formula>
    </cfRule>
  </conditionalFormatting>
  <conditionalFormatting sqref="BH44:BH46">
    <cfRule type="expression" dxfId="200" priority="350" stopIfTrue="1">
      <formula>AND(task_end&gt;=BH$5,task_start&lt;CD$5)</formula>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U44:BV46 L44:BG46 BI44:BN46">
    <cfRule type="expression" dxfId="199" priority="344" stopIfTrue="1">
      <formula>AND(task_end&gt;=L$5,task_start&lt;M$5)</formula>
    </cfRule>
  </conditionalFormatting>
  <conditionalFormatting sqref="BO44:BO46">
    <cfRule type="expression" dxfId="198" priority="345">
      <formula>AND(TODAY()&gt;=BO$5,TODAY()&lt;CY$5)</formula>
    </cfRule>
  </conditionalFormatting>
  <conditionalFormatting sqref="BO44:BO46">
    <cfRule type="expression" dxfId="197" priority="346" stopIfTrue="1">
      <formula>AND(task_end&gt;=BO$5,task_start&lt;CY$5)</formula>
    </cfRule>
  </conditionalFormatting>
  <conditionalFormatting sqref="BP44:BT46">
    <cfRule type="expression" dxfId="196" priority="355">
      <formula>AND(TODAY()&gt;=BP$5,TODAY()&lt;CF$5)</formula>
    </cfRule>
  </conditionalFormatting>
  <conditionalFormatting sqref="BP44:BT46">
    <cfRule type="expression" dxfId="195" priority="356" stopIfTrue="1">
      <formula>AND(task_end&gt;=BP$5,task_start&lt;CF$5)</formula>
    </cfRule>
  </conditionalFormatting>
  <conditionalFormatting sqref="BW44:BX46">
    <cfRule type="expression" dxfId="194" priority="358" stopIfTrue="1">
      <formula>AND(task_end&gt;=BW$5,task_start&lt;CA$5)</formula>
    </cfRule>
  </conditionalFormatting>
  <conditionalFormatting sqref="BW44:BX46">
    <cfRule type="expression" dxfId="193" priority="357">
      <formula>AND(TODAY()&gt;=BW$5,TODAY()&lt;CA$5)</formula>
    </cfRule>
  </conditionalFormatting>
  <conditionalFormatting sqref="BY44:BY46">
    <cfRule type="expression" dxfId="192" priority="353">
      <formula>AND(TODAY()&gt;=BY$5,TODAY()&lt;CB$5)</formula>
    </cfRule>
    <cfRule type="expression" dxfId="191" priority="354" stopIfTrue="1">
      <formula>AND(task_end&gt;=BY$5,task_start&lt;CB$5)</formula>
    </cfRule>
  </conditionalFormatting>
  <conditionalFormatting sqref="BZ44:BZ46">
    <cfRule type="expression" dxfId="190" priority="351">
      <formula>AND(TODAY()&gt;=BZ$5,TODAY()&lt;CB$5)</formula>
    </cfRule>
    <cfRule type="expression" dxfId="189" priority="352" stopIfTrue="1">
      <formula>AND(task_end&gt;=BZ$5,task_start&lt;CB$5)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188" priority="359">
      <formula>AND(TODAY()&gt;=DZ$5,TODAY()&lt;MX$5)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187" priority="360" stopIfTrue="1">
      <formula>AND(task_end&gt;=DZ$5,task_start&lt;MX$5)</formula>
    </cfRule>
  </conditionalFormatting>
  <conditionalFormatting sqref="E98:E101">
    <cfRule type="dataBar" priority="330">
      <dataBar>
        <cfvo type="num" val="0"/>
        <cfvo type="num" val="1"/>
        <color theme="0" tint="-0.249977111117893"/>
      </dataBar>
      <extLst>
        <ext xmlns:x14="http://schemas.microsoft.com/office/spreadsheetml/2009/9/main" uri="{B025F937-C7B1-47D3-B67F-A62EFF666E3E}">
          <x14:id>{A77F7842-738A-4BFC-B61B-719A1590289E}</x14:id>
        </ext>
      </extLst>
    </cfRule>
  </conditionalFormatting>
  <conditionalFormatting sqref="MQ98:MV101 MJ98:MO101 MC98:MH101 LV98:MA101 LO98:LT101 LH98:LM101 LA98:LF101 KT98:KY101 KM98:KR101 KF98:KK101 JY98:KD101 JR98:JW101 JK98:JP101 JD98:JI101 IW98:JB101 IP98:IU101 II98:IN101 IB98:IG101 HU98:HZ101 HN98:HS101 HG98:HL101 GZ98:HE101 GS98:GX101 GL98:GQ101 GE98:GJ101 FX98:GC101 FQ98:FV101 FJ98:FO101 FC98:FH101 EV98:FA101 EO98:ET101 EH98:EM101 EA98:EF101 CA98:DY101 BI98:BN101 BU98:BV101 L98:BG101">
    <cfRule type="expression" dxfId="186" priority="329">
      <formula>AND(TODAY()&gt;=L$5,TODAY()&lt;M$5)</formula>
    </cfRule>
  </conditionalFormatting>
  <conditionalFormatting sqref="L98:MW101">
    <cfRule type="expression" dxfId="185" priority="325">
      <formula>AND(task_start&lt;=L$5,ROUNDDOWN((task_end-task_start+1)*task_progress,0)+task_start-1&gt;=L$5)</formula>
    </cfRule>
  </conditionalFormatting>
  <conditionalFormatting sqref="BH98:BH101">
    <cfRule type="expression" dxfId="184" priority="331">
      <formula>AND(TODAY()&gt;=BH$5,TODAY()&lt;CD$5)</formula>
    </cfRule>
  </conditionalFormatting>
  <conditionalFormatting sqref="BH98:BH101">
    <cfRule type="expression" dxfId="183" priority="332" stopIfTrue="1">
      <formula>AND(task_end&gt;=BH$5,task_start&lt;CD$5)</formula>
    </cfRule>
  </conditionalFormatting>
  <conditionalFormatting sqref="MQ98:MV101 MJ98:MO101 MC98:MH101 LV98:MA101 LO98:LT101 LH98:LM101 LA98:LF101 KT98:KY101 KM98:KR101 KF98:KK101 JY98:KD101 JR98:JW101 JK98:JP101 JD98:JI101 IW98:JB101 IP98:IU101 II98:IN101 IB98:IG101 HU98:HZ101 HN98:HS101 HG98:HL101 GZ98:HE101 GS98:GX101 GL98:GQ101 GE98:GJ101 FX98:GC101 FQ98:FV101 FJ98:FO101 FC98:FH101 EV98:FA101 EO98:ET101 EH98:EM101 EA98:EF101 CA98:DY101 BU98:BV101 L98:BG101 BI98:BN101">
    <cfRule type="expression" dxfId="182" priority="326" stopIfTrue="1">
      <formula>AND(task_end&gt;=L$5,task_start&lt;M$5)</formula>
    </cfRule>
  </conditionalFormatting>
  <conditionalFormatting sqref="BO98:BO101">
    <cfRule type="expression" dxfId="181" priority="327">
      <formula>AND(TODAY()&gt;=BO$5,TODAY()&lt;CY$5)</formula>
    </cfRule>
  </conditionalFormatting>
  <conditionalFormatting sqref="BO98:BO101">
    <cfRule type="expression" dxfId="180" priority="328" stopIfTrue="1">
      <formula>AND(task_end&gt;=BO$5,task_start&lt;CY$5)</formula>
    </cfRule>
  </conditionalFormatting>
  <conditionalFormatting sqref="BP98:BT101">
    <cfRule type="expression" dxfId="179" priority="337">
      <formula>AND(TODAY()&gt;=BP$5,TODAY()&lt;CF$5)</formula>
    </cfRule>
  </conditionalFormatting>
  <conditionalFormatting sqref="BP98:BT101">
    <cfRule type="expression" dxfId="178" priority="338" stopIfTrue="1">
      <formula>AND(task_end&gt;=BP$5,task_start&lt;CF$5)</formula>
    </cfRule>
  </conditionalFormatting>
  <conditionalFormatting sqref="BW98:BX101">
    <cfRule type="expression" dxfId="177" priority="340" stopIfTrue="1">
      <formula>AND(task_end&gt;=BW$5,task_start&lt;CA$5)</formula>
    </cfRule>
  </conditionalFormatting>
  <conditionalFormatting sqref="BW98:BX101">
    <cfRule type="expression" dxfId="176" priority="339">
      <formula>AND(TODAY()&gt;=BW$5,TODAY()&lt;CA$5)</formula>
    </cfRule>
  </conditionalFormatting>
  <conditionalFormatting sqref="BY98:BY101">
    <cfRule type="expression" dxfId="175" priority="335">
      <formula>AND(TODAY()&gt;=BY$5,TODAY()&lt;CB$5)</formula>
    </cfRule>
    <cfRule type="expression" dxfId="174" priority="336" stopIfTrue="1">
      <formula>AND(task_end&gt;=BY$5,task_start&lt;CB$5)</formula>
    </cfRule>
  </conditionalFormatting>
  <conditionalFormatting sqref="BZ98:BZ101">
    <cfRule type="expression" dxfId="173" priority="333">
      <formula>AND(TODAY()&gt;=BZ$5,TODAY()&lt;CB$5)</formula>
    </cfRule>
    <cfRule type="expression" dxfId="172" priority="334" stopIfTrue="1">
      <formula>AND(task_end&gt;=BZ$5,task_start&lt;CB$5)</formula>
    </cfRule>
  </conditionalFormatting>
  <conditionalFormatting sqref="MW98:MW101 MP98:MP101 MI98:MI101 MB98:MB101 LU98:LU101 LN98:LN101 LG98:LG101 KZ98:KZ101 KS98:KS101 KL98:KL101 KE98:KE101 JX98:JX101 JQ98:JQ101 JJ98:JJ101 JC98:JC101 IV98:IV101 IO98:IO101 IH98:IH101 IA98:IA101 HT98:HT101 HM98:HM101 HF98:HF101 GY98:GY101 GR98:GR101 GK98:GK101 GD98:GD101 FW98:FW101 FP98:FP101 FI98:FI101 FB98:FB101 EU98:EU101 EN98:EN101 EG98:EG101 DZ98:DZ101">
    <cfRule type="expression" dxfId="171" priority="341">
      <formula>AND(TODAY()&gt;=DZ$5,TODAY()&lt;MX$5)</formula>
    </cfRule>
  </conditionalFormatting>
  <conditionalFormatting sqref="MW98:MW101 MP98:MP101 MI98:MI101 MB98:MB101 LU98:LU101 LN98:LN101 LG98:LG101 KZ98:KZ101 KS98:KS101 KL98:KL101 KE98:KE101 JX98:JX101 JQ98:JQ101 JJ98:JJ101 JC98:JC101 IV98:IV101 IO98:IO101 IH98:IH101 IA98:IA101 HT98:HT101 HM98:HM101 HF98:HF101 GY98:GY101 GR98:GR101 GK98:GK101 GD98:GD101 FW98:FW101 FP98:FP101 FI98:FI101 FB98:FB101 EU98:EU101 EN98:EN101 EG98:EG101 DZ98:DZ101">
    <cfRule type="expression" dxfId="170" priority="342" stopIfTrue="1">
      <formula>AND(task_end&gt;=DZ$5,task_start&lt;MX$5)</formula>
    </cfRule>
  </conditionalFormatting>
  <conditionalFormatting sqref="E104:E105">
    <cfRule type="dataBar" priority="312">
      <dataBar>
        <cfvo type="num" val="0"/>
        <cfvo type="num" val="1"/>
        <color theme="0" tint="-0.249977111117893"/>
      </dataBar>
      <extLst>
        <ext xmlns:x14="http://schemas.microsoft.com/office/spreadsheetml/2009/9/main" uri="{B025F937-C7B1-47D3-B67F-A62EFF666E3E}">
          <x14:id>{1C0C7E4D-2FBA-4755-9ADD-FE0828E5ED48}</x14:id>
        </ext>
      </extLst>
    </cfRule>
  </conditionalFormatting>
  <conditionalFormatting sqref="MQ104:MV105 MJ104:MO105 MC104:MH105 LV104:MA105 LO104:LT105 LH104:LM105 LA104:LF105 KT104:KY105 KM104:KR105 KF104:KK105 JY104:KD105 JR104:JW105 JK104:JP105 JD104:JI105 IW104:JB105 IP104:IU105 II104:IN105 IB104:IG105 HU104:HZ105 HN104:HS105 HG104:HL105 GZ104:HE105 GS104:GX105 GL104:GQ105 GE104:GJ105 FX104:GC105 FQ104:FV105 FJ104:FO105 FC104:FH105 EV104:FA105 EO104:ET105 EH104:EM105 EA104:EF105 CA104:DY105 BI104:BN105 BU104:BV105 L104:BG105">
    <cfRule type="expression" dxfId="169" priority="311">
      <formula>AND(TODAY()&gt;=L$5,TODAY()&lt;M$5)</formula>
    </cfRule>
  </conditionalFormatting>
  <conditionalFormatting sqref="L104:MW105">
    <cfRule type="expression" dxfId="168" priority="307">
      <formula>AND(task_start&lt;=L$5,ROUNDDOWN((task_end-task_start+1)*task_progress,0)+task_start-1&gt;=L$5)</formula>
    </cfRule>
  </conditionalFormatting>
  <conditionalFormatting sqref="BH104:BH105">
    <cfRule type="expression" dxfId="167" priority="313">
      <formula>AND(TODAY()&gt;=BH$5,TODAY()&lt;CD$5)</formula>
    </cfRule>
  </conditionalFormatting>
  <conditionalFormatting sqref="BH104:BH105">
    <cfRule type="expression" dxfId="166" priority="314" stopIfTrue="1">
      <formula>AND(task_end&gt;=BH$5,task_start&lt;CD$5)</formula>
    </cfRule>
  </conditionalFormatting>
  <conditionalFormatting sqref="MQ104:MV105 MJ104:MO105 MC104:MH105 LV104:MA105 LO104:LT105 LH104:LM105 LA104:LF105 KT104:KY105 KM104:KR105 KF104:KK105 JY104:KD105 JR104:JW105 JK104:JP105 JD104:JI105 IW104:JB105 IP104:IU105 II104:IN105 IB104:IG105 HU104:HZ105 HN104:HS105 HG104:HL105 GZ104:HE105 GS104:GX105 GL104:GQ105 GE104:GJ105 FX104:GC105 FQ104:FV105 FJ104:FO105 FC104:FH105 EV104:FA105 EO104:ET105 EH104:EM105 EA104:EF105 CA104:DY105 BU104:BV105 L104:BG105 BI104:BN105">
    <cfRule type="expression" dxfId="165" priority="308" stopIfTrue="1">
      <formula>AND(task_end&gt;=L$5,task_start&lt;M$5)</formula>
    </cfRule>
  </conditionalFormatting>
  <conditionalFormatting sqref="BO104:BO105">
    <cfRule type="expression" dxfId="164" priority="309">
      <formula>AND(TODAY()&gt;=BO$5,TODAY()&lt;CY$5)</formula>
    </cfRule>
  </conditionalFormatting>
  <conditionalFormatting sqref="BO104:BO105">
    <cfRule type="expression" dxfId="163" priority="310" stopIfTrue="1">
      <formula>AND(task_end&gt;=BO$5,task_start&lt;CY$5)</formula>
    </cfRule>
  </conditionalFormatting>
  <conditionalFormatting sqref="BP104:BT105">
    <cfRule type="expression" dxfId="162" priority="319">
      <formula>AND(TODAY()&gt;=BP$5,TODAY()&lt;CF$5)</formula>
    </cfRule>
  </conditionalFormatting>
  <conditionalFormatting sqref="BP104:BT105">
    <cfRule type="expression" dxfId="161" priority="320" stopIfTrue="1">
      <formula>AND(task_end&gt;=BP$5,task_start&lt;CF$5)</formula>
    </cfRule>
  </conditionalFormatting>
  <conditionalFormatting sqref="BW104:BX105">
    <cfRule type="expression" dxfId="160" priority="322" stopIfTrue="1">
      <formula>AND(task_end&gt;=BW$5,task_start&lt;CA$5)</formula>
    </cfRule>
  </conditionalFormatting>
  <conditionalFormatting sqref="BW104:BX105">
    <cfRule type="expression" dxfId="159" priority="321">
      <formula>AND(TODAY()&gt;=BW$5,TODAY()&lt;CA$5)</formula>
    </cfRule>
  </conditionalFormatting>
  <conditionalFormatting sqref="BY104:BY105">
    <cfRule type="expression" dxfId="158" priority="317">
      <formula>AND(TODAY()&gt;=BY$5,TODAY()&lt;CB$5)</formula>
    </cfRule>
    <cfRule type="expression" dxfId="157" priority="318" stopIfTrue="1">
      <formula>AND(task_end&gt;=BY$5,task_start&lt;CB$5)</formula>
    </cfRule>
  </conditionalFormatting>
  <conditionalFormatting sqref="BZ104:BZ105">
    <cfRule type="expression" dxfId="156" priority="315">
      <formula>AND(TODAY()&gt;=BZ$5,TODAY()&lt;CB$5)</formula>
    </cfRule>
    <cfRule type="expression" dxfId="155" priority="316" stopIfTrue="1">
      <formula>AND(task_end&gt;=BZ$5,task_start&lt;CB$5)</formula>
    </cfRule>
  </conditionalFormatting>
  <conditionalFormatting sqref="MW104:MW105 MP104:MP105 MI104:MI105 MB104:MB105 LU104:LU105 LN104:LN105 LG104:LG105 KZ104:KZ105 KS104:KS105 KL104:KL105 KE104:KE105 JX104:JX105 JQ104:JQ105 JJ104:JJ105 JC104:JC105 IV104:IV105 IO104:IO105 IH104:IH105 IA104:IA105 HT104:HT105 HM104:HM105 HF104:HF105 GY104:GY105 GR104:GR105 GK104:GK105 GD104:GD105 FW104:FW105 FP104:FP105 FI104:FI105 FB104:FB105 EU104:EU105 EN104:EN105 EG104:EG105 DZ104:DZ105">
    <cfRule type="expression" dxfId="154" priority="323">
      <formula>AND(TODAY()&gt;=DZ$5,TODAY()&lt;MX$5)</formula>
    </cfRule>
  </conditionalFormatting>
  <conditionalFormatting sqref="MW104:MW105 MP104:MP105 MI104:MI105 MB104:MB105 LU104:LU105 LN104:LN105 LG104:LG105 KZ104:KZ105 KS104:KS105 KL104:KL105 KE104:KE105 JX104:JX105 JQ104:JQ105 JJ104:JJ105 JC104:JC105 IV104:IV105 IO104:IO105 IH104:IH105 IA104:IA105 HT104:HT105 HM104:HM105 HF104:HF105 GY104:GY105 GR104:GR105 GK104:GK105 GD104:GD105 FW104:FW105 FP104:FP105 FI104:FI105 FB104:FB105 EU104:EU105 EN104:EN105 EG104:EG105 DZ104:DZ105">
    <cfRule type="expression" dxfId="153" priority="324" stopIfTrue="1">
      <formula>AND(task_end&gt;=DZ$5,task_start&lt;MX$5)</formula>
    </cfRule>
  </conditionalFormatting>
  <conditionalFormatting sqref="E106:E107">
    <cfRule type="dataBar" priority="294">
      <dataBar>
        <cfvo type="num" val="0"/>
        <cfvo type="num" val="1"/>
        <color theme="0" tint="-0.249977111117893"/>
      </dataBar>
      <extLst>
        <ext xmlns:x14="http://schemas.microsoft.com/office/spreadsheetml/2009/9/main" uri="{B025F937-C7B1-47D3-B67F-A62EFF666E3E}">
          <x14:id>{DFBC511F-4052-43B1-82F0-BA4DC3AAB662}</x14:id>
        </ext>
      </extLst>
    </cfRule>
  </conditionalFormatting>
  <conditionalFormatting sqref="MQ106:MV107 MJ106:MO107 MC106:MH107 LV106:MA107 LO106:LT107 LH106:LM107 LA106:LF107 KT106:KY107 KM106:KR107 KF106:KK107 JY106:KD107 JR106:JW107 JK106:JP107 JD106:JI107 IW106:JB107 IP106:IU107 II106:IN107 IB106:IG107 HU106:HZ107 HN106:HS107 HG106:HL107 GZ106:HE107 GS106:GX107 GL106:GQ107 GE106:GJ107 FX106:GC107 FQ106:FV107 FJ106:FO107 FC106:FH107 EV106:FA107 EO106:ET107 EH106:EM107 EA106:EF107 CA106:DY107 BI106:BN107 BU106:BV107 L106:BG107">
    <cfRule type="expression" dxfId="152" priority="293">
      <formula>AND(TODAY()&gt;=L$5,TODAY()&lt;M$5)</formula>
    </cfRule>
  </conditionalFormatting>
  <conditionalFormatting sqref="L106:MW107">
    <cfRule type="expression" dxfId="151" priority="289">
      <formula>AND(task_start&lt;=L$5,ROUNDDOWN((task_end-task_start+1)*task_progress,0)+task_start-1&gt;=L$5)</formula>
    </cfRule>
  </conditionalFormatting>
  <conditionalFormatting sqref="BH106:BH107">
    <cfRule type="expression" dxfId="150" priority="295">
      <formula>AND(TODAY()&gt;=BH$5,TODAY()&lt;CD$5)</formula>
    </cfRule>
  </conditionalFormatting>
  <conditionalFormatting sqref="BH106:BH107">
    <cfRule type="expression" dxfId="149" priority="296" stopIfTrue="1">
      <formula>AND(task_end&gt;=BH$5,task_start&lt;CD$5)</formula>
    </cfRule>
  </conditionalFormatting>
  <conditionalFormatting sqref="MQ106:MV107 MJ106:MO107 MC106:MH107 LV106:MA107 LO106:LT107 LH106:LM107 LA106:LF107 KT106:KY107 KM106:KR107 KF106:KK107 JY106:KD107 JR106:JW107 JK106:JP107 JD106:JI107 IW106:JB107 IP106:IU107 II106:IN107 IB106:IG107 HU106:HZ107 HN106:HS107 HG106:HL107 GZ106:HE107 GS106:GX107 GL106:GQ107 GE106:GJ107 FX106:GC107 FQ106:FV107 FJ106:FO107 FC106:FH107 EV106:FA107 EO106:ET107 EH106:EM107 EA106:EF107 CA106:DY107 BU106:BV107 L106:BG107 BI106:BN107">
    <cfRule type="expression" dxfId="148" priority="290" stopIfTrue="1">
      <formula>AND(task_end&gt;=L$5,task_start&lt;M$5)</formula>
    </cfRule>
  </conditionalFormatting>
  <conditionalFormatting sqref="BO106:BO107">
    <cfRule type="expression" dxfId="147" priority="291">
      <formula>AND(TODAY()&gt;=BO$5,TODAY()&lt;CY$5)</formula>
    </cfRule>
  </conditionalFormatting>
  <conditionalFormatting sqref="BO106:BO107">
    <cfRule type="expression" dxfId="146" priority="292" stopIfTrue="1">
      <formula>AND(task_end&gt;=BO$5,task_start&lt;CY$5)</formula>
    </cfRule>
  </conditionalFormatting>
  <conditionalFormatting sqref="BP106:BT107">
    <cfRule type="expression" dxfId="145" priority="301">
      <formula>AND(TODAY()&gt;=BP$5,TODAY()&lt;CF$5)</formula>
    </cfRule>
  </conditionalFormatting>
  <conditionalFormatting sqref="BP106:BT107">
    <cfRule type="expression" dxfId="144" priority="302" stopIfTrue="1">
      <formula>AND(task_end&gt;=BP$5,task_start&lt;CF$5)</formula>
    </cfRule>
  </conditionalFormatting>
  <conditionalFormatting sqref="BW106:BX107">
    <cfRule type="expression" dxfId="143" priority="304" stopIfTrue="1">
      <formula>AND(task_end&gt;=BW$5,task_start&lt;CA$5)</formula>
    </cfRule>
  </conditionalFormatting>
  <conditionalFormatting sqref="BW106:BX107">
    <cfRule type="expression" dxfId="142" priority="303">
      <formula>AND(TODAY()&gt;=BW$5,TODAY()&lt;CA$5)</formula>
    </cfRule>
  </conditionalFormatting>
  <conditionalFormatting sqref="BY106:BY107">
    <cfRule type="expression" dxfId="141" priority="299">
      <formula>AND(TODAY()&gt;=BY$5,TODAY()&lt;CB$5)</formula>
    </cfRule>
    <cfRule type="expression" dxfId="140" priority="300" stopIfTrue="1">
      <formula>AND(task_end&gt;=BY$5,task_start&lt;CB$5)</formula>
    </cfRule>
  </conditionalFormatting>
  <conditionalFormatting sqref="BZ106:BZ107">
    <cfRule type="expression" dxfId="139" priority="297">
      <formula>AND(TODAY()&gt;=BZ$5,TODAY()&lt;CB$5)</formula>
    </cfRule>
    <cfRule type="expression" dxfId="138" priority="298" stopIfTrue="1">
      <formula>AND(task_end&gt;=BZ$5,task_start&lt;CB$5)</formula>
    </cfRule>
  </conditionalFormatting>
  <conditionalFormatting sqref="MW106:MW107 MP106:MP107 MI106:MI107 MB106:MB107 LU106:LU107 LN106:LN107 LG106:LG107 KZ106:KZ107 KS106:KS107 KL106:KL107 KE106:KE107 JX106:JX107 JQ106:JQ107 JJ106:JJ107 JC106:JC107 IV106:IV107 IO106:IO107 IH106:IH107 IA106:IA107 HT106:HT107 HM106:HM107 HF106:HF107 GY106:GY107 GR106:GR107 GK106:GK107 GD106:GD107 FW106:FW107 FP106:FP107 FI106:FI107 FB106:FB107 EU106:EU107 EN106:EN107 EG106:EG107 DZ106:DZ107">
    <cfRule type="expression" dxfId="137" priority="305">
      <formula>AND(TODAY()&gt;=DZ$5,TODAY()&lt;MX$5)</formula>
    </cfRule>
  </conditionalFormatting>
  <conditionalFormatting sqref="MW106:MW107 MP106:MP107 MI106:MI107 MB106:MB107 LU106:LU107 LN106:LN107 LG106:LG107 KZ106:KZ107 KS106:KS107 KL106:KL107 KE106:KE107 JX106:JX107 JQ106:JQ107 JJ106:JJ107 JC106:JC107 IV106:IV107 IO106:IO107 IH106:IH107 IA106:IA107 HT106:HT107 HM106:HM107 HF106:HF107 GY106:GY107 GR106:GR107 GK106:GK107 GD106:GD107 FW106:FW107 FP106:FP107 FI106:FI107 FB106:FB107 EU106:EU107 EN106:EN107 EG106:EG107 DZ106:DZ107">
    <cfRule type="expression" dxfId="136" priority="306" stopIfTrue="1">
      <formula>AND(task_end&gt;=DZ$5,task_start&lt;MX$5)</formula>
    </cfRule>
  </conditionalFormatting>
  <conditionalFormatting sqref="E102:E103">
    <cfRule type="dataBar" priority="276">
      <dataBar>
        <cfvo type="num" val="0"/>
        <cfvo type="num" val="1"/>
        <color theme="0" tint="-0.249977111117893"/>
      </dataBar>
      <extLst>
        <ext xmlns:x14="http://schemas.microsoft.com/office/spreadsheetml/2009/9/main" uri="{B025F937-C7B1-47D3-B67F-A62EFF666E3E}">
          <x14:id>{57A96C61-8793-4941-A07C-B4FC980E41D6}</x14:id>
        </ext>
      </extLst>
    </cfRule>
  </conditionalFormatting>
  <conditionalFormatting sqref="MQ102:MV103 MJ102:MO103 MC102:MH103 LV102:MA103 LO102:LT103 LH102:LM103 LA102:LF103 KT102:KY103 KM102:KR103 KF102:KK103 JY102:KD103 JR102:JW103 JK102:JP103 JD102:JI103 IW102:JB103 IP102:IU103 II102:IN103 IB102:IG103 HU102:HZ103 HN102:HS103 HG102:HL103 GZ102:HE103 GS102:GX103 GL102:GQ103 GE102:GJ103 FX102:GC103 FQ102:FV103 FJ102:FO103 FC102:FH103 EV102:FA103 EO102:ET103 EH102:EM103 EA102:EF103 CA102:DY103 BI102:BN103 BU102:BV103 L102:BG103">
    <cfRule type="expression" dxfId="135" priority="275">
      <formula>AND(TODAY()&gt;=L$5,TODAY()&lt;M$5)</formula>
    </cfRule>
  </conditionalFormatting>
  <conditionalFormatting sqref="L102:MW103">
    <cfRule type="expression" dxfId="134" priority="271">
      <formula>AND(task_start&lt;=L$5,ROUNDDOWN((task_end-task_start+1)*task_progress,0)+task_start-1&gt;=L$5)</formula>
    </cfRule>
  </conditionalFormatting>
  <conditionalFormatting sqref="BH102:BH103">
    <cfRule type="expression" dxfId="133" priority="277">
      <formula>AND(TODAY()&gt;=BH$5,TODAY()&lt;CD$5)</formula>
    </cfRule>
  </conditionalFormatting>
  <conditionalFormatting sqref="BH102:BH103">
    <cfRule type="expression" dxfId="132" priority="278" stopIfTrue="1">
      <formula>AND(task_end&gt;=BH$5,task_start&lt;CD$5)</formula>
    </cfRule>
  </conditionalFormatting>
  <conditionalFormatting sqref="MQ102:MV103 MJ102:MO103 MC102:MH103 LV102:MA103 LO102:LT103 LH102:LM103 LA102:LF103 KT102:KY103 KM102:KR103 KF102:KK103 JY102:KD103 JR102:JW103 JK102:JP103 JD102:JI103 IW102:JB103 IP102:IU103 II102:IN103 IB102:IG103 HU102:HZ103 HN102:HS103 HG102:HL103 GZ102:HE103 GS102:GX103 GL102:GQ103 GE102:GJ103 FX102:GC103 FQ102:FV103 FJ102:FO103 FC102:FH103 EV102:FA103 EO102:ET103 EH102:EM103 EA102:EF103 CA102:DY103 BU102:BV103 L102:BG103 BI102:BN103">
    <cfRule type="expression" dxfId="131" priority="272" stopIfTrue="1">
      <formula>AND(task_end&gt;=L$5,task_start&lt;M$5)</formula>
    </cfRule>
  </conditionalFormatting>
  <conditionalFormatting sqref="BO102:BO103">
    <cfRule type="expression" dxfId="130" priority="273">
      <formula>AND(TODAY()&gt;=BO$5,TODAY()&lt;CY$5)</formula>
    </cfRule>
  </conditionalFormatting>
  <conditionalFormatting sqref="BO102:BO103">
    <cfRule type="expression" dxfId="129" priority="274" stopIfTrue="1">
      <formula>AND(task_end&gt;=BO$5,task_start&lt;CY$5)</formula>
    </cfRule>
  </conditionalFormatting>
  <conditionalFormatting sqref="BP102:BT103">
    <cfRule type="expression" dxfId="128" priority="283">
      <formula>AND(TODAY()&gt;=BP$5,TODAY()&lt;CF$5)</formula>
    </cfRule>
  </conditionalFormatting>
  <conditionalFormatting sqref="BP102:BT103">
    <cfRule type="expression" dxfId="127" priority="284" stopIfTrue="1">
      <formula>AND(task_end&gt;=BP$5,task_start&lt;CF$5)</formula>
    </cfRule>
  </conditionalFormatting>
  <conditionalFormatting sqref="BW102:BX103">
    <cfRule type="expression" dxfId="126" priority="286" stopIfTrue="1">
      <formula>AND(task_end&gt;=BW$5,task_start&lt;CA$5)</formula>
    </cfRule>
  </conditionalFormatting>
  <conditionalFormatting sqref="BW102:BX103">
    <cfRule type="expression" dxfId="125" priority="285">
      <formula>AND(TODAY()&gt;=BW$5,TODAY()&lt;CA$5)</formula>
    </cfRule>
  </conditionalFormatting>
  <conditionalFormatting sqref="BY102:BY103">
    <cfRule type="expression" dxfId="124" priority="281">
      <formula>AND(TODAY()&gt;=BY$5,TODAY()&lt;CB$5)</formula>
    </cfRule>
    <cfRule type="expression" dxfId="123" priority="282" stopIfTrue="1">
      <formula>AND(task_end&gt;=BY$5,task_start&lt;CB$5)</formula>
    </cfRule>
  </conditionalFormatting>
  <conditionalFormatting sqref="BZ102:BZ103">
    <cfRule type="expression" dxfId="122" priority="279">
      <formula>AND(TODAY()&gt;=BZ$5,TODAY()&lt;CB$5)</formula>
    </cfRule>
    <cfRule type="expression" dxfId="121" priority="280" stopIfTrue="1">
      <formula>AND(task_end&gt;=BZ$5,task_start&lt;CB$5)</formula>
    </cfRule>
  </conditionalFormatting>
  <conditionalFormatting sqref="MW102:MW103 MP102:MP103 MI102:MI103 MB102:MB103 LU102:LU103 LN102:LN103 LG102:LG103 KZ102:KZ103 KS102:KS103 KL102:KL103 KE102:KE103 JX102:JX103 JQ102:JQ103 JJ102:JJ103 JC102:JC103 IV102:IV103 IO102:IO103 IH102:IH103 IA102:IA103 HT102:HT103 HM102:HM103 HF102:HF103 GY102:GY103 GR102:GR103 GK102:GK103 GD102:GD103 FW102:FW103 FP102:FP103 FI102:FI103 FB102:FB103 EU102:EU103 EN102:EN103 EG102:EG103 DZ102:DZ103">
    <cfRule type="expression" dxfId="120" priority="287">
      <formula>AND(TODAY()&gt;=DZ$5,TODAY()&lt;MX$5)</formula>
    </cfRule>
  </conditionalFormatting>
  <conditionalFormatting sqref="MW102:MW103 MP102:MP103 MI102:MI103 MB102:MB103 LU102:LU103 LN102:LN103 LG102:LG103 KZ102:KZ103 KS102:KS103 KL102:KL103 KE102:KE103 JX102:JX103 JQ102:JQ103 JJ102:JJ103 JC102:JC103 IV102:IV103 IO102:IO103 IH102:IH103 IA102:IA103 HT102:HT103 HM102:HM103 HF102:HF103 GY102:GY103 GR102:GR103 GK102:GK103 GD102:GD103 FW102:FW103 FP102:FP103 FI102:FI103 FB102:FB103 EU102:EU103 EN102:EN103 EG102:EG103 DZ102:DZ103">
    <cfRule type="expression" dxfId="119" priority="288" stopIfTrue="1">
      <formula>AND(task_end&gt;=DZ$5,task_start&lt;MX$5)</formula>
    </cfRule>
  </conditionalFormatting>
  <conditionalFormatting sqref="E96:E97">
    <cfRule type="dataBar" priority="60">
      <dataBar>
        <cfvo type="num" val="0"/>
        <cfvo type="num" val="1"/>
        <color theme="0" tint="-0.249977111117893"/>
      </dataBar>
      <extLst>
        <ext xmlns:x14="http://schemas.microsoft.com/office/spreadsheetml/2009/9/main" uri="{B025F937-C7B1-47D3-B67F-A62EFF666E3E}">
          <x14:id>{AF109B8A-266A-42D2-9B5E-CE128A575AD5}</x14:id>
        </ext>
      </extLst>
    </cfRule>
  </conditionalFormatting>
  <conditionalFormatting sqref="MQ96:MV97 MJ96:MO97 MC96:MH97 LV96:MA97 LO96:LT97 LH96:LM97 LA96:LF97 KT96:KY97 KM96:KR97 KF96:KK97 JY96:KD97 JR96:JW97 JK96:JP97 JD96:JI97 IW96:JB97 IP96:IU97 II96:IN97 IB96:IG97 HU96:HZ97 HN96:HS97 HG96:HL97 GZ96:HE97 GS96:GX97 GL96:GQ97 GE96:GJ97 FX96:GC97 FQ96:FV97 FJ96:FO97 FC96:FH97 EV96:FA97 EO96:ET97 EH96:EM97 EA96:EF97 CA96:DY97 BI96:BN97 BU96:BV97 L96:BG97">
    <cfRule type="expression" dxfId="118" priority="59">
      <formula>AND(TODAY()&gt;=L$5,TODAY()&lt;M$5)</formula>
    </cfRule>
  </conditionalFormatting>
  <conditionalFormatting sqref="L96:MW97">
    <cfRule type="expression" dxfId="117" priority="55">
      <formula>AND(task_start&lt;=L$5,ROUNDDOWN((task_end-task_start+1)*task_progress,0)+task_start-1&gt;=L$5)</formula>
    </cfRule>
  </conditionalFormatting>
  <conditionalFormatting sqref="BH96:BH97">
    <cfRule type="expression" dxfId="116" priority="61">
      <formula>AND(TODAY()&gt;=BH$5,TODAY()&lt;CD$5)</formula>
    </cfRule>
  </conditionalFormatting>
  <conditionalFormatting sqref="BH96:BH97">
    <cfRule type="expression" dxfId="115" priority="62" stopIfTrue="1">
      <formula>AND(task_end&gt;=BH$5,task_start&lt;CD$5)</formula>
    </cfRule>
  </conditionalFormatting>
  <conditionalFormatting sqref="MQ96:MV97 MJ96:MO97 MC96:MH97 LV96:MA97 LO96:LT97 LH96:LM97 LA96:LF97 KT96:KY97 KM96:KR97 KF96:KK97 JY96:KD97 JR96:JW97 JK96:JP97 JD96:JI97 IW96:JB97 IP96:IU97 II96:IN97 IB96:IG97 HU96:HZ97 HN96:HS97 HG96:HL97 GZ96:HE97 GS96:GX97 GL96:GQ97 GE96:GJ97 FX96:GC97 FQ96:FV97 FJ96:FO97 FC96:FH97 EV96:FA97 EO96:ET97 EH96:EM97 EA96:EF97 CA96:DY97 BU96:BV97 L96:BG97 BI96:BN97">
    <cfRule type="expression" dxfId="114" priority="56" stopIfTrue="1">
      <formula>AND(task_end&gt;=L$5,task_start&lt;M$5)</formula>
    </cfRule>
  </conditionalFormatting>
  <conditionalFormatting sqref="BO96:BO97">
    <cfRule type="expression" dxfId="113" priority="57">
      <formula>AND(TODAY()&gt;=BO$5,TODAY()&lt;CY$5)</formula>
    </cfRule>
  </conditionalFormatting>
  <conditionalFormatting sqref="BO96:BO97">
    <cfRule type="expression" dxfId="112" priority="58" stopIfTrue="1">
      <formula>AND(task_end&gt;=BO$5,task_start&lt;CY$5)</formula>
    </cfRule>
  </conditionalFormatting>
  <conditionalFormatting sqref="BP96:BT97">
    <cfRule type="expression" dxfId="111" priority="67">
      <formula>AND(TODAY()&gt;=BP$5,TODAY()&lt;CF$5)</formula>
    </cfRule>
  </conditionalFormatting>
  <conditionalFormatting sqref="BP96:BT97">
    <cfRule type="expression" dxfId="110" priority="68" stopIfTrue="1">
      <formula>AND(task_end&gt;=BP$5,task_start&lt;CF$5)</formula>
    </cfRule>
  </conditionalFormatting>
  <conditionalFormatting sqref="BW96:BX97">
    <cfRule type="expression" dxfId="109" priority="70" stopIfTrue="1">
      <formula>AND(task_end&gt;=BW$5,task_start&lt;CA$5)</formula>
    </cfRule>
  </conditionalFormatting>
  <conditionalFormatting sqref="BW96:BX97">
    <cfRule type="expression" dxfId="108" priority="69">
      <formula>AND(TODAY()&gt;=BW$5,TODAY()&lt;CA$5)</formula>
    </cfRule>
  </conditionalFormatting>
  <conditionalFormatting sqref="BY96:BY97">
    <cfRule type="expression" dxfId="107" priority="65">
      <formula>AND(TODAY()&gt;=BY$5,TODAY()&lt;CB$5)</formula>
    </cfRule>
    <cfRule type="expression" dxfId="106" priority="66" stopIfTrue="1">
      <formula>AND(task_end&gt;=BY$5,task_start&lt;CB$5)</formula>
    </cfRule>
  </conditionalFormatting>
  <conditionalFormatting sqref="BZ96:BZ97">
    <cfRule type="expression" dxfId="105" priority="63">
      <formula>AND(TODAY()&gt;=BZ$5,TODAY()&lt;CB$5)</formula>
    </cfRule>
    <cfRule type="expression" dxfId="104" priority="64" stopIfTrue="1">
      <formula>AND(task_end&gt;=BZ$5,task_start&lt;CB$5)</formula>
    </cfRule>
  </conditionalFormatting>
  <conditionalFormatting sqref="MW96:MW97 MP96:MP97 MI96:MI97 MB96:MB97 LU96:LU97 LN96:LN97 LG96:LG97 KZ96:KZ97 KS96:KS97 KL96:KL97 KE96:KE97 JX96:JX97 JQ96:JQ97 JJ96:JJ97 JC96:JC97 IV96:IV97 IO96:IO97 IH96:IH97 IA96:IA97 HT96:HT97 HM96:HM97 HF96:HF97 GY96:GY97 GR96:GR97 GK96:GK97 GD96:GD97 FW96:FW97 FP96:FP97 FI96:FI97 FB96:FB97 EU96:EU97 EN96:EN97 EG96:EG97 DZ96:DZ97">
    <cfRule type="expression" dxfId="103" priority="71">
      <formula>AND(TODAY()&gt;=DZ$5,TODAY()&lt;MX$5)</formula>
    </cfRule>
  </conditionalFormatting>
  <conditionalFormatting sqref="MW96:MW97 MP96:MP97 MI96:MI97 MB96:MB97 LU96:LU97 LN96:LN97 LG96:LG97 KZ96:KZ97 KS96:KS97 KL96:KL97 KE96:KE97 JX96:JX97 JQ96:JQ97 JJ96:JJ97 JC96:JC97 IV96:IV97 IO96:IO97 IH96:IH97 IA96:IA97 HT96:HT97 HM96:HM97 HF96:HF97 GY96:GY97 GR96:GR97 GK96:GK97 GD96:GD97 FW96:FW97 FP96:FP97 FI96:FI97 FB96:FB97 EU96:EU97 EN96:EN97 EG96:EG97 DZ96:DZ97">
    <cfRule type="expression" dxfId="102" priority="72" stopIfTrue="1">
      <formula>AND(task_end&gt;=DZ$5,task_start&lt;MX$5)</formula>
    </cfRule>
  </conditionalFormatting>
  <conditionalFormatting sqref="E92:E93">
    <cfRule type="dataBar" priority="96">
      <dataBar>
        <cfvo type="num" val="0"/>
        <cfvo type="num" val="1"/>
        <color theme="0" tint="-0.249977111117893"/>
      </dataBar>
      <extLst>
        <ext xmlns:x14="http://schemas.microsoft.com/office/spreadsheetml/2009/9/main" uri="{B025F937-C7B1-47D3-B67F-A62EFF666E3E}">
          <x14:id>{04BCEC47-F450-4FBC-8680-7ACE013CD062}</x14:id>
        </ext>
      </extLst>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I92:BN93 BU92:BV93 L92:BG93">
    <cfRule type="expression" dxfId="101" priority="95">
      <formula>AND(TODAY()&gt;=L$5,TODAY()&lt;M$5)</formula>
    </cfRule>
  </conditionalFormatting>
  <conditionalFormatting sqref="L92:MW93">
    <cfRule type="expression" dxfId="100" priority="91">
      <formula>AND(task_start&lt;=L$5,ROUNDDOWN((task_end-task_start+1)*task_progress,0)+task_start-1&gt;=L$5)</formula>
    </cfRule>
  </conditionalFormatting>
  <conditionalFormatting sqref="BH92:BH93">
    <cfRule type="expression" dxfId="99" priority="97">
      <formula>AND(TODAY()&gt;=BH$5,TODAY()&lt;CD$5)</formula>
    </cfRule>
  </conditionalFormatting>
  <conditionalFormatting sqref="BH92:BH93">
    <cfRule type="expression" dxfId="98" priority="98" stopIfTrue="1">
      <formula>AND(task_end&gt;=BH$5,task_start&lt;CD$5)</formula>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U92:BV93 L92:BG93 BI92:BN93">
    <cfRule type="expression" dxfId="97" priority="92" stopIfTrue="1">
      <formula>AND(task_end&gt;=L$5,task_start&lt;M$5)</formula>
    </cfRule>
  </conditionalFormatting>
  <conditionalFormatting sqref="BO92:BO93">
    <cfRule type="expression" dxfId="96" priority="93">
      <formula>AND(TODAY()&gt;=BO$5,TODAY()&lt;CY$5)</formula>
    </cfRule>
  </conditionalFormatting>
  <conditionalFormatting sqref="BO92:BO93">
    <cfRule type="expression" dxfId="95" priority="94" stopIfTrue="1">
      <formula>AND(task_end&gt;=BO$5,task_start&lt;CY$5)</formula>
    </cfRule>
  </conditionalFormatting>
  <conditionalFormatting sqref="BP92:BT93">
    <cfRule type="expression" dxfId="94" priority="103">
      <formula>AND(TODAY()&gt;=BP$5,TODAY()&lt;CF$5)</formula>
    </cfRule>
  </conditionalFormatting>
  <conditionalFormatting sqref="BP92:BT93">
    <cfRule type="expression" dxfId="93" priority="104" stopIfTrue="1">
      <formula>AND(task_end&gt;=BP$5,task_start&lt;CF$5)</formula>
    </cfRule>
  </conditionalFormatting>
  <conditionalFormatting sqref="BW92:BX93">
    <cfRule type="expression" dxfId="92" priority="106" stopIfTrue="1">
      <formula>AND(task_end&gt;=BW$5,task_start&lt;CA$5)</formula>
    </cfRule>
  </conditionalFormatting>
  <conditionalFormatting sqref="BW92:BX93">
    <cfRule type="expression" dxfId="91" priority="105">
      <formula>AND(TODAY()&gt;=BW$5,TODAY()&lt;CA$5)</formula>
    </cfRule>
  </conditionalFormatting>
  <conditionalFormatting sqref="BY92:BY93">
    <cfRule type="expression" dxfId="90" priority="101">
      <formula>AND(TODAY()&gt;=BY$5,TODAY()&lt;CB$5)</formula>
    </cfRule>
    <cfRule type="expression" dxfId="89" priority="102" stopIfTrue="1">
      <formula>AND(task_end&gt;=BY$5,task_start&lt;CB$5)</formula>
    </cfRule>
  </conditionalFormatting>
  <conditionalFormatting sqref="BZ92:BZ93">
    <cfRule type="expression" dxfId="88" priority="99">
      <formula>AND(TODAY()&gt;=BZ$5,TODAY()&lt;CB$5)</formula>
    </cfRule>
    <cfRule type="expression" dxfId="87" priority="100" stopIfTrue="1">
      <formula>AND(task_end&gt;=BZ$5,task_start&lt;CB$5)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86" priority="107">
      <formula>AND(TODAY()&gt;=DZ$5,TODAY()&lt;MX$5)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85" priority="108" stopIfTrue="1">
      <formula>AND(task_end&gt;=DZ$5,task_start&lt;MX$5)</formula>
    </cfRule>
  </conditionalFormatting>
  <conditionalFormatting sqref="E89:E91">
    <cfRule type="dataBar" priority="132">
      <dataBar>
        <cfvo type="num" val="0"/>
        <cfvo type="num" val="1"/>
        <color theme="0" tint="-0.249977111117893"/>
      </dataBar>
      <extLst>
        <ext xmlns:x14="http://schemas.microsoft.com/office/spreadsheetml/2009/9/main" uri="{B025F937-C7B1-47D3-B67F-A62EFF666E3E}">
          <x14:id>{D126D8DF-2D0A-470F-8981-8C0D8479A2A4}</x14:id>
        </ext>
      </extLst>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I89:BN91 BU89:BV91 L89:BG91">
    <cfRule type="expression" dxfId="84" priority="131">
      <formula>AND(TODAY()&gt;=L$5,TODAY()&lt;M$5)</formula>
    </cfRule>
  </conditionalFormatting>
  <conditionalFormatting sqref="L89:MW91">
    <cfRule type="expression" dxfId="83" priority="127">
      <formula>AND(task_start&lt;=L$5,ROUNDDOWN((task_end-task_start+1)*task_progress,0)+task_start-1&gt;=L$5)</formula>
    </cfRule>
  </conditionalFormatting>
  <conditionalFormatting sqref="BH89:BH91">
    <cfRule type="expression" dxfId="82" priority="133">
      <formula>AND(TODAY()&gt;=BH$5,TODAY()&lt;CD$5)</formula>
    </cfRule>
  </conditionalFormatting>
  <conditionalFormatting sqref="BH89:BH91">
    <cfRule type="expression" dxfId="81" priority="134" stopIfTrue="1">
      <formula>AND(task_end&gt;=BH$5,task_start&lt;CD$5)</formula>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U89:BV91 L89:BG91 BI89:BN91">
    <cfRule type="expression" dxfId="80" priority="128" stopIfTrue="1">
      <formula>AND(task_end&gt;=L$5,task_start&lt;M$5)</formula>
    </cfRule>
  </conditionalFormatting>
  <conditionalFormatting sqref="BO89:BO91">
    <cfRule type="expression" dxfId="79" priority="129">
      <formula>AND(TODAY()&gt;=BO$5,TODAY()&lt;CY$5)</formula>
    </cfRule>
  </conditionalFormatting>
  <conditionalFormatting sqref="BO89:BO91">
    <cfRule type="expression" dxfId="78" priority="130" stopIfTrue="1">
      <formula>AND(task_end&gt;=BO$5,task_start&lt;CY$5)</formula>
    </cfRule>
  </conditionalFormatting>
  <conditionalFormatting sqref="BP89:BT91">
    <cfRule type="expression" dxfId="77" priority="139">
      <formula>AND(TODAY()&gt;=BP$5,TODAY()&lt;CF$5)</formula>
    </cfRule>
  </conditionalFormatting>
  <conditionalFormatting sqref="BP89:BT91">
    <cfRule type="expression" dxfId="76" priority="140" stopIfTrue="1">
      <formula>AND(task_end&gt;=BP$5,task_start&lt;CF$5)</formula>
    </cfRule>
  </conditionalFormatting>
  <conditionalFormatting sqref="BW89:BX91">
    <cfRule type="expression" dxfId="75" priority="142" stopIfTrue="1">
      <formula>AND(task_end&gt;=BW$5,task_start&lt;CA$5)</formula>
    </cfRule>
  </conditionalFormatting>
  <conditionalFormatting sqref="BW89:BX91">
    <cfRule type="expression" dxfId="74" priority="141">
      <formula>AND(TODAY()&gt;=BW$5,TODAY()&lt;CA$5)</formula>
    </cfRule>
  </conditionalFormatting>
  <conditionalFormatting sqref="BY89:BY91">
    <cfRule type="expression" dxfId="73" priority="137">
      <formula>AND(TODAY()&gt;=BY$5,TODAY()&lt;CB$5)</formula>
    </cfRule>
    <cfRule type="expression" dxfId="72" priority="138" stopIfTrue="1">
      <formula>AND(task_end&gt;=BY$5,task_start&lt;CB$5)</formula>
    </cfRule>
  </conditionalFormatting>
  <conditionalFormatting sqref="BZ89:BZ91">
    <cfRule type="expression" dxfId="71" priority="135">
      <formula>AND(TODAY()&gt;=BZ$5,TODAY()&lt;CB$5)</formula>
    </cfRule>
    <cfRule type="expression" dxfId="70" priority="136" stopIfTrue="1">
      <formula>AND(task_end&gt;=BZ$5,task_start&lt;CB$5)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69" priority="143">
      <formula>AND(TODAY()&gt;=DZ$5,TODAY()&lt;MX$5)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68" priority="144" stopIfTrue="1">
      <formula>AND(task_end&gt;=DZ$5,task_start&lt;MX$5)</formula>
    </cfRule>
  </conditionalFormatting>
  <conditionalFormatting sqref="L95:MW95">
    <cfRule type="expression" dxfId="67" priority="37">
      <formula>AND(task_start&lt;=L$5,ROUNDDOWN((task_end-task_start+1)*task_progress,0)+task_start-1&gt;=L$5)</formula>
    </cfRule>
  </conditionalFormatting>
  <conditionalFormatting sqref="E95">
    <cfRule type="dataBar" priority="42">
      <dataBar>
        <cfvo type="num" val="0"/>
        <cfvo type="num" val="1"/>
        <color theme="0" tint="-0.249977111117893"/>
      </dataBar>
      <extLst>
        <ext xmlns:x14="http://schemas.microsoft.com/office/spreadsheetml/2009/9/main" uri="{B025F937-C7B1-47D3-B67F-A62EFF666E3E}">
          <x14:id>{788F302C-640E-4E91-8EBB-D1B90FC2FB31}</x14:id>
        </ext>
      </extLst>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I95:BN95 BU95:BV95 L95:BG95">
    <cfRule type="expression" dxfId="66" priority="41">
      <formula>AND(TODAY()&gt;=L$5,TODAY()&lt;M$5)</formula>
    </cfRule>
  </conditionalFormatting>
  <conditionalFormatting sqref="L108:MW109">
    <cfRule type="expression" dxfId="65" priority="19">
      <formula>AND(task_start&lt;=L$5,ROUNDDOWN((task_end-task_start+1)*task_progress,0)+task_start-1&gt;=L$5)</formula>
    </cfRule>
  </conditionalFormatting>
  <conditionalFormatting sqref="BH95">
    <cfRule type="expression" dxfId="64" priority="43">
      <formula>AND(TODAY()&gt;=BH$5,TODAY()&lt;CD$5)</formula>
    </cfRule>
  </conditionalFormatting>
  <conditionalFormatting sqref="BH95">
    <cfRule type="expression" dxfId="63" priority="44" stopIfTrue="1">
      <formula>AND(task_end&gt;=BH$5,task_start&lt;CD$5)</formula>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U95:BV95 L95:BG95 BI95:BN95">
    <cfRule type="expression" dxfId="62" priority="38" stopIfTrue="1">
      <formula>AND(task_end&gt;=L$5,task_start&lt;M$5)</formula>
    </cfRule>
  </conditionalFormatting>
  <conditionalFormatting sqref="BO95">
    <cfRule type="expression" dxfId="61" priority="39">
      <formula>AND(TODAY()&gt;=BO$5,TODAY()&lt;CY$5)</formula>
    </cfRule>
  </conditionalFormatting>
  <conditionalFormatting sqref="BO95">
    <cfRule type="expression" dxfId="60" priority="40" stopIfTrue="1">
      <formula>AND(task_end&gt;=BO$5,task_start&lt;CY$5)</formula>
    </cfRule>
  </conditionalFormatting>
  <conditionalFormatting sqref="BP95:BT95">
    <cfRule type="expression" dxfId="59" priority="49">
      <formula>AND(TODAY()&gt;=BP$5,TODAY()&lt;CF$5)</formula>
    </cfRule>
  </conditionalFormatting>
  <conditionalFormatting sqref="BP95:BT95">
    <cfRule type="expression" dxfId="58" priority="50" stopIfTrue="1">
      <formula>AND(task_end&gt;=BP$5,task_start&lt;CF$5)</formula>
    </cfRule>
  </conditionalFormatting>
  <conditionalFormatting sqref="BW95:BX95">
    <cfRule type="expression" dxfId="57" priority="52" stopIfTrue="1">
      <formula>AND(task_end&gt;=BW$5,task_start&lt;CA$5)</formula>
    </cfRule>
  </conditionalFormatting>
  <conditionalFormatting sqref="BW95:BX95">
    <cfRule type="expression" dxfId="56" priority="51">
      <formula>AND(TODAY()&gt;=BW$5,TODAY()&lt;CA$5)</formula>
    </cfRule>
  </conditionalFormatting>
  <conditionalFormatting sqref="BY95">
    <cfRule type="expression" dxfId="55" priority="47">
      <formula>AND(TODAY()&gt;=BY$5,TODAY()&lt;CB$5)</formula>
    </cfRule>
    <cfRule type="expression" dxfId="54" priority="48" stopIfTrue="1">
      <formula>AND(task_end&gt;=BY$5,task_start&lt;CB$5)</formula>
    </cfRule>
  </conditionalFormatting>
  <conditionalFormatting sqref="BZ95">
    <cfRule type="expression" dxfId="53" priority="45">
      <formula>AND(TODAY()&gt;=BZ$5,TODAY()&lt;CB$5)</formula>
    </cfRule>
    <cfRule type="expression" dxfId="52" priority="46" stopIfTrue="1">
      <formula>AND(task_end&gt;=BZ$5,task_start&lt;CB$5)</formula>
    </cfRule>
  </conditionalFormatting>
  <conditionalFormatting sqref="MW95 MP95 MI95 MB95 LU95 LN95 LG95 KZ95 KS95 KL95 KE95 JX95 JQ95 JJ95 JC95 IV95 IO95 IH95 IA95 HT95 HM95 HF95 GY95 GR95 GK95 GD95 FW95 FP95 FI95 FB95 EU95 EN95 EG95 DZ95">
    <cfRule type="expression" dxfId="51" priority="53">
      <formula>AND(TODAY()&gt;=DZ$5,TODAY()&lt;MX$5)</formula>
    </cfRule>
  </conditionalFormatting>
  <conditionalFormatting sqref="MW95 MP95 MI95 MB95 LU95 LN95 LG95 KZ95 KS95 KL95 KE95 JX95 JQ95 JJ95 JC95 IV95 IO95 IH95 IA95 HT95 HM95 HF95 GY95 GR95 GK95 GD95 FW95 FP95 FI95 FB95 EU95 EN95 EG95 DZ95">
    <cfRule type="expression" dxfId="50" priority="54" stopIfTrue="1">
      <formula>AND(task_end&gt;=DZ$5,task_start&lt;MX$5)</formula>
    </cfRule>
  </conditionalFormatting>
  <conditionalFormatting sqref="E94">
    <cfRule type="dataBar" priority="78">
      <dataBar>
        <cfvo type="num" val="0"/>
        <cfvo type="num" val="1"/>
        <color theme="0" tint="-0.249977111117893"/>
      </dataBar>
      <extLst>
        <ext xmlns:x14="http://schemas.microsoft.com/office/spreadsheetml/2009/9/main" uri="{B025F937-C7B1-47D3-B67F-A62EFF666E3E}">
          <x14:id>{CA0EA56C-DDF7-43B2-89BB-68430727522E}</x14:id>
        </ext>
      </extLst>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I94:BN94 BU94:BV94 L94:BG94">
    <cfRule type="expression" dxfId="49" priority="77">
      <formula>AND(TODAY()&gt;=L$5,TODAY()&lt;M$5)</formula>
    </cfRule>
  </conditionalFormatting>
  <conditionalFormatting sqref="L94:MW94">
    <cfRule type="expression" dxfId="48" priority="73">
      <formula>AND(task_start&lt;=L$5,ROUNDDOWN((task_end-task_start+1)*task_progress,0)+task_start-1&gt;=L$5)</formula>
    </cfRule>
  </conditionalFormatting>
  <conditionalFormatting sqref="BH94">
    <cfRule type="expression" dxfId="47" priority="79">
      <formula>AND(TODAY()&gt;=BH$5,TODAY()&lt;CD$5)</formula>
    </cfRule>
  </conditionalFormatting>
  <conditionalFormatting sqref="BH94">
    <cfRule type="expression" dxfId="46" priority="80" stopIfTrue="1">
      <formula>AND(task_end&gt;=BH$5,task_start&lt;CD$5)</formula>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U94:BV94 L94:BG94 BI94:BN94">
    <cfRule type="expression" dxfId="45" priority="74" stopIfTrue="1">
      <formula>AND(task_end&gt;=L$5,task_start&lt;M$5)</formula>
    </cfRule>
  </conditionalFormatting>
  <conditionalFormatting sqref="BO94">
    <cfRule type="expression" dxfId="44" priority="75">
      <formula>AND(TODAY()&gt;=BO$5,TODAY()&lt;CY$5)</formula>
    </cfRule>
  </conditionalFormatting>
  <conditionalFormatting sqref="BO94">
    <cfRule type="expression" dxfId="43" priority="76" stopIfTrue="1">
      <formula>AND(task_end&gt;=BO$5,task_start&lt;CY$5)</formula>
    </cfRule>
  </conditionalFormatting>
  <conditionalFormatting sqref="BP94:BT94">
    <cfRule type="expression" dxfId="42" priority="85">
      <formula>AND(TODAY()&gt;=BP$5,TODAY()&lt;CF$5)</formula>
    </cfRule>
  </conditionalFormatting>
  <conditionalFormatting sqref="BP94:BT94">
    <cfRule type="expression" dxfId="41" priority="86" stopIfTrue="1">
      <formula>AND(task_end&gt;=BP$5,task_start&lt;CF$5)</formula>
    </cfRule>
  </conditionalFormatting>
  <conditionalFormatting sqref="BW94:BX94">
    <cfRule type="expression" dxfId="40" priority="88" stopIfTrue="1">
      <formula>AND(task_end&gt;=BW$5,task_start&lt;CA$5)</formula>
    </cfRule>
  </conditionalFormatting>
  <conditionalFormatting sqref="BW94:BX94">
    <cfRule type="expression" dxfId="39" priority="87">
      <formula>AND(TODAY()&gt;=BW$5,TODAY()&lt;CA$5)</formula>
    </cfRule>
  </conditionalFormatting>
  <conditionalFormatting sqref="BY94">
    <cfRule type="expression" dxfId="38" priority="83">
      <formula>AND(TODAY()&gt;=BY$5,TODAY()&lt;CB$5)</formula>
    </cfRule>
    <cfRule type="expression" dxfId="37" priority="84" stopIfTrue="1">
      <formula>AND(task_end&gt;=BY$5,task_start&lt;CB$5)</formula>
    </cfRule>
  </conditionalFormatting>
  <conditionalFormatting sqref="BZ94">
    <cfRule type="expression" dxfId="36" priority="81">
      <formula>AND(TODAY()&gt;=BZ$5,TODAY()&lt;CB$5)</formula>
    </cfRule>
    <cfRule type="expression" dxfId="35" priority="82" stopIfTrue="1">
      <formula>AND(task_end&gt;=BZ$5,task_start&lt;CB$5)</formula>
    </cfRule>
  </conditionalFormatting>
  <conditionalFormatting sqref="MW94 MP94 MI94 MB94 LU94 LN94 LG94 KZ94 KS94 KL94 KE94 JX94 JQ94 JJ94 JC94 IV94 IO94 IH94 IA94 HT94 HM94 HF94 GY94 GR94 GK94 GD94 FW94 FP94 FI94 FB94 EU94 EN94 EG94 DZ94">
    <cfRule type="expression" dxfId="34" priority="89">
      <formula>AND(TODAY()&gt;=DZ$5,TODAY()&lt;MX$5)</formula>
    </cfRule>
  </conditionalFormatting>
  <conditionalFormatting sqref="MW94 MP94 MI94 MB94 LU94 LN94 LG94 KZ94 KS94 KL94 KE94 JX94 JQ94 JJ94 JC94 IV94 IO94 IH94 IA94 HT94 HM94 HF94 GY94 GR94 GK94 GD94 FW94 FP94 FI94 FB94 EU94 EN94 EG94 DZ94">
    <cfRule type="expression" dxfId="33" priority="90" stopIfTrue="1">
      <formula>AND(task_end&gt;=DZ$5,task_start&lt;MX$5)</formula>
    </cfRule>
  </conditionalFormatting>
  <conditionalFormatting sqref="E108:E109">
    <cfRule type="dataBar" priority="24">
      <dataBar>
        <cfvo type="num" val="0"/>
        <cfvo type="num" val="1"/>
        <color theme="0" tint="-0.249977111117893"/>
      </dataBar>
      <extLst>
        <ext xmlns:x14="http://schemas.microsoft.com/office/spreadsheetml/2009/9/main" uri="{B025F937-C7B1-47D3-B67F-A62EFF666E3E}">
          <x14:id>{C025A2C1-ADCC-4D08-8CCB-849D7AF35E94}</x14:id>
        </ext>
      </extLst>
    </cfRule>
  </conditionalFormatting>
  <conditionalFormatting sqref="MQ108:MV109 MJ108:MO109 MC108:MH109 LV108:MA109 LO108:LT109 LH108:LM109 LA108:LF109 KT108:KY109 KM108:KR109 KF108:KK109 JY108:KD109 JR108:JW109 JK108:JP109 JD108:JI109 IW108:JB109 IP108:IU109 II108:IN109 IB108:IG109 HU108:HZ109 HN108:HS109 HG108:HL109 GZ108:HE109 GS108:GX109 GL108:GQ109 GE108:GJ109 FX108:GC109 FQ108:FV109 FJ108:FO109 FC108:FH109 EV108:FA109 EO108:ET109 EH108:EM109 EA108:EF109 CA108:DY109 BI108:BN109 BU108:BV109 L108:BG109">
    <cfRule type="expression" dxfId="32" priority="23">
      <formula>AND(TODAY()&gt;=L$5,TODAY()&lt;M$5)</formula>
    </cfRule>
  </conditionalFormatting>
  <conditionalFormatting sqref="BH108:BH109">
    <cfRule type="expression" dxfId="31" priority="25">
      <formula>AND(TODAY()&gt;=BH$5,TODAY()&lt;CD$5)</formula>
    </cfRule>
  </conditionalFormatting>
  <conditionalFormatting sqref="BH108:BH109">
    <cfRule type="expression" dxfId="30" priority="26" stopIfTrue="1">
      <formula>AND(task_end&gt;=BH$5,task_start&lt;CD$5)</formula>
    </cfRule>
  </conditionalFormatting>
  <conditionalFormatting sqref="MQ108:MV109 MJ108:MO109 MC108:MH109 LV108:MA109 LO108:LT109 LH108:LM109 LA108:LF109 KT108:KY109 KM108:KR109 KF108:KK109 JY108:KD109 JR108:JW109 JK108:JP109 JD108:JI109 IW108:JB109 IP108:IU109 II108:IN109 IB108:IG109 HU108:HZ109 HN108:HS109 HG108:HL109 GZ108:HE109 GS108:GX109 GL108:GQ109 GE108:GJ109 FX108:GC109 FQ108:FV109 FJ108:FO109 FC108:FH109 EV108:FA109 EO108:ET109 EH108:EM109 EA108:EF109 CA108:DY109 BU108:BV109 L108:BG109 BI108:BN109">
    <cfRule type="expression" dxfId="29" priority="20" stopIfTrue="1">
      <formula>AND(task_end&gt;=L$5,task_start&lt;M$5)</formula>
    </cfRule>
  </conditionalFormatting>
  <conditionalFormatting sqref="BO108:BO109">
    <cfRule type="expression" dxfId="28" priority="21">
      <formula>AND(TODAY()&gt;=BO$5,TODAY()&lt;CY$5)</formula>
    </cfRule>
  </conditionalFormatting>
  <conditionalFormatting sqref="BO108:BO109">
    <cfRule type="expression" dxfId="27" priority="22" stopIfTrue="1">
      <formula>AND(task_end&gt;=BO$5,task_start&lt;CY$5)</formula>
    </cfRule>
  </conditionalFormatting>
  <conditionalFormatting sqref="BP108:BT109">
    <cfRule type="expression" dxfId="26" priority="31">
      <formula>AND(TODAY()&gt;=BP$5,TODAY()&lt;CF$5)</formula>
    </cfRule>
  </conditionalFormatting>
  <conditionalFormatting sqref="BP108:BT109">
    <cfRule type="expression" dxfId="25" priority="32" stopIfTrue="1">
      <formula>AND(task_end&gt;=BP$5,task_start&lt;CF$5)</formula>
    </cfRule>
  </conditionalFormatting>
  <conditionalFormatting sqref="BW108:BX109">
    <cfRule type="expression" dxfId="24" priority="34" stopIfTrue="1">
      <formula>AND(task_end&gt;=BW$5,task_start&lt;CA$5)</formula>
    </cfRule>
  </conditionalFormatting>
  <conditionalFormatting sqref="BW108:BX109">
    <cfRule type="expression" dxfId="23" priority="33">
      <formula>AND(TODAY()&gt;=BW$5,TODAY()&lt;CA$5)</formula>
    </cfRule>
  </conditionalFormatting>
  <conditionalFormatting sqref="BY108:BY109">
    <cfRule type="expression" dxfId="22" priority="29">
      <formula>AND(TODAY()&gt;=BY$5,TODAY()&lt;CB$5)</formula>
    </cfRule>
    <cfRule type="expression" dxfId="21" priority="30" stopIfTrue="1">
      <formula>AND(task_end&gt;=BY$5,task_start&lt;CB$5)</formula>
    </cfRule>
  </conditionalFormatting>
  <conditionalFormatting sqref="BZ108:BZ109">
    <cfRule type="expression" dxfId="20" priority="27">
      <formula>AND(TODAY()&gt;=BZ$5,TODAY()&lt;CB$5)</formula>
    </cfRule>
    <cfRule type="expression" dxfId="19" priority="28" stopIfTrue="1">
      <formula>AND(task_end&gt;=BZ$5,task_start&lt;CB$5)</formula>
    </cfRule>
  </conditionalFormatting>
  <conditionalFormatting sqref="MW108:MW109 MP108:MP109 MI108:MI109 MB108:MB109 LU108:LU109 LN108:LN109 LG108:LG109 KZ108:KZ109 KS108:KS109 KL108:KL109 KE108:KE109 JX108:JX109 JQ108:JQ109 JJ108:JJ109 JC108:JC109 IV108:IV109 IO108:IO109 IH108:IH109 IA108:IA109 HT108:HT109 HM108:HM109 HF108:HF109 GY108:GY109 GR108:GR109 GK108:GK109 GD108:GD109 FW108:FW109 FP108:FP109 FI108:FI109 FB108:FB109 EU108:EU109 EN108:EN109 EG108:EG109 DZ108:DZ109">
    <cfRule type="expression" dxfId="18" priority="35">
      <formula>AND(TODAY()&gt;=DZ$5,TODAY()&lt;MX$5)</formula>
    </cfRule>
  </conditionalFormatting>
  <conditionalFormatting sqref="MW108:MW109 MP108:MP109 MI108:MI109 MB108:MB109 LU108:LU109 LN108:LN109 LG108:LG109 KZ108:KZ109 KS108:KS109 KL108:KL109 KE108:KE109 JX108:JX109 JQ108:JQ109 JJ108:JJ109 JC108:JC109 IV108:IV109 IO108:IO109 IH108:IH109 IA108:IA109 HT108:HT109 HM108:HM109 HF108:HF109 GY108:GY109 GR108:GR109 GK108:GK109 GD108:GD109 FW108:FW109 FP108:FP109 FI108:FI109 FB108:FB109 EU108:EU109 EN108:EN109 EG108:EG109 DZ108:DZ109">
    <cfRule type="expression" dxfId="17" priority="36" stopIfTrue="1">
      <formula>AND(task_end&gt;=DZ$5,task_start&lt;MX$5)</formula>
    </cfRule>
  </conditionalFormatting>
  <conditionalFormatting sqref="L111:MW112">
    <cfRule type="expression" dxfId="16" priority="1">
      <formula>AND(task_start&lt;=L$5,ROUNDDOWN((task_end-task_start+1)*task_progress,0)+task_start-1&gt;=L$5)</formula>
    </cfRule>
  </conditionalFormatting>
  <conditionalFormatting sqref="E111:E112">
    <cfRule type="dataBar" priority="6">
      <dataBar>
        <cfvo type="num" val="0"/>
        <cfvo type="num" val="1"/>
        <color theme="0" tint="-0.249977111117893"/>
      </dataBar>
      <extLst>
        <ext xmlns:x14="http://schemas.microsoft.com/office/spreadsheetml/2009/9/main" uri="{B025F937-C7B1-47D3-B67F-A62EFF666E3E}">
          <x14:id>{C5BC7FF2-6B74-42C9-844E-C505843FACB1}</x14:id>
        </ext>
      </extLst>
    </cfRule>
  </conditionalFormatting>
  <conditionalFormatting sqref="MQ111:MV112 MJ111:MO112 MC111:MH112 LV111:MA112 LO111:LT112 LH111:LM112 LA111:LF112 KT111:KY112 KM111:KR112 KF111:KK112 JY111:KD112 JR111:JW112 JK111:JP112 JD111:JI112 IW111:JB112 IP111:IU112 II111:IN112 IB111:IG112 HU111:HZ112 HN111:HS112 HG111:HL112 GZ111:HE112 GS111:GX112 GL111:GQ112 GE111:GJ112 FX111:GC112 FQ111:FV112 FJ111:FO112 FC111:FH112 EV111:FA112 EO111:ET112 EH111:EM112 EA111:EF112 CA111:DY112 BI111:BN112 BU111:BV112 L111:BG112">
    <cfRule type="expression" dxfId="15" priority="5">
      <formula>AND(TODAY()&gt;=L$5,TODAY()&lt;M$5)</formula>
    </cfRule>
  </conditionalFormatting>
  <conditionalFormatting sqref="BH111:BH112">
    <cfRule type="expression" dxfId="14" priority="7">
      <formula>AND(TODAY()&gt;=BH$5,TODAY()&lt;CD$5)</formula>
    </cfRule>
  </conditionalFormatting>
  <conditionalFormatting sqref="BH111:BH112">
    <cfRule type="expression" dxfId="13" priority="8" stopIfTrue="1">
      <formula>AND(task_end&gt;=BH$5,task_start&lt;CD$5)</formula>
    </cfRule>
  </conditionalFormatting>
  <conditionalFormatting sqref="MQ111:MV112 MJ111:MO112 MC111:MH112 LV111:MA112 LO111:LT112 LH111:LM112 LA111:LF112 KT111:KY112 KM111:KR112 KF111:KK112 JY111:KD112 JR111:JW112 JK111:JP112 JD111:JI112 IW111:JB112 IP111:IU112 II111:IN112 IB111:IG112 HU111:HZ112 HN111:HS112 HG111:HL112 GZ111:HE112 GS111:GX112 GL111:GQ112 GE111:GJ112 FX111:GC112 FQ111:FV112 FJ111:FO112 FC111:FH112 EV111:FA112 EO111:ET112 EH111:EM112 EA111:EF112 CA111:DY112 BU111:BV112 L111:BG112 BI111:BN112">
    <cfRule type="expression" dxfId="12" priority="2" stopIfTrue="1">
      <formula>AND(task_end&gt;=L$5,task_start&lt;M$5)</formula>
    </cfRule>
  </conditionalFormatting>
  <conditionalFormatting sqref="BO111:BO112">
    <cfRule type="expression" dxfId="11" priority="3">
      <formula>AND(TODAY()&gt;=BO$5,TODAY()&lt;CY$5)</formula>
    </cfRule>
  </conditionalFormatting>
  <conditionalFormatting sqref="BO111:BO112">
    <cfRule type="expression" dxfId="10" priority="4" stopIfTrue="1">
      <formula>AND(task_end&gt;=BO$5,task_start&lt;CY$5)</formula>
    </cfRule>
  </conditionalFormatting>
  <conditionalFormatting sqref="BP111:BT112">
    <cfRule type="expression" dxfId="9" priority="13">
      <formula>AND(TODAY()&gt;=BP$5,TODAY()&lt;CF$5)</formula>
    </cfRule>
  </conditionalFormatting>
  <conditionalFormatting sqref="BP111:BT112">
    <cfRule type="expression" dxfId="8" priority="14" stopIfTrue="1">
      <formula>AND(task_end&gt;=BP$5,task_start&lt;CF$5)</formula>
    </cfRule>
  </conditionalFormatting>
  <conditionalFormatting sqref="BW111:BX112">
    <cfRule type="expression" dxfId="7" priority="16" stopIfTrue="1">
      <formula>AND(task_end&gt;=BW$5,task_start&lt;CA$5)</formula>
    </cfRule>
  </conditionalFormatting>
  <conditionalFormatting sqref="BW111:BX112">
    <cfRule type="expression" dxfId="6" priority="15">
      <formula>AND(TODAY()&gt;=BW$5,TODAY()&lt;CA$5)</formula>
    </cfRule>
  </conditionalFormatting>
  <conditionalFormatting sqref="BY111:BY112">
    <cfRule type="expression" dxfId="5" priority="11">
      <formula>AND(TODAY()&gt;=BY$5,TODAY()&lt;CB$5)</formula>
    </cfRule>
    <cfRule type="expression" dxfId="4" priority="12" stopIfTrue="1">
      <formula>AND(task_end&gt;=BY$5,task_start&lt;CB$5)</formula>
    </cfRule>
  </conditionalFormatting>
  <conditionalFormatting sqref="BZ111:BZ112">
    <cfRule type="expression" dxfId="3" priority="9">
      <formula>AND(TODAY()&gt;=BZ$5,TODAY()&lt;CB$5)</formula>
    </cfRule>
    <cfRule type="expression" dxfId="2" priority="10" stopIfTrue="1">
      <formula>AND(task_end&gt;=BZ$5,task_start&lt;CB$5)</formula>
    </cfRule>
  </conditionalFormatting>
  <conditionalFormatting sqref="MW111:MW112 MP111:MP112 MI111:MI112 MB111:MB112 LU111:LU112 LN111:LN112 LG111:LG112 KZ111:KZ112 KS111:KS112 KL111:KL112 KE111:KE112 JX111:JX112 JQ111:JQ112 JJ111:JJ112 JC111:JC112 IV111:IV112 IO111:IO112 IH111:IH112 IA111:IA112 HT111:HT112 HM111:HM112 HF111:HF112 GY111:GY112 GR111:GR112 GK111:GK112 GD111:GD112 FW111:FW112 FP111:FP112 FI111:FI112 FB111:FB112 EU111:EU112 EN111:EN112 EG111:EG112 DZ111:DZ112">
    <cfRule type="expression" dxfId="1" priority="17">
      <formula>AND(TODAY()&gt;=DZ$5,TODAY()&lt;MX$5)</formula>
    </cfRule>
  </conditionalFormatting>
  <conditionalFormatting sqref="MW111:MW112 MP111:MP112 MI111:MI112 MB111:MB112 LU111:LU112 LN111:LN112 LG111:LG112 KZ111:KZ112 KS111:KS112 KL111:KL112 KE111:KE112 JX111:JX112 JQ111:JQ112 JJ111:JJ112 JC111:JC112 IV111:IV112 IO111:IO112 IH111:IH112 IA111:IA112 HT111:HT112 HM111:HM112 HF111:HF112 GY111:GY112 GR111:GR112 GK111:GK112 GD111:GD112 FW111:FW112 FP111:FP112 FI111:FI112 FB111:FB112 EU111:EU112 EN111:EN112 EG111:EG112 DZ111:DZ112">
    <cfRule type="expression" dxfId="0" priority="18" stopIfTrue="1">
      <formula>AND(task_end&gt;=DZ$5,task_start&lt;MX$5)</formula>
    </cfRule>
  </conditionalFormatting>
  <dataValidations disablePrompts="1" count="1">
    <dataValidation type="whole" operator="greaterThanOrEqual" allowBlank="1" showInputMessage="1" promptTitle="Mostrar semana" prompt="Al cambiar este número, se desplazará la vista del diagrama de Gantt." sqref="F4">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E114:E115 E24:E28 E31:E33 E7:E22 E38 E36 E41:E43 E61:E86 E47:E58</xm:sqref>
        </x14:conditionalFormatting>
        <x14:conditionalFormatting xmlns:xm="http://schemas.microsoft.com/office/excel/2006/main">
          <x14:cfRule type="dataBar" id="{5DC85D2E-551F-4C05-AEA1-F829B92303BA}">
            <x14:dataBar minLength="0" maxLength="100" gradient="0">
              <x14:cfvo type="num">
                <xm:f>0</xm:f>
              </x14:cfvo>
              <x14:cfvo type="num">
                <xm:f>1</xm:f>
              </x14:cfvo>
              <x14:negativeFillColor rgb="FFFF0000"/>
              <x14:axisColor rgb="FF000000"/>
            </x14:dataBar>
          </x14:cfRule>
          <xm:sqref>E87:E88 E110 E113</xm:sqref>
        </x14:conditionalFormatting>
        <x14:conditionalFormatting xmlns:xm="http://schemas.microsoft.com/office/excel/2006/main">
          <x14:cfRule type="dataBar" id="{C712EFF7-67C0-4C64-A5D5-32E0F9CE3762}">
            <x14:dataBar minLength="0" maxLength="100" gradient="0">
              <x14:cfvo type="num">
                <xm:f>0</xm:f>
              </x14:cfvo>
              <x14:cfvo type="num">
                <xm:f>1</xm:f>
              </x14:cfvo>
              <x14:negativeFillColor rgb="FFFF0000"/>
              <x14:axisColor rgb="FF000000"/>
            </x14:dataBar>
          </x14:cfRule>
          <xm:sqref>E23</xm:sqref>
        </x14:conditionalFormatting>
        <x14:conditionalFormatting xmlns:xm="http://schemas.microsoft.com/office/excel/2006/main">
          <x14:cfRule type="dataBar" id="{4B514E0C-1AC2-4A06-A5E3-77DB22849210}">
            <x14:dataBar minLength="0" maxLength="100" gradient="0">
              <x14:cfvo type="num">
                <xm:f>0</xm:f>
              </x14:cfvo>
              <x14:cfvo type="num">
                <xm:f>1</xm:f>
              </x14:cfvo>
              <x14:negativeFillColor rgb="FFFF0000"/>
              <x14:axisColor rgb="FF000000"/>
            </x14:dataBar>
          </x14:cfRule>
          <xm:sqref>E29:E30</xm:sqref>
        </x14:conditionalFormatting>
        <x14:conditionalFormatting xmlns:xm="http://schemas.microsoft.com/office/excel/2006/main">
          <x14:cfRule type="dataBar" id="{6C1DCB77-7F3D-42EB-8845-D6DC15CA9585}">
            <x14:dataBar minLength="0" maxLength="100" gradient="0">
              <x14:cfvo type="num">
                <xm:f>0</xm:f>
              </x14:cfvo>
              <x14:cfvo type="num">
                <xm:f>1</xm:f>
              </x14:cfvo>
              <x14:negativeFillColor rgb="FFFF0000"/>
              <x14:axisColor rgb="FF000000"/>
            </x14:dataBar>
          </x14:cfRule>
          <xm:sqref>E34:E35</xm:sqref>
        </x14:conditionalFormatting>
        <x14:conditionalFormatting xmlns:xm="http://schemas.microsoft.com/office/excel/2006/main">
          <x14:cfRule type="dataBar" id="{7A0E0A3A-9863-4D8B-9AD6-405DF3E82D43}">
            <x14:dataBar minLength="0" maxLength="100" gradient="0">
              <x14:cfvo type="num">
                <xm:f>0</xm:f>
              </x14:cfvo>
              <x14:cfvo type="num">
                <xm:f>1</xm:f>
              </x14:cfvo>
              <x14:negativeFillColor rgb="FFFF0000"/>
              <x14:axisColor rgb="FF000000"/>
            </x14:dataBar>
          </x14:cfRule>
          <xm:sqref>E37</xm:sqref>
        </x14:conditionalFormatting>
        <x14:conditionalFormatting xmlns:xm="http://schemas.microsoft.com/office/excel/2006/main">
          <x14:cfRule type="dataBar" id="{DDFCE06C-FA69-4330-A51C-9E3A86915609}">
            <x14:dataBar minLength="0" maxLength="100" gradient="0">
              <x14:cfvo type="num">
                <xm:f>0</xm:f>
              </x14:cfvo>
              <x14:cfvo type="num">
                <xm:f>1</xm:f>
              </x14:cfvo>
              <x14:negativeFillColor rgb="FFFF0000"/>
              <x14:axisColor rgb="FF000000"/>
            </x14:dataBar>
          </x14:cfRule>
          <xm:sqref>E39:E42</xm:sqref>
        </x14:conditionalFormatting>
        <x14:conditionalFormatting xmlns:xm="http://schemas.microsoft.com/office/excel/2006/main">
          <x14:cfRule type="dataBar" id="{3D6F19D8-387D-424C-89F3-85C78D6F3B24}">
            <x14:dataBar minLength="0" maxLength="100" gradient="0">
              <x14:cfvo type="num">
                <xm:f>0</xm:f>
              </x14:cfvo>
              <x14:cfvo type="num">
                <xm:f>1</xm:f>
              </x14:cfvo>
              <x14:negativeFillColor rgb="FFFF0000"/>
              <x14:axisColor rgb="FF000000"/>
            </x14:dataBar>
          </x14:cfRule>
          <xm:sqref>E59:E60</xm:sqref>
        </x14:conditionalFormatting>
        <x14:conditionalFormatting xmlns:xm="http://schemas.microsoft.com/office/excel/2006/main">
          <x14:cfRule type="dataBar" id="{D222DAD6-05EA-492B-B50A-E3406B3B0FBE}">
            <x14:dataBar minLength="0" maxLength="100" gradient="0">
              <x14:cfvo type="num">
                <xm:f>0</xm:f>
              </x14:cfvo>
              <x14:cfvo type="num">
                <xm:f>1</xm:f>
              </x14:cfvo>
              <x14:negativeFillColor rgb="FFFF0000"/>
              <x14:axisColor rgb="FF000000"/>
            </x14:dataBar>
          </x14:cfRule>
          <xm:sqref>E44:E46</xm:sqref>
        </x14:conditionalFormatting>
        <x14:conditionalFormatting xmlns:xm="http://schemas.microsoft.com/office/excel/2006/main">
          <x14:cfRule type="dataBar" id="{A77F7842-738A-4BFC-B61B-719A1590289E}">
            <x14:dataBar minLength="0" maxLength="100" gradient="0">
              <x14:cfvo type="num">
                <xm:f>0</xm:f>
              </x14:cfvo>
              <x14:cfvo type="num">
                <xm:f>1</xm:f>
              </x14:cfvo>
              <x14:negativeFillColor rgb="FFFF0000"/>
              <x14:axisColor rgb="FF000000"/>
            </x14:dataBar>
          </x14:cfRule>
          <xm:sqref>E98:E101</xm:sqref>
        </x14:conditionalFormatting>
        <x14:conditionalFormatting xmlns:xm="http://schemas.microsoft.com/office/excel/2006/main">
          <x14:cfRule type="dataBar" id="{1C0C7E4D-2FBA-4755-9ADD-FE0828E5ED48}">
            <x14:dataBar minLength="0" maxLength="100" gradient="0">
              <x14:cfvo type="num">
                <xm:f>0</xm:f>
              </x14:cfvo>
              <x14:cfvo type="num">
                <xm:f>1</xm:f>
              </x14:cfvo>
              <x14:negativeFillColor rgb="FFFF0000"/>
              <x14:axisColor rgb="FF000000"/>
            </x14:dataBar>
          </x14:cfRule>
          <xm:sqref>E104:E105</xm:sqref>
        </x14:conditionalFormatting>
        <x14:conditionalFormatting xmlns:xm="http://schemas.microsoft.com/office/excel/2006/main">
          <x14:cfRule type="dataBar" id="{DFBC511F-4052-43B1-82F0-BA4DC3AAB662}">
            <x14:dataBar minLength="0" maxLength="100" gradient="0">
              <x14:cfvo type="num">
                <xm:f>0</xm:f>
              </x14:cfvo>
              <x14:cfvo type="num">
                <xm:f>1</xm:f>
              </x14:cfvo>
              <x14:negativeFillColor rgb="FFFF0000"/>
              <x14:axisColor rgb="FF000000"/>
            </x14:dataBar>
          </x14:cfRule>
          <xm:sqref>E106:E107</xm:sqref>
        </x14:conditionalFormatting>
        <x14:conditionalFormatting xmlns:xm="http://schemas.microsoft.com/office/excel/2006/main">
          <x14:cfRule type="dataBar" id="{57A96C61-8793-4941-A07C-B4FC980E41D6}">
            <x14:dataBar minLength="0" maxLength="100" gradient="0">
              <x14:cfvo type="num">
                <xm:f>0</xm:f>
              </x14:cfvo>
              <x14:cfvo type="num">
                <xm:f>1</xm:f>
              </x14:cfvo>
              <x14:negativeFillColor rgb="FFFF0000"/>
              <x14:axisColor rgb="FF000000"/>
            </x14:dataBar>
          </x14:cfRule>
          <xm:sqref>E102:E103</xm:sqref>
        </x14:conditionalFormatting>
        <x14:conditionalFormatting xmlns:xm="http://schemas.microsoft.com/office/excel/2006/main">
          <x14:cfRule type="dataBar" id="{AF109B8A-266A-42D2-9B5E-CE128A575AD5}">
            <x14:dataBar minLength="0" maxLength="100" gradient="0">
              <x14:cfvo type="num">
                <xm:f>0</xm:f>
              </x14:cfvo>
              <x14:cfvo type="num">
                <xm:f>1</xm:f>
              </x14:cfvo>
              <x14:negativeFillColor rgb="FFFF0000"/>
              <x14:axisColor rgb="FF000000"/>
            </x14:dataBar>
          </x14:cfRule>
          <xm:sqref>E96:E97</xm:sqref>
        </x14:conditionalFormatting>
        <x14:conditionalFormatting xmlns:xm="http://schemas.microsoft.com/office/excel/2006/main">
          <x14:cfRule type="dataBar" id="{04BCEC47-F450-4FBC-8680-7ACE013CD062}">
            <x14:dataBar minLength="0" maxLength="100" gradient="0">
              <x14:cfvo type="num">
                <xm:f>0</xm:f>
              </x14:cfvo>
              <x14:cfvo type="num">
                <xm:f>1</xm:f>
              </x14:cfvo>
              <x14:negativeFillColor rgb="FFFF0000"/>
              <x14:axisColor rgb="FF000000"/>
            </x14:dataBar>
          </x14:cfRule>
          <xm:sqref>E92:E93</xm:sqref>
        </x14:conditionalFormatting>
        <x14:conditionalFormatting xmlns:xm="http://schemas.microsoft.com/office/excel/2006/main">
          <x14:cfRule type="dataBar" id="{D126D8DF-2D0A-470F-8981-8C0D8479A2A4}">
            <x14:dataBar minLength="0" maxLength="100" gradient="0">
              <x14:cfvo type="num">
                <xm:f>0</xm:f>
              </x14:cfvo>
              <x14:cfvo type="num">
                <xm:f>1</xm:f>
              </x14:cfvo>
              <x14:negativeFillColor rgb="FFFF0000"/>
              <x14:axisColor rgb="FF000000"/>
            </x14:dataBar>
          </x14:cfRule>
          <xm:sqref>E89:E91</xm:sqref>
        </x14:conditionalFormatting>
        <x14:conditionalFormatting xmlns:xm="http://schemas.microsoft.com/office/excel/2006/main">
          <x14:cfRule type="dataBar" id="{788F302C-640E-4E91-8EBB-D1B90FC2FB31}">
            <x14:dataBar minLength="0" maxLength="100" gradient="0">
              <x14:cfvo type="num">
                <xm:f>0</xm:f>
              </x14:cfvo>
              <x14:cfvo type="num">
                <xm:f>1</xm:f>
              </x14:cfvo>
              <x14:negativeFillColor rgb="FFFF0000"/>
              <x14:axisColor rgb="FF000000"/>
            </x14:dataBar>
          </x14:cfRule>
          <xm:sqref>E95</xm:sqref>
        </x14:conditionalFormatting>
        <x14:conditionalFormatting xmlns:xm="http://schemas.microsoft.com/office/excel/2006/main">
          <x14:cfRule type="dataBar" id="{CA0EA56C-DDF7-43B2-89BB-68430727522E}">
            <x14:dataBar minLength="0" maxLength="100" gradient="0">
              <x14:cfvo type="num">
                <xm:f>0</xm:f>
              </x14:cfvo>
              <x14:cfvo type="num">
                <xm:f>1</xm:f>
              </x14:cfvo>
              <x14:negativeFillColor rgb="FFFF0000"/>
              <x14:axisColor rgb="FF000000"/>
            </x14:dataBar>
          </x14:cfRule>
          <xm:sqref>E94</xm:sqref>
        </x14:conditionalFormatting>
        <x14:conditionalFormatting xmlns:xm="http://schemas.microsoft.com/office/excel/2006/main">
          <x14:cfRule type="dataBar" id="{C025A2C1-ADCC-4D08-8CCB-849D7AF35E94}">
            <x14:dataBar minLength="0" maxLength="100" gradient="0">
              <x14:cfvo type="num">
                <xm:f>0</xm:f>
              </x14:cfvo>
              <x14:cfvo type="num">
                <xm:f>1</xm:f>
              </x14:cfvo>
              <x14:negativeFillColor rgb="FFFF0000"/>
              <x14:axisColor rgb="FF000000"/>
            </x14:dataBar>
          </x14:cfRule>
          <xm:sqref>E108:E109</xm:sqref>
        </x14:conditionalFormatting>
        <x14:conditionalFormatting xmlns:xm="http://schemas.microsoft.com/office/excel/2006/main">
          <x14:cfRule type="dataBar" id="{C5BC7FF2-6B74-42C9-844E-C505843FACB1}">
            <x14:dataBar minLength="0" maxLength="100" gradient="0">
              <x14:cfvo type="num">
                <xm:f>0</xm:f>
              </x14:cfvo>
              <x14:cfvo type="num">
                <xm:f>1</xm:f>
              </x14:cfvo>
              <x14:negativeFillColor rgb="FFFF0000"/>
              <x14:axisColor rgb="FF000000"/>
            </x14:dataBar>
          </x14:cfRule>
          <xm:sqref>E111:E112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showGridLines="0" topLeftCell="A10" zoomScaleNormal="100" workbookViewId="0">
      <selection activeCell="A15" sqref="A15"/>
    </sheetView>
  </sheetViews>
  <sheetFormatPr defaultColWidth="9.140625" defaultRowHeight="12.75" x14ac:dyDescent="0.2"/>
  <cols>
    <col min="1" max="1" width="87.140625" style="18" customWidth="1"/>
    <col min="2" max="16384" width="9.140625" style="2"/>
  </cols>
  <sheetData>
    <row r="1" spans="1:2" ht="46.5" customHeight="1" x14ac:dyDescent="0.2"/>
    <row r="2" spans="1:2" s="20" customFormat="1" ht="15.75" x14ac:dyDescent="0.25">
      <c r="A2" s="19" t="s">
        <v>16</v>
      </c>
      <c r="B2" s="19"/>
    </row>
    <row r="3" spans="1:2" s="24" customFormat="1" ht="27" customHeight="1" x14ac:dyDescent="0.25">
      <c r="A3" s="40" t="s">
        <v>17</v>
      </c>
      <c r="B3" s="25"/>
    </row>
    <row r="4" spans="1:2" s="21" customFormat="1" ht="26.25" x14ac:dyDescent="0.4">
      <c r="A4" s="22" t="s">
        <v>18</v>
      </c>
    </row>
    <row r="5" spans="1:2" ht="74.099999999999994" customHeight="1" x14ac:dyDescent="0.2">
      <c r="A5" s="23" t="s">
        <v>19</v>
      </c>
    </row>
    <row r="6" spans="1:2" ht="26.25" customHeight="1" x14ac:dyDescent="0.2">
      <c r="A6" s="22" t="s">
        <v>20</v>
      </c>
    </row>
    <row r="7" spans="1:2" s="18" customFormat="1" ht="228" customHeight="1" x14ac:dyDescent="0.25">
      <c r="A7" s="27" t="s">
        <v>21</v>
      </c>
    </row>
    <row r="8" spans="1:2" s="21" customFormat="1" ht="26.25" x14ac:dyDescent="0.4">
      <c r="A8" s="22" t="s">
        <v>22</v>
      </c>
    </row>
    <row r="9" spans="1:2" ht="75" x14ac:dyDescent="0.2">
      <c r="A9" s="23" t="s">
        <v>23</v>
      </c>
    </row>
    <row r="10" spans="1:2" s="18" customFormat="1" ht="27.95" customHeight="1" x14ac:dyDescent="0.25">
      <c r="A10" s="26" t="s">
        <v>24</v>
      </c>
    </row>
    <row r="11" spans="1:2" s="21" customFormat="1" ht="26.25" x14ac:dyDescent="0.4">
      <c r="A11" s="22" t="s">
        <v>25</v>
      </c>
    </row>
    <row r="12" spans="1:2" ht="30" x14ac:dyDescent="0.2">
      <c r="A12" s="23" t="s">
        <v>26</v>
      </c>
    </row>
    <row r="13" spans="1:2" s="18" customFormat="1" ht="27.95" customHeight="1" x14ac:dyDescent="0.25">
      <c r="A13" s="26" t="s">
        <v>27</v>
      </c>
    </row>
    <row r="14" spans="1:2" s="21" customFormat="1" ht="26.25" x14ac:dyDescent="0.4">
      <c r="A14" s="22" t="s">
        <v>28</v>
      </c>
    </row>
    <row r="15" spans="1:2" ht="93.75" customHeight="1" x14ac:dyDescent="0.2">
      <c r="A15" s="23" t="s">
        <v>29</v>
      </c>
    </row>
    <row r="16" spans="1:2" ht="90" x14ac:dyDescent="0.2">
      <c r="A16" s="23" t="s">
        <v>30</v>
      </c>
    </row>
  </sheetData>
  <hyperlinks>
    <hyperlink ref="A13" r:id="rId1"/>
    <hyperlink ref="A10" r:id="rId2"/>
    <hyperlink ref="A3" r:id="rId3"/>
    <hyperlink ref="A2" r:id="rId4"/>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openxmlformats.org/package/2006/metadata/core-properties"/>
    <ds:schemaRef ds:uri="16c05727-aa75-4e4a-9b5f-8a80a1165891"/>
    <ds:schemaRef ds:uri="http://purl.org/dc/terms/"/>
    <ds:schemaRef ds:uri="http://schemas.microsoft.com/office/2006/documentManagement/types"/>
    <ds:schemaRef ds:uri="http://purl.org/dc/elements/1.1/"/>
    <ds:schemaRef ds:uri="http://schemas.microsoft.com/office/2006/metadata/properties"/>
    <ds:schemaRef ds:uri="http://purl.org/dc/dcmitype/"/>
    <ds:schemaRef ds:uri="http://www.w3.org/XML/1998/namespace"/>
    <ds:schemaRef ds:uri="http://schemas.microsoft.com/office/infopath/2007/PartnerControls"/>
    <ds:schemaRef ds:uri="230e9df3-be65-4c73-a93b-d1236ebd677e"/>
    <ds:schemaRef ds:uri="71af3243-3dd4-4a8d-8c0d-dd76da1f02a5"/>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Sheet2</vt:lpstr>
      <vt:lpstr>Sheet1</vt:lpstr>
      <vt:lpstr>Gantt</vt:lpstr>
      <vt:lpstr>Acerca de</vt:lpstr>
      <vt:lpstr>Inicio_del_proyecto</vt:lpstr>
      <vt:lpstr>Gantt!Print_Titles</vt:lpstr>
      <vt:lpstr>Semana_para_mostrar</vt:lpstr>
      <vt:lpstr>Gantt!task_end</vt:lpstr>
      <vt:lpstr>Gantt!task_progress</vt:lpstr>
      <vt:lpstr>Gantt!task_start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2026-01-29T01:16:24Z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