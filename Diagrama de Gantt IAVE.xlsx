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20" yWindow="-120" windowWidth="29040" windowHeight="15720" activeTab="2"/>
  </bookViews>
  <sheets>
    <sheet name="Sheet2" sheetId="15" r:id="rId1"/>
    <sheet name="Sheet1" sheetId="16" r:id="rId2"/>
    <sheet name="Gantt" sheetId="11" r:id="rId3"/>
    <sheet name="Acerca de" sheetId="12" state="hidden" r:id="rId4"/>
  </sheets>
  <definedNames>
    <definedName name="hoy" localSheetId="2">TODAY()</definedName>
    <definedName name="Inicio_del_proyecto">Gantt!$F$3</definedName>
    <definedName name="_xlnm.Print_Titles" localSheetId="2">Gantt!$4:$6</definedName>
    <definedName name="Semana_para_mostrar">Gantt!$F$4</definedName>
    <definedName name="task_end" localSheetId="2">Gantt!$G1</definedName>
    <definedName name="task_progress" localSheetId="2">Gantt!$E1</definedName>
    <definedName name="task_start" localSheetId="2">Gantt!$F1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11" l="1"/>
  <c r="K7" i="11" l="1"/>
  <c r="F9" i="11" l="1"/>
  <c r="L5" i="11" l="1"/>
  <c r="K114" i="11"/>
  <c r="K113" i="11"/>
  <c r="K38" i="11"/>
  <c r="K26" i="11"/>
  <c r="K25" i="11"/>
  <c r="K22" i="11"/>
  <c r="K21" i="11"/>
  <c r="K20" i="11"/>
  <c r="K14" i="11"/>
  <c r="K8" i="11"/>
  <c r="F11" i="11" l="1"/>
  <c r="F13" i="11"/>
  <c r="L6" i="11"/>
  <c r="K9" i="11" l="1"/>
  <c r="K24" i="11"/>
  <c r="K10" i="11"/>
  <c r="G15" i="11"/>
  <c r="K15" i="11" s="1"/>
  <c r="G13" i="11"/>
  <c r="K13" i="11" s="1"/>
  <c r="G11" i="11"/>
  <c r="M5" i="11"/>
  <c r="N5" i="11" s="1"/>
  <c r="O5" i="11" s="1"/>
  <c r="P5" i="11" s="1"/>
  <c r="Q5" i="11" s="1"/>
  <c r="R5" i="11" s="1"/>
  <c r="S5" i="11" s="1"/>
  <c r="L4" i="11"/>
  <c r="K16" i="11" l="1"/>
  <c r="K11" i="11"/>
  <c r="S4" i="11"/>
  <c r="T5" i="11"/>
  <c r="U5" i="11" s="1"/>
  <c r="V5" i="11" s="1"/>
  <c r="W5" i="11" s="1"/>
  <c r="X5" i="11" s="1"/>
  <c r="Y5" i="11" s="1"/>
  <c r="Z5" i="11" s="1"/>
  <c r="M6" i="11"/>
  <c r="K19" i="11" l="1"/>
  <c r="K18" i="11"/>
  <c r="K17" i="11"/>
  <c r="Z4" i="11"/>
  <c r="AA5" i="11"/>
  <c r="AB5" i="11" s="1"/>
  <c r="AC5" i="11" s="1"/>
  <c r="AD5" i="11" s="1"/>
  <c r="AE5" i="11" s="1"/>
  <c r="AF5" i="11" s="1"/>
  <c r="AG5" i="11" s="1"/>
  <c r="N6" i="11"/>
  <c r="AH5" i="11" l="1"/>
  <c r="AI5" i="11" s="1"/>
  <c r="AJ5" i="11" s="1"/>
  <c r="AK5" i="11" s="1"/>
  <c r="AL5" i="11" s="1"/>
  <c r="AM5" i="11" s="1"/>
  <c r="AG4" i="11"/>
  <c r="O6" i="11"/>
  <c r="AN5" i="11" l="1"/>
  <c r="AO5" i="11" s="1"/>
  <c r="AP5" i="11" s="1"/>
  <c r="AQ5" i="11" s="1"/>
  <c r="AR5" i="11" s="1"/>
  <c r="AS5" i="11" s="1"/>
  <c r="AT5" i="11" s="1"/>
  <c r="P6" i="11"/>
  <c r="AU5" i="11" l="1"/>
  <c r="AV5" i="11" s="1"/>
  <c r="AN4" i="11"/>
  <c r="Q6" i="11"/>
  <c r="AW5" i="11" l="1"/>
  <c r="AV6" i="11"/>
  <c r="AU4" i="11"/>
  <c r="R6" i="11"/>
  <c r="AW6" i="11" l="1"/>
  <c r="S6" i="11" l="1"/>
  <c r="U6" i="11" l="1"/>
  <c r="V6" i="11" l="1"/>
  <c r="AU6" i="11"/>
  <c r="AX5" i="11" s="1"/>
  <c r="AY5" i="11" s="1"/>
  <c r="AT6" i="11"/>
  <c r="AS6" i="11"/>
  <c r="AR6" i="11"/>
  <c r="AQ6" i="11"/>
  <c r="AP6" i="11"/>
  <c r="AO6" i="11"/>
  <c r="AN6" i="11"/>
  <c r="AM6" i="11"/>
  <c r="AL6" i="11"/>
  <c r="AK6" i="11"/>
  <c r="AJ6" i="11"/>
  <c r="AI6" i="11"/>
  <c r="AH6" i="11"/>
  <c r="AG6" i="11"/>
  <c r="AF6" i="11"/>
  <c r="AE6" i="11"/>
  <c r="AD6" i="11"/>
  <c r="AC6" i="11"/>
  <c r="AB6" i="11"/>
  <c r="AA6" i="11"/>
  <c r="Z6" i="11"/>
  <c r="Y6" i="11"/>
  <c r="X6" i="11"/>
  <c r="W6" i="11"/>
  <c r="T6" i="11"/>
  <c r="AZ5" i="11" l="1"/>
  <c r="BA5" i="11" s="1"/>
  <c r="AY6" i="11"/>
  <c r="AX6" i="11"/>
  <c r="AZ6" i="11" l="1"/>
  <c r="BB5" i="11"/>
  <c r="BC5" i="11" l="1"/>
  <c r="BB6" i="11"/>
  <c r="BB4" i="11"/>
  <c r="BA6" i="11" s="1"/>
  <c r="BD5" i="11" l="1"/>
  <c r="BC6" i="11"/>
  <c r="BE5" i="11" l="1"/>
  <c r="BD6" i="11"/>
  <c r="BE6" i="11" l="1"/>
  <c r="BF5" i="11"/>
  <c r="BG5" i="11" l="1"/>
  <c r="BF6" i="11"/>
  <c r="BH5" i="11" l="1"/>
  <c r="BI5" i="11" s="1"/>
  <c r="BG6" i="11"/>
  <c r="BI4" i="11" l="1"/>
  <c r="BJ5" i="11"/>
  <c r="BI6" i="11"/>
  <c r="BK5" i="11" l="1"/>
  <c r="BJ6" i="11"/>
  <c r="BL5" i="11" l="1"/>
  <c r="BK6" i="11"/>
  <c r="BM5" i="11" l="1"/>
  <c r="BL6" i="11"/>
  <c r="BN5" i="11" l="1"/>
  <c r="BM6" i="11"/>
  <c r="BO5" i="11" l="1"/>
  <c r="BN6" i="11"/>
  <c r="BP5" i="11" l="1"/>
  <c r="BO6" i="11"/>
  <c r="BQ5" i="11" l="1"/>
  <c r="BR5" i="11" s="1"/>
  <c r="BS5" i="11" s="1"/>
  <c r="BT5" i="11" s="1"/>
  <c r="BU5" i="11" s="1"/>
  <c r="BP4" i="11"/>
  <c r="BV5" i="11" l="1"/>
  <c r="BU6" i="11"/>
  <c r="BW5" i="11" l="1"/>
  <c r="BV6" i="11"/>
  <c r="BX5" i="11" l="1"/>
  <c r="BY5" i="11" s="1"/>
  <c r="BZ5" i="11" s="1"/>
  <c r="CA5" i="11" s="1"/>
  <c r="CB5" i="11" s="1"/>
  <c r="CB6" i="11" s="1"/>
  <c r="BW4" i="11"/>
  <c r="CC5" i="11" l="1"/>
  <c r="CC6" i="11" s="1"/>
  <c r="CD5" i="11" l="1"/>
  <c r="CE5" i="11" l="1"/>
  <c r="CD4" i="11"/>
  <c r="BH6" i="11" s="1"/>
  <c r="CD6" i="11"/>
  <c r="CF5" i="11" l="1"/>
  <c r="CE6" i="11"/>
  <c r="CG5" i="11" l="1"/>
  <c r="CF6" i="11"/>
  <c r="CH5" i="11" l="1"/>
  <c r="CG6" i="11"/>
  <c r="CI5" i="11" l="1"/>
  <c r="CH6" i="11"/>
  <c r="CJ5" i="11" l="1"/>
  <c r="CI6" i="11"/>
  <c r="CJ6" i="11" l="1"/>
  <c r="CK5" i="11"/>
  <c r="CL5" i="11" l="1"/>
  <c r="CK6" i="11"/>
  <c r="CK4" i="11"/>
  <c r="CM5" i="11" l="1"/>
  <c r="CL6" i="11"/>
  <c r="CM6" i="11" l="1"/>
  <c r="CN5" i="11"/>
  <c r="CO5" i="11" l="1"/>
  <c r="CN6" i="11"/>
  <c r="CP5" i="11" l="1"/>
  <c r="CO6" i="11"/>
  <c r="CP6" i="11" l="1"/>
  <c r="CQ5" i="11"/>
  <c r="CQ6" i="11" l="1"/>
  <c r="CR5" i="11"/>
  <c r="CR4" i="11" l="1"/>
  <c r="CS5" i="11"/>
  <c r="CR6" i="11"/>
  <c r="CT5" i="11" l="1"/>
  <c r="CS6" i="11"/>
  <c r="CU5" i="11" l="1"/>
  <c r="CT6" i="11"/>
  <c r="CV5" i="11" l="1"/>
  <c r="CU6" i="11"/>
  <c r="CV6" i="11" l="1"/>
  <c r="CW5" i="11"/>
  <c r="CW6" i="11" l="1"/>
  <c r="CX5" i="11"/>
  <c r="CX6" i="11" l="1"/>
  <c r="CY5" i="11"/>
  <c r="CZ5" i="11" l="1"/>
  <c r="CY4" i="11"/>
  <c r="CY6" i="11"/>
  <c r="DA5" i="11" l="1"/>
  <c r="CZ6" i="11"/>
  <c r="DB5" i="11" l="1"/>
  <c r="DA6" i="11"/>
  <c r="DB6" i="11" l="1"/>
  <c r="DC5" i="11"/>
  <c r="DD5" i="11" l="1"/>
  <c r="DC6" i="11"/>
  <c r="DD6" i="11" l="1"/>
  <c r="DE5" i="11"/>
  <c r="DE6" i="11" l="1"/>
  <c r="DF5" i="11"/>
  <c r="DG5" i="11" l="1"/>
  <c r="DF6" i="11"/>
  <c r="DF4" i="11"/>
  <c r="DH5" i="11" l="1"/>
  <c r="DG6" i="11"/>
  <c r="DI5" i="11" l="1"/>
  <c r="DH6" i="11"/>
  <c r="DI6" i="11" l="1"/>
  <c r="DJ5" i="11"/>
  <c r="DK5" i="11" l="1"/>
  <c r="DJ6" i="11"/>
  <c r="DK6" i="11" l="1"/>
  <c r="DL5" i="11"/>
  <c r="DL6" i="11" l="1"/>
  <c r="DM5" i="11"/>
  <c r="DN5" i="11" l="1"/>
  <c r="DM6" i="11"/>
  <c r="DM4" i="11"/>
  <c r="DN6" i="11" l="1"/>
  <c r="DO5" i="11"/>
  <c r="DP5" i="11" l="1"/>
  <c r="DO6" i="11"/>
  <c r="DQ5" i="11" l="1"/>
  <c r="DP6" i="11"/>
  <c r="DR5" i="11" l="1"/>
  <c r="DQ6" i="11"/>
  <c r="DR6" i="11" l="1"/>
  <c r="DS5" i="11"/>
  <c r="DS6" i="11" l="1"/>
  <c r="DT5" i="11"/>
  <c r="DT4" i="11" l="1"/>
  <c r="DT6" i="11"/>
  <c r="DU5" i="11"/>
  <c r="DU6" i="11" l="1"/>
  <c r="DV5" i="11"/>
  <c r="DW5" i="11" l="1"/>
  <c r="DV6" i="11"/>
  <c r="DX5" i="11" l="1"/>
  <c r="DW6" i="11"/>
  <c r="DY5" i="11" l="1"/>
  <c r="DX6" i="11"/>
  <c r="DY6" i="11" l="1"/>
  <c r="DZ5" i="11"/>
  <c r="DZ6" i="11" l="1"/>
  <c r="EA5" i="11"/>
  <c r="EB5" i="11" l="1"/>
  <c r="EA4" i="11"/>
  <c r="EA6" i="11"/>
  <c r="EB6" i="11" l="1"/>
  <c r="EC5" i="11"/>
  <c r="EC6" i="11" l="1"/>
  <c r="ED5" i="11"/>
  <c r="ED6" i="11" l="1"/>
  <c r="EE5" i="11"/>
  <c r="EE6" i="11" l="1"/>
  <c r="EF5" i="11"/>
  <c r="EG5" i="11" l="1"/>
  <c r="EF6" i="11"/>
  <c r="EG6" i="11" l="1"/>
  <c r="EH5" i="11"/>
  <c r="EI5" i="11" l="1"/>
  <c r="EH4" i="11"/>
  <c r="EH6" i="11"/>
  <c r="EJ5" i="11" l="1"/>
  <c r="EI6" i="11"/>
  <c r="EK5" i="11" l="1"/>
  <c r="EJ6" i="11"/>
  <c r="EL5" i="11" l="1"/>
  <c r="EK6" i="11"/>
  <c r="EL6" i="11" l="1"/>
  <c r="EM5" i="11"/>
  <c r="EM6" i="11" l="1"/>
  <c r="EN5" i="11"/>
  <c r="EN6" i="11" l="1"/>
  <c r="EO5" i="11"/>
  <c r="EO6" i="11" l="1"/>
  <c r="EP5" i="11"/>
  <c r="EO4" i="11"/>
  <c r="EP6" i="11" l="1"/>
  <c r="EQ5" i="11"/>
  <c r="EQ6" i="11" l="1"/>
  <c r="ER5" i="11"/>
  <c r="ER6" i="11" l="1"/>
  <c r="ES5" i="11"/>
  <c r="ES6" i="11" l="1"/>
  <c r="ET5" i="11"/>
  <c r="ET6" i="11" l="1"/>
  <c r="EU5" i="11"/>
  <c r="EU6" i="11" l="1"/>
  <c r="EV5" i="11"/>
  <c r="EV6" i="11" l="1"/>
  <c r="EW5" i="11"/>
  <c r="EV4" i="11"/>
  <c r="EW6" i="11" l="1"/>
  <c r="EX5" i="11"/>
  <c r="EX6" i="11" l="1"/>
  <c r="EY5" i="11"/>
  <c r="EY6" i="11" l="1"/>
  <c r="EZ5" i="11"/>
  <c r="EZ6" i="11" l="1"/>
  <c r="FA5" i="11"/>
  <c r="FA6" i="11" l="1"/>
  <c r="FB5" i="11"/>
  <c r="FB6" i="11" l="1"/>
  <c r="FC5" i="11"/>
  <c r="FD5" i="11" l="1"/>
  <c r="FC4" i="11"/>
  <c r="FC6" i="11"/>
  <c r="FE5" i="11" l="1"/>
  <c r="FD6" i="11"/>
  <c r="FF5" i="11" l="1"/>
  <c r="FE6" i="11"/>
  <c r="FG5" i="11" l="1"/>
  <c r="FF6" i="11"/>
  <c r="FG6" i="11" l="1"/>
  <c r="FH5" i="11"/>
  <c r="FH6" i="11" l="1"/>
  <c r="FI5" i="11"/>
  <c r="FI6" i="11" l="1"/>
  <c r="FJ5" i="11"/>
  <c r="FJ6" i="11" l="1"/>
  <c r="FK5" i="11"/>
  <c r="FJ4" i="11"/>
  <c r="FK6" i="11" l="1"/>
  <c r="FL5" i="11"/>
  <c r="FL6" i="11" l="1"/>
  <c r="FM5" i="11"/>
  <c r="FM6" i="11" l="1"/>
  <c r="FN5" i="11"/>
  <c r="FN6" i="11" l="1"/>
  <c r="FO5" i="11"/>
  <c r="FP5" i="11" l="1"/>
  <c r="FO6" i="11"/>
  <c r="FP6" i="11" l="1"/>
  <c r="FQ5" i="11"/>
  <c r="FQ6" i="11" l="1"/>
  <c r="FR5" i="11"/>
  <c r="FQ4" i="11"/>
  <c r="FR6" i="11" l="1"/>
  <c r="FS5" i="11"/>
  <c r="FS6" i="11" l="1"/>
  <c r="FT5" i="11"/>
  <c r="FT6" i="11" l="1"/>
  <c r="FU5" i="11"/>
  <c r="FU6" i="11" l="1"/>
  <c r="FV5" i="11"/>
  <c r="FV6" i="11" l="1"/>
  <c r="FW5" i="11"/>
  <c r="FW6" i="11" l="1"/>
  <c r="FX5" i="11"/>
  <c r="FX6" i="11" l="1"/>
  <c r="FY5" i="11"/>
  <c r="FX4" i="11"/>
  <c r="FY6" i="11" l="1"/>
  <c r="FZ5" i="11"/>
  <c r="FZ6" i="11" l="1"/>
  <c r="GA5" i="11"/>
  <c r="GA6" i="11" l="1"/>
  <c r="GB5" i="11"/>
  <c r="GB6" i="11" l="1"/>
  <c r="GC5" i="11"/>
  <c r="GC6" i="11" l="1"/>
  <c r="GD5" i="11"/>
  <c r="GD6" i="11" l="1"/>
  <c r="GE5" i="11"/>
  <c r="GE6" i="11" l="1"/>
  <c r="GF5" i="11"/>
  <c r="GE4" i="11"/>
  <c r="GG5" i="11" l="1"/>
  <c r="GF6" i="11"/>
  <c r="GG6" i="11" l="1"/>
  <c r="GH5" i="11"/>
  <c r="GH6" i="11" l="1"/>
  <c r="GI5" i="11"/>
  <c r="GI6" i="11" l="1"/>
  <c r="GJ5" i="11"/>
  <c r="GJ6" i="11" l="1"/>
  <c r="GK5" i="11"/>
  <c r="GK6" i="11" l="1"/>
  <c r="GL5" i="11"/>
  <c r="GL4" i="11" s="1"/>
  <c r="GL6" i="11" l="1"/>
  <c r="GM5" i="11"/>
  <c r="GM6" i="11" l="1"/>
  <c r="GN5" i="11"/>
  <c r="GN6" i="11" l="1"/>
  <c r="GO5" i="11"/>
  <c r="GO6" i="11" l="1"/>
  <c r="GP5" i="11"/>
  <c r="GP6" i="11" l="1"/>
  <c r="GQ5" i="11"/>
  <c r="GQ6" i="11" l="1"/>
  <c r="GR5" i="11"/>
  <c r="GR6" i="11" l="1"/>
  <c r="GS5" i="11"/>
  <c r="GS6" i="11" l="1"/>
  <c r="GT5" i="11"/>
  <c r="GS4" i="11"/>
  <c r="GT6" i="11" l="1"/>
  <c r="GU5" i="11"/>
  <c r="GU6" i="11" l="1"/>
  <c r="GV5" i="11"/>
  <c r="GV6" i="11" l="1"/>
  <c r="GW5" i="11"/>
  <c r="GW6" i="11" l="1"/>
  <c r="GX5" i="11"/>
  <c r="GX6" i="11" l="1"/>
  <c r="GY5" i="11"/>
  <c r="GY6" i="11" l="1"/>
  <c r="GZ5" i="11"/>
  <c r="GZ6" i="11" l="1"/>
  <c r="HA5" i="11"/>
  <c r="GZ4" i="11"/>
  <c r="HB5" i="11" l="1"/>
  <c r="HA6" i="11"/>
  <c r="HC5" i="11" l="1"/>
  <c r="HB6" i="11"/>
  <c r="HD5" i="11" l="1"/>
  <c r="HC6" i="11"/>
  <c r="HE5" i="11" l="1"/>
  <c r="HD6" i="11"/>
  <c r="HF5" i="11" l="1"/>
  <c r="HE6" i="11"/>
  <c r="HF6" i="11" l="1"/>
  <c r="HG5" i="11"/>
  <c r="HG6" i="11" l="1"/>
  <c r="HH5" i="11"/>
  <c r="HG4" i="11"/>
  <c r="HH6" i="11" l="1"/>
  <c r="HI5" i="11"/>
  <c r="HI6" i="11" l="1"/>
  <c r="HJ5" i="11"/>
  <c r="HJ6" i="11" l="1"/>
  <c r="HK5" i="11"/>
  <c r="HK6" i="11" l="1"/>
  <c r="HL5" i="11"/>
  <c r="HM5" i="11" l="1"/>
  <c r="HL6" i="11"/>
  <c r="HM6" i="11" l="1"/>
  <c r="HN5" i="11"/>
  <c r="HO5" i="11" l="1"/>
  <c r="HN4" i="11"/>
  <c r="HN6" i="11"/>
  <c r="HP5" i="11" l="1"/>
  <c r="HO6" i="11"/>
  <c r="HQ5" i="11" l="1"/>
  <c r="HP6" i="11"/>
  <c r="HR5" i="11" l="1"/>
  <c r="HQ6" i="11"/>
  <c r="HR6" i="11" l="1"/>
  <c r="HS5" i="11"/>
  <c r="HS6" i="11" l="1"/>
  <c r="HT5" i="11"/>
  <c r="HT6" i="11" l="1"/>
  <c r="HU5" i="11"/>
  <c r="HU6" i="11" l="1"/>
  <c r="HV5" i="11"/>
  <c r="HU4" i="11"/>
  <c r="HV6" i="11" l="1"/>
  <c r="HW5" i="11"/>
  <c r="HW6" i="11" l="1"/>
  <c r="HX5" i="11"/>
  <c r="HX6" i="11" l="1"/>
  <c r="HY5" i="11"/>
  <c r="HY6" i="11" l="1"/>
  <c r="HZ5" i="11"/>
  <c r="HZ6" i="11" l="1"/>
  <c r="IA5" i="11"/>
  <c r="IA6" i="11" l="1"/>
  <c r="IB5" i="11"/>
  <c r="IB6" i="11" l="1"/>
  <c r="IC5" i="11"/>
  <c r="IB4" i="11"/>
  <c r="IC6" i="11" l="1"/>
  <c r="ID5" i="11"/>
  <c r="ID6" i="11" l="1"/>
  <c r="IE5" i="11"/>
  <c r="IE6" i="11" l="1"/>
  <c r="IF5" i="11"/>
  <c r="IF6" i="11" l="1"/>
  <c r="IG5" i="11"/>
  <c r="IG6" i="11" l="1"/>
  <c r="IH5" i="11"/>
  <c r="IH6" i="11" l="1"/>
  <c r="II5" i="11"/>
  <c r="II6" i="11" l="1"/>
  <c r="IJ5" i="11"/>
  <c r="II4" i="11"/>
  <c r="IJ6" i="11" l="1"/>
  <c r="IK5" i="11"/>
  <c r="IK6" i="11" l="1"/>
  <c r="IL5" i="11"/>
  <c r="IL6" i="11" l="1"/>
  <c r="IM5" i="11"/>
  <c r="IM6" i="11" l="1"/>
  <c r="IN5" i="11"/>
  <c r="IN6" i="11" l="1"/>
  <c r="IO5" i="11"/>
  <c r="IO6" i="11" l="1"/>
  <c r="IP5" i="11"/>
  <c r="IP6" i="11" l="1"/>
  <c r="IQ5" i="11"/>
  <c r="IP4" i="11"/>
  <c r="IQ6" i="11" l="1"/>
  <c r="IR5" i="11"/>
  <c r="IR6" i="11" l="1"/>
  <c r="IS5" i="11"/>
  <c r="IS6" i="11" l="1"/>
  <c r="IT5" i="11"/>
  <c r="IT6" i="11" l="1"/>
  <c r="IU5" i="11"/>
  <c r="IU6" i="11" l="1"/>
  <c r="IV5" i="11"/>
  <c r="IV6" i="11" l="1"/>
  <c r="IW5" i="11"/>
  <c r="IW6" i="11" l="1"/>
  <c r="IX5" i="11"/>
  <c r="IW4" i="11"/>
  <c r="IX6" i="11" l="1"/>
  <c r="IY5" i="11"/>
  <c r="IY6" i="11" l="1"/>
  <c r="IZ5" i="11"/>
  <c r="IZ6" i="11" l="1"/>
  <c r="JA5" i="11"/>
  <c r="JA6" i="11" l="1"/>
  <c r="JB5" i="11"/>
  <c r="JB6" i="11" l="1"/>
  <c r="JC5" i="11"/>
  <c r="JC6" i="11" l="1"/>
  <c r="JD5" i="11"/>
  <c r="JD6" i="11" l="1"/>
  <c r="JE5" i="11"/>
  <c r="JD4" i="11"/>
  <c r="JF5" i="11" l="1"/>
  <c r="JE6" i="11"/>
  <c r="JF6" i="11" l="1"/>
  <c r="JG5" i="11"/>
  <c r="JG6" i="11" l="1"/>
  <c r="JH5" i="11"/>
  <c r="JH6" i="11" l="1"/>
  <c r="JI5" i="11"/>
  <c r="JI6" i="11" l="1"/>
  <c r="JJ5" i="11"/>
  <c r="JJ6" i="11" l="1"/>
  <c r="JK5" i="11"/>
  <c r="JL5" i="11" l="1"/>
  <c r="JK4" i="11"/>
  <c r="JK6" i="11"/>
  <c r="JM5" i="11" l="1"/>
  <c r="JL6" i="11"/>
  <c r="JN5" i="11" l="1"/>
  <c r="JM6" i="11"/>
  <c r="JO5" i="11" l="1"/>
  <c r="JN6" i="11"/>
  <c r="JO6" i="11" l="1"/>
  <c r="JP5" i="11"/>
  <c r="JP6" i="11" l="1"/>
  <c r="JQ5" i="11"/>
  <c r="JQ6" i="11" l="1"/>
  <c r="JR5" i="11"/>
  <c r="JS5" i="11" l="1"/>
  <c r="JR4" i="11"/>
  <c r="JR6" i="11"/>
  <c r="JT5" i="11" l="1"/>
  <c r="JS6" i="11"/>
  <c r="JU5" i="11" l="1"/>
  <c r="JT6" i="11"/>
  <c r="JV5" i="11" l="1"/>
  <c r="JU6" i="11"/>
  <c r="JW5" i="11" l="1"/>
  <c r="JV6" i="11"/>
  <c r="JW6" i="11" l="1"/>
  <c r="JX5" i="11"/>
  <c r="JX6" i="11" l="1"/>
  <c r="JY5" i="11"/>
  <c r="JZ5" i="11" l="1"/>
  <c r="JY4" i="11"/>
  <c r="JY6" i="11"/>
  <c r="KA5" i="11" l="1"/>
  <c r="JZ6" i="11"/>
  <c r="KB5" i="11" l="1"/>
  <c r="KA6" i="11"/>
  <c r="KC5" i="11" l="1"/>
  <c r="KB6" i="11"/>
  <c r="KD5" i="11" l="1"/>
  <c r="KC6" i="11"/>
  <c r="KD6" i="11" l="1"/>
  <c r="KE5" i="11"/>
  <c r="KE6" i="11" l="1"/>
  <c r="KF5" i="11"/>
  <c r="KF6" i="11" l="1"/>
  <c r="KG5" i="11"/>
  <c r="KF4" i="11"/>
  <c r="KG6" i="11" l="1"/>
  <c r="KH5" i="11"/>
  <c r="KH6" i="11" l="1"/>
  <c r="KI5" i="11"/>
  <c r="KI6" i="11" l="1"/>
  <c r="KJ5" i="11"/>
  <c r="KJ6" i="11" l="1"/>
  <c r="KK5" i="11"/>
  <c r="KK6" i="11" l="1"/>
  <c r="KL5" i="11"/>
  <c r="KL6" i="11" l="1"/>
  <c r="KM5" i="11"/>
  <c r="KM6" i="11" l="1"/>
  <c r="KN5" i="11"/>
  <c r="KM4" i="11"/>
  <c r="KN6" i="11" l="1"/>
  <c r="KO5" i="11"/>
  <c r="KO6" i="11" l="1"/>
  <c r="KP5" i="11"/>
  <c r="KP6" i="11" l="1"/>
  <c r="KQ5" i="11"/>
  <c r="KQ6" i="11" l="1"/>
  <c r="KR5" i="11"/>
  <c r="KR6" i="11" l="1"/>
  <c r="KS5" i="11"/>
  <c r="KS6" i="11" l="1"/>
  <c r="KT5" i="11"/>
  <c r="KT6" i="11" l="1"/>
  <c r="KU5" i="11"/>
  <c r="KT4" i="11"/>
  <c r="KU6" i="11" l="1"/>
  <c r="KV5" i="11"/>
  <c r="KV6" i="11" l="1"/>
  <c r="KW5" i="11"/>
  <c r="KW6" i="11" l="1"/>
  <c r="KX5" i="11"/>
  <c r="KX6" i="11" l="1"/>
  <c r="KY5" i="11"/>
  <c r="KY6" i="11" l="1"/>
  <c r="KZ5" i="11"/>
  <c r="KZ6" i="11" l="1"/>
  <c r="LA5" i="11"/>
  <c r="LA6" i="11" l="1"/>
  <c r="LB5" i="11"/>
  <c r="LA4" i="11"/>
  <c r="LC5" i="11" l="1"/>
  <c r="LB6" i="11"/>
  <c r="LC6" i="11" l="1"/>
  <c r="LD5" i="11"/>
  <c r="LD6" i="11" l="1"/>
  <c r="LE5" i="11"/>
  <c r="LF5" i="11" l="1"/>
  <c r="LE6" i="11"/>
  <c r="LF6" i="11" l="1"/>
  <c r="LG5" i="11"/>
  <c r="LG6" i="11" l="1"/>
  <c r="LH5" i="11"/>
  <c r="LH6" i="11" l="1"/>
  <c r="LI5" i="11"/>
  <c r="LH4" i="11"/>
  <c r="LI6" i="11" l="1"/>
  <c r="LJ5" i="11"/>
  <c r="LJ6" i="11" l="1"/>
  <c r="LK5" i="11"/>
  <c r="LK6" i="11" l="1"/>
  <c r="LL5" i="11"/>
  <c r="LL6" i="11" l="1"/>
  <c r="LM5" i="11"/>
  <c r="LM6" i="11" l="1"/>
  <c r="LN5" i="11"/>
  <c r="LN6" i="11" l="1"/>
  <c r="LO5" i="11"/>
  <c r="LP5" i="11" l="1"/>
  <c r="LO4" i="11"/>
  <c r="LO6" i="11"/>
  <c r="LQ5" i="11" l="1"/>
  <c r="LP6" i="11"/>
  <c r="LR5" i="11" l="1"/>
  <c r="LQ6" i="11"/>
  <c r="LS5" i="11" l="1"/>
  <c r="LR6" i="11"/>
  <c r="LT5" i="11" l="1"/>
  <c r="LS6" i="11"/>
  <c r="LT6" i="11" l="1"/>
  <c r="LU5" i="11"/>
  <c r="LU6" i="11" l="1"/>
  <c r="LV5" i="11"/>
  <c r="LV6" i="11" l="1"/>
  <c r="LW5" i="11"/>
  <c r="LV4" i="11"/>
  <c r="LW6" i="11" l="1"/>
  <c r="LX5" i="11"/>
  <c r="LX6" i="11" l="1"/>
  <c r="LY5" i="11"/>
  <c r="LY6" i="11" l="1"/>
  <c r="LZ5" i="11"/>
  <c r="LZ6" i="11" l="1"/>
  <c r="MA5" i="11"/>
  <c r="MA6" i="11" l="1"/>
  <c r="MB5" i="11"/>
  <c r="MB6" i="11" l="1"/>
  <c r="MC5" i="11"/>
  <c r="MC6" i="11" l="1"/>
  <c r="MD5" i="11"/>
  <c r="MC4" i="11"/>
  <c r="MD6" i="11" l="1"/>
  <c r="ME5" i="11"/>
  <c r="ME6" i="11" l="1"/>
  <c r="MF5" i="11"/>
  <c r="MF6" i="11" l="1"/>
  <c r="MG5" i="11"/>
  <c r="MG6" i="11" l="1"/>
  <c r="MH5" i="11"/>
  <c r="MH6" i="11" l="1"/>
  <c r="MI5" i="11"/>
  <c r="MI6" i="11" l="1"/>
  <c r="MJ5" i="11"/>
  <c r="MJ6" i="11" l="1"/>
  <c r="MK5" i="11"/>
  <c r="MJ4" i="11"/>
  <c r="MK6" i="11" l="1"/>
  <c r="ML5" i="11"/>
  <c r="ML6" i="11" l="1"/>
  <c r="MM5" i="11"/>
  <c r="MM6" i="11" l="1"/>
  <c r="MN5" i="11"/>
  <c r="MN6" i="11" l="1"/>
  <c r="MO5" i="11"/>
  <c r="MP5" i="11" l="1"/>
  <c r="MO6" i="11"/>
  <c r="MP6" i="11" l="1"/>
  <c r="MQ5" i="11"/>
  <c r="MQ6" i="11" l="1"/>
  <c r="MR5" i="11"/>
  <c r="MQ4" i="11"/>
  <c r="MR6" i="11" l="1"/>
  <c r="MS5" i="11"/>
  <c r="MS6" i="11" l="1"/>
  <c r="MT5" i="11"/>
  <c r="MT6" i="11" l="1"/>
  <c r="MU5" i="11"/>
  <c r="MU6" i="11" l="1"/>
  <c r="MV5" i="11"/>
  <c r="MV6" i="11" l="1"/>
  <c r="MW5" i="11"/>
  <c r="MW6" i="11" l="1"/>
</calcChain>
</file>

<file path=xl/sharedStrings.xml><?xml version="1.0" encoding="utf-8"?>
<sst xmlns="http://schemas.openxmlformats.org/spreadsheetml/2006/main" count="375" uniqueCount="301">
  <si>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</si>
  <si>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</si>
  <si>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</si>
  <si>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</si>
  <si>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</si>
  <si>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</si>
  <si>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Esta es una fila vacía.</t>
  </si>
  <si>
    <t>Esta fila indica el final de la programación del proyecto. NO escriba nada en esta fila. 
Inserte nuevas filas encima de ésta para continuar creando la programación del proyecto.</t>
  </si>
  <si>
    <t>Tarea 5</t>
  </si>
  <si>
    <t>Inserte nuevas filas ENCIMA de ésta</t>
  </si>
  <si>
    <t>Inicio del proyecto:</t>
  </si>
  <si>
    <t>Semana para mostrar:</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</si>
  <si>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</si>
  <si>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</si>
  <si>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</si>
  <si>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</si>
  <si>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</si>
  <si>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</si>
  <si>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</si>
  <si>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</si>
  <si>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</si>
  <si>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</si>
  <si>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</si>
  <si>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</si>
  <si>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</si>
  <si>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</si>
  <si>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</si>
  <si>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</si>
  <si>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</si>
  <si>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</si>
  <si>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</si>
  <si>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Proyecto IAVE</t>
  </si>
  <si>
    <t xml:space="preserve">ATM </t>
  </si>
  <si>
    <t>Operaciones</t>
  </si>
  <si>
    <t>Inducción</t>
  </si>
  <si>
    <t>Presentación de las áreas y alcances</t>
  </si>
  <si>
    <t>HERRAMIENTAS / AREAS DE APOYO</t>
  </si>
  <si>
    <t>Hoja de inducción firmada</t>
  </si>
  <si>
    <t>Desarrollo de la plataforma</t>
  </si>
  <si>
    <t>Recolección y Análisis de Datos</t>
  </si>
  <si>
    <t>Detección y Evaluación de Inconsistencias</t>
  </si>
  <si>
    <t>Análisis de Tendencias y Patrones</t>
  </si>
  <si>
    <t>Validación y Ajustes Finales</t>
  </si>
  <si>
    <t>PC lista para iniciar actividades</t>
  </si>
  <si>
    <t>Introducción y dominio del flujo de información entre portales / sistemas</t>
  </si>
  <si>
    <t>Detección y correción de errores en el sistema</t>
  </si>
  <si>
    <t>PANDAS</t>
  </si>
  <si>
    <t>CONTRATACIÓN</t>
  </si>
  <si>
    <t>SISTEMAS</t>
  </si>
  <si>
    <t>MATPLOTLIB</t>
  </si>
  <si>
    <t>Definición de la solución tecnológica</t>
  </si>
  <si>
    <t>COORDINACIÓN DE
OPERACIONES</t>
  </si>
  <si>
    <t>COORDINACIÓN / GERENCIA</t>
  </si>
  <si>
    <t>DETALLE</t>
  </si>
  <si>
    <t>ENTREGABLE</t>
  </si>
  <si>
    <t>OPERACIONES / SISTEMAS</t>
  </si>
  <si>
    <t>Mediante el uso de las diferentes tablas disponibles en TUSA y portales web (PASE, SCT, INEGI)</t>
  </si>
  <si>
    <t>Unificación, estandarización, equivalencias entre nombres de:
-Casetas.
-Costos de peaje.</t>
  </si>
  <si>
    <t>Conocer la interacción necesaria para el desarrollo del proyecto IAVE</t>
  </si>
  <si>
    <t>Se configura la librería de PANDAS y se comienzan a definir los dataframes necesarios para el analisis de la información</t>
  </si>
  <si>
    <t>Reporte de conciliación v1</t>
  </si>
  <si>
    <t>Con base en el analisis realizado sobre los dataframes se generan los primeros gráficos y durante el periodo considerado de esta tarea se recibe y realizan las retroalimentaciones pertinentes a la entrega de gráficos / metricas.</t>
  </si>
  <si>
    <t>COORDINACIÓN DE
OPERACIONES - PROYECTO IAVE</t>
  </si>
  <si>
    <t>Se designan los periodos en que serán entregados los reportes del área</t>
  </si>
  <si>
    <t>Calendario de reportes</t>
  </si>
  <si>
    <r>
      <t>Se presenta el avance del proyecto para definir la forma en que será automatizado con el proveedor.</t>
    </r>
    <r>
      <rPr>
        <b/>
        <i/>
        <sz val="11"/>
        <color rgb="FF0070C0"/>
        <rFont val="Calibri"/>
        <family val="2"/>
        <scheme val="minor"/>
      </rPr>
      <t xml:space="preserve"> USO DEL CICLO PDCA</t>
    </r>
  </si>
  <si>
    <t>Inducción al sistema TUSA, APP móvil y el alcance con los operadores.</t>
  </si>
  <si>
    <t>Uso de sistema TUSA, APIs y  BDs necesarias para el desarrollo del proyecto</t>
  </si>
  <si>
    <t>Definición de la entrega de reportes periodicos</t>
  </si>
  <si>
    <t>Asignación de equipo / instalación de programas (vs code, python, Sublime Text, Sistema TUSA, )</t>
  </si>
  <si>
    <t>Uso de Python como lenguaje y motor de desarrollo para pruebas de analisis y automatización</t>
  </si>
  <si>
    <t>Dashboard en Matplotlib v1</t>
  </si>
  <si>
    <t>Desarrollo de sistema automatizado</t>
  </si>
  <si>
    <t>PROCESO (FASE  →  ACTIVIDAD)</t>
  </si>
  <si>
    <t>DEFINIR EN CONJUNTO CON COORDINACIÓN DE OPERACIONES</t>
  </si>
  <si>
    <t>DDS MEDIA</t>
  </si>
  <si>
    <t>Depuración de las casetas en sistema</t>
  </si>
  <si>
    <t>Implementación del sistema (Actualidad)</t>
  </si>
  <si>
    <t>SCT, INEGI, PASE</t>
  </si>
  <si>
    <t>Se validan las casetas en sistema para actualizar costos, agregar casetas faltantes, eliminar duplicados o casetas inexistentes.</t>
  </si>
  <si>
    <t>COMENTARIOS</t>
  </si>
  <si>
    <t>Se autorizo el desarrollo interno del sistema.</t>
  </si>
  <si>
    <t>Aseguramiento del 98% en la confiabilidad de las casetas en sistema  TUSA</t>
  </si>
  <si>
    <t>l</t>
  </si>
  <si>
    <t>m</t>
  </si>
  <si>
    <t>j</t>
  </si>
  <si>
    <t>v</t>
  </si>
  <si>
    <t>Frontend</t>
  </si>
  <si>
    <t>Carga de archivo CSV de PASE al servidor a través de la API</t>
  </si>
  <si>
    <t>Desarrollo de la funcionalidad pertinente para que se inserten registros de manera masiva con base en un archivo CSV.</t>
  </si>
  <si>
    <t>NODE.js/ Express</t>
  </si>
  <si>
    <t>Funcionalidad lista en el proyecto WEB</t>
  </si>
  <si>
    <t>Generación automática de ID_Cruce único</t>
  </si>
  <si>
    <t>Se define la estructura de un ID para que sea única y se pueda generar de manera dinamica.</t>
  </si>
  <si>
    <t>Clasificación automática de cruces (Aclaración, Abuso, Error)</t>
  </si>
  <si>
    <t>Campo automatizado para identificar los cruces.</t>
  </si>
  <si>
    <t>Componente CrucesTable.js con filtros, ordenamiento y exportación</t>
  </si>
  <si>
    <t>Vista principal para revisión</t>
  </si>
  <si>
    <t>Desarrollo del componente de la página principal del proyecto IAVE-WEB</t>
  </si>
  <si>
    <t>Coloreado visual por tipo de cruce (rojo, amarillo, azul o verde)</t>
  </si>
  <si>
    <t xml:space="preserve">React.js </t>
  </si>
  <si>
    <t>Filtros por fecha, semana y operador</t>
  </si>
  <si>
    <t>Con base al estatus que se determine a cada cruce se cambia el color de la fila para poder diferenciar de manera más directa los dictamenes.</t>
  </si>
  <si>
    <t>Actualización del componente de CrucesTable.js para incluir el colorado de filas.</t>
  </si>
  <si>
    <t>Para facilitar búsqueda</t>
  </si>
  <si>
    <t>Mejora visual en los cruces.</t>
  </si>
  <si>
    <t>useStates(), useEffects() → React.js</t>
  </si>
  <si>
    <t>Registro de comentarios/justificaciones por operador</t>
  </si>
  <si>
    <t>Abusos</t>
  </si>
  <si>
    <t>React.js</t>
  </si>
  <si>
    <t>Actualizar los registros de los operadores para que en caso de que se agreguen comentarios se guarden también en la base de datos.</t>
  </si>
  <si>
    <t>Añadir campos que sirvan cómo filtros dentro del componente de cruces para segmentar la información.</t>
  </si>
  <si>
    <t>Campos filtros funcionales</t>
  </si>
  <si>
    <t>Implementación de expediente histórico de abusos</t>
  </si>
  <si>
    <t>Relación con actas y descuentos</t>
  </si>
  <si>
    <t>Reporte historico de las abusos documentados.</t>
  </si>
  <si>
    <r>
      <t xml:space="preserve">Justificación dentro del sistema
</t>
    </r>
    <r>
      <rPr>
        <b/>
        <sz val="11"/>
        <color theme="1"/>
        <rFont val="Calibri"/>
        <family val="2"/>
        <scheme val="minor"/>
      </rPr>
      <t>(En proceso)</t>
    </r>
  </si>
  <si>
    <t>Control de TAGs</t>
  </si>
  <si>
    <t>Alerta por operadores con permiso o descanso</t>
  </si>
  <si>
    <t>Desarrollo del modulo pertinente para permitir el control de TAGs directo desde el portal IAVE-WEB</t>
  </si>
  <si>
    <t>Desarrollar un modulo para que mediante la tabla del estado del personal alerte sobre los proximos descansos, vacaciones o permisos para inactivar TAGs</t>
  </si>
  <si>
    <r>
      <t xml:space="preserve">Visualización del TAG afectado + iframe a </t>
    </r>
    <r>
      <rPr>
        <b/>
        <i/>
        <u/>
        <sz val="11"/>
        <color theme="1"/>
        <rFont val="Calibri"/>
        <family val="2"/>
        <scheme val="minor"/>
      </rPr>
      <t>https://apps.pase.com.mx/uc/</t>
    </r>
  </si>
  <si>
    <t>Configurar una sección de alertas para notificar sobre matriculas proximas a estar de regreso en traslados</t>
  </si>
  <si>
    <t>API para la devolución de abusos (getAbusos)</t>
  </si>
  <si>
    <t>Desarrollo de una función que permita la clasificación automática de los cruces.</t>
  </si>
  <si>
    <r>
      <t xml:space="preserve">Con el uso de vínculos con OTs, rutas, la lista de asistencia estados
</t>
    </r>
    <r>
      <rPr>
        <b/>
        <sz val="11"/>
        <color theme="1"/>
        <rFont val="Calibri"/>
        <family val="2"/>
        <scheme val="minor"/>
      </rPr>
      <t>(En proceso)</t>
    </r>
  </si>
  <si>
    <t>Notificaciones automatizadas</t>
  </si>
  <si>
    <t>Reporte de abusos</t>
  </si>
  <si>
    <t>Reporte de aclaraciones</t>
  </si>
  <si>
    <t>Desarrollo de la ruta, controlador(API) para obtener los cruces identificados cómo "Abusos", mediante peticiones</t>
  </si>
  <si>
    <t>API funcional</t>
  </si>
  <si>
    <t>Desarrollo de un modulo que permita controlar y actualizar los abusos.</t>
  </si>
  <si>
    <t>Modulo funcional</t>
  </si>
  <si>
    <t>Aclaraciones</t>
  </si>
  <si>
    <t>Control de aclaraciones</t>
  </si>
  <si>
    <t xml:space="preserve">Se gestionan las aclaraciones para tener un control puntual de las aclaraciones que están pendientes de cargar en sistema, las dictaminadas y las que están en proceso </t>
  </si>
  <si>
    <t>Permitirá consultar el detalle de las aclaraciones mediante un pop-up</t>
  </si>
  <si>
    <t>Implementación de ventana para abrir PASE</t>
  </si>
  <si>
    <t>Se tenía contemplado un iFrame, pero PASE no permite el crossorigin, por lo que será una ventana independiente con acceso directo al portal del proveedor</t>
  </si>
  <si>
    <t>Componente de control PASE para agilizar la interacción con el portal del proveedor</t>
  </si>
  <si>
    <t>Se cambió la intención de este proceso por las limitantes del proveedor</t>
  </si>
  <si>
    <t>Recordatorio para reactivar TAG al finalizar permisos</t>
  </si>
  <si>
    <t>Casetas</t>
  </si>
  <si>
    <t>Visualización de tarifas desactualizadas</t>
  </si>
  <si>
    <t>Se genera un reporte en pantalla que permita visualizar el costo de las tarifas vigentes de acuerdo al INEGI y comparar en el momento contra la base de datos de TUSA</t>
  </si>
  <si>
    <t>Permitirá actualizar el costo de las casetas de acuerdo al tamaño de la unidad y las casetas seleccionadas.</t>
  </si>
  <si>
    <t xml:space="preserve">Se realizo una solcitud formal mediante el portal del INAI de una BD con las casetas costos y tramos de la republica mexicana
</t>
  </si>
  <si>
    <t>ETAPA</t>
  </si>
  <si>
    <t>ENTREGABLES REQUERIDOS</t>
  </si>
  <si>
    <t>DESCRIPCIÓN</t>
  </si>
  <si>
    <t>ETAPA 1: ANÁLISIS Y DISEÑO</t>
  </si>
  <si>
    <t>• Documento de Arquitectura Técnica</t>
  </si>
  <si>
    <t>• Especificación de Requerimientos</t>
  </si>
  <si>
    <t>• Modelo de Datos documentado</t>
  </si>
  <si>
    <t>• Documento de Arquitectura Técnica = Revisión de elementos de software utilizado, versiones, diagrama de arquitectura utilizado. </t>
  </si>
  <si>
    <t>• Especificación de Requerimientos = Listado de requerimientos desarrollado (la presentación de PREZI actualizada con los últimos cambios)</t>
  </si>
  <si>
    <t>• Modelo de Datos documentado = diagrama entidad relación , lógica del negocio</t>
  </si>
  <si>
    <t>ETAPA 2: DESARROLLO Y CÓDIGO</t>
  </si>
  <si>
    <t>• Código Fuente documentado</t>
  </si>
  <si>
    <t>• Documentación técnica</t>
  </si>
  <si>
    <t>• Evidencias de seguridad</t>
  </si>
  <si>
    <t>• Código Fuente documentado = comentarios en el desarrollo para guía a programadores</t>
  </si>
  <si>
    <t>• Documentación técnica </t>
  </si>
  <si>
    <t>• Evidencias de seguridad = Explicación de métodos de seguridad utilizados</t>
  </si>
  <si>
    <t>ETAPA 3: TESTING Y CALIDAD</t>
  </si>
  <si>
    <t>• Plan de Pruebas ejecutado</t>
  </si>
  <si>
    <t>• Reporte de Cobertura</t>
  </si>
  <si>
    <t>• Certificado de Seguridad (SAST/DAST)</t>
  </si>
  <si>
    <t>• Métricas de performance</t>
  </si>
  <si>
    <t>• Plan de Pruebas ejecutado = Reporte de pruebas realizadas al desarrollo</t>
  </si>
  <si>
    <t>• Reporte de validación = Todos los formularios validados, resultados de pruebas de validación de cada formulario </t>
  </si>
  <si>
    <t>• Métricas de performance = Número máximo de registros que procesa el desarrollo antes de reportar error</t>
  </si>
  <si>
    <t>ETAPA 4: DEPLOYMENT</t>
  </si>
  <si>
    <t>• Procedimientos de Deployment</t>
  </si>
  <si>
    <t>• Plan de Disaster Recovery</t>
  </si>
  <si>
    <t>• Procedimientos de Deployment = lista de tablas afectadas por el desarrollo cambios en BD y tablas nuevas creadas para este desarrollo. Plan de despliegue de version, datos utilizados y ETL de datos.</t>
  </si>
  <si>
    <t>• Plan de Disaster Recovery = Proceso de reversión de versión en caso de contingencia.</t>
  </si>
  <si>
    <t>ETAPA 5: OPERACIÓN Y SOPORTE</t>
  </si>
  <si>
    <t>• Manual de Operaciones</t>
  </si>
  <si>
    <t>• Documentación de APIs</t>
  </si>
  <si>
    <t>• Manual de Operaciones = Manual de usuario</t>
  </si>
  <si>
    <t>• Documentación de APIs = documentacion de conexiones exixtentes</t>
  </si>
  <si>
    <t>Soporte Sistemas</t>
  </si>
  <si>
    <t>Documento de Arquitectura Técnica</t>
  </si>
  <si>
    <t>Especificación de Requerimientos</t>
  </si>
  <si>
    <t>Modelo de Datos documentado</t>
  </si>
  <si>
    <t>Documentación técnica</t>
  </si>
  <si>
    <t>Codigo fuente documentado</t>
  </si>
  <si>
    <t>Evidencias de seguridad</t>
  </si>
  <si>
    <t xml:space="preserve">Documento de Arquitectura Técnica </t>
  </si>
  <si>
    <t>Revisión de elementos de software utilizado, versiones, diagrama de arquitectura utilizado.</t>
  </si>
  <si>
    <t>Listado de requerimientos desarrollado (la presentación de PREZI actualizada con los últimos cambios)</t>
  </si>
  <si>
    <t>Diagrama entidad relación , lógica del negocio</t>
  </si>
  <si>
    <t>Código Fuente documentado</t>
  </si>
  <si>
    <t>Comentarios en el desarrollo para guía a programadores</t>
  </si>
  <si>
    <t>Explicación de métodos de seguridad utilizados</t>
  </si>
  <si>
    <t>Plan de Pruebas ejecutado</t>
  </si>
  <si>
    <t>Reporte de pruebas realizadas al desarrollo</t>
  </si>
  <si>
    <t>Reporte de validación</t>
  </si>
  <si>
    <t>Todos los formularios validados, resultados de pruebas de validación de cada formulario</t>
  </si>
  <si>
    <t>Métricas de performance</t>
  </si>
  <si>
    <t>Número máximo de registros que procesa el desarrollo antes de reportar error</t>
  </si>
  <si>
    <t>Procedimientos de Deployment</t>
  </si>
  <si>
    <t>Lista de tablas afectadas por el desarrollo cambios en BD y tablas nuevas creadas para este desarrollo. Plan de despliegue de version, datos utilizados y ETL de datos.</t>
  </si>
  <si>
    <t>Plan de Disaster Recovery</t>
  </si>
  <si>
    <t>Proceso de reversión de versión en caso de contingencia.</t>
  </si>
  <si>
    <t>Manual de Operaciones</t>
  </si>
  <si>
    <t>Manual de usuario</t>
  </si>
  <si>
    <t>Documentación de APIs</t>
  </si>
  <si>
    <t>Documentacion de conexiones exixtentes</t>
  </si>
  <si>
    <t>Reporte de Cobertura</t>
  </si>
  <si>
    <t>Certificado de Seguridad (SAST/DAST)
Métricas de performance</t>
  </si>
  <si>
    <t>Backend</t>
  </si>
  <si>
    <t>Cruces</t>
  </si>
  <si>
    <t xml:space="preserve">Documentación Técnica </t>
  </si>
  <si>
    <t>Ya tenemos un pre que había sido enviado anteriormente</t>
  </si>
  <si>
    <t>Draw.io</t>
  </si>
  <si>
    <t>-</t>
  </si>
  <si>
    <t>Tenemos varios diagramas ya documentados</t>
  </si>
  <si>
    <t>VS Code</t>
  </si>
  <si>
    <t>Gran parte del código se documenta conforme se desarrolla (actualmente). Pero verificaré el código que escribí al inicio</t>
  </si>
  <si>
    <t>Se validará con Sistemas si es necesario, aparte de la demás documentación.</t>
  </si>
  <si>
    <t>Actualmente las consultas se hacen evitando una posible inyección de SQL. Proporcionado por Express.js</t>
  </si>
  <si>
    <t>Se va a verificar de donde obtener el certificado de seguridad citado</t>
  </si>
  <si>
    <t>Se tiene un manual del uso de la plataforma definido en la instrucción de Trabajo de IAVE.</t>
  </si>
  <si>
    <t>Basado en el plan RPO actual de TUSA</t>
  </si>
  <si>
    <t>Se tienen ya documentadas varias APIs actualmente</t>
  </si>
  <si>
    <t>Ya se tiene el frontEnd plasmado en el diagrama.</t>
  </si>
  <si>
    <t>Pendientes</t>
  </si>
  <si>
    <t>Se tiene pendiente definir el formato de las tablas de reporte</t>
  </si>
  <si>
    <t>Rutas</t>
  </si>
  <si>
    <t>Desarrollo de la ruta, controlador(API) para obtener los directorios con hasta 2 kms de distancia de un punto dado</t>
  </si>
  <si>
    <t>API para obtener el directorio más cercano a un punto</t>
  </si>
  <si>
    <t>API para obtener el listado de clientes que coinciden con la población buscada.</t>
  </si>
  <si>
    <t>Desarrollo de la ruta, controlador(API) para obtener las razones sociales que cuya población coincide con la población buscada.</t>
  </si>
  <si>
    <t>15/17</t>
  </si>
  <si>
    <t>Depuración de las rutas que no cuentan con las coordenadas completas</t>
  </si>
  <si>
    <t>Envío de correo para que el área de tráfico nos apoye con la generación correcta de los directorios en el sistema</t>
  </si>
  <si>
    <t>Email enviado</t>
  </si>
  <si>
    <t>Gestión de versiones</t>
  </si>
  <si>
    <t>Refactorización de componentes, eliminación de funciones inutilizadas y depuración de variables no usadas</t>
  </si>
  <si>
    <t>VSCode</t>
  </si>
  <si>
    <t>Mejora en ModalSelector: Selección de ruta y activar llamada a onSelect en caso de cambio</t>
  </si>
  <si>
    <t>Se corrije el Modal selector para aplicar correctamente la selección de la ruta que se está buscando.</t>
  </si>
  <si>
    <t>Corrección en la UX para seleccionar mejor las rutas, conforme a la población buscada, para ofrecer alternativas cuando no se encuentran rutas con los directorios consultados</t>
  </si>
  <si>
    <t>Generación de una ventana modal para cuando no existen rutas con las poblaciones consultadas.</t>
  </si>
  <si>
    <t>Ventana modal para la selección de ruta</t>
  </si>
  <si>
    <t>Dashboard principal</t>
  </si>
  <si>
    <t>Desarrollo de un panel dinamico con la información más relevante de manera resumida</t>
  </si>
  <si>
    <t>Panel dinamico</t>
  </si>
  <si>
    <t>Ventana de consulta de la información.</t>
  </si>
  <si>
    <t>ETAPA ALTERNA: Levantamiento del contenedor de la aplicación.</t>
  </si>
  <si>
    <t>Sistemas se encarga del levantamiento del contenedor (VM) para despliegue de la aplicación</t>
  </si>
  <si>
    <t>Departamento de Sistemas</t>
  </si>
  <si>
    <t>Ambiente ideal para el despliegue de la aplicación</t>
  </si>
  <si>
    <t>El cumplimiento de esta tarea es crucial para poder ver la aplicación en línea.</t>
  </si>
  <si>
    <t>Docker</t>
  </si>
  <si>
    <t>Desarrollo del Dockerfile con la imagen base, instalación de dependencias, configuración de variables de entorno y de las capas del desarrollo creado.</t>
  </si>
  <si>
    <t xml:space="preserve">Implementación de pipeline para build automático, push a registry, y deployment automatizado. </t>
  </si>
  <si>
    <t>Docker, GITHUB</t>
  </si>
  <si>
    <t>Despliegue de la aplicación</t>
  </si>
  <si>
    <t>Cambio del servidor y de BD que sirve a la API de la aplicación actual</t>
  </si>
  <si>
    <t>BD, sistemas</t>
  </si>
  <si>
    <t>Datos enlazados al ambiente de producción</t>
  </si>
  <si>
    <t>Sistemas ya otorgó los cambios necesarios.</t>
  </si>
  <si>
    <t>Requiere de pruebas de persistencia de datos, conexión exitosa y permisos comprobados de todas las tablas a las que se solicitaron accesos</t>
  </si>
  <si>
    <t>Desarrollo de Dashboard (Conciliación/Resumen) dinamico.</t>
  </si>
  <si>
    <t>API</t>
  </si>
  <si>
    <t>INTERFAZ</t>
  </si>
  <si>
    <t>Desarrollo de la lógica de negocios necesaria para surtir la interfaz</t>
  </si>
  <si>
    <t>NODE.js</t>
  </si>
  <si>
    <t>Se requieren las consultas con integraciones de filtros para servir la interfaz de manera efectiva.</t>
  </si>
  <si>
    <t>Integración de la plantilla con la que ya se cuenta, para que renderice correctamente la API que le administra los datos</t>
  </si>
  <si>
    <t>Peticiones AXIOS/FETCH correctamente estructuradas y actualización de estados eficiente.</t>
  </si>
  <si>
    <t>Reporte dinamico funcional</t>
  </si>
  <si>
    <t>Implementación de blob para exportación a Excel del reporte consultado en la interfaz</t>
  </si>
  <si>
    <t>BLOB, React.js</t>
  </si>
  <si>
    <t>URL.createObjectURL(blob);</t>
  </si>
  <si>
    <t>Exportación a excel funcional</t>
  </si>
  <si>
    <t>Duración estimada de 2 semanas</t>
  </si>
  <si>
    <t>Con documentación de lo realizado durante la implementación</t>
  </si>
  <si>
    <t>CAMBIO EN ROUTE-CREATOR.JSX</t>
  </si>
  <si>
    <t>Corrección en el modulo de RouteCreator para que se pueda realizar una consulta con base en razones sociales desde un inicio.</t>
  </si>
  <si>
    <t>Cambio implementado</t>
  </si>
  <si>
    <t>Por solicitud y como propuesta se plantea esta modificación al desarrollo ya realizado.</t>
  </si>
  <si>
    <t>ETAPA 1: CONEXIÓN A BD PRODUCTIVA</t>
  </si>
  <si>
    <t>ETAPA 2: SETUP DE DOCKER</t>
  </si>
  <si>
    <t>ETAPA 3: CONFIGURACIÓN DE CI/CD</t>
  </si>
  <si>
    <t>ETAPA 4: INTEGRACIÓN CON OAUTH2</t>
  </si>
  <si>
    <t>Creación de usuario y definición del registro para la tabla de OAUTH_Cliente (tabla que nos mostró Jon)</t>
  </si>
  <si>
    <t>Sistemas</t>
  </si>
  <si>
    <t>Duración estimada de 1 semana</t>
  </si>
  <si>
    <t>Duración estimada de 2 días</t>
  </si>
  <si>
    <t>Con definición de página previa a autenticación, integración de Login y página de recibimiento al portal IAVE-WEB. 
Definición de permisos, módulos a acceder</t>
  </si>
  <si>
    <t>Creación de Login Page y gestión de sesión</t>
  </si>
  <si>
    <t>REACT.JS, react-oauth2-code-pkce</t>
  </si>
  <si>
    <t>Implementación de la librería para gestión del token y validación de permisos</t>
  </si>
  <si>
    <t>Se contemplan 5 semanas y 2 días para la culminación del proyecto con visualización en línea, integrando seguridad y logín</t>
  </si>
  <si>
    <t>TESTING</t>
  </si>
  <si>
    <t>Ya no se realiza este ajuste por recomendación de gerencia</t>
  </si>
  <si>
    <t>Tarea de sistemas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</si>
</sst>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
    <numFmt numFmtId="170" formatCode="ddd\,\ yyyy\-mm\-dd;@"/>
    <numFmt numFmtId="171" formatCode="d\ &quot;de&quot;\ mmmm\ &quot;de&quot;\ yyyy"/>
    <numFmt numFmtId="172" formatCode="dd\ /\ mmm"/>
  </numFmts>
  <fonts count="4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9"/>
      <color theme="1"/>
      <name val="Calibri"/>
      <family val="2"/>
      <scheme val="minor"/>
    </font>
    <font>
      <b/>
      <i/>
      <sz val="11"/>
      <color rgb="FF0070C0"/>
      <name val="Calibri"/>
      <family val="2"/>
      <scheme val="minor"/>
    </font>
    <font>
      <b/>
      <sz val="12"/>
      <color theme="1"/>
      <name val="Calibri"/>
      <family val="2"/>
      <scheme val="minor"/>
    </font>
    <font>
      <b/>
      <i/>
      <u/>
      <sz val="11"/>
      <color theme="1"/>
      <name val="Calibri"/>
      <family val="2"/>
      <scheme val="minor"/>
    </font>
    <font>
      <b/>
      <i/>
      <sz val="11"/>
      <color rgb="FFC00000"/>
      <name val="Calibri"/>
      <family val="2"/>
      <scheme val="minor"/>
    </font>
    <font>
      <b/>
      <sz val="12"/>
      <color theme="1"/>
      <name val="Times New Roman"/>
      <family val="1"/>
    </font>
    <font>
      <sz val="12"/>
      <color theme="1"/>
      <name val="Times New Roman"/>
      <family val="1"/>
    </font>
    <font>
      <i/>
      <sz val="12"/>
      <color theme="1"/>
      <name val="Calibri"/>
      <family val="2"/>
      <scheme val="minor"/>
    </font>
    <font>
      <i/>
      <sz val="12"/>
      <name val="Calibri"/>
      <family val="2"/>
      <scheme val="minor"/>
    </font>
  </fonts>
  <fills count="4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39997558519241921"/>
        <bgColor indexed="64"/>
      </patternFill>
    </fill>
  </fills>
  <borders count="3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theme="0" tint="-0.14996795556505021"/>
      </top>
      <bottom/>
      <diagonal/>
    </border>
    <border>
      <left/>
      <right/>
      <top/>
      <bottom style="medium">
        <color theme="0" tint="-0.14996795556505021"/>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medium">
        <color indexed="64"/>
      </right>
      <top/>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8"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70" fontId="7" fillId="0" borderId="3">
      <alignment horizontal="center" vertical="center"/>
    </xf>
    <xf numFmtId="168"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1"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22" fillId="0" borderId="0" applyNumberFormat="0" applyFill="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11" applyNumberFormat="0" applyAlignment="0" applyProtection="0"/>
    <xf numFmtId="0" fontId="27" fillId="17" borderId="12" applyNumberFormat="0" applyAlignment="0" applyProtection="0"/>
    <xf numFmtId="0" fontId="28" fillId="17" borderId="11" applyNumberFormat="0" applyAlignment="0" applyProtection="0"/>
    <xf numFmtId="0" fontId="29" fillId="0" borderId="13" applyNumberFormat="0" applyFill="0" applyAlignment="0" applyProtection="0"/>
    <xf numFmtId="0" fontId="30" fillId="18" borderId="14" applyNumberFormat="0" applyAlignment="0" applyProtection="0"/>
    <xf numFmtId="0" fontId="31" fillId="0" borderId="0" applyNumberFormat="0" applyFill="0" applyBorder="0" applyAlignment="0" applyProtection="0"/>
    <xf numFmtId="0" fontId="7" fillId="19" borderId="15" applyNumberFormat="0" applyFont="0" applyAlignment="0" applyProtection="0"/>
    <xf numFmtId="0" fontId="32" fillId="0" borderId="0" applyNumberFormat="0" applyFill="0" applyBorder="0" applyAlignment="0" applyProtection="0"/>
    <xf numFmtId="0" fontId="5" fillId="0" borderId="16" applyNumberFormat="0" applyFill="0" applyAlignment="0" applyProtection="0"/>
    <xf numFmtId="0" fontId="18"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18"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18"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18"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18"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18"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cellStyleXfs>
  <cellXfs count="241">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8" xfId="0" applyFont="1" applyFill="1" applyBorder="1" applyAlignment="1">
      <alignment horizontal="center" vertical="center" shrinkToFit="1"/>
    </xf>
    <xf numFmtId="9" fontId="4" fillId="0" borderId="2" xfId="2" applyFont="1" applyBorder="1" applyAlignment="1">
      <alignment horizontal="center" vertical="center"/>
    </xf>
    <xf numFmtId="0" fontId="4" fillId="0" borderId="2" xfId="0" applyFont="1" applyBorder="1" applyAlignment="1">
      <alignment horizontal="center" vertical="center"/>
    </xf>
    <xf numFmtId="9" fontId="4" fillId="2" borderId="2" xfId="2" applyFont="1" applyFill="1" applyBorder="1" applyAlignment="1">
      <alignment horizontal="center" vertical="center"/>
    </xf>
    <xf numFmtId="9" fontId="4" fillId="3"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17" fillId="0" borderId="0" xfId="0" applyFont="1" applyAlignment="1">
      <alignment vertical="center"/>
    </xf>
    <xf numFmtId="0" fontId="16" fillId="0" borderId="0" xfId="0" applyFont="1" applyAlignment="1">
      <alignment horizontal="left" vertical="top" wrapText="1" indent="1"/>
    </xf>
    <xf numFmtId="0" fontId="2" fillId="0" borderId="0" xfId="0" applyFont="1" applyAlignment="1">
      <alignment horizontal="left" vertical="top"/>
    </xf>
    <xf numFmtId="0" fontId="14"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18" fillId="0" borderId="0" xfId="3"/>
    <xf numFmtId="0" fontId="18" fillId="0" borderId="0" xfId="3" applyAlignment="1">
      <alignment wrapText="1"/>
    </xf>
    <xf numFmtId="0" fontId="0" fillId="0" borderId="0" xfId="0" applyAlignment="1">
      <alignment wrapText="1"/>
    </xf>
    <xf numFmtId="0" fontId="7" fillId="2" borderId="2" xfId="11" applyFill="1">
      <alignment horizontal="center" vertical="center"/>
    </xf>
    <xf numFmtId="0" fontId="7" fillId="9" borderId="2" xfId="11" applyFill="1">
      <alignment horizontal="center" vertical="center"/>
    </xf>
    <xf numFmtId="0" fontId="7" fillId="0" borderId="2" xfId="11">
      <alignment horizontal="center" vertical="center"/>
    </xf>
    <xf numFmtId="0" fontId="7" fillId="3" borderId="2" xfId="12" applyFill="1">
      <alignment horizontal="left" vertical="center" indent="2"/>
    </xf>
    <xf numFmtId="0" fontId="7" fillId="9" borderId="2" xfId="12" applyFill="1">
      <alignment horizontal="left" vertical="center" indent="2"/>
    </xf>
    <xf numFmtId="0" fontId="7" fillId="0" borderId="2" xfId="12">
      <alignment horizontal="left" vertical="center" indent="2"/>
    </xf>
    <xf numFmtId="0" fontId="0" fillId="0" borderId="10" xfId="0" applyBorder="1"/>
    <xf numFmtId="0" fontId="19" fillId="0" borderId="0" xfId="0" applyFont="1"/>
    <xf numFmtId="0" fontId="20" fillId="0" borderId="0" xfId="1" applyFont="1" applyProtection="1">
      <alignment vertical="top"/>
    </xf>
    <xf numFmtId="0" fontId="4" fillId="0" borderId="0" xfId="0" applyFont="1" applyAlignment="1">
      <alignment vertical="top"/>
    </xf>
    <xf numFmtId="168" fontId="7" fillId="0" borderId="2" xfId="10">
      <alignment horizontal="center" vertical="center"/>
    </xf>
    <xf numFmtId="169" fontId="9" fillId="6" borderId="6" xfId="0" applyNumberFormat="1" applyFont="1" applyFill="1" applyBorder="1" applyAlignment="1">
      <alignment horizontal="center" vertical="center"/>
    </xf>
    <xf numFmtId="169" fontId="9" fillId="6" borderId="0" xfId="0" applyNumberFormat="1" applyFont="1" applyFill="1" applyAlignment="1">
      <alignment horizontal="center" vertical="center"/>
    </xf>
    <xf numFmtId="169" fontId="9" fillId="6" borderId="7" xfId="0" applyNumberFormat="1" applyFont="1" applyFill="1" applyBorder="1" applyAlignment="1">
      <alignment horizontal="center" vertical="center"/>
    </xf>
    <xf numFmtId="0" fontId="0" fillId="2" borderId="2" xfId="12" applyFont="1" applyFill="1">
      <alignment horizontal="left" vertical="center" indent="2"/>
    </xf>
    <xf numFmtId="0" fontId="0" fillId="3" borderId="2" xfId="12" applyFont="1" applyFill="1">
      <alignment horizontal="left" vertical="center" indent="2"/>
    </xf>
    <xf numFmtId="0" fontId="0" fillId="2" borderId="2" xfId="11" applyFont="1" applyFill="1">
      <alignment horizontal="center" vertical="center"/>
    </xf>
    <xf numFmtId="172" fontId="7" fillId="2" borderId="2" xfId="10" applyNumberFormat="1" applyFill="1">
      <alignment horizontal="center" vertical="center"/>
    </xf>
    <xf numFmtId="172" fontId="7" fillId="3" borderId="2" xfId="10" applyNumberFormat="1" applyFill="1">
      <alignment horizontal="center" vertical="center"/>
    </xf>
    <xf numFmtId="172" fontId="7" fillId="9" borderId="2" xfId="10" applyNumberFormat="1" applyFill="1">
      <alignment horizontal="center" vertical="center"/>
    </xf>
    <xf numFmtId="0" fontId="0" fillId="3" borderId="2" xfId="11" applyFont="1" applyFill="1">
      <alignment horizontal="center" vertical="center"/>
    </xf>
    <xf numFmtId="0" fontId="0" fillId="2" borderId="2" xfId="11" applyFont="1" applyFill="1" applyAlignment="1">
      <alignment horizontal="center" vertical="center" wrapText="1"/>
    </xf>
    <xf numFmtId="0" fontId="7" fillId="0" borderId="0" xfId="8" applyAlignment="1"/>
    <xf numFmtId="0" fontId="6" fillId="12" borderId="17" xfId="0" applyFont="1" applyFill="1" applyBorder="1" applyAlignment="1">
      <alignment horizontal="right" vertical="center" wrapText="1" indent="1"/>
    </xf>
    <xf numFmtId="0" fontId="6" fillId="12" borderId="18" xfId="0" applyFont="1" applyFill="1" applyBorder="1" applyAlignment="1">
      <alignment horizontal="left" vertical="center" wrapText="1" indent="1"/>
    </xf>
    <xf numFmtId="168" fontId="33" fillId="3" borderId="2" xfId="10" applyFont="1" applyFill="1" applyAlignment="1">
      <alignment horizontal="left" vertical="center" wrapText="1"/>
    </xf>
    <xf numFmtId="168" fontId="33" fillId="2" borderId="2" xfId="10" applyFont="1" applyFill="1" applyAlignment="1">
      <alignment horizontal="left" vertical="center" wrapText="1"/>
    </xf>
    <xf numFmtId="168" fontId="7" fillId="2" borderId="2" xfId="10" applyFill="1" applyAlignment="1">
      <alignment horizontal="left" vertical="center"/>
    </xf>
    <xf numFmtId="168" fontId="33" fillId="3" borderId="2" xfId="10" applyFont="1" applyFill="1" applyAlignment="1">
      <alignment horizontal="left" vertical="center"/>
    </xf>
    <xf numFmtId="168" fontId="7" fillId="9" borderId="2" xfId="10" applyFill="1" applyAlignment="1">
      <alignment horizontal="left" vertical="center"/>
    </xf>
    <xf numFmtId="0" fontId="7" fillId="9" borderId="2" xfId="11" applyFill="1" applyAlignment="1">
      <alignment horizontal="center" vertical="center" wrapText="1"/>
    </xf>
    <xf numFmtId="0" fontId="0" fillId="3" borderId="2" xfId="11" applyFont="1" applyFill="1" applyAlignment="1">
      <alignment horizontal="left" vertical="center" wrapText="1" indent="11"/>
    </xf>
    <xf numFmtId="0" fontId="0" fillId="2" borderId="2" xfId="11" applyFont="1" applyFill="1" applyAlignment="1">
      <alignment horizontal="left" vertical="center" wrapText="1"/>
    </xf>
    <xf numFmtId="0" fontId="0" fillId="3" borderId="2" xfId="11" applyFont="1" applyFill="1" applyAlignment="1">
      <alignment horizontal="left" vertical="center" wrapText="1"/>
    </xf>
    <xf numFmtId="0" fontId="0" fillId="2" borderId="2" xfId="12" applyFont="1" applyFill="1" applyAlignment="1">
      <alignment horizontal="left" vertical="top" wrapText="1" indent="2"/>
    </xf>
    <xf numFmtId="0" fontId="7" fillId="2" borderId="2" xfId="11" applyFill="1" applyAlignment="1">
      <alignment horizontal="center" vertical="center" wrapText="1"/>
    </xf>
    <xf numFmtId="0" fontId="7" fillId="9" borderId="20" xfId="11" applyFill="1" applyBorder="1">
      <alignment horizontal="center" vertical="center"/>
    </xf>
    <xf numFmtId="0" fontId="7" fillId="9" borderId="20" xfId="11" applyFill="1" applyBorder="1" applyAlignment="1">
      <alignment horizontal="center" vertical="center" wrapText="1"/>
    </xf>
    <xf numFmtId="9" fontId="4" fillId="9" borderId="20" xfId="2" applyFont="1" applyFill="1" applyBorder="1" applyAlignment="1">
      <alignment horizontal="center" vertical="center"/>
    </xf>
    <xf numFmtId="172" fontId="7" fillId="9" borderId="20" xfId="10" applyNumberFormat="1" applyFill="1" applyBorder="1">
      <alignment horizontal="center" vertical="center"/>
    </xf>
    <xf numFmtId="168" fontId="7" fillId="9" borderId="20" xfId="10" applyFill="1" applyBorder="1" applyAlignment="1">
      <alignment horizontal="left" vertical="center"/>
    </xf>
    <xf numFmtId="0" fontId="5" fillId="4" borderId="17" xfId="0" applyFont="1" applyFill="1" applyBorder="1" applyAlignment="1">
      <alignment horizontal="left" vertical="center" indent="1"/>
    </xf>
    <xf numFmtId="0" fontId="7" fillId="4" borderId="21" xfId="11" applyFill="1" applyBorder="1">
      <alignment horizontal="center" vertical="center"/>
    </xf>
    <xf numFmtId="0" fontId="7" fillId="4" borderId="21" xfId="11" applyFill="1" applyBorder="1" applyAlignment="1">
      <alignment horizontal="center" vertical="center" wrapText="1"/>
    </xf>
    <xf numFmtId="9" fontId="4" fillId="4" borderId="21" xfId="2" applyFont="1" applyFill="1" applyBorder="1" applyAlignment="1">
      <alignment horizontal="center" vertical="center"/>
    </xf>
    <xf numFmtId="172" fontId="0" fillId="4" borderId="21" xfId="0" applyNumberFormat="1" applyFill="1" applyBorder="1" applyAlignment="1">
      <alignment horizontal="center" vertical="center"/>
    </xf>
    <xf numFmtId="172" fontId="4" fillId="4" borderId="21" xfId="0" applyNumberFormat="1" applyFont="1" applyFill="1" applyBorder="1" applyAlignment="1">
      <alignment horizontal="center" vertical="center"/>
    </xf>
    <xf numFmtId="168" fontId="4" fillId="4" borderId="21" xfId="0" applyNumberFormat="1" applyFont="1" applyFill="1" applyBorder="1" applyAlignment="1">
      <alignment horizontal="left" vertical="center"/>
    </xf>
    <xf numFmtId="168" fontId="4" fillId="4" borderId="18" xfId="0" applyNumberFormat="1" applyFont="1" applyFill="1" applyBorder="1" applyAlignment="1">
      <alignment horizontal="left" vertical="center"/>
    </xf>
    <xf numFmtId="0" fontId="7" fillId="9" borderId="19" xfId="11" applyFill="1" applyBorder="1">
      <alignment horizontal="center" vertical="center"/>
    </xf>
    <xf numFmtId="0" fontId="7" fillId="9" borderId="19" xfId="11" applyFill="1" applyBorder="1" applyAlignment="1">
      <alignment horizontal="center" vertical="center" wrapText="1"/>
    </xf>
    <xf numFmtId="9" fontId="4" fillId="9" borderId="19" xfId="2" applyFont="1" applyFill="1" applyBorder="1" applyAlignment="1">
      <alignment horizontal="center" vertical="center"/>
    </xf>
    <xf numFmtId="172" fontId="7" fillId="9" borderId="19" xfId="10" applyNumberFormat="1" applyFill="1" applyBorder="1">
      <alignment horizontal="center" vertical="center"/>
    </xf>
    <xf numFmtId="168" fontId="7" fillId="9" borderId="19" xfId="10" applyFill="1" applyBorder="1" applyAlignment="1">
      <alignment horizontal="left" vertical="center"/>
    </xf>
    <xf numFmtId="0" fontId="7" fillId="2" borderId="20" xfId="11" applyFill="1" applyBorder="1">
      <alignment horizontal="center" vertical="center"/>
    </xf>
    <xf numFmtId="0" fontId="7" fillId="2" borderId="20" xfId="11" applyFill="1" applyBorder="1" applyAlignment="1">
      <alignment horizontal="center" vertical="center" wrapText="1"/>
    </xf>
    <xf numFmtId="9" fontId="4" fillId="2" borderId="20" xfId="2" applyFont="1" applyFill="1" applyBorder="1" applyAlignment="1">
      <alignment horizontal="center" vertical="center"/>
    </xf>
    <xf numFmtId="172" fontId="7" fillId="2" borderId="20" xfId="10" applyNumberFormat="1" applyFill="1" applyBorder="1">
      <alignment horizontal="center" vertical="center"/>
    </xf>
    <xf numFmtId="168" fontId="7" fillId="2" borderId="20" xfId="10" applyFill="1" applyBorder="1" applyAlignment="1">
      <alignment horizontal="left" vertical="center"/>
    </xf>
    <xf numFmtId="0" fontId="5" fillId="44" borderId="17" xfId="0" applyFont="1" applyFill="1" applyBorder="1" applyAlignment="1">
      <alignment horizontal="left" vertical="center" indent="1"/>
    </xf>
    <xf numFmtId="0" fontId="7" fillId="44" borderId="21" xfId="11" applyFill="1" applyBorder="1">
      <alignment horizontal="center" vertical="center"/>
    </xf>
    <xf numFmtId="0" fontId="7" fillId="44" borderId="21" xfId="11" applyFill="1" applyBorder="1" applyAlignment="1">
      <alignment horizontal="center" vertical="center" wrapText="1"/>
    </xf>
    <xf numFmtId="9" fontId="4" fillId="44" borderId="21" xfId="2" applyFont="1" applyFill="1" applyBorder="1" applyAlignment="1">
      <alignment horizontal="center" vertical="center"/>
    </xf>
    <xf numFmtId="172" fontId="0" fillId="44" borderId="21" xfId="0" applyNumberFormat="1" applyFill="1" applyBorder="1" applyAlignment="1">
      <alignment horizontal="center" vertical="center"/>
    </xf>
    <xf numFmtId="172" fontId="4" fillId="44" borderId="21" xfId="0" applyNumberFormat="1" applyFont="1" applyFill="1" applyBorder="1" applyAlignment="1">
      <alignment horizontal="center" vertical="center"/>
    </xf>
    <xf numFmtId="168" fontId="4" fillId="44" borderId="21" xfId="0" applyNumberFormat="1" applyFont="1" applyFill="1" applyBorder="1" applyAlignment="1">
      <alignment horizontal="left" vertical="center"/>
    </xf>
    <xf numFmtId="168" fontId="4" fillId="44" borderId="18" xfId="0" applyNumberFormat="1" applyFont="1" applyFill="1" applyBorder="1" applyAlignment="1">
      <alignment horizontal="left" vertical="center"/>
    </xf>
    <xf numFmtId="0" fontId="7" fillId="3" borderId="19" xfId="12" applyFill="1" applyBorder="1">
      <alignment horizontal="left" vertical="center" indent="2"/>
    </xf>
    <xf numFmtId="0" fontId="0" fillId="3" borderId="19" xfId="11" applyFont="1" applyFill="1" applyBorder="1" applyAlignment="1">
      <alignment horizontal="center" vertical="center" wrapText="1"/>
    </xf>
    <xf numFmtId="9" fontId="4" fillId="3" borderId="19" xfId="2" applyFont="1" applyFill="1" applyBorder="1" applyAlignment="1">
      <alignment horizontal="center" vertical="center"/>
    </xf>
    <xf numFmtId="172" fontId="7" fillId="3" borderId="19" xfId="10" applyNumberFormat="1" applyFill="1" applyBorder="1">
      <alignment horizontal="center" vertical="center"/>
    </xf>
    <xf numFmtId="168" fontId="33" fillId="3" borderId="19" xfId="10" applyFont="1" applyFill="1" applyBorder="1" applyAlignment="1">
      <alignment horizontal="left" vertical="center" wrapText="1"/>
    </xf>
    <xf numFmtId="0" fontId="7" fillId="10" borderId="20" xfId="12" applyFill="1" applyBorder="1">
      <alignment horizontal="left" vertical="center" indent="2"/>
    </xf>
    <xf numFmtId="0" fontId="7" fillId="10" borderId="20" xfId="11" applyFill="1" applyBorder="1">
      <alignment horizontal="center" vertical="center"/>
    </xf>
    <xf numFmtId="0" fontId="7" fillId="10" borderId="20" xfId="11" applyFill="1" applyBorder="1" applyAlignment="1">
      <alignment horizontal="center" vertical="center" wrapText="1"/>
    </xf>
    <xf numFmtId="9" fontId="4" fillId="10" borderId="20" xfId="2" applyFont="1" applyFill="1" applyBorder="1" applyAlignment="1">
      <alignment horizontal="center" vertical="center"/>
    </xf>
    <xf numFmtId="172" fontId="0" fillId="10" borderId="20" xfId="10" applyNumberFormat="1" applyFont="1" applyFill="1" applyBorder="1">
      <alignment horizontal="center" vertical="center"/>
    </xf>
    <xf numFmtId="172" fontId="7" fillId="10" borderId="20" xfId="10" applyNumberFormat="1" applyFill="1" applyBorder="1">
      <alignment horizontal="center" vertical="center"/>
    </xf>
    <xf numFmtId="168" fontId="33" fillId="10" borderId="20" xfId="10" applyFont="1" applyFill="1" applyBorder="1" applyAlignment="1">
      <alignment horizontal="left" vertical="center" wrapText="1"/>
    </xf>
    <xf numFmtId="0" fontId="5" fillId="5" borderId="17" xfId="0" applyFont="1" applyFill="1" applyBorder="1" applyAlignment="1">
      <alignment horizontal="left" vertical="center" indent="1"/>
    </xf>
    <xf numFmtId="0" fontId="7" fillId="5" borderId="21" xfId="11" applyFill="1" applyBorder="1">
      <alignment horizontal="center" vertical="center"/>
    </xf>
    <xf numFmtId="0" fontId="7" fillId="5" borderId="21" xfId="11" applyFill="1" applyBorder="1" applyAlignment="1">
      <alignment horizontal="center" vertical="center" wrapText="1"/>
    </xf>
    <xf numFmtId="9" fontId="4" fillId="5" borderId="21" xfId="2" applyFont="1" applyFill="1" applyBorder="1" applyAlignment="1">
      <alignment horizontal="center" vertical="center"/>
    </xf>
    <xf numFmtId="172" fontId="0" fillId="5" borderId="21" xfId="0" applyNumberFormat="1" applyFill="1" applyBorder="1" applyAlignment="1">
      <alignment horizontal="center" vertical="center"/>
    </xf>
    <xf numFmtId="172" fontId="4" fillId="5" borderId="21" xfId="0" applyNumberFormat="1" applyFont="1" applyFill="1" applyBorder="1" applyAlignment="1">
      <alignment horizontal="center" vertical="center"/>
    </xf>
    <xf numFmtId="168" fontId="4" fillId="5" borderId="21" xfId="0" applyNumberFormat="1" applyFont="1" applyFill="1" applyBorder="1" applyAlignment="1">
      <alignment horizontal="left" vertical="center"/>
    </xf>
    <xf numFmtId="168" fontId="4" fillId="5" borderId="18" xfId="0" applyNumberFormat="1" applyFont="1" applyFill="1" applyBorder="1" applyAlignment="1">
      <alignment horizontal="left" vertical="center"/>
    </xf>
    <xf numFmtId="0" fontId="7" fillId="2" borderId="19" xfId="12" applyFill="1" applyBorder="1">
      <alignment horizontal="left" vertical="center" indent="2"/>
    </xf>
    <xf numFmtId="0" fontId="7" fillId="2" borderId="19" xfId="11" applyFill="1" applyBorder="1">
      <alignment horizontal="center" vertical="center"/>
    </xf>
    <xf numFmtId="0" fontId="7" fillId="2" borderId="19" xfId="11" applyFill="1" applyBorder="1" applyAlignment="1">
      <alignment horizontal="left" vertical="center" wrapText="1"/>
    </xf>
    <xf numFmtId="9" fontId="4" fillId="2" borderId="19" xfId="2" applyFont="1" applyFill="1" applyBorder="1" applyAlignment="1">
      <alignment horizontal="center" vertical="center"/>
    </xf>
    <xf numFmtId="172" fontId="7" fillId="2" borderId="19" xfId="10" applyNumberFormat="1" applyFill="1" applyBorder="1">
      <alignment horizontal="center" vertical="center"/>
    </xf>
    <xf numFmtId="168" fontId="7" fillId="2" borderId="19" xfId="10" applyFill="1" applyBorder="1" applyAlignment="1">
      <alignment horizontal="left" vertical="center"/>
    </xf>
    <xf numFmtId="0" fontId="0" fillId="3" borderId="20" xfId="12" applyFont="1" applyFill="1" applyBorder="1">
      <alignment horizontal="left" vertical="center" indent="2"/>
    </xf>
    <xf numFmtId="0" fontId="0" fillId="3" borderId="20" xfId="11" applyFont="1" applyFill="1" applyBorder="1">
      <alignment horizontal="center" vertical="center"/>
    </xf>
    <xf numFmtId="0" fontId="0" fillId="3" borderId="20" xfId="11" applyFont="1" applyFill="1" applyBorder="1" applyAlignment="1">
      <alignment horizontal="left" vertical="center" wrapText="1"/>
    </xf>
    <xf numFmtId="9" fontId="4" fillId="3" borderId="20" xfId="2" applyFont="1" applyFill="1" applyBorder="1" applyAlignment="1">
      <alignment horizontal="center" vertical="center"/>
    </xf>
    <xf numFmtId="172" fontId="7" fillId="3" borderId="20" xfId="10" applyNumberFormat="1" applyFill="1" applyBorder="1">
      <alignment horizontal="center" vertical="center"/>
    </xf>
    <xf numFmtId="168" fontId="33" fillId="3" borderId="20" xfId="10" applyFont="1" applyFill="1" applyBorder="1" applyAlignment="1">
      <alignment horizontal="left" vertical="center" wrapText="1"/>
    </xf>
    <xf numFmtId="0" fontId="5" fillId="8" borderId="17" xfId="0" applyFont="1" applyFill="1" applyBorder="1" applyAlignment="1">
      <alignment horizontal="left" vertical="center" indent="1"/>
    </xf>
    <xf numFmtId="0" fontId="7" fillId="8" borderId="21" xfId="11" applyFill="1" applyBorder="1">
      <alignment horizontal="center" vertical="center"/>
    </xf>
    <xf numFmtId="0" fontId="7" fillId="8" borderId="21" xfId="11" applyFill="1" applyBorder="1" applyAlignment="1">
      <alignment horizontal="left" vertical="center" wrapText="1"/>
    </xf>
    <xf numFmtId="9" fontId="4" fillId="8" borderId="21" xfId="2" applyFont="1" applyFill="1" applyBorder="1" applyAlignment="1">
      <alignment horizontal="center" vertical="center"/>
    </xf>
    <xf numFmtId="172" fontId="0" fillId="8" borderId="21" xfId="0" applyNumberFormat="1" applyFill="1" applyBorder="1" applyAlignment="1">
      <alignment horizontal="center" vertical="center"/>
    </xf>
    <xf numFmtId="172" fontId="4" fillId="8" borderId="21" xfId="0" applyNumberFormat="1" applyFont="1" applyFill="1" applyBorder="1" applyAlignment="1">
      <alignment horizontal="center" vertical="center"/>
    </xf>
    <xf numFmtId="168" fontId="4" fillId="8" borderId="21" xfId="0" applyNumberFormat="1" applyFont="1" applyFill="1" applyBorder="1" applyAlignment="1">
      <alignment horizontal="left" vertical="center"/>
    </xf>
    <xf numFmtId="168" fontId="4" fillId="8" borderId="18" xfId="0" applyNumberFormat="1" applyFont="1" applyFill="1" applyBorder="1" applyAlignment="1">
      <alignment horizontal="left" vertical="center"/>
    </xf>
    <xf numFmtId="0" fontId="0" fillId="2" borderId="20" xfId="12" applyFont="1" applyFill="1" applyBorder="1">
      <alignment horizontal="left" vertical="center" indent="2"/>
    </xf>
    <xf numFmtId="0" fontId="0" fillId="2" borderId="20" xfId="11" applyFont="1" applyFill="1" applyBorder="1">
      <alignment horizontal="center" vertical="center"/>
    </xf>
    <xf numFmtId="0" fontId="0" fillId="2" borderId="20" xfId="11" applyFont="1" applyFill="1" applyBorder="1" applyAlignment="1">
      <alignment horizontal="left" vertical="center" wrapText="1"/>
    </xf>
    <xf numFmtId="168" fontId="33" fillId="2" borderId="20" xfId="10" applyFont="1" applyFill="1" applyBorder="1" applyAlignment="1">
      <alignment horizontal="left" vertical="center" wrapText="1"/>
    </xf>
    <xf numFmtId="0" fontId="5" fillId="7" borderId="17" xfId="0" applyFont="1" applyFill="1" applyBorder="1" applyAlignment="1">
      <alignment horizontal="left" vertical="center" indent="1"/>
    </xf>
    <xf numFmtId="0" fontId="7" fillId="7" borderId="21" xfId="11" applyFill="1" applyBorder="1">
      <alignment horizontal="center" vertical="center"/>
    </xf>
    <xf numFmtId="0" fontId="7" fillId="7" borderId="21" xfId="11" applyFill="1" applyBorder="1" applyAlignment="1">
      <alignment horizontal="center" vertical="center" wrapText="1"/>
    </xf>
    <xf numFmtId="9" fontId="4" fillId="7" borderId="21" xfId="2" applyFont="1" applyFill="1" applyBorder="1" applyAlignment="1">
      <alignment horizontal="center" vertical="center"/>
    </xf>
    <xf numFmtId="168" fontId="0" fillId="7" borderId="21" xfId="0" applyNumberFormat="1" applyFill="1" applyBorder="1" applyAlignment="1">
      <alignment horizontal="center" vertical="center"/>
    </xf>
    <xf numFmtId="168" fontId="4" fillId="7" borderId="21" xfId="0" applyNumberFormat="1" applyFont="1" applyFill="1" applyBorder="1" applyAlignment="1">
      <alignment horizontal="center" vertical="center"/>
    </xf>
    <xf numFmtId="168" fontId="4" fillId="7" borderId="21" xfId="0" applyNumberFormat="1" applyFont="1" applyFill="1" applyBorder="1" applyAlignment="1">
      <alignment horizontal="left" vertical="center"/>
    </xf>
    <xf numFmtId="168" fontId="4" fillId="7" borderId="18" xfId="0" applyNumberFormat="1" applyFont="1" applyFill="1" applyBorder="1" applyAlignment="1">
      <alignment horizontal="left" vertical="center"/>
    </xf>
    <xf numFmtId="0" fontId="7" fillId="2" borderId="2" xfId="12" applyFill="1" applyAlignment="1">
      <alignment horizontal="left" vertical="center" indent="4"/>
    </xf>
    <xf numFmtId="0" fontId="35" fillId="2" borderId="20" xfId="12" applyFont="1" applyFill="1" applyBorder="1">
      <alignment horizontal="left" vertical="center" indent="2"/>
    </xf>
    <xf numFmtId="168" fontId="7" fillId="2" borderId="2" xfId="10" applyFill="1" applyAlignment="1">
      <alignment horizontal="left" vertical="center" wrapText="1"/>
    </xf>
    <xf numFmtId="168" fontId="0" fillId="2" borderId="2" xfId="10" applyFont="1" applyFill="1" applyAlignment="1">
      <alignment horizontal="left" vertical="center" wrapText="1"/>
    </xf>
    <xf numFmtId="168" fontId="0" fillId="10" borderId="20" xfId="10" applyFont="1" applyFill="1" applyBorder="1" applyAlignment="1">
      <alignment horizontal="left" vertical="center" wrapText="1"/>
    </xf>
    <xf numFmtId="0" fontId="5" fillId="2" borderId="2" xfId="11" applyFont="1" applyFill="1" applyAlignment="1">
      <alignment horizontal="center" vertical="center" wrapText="1"/>
    </xf>
    <xf numFmtId="0" fontId="0" fillId="2" borderId="2" xfId="12" applyFont="1" applyFill="1" applyAlignment="1">
      <alignment horizontal="left" vertical="center" indent="4"/>
    </xf>
    <xf numFmtId="0" fontId="35" fillId="9" borderId="20" xfId="12" applyFont="1" applyFill="1" applyBorder="1">
      <alignment horizontal="left" vertical="center" indent="2"/>
    </xf>
    <xf numFmtId="0" fontId="7" fillId="9" borderId="20" xfId="12" applyFill="1" applyBorder="1" applyAlignment="1">
      <alignment horizontal="left" vertical="center" indent="4"/>
    </xf>
    <xf numFmtId="0" fontId="7" fillId="9" borderId="2" xfId="12" applyFill="1" applyAlignment="1">
      <alignment horizontal="left" vertical="center" indent="4"/>
    </xf>
    <xf numFmtId="168" fontId="0" fillId="9" borderId="2" xfId="10" applyFont="1" applyFill="1" applyAlignment="1">
      <alignment horizontal="left" vertical="center" wrapText="1"/>
    </xf>
    <xf numFmtId="168" fontId="37" fillId="2" borderId="2" xfId="10" applyFont="1" applyFill="1" applyAlignment="1">
      <alignment horizontal="left" vertical="center" wrapText="1"/>
    </xf>
    <xf numFmtId="0" fontId="39" fillId="0" borderId="23" xfId="0" applyFont="1" applyBorder="1" applyAlignment="1">
      <alignment vertical="center" wrapText="1"/>
    </xf>
    <xf numFmtId="0" fontId="39" fillId="0" borderId="26" xfId="0" applyFont="1" applyBorder="1" applyAlignment="1">
      <alignment vertical="center"/>
    </xf>
    <xf numFmtId="0" fontId="39" fillId="0" borderId="27" xfId="0" applyFont="1" applyBorder="1" applyAlignment="1">
      <alignment vertical="center"/>
    </xf>
    <xf numFmtId="0" fontId="39" fillId="0" borderId="22" xfId="0" applyFont="1" applyBorder="1" applyAlignment="1">
      <alignment vertical="center" wrapText="1"/>
    </xf>
    <xf numFmtId="0" fontId="39" fillId="0" borderId="24" xfId="0" applyFont="1" applyBorder="1" applyAlignment="1">
      <alignment vertical="center" wrapText="1"/>
    </xf>
    <xf numFmtId="0" fontId="0" fillId="0" borderId="24" xfId="0" applyBorder="1" applyAlignment="1">
      <alignment vertical="center" wrapText="1"/>
    </xf>
    <xf numFmtId="0" fontId="38" fillId="0" borderId="31" xfId="0" applyFont="1" applyBorder="1" applyAlignment="1">
      <alignment vertical="center"/>
    </xf>
    <xf numFmtId="0" fontId="38" fillId="0" borderId="32" xfId="0" applyFont="1" applyBorder="1" applyAlignment="1">
      <alignment vertical="center"/>
    </xf>
    <xf numFmtId="0" fontId="38" fillId="0" borderId="33" xfId="0" applyFont="1" applyBorder="1" applyAlignment="1">
      <alignment vertical="center" wrapText="1"/>
    </xf>
    <xf numFmtId="0" fontId="39" fillId="0" borderId="25" xfId="0" applyFont="1" applyBorder="1" applyAlignment="1">
      <alignment vertical="center"/>
    </xf>
    <xf numFmtId="0" fontId="0" fillId="45" borderId="0" xfId="0" applyFill="1"/>
    <xf numFmtId="0" fontId="38" fillId="0" borderId="34" xfId="0" applyFont="1" applyBorder="1" applyAlignment="1">
      <alignment vertical="center"/>
    </xf>
    <xf numFmtId="0" fontId="39" fillId="0" borderId="35" xfId="0" applyFont="1" applyBorder="1" applyAlignment="1">
      <alignment vertical="center"/>
    </xf>
    <xf numFmtId="0" fontId="39" fillId="0" borderId="36" xfId="0" applyFont="1" applyBorder="1" applyAlignment="1">
      <alignment vertical="center" wrapText="1"/>
    </xf>
    <xf numFmtId="0" fontId="0" fillId="0" borderId="36" xfId="0" applyBorder="1" applyAlignment="1">
      <alignment vertical="center" wrapText="1"/>
    </xf>
    <xf numFmtId="0" fontId="7" fillId="2" borderId="2" xfId="12" applyFill="1" applyAlignment="1">
      <alignment horizontal="left" vertical="center" wrapText="1" indent="4"/>
    </xf>
    <xf numFmtId="168" fontId="0" fillId="2" borderId="2" xfId="10" applyFont="1" applyFill="1" applyAlignment="1">
      <alignment horizontal="left" vertical="center"/>
    </xf>
    <xf numFmtId="0" fontId="0" fillId="2" borderId="2" xfId="12" applyFont="1" applyFill="1" applyAlignment="1">
      <alignment horizontal="left" vertical="center" wrapText="1" indent="4"/>
    </xf>
    <xf numFmtId="0" fontId="7" fillId="7" borderId="2" xfId="11" applyFill="1">
      <alignment horizontal="center" vertical="center"/>
    </xf>
    <xf numFmtId="0" fontId="7" fillId="7" borderId="2" xfId="11" applyFill="1" applyAlignment="1">
      <alignment horizontal="center" vertical="center" wrapText="1"/>
    </xf>
    <xf numFmtId="9" fontId="4" fillId="7" borderId="2" xfId="2" applyFont="1" applyFill="1" applyBorder="1" applyAlignment="1">
      <alignment horizontal="center" vertical="center"/>
    </xf>
    <xf numFmtId="172" fontId="7" fillId="7" borderId="2" xfId="10" applyNumberFormat="1" applyFill="1">
      <alignment horizontal="center" vertical="center"/>
    </xf>
    <xf numFmtId="168" fontId="7" fillId="7" borderId="2" xfId="10" applyFill="1" applyAlignment="1">
      <alignment horizontal="left" vertical="center"/>
    </xf>
    <xf numFmtId="0" fontId="35" fillId="7" borderId="20" xfId="12" applyFont="1" applyFill="1" applyBorder="1" applyAlignment="1">
      <alignment horizontal="left" vertical="center" wrapText="1" indent="2"/>
    </xf>
    <xf numFmtId="0" fontId="35" fillId="7" borderId="20" xfId="12" applyFont="1" applyFill="1" applyBorder="1">
      <alignment horizontal="left" vertical="center" indent="2"/>
    </xf>
    <xf numFmtId="0" fontId="7" fillId="7" borderId="20" xfId="11" applyFill="1" applyBorder="1">
      <alignment horizontal="center" vertical="center"/>
    </xf>
    <xf numFmtId="0" fontId="7" fillId="7" borderId="20" xfId="11" applyFill="1" applyBorder="1" applyAlignment="1">
      <alignment horizontal="center" vertical="center" wrapText="1"/>
    </xf>
    <xf numFmtId="9" fontId="4" fillId="7" borderId="20" xfId="2" applyFont="1" applyFill="1" applyBorder="1" applyAlignment="1">
      <alignment horizontal="center" vertical="center"/>
    </xf>
    <xf numFmtId="172" fontId="7" fillId="7" borderId="20" xfId="10" applyNumberFormat="1" applyFill="1" applyBorder="1">
      <alignment horizontal="center" vertical="center"/>
    </xf>
    <xf numFmtId="168" fontId="7" fillId="7" borderId="20" xfId="10" applyFill="1" applyBorder="1" applyAlignment="1">
      <alignment horizontal="left" vertical="center" wrapText="1"/>
    </xf>
    <xf numFmtId="168" fontId="7" fillId="7" borderId="20" xfId="10" applyFill="1" applyBorder="1" applyAlignment="1">
      <alignment horizontal="left" vertical="center"/>
    </xf>
    <xf numFmtId="0" fontId="40" fillId="2" borderId="2" xfId="11" applyFont="1" applyFill="1" applyAlignment="1">
      <alignment horizontal="center" vertical="center" wrapText="1"/>
    </xf>
    <xf numFmtId="0" fontId="0" fillId="9" borderId="2" xfId="12" applyFont="1" applyFill="1">
      <alignment horizontal="left" vertical="center" indent="2"/>
    </xf>
    <xf numFmtId="0" fontId="0" fillId="9" borderId="2" xfId="11" applyFont="1" applyFill="1" applyAlignment="1">
      <alignment horizontal="center" vertical="center" wrapText="1"/>
    </xf>
    <xf numFmtId="168" fontId="0" fillId="9" borderId="2" xfId="10" applyFont="1" applyFill="1" applyAlignment="1">
      <alignment horizontal="left" vertical="center"/>
    </xf>
    <xf numFmtId="172" fontId="0" fillId="9" borderId="2" xfId="10" applyNumberFormat="1" applyFont="1" applyFill="1">
      <alignment horizontal="center" vertical="center"/>
    </xf>
    <xf numFmtId="0" fontId="0" fillId="9" borderId="19" xfId="12" applyFont="1" applyFill="1" applyBorder="1">
      <alignment horizontal="left" vertical="center" indent="2"/>
    </xf>
    <xf numFmtId="0" fontId="0" fillId="9" borderId="2" xfId="11" applyFont="1" applyFill="1">
      <alignment horizontal="center" vertical="center"/>
    </xf>
    <xf numFmtId="0" fontId="0" fillId="9" borderId="2" xfId="12" applyFont="1" applyFill="1" applyAlignment="1">
      <alignment horizontal="left" vertical="center" wrapText="1" indent="2"/>
    </xf>
    <xf numFmtId="168" fontId="0" fillId="2" borderId="20" xfId="10" applyFont="1" applyFill="1" applyBorder="1" applyAlignment="1">
      <alignment horizontal="left" vertical="center"/>
    </xf>
    <xf numFmtId="0" fontId="5" fillId="47" borderId="17" xfId="0" applyFont="1" applyFill="1" applyBorder="1" applyAlignment="1">
      <alignment horizontal="left" vertical="center" indent="1"/>
    </xf>
    <xf numFmtId="0" fontId="7" fillId="47" borderId="21" xfId="11" applyFill="1" applyBorder="1">
      <alignment horizontal="center" vertical="center"/>
    </xf>
    <xf numFmtId="0" fontId="7" fillId="47" borderId="21" xfId="11" applyFill="1" applyBorder="1" applyAlignment="1">
      <alignment horizontal="center" vertical="center" wrapText="1"/>
    </xf>
    <xf numFmtId="9" fontId="4" fillId="47" borderId="21" xfId="2" applyFont="1" applyFill="1" applyBorder="1" applyAlignment="1">
      <alignment horizontal="center" vertical="center"/>
    </xf>
    <xf numFmtId="172" fontId="0" fillId="47" borderId="21" xfId="0" applyNumberFormat="1" applyFill="1" applyBorder="1" applyAlignment="1">
      <alignment horizontal="center" vertical="center"/>
    </xf>
    <xf numFmtId="172" fontId="4" fillId="47" borderId="21" xfId="0" applyNumberFormat="1" applyFont="1" applyFill="1" applyBorder="1" applyAlignment="1">
      <alignment horizontal="center" vertical="center"/>
    </xf>
    <xf numFmtId="168" fontId="4" fillId="47" borderId="21" xfId="0" applyNumberFormat="1" applyFont="1" applyFill="1" applyBorder="1" applyAlignment="1">
      <alignment horizontal="left" vertical="center"/>
    </xf>
    <xf numFmtId="168" fontId="4" fillId="47" borderId="18" xfId="0" applyNumberFormat="1" applyFont="1" applyFill="1" applyBorder="1" applyAlignment="1">
      <alignment horizontal="left" vertical="center"/>
    </xf>
    <xf numFmtId="9" fontId="4" fillId="46" borderId="20" xfId="2" applyFont="1" applyFill="1" applyBorder="1" applyAlignment="1">
      <alignment horizontal="center" vertical="center"/>
    </xf>
    <xf numFmtId="0" fontId="0" fillId="46" borderId="2" xfId="12" applyFont="1" applyFill="1" applyAlignment="1">
      <alignment horizontal="left" vertical="center" wrapText="1" indent="4"/>
    </xf>
    <xf numFmtId="0" fontId="0" fillId="46" borderId="2" xfId="11" applyFont="1" applyFill="1">
      <alignment horizontal="center" vertical="center"/>
    </xf>
    <xf numFmtId="0" fontId="0" fillId="46" borderId="2" xfId="11" applyFont="1" applyFill="1" applyAlignment="1">
      <alignment horizontal="center" vertical="center" wrapText="1"/>
    </xf>
    <xf numFmtId="9" fontId="4" fillId="46" borderId="2" xfId="2" applyFont="1" applyFill="1" applyBorder="1" applyAlignment="1">
      <alignment horizontal="center" vertical="center"/>
    </xf>
    <xf numFmtId="172" fontId="7" fillId="46" borderId="2" xfId="10" applyNumberFormat="1" applyFill="1">
      <alignment horizontal="center" vertical="center"/>
    </xf>
    <xf numFmtId="168" fontId="0" fillId="46" borderId="2" xfId="10" applyFont="1" applyFill="1" applyAlignment="1">
      <alignment horizontal="left" vertical="center" wrapText="1"/>
    </xf>
    <xf numFmtId="0" fontId="7" fillId="46" borderId="2" xfId="11" applyFill="1">
      <alignment horizontal="center" vertical="center"/>
    </xf>
    <xf numFmtId="168" fontId="7" fillId="46" borderId="2" xfId="10" applyFill="1" applyAlignment="1">
      <alignment horizontal="left" vertical="center"/>
    </xf>
    <xf numFmtId="0" fontId="35" fillId="48" borderId="20" xfId="12" applyFont="1" applyFill="1" applyBorder="1">
      <alignment horizontal="left" vertical="center" indent="2"/>
    </xf>
    <xf numFmtId="0" fontId="7" fillId="48" borderId="20" xfId="11" applyFill="1" applyBorder="1">
      <alignment horizontal="center" vertical="center"/>
    </xf>
    <xf numFmtId="0" fontId="7" fillId="48" borderId="20" xfId="11" applyFill="1" applyBorder="1" applyAlignment="1">
      <alignment horizontal="center" vertical="center" wrapText="1"/>
    </xf>
    <xf numFmtId="9" fontId="4" fillId="48" borderId="20" xfId="2" applyFont="1" applyFill="1" applyBorder="1" applyAlignment="1">
      <alignment horizontal="center" vertical="center"/>
    </xf>
    <xf numFmtId="172" fontId="7" fillId="48" borderId="20" xfId="10" applyNumberFormat="1" applyFill="1" applyBorder="1">
      <alignment horizontal="center" vertical="center"/>
    </xf>
    <xf numFmtId="168" fontId="7" fillId="48" borderId="20" xfId="10" applyFill="1" applyBorder="1" applyAlignment="1">
      <alignment horizontal="left" vertical="center" wrapText="1"/>
    </xf>
    <xf numFmtId="168" fontId="7" fillId="48" borderId="20" xfId="10" applyFill="1" applyBorder="1" applyAlignment="1">
      <alignment horizontal="left" vertical="center"/>
    </xf>
    <xf numFmtId="172" fontId="0" fillId="46" borderId="2" xfId="10" applyNumberFormat="1" applyFont="1" applyFill="1">
      <alignment horizontal="center" vertical="center"/>
    </xf>
    <xf numFmtId="168" fontId="0" fillId="46" borderId="2" xfId="10" applyFont="1" applyFill="1" applyAlignment="1">
      <alignment horizontal="left" vertical="center"/>
    </xf>
    <xf numFmtId="168" fontId="41" fillId="47" borderId="18" xfId="0" applyNumberFormat="1" applyFont="1" applyFill="1" applyBorder="1" applyAlignment="1">
      <alignment horizontal="left" vertical="center" wrapText="1"/>
    </xf>
    <xf numFmtId="0" fontId="38" fillId="0" borderId="28" xfId="0" applyFont="1" applyBorder="1" applyAlignment="1">
      <alignment vertical="center"/>
    </xf>
    <xf numFmtId="0" fontId="38" fillId="0" borderId="29" xfId="0" applyFont="1" applyBorder="1" applyAlignment="1">
      <alignment vertical="center"/>
    </xf>
    <xf numFmtId="0" fontId="38" fillId="0" borderId="30" xfId="0" applyFont="1" applyBorder="1" applyAlignment="1">
      <alignment vertical="center"/>
    </xf>
    <xf numFmtId="171" fontId="0" fillId="6" borderId="4" xfId="0" applyNumberFormat="1" applyFill="1" applyBorder="1" applyAlignment="1">
      <alignment horizontal="left" vertical="center" wrapText="1" indent="1"/>
    </xf>
    <xf numFmtId="171" fontId="0" fillId="6" borderId="1" xfId="0" applyNumberFormat="1" applyFill="1" applyBorder="1" applyAlignment="1">
      <alignment horizontal="left" vertical="center" wrapText="1" indent="1"/>
    </xf>
    <xf numFmtId="171" fontId="0" fillId="6" borderId="5" xfId="0" applyNumberFormat="1" applyFill="1" applyBorder="1" applyAlignment="1">
      <alignment horizontal="left" vertical="center" wrapText="1" indent="1"/>
    </xf>
    <xf numFmtId="0" fontId="11" fillId="0" borderId="0" xfId="5" applyAlignment="1">
      <alignment horizontal="center"/>
    </xf>
    <xf numFmtId="0" fontId="8" fillId="0" borderId="0" xfId="6" applyAlignment="1">
      <alignment horizontal="center"/>
    </xf>
    <xf numFmtId="0" fontId="8" fillId="0" borderId="0" xfId="7" applyAlignment="1">
      <alignment horizontal="center" vertical="top"/>
    </xf>
    <xf numFmtId="0" fontId="7" fillId="0" borderId="0" xfId="8" applyAlignment="1">
      <alignment horizontal="right" vertical="center" indent="2"/>
    </xf>
    <xf numFmtId="0" fontId="7" fillId="0" borderId="7" xfId="8" applyBorder="1" applyAlignment="1">
      <alignment horizontal="right" vertical="center" indent="2"/>
    </xf>
    <xf numFmtId="170" fontId="7" fillId="0" borderId="3" xfId="9">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Explanatory Text" xfId="28" builtinId="53" customBuiltin="1"/>
    <cellStyle name="Fecha" xfId="10"/>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icio del proyecto" xfId="9"/>
    <cellStyle name="Input" xfId="21" builtinId="20" customBuiltin="1"/>
    <cellStyle name="Linked Cell" xfId="24" builtinId="24" customBuiltin="1"/>
    <cellStyle name="Neutral" xfId="20" builtinId="28" customBuiltin="1"/>
    <cellStyle name="Nombre" xfId="11"/>
    <cellStyle name="Normal" xfId="0" builtinId="0" customBuiltin="1"/>
    <cellStyle name="Note" xfId="27" builtinId="10" customBuiltin="1"/>
    <cellStyle name="Output" xfId="22" builtinId="21" customBuiltin="1"/>
    <cellStyle name="Percent" xfId="2" builtinId="5" customBuiltin="1"/>
    <cellStyle name="Tarea" xfId="12"/>
    <cellStyle name="Title" xfId="5" builtinId="15" customBuiltin="1"/>
    <cellStyle name="Total" xfId="29" builtinId="25" customBuiltin="1"/>
    <cellStyle name="Warning Text" xfId="26" builtinId="11" customBuiltin="1"/>
    <cellStyle name="zTextoOculto" xfId="3"/>
  </cellStyles>
  <dxfs count="654">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14996795556505021"/>
        </patternFill>
      </fill>
      <border>
        <left/>
        <right/>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theme="0" tint="-0.14996795556505021"/>
        </patternFill>
      </fill>
      <border>
        <left/>
        <right/>
      </border>
    </dxf>
    <dxf>
      <border>
        <left style="thin">
          <color rgb="FFC00000"/>
        </left>
        <right style="thin">
          <color rgb="FFC00000"/>
        </right>
        <vertical/>
        <horizontal/>
      </border>
    </dxf>
    <dxf>
      <fill>
        <patternFill>
          <bgColor rgb="FF00B050"/>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tableStyleElement type="wholeTable" dxfId="653"/>
      <tableStyleElement type="headerRow" dxfId="652"/>
      <tableStyleElement type="totalRow" dxfId="651"/>
      <tableStyleElement type="firstColumn" dxfId="650"/>
      <tableStyleElement type="lastColumn" dxfId="649"/>
      <tableStyleElement type="firstRowStripe" dxfId="648"/>
      <tableStyleElement type="secondRowStripe" dxfId="647"/>
      <tableStyleElement type="firstColumnStripe" dxfId="646"/>
      <tableStyleElement type="secondColumnStripe" dxfId="64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D3F2FD"/>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2</xdr:col>
      <xdr:colOff>2050790</xdr:colOff>
      <xdr:row>19</xdr:row>
      <xdr:rowOff>361950</xdr:rowOff>
    </xdr:from>
    <xdr:to>
      <xdr:col>4</xdr:col>
      <xdr:colOff>11997</xdr:colOff>
      <xdr:row>21</xdr:row>
      <xdr:rowOff>0</xdr:rowOff>
    </xdr:to>
    <xdr:sp macro="" textlink="">
      <xdr:nvSpPr>
        <xdr:cNvPr id="3" name="Rectángulo redondeado 2">
          <a:extLst>
            <a:ext uri="{FF2B5EF4-FFF2-40B4-BE49-F238E27FC236}">
              <a16:creationId xmlns:a16="http://schemas.microsoft.com/office/drawing/2014/main" id="{00000000-0008-0000-0000-000003000000}"/>
            </a:ext>
          </a:extLst>
        </xdr:cNvPr>
        <xdr:cNvSpPr/>
      </xdr:nvSpPr>
      <xdr:spPr>
        <a:xfrm>
          <a:off x="6667499" y="8778940"/>
          <a:ext cx="3015289" cy="428112"/>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19</xdr:row>
      <xdr:rowOff>323850</xdr:rowOff>
    </xdr:from>
    <xdr:to>
      <xdr:col>4</xdr:col>
      <xdr:colOff>314325</xdr:colOff>
      <xdr:row>20</xdr:row>
      <xdr:rowOff>19050</xdr:rowOff>
    </xdr:to>
    <xdr:cxnSp macro="">
      <xdr:nvCxnSpPr>
        <xdr:cNvPr id="5" name="Conector recto de flecha 4">
          <a:extLst>
            <a:ext uri="{FF2B5EF4-FFF2-40B4-BE49-F238E27FC236}">
              <a16:creationId xmlns:a16="http://schemas.microsoft.com/office/drawing/2014/main" id="{00000000-0008-0000-0000-000005000000}"/>
            </a:ext>
          </a:extLst>
        </xdr:cNvPr>
        <xdr:cNvCxnSpPr/>
      </xdr:nvCxnSpPr>
      <xdr:spPr>
        <a:xfrm flipH="1">
          <a:off x="9658350" y="8743950"/>
          <a:ext cx="314325" cy="7620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0</xdr:rowOff>
    </xdr:from>
    <xdr:to>
      <xdr:col>1</xdr:col>
      <xdr:colOff>1909145</xdr:colOff>
      <xdr:row>3</xdr:row>
      <xdr:rowOff>142765</xdr:rowOff>
    </xdr:to>
    <xdr:pic>
      <xdr:nvPicPr>
        <xdr:cNvPr id="8" name="Imagen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761" t="21112" r="1060" b="22198"/>
        <a:stretch/>
      </xdr:blipFill>
      <xdr:spPr bwMode="auto">
        <a:xfrm>
          <a:off x="0" y="0"/>
          <a:ext cx="2090120" cy="972000"/>
        </a:xfrm>
        <a:prstGeom prst="rect">
          <a:avLst/>
        </a:prstGeom>
        <a:ln w="3175">
          <a:solidFill>
            <a:schemeClr val="accent1">
              <a:lumMod val="40000"/>
              <a:lumOff val="60000"/>
            </a:schemeClr>
          </a:solid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Verde">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D19"/>
  <sheetViews>
    <sheetView zoomScale="130" zoomScaleNormal="130" workbookViewId="0">
      <selection activeCell="C18" sqref="C18"/>
    </sheetView>
  </sheetViews>
  <sheetFormatPr defaultRowHeight="15" x14ac:dyDescent="0.25"/>
  <cols>
    <col min="1" max="1" width="2.85546875" style="172" customWidth="1"/>
    <col min="2" max="2" width="39.85546875" style="172" bestFit="1" customWidth="1"/>
    <col min="3" max="3" width="38.7109375" style="172" bestFit="1" customWidth="1"/>
    <col min="4" max="4" width="80.5703125" style="172" customWidth="1"/>
    <col min="5" max="16384" width="9.140625" style="172"/>
  </cols>
  <sheetData>
    <row r="1" spans="2:4" ht="15" customHeight="1" thickBot="1" x14ac:dyDescent="0.3"/>
    <row r="2" spans="2:4" ht="16.5" thickBot="1" x14ac:dyDescent="0.3">
      <c r="B2" s="168" t="s">
        <v>147</v>
      </c>
      <c r="C2" s="169" t="s">
        <v>148</v>
      </c>
      <c r="D2" s="170" t="s">
        <v>149</v>
      </c>
    </row>
    <row r="3" spans="2:4" ht="31.5" x14ac:dyDescent="0.25">
      <c r="B3" s="229" t="s">
        <v>150</v>
      </c>
      <c r="C3" s="171" t="s">
        <v>151</v>
      </c>
      <c r="D3" s="165" t="s">
        <v>154</v>
      </c>
    </row>
    <row r="4" spans="2:4" ht="31.5" x14ac:dyDescent="0.25">
      <c r="B4" s="230"/>
      <c r="C4" s="163" t="s">
        <v>152</v>
      </c>
      <c r="D4" s="162" t="s">
        <v>155</v>
      </c>
    </row>
    <row r="5" spans="2:4" ht="16.5" thickBot="1" x14ac:dyDescent="0.3">
      <c r="B5" s="231"/>
      <c r="C5" s="164" t="s">
        <v>153</v>
      </c>
      <c r="D5" s="166" t="s">
        <v>156</v>
      </c>
    </row>
    <row r="6" spans="2:4" ht="15.75" x14ac:dyDescent="0.25">
      <c r="B6" s="229" t="s">
        <v>157</v>
      </c>
      <c r="C6" s="171" t="s">
        <v>158</v>
      </c>
      <c r="D6" s="165" t="s">
        <v>161</v>
      </c>
    </row>
    <row r="7" spans="2:4" ht="15.75" x14ac:dyDescent="0.25">
      <c r="B7" s="230"/>
      <c r="C7" s="163" t="s">
        <v>159</v>
      </c>
      <c r="D7" s="162" t="s">
        <v>162</v>
      </c>
    </row>
    <row r="8" spans="2:4" ht="16.5" thickBot="1" x14ac:dyDescent="0.3">
      <c r="B8" s="231"/>
      <c r="C8" s="164" t="s">
        <v>160</v>
      </c>
      <c r="D8" s="166" t="s">
        <v>163</v>
      </c>
    </row>
    <row r="9" spans="2:4" ht="16.5" thickBot="1" x14ac:dyDescent="0.3">
      <c r="B9" s="173"/>
      <c r="C9" s="174"/>
      <c r="D9" s="175"/>
    </row>
    <row r="10" spans="2:4" ht="15.75" x14ac:dyDescent="0.25">
      <c r="B10" s="229" t="s">
        <v>164</v>
      </c>
      <c r="C10" s="171" t="s">
        <v>165</v>
      </c>
      <c r="D10" s="165" t="s">
        <v>169</v>
      </c>
    </row>
    <row r="11" spans="2:4" ht="31.5" x14ac:dyDescent="0.25">
      <c r="B11" s="230"/>
      <c r="C11" s="163" t="s">
        <v>166</v>
      </c>
      <c r="D11" s="162" t="s">
        <v>170</v>
      </c>
    </row>
    <row r="12" spans="2:4" ht="31.5" x14ac:dyDescent="0.25">
      <c r="B12" s="230"/>
      <c r="C12" s="163" t="s">
        <v>167</v>
      </c>
      <c r="D12" s="162" t="s">
        <v>171</v>
      </c>
    </row>
    <row r="13" spans="2:4" ht="16.5" thickBot="1" x14ac:dyDescent="0.3">
      <c r="B13" s="231"/>
      <c r="C13" s="164" t="s">
        <v>168</v>
      </c>
      <c r="D13" s="167"/>
    </row>
    <row r="14" spans="2:4" ht="16.5" thickBot="1" x14ac:dyDescent="0.3">
      <c r="B14" s="173"/>
      <c r="C14" s="174"/>
      <c r="D14" s="176"/>
    </row>
    <row r="15" spans="2:4" ht="47.25" x14ac:dyDescent="0.25">
      <c r="B15" s="229" t="s">
        <v>172</v>
      </c>
      <c r="C15" s="171" t="s">
        <v>173</v>
      </c>
      <c r="D15" s="165" t="s">
        <v>175</v>
      </c>
    </row>
    <row r="16" spans="2:4" ht="16.5" thickBot="1" x14ac:dyDescent="0.3">
      <c r="B16" s="231"/>
      <c r="C16" s="164" t="s">
        <v>174</v>
      </c>
      <c r="D16" s="166" t="s">
        <v>176</v>
      </c>
    </row>
    <row r="17" spans="2:4" ht="16.5" thickBot="1" x14ac:dyDescent="0.3">
      <c r="B17" s="173"/>
      <c r="C17" s="174"/>
      <c r="D17" s="175"/>
    </row>
    <row r="18" spans="2:4" ht="15.75" x14ac:dyDescent="0.25">
      <c r="B18" s="229" t="s">
        <v>177</v>
      </c>
      <c r="C18" s="171" t="s">
        <v>178</v>
      </c>
      <c r="D18" s="165" t="s">
        <v>180</v>
      </c>
    </row>
    <row r="19" spans="2:4" ht="16.5" thickBot="1" x14ac:dyDescent="0.3">
      <c r="B19" s="231"/>
      <c r="C19" s="164" t="s">
        <v>179</v>
      </c>
      <c r="D19" s="166" t="s">
        <v>181</v>
      </c>
    </row>
  </sheetData>
  <mergeCells count="5">
    <mergeCell ref="B3:B5"/>
    <mergeCell ref="B6:B8"/>
    <mergeCell ref="B10:B13"/>
    <mergeCell ref="B15:B16"/>
    <mergeCell ref="B18:B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5"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W114"/>
  <sheetViews>
    <sheetView showGridLines="0" tabSelected="1" showRuler="0" zoomScale="85" zoomScaleNormal="85" zoomScalePageLayoutView="70" workbookViewId="0">
      <pane xSplit="8" ySplit="7" topLeftCell="I101" activePane="bottomRight" state="frozen"/>
      <selection pane="topRight" activeCell="I1" sqref="I1"/>
      <selection pane="bottomLeft" activeCell="A8" sqref="A8"/>
      <selection pane="bottomRight" activeCell="D108" sqref="D108"/>
    </sheetView>
  </sheetViews>
  <sheetFormatPr defaultColWidth="9.140625" defaultRowHeight="30" customHeight="1" x14ac:dyDescent="0.25"/>
  <cols>
    <col min="1" max="1" width="2.7109375" style="28" customWidth="1"/>
    <col min="2" max="2" width="71" customWidth="1"/>
    <col min="3" max="3" width="33.85546875" bestFit="1" customWidth="1"/>
    <col min="4" max="4" width="58.5703125" customWidth="1"/>
    <col min="5" max="5" width="9.7109375" bestFit="1" customWidth="1"/>
    <col min="6" max="6" width="8.7109375" style="5" bestFit="1" customWidth="1"/>
    <col min="7" max="7" width="8.7109375" bestFit="1" customWidth="1"/>
    <col min="8" max="8" width="47" bestFit="1" customWidth="1"/>
    <col min="9" max="9" width="41.28515625" customWidth="1"/>
    <col min="10" max="10" width="3.140625" customWidth="1"/>
    <col min="11" max="11" width="6.140625" hidden="1" customWidth="1"/>
    <col min="12" max="16" width="4.28515625" customWidth="1"/>
    <col min="17" max="17" width="4.28515625" hidden="1" customWidth="1"/>
    <col min="18" max="18" width="3.140625" hidden="1" customWidth="1"/>
    <col min="19" max="24" width="4.28515625" customWidth="1"/>
    <col min="25" max="25" width="3.140625" hidden="1" customWidth="1"/>
    <col min="26" max="31" width="4.28515625" customWidth="1"/>
    <col min="32" max="32" width="3.140625" hidden="1" customWidth="1"/>
    <col min="33" max="38" width="4.28515625" customWidth="1"/>
    <col min="39" max="39" width="4.28515625" hidden="1" customWidth="1"/>
    <col min="40" max="45" width="4.28515625" customWidth="1"/>
    <col min="46" max="46" width="4.28515625" hidden="1" customWidth="1"/>
    <col min="47" max="52" width="4.28515625" customWidth="1"/>
    <col min="53" max="53" width="4.28515625" hidden="1" customWidth="1"/>
    <col min="54" max="59" width="4.28515625" customWidth="1"/>
    <col min="60" max="60" width="4.28515625" hidden="1" customWidth="1"/>
    <col min="61" max="66" width="4.28515625" customWidth="1"/>
    <col min="67" max="67" width="4.28515625" hidden="1" customWidth="1"/>
    <col min="68" max="73" width="4.28515625" customWidth="1"/>
    <col min="74" max="74" width="4.28515625" hidden="1" customWidth="1"/>
    <col min="75" max="80" width="4.28515625" customWidth="1"/>
    <col min="81" max="81" width="4.28515625" hidden="1" customWidth="1"/>
    <col min="82" max="87" width="4.28515625" customWidth="1"/>
    <col min="88" max="88" width="4.28515625" hidden="1" customWidth="1"/>
    <col min="89" max="94" width="4.28515625" customWidth="1"/>
    <col min="95" max="95" width="4.28515625" hidden="1" customWidth="1"/>
    <col min="96" max="361" width="4.28515625" customWidth="1"/>
  </cols>
  <sheetData>
    <row r="1" spans="1:361" ht="28.5" x14ac:dyDescent="0.45">
      <c r="A1"/>
      <c r="B1" s="235" t="s">
        <v>31</v>
      </c>
      <c r="C1" s="235"/>
      <c r="D1" s="1"/>
      <c r="E1" s="2"/>
      <c r="F1" s="4"/>
      <c r="G1" s="17"/>
      <c r="H1" s="17"/>
      <c r="I1" s="17"/>
      <c r="K1" s="2"/>
      <c r="L1" s="38"/>
    </row>
    <row r="2" spans="1:361" ht="18.75" customHeight="1" x14ac:dyDescent="0.3">
      <c r="A2" s="28" t="s">
        <v>0</v>
      </c>
      <c r="B2" s="236" t="s">
        <v>32</v>
      </c>
      <c r="C2" s="236"/>
      <c r="L2" s="39"/>
    </row>
    <row r="3" spans="1:361" ht="18.75" x14ac:dyDescent="0.25">
      <c r="A3" s="28" t="s">
        <v>1</v>
      </c>
      <c r="B3" s="237" t="s">
        <v>33</v>
      </c>
      <c r="C3" s="237"/>
      <c r="D3" s="238" t="s">
        <v>10</v>
      </c>
      <c r="E3" s="239"/>
      <c r="F3" s="240">
        <v>45714</v>
      </c>
      <c r="G3" s="240"/>
    </row>
    <row r="4" spans="1:361" ht="21" customHeight="1" x14ac:dyDescent="0.25">
      <c r="A4" s="29" t="s">
        <v>2</v>
      </c>
      <c r="C4" s="53"/>
      <c r="D4" s="238" t="s">
        <v>11</v>
      </c>
      <c r="E4" s="239"/>
      <c r="F4" s="6">
        <v>49</v>
      </c>
      <c r="L4" s="232">
        <f>L5</f>
        <v>46048</v>
      </c>
      <c r="M4" s="233"/>
      <c r="N4" s="233"/>
      <c r="O4" s="233"/>
      <c r="P4" s="233"/>
      <c r="Q4" s="233"/>
      <c r="R4" s="234"/>
      <c r="S4" s="232">
        <f>S5</f>
        <v>46055</v>
      </c>
      <c r="T4" s="233"/>
      <c r="U4" s="233"/>
      <c r="V4" s="233"/>
      <c r="W4" s="233"/>
      <c r="X4" s="233"/>
      <c r="Y4" s="234"/>
      <c r="Z4" s="232">
        <f>Z5</f>
        <v>46062</v>
      </c>
      <c r="AA4" s="233"/>
      <c r="AB4" s="233"/>
      <c r="AC4" s="233"/>
      <c r="AD4" s="233"/>
      <c r="AE4" s="233"/>
      <c r="AF4" s="234"/>
      <c r="AG4" s="232">
        <f>AG5</f>
        <v>46069</v>
      </c>
      <c r="AH4" s="233"/>
      <c r="AI4" s="233"/>
      <c r="AJ4" s="233"/>
      <c r="AK4" s="233"/>
      <c r="AL4" s="233"/>
      <c r="AM4" s="234"/>
      <c r="AN4" s="232">
        <f>AN5</f>
        <v>46076</v>
      </c>
      <c r="AO4" s="233"/>
      <c r="AP4" s="233"/>
      <c r="AQ4" s="233"/>
      <c r="AR4" s="233"/>
      <c r="AS4" s="233"/>
      <c r="AT4" s="234"/>
      <c r="AU4" s="232">
        <f>AU5</f>
        <v>46083</v>
      </c>
      <c r="AV4" s="233"/>
      <c r="AW4" s="233"/>
      <c r="AX4" s="233"/>
      <c r="AY4" s="233"/>
      <c r="AZ4" s="233"/>
      <c r="BA4" s="234"/>
      <c r="BB4" s="232">
        <f>BB5</f>
        <v>46090</v>
      </c>
      <c r="BC4" s="233"/>
      <c r="BD4" s="233"/>
      <c r="BE4" s="233"/>
      <c r="BF4" s="233"/>
      <c r="BG4" s="233"/>
      <c r="BH4" s="234"/>
      <c r="BI4" s="232">
        <f>BI5</f>
        <v>46097</v>
      </c>
      <c r="BJ4" s="233"/>
      <c r="BK4" s="233"/>
      <c r="BL4" s="233"/>
      <c r="BM4" s="233"/>
      <c r="BN4" s="233"/>
      <c r="BO4" s="234"/>
      <c r="BP4" s="232">
        <f>BP5</f>
        <v>46104</v>
      </c>
      <c r="BQ4" s="233"/>
      <c r="BR4" s="233"/>
      <c r="BS4" s="233"/>
      <c r="BT4" s="233"/>
      <c r="BU4" s="233"/>
      <c r="BV4" s="234"/>
      <c r="BW4" s="232">
        <f>BW5</f>
        <v>46111</v>
      </c>
      <c r="BX4" s="233"/>
      <c r="BY4" s="233"/>
      <c r="BZ4" s="233"/>
      <c r="CA4" s="233"/>
      <c r="CB4" s="233"/>
      <c r="CC4" s="234"/>
      <c r="CD4" s="232">
        <f>CD5</f>
        <v>46118</v>
      </c>
      <c r="CE4" s="233"/>
      <c r="CF4" s="233"/>
      <c r="CG4" s="233"/>
      <c r="CH4" s="233"/>
      <c r="CI4" s="233"/>
      <c r="CJ4" s="234"/>
      <c r="CK4" s="232">
        <f>CK5</f>
        <v>46125</v>
      </c>
      <c r="CL4" s="233"/>
      <c r="CM4" s="233"/>
      <c r="CN4" s="233"/>
      <c r="CO4" s="233"/>
      <c r="CP4" s="233"/>
      <c r="CQ4" s="234"/>
      <c r="CR4" s="232">
        <f>CR5</f>
        <v>46132</v>
      </c>
      <c r="CS4" s="233"/>
      <c r="CT4" s="233"/>
      <c r="CU4" s="233"/>
      <c r="CV4" s="233"/>
      <c r="CW4" s="233"/>
      <c r="CX4" s="234"/>
      <c r="CY4" s="232">
        <f>CY5</f>
        <v>46139</v>
      </c>
      <c r="CZ4" s="233"/>
      <c r="DA4" s="233"/>
      <c r="DB4" s="233"/>
      <c r="DC4" s="233"/>
      <c r="DD4" s="233"/>
      <c r="DE4" s="234"/>
      <c r="DF4" s="232">
        <f>DF5</f>
        <v>46146</v>
      </c>
      <c r="DG4" s="233"/>
      <c r="DH4" s="233"/>
      <c r="DI4" s="233"/>
      <c r="DJ4" s="233"/>
      <c r="DK4" s="233"/>
      <c r="DL4" s="234"/>
      <c r="DM4" s="232">
        <f>DM5</f>
        <v>46153</v>
      </c>
      <c r="DN4" s="233"/>
      <c r="DO4" s="233"/>
      <c r="DP4" s="233"/>
      <c r="DQ4" s="233"/>
      <c r="DR4" s="233"/>
      <c r="DS4" s="234"/>
      <c r="DT4" s="232">
        <f>DT5</f>
        <v>46160</v>
      </c>
      <c r="DU4" s="233"/>
      <c r="DV4" s="233"/>
      <c r="DW4" s="233"/>
      <c r="DX4" s="233"/>
      <c r="DY4" s="233"/>
      <c r="DZ4" s="234"/>
      <c r="EA4" s="232">
        <f>EA5</f>
        <v>46167</v>
      </c>
      <c r="EB4" s="233"/>
      <c r="EC4" s="233"/>
      <c r="ED4" s="233"/>
      <c r="EE4" s="233"/>
      <c r="EF4" s="233"/>
      <c r="EG4" s="234"/>
      <c r="EH4" s="232">
        <f>EH5</f>
        <v>46174</v>
      </c>
      <c r="EI4" s="233"/>
      <c r="EJ4" s="233"/>
      <c r="EK4" s="233"/>
      <c r="EL4" s="233"/>
      <c r="EM4" s="233"/>
      <c r="EN4" s="234"/>
      <c r="EO4" s="232">
        <f>EO5</f>
        <v>46181</v>
      </c>
      <c r="EP4" s="233"/>
      <c r="EQ4" s="233"/>
      <c r="ER4" s="233"/>
      <c r="ES4" s="233"/>
      <c r="ET4" s="233"/>
      <c r="EU4" s="234"/>
      <c r="EV4" s="232">
        <f>EV5</f>
        <v>46188</v>
      </c>
      <c r="EW4" s="233"/>
      <c r="EX4" s="233"/>
      <c r="EY4" s="233"/>
      <c r="EZ4" s="233"/>
      <c r="FA4" s="233"/>
      <c r="FB4" s="234"/>
      <c r="FC4" s="232">
        <f>FC5</f>
        <v>46195</v>
      </c>
      <c r="FD4" s="233"/>
      <c r="FE4" s="233"/>
      <c r="FF4" s="233"/>
      <c r="FG4" s="233"/>
      <c r="FH4" s="233"/>
      <c r="FI4" s="234"/>
      <c r="FJ4" s="232">
        <f>FJ5</f>
        <v>46202</v>
      </c>
      <c r="FK4" s="233"/>
      <c r="FL4" s="233"/>
      <c r="FM4" s="233"/>
      <c r="FN4" s="233"/>
      <c r="FO4" s="233"/>
      <c r="FP4" s="234"/>
      <c r="FQ4" s="232">
        <f>FQ5</f>
        <v>46209</v>
      </c>
      <c r="FR4" s="233"/>
      <c r="FS4" s="233"/>
      <c r="FT4" s="233"/>
      <c r="FU4" s="233"/>
      <c r="FV4" s="233"/>
      <c r="FW4" s="234"/>
      <c r="FX4" s="232">
        <f>FX5</f>
        <v>46216</v>
      </c>
      <c r="FY4" s="233"/>
      <c r="FZ4" s="233"/>
      <c r="GA4" s="233"/>
      <c r="GB4" s="233"/>
      <c r="GC4" s="233"/>
      <c r="GD4" s="234"/>
      <c r="GE4" s="232">
        <f>GE5</f>
        <v>46223</v>
      </c>
      <c r="GF4" s="233"/>
      <c r="GG4" s="233"/>
      <c r="GH4" s="233"/>
      <c r="GI4" s="233"/>
      <c r="GJ4" s="233"/>
      <c r="GK4" s="234"/>
      <c r="GL4" s="232">
        <f>GL5</f>
        <v>46230</v>
      </c>
      <c r="GM4" s="233"/>
      <c r="GN4" s="233"/>
      <c r="GO4" s="233"/>
      <c r="GP4" s="233"/>
      <c r="GQ4" s="233"/>
      <c r="GR4" s="234"/>
      <c r="GS4" s="232">
        <f>GS5</f>
        <v>46237</v>
      </c>
      <c r="GT4" s="233"/>
      <c r="GU4" s="233"/>
      <c r="GV4" s="233"/>
      <c r="GW4" s="233"/>
      <c r="GX4" s="233"/>
      <c r="GY4" s="234"/>
      <c r="GZ4" s="232">
        <f>GZ5</f>
        <v>46244</v>
      </c>
      <c r="HA4" s="233"/>
      <c r="HB4" s="233"/>
      <c r="HC4" s="233"/>
      <c r="HD4" s="233"/>
      <c r="HE4" s="233"/>
      <c r="HF4" s="234"/>
      <c r="HG4" s="232">
        <f>HG5</f>
        <v>46251</v>
      </c>
      <c r="HH4" s="233"/>
      <c r="HI4" s="233"/>
      <c r="HJ4" s="233"/>
      <c r="HK4" s="233"/>
      <c r="HL4" s="233"/>
      <c r="HM4" s="234"/>
      <c r="HN4" s="232">
        <f>HN5</f>
        <v>46258</v>
      </c>
      <c r="HO4" s="233"/>
      <c r="HP4" s="233"/>
      <c r="HQ4" s="233"/>
      <c r="HR4" s="233"/>
      <c r="HS4" s="233"/>
      <c r="HT4" s="234"/>
      <c r="HU4" s="232">
        <f>HU5</f>
        <v>46265</v>
      </c>
      <c r="HV4" s="233"/>
      <c r="HW4" s="233"/>
      <c r="HX4" s="233"/>
      <c r="HY4" s="233"/>
      <c r="HZ4" s="233"/>
      <c r="IA4" s="234"/>
      <c r="IB4" s="232">
        <f>IB5</f>
        <v>46272</v>
      </c>
      <c r="IC4" s="233"/>
      <c r="ID4" s="233"/>
      <c r="IE4" s="233"/>
      <c r="IF4" s="233"/>
      <c r="IG4" s="233"/>
      <c r="IH4" s="234"/>
      <c r="II4" s="232">
        <f>II5</f>
        <v>46279</v>
      </c>
      <c r="IJ4" s="233"/>
      <c r="IK4" s="233"/>
      <c r="IL4" s="233"/>
      <c r="IM4" s="233"/>
      <c r="IN4" s="233"/>
      <c r="IO4" s="234"/>
      <c r="IP4" s="232">
        <f>IP5</f>
        <v>46286</v>
      </c>
      <c r="IQ4" s="233"/>
      <c r="IR4" s="233"/>
      <c r="IS4" s="233"/>
      <c r="IT4" s="233"/>
      <c r="IU4" s="233"/>
      <c r="IV4" s="234"/>
      <c r="IW4" s="232">
        <f>IW5</f>
        <v>46293</v>
      </c>
      <c r="IX4" s="233"/>
      <c r="IY4" s="233"/>
      <c r="IZ4" s="233"/>
      <c r="JA4" s="233"/>
      <c r="JB4" s="233"/>
      <c r="JC4" s="234"/>
      <c r="JD4" s="232">
        <f>JD5</f>
        <v>46300</v>
      </c>
      <c r="JE4" s="233"/>
      <c r="JF4" s="233"/>
      <c r="JG4" s="233"/>
      <c r="JH4" s="233"/>
      <c r="JI4" s="233"/>
      <c r="JJ4" s="234"/>
      <c r="JK4" s="232">
        <f>JK5</f>
        <v>46307</v>
      </c>
      <c r="JL4" s="233"/>
      <c r="JM4" s="233"/>
      <c r="JN4" s="233"/>
      <c r="JO4" s="233"/>
      <c r="JP4" s="233"/>
      <c r="JQ4" s="234"/>
      <c r="JR4" s="232">
        <f>JR5</f>
        <v>46314</v>
      </c>
      <c r="JS4" s="233"/>
      <c r="JT4" s="233"/>
      <c r="JU4" s="233"/>
      <c r="JV4" s="233"/>
      <c r="JW4" s="233"/>
      <c r="JX4" s="234"/>
      <c r="JY4" s="232">
        <f>JY5</f>
        <v>46321</v>
      </c>
      <c r="JZ4" s="233"/>
      <c r="KA4" s="233"/>
      <c r="KB4" s="233"/>
      <c r="KC4" s="233"/>
      <c r="KD4" s="233"/>
      <c r="KE4" s="234"/>
      <c r="KF4" s="232">
        <f>KF5</f>
        <v>46328</v>
      </c>
      <c r="KG4" s="233"/>
      <c r="KH4" s="233"/>
      <c r="KI4" s="233"/>
      <c r="KJ4" s="233"/>
      <c r="KK4" s="233"/>
      <c r="KL4" s="234"/>
      <c r="KM4" s="232">
        <f>KM5</f>
        <v>46335</v>
      </c>
      <c r="KN4" s="233"/>
      <c r="KO4" s="233"/>
      <c r="KP4" s="233"/>
      <c r="KQ4" s="233"/>
      <c r="KR4" s="233"/>
      <c r="KS4" s="234"/>
      <c r="KT4" s="232">
        <f>KT5</f>
        <v>46342</v>
      </c>
      <c r="KU4" s="233"/>
      <c r="KV4" s="233"/>
      <c r="KW4" s="233"/>
      <c r="KX4" s="233"/>
      <c r="KY4" s="233"/>
      <c r="KZ4" s="234"/>
      <c r="LA4" s="232">
        <f>LA5</f>
        <v>46349</v>
      </c>
      <c r="LB4" s="233"/>
      <c r="LC4" s="233"/>
      <c r="LD4" s="233"/>
      <c r="LE4" s="233"/>
      <c r="LF4" s="233"/>
      <c r="LG4" s="234"/>
      <c r="LH4" s="232">
        <f>LH5</f>
        <v>46356</v>
      </c>
      <c r="LI4" s="233"/>
      <c r="LJ4" s="233"/>
      <c r="LK4" s="233"/>
      <c r="LL4" s="233"/>
      <c r="LM4" s="233"/>
      <c r="LN4" s="234"/>
      <c r="LO4" s="232">
        <f>LO5</f>
        <v>46363</v>
      </c>
      <c r="LP4" s="233"/>
      <c r="LQ4" s="233"/>
      <c r="LR4" s="233"/>
      <c r="LS4" s="233"/>
      <c r="LT4" s="233"/>
      <c r="LU4" s="234"/>
      <c r="LV4" s="232">
        <f>LV5</f>
        <v>46370</v>
      </c>
      <c r="LW4" s="233"/>
      <c r="LX4" s="233"/>
      <c r="LY4" s="233"/>
      <c r="LZ4" s="233"/>
      <c r="MA4" s="233"/>
      <c r="MB4" s="234"/>
      <c r="MC4" s="232">
        <f>MC5</f>
        <v>46377</v>
      </c>
      <c r="MD4" s="233"/>
      <c r="ME4" s="233"/>
      <c r="MF4" s="233"/>
      <c r="MG4" s="233"/>
      <c r="MH4" s="233"/>
      <c r="MI4" s="234"/>
      <c r="MJ4" s="232">
        <f>MJ5</f>
        <v>46384</v>
      </c>
      <c r="MK4" s="233"/>
      <c r="ML4" s="233"/>
      <c r="MM4" s="233"/>
      <c r="MN4" s="233"/>
      <c r="MO4" s="233"/>
      <c r="MP4" s="234"/>
      <c r="MQ4" s="232">
        <f>MQ5</f>
        <v>46391</v>
      </c>
      <c r="MR4" s="233"/>
      <c r="MS4" s="233"/>
      <c r="MT4" s="233"/>
      <c r="MU4" s="233"/>
      <c r="MV4" s="233"/>
      <c r="MW4" s="234"/>
    </row>
    <row r="5" spans="1:361" ht="15" customHeight="1" thickBot="1" x14ac:dyDescent="0.3">
      <c r="A5" s="29" t="s">
        <v>3</v>
      </c>
      <c r="B5" s="37"/>
      <c r="E5" s="37"/>
      <c r="F5" s="37"/>
      <c r="G5" s="37"/>
      <c r="H5" s="37"/>
      <c r="I5" s="37"/>
      <c r="J5" s="37"/>
      <c r="L5" s="42">
        <f>Inicio_del_proyecto-WEEKDAY(Inicio_del_proyecto,1)+2+7*(Semana_para_mostrar-1)</f>
        <v>46048</v>
      </c>
      <c r="M5" s="43">
        <f>L5+1</f>
        <v>46049</v>
      </c>
      <c r="N5" s="43">
        <f t="shared" ref="N5:BA5" si="0">M5+1</f>
        <v>46050</v>
      </c>
      <c r="O5" s="43">
        <f t="shared" si="0"/>
        <v>46051</v>
      </c>
      <c r="P5" s="43">
        <f t="shared" si="0"/>
        <v>46052</v>
      </c>
      <c r="Q5" s="43">
        <f t="shared" si="0"/>
        <v>46053</v>
      </c>
      <c r="R5" s="44">
        <f t="shared" si="0"/>
        <v>46054</v>
      </c>
      <c r="S5" s="42">
        <f>R5+1</f>
        <v>46055</v>
      </c>
      <c r="T5" s="43">
        <f>S5+1</f>
        <v>46056</v>
      </c>
      <c r="U5" s="43">
        <f t="shared" si="0"/>
        <v>46057</v>
      </c>
      <c r="V5" s="43">
        <f t="shared" si="0"/>
        <v>46058</v>
      </c>
      <c r="W5" s="43">
        <f t="shared" si="0"/>
        <v>46059</v>
      </c>
      <c r="X5" s="43">
        <f t="shared" si="0"/>
        <v>46060</v>
      </c>
      <c r="Y5" s="44">
        <f t="shared" si="0"/>
        <v>46061</v>
      </c>
      <c r="Z5" s="42">
        <f>Y5+1</f>
        <v>46062</v>
      </c>
      <c r="AA5" s="43">
        <f>Z5+1</f>
        <v>46063</v>
      </c>
      <c r="AB5" s="43">
        <f t="shared" si="0"/>
        <v>46064</v>
      </c>
      <c r="AC5" s="43">
        <f t="shared" si="0"/>
        <v>46065</v>
      </c>
      <c r="AD5" s="43">
        <f t="shared" si="0"/>
        <v>46066</v>
      </c>
      <c r="AE5" s="43">
        <f t="shared" si="0"/>
        <v>46067</v>
      </c>
      <c r="AF5" s="44">
        <f t="shared" si="0"/>
        <v>46068</v>
      </c>
      <c r="AG5" s="42">
        <f>AF5+1</f>
        <v>46069</v>
      </c>
      <c r="AH5" s="43">
        <f>AG5+1</f>
        <v>46070</v>
      </c>
      <c r="AI5" s="43">
        <f t="shared" si="0"/>
        <v>46071</v>
      </c>
      <c r="AJ5" s="43">
        <f t="shared" si="0"/>
        <v>46072</v>
      </c>
      <c r="AK5" s="43">
        <f t="shared" si="0"/>
        <v>46073</v>
      </c>
      <c r="AL5" s="43">
        <f t="shared" si="0"/>
        <v>46074</v>
      </c>
      <c r="AM5" s="44">
        <f t="shared" si="0"/>
        <v>46075</v>
      </c>
      <c r="AN5" s="42">
        <f>AM5+1</f>
        <v>46076</v>
      </c>
      <c r="AO5" s="43">
        <f>AN5+1</f>
        <v>46077</v>
      </c>
      <c r="AP5" s="43">
        <f t="shared" si="0"/>
        <v>46078</v>
      </c>
      <c r="AQ5" s="43">
        <f t="shared" si="0"/>
        <v>46079</v>
      </c>
      <c r="AR5" s="43">
        <f t="shared" si="0"/>
        <v>46080</v>
      </c>
      <c r="AS5" s="43">
        <f t="shared" si="0"/>
        <v>46081</v>
      </c>
      <c r="AT5" s="44">
        <f t="shared" si="0"/>
        <v>46082</v>
      </c>
      <c r="AU5" s="42">
        <f>AT5+1</f>
        <v>46083</v>
      </c>
      <c r="AV5" s="43">
        <f>AU5+1</f>
        <v>46084</v>
      </c>
      <c r="AW5" s="43">
        <f t="shared" si="0"/>
        <v>46085</v>
      </c>
      <c r="AX5" s="43">
        <f t="shared" si="0"/>
        <v>46086</v>
      </c>
      <c r="AY5" s="43">
        <f t="shared" si="0"/>
        <v>46087</v>
      </c>
      <c r="AZ5" s="43">
        <f t="shared" si="0"/>
        <v>46088</v>
      </c>
      <c r="BA5" s="44">
        <f t="shared" si="0"/>
        <v>46089</v>
      </c>
      <c r="BB5" s="42">
        <f t="shared" ref="BB5:BH5" si="1">BA5+1</f>
        <v>46090</v>
      </c>
      <c r="BC5" s="43">
        <f t="shared" si="1"/>
        <v>46091</v>
      </c>
      <c r="BD5" s="43">
        <f t="shared" si="1"/>
        <v>46092</v>
      </c>
      <c r="BE5" s="43">
        <f t="shared" si="1"/>
        <v>46093</v>
      </c>
      <c r="BF5" s="43">
        <f t="shared" si="1"/>
        <v>46094</v>
      </c>
      <c r="BG5" s="43">
        <f t="shared" si="1"/>
        <v>46095</v>
      </c>
      <c r="BH5" s="44">
        <f t="shared" si="1"/>
        <v>46096</v>
      </c>
      <c r="BI5" s="42">
        <f t="shared" ref="BI5" si="2">BH5+1</f>
        <v>46097</v>
      </c>
      <c r="BJ5" s="42">
        <f t="shared" ref="BJ5" si="3">BI5+1</f>
        <v>46098</v>
      </c>
      <c r="BK5" s="42">
        <f t="shared" ref="BK5" si="4">BJ5+1</f>
        <v>46099</v>
      </c>
      <c r="BL5" s="42">
        <f t="shared" ref="BL5" si="5">BK5+1</f>
        <v>46100</v>
      </c>
      <c r="BM5" s="42">
        <f t="shared" ref="BM5" si="6">BL5+1</f>
        <v>46101</v>
      </c>
      <c r="BN5" s="42">
        <f t="shared" ref="BN5" si="7">BM5+1</f>
        <v>46102</v>
      </c>
      <c r="BO5" s="42">
        <f t="shared" ref="BO5" si="8">BN5+1</f>
        <v>46103</v>
      </c>
      <c r="BP5" s="42">
        <f t="shared" ref="BP5" si="9">BO5+1</f>
        <v>46104</v>
      </c>
      <c r="BQ5" s="42">
        <f t="shared" ref="BQ5" si="10">BP5+1</f>
        <v>46105</v>
      </c>
      <c r="BR5" s="42">
        <f t="shared" ref="BR5" si="11">BQ5+1</f>
        <v>46106</v>
      </c>
      <c r="BS5" s="42">
        <f t="shared" ref="BS5" si="12">BR5+1</f>
        <v>46107</v>
      </c>
      <c r="BT5" s="42">
        <f t="shared" ref="BT5" si="13">BS5+1</f>
        <v>46108</v>
      </c>
      <c r="BU5" s="42">
        <f t="shared" ref="BU5" si="14">BT5+1</f>
        <v>46109</v>
      </c>
      <c r="BV5" s="42">
        <f t="shared" ref="BV5" si="15">BU5+1</f>
        <v>46110</v>
      </c>
      <c r="BW5" s="42">
        <f t="shared" ref="BW5" si="16">BV5+1</f>
        <v>46111</v>
      </c>
      <c r="BX5" s="42">
        <f t="shared" ref="BX5" si="17">BW5+1</f>
        <v>46112</v>
      </c>
      <c r="BY5" s="42">
        <f t="shared" ref="BY5" si="18">BX5+1</f>
        <v>46113</v>
      </c>
      <c r="BZ5" s="42">
        <f t="shared" ref="BZ5" si="19">BY5+1</f>
        <v>46114</v>
      </c>
      <c r="CA5" s="42">
        <f t="shared" ref="CA5" si="20">BZ5+1</f>
        <v>46115</v>
      </c>
      <c r="CB5" s="42">
        <f t="shared" ref="CB5" si="21">CA5+1</f>
        <v>46116</v>
      </c>
      <c r="CC5" s="42">
        <f t="shared" ref="CC5" si="22">CB5+1</f>
        <v>46117</v>
      </c>
      <c r="CD5" s="42">
        <f t="shared" ref="CD5" si="23">CC5+1</f>
        <v>46118</v>
      </c>
      <c r="CE5" s="42">
        <f t="shared" ref="CE5" si="24">CD5+1</f>
        <v>46119</v>
      </c>
      <c r="CF5" s="42">
        <f t="shared" ref="CF5" si="25">CE5+1</f>
        <v>46120</v>
      </c>
      <c r="CG5" s="42">
        <f t="shared" ref="CG5" si="26">CF5+1</f>
        <v>46121</v>
      </c>
      <c r="CH5" s="42">
        <f t="shared" ref="CH5" si="27">CG5+1</f>
        <v>46122</v>
      </c>
      <c r="CI5" s="42">
        <f t="shared" ref="CI5" si="28">CH5+1</f>
        <v>46123</v>
      </c>
      <c r="CJ5" s="42">
        <f t="shared" ref="CJ5" si="29">CI5+1</f>
        <v>46124</v>
      </c>
      <c r="CK5" s="42">
        <f t="shared" ref="CK5" si="30">CJ5+1</f>
        <v>46125</v>
      </c>
      <c r="CL5" s="42">
        <f t="shared" ref="CL5" si="31">CK5+1</f>
        <v>46126</v>
      </c>
      <c r="CM5" s="42">
        <f t="shared" ref="CM5" si="32">CL5+1</f>
        <v>46127</v>
      </c>
      <c r="CN5" s="42">
        <f t="shared" ref="CN5" si="33">CM5+1</f>
        <v>46128</v>
      </c>
      <c r="CO5" s="42">
        <f t="shared" ref="CO5" si="34">CN5+1</f>
        <v>46129</v>
      </c>
      <c r="CP5" s="42">
        <f t="shared" ref="CP5" si="35">CO5+1</f>
        <v>46130</v>
      </c>
      <c r="CQ5" s="42">
        <f t="shared" ref="CQ5" si="36">CP5+1</f>
        <v>46131</v>
      </c>
      <c r="CR5" s="42">
        <f t="shared" ref="CR5" si="37">CQ5+1</f>
        <v>46132</v>
      </c>
      <c r="CS5" s="42">
        <f t="shared" ref="CS5" si="38">CR5+1</f>
        <v>46133</v>
      </c>
      <c r="CT5" s="42">
        <f t="shared" ref="CT5" si="39">CS5+1</f>
        <v>46134</v>
      </c>
      <c r="CU5" s="42">
        <f t="shared" ref="CU5" si="40">CT5+1</f>
        <v>46135</v>
      </c>
      <c r="CV5" s="42">
        <f t="shared" ref="CV5" si="41">CU5+1</f>
        <v>46136</v>
      </c>
      <c r="CW5" s="42">
        <f t="shared" ref="CW5" si="42">CV5+1</f>
        <v>46137</v>
      </c>
      <c r="CX5" s="42">
        <f t="shared" ref="CX5" si="43">CW5+1</f>
        <v>46138</v>
      </c>
      <c r="CY5" s="42">
        <f t="shared" ref="CY5" si="44">CX5+1</f>
        <v>46139</v>
      </c>
      <c r="CZ5" s="42">
        <f t="shared" ref="CZ5" si="45">CY5+1</f>
        <v>46140</v>
      </c>
      <c r="DA5" s="42">
        <f t="shared" ref="DA5" si="46">CZ5+1</f>
        <v>46141</v>
      </c>
      <c r="DB5" s="42">
        <f t="shared" ref="DB5" si="47">DA5+1</f>
        <v>46142</v>
      </c>
      <c r="DC5" s="42">
        <f t="shared" ref="DC5" si="48">DB5+1</f>
        <v>46143</v>
      </c>
      <c r="DD5" s="42">
        <f t="shared" ref="DD5" si="49">DC5+1</f>
        <v>46144</v>
      </c>
      <c r="DE5" s="42">
        <f t="shared" ref="DE5" si="50">DD5+1</f>
        <v>46145</v>
      </c>
      <c r="DF5" s="42">
        <f t="shared" ref="DF5" si="51">DE5+1</f>
        <v>46146</v>
      </c>
      <c r="DG5" s="42">
        <f t="shared" ref="DG5" si="52">DF5+1</f>
        <v>46147</v>
      </c>
      <c r="DH5" s="42">
        <f t="shared" ref="DH5" si="53">DG5+1</f>
        <v>46148</v>
      </c>
      <c r="DI5" s="42">
        <f t="shared" ref="DI5" si="54">DH5+1</f>
        <v>46149</v>
      </c>
      <c r="DJ5" s="42">
        <f t="shared" ref="DJ5" si="55">DI5+1</f>
        <v>46150</v>
      </c>
      <c r="DK5" s="42">
        <f t="shared" ref="DK5" si="56">DJ5+1</f>
        <v>46151</v>
      </c>
      <c r="DL5" s="42">
        <f t="shared" ref="DL5" si="57">DK5+1</f>
        <v>46152</v>
      </c>
      <c r="DM5" s="42">
        <f t="shared" ref="DM5" si="58">DL5+1</f>
        <v>46153</v>
      </c>
      <c r="DN5" s="42">
        <f t="shared" ref="DN5" si="59">DM5+1</f>
        <v>46154</v>
      </c>
      <c r="DO5" s="42">
        <f t="shared" ref="DO5" si="60">DN5+1</f>
        <v>46155</v>
      </c>
      <c r="DP5" s="42">
        <f t="shared" ref="DP5" si="61">DO5+1</f>
        <v>46156</v>
      </c>
      <c r="DQ5" s="42">
        <f t="shared" ref="DQ5" si="62">DP5+1</f>
        <v>46157</v>
      </c>
      <c r="DR5" s="42">
        <f t="shared" ref="DR5" si="63">DQ5+1</f>
        <v>46158</v>
      </c>
      <c r="DS5" s="42">
        <f t="shared" ref="DS5" si="64">DR5+1</f>
        <v>46159</v>
      </c>
      <c r="DT5" s="42">
        <f t="shared" ref="DT5" si="65">DS5+1</f>
        <v>46160</v>
      </c>
      <c r="DU5" s="42">
        <f t="shared" ref="DU5" si="66">DT5+1</f>
        <v>46161</v>
      </c>
      <c r="DV5" s="42">
        <f t="shared" ref="DV5" si="67">DU5+1</f>
        <v>46162</v>
      </c>
      <c r="DW5" s="42">
        <f t="shared" ref="DW5" si="68">DV5+1</f>
        <v>46163</v>
      </c>
      <c r="DX5" s="42">
        <f t="shared" ref="DX5" si="69">DW5+1</f>
        <v>46164</v>
      </c>
      <c r="DY5" s="42">
        <f t="shared" ref="DY5" si="70">DX5+1</f>
        <v>46165</v>
      </c>
      <c r="DZ5" s="42">
        <f t="shared" ref="DZ5" si="71">DY5+1</f>
        <v>46166</v>
      </c>
      <c r="EA5" s="42">
        <f t="shared" ref="EA5" si="72">DZ5+1</f>
        <v>46167</v>
      </c>
      <c r="EB5" s="42">
        <f t="shared" ref="EB5" si="73">EA5+1</f>
        <v>46168</v>
      </c>
      <c r="EC5" s="42">
        <f t="shared" ref="EC5" si="74">EB5+1</f>
        <v>46169</v>
      </c>
      <c r="ED5" s="42">
        <f t="shared" ref="ED5" si="75">EC5+1</f>
        <v>46170</v>
      </c>
      <c r="EE5" s="42">
        <f t="shared" ref="EE5" si="76">ED5+1</f>
        <v>46171</v>
      </c>
      <c r="EF5" s="42">
        <f t="shared" ref="EF5" si="77">EE5+1</f>
        <v>46172</v>
      </c>
      <c r="EG5" s="42">
        <f t="shared" ref="EG5" si="78">EF5+1</f>
        <v>46173</v>
      </c>
      <c r="EH5" s="42">
        <f t="shared" ref="EH5" si="79">EG5+1</f>
        <v>46174</v>
      </c>
      <c r="EI5" s="42">
        <f t="shared" ref="EI5" si="80">EH5+1</f>
        <v>46175</v>
      </c>
      <c r="EJ5" s="42">
        <f t="shared" ref="EJ5" si="81">EI5+1</f>
        <v>46176</v>
      </c>
      <c r="EK5" s="42">
        <f t="shared" ref="EK5" si="82">EJ5+1</f>
        <v>46177</v>
      </c>
      <c r="EL5" s="42">
        <f t="shared" ref="EL5" si="83">EK5+1</f>
        <v>46178</v>
      </c>
      <c r="EM5" s="42">
        <f t="shared" ref="EM5" si="84">EL5+1</f>
        <v>46179</v>
      </c>
      <c r="EN5" s="42">
        <f t="shared" ref="EN5" si="85">EM5+1</f>
        <v>46180</v>
      </c>
      <c r="EO5" s="42">
        <f t="shared" ref="EO5" si="86">EN5+1</f>
        <v>46181</v>
      </c>
      <c r="EP5" s="42">
        <f t="shared" ref="EP5" si="87">EO5+1</f>
        <v>46182</v>
      </c>
      <c r="EQ5" s="42">
        <f t="shared" ref="EQ5" si="88">EP5+1</f>
        <v>46183</v>
      </c>
      <c r="ER5" s="42">
        <f t="shared" ref="ER5" si="89">EQ5+1</f>
        <v>46184</v>
      </c>
      <c r="ES5" s="42">
        <f t="shared" ref="ES5" si="90">ER5+1</f>
        <v>46185</v>
      </c>
      <c r="ET5" s="42">
        <f t="shared" ref="ET5" si="91">ES5+1</f>
        <v>46186</v>
      </c>
      <c r="EU5" s="42">
        <f t="shared" ref="EU5" si="92">ET5+1</f>
        <v>46187</v>
      </c>
      <c r="EV5" s="42">
        <f t="shared" ref="EV5" si="93">EU5+1</f>
        <v>46188</v>
      </c>
      <c r="EW5" s="42">
        <f t="shared" ref="EW5" si="94">EV5+1</f>
        <v>46189</v>
      </c>
      <c r="EX5" s="42">
        <f t="shared" ref="EX5" si="95">EW5+1</f>
        <v>46190</v>
      </c>
      <c r="EY5" s="42">
        <f t="shared" ref="EY5" si="96">EX5+1</f>
        <v>46191</v>
      </c>
      <c r="EZ5" s="42">
        <f t="shared" ref="EZ5" si="97">EY5+1</f>
        <v>46192</v>
      </c>
      <c r="FA5" s="42">
        <f t="shared" ref="FA5" si="98">EZ5+1</f>
        <v>46193</v>
      </c>
      <c r="FB5" s="42">
        <f t="shared" ref="FB5" si="99">FA5+1</f>
        <v>46194</v>
      </c>
      <c r="FC5" s="42">
        <f t="shared" ref="FC5" si="100">FB5+1</f>
        <v>46195</v>
      </c>
      <c r="FD5" s="42">
        <f t="shared" ref="FD5" si="101">FC5+1</f>
        <v>46196</v>
      </c>
      <c r="FE5" s="42">
        <f t="shared" ref="FE5" si="102">FD5+1</f>
        <v>46197</v>
      </c>
      <c r="FF5" s="42">
        <f t="shared" ref="FF5" si="103">FE5+1</f>
        <v>46198</v>
      </c>
      <c r="FG5" s="42">
        <f t="shared" ref="FG5" si="104">FF5+1</f>
        <v>46199</v>
      </c>
      <c r="FH5" s="42">
        <f t="shared" ref="FH5" si="105">FG5+1</f>
        <v>46200</v>
      </c>
      <c r="FI5" s="42">
        <f t="shared" ref="FI5" si="106">FH5+1</f>
        <v>46201</v>
      </c>
      <c r="FJ5" s="42">
        <f t="shared" ref="FJ5" si="107">FI5+1</f>
        <v>46202</v>
      </c>
      <c r="FK5" s="42">
        <f t="shared" ref="FK5" si="108">FJ5+1</f>
        <v>46203</v>
      </c>
      <c r="FL5" s="42">
        <f t="shared" ref="FL5" si="109">FK5+1</f>
        <v>46204</v>
      </c>
      <c r="FM5" s="42">
        <f t="shared" ref="FM5" si="110">FL5+1</f>
        <v>46205</v>
      </c>
      <c r="FN5" s="42">
        <f t="shared" ref="FN5" si="111">FM5+1</f>
        <v>46206</v>
      </c>
      <c r="FO5" s="42">
        <f t="shared" ref="FO5" si="112">FN5+1</f>
        <v>46207</v>
      </c>
      <c r="FP5" s="42">
        <f t="shared" ref="FP5" si="113">FO5+1</f>
        <v>46208</v>
      </c>
      <c r="FQ5" s="42">
        <f t="shared" ref="FQ5" si="114">FP5+1</f>
        <v>46209</v>
      </c>
      <c r="FR5" s="42">
        <f t="shared" ref="FR5" si="115">FQ5+1</f>
        <v>46210</v>
      </c>
      <c r="FS5" s="42">
        <f t="shared" ref="FS5" si="116">FR5+1</f>
        <v>46211</v>
      </c>
      <c r="FT5" s="42">
        <f t="shared" ref="FT5" si="117">FS5+1</f>
        <v>46212</v>
      </c>
      <c r="FU5" s="42">
        <f t="shared" ref="FU5" si="118">FT5+1</f>
        <v>46213</v>
      </c>
      <c r="FV5" s="42">
        <f t="shared" ref="FV5" si="119">FU5+1</f>
        <v>46214</v>
      </c>
      <c r="FW5" s="42">
        <f t="shared" ref="FW5" si="120">FV5+1</f>
        <v>46215</v>
      </c>
      <c r="FX5" s="42">
        <f t="shared" ref="FX5" si="121">FW5+1</f>
        <v>46216</v>
      </c>
      <c r="FY5" s="42">
        <f t="shared" ref="FY5" si="122">FX5+1</f>
        <v>46217</v>
      </c>
      <c r="FZ5" s="42">
        <f t="shared" ref="FZ5" si="123">FY5+1</f>
        <v>46218</v>
      </c>
      <c r="GA5" s="42">
        <f t="shared" ref="GA5" si="124">FZ5+1</f>
        <v>46219</v>
      </c>
      <c r="GB5" s="42">
        <f t="shared" ref="GB5" si="125">GA5+1</f>
        <v>46220</v>
      </c>
      <c r="GC5" s="42">
        <f t="shared" ref="GC5" si="126">GB5+1</f>
        <v>46221</v>
      </c>
      <c r="GD5" s="42">
        <f t="shared" ref="GD5" si="127">GC5+1</f>
        <v>46222</v>
      </c>
      <c r="GE5" s="42">
        <f t="shared" ref="GE5" si="128">GD5+1</f>
        <v>46223</v>
      </c>
      <c r="GF5" s="42">
        <f t="shared" ref="GF5" si="129">GE5+1</f>
        <v>46224</v>
      </c>
      <c r="GG5" s="42">
        <f t="shared" ref="GG5" si="130">GF5+1</f>
        <v>46225</v>
      </c>
      <c r="GH5" s="42">
        <f t="shared" ref="GH5" si="131">GG5+1</f>
        <v>46226</v>
      </c>
      <c r="GI5" s="42">
        <f t="shared" ref="GI5" si="132">GH5+1</f>
        <v>46227</v>
      </c>
      <c r="GJ5" s="42">
        <f t="shared" ref="GJ5" si="133">GI5+1</f>
        <v>46228</v>
      </c>
      <c r="GK5" s="42">
        <f t="shared" ref="GK5" si="134">GJ5+1</f>
        <v>46229</v>
      </c>
      <c r="GL5" s="42">
        <f t="shared" ref="GL5" si="135">GK5+1</f>
        <v>46230</v>
      </c>
      <c r="GM5" s="42">
        <f t="shared" ref="GM5" si="136">GL5+1</f>
        <v>46231</v>
      </c>
      <c r="GN5" s="42">
        <f t="shared" ref="GN5" si="137">GM5+1</f>
        <v>46232</v>
      </c>
      <c r="GO5" s="42">
        <f t="shared" ref="GO5" si="138">GN5+1</f>
        <v>46233</v>
      </c>
      <c r="GP5" s="42">
        <f t="shared" ref="GP5" si="139">GO5+1</f>
        <v>46234</v>
      </c>
      <c r="GQ5" s="42">
        <f t="shared" ref="GQ5" si="140">GP5+1</f>
        <v>46235</v>
      </c>
      <c r="GR5" s="42">
        <f t="shared" ref="GR5" si="141">GQ5+1</f>
        <v>46236</v>
      </c>
      <c r="GS5" s="42">
        <f t="shared" ref="GS5" si="142">GR5+1</f>
        <v>46237</v>
      </c>
      <c r="GT5" s="42">
        <f t="shared" ref="GT5" si="143">GS5+1</f>
        <v>46238</v>
      </c>
      <c r="GU5" s="42">
        <f t="shared" ref="GU5" si="144">GT5+1</f>
        <v>46239</v>
      </c>
      <c r="GV5" s="42">
        <f t="shared" ref="GV5" si="145">GU5+1</f>
        <v>46240</v>
      </c>
      <c r="GW5" s="42">
        <f t="shared" ref="GW5" si="146">GV5+1</f>
        <v>46241</v>
      </c>
      <c r="GX5" s="42">
        <f t="shared" ref="GX5" si="147">GW5+1</f>
        <v>46242</v>
      </c>
      <c r="GY5" s="42">
        <f t="shared" ref="GY5" si="148">GX5+1</f>
        <v>46243</v>
      </c>
      <c r="GZ5" s="42">
        <f t="shared" ref="GZ5" si="149">GY5+1</f>
        <v>46244</v>
      </c>
      <c r="HA5" s="42">
        <f t="shared" ref="HA5" si="150">GZ5+1</f>
        <v>46245</v>
      </c>
      <c r="HB5" s="42">
        <f t="shared" ref="HB5" si="151">HA5+1</f>
        <v>46246</v>
      </c>
      <c r="HC5" s="42">
        <f t="shared" ref="HC5" si="152">HB5+1</f>
        <v>46247</v>
      </c>
      <c r="HD5" s="42">
        <f t="shared" ref="HD5" si="153">HC5+1</f>
        <v>46248</v>
      </c>
      <c r="HE5" s="42">
        <f t="shared" ref="HE5" si="154">HD5+1</f>
        <v>46249</v>
      </c>
      <c r="HF5" s="42">
        <f t="shared" ref="HF5" si="155">HE5+1</f>
        <v>46250</v>
      </c>
      <c r="HG5" s="42">
        <f t="shared" ref="HG5" si="156">HF5+1</f>
        <v>46251</v>
      </c>
      <c r="HH5" s="42">
        <f t="shared" ref="HH5" si="157">HG5+1</f>
        <v>46252</v>
      </c>
      <c r="HI5" s="42">
        <f t="shared" ref="HI5" si="158">HH5+1</f>
        <v>46253</v>
      </c>
      <c r="HJ5" s="42">
        <f t="shared" ref="HJ5" si="159">HI5+1</f>
        <v>46254</v>
      </c>
      <c r="HK5" s="42">
        <f t="shared" ref="HK5" si="160">HJ5+1</f>
        <v>46255</v>
      </c>
      <c r="HL5" s="42">
        <f t="shared" ref="HL5" si="161">HK5+1</f>
        <v>46256</v>
      </c>
      <c r="HM5" s="42">
        <f t="shared" ref="HM5" si="162">HL5+1</f>
        <v>46257</v>
      </c>
      <c r="HN5" s="42">
        <f t="shared" ref="HN5" si="163">HM5+1</f>
        <v>46258</v>
      </c>
      <c r="HO5" s="42">
        <f t="shared" ref="HO5" si="164">HN5+1</f>
        <v>46259</v>
      </c>
      <c r="HP5" s="42">
        <f t="shared" ref="HP5" si="165">HO5+1</f>
        <v>46260</v>
      </c>
      <c r="HQ5" s="42">
        <f t="shared" ref="HQ5" si="166">HP5+1</f>
        <v>46261</v>
      </c>
      <c r="HR5" s="42">
        <f t="shared" ref="HR5" si="167">HQ5+1</f>
        <v>46262</v>
      </c>
      <c r="HS5" s="42">
        <f t="shared" ref="HS5" si="168">HR5+1</f>
        <v>46263</v>
      </c>
      <c r="HT5" s="42">
        <f t="shared" ref="HT5" si="169">HS5+1</f>
        <v>46264</v>
      </c>
      <c r="HU5" s="42">
        <f t="shared" ref="HU5" si="170">HT5+1</f>
        <v>46265</v>
      </c>
      <c r="HV5" s="42">
        <f t="shared" ref="HV5" si="171">HU5+1</f>
        <v>46266</v>
      </c>
      <c r="HW5" s="42">
        <f t="shared" ref="HW5" si="172">HV5+1</f>
        <v>46267</v>
      </c>
      <c r="HX5" s="42">
        <f t="shared" ref="HX5" si="173">HW5+1</f>
        <v>46268</v>
      </c>
      <c r="HY5" s="42">
        <f t="shared" ref="HY5" si="174">HX5+1</f>
        <v>46269</v>
      </c>
      <c r="HZ5" s="42">
        <f t="shared" ref="HZ5" si="175">HY5+1</f>
        <v>46270</v>
      </c>
      <c r="IA5" s="42">
        <f t="shared" ref="IA5" si="176">HZ5+1</f>
        <v>46271</v>
      </c>
      <c r="IB5" s="42">
        <f t="shared" ref="IB5" si="177">IA5+1</f>
        <v>46272</v>
      </c>
      <c r="IC5" s="42">
        <f t="shared" ref="IC5" si="178">IB5+1</f>
        <v>46273</v>
      </c>
      <c r="ID5" s="42">
        <f t="shared" ref="ID5" si="179">IC5+1</f>
        <v>46274</v>
      </c>
      <c r="IE5" s="42">
        <f t="shared" ref="IE5" si="180">ID5+1</f>
        <v>46275</v>
      </c>
      <c r="IF5" s="42">
        <f t="shared" ref="IF5" si="181">IE5+1</f>
        <v>46276</v>
      </c>
      <c r="IG5" s="42">
        <f t="shared" ref="IG5" si="182">IF5+1</f>
        <v>46277</v>
      </c>
      <c r="IH5" s="42">
        <f t="shared" ref="IH5" si="183">IG5+1</f>
        <v>46278</v>
      </c>
      <c r="II5" s="42">
        <f t="shared" ref="II5" si="184">IH5+1</f>
        <v>46279</v>
      </c>
      <c r="IJ5" s="42">
        <f t="shared" ref="IJ5" si="185">II5+1</f>
        <v>46280</v>
      </c>
      <c r="IK5" s="42">
        <f t="shared" ref="IK5" si="186">IJ5+1</f>
        <v>46281</v>
      </c>
      <c r="IL5" s="42">
        <f t="shared" ref="IL5" si="187">IK5+1</f>
        <v>46282</v>
      </c>
      <c r="IM5" s="42">
        <f t="shared" ref="IM5" si="188">IL5+1</f>
        <v>46283</v>
      </c>
      <c r="IN5" s="42">
        <f t="shared" ref="IN5" si="189">IM5+1</f>
        <v>46284</v>
      </c>
      <c r="IO5" s="42">
        <f t="shared" ref="IO5" si="190">IN5+1</f>
        <v>46285</v>
      </c>
      <c r="IP5" s="42">
        <f t="shared" ref="IP5" si="191">IO5+1</f>
        <v>46286</v>
      </c>
      <c r="IQ5" s="42">
        <f t="shared" ref="IQ5" si="192">IP5+1</f>
        <v>46287</v>
      </c>
      <c r="IR5" s="42">
        <f t="shared" ref="IR5" si="193">IQ5+1</f>
        <v>46288</v>
      </c>
      <c r="IS5" s="42">
        <f t="shared" ref="IS5" si="194">IR5+1</f>
        <v>46289</v>
      </c>
      <c r="IT5" s="42">
        <f t="shared" ref="IT5" si="195">IS5+1</f>
        <v>46290</v>
      </c>
      <c r="IU5" s="42">
        <f t="shared" ref="IU5" si="196">IT5+1</f>
        <v>46291</v>
      </c>
      <c r="IV5" s="42">
        <f t="shared" ref="IV5" si="197">IU5+1</f>
        <v>46292</v>
      </c>
      <c r="IW5" s="42">
        <f t="shared" ref="IW5" si="198">IV5+1</f>
        <v>46293</v>
      </c>
      <c r="IX5" s="42">
        <f t="shared" ref="IX5" si="199">IW5+1</f>
        <v>46294</v>
      </c>
      <c r="IY5" s="42">
        <f t="shared" ref="IY5" si="200">IX5+1</f>
        <v>46295</v>
      </c>
      <c r="IZ5" s="42">
        <f t="shared" ref="IZ5" si="201">IY5+1</f>
        <v>46296</v>
      </c>
      <c r="JA5" s="42">
        <f t="shared" ref="JA5" si="202">IZ5+1</f>
        <v>46297</v>
      </c>
      <c r="JB5" s="42">
        <f t="shared" ref="JB5" si="203">JA5+1</f>
        <v>46298</v>
      </c>
      <c r="JC5" s="42">
        <f t="shared" ref="JC5" si="204">JB5+1</f>
        <v>46299</v>
      </c>
      <c r="JD5" s="42">
        <f t="shared" ref="JD5" si="205">JC5+1</f>
        <v>46300</v>
      </c>
      <c r="JE5" s="42">
        <f t="shared" ref="JE5" si="206">JD5+1</f>
        <v>46301</v>
      </c>
      <c r="JF5" s="42">
        <f t="shared" ref="JF5" si="207">JE5+1</f>
        <v>46302</v>
      </c>
      <c r="JG5" s="42">
        <f t="shared" ref="JG5" si="208">JF5+1</f>
        <v>46303</v>
      </c>
      <c r="JH5" s="42">
        <f t="shared" ref="JH5" si="209">JG5+1</f>
        <v>46304</v>
      </c>
      <c r="JI5" s="42">
        <f t="shared" ref="JI5" si="210">JH5+1</f>
        <v>46305</v>
      </c>
      <c r="JJ5" s="42">
        <f t="shared" ref="JJ5" si="211">JI5+1</f>
        <v>46306</v>
      </c>
      <c r="JK5" s="42">
        <f t="shared" ref="JK5" si="212">JJ5+1</f>
        <v>46307</v>
      </c>
      <c r="JL5" s="42">
        <f t="shared" ref="JL5" si="213">JK5+1</f>
        <v>46308</v>
      </c>
      <c r="JM5" s="42">
        <f t="shared" ref="JM5" si="214">JL5+1</f>
        <v>46309</v>
      </c>
      <c r="JN5" s="42">
        <f t="shared" ref="JN5" si="215">JM5+1</f>
        <v>46310</v>
      </c>
      <c r="JO5" s="42">
        <f t="shared" ref="JO5" si="216">JN5+1</f>
        <v>46311</v>
      </c>
      <c r="JP5" s="42">
        <f t="shared" ref="JP5" si="217">JO5+1</f>
        <v>46312</v>
      </c>
      <c r="JQ5" s="42">
        <f t="shared" ref="JQ5" si="218">JP5+1</f>
        <v>46313</v>
      </c>
      <c r="JR5" s="42">
        <f t="shared" ref="JR5" si="219">JQ5+1</f>
        <v>46314</v>
      </c>
      <c r="JS5" s="42">
        <f t="shared" ref="JS5" si="220">JR5+1</f>
        <v>46315</v>
      </c>
      <c r="JT5" s="42">
        <f t="shared" ref="JT5" si="221">JS5+1</f>
        <v>46316</v>
      </c>
      <c r="JU5" s="42">
        <f t="shared" ref="JU5" si="222">JT5+1</f>
        <v>46317</v>
      </c>
      <c r="JV5" s="42">
        <f t="shared" ref="JV5" si="223">JU5+1</f>
        <v>46318</v>
      </c>
      <c r="JW5" s="42">
        <f t="shared" ref="JW5" si="224">JV5+1</f>
        <v>46319</v>
      </c>
      <c r="JX5" s="42">
        <f t="shared" ref="JX5" si="225">JW5+1</f>
        <v>46320</v>
      </c>
      <c r="JY5" s="42">
        <f t="shared" ref="JY5" si="226">JX5+1</f>
        <v>46321</v>
      </c>
      <c r="JZ5" s="42">
        <f t="shared" ref="JZ5" si="227">JY5+1</f>
        <v>46322</v>
      </c>
      <c r="KA5" s="42">
        <f t="shared" ref="KA5" si="228">JZ5+1</f>
        <v>46323</v>
      </c>
      <c r="KB5" s="42">
        <f t="shared" ref="KB5" si="229">KA5+1</f>
        <v>46324</v>
      </c>
      <c r="KC5" s="42">
        <f t="shared" ref="KC5" si="230">KB5+1</f>
        <v>46325</v>
      </c>
      <c r="KD5" s="42">
        <f t="shared" ref="KD5" si="231">KC5+1</f>
        <v>46326</v>
      </c>
      <c r="KE5" s="42">
        <f t="shared" ref="KE5" si="232">KD5+1</f>
        <v>46327</v>
      </c>
      <c r="KF5" s="42">
        <f t="shared" ref="KF5" si="233">KE5+1</f>
        <v>46328</v>
      </c>
      <c r="KG5" s="42">
        <f t="shared" ref="KG5" si="234">KF5+1</f>
        <v>46329</v>
      </c>
      <c r="KH5" s="42">
        <f t="shared" ref="KH5" si="235">KG5+1</f>
        <v>46330</v>
      </c>
      <c r="KI5" s="42">
        <f t="shared" ref="KI5" si="236">KH5+1</f>
        <v>46331</v>
      </c>
      <c r="KJ5" s="42">
        <f t="shared" ref="KJ5" si="237">KI5+1</f>
        <v>46332</v>
      </c>
      <c r="KK5" s="42">
        <f t="shared" ref="KK5" si="238">KJ5+1</f>
        <v>46333</v>
      </c>
      <c r="KL5" s="42">
        <f t="shared" ref="KL5" si="239">KK5+1</f>
        <v>46334</v>
      </c>
      <c r="KM5" s="42">
        <f t="shared" ref="KM5" si="240">KL5+1</f>
        <v>46335</v>
      </c>
      <c r="KN5" s="42">
        <f t="shared" ref="KN5" si="241">KM5+1</f>
        <v>46336</v>
      </c>
      <c r="KO5" s="42">
        <f t="shared" ref="KO5" si="242">KN5+1</f>
        <v>46337</v>
      </c>
      <c r="KP5" s="42">
        <f t="shared" ref="KP5" si="243">KO5+1</f>
        <v>46338</v>
      </c>
      <c r="KQ5" s="42">
        <f t="shared" ref="KQ5" si="244">KP5+1</f>
        <v>46339</v>
      </c>
      <c r="KR5" s="42">
        <f t="shared" ref="KR5" si="245">KQ5+1</f>
        <v>46340</v>
      </c>
      <c r="KS5" s="42">
        <f t="shared" ref="KS5" si="246">KR5+1</f>
        <v>46341</v>
      </c>
      <c r="KT5" s="42">
        <f t="shared" ref="KT5" si="247">KS5+1</f>
        <v>46342</v>
      </c>
      <c r="KU5" s="42">
        <f t="shared" ref="KU5" si="248">KT5+1</f>
        <v>46343</v>
      </c>
      <c r="KV5" s="42">
        <f t="shared" ref="KV5" si="249">KU5+1</f>
        <v>46344</v>
      </c>
      <c r="KW5" s="42">
        <f t="shared" ref="KW5" si="250">KV5+1</f>
        <v>46345</v>
      </c>
      <c r="KX5" s="42">
        <f t="shared" ref="KX5" si="251">KW5+1</f>
        <v>46346</v>
      </c>
      <c r="KY5" s="42">
        <f t="shared" ref="KY5" si="252">KX5+1</f>
        <v>46347</v>
      </c>
      <c r="KZ5" s="42">
        <f t="shared" ref="KZ5" si="253">KY5+1</f>
        <v>46348</v>
      </c>
      <c r="LA5" s="42">
        <f t="shared" ref="LA5" si="254">KZ5+1</f>
        <v>46349</v>
      </c>
      <c r="LB5" s="42">
        <f t="shared" ref="LB5" si="255">LA5+1</f>
        <v>46350</v>
      </c>
      <c r="LC5" s="42">
        <f t="shared" ref="LC5" si="256">LB5+1</f>
        <v>46351</v>
      </c>
      <c r="LD5" s="42">
        <f t="shared" ref="LD5" si="257">LC5+1</f>
        <v>46352</v>
      </c>
      <c r="LE5" s="42">
        <f t="shared" ref="LE5" si="258">LD5+1</f>
        <v>46353</v>
      </c>
      <c r="LF5" s="42">
        <f t="shared" ref="LF5" si="259">LE5+1</f>
        <v>46354</v>
      </c>
      <c r="LG5" s="42">
        <f t="shared" ref="LG5" si="260">LF5+1</f>
        <v>46355</v>
      </c>
      <c r="LH5" s="42">
        <f t="shared" ref="LH5" si="261">LG5+1</f>
        <v>46356</v>
      </c>
      <c r="LI5" s="42">
        <f t="shared" ref="LI5" si="262">LH5+1</f>
        <v>46357</v>
      </c>
      <c r="LJ5" s="42">
        <f t="shared" ref="LJ5" si="263">LI5+1</f>
        <v>46358</v>
      </c>
      <c r="LK5" s="42">
        <f t="shared" ref="LK5" si="264">LJ5+1</f>
        <v>46359</v>
      </c>
      <c r="LL5" s="42">
        <f t="shared" ref="LL5" si="265">LK5+1</f>
        <v>46360</v>
      </c>
      <c r="LM5" s="42">
        <f t="shared" ref="LM5" si="266">LL5+1</f>
        <v>46361</v>
      </c>
      <c r="LN5" s="42">
        <f t="shared" ref="LN5" si="267">LM5+1</f>
        <v>46362</v>
      </c>
      <c r="LO5" s="42">
        <f t="shared" ref="LO5" si="268">LN5+1</f>
        <v>46363</v>
      </c>
      <c r="LP5" s="42">
        <f t="shared" ref="LP5" si="269">LO5+1</f>
        <v>46364</v>
      </c>
      <c r="LQ5" s="42">
        <f t="shared" ref="LQ5" si="270">LP5+1</f>
        <v>46365</v>
      </c>
      <c r="LR5" s="42">
        <f t="shared" ref="LR5" si="271">LQ5+1</f>
        <v>46366</v>
      </c>
      <c r="LS5" s="42">
        <f t="shared" ref="LS5" si="272">LR5+1</f>
        <v>46367</v>
      </c>
      <c r="LT5" s="42">
        <f t="shared" ref="LT5" si="273">LS5+1</f>
        <v>46368</v>
      </c>
      <c r="LU5" s="42">
        <f t="shared" ref="LU5" si="274">LT5+1</f>
        <v>46369</v>
      </c>
      <c r="LV5" s="42">
        <f t="shared" ref="LV5" si="275">LU5+1</f>
        <v>46370</v>
      </c>
      <c r="LW5" s="42">
        <f t="shared" ref="LW5" si="276">LV5+1</f>
        <v>46371</v>
      </c>
      <c r="LX5" s="42">
        <f t="shared" ref="LX5" si="277">LW5+1</f>
        <v>46372</v>
      </c>
      <c r="LY5" s="42">
        <f t="shared" ref="LY5" si="278">LX5+1</f>
        <v>46373</v>
      </c>
      <c r="LZ5" s="42">
        <f t="shared" ref="LZ5" si="279">LY5+1</f>
        <v>46374</v>
      </c>
      <c r="MA5" s="42">
        <f t="shared" ref="MA5" si="280">LZ5+1</f>
        <v>46375</v>
      </c>
      <c r="MB5" s="42">
        <f t="shared" ref="MB5" si="281">MA5+1</f>
        <v>46376</v>
      </c>
      <c r="MC5" s="42">
        <f t="shared" ref="MC5" si="282">MB5+1</f>
        <v>46377</v>
      </c>
      <c r="MD5" s="42">
        <f t="shared" ref="MD5" si="283">MC5+1</f>
        <v>46378</v>
      </c>
      <c r="ME5" s="42">
        <f t="shared" ref="ME5" si="284">MD5+1</f>
        <v>46379</v>
      </c>
      <c r="MF5" s="42">
        <f t="shared" ref="MF5" si="285">ME5+1</f>
        <v>46380</v>
      </c>
      <c r="MG5" s="42">
        <f t="shared" ref="MG5" si="286">MF5+1</f>
        <v>46381</v>
      </c>
      <c r="MH5" s="42">
        <f t="shared" ref="MH5" si="287">MG5+1</f>
        <v>46382</v>
      </c>
      <c r="MI5" s="42">
        <f t="shared" ref="MI5" si="288">MH5+1</f>
        <v>46383</v>
      </c>
      <c r="MJ5" s="42">
        <f t="shared" ref="MJ5" si="289">MI5+1</f>
        <v>46384</v>
      </c>
      <c r="MK5" s="42">
        <f t="shared" ref="MK5" si="290">MJ5+1</f>
        <v>46385</v>
      </c>
      <c r="ML5" s="42">
        <f t="shared" ref="ML5" si="291">MK5+1</f>
        <v>46386</v>
      </c>
      <c r="MM5" s="42">
        <f t="shared" ref="MM5" si="292">ML5+1</f>
        <v>46387</v>
      </c>
      <c r="MN5" s="42">
        <f t="shared" ref="MN5" si="293">MM5+1</f>
        <v>46388</v>
      </c>
      <c r="MO5" s="42">
        <f t="shared" ref="MO5" si="294">MN5+1</f>
        <v>46389</v>
      </c>
      <c r="MP5" s="42">
        <f t="shared" ref="MP5" si="295">MO5+1</f>
        <v>46390</v>
      </c>
      <c r="MQ5" s="42">
        <f t="shared" ref="MQ5" si="296">MP5+1</f>
        <v>46391</v>
      </c>
      <c r="MR5" s="42">
        <f t="shared" ref="MR5" si="297">MQ5+1</f>
        <v>46392</v>
      </c>
      <c r="MS5" s="42">
        <f t="shared" ref="MS5" si="298">MR5+1</f>
        <v>46393</v>
      </c>
      <c r="MT5" s="42">
        <f t="shared" ref="MT5" si="299">MS5+1</f>
        <v>46394</v>
      </c>
      <c r="MU5" s="42">
        <f t="shared" ref="MU5" si="300">MT5+1</f>
        <v>46395</v>
      </c>
      <c r="MV5" s="42">
        <f t="shared" ref="MV5" si="301">MU5+1</f>
        <v>46396</v>
      </c>
      <c r="MW5" s="42">
        <f t="shared" ref="MW5" si="302">MV5+1</f>
        <v>46397</v>
      </c>
    </row>
    <row r="6" spans="1:361" ht="30" customHeight="1" thickBot="1" x14ac:dyDescent="0.3">
      <c r="A6" s="29" t="s">
        <v>4</v>
      </c>
      <c r="B6" s="7" t="s">
        <v>73</v>
      </c>
      <c r="C6" s="54" t="s">
        <v>36</v>
      </c>
      <c r="D6" s="55" t="s">
        <v>53</v>
      </c>
      <c r="E6" s="8" t="s">
        <v>12</v>
      </c>
      <c r="F6" s="8" t="s">
        <v>13</v>
      </c>
      <c r="G6" s="8" t="s">
        <v>14</v>
      </c>
      <c r="H6" s="8" t="s">
        <v>54</v>
      </c>
      <c r="I6" s="8" t="s">
        <v>80</v>
      </c>
      <c r="J6" s="8"/>
      <c r="K6" s="8" t="s">
        <v>15</v>
      </c>
      <c r="L6" s="9" t="str">
        <f>LEFT(TEXT(L5,"ddd"),1)</f>
        <v>l</v>
      </c>
      <c r="M6" s="9" t="str">
        <f t="shared" ref="M6:AU6" si="303">LEFT(TEXT(M5,"ddd"),1)</f>
        <v>m</v>
      </c>
      <c r="N6" s="9" t="str">
        <f t="shared" si="303"/>
        <v>m</v>
      </c>
      <c r="O6" s="9" t="str">
        <f t="shared" si="303"/>
        <v>j</v>
      </c>
      <c r="P6" s="9" t="str">
        <f t="shared" si="303"/>
        <v>v</v>
      </c>
      <c r="Q6" s="9" t="str">
        <f t="shared" si="303"/>
        <v>s</v>
      </c>
      <c r="R6" s="9" t="str">
        <f t="shared" si="303"/>
        <v>d</v>
      </c>
      <c r="S6" s="9" t="str">
        <f t="shared" si="303"/>
        <v>l</v>
      </c>
      <c r="T6" s="9" t="str">
        <f t="shared" si="303"/>
        <v>m</v>
      </c>
      <c r="U6" s="9" t="str">
        <f t="shared" si="303"/>
        <v>m</v>
      </c>
      <c r="V6" s="9" t="str">
        <f t="shared" si="303"/>
        <v>j</v>
      </c>
      <c r="W6" s="9" t="str">
        <f t="shared" si="303"/>
        <v>v</v>
      </c>
      <c r="X6" s="9" t="str">
        <f t="shared" si="303"/>
        <v>s</v>
      </c>
      <c r="Y6" s="9" t="str">
        <f t="shared" si="303"/>
        <v>d</v>
      </c>
      <c r="Z6" s="9" t="str">
        <f t="shared" si="303"/>
        <v>l</v>
      </c>
      <c r="AA6" s="9" t="str">
        <f t="shared" si="303"/>
        <v>m</v>
      </c>
      <c r="AB6" s="9" t="str">
        <f t="shared" si="303"/>
        <v>m</v>
      </c>
      <c r="AC6" s="9" t="str">
        <f t="shared" si="303"/>
        <v>j</v>
      </c>
      <c r="AD6" s="9" t="str">
        <f t="shared" si="303"/>
        <v>v</v>
      </c>
      <c r="AE6" s="9" t="str">
        <f t="shared" si="303"/>
        <v>s</v>
      </c>
      <c r="AF6" s="9" t="str">
        <f t="shared" si="303"/>
        <v>d</v>
      </c>
      <c r="AG6" s="9" t="str">
        <f t="shared" si="303"/>
        <v>l</v>
      </c>
      <c r="AH6" s="9" t="str">
        <f t="shared" si="303"/>
        <v>m</v>
      </c>
      <c r="AI6" s="9" t="str">
        <f t="shared" si="303"/>
        <v>m</v>
      </c>
      <c r="AJ6" s="9" t="str">
        <f t="shared" si="303"/>
        <v>j</v>
      </c>
      <c r="AK6" s="9" t="str">
        <f t="shared" si="303"/>
        <v>v</v>
      </c>
      <c r="AL6" s="9" t="str">
        <f t="shared" si="303"/>
        <v>s</v>
      </c>
      <c r="AM6" s="9" t="str">
        <f t="shared" si="303"/>
        <v>d</v>
      </c>
      <c r="AN6" s="9" t="str">
        <f t="shared" si="303"/>
        <v>l</v>
      </c>
      <c r="AO6" s="9" t="str">
        <f t="shared" si="303"/>
        <v>m</v>
      </c>
      <c r="AP6" s="9" t="str">
        <f t="shared" si="303"/>
        <v>m</v>
      </c>
      <c r="AQ6" s="9" t="str">
        <f t="shared" si="303"/>
        <v>j</v>
      </c>
      <c r="AR6" s="9" t="str">
        <f t="shared" si="303"/>
        <v>v</v>
      </c>
      <c r="AS6" s="9" t="str">
        <f t="shared" si="303"/>
        <v>s</v>
      </c>
      <c r="AT6" s="9" t="str">
        <f t="shared" si="303"/>
        <v>d</v>
      </c>
      <c r="AU6" s="9" t="str">
        <f t="shared" si="303"/>
        <v>l</v>
      </c>
      <c r="AV6" s="9" t="str">
        <f t="shared" ref="AV6:CJ6" si="304">LEFT(TEXT(AV5,"ddd"),1)</f>
        <v>m</v>
      </c>
      <c r="AW6" s="9" t="str">
        <f t="shared" si="304"/>
        <v>m</v>
      </c>
      <c r="AX6" s="9" t="str">
        <f t="shared" si="304"/>
        <v>j</v>
      </c>
      <c r="AY6" s="9" t="str">
        <f t="shared" si="304"/>
        <v>v</v>
      </c>
      <c r="AZ6" s="9" t="str">
        <f t="shared" si="304"/>
        <v>s</v>
      </c>
      <c r="BA6" s="9" t="str">
        <f t="shared" si="304"/>
        <v>d</v>
      </c>
      <c r="BB6" s="9" t="str">
        <f t="shared" si="304"/>
        <v>l</v>
      </c>
      <c r="BC6" s="9" t="str">
        <f t="shared" si="304"/>
        <v>m</v>
      </c>
      <c r="BD6" s="9" t="str">
        <f t="shared" si="304"/>
        <v>m</v>
      </c>
      <c r="BE6" s="9" t="str">
        <f t="shared" si="304"/>
        <v>j</v>
      </c>
      <c r="BF6" s="9" t="str">
        <f t="shared" si="304"/>
        <v>v</v>
      </c>
      <c r="BG6" s="9" t="str">
        <f t="shared" si="304"/>
        <v>s</v>
      </c>
      <c r="BH6" s="9" t="str">
        <f t="shared" si="304"/>
        <v>d</v>
      </c>
      <c r="BI6" s="9" t="str">
        <f t="shared" ref="BI6:BO6" si="305">LEFT(TEXT(BI5,"ddd"),1)</f>
        <v>l</v>
      </c>
      <c r="BJ6" s="9" t="str">
        <f t="shared" si="305"/>
        <v>m</v>
      </c>
      <c r="BK6" s="9" t="str">
        <f t="shared" si="305"/>
        <v>m</v>
      </c>
      <c r="BL6" s="9" t="str">
        <f t="shared" si="305"/>
        <v>j</v>
      </c>
      <c r="BM6" s="9" t="str">
        <f t="shared" si="305"/>
        <v>v</v>
      </c>
      <c r="BN6" s="9" t="str">
        <f t="shared" si="305"/>
        <v>s</v>
      </c>
      <c r="BO6" s="9" t="str">
        <f t="shared" si="305"/>
        <v>d</v>
      </c>
      <c r="BP6" s="9" t="s">
        <v>83</v>
      </c>
      <c r="BQ6" s="9" t="s">
        <v>84</v>
      </c>
      <c r="BR6" s="9" t="s">
        <v>84</v>
      </c>
      <c r="BS6" s="9" t="s">
        <v>85</v>
      </c>
      <c r="BT6" s="9" t="s">
        <v>86</v>
      </c>
      <c r="BU6" s="9" t="str">
        <f t="shared" ref="BU6:CC6" si="306">LEFT(TEXT(BU5,"ddd"),1)</f>
        <v>s</v>
      </c>
      <c r="BV6" s="9" t="str">
        <f t="shared" si="306"/>
        <v>d</v>
      </c>
      <c r="BW6" s="9" t="s">
        <v>83</v>
      </c>
      <c r="BX6" s="9" t="s">
        <v>84</v>
      </c>
      <c r="BY6" s="9" t="s">
        <v>84</v>
      </c>
      <c r="BZ6" s="9" t="s">
        <v>85</v>
      </c>
      <c r="CA6" s="9" t="s">
        <v>86</v>
      </c>
      <c r="CB6" s="9" t="str">
        <f t="shared" si="306"/>
        <v>s</v>
      </c>
      <c r="CC6" s="9" t="str">
        <f t="shared" si="306"/>
        <v>d</v>
      </c>
      <c r="CD6" s="9" t="str">
        <f t="shared" si="304"/>
        <v>l</v>
      </c>
      <c r="CE6" s="9" t="str">
        <f t="shared" si="304"/>
        <v>m</v>
      </c>
      <c r="CF6" s="9" t="str">
        <f t="shared" si="304"/>
        <v>m</v>
      </c>
      <c r="CG6" s="9" t="str">
        <f t="shared" si="304"/>
        <v>j</v>
      </c>
      <c r="CH6" s="9" t="str">
        <f t="shared" si="304"/>
        <v>v</v>
      </c>
      <c r="CI6" s="9" t="str">
        <f t="shared" si="304"/>
        <v>s</v>
      </c>
      <c r="CJ6" s="9" t="str">
        <f t="shared" si="304"/>
        <v>d</v>
      </c>
      <c r="CK6" s="9" t="str">
        <f t="shared" ref="CK6:CQ6" si="307">LEFT(TEXT(CK5,"ddd"),1)</f>
        <v>l</v>
      </c>
      <c r="CL6" s="9" t="str">
        <f t="shared" si="307"/>
        <v>m</v>
      </c>
      <c r="CM6" s="9" t="str">
        <f t="shared" si="307"/>
        <v>m</v>
      </c>
      <c r="CN6" s="9" t="str">
        <f t="shared" si="307"/>
        <v>j</v>
      </c>
      <c r="CO6" s="9" t="str">
        <f t="shared" si="307"/>
        <v>v</v>
      </c>
      <c r="CP6" s="9" t="str">
        <f t="shared" si="307"/>
        <v>s</v>
      </c>
      <c r="CQ6" s="9" t="str">
        <f t="shared" si="307"/>
        <v>d</v>
      </c>
      <c r="CR6" s="9" t="str">
        <f t="shared" ref="CR6:CX6" si="308">LEFT(TEXT(CR5,"ddd"),1)</f>
        <v>l</v>
      </c>
      <c r="CS6" s="9" t="str">
        <f t="shared" si="308"/>
        <v>m</v>
      </c>
      <c r="CT6" s="9" t="str">
        <f t="shared" si="308"/>
        <v>m</v>
      </c>
      <c r="CU6" s="9" t="str">
        <f t="shared" si="308"/>
        <v>j</v>
      </c>
      <c r="CV6" s="9" t="str">
        <f t="shared" si="308"/>
        <v>v</v>
      </c>
      <c r="CW6" s="9" t="str">
        <f t="shared" si="308"/>
        <v>s</v>
      </c>
      <c r="CX6" s="9" t="str">
        <f t="shared" si="308"/>
        <v>d</v>
      </c>
      <c r="CY6" s="9" t="str">
        <f t="shared" ref="CY6:DE6" si="309">LEFT(TEXT(CY5,"ddd"),1)</f>
        <v>l</v>
      </c>
      <c r="CZ6" s="9" t="str">
        <f t="shared" si="309"/>
        <v>m</v>
      </c>
      <c r="DA6" s="9" t="str">
        <f t="shared" si="309"/>
        <v>m</v>
      </c>
      <c r="DB6" s="9" t="str">
        <f t="shared" si="309"/>
        <v>j</v>
      </c>
      <c r="DC6" s="9" t="str">
        <f t="shared" si="309"/>
        <v>v</v>
      </c>
      <c r="DD6" s="9" t="str">
        <f t="shared" si="309"/>
        <v>s</v>
      </c>
      <c r="DE6" s="9" t="str">
        <f t="shared" si="309"/>
        <v>d</v>
      </c>
      <c r="DF6" s="9" t="str">
        <f t="shared" ref="DF6:DL6" si="310">LEFT(TEXT(DF5,"ddd"),1)</f>
        <v>l</v>
      </c>
      <c r="DG6" s="9" t="str">
        <f t="shared" si="310"/>
        <v>m</v>
      </c>
      <c r="DH6" s="9" t="str">
        <f t="shared" si="310"/>
        <v>m</v>
      </c>
      <c r="DI6" s="9" t="str">
        <f t="shared" si="310"/>
        <v>j</v>
      </c>
      <c r="DJ6" s="9" t="str">
        <f t="shared" si="310"/>
        <v>v</v>
      </c>
      <c r="DK6" s="9" t="str">
        <f t="shared" si="310"/>
        <v>s</v>
      </c>
      <c r="DL6" s="9" t="str">
        <f t="shared" si="310"/>
        <v>d</v>
      </c>
      <c r="DM6" s="9" t="str">
        <f t="shared" ref="DM6:DS6" si="311">LEFT(TEXT(DM5,"ddd"),1)</f>
        <v>l</v>
      </c>
      <c r="DN6" s="9" t="str">
        <f t="shared" si="311"/>
        <v>m</v>
      </c>
      <c r="DO6" s="9" t="str">
        <f t="shared" si="311"/>
        <v>m</v>
      </c>
      <c r="DP6" s="9" t="str">
        <f t="shared" si="311"/>
        <v>j</v>
      </c>
      <c r="DQ6" s="9" t="str">
        <f t="shared" si="311"/>
        <v>v</v>
      </c>
      <c r="DR6" s="9" t="str">
        <f t="shared" si="311"/>
        <v>s</v>
      </c>
      <c r="DS6" s="9" t="str">
        <f t="shared" si="311"/>
        <v>d</v>
      </c>
      <c r="DT6" s="9" t="str">
        <f t="shared" ref="DT6:DZ6" si="312">LEFT(TEXT(DT5,"ddd"),1)</f>
        <v>l</v>
      </c>
      <c r="DU6" s="9" t="str">
        <f t="shared" si="312"/>
        <v>m</v>
      </c>
      <c r="DV6" s="9" t="str">
        <f t="shared" si="312"/>
        <v>m</v>
      </c>
      <c r="DW6" s="9" t="str">
        <f t="shared" si="312"/>
        <v>j</v>
      </c>
      <c r="DX6" s="9" t="str">
        <f t="shared" si="312"/>
        <v>v</v>
      </c>
      <c r="DY6" s="9" t="str">
        <f t="shared" si="312"/>
        <v>s</v>
      </c>
      <c r="DZ6" s="9" t="str">
        <f t="shared" si="312"/>
        <v>d</v>
      </c>
      <c r="EA6" s="9" t="str">
        <f t="shared" ref="EA6:EG6" si="313">LEFT(TEXT(EA5,"ddd"),1)</f>
        <v>l</v>
      </c>
      <c r="EB6" s="9" t="str">
        <f t="shared" si="313"/>
        <v>m</v>
      </c>
      <c r="EC6" s="9" t="str">
        <f t="shared" si="313"/>
        <v>m</v>
      </c>
      <c r="ED6" s="9" t="str">
        <f t="shared" si="313"/>
        <v>j</v>
      </c>
      <c r="EE6" s="9" t="str">
        <f t="shared" si="313"/>
        <v>v</v>
      </c>
      <c r="EF6" s="9" t="str">
        <f t="shared" si="313"/>
        <v>s</v>
      </c>
      <c r="EG6" s="9" t="str">
        <f t="shared" si="313"/>
        <v>d</v>
      </c>
      <c r="EH6" s="9" t="str">
        <f t="shared" ref="EH6:EN6" si="314">LEFT(TEXT(EH5,"ddd"),1)</f>
        <v>l</v>
      </c>
      <c r="EI6" s="9" t="str">
        <f t="shared" si="314"/>
        <v>m</v>
      </c>
      <c r="EJ6" s="9" t="str">
        <f t="shared" si="314"/>
        <v>m</v>
      </c>
      <c r="EK6" s="9" t="str">
        <f t="shared" si="314"/>
        <v>j</v>
      </c>
      <c r="EL6" s="9" t="str">
        <f t="shared" si="314"/>
        <v>v</v>
      </c>
      <c r="EM6" s="9" t="str">
        <f t="shared" si="314"/>
        <v>s</v>
      </c>
      <c r="EN6" s="9" t="str">
        <f t="shared" si="314"/>
        <v>d</v>
      </c>
      <c r="EO6" s="9" t="str">
        <f t="shared" ref="EO6:EU6" si="315">LEFT(TEXT(EO5,"ddd"),1)</f>
        <v>l</v>
      </c>
      <c r="EP6" s="9" t="str">
        <f t="shared" si="315"/>
        <v>m</v>
      </c>
      <c r="EQ6" s="9" t="str">
        <f t="shared" si="315"/>
        <v>m</v>
      </c>
      <c r="ER6" s="9" t="str">
        <f t="shared" si="315"/>
        <v>j</v>
      </c>
      <c r="ES6" s="9" t="str">
        <f t="shared" si="315"/>
        <v>v</v>
      </c>
      <c r="ET6" s="9" t="str">
        <f t="shared" si="315"/>
        <v>s</v>
      </c>
      <c r="EU6" s="9" t="str">
        <f t="shared" si="315"/>
        <v>d</v>
      </c>
      <c r="EV6" s="9" t="str">
        <f t="shared" ref="EV6:FB6" si="316">LEFT(TEXT(EV5,"ddd"),1)</f>
        <v>l</v>
      </c>
      <c r="EW6" s="9" t="str">
        <f t="shared" si="316"/>
        <v>m</v>
      </c>
      <c r="EX6" s="9" t="str">
        <f t="shared" si="316"/>
        <v>m</v>
      </c>
      <c r="EY6" s="9" t="str">
        <f t="shared" si="316"/>
        <v>j</v>
      </c>
      <c r="EZ6" s="9" t="str">
        <f t="shared" si="316"/>
        <v>v</v>
      </c>
      <c r="FA6" s="9" t="str">
        <f t="shared" si="316"/>
        <v>s</v>
      </c>
      <c r="FB6" s="9" t="str">
        <f t="shared" si="316"/>
        <v>d</v>
      </c>
      <c r="FC6" s="9" t="str">
        <f t="shared" ref="FC6:FI6" si="317">LEFT(TEXT(FC5,"ddd"),1)</f>
        <v>l</v>
      </c>
      <c r="FD6" s="9" t="str">
        <f t="shared" si="317"/>
        <v>m</v>
      </c>
      <c r="FE6" s="9" t="str">
        <f t="shared" si="317"/>
        <v>m</v>
      </c>
      <c r="FF6" s="9" t="str">
        <f t="shared" si="317"/>
        <v>j</v>
      </c>
      <c r="FG6" s="9" t="str">
        <f t="shared" si="317"/>
        <v>v</v>
      </c>
      <c r="FH6" s="9" t="str">
        <f t="shared" si="317"/>
        <v>s</v>
      </c>
      <c r="FI6" s="9" t="str">
        <f t="shared" si="317"/>
        <v>d</v>
      </c>
      <c r="FJ6" s="9" t="str">
        <f t="shared" ref="FJ6:FP6" si="318">LEFT(TEXT(FJ5,"ddd"),1)</f>
        <v>l</v>
      </c>
      <c r="FK6" s="9" t="str">
        <f t="shared" si="318"/>
        <v>m</v>
      </c>
      <c r="FL6" s="9" t="str">
        <f t="shared" si="318"/>
        <v>m</v>
      </c>
      <c r="FM6" s="9" t="str">
        <f t="shared" si="318"/>
        <v>j</v>
      </c>
      <c r="FN6" s="9" t="str">
        <f t="shared" si="318"/>
        <v>v</v>
      </c>
      <c r="FO6" s="9" t="str">
        <f t="shared" si="318"/>
        <v>s</v>
      </c>
      <c r="FP6" s="9" t="str">
        <f t="shared" si="318"/>
        <v>d</v>
      </c>
      <c r="FQ6" s="9" t="str">
        <f t="shared" ref="FQ6:FW6" si="319">LEFT(TEXT(FQ5,"ddd"),1)</f>
        <v>l</v>
      </c>
      <c r="FR6" s="9" t="str">
        <f t="shared" si="319"/>
        <v>m</v>
      </c>
      <c r="FS6" s="9" t="str">
        <f t="shared" si="319"/>
        <v>m</v>
      </c>
      <c r="FT6" s="9" t="str">
        <f t="shared" si="319"/>
        <v>j</v>
      </c>
      <c r="FU6" s="9" t="str">
        <f t="shared" si="319"/>
        <v>v</v>
      </c>
      <c r="FV6" s="9" t="str">
        <f t="shared" si="319"/>
        <v>s</v>
      </c>
      <c r="FW6" s="9" t="str">
        <f t="shared" si="319"/>
        <v>d</v>
      </c>
      <c r="FX6" s="9" t="str">
        <f t="shared" ref="FX6:GD6" si="320">LEFT(TEXT(FX5,"ddd"),1)</f>
        <v>l</v>
      </c>
      <c r="FY6" s="9" t="str">
        <f t="shared" si="320"/>
        <v>m</v>
      </c>
      <c r="FZ6" s="9" t="str">
        <f t="shared" si="320"/>
        <v>m</v>
      </c>
      <c r="GA6" s="9" t="str">
        <f t="shared" si="320"/>
        <v>j</v>
      </c>
      <c r="GB6" s="9" t="str">
        <f t="shared" si="320"/>
        <v>v</v>
      </c>
      <c r="GC6" s="9" t="str">
        <f t="shared" si="320"/>
        <v>s</v>
      </c>
      <c r="GD6" s="9" t="str">
        <f t="shared" si="320"/>
        <v>d</v>
      </c>
      <c r="GE6" s="9" t="str">
        <f t="shared" ref="GE6:GK6" si="321">LEFT(TEXT(GE5,"ddd"),1)</f>
        <v>l</v>
      </c>
      <c r="GF6" s="9" t="str">
        <f t="shared" si="321"/>
        <v>m</v>
      </c>
      <c r="GG6" s="9" t="str">
        <f t="shared" si="321"/>
        <v>m</v>
      </c>
      <c r="GH6" s="9" t="str">
        <f t="shared" si="321"/>
        <v>j</v>
      </c>
      <c r="GI6" s="9" t="str">
        <f t="shared" si="321"/>
        <v>v</v>
      </c>
      <c r="GJ6" s="9" t="str">
        <f t="shared" si="321"/>
        <v>s</v>
      </c>
      <c r="GK6" s="9" t="str">
        <f t="shared" si="321"/>
        <v>d</v>
      </c>
      <c r="GL6" s="9" t="str">
        <f t="shared" ref="GL6:GR6" si="322">LEFT(TEXT(GL5,"ddd"),1)</f>
        <v>l</v>
      </c>
      <c r="GM6" s="9" t="str">
        <f t="shared" si="322"/>
        <v>m</v>
      </c>
      <c r="GN6" s="9" t="str">
        <f t="shared" si="322"/>
        <v>m</v>
      </c>
      <c r="GO6" s="9" t="str">
        <f t="shared" si="322"/>
        <v>j</v>
      </c>
      <c r="GP6" s="9" t="str">
        <f t="shared" si="322"/>
        <v>v</v>
      </c>
      <c r="GQ6" s="9" t="str">
        <f t="shared" si="322"/>
        <v>s</v>
      </c>
      <c r="GR6" s="9" t="str">
        <f t="shared" si="322"/>
        <v>d</v>
      </c>
      <c r="GS6" s="9" t="str">
        <f t="shared" ref="GS6:GY6" si="323">LEFT(TEXT(GS5,"ddd"),1)</f>
        <v>l</v>
      </c>
      <c r="GT6" s="9" t="str">
        <f t="shared" si="323"/>
        <v>m</v>
      </c>
      <c r="GU6" s="9" t="str">
        <f t="shared" si="323"/>
        <v>m</v>
      </c>
      <c r="GV6" s="9" t="str">
        <f t="shared" si="323"/>
        <v>j</v>
      </c>
      <c r="GW6" s="9" t="str">
        <f t="shared" si="323"/>
        <v>v</v>
      </c>
      <c r="GX6" s="9" t="str">
        <f t="shared" si="323"/>
        <v>s</v>
      </c>
      <c r="GY6" s="9" t="str">
        <f t="shared" si="323"/>
        <v>d</v>
      </c>
      <c r="GZ6" s="9" t="str">
        <f t="shared" ref="GZ6:HF6" si="324">LEFT(TEXT(GZ5,"ddd"),1)</f>
        <v>l</v>
      </c>
      <c r="HA6" s="9" t="str">
        <f t="shared" si="324"/>
        <v>m</v>
      </c>
      <c r="HB6" s="9" t="str">
        <f t="shared" si="324"/>
        <v>m</v>
      </c>
      <c r="HC6" s="9" t="str">
        <f t="shared" si="324"/>
        <v>j</v>
      </c>
      <c r="HD6" s="9" t="str">
        <f t="shared" si="324"/>
        <v>v</v>
      </c>
      <c r="HE6" s="9" t="str">
        <f t="shared" si="324"/>
        <v>s</v>
      </c>
      <c r="HF6" s="9" t="str">
        <f t="shared" si="324"/>
        <v>d</v>
      </c>
      <c r="HG6" s="9" t="str">
        <f t="shared" ref="HG6:HM6" si="325">LEFT(TEXT(HG5,"ddd"),1)</f>
        <v>l</v>
      </c>
      <c r="HH6" s="9" t="str">
        <f t="shared" si="325"/>
        <v>m</v>
      </c>
      <c r="HI6" s="9" t="str">
        <f t="shared" si="325"/>
        <v>m</v>
      </c>
      <c r="HJ6" s="9" t="str">
        <f t="shared" si="325"/>
        <v>j</v>
      </c>
      <c r="HK6" s="9" t="str">
        <f t="shared" si="325"/>
        <v>v</v>
      </c>
      <c r="HL6" s="9" t="str">
        <f t="shared" si="325"/>
        <v>s</v>
      </c>
      <c r="HM6" s="9" t="str">
        <f t="shared" si="325"/>
        <v>d</v>
      </c>
      <c r="HN6" s="9" t="str">
        <f t="shared" ref="HN6:HT6" si="326">LEFT(TEXT(HN5,"ddd"),1)</f>
        <v>l</v>
      </c>
      <c r="HO6" s="9" t="str">
        <f t="shared" si="326"/>
        <v>m</v>
      </c>
      <c r="HP6" s="9" t="str">
        <f t="shared" si="326"/>
        <v>m</v>
      </c>
      <c r="HQ6" s="9" t="str">
        <f t="shared" si="326"/>
        <v>j</v>
      </c>
      <c r="HR6" s="9" t="str">
        <f t="shared" si="326"/>
        <v>v</v>
      </c>
      <c r="HS6" s="9" t="str">
        <f t="shared" si="326"/>
        <v>s</v>
      </c>
      <c r="HT6" s="9" t="str">
        <f t="shared" si="326"/>
        <v>d</v>
      </c>
      <c r="HU6" s="9" t="str">
        <f t="shared" ref="HU6:IA6" si="327">LEFT(TEXT(HU5,"ddd"),1)</f>
        <v>l</v>
      </c>
      <c r="HV6" s="9" t="str">
        <f t="shared" si="327"/>
        <v>m</v>
      </c>
      <c r="HW6" s="9" t="str">
        <f t="shared" si="327"/>
        <v>m</v>
      </c>
      <c r="HX6" s="9" t="str">
        <f t="shared" si="327"/>
        <v>j</v>
      </c>
      <c r="HY6" s="9" t="str">
        <f t="shared" si="327"/>
        <v>v</v>
      </c>
      <c r="HZ6" s="9" t="str">
        <f t="shared" si="327"/>
        <v>s</v>
      </c>
      <c r="IA6" s="9" t="str">
        <f t="shared" si="327"/>
        <v>d</v>
      </c>
      <c r="IB6" s="9" t="str">
        <f t="shared" ref="IB6:IH6" si="328">LEFT(TEXT(IB5,"ddd"),1)</f>
        <v>l</v>
      </c>
      <c r="IC6" s="9" t="str">
        <f t="shared" si="328"/>
        <v>m</v>
      </c>
      <c r="ID6" s="9" t="str">
        <f t="shared" si="328"/>
        <v>m</v>
      </c>
      <c r="IE6" s="9" t="str">
        <f t="shared" si="328"/>
        <v>j</v>
      </c>
      <c r="IF6" s="9" t="str">
        <f t="shared" si="328"/>
        <v>v</v>
      </c>
      <c r="IG6" s="9" t="str">
        <f t="shared" si="328"/>
        <v>s</v>
      </c>
      <c r="IH6" s="9" t="str">
        <f t="shared" si="328"/>
        <v>d</v>
      </c>
      <c r="II6" s="9" t="str">
        <f t="shared" ref="II6:IO6" si="329">LEFT(TEXT(II5,"ddd"),1)</f>
        <v>l</v>
      </c>
      <c r="IJ6" s="9" t="str">
        <f t="shared" si="329"/>
        <v>m</v>
      </c>
      <c r="IK6" s="9" t="str">
        <f t="shared" si="329"/>
        <v>m</v>
      </c>
      <c r="IL6" s="9" t="str">
        <f t="shared" si="329"/>
        <v>j</v>
      </c>
      <c r="IM6" s="9" t="str">
        <f t="shared" si="329"/>
        <v>v</v>
      </c>
      <c r="IN6" s="9" t="str">
        <f t="shared" si="329"/>
        <v>s</v>
      </c>
      <c r="IO6" s="9" t="str">
        <f t="shared" si="329"/>
        <v>d</v>
      </c>
      <c r="IP6" s="9" t="str">
        <f t="shared" ref="IP6:IV6" si="330">LEFT(TEXT(IP5,"ddd"),1)</f>
        <v>l</v>
      </c>
      <c r="IQ6" s="9" t="str">
        <f t="shared" si="330"/>
        <v>m</v>
      </c>
      <c r="IR6" s="9" t="str">
        <f t="shared" si="330"/>
        <v>m</v>
      </c>
      <c r="IS6" s="9" t="str">
        <f t="shared" si="330"/>
        <v>j</v>
      </c>
      <c r="IT6" s="9" t="str">
        <f t="shared" si="330"/>
        <v>v</v>
      </c>
      <c r="IU6" s="9" t="str">
        <f t="shared" si="330"/>
        <v>s</v>
      </c>
      <c r="IV6" s="9" t="str">
        <f t="shared" si="330"/>
        <v>d</v>
      </c>
      <c r="IW6" s="9" t="str">
        <f t="shared" ref="IW6:JC6" si="331">LEFT(TEXT(IW5,"ddd"),1)</f>
        <v>l</v>
      </c>
      <c r="IX6" s="9" t="str">
        <f t="shared" si="331"/>
        <v>m</v>
      </c>
      <c r="IY6" s="9" t="str">
        <f t="shared" si="331"/>
        <v>m</v>
      </c>
      <c r="IZ6" s="9" t="str">
        <f t="shared" si="331"/>
        <v>j</v>
      </c>
      <c r="JA6" s="9" t="str">
        <f t="shared" si="331"/>
        <v>v</v>
      </c>
      <c r="JB6" s="9" t="str">
        <f t="shared" si="331"/>
        <v>s</v>
      </c>
      <c r="JC6" s="9" t="str">
        <f t="shared" si="331"/>
        <v>d</v>
      </c>
      <c r="JD6" s="9" t="str">
        <f t="shared" ref="JD6:JJ6" si="332">LEFT(TEXT(JD5,"ddd"),1)</f>
        <v>l</v>
      </c>
      <c r="JE6" s="9" t="str">
        <f t="shared" si="332"/>
        <v>m</v>
      </c>
      <c r="JF6" s="9" t="str">
        <f t="shared" si="332"/>
        <v>m</v>
      </c>
      <c r="JG6" s="9" t="str">
        <f t="shared" si="332"/>
        <v>j</v>
      </c>
      <c r="JH6" s="9" t="str">
        <f t="shared" si="332"/>
        <v>v</v>
      </c>
      <c r="JI6" s="9" t="str">
        <f t="shared" si="332"/>
        <v>s</v>
      </c>
      <c r="JJ6" s="9" t="str">
        <f t="shared" si="332"/>
        <v>d</v>
      </c>
      <c r="JK6" s="9" t="str">
        <f t="shared" ref="JK6:JQ6" si="333">LEFT(TEXT(JK5,"ddd"),1)</f>
        <v>l</v>
      </c>
      <c r="JL6" s="9" t="str">
        <f t="shared" si="333"/>
        <v>m</v>
      </c>
      <c r="JM6" s="9" t="str">
        <f t="shared" si="333"/>
        <v>m</v>
      </c>
      <c r="JN6" s="9" t="str">
        <f t="shared" si="333"/>
        <v>j</v>
      </c>
      <c r="JO6" s="9" t="str">
        <f t="shared" si="333"/>
        <v>v</v>
      </c>
      <c r="JP6" s="9" t="str">
        <f t="shared" si="333"/>
        <v>s</v>
      </c>
      <c r="JQ6" s="9" t="str">
        <f t="shared" si="333"/>
        <v>d</v>
      </c>
      <c r="JR6" s="9" t="str">
        <f t="shared" ref="JR6:JX6" si="334">LEFT(TEXT(JR5,"ddd"),1)</f>
        <v>l</v>
      </c>
      <c r="JS6" s="9" t="str">
        <f t="shared" si="334"/>
        <v>m</v>
      </c>
      <c r="JT6" s="9" t="str">
        <f t="shared" si="334"/>
        <v>m</v>
      </c>
      <c r="JU6" s="9" t="str">
        <f t="shared" si="334"/>
        <v>j</v>
      </c>
      <c r="JV6" s="9" t="str">
        <f t="shared" si="334"/>
        <v>v</v>
      </c>
      <c r="JW6" s="9" t="str">
        <f t="shared" si="334"/>
        <v>s</v>
      </c>
      <c r="JX6" s="9" t="str">
        <f t="shared" si="334"/>
        <v>d</v>
      </c>
      <c r="JY6" s="9" t="str">
        <f t="shared" ref="JY6:KE6" si="335">LEFT(TEXT(JY5,"ddd"),1)</f>
        <v>l</v>
      </c>
      <c r="JZ6" s="9" t="str">
        <f t="shared" si="335"/>
        <v>m</v>
      </c>
      <c r="KA6" s="9" t="str">
        <f t="shared" si="335"/>
        <v>m</v>
      </c>
      <c r="KB6" s="9" t="str">
        <f t="shared" si="335"/>
        <v>j</v>
      </c>
      <c r="KC6" s="9" t="str">
        <f t="shared" si="335"/>
        <v>v</v>
      </c>
      <c r="KD6" s="9" t="str">
        <f t="shared" si="335"/>
        <v>s</v>
      </c>
      <c r="KE6" s="9" t="str">
        <f t="shared" si="335"/>
        <v>d</v>
      </c>
      <c r="KF6" s="9" t="str">
        <f t="shared" ref="KF6:KL6" si="336">LEFT(TEXT(KF5,"ddd"),1)</f>
        <v>l</v>
      </c>
      <c r="KG6" s="9" t="str">
        <f t="shared" si="336"/>
        <v>m</v>
      </c>
      <c r="KH6" s="9" t="str">
        <f t="shared" si="336"/>
        <v>m</v>
      </c>
      <c r="KI6" s="9" t="str">
        <f t="shared" si="336"/>
        <v>j</v>
      </c>
      <c r="KJ6" s="9" t="str">
        <f t="shared" si="336"/>
        <v>v</v>
      </c>
      <c r="KK6" s="9" t="str">
        <f t="shared" si="336"/>
        <v>s</v>
      </c>
      <c r="KL6" s="9" t="str">
        <f t="shared" si="336"/>
        <v>d</v>
      </c>
      <c r="KM6" s="9" t="str">
        <f t="shared" ref="KM6:KS6" si="337">LEFT(TEXT(KM5,"ddd"),1)</f>
        <v>l</v>
      </c>
      <c r="KN6" s="9" t="str">
        <f t="shared" si="337"/>
        <v>m</v>
      </c>
      <c r="KO6" s="9" t="str">
        <f t="shared" si="337"/>
        <v>m</v>
      </c>
      <c r="KP6" s="9" t="str">
        <f t="shared" si="337"/>
        <v>j</v>
      </c>
      <c r="KQ6" s="9" t="str">
        <f t="shared" si="337"/>
        <v>v</v>
      </c>
      <c r="KR6" s="9" t="str">
        <f t="shared" si="337"/>
        <v>s</v>
      </c>
      <c r="KS6" s="9" t="str">
        <f t="shared" si="337"/>
        <v>d</v>
      </c>
      <c r="KT6" s="9" t="str">
        <f t="shared" ref="KT6:KZ6" si="338">LEFT(TEXT(KT5,"ddd"),1)</f>
        <v>l</v>
      </c>
      <c r="KU6" s="9" t="str">
        <f t="shared" si="338"/>
        <v>m</v>
      </c>
      <c r="KV6" s="9" t="str">
        <f t="shared" si="338"/>
        <v>m</v>
      </c>
      <c r="KW6" s="9" t="str">
        <f t="shared" si="338"/>
        <v>j</v>
      </c>
      <c r="KX6" s="9" t="str">
        <f t="shared" si="338"/>
        <v>v</v>
      </c>
      <c r="KY6" s="9" t="str">
        <f t="shared" si="338"/>
        <v>s</v>
      </c>
      <c r="KZ6" s="9" t="str">
        <f t="shared" si="338"/>
        <v>d</v>
      </c>
      <c r="LA6" s="9" t="str">
        <f t="shared" ref="LA6:LG6" si="339">LEFT(TEXT(LA5,"ddd"),1)</f>
        <v>l</v>
      </c>
      <c r="LB6" s="9" t="str">
        <f t="shared" si="339"/>
        <v>m</v>
      </c>
      <c r="LC6" s="9" t="str">
        <f t="shared" si="339"/>
        <v>m</v>
      </c>
      <c r="LD6" s="9" t="str">
        <f t="shared" si="339"/>
        <v>j</v>
      </c>
      <c r="LE6" s="9" t="str">
        <f t="shared" si="339"/>
        <v>v</v>
      </c>
      <c r="LF6" s="9" t="str">
        <f t="shared" si="339"/>
        <v>s</v>
      </c>
      <c r="LG6" s="9" t="str">
        <f t="shared" si="339"/>
        <v>d</v>
      </c>
      <c r="LH6" s="9" t="str">
        <f t="shared" ref="LH6:LN6" si="340">LEFT(TEXT(LH5,"ddd"),1)</f>
        <v>l</v>
      </c>
      <c r="LI6" s="9" t="str">
        <f t="shared" si="340"/>
        <v>m</v>
      </c>
      <c r="LJ6" s="9" t="str">
        <f t="shared" si="340"/>
        <v>m</v>
      </c>
      <c r="LK6" s="9" t="str">
        <f t="shared" si="340"/>
        <v>j</v>
      </c>
      <c r="LL6" s="9" t="str">
        <f t="shared" si="340"/>
        <v>v</v>
      </c>
      <c r="LM6" s="9" t="str">
        <f t="shared" si="340"/>
        <v>s</v>
      </c>
      <c r="LN6" s="9" t="str">
        <f t="shared" si="340"/>
        <v>d</v>
      </c>
      <c r="LO6" s="9" t="str">
        <f t="shared" ref="LO6:LU6" si="341">LEFT(TEXT(LO5,"ddd"),1)</f>
        <v>l</v>
      </c>
      <c r="LP6" s="9" t="str">
        <f t="shared" si="341"/>
        <v>m</v>
      </c>
      <c r="LQ6" s="9" t="str">
        <f t="shared" si="341"/>
        <v>m</v>
      </c>
      <c r="LR6" s="9" t="str">
        <f t="shared" si="341"/>
        <v>j</v>
      </c>
      <c r="LS6" s="9" t="str">
        <f t="shared" si="341"/>
        <v>v</v>
      </c>
      <c r="LT6" s="9" t="str">
        <f t="shared" si="341"/>
        <v>s</v>
      </c>
      <c r="LU6" s="9" t="str">
        <f t="shared" si="341"/>
        <v>d</v>
      </c>
      <c r="LV6" s="9" t="str">
        <f t="shared" ref="LV6:MB6" si="342">LEFT(TEXT(LV5,"ddd"),1)</f>
        <v>l</v>
      </c>
      <c r="LW6" s="9" t="str">
        <f t="shared" si="342"/>
        <v>m</v>
      </c>
      <c r="LX6" s="9" t="str">
        <f t="shared" si="342"/>
        <v>m</v>
      </c>
      <c r="LY6" s="9" t="str">
        <f t="shared" si="342"/>
        <v>j</v>
      </c>
      <c r="LZ6" s="9" t="str">
        <f t="shared" si="342"/>
        <v>v</v>
      </c>
      <c r="MA6" s="9" t="str">
        <f t="shared" si="342"/>
        <v>s</v>
      </c>
      <c r="MB6" s="9" t="str">
        <f t="shared" si="342"/>
        <v>d</v>
      </c>
      <c r="MC6" s="9" t="str">
        <f t="shared" ref="MC6:MI6" si="343">LEFT(TEXT(MC5,"ddd"),1)</f>
        <v>l</v>
      </c>
      <c r="MD6" s="9" t="str">
        <f t="shared" si="343"/>
        <v>m</v>
      </c>
      <c r="ME6" s="9" t="str">
        <f t="shared" si="343"/>
        <v>m</v>
      </c>
      <c r="MF6" s="9" t="str">
        <f t="shared" si="343"/>
        <v>j</v>
      </c>
      <c r="MG6" s="9" t="str">
        <f t="shared" si="343"/>
        <v>v</v>
      </c>
      <c r="MH6" s="9" t="str">
        <f t="shared" si="343"/>
        <v>s</v>
      </c>
      <c r="MI6" s="9" t="str">
        <f t="shared" si="343"/>
        <v>d</v>
      </c>
      <c r="MJ6" s="9" t="str">
        <f t="shared" ref="MJ6:MP6" si="344">LEFT(TEXT(MJ5,"ddd"),1)</f>
        <v>l</v>
      </c>
      <c r="MK6" s="9" t="str">
        <f t="shared" si="344"/>
        <v>m</v>
      </c>
      <c r="ML6" s="9" t="str">
        <f t="shared" si="344"/>
        <v>m</v>
      </c>
      <c r="MM6" s="9" t="str">
        <f t="shared" si="344"/>
        <v>j</v>
      </c>
      <c r="MN6" s="9" t="str">
        <f t="shared" si="344"/>
        <v>v</v>
      </c>
      <c r="MO6" s="9" t="str">
        <f t="shared" si="344"/>
        <v>s</v>
      </c>
      <c r="MP6" s="9" t="str">
        <f t="shared" si="344"/>
        <v>d</v>
      </c>
      <c r="MQ6" s="9" t="str">
        <f t="shared" ref="MQ6:MW6" si="345">LEFT(TEXT(MQ5,"ddd"),1)</f>
        <v>l</v>
      </c>
      <c r="MR6" s="9" t="str">
        <f t="shared" si="345"/>
        <v>m</v>
      </c>
      <c r="MS6" s="9" t="str">
        <f t="shared" si="345"/>
        <v>m</v>
      </c>
      <c r="MT6" s="9" t="str">
        <f t="shared" si="345"/>
        <v>j</v>
      </c>
      <c r="MU6" s="9" t="str">
        <f t="shared" si="345"/>
        <v>v</v>
      </c>
      <c r="MV6" s="9" t="str">
        <f t="shared" si="345"/>
        <v>s</v>
      </c>
      <c r="MW6" s="9" t="str">
        <f t="shared" si="345"/>
        <v>d</v>
      </c>
    </row>
    <row r="7" spans="1:361" ht="15.75" hidden="1" customHeight="1" thickBot="1" x14ac:dyDescent="0.3">
      <c r="A7" s="28" t="s">
        <v>5</v>
      </c>
      <c r="C7" s="30"/>
      <c r="D7" s="30"/>
      <c r="F7"/>
      <c r="K7" t="str">
        <f>IF(OR(ISBLANK(task_start),ISBLANK(task_end)),"",task_end-task_start+1)</f>
        <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row>
    <row r="8" spans="1:361" s="3" customFormat="1" ht="15.75" hidden="1" customHeight="1" thickBot="1" x14ac:dyDescent="0.3">
      <c r="A8" s="29"/>
      <c r="B8" s="142" t="s">
        <v>34</v>
      </c>
      <c r="C8" s="143"/>
      <c r="D8" s="144"/>
      <c r="E8" s="145"/>
      <c r="F8" s="146"/>
      <c r="G8" s="147"/>
      <c r="H8" s="148"/>
      <c r="I8" s="149"/>
      <c r="J8" s="11"/>
      <c r="K8" s="11" t="str">
        <f t="shared" ref="K8:K114" si="346">IF(OR(ISBLANK(task_start),ISBLANK(task_end)),"",task_end-task_start+1)</f>
        <v/>
      </c>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5"/>
      <c r="LS8" s="15"/>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row>
    <row r="9" spans="1:361" s="3" customFormat="1" ht="30.75" hidden="1" customHeight="1" thickBot="1" x14ac:dyDescent="0.3">
      <c r="A9" s="29"/>
      <c r="B9" s="138" t="s">
        <v>35</v>
      </c>
      <c r="C9" s="139" t="s">
        <v>47</v>
      </c>
      <c r="D9" s="140" t="s">
        <v>58</v>
      </c>
      <c r="E9" s="87">
        <v>1</v>
      </c>
      <c r="F9" s="88">
        <f>Inicio_del_proyecto</f>
        <v>45714</v>
      </c>
      <c r="G9" s="88">
        <v>45715</v>
      </c>
      <c r="H9" s="141" t="s">
        <v>37</v>
      </c>
      <c r="I9" s="141"/>
      <c r="J9" s="11"/>
      <c r="K9" s="11">
        <f t="shared" si="346"/>
        <v>2</v>
      </c>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row>
    <row r="10" spans="1:361" s="3" customFormat="1" ht="30.75" hidden="1" customHeight="1" thickBot="1" x14ac:dyDescent="0.3">
      <c r="A10" s="29"/>
      <c r="B10" s="65" t="s">
        <v>69</v>
      </c>
      <c r="C10" s="47" t="s">
        <v>48</v>
      </c>
      <c r="D10" s="63" t="s">
        <v>70</v>
      </c>
      <c r="E10" s="12">
        <v>1</v>
      </c>
      <c r="F10" s="48">
        <v>45715</v>
      </c>
      <c r="G10" s="48">
        <v>45716</v>
      </c>
      <c r="H10" s="57" t="s">
        <v>43</v>
      </c>
      <c r="I10" s="57"/>
      <c r="J10" s="11"/>
      <c r="K10" s="11">
        <f t="shared" si="346"/>
        <v>2</v>
      </c>
      <c r="L10" s="15"/>
      <c r="M10" s="15"/>
      <c r="N10" s="15"/>
      <c r="O10" s="15"/>
      <c r="P10" s="15"/>
      <c r="Q10" s="15"/>
      <c r="R10" s="15"/>
      <c r="S10" s="15"/>
      <c r="T10" s="15"/>
      <c r="U10" s="15"/>
      <c r="V10" s="15"/>
      <c r="W10" s="15"/>
      <c r="X10" s="16"/>
      <c r="Y10" s="16"/>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row>
    <row r="11" spans="1:361" s="3" customFormat="1" ht="30.75" hidden="1" customHeight="1" thickBot="1" x14ac:dyDescent="0.3">
      <c r="A11" s="28"/>
      <c r="B11" s="45" t="s">
        <v>44</v>
      </c>
      <c r="C11" s="52" t="s">
        <v>51</v>
      </c>
      <c r="D11" s="63" t="s">
        <v>66</v>
      </c>
      <c r="E11" s="12">
        <v>1</v>
      </c>
      <c r="F11" s="48">
        <f>G10</f>
        <v>45716</v>
      </c>
      <c r="G11" s="48">
        <f>F11+4</f>
        <v>45720</v>
      </c>
      <c r="H11" s="57" t="s">
        <v>67</v>
      </c>
      <c r="I11" s="57"/>
      <c r="J11" s="11"/>
      <c r="K11" s="11">
        <f t="shared" si="346"/>
        <v>5</v>
      </c>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row>
    <row r="12" spans="1:361" s="3" customFormat="1" ht="30.75" hidden="1" customHeight="1" thickBot="1" x14ac:dyDescent="0.3">
      <c r="A12" s="28"/>
      <c r="B12" s="45" t="s">
        <v>68</v>
      </c>
      <c r="C12" s="52" t="s">
        <v>62</v>
      </c>
      <c r="D12" s="63" t="s">
        <v>63</v>
      </c>
      <c r="E12" s="12">
        <v>1</v>
      </c>
      <c r="F12" s="48">
        <v>45719</v>
      </c>
      <c r="G12" s="48">
        <v>45719</v>
      </c>
      <c r="H12" s="57" t="s">
        <v>64</v>
      </c>
      <c r="I12" s="57"/>
      <c r="J12" s="11"/>
      <c r="K12" s="11">
        <f t="shared" si="346"/>
        <v>1</v>
      </c>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row>
    <row r="13" spans="1:361" s="3" customFormat="1" ht="15.75" hidden="1" customHeight="1" thickBot="1" x14ac:dyDescent="0.3">
      <c r="A13" s="28"/>
      <c r="B13" s="118" t="s">
        <v>8</v>
      </c>
      <c r="C13" s="119"/>
      <c r="D13" s="120"/>
      <c r="E13" s="121"/>
      <c r="F13" s="122">
        <f>F10+1</f>
        <v>45716</v>
      </c>
      <c r="G13" s="122">
        <f>F13+2</f>
        <v>45718</v>
      </c>
      <c r="H13" s="123"/>
      <c r="I13" s="123"/>
      <c r="J13" s="11"/>
      <c r="K13" s="11">
        <f t="shared" si="346"/>
        <v>3</v>
      </c>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row>
    <row r="14" spans="1:361" s="3" customFormat="1" ht="15.75" hidden="1" customHeight="1" thickBot="1" x14ac:dyDescent="0.3">
      <c r="A14" s="29"/>
      <c r="B14" s="130" t="s">
        <v>38</v>
      </c>
      <c r="C14" s="131"/>
      <c r="D14" s="132"/>
      <c r="E14" s="133"/>
      <c r="F14" s="134"/>
      <c r="G14" s="135"/>
      <c r="H14" s="136"/>
      <c r="I14" s="137"/>
      <c r="J14" s="11"/>
      <c r="K14" s="11" t="str">
        <f t="shared" si="346"/>
        <v/>
      </c>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row>
    <row r="15" spans="1:361" s="3" customFormat="1" ht="48.75" hidden="1" customHeight="1" thickBot="1" x14ac:dyDescent="0.3">
      <c r="A15" s="29"/>
      <c r="B15" s="124" t="s">
        <v>39</v>
      </c>
      <c r="C15" s="125" t="s">
        <v>55</v>
      </c>
      <c r="D15" s="126" t="s">
        <v>56</v>
      </c>
      <c r="E15" s="127">
        <v>1</v>
      </c>
      <c r="F15" s="128">
        <v>45716</v>
      </c>
      <c r="G15" s="128">
        <f>F15+4</f>
        <v>45720</v>
      </c>
      <c r="H15" s="129" t="s">
        <v>57</v>
      </c>
      <c r="I15" s="129"/>
      <c r="J15" s="11"/>
      <c r="K15" s="11">
        <f t="shared" si="346"/>
        <v>5</v>
      </c>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row>
    <row r="16" spans="1:361" s="3" customFormat="1" ht="30.75" hidden="1" customHeight="1" thickBot="1" x14ac:dyDescent="0.3">
      <c r="A16" s="28"/>
      <c r="B16" s="34" t="s">
        <v>40</v>
      </c>
      <c r="C16" s="51" t="s">
        <v>46</v>
      </c>
      <c r="D16" s="64" t="s">
        <v>59</v>
      </c>
      <c r="E16" s="13">
        <v>1</v>
      </c>
      <c r="F16" s="49">
        <v>45719</v>
      </c>
      <c r="G16" s="49">
        <v>45726</v>
      </c>
      <c r="H16" s="59" t="s">
        <v>60</v>
      </c>
      <c r="I16" s="59"/>
      <c r="J16" s="11"/>
      <c r="K16" s="11">
        <f t="shared" si="346"/>
        <v>8</v>
      </c>
      <c r="L16" s="15"/>
      <c r="M16" s="15"/>
      <c r="N16" s="15"/>
      <c r="O16" s="15"/>
      <c r="P16" s="15"/>
      <c r="Q16" s="15"/>
      <c r="R16" s="15"/>
      <c r="S16" s="15"/>
      <c r="T16" s="15"/>
      <c r="U16" s="15"/>
      <c r="V16" s="15"/>
      <c r="W16" s="15"/>
      <c r="X16" s="16"/>
      <c r="Y16" s="16"/>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row>
    <row r="17" spans="1:361" s="3" customFormat="1" ht="60.75" hidden="1" customHeight="1" thickBot="1" x14ac:dyDescent="0.3">
      <c r="A17" s="28"/>
      <c r="B17" s="34" t="s">
        <v>41</v>
      </c>
      <c r="C17" s="51" t="s">
        <v>49</v>
      </c>
      <c r="D17" s="64" t="s">
        <v>61</v>
      </c>
      <c r="E17" s="13">
        <v>1</v>
      </c>
      <c r="F17" s="49">
        <v>45721</v>
      </c>
      <c r="G17" s="49">
        <v>45731</v>
      </c>
      <c r="H17" s="59" t="s">
        <v>71</v>
      </c>
      <c r="I17" s="59"/>
      <c r="J17" s="11"/>
      <c r="K17" s="11">
        <f t="shared" si="346"/>
        <v>11</v>
      </c>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row>
    <row r="18" spans="1:361" s="3" customFormat="1" ht="45.75" hidden="1" customHeight="1" thickBot="1" x14ac:dyDescent="0.3">
      <c r="A18" s="28"/>
      <c r="B18" s="46" t="s">
        <v>50</v>
      </c>
      <c r="C18" s="51" t="s">
        <v>75</v>
      </c>
      <c r="D18" s="62" t="s">
        <v>65</v>
      </c>
      <c r="E18" s="13">
        <v>1</v>
      </c>
      <c r="F18" s="49">
        <v>45744</v>
      </c>
      <c r="G18" s="49">
        <v>45866</v>
      </c>
      <c r="H18" s="59" t="s">
        <v>72</v>
      </c>
      <c r="I18" s="56" t="s">
        <v>81</v>
      </c>
      <c r="J18" s="11"/>
      <c r="K18" s="11">
        <f t="shared" si="346"/>
        <v>123</v>
      </c>
      <c r="L18" s="15"/>
      <c r="M18" s="15"/>
      <c r="N18" s="15"/>
      <c r="O18" s="15"/>
      <c r="P18" s="15"/>
      <c r="Q18" s="15"/>
      <c r="R18" s="15"/>
      <c r="S18" s="15"/>
      <c r="T18" s="15"/>
      <c r="U18" s="15"/>
      <c r="V18" s="15"/>
      <c r="W18" s="15"/>
      <c r="X18" s="15"/>
      <c r="Y18" s="15"/>
      <c r="Z18" s="15"/>
      <c r="AA18" s="15"/>
      <c r="AB18" s="16"/>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row>
    <row r="19" spans="1:361" s="3" customFormat="1" ht="15.75" hidden="1" customHeight="1" thickBot="1" x14ac:dyDescent="0.3">
      <c r="A19" s="28"/>
      <c r="B19" s="98" t="s">
        <v>42</v>
      </c>
      <c r="C19" s="99" t="s">
        <v>52</v>
      </c>
      <c r="D19" s="99" t="s">
        <v>74</v>
      </c>
      <c r="E19" s="100">
        <v>1</v>
      </c>
      <c r="F19" s="101">
        <v>45848</v>
      </c>
      <c r="G19" s="101"/>
      <c r="H19" s="102" t="s">
        <v>45</v>
      </c>
      <c r="I19" s="102"/>
      <c r="J19" s="11"/>
      <c r="K19" s="11" t="str">
        <f t="shared" si="346"/>
        <v/>
      </c>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row>
    <row r="20" spans="1:361" s="3" customFormat="1" ht="15.75" hidden="1" customHeight="1" thickBot="1" x14ac:dyDescent="0.3">
      <c r="A20" s="28"/>
      <c r="B20" s="110" t="s">
        <v>77</v>
      </c>
      <c r="C20" s="111"/>
      <c r="D20" s="112"/>
      <c r="E20" s="113"/>
      <c r="F20" s="114"/>
      <c r="G20" s="115"/>
      <c r="H20" s="116"/>
      <c r="I20" s="117"/>
      <c r="J20" s="11"/>
      <c r="K20" s="11" t="str">
        <f t="shared" si="346"/>
        <v/>
      </c>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row>
    <row r="21" spans="1:361" s="3" customFormat="1" ht="60.75" hidden="1" customHeight="1" thickBot="1" x14ac:dyDescent="0.3">
      <c r="A21" s="28"/>
      <c r="B21" s="103" t="s">
        <v>76</v>
      </c>
      <c r="C21" s="104" t="s">
        <v>78</v>
      </c>
      <c r="D21" s="105" t="s">
        <v>79</v>
      </c>
      <c r="E21" s="106">
        <v>1</v>
      </c>
      <c r="F21" s="107">
        <v>45775</v>
      </c>
      <c r="G21" s="108">
        <v>45805</v>
      </c>
      <c r="H21" s="109" t="s">
        <v>82</v>
      </c>
      <c r="I21" s="154" t="s">
        <v>146</v>
      </c>
      <c r="J21" s="11"/>
      <c r="K21" s="11">
        <f t="shared" si="346"/>
        <v>31</v>
      </c>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row>
    <row r="22" spans="1:361" s="3" customFormat="1" ht="15.75" hidden="1" customHeight="1" thickBot="1" x14ac:dyDescent="0.3">
      <c r="A22" s="28"/>
      <c r="B22" s="72" t="s">
        <v>212</v>
      </c>
      <c r="C22" s="73"/>
      <c r="D22" s="74"/>
      <c r="E22" s="75"/>
      <c r="F22" s="76"/>
      <c r="G22" s="77"/>
      <c r="H22" s="78"/>
      <c r="I22" s="79"/>
      <c r="J22" s="11"/>
      <c r="K22" s="11" t="str">
        <f t="shared" si="346"/>
        <v/>
      </c>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row>
    <row r="23" spans="1:361" s="3" customFormat="1" ht="16.5" hidden="1" customHeight="1" thickBot="1" x14ac:dyDescent="0.3">
      <c r="A23" s="28"/>
      <c r="B23" s="157" t="s">
        <v>213</v>
      </c>
      <c r="C23" s="32"/>
      <c r="D23" s="61"/>
      <c r="E23" s="82"/>
      <c r="F23" s="50"/>
      <c r="G23" s="50"/>
      <c r="H23" s="60"/>
      <c r="I23" s="60"/>
      <c r="J23" s="11"/>
      <c r="K23" s="11"/>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row>
    <row r="24" spans="1:361" s="3" customFormat="1" ht="30.75" hidden="1" customHeight="1" thickBot="1" x14ac:dyDescent="0.3">
      <c r="A24" s="28"/>
      <c r="B24" s="158" t="s">
        <v>88</v>
      </c>
      <c r="C24" s="67" t="s">
        <v>90</v>
      </c>
      <c r="D24" s="68" t="s">
        <v>89</v>
      </c>
      <c r="E24" s="69">
        <v>1</v>
      </c>
      <c r="F24" s="70">
        <v>45757</v>
      </c>
      <c r="G24" s="70">
        <v>45762</v>
      </c>
      <c r="H24" s="71" t="s">
        <v>91</v>
      </c>
      <c r="I24" s="71"/>
      <c r="J24" s="11"/>
      <c r="K24" s="11">
        <f t="shared" si="346"/>
        <v>6</v>
      </c>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row>
    <row r="25" spans="1:361" s="3" customFormat="1" ht="30.75" hidden="1" customHeight="1" thickBot="1" x14ac:dyDescent="0.3">
      <c r="A25" s="28"/>
      <c r="B25" s="159" t="s">
        <v>92</v>
      </c>
      <c r="C25" s="32" t="s">
        <v>90</v>
      </c>
      <c r="D25" s="61" t="s">
        <v>93</v>
      </c>
      <c r="E25" s="14">
        <v>1</v>
      </c>
      <c r="F25" s="50">
        <v>45762</v>
      </c>
      <c r="G25" s="50">
        <v>45764</v>
      </c>
      <c r="H25" s="60" t="s">
        <v>95</v>
      </c>
      <c r="I25" s="60"/>
      <c r="J25" s="11"/>
      <c r="K25" s="11">
        <f t="shared" si="346"/>
        <v>3</v>
      </c>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row>
    <row r="26" spans="1:361" s="3" customFormat="1" ht="45.75" hidden="1" customHeight="1" thickBot="1" x14ac:dyDescent="0.3">
      <c r="A26" s="28"/>
      <c r="B26" s="159" t="s">
        <v>94</v>
      </c>
      <c r="C26" s="32" t="s">
        <v>90</v>
      </c>
      <c r="D26" s="61" t="s">
        <v>124</v>
      </c>
      <c r="E26" s="14">
        <v>1</v>
      </c>
      <c r="F26" s="50">
        <v>45789</v>
      </c>
      <c r="G26" s="50">
        <v>45794</v>
      </c>
      <c r="H26" s="60"/>
      <c r="I26" s="160" t="s">
        <v>125</v>
      </c>
      <c r="J26" s="11"/>
      <c r="K26" s="11">
        <f t="shared" si="346"/>
        <v>6</v>
      </c>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c r="MR26" s="15"/>
      <c r="MS26" s="15"/>
      <c r="MT26" s="15"/>
      <c r="MU26" s="15"/>
      <c r="MV26" s="15"/>
      <c r="MW26" s="15"/>
    </row>
    <row r="27" spans="1:361" s="3" customFormat="1" ht="16.5" hidden="1" customHeight="1" thickBot="1" x14ac:dyDescent="0.3">
      <c r="A27" s="28"/>
      <c r="B27" s="157" t="s">
        <v>108</v>
      </c>
      <c r="C27" s="32"/>
      <c r="D27" s="61"/>
      <c r="E27" s="82"/>
      <c r="F27" s="50"/>
      <c r="G27" s="50"/>
      <c r="H27" s="60"/>
      <c r="I27" s="60"/>
      <c r="J27" s="11"/>
      <c r="K27" s="11"/>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row>
    <row r="28" spans="1:361" s="3" customFormat="1" ht="30.75" hidden="1" customHeight="1" thickBot="1" x14ac:dyDescent="0.3">
      <c r="A28" s="28"/>
      <c r="B28" s="35" t="s">
        <v>123</v>
      </c>
      <c r="C28" s="32" t="s">
        <v>90</v>
      </c>
      <c r="D28" s="61" t="s">
        <v>129</v>
      </c>
      <c r="E28" s="82">
        <v>1</v>
      </c>
      <c r="F28" s="50">
        <v>45778</v>
      </c>
      <c r="G28" s="50">
        <v>45782</v>
      </c>
      <c r="H28" s="60" t="s">
        <v>130</v>
      </c>
      <c r="I28" s="60"/>
      <c r="J28" s="11"/>
      <c r="K28" s="11"/>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c r="IX28" s="15"/>
      <c r="IY28" s="15"/>
      <c r="IZ28" s="15"/>
      <c r="JA28" s="15"/>
      <c r="JB28" s="15"/>
      <c r="JC28" s="15"/>
      <c r="JD28" s="15"/>
      <c r="JE28" s="15"/>
      <c r="JF28" s="15"/>
      <c r="JG28" s="15"/>
      <c r="JH28" s="15"/>
      <c r="JI28" s="15"/>
      <c r="JJ28" s="15"/>
      <c r="JK28" s="15"/>
      <c r="JL28" s="15"/>
      <c r="JM28" s="15"/>
      <c r="JN28" s="15"/>
      <c r="JO28" s="15"/>
      <c r="JP28" s="15"/>
      <c r="JQ28" s="15"/>
      <c r="JR28" s="15"/>
      <c r="JS28" s="15"/>
      <c r="JT28" s="15"/>
      <c r="JU28" s="15"/>
      <c r="JV28" s="15"/>
      <c r="JW28" s="15"/>
      <c r="JX28" s="15"/>
      <c r="JY28" s="15"/>
      <c r="JZ28" s="15"/>
      <c r="KA28" s="15"/>
      <c r="KB28" s="15"/>
      <c r="KC28" s="15"/>
      <c r="KD28" s="15"/>
      <c r="KE28" s="15"/>
      <c r="KF28" s="15"/>
      <c r="KG28" s="15"/>
      <c r="KH28" s="15"/>
      <c r="KI28" s="15"/>
      <c r="KJ28" s="15"/>
      <c r="KK28" s="15"/>
      <c r="KL28" s="15"/>
      <c r="KM28" s="15"/>
      <c r="KN28" s="15"/>
      <c r="KO28" s="15"/>
      <c r="KP28" s="15"/>
      <c r="KQ28" s="15"/>
      <c r="KR28" s="15"/>
      <c r="KS28" s="15"/>
      <c r="KT28" s="15"/>
      <c r="KU28" s="15"/>
      <c r="KV28" s="15"/>
      <c r="KW28" s="15"/>
      <c r="KX28" s="15"/>
      <c r="KY28" s="15"/>
      <c r="KZ28" s="15"/>
      <c r="LA28" s="15"/>
      <c r="LB28" s="15"/>
      <c r="LC28" s="15"/>
      <c r="LD28" s="15"/>
      <c r="LE28" s="15"/>
      <c r="LF28" s="15"/>
      <c r="LG28" s="15"/>
      <c r="LH28" s="15"/>
      <c r="LI28" s="15"/>
      <c r="LJ28" s="15"/>
      <c r="LK28" s="15"/>
      <c r="LL28" s="15"/>
      <c r="LM28" s="15"/>
      <c r="LN28" s="15"/>
      <c r="LO28" s="15"/>
      <c r="LP28" s="15"/>
      <c r="LQ28" s="15"/>
      <c r="LR28" s="15"/>
      <c r="LS28" s="15"/>
      <c r="LT28" s="15"/>
      <c r="LU28" s="15"/>
      <c r="LV28" s="15"/>
      <c r="LW28" s="15"/>
      <c r="LX28" s="15"/>
      <c r="LY28" s="15"/>
      <c r="LZ28" s="15"/>
      <c r="MA28" s="15"/>
      <c r="MB28" s="15"/>
      <c r="MC28" s="15"/>
      <c r="MD28" s="15"/>
      <c r="ME28" s="15"/>
      <c r="MF28" s="15"/>
      <c r="MG28" s="15"/>
      <c r="MH28" s="15"/>
      <c r="MI28" s="15"/>
      <c r="MJ28" s="15"/>
      <c r="MK28" s="15"/>
      <c r="ML28" s="15"/>
      <c r="MM28" s="15"/>
      <c r="MN28" s="15"/>
      <c r="MO28" s="15"/>
      <c r="MP28" s="15"/>
      <c r="MQ28" s="15"/>
      <c r="MR28" s="15"/>
      <c r="MS28" s="15"/>
      <c r="MT28" s="15"/>
      <c r="MU28" s="15"/>
      <c r="MV28" s="15"/>
      <c r="MW28" s="15"/>
    </row>
    <row r="29" spans="1:361" s="3" customFormat="1" ht="16.5" hidden="1" customHeight="1" thickBot="1" x14ac:dyDescent="0.3">
      <c r="A29" s="28"/>
      <c r="B29" s="157" t="s">
        <v>133</v>
      </c>
      <c r="C29" s="32"/>
      <c r="D29" s="61"/>
      <c r="E29" s="82"/>
      <c r="F29" s="50"/>
      <c r="G29" s="50"/>
      <c r="H29" s="60"/>
      <c r="I29" s="60"/>
      <c r="J29" s="11"/>
      <c r="K29" s="11"/>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15"/>
      <c r="GI29" s="15"/>
      <c r="GJ29" s="15"/>
      <c r="GK29" s="15"/>
      <c r="GL29" s="15"/>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15"/>
      <c r="HQ29" s="15"/>
      <c r="HR29" s="15"/>
      <c r="HS29" s="15"/>
      <c r="HT29" s="15"/>
      <c r="HU29" s="15"/>
      <c r="HV29" s="15"/>
      <c r="HW29" s="15"/>
      <c r="HX29" s="15"/>
      <c r="HY29" s="15"/>
      <c r="HZ29" s="15"/>
      <c r="IA29" s="15"/>
      <c r="IB29" s="15"/>
      <c r="IC29" s="15"/>
      <c r="ID29" s="15"/>
      <c r="IE29" s="15"/>
      <c r="IF29" s="15"/>
      <c r="IG29" s="15"/>
      <c r="IH29" s="15"/>
      <c r="II29" s="15"/>
      <c r="IJ29" s="15"/>
      <c r="IK29" s="15"/>
      <c r="IL29" s="15"/>
      <c r="IM29" s="15"/>
      <c r="IN29" s="15"/>
      <c r="IO29" s="15"/>
      <c r="IP29" s="15"/>
      <c r="IQ29" s="15"/>
      <c r="IR29" s="15"/>
      <c r="IS29" s="15"/>
      <c r="IT29" s="15"/>
      <c r="IU29" s="15"/>
      <c r="IV29" s="15"/>
      <c r="IW29" s="15"/>
      <c r="IX29" s="15"/>
      <c r="IY29" s="15"/>
      <c r="IZ29" s="15"/>
      <c r="JA29" s="15"/>
      <c r="JB29" s="15"/>
      <c r="JC29" s="15"/>
      <c r="JD29" s="15"/>
      <c r="JE29" s="15"/>
      <c r="JF29" s="15"/>
      <c r="JG29" s="15"/>
      <c r="JH29" s="15"/>
      <c r="JI29" s="15"/>
      <c r="JJ29" s="15"/>
      <c r="JK29" s="15"/>
      <c r="JL29" s="15"/>
      <c r="JM29" s="15"/>
      <c r="JN29" s="15"/>
      <c r="JO29" s="15"/>
      <c r="JP29" s="15"/>
      <c r="JQ29" s="15"/>
      <c r="JR29" s="15"/>
      <c r="JS29" s="15"/>
      <c r="JT29" s="15"/>
      <c r="JU29" s="15"/>
      <c r="JV29" s="15"/>
      <c r="JW29" s="15"/>
      <c r="JX29" s="15"/>
      <c r="JY29" s="15"/>
      <c r="JZ29" s="15"/>
      <c r="KA29" s="15"/>
      <c r="KB29" s="15"/>
      <c r="KC29" s="15"/>
      <c r="KD29" s="15"/>
      <c r="KE29" s="15"/>
      <c r="KF29" s="15"/>
      <c r="KG29" s="15"/>
      <c r="KH29" s="15"/>
      <c r="KI29" s="15"/>
      <c r="KJ29" s="15"/>
      <c r="KK29" s="15"/>
      <c r="KL29" s="15"/>
      <c r="KM29" s="15"/>
      <c r="KN29" s="15"/>
      <c r="KO29" s="15"/>
      <c r="KP29" s="15"/>
      <c r="KQ29" s="15"/>
      <c r="KR29" s="15"/>
      <c r="KS29" s="15"/>
      <c r="KT29" s="15"/>
      <c r="KU29" s="15"/>
      <c r="KV29" s="15"/>
      <c r="KW29" s="15"/>
      <c r="KX29" s="15"/>
      <c r="KY29" s="15"/>
      <c r="KZ29" s="15"/>
      <c r="LA29" s="15"/>
      <c r="LB29" s="15"/>
      <c r="LC29" s="15"/>
      <c r="LD29" s="15"/>
      <c r="LE29" s="15"/>
      <c r="LF29" s="15"/>
      <c r="LG29" s="15"/>
      <c r="LH29" s="15"/>
      <c r="LI29" s="15"/>
      <c r="LJ29" s="15"/>
      <c r="LK29" s="15"/>
      <c r="LL29" s="15"/>
      <c r="LM29" s="15"/>
      <c r="LN29" s="15"/>
      <c r="LO29" s="15"/>
      <c r="LP29" s="15"/>
      <c r="LQ29" s="15"/>
      <c r="LR29" s="15"/>
      <c r="LS29" s="15"/>
      <c r="LT29" s="15"/>
      <c r="LU29" s="15"/>
      <c r="LV29" s="15"/>
      <c r="LW29" s="15"/>
      <c r="LX29" s="15"/>
      <c r="LY29" s="15"/>
      <c r="LZ29" s="15"/>
      <c r="MA29" s="15"/>
      <c r="MB29" s="15"/>
      <c r="MC29" s="15"/>
      <c r="MD29" s="15"/>
      <c r="ME29" s="15"/>
      <c r="MF29" s="15"/>
      <c r="MG29" s="15"/>
      <c r="MH29" s="15"/>
      <c r="MI29" s="15"/>
      <c r="MJ29" s="15"/>
      <c r="MK29" s="15"/>
      <c r="ML29" s="15"/>
      <c r="MM29" s="15"/>
      <c r="MN29" s="15"/>
      <c r="MO29" s="15"/>
      <c r="MP29" s="15"/>
      <c r="MQ29" s="15"/>
      <c r="MR29" s="15"/>
      <c r="MS29" s="15"/>
      <c r="MT29" s="15"/>
      <c r="MU29" s="15"/>
      <c r="MV29" s="15"/>
      <c r="MW29" s="15"/>
    </row>
    <row r="30" spans="1:361" s="3" customFormat="1" ht="30.75" hidden="1" customHeight="1" thickBot="1" x14ac:dyDescent="0.3">
      <c r="A30" s="28"/>
      <c r="B30" s="35" t="s">
        <v>123</v>
      </c>
      <c r="C30" s="32" t="s">
        <v>90</v>
      </c>
      <c r="D30" s="61" t="s">
        <v>129</v>
      </c>
      <c r="E30" s="82">
        <v>1</v>
      </c>
      <c r="F30" s="50">
        <v>45778</v>
      </c>
      <c r="G30" s="50">
        <v>45782</v>
      </c>
      <c r="H30" s="60" t="s">
        <v>130</v>
      </c>
      <c r="I30" s="60"/>
      <c r="J30" s="11"/>
      <c r="K30" s="11"/>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c r="GJ30" s="15"/>
      <c r="GK30" s="15"/>
      <c r="GL30" s="15"/>
      <c r="GM30" s="15"/>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15"/>
      <c r="HQ30" s="15"/>
      <c r="HR30" s="15"/>
      <c r="HS30" s="15"/>
      <c r="HT30" s="15"/>
      <c r="HU30" s="15"/>
      <c r="HV30" s="15"/>
      <c r="HW30" s="15"/>
      <c r="HX30" s="15"/>
      <c r="HY30" s="15"/>
      <c r="HZ30" s="15"/>
      <c r="IA30" s="15"/>
      <c r="IB30" s="15"/>
      <c r="IC30" s="15"/>
      <c r="ID30" s="15"/>
      <c r="IE30" s="15"/>
      <c r="IF30" s="15"/>
      <c r="IG30" s="15"/>
      <c r="IH30" s="15"/>
      <c r="II30" s="15"/>
      <c r="IJ30" s="15"/>
      <c r="IK30" s="15"/>
      <c r="IL30" s="15"/>
      <c r="IM30" s="15"/>
      <c r="IN30" s="15"/>
      <c r="IO30" s="15"/>
      <c r="IP30" s="15"/>
      <c r="IQ30" s="15"/>
      <c r="IR30" s="15"/>
      <c r="IS30" s="15"/>
      <c r="IT30" s="15"/>
      <c r="IU30" s="15"/>
      <c r="IV30" s="15"/>
      <c r="IW30" s="15"/>
      <c r="IX30" s="15"/>
      <c r="IY30" s="15"/>
      <c r="IZ30" s="15"/>
      <c r="JA30" s="15"/>
      <c r="JB30" s="15"/>
      <c r="JC30" s="15"/>
      <c r="JD30" s="15"/>
      <c r="JE30" s="15"/>
      <c r="JF30" s="15"/>
      <c r="JG30" s="15"/>
      <c r="JH30" s="15"/>
      <c r="JI30" s="15"/>
      <c r="JJ30" s="15"/>
      <c r="JK30" s="15"/>
      <c r="JL30" s="15"/>
      <c r="JM30" s="15"/>
      <c r="JN30" s="15"/>
      <c r="JO30" s="15"/>
      <c r="JP30" s="15"/>
      <c r="JQ30" s="15"/>
      <c r="JR30" s="15"/>
      <c r="JS30" s="15"/>
      <c r="JT30" s="15"/>
      <c r="JU30" s="15"/>
      <c r="JV30" s="15"/>
      <c r="JW30" s="15"/>
      <c r="JX30" s="15"/>
      <c r="JY30" s="15"/>
      <c r="JZ30" s="15"/>
      <c r="KA30" s="15"/>
      <c r="KB30" s="15"/>
      <c r="KC30" s="15"/>
      <c r="KD30" s="15"/>
      <c r="KE30" s="15"/>
      <c r="KF30" s="15"/>
      <c r="KG30" s="15"/>
      <c r="KH30" s="15"/>
      <c r="KI30" s="15"/>
      <c r="KJ30" s="15"/>
      <c r="KK30" s="15"/>
      <c r="KL30" s="15"/>
      <c r="KM30" s="15"/>
      <c r="KN30" s="15"/>
      <c r="KO30" s="15"/>
      <c r="KP30" s="15"/>
      <c r="KQ30" s="15"/>
      <c r="KR30" s="15"/>
      <c r="KS30" s="15"/>
      <c r="KT30" s="15"/>
      <c r="KU30" s="15"/>
      <c r="KV30" s="15"/>
      <c r="KW30" s="15"/>
      <c r="KX30" s="15"/>
      <c r="KY30" s="15"/>
      <c r="KZ30" s="15"/>
      <c r="LA30" s="15"/>
      <c r="LB30" s="15"/>
      <c r="LC30" s="15"/>
      <c r="LD30" s="15"/>
      <c r="LE30" s="15"/>
      <c r="LF30" s="15"/>
      <c r="LG30" s="15"/>
      <c r="LH30" s="15"/>
      <c r="LI30" s="15"/>
      <c r="LJ30" s="15"/>
      <c r="LK30" s="15"/>
      <c r="LL30" s="15"/>
      <c r="LM30" s="15"/>
      <c r="LN30" s="15"/>
      <c r="LO30" s="15"/>
      <c r="LP30" s="15"/>
      <c r="LQ30" s="15"/>
      <c r="LR30" s="15"/>
      <c r="LS30" s="15"/>
      <c r="LT30" s="15"/>
      <c r="LU30" s="15"/>
      <c r="LV30" s="15"/>
      <c r="LW30" s="15"/>
      <c r="LX30" s="15"/>
      <c r="LY30" s="15"/>
      <c r="LZ30" s="15"/>
      <c r="MA30" s="15"/>
      <c r="MB30" s="15"/>
      <c r="MC30" s="15"/>
      <c r="MD30" s="15"/>
      <c r="ME30" s="15"/>
      <c r="MF30" s="15"/>
      <c r="MG30" s="15"/>
      <c r="MH30" s="15"/>
      <c r="MI30" s="15"/>
      <c r="MJ30" s="15"/>
      <c r="MK30" s="15"/>
      <c r="ML30" s="15"/>
      <c r="MM30" s="15"/>
      <c r="MN30" s="15"/>
      <c r="MO30" s="15"/>
      <c r="MP30" s="15"/>
      <c r="MQ30" s="15"/>
      <c r="MR30" s="15"/>
      <c r="MS30" s="15"/>
      <c r="MT30" s="15"/>
      <c r="MU30" s="15"/>
      <c r="MV30" s="15"/>
      <c r="MW30" s="15"/>
    </row>
    <row r="31" spans="1:361" s="3" customFormat="1" ht="16.5" hidden="1" customHeight="1" thickBot="1" x14ac:dyDescent="0.3">
      <c r="A31" s="28"/>
      <c r="B31" s="157" t="s">
        <v>117</v>
      </c>
      <c r="C31" s="32"/>
      <c r="D31" s="61"/>
      <c r="E31" s="82"/>
      <c r="F31" s="50"/>
      <c r="G31" s="50"/>
      <c r="H31" s="60"/>
      <c r="I31" s="60"/>
      <c r="J31" s="11"/>
      <c r="K31" s="11"/>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s="15"/>
      <c r="GI31" s="15"/>
      <c r="GJ31" s="15"/>
      <c r="GK31" s="15"/>
      <c r="GL31" s="15"/>
      <c r="GM31" s="15"/>
      <c r="GN31" s="15"/>
      <c r="GO31" s="15"/>
      <c r="GP31" s="15"/>
      <c r="GQ31" s="15"/>
      <c r="GR31" s="15"/>
      <c r="GS31" s="15"/>
      <c r="GT31" s="15"/>
      <c r="GU31" s="15"/>
      <c r="GV31" s="15"/>
      <c r="GW31" s="15"/>
      <c r="GX31" s="15"/>
      <c r="GY31" s="15"/>
      <c r="GZ31" s="15"/>
      <c r="HA31" s="15"/>
      <c r="HB31" s="15"/>
      <c r="HC31" s="15"/>
      <c r="HD31" s="15"/>
      <c r="HE31" s="15"/>
      <c r="HF31" s="15"/>
      <c r="HG31" s="15"/>
      <c r="HH31" s="15"/>
      <c r="HI31" s="15"/>
      <c r="HJ31" s="15"/>
      <c r="HK31" s="15"/>
      <c r="HL31" s="15"/>
      <c r="HM31" s="15"/>
      <c r="HN31" s="15"/>
      <c r="HO31" s="15"/>
      <c r="HP31" s="15"/>
      <c r="HQ31" s="15"/>
      <c r="HR31" s="15"/>
      <c r="HS31" s="15"/>
      <c r="HT31" s="15"/>
      <c r="HU31" s="15"/>
      <c r="HV31" s="15"/>
      <c r="HW31" s="15"/>
      <c r="HX31" s="15"/>
      <c r="HY31" s="15"/>
      <c r="HZ31" s="15"/>
      <c r="IA31" s="15"/>
      <c r="IB31" s="15"/>
      <c r="IC31" s="15"/>
      <c r="ID31" s="15"/>
      <c r="IE31" s="15"/>
      <c r="IF31" s="15"/>
      <c r="IG31" s="15"/>
      <c r="IH31" s="15"/>
      <c r="II31" s="15"/>
      <c r="IJ31" s="15"/>
      <c r="IK31" s="15"/>
      <c r="IL31" s="15"/>
      <c r="IM31" s="15"/>
      <c r="IN31" s="15"/>
      <c r="IO31" s="15"/>
      <c r="IP31" s="15"/>
      <c r="IQ31" s="15"/>
      <c r="IR31" s="15"/>
      <c r="IS31" s="15"/>
      <c r="IT31" s="15"/>
      <c r="IU31" s="15"/>
      <c r="IV31" s="15"/>
      <c r="IW31" s="15"/>
      <c r="IX31" s="15"/>
      <c r="IY31" s="15"/>
      <c r="IZ31" s="15"/>
      <c r="JA31" s="15"/>
      <c r="JB31" s="15"/>
      <c r="JC31" s="15"/>
      <c r="JD31" s="15"/>
      <c r="JE31" s="15"/>
      <c r="JF31" s="15"/>
      <c r="JG31" s="15"/>
      <c r="JH31" s="15"/>
      <c r="JI31" s="15"/>
      <c r="JJ31" s="15"/>
      <c r="JK31" s="15"/>
      <c r="JL31" s="15"/>
      <c r="JM31" s="15"/>
      <c r="JN31" s="15"/>
      <c r="JO31" s="15"/>
      <c r="JP31" s="15"/>
      <c r="JQ31" s="15"/>
      <c r="JR31" s="15"/>
      <c r="JS31" s="15"/>
      <c r="JT31" s="15"/>
      <c r="JU31" s="15"/>
      <c r="JV31" s="15"/>
      <c r="JW31" s="15"/>
      <c r="JX31" s="15"/>
      <c r="JY31" s="15"/>
      <c r="JZ31" s="15"/>
      <c r="KA31" s="15"/>
      <c r="KB31" s="15"/>
      <c r="KC31" s="15"/>
      <c r="KD31" s="15"/>
      <c r="KE31" s="15"/>
      <c r="KF31" s="15"/>
      <c r="KG31" s="15"/>
      <c r="KH31" s="15"/>
      <c r="KI31" s="15"/>
      <c r="KJ31" s="15"/>
      <c r="KK31" s="15"/>
      <c r="KL31" s="15"/>
      <c r="KM31" s="15"/>
      <c r="KN31" s="15"/>
      <c r="KO31" s="15"/>
      <c r="KP31" s="15"/>
      <c r="KQ31" s="15"/>
      <c r="KR31" s="15"/>
      <c r="KS31" s="15"/>
      <c r="KT31" s="15"/>
      <c r="KU31" s="15"/>
      <c r="KV31" s="15"/>
      <c r="KW31" s="15"/>
      <c r="KX31" s="15"/>
      <c r="KY31" s="15"/>
      <c r="KZ31" s="15"/>
      <c r="LA31" s="15"/>
      <c r="LB31" s="15"/>
      <c r="LC31" s="15"/>
      <c r="LD31" s="15"/>
      <c r="LE31" s="15"/>
      <c r="LF31" s="15"/>
      <c r="LG31" s="15"/>
      <c r="LH31" s="15"/>
      <c r="LI31" s="15"/>
      <c r="LJ31" s="15"/>
      <c r="LK31" s="15"/>
      <c r="LL31" s="15"/>
      <c r="LM31" s="15"/>
      <c r="LN31" s="15"/>
      <c r="LO31" s="15"/>
      <c r="LP31" s="15"/>
      <c r="LQ31" s="15"/>
      <c r="LR31" s="15"/>
      <c r="LS31" s="15"/>
      <c r="LT31" s="15"/>
      <c r="LU31" s="15"/>
      <c r="LV31" s="15"/>
      <c r="LW31" s="15"/>
      <c r="LX31" s="15"/>
      <c r="LY31" s="15"/>
      <c r="LZ31" s="15"/>
      <c r="MA31" s="15"/>
      <c r="MB31" s="15"/>
      <c r="MC31" s="15"/>
      <c r="MD31" s="15"/>
      <c r="ME31" s="15"/>
      <c r="MF31" s="15"/>
      <c r="MG31" s="15"/>
      <c r="MH31" s="15"/>
      <c r="MI31" s="15"/>
      <c r="MJ31" s="15"/>
      <c r="MK31" s="15"/>
      <c r="ML31" s="15"/>
      <c r="MM31" s="15"/>
      <c r="MN31" s="15"/>
      <c r="MO31" s="15"/>
      <c r="MP31" s="15"/>
      <c r="MQ31" s="15"/>
      <c r="MR31" s="15"/>
      <c r="MS31" s="15"/>
      <c r="MT31" s="15"/>
      <c r="MU31" s="15"/>
      <c r="MV31" s="15"/>
      <c r="MW31" s="15"/>
    </row>
    <row r="32" spans="1:361" s="3" customFormat="1" ht="15.75" hidden="1" customHeight="1" thickBot="1" x14ac:dyDescent="0.3">
      <c r="A32" s="28"/>
      <c r="B32" s="35" t="s">
        <v>117</v>
      </c>
      <c r="C32" s="32" t="s">
        <v>90</v>
      </c>
      <c r="D32" s="61"/>
      <c r="E32" s="82"/>
      <c r="F32" s="50"/>
      <c r="G32" s="50"/>
      <c r="H32" s="60"/>
      <c r="I32" s="60"/>
      <c r="J32" s="11"/>
      <c r="K32" s="11"/>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c r="IX32" s="15"/>
      <c r="IY32" s="15"/>
      <c r="IZ32" s="15"/>
      <c r="JA32" s="15"/>
      <c r="JB32" s="15"/>
      <c r="JC32" s="15"/>
      <c r="JD32" s="15"/>
      <c r="JE32" s="15"/>
      <c r="JF32" s="15"/>
      <c r="JG32" s="15"/>
      <c r="JH32" s="15"/>
      <c r="JI32" s="15"/>
      <c r="JJ32" s="15"/>
      <c r="JK32" s="15"/>
      <c r="JL32" s="15"/>
      <c r="JM32" s="15"/>
      <c r="JN32" s="15"/>
      <c r="JO32" s="15"/>
      <c r="JP32" s="15"/>
      <c r="JQ32" s="15"/>
      <c r="JR32" s="15"/>
      <c r="JS32" s="15"/>
      <c r="JT32" s="15"/>
      <c r="JU32" s="15"/>
      <c r="JV32" s="15"/>
      <c r="JW32" s="15"/>
      <c r="JX32" s="15"/>
      <c r="JY32" s="15"/>
      <c r="JZ32" s="15"/>
      <c r="KA32" s="15"/>
      <c r="KB32" s="15"/>
      <c r="KC32" s="15"/>
      <c r="KD32" s="15"/>
      <c r="KE32" s="15"/>
      <c r="KF32" s="15"/>
      <c r="KG32" s="15"/>
      <c r="KH32" s="15"/>
      <c r="KI32" s="15"/>
      <c r="KJ32" s="15"/>
      <c r="KK32" s="15"/>
      <c r="KL32" s="15"/>
      <c r="KM32" s="15"/>
      <c r="KN32" s="15"/>
      <c r="KO32" s="15"/>
      <c r="KP32" s="15"/>
      <c r="KQ32" s="15"/>
      <c r="KR32" s="15"/>
      <c r="KS32" s="15"/>
      <c r="KT32" s="15"/>
      <c r="KU32" s="15"/>
      <c r="KV32" s="15"/>
      <c r="KW32" s="15"/>
      <c r="KX32" s="15"/>
      <c r="KY32" s="15"/>
      <c r="KZ32" s="15"/>
      <c r="LA32" s="15"/>
      <c r="LB32" s="15"/>
      <c r="LC32" s="15"/>
      <c r="LD32" s="15"/>
      <c r="LE32" s="15"/>
      <c r="LF32" s="15"/>
      <c r="LG32" s="15"/>
      <c r="LH32" s="15"/>
      <c r="LI32" s="15"/>
      <c r="LJ32" s="15"/>
      <c r="LK32" s="15"/>
      <c r="LL32" s="15"/>
      <c r="LM32" s="15"/>
      <c r="LN32" s="15"/>
      <c r="LO32" s="15"/>
      <c r="LP32" s="15"/>
      <c r="LQ32" s="15"/>
      <c r="LR32" s="15"/>
      <c r="LS32" s="15"/>
      <c r="LT32" s="15"/>
      <c r="LU32" s="15"/>
      <c r="LV32" s="15"/>
      <c r="LW32" s="15"/>
      <c r="LX32" s="15"/>
      <c r="LY32" s="15"/>
      <c r="LZ32" s="15"/>
      <c r="MA32" s="15"/>
      <c r="MB32" s="15"/>
      <c r="MC32" s="15"/>
      <c r="MD32" s="15"/>
      <c r="ME32" s="15"/>
      <c r="MF32" s="15"/>
      <c r="MG32" s="15"/>
      <c r="MH32" s="15"/>
      <c r="MI32" s="15"/>
      <c r="MJ32" s="15"/>
      <c r="MK32" s="15"/>
      <c r="ML32" s="15"/>
      <c r="MM32" s="15"/>
      <c r="MN32" s="15"/>
      <c r="MO32" s="15"/>
      <c r="MP32" s="15"/>
      <c r="MQ32" s="15"/>
      <c r="MR32" s="15"/>
      <c r="MS32" s="15"/>
      <c r="MT32" s="15"/>
      <c r="MU32" s="15"/>
      <c r="MV32" s="15"/>
      <c r="MW32" s="15"/>
    </row>
    <row r="33" spans="1:361" s="3" customFormat="1" ht="15.75" hidden="1" customHeight="1" thickBot="1" x14ac:dyDescent="0.3">
      <c r="A33" s="28"/>
      <c r="B33" s="35"/>
      <c r="C33" s="32"/>
      <c r="D33" s="61"/>
      <c r="E33" s="82"/>
      <c r="F33" s="50"/>
      <c r="G33" s="50"/>
      <c r="H33" s="60"/>
      <c r="I33" s="60"/>
      <c r="J33" s="11"/>
      <c r="K33" s="11"/>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5"/>
      <c r="IY33" s="15"/>
      <c r="IZ33" s="15"/>
      <c r="JA33" s="15"/>
      <c r="JB33" s="15"/>
      <c r="JC33" s="15"/>
      <c r="JD33" s="15"/>
      <c r="JE33" s="15"/>
      <c r="JF33" s="15"/>
      <c r="JG33" s="15"/>
      <c r="JH33" s="15"/>
      <c r="JI33" s="15"/>
      <c r="JJ33" s="15"/>
      <c r="JK33" s="15"/>
      <c r="JL33" s="15"/>
      <c r="JM33" s="15"/>
      <c r="JN33" s="15"/>
      <c r="JO33" s="15"/>
      <c r="JP33" s="15"/>
      <c r="JQ33" s="15"/>
      <c r="JR33" s="15"/>
      <c r="JS33" s="15"/>
      <c r="JT33" s="15"/>
      <c r="JU33" s="15"/>
      <c r="JV33" s="15"/>
      <c r="JW33" s="15"/>
      <c r="JX33" s="15"/>
      <c r="JY33" s="15"/>
      <c r="JZ33" s="15"/>
      <c r="KA33" s="15"/>
      <c r="KB33" s="15"/>
      <c r="KC33" s="15"/>
      <c r="KD33" s="15"/>
      <c r="KE33" s="15"/>
      <c r="KF33" s="15"/>
      <c r="KG33" s="15"/>
      <c r="KH33" s="15"/>
      <c r="KI33" s="15"/>
      <c r="KJ33" s="15"/>
      <c r="KK33" s="15"/>
      <c r="KL33" s="15"/>
      <c r="KM33" s="15"/>
      <c r="KN33" s="15"/>
      <c r="KO33" s="15"/>
      <c r="KP33" s="15"/>
      <c r="KQ33" s="15"/>
      <c r="KR33" s="15"/>
      <c r="KS33" s="15"/>
      <c r="KT33" s="15"/>
      <c r="KU33" s="15"/>
      <c r="KV33" s="15"/>
      <c r="KW33" s="15"/>
      <c r="KX33" s="15"/>
      <c r="KY33" s="15"/>
      <c r="KZ33" s="15"/>
      <c r="LA33" s="15"/>
      <c r="LB33" s="15"/>
      <c r="LC33" s="15"/>
      <c r="LD33" s="15"/>
      <c r="LE33" s="15"/>
      <c r="LF33" s="15"/>
      <c r="LG33" s="15"/>
      <c r="LH33" s="15"/>
      <c r="LI33" s="15"/>
      <c r="LJ33" s="15"/>
      <c r="LK33" s="15"/>
      <c r="LL33" s="15"/>
      <c r="LM33" s="15"/>
      <c r="LN33" s="15"/>
      <c r="LO33" s="15"/>
      <c r="LP33" s="15"/>
      <c r="LQ33" s="15"/>
      <c r="LR33" s="15"/>
      <c r="LS33" s="15"/>
      <c r="LT33" s="15"/>
      <c r="LU33" s="15"/>
      <c r="LV33" s="15"/>
      <c r="LW33" s="15"/>
      <c r="LX33" s="15"/>
      <c r="LY33" s="15"/>
      <c r="LZ33" s="15"/>
      <c r="MA33" s="15"/>
      <c r="MB33" s="15"/>
      <c r="MC33" s="15"/>
      <c r="MD33" s="15"/>
      <c r="ME33" s="15"/>
      <c r="MF33" s="15"/>
      <c r="MG33" s="15"/>
      <c r="MH33" s="15"/>
      <c r="MI33" s="15"/>
      <c r="MJ33" s="15"/>
      <c r="MK33" s="15"/>
      <c r="ML33" s="15"/>
      <c r="MM33" s="15"/>
      <c r="MN33" s="15"/>
      <c r="MO33" s="15"/>
      <c r="MP33" s="15"/>
      <c r="MQ33" s="15"/>
      <c r="MR33" s="15"/>
      <c r="MS33" s="15"/>
      <c r="MT33" s="15"/>
      <c r="MU33" s="15"/>
      <c r="MV33" s="15"/>
      <c r="MW33" s="15"/>
    </row>
    <row r="34" spans="1:361" s="3" customFormat="1" ht="16.5" hidden="1" customHeight="1" thickBot="1" x14ac:dyDescent="0.3">
      <c r="A34" s="28"/>
      <c r="B34" s="157" t="s">
        <v>230</v>
      </c>
      <c r="C34" s="32"/>
      <c r="D34" s="61"/>
      <c r="E34" s="82"/>
      <c r="F34" s="50"/>
      <c r="G34" s="50"/>
      <c r="H34" s="60"/>
      <c r="I34" s="60"/>
      <c r="J34" s="11"/>
      <c r="K34" s="11"/>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L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Q34" s="15"/>
      <c r="JR34" s="15"/>
      <c r="JS34" s="15"/>
      <c r="JT34" s="15"/>
      <c r="JU34" s="15"/>
      <c r="JV34" s="15"/>
      <c r="JW34" s="15"/>
      <c r="JX34" s="15"/>
      <c r="JY34" s="15"/>
      <c r="JZ34" s="15"/>
      <c r="KA34" s="15"/>
      <c r="KB34" s="15"/>
      <c r="KC34" s="15"/>
      <c r="KD34" s="15"/>
      <c r="KE34" s="15"/>
      <c r="KF34" s="15"/>
      <c r="KG34" s="15"/>
      <c r="KH34" s="15"/>
      <c r="KI34" s="15"/>
      <c r="KJ34" s="15"/>
      <c r="KK34" s="15"/>
      <c r="KL34" s="15"/>
      <c r="KM34" s="15"/>
      <c r="KN34" s="15"/>
      <c r="KO34" s="15"/>
      <c r="KP34" s="15"/>
      <c r="KQ34" s="15"/>
      <c r="KR34" s="15"/>
      <c r="KS34" s="15"/>
      <c r="KT34" s="15"/>
      <c r="KU34" s="15"/>
      <c r="KV34" s="15"/>
      <c r="KW34" s="15"/>
      <c r="KX34" s="15"/>
      <c r="KY34" s="15"/>
      <c r="KZ34" s="15"/>
      <c r="LA34" s="15"/>
      <c r="LB34" s="15"/>
      <c r="LC34" s="15"/>
      <c r="LD34" s="15"/>
      <c r="LE34" s="15"/>
      <c r="LF34" s="15"/>
      <c r="LG34" s="15"/>
      <c r="LH34" s="15"/>
      <c r="LI34" s="15"/>
      <c r="LJ34" s="15"/>
      <c r="LK34" s="15"/>
      <c r="LL34" s="15"/>
      <c r="LM34" s="15"/>
      <c r="LN34" s="15"/>
      <c r="LO34" s="15"/>
      <c r="LP34" s="15"/>
      <c r="LQ34" s="15"/>
      <c r="LR34" s="15"/>
      <c r="LS34" s="15"/>
      <c r="LT34" s="15"/>
      <c r="LU34" s="15"/>
      <c r="LV34" s="15"/>
      <c r="LW34" s="15"/>
      <c r="LX34" s="15"/>
      <c r="LY34" s="15"/>
      <c r="LZ34" s="15"/>
      <c r="MA34" s="15"/>
      <c r="MB34" s="15"/>
      <c r="MC34" s="15"/>
      <c r="MD34" s="15"/>
      <c r="ME34" s="15"/>
      <c r="MF34" s="15"/>
      <c r="MG34" s="15"/>
      <c r="MH34" s="15"/>
      <c r="MI34" s="15"/>
      <c r="MJ34" s="15"/>
      <c r="MK34" s="15"/>
      <c r="ML34" s="15"/>
      <c r="MM34" s="15"/>
      <c r="MN34" s="15"/>
      <c r="MO34" s="15"/>
      <c r="MP34" s="15"/>
      <c r="MQ34" s="15"/>
      <c r="MR34" s="15"/>
      <c r="MS34" s="15"/>
      <c r="MT34" s="15"/>
      <c r="MU34" s="15"/>
      <c r="MV34" s="15"/>
      <c r="MW34" s="15"/>
    </row>
    <row r="35" spans="1:361" s="3" customFormat="1" ht="30.75" hidden="1" thickBot="1" x14ac:dyDescent="0.3">
      <c r="A35" s="28"/>
      <c r="B35" s="194" t="s">
        <v>232</v>
      </c>
      <c r="C35" s="32" t="s">
        <v>90</v>
      </c>
      <c r="D35" s="195" t="s">
        <v>231</v>
      </c>
      <c r="E35" s="82">
        <v>1</v>
      </c>
      <c r="F35" s="50">
        <v>46002</v>
      </c>
      <c r="G35" s="50">
        <v>46006</v>
      </c>
      <c r="H35" s="196" t="s">
        <v>130</v>
      </c>
      <c r="I35" s="60"/>
      <c r="J35" s="11"/>
      <c r="K35" s="11"/>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15"/>
      <c r="GI35" s="15"/>
      <c r="GJ35" s="15"/>
      <c r="GK35" s="15"/>
      <c r="GL35" s="15"/>
      <c r="GM35" s="15"/>
      <c r="GN35" s="15"/>
      <c r="GO35" s="15"/>
      <c r="GP35" s="15"/>
      <c r="GQ35" s="15"/>
      <c r="GR35" s="15"/>
      <c r="GS35" s="15"/>
      <c r="GT35" s="15"/>
      <c r="GU35" s="15"/>
      <c r="GV35" s="15"/>
      <c r="GW35" s="15"/>
      <c r="GX35" s="15"/>
      <c r="GY35" s="15"/>
      <c r="GZ35" s="15"/>
      <c r="HA35" s="15"/>
      <c r="HB35" s="15"/>
      <c r="HC35" s="15"/>
      <c r="HD35" s="15"/>
      <c r="HE35" s="15"/>
      <c r="HF35" s="15"/>
      <c r="HG35" s="15"/>
      <c r="HH35" s="15"/>
      <c r="HI35" s="15"/>
      <c r="HJ35" s="15"/>
      <c r="HK35" s="15"/>
      <c r="HL35" s="15"/>
      <c r="HM35" s="15"/>
      <c r="HN35" s="15"/>
      <c r="HO35" s="15"/>
      <c r="HP35" s="15"/>
      <c r="HQ35" s="15"/>
      <c r="HR35" s="15"/>
      <c r="HS35" s="15"/>
      <c r="HT35" s="15"/>
      <c r="HU35" s="15"/>
      <c r="HV35" s="15"/>
      <c r="HW35" s="15"/>
      <c r="HX35" s="15"/>
      <c r="HY35" s="15"/>
      <c r="HZ35" s="15"/>
      <c r="IA35" s="15"/>
      <c r="IB35" s="15"/>
      <c r="IC35" s="15"/>
      <c r="ID35" s="15"/>
      <c r="IE35" s="15"/>
      <c r="IF35" s="15"/>
      <c r="IG35" s="15"/>
      <c r="IH35" s="15"/>
      <c r="II35" s="15"/>
      <c r="IJ35" s="15"/>
      <c r="IK35" s="15"/>
      <c r="IL35" s="15"/>
      <c r="IM35" s="15"/>
      <c r="IN35" s="15"/>
      <c r="IO35" s="15"/>
      <c r="IP35" s="15"/>
      <c r="IQ35" s="15"/>
      <c r="IR35" s="15"/>
      <c r="IS35" s="15"/>
      <c r="IT35" s="15"/>
      <c r="IU35" s="15"/>
      <c r="IV35" s="15"/>
      <c r="IW35" s="15"/>
      <c r="IX35" s="15"/>
      <c r="IY35" s="15"/>
      <c r="IZ35" s="15"/>
      <c r="JA35" s="15"/>
      <c r="JB35" s="15"/>
      <c r="JC35" s="15"/>
      <c r="JD35" s="15"/>
      <c r="JE35" s="15"/>
      <c r="JF35" s="15"/>
      <c r="JG35" s="15"/>
      <c r="JH35" s="15"/>
      <c r="JI35" s="15"/>
      <c r="JJ35" s="15"/>
      <c r="JK35" s="15"/>
      <c r="JL35" s="15"/>
      <c r="JM35" s="15"/>
      <c r="JN35" s="15"/>
      <c r="JO35" s="15"/>
      <c r="JP35" s="15"/>
      <c r="JQ35" s="15"/>
      <c r="JR35" s="15"/>
      <c r="JS35" s="15"/>
      <c r="JT35" s="15"/>
      <c r="JU35" s="15"/>
      <c r="JV35" s="15"/>
      <c r="JW35" s="15"/>
      <c r="JX35" s="15"/>
      <c r="JY35" s="15"/>
      <c r="JZ35" s="15"/>
      <c r="KA35" s="15"/>
      <c r="KB35" s="15"/>
      <c r="KC35" s="15"/>
      <c r="KD35" s="15"/>
      <c r="KE35" s="15"/>
      <c r="KF35" s="15"/>
      <c r="KG35" s="15"/>
      <c r="KH35" s="15"/>
      <c r="KI35" s="15"/>
      <c r="KJ35" s="15"/>
      <c r="KK35" s="15"/>
      <c r="KL35" s="15"/>
      <c r="KM35" s="15"/>
      <c r="KN35" s="15"/>
      <c r="KO35" s="15"/>
      <c r="KP35" s="15"/>
      <c r="KQ35" s="15"/>
      <c r="KR35" s="15"/>
      <c r="KS35" s="15"/>
      <c r="KT35" s="15"/>
      <c r="KU35" s="15"/>
      <c r="KV35" s="15"/>
      <c r="KW35" s="15"/>
      <c r="KX35" s="15"/>
      <c r="KY35" s="15"/>
      <c r="KZ35" s="15"/>
      <c r="LA35" s="15"/>
      <c r="LB35" s="15"/>
      <c r="LC35" s="15"/>
      <c r="LD35" s="15"/>
      <c r="LE35" s="15"/>
      <c r="LF35" s="15"/>
      <c r="LG35" s="15"/>
      <c r="LH35" s="15"/>
      <c r="LI35" s="15"/>
      <c r="LJ35" s="15"/>
      <c r="LK35" s="15"/>
      <c r="LL35" s="15"/>
      <c r="LM35" s="15"/>
      <c r="LN35" s="15"/>
      <c r="LO35" s="15"/>
      <c r="LP35" s="15"/>
      <c r="LQ35" s="15"/>
      <c r="LR35" s="15"/>
      <c r="LS35" s="15"/>
      <c r="LT35" s="15"/>
      <c r="LU35" s="15"/>
      <c r="LV35" s="15"/>
      <c r="LW35" s="15"/>
      <c r="LX35" s="15"/>
      <c r="LY35" s="15"/>
      <c r="LZ35" s="15"/>
      <c r="MA35" s="15"/>
      <c r="MB35" s="15"/>
      <c r="MC35" s="15"/>
      <c r="MD35" s="15"/>
      <c r="ME35" s="15"/>
      <c r="MF35" s="15"/>
      <c r="MG35" s="15"/>
      <c r="MH35" s="15"/>
      <c r="MI35" s="15"/>
      <c r="MJ35" s="15"/>
      <c r="MK35" s="15"/>
      <c r="ML35" s="15"/>
      <c r="MM35" s="15"/>
      <c r="MN35" s="15"/>
      <c r="MO35" s="15"/>
      <c r="MP35" s="15"/>
      <c r="MQ35" s="15"/>
      <c r="MR35" s="15"/>
      <c r="MS35" s="15"/>
      <c r="MT35" s="15"/>
      <c r="MU35" s="15"/>
      <c r="MV35" s="15"/>
      <c r="MW35" s="15"/>
    </row>
    <row r="36" spans="1:361" s="3" customFormat="1" ht="36.75" hidden="1" customHeight="1" thickBot="1" x14ac:dyDescent="0.3">
      <c r="A36" s="28"/>
      <c r="B36" s="194" t="s">
        <v>236</v>
      </c>
      <c r="C36" s="32" t="s">
        <v>90</v>
      </c>
      <c r="D36" s="195" t="s">
        <v>237</v>
      </c>
      <c r="E36" s="82">
        <v>1</v>
      </c>
      <c r="F36" s="50">
        <v>46003</v>
      </c>
      <c r="G36" s="50">
        <v>46003</v>
      </c>
      <c r="H36" s="196" t="s">
        <v>238</v>
      </c>
      <c r="I36" s="60"/>
      <c r="J36" s="11"/>
      <c r="K36" s="11"/>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c r="IQ36" s="15"/>
      <c r="IR36" s="15"/>
      <c r="IS36" s="15"/>
      <c r="IT36" s="15"/>
      <c r="IU36" s="15"/>
      <c r="IV36" s="15"/>
      <c r="IW36" s="15"/>
      <c r="IX36" s="15"/>
      <c r="IY36" s="15"/>
      <c r="IZ36" s="15"/>
      <c r="JA36" s="15"/>
      <c r="JB36" s="15"/>
      <c r="JC36" s="15"/>
      <c r="JD36" s="15"/>
      <c r="JE36" s="15"/>
      <c r="JF36" s="15"/>
      <c r="JG36" s="15"/>
      <c r="JH36" s="15"/>
      <c r="JI36" s="15"/>
      <c r="JJ36" s="15"/>
      <c r="JK36" s="15"/>
      <c r="JL36" s="15"/>
      <c r="JM36" s="15"/>
      <c r="JN36" s="15"/>
      <c r="JO36" s="15"/>
      <c r="JP36" s="15"/>
      <c r="JQ36" s="15"/>
      <c r="JR36" s="15"/>
      <c r="JS36" s="15"/>
      <c r="JT36" s="15"/>
      <c r="JU36" s="15"/>
      <c r="JV36" s="15"/>
      <c r="JW36" s="15"/>
      <c r="JX36" s="15"/>
      <c r="JY36" s="15"/>
      <c r="JZ36" s="15"/>
      <c r="KA36" s="15"/>
      <c r="KB36" s="15"/>
      <c r="KC36" s="15"/>
      <c r="KD36" s="15"/>
      <c r="KE36" s="15"/>
      <c r="KF36" s="15"/>
      <c r="KG36" s="15"/>
      <c r="KH36" s="15"/>
      <c r="KI36" s="15"/>
      <c r="KJ36" s="15"/>
      <c r="KK36" s="15"/>
      <c r="KL36" s="15"/>
      <c r="KM36" s="15"/>
      <c r="KN36" s="15"/>
      <c r="KO36" s="15"/>
      <c r="KP36" s="15"/>
      <c r="KQ36" s="15"/>
      <c r="KR36" s="15"/>
      <c r="KS36" s="15"/>
      <c r="KT36" s="15"/>
      <c r="KU36" s="15"/>
      <c r="KV36" s="15"/>
      <c r="KW36" s="15"/>
      <c r="KX36" s="15"/>
      <c r="KY36" s="15"/>
      <c r="KZ36" s="15"/>
      <c r="LA36" s="15"/>
      <c r="LB36" s="15"/>
      <c r="LC36" s="15"/>
      <c r="LD36" s="15"/>
      <c r="LE36" s="15"/>
      <c r="LF36" s="15"/>
      <c r="LG36" s="15"/>
      <c r="LH36" s="15"/>
      <c r="LI36" s="15"/>
      <c r="LJ36" s="15"/>
      <c r="LK36" s="15"/>
      <c r="LL36" s="15"/>
      <c r="LM36" s="15"/>
      <c r="LN36" s="15"/>
      <c r="LO36" s="15"/>
      <c r="LP36" s="15"/>
      <c r="LQ36" s="15"/>
      <c r="LR36" s="15"/>
      <c r="LS36" s="15"/>
      <c r="LT36" s="15"/>
      <c r="LU36" s="15"/>
      <c r="LV36" s="15"/>
      <c r="LW36" s="15"/>
      <c r="LX36" s="15"/>
      <c r="LY36" s="15"/>
      <c r="LZ36" s="15"/>
      <c r="MA36" s="15"/>
      <c r="MB36" s="15"/>
      <c r="MC36" s="15"/>
      <c r="MD36" s="15"/>
      <c r="ME36" s="15"/>
      <c r="MF36" s="15"/>
      <c r="MG36" s="15"/>
      <c r="MH36" s="15"/>
      <c r="MI36" s="15"/>
      <c r="MJ36" s="15"/>
      <c r="MK36" s="15"/>
      <c r="ML36" s="15"/>
      <c r="MM36" s="15"/>
      <c r="MN36" s="15"/>
      <c r="MO36" s="15"/>
      <c r="MP36" s="15"/>
      <c r="MQ36" s="15"/>
      <c r="MR36" s="15"/>
      <c r="MS36" s="15"/>
      <c r="MT36" s="15"/>
      <c r="MU36" s="15"/>
      <c r="MV36" s="15"/>
      <c r="MW36" s="15"/>
    </row>
    <row r="37" spans="1:361" s="3" customFormat="1" ht="42" hidden="1" customHeight="1" thickBot="1" x14ac:dyDescent="0.3">
      <c r="A37" s="28"/>
      <c r="B37" s="194" t="s">
        <v>233</v>
      </c>
      <c r="C37" s="32" t="s">
        <v>90</v>
      </c>
      <c r="D37" s="195" t="s">
        <v>234</v>
      </c>
      <c r="E37" s="82">
        <v>1</v>
      </c>
      <c r="F37" s="197" t="s">
        <v>235</v>
      </c>
      <c r="G37" s="50">
        <v>46006</v>
      </c>
      <c r="H37" s="196" t="s">
        <v>130</v>
      </c>
      <c r="I37" s="60"/>
      <c r="J37" s="11"/>
      <c r="K37" s="11"/>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c r="HV37" s="15"/>
      <c r="HW37" s="15"/>
      <c r="HX37" s="15"/>
      <c r="HY37" s="15"/>
      <c r="HZ37" s="15"/>
      <c r="IA37" s="15"/>
      <c r="IB37" s="15"/>
      <c r="IC37" s="15"/>
      <c r="ID37" s="15"/>
      <c r="IE37" s="15"/>
      <c r="IF37" s="15"/>
      <c r="IG37" s="15"/>
      <c r="IH37" s="15"/>
      <c r="II37" s="15"/>
      <c r="IJ37" s="15"/>
      <c r="IK37" s="15"/>
      <c r="IL37" s="15"/>
      <c r="IM37" s="15"/>
      <c r="IN37" s="15"/>
      <c r="IO37" s="15"/>
      <c r="IP37" s="15"/>
      <c r="IQ37" s="15"/>
      <c r="IR37" s="15"/>
      <c r="IS37" s="15"/>
      <c r="IT37" s="15"/>
      <c r="IU37" s="15"/>
      <c r="IV37" s="15"/>
      <c r="IW37" s="15"/>
      <c r="IX37" s="15"/>
      <c r="IY37" s="15"/>
      <c r="IZ37" s="15"/>
      <c r="JA37" s="15"/>
      <c r="JB37" s="15"/>
      <c r="JC37" s="15"/>
      <c r="JD37" s="15"/>
      <c r="JE37" s="15"/>
      <c r="JF37" s="15"/>
      <c r="JG37" s="15"/>
      <c r="JH37" s="15"/>
      <c r="JI37" s="15"/>
      <c r="JJ37" s="15"/>
      <c r="JK37" s="15"/>
      <c r="JL37" s="15"/>
      <c r="JM37" s="15"/>
      <c r="JN37" s="15"/>
      <c r="JO37" s="15"/>
      <c r="JP37" s="15"/>
      <c r="JQ37" s="15"/>
      <c r="JR37" s="15"/>
      <c r="JS37" s="15"/>
      <c r="JT37" s="15"/>
      <c r="JU37" s="15"/>
      <c r="JV37" s="15"/>
      <c r="JW37" s="15"/>
      <c r="JX37" s="15"/>
      <c r="JY37" s="15"/>
      <c r="JZ37" s="15"/>
      <c r="KA37" s="15"/>
      <c r="KB37" s="15"/>
      <c r="KC37" s="15"/>
      <c r="KD37" s="15"/>
      <c r="KE37" s="15"/>
      <c r="KF37" s="15"/>
      <c r="KG37" s="15"/>
      <c r="KH37" s="15"/>
      <c r="KI37" s="15"/>
      <c r="KJ37" s="15"/>
      <c r="KK37" s="15"/>
      <c r="KL37" s="15"/>
      <c r="KM37" s="15"/>
      <c r="KN37" s="15"/>
      <c r="KO37" s="15"/>
      <c r="KP37" s="15"/>
      <c r="KQ37" s="15"/>
      <c r="KR37" s="15"/>
      <c r="KS37" s="15"/>
      <c r="KT37" s="15"/>
      <c r="KU37" s="15"/>
      <c r="KV37" s="15"/>
      <c r="KW37" s="15"/>
      <c r="KX37" s="15"/>
      <c r="KY37" s="15"/>
      <c r="KZ37" s="15"/>
      <c r="LA37" s="15"/>
      <c r="LB37" s="15"/>
      <c r="LC37" s="15"/>
      <c r="LD37" s="15"/>
      <c r="LE37" s="15"/>
      <c r="LF37" s="15"/>
      <c r="LG37" s="15"/>
      <c r="LH37" s="15"/>
      <c r="LI37" s="15"/>
      <c r="LJ37" s="15"/>
      <c r="LK37" s="15"/>
      <c r="LL37" s="15"/>
      <c r="LM37" s="15"/>
      <c r="LN37" s="15"/>
      <c r="LO37" s="15"/>
      <c r="LP37" s="15"/>
      <c r="LQ37" s="15"/>
      <c r="LR37" s="15"/>
      <c r="LS37" s="15"/>
      <c r="LT37" s="15"/>
      <c r="LU37" s="15"/>
      <c r="LV37" s="15"/>
      <c r="LW37" s="15"/>
      <c r="LX37" s="15"/>
      <c r="LY37" s="15"/>
      <c r="LZ37" s="15"/>
      <c r="MA37" s="15"/>
      <c r="MB37" s="15"/>
      <c r="MC37" s="15"/>
      <c r="MD37" s="15"/>
      <c r="ME37" s="15"/>
      <c r="MF37" s="15"/>
      <c r="MG37" s="15"/>
      <c r="MH37" s="15"/>
      <c r="MI37" s="15"/>
      <c r="MJ37" s="15"/>
      <c r="MK37" s="15"/>
      <c r="ML37" s="15"/>
      <c r="MM37" s="15"/>
      <c r="MN37" s="15"/>
      <c r="MO37" s="15"/>
      <c r="MP37" s="15"/>
      <c r="MQ37" s="15"/>
      <c r="MR37" s="15"/>
      <c r="MS37" s="15"/>
      <c r="MT37" s="15"/>
      <c r="MU37" s="15"/>
      <c r="MV37" s="15"/>
      <c r="MW37" s="15"/>
    </row>
    <row r="38" spans="1:361" s="3" customFormat="1" ht="15.75" hidden="1" customHeight="1" thickBot="1" x14ac:dyDescent="0.3">
      <c r="A38" s="28"/>
      <c r="B38" s="198"/>
      <c r="C38" s="80"/>
      <c r="D38" s="81"/>
      <c r="E38" s="82"/>
      <c r="F38" s="83"/>
      <c r="G38" s="83"/>
      <c r="H38" s="84"/>
      <c r="I38" s="84"/>
      <c r="J38" s="11"/>
      <c r="K38" s="11" t="str">
        <f t="shared" si="346"/>
        <v/>
      </c>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c r="IR38" s="15"/>
      <c r="IS38" s="15"/>
      <c r="IT38" s="15"/>
      <c r="IU38" s="15"/>
      <c r="IV38" s="15"/>
      <c r="IW38" s="15"/>
      <c r="IX38" s="15"/>
      <c r="IY38" s="15"/>
      <c r="IZ38" s="15"/>
      <c r="JA38" s="15"/>
      <c r="JB38" s="15"/>
      <c r="JC38" s="15"/>
      <c r="JD38" s="15"/>
      <c r="JE38" s="15"/>
      <c r="JF38" s="15"/>
      <c r="JG38" s="15"/>
      <c r="JH38" s="15"/>
      <c r="JI38" s="15"/>
      <c r="JJ38" s="15"/>
      <c r="JK38" s="15"/>
      <c r="JL38" s="15"/>
      <c r="JM38" s="15"/>
      <c r="JN38" s="15"/>
      <c r="JO38" s="15"/>
      <c r="JP38" s="15"/>
      <c r="JQ38" s="15"/>
      <c r="JR38" s="15"/>
      <c r="JS38" s="15"/>
      <c r="JT38" s="15"/>
      <c r="JU38" s="15"/>
      <c r="JV38" s="15"/>
      <c r="JW38" s="15"/>
      <c r="JX38" s="15"/>
      <c r="JY38" s="15"/>
      <c r="JZ38" s="15"/>
      <c r="KA38" s="15"/>
      <c r="KB38" s="15"/>
      <c r="KC38" s="15"/>
      <c r="KD38" s="15"/>
      <c r="KE38" s="15"/>
      <c r="KF38" s="15"/>
      <c r="KG38" s="15"/>
      <c r="KH38" s="15"/>
      <c r="KI38" s="15"/>
      <c r="KJ38" s="15"/>
      <c r="KK38" s="15"/>
      <c r="KL38" s="15"/>
      <c r="KM38" s="15"/>
      <c r="KN38" s="15"/>
      <c r="KO38" s="15"/>
      <c r="KP38" s="15"/>
      <c r="KQ38" s="15"/>
      <c r="KR38" s="15"/>
      <c r="KS38" s="15"/>
      <c r="KT38" s="15"/>
      <c r="KU38" s="15"/>
      <c r="KV38" s="15"/>
      <c r="KW38" s="15"/>
      <c r="KX38" s="15"/>
      <c r="KY38" s="15"/>
      <c r="KZ38" s="15"/>
      <c r="LA38" s="15"/>
      <c r="LB38" s="15"/>
      <c r="LC38" s="15"/>
      <c r="LD38" s="15"/>
      <c r="LE38" s="15"/>
      <c r="LF38" s="15"/>
      <c r="LG38" s="15"/>
      <c r="LH38" s="15"/>
      <c r="LI38" s="15"/>
      <c r="LJ38" s="15"/>
      <c r="LK38" s="15"/>
      <c r="LL38" s="15"/>
      <c r="LM38" s="15"/>
      <c r="LN38" s="15"/>
      <c r="LO38" s="15"/>
      <c r="LP38" s="15"/>
      <c r="LQ38" s="15"/>
      <c r="LR38" s="15"/>
      <c r="LS38" s="15"/>
      <c r="LT38" s="15"/>
      <c r="LU38" s="15"/>
      <c r="LV38" s="15"/>
      <c r="LW38" s="15"/>
      <c r="LX38" s="15"/>
      <c r="LY38" s="15"/>
      <c r="LZ38" s="15"/>
      <c r="MA38" s="15"/>
      <c r="MB38" s="15"/>
      <c r="MC38" s="15"/>
      <c r="MD38" s="15"/>
      <c r="ME38" s="15"/>
      <c r="MF38" s="15"/>
      <c r="MG38" s="15"/>
      <c r="MH38" s="15"/>
      <c r="MI38" s="15"/>
      <c r="MJ38" s="15"/>
      <c r="MK38" s="15"/>
      <c r="ML38" s="15"/>
      <c r="MM38" s="15"/>
      <c r="MN38" s="15"/>
      <c r="MO38" s="15"/>
      <c r="MP38" s="15"/>
      <c r="MQ38" s="15"/>
      <c r="MR38" s="15"/>
      <c r="MS38" s="15"/>
      <c r="MT38" s="15"/>
      <c r="MU38" s="15"/>
      <c r="MV38" s="15"/>
      <c r="MW38" s="15"/>
    </row>
    <row r="39" spans="1:361" s="3" customFormat="1" ht="16.5" hidden="1" customHeight="1" thickBot="1" x14ac:dyDescent="0.3">
      <c r="A39" s="28"/>
      <c r="B39" s="157" t="s">
        <v>239</v>
      </c>
      <c r="C39" s="32"/>
      <c r="D39" s="61"/>
      <c r="E39" s="82"/>
      <c r="F39" s="50"/>
      <c r="G39" s="50"/>
      <c r="H39" s="60"/>
      <c r="I39" s="60"/>
      <c r="J39" s="11"/>
      <c r="K39" s="11"/>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c r="FA39" s="15"/>
      <c r="FB39" s="15"/>
      <c r="FC39" s="15"/>
      <c r="FD39" s="15"/>
      <c r="FE39" s="15"/>
      <c r="FF39" s="15"/>
      <c r="FG39" s="15"/>
      <c r="FH39" s="15"/>
      <c r="FI39" s="15"/>
      <c r="FJ39" s="15"/>
      <c r="FK39" s="15"/>
      <c r="FL39" s="15"/>
      <c r="FM39" s="15"/>
      <c r="FN39" s="15"/>
      <c r="FO39" s="15"/>
      <c r="FP39" s="15"/>
      <c r="FQ39" s="15"/>
      <c r="FR39" s="15"/>
      <c r="FS39" s="15"/>
      <c r="FT39" s="15"/>
      <c r="FU39" s="15"/>
      <c r="FV39" s="15"/>
      <c r="FW39" s="15"/>
      <c r="FX39" s="15"/>
      <c r="FY39" s="15"/>
      <c r="FZ39" s="15"/>
      <c r="GA39" s="15"/>
      <c r="GB39" s="15"/>
      <c r="GC39" s="15"/>
      <c r="GD39" s="15"/>
      <c r="GE39" s="15"/>
      <c r="GF39" s="15"/>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c r="IR39" s="15"/>
      <c r="IS39" s="15"/>
      <c r="IT39" s="15"/>
      <c r="IU39" s="15"/>
      <c r="IV39" s="15"/>
      <c r="IW39" s="15"/>
      <c r="IX39" s="15"/>
      <c r="IY39" s="15"/>
      <c r="IZ39" s="15"/>
      <c r="JA39" s="15"/>
      <c r="JB39" s="15"/>
      <c r="JC39" s="15"/>
      <c r="JD39" s="15"/>
      <c r="JE39" s="15"/>
      <c r="JF39" s="15"/>
      <c r="JG39" s="15"/>
      <c r="JH39" s="15"/>
      <c r="JI39" s="15"/>
      <c r="JJ39" s="15"/>
      <c r="JK39" s="15"/>
      <c r="JL39" s="15"/>
      <c r="JM39" s="15"/>
      <c r="JN39" s="15"/>
      <c r="JO39" s="15"/>
      <c r="JP39" s="15"/>
      <c r="JQ39" s="15"/>
      <c r="JR39" s="15"/>
      <c r="JS39" s="15"/>
      <c r="JT39" s="15"/>
      <c r="JU39" s="15"/>
      <c r="JV39" s="15"/>
      <c r="JW39" s="15"/>
      <c r="JX39" s="15"/>
      <c r="JY39" s="15"/>
      <c r="JZ39" s="15"/>
      <c r="KA39" s="15"/>
      <c r="KB39" s="15"/>
      <c r="KC39" s="15"/>
      <c r="KD39" s="15"/>
      <c r="KE39" s="15"/>
      <c r="KF39" s="15"/>
      <c r="KG39" s="15"/>
      <c r="KH39" s="15"/>
      <c r="KI39" s="15"/>
      <c r="KJ39" s="15"/>
      <c r="KK39" s="15"/>
      <c r="KL39" s="15"/>
      <c r="KM39" s="15"/>
      <c r="KN39" s="15"/>
      <c r="KO39" s="15"/>
      <c r="KP39" s="15"/>
      <c r="KQ39" s="15"/>
      <c r="KR39" s="15"/>
      <c r="KS39" s="15"/>
      <c r="KT39" s="15"/>
      <c r="KU39" s="15"/>
      <c r="KV39" s="15"/>
      <c r="KW39" s="15"/>
      <c r="KX39" s="15"/>
      <c r="KY39" s="15"/>
      <c r="KZ39" s="15"/>
      <c r="LA39" s="15"/>
      <c r="LB39" s="15"/>
      <c r="LC39" s="15"/>
      <c r="LD39" s="15"/>
      <c r="LE39" s="15"/>
      <c r="LF39" s="15"/>
      <c r="LG39" s="15"/>
      <c r="LH39" s="15"/>
      <c r="LI39" s="15"/>
      <c r="LJ39" s="15"/>
      <c r="LK39" s="15"/>
      <c r="LL39" s="15"/>
      <c r="LM39" s="15"/>
      <c r="LN39" s="15"/>
      <c r="LO39" s="15"/>
      <c r="LP39" s="15"/>
      <c r="LQ39" s="15"/>
      <c r="LR39" s="15"/>
      <c r="LS39" s="15"/>
      <c r="LT39" s="15"/>
      <c r="LU39" s="15"/>
      <c r="LV39" s="15"/>
      <c r="LW39" s="15"/>
      <c r="LX39" s="15"/>
      <c r="LY39" s="15"/>
      <c r="LZ39" s="15"/>
      <c r="MA39" s="15"/>
      <c r="MB39" s="15"/>
      <c r="MC39" s="15"/>
      <c r="MD39" s="15"/>
      <c r="ME39" s="15"/>
      <c r="MF39" s="15"/>
      <c r="MG39" s="15"/>
      <c r="MH39" s="15"/>
      <c r="MI39" s="15"/>
      <c r="MJ39" s="15"/>
      <c r="MK39" s="15"/>
      <c r="ML39" s="15"/>
      <c r="MM39" s="15"/>
      <c r="MN39" s="15"/>
      <c r="MO39" s="15"/>
      <c r="MP39" s="15"/>
      <c r="MQ39" s="15"/>
      <c r="MR39" s="15"/>
      <c r="MS39" s="15"/>
      <c r="MT39" s="15"/>
      <c r="MU39" s="15"/>
      <c r="MV39" s="15"/>
      <c r="MW39" s="15"/>
    </row>
    <row r="40" spans="1:361" s="3" customFormat="1" ht="44.25" hidden="1" customHeight="1" thickBot="1" x14ac:dyDescent="0.3">
      <c r="A40" s="28"/>
      <c r="B40" s="200" t="s">
        <v>240</v>
      </c>
      <c r="C40" s="199" t="s">
        <v>241</v>
      </c>
      <c r="D40" s="195" t="s">
        <v>231</v>
      </c>
      <c r="E40" s="82">
        <v>1</v>
      </c>
      <c r="F40" s="197">
        <v>46006</v>
      </c>
      <c r="G40" s="50">
        <v>46007</v>
      </c>
      <c r="H40" s="196" t="s">
        <v>130</v>
      </c>
      <c r="I40" s="60"/>
      <c r="J40" s="11"/>
      <c r="K40" s="11"/>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c r="EU40" s="15"/>
      <c r="EV40" s="15"/>
      <c r="EW40" s="15"/>
      <c r="EX40" s="15"/>
      <c r="EY40" s="15"/>
      <c r="EZ40" s="15"/>
      <c r="FA40" s="15"/>
      <c r="FB40" s="15"/>
      <c r="FC40" s="15"/>
      <c r="FD40" s="15"/>
      <c r="FE40" s="15"/>
      <c r="FF40" s="15"/>
      <c r="FG40" s="15"/>
      <c r="FH40" s="15"/>
      <c r="FI40" s="15"/>
      <c r="FJ40" s="15"/>
      <c r="FK40" s="15"/>
      <c r="FL40" s="15"/>
      <c r="FM40" s="15"/>
      <c r="FN40" s="15"/>
      <c r="FO40" s="15"/>
      <c r="FP40" s="15"/>
      <c r="FQ40" s="15"/>
      <c r="FR40" s="15"/>
      <c r="FS40" s="15"/>
      <c r="FT40" s="15"/>
      <c r="FU40" s="15"/>
      <c r="FV40" s="15"/>
      <c r="FW40" s="15"/>
      <c r="FX40" s="15"/>
      <c r="FY40" s="15"/>
      <c r="FZ40" s="15"/>
      <c r="GA40" s="15"/>
      <c r="GB40" s="15"/>
      <c r="GC40" s="15"/>
      <c r="GD40" s="15"/>
      <c r="GE40" s="15"/>
      <c r="GF40" s="15"/>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c r="IR40" s="15"/>
      <c r="IS40" s="15"/>
      <c r="IT40" s="15"/>
      <c r="IU40" s="15"/>
      <c r="IV40" s="15"/>
      <c r="IW40" s="15"/>
      <c r="IX40" s="15"/>
      <c r="IY40" s="15"/>
      <c r="IZ40" s="15"/>
      <c r="JA40" s="15"/>
      <c r="JB40" s="15"/>
      <c r="JC40" s="15"/>
      <c r="JD40" s="15"/>
      <c r="JE40" s="15"/>
      <c r="JF40" s="15"/>
      <c r="JG40" s="15"/>
      <c r="JH40" s="15"/>
      <c r="JI40" s="15"/>
      <c r="JJ40" s="15"/>
      <c r="JK40" s="15"/>
      <c r="JL40" s="15"/>
      <c r="JM40" s="15"/>
      <c r="JN40" s="15"/>
      <c r="JO40" s="15"/>
      <c r="JP40" s="15"/>
      <c r="JQ40" s="15"/>
      <c r="JR40" s="15"/>
      <c r="JS40" s="15"/>
      <c r="JT40" s="15"/>
      <c r="JU40" s="15"/>
      <c r="JV40" s="15"/>
      <c r="JW40" s="15"/>
      <c r="JX40" s="15"/>
      <c r="JY40" s="15"/>
      <c r="JZ40" s="15"/>
      <c r="KA40" s="15"/>
      <c r="KB40" s="15"/>
      <c r="KC40" s="15"/>
      <c r="KD40" s="15"/>
      <c r="KE40" s="15"/>
      <c r="KF40" s="15"/>
      <c r="KG40" s="15"/>
      <c r="KH40" s="15"/>
      <c r="KI40" s="15"/>
      <c r="KJ40" s="15"/>
      <c r="KK40" s="15"/>
      <c r="KL40" s="15"/>
      <c r="KM40" s="15"/>
      <c r="KN40" s="15"/>
      <c r="KO40" s="15"/>
      <c r="KP40" s="15"/>
      <c r="KQ40" s="15"/>
      <c r="KR40" s="15"/>
      <c r="KS40" s="15"/>
      <c r="KT40" s="15"/>
      <c r="KU40" s="15"/>
      <c r="KV40" s="15"/>
      <c r="KW40" s="15"/>
      <c r="KX40" s="15"/>
      <c r="KY40" s="15"/>
      <c r="KZ40" s="15"/>
      <c r="LA40" s="15"/>
      <c r="LB40" s="15"/>
      <c r="LC40" s="15"/>
      <c r="LD40" s="15"/>
      <c r="LE40" s="15"/>
      <c r="LF40" s="15"/>
      <c r="LG40" s="15"/>
      <c r="LH40" s="15"/>
      <c r="LI40" s="15"/>
      <c r="LJ40" s="15"/>
      <c r="LK40" s="15"/>
      <c r="LL40" s="15"/>
      <c r="LM40" s="15"/>
      <c r="LN40" s="15"/>
      <c r="LO40" s="15"/>
      <c r="LP40" s="15"/>
      <c r="LQ40" s="15"/>
      <c r="LR40" s="15"/>
      <c r="LS40" s="15"/>
      <c r="LT40" s="15"/>
      <c r="LU40" s="15"/>
      <c r="LV40" s="15"/>
      <c r="LW40" s="15"/>
      <c r="LX40" s="15"/>
      <c r="LY40" s="15"/>
      <c r="LZ40" s="15"/>
      <c r="MA40" s="15"/>
      <c r="MB40" s="15"/>
      <c r="MC40" s="15"/>
      <c r="MD40" s="15"/>
      <c r="ME40" s="15"/>
      <c r="MF40" s="15"/>
      <c r="MG40" s="15"/>
      <c r="MH40" s="15"/>
      <c r="MI40" s="15"/>
      <c r="MJ40" s="15"/>
      <c r="MK40" s="15"/>
      <c r="ML40" s="15"/>
      <c r="MM40" s="15"/>
      <c r="MN40" s="15"/>
      <c r="MO40" s="15"/>
      <c r="MP40" s="15"/>
      <c r="MQ40" s="15"/>
      <c r="MR40" s="15"/>
      <c r="MS40" s="15"/>
      <c r="MT40" s="15"/>
      <c r="MU40" s="15"/>
      <c r="MV40" s="15"/>
      <c r="MW40" s="15"/>
    </row>
    <row r="41" spans="1:361" s="3" customFormat="1" ht="15.75" hidden="1" thickBot="1" x14ac:dyDescent="0.3">
      <c r="A41" s="28"/>
      <c r="B41" s="194"/>
      <c r="C41" s="199"/>
      <c r="D41" s="195"/>
      <c r="E41" s="82"/>
      <c r="F41" s="50"/>
      <c r="G41" s="50"/>
      <c r="H41" s="196"/>
      <c r="I41" s="60"/>
      <c r="J41" s="11"/>
      <c r="K41" s="11"/>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c r="IR41" s="15"/>
      <c r="IS41" s="15"/>
      <c r="IT41" s="15"/>
      <c r="IU41" s="15"/>
      <c r="IV41" s="15"/>
      <c r="IW41" s="15"/>
      <c r="IX41" s="15"/>
      <c r="IY41" s="15"/>
      <c r="IZ41" s="15"/>
      <c r="JA41" s="15"/>
      <c r="JB41" s="15"/>
      <c r="JC41" s="15"/>
      <c r="JD41" s="15"/>
      <c r="JE41" s="15"/>
      <c r="JF41" s="15"/>
      <c r="JG41" s="15"/>
      <c r="JH41" s="15"/>
      <c r="JI41" s="15"/>
      <c r="JJ41" s="15"/>
      <c r="JK41" s="15"/>
      <c r="JL41" s="15"/>
      <c r="JM41" s="15"/>
      <c r="JN41" s="15"/>
      <c r="JO41" s="15"/>
      <c r="JP41" s="15"/>
      <c r="JQ41" s="15"/>
      <c r="JR41" s="15"/>
      <c r="JS41" s="15"/>
      <c r="JT41" s="15"/>
      <c r="JU41" s="15"/>
      <c r="JV41" s="15"/>
      <c r="JW41" s="15"/>
      <c r="JX41" s="15"/>
      <c r="JY41" s="15"/>
      <c r="JZ41" s="15"/>
      <c r="KA41" s="15"/>
      <c r="KB41" s="15"/>
      <c r="KC41" s="15"/>
      <c r="KD41" s="15"/>
      <c r="KE41" s="15"/>
      <c r="KF41" s="15"/>
      <c r="KG41" s="15"/>
      <c r="KH41" s="15"/>
      <c r="KI41" s="15"/>
      <c r="KJ41" s="15"/>
      <c r="KK41" s="15"/>
      <c r="KL41" s="15"/>
      <c r="KM41" s="15"/>
      <c r="KN41" s="15"/>
      <c r="KO41" s="15"/>
      <c r="KP41" s="15"/>
      <c r="KQ41" s="15"/>
      <c r="KR41" s="15"/>
      <c r="KS41" s="15"/>
      <c r="KT41" s="15"/>
      <c r="KU41" s="15"/>
      <c r="KV41" s="15"/>
      <c r="KW41" s="15"/>
      <c r="KX41" s="15"/>
      <c r="KY41" s="15"/>
      <c r="KZ41" s="15"/>
      <c r="LA41" s="15"/>
      <c r="LB41" s="15"/>
      <c r="LC41" s="15"/>
      <c r="LD41" s="15"/>
      <c r="LE41" s="15"/>
      <c r="LF41" s="15"/>
      <c r="LG41" s="15"/>
      <c r="LH41" s="15"/>
      <c r="LI41" s="15"/>
      <c r="LJ41" s="15"/>
      <c r="LK41" s="15"/>
      <c r="LL41" s="15"/>
      <c r="LM41" s="15"/>
      <c r="LN41" s="15"/>
      <c r="LO41" s="15"/>
      <c r="LP41" s="15"/>
      <c r="LQ41" s="15"/>
      <c r="LR41" s="15"/>
      <c r="LS41" s="15"/>
      <c r="LT41" s="15"/>
      <c r="LU41" s="15"/>
      <c r="LV41" s="15"/>
      <c r="LW41" s="15"/>
      <c r="LX41" s="15"/>
      <c r="LY41" s="15"/>
      <c r="LZ41" s="15"/>
      <c r="MA41" s="15"/>
      <c r="MB41" s="15"/>
      <c r="MC41" s="15"/>
      <c r="MD41" s="15"/>
      <c r="ME41" s="15"/>
      <c r="MF41" s="15"/>
      <c r="MG41" s="15"/>
      <c r="MH41" s="15"/>
      <c r="MI41" s="15"/>
      <c r="MJ41" s="15"/>
      <c r="MK41" s="15"/>
      <c r="ML41" s="15"/>
      <c r="MM41" s="15"/>
      <c r="MN41" s="15"/>
      <c r="MO41" s="15"/>
      <c r="MP41" s="15"/>
      <c r="MQ41" s="15"/>
      <c r="MR41" s="15"/>
      <c r="MS41" s="15"/>
      <c r="MT41" s="15"/>
      <c r="MU41" s="15"/>
      <c r="MV41" s="15"/>
      <c r="MW41" s="15"/>
    </row>
    <row r="42" spans="1:361" s="3" customFormat="1" ht="15.75" hidden="1" thickBot="1" x14ac:dyDescent="0.3">
      <c r="A42" s="28"/>
      <c r="B42" s="194"/>
      <c r="C42" s="199"/>
      <c r="D42" s="195"/>
      <c r="E42" s="82"/>
      <c r="F42" s="50"/>
      <c r="G42" s="50"/>
      <c r="H42" s="196"/>
      <c r="I42" s="60"/>
      <c r="J42" s="11"/>
      <c r="K42" s="11"/>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c r="IR42" s="15"/>
      <c r="IS42" s="15"/>
      <c r="IT42" s="15"/>
      <c r="IU42" s="15"/>
      <c r="IV42" s="15"/>
      <c r="IW42" s="15"/>
      <c r="IX42" s="15"/>
      <c r="IY42" s="15"/>
      <c r="IZ42" s="15"/>
      <c r="JA42" s="15"/>
      <c r="JB42" s="15"/>
      <c r="JC42" s="15"/>
      <c r="JD42" s="15"/>
      <c r="JE42" s="15"/>
      <c r="JF42" s="15"/>
      <c r="JG42" s="15"/>
      <c r="JH42" s="15"/>
      <c r="JI42" s="15"/>
      <c r="JJ42" s="15"/>
      <c r="JK42" s="15"/>
      <c r="JL42" s="15"/>
      <c r="JM42" s="15"/>
      <c r="JN42" s="15"/>
      <c r="JO42" s="15"/>
      <c r="JP42" s="15"/>
      <c r="JQ42" s="15"/>
      <c r="JR42" s="15"/>
      <c r="JS42" s="15"/>
      <c r="JT42" s="15"/>
      <c r="JU42" s="15"/>
      <c r="JV42" s="15"/>
      <c r="JW42" s="15"/>
      <c r="JX42" s="15"/>
      <c r="JY42" s="15"/>
      <c r="JZ42" s="15"/>
      <c r="KA42" s="15"/>
      <c r="KB42" s="15"/>
      <c r="KC42" s="15"/>
      <c r="KD42" s="15"/>
      <c r="KE42" s="15"/>
      <c r="KF42" s="15"/>
      <c r="KG42" s="15"/>
      <c r="KH42" s="15"/>
      <c r="KI42" s="15"/>
      <c r="KJ42" s="15"/>
      <c r="KK42" s="15"/>
      <c r="KL42" s="15"/>
      <c r="KM42" s="15"/>
      <c r="KN42" s="15"/>
      <c r="KO42" s="15"/>
      <c r="KP42" s="15"/>
      <c r="KQ42" s="15"/>
      <c r="KR42" s="15"/>
      <c r="KS42" s="15"/>
      <c r="KT42" s="15"/>
      <c r="KU42" s="15"/>
      <c r="KV42" s="15"/>
      <c r="KW42" s="15"/>
      <c r="KX42" s="15"/>
      <c r="KY42" s="15"/>
      <c r="KZ42" s="15"/>
      <c r="LA42" s="15"/>
      <c r="LB42" s="15"/>
      <c r="LC42" s="15"/>
      <c r="LD42" s="15"/>
      <c r="LE42" s="15"/>
      <c r="LF42" s="15"/>
      <c r="LG42" s="15"/>
      <c r="LH42" s="15"/>
      <c r="LI42" s="15"/>
      <c r="LJ42" s="15"/>
      <c r="LK42" s="15"/>
      <c r="LL42" s="15"/>
      <c r="LM42" s="15"/>
      <c r="LN42" s="15"/>
      <c r="LO42" s="15"/>
      <c r="LP42" s="15"/>
      <c r="LQ42" s="15"/>
      <c r="LR42" s="15"/>
      <c r="LS42" s="15"/>
      <c r="LT42" s="15"/>
      <c r="LU42" s="15"/>
      <c r="LV42" s="15"/>
      <c r="LW42" s="15"/>
      <c r="LX42" s="15"/>
      <c r="LY42" s="15"/>
      <c r="LZ42" s="15"/>
      <c r="MA42" s="15"/>
      <c r="MB42" s="15"/>
      <c r="MC42" s="15"/>
      <c r="MD42" s="15"/>
      <c r="ME42" s="15"/>
      <c r="MF42" s="15"/>
      <c r="MG42" s="15"/>
      <c r="MH42" s="15"/>
      <c r="MI42" s="15"/>
      <c r="MJ42" s="15"/>
      <c r="MK42" s="15"/>
      <c r="ML42" s="15"/>
      <c r="MM42" s="15"/>
      <c r="MN42" s="15"/>
      <c r="MO42" s="15"/>
      <c r="MP42" s="15"/>
      <c r="MQ42" s="15"/>
      <c r="MR42" s="15"/>
      <c r="MS42" s="15"/>
      <c r="MT42" s="15"/>
      <c r="MU42" s="15"/>
      <c r="MV42" s="15"/>
      <c r="MW42" s="15"/>
    </row>
    <row r="43" spans="1:361" s="3" customFormat="1" ht="15.75" hidden="1" customHeight="1" thickBot="1" x14ac:dyDescent="0.3">
      <c r="A43" s="28"/>
      <c r="B43" s="90" t="s">
        <v>87</v>
      </c>
      <c r="C43" s="91"/>
      <c r="D43" s="92"/>
      <c r="E43" s="93"/>
      <c r="F43" s="94"/>
      <c r="G43" s="95"/>
      <c r="H43" s="96"/>
      <c r="I43" s="97"/>
      <c r="J43" s="11"/>
      <c r="K43" s="11"/>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5"/>
      <c r="JO43" s="15"/>
      <c r="JP43" s="15"/>
      <c r="JQ43" s="15"/>
      <c r="JR43" s="15"/>
      <c r="JS43" s="15"/>
      <c r="JT43" s="15"/>
      <c r="JU43" s="15"/>
      <c r="JV43" s="15"/>
      <c r="JW43" s="15"/>
      <c r="JX43" s="15"/>
      <c r="JY43" s="15"/>
      <c r="JZ43" s="15"/>
      <c r="KA43" s="15"/>
      <c r="KB43" s="15"/>
      <c r="KC43" s="15"/>
      <c r="KD43" s="15"/>
      <c r="KE43" s="15"/>
      <c r="KF43" s="15"/>
      <c r="KG43" s="15"/>
      <c r="KH43" s="15"/>
      <c r="KI43" s="15"/>
      <c r="KJ43" s="15"/>
      <c r="KK43" s="15"/>
      <c r="KL43" s="15"/>
      <c r="KM43" s="15"/>
      <c r="KN43" s="15"/>
      <c r="KO43" s="15"/>
      <c r="KP43" s="15"/>
      <c r="KQ43" s="15"/>
      <c r="KR43" s="15"/>
      <c r="KS43" s="15"/>
      <c r="KT43" s="15"/>
      <c r="KU43" s="15"/>
      <c r="KV43" s="15"/>
      <c r="KW43" s="15"/>
      <c r="KX43" s="15"/>
      <c r="KY43" s="15"/>
      <c r="KZ43" s="15"/>
      <c r="LA43" s="15"/>
      <c r="LB43" s="15"/>
      <c r="LC43" s="15"/>
      <c r="LD43" s="15"/>
      <c r="LE43" s="15"/>
      <c r="LF43" s="15"/>
      <c r="LG43" s="15"/>
      <c r="LH43" s="15"/>
      <c r="LI43" s="15"/>
      <c r="LJ43" s="15"/>
      <c r="LK43" s="15"/>
      <c r="LL43" s="15"/>
      <c r="LM43" s="15"/>
      <c r="LN43" s="15"/>
      <c r="LO43" s="15"/>
      <c r="LP43" s="15"/>
      <c r="LQ43" s="15"/>
      <c r="LR43" s="15"/>
      <c r="LS43" s="15"/>
      <c r="LT43" s="15"/>
      <c r="LU43" s="15"/>
      <c r="LV43" s="15"/>
      <c r="LW43" s="15"/>
      <c r="LX43" s="15"/>
      <c r="LY43" s="15"/>
      <c r="LZ43" s="15"/>
      <c r="MA43" s="15"/>
      <c r="MB43" s="15"/>
      <c r="MC43" s="15"/>
      <c r="MD43" s="15"/>
      <c r="ME43" s="15"/>
      <c r="MF43" s="15"/>
      <c r="MG43" s="15"/>
      <c r="MH43" s="15"/>
      <c r="MI43" s="15"/>
      <c r="MJ43" s="15"/>
      <c r="MK43" s="15"/>
      <c r="ML43" s="15"/>
      <c r="MM43" s="15"/>
      <c r="MN43" s="15"/>
      <c r="MO43" s="15"/>
      <c r="MP43" s="15"/>
      <c r="MQ43" s="15"/>
      <c r="MR43" s="15"/>
      <c r="MS43" s="15"/>
      <c r="MT43" s="15"/>
      <c r="MU43" s="15"/>
      <c r="MV43" s="15"/>
      <c r="MW43" s="15"/>
    </row>
    <row r="44" spans="1:361" s="3" customFormat="1" ht="45.75" hidden="1" customHeight="1" thickBot="1" x14ac:dyDescent="0.3">
      <c r="A44" s="28"/>
      <c r="B44" s="151" t="s">
        <v>247</v>
      </c>
      <c r="C44" s="31"/>
      <c r="D44" s="66"/>
      <c r="E44" s="12"/>
      <c r="F44" s="48"/>
      <c r="G44" s="48"/>
      <c r="H44" s="152"/>
      <c r="I44" s="58"/>
      <c r="J44" s="11"/>
      <c r="K44" s="11"/>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c r="IH44" s="15"/>
      <c r="II44" s="15"/>
      <c r="IJ44" s="15"/>
      <c r="IK44" s="15"/>
      <c r="IL44" s="15"/>
      <c r="IM44" s="15"/>
      <c r="IN44" s="15"/>
      <c r="IO44" s="15"/>
      <c r="IP44" s="15"/>
      <c r="IQ44" s="15"/>
      <c r="IR44" s="15"/>
      <c r="IS44" s="15"/>
      <c r="IT44" s="15"/>
      <c r="IU44" s="15"/>
      <c r="IV44" s="15"/>
      <c r="IW44" s="15"/>
      <c r="IX44" s="15"/>
      <c r="IY44" s="15"/>
      <c r="IZ44" s="15"/>
      <c r="JA44" s="15"/>
      <c r="JB44" s="15"/>
      <c r="JC44" s="15"/>
      <c r="JD44" s="15"/>
      <c r="JE44" s="15"/>
      <c r="JF44" s="15"/>
      <c r="JG44" s="15"/>
      <c r="JH44" s="15"/>
      <c r="JI44" s="15"/>
      <c r="JJ44" s="15"/>
      <c r="JK44" s="15"/>
      <c r="JL44" s="15"/>
      <c r="JM44" s="15"/>
      <c r="JN44" s="15"/>
      <c r="JO44" s="15"/>
      <c r="JP44" s="15"/>
      <c r="JQ44" s="15"/>
      <c r="JR44" s="15"/>
      <c r="JS44" s="15"/>
      <c r="JT44" s="15"/>
      <c r="JU44" s="15"/>
      <c r="JV44" s="15"/>
      <c r="JW44" s="15"/>
      <c r="JX44" s="15"/>
      <c r="JY44" s="15"/>
      <c r="JZ44" s="15"/>
      <c r="KA44" s="15"/>
      <c r="KB44" s="15"/>
      <c r="KC44" s="15"/>
      <c r="KD44" s="15"/>
      <c r="KE44" s="15"/>
      <c r="KF44" s="15"/>
      <c r="KG44" s="15"/>
      <c r="KH44" s="15"/>
      <c r="KI44" s="15"/>
      <c r="KJ44" s="15"/>
      <c r="KK44" s="15"/>
      <c r="KL44" s="15"/>
      <c r="KM44" s="15"/>
      <c r="KN44" s="15"/>
      <c r="KO44" s="15"/>
      <c r="KP44" s="15"/>
      <c r="KQ44" s="15"/>
      <c r="KR44" s="15"/>
      <c r="KS44" s="15"/>
      <c r="KT44" s="15"/>
      <c r="KU44" s="15"/>
      <c r="KV44" s="15"/>
      <c r="KW44" s="15"/>
      <c r="KX44" s="15"/>
      <c r="KY44" s="15"/>
      <c r="KZ44" s="15"/>
      <c r="LA44" s="15"/>
      <c r="LB44" s="15"/>
      <c r="LC44" s="15"/>
      <c r="LD44" s="15"/>
      <c r="LE44" s="15"/>
      <c r="LF44" s="15"/>
      <c r="LG44" s="15"/>
      <c r="LH44" s="15"/>
      <c r="LI44" s="15"/>
      <c r="LJ44" s="15"/>
      <c r="LK44" s="15"/>
      <c r="LL44" s="15"/>
      <c r="LM44" s="15"/>
      <c r="LN44" s="15"/>
      <c r="LO44" s="15"/>
      <c r="LP44" s="15"/>
      <c r="LQ44" s="15"/>
      <c r="LR44" s="15"/>
      <c r="LS44" s="15"/>
      <c r="LT44" s="15"/>
      <c r="LU44" s="15"/>
      <c r="LV44" s="15"/>
      <c r="LW44" s="15"/>
      <c r="LX44" s="15"/>
      <c r="LY44" s="15"/>
      <c r="LZ44" s="15"/>
      <c r="MA44" s="15"/>
      <c r="MB44" s="15"/>
      <c r="MC44" s="15"/>
      <c r="MD44" s="15"/>
      <c r="ME44" s="15"/>
      <c r="MF44" s="15"/>
      <c r="MG44" s="15"/>
      <c r="MH44" s="15"/>
      <c r="MI44" s="15"/>
      <c r="MJ44" s="15"/>
      <c r="MK44" s="15"/>
      <c r="ML44" s="15"/>
      <c r="MM44" s="15"/>
      <c r="MN44" s="15"/>
      <c r="MO44" s="15"/>
      <c r="MP44" s="15"/>
      <c r="MQ44" s="15"/>
      <c r="MR44" s="15"/>
      <c r="MS44" s="15"/>
      <c r="MT44" s="15"/>
      <c r="MU44" s="15"/>
      <c r="MV44" s="15"/>
      <c r="MW44" s="15"/>
    </row>
    <row r="45" spans="1:361" s="3" customFormat="1" ht="45.75" hidden="1" customHeight="1" thickBot="1" x14ac:dyDescent="0.3">
      <c r="A45" s="28"/>
      <c r="B45" s="179" t="s">
        <v>249</v>
      </c>
      <c r="C45" s="85" t="s">
        <v>100</v>
      </c>
      <c r="D45" s="86" t="s">
        <v>248</v>
      </c>
      <c r="E45" s="87">
        <v>0.1</v>
      </c>
      <c r="F45" s="48">
        <v>46017</v>
      </c>
      <c r="G45" s="48">
        <v>46031</v>
      </c>
      <c r="H45" s="201" t="s">
        <v>250</v>
      </c>
      <c r="I45" s="58"/>
      <c r="J45" s="11"/>
      <c r="K45" s="11"/>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row>
    <row r="46" spans="1:361" s="3" customFormat="1" ht="45.75" hidden="1" customHeight="1" thickBot="1" x14ac:dyDescent="0.3">
      <c r="A46" s="28"/>
      <c r="B46" s="179"/>
      <c r="C46" s="85"/>
      <c r="D46" s="86"/>
      <c r="E46" s="87"/>
      <c r="F46" s="48"/>
      <c r="G46" s="48"/>
      <c r="H46" s="152"/>
      <c r="I46" s="58"/>
      <c r="J46" s="11"/>
      <c r="K46" s="11"/>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c r="KL46" s="15"/>
      <c r="KM46" s="15"/>
      <c r="KN46" s="15"/>
      <c r="KO46" s="15"/>
      <c r="KP46" s="15"/>
      <c r="KQ46" s="15"/>
      <c r="KR46" s="15"/>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s="15"/>
      <c r="LR46" s="15"/>
      <c r="LS46" s="15"/>
      <c r="LT46" s="15"/>
      <c r="LU46" s="15"/>
      <c r="LV46" s="15"/>
      <c r="LW46" s="15"/>
      <c r="LX46" s="15"/>
      <c r="LY46" s="15"/>
      <c r="LZ46" s="15"/>
      <c r="MA46" s="15"/>
      <c r="MB46" s="15"/>
      <c r="MC46" s="15"/>
      <c r="MD46" s="15"/>
      <c r="ME46" s="15"/>
      <c r="MF46" s="15"/>
      <c r="MG46" s="15"/>
      <c r="MH46" s="15"/>
      <c r="MI46" s="15"/>
      <c r="MJ46" s="15"/>
      <c r="MK46" s="15"/>
      <c r="ML46" s="15"/>
      <c r="MM46" s="15"/>
      <c r="MN46" s="15"/>
      <c r="MO46" s="15"/>
      <c r="MP46" s="15"/>
      <c r="MQ46" s="15"/>
      <c r="MR46" s="15"/>
      <c r="MS46" s="15"/>
      <c r="MT46" s="15"/>
      <c r="MU46" s="15"/>
      <c r="MV46" s="15"/>
      <c r="MW46" s="15"/>
    </row>
    <row r="47" spans="1:361" s="3" customFormat="1" ht="30.75" hidden="1" customHeight="1" thickBot="1" x14ac:dyDescent="0.3">
      <c r="A47" s="28"/>
      <c r="B47" s="151" t="s">
        <v>96</v>
      </c>
      <c r="C47" s="85" t="s">
        <v>100</v>
      </c>
      <c r="D47" s="86" t="s">
        <v>98</v>
      </c>
      <c r="E47" s="87">
        <v>1</v>
      </c>
      <c r="F47" s="88">
        <v>45778</v>
      </c>
      <c r="G47" s="88">
        <v>45797</v>
      </c>
      <c r="H47" s="89" t="s">
        <v>97</v>
      </c>
      <c r="I47" s="89" t="s">
        <v>97</v>
      </c>
      <c r="J47" s="11"/>
      <c r="K47" s="11"/>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c r="IQ47" s="15"/>
      <c r="IR47" s="15"/>
      <c r="IS47" s="15"/>
      <c r="IT47" s="15"/>
      <c r="IU47" s="15"/>
      <c r="IV47" s="15"/>
      <c r="IW47" s="15"/>
      <c r="IX47" s="15"/>
      <c r="IY47" s="15"/>
      <c r="IZ47" s="15"/>
      <c r="JA47" s="15"/>
      <c r="JB47" s="15"/>
      <c r="JC47" s="15"/>
      <c r="JD47" s="15"/>
      <c r="JE47" s="15"/>
      <c r="JF47" s="15"/>
      <c r="JG47" s="15"/>
      <c r="JH47" s="15"/>
      <c r="JI47" s="15"/>
      <c r="JJ47" s="15"/>
      <c r="JK47" s="15"/>
      <c r="JL47" s="15"/>
      <c r="JM47" s="15"/>
      <c r="JN47" s="15"/>
      <c r="JO47" s="15"/>
      <c r="JP47" s="15"/>
      <c r="JQ47" s="15"/>
      <c r="JR47" s="15"/>
      <c r="JS47" s="15"/>
      <c r="JT47" s="15"/>
      <c r="JU47" s="15"/>
      <c r="JV47" s="15"/>
      <c r="JW47" s="15"/>
      <c r="JX47" s="15"/>
      <c r="JY47" s="15"/>
      <c r="JZ47" s="15"/>
      <c r="KA47" s="15"/>
      <c r="KB47" s="15"/>
      <c r="KC47" s="15"/>
      <c r="KD47" s="15"/>
      <c r="KE47" s="15"/>
      <c r="KF47" s="15"/>
      <c r="KG47" s="15"/>
      <c r="KH47" s="15"/>
      <c r="KI47" s="15"/>
      <c r="KJ47" s="15"/>
      <c r="KK47" s="15"/>
      <c r="KL47" s="15"/>
      <c r="KM47" s="15"/>
      <c r="KN47" s="15"/>
      <c r="KO47" s="15"/>
      <c r="KP47" s="15"/>
      <c r="KQ47" s="15"/>
      <c r="KR47" s="15"/>
      <c r="KS47" s="15"/>
      <c r="KT47" s="15"/>
      <c r="KU47" s="15"/>
      <c r="KV47" s="15"/>
      <c r="KW47" s="15"/>
      <c r="KX47" s="15"/>
      <c r="KY47" s="15"/>
      <c r="KZ47" s="15"/>
      <c r="LA47" s="15"/>
      <c r="LB47" s="15"/>
      <c r="LC47" s="15"/>
      <c r="LD47" s="15"/>
      <c r="LE47" s="15"/>
      <c r="LF47" s="15"/>
      <c r="LG47" s="15"/>
      <c r="LH47" s="15"/>
      <c r="LI47" s="15"/>
      <c r="LJ47" s="15"/>
      <c r="LK47" s="15"/>
      <c r="LL47" s="15"/>
      <c r="LM47" s="15"/>
      <c r="LN47" s="15"/>
      <c r="LO47" s="15"/>
      <c r="LP47" s="15"/>
      <c r="LQ47" s="15"/>
      <c r="LR47" s="15"/>
      <c r="LS47" s="15"/>
      <c r="LT47" s="15"/>
      <c r="LU47" s="15"/>
      <c r="LV47" s="15"/>
      <c r="LW47" s="15"/>
      <c r="LX47" s="15"/>
      <c r="LY47" s="15"/>
      <c r="LZ47" s="15"/>
      <c r="MA47" s="15"/>
      <c r="MB47" s="15"/>
      <c r="MC47" s="15"/>
      <c r="MD47" s="15"/>
      <c r="ME47" s="15"/>
      <c r="MF47" s="15"/>
      <c r="MG47" s="15"/>
      <c r="MH47" s="15"/>
      <c r="MI47" s="15"/>
      <c r="MJ47" s="15"/>
      <c r="MK47" s="15"/>
      <c r="ML47" s="15"/>
      <c r="MM47" s="15"/>
      <c r="MN47" s="15"/>
      <c r="MO47" s="15"/>
      <c r="MP47" s="15"/>
      <c r="MQ47" s="15"/>
      <c r="MR47" s="15"/>
      <c r="MS47" s="15"/>
      <c r="MT47" s="15"/>
      <c r="MU47" s="15"/>
      <c r="MV47" s="15"/>
      <c r="MW47" s="15"/>
    </row>
    <row r="48" spans="1:361" s="3" customFormat="1" ht="45.75" hidden="1" customHeight="1" thickBot="1" x14ac:dyDescent="0.3">
      <c r="A48" s="28"/>
      <c r="B48" s="150" t="s">
        <v>99</v>
      </c>
      <c r="C48" s="31" t="s">
        <v>100</v>
      </c>
      <c r="D48" s="66" t="s">
        <v>102</v>
      </c>
      <c r="E48" s="12">
        <v>1</v>
      </c>
      <c r="F48" s="48">
        <v>45778</v>
      </c>
      <c r="G48" s="48">
        <v>45787</v>
      </c>
      <c r="H48" s="152" t="s">
        <v>103</v>
      </c>
      <c r="I48" s="58" t="s">
        <v>105</v>
      </c>
      <c r="J48" s="11"/>
      <c r="K48" s="11"/>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c r="IX48" s="15"/>
      <c r="IY48" s="15"/>
      <c r="IZ48" s="15"/>
      <c r="JA48" s="15"/>
      <c r="JB48" s="15"/>
      <c r="JC48" s="15"/>
      <c r="JD48" s="15"/>
      <c r="JE48" s="15"/>
      <c r="JF48" s="15"/>
      <c r="JG48" s="15"/>
      <c r="JH48" s="15"/>
      <c r="JI48" s="15"/>
      <c r="JJ48" s="15"/>
      <c r="JK48" s="15"/>
      <c r="JL48" s="15"/>
      <c r="JM48" s="15"/>
      <c r="JN48" s="15"/>
      <c r="JO48" s="15"/>
      <c r="JP48" s="15"/>
      <c r="JQ48" s="15"/>
      <c r="JR48" s="15"/>
      <c r="JS48" s="15"/>
      <c r="JT48" s="15"/>
      <c r="JU48" s="15"/>
      <c r="JV48" s="15"/>
      <c r="JW48" s="15"/>
      <c r="JX48" s="15"/>
      <c r="JY48" s="15"/>
      <c r="JZ48" s="15"/>
      <c r="KA48" s="15"/>
      <c r="KB48" s="15"/>
      <c r="KC48" s="15"/>
      <c r="KD48" s="15"/>
      <c r="KE48" s="15"/>
      <c r="KF48" s="15"/>
      <c r="KG48" s="15"/>
      <c r="KH48" s="15"/>
      <c r="KI48" s="15"/>
      <c r="KJ48" s="15"/>
      <c r="KK48" s="15"/>
      <c r="KL48" s="15"/>
      <c r="KM48" s="15"/>
      <c r="KN48" s="15"/>
      <c r="KO48" s="15"/>
      <c r="KP48" s="15"/>
      <c r="KQ48" s="15"/>
      <c r="KR48" s="15"/>
      <c r="KS48" s="15"/>
      <c r="KT48" s="15"/>
      <c r="KU48" s="15"/>
      <c r="KV48" s="15"/>
      <c r="KW48" s="15"/>
      <c r="KX48" s="15"/>
      <c r="KY48" s="15"/>
      <c r="KZ48" s="15"/>
      <c r="LA48" s="15"/>
      <c r="LB48" s="15"/>
      <c r="LC48" s="15"/>
      <c r="LD48" s="15"/>
      <c r="LE48" s="15"/>
      <c r="LF48" s="15"/>
      <c r="LG48" s="15"/>
      <c r="LH48" s="15"/>
      <c r="LI48" s="15"/>
      <c r="LJ48" s="15"/>
      <c r="LK48" s="15"/>
      <c r="LL48" s="15"/>
      <c r="LM48" s="15"/>
      <c r="LN48" s="15"/>
      <c r="LO48" s="15"/>
      <c r="LP48" s="15"/>
      <c r="LQ48" s="15"/>
      <c r="LR48" s="15"/>
      <c r="LS48" s="15"/>
      <c r="LT48" s="15"/>
      <c r="LU48" s="15"/>
      <c r="LV48" s="15"/>
      <c r="LW48" s="15"/>
      <c r="LX48" s="15"/>
      <c r="LY48" s="15"/>
      <c r="LZ48" s="15"/>
      <c r="MA48" s="15"/>
      <c r="MB48" s="15"/>
      <c r="MC48" s="15"/>
      <c r="MD48" s="15"/>
      <c r="ME48" s="15"/>
      <c r="MF48" s="15"/>
      <c r="MG48" s="15"/>
      <c r="MH48" s="15"/>
      <c r="MI48" s="15"/>
      <c r="MJ48" s="15"/>
      <c r="MK48" s="15"/>
      <c r="ML48" s="15"/>
      <c r="MM48" s="15"/>
      <c r="MN48" s="15"/>
      <c r="MO48" s="15"/>
      <c r="MP48" s="15"/>
      <c r="MQ48" s="15"/>
      <c r="MR48" s="15"/>
      <c r="MS48" s="15"/>
      <c r="MT48" s="15"/>
      <c r="MU48" s="15"/>
      <c r="MV48" s="15"/>
      <c r="MW48" s="15"/>
    </row>
    <row r="49" spans="1:361" s="3" customFormat="1" ht="30.75" hidden="1" customHeight="1" thickBot="1" x14ac:dyDescent="0.3">
      <c r="A49" s="28"/>
      <c r="B49" s="150" t="s">
        <v>101</v>
      </c>
      <c r="C49" s="31" t="s">
        <v>106</v>
      </c>
      <c r="D49" s="66" t="s">
        <v>111</v>
      </c>
      <c r="E49" s="12">
        <v>1</v>
      </c>
      <c r="F49" s="48">
        <v>45787</v>
      </c>
      <c r="G49" s="48">
        <v>45797</v>
      </c>
      <c r="H49" s="58" t="s">
        <v>112</v>
      </c>
      <c r="I49" s="58" t="s">
        <v>104</v>
      </c>
      <c r="J49" s="11"/>
      <c r="K49" s="11"/>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c r="IX49" s="15"/>
      <c r="IY49" s="15"/>
      <c r="IZ49" s="15"/>
      <c r="JA49" s="15"/>
      <c r="JB49" s="15"/>
      <c r="JC49" s="15"/>
      <c r="JD49" s="15"/>
      <c r="JE49" s="15"/>
      <c r="JF49" s="15"/>
      <c r="JG49" s="15"/>
      <c r="JH49" s="15"/>
      <c r="JI49" s="15"/>
      <c r="JJ49" s="15"/>
      <c r="JK49" s="15"/>
      <c r="JL49" s="15"/>
      <c r="JM49" s="15"/>
      <c r="JN49" s="15"/>
      <c r="JO49" s="15"/>
      <c r="JP49" s="15"/>
      <c r="JQ49" s="15"/>
      <c r="JR49" s="15"/>
      <c r="JS49" s="15"/>
      <c r="JT49" s="15"/>
      <c r="JU49" s="15"/>
      <c r="JV49" s="15"/>
      <c r="JW49" s="15"/>
      <c r="JX49" s="15"/>
      <c r="JY49" s="15"/>
      <c r="JZ49" s="15"/>
      <c r="KA49" s="15"/>
      <c r="KB49" s="15"/>
      <c r="KC49" s="15"/>
      <c r="KD49" s="15"/>
      <c r="KE49" s="15"/>
      <c r="KF49" s="15"/>
      <c r="KG49" s="15"/>
      <c r="KH49" s="15"/>
      <c r="KI49" s="15"/>
      <c r="KJ49" s="15"/>
      <c r="KK49" s="15"/>
      <c r="KL49" s="15"/>
      <c r="KM49" s="15"/>
      <c r="KN49" s="15"/>
      <c r="KO49" s="15"/>
      <c r="KP49" s="15"/>
      <c r="KQ49" s="15"/>
      <c r="KR49" s="15"/>
      <c r="KS49" s="15"/>
      <c r="KT49" s="15"/>
      <c r="KU49" s="15"/>
      <c r="KV49" s="15"/>
      <c r="KW49" s="15"/>
      <c r="KX49" s="15"/>
      <c r="KY49" s="15"/>
      <c r="KZ49" s="15"/>
      <c r="LA49" s="15"/>
      <c r="LB49" s="15"/>
      <c r="LC49" s="15"/>
      <c r="LD49" s="15"/>
      <c r="LE49" s="15"/>
      <c r="LF49" s="15"/>
      <c r="LG49" s="15"/>
      <c r="LH49" s="15"/>
      <c r="LI49" s="15"/>
      <c r="LJ49" s="15"/>
      <c r="LK49" s="15"/>
      <c r="LL49" s="15"/>
      <c r="LM49" s="15"/>
      <c r="LN49" s="15"/>
      <c r="LO49" s="15"/>
      <c r="LP49" s="15"/>
      <c r="LQ49" s="15"/>
      <c r="LR49" s="15"/>
      <c r="LS49" s="15"/>
      <c r="LT49" s="15"/>
      <c r="LU49" s="15"/>
      <c r="LV49" s="15"/>
      <c r="LW49" s="15"/>
      <c r="LX49" s="15"/>
      <c r="LY49" s="15"/>
      <c r="LZ49" s="15"/>
      <c r="MA49" s="15"/>
      <c r="MB49" s="15"/>
      <c r="MC49" s="15"/>
      <c r="MD49" s="15"/>
      <c r="ME49" s="15"/>
      <c r="MF49" s="15"/>
      <c r="MG49" s="15"/>
      <c r="MH49" s="15"/>
      <c r="MI49" s="15"/>
      <c r="MJ49" s="15"/>
      <c r="MK49" s="15"/>
      <c r="ML49" s="15"/>
      <c r="MM49" s="15"/>
      <c r="MN49" s="15"/>
      <c r="MO49" s="15"/>
      <c r="MP49" s="15"/>
      <c r="MQ49" s="15"/>
      <c r="MR49" s="15"/>
      <c r="MS49" s="15"/>
      <c r="MT49" s="15"/>
      <c r="MU49" s="15"/>
      <c r="MV49" s="15"/>
      <c r="MW49" s="15"/>
    </row>
    <row r="50" spans="1:361" s="3" customFormat="1" ht="16.5" hidden="1" customHeight="1" thickBot="1" x14ac:dyDescent="0.3">
      <c r="A50" s="28"/>
      <c r="B50" s="151" t="s">
        <v>108</v>
      </c>
      <c r="C50" s="31"/>
      <c r="D50" s="66"/>
      <c r="E50" s="12"/>
      <c r="F50" s="48"/>
      <c r="G50" s="48"/>
      <c r="H50" s="58"/>
      <c r="I50" s="58"/>
      <c r="J50" s="11"/>
      <c r="K50" s="11"/>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c r="IX50" s="15"/>
      <c r="IY50" s="15"/>
      <c r="IZ50" s="15"/>
      <c r="JA50" s="15"/>
      <c r="JB50" s="15"/>
      <c r="JC50" s="15"/>
      <c r="JD50" s="15"/>
      <c r="JE50" s="15"/>
      <c r="JF50" s="15"/>
      <c r="JG50" s="15"/>
      <c r="JH50" s="15"/>
      <c r="JI50" s="15"/>
      <c r="JJ50" s="15"/>
      <c r="JK50" s="15"/>
      <c r="JL50" s="15"/>
      <c r="JM50" s="15"/>
      <c r="JN50" s="15"/>
      <c r="JO50" s="15"/>
      <c r="JP50" s="15"/>
      <c r="JQ50" s="15"/>
      <c r="JR50" s="15"/>
      <c r="JS50" s="15"/>
      <c r="JT50" s="15"/>
      <c r="JU50" s="15"/>
      <c r="JV50" s="15"/>
      <c r="JW50" s="15"/>
      <c r="JX50" s="15"/>
      <c r="JY50" s="15"/>
      <c r="JZ50" s="15"/>
      <c r="KA50" s="15"/>
      <c r="KB50" s="15"/>
      <c r="KC50" s="15"/>
      <c r="KD50" s="15"/>
      <c r="KE50" s="15"/>
      <c r="KF50" s="15"/>
      <c r="KG50" s="15"/>
      <c r="KH50" s="15"/>
      <c r="KI50" s="15"/>
      <c r="KJ50" s="15"/>
      <c r="KK50" s="15"/>
      <c r="KL50" s="15"/>
      <c r="KM50" s="15"/>
      <c r="KN50" s="15"/>
      <c r="KO50" s="15"/>
      <c r="KP50" s="15"/>
      <c r="KQ50" s="15"/>
      <c r="KR50" s="15"/>
      <c r="KS50" s="15"/>
      <c r="KT50" s="15"/>
      <c r="KU50" s="15"/>
      <c r="KV50" s="15"/>
      <c r="KW50" s="15"/>
      <c r="KX50" s="15"/>
      <c r="KY50" s="15"/>
      <c r="KZ50" s="15"/>
      <c r="LA50" s="15"/>
      <c r="LB50" s="15"/>
      <c r="LC50" s="15"/>
      <c r="LD50" s="15"/>
      <c r="LE50" s="15"/>
      <c r="LF50" s="15"/>
      <c r="LG50" s="15"/>
      <c r="LH50" s="15"/>
      <c r="LI50" s="15"/>
      <c r="LJ50" s="15"/>
      <c r="LK50" s="15"/>
      <c r="LL50" s="15"/>
      <c r="LM50" s="15"/>
      <c r="LN50" s="15"/>
      <c r="LO50" s="15"/>
      <c r="LP50" s="15"/>
      <c r="LQ50" s="15"/>
      <c r="LR50" s="15"/>
      <c r="LS50" s="15"/>
      <c r="LT50" s="15"/>
      <c r="LU50" s="15"/>
      <c r="LV50" s="15"/>
      <c r="LW50" s="15"/>
      <c r="LX50" s="15"/>
      <c r="LY50" s="15"/>
      <c r="LZ50" s="15"/>
      <c r="MA50" s="15"/>
      <c r="MB50" s="15"/>
      <c r="MC50" s="15"/>
      <c r="MD50" s="15"/>
      <c r="ME50" s="15"/>
      <c r="MF50" s="15"/>
      <c r="MG50" s="15"/>
      <c r="MH50" s="15"/>
      <c r="MI50" s="15"/>
      <c r="MJ50" s="15"/>
      <c r="MK50" s="15"/>
      <c r="ML50" s="15"/>
      <c r="MM50" s="15"/>
      <c r="MN50" s="15"/>
      <c r="MO50" s="15"/>
      <c r="MP50" s="15"/>
      <c r="MQ50" s="15"/>
      <c r="MR50" s="15"/>
      <c r="MS50" s="15"/>
      <c r="MT50" s="15"/>
      <c r="MU50" s="15"/>
      <c r="MV50" s="15"/>
      <c r="MW50" s="15"/>
    </row>
    <row r="51" spans="1:361" s="3" customFormat="1" ht="45.75" hidden="1" customHeight="1" thickBot="1" x14ac:dyDescent="0.3">
      <c r="A51" s="28"/>
      <c r="B51" s="150" t="s">
        <v>107</v>
      </c>
      <c r="C51" s="31" t="s">
        <v>109</v>
      </c>
      <c r="D51" s="66" t="s">
        <v>110</v>
      </c>
      <c r="E51" s="12">
        <v>1</v>
      </c>
      <c r="F51" s="48">
        <v>45789</v>
      </c>
      <c r="G51" s="48">
        <v>45794</v>
      </c>
      <c r="H51" s="58" t="s">
        <v>132</v>
      </c>
      <c r="I51" s="153" t="s">
        <v>116</v>
      </c>
      <c r="J51" s="11"/>
      <c r="K51" s="11"/>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row>
    <row r="52" spans="1:361" s="3" customFormat="1" ht="30.75" hidden="1" customHeight="1" thickBot="1" x14ac:dyDescent="0.3">
      <c r="A52" s="28"/>
      <c r="B52" s="150" t="s">
        <v>113</v>
      </c>
      <c r="C52" s="31" t="s">
        <v>109</v>
      </c>
      <c r="D52" s="66" t="s">
        <v>131</v>
      </c>
      <c r="E52" s="12">
        <v>1</v>
      </c>
      <c r="F52" s="48">
        <v>45797</v>
      </c>
      <c r="G52" s="48">
        <v>45818</v>
      </c>
      <c r="H52" s="58" t="s">
        <v>115</v>
      </c>
      <c r="I52" s="58" t="s">
        <v>114</v>
      </c>
      <c r="J52" s="11"/>
      <c r="K52" s="11"/>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row>
    <row r="53" spans="1:361" s="3" customFormat="1" ht="16.5" hidden="1" customHeight="1" thickBot="1" x14ac:dyDescent="0.3">
      <c r="A53" s="28"/>
      <c r="B53" s="151" t="s">
        <v>133</v>
      </c>
      <c r="C53" s="31"/>
      <c r="D53" s="66"/>
      <c r="E53" s="12"/>
      <c r="F53" s="48"/>
      <c r="G53" s="48"/>
      <c r="H53" s="58"/>
      <c r="I53" s="58"/>
      <c r="J53" s="11"/>
      <c r="K53" s="11"/>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row>
    <row r="54" spans="1:361" s="3" customFormat="1" ht="45.75" hidden="1" customHeight="1" thickBot="1" x14ac:dyDescent="0.3">
      <c r="A54" s="28"/>
      <c r="B54" s="150" t="s">
        <v>134</v>
      </c>
      <c r="C54" s="31" t="s">
        <v>109</v>
      </c>
      <c r="D54" s="66" t="s">
        <v>135</v>
      </c>
      <c r="E54" s="12">
        <v>1</v>
      </c>
      <c r="F54" s="48">
        <v>45789</v>
      </c>
      <c r="G54" s="48">
        <v>45794</v>
      </c>
      <c r="H54" s="58" t="s">
        <v>132</v>
      </c>
      <c r="I54" s="153" t="s">
        <v>136</v>
      </c>
      <c r="J54" s="11"/>
      <c r="K54" s="11"/>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row>
    <row r="55" spans="1:361" s="3" customFormat="1" ht="45.75" hidden="1" customHeight="1" thickBot="1" x14ac:dyDescent="0.3">
      <c r="A55" s="28"/>
      <c r="B55" s="150" t="s">
        <v>137</v>
      </c>
      <c r="C55" s="31" t="s">
        <v>109</v>
      </c>
      <c r="D55" s="66" t="s">
        <v>138</v>
      </c>
      <c r="E55" s="12">
        <v>1</v>
      </c>
      <c r="F55" s="48">
        <v>45797</v>
      </c>
      <c r="G55" s="48">
        <v>45818</v>
      </c>
      <c r="H55" s="58" t="s">
        <v>139</v>
      </c>
      <c r="I55" s="161" t="s">
        <v>140</v>
      </c>
      <c r="J55" s="11"/>
      <c r="K55" s="11"/>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c r="IH55" s="15"/>
      <c r="II55" s="15"/>
      <c r="IJ55" s="15"/>
      <c r="IK55" s="15"/>
      <c r="IL55" s="15"/>
      <c r="IM55" s="15"/>
      <c r="IN55" s="15"/>
      <c r="IO55" s="15"/>
      <c r="IP55" s="15"/>
      <c r="IQ55" s="15"/>
      <c r="IR55" s="15"/>
      <c r="IS55" s="15"/>
      <c r="IT55" s="15"/>
      <c r="IU55" s="15"/>
      <c r="IV55" s="15"/>
      <c r="IW55" s="15"/>
      <c r="IX55" s="15"/>
      <c r="IY55" s="15"/>
      <c r="IZ55" s="15"/>
      <c r="JA55" s="15"/>
      <c r="JB55" s="15"/>
      <c r="JC55" s="15"/>
      <c r="JD55" s="15"/>
      <c r="JE55" s="15"/>
      <c r="JF55" s="15"/>
      <c r="JG55" s="15"/>
      <c r="JH55" s="15"/>
      <c r="JI55" s="15"/>
      <c r="JJ55" s="15"/>
      <c r="JK55" s="15"/>
      <c r="JL55" s="15"/>
      <c r="JM55" s="15"/>
      <c r="JN55" s="15"/>
      <c r="JO55" s="15"/>
      <c r="JP55" s="15"/>
      <c r="JQ55" s="15"/>
      <c r="JR55" s="15"/>
      <c r="JS55" s="15"/>
      <c r="JT55" s="15"/>
      <c r="JU55" s="15"/>
      <c r="JV55" s="15"/>
      <c r="JW55" s="15"/>
      <c r="JX55" s="15"/>
      <c r="JY55" s="15"/>
      <c r="JZ55" s="15"/>
      <c r="KA55" s="15"/>
      <c r="KB55" s="15"/>
      <c r="KC55" s="15"/>
      <c r="KD55" s="15"/>
      <c r="KE55" s="15"/>
      <c r="KF55" s="15"/>
      <c r="KG55" s="15"/>
      <c r="KH55" s="15"/>
      <c r="KI55" s="15"/>
      <c r="KJ55" s="15"/>
      <c r="KK55" s="15"/>
      <c r="KL55" s="15"/>
      <c r="KM55" s="15"/>
      <c r="KN55" s="15"/>
      <c r="KO55" s="15"/>
      <c r="KP55" s="15"/>
      <c r="KQ55" s="15"/>
      <c r="KR55" s="15"/>
      <c r="KS55" s="15"/>
      <c r="KT55" s="15"/>
      <c r="KU55" s="15"/>
      <c r="KV55" s="15"/>
      <c r="KW55" s="15"/>
      <c r="KX55" s="15"/>
      <c r="KY55" s="15"/>
      <c r="KZ55" s="15"/>
      <c r="LA55" s="15"/>
      <c r="LB55" s="15"/>
      <c r="LC55" s="15"/>
      <c r="LD55" s="15"/>
      <c r="LE55" s="15"/>
      <c r="LF55" s="15"/>
      <c r="LG55" s="15"/>
      <c r="LH55" s="15"/>
      <c r="LI55" s="15"/>
      <c r="LJ55" s="15"/>
      <c r="LK55" s="15"/>
      <c r="LL55" s="15"/>
      <c r="LM55" s="15"/>
      <c r="LN55" s="15"/>
      <c r="LO55" s="15"/>
      <c r="LP55" s="15"/>
      <c r="LQ55" s="15"/>
      <c r="LR55" s="15"/>
      <c r="LS55" s="15"/>
      <c r="LT55" s="15"/>
      <c r="LU55" s="15"/>
      <c r="LV55" s="15"/>
      <c r="LW55" s="15"/>
      <c r="LX55" s="15"/>
      <c r="LY55" s="15"/>
      <c r="LZ55" s="15"/>
      <c r="MA55" s="15"/>
      <c r="MB55" s="15"/>
      <c r="MC55" s="15"/>
      <c r="MD55" s="15"/>
      <c r="ME55" s="15"/>
      <c r="MF55" s="15"/>
      <c r="MG55" s="15"/>
      <c r="MH55" s="15"/>
      <c r="MI55" s="15"/>
      <c r="MJ55" s="15"/>
      <c r="MK55" s="15"/>
      <c r="ML55" s="15"/>
      <c r="MM55" s="15"/>
      <c r="MN55" s="15"/>
      <c r="MO55" s="15"/>
      <c r="MP55" s="15"/>
      <c r="MQ55" s="15"/>
      <c r="MR55" s="15"/>
      <c r="MS55" s="15"/>
      <c r="MT55" s="15"/>
      <c r="MU55" s="15"/>
      <c r="MV55" s="15"/>
      <c r="MW55" s="15"/>
    </row>
    <row r="56" spans="1:361" s="3" customFormat="1" ht="16.5" hidden="1" customHeight="1" thickBot="1" x14ac:dyDescent="0.3">
      <c r="A56" s="28"/>
      <c r="B56" s="151" t="s">
        <v>142</v>
      </c>
      <c r="C56" s="31"/>
      <c r="D56" s="66"/>
      <c r="E56" s="12"/>
      <c r="F56" s="48"/>
      <c r="G56" s="48"/>
      <c r="H56" s="58"/>
      <c r="I56" s="58"/>
      <c r="J56" s="11"/>
      <c r="K56" s="11"/>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c r="IH56" s="15"/>
      <c r="II56" s="15"/>
      <c r="IJ56" s="15"/>
      <c r="IK56" s="15"/>
      <c r="IL56" s="15"/>
      <c r="IM56" s="15"/>
      <c r="IN56" s="15"/>
      <c r="IO56" s="15"/>
      <c r="IP56" s="15"/>
      <c r="IQ56" s="15"/>
      <c r="IR56" s="15"/>
      <c r="IS56" s="15"/>
      <c r="IT56" s="15"/>
      <c r="IU56" s="15"/>
      <c r="IV56" s="15"/>
      <c r="IW56" s="15"/>
      <c r="IX56" s="15"/>
      <c r="IY56" s="15"/>
      <c r="IZ56" s="15"/>
      <c r="JA56" s="15"/>
      <c r="JB56" s="15"/>
      <c r="JC56" s="15"/>
      <c r="JD56" s="15"/>
      <c r="JE56" s="15"/>
      <c r="JF56" s="15"/>
      <c r="JG56" s="15"/>
      <c r="JH56" s="15"/>
      <c r="JI56" s="15"/>
      <c r="JJ56" s="15"/>
      <c r="JK56" s="15"/>
      <c r="JL56" s="15"/>
      <c r="JM56" s="15"/>
      <c r="JN56" s="15"/>
      <c r="JO56" s="15"/>
      <c r="JP56" s="15"/>
      <c r="JQ56" s="15"/>
      <c r="JR56" s="15"/>
      <c r="JS56" s="15"/>
      <c r="JT56" s="15"/>
      <c r="JU56" s="15"/>
      <c r="JV56" s="15"/>
      <c r="JW56" s="15"/>
      <c r="JX56" s="15"/>
      <c r="JY56" s="15"/>
      <c r="JZ56" s="15"/>
      <c r="KA56" s="15"/>
      <c r="KB56" s="15"/>
      <c r="KC56" s="15"/>
      <c r="KD56" s="15"/>
      <c r="KE56" s="15"/>
      <c r="KF56" s="15"/>
      <c r="KG56" s="15"/>
      <c r="KH56" s="15"/>
      <c r="KI56" s="15"/>
      <c r="KJ56" s="15"/>
      <c r="KK56" s="15"/>
      <c r="KL56" s="15"/>
      <c r="KM56" s="15"/>
      <c r="KN56" s="15"/>
      <c r="KO56" s="15"/>
      <c r="KP56" s="15"/>
      <c r="KQ56" s="15"/>
      <c r="KR56" s="15"/>
      <c r="KS56" s="15"/>
      <c r="KT56" s="15"/>
      <c r="KU56" s="15"/>
      <c r="KV56" s="15"/>
      <c r="KW56" s="15"/>
      <c r="KX56" s="15"/>
      <c r="KY56" s="15"/>
      <c r="KZ56" s="15"/>
      <c r="LA56" s="15"/>
      <c r="LB56" s="15"/>
      <c r="LC56" s="15"/>
      <c r="LD56" s="15"/>
      <c r="LE56" s="15"/>
      <c r="LF56" s="15"/>
      <c r="LG56" s="15"/>
      <c r="LH56" s="15"/>
      <c r="LI56" s="15"/>
      <c r="LJ56" s="15"/>
      <c r="LK56" s="15"/>
      <c r="LL56" s="15"/>
      <c r="LM56" s="15"/>
      <c r="LN56" s="15"/>
      <c r="LO56" s="15"/>
      <c r="LP56" s="15"/>
      <c r="LQ56" s="15"/>
      <c r="LR56" s="15"/>
      <c r="LS56" s="15"/>
      <c r="LT56" s="15"/>
      <c r="LU56" s="15"/>
      <c r="LV56" s="15"/>
      <c r="LW56" s="15"/>
      <c r="LX56" s="15"/>
      <c r="LY56" s="15"/>
      <c r="LZ56" s="15"/>
      <c r="MA56" s="15"/>
      <c r="MB56" s="15"/>
      <c r="MC56" s="15"/>
      <c r="MD56" s="15"/>
      <c r="ME56" s="15"/>
      <c r="MF56" s="15"/>
      <c r="MG56" s="15"/>
      <c r="MH56" s="15"/>
      <c r="MI56" s="15"/>
      <c r="MJ56" s="15"/>
      <c r="MK56" s="15"/>
      <c r="ML56" s="15"/>
      <c r="MM56" s="15"/>
      <c r="MN56" s="15"/>
      <c r="MO56" s="15"/>
      <c r="MP56" s="15"/>
      <c r="MQ56" s="15"/>
      <c r="MR56" s="15"/>
      <c r="MS56" s="15"/>
      <c r="MT56" s="15"/>
      <c r="MU56" s="15"/>
      <c r="MV56" s="15"/>
      <c r="MW56" s="15"/>
    </row>
    <row r="57" spans="1:361" s="3" customFormat="1" ht="45.75" hidden="1" customHeight="1" thickBot="1" x14ac:dyDescent="0.3">
      <c r="A57" s="28"/>
      <c r="B57" s="150" t="s">
        <v>143</v>
      </c>
      <c r="C57" s="31" t="s">
        <v>109</v>
      </c>
      <c r="D57" s="66" t="s">
        <v>144</v>
      </c>
      <c r="E57" s="12">
        <v>0.9</v>
      </c>
      <c r="F57" s="48">
        <v>45789</v>
      </c>
      <c r="G57" s="48">
        <v>45794</v>
      </c>
      <c r="H57" s="58" t="s">
        <v>132</v>
      </c>
      <c r="I57" s="153" t="s">
        <v>145</v>
      </c>
      <c r="J57" s="11"/>
      <c r="K57" s="11"/>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c r="KL57" s="15"/>
      <c r="KM57" s="15"/>
      <c r="KN57" s="15"/>
      <c r="KO57" s="15"/>
      <c r="KP57" s="15"/>
      <c r="KQ57" s="15"/>
      <c r="KR57" s="15"/>
      <c r="KS57" s="15"/>
      <c r="KT57" s="15"/>
      <c r="KU57" s="15"/>
      <c r="KV57" s="15"/>
      <c r="KW57" s="15"/>
      <c r="KX57" s="15"/>
      <c r="KY57" s="15"/>
      <c r="KZ57" s="15"/>
      <c r="LA57" s="15"/>
      <c r="LB57" s="15"/>
      <c r="LC57" s="15"/>
      <c r="LD57" s="15"/>
      <c r="LE57" s="15"/>
      <c r="LF57" s="15"/>
      <c r="LG57" s="15"/>
      <c r="LH57" s="15"/>
      <c r="LI57" s="15"/>
      <c r="LJ57" s="15"/>
      <c r="LK57" s="15"/>
      <c r="LL57" s="15"/>
      <c r="LM57" s="15"/>
      <c r="LN57" s="15"/>
      <c r="LO57" s="15"/>
      <c r="LP57" s="15"/>
      <c r="LQ57" s="15"/>
      <c r="LR57" s="15"/>
      <c r="LS57" s="15"/>
      <c r="LT57" s="15"/>
      <c r="LU57" s="15"/>
      <c r="LV57" s="15"/>
      <c r="LW57" s="15"/>
      <c r="LX57" s="15"/>
      <c r="LY57" s="15"/>
      <c r="LZ57" s="15"/>
      <c r="MA57" s="15"/>
      <c r="MB57" s="15"/>
      <c r="MC57" s="15"/>
      <c r="MD57" s="15"/>
      <c r="ME57" s="15"/>
      <c r="MF57" s="15"/>
      <c r="MG57" s="15"/>
      <c r="MH57" s="15"/>
      <c r="MI57" s="15"/>
      <c r="MJ57" s="15"/>
      <c r="MK57" s="15"/>
      <c r="ML57" s="15"/>
      <c r="MM57" s="15"/>
      <c r="MN57" s="15"/>
      <c r="MO57" s="15"/>
      <c r="MP57" s="15"/>
      <c r="MQ57" s="15"/>
      <c r="MR57" s="15"/>
      <c r="MS57" s="15"/>
      <c r="MT57" s="15"/>
      <c r="MU57" s="15"/>
      <c r="MV57" s="15"/>
      <c r="MW57" s="15"/>
    </row>
    <row r="58" spans="1:361" s="3" customFormat="1" ht="45.75" hidden="1" customHeight="1" thickBot="1" x14ac:dyDescent="0.3">
      <c r="A58" s="28"/>
      <c r="B58" s="177" t="s">
        <v>242</v>
      </c>
      <c r="C58" s="31" t="s">
        <v>109</v>
      </c>
      <c r="D58" s="52" t="s">
        <v>243</v>
      </c>
      <c r="E58" s="12">
        <v>1</v>
      </c>
      <c r="F58" s="48">
        <v>46006</v>
      </c>
      <c r="G58" s="48">
        <v>46007</v>
      </c>
      <c r="H58" s="58" t="s">
        <v>132</v>
      </c>
      <c r="I58" s="153"/>
      <c r="J58" s="11"/>
      <c r="K58" s="11"/>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c r="KL58" s="15"/>
      <c r="KM58" s="15"/>
      <c r="KN58" s="15"/>
      <c r="KO58" s="15"/>
      <c r="KP58" s="15"/>
      <c r="KQ58" s="15"/>
      <c r="KR58" s="15"/>
      <c r="KS58" s="15"/>
      <c r="KT58" s="15"/>
      <c r="KU58" s="15"/>
      <c r="KV58" s="15"/>
      <c r="KW58" s="15"/>
      <c r="KX58" s="15"/>
      <c r="KY58" s="15"/>
      <c r="KZ58" s="15"/>
      <c r="LA58" s="15"/>
      <c r="LB58" s="15"/>
      <c r="LC58" s="15"/>
      <c r="LD58" s="15"/>
      <c r="LE58" s="15"/>
      <c r="LF58" s="15"/>
      <c r="LG58" s="15"/>
      <c r="LH58" s="15"/>
      <c r="LI58" s="15"/>
      <c r="LJ58" s="15"/>
      <c r="LK58" s="15"/>
      <c r="LL58" s="15"/>
      <c r="LM58" s="15"/>
      <c r="LN58" s="15"/>
      <c r="LO58" s="15"/>
      <c r="LP58" s="15"/>
      <c r="LQ58" s="15"/>
      <c r="LR58" s="15"/>
      <c r="LS58" s="15"/>
      <c r="LT58" s="15"/>
      <c r="LU58" s="15"/>
      <c r="LV58" s="15"/>
      <c r="LW58" s="15"/>
      <c r="LX58" s="15"/>
      <c r="LY58" s="15"/>
      <c r="LZ58" s="15"/>
      <c r="MA58" s="15"/>
      <c r="MB58" s="15"/>
      <c r="MC58" s="15"/>
      <c r="MD58" s="15"/>
      <c r="ME58" s="15"/>
      <c r="MF58" s="15"/>
      <c r="MG58" s="15"/>
      <c r="MH58" s="15"/>
      <c r="MI58" s="15"/>
      <c r="MJ58" s="15"/>
      <c r="MK58" s="15"/>
      <c r="ML58" s="15"/>
      <c r="MM58" s="15"/>
      <c r="MN58" s="15"/>
      <c r="MO58" s="15"/>
      <c r="MP58" s="15"/>
      <c r="MQ58" s="15"/>
      <c r="MR58" s="15"/>
      <c r="MS58" s="15"/>
      <c r="MT58" s="15"/>
      <c r="MU58" s="15"/>
      <c r="MV58" s="15"/>
      <c r="MW58" s="15"/>
    </row>
    <row r="59" spans="1:361" s="3" customFormat="1" ht="45.75" hidden="1" customHeight="1" thickBot="1" x14ac:dyDescent="0.3">
      <c r="A59" s="28"/>
      <c r="B59" s="179" t="s">
        <v>244</v>
      </c>
      <c r="C59" s="31" t="s">
        <v>109</v>
      </c>
      <c r="D59" s="52" t="s">
        <v>245</v>
      </c>
      <c r="E59" s="12">
        <v>0</v>
      </c>
      <c r="F59" s="48">
        <v>46017</v>
      </c>
      <c r="G59" s="48">
        <v>46020</v>
      </c>
      <c r="H59" s="178" t="s">
        <v>246</v>
      </c>
      <c r="I59" s="153"/>
      <c r="J59" s="11"/>
      <c r="K59" s="11"/>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c r="KL59" s="15"/>
      <c r="KM59" s="15"/>
      <c r="KN59" s="15"/>
      <c r="KO59" s="15"/>
      <c r="KP59" s="15"/>
      <c r="KQ59" s="15"/>
      <c r="KR59" s="15"/>
      <c r="KS59" s="15"/>
      <c r="KT59" s="15"/>
      <c r="KU59" s="15"/>
      <c r="KV59" s="15"/>
      <c r="KW59" s="15"/>
      <c r="KX59" s="15"/>
      <c r="KY59" s="15"/>
      <c r="KZ59" s="15"/>
      <c r="LA59" s="15"/>
      <c r="LB59" s="15"/>
      <c r="LC59" s="15"/>
      <c r="LD59" s="15"/>
      <c r="LE59" s="15"/>
      <c r="LF59" s="15"/>
      <c r="LG59" s="15"/>
      <c r="LH59" s="15"/>
      <c r="LI59" s="15"/>
      <c r="LJ59" s="15"/>
      <c r="LK59" s="15"/>
      <c r="LL59" s="15"/>
      <c r="LM59" s="15"/>
      <c r="LN59" s="15"/>
      <c r="LO59" s="15"/>
      <c r="LP59" s="15"/>
      <c r="LQ59" s="15"/>
      <c r="LR59" s="15"/>
      <c r="LS59" s="15"/>
      <c r="LT59" s="15"/>
      <c r="LU59" s="15"/>
      <c r="LV59" s="15"/>
      <c r="LW59" s="15"/>
      <c r="LX59" s="15"/>
      <c r="LY59" s="15"/>
      <c r="LZ59" s="15"/>
      <c r="MA59" s="15"/>
      <c r="MB59" s="15"/>
      <c r="MC59" s="15"/>
      <c r="MD59" s="15"/>
      <c r="ME59" s="15"/>
      <c r="MF59" s="15"/>
      <c r="MG59" s="15"/>
      <c r="MH59" s="15"/>
      <c r="MI59" s="15"/>
      <c r="MJ59" s="15"/>
      <c r="MK59" s="15"/>
      <c r="ML59" s="15"/>
      <c r="MM59" s="15"/>
      <c r="MN59" s="15"/>
      <c r="MO59" s="15"/>
      <c r="MP59" s="15"/>
      <c r="MQ59" s="15"/>
      <c r="MR59" s="15"/>
      <c r="MS59" s="15"/>
      <c r="MT59" s="15"/>
      <c r="MU59" s="15"/>
      <c r="MV59" s="15"/>
      <c r="MW59" s="15"/>
    </row>
    <row r="60" spans="1:361" s="3" customFormat="1" ht="45.75" hidden="1" customHeight="1" thickBot="1" x14ac:dyDescent="0.3">
      <c r="A60" s="28"/>
      <c r="B60" s="179"/>
      <c r="C60" s="31"/>
      <c r="D60" s="52"/>
      <c r="E60" s="12"/>
      <c r="F60" s="48"/>
      <c r="G60" s="48"/>
      <c r="H60" s="58"/>
      <c r="I60" s="153"/>
      <c r="J60" s="11"/>
      <c r="K60" s="11"/>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row>
    <row r="61" spans="1:361" s="3" customFormat="1" ht="16.5" hidden="1" customHeight="1" thickBot="1" x14ac:dyDescent="0.3">
      <c r="A61" s="28"/>
      <c r="B61" s="151" t="s">
        <v>117</v>
      </c>
      <c r="C61" s="31"/>
      <c r="D61" s="155"/>
      <c r="E61" s="12"/>
      <c r="F61" s="48"/>
      <c r="G61" s="48"/>
      <c r="H61" s="58"/>
      <c r="I61" s="152"/>
      <c r="J61" s="11"/>
      <c r="K61" s="11"/>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row>
    <row r="62" spans="1:361" s="3" customFormat="1" ht="45.75" hidden="1" customHeight="1" thickBot="1" x14ac:dyDescent="0.3">
      <c r="A62" s="28"/>
      <c r="B62" s="150" t="s">
        <v>118</v>
      </c>
      <c r="C62" s="31"/>
      <c r="D62" s="66" t="s">
        <v>120</v>
      </c>
      <c r="E62" s="12">
        <v>1</v>
      </c>
      <c r="F62" s="48"/>
      <c r="G62" s="48"/>
      <c r="H62" s="58"/>
      <c r="I62" s="152"/>
      <c r="J62" s="11"/>
      <c r="K62" s="11"/>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row>
    <row r="63" spans="1:361" s="3" customFormat="1" ht="30.75" hidden="1" customHeight="1" thickBot="1" x14ac:dyDescent="0.3">
      <c r="A63" s="28"/>
      <c r="B63" s="156" t="s">
        <v>121</v>
      </c>
      <c r="C63" s="31"/>
      <c r="D63" s="66" t="s">
        <v>119</v>
      </c>
      <c r="E63" s="12">
        <v>1</v>
      </c>
      <c r="F63" s="48"/>
      <c r="G63" s="48"/>
      <c r="H63" s="58"/>
      <c r="I63" s="58"/>
      <c r="J63" s="11"/>
      <c r="K63" s="11"/>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row>
    <row r="64" spans="1:361" s="3" customFormat="1" ht="30.75" hidden="1" customHeight="1" thickBot="1" x14ac:dyDescent="0.3">
      <c r="A64" s="28"/>
      <c r="B64" s="150" t="s">
        <v>141</v>
      </c>
      <c r="C64" s="31"/>
      <c r="D64" s="66" t="s">
        <v>122</v>
      </c>
      <c r="E64" s="12">
        <v>1</v>
      </c>
      <c r="F64" s="48"/>
      <c r="G64" s="48"/>
      <c r="H64" s="58"/>
      <c r="I64" s="58"/>
      <c r="J64" s="11"/>
      <c r="K64" s="11"/>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c r="KL64" s="15"/>
      <c r="KM64" s="15"/>
      <c r="KN64" s="15"/>
      <c r="KO64" s="15"/>
      <c r="KP64" s="15"/>
      <c r="KQ64" s="15"/>
      <c r="KR64" s="15"/>
      <c r="KS64" s="15"/>
      <c r="KT64" s="15"/>
      <c r="KU64" s="15"/>
      <c r="KV64" s="15"/>
      <c r="KW64" s="15"/>
      <c r="KX64" s="15"/>
      <c r="KY64" s="15"/>
      <c r="KZ64" s="15"/>
      <c r="LA64" s="15"/>
      <c r="LB64" s="15"/>
      <c r="LC64" s="15"/>
      <c r="LD64" s="15"/>
      <c r="LE64" s="15"/>
      <c r="LF64" s="15"/>
      <c r="LG64" s="15"/>
      <c r="LH64" s="15"/>
      <c r="LI64" s="15"/>
      <c r="LJ64" s="15"/>
      <c r="LK64" s="15"/>
      <c r="LL64" s="15"/>
      <c r="LM64" s="15"/>
      <c r="LN64" s="15"/>
      <c r="LO64" s="15"/>
      <c r="LP64" s="15"/>
      <c r="LQ64" s="15"/>
      <c r="LR64" s="15"/>
      <c r="LS64" s="15"/>
      <c r="LT64" s="15"/>
      <c r="LU64" s="15"/>
      <c r="LV64" s="15"/>
      <c r="LW64" s="15"/>
      <c r="LX64" s="15"/>
      <c r="LY64" s="15"/>
      <c r="LZ64" s="15"/>
      <c r="MA64" s="15"/>
      <c r="MB64" s="15"/>
      <c r="MC64" s="15"/>
      <c r="MD64" s="15"/>
      <c r="ME64" s="15"/>
      <c r="MF64" s="15"/>
      <c r="MG64" s="15"/>
      <c r="MH64" s="15"/>
      <c r="MI64" s="15"/>
      <c r="MJ64" s="15"/>
      <c r="MK64" s="15"/>
      <c r="ML64" s="15"/>
      <c r="MM64" s="15"/>
      <c r="MN64" s="15"/>
      <c r="MO64" s="15"/>
      <c r="MP64" s="15"/>
      <c r="MQ64" s="15"/>
      <c r="MR64" s="15"/>
      <c r="MS64" s="15"/>
      <c r="MT64" s="15"/>
      <c r="MU64" s="15"/>
      <c r="MV64" s="15"/>
      <c r="MW64" s="15"/>
    </row>
    <row r="65" spans="1:361" s="3" customFormat="1" ht="16.5" hidden="1" customHeight="1" thickBot="1" x14ac:dyDescent="0.3">
      <c r="A65" s="28"/>
      <c r="B65" s="151" t="s">
        <v>126</v>
      </c>
      <c r="C65" s="31"/>
      <c r="D65" s="155" t="s">
        <v>228</v>
      </c>
      <c r="E65" s="12"/>
      <c r="F65" s="48"/>
      <c r="G65" s="48"/>
      <c r="H65" s="58"/>
      <c r="I65" s="58"/>
      <c r="J65" s="11"/>
      <c r="K65" s="11"/>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5"/>
      <c r="JO65" s="15"/>
      <c r="JP65" s="15"/>
      <c r="JQ65" s="15"/>
      <c r="JR65" s="15"/>
      <c r="JS65" s="15"/>
      <c r="JT65" s="15"/>
      <c r="JU65" s="15"/>
      <c r="JV65" s="15"/>
      <c r="JW65" s="15"/>
      <c r="JX65" s="15"/>
      <c r="JY65" s="15"/>
      <c r="JZ65" s="15"/>
      <c r="KA65" s="15"/>
      <c r="KB65" s="15"/>
      <c r="KC65" s="15"/>
      <c r="KD65" s="15"/>
      <c r="KE65" s="15"/>
      <c r="KF65" s="15"/>
      <c r="KG65" s="15"/>
      <c r="KH65" s="15"/>
      <c r="KI65" s="15"/>
      <c r="KJ65" s="15"/>
      <c r="KK65" s="15"/>
      <c r="KL65" s="15"/>
      <c r="KM65" s="15"/>
      <c r="KN65" s="15"/>
      <c r="KO65" s="15"/>
      <c r="KP65" s="15"/>
      <c r="KQ65" s="15"/>
      <c r="KR65" s="15"/>
      <c r="KS65" s="15"/>
      <c r="KT65" s="15"/>
      <c r="KU65" s="15"/>
      <c r="KV65" s="15"/>
      <c r="KW65" s="15"/>
      <c r="KX65" s="15"/>
      <c r="KY65" s="15"/>
      <c r="KZ65" s="15"/>
      <c r="LA65" s="15"/>
      <c r="LB65" s="15"/>
      <c r="LC65" s="15"/>
      <c r="LD65" s="15"/>
      <c r="LE65" s="15"/>
      <c r="LF65" s="15"/>
      <c r="LG65" s="15"/>
      <c r="LH65" s="15"/>
      <c r="LI65" s="15"/>
      <c r="LJ65" s="15"/>
      <c r="LK65" s="15"/>
      <c r="LL65" s="15"/>
      <c r="LM65" s="15"/>
      <c r="LN65" s="15"/>
      <c r="LO65" s="15"/>
      <c r="LP65" s="15"/>
      <c r="LQ65" s="15"/>
      <c r="LR65" s="15"/>
      <c r="LS65" s="15"/>
      <c r="LT65" s="15"/>
      <c r="LU65" s="15"/>
      <c r="LV65" s="15"/>
      <c r="LW65" s="15"/>
      <c r="LX65" s="15"/>
      <c r="LY65" s="15"/>
      <c r="LZ65" s="15"/>
      <c r="MA65" s="15"/>
      <c r="MB65" s="15"/>
      <c r="MC65" s="15"/>
      <c r="MD65" s="15"/>
      <c r="ME65" s="15"/>
      <c r="MF65" s="15"/>
      <c r="MG65" s="15"/>
      <c r="MH65" s="15"/>
      <c r="MI65" s="15"/>
      <c r="MJ65" s="15"/>
      <c r="MK65" s="15"/>
      <c r="ML65" s="15"/>
      <c r="MM65" s="15"/>
      <c r="MN65" s="15"/>
      <c r="MO65" s="15"/>
      <c r="MP65" s="15"/>
      <c r="MQ65" s="15"/>
      <c r="MR65" s="15"/>
      <c r="MS65" s="15"/>
      <c r="MT65" s="15"/>
      <c r="MU65" s="15"/>
      <c r="MV65" s="15"/>
      <c r="MW65" s="15"/>
    </row>
    <row r="66" spans="1:361" s="3" customFormat="1" ht="15.75" hidden="1" customHeight="1" thickBot="1" x14ac:dyDescent="0.3">
      <c r="A66" s="28"/>
      <c r="B66" s="150" t="s">
        <v>127</v>
      </c>
      <c r="C66" s="31"/>
      <c r="D66" s="66"/>
      <c r="E66" s="12"/>
      <c r="F66" s="48"/>
      <c r="G66" s="48"/>
      <c r="H66" s="58"/>
      <c r="I66" s="178" t="s">
        <v>229</v>
      </c>
      <c r="J66" s="11"/>
      <c r="K66" s="11"/>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c r="KL66" s="15"/>
      <c r="KM66" s="15"/>
      <c r="KN66" s="15"/>
      <c r="KO66" s="15"/>
      <c r="KP66" s="15"/>
      <c r="KQ66" s="15"/>
      <c r="KR66" s="15"/>
      <c r="KS66" s="15"/>
      <c r="KT66" s="15"/>
      <c r="KU66" s="15"/>
      <c r="KV66" s="15"/>
      <c r="KW66" s="15"/>
      <c r="KX66" s="15"/>
      <c r="KY66" s="15"/>
      <c r="KZ66" s="15"/>
      <c r="LA66" s="15"/>
      <c r="LB66" s="15"/>
      <c r="LC66" s="15"/>
      <c r="LD66" s="15"/>
      <c r="LE66" s="15"/>
      <c r="LF66" s="15"/>
      <c r="LG66" s="15"/>
      <c r="LH66" s="15"/>
      <c r="LI66" s="15"/>
      <c r="LJ66" s="15"/>
      <c r="LK66" s="15"/>
      <c r="LL66" s="15"/>
      <c r="LM66" s="15"/>
      <c r="LN66" s="15"/>
      <c r="LO66" s="15"/>
      <c r="LP66" s="15"/>
      <c r="LQ66" s="15"/>
      <c r="LR66" s="15"/>
      <c r="LS66" s="15"/>
      <c r="LT66" s="15"/>
      <c r="LU66" s="15"/>
      <c r="LV66" s="15"/>
      <c r="LW66" s="15"/>
      <c r="LX66" s="15"/>
      <c r="LY66" s="15"/>
      <c r="LZ66" s="15"/>
      <c r="MA66" s="15"/>
      <c r="MB66" s="15"/>
      <c r="MC66" s="15"/>
      <c r="MD66" s="15"/>
      <c r="ME66" s="15"/>
      <c r="MF66" s="15"/>
      <c r="MG66" s="15"/>
      <c r="MH66" s="15"/>
      <c r="MI66" s="15"/>
      <c r="MJ66" s="15"/>
      <c r="MK66" s="15"/>
      <c r="ML66" s="15"/>
      <c r="MM66" s="15"/>
      <c r="MN66" s="15"/>
      <c r="MO66" s="15"/>
      <c r="MP66" s="15"/>
      <c r="MQ66" s="15"/>
      <c r="MR66" s="15"/>
      <c r="MS66" s="15"/>
      <c r="MT66" s="15"/>
      <c r="MU66" s="15"/>
      <c r="MV66" s="15"/>
      <c r="MW66" s="15"/>
    </row>
    <row r="67" spans="1:361" s="3" customFormat="1" ht="15.75" hidden="1" customHeight="1" thickBot="1" x14ac:dyDescent="0.3">
      <c r="A67" s="28"/>
      <c r="B67" s="150" t="s">
        <v>128</v>
      </c>
      <c r="C67" s="31"/>
      <c r="D67" s="66"/>
      <c r="E67" s="12"/>
      <c r="F67" s="48"/>
      <c r="G67" s="48"/>
      <c r="H67" s="58"/>
      <c r="I67" s="178" t="s">
        <v>229</v>
      </c>
      <c r="J67" s="11"/>
      <c r="K67" s="11"/>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5"/>
      <c r="JO67" s="15"/>
      <c r="JP67" s="15"/>
      <c r="JQ67" s="15"/>
      <c r="JR67" s="15"/>
      <c r="JS67" s="15"/>
      <c r="JT67" s="15"/>
      <c r="JU67" s="15"/>
      <c r="JV67" s="15"/>
      <c r="JW67" s="15"/>
      <c r="JX67" s="15"/>
      <c r="JY67" s="15"/>
      <c r="JZ67" s="15"/>
      <c r="KA67" s="15"/>
      <c r="KB67" s="15"/>
      <c r="KC67" s="15"/>
      <c r="KD67" s="15"/>
      <c r="KE67" s="15"/>
      <c r="KF67" s="15"/>
      <c r="KG67" s="15"/>
      <c r="KH67" s="15"/>
      <c r="KI67" s="15"/>
      <c r="KJ67" s="15"/>
      <c r="KK67" s="15"/>
      <c r="KL67" s="15"/>
      <c r="KM67" s="15"/>
      <c r="KN67" s="15"/>
      <c r="KO67" s="15"/>
      <c r="KP67" s="15"/>
      <c r="KQ67" s="15"/>
      <c r="KR67" s="15"/>
      <c r="KS67" s="15"/>
      <c r="KT67" s="15"/>
      <c r="KU67" s="15"/>
      <c r="KV67" s="15"/>
      <c r="KW67" s="15"/>
      <c r="KX67" s="15"/>
      <c r="KY67" s="15"/>
      <c r="KZ67" s="15"/>
      <c r="LA67" s="15"/>
      <c r="LB67" s="15"/>
      <c r="LC67" s="15"/>
      <c r="LD67" s="15"/>
      <c r="LE67" s="15"/>
      <c r="LF67" s="15"/>
      <c r="LG67" s="15"/>
      <c r="LH67" s="15"/>
      <c r="LI67" s="15"/>
      <c r="LJ67" s="15"/>
      <c r="LK67" s="15"/>
      <c r="LL67" s="15"/>
      <c r="LM67" s="15"/>
      <c r="LN67" s="15"/>
      <c r="LO67" s="15"/>
      <c r="LP67" s="15"/>
      <c r="LQ67" s="15"/>
      <c r="LR67" s="15"/>
      <c r="LS67" s="15"/>
      <c r="LT67" s="15"/>
      <c r="LU67" s="15"/>
      <c r="LV67" s="15"/>
      <c r="LW67" s="15"/>
      <c r="LX67" s="15"/>
      <c r="LY67" s="15"/>
      <c r="LZ67" s="15"/>
      <c r="MA67" s="15"/>
      <c r="MB67" s="15"/>
      <c r="MC67" s="15"/>
      <c r="MD67" s="15"/>
      <c r="ME67" s="15"/>
      <c r="MF67" s="15"/>
      <c r="MG67" s="15"/>
      <c r="MH67" s="15"/>
      <c r="MI67" s="15"/>
      <c r="MJ67" s="15"/>
      <c r="MK67" s="15"/>
      <c r="ML67" s="15"/>
      <c r="MM67" s="15"/>
      <c r="MN67" s="15"/>
      <c r="MO67" s="15"/>
      <c r="MP67" s="15"/>
      <c r="MQ67" s="15"/>
      <c r="MR67" s="15"/>
      <c r="MS67" s="15"/>
      <c r="MT67" s="15"/>
      <c r="MU67" s="15"/>
      <c r="MV67" s="15"/>
      <c r="MW67" s="15"/>
    </row>
    <row r="68" spans="1:361" s="3" customFormat="1" ht="15.75" hidden="1" customHeight="1" thickBot="1" x14ac:dyDescent="0.3">
      <c r="A68" s="28"/>
      <c r="B68" s="150"/>
      <c r="C68" s="31"/>
      <c r="D68" s="66"/>
      <c r="E68" s="12"/>
      <c r="F68" s="48"/>
      <c r="G68" s="48"/>
      <c r="H68" s="58"/>
      <c r="I68" s="58"/>
      <c r="J68" s="11"/>
      <c r="K68" s="11"/>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5"/>
      <c r="JO68" s="15"/>
      <c r="JP68" s="15"/>
      <c r="JQ68" s="15"/>
      <c r="JR68" s="15"/>
      <c r="JS68" s="15"/>
      <c r="JT68" s="15"/>
      <c r="JU68" s="15"/>
      <c r="JV68" s="15"/>
      <c r="JW68" s="15"/>
      <c r="JX68" s="15"/>
      <c r="JY68" s="15"/>
      <c r="JZ68" s="15"/>
      <c r="KA68" s="15"/>
      <c r="KB68" s="15"/>
      <c r="KC68" s="15"/>
      <c r="KD68" s="15"/>
      <c r="KE68" s="15"/>
      <c r="KF68" s="15"/>
      <c r="KG68" s="15"/>
      <c r="KH68" s="15"/>
      <c r="KI68" s="15"/>
      <c r="KJ68" s="15"/>
      <c r="KK68" s="15"/>
      <c r="KL68" s="15"/>
      <c r="KM68" s="15"/>
      <c r="KN68" s="15"/>
      <c r="KO68" s="15"/>
      <c r="KP68" s="15"/>
      <c r="KQ68" s="15"/>
      <c r="KR68" s="15"/>
      <c r="KS68" s="15"/>
      <c r="KT68" s="15"/>
      <c r="KU68" s="15"/>
      <c r="KV68" s="15"/>
      <c r="KW68" s="15"/>
      <c r="KX68" s="15"/>
      <c r="KY68" s="15"/>
      <c r="KZ68" s="15"/>
      <c r="LA68" s="15"/>
      <c r="LB68" s="15"/>
      <c r="LC68" s="15"/>
      <c r="LD68" s="15"/>
      <c r="LE68" s="15"/>
      <c r="LF68" s="15"/>
      <c r="LG68" s="15"/>
      <c r="LH68" s="15"/>
      <c r="LI68" s="15"/>
      <c r="LJ68" s="15"/>
      <c r="LK68" s="15"/>
      <c r="LL68" s="15"/>
      <c r="LM68" s="15"/>
      <c r="LN68" s="15"/>
      <c r="LO68" s="15"/>
      <c r="LP68" s="15"/>
      <c r="LQ68" s="15"/>
      <c r="LR68" s="15"/>
      <c r="LS68" s="15"/>
      <c r="LT68" s="15"/>
      <c r="LU68" s="15"/>
      <c r="LV68" s="15"/>
      <c r="LW68" s="15"/>
      <c r="LX68" s="15"/>
      <c r="LY68" s="15"/>
      <c r="LZ68" s="15"/>
      <c r="MA68" s="15"/>
      <c r="MB68" s="15"/>
      <c r="MC68" s="15"/>
      <c r="MD68" s="15"/>
      <c r="ME68" s="15"/>
      <c r="MF68" s="15"/>
      <c r="MG68" s="15"/>
      <c r="MH68" s="15"/>
      <c r="MI68" s="15"/>
      <c r="MJ68" s="15"/>
      <c r="MK68" s="15"/>
      <c r="ML68" s="15"/>
      <c r="MM68" s="15"/>
      <c r="MN68" s="15"/>
      <c r="MO68" s="15"/>
      <c r="MP68" s="15"/>
      <c r="MQ68" s="15"/>
      <c r="MR68" s="15"/>
      <c r="MS68" s="15"/>
      <c r="MT68" s="15"/>
      <c r="MU68" s="15"/>
      <c r="MV68" s="15"/>
      <c r="MW68" s="15"/>
    </row>
    <row r="69" spans="1:361" s="3" customFormat="1" ht="15.75" hidden="1" thickBot="1" x14ac:dyDescent="0.3">
      <c r="A69" s="28"/>
      <c r="B69" s="90" t="s">
        <v>182</v>
      </c>
      <c r="C69" s="91"/>
      <c r="D69" s="92"/>
      <c r="E69" s="93"/>
      <c r="F69" s="94"/>
      <c r="G69" s="95"/>
      <c r="H69" s="96"/>
      <c r="I69" s="97"/>
      <c r="J69" s="11"/>
      <c r="K69" s="11"/>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5"/>
      <c r="JO69" s="15"/>
      <c r="JP69" s="15"/>
      <c r="JQ69" s="15"/>
      <c r="JR69" s="15"/>
      <c r="JS69" s="15"/>
      <c r="JT69" s="15"/>
      <c r="JU69" s="15"/>
      <c r="JV69" s="15"/>
      <c r="JW69" s="15"/>
      <c r="JX69" s="15"/>
      <c r="JY69" s="15"/>
      <c r="JZ69" s="15"/>
      <c r="KA69" s="15"/>
      <c r="KB69" s="15"/>
      <c r="KC69" s="15"/>
      <c r="KD69" s="15"/>
      <c r="KE69" s="15"/>
      <c r="KF69" s="15"/>
      <c r="KG69" s="15"/>
      <c r="KH69" s="15"/>
      <c r="KI69" s="15"/>
      <c r="KJ69" s="15"/>
      <c r="KK69" s="15"/>
      <c r="KL69" s="15"/>
      <c r="KM69" s="15"/>
      <c r="KN69" s="15"/>
      <c r="KO69" s="15"/>
      <c r="KP69" s="15"/>
      <c r="KQ69" s="15"/>
      <c r="KR69" s="15"/>
      <c r="KS69" s="15"/>
      <c r="KT69" s="15"/>
      <c r="KU69" s="15"/>
      <c r="KV69" s="15"/>
      <c r="KW69" s="15"/>
      <c r="KX69" s="15"/>
      <c r="KY69" s="15"/>
      <c r="KZ69" s="15"/>
      <c r="LA69" s="15"/>
      <c r="LB69" s="15"/>
      <c r="LC69" s="15"/>
      <c r="LD69" s="15"/>
      <c r="LE69" s="15"/>
      <c r="LF69" s="15"/>
      <c r="LG69" s="15"/>
      <c r="LH69" s="15"/>
      <c r="LI69" s="15"/>
      <c r="LJ69" s="15"/>
      <c r="LK69" s="15"/>
      <c r="LL69" s="15"/>
      <c r="LM69" s="15"/>
      <c r="LN69" s="15"/>
      <c r="LO69" s="15"/>
      <c r="LP69" s="15"/>
      <c r="LQ69" s="15"/>
      <c r="LR69" s="15"/>
      <c r="LS69" s="15"/>
      <c r="LT69" s="15"/>
      <c r="LU69" s="15"/>
      <c r="LV69" s="15"/>
      <c r="LW69" s="15"/>
      <c r="LX69" s="15"/>
      <c r="LY69" s="15"/>
      <c r="LZ69" s="15"/>
      <c r="MA69" s="15"/>
      <c r="MB69" s="15"/>
      <c r="MC69" s="15"/>
      <c r="MD69" s="15"/>
      <c r="ME69" s="15"/>
      <c r="MF69" s="15"/>
      <c r="MG69" s="15"/>
      <c r="MH69" s="15"/>
      <c r="MI69" s="15"/>
      <c r="MJ69" s="15"/>
      <c r="MK69" s="15"/>
      <c r="ML69" s="15"/>
      <c r="MM69" s="15"/>
      <c r="MN69" s="15"/>
      <c r="MO69" s="15"/>
      <c r="MP69" s="15"/>
      <c r="MQ69" s="15"/>
      <c r="MR69" s="15"/>
      <c r="MS69" s="15"/>
      <c r="MT69" s="15"/>
      <c r="MU69" s="15"/>
      <c r="MV69" s="15"/>
      <c r="MW69" s="15"/>
    </row>
    <row r="70" spans="1:361" s="3" customFormat="1" ht="16.5" hidden="1" thickBot="1" x14ac:dyDescent="0.3">
      <c r="A70" s="28"/>
      <c r="B70" s="186" t="s">
        <v>150</v>
      </c>
      <c r="C70" s="187"/>
      <c r="D70" s="188"/>
      <c r="E70" s="189"/>
      <c r="F70" s="190"/>
      <c r="G70" s="190"/>
      <c r="H70" s="191"/>
      <c r="I70" s="192"/>
      <c r="J70" s="11"/>
      <c r="K70" s="11"/>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c r="IH70" s="15"/>
      <c r="II70" s="15"/>
      <c r="IJ70" s="15"/>
      <c r="IK70" s="15"/>
      <c r="IL70" s="15"/>
      <c r="IM70" s="15"/>
      <c r="IN70" s="15"/>
      <c r="IO70" s="15"/>
      <c r="IP70" s="15"/>
      <c r="IQ70" s="15"/>
      <c r="IR70" s="15"/>
      <c r="IS70" s="15"/>
      <c r="IT70" s="15"/>
      <c r="IU70" s="15"/>
      <c r="IV70" s="15"/>
      <c r="IW70" s="15"/>
      <c r="IX70" s="15"/>
      <c r="IY70" s="15"/>
      <c r="IZ70" s="15"/>
      <c r="JA70" s="15"/>
      <c r="JB70" s="15"/>
      <c r="JC70" s="15"/>
      <c r="JD70" s="15"/>
      <c r="JE70" s="15"/>
      <c r="JF70" s="15"/>
      <c r="JG70" s="15"/>
      <c r="JH70" s="15"/>
      <c r="JI70" s="15"/>
      <c r="JJ70" s="15"/>
      <c r="JK70" s="15"/>
      <c r="JL70" s="15"/>
      <c r="JM70" s="15"/>
      <c r="JN70" s="15"/>
      <c r="JO70" s="15"/>
      <c r="JP70" s="15"/>
      <c r="JQ70" s="15"/>
      <c r="JR70" s="15"/>
      <c r="JS70" s="15"/>
      <c r="JT70" s="15"/>
      <c r="JU70" s="15"/>
      <c r="JV70" s="15"/>
      <c r="JW70" s="15"/>
      <c r="JX70" s="15"/>
      <c r="JY70" s="15"/>
      <c r="JZ70" s="15"/>
      <c r="KA70" s="15"/>
      <c r="KB70" s="15"/>
      <c r="KC70" s="15"/>
      <c r="KD70" s="15"/>
      <c r="KE70" s="15"/>
      <c r="KF70" s="15"/>
      <c r="KG70" s="15"/>
      <c r="KH70" s="15"/>
      <c r="KI70" s="15"/>
      <c r="KJ70" s="15"/>
      <c r="KK70" s="15"/>
      <c r="KL70" s="15"/>
      <c r="KM70" s="15"/>
      <c r="KN70" s="15"/>
      <c r="KO70" s="15"/>
      <c r="KP70" s="15"/>
      <c r="KQ70" s="15"/>
      <c r="KR70" s="15"/>
      <c r="KS70" s="15"/>
      <c r="KT70" s="15"/>
      <c r="KU70" s="15"/>
      <c r="KV70" s="15"/>
      <c r="KW70" s="15"/>
      <c r="KX70" s="15"/>
      <c r="KY70" s="15"/>
      <c r="KZ70" s="15"/>
      <c r="LA70" s="15"/>
      <c r="LB70" s="15"/>
      <c r="LC70" s="15"/>
      <c r="LD70" s="15"/>
      <c r="LE70" s="15"/>
      <c r="LF70" s="15"/>
      <c r="LG70" s="15"/>
      <c r="LH70" s="15"/>
      <c r="LI70" s="15"/>
      <c r="LJ70" s="15"/>
      <c r="LK70" s="15"/>
      <c r="LL70" s="15"/>
      <c r="LM70" s="15"/>
      <c r="LN70" s="15"/>
      <c r="LO70" s="15"/>
      <c r="LP70" s="15"/>
      <c r="LQ70" s="15"/>
      <c r="LR70" s="15"/>
      <c r="LS70" s="15"/>
      <c r="LT70" s="15"/>
      <c r="LU70" s="15"/>
      <c r="LV70" s="15"/>
      <c r="LW70" s="15"/>
      <c r="LX70" s="15"/>
      <c r="LY70" s="15"/>
      <c r="LZ70" s="15"/>
      <c r="MA70" s="15"/>
      <c r="MB70" s="15"/>
      <c r="MC70" s="15"/>
      <c r="MD70" s="15"/>
      <c r="ME70" s="15"/>
      <c r="MF70" s="15"/>
      <c r="MG70" s="15"/>
      <c r="MH70" s="15"/>
      <c r="MI70" s="15"/>
      <c r="MJ70" s="15"/>
      <c r="MK70" s="15"/>
      <c r="ML70" s="15"/>
      <c r="MM70" s="15"/>
      <c r="MN70" s="15"/>
      <c r="MO70" s="15"/>
      <c r="MP70" s="15"/>
      <c r="MQ70" s="15"/>
      <c r="MR70" s="15"/>
      <c r="MS70" s="15"/>
      <c r="MT70" s="15"/>
      <c r="MU70" s="15"/>
      <c r="MV70" s="15"/>
      <c r="MW70" s="15"/>
    </row>
    <row r="71" spans="1:361" s="3" customFormat="1" ht="30.75" hidden="1" thickBot="1" x14ac:dyDescent="0.3">
      <c r="A71" s="28"/>
      <c r="B71" s="179" t="s">
        <v>189</v>
      </c>
      <c r="C71" s="47" t="s">
        <v>216</v>
      </c>
      <c r="D71" s="52" t="s">
        <v>190</v>
      </c>
      <c r="E71" s="12">
        <v>1</v>
      </c>
      <c r="F71" s="48">
        <v>45980</v>
      </c>
      <c r="G71" s="48">
        <v>45981</v>
      </c>
      <c r="H71" s="152" t="s">
        <v>183</v>
      </c>
      <c r="I71" s="153" t="s">
        <v>227</v>
      </c>
      <c r="J71" s="11"/>
      <c r="K71" s="11"/>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c r="IH71" s="15"/>
      <c r="II71" s="15"/>
      <c r="IJ71" s="15"/>
      <c r="IK71" s="15"/>
      <c r="IL71" s="15"/>
      <c r="IM71" s="15"/>
      <c r="IN71" s="15"/>
      <c r="IO71" s="15"/>
      <c r="IP71" s="15"/>
      <c r="IQ71" s="15"/>
      <c r="IR71" s="15"/>
      <c r="IS71" s="15"/>
      <c r="IT71" s="15"/>
      <c r="IU71" s="15"/>
      <c r="IV71" s="15"/>
      <c r="IW71" s="15"/>
      <c r="IX71" s="15"/>
      <c r="IY71" s="15"/>
      <c r="IZ71" s="15"/>
      <c r="JA71" s="15"/>
      <c r="JB71" s="15"/>
      <c r="JC71" s="15"/>
      <c r="JD71" s="15"/>
      <c r="JE71" s="15"/>
      <c r="JF71" s="15"/>
      <c r="JG71" s="15"/>
      <c r="JH71" s="15"/>
      <c r="JI71" s="15"/>
      <c r="JJ71" s="15"/>
      <c r="JK71" s="15"/>
      <c r="JL71" s="15"/>
      <c r="JM71" s="15"/>
      <c r="JN71" s="15"/>
      <c r="JO71" s="15"/>
      <c r="JP71" s="15"/>
      <c r="JQ71" s="15"/>
      <c r="JR71" s="15"/>
      <c r="JS71" s="15"/>
      <c r="JT71" s="15"/>
      <c r="JU71" s="15"/>
      <c r="JV71" s="15"/>
      <c r="JW71" s="15"/>
      <c r="JX71" s="15"/>
      <c r="JY71" s="15"/>
      <c r="JZ71" s="15"/>
      <c r="KA71" s="15"/>
      <c r="KB71" s="15"/>
      <c r="KC71" s="15"/>
      <c r="KD71" s="15"/>
      <c r="KE71" s="15"/>
      <c r="KF71" s="15"/>
      <c r="KG71" s="15"/>
      <c r="KH71" s="15"/>
      <c r="KI71" s="15"/>
      <c r="KJ71" s="15"/>
      <c r="KK71" s="15"/>
      <c r="KL71" s="15"/>
      <c r="KM71" s="15"/>
      <c r="KN71" s="15"/>
      <c r="KO71" s="15"/>
      <c r="KP71" s="15"/>
      <c r="KQ71" s="15"/>
      <c r="KR71" s="15"/>
      <c r="KS71" s="15"/>
      <c r="KT71" s="15"/>
      <c r="KU71" s="15"/>
      <c r="KV71" s="15"/>
      <c r="KW71" s="15"/>
      <c r="KX71" s="15"/>
      <c r="KY71" s="15"/>
      <c r="KZ71" s="15"/>
      <c r="LA71" s="15"/>
      <c r="LB71" s="15"/>
      <c r="LC71" s="15"/>
      <c r="LD71" s="15"/>
      <c r="LE71" s="15"/>
      <c r="LF71" s="15"/>
      <c r="LG71" s="15"/>
      <c r="LH71" s="15"/>
      <c r="LI71" s="15"/>
      <c r="LJ71" s="15"/>
      <c r="LK71" s="15"/>
      <c r="LL71" s="15"/>
      <c r="LM71" s="15"/>
      <c r="LN71" s="15"/>
      <c r="LO71" s="15"/>
      <c r="LP71" s="15"/>
      <c r="LQ71" s="15"/>
      <c r="LR71" s="15"/>
      <c r="LS71" s="15"/>
      <c r="LT71" s="15"/>
      <c r="LU71" s="15"/>
      <c r="LV71" s="15"/>
      <c r="LW71" s="15"/>
      <c r="LX71" s="15"/>
      <c r="LY71" s="15"/>
      <c r="LZ71" s="15"/>
      <c r="MA71" s="15"/>
      <c r="MB71" s="15"/>
      <c r="MC71" s="15"/>
      <c r="MD71" s="15"/>
      <c r="ME71" s="15"/>
      <c r="MF71" s="15"/>
      <c r="MG71" s="15"/>
      <c r="MH71" s="15"/>
      <c r="MI71" s="15"/>
      <c r="MJ71" s="15"/>
      <c r="MK71" s="15"/>
      <c r="ML71" s="15"/>
      <c r="MM71" s="15"/>
      <c r="MN71" s="15"/>
      <c r="MO71" s="15"/>
      <c r="MP71" s="15"/>
      <c r="MQ71" s="15"/>
      <c r="MR71" s="15"/>
      <c r="MS71" s="15"/>
      <c r="MT71" s="15"/>
      <c r="MU71" s="15"/>
      <c r="MV71" s="15"/>
      <c r="MW71" s="15"/>
    </row>
    <row r="72" spans="1:361" s="3" customFormat="1" ht="30.75" hidden="1" thickBot="1" x14ac:dyDescent="0.3">
      <c r="A72" s="28"/>
      <c r="B72" s="179" t="s">
        <v>184</v>
      </c>
      <c r="C72" s="47" t="s">
        <v>217</v>
      </c>
      <c r="D72" s="66" t="s">
        <v>191</v>
      </c>
      <c r="E72" s="12">
        <v>1</v>
      </c>
      <c r="F72" s="48">
        <v>45981</v>
      </c>
      <c r="G72" s="48">
        <v>45981</v>
      </c>
      <c r="H72" s="58" t="s">
        <v>184</v>
      </c>
      <c r="I72" s="153" t="s">
        <v>215</v>
      </c>
      <c r="J72" s="11"/>
      <c r="K72" s="11"/>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c r="IG72" s="15"/>
      <c r="IH72" s="15"/>
      <c r="II72" s="15"/>
      <c r="IJ72" s="15"/>
      <c r="IK72" s="15"/>
      <c r="IL72" s="15"/>
      <c r="IM72" s="15"/>
      <c r="IN72" s="15"/>
      <c r="IO72" s="15"/>
      <c r="IP72" s="15"/>
      <c r="IQ72" s="15"/>
      <c r="IR72" s="15"/>
      <c r="IS72" s="15"/>
      <c r="IT72" s="15"/>
      <c r="IU72" s="15"/>
      <c r="IV72" s="15"/>
      <c r="IW72" s="15"/>
      <c r="IX72" s="15"/>
      <c r="IY72" s="15"/>
      <c r="IZ72" s="15"/>
      <c r="JA72" s="15"/>
      <c r="JB72" s="15"/>
      <c r="JC72" s="15"/>
      <c r="JD72" s="15"/>
      <c r="JE72" s="15"/>
      <c r="JF72" s="15"/>
      <c r="JG72" s="15"/>
      <c r="JH72" s="15"/>
      <c r="JI72" s="15"/>
      <c r="JJ72" s="15"/>
      <c r="JK72" s="15"/>
      <c r="JL72" s="15"/>
      <c r="JM72" s="15"/>
      <c r="JN72" s="15"/>
      <c r="JO72" s="15"/>
      <c r="JP72" s="15"/>
      <c r="JQ72" s="15"/>
      <c r="JR72" s="15"/>
      <c r="JS72" s="15"/>
      <c r="JT72" s="15"/>
      <c r="JU72" s="15"/>
      <c r="JV72" s="15"/>
      <c r="JW72" s="15"/>
      <c r="JX72" s="15"/>
      <c r="JY72" s="15"/>
      <c r="JZ72" s="15"/>
      <c r="KA72" s="15"/>
      <c r="KB72" s="15"/>
      <c r="KC72" s="15"/>
      <c r="KD72" s="15"/>
      <c r="KE72" s="15"/>
      <c r="KF72" s="15"/>
      <c r="KG72" s="15"/>
      <c r="KH72" s="15"/>
      <c r="KI72" s="15"/>
      <c r="KJ72" s="15"/>
      <c r="KK72" s="15"/>
      <c r="KL72" s="15"/>
      <c r="KM72" s="15"/>
      <c r="KN72" s="15"/>
      <c r="KO72" s="15"/>
      <c r="KP72" s="15"/>
      <c r="KQ72" s="15"/>
      <c r="KR72" s="15"/>
      <c r="KS72" s="15"/>
      <c r="KT72" s="15"/>
      <c r="KU72" s="15"/>
      <c r="KV72" s="15"/>
      <c r="KW72" s="15"/>
      <c r="KX72" s="15"/>
      <c r="KY72" s="15"/>
      <c r="KZ72" s="15"/>
      <c r="LA72" s="15"/>
      <c r="LB72" s="15"/>
      <c r="LC72" s="15"/>
      <c r="LD72" s="15"/>
      <c r="LE72" s="15"/>
      <c r="LF72" s="15"/>
      <c r="LG72" s="15"/>
      <c r="LH72" s="15"/>
      <c r="LI72" s="15"/>
      <c r="LJ72" s="15"/>
      <c r="LK72" s="15"/>
      <c r="LL72" s="15"/>
      <c r="LM72" s="15"/>
      <c r="LN72" s="15"/>
      <c r="LO72" s="15"/>
      <c r="LP72" s="15"/>
      <c r="LQ72" s="15"/>
      <c r="LR72" s="15"/>
      <c r="LS72" s="15"/>
      <c r="LT72" s="15"/>
      <c r="LU72" s="15"/>
      <c r="LV72" s="15"/>
      <c r="LW72" s="15"/>
      <c r="LX72" s="15"/>
      <c r="LY72" s="15"/>
      <c r="LZ72" s="15"/>
      <c r="MA72" s="15"/>
      <c r="MB72" s="15"/>
      <c r="MC72" s="15"/>
      <c r="MD72" s="15"/>
      <c r="ME72" s="15"/>
      <c r="MF72" s="15"/>
      <c r="MG72" s="15"/>
      <c r="MH72" s="15"/>
      <c r="MI72" s="15"/>
      <c r="MJ72" s="15"/>
      <c r="MK72" s="15"/>
      <c r="ML72" s="15"/>
      <c r="MM72" s="15"/>
      <c r="MN72" s="15"/>
      <c r="MO72" s="15"/>
      <c r="MP72" s="15"/>
      <c r="MQ72" s="15"/>
      <c r="MR72" s="15"/>
      <c r="MS72" s="15"/>
      <c r="MT72" s="15"/>
      <c r="MU72" s="15"/>
      <c r="MV72" s="15"/>
      <c r="MW72" s="15"/>
    </row>
    <row r="73" spans="1:361" s="3" customFormat="1" ht="30" hidden="1" customHeight="1" thickBot="1" x14ac:dyDescent="0.3">
      <c r="A73" s="28"/>
      <c r="B73" s="179" t="s">
        <v>185</v>
      </c>
      <c r="C73" s="47" t="s">
        <v>216</v>
      </c>
      <c r="D73" s="52" t="s">
        <v>192</v>
      </c>
      <c r="E73" s="12">
        <v>1</v>
      </c>
      <c r="F73" s="48">
        <v>45982</v>
      </c>
      <c r="G73" s="48">
        <v>45983</v>
      </c>
      <c r="H73" s="58" t="s">
        <v>185</v>
      </c>
      <c r="I73" s="153" t="s">
        <v>218</v>
      </c>
      <c r="J73" s="11"/>
      <c r="K73" s="11"/>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c r="IH73" s="15"/>
      <c r="II73" s="15"/>
      <c r="IJ73" s="15"/>
      <c r="IK73" s="15"/>
      <c r="IL73" s="15"/>
      <c r="IM73" s="15"/>
      <c r="IN73" s="15"/>
      <c r="IO73" s="15"/>
      <c r="IP73" s="15"/>
      <c r="IQ73" s="15"/>
      <c r="IR73" s="15"/>
      <c r="IS73" s="15"/>
      <c r="IT73" s="15"/>
      <c r="IU73" s="15"/>
      <c r="IV73" s="15"/>
      <c r="IW73" s="15"/>
      <c r="IX73" s="15"/>
      <c r="IY73" s="15"/>
      <c r="IZ73" s="15"/>
      <c r="JA73" s="15"/>
      <c r="JB73" s="15"/>
      <c r="JC73" s="15"/>
      <c r="JD73" s="15"/>
      <c r="JE73" s="15"/>
      <c r="JF73" s="15"/>
      <c r="JG73" s="15"/>
      <c r="JH73" s="15"/>
      <c r="JI73" s="15"/>
      <c r="JJ73" s="15"/>
      <c r="JK73" s="15"/>
      <c r="JL73" s="15"/>
      <c r="JM73" s="15"/>
      <c r="JN73" s="15"/>
      <c r="JO73" s="15"/>
      <c r="JP73" s="15"/>
      <c r="JQ73" s="15"/>
      <c r="JR73" s="15"/>
      <c r="JS73" s="15"/>
      <c r="JT73" s="15"/>
      <c r="JU73" s="15"/>
      <c r="JV73" s="15"/>
      <c r="JW73" s="15"/>
      <c r="JX73" s="15"/>
      <c r="JY73" s="15"/>
      <c r="JZ73" s="15"/>
      <c r="KA73" s="15"/>
      <c r="KB73" s="15"/>
      <c r="KC73" s="15"/>
      <c r="KD73" s="15"/>
      <c r="KE73" s="15"/>
      <c r="KF73" s="15"/>
      <c r="KG73" s="15"/>
      <c r="KH73" s="15"/>
      <c r="KI73" s="15"/>
      <c r="KJ73" s="15"/>
      <c r="KK73" s="15"/>
      <c r="KL73" s="15"/>
      <c r="KM73" s="15"/>
      <c r="KN73" s="15"/>
      <c r="KO73" s="15"/>
      <c r="KP73" s="15"/>
      <c r="KQ73" s="15"/>
      <c r="KR73" s="15"/>
      <c r="KS73" s="15"/>
      <c r="KT73" s="15"/>
      <c r="KU73" s="15"/>
      <c r="KV73" s="15"/>
      <c r="KW73" s="15"/>
      <c r="KX73" s="15"/>
      <c r="KY73" s="15"/>
      <c r="KZ73" s="15"/>
      <c r="LA73" s="15"/>
      <c r="LB73" s="15"/>
      <c r="LC73" s="15"/>
      <c r="LD73" s="15"/>
      <c r="LE73" s="15"/>
      <c r="LF73" s="15"/>
      <c r="LG73" s="15"/>
      <c r="LH73" s="15"/>
      <c r="LI73" s="15"/>
      <c r="LJ73" s="15"/>
      <c r="LK73" s="15"/>
      <c r="LL73" s="15"/>
      <c r="LM73" s="15"/>
      <c r="LN73" s="15"/>
      <c r="LO73" s="15"/>
      <c r="LP73" s="15"/>
      <c r="LQ73" s="15"/>
      <c r="LR73" s="15"/>
      <c r="LS73" s="15"/>
      <c r="LT73" s="15"/>
      <c r="LU73" s="15"/>
      <c r="LV73" s="15"/>
      <c r="LW73" s="15"/>
      <c r="LX73" s="15"/>
      <c r="LY73" s="15"/>
      <c r="LZ73" s="15"/>
      <c r="MA73" s="15"/>
      <c r="MB73" s="15"/>
      <c r="MC73" s="15"/>
      <c r="MD73" s="15"/>
      <c r="ME73" s="15"/>
      <c r="MF73" s="15"/>
      <c r="MG73" s="15"/>
      <c r="MH73" s="15"/>
      <c r="MI73" s="15"/>
      <c r="MJ73" s="15"/>
      <c r="MK73" s="15"/>
      <c r="ML73" s="15"/>
      <c r="MM73" s="15"/>
      <c r="MN73" s="15"/>
      <c r="MO73" s="15"/>
      <c r="MP73" s="15"/>
      <c r="MQ73" s="15"/>
      <c r="MR73" s="15"/>
      <c r="MS73" s="15"/>
      <c r="MT73" s="15"/>
      <c r="MU73" s="15"/>
      <c r="MV73" s="15"/>
      <c r="MW73" s="15"/>
    </row>
    <row r="74" spans="1:361" s="3" customFormat="1" ht="16.5" hidden="1" thickBot="1" x14ac:dyDescent="0.3">
      <c r="A74" s="28"/>
      <c r="B74" s="185" t="s">
        <v>157</v>
      </c>
      <c r="C74" s="180"/>
      <c r="D74" s="181"/>
      <c r="E74" s="182"/>
      <c r="F74" s="183"/>
      <c r="G74" s="183"/>
      <c r="H74" s="184"/>
      <c r="I74" s="184"/>
      <c r="J74" s="11"/>
      <c r="K74" s="11"/>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c r="IG74" s="15"/>
      <c r="IH74" s="15"/>
      <c r="II74" s="15"/>
      <c r="IJ74" s="15"/>
      <c r="IK74" s="15"/>
      <c r="IL74" s="15"/>
      <c r="IM74" s="15"/>
      <c r="IN74" s="15"/>
      <c r="IO74" s="15"/>
      <c r="IP74" s="15"/>
      <c r="IQ74" s="15"/>
      <c r="IR74" s="15"/>
      <c r="IS74" s="15"/>
      <c r="IT74" s="15"/>
      <c r="IU74" s="15"/>
      <c r="IV74" s="15"/>
      <c r="IW74" s="15"/>
      <c r="IX74" s="15"/>
      <c r="IY74" s="15"/>
      <c r="IZ74" s="15"/>
      <c r="JA74" s="15"/>
      <c r="JB74" s="15"/>
      <c r="JC74" s="15"/>
      <c r="JD74" s="15"/>
      <c r="JE74" s="15"/>
      <c r="JF74" s="15"/>
      <c r="JG74" s="15"/>
      <c r="JH74" s="15"/>
      <c r="JI74" s="15"/>
      <c r="JJ74" s="15"/>
      <c r="JK74" s="15"/>
      <c r="JL74" s="15"/>
      <c r="JM74" s="15"/>
      <c r="JN74" s="15"/>
      <c r="JO74" s="15"/>
      <c r="JP74" s="15"/>
      <c r="JQ74" s="15"/>
      <c r="JR74" s="15"/>
      <c r="JS74" s="15"/>
      <c r="JT74" s="15"/>
      <c r="JU74" s="15"/>
      <c r="JV74" s="15"/>
      <c r="JW74" s="15"/>
      <c r="JX74" s="15"/>
      <c r="JY74" s="15"/>
      <c r="JZ74" s="15"/>
      <c r="KA74" s="15"/>
      <c r="KB74" s="15"/>
      <c r="KC74" s="15"/>
      <c r="KD74" s="15"/>
      <c r="KE74" s="15"/>
      <c r="KF74" s="15"/>
      <c r="KG74" s="15"/>
      <c r="KH74" s="15"/>
      <c r="KI74" s="15"/>
      <c r="KJ74" s="15"/>
      <c r="KK74" s="15"/>
      <c r="KL74" s="15"/>
      <c r="KM74" s="15"/>
      <c r="KN74" s="15"/>
      <c r="KO74" s="15"/>
      <c r="KP74" s="15"/>
      <c r="KQ74" s="15"/>
      <c r="KR74" s="15"/>
      <c r="KS74" s="15"/>
      <c r="KT74" s="15"/>
      <c r="KU74" s="15"/>
      <c r="KV74" s="15"/>
      <c r="KW74" s="15"/>
      <c r="KX74" s="15"/>
      <c r="KY74" s="15"/>
      <c r="KZ74" s="15"/>
      <c r="LA74" s="15"/>
      <c r="LB74" s="15"/>
      <c r="LC74" s="15"/>
      <c r="LD74" s="15"/>
      <c r="LE74" s="15"/>
      <c r="LF74" s="15"/>
      <c r="LG74" s="15"/>
      <c r="LH74" s="15"/>
      <c r="LI74" s="15"/>
      <c r="LJ74" s="15"/>
      <c r="LK74" s="15"/>
      <c r="LL74" s="15"/>
      <c r="LM74" s="15"/>
      <c r="LN74" s="15"/>
      <c r="LO74" s="15"/>
      <c r="LP74" s="15"/>
      <c r="LQ74" s="15"/>
      <c r="LR74" s="15"/>
      <c r="LS74" s="15"/>
      <c r="LT74" s="15"/>
      <c r="LU74" s="15"/>
      <c r="LV74" s="15"/>
      <c r="LW74" s="15"/>
      <c r="LX74" s="15"/>
      <c r="LY74" s="15"/>
      <c r="LZ74" s="15"/>
      <c r="MA74" s="15"/>
      <c r="MB74" s="15"/>
      <c r="MC74" s="15"/>
      <c r="MD74" s="15"/>
      <c r="ME74" s="15"/>
      <c r="MF74" s="15"/>
      <c r="MG74" s="15"/>
      <c r="MH74" s="15"/>
      <c r="MI74" s="15"/>
      <c r="MJ74" s="15"/>
      <c r="MK74" s="15"/>
      <c r="ML74" s="15"/>
      <c r="MM74" s="15"/>
      <c r="MN74" s="15"/>
      <c r="MO74" s="15"/>
      <c r="MP74" s="15"/>
      <c r="MQ74" s="15"/>
      <c r="MR74" s="15"/>
      <c r="MS74" s="15"/>
      <c r="MT74" s="15"/>
      <c r="MU74" s="15"/>
      <c r="MV74" s="15"/>
      <c r="MW74" s="15"/>
    </row>
    <row r="75" spans="1:361" s="3" customFormat="1" ht="43.5" hidden="1" customHeight="1" thickBot="1" x14ac:dyDescent="0.3">
      <c r="A75" s="28"/>
      <c r="B75" s="179" t="s">
        <v>193</v>
      </c>
      <c r="C75" s="47" t="s">
        <v>219</v>
      </c>
      <c r="D75" s="52" t="s">
        <v>194</v>
      </c>
      <c r="E75" s="12">
        <v>1</v>
      </c>
      <c r="F75" s="48">
        <v>45980</v>
      </c>
      <c r="G75" s="48">
        <v>45993</v>
      </c>
      <c r="H75" s="178" t="s">
        <v>187</v>
      </c>
      <c r="I75" s="153" t="s">
        <v>220</v>
      </c>
      <c r="J75" s="11"/>
      <c r="K75" s="11"/>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c r="IH75" s="15"/>
      <c r="II75" s="15"/>
      <c r="IJ75" s="15"/>
      <c r="IK75" s="15"/>
      <c r="IL75" s="15"/>
      <c r="IM75" s="15"/>
      <c r="IN75" s="15"/>
      <c r="IO75" s="15"/>
      <c r="IP75" s="15"/>
      <c r="IQ75" s="15"/>
      <c r="IR75" s="15"/>
      <c r="IS75" s="15"/>
      <c r="IT75" s="15"/>
      <c r="IU75" s="15"/>
      <c r="IV75" s="15"/>
      <c r="IW75" s="15"/>
      <c r="IX75" s="15"/>
      <c r="IY75" s="15"/>
      <c r="IZ75" s="15"/>
      <c r="JA75" s="15"/>
      <c r="JB75" s="15"/>
      <c r="JC75" s="15"/>
      <c r="JD75" s="15"/>
      <c r="JE75" s="15"/>
      <c r="JF75" s="15"/>
      <c r="JG75" s="15"/>
      <c r="JH75" s="15"/>
      <c r="JI75" s="15"/>
      <c r="JJ75" s="15"/>
      <c r="JK75" s="15"/>
      <c r="JL75" s="15"/>
      <c r="JM75" s="15"/>
      <c r="JN75" s="15"/>
      <c r="JO75" s="15"/>
      <c r="JP75" s="15"/>
      <c r="JQ75" s="15"/>
      <c r="JR75" s="15"/>
      <c r="JS75" s="15"/>
      <c r="JT75" s="15"/>
      <c r="JU75" s="15"/>
      <c r="JV75" s="15"/>
      <c r="JW75" s="15"/>
      <c r="JX75" s="15"/>
      <c r="JY75" s="15"/>
      <c r="JZ75" s="15"/>
      <c r="KA75" s="15"/>
      <c r="KB75" s="15"/>
      <c r="KC75" s="15"/>
      <c r="KD75" s="15"/>
      <c r="KE75" s="15"/>
      <c r="KF75" s="15"/>
      <c r="KG75" s="15"/>
      <c r="KH75" s="15"/>
      <c r="KI75" s="15"/>
      <c r="KJ75" s="15"/>
      <c r="KK75" s="15"/>
      <c r="KL75" s="15"/>
      <c r="KM75" s="15"/>
      <c r="KN75" s="15"/>
      <c r="KO75" s="15"/>
      <c r="KP75" s="15"/>
      <c r="KQ75" s="15"/>
      <c r="KR75" s="15"/>
      <c r="KS75" s="15"/>
      <c r="KT75" s="15"/>
      <c r="KU75" s="15"/>
      <c r="KV75" s="15"/>
      <c r="KW75" s="15"/>
      <c r="KX75" s="15"/>
      <c r="KY75" s="15"/>
      <c r="KZ75" s="15"/>
      <c r="LA75" s="15"/>
      <c r="LB75" s="15"/>
      <c r="LC75" s="15"/>
      <c r="LD75" s="15"/>
      <c r="LE75" s="15"/>
      <c r="LF75" s="15"/>
      <c r="LG75" s="15"/>
      <c r="LH75" s="15"/>
      <c r="LI75" s="15"/>
      <c r="LJ75" s="15"/>
      <c r="LK75" s="15"/>
      <c r="LL75" s="15"/>
      <c r="LM75" s="15"/>
      <c r="LN75" s="15"/>
      <c r="LO75" s="15"/>
      <c r="LP75" s="15"/>
      <c r="LQ75" s="15"/>
      <c r="LR75" s="15"/>
      <c r="LS75" s="15"/>
      <c r="LT75" s="15"/>
      <c r="LU75" s="15"/>
      <c r="LV75" s="15"/>
      <c r="LW75" s="15"/>
      <c r="LX75" s="15"/>
      <c r="LY75" s="15"/>
      <c r="LZ75" s="15"/>
      <c r="MA75" s="15"/>
      <c r="MB75" s="15"/>
      <c r="MC75" s="15"/>
      <c r="MD75" s="15"/>
      <c r="ME75" s="15"/>
      <c r="MF75" s="15"/>
      <c r="MG75" s="15"/>
      <c r="MH75" s="15"/>
      <c r="MI75" s="15"/>
      <c r="MJ75" s="15"/>
      <c r="MK75" s="15"/>
      <c r="ML75" s="15"/>
      <c r="MM75" s="15"/>
      <c r="MN75" s="15"/>
      <c r="MO75" s="15"/>
      <c r="MP75" s="15"/>
      <c r="MQ75" s="15"/>
      <c r="MR75" s="15"/>
      <c r="MS75" s="15"/>
      <c r="MT75" s="15"/>
      <c r="MU75" s="15"/>
      <c r="MV75" s="15"/>
      <c r="MW75" s="15"/>
    </row>
    <row r="76" spans="1:361" s="3" customFormat="1" ht="30.75" hidden="1" thickBot="1" x14ac:dyDescent="0.3">
      <c r="A76" s="28"/>
      <c r="B76" s="177" t="s">
        <v>186</v>
      </c>
      <c r="C76" s="47" t="s">
        <v>217</v>
      </c>
      <c r="D76" s="52" t="s">
        <v>217</v>
      </c>
      <c r="E76" s="12">
        <v>1</v>
      </c>
      <c r="F76" s="48">
        <v>45983</v>
      </c>
      <c r="G76" s="48">
        <v>45994</v>
      </c>
      <c r="H76" s="178" t="s">
        <v>214</v>
      </c>
      <c r="I76" s="153" t="s">
        <v>221</v>
      </c>
      <c r="J76" s="11"/>
      <c r="K76" s="11"/>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c r="IG76" s="15"/>
      <c r="IH76" s="15"/>
      <c r="II76" s="15"/>
      <c r="IJ76" s="15"/>
      <c r="IK76" s="15"/>
      <c r="IL76" s="15"/>
      <c r="IM76" s="15"/>
      <c r="IN76" s="15"/>
      <c r="IO76" s="15"/>
      <c r="IP76" s="15"/>
      <c r="IQ76" s="15"/>
      <c r="IR76" s="15"/>
      <c r="IS76" s="15"/>
      <c r="IT76" s="15"/>
      <c r="IU76" s="15"/>
      <c r="IV76" s="15"/>
      <c r="IW76" s="15"/>
      <c r="IX76" s="15"/>
      <c r="IY76" s="15"/>
      <c r="IZ76" s="15"/>
      <c r="JA76" s="15"/>
      <c r="JB76" s="15"/>
      <c r="JC76" s="15"/>
      <c r="JD76" s="15"/>
      <c r="JE76" s="15"/>
      <c r="JF76" s="15"/>
      <c r="JG76" s="15"/>
      <c r="JH76" s="15"/>
      <c r="JI76" s="15"/>
      <c r="JJ76" s="15"/>
      <c r="JK76" s="15"/>
      <c r="JL76" s="15"/>
      <c r="JM76" s="15"/>
      <c r="JN76" s="15"/>
      <c r="JO76" s="15"/>
      <c r="JP76" s="15"/>
      <c r="JQ76" s="15"/>
      <c r="JR76" s="15"/>
      <c r="JS76" s="15"/>
      <c r="JT76" s="15"/>
      <c r="JU76" s="15"/>
      <c r="JV76" s="15"/>
      <c r="JW76" s="15"/>
      <c r="JX76" s="15"/>
      <c r="JY76" s="15"/>
      <c r="JZ76" s="15"/>
      <c r="KA76" s="15"/>
      <c r="KB76" s="15"/>
      <c r="KC76" s="15"/>
      <c r="KD76" s="15"/>
      <c r="KE76" s="15"/>
      <c r="KF76" s="15"/>
      <c r="KG76" s="15"/>
      <c r="KH76" s="15"/>
      <c r="KI76" s="15"/>
      <c r="KJ76" s="15"/>
      <c r="KK76" s="15"/>
      <c r="KL76" s="15"/>
      <c r="KM76" s="15"/>
      <c r="KN76" s="15"/>
      <c r="KO76" s="15"/>
      <c r="KP76" s="15"/>
      <c r="KQ76" s="15"/>
      <c r="KR76" s="15"/>
      <c r="KS76" s="15"/>
      <c r="KT76" s="15"/>
      <c r="KU76" s="15"/>
      <c r="KV76" s="15"/>
      <c r="KW76" s="15"/>
      <c r="KX76" s="15"/>
      <c r="KY76" s="15"/>
      <c r="KZ76" s="15"/>
      <c r="LA76" s="15"/>
      <c r="LB76" s="15"/>
      <c r="LC76" s="15"/>
      <c r="LD76" s="15"/>
      <c r="LE76" s="15"/>
      <c r="LF76" s="15"/>
      <c r="LG76" s="15"/>
      <c r="LH76" s="15"/>
      <c r="LI76" s="15"/>
      <c r="LJ76" s="15"/>
      <c r="LK76" s="15"/>
      <c r="LL76" s="15"/>
      <c r="LM76" s="15"/>
      <c r="LN76" s="15"/>
      <c r="LO76" s="15"/>
      <c r="LP76" s="15"/>
      <c r="LQ76" s="15"/>
      <c r="LR76" s="15"/>
      <c r="LS76" s="15"/>
      <c r="LT76" s="15"/>
      <c r="LU76" s="15"/>
      <c r="LV76" s="15"/>
      <c r="LW76" s="15"/>
      <c r="LX76" s="15"/>
      <c r="LY76" s="15"/>
      <c r="LZ76" s="15"/>
      <c r="MA76" s="15"/>
      <c r="MB76" s="15"/>
      <c r="MC76" s="15"/>
      <c r="MD76" s="15"/>
      <c r="ME76" s="15"/>
      <c r="MF76" s="15"/>
      <c r="MG76" s="15"/>
      <c r="MH76" s="15"/>
      <c r="MI76" s="15"/>
      <c r="MJ76" s="15"/>
      <c r="MK76" s="15"/>
      <c r="ML76" s="15"/>
      <c r="MM76" s="15"/>
      <c r="MN76" s="15"/>
      <c r="MO76" s="15"/>
      <c r="MP76" s="15"/>
      <c r="MQ76" s="15"/>
      <c r="MR76" s="15"/>
      <c r="MS76" s="15"/>
      <c r="MT76" s="15"/>
      <c r="MU76" s="15"/>
      <c r="MV76" s="15"/>
      <c r="MW76" s="15"/>
    </row>
    <row r="77" spans="1:361" s="3" customFormat="1" ht="45.75" hidden="1" thickBot="1" x14ac:dyDescent="0.3">
      <c r="A77" s="28"/>
      <c r="B77" s="179" t="s">
        <v>188</v>
      </c>
      <c r="C77" s="47" t="s">
        <v>217</v>
      </c>
      <c r="D77" s="66" t="s">
        <v>195</v>
      </c>
      <c r="E77" s="12">
        <v>1</v>
      </c>
      <c r="F77" s="48">
        <v>45993</v>
      </c>
      <c r="G77" s="48">
        <v>45995</v>
      </c>
      <c r="H77" s="178" t="s">
        <v>188</v>
      </c>
      <c r="I77" s="153" t="s">
        <v>222</v>
      </c>
      <c r="J77" s="11"/>
      <c r="K77" s="11"/>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c r="IH77" s="15"/>
      <c r="II77" s="15"/>
      <c r="IJ77" s="15"/>
      <c r="IK77" s="15"/>
      <c r="IL77" s="15"/>
      <c r="IM77" s="15"/>
      <c r="IN77" s="15"/>
      <c r="IO77" s="15"/>
      <c r="IP77" s="15"/>
      <c r="IQ77" s="15"/>
      <c r="IR77" s="15"/>
      <c r="IS77" s="15"/>
      <c r="IT77" s="15"/>
      <c r="IU77" s="15"/>
      <c r="IV77" s="15"/>
      <c r="IW77" s="15"/>
      <c r="IX77" s="15"/>
      <c r="IY77" s="15"/>
      <c r="IZ77" s="15"/>
      <c r="JA77" s="15"/>
      <c r="JB77" s="15"/>
      <c r="JC77" s="15"/>
      <c r="JD77" s="15"/>
      <c r="JE77" s="15"/>
      <c r="JF77" s="15"/>
      <c r="JG77" s="15"/>
      <c r="JH77" s="15"/>
      <c r="JI77" s="15"/>
      <c r="JJ77" s="15"/>
      <c r="JK77" s="15"/>
      <c r="JL77" s="15"/>
      <c r="JM77" s="15"/>
      <c r="JN77" s="15"/>
      <c r="JO77" s="15"/>
      <c r="JP77" s="15"/>
      <c r="JQ77" s="15"/>
      <c r="JR77" s="15"/>
      <c r="JS77" s="15"/>
      <c r="JT77" s="15"/>
      <c r="JU77" s="15"/>
      <c r="JV77" s="15"/>
      <c r="JW77" s="15"/>
      <c r="JX77" s="15"/>
      <c r="JY77" s="15"/>
      <c r="JZ77" s="15"/>
      <c r="KA77" s="15"/>
      <c r="KB77" s="15"/>
      <c r="KC77" s="15"/>
      <c r="KD77" s="15"/>
      <c r="KE77" s="15"/>
      <c r="KF77" s="15"/>
      <c r="KG77" s="15"/>
      <c r="KH77" s="15"/>
      <c r="KI77" s="15"/>
      <c r="KJ77" s="15"/>
      <c r="KK77" s="15"/>
      <c r="KL77" s="15"/>
      <c r="KM77" s="15"/>
      <c r="KN77" s="15"/>
      <c r="KO77" s="15"/>
      <c r="KP77" s="15"/>
      <c r="KQ77" s="15"/>
      <c r="KR77" s="15"/>
      <c r="KS77" s="15"/>
      <c r="KT77" s="15"/>
      <c r="KU77" s="15"/>
      <c r="KV77" s="15"/>
      <c r="KW77" s="15"/>
      <c r="KX77" s="15"/>
      <c r="KY77" s="15"/>
      <c r="KZ77" s="15"/>
      <c r="LA77" s="15"/>
      <c r="LB77" s="15"/>
      <c r="LC77" s="15"/>
      <c r="LD77" s="15"/>
      <c r="LE77" s="15"/>
      <c r="LF77" s="15"/>
      <c r="LG77" s="15"/>
      <c r="LH77" s="15"/>
      <c r="LI77" s="15"/>
      <c r="LJ77" s="15"/>
      <c r="LK77" s="15"/>
      <c r="LL77" s="15"/>
      <c r="LM77" s="15"/>
      <c r="LN77" s="15"/>
      <c r="LO77" s="15"/>
      <c r="LP77" s="15"/>
      <c r="LQ77" s="15"/>
      <c r="LR77" s="15"/>
      <c r="LS77" s="15"/>
      <c r="LT77" s="15"/>
      <c r="LU77" s="15"/>
      <c r="LV77" s="15"/>
      <c r="LW77" s="15"/>
      <c r="LX77" s="15"/>
      <c r="LY77" s="15"/>
      <c r="LZ77" s="15"/>
      <c r="MA77" s="15"/>
      <c r="MB77" s="15"/>
      <c r="MC77" s="15"/>
      <c r="MD77" s="15"/>
      <c r="ME77" s="15"/>
      <c r="MF77" s="15"/>
      <c r="MG77" s="15"/>
      <c r="MH77" s="15"/>
      <c r="MI77" s="15"/>
      <c r="MJ77" s="15"/>
      <c r="MK77" s="15"/>
      <c r="ML77" s="15"/>
      <c r="MM77" s="15"/>
      <c r="MN77" s="15"/>
      <c r="MO77" s="15"/>
      <c r="MP77" s="15"/>
      <c r="MQ77" s="15"/>
      <c r="MR77" s="15"/>
      <c r="MS77" s="15"/>
      <c r="MT77" s="15"/>
      <c r="MU77" s="15"/>
      <c r="MV77" s="15"/>
      <c r="MW77" s="15"/>
    </row>
    <row r="78" spans="1:361" s="3" customFormat="1" ht="16.5" hidden="1" thickBot="1" x14ac:dyDescent="0.3">
      <c r="A78" s="28"/>
      <c r="B78" s="185" t="s">
        <v>164</v>
      </c>
      <c r="C78" s="180"/>
      <c r="D78" s="181"/>
      <c r="E78" s="182"/>
      <c r="F78" s="183"/>
      <c r="G78" s="183"/>
      <c r="H78" s="184"/>
      <c r="I78" s="184"/>
      <c r="J78" s="11"/>
      <c r="K78" s="11"/>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c r="IG78" s="15"/>
      <c r="IH78" s="15"/>
      <c r="II78" s="15"/>
      <c r="IJ78" s="15"/>
      <c r="IK78" s="15"/>
      <c r="IL78" s="15"/>
      <c r="IM78" s="15"/>
      <c r="IN78" s="15"/>
      <c r="IO78" s="15"/>
      <c r="IP78" s="15"/>
      <c r="IQ78" s="15"/>
      <c r="IR78" s="15"/>
      <c r="IS78" s="15"/>
      <c r="IT78" s="15"/>
      <c r="IU78" s="15"/>
      <c r="IV78" s="15"/>
      <c r="IW78" s="15"/>
      <c r="IX78" s="15"/>
      <c r="IY78" s="15"/>
      <c r="IZ78" s="15"/>
      <c r="JA78" s="15"/>
      <c r="JB78" s="15"/>
      <c r="JC78" s="15"/>
      <c r="JD78" s="15"/>
      <c r="JE78" s="15"/>
      <c r="JF78" s="15"/>
      <c r="JG78" s="15"/>
      <c r="JH78" s="15"/>
      <c r="JI78" s="15"/>
      <c r="JJ78" s="15"/>
      <c r="JK78" s="15"/>
      <c r="JL78" s="15"/>
      <c r="JM78" s="15"/>
      <c r="JN78" s="15"/>
      <c r="JO78" s="15"/>
      <c r="JP78" s="15"/>
      <c r="JQ78" s="15"/>
      <c r="JR78" s="15"/>
      <c r="JS78" s="15"/>
      <c r="JT78" s="15"/>
      <c r="JU78" s="15"/>
      <c r="JV78" s="15"/>
      <c r="JW78" s="15"/>
      <c r="JX78" s="15"/>
      <c r="JY78" s="15"/>
      <c r="JZ78" s="15"/>
      <c r="KA78" s="15"/>
      <c r="KB78" s="15"/>
      <c r="KC78" s="15"/>
      <c r="KD78" s="15"/>
      <c r="KE78" s="15"/>
      <c r="KF78" s="15"/>
      <c r="KG78" s="15"/>
      <c r="KH78" s="15"/>
      <c r="KI78" s="15"/>
      <c r="KJ78" s="15"/>
      <c r="KK78" s="15"/>
      <c r="KL78" s="15"/>
      <c r="KM78" s="15"/>
      <c r="KN78" s="15"/>
      <c r="KO78" s="15"/>
      <c r="KP78" s="15"/>
      <c r="KQ78" s="15"/>
      <c r="KR78" s="15"/>
      <c r="KS78" s="15"/>
      <c r="KT78" s="15"/>
      <c r="KU78" s="15"/>
      <c r="KV78" s="15"/>
      <c r="KW78" s="15"/>
      <c r="KX78" s="15"/>
      <c r="KY78" s="15"/>
      <c r="KZ78" s="15"/>
      <c r="LA78" s="15"/>
      <c r="LB78" s="15"/>
      <c r="LC78" s="15"/>
      <c r="LD78" s="15"/>
      <c r="LE78" s="15"/>
      <c r="LF78" s="15"/>
      <c r="LG78" s="15"/>
      <c r="LH78" s="15"/>
      <c r="LI78" s="15"/>
      <c r="LJ78" s="15"/>
      <c r="LK78" s="15"/>
      <c r="LL78" s="15"/>
      <c r="LM78" s="15"/>
      <c r="LN78" s="15"/>
      <c r="LO78" s="15"/>
      <c r="LP78" s="15"/>
      <c r="LQ78" s="15"/>
      <c r="LR78" s="15"/>
      <c r="LS78" s="15"/>
      <c r="LT78" s="15"/>
      <c r="LU78" s="15"/>
      <c r="LV78" s="15"/>
      <c r="LW78" s="15"/>
      <c r="LX78" s="15"/>
      <c r="LY78" s="15"/>
      <c r="LZ78" s="15"/>
      <c r="MA78" s="15"/>
      <c r="MB78" s="15"/>
      <c r="MC78" s="15"/>
      <c r="MD78" s="15"/>
      <c r="ME78" s="15"/>
      <c r="MF78" s="15"/>
      <c r="MG78" s="15"/>
      <c r="MH78" s="15"/>
      <c r="MI78" s="15"/>
      <c r="MJ78" s="15"/>
      <c r="MK78" s="15"/>
      <c r="ML78" s="15"/>
      <c r="MM78" s="15"/>
      <c r="MN78" s="15"/>
      <c r="MO78" s="15"/>
      <c r="MP78" s="15"/>
      <c r="MQ78" s="15"/>
      <c r="MR78" s="15"/>
      <c r="MS78" s="15"/>
      <c r="MT78" s="15"/>
      <c r="MU78" s="15"/>
      <c r="MV78" s="15"/>
      <c r="MW78" s="15"/>
    </row>
    <row r="79" spans="1:361" s="3" customFormat="1" ht="34.5" hidden="1" customHeight="1" thickBot="1" x14ac:dyDescent="0.3">
      <c r="A79" s="28"/>
      <c r="B79" s="179" t="s">
        <v>196</v>
      </c>
      <c r="C79" s="47" t="s">
        <v>217</v>
      </c>
      <c r="D79" s="66" t="s">
        <v>197</v>
      </c>
      <c r="E79" s="12">
        <v>1</v>
      </c>
      <c r="F79" s="48">
        <v>45995</v>
      </c>
      <c r="G79" s="48">
        <v>45996</v>
      </c>
      <c r="H79" s="58" t="s">
        <v>196</v>
      </c>
      <c r="I79" s="58"/>
      <c r="J79" s="11"/>
      <c r="K79" s="11"/>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15"/>
      <c r="HQ79" s="15"/>
      <c r="HR79" s="15"/>
      <c r="HS79" s="15"/>
      <c r="HT79" s="15"/>
      <c r="HU79" s="15"/>
      <c r="HV79" s="15"/>
      <c r="HW79" s="15"/>
      <c r="HX79" s="15"/>
      <c r="HY79" s="15"/>
      <c r="HZ79" s="15"/>
      <c r="IA79" s="15"/>
      <c r="IB79" s="15"/>
      <c r="IC79" s="15"/>
      <c r="ID79" s="15"/>
      <c r="IE79" s="15"/>
      <c r="IF79" s="15"/>
      <c r="IG79" s="15"/>
      <c r="IH79" s="15"/>
      <c r="II79" s="15"/>
      <c r="IJ79" s="15"/>
      <c r="IK79" s="15"/>
      <c r="IL79" s="15"/>
      <c r="IM79" s="15"/>
      <c r="IN79" s="15"/>
      <c r="IO79" s="15"/>
      <c r="IP79" s="15"/>
      <c r="IQ79" s="15"/>
      <c r="IR79" s="15"/>
      <c r="IS79" s="15"/>
      <c r="IT79" s="15"/>
      <c r="IU79" s="15"/>
      <c r="IV79" s="15"/>
      <c r="IW79" s="15"/>
      <c r="IX79" s="15"/>
      <c r="IY79" s="15"/>
      <c r="IZ79" s="15"/>
      <c r="JA79" s="15"/>
      <c r="JB79" s="15"/>
      <c r="JC79" s="15"/>
      <c r="JD79" s="15"/>
      <c r="JE79" s="15"/>
      <c r="JF79" s="15"/>
      <c r="JG79" s="15"/>
      <c r="JH79" s="15"/>
      <c r="JI79" s="15"/>
      <c r="JJ79" s="15"/>
      <c r="JK79" s="15"/>
      <c r="JL79" s="15"/>
      <c r="JM79" s="15"/>
      <c r="JN79" s="15"/>
      <c r="JO79" s="15"/>
      <c r="JP79" s="15"/>
      <c r="JQ79" s="15"/>
      <c r="JR79" s="15"/>
      <c r="JS79" s="15"/>
      <c r="JT79" s="15"/>
      <c r="JU79" s="15"/>
      <c r="JV79" s="15"/>
      <c r="JW79" s="15"/>
      <c r="JX79" s="15"/>
      <c r="JY79" s="15"/>
      <c r="JZ79" s="15"/>
      <c r="KA79" s="15"/>
      <c r="KB79" s="15"/>
      <c r="KC79" s="15"/>
      <c r="KD79" s="15"/>
      <c r="KE79" s="15"/>
      <c r="KF79" s="15"/>
      <c r="KG79" s="15"/>
      <c r="KH79" s="15"/>
      <c r="KI79" s="15"/>
      <c r="KJ79" s="15"/>
      <c r="KK79" s="15"/>
      <c r="KL79" s="15"/>
      <c r="KM79" s="15"/>
      <c r="KN79" s="15"/>
      <c r="KO79" s="15"/>
      <c r="KP79" s="15"/>
      <c r="KQ79" s="15"/>
      <c r="KR79" s="15"/>
      <c r="KS79" s="15"/>
      <c r="KT79" s="15"/>
      <c r="KU79" s="15"/>
      <c r="KV79" s="15"/>
      <c r="KW79" s="15"/>
      <c r="KX79" s="15"/>
      <c r="KY79" s="15"/>
      <c r="KZ79" s="15"/>
      <c r="LA79" s="15"/>
      <c r="LB79" s="15"/>
      <c r="LC79" s="15"/>
      <c r="LD79" s="15"/>
      <c r="LE79" s="15"/>
      <c r="LF79" s="15"/>
      <c r="LG79" s="15"/>
      <c r="LH79" s="15"/>
      <c r="LI79" s="15"/>
      <c r="LJ79" s="15"/>
      <c r="LK79" s="15"/>
      <c r="LL79" s="15"/>
      <c r="LM79" s="15"/>
      <c r="LN79" s="15"/>
      <c r="LO79" s="15"/>
      <c r="LP79" s="15"/>
      <c r="LQ79" s="15"/>
      <c r="LR79" s="15"/>
      <c r="LS79" s="15"/>
      <c r="LT79" s="15"/>
      <c r="LU79" s="15"/>
      <c r="LV79" s="15"/>
      <c r="LW79" s="15"/>
      <c r="LX79" s="15"/>
      <c r="LY79" s="15"/>
      <c r="LZ79" s="15"/>
      <c r="MA79" s="15"/>
      <c r="MB79" s="15"/>
      <c r="MC79" s="15"/>
      <c r="MD79" s="15"/>
      <c r="ME79" s="15"/>
      <c r="MF79" s="15"/>
      <c r="MG79" s="15"/>
      <c r="MH79" s="15"/>
      <c r="MI79" s="15"/>
      <c r="MJ79" s="15"/>
      <c r="MK79" s="15"/>
      <c r="ML79" s="15"/>
      <c r="MM79" s="15"/>
      <c r="MN79" s="15"/>
      <c r="MO79" s="15"/>
      <c r="MP79" s="15"/>
      <c r="MQ79" s="15"/>
      <c r="MR79" s="15"/>
      <c r="MS79" s="15"/>
      <c r="MT79" s="15"/>
      <c r="MU79" s="15"/>
      <c r="MV79" s="15"/>
      <c r="MW79" s="15"/>
    </row>
    <row r="80" spans="1:361" s="3" customFormat="1" ht="30.75" hidden="1" thickBot="1" x14ac:dyDescent="0.3">
      <c r="A80" s="28"/>
      <c r="B80" s="179" t="s">
        <v>198</v>
      </c>
      <c r="C80" s="47" t="s">
        <v>217</v>
      </c>
      <c r="D80" s="66" t="s">
        <v>199</v>
      </c>
      <c r="E80" s="12">
        <v>1</v>
      </c>
      <c r="F80" s="48">
        <v>45981</v>
      </c>
      <c r="G80" s="48">
        <v>45993</v>
      </c>
      <c r="H80" s="58" t="s">
        <v>210</v>
      </c>
      <c r="I80" s="58"/>
      <c r="J80" s="11"/>
      <c r="K80" s="11"/>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GT80" s="15"/>
      <c r="GU80" s="15"/>
      <c r="GV80" s="15"/>
      <c r="GW80" s="15"/>
      <c r="GX80" s="15"/>
      <c r="GY80" s="15"/>
      <c r="GZ80" s="15"/>
      <c r="HA80" s="15"/>
      <c r="HB80" s="15"/>
      <c r="HC80" s="15"/>
      <c r="HD80" s="15"/>
      <c r="HE80" s="15"/>
      <c r="HF80" s="15"/>
      <c r="HG80" s="15"/>
      <c r="HH80" s="15"/>
      <c r="HI80" s="15"/>
      <c r="HJ80" s="15"/>
      <c r="HK80" s="15"/>
      <c r="HL80" s="15"/>
      <c r="HM80" s="15"/>
      <c r="HN80" s="15"/>
      <c r="HO80" s="15"/>
      <c r="HP80" s="15"/>
      <c r="HQ80" s="15"/>
      <c r="HR80" s="15"/>
      <c r="HS80" s="15"/>
      <c r="HT80" s="15"/>
      <c r="HU80" s="15"/>
      <c r="HV80" s="15"/>
      <c r="HW80" s="15"/>
      <c r="HX80" s="15"/>
      <c r="HY80" s="15"/>
      <c r="HZ80" s="15"/>
      <c r="IA80" s="15"/>
      <c r="IB80" s="15"/>
      <c r="IC80" s="15"/>
      <c r="ID80" s="15"/>
      <c r="IE80" s="15"/>
      <c r="IF80" s="15"/>
      <c r="IG80" s="15"/>
      <c r="IH80" s="15"/>
      <c r="II80" s="15"/>
      <c r="IJ80" s="15"/>
      <c r="IK80" s="15"/>
      <c r="IL80" s="15"/>
      <c r="IM80" s="15"/>
      <c r="IN80" s="15"/>
      <c r="IO80" s="15"/>
      <c r="IP80" s="15"/>
      <c r="IQ80" s="15"/>
      <c r="IR80" s="15"/>
      <c r="IS80" s="15"/>
      <c r="IT80" s="15"/>
      <c r="IU80" s="15"/>
      <c r="IV80" s="15"/>
      <c r="IW80" s="15"/>
      <c r="IX80" s="15"/>
      <c r="IY80" s="15"/>
      <c r="IZ80" s="15"/>
      <c r="JA80" s="15"/>
      <c r="JB80" s="15"/>
      <c r="JC80" s="15"/>
      <c r="JD80" s="15"/>
      <c r="JE80" s="15"/>
      <c r="JF80" s="15"/>
      <c r="JG80" s="15"/>
      <c r="JH80" s="15"/>
      <c r="JI80" s="15"/>
      <c r="JJ80" s="15"/>
      <c r="JK80" s="15"/>
      <c r="JL80" s="15"/>
      <c r="JM80" s="15"/>
      <c r="JN80" s="15"/>
      <c r="JO80" s="15"/>
      <c r="JP80" s="15"/>
      <c r="JQ80" s="15"/>
      <c r="JR80" s="15"/>
      <c r="JS80" s="15"/>
      <c r="JT80" s="15"/>
      <c r="JU80" s="15"/>
      <c r="JV80" s="15"/>
      <c r="JW80" s="15"/>
      <c r="JX80" s="15"/>
      <c r="JY80" s="15"/>
      <c r="JZ80" s="15"/>
      <c r="KA80" s="15"/>
      <c r="KB80" s="15"/>
      <c r="KC80" s="15"/>
      <c r="KD80" s="15"/>
      <c r="KE80" s="15"/>
      <c r="KF80" s="15"/>
      <c r="KG80" s="15"/>
      <c r="KH80" s="15"/>
      <c r="KI80" s="15"/>
      <c r="KJ80" s="15"/>
      <c r="KK80" s="15"/>
      <c r="KL80" s="15"/>
      <c r="KM80" s="15"/>
      <c r="KN80" s="15"/>
      <c r="KO80" s="15"/>
      <c r="KP80" s="15"/>
      <c r="KQ80" s="15"/>
      <c r="KR80" s="15"/>
      <c r="KS80" s="15"/>
      <c r="KT80" s="15"/>
      <c r="KU80" s="15"/>
      <c r="KV80" s="15"/>
      <c r="KW80" s="15"/>
      <c r="KX80" s="15"/>
      <c r="KY80" s="15"/>
      <c r="KZ80" s="15"/>
      <c r="LA80" s="15"/>
      <c r="LB80" s="15"/>
      <c r="LC80" s="15"/>
      <c r="LD80" s="15"/>
      <c r="LE80" s="15"/>
      <c r="LF80" s="15"/>
      <c r="LG80" s="15"/>
      <c r="LH80" s="15"/>
      <c r="LI80" s="15"/>
      <c r="LJ80" s="15"/>
      <c r="LK80" s="15"/>
      <c r="LL80" s="15"/>
      <c r="LM80" s="15"/>
      <c r="LN80" s="15"/>
      <c r="LO80" s="15"/>
      <c r="LP80" s="15"/>
      <c r="LQ80" s="15"/>
      <c r="LR80" s="15"/>
      <c r="LS80" s="15"/>
      <c r="LT80" s="15"/>
      <c r="LU80" s="15"/>
      <c r="LV80" s="15"/>
      <c r="LW80" s="15"/>
      <c r="LX80" s="15"/>
      <c r="LY80" s="15"/>
      <c r="LZ80" s="15"/>
      <c r="MA80" s="15"/>
      <c r="MB80" s="15"/>
      <c r="MC80" s="15"/>
      <c r="MD80" s="15"/>
      <c r="ME80" s="15"/>
      <c r="MF80" s="15"/>
      <c r="MG80" s="15"/>
      <c r="MH80" s="15"/>
      <c r="MI80" s="15"/>
      <c r="MJ80" s="15"/>
      <c r="MK80" s="15"/>
      <c r="ML80" s="15"/>
      <c r="MM80" s="15"/>
      <c r="MN80" s="15"/>
      <c r="MO80" s="15"/>
      <c r="MP80" s="15"/>
      <c r="MQ80" s="15"/>
      <c r="MR80" s="15"/>
      <c r="MS80" s="15"/>
      <c r="MT80" s="15"/>
      <c r="MU80" s="15"/>
      <c r="MV80" s="15"/>
      <c r="MW80" s="15"/>
    </row>
    <row r="81" spans="1:361" s="3" customFormat="1" ht="30.75" hidden="1" thickBot="1" x14ac:dyDescent="0.3">
      <c r="A81" s="28"/>
      <c r="B81" s="179" t="s">
        <v>200</v>
      </c>
      <c r="C81" s="47" t="s">
        <v>217</v>
      </c>
      <c r="D81" s="66" t="s">
        <v>201</v>
      </c>
      <c r="E81" s="12">
        <v>0.9</v>
      </c>
      <c r="F81" s="48">
        <v>45993</v>
      </c>
      <c r="G81" s="48">
        <v>45993</v>
      </c>
      <c r="H81" s="153" t="s">
        <v>211</v>
      </c>
      <c r="I81" s="153" t="s">
        <v>223</v>
      </c>
      <c r="J81" s="11"/>
      <c r="K81" s="11"/>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15"/>
      <c r="GI81" s="15"/>
      <c r="GJ81" s="15"/>
      <c r="GK81" s="15"/>
      <c r="GL81" s="15"/>
      <c r="GM81" s="15"/>
      <c r="GN81" s="15"/>
      <c r="GO81" s="15"/>
      <c r="GP81" s="15"/>
      <c r="GQ81" s="15"/>
      <c r="GR81" s="15"/>
      <c r="GS81" s="15"/>
      <c r="GT81" s="15"/>
      <c r="GU81" s="15"/>
      <c r="GV81" s="15"/>
      <c r="GW81" s="15"/>
      <c r="GX81" s="15"/>
      <c r="GY81" s="15"/>
      <c r="GZ81" s="15"/>
      <c r="HA81" s="15"/>
      <c r="HB81" s="15"/>
      <c r="HC81" s="15"/>
      <c r="HD81" s="15"/>
      <c r="HE81" s="15"/>
      <c r="HF81" s="15"/>
      <c r="HG81" s="15"/>
      <c r="HH81" s="15"/>
      <c r="HI81" s="15"/>
      <c r="HJ81" s="15"/>
      <c r="HK81" s="15"/>
      <c r="HL81" s="15"/>
      <c r="HM81" s="15"/>
      <c r="HN81" s="15"/>
      <c r="HO81" s="15"/>
      <c r="HP81" s="15"/>
      <c r="HQ81" s="15"/>
      <c r="HR81" s="15"/>
      <c r="HS81" s="15"/>
      <c r="HT81" s="15"/>
      <c r="HU81" s="15"/>
      <c r="HV81" s="15"/>
      <c r="HW81" s="15"/>
      <c r="HX81" s="15"/>
      <c r="HY81" s="15"/>
      <c r="HZ81" s="15"/>
      <c r="IA81" s="15"/>
      <c r="IB81" s="15"/>
      <c r="IC81" s="15"/>
      <c r="ID81" s="15"/>
      <c r="IE81" s="15"/>
      <c r="IF81" s="15"/>
      <c r="IG81" s="15"/>
      <c r="IH81" s="15"/>
      <c r="II81" s="15"/>
      <c r="IJ81" s="15"/>
      <c r="IK81" s="15"/>
      <c r="IL81" s="15"/>
      <c r="IM81" s="15"/>
      <c r="IN81" s="15"/>
      <c r="IO81" s="15"/>
      <c r="IP81" s="15"/>
      <c r="IQ81" s="15"/>
      <c r="IR81" s="15"/>
      <c r="IS81" s="15"/>
      <c r="IT81" s="15"/>
      <c r="IU81" s="15"/>
      <c r="IV81" s="15"/>
      <c r="IW81" s="15"/>
      <c r="IX81" s="15"/>
      <c r="IY81" s="15"/>
      <c r="IZ81" s="15"/>
      <c r="JA81" s="15"/>
      <c r="JB81" s="15"/>
      <c r="JC81" s="15"/>
      <c r="JD81" s="15"/>
      <c r="JE81" s="15"/>
      <c r="JF81" s="15"/>
      <c r="JG81" s="15"/>
      <c r="JH81" s="15"/>
      <c r="JI81" s="15"/>
      <c r="JJ81" s="15"/>
      <c r="JK81" s="15"/>
      <c r="JL81" s="15"/>
      <c r="JM81" s="15"/>
      <c r="JN81" s="15"/>
      <c r="JO81" s="15"/>
      <c r="JP81" s="15"/>
      <c r="JQ81" s="15"/>
      <c r="JR81" s="15"/>
      <c r="JS81" s="15"/>
      <c r="JT81" s="15"/>
      <c r="JU81" s="15"/>
      <c r="JV81" s="15"/>
      <c r="JW81" s="15"/>
      <c r="JX81" s="15"/>
      <c r="JY81" s="15"/>
      <c r="JZ81" s="15"/>
      <c r="KA81" s="15"/>
      <c r="KB81" s="15"/>
      <c r="KC81" s="15"/>
      <c r="KD81" s="15"/>
      <c r="KE81" s="15"/>
      <c r="KF81" s="15"/>
      <c r="KG81" s="15"/>
      <c r="KH81" s="15"/>
      <c r="KI81" s="15"/>
      <c r="KJ81" s="15"/>
      <c r="KK81" s="15"/>
      <c r="KL81" s="15"/>
      <c r="KM81" s="15"/>
      <c r="KN81" s="15"/>
      <c r="KO81" s="15"/>
      <c r="KP81" s="15"/>
      <c r="KQ81" s="15"/>
      <c r="KR81" s="15"/>
      <c r="KS81" s="15"/>
      <c r="KT81" s="15"/>
      <c r="KU81" s="15"/>
      <c r="KV81" s="15"/>
      <c r="KW81" s="15"/>
      <c r="KX81" s="15"/>
      <c r="KY81" s="15"/>
      <c r="KZ81" s="15"/>
      <c r="LA81" s="15"/>
      <c r="LB81" s="15"/>
      <c r="LC81" s="15"/>
      <c r="LD81" s="15"/>
      <c r="LE81" s="15"/>
      <c r="LF81" s="15"/>
      <c r="LG81" s="15"/>
      <c r="LH81" s="15"/>
      <c r="LI81" s="15"/>
      <c r="LJ81" s="15"/>
      <c r="LK81" s="15"/>
      <c r="LL81" s="15"/>
      <c r="LM81" s="15"/>
      <c r="LN81" s="15"/>
      <c r="LO81" s="15"/>
      <c r="LP81" s="15"/>
      <c r="LQ81" s="15"/>
      <c r="LR81" s="15"/>
      <c r="LS81" s="15"/>
      <c r="LT81" s="15"/>
      <c r="LU81" s="15"/>
      <c r="LV81" s="15"/>
      <c r="LW81" s="15"/>
      <c r="LX81" s="15"/>
      <c r="LY81" s="15"/>
      <c r="LZ81" s="15"/>
      <c r="MA81" s="15"/>
      <c r="MB81" s="15"/>
      <c r="MC81" s="15"/>
      <c r="MD81" s="15"/>
      <c r="ME81" s="15"/>
      <c r="MF81" s="15"/>
      <c r="MG81" s="15"/>
      <c r="MH81" s="15"/>
      <c r="MI81" s="15"/>
      <c r="MJ81" s="15"/>
      <c r="MK81" s="15"/>
      <c r="ML81" s="15"/>
      <c r="MM81" s="15"/>
      <c r="MN81" s="15"/>
      <c r="MO81" s="15"/>
      <c r="MP81" s="15"/>
      <c r="MQ81" s="15"/>
      <c r="MR81" s="15"/>
      <c r="MS81" s="15"/>
      <c r="MT81" s="15"/>
      <c r="MU81" s="15"/>
      <c r="MV81" s="15"/>
      <c r="MW81" s="15"/>
    </row>
    <row r="82" spans="1:361" s="3" customFormat="1" ht="16.5" hidden="1" thickBot="1" x14ac:dyDescent="0.3">
      <c r="A82" s="28"/>
      <c r="B82" s="185" t="s">
        <v>172</v>
      </c>
      <c r="C82" s="180"/>
      <c r="D82" s="181"/>
      <c r="E82" s="182"/>
      <c r="F82" s="183"/>
      <c r="G82" s="183"/>
      <c r="H82" s="184"/>
      <c r="I82" s="184"/>
      <c r="J82" s="11"/>
      <c r="K82" s="11"/>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15"/>
      <c r="GI82" s="15"/>
      <c r="GJ82" s="15"/>
      <c r="GK82" s="15"/>
      <c r="GL82" s="15"/>
      <c r="GM82" s="15"/>
      <c r="GN82" s="15"/>
      <c r="GO82" s="15"/>
      <c r="GP82" s="15"/>
      <c r="GQ82" s="15"/>
      <c r="GR82" s="15"/>
      <c r="GS82" s="15"/>
      <c r="GT82" s="15"/>
      <c r="GU82" s="15"/>
      <c r="GV82" s="15"/>
      <c r="GW82" s="15"/>
      <c r="GX82" s="15"/>
      <c r="GY82" s="15"/>
      <c r="GZ82" s="15"/>
      <c r="HA82" s="15"/>
      <c r="HB82" s="15"/>
      <c r="HC82" s="15"/>
      <c r="HD82" s="15"/>
      <c r="HE82" s="15"/>
      <c r="HF82" s="15"/>
      <c r="HG82" s="15"/>
      <c r="HH82" s="15"/>
      <c r="HI82" s="15"/>
      <c r="HJ82" s="15"/>
      <c r="HK82" s="15"/>
      <c r="HL82" s="15"/>
      <c r="HM82" s="15"/>
      <c r="HN82" s="15"/>
      <c r="HO82" s="15"/>
      <c r="HP82" s="15"/>
      <c r="HQ82" s="15"/>
      <c r="HR82" s="15"/>
      <c r="HS82" s="15"/>
      <c r="HT82" s="15"/>
      <c r="HU82" s="15"/>
      <c r="HV82" s="15"/>
      <c r="HW82" s="15"/>
      <c r="HX82" s="15"/>
      <c r="HY82" s="15"/>
      <c r="HZ82" s="15"/>
      <c r="IA82" s="15"/>
      <c r="IB82" s="15"/>
      <c r="IC82" s="15"/>
      <c r="ID82" s="15"/>
      <c r="IE82" s="15"/>
      <c r="IF82" s="15"/>
      <c r="IG82" s="15"/>
      <c r="IH82" s="15"/>
      <c r="II82" s="15"/>
      <c r="IJ82" s="15"/>
      <c r="IK82" s="15"/>
      <c r="IL82" s="15"/>
      <c r="IM82" s="15"/>
      <c r="IN82" s="15"/>
      <c r="IO82" s="15"/>
      <c r="IP82" s="15"/>
      <c r="IQ82" s="15"/>
      <c r="IR82" s="15"/>
      <c r="IS82" s="15"/>
      <c r="IT82" s="15"/>
      <c r="IU82" s="15"/>
      <c r="IV82" s="15"/>
      <c r="IW82" s="15"/>
      <c r="IX82" s="15"/>
      <c r="IY82" s="15"/>
      <c r="IZ82" s="15"/>
      <c r="JA82" s="15"/>
      <c r="JB82" s="15"/>
      <c r="JC82" s="15"/>
      <c r="JD82" s="15"/>
      <c r="JE82" s="15"/>
      <c r="JF82" s="15"/>
      <c r="JG82" s="15"/>
      <c r="JH82" s="15"/>
      <c r="JI82" s="15"/>
      <c r="JJ82" s="15"/>
      <c r="JK82" s="15"/>
      <c r="JL82" s="15"/>
      <c r="JM82" s="15"/>
      <c r="JN82" s="15"/>
      <c r="JO82" s="15"/>
      <c r="JP82" s="15"/>
      <c r="JQ82" s="15"/>
      <c r="JR82" s="15"/>
      <c r="JS82" s="15"/>
      <c r="JT82" s="15"/>
      <c r="JU82" s="15"/>
      <c r="JV82" s="15"/>
      <c r="JW82" s="15"/>
      <c r="JX82" s="15"/>
      <c r="JY82" s="15"/>
      <c r="JZ82" s="15"/>
      <c r="KA82" s="15"/>
      <c r="KB82" s="15"/>
      <c r="KC82" s="15"/>
      <c r="KD82" s="15"/>
      <c r="KE82" s="15"/>
      <c r="KF82" s="15"/>
      <c r="KG82" s="15"/>
      <c r="KH82" s="15"/>
      <c r="KI82" s="15"/>
      <c r="KJ82" s="15"/>
      <c r="KK82" s="15"/>
      <c r="KL82" s="15"/>
      <c r="KM82" s="15"/>
      <c r="KN82" s="15"/>
      <c r="KO82" s="15"/>
      <c r="KP82" s="15"/>
      <c r="KQ82" s="15"/>
      <c r="KR82" s="15"/>
      <c r="KS82" s="15"/>
      <c r="KT82" s="15"/>
      <c r="KU82" s="15"/>
      <c r="KV82" s="15"/>
      <c r="KW82" s="15"/>
      <c r="KX82" s="15"/>
      <c r="KY82" s="15"/>
      <c r="KZ82" s="15"/>
      <c r="LA82" s="15"/>
      <c r="LB82" s="15"/>
      <c r="LC82" s="15"/>
      <c r="LD82" s="15"/>
      <c r="LE82" s="15"/>
      <c r="LF82" s="15"/>
      <c r="LG82" s="15"/>
      <c r="LH82" s="15"/>
      <c r="LI82" s="15"/>
      <c r="LJ82" s="15"/>
      <c r="LK82" s="15"/>
      <c r="LL82" s="15"/>
      <c r="LM82" s="15"/>
      <c r="LN82" s="15"/>
      <c r="LO82" s="15"/>
      <c r="LP82" s="15"/>
      <c r="LQ82" s="15"/>
      <c r="LR82" s="15"/>
      <c r="LS82" s="15"/>
      <c r="LT82" s="15"/>
      <c r="LU82" s="15"/>
      <c r="LV82" s="15"/>
      <c r="LW82" s="15"/>
      <c r="LX82" s="15"/>
      <c r="LY82" s="15"/>
      <c r="LZ82" s="15"/>
      <c r="MA82" s="15"/>
      <c r="MB82" s="15"/>
      <c r="MC82" s="15"/>
      <c r="MD82" s="15"/>
      <c r="ME82" s="15"/>
      <c r="MF82" s="15"/>
      <c r="MG82" s="15"/>
      <c r="MH82" s="15"/>
      <c r="MI82" s="15"/>
      <c r="MJ82" s="15"/>
      <c r="MK82" s="15"/>
      <c r="ML82" s="15"/>
      <c r="MM82" s="15"/>
      <c r="MN82" s="15"/>
      <c r="MO82" s="15"/>
      <c r="MP82" s="15"/>
      <c r="MQ82" s="15"/>
      <c r="MR82" s="15"/>
      <c r="MS82" s="15"/>
      <c r="MT82" s="15"/>
      <c r="MU82" s="15"/>
      <c r="MV82" s="15"/>
      <c r="MW82" s="15"/>
    </row>
    <row r="83" spans="1:361" s="3" customFormat="1" ht="61.5" hidden="1" customHeight="1" thickBot="1" x14ac:dyDescent="0.3">
      <c r="A83" s="28"/>
      <c r="B83" s="179" t="s">
        <v>202</v>
      </c>
      <c r="C83" s="47" t="s">
        <v>216</v>
      </c>
      <c r="D83" s="52" t="s">
        <v>203</v>
      </c>
      <c r="E83" s="12">
        <v>1</v>
      </c>
      <c r="F83" s="48">
        <v>45993</v>
      </c>
      <c r="G83" s="48">
        <v>45996</v>
      </c>
      <c r="H83" s="58" t="s">
        <v>202</v>
      </c>
      <c r="I83" s="58"/>
      <c r="J83" s="11"/>
      <c r="K83" s="11"/>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c r="EU83" s="15"/>
      <c r="EV83" s="15"/>
      <c r="EW83" s="15"/>
      <c r="EX83" s="15"/>
      <c r="EY83" s="15"/>
      <c r="EZ83" s="15"/>
      <c r="FA83" s="15"/>
      <c r="FB83" s="15"/>
      <c r="FC83" s="15"/>
      <c r="FD83" s="15"/>
      <c r="FE83" s="15"/>
      <c r="FF83" s="15"/>
      <c r="FG83" s="15"/>
      <c r="FH83" s="15"/>
      <c r="FI83" s="15"/>
      <c r="FJ83" s="15"/>
      <c r="FK83" s="15"/>
      <c r="FL83" s="15"/>
      <c r="FM83" s="15"/>
      <c r="FN83" s="15"/>
      <c r="FO83" s="15"/>
      <c r="FP83" s="15"/>
      <c r="FQ83" s="15"/>
      <c r="FR83" s="15"/>
      <c r="FS83" s="15"/>
      <c r="FT83" s="15"/>
      <c r="FU83" s="15"/>
      <c r="FV83" s="15"/>
      <c r="FW83" s="15"/>
      <c r="FX83" s="15"/>
      <c r="FY83" s="15"/>
      <c r="FZ83" s="15"/>
      <c r="GA83" s="15"/>
      <c r="GB83" s="15"/>
      <c r="GC83" s="15"/>
      <c r="GD83" s="15"/>
      <c r="GE83" s="15"/>
      <c r="GF83" s="15"/>
      <c r="GG83" s="15"/>
      <c r="GH83" s="15"/>
      <c r="GI83" s="15"/>
      <c r="GJ83" s="15"/>
      <c r="GK83" s="15"/>
      <c r="GL83" s="15"/>
      <c r="GM83" s="15"/>
      <c r="GN83" s="15"/>
      <c r="GO83" s="15"/>
      <c r="GP83" s="15"/>
      <c r="GQ83" s="15"/>
      <c r="GR83" s="15"/>
      <c r="GS83" s="15"/>
      <c r="GT83" s="15"/>
      <c r="GU83" s="15"/>
      <c r="GV83" s="15"/>
      <c r="GW83" s="15"/>
      <c r="GX83" s="15"/>
      <c r="GY83" s="15"/>
      <c r="GZ83" s="15"/>
      <c r="HA83" s="15"/>
      <c r="HB83" s="15"/>
      <c r="HC83" s="15"/>
      <c r="HD83" s="15"/>
      <c r="HE83" s="15"/>
      <c r="HF83" s="15"/>
      <c r="HG83" s="15"/>
      <c r="HH83" s="15"/>
      <c r="HI83" s="15"/>
      <c r="HJ83" s="15"/>
      <c r="HK83" s="15"/>
      <c r="HL83" s="15"/>
      <c r="HM83" s="15"/>
      <c r="HN83" s="15"/>
      <c r="HO83" s="15"/>
      <c r="HP83" s="15"/>
      <c r="HQ83" s="15"/>
      <c r="HR83" s="15"/>
      <c r="HS83" s="15"/>
      <c r="HT83" s="15"/>
      <c r="HU83" s="15"/>
      <c r="HV83" s="15"/>
      <c r="HW83" s="15"/>
      <c r="HX83" s="15"/>
      <c r="HY83" s="15"/>
      <c r="HZ83" s="15"/>
      <c r="IA83" s="15"/>
      <c r="IB83" s="15"/>
      <c r="IC83" s="15"/>
      <c r="ID83" s="15"/>
      <c r="IE83" s="15"/>
      <c r="IF83" s="15"/>
      <c r="IG83" s="15"/>
      <c r="IH83" s="15"/>
      <c r="II83" s="15"/>
      <c r="IJ83" s="15"/>
      <c r="IK83" s="15"/>
      <c r="IL83" s="15"/>
      <c r="IM83" s="15"/>
      <c r="IN83" s="15"/>
      <c r="IO83" s="15"/>
      <c r="IP83" s="15"/>
      <c r="IQ83" s="15"/>
      <c r="IR83" s="15"/>
      <c r="IS83" s="15"/>
      <c r="IT83" s="15"/>
      <c r="IU83" s="15"/>
      <c r="IV83" s="15"/>
      <c r="IW83" s="15"/>
      <c r="IX83" s="15"/>
      <c r="IY83" s="15"/>
      <c r="IZ83" s="15"/>
      <c r="JA83" s="15"/>
      <c r="JB83" s="15"/>
      <c r="JC83" s="15"/>
      <c r="JD83" s="15"/>
      <c r="JE83" s="15"/>
      <c r="JF83" s="15"/>
      <c r="JG83" s="15"/>
      <c r="JH83" s="15"/>
      <c r="JI83" s="15"/>
      <c r="JJ83" s="15"/>
      <c r="JK83" s="15"/>
      <c r="JL83" s="15"/>
      <c r="JM83" s="15"/>
      <c r="JN83" s="15"/>
      <c r="JO83" s="15"/>
      <c r="JP83" s="15"/>
      <c r="JQ83" s="15"/>
      <c r="JR83" s="15"/>
      <c r="JS83" s="15"/>
      <c r="JT83" s="15"/>
      <c r="JU83" s="15"/>
      <c r="JV83" s="15"/>
      <c r="JW83" s="15"/>
      <c r="JX83" s="15"/>
      <c r="JY83" s="15"/>
      <c r="JZ83" s="15"/>
      <c r="KA83" s="15"/>
      <c r="KB83" s="15"/>
      <c r="KC83" s="15"/>
      <c r="KD83" s="15"/>
      <c r="KE83" s="15"/>
      <c r="KF83" s="15"/>
      <c r="KG83" s="15"/>
      <c r="KH83" s="15"/>
      <c r="KI83" s="15"/>
      <c r="KJ83" s="15"/>
      <c r="KK83" s="15"/>
      <c r="KL83" s="15"/>
      <c r="KM83" s="15"/>
      <c r="KN83" s="15"/>
      <c r="KO83" s="15"/>
      <c r="KP83" s="15"/>
      <c r="KQ83" s="15"/>
      <c r="KR83" s="15"/>
      <c r="KS83" s="15"/>
      <c r="KT83" s="15"/>
      <c r="KU83" s="15"/>
      <c r="KV83" s="15"/>
      <c r="KW83" s="15"/>
      <c r="KX83" s="15"/>
      <c r="KY83" s="15"/>
      <c r="KZ83" s="15"/>
      <c r="LA83" s="15"/>
      <c r="LB83" s="15"/>
      <c r="LC83" s="15"/>
      <c r="LD83" s="15"/>
      <c r="LE83" s="15"/>
      <c r="LF83" s="15"/>
      <c r="LG83" s="15"/>
      <c r="LH83" s="15"/>
      <c r="LI83" s="15"/>
      <c r="LJ83" s="15"/>
      <c r="LK83" s="15"/>
      <c r="LL83" s="15"/>
      <c r="LM83" s="15"/>
      <c r="LN83" s="15"/>
      <c r="LO83" s="15"/>
      <c r="LP83" s="15"/>
      <c r="LQ83" s="15"/>
      <c r="LR83" s="15"/>
      <c r="LS83" s="15"/>
      <c r="LT83" s="15"/>
      <c r="LU83" s="15"/>
      <c r="LV83" s="15"/>
      <c r="LW83" s="15"/>
      <c r="LX83" s="15"/>
      <c r="LY83" s="15"/>
      <c r="LZ83" s="15"/>
      <c r="MA83" s="15"/>
      <c r="MB83" s="15"/>
      <c r="MC83" s="15"/>
      <c r="MD83" s="15"/>
      <c r="ME83" s="15"/>
      <c r="MF83" s="15"/>
      <c r="MG83" s="15"/>
      <c r="MH83" s="15"/>
      <c r="MI83" s="15"/>
      <c r="MJ83" s="15"/>
      <c r="MK83" s="15"/>
      <c r="ML83" s="15"/>
      <c r="MM83" s="15"/>
      <c r="MN83" s="15"/>
      <c r="MO83" s="15"/>
      <c r="MP83" s="15"/>
      <c r="MQ83" s="15"/>
      <c r="MR83" s="15"/>
      <c r="MS83" s="15"/>
      <c r="MT83" s="15"/>
      <c r="MU83" s="15"/>
      <c r="MV83" s="15"/>
      <c r="MW83" s="15"/>
    </row>
    <row r="84" spans="1:361" s="3" customFormat="1" ht="36" hidden="1" customHeight="1" thickBot="1" x14ac:dyDescent="0.3">
      <c r="A84" s="28"/>
      <c r="B84" s="179" t="s">
        <v>204</v>
      </c>
      <c r="C84" s="193" t="s">
        <v>225</v>
      </c>
      <c r="D84" s="66" t="s">
        <v>205</v>
      </c>
      <c r="E84" s="12">
        <v>0</v>
      </c>
      <c r="F84" s="48">
        <v>45993</v>
      </c>
      <c r="G84" s="48">
        <v>45996</v>
      </c>
      <c r="H84" s="58" t="s">
        <v>204</v>
      </c>
      <c r="I84" s="58"/>
      <c r="J84" s="11"/>
      <c r="K84" s="11"/>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c r="GB84" s="15"/>
      <c r="GC84" s="15"/>
      <c r="GD84" s="15"/>
      <c r="GE84" s="15"/>
      <c r="GF84" s="15"/>
      <c r="GG84" s="15"/>
      <c r="GH84" s="15"/>
      <c r="GI84" s="15"/>
      <c r="GJ84" s="15"/>
      <c r="GK84" s="15"/>
      <c r="GL84" s="15"/>
      <c r="GM84" s="15"/>
      <c r="GN84" s="15"/>
      <c r="GO84" s="15"/>
      <c r="GP84" s="15"/>
      <c r="GQ84" s="15"/>
      <c r="GR84" s="15"/>
      <c r="GS84" s="15"/>
      <c r="GT84" s="15"/>
      <c r="GU84" s="15"/>
      <c r="GV84" s="15"/>
      <c r="GW84" s="15"/>
      <c r="GX84" s="15"/>
      <c r="GY84" s="15"/>
      <c r="GZ84" s="15"/>
      <c r="HA84" s="15"/>
      <c r="HB84" s="15"/>
      <c r="HC84" s="15"/>
      <c r="HD84" s="15"/>
      <c r="HE84" s="15"/>
      <c r="HF84" s="15"/>
      <c r="HG84" s="15"/>
      <c r="HH84" s="15"/>
      <c r="HI84" s="15"/>
      <c r="HJ84" s="15"/>
      <c r="HK84" s="15"/>
      <c r="HL84" s="15"/>
      <c r="HM84" s="15"/>
      <c r="HN84" s="15"/>
      <c r="HO84" s="15"/>
      <c r="HP84" s="15"/>
      <c r="HQ84" s="15"/>
      <c r="HR84" s="15"/>
      <c r="HS84" s="15"/>
      <c r="HT84" s="15"/>
      <c r="HU84" s="15"/>
      <c r="HV84" s="15"/>
      <c r="HW84" s="15"/>
      <c r="HX84" s="15"/>
      <c r="HY84" s="15"/>
      <c r="HZ84" s="15"/>
      <c r="IA84" s="15"/>
      <c r="IB84" s="15"/>
      <c r="IC84" s="15"/>
      <c r="ID84" s="15"/>
      <c r="IE84" s="15"/>
      <c r="IF84" s="15"/>
      <c r="IG84" s="15"/>
      <c r="IH84" s="15"/>
      <c r="II84" s="15"/>
      <c r="IJ84" s="15"/>
      <c r="IK84" s="15"/>
      <c r="IL84" s="15"/>
      <c r="IM84" s="15"/>
      <c r="IN84" s="15"/>
      <c r="IO84" s="15"/>
      <c r="IP84" s="15"/>
      <c r="IQ84" s="15"/>
      <c r="IR84" s="15"/>
      <c r="IS84" s="15"/>
      <c r="IT84" s="15"/>
      <c r="IU84" s="15"/>
      <c r="IV84" s="15"/>
      <c r="IW84" s="15"/>
      <c r="IX84" s="15"/>
      <c r="IY84" s="15"/>
      <c r="IZ84" s="15"/>
      <c r="JA84" s="15"/>
      <c r="JB84" s="15"/>
      <c r="JC84" s="15"/>
      <c r="JD84" s="15"/>
      <c r="JE84" s="15"/>
      <c r="JF84" s="15"/>
      <c r="JG84" s="15"/>
      <c r="JH84" s="15"/>
      <c r="JI84" s="15"/>
      <c r="JJ84" s="15"/>
      <c r="JK84" s="15"/>
      <c r="JL84" s="15"/>
      <c r="JM84" s="15"/>
      <c r="JN84" s="15"/>
      <c r="JO84" s="15"/>
      <c r="JP84" s="15"/>
      <c r="JQ84" s="15"/>
      <c r="JR84" s="15"/>
      <c r="JS84" s="15"/>
      <c r="JT84" s="15"/>
      <c r="JU84" s="15"/>
      <c r="JV84" s="15"/>
      <c r="JW84" s="15"/>
      <c r="JX84" s="15"/>
      <c r="JY84" s="15"/>
      <c r="JZ84" s="15"/>
      <c r="KA84" s="15"/>
      <c r="KB84" s="15"/>
      <c r="KC84" s="15"/>
      <c r="KD84" s="15"/>
      <c r="KE84" s="15"/>
      <c r="KF84" s="15"/>
      <c r="KG84" s="15"/>
      <c r="KH84" s="15"/>
      <c r="KI84" s="15"/>
      <c r="KJ84" s="15"/>
      <c r="KK84" s="15"/>
      <c r="KL84" s="15"/>
      <c r="KM84" s="15"/>
      <c r="KN84" s="15"/>
      <c r="KO84" s="15"/>
      <c r="KP84" s="15"/>
      <c r="KQ84" s="15"/>
      <c r="KR84" s="15"/>
      <c r="KS84" s="15"/>
      <c r="KT84" s="15"/>
      <c r="KU84" s="15"/>
      <c r="KV84" s="15"/>
      <c r="KW84" s="15"/>
      <c r="KX84" s="15"/>
      <c r="KY84" s="15"/>
      <c r="KZ84" s="15"/>
      <c r="LA84" s="15"/>
      <c r="LB84" s="15"/>
      <c r="LC84" s="15"/>
      <c r="LD84" s="15"/>
      <c r="LE84" s="15"/>
      <c r="LF84" s="15"/>
      <c r="LG84" s="15"/>
      <c r="LH84" s="15"/>
      <c r="LI84" s="15"/>
      <c r="LJ84" s="15"/>
      <c r="LK84" s="15"/>
      <c r="LL84" s="15"/>
      <c r="LM84" s="15"/>
      <c r="LN84" s="15"/>
      <c r="LO84" s="15"/>
      <c r="LP84" s="15"/>
      <c r="LQ84" s="15"/>
      <c r="LR84" s="15"/>
      <c r="LS84" s="15"/>
      <c r="LT84" s="15"/>
      <c r="LU84" s="15"/>
      <c r="LV84" s="15"/>
      <c r="LW84" s="15"/>
      <c r="LX84" s="15"/>
      <c r="LY84" s="15"/>
      <c r="LZ84" s="15"/>
      <c r="MA84" s="15"/>
      <c r="MB84" s="15"/>
      <c r="MC84" s="15"/>
      <c r="MD84" s="15"/>
      <c r="ME84" s="15"/>
      <c r="MF84" s="15"/>
      <c r="MG84" s="15"/>
      <c r="MH84" s="15"/>
      <c r="MI84" s="15"/>
      <c r="MJ84" s="15"/>
      <c r="MK84" s="15"/>
      <c r="ML84" s="15"/>
      <c r="MM84" s="15"/>
      <c r="MN84" s="15"/>
      <c r="MO84" s="15"/>
      <c r="MP84" s="15"/>
      <c r="MQ84" s="15"/>
      <c r="MR84" s="15"/>
      <c r="MS84" s="15"/>
      <c r="MT84" s="15"/>
      <c r="MU84" s="15"/>
      <c r="MV84" s="15"/>
      <c r="MW84" s="15"/>
    </row>
    <row r="85" spans="1:361" s="3" customFormat="1" ht="16.5" hidden="1" thickBot="1" x14ac:dyDescent="0.3">
      <c r="A85" s="28"/>
      <c r="B85" s="185" t="s">
        <v>177</v>
      </c>
      <c r="C85" s="180"/>
      <c r="D85" s="181"/>
      <c r="E85" s="182"/>
      <c r="F85" s="183"/>
      <c r="G85" s="183"/>
      <c r="H85" s="184"/>
      <c r="I85" s="184"/>
      <c r="J85" s="11"/>
      <c r="K85" s="11"/>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15"/>
      <c r="GI85" s="15"/>
      <c r="GJ85" s="15"/>
      <c r="GK85" s="15"/>
      <c r="GL85" s="15"/>
      <c r="GM85" s="15"/>
      <c r="GN85" s="15"/>
      <c r="GO85" s="15"/>
      <c r="GP85" s="15"/>
      <c r="GQ85" s="15"/>
      <c r="GR85" s="15"/>
      <c r="GS85" s="15"/>
      <c r="GT85" s="15"/>
      <c r="GU85" s="15"/>
      <c r="GV85" s="15"/>
      <c r="GW85" s="15"/>
      <c r="GX85" s="15"/>
      <c r="GY85" s="15"/>
      <c r="GZ85" s="15"/>
      <c r="HA85" s="15"/>
      <c r="HB85" s="15"/>
      <c r="HC85" s="15"/>
      <c r="HD85" s="15"/>
      <c r="HE85" s="15"/>
      <c r="HF85" s="15"/>
      <c r="HG85" s="15"/>
      <c r="HH85" s="15"/>
      <c r="HI85" s="15"/>
      <c r="HJ85" s="15"/>
      <c r="HK85" s="15"/>
      <c r="HL85" s="15"/>
      <c r="HM85" s="15"/>
      <c r="HN85" s="15"/>
      <c r="HO85" s="15"/>
      <c r="HP85" s="15"/>
      <c r="HQ85" s="15"/>
      <c r="HR85" s="15"/>
      <c r="HS85" s="15"/>
      <c r="HT85" s="15"/>
      <c r="HU85" s="15"/>
      <c r="HV85" s="15"/>
      <c r="HW85" s="15"/>
      <c r="HX85" s="15"/>
      <c r="HY85" s="15"/>
      <c r="HZ85" s="15"/>
      <c r="IA85" s="15"/>
      <c r="IB85" s="15"/>
      <c r="IC85" s="15"/>
      <c r="ID85" s="15"/>
      <c r="IE85" s="15"/>
      <c r="IF85" s="15"/>
      <c r="IG85" s="15"/>
      <c r="IH85" s="15"/>
      <c r="II85" s="15"/>
      <c r="IJ85" s="15"/>
      <c r="IK85" s="15"/>
      <c r="IL85" s="15"/>
      <c r="IM85" s="15"/>
      <c r="IN85" s="15"/>
      <c r="IO85" s="15"/>
      <c r="IP85" s="15"/>
      <c r="IQ85" s="15"/>
      <c r="IR85" s="15"/>
      <c r="IS85" s="15"/>
      <c r="IT85" s="15"/>
      <c r="IU85" s="15"/>
      <c r="IV85" s="15"/>
      <c r="IW85" s="15"/>
      <c r="IX85" s="15"/>
      <c r="IY85" s="15"/>
      <c r="IZ85" s="15"/>
      <c r="JA85" s="15"/>
      <c r="JB85" s="15"/>
      <c r="JC85" s="15"/>
      <c r="JD85" s="15"/>
      <c r="JE85" s="15"/>
      <c r="JF85" s="15"/>
      <c r="JG85" s="15"/>
      <c r="JH85" s="15"/>
      <c r="JI85" s="15"/>
      <c r="JJ85" s="15"/>
      <c r="JK85" s="15"/>
      <c r="JL85" s="15"/>
      <c r="JM85" s="15"/>
      <c r="JN85" s="15"/>
      <c r="JO85" s="15"/>
      <c r="JP85" s="15"/>
      <c r="JQ85" s="15"/>
      <c r="JR85" s="15"/>
      <c r="JS85" s="15"/>
      <c r="JT85" s="15"/>
      <c r="JU85" s="15"/>
      <c r="JV85" s="15"/>
      <c r="JW85" s="15"/>
      <c r="JX85" s="15"/>
      <c r="JY85" s="15"/>
      <c r="JZ85" s="15"/>
      <c r="KA85" s="15"/>
      <c r="KB85" s="15"/>
      <c r="KC85" s="15"/>
      <c r="KD85" s="15"/>
      <c r="KE85" s="15"/>
      <c r="KF85" s="15"/>
      <c r="KG85" s="15"/>
      <c r="KH85" s="15"/>
      <c r="KI85" s="15"/>
      <c r="KJ85" s="15"/>
      <c r="KK85" s="15"/>
      <c r="KL85" s="15"/>
      <c r="KM85" s="15"/>
      <c r="KN85" s="15"/>
      <c r="KO85" s="15"/>
      <c r="KP85" s="15"/>
      <c r="KQ85" s="15"/>
      <c r="KR85" s="15"/>
      <c r="KS85" s="15"/>
      <c r="KT85" s="15"/>
      <c r="KU85" s="15"/>
      <c r="KV85" s="15"/>
      <c r="KW85" s="15"/>
      <c r="KX85" s="15"/>
      <c r="KY85" s="15"/>
      <c r="KZ85" s="15"/>
      <c r="LA85" s="15"/>
      <c r="LB85" s="15"/>
      <c r="LC85" s="15"/>
      <c r="LD85" s="15"/>
      <c r="LE85" s="15"/>
      <c r="LF85" s="15"/>
      <c r="LG85" s="15"/>
      <c r="LH85" s="15"/>
      <c r="LI85" s="15"/>
      <c r="LJ85" s="15"/>
      <c r="LK85" s="15"/>
      <c r="LL85" s="15"/>
      <c r="LM85" s="15"/>
      <c r="LN85" s="15"/>
      <c r="LO85" s="15"/>
      <c r="LP85" s="15"/>
      <c r="LQ85" s="15"/>
      <c r="LR85" s="15"/>
      <c r="LS85" s="15"/>
      <c r="LT85" s="15"/>
      <c r="LU85" s="15"/>
      <c r="LV85" s="15"/>
      <c r="LW85" s="15"/>
      <c r="LX85" s="15"/>
      <c r="LY85" s="15"/>
      <c r="LZ85" s="15"/>
      <c r="MA85" s="15"/>
      <c r="MB85" s="15"/>
      <c r="MC85" s="15"/>
      <c r="MD85" s="15"/>
      <c r="ME85" s="15"/>
      <c r="MF85" s="15"/>
      <c r="MG85" s="15"/>
      <c r="MH85" s="15"/>
      <c r="MI85" s="15"/>
      <c r="MJ85" s="15"/>
      <c r="MK85" s="15"/>
      <c r="ML85" s="15"/>
      <c r="MM85" s="15"/>
      <c r="MN85" s="15"/>
      <c r="MO85" s="15"/>
      <c r="MP85" s="15"/>
      <c r="MQ85" s="15"/>
      <c r="MR85" s="15"/>
      <c r="MS85" s="15"/>
      <c r="MT85" s="15"/>
      <c r="MU85" s="15"/>
      <c r="MV85" s="15"/>
      <c r="MW85" s="15"/>
    </row>
    <row r="86" spans="1:361" s="3" customFormat="1" ht="48.75" hidden="1" customHeight="1" thickBot="1" x14ac:dyDescent="0.3">
      <c r="A86" s="28"/>
      <c r="B86" s="179" t="s">
        <v>206</v>
      </c>
      <c r="C86" s="31"/>
      <c r="D86" s="66" t="s">
        <v>207</v>
      </c>
      <c r="E86" s="12">
        <v>1</v>
      </c>
      <c r="F86" s="48">
        <v>45981</v>
      </c>
      <c r="G86" s="48">
        <v>45996</v>
      </c>
      <c r="H86" s="58" t="s">
        <v>206</v>
      </c>
      <c r="I86" s="153" t="s">
        <v>224</v>
      </c>
      <c r="J86" s="11"/>
      <c r="K86" s="11"/>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15"/>
      <c r="GI86" s="15"/>
      <c r="GJ86" s="15"/>
      <c r="GK86" s="15"/>
      <c r="GL86" s="15"/>
      <c r="GM86" s="15"/>
      <c r="GN86" s="15"/>
      <c r="GO86" s="15"/>
      <c r="GP86" s="15"/>
      <c r="GQ86" s="15"/>
      <c r="GR86" s="15"/>
      <c r="GS86" s="15"/>
      <c r="GT86" s="15"/>
      <c r="GU86" s="15"/>
      <c r="GV86" s="15"/>
      <c r="GW86" s="15"/>
      <c r="GX86" s="15"/>
      <c r="GY86" s="15"/>
      <c r="GZ86" s="15"/>
      <c r="HA86" s="15"/>
      <c r="HB86" s="15"/>
      <c r="HC86" s="15"/>
      <c r="HD86" s="15"/>
      <c r="HE86" s="15"/>
      <c r="HF86" s="15"/>
      <c r="HG86" s="15"/>
      <c r="HH86" s="15"/>
      <c r="HI86" s="15"/>
      <c r="HJ86" s="15"/>
      <c r="HK86" s="15"/>
      <c r="HL86" s="15"/>
      <c r="HM86" s="15"/>
      <c r="HN86" s="15"/>
      <c r="HO86" s="15"/>
      <c r="HP86" s="15"/>
      <c r="HQ86" s="15"/>
      <c r="HR86" s="15"/>
      <c r="HS86" s="15"/>
      <c r="HT86" s="15"/>
      <c r="HU86" s="15"/>
      <c r="HV86" s="15"/>
      <c r="HW86" s="15"/>
      <c r="HX86" s="15"/>
      <c r="HY86" s="15"/>
      <c r="HZ86" s="15"/>
      <c r="IA86" s="15"/>
      <c r="IB86" s="15"/>
      <c r="IC86" s="15"/>
      <c r="ID86" s="15"/>
      <c r="IE86" s="15"/>
      <c r="IF86" s="15"/>
      <c r="IG86" s="15"/>
      <c r="IH86" s="15"/>
      <c r="II86" s="15"/>
      <c r="IJ86" s="15"/>
      <c r="IK86" s="15"/>
      <c r="IL86" s="15"/>
      <c r="IM86" s="15"/>
      <c r="IN86" s="15"/>
      <c r="IO86" s="15"/>
      <c r="IP86" s="15"/>
      <c r="IQ86" s="15"/>
      <c r="IR86" s="15"/>
      <c r="IS86" s="15"/>
      <c r="IT86" s="15"/>
      <c r="IU86" s="15"/>
      <c r="IV86" s="15"/>
      <c r="IW86" s="15"/>
      <c r="IX86" s="15"/>
      <c r="IY86" s="15"/>
      <c r="IZ86" s="15"/>
      <c r="JA86" s="15"/>
      <c r="JB86" s="15"/>
      <c r="JC86" s="15"/>
      <c r="JD86" s="15"/>
      <c r="JE86" s="15"/>
      <c r="JF86" s="15"/>
      <c r="JG86" s="15"/>
      <c r="JH86" s="15"/>
      <c r="JI86" s="15"/>
      <c r="JJ86" s="15"/>
      <c r="JK86" s="15"/>
      <c r="JL86" s="15"/>
      <c r="JM86" s="15"/>
      <c r="JN86" s="15"/>
      <c r="JO86" s="15"/>
      <c r="JP86" s="15"/>
      <c r="JQ86" s="15"/>
      <c r="JR86" s="15"/>
      <c r="JS86" s="15"/>
      <c r="JT86" s="15"/>
      <c r="JU86" s="15"/>
      <c r="JV86" s="15"/>
      <c r="JW86" s="15"/>
      <c r="JX86" s="15"/>
      <c r="JY86" s="15"/>
      <c r="JZ86" s="15"/>
      <c r="KA86" s="15"/>
      <c r="KB86" s="15"/>
      <c r="KC86" s="15"/>
      <c r="KD86" s="15"/>
      <c r="KE86" s="15"/>
      <c r="KF86" s="15"/>
      <c r="KG86" s="15"/>
      <c r="KH86" s="15"/>
      <c r="KI86" s="15"/>
      <c r="KJ86" s="15"/>
      <c r="KK86" s="15"/>
      <c r="KL86" s="15"/>
      <c r="KM86" s="15"/>
      <c r="KN86" s="15"/>
      <c r="KO86" s="15"/>
      <c r="KP86" s="15"/>
      <c r="KQ86" s="15"/>
      <c r="KR86" s="15"/>
      <c r="KS86" s="15"/>
      <c r="KT86" s="15"/>
      <c r="KU86" s="15"/>
      <c r="KV86" s="15"/>
      <c r="KW86" s="15"/>
      <c r="KX86" s="15"/>
      <c r="KY86" s="15"/>
      <c r="KZ86" s="15"/>
      <c r="LA86" s="15"/>
      <c r="LB86" s="15"/>
      <c r="LC86" s="15"/>
      <c r="LD86" s="15"/>
      <c r="LE86" s="15"/>
      <c r="LF86" s="15"/>
      <c r="LG86" s="15"/>
      <c r="LH86" s="15"/>
      <c r="LI86" s="15"/>
      <c r="LJ86" s="15"/>
      <c r="LK86" s="15"/>
      <c r="LL86" s="15"/>
      <c r="LM86" s="15"/>
      <c r="LN86" s="15"/>
      <c r="LO86" s="15"/>
      <c r="LP86" s="15"/>
      <c r="LQ86" s="15"/>
      <c r="LR86" s="15"/>
      <c r="LS86" s="15"/>
      <c r="LT86" s="15"/>
      <c r="LU86" s="15"/>
      <c r="LV86" s="15"/>
      <c r="LW86" s="15"/>
      <c r="LX86" s="15"/>
      <c r="LY86" s="15"/>
      <c r="LZ86" s="15"/>
      <c r="MA86" s="15"/>
      <c r="MB86" s="15"/>
      <c r="MC86" s="15"/>
      <c r="MD86" s="15"/>
      <c r="ME86" s="15"/>
      <c r="MF86" s="15"/>
      <c r="MG86" s="15"/>
      <c r="MH86" s="15"/>
      <c r="MI86" s="15"/>
      <c r="MJ86" s="15"/>
      <c r="MK86" s="15"/>
      <c r="ML86" s="15"/>
      <c r="MM86" s="15"/>
      <c r="MN86" s="15"/>
      <c r="MO86" s="15"/>
      <c r="MP86" s="15"/>
      <c r="MQ86" s="15"/>
      <c r="MR86" s="15"/>
      <c r="MS86" s="15"/>
      <c r="MT86" s="15"/>
      <c r="MU86" s="15"/>
      <c r="MV86" s="15"/>
      <c r="MW86" s="15"/>
    </row>
    <row r="87" spans="1:361" s="3" customFormat="1" ht="33.75" hidden="1" customHeight="1" thickBot="1" x14ac:dyDescent="0.3">
      <c r="A87" s="28"/>
      <c r="B87" s="179" t="s">
        <v>208</v>
      </c>
      <c r="C87" s="31"/>
      <c r="D87" s="52" t="s">
        <v>209</v>
      </c>
      <c r="E87" s="12">
        <v>1</v>
      </c>
      <c r="F87" s="48">
        <v>45980</v>
      </c>
      <c r="G87" s="48">
        <v>46000</v>
      </c>
      <c r="H87" s="58" t="s">
        <v>208</v>
      </c>
      <c r="I87" s="153" t="s">
        <v>226</v>
      </c>
      <c r="J87" s="11"/>
      <c r="K87" s="11"/>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c r="DZ87" s="15"/>
      <c r="EA87" s="15"/>
      <c r="EB87" s="15"/>
      <c r="EC87" s="15"/>
      <c r="ED87" s="15"/>
      <c r="EE87" s="15"/>
      <c r="EF87" s="15"/>
      <c r="EG87" s="15"/>
      <c r="EH87" s="15"/>
      <c r="EI87" s="15"/>
      <c r="EJ87" s="15"/>
      <c r="EK87" s="15"/>
      <c r="EL87" s="15"/>
      <c r="EM87" s="15"/>
      <c r="EN87" s="15"/>
      <c r="EO87" s="15"/>
      <c r="EP87" s="15"/>
      <c r="EQ87" s="15"/>
      <c r="ER87" s="15"/>
      <c r="ES87" s="15"/>
      <c r="ET87" s="15"/>
      <c r="EU87" s="15"/>
      <c r="EV87" s="15"/>
      <c r="EW87" s="15"/>
      <c r="EX87" s="15"/>
      <c r="EY87" s="15"/>
      <c r="EZ87" s="15"/>
      <c r="FA87" s="15"/>
      <c r="FB87" s="15"/>
      <c r="FC87" s="15"/>
      <c r="FD87" s="15"/>
      <c r="FE87" s="15"/>
      <c r="FF87" s="15"/>
      <c r="FG87" s="15"/>
      <c r="FH87" s="15"/>
      <c r="FI87" s="15"/>
      <c r="FJ87" s="15"/>
      <c r="FK87" s="15"/>
      <c r="FL87" s="15"/>
      <c r="FM87" s="15"/>
      <c r="FN87" s="15"/>
      <c r="FO87" s="15"/>
      <c r="FP87" s="15"/>
      <c r="FQ87" s="15"/>
      <c r="FR87" s="15"/>
      <c r="FS87" s="15"/>
      <c r="FT87" s="15"/>
      <c r="FU87" s="15"/>
      <c r="FV87" s="15"/>
      <c r="FW87" s="15"/>
      <c r="FX87" s="15"/>
      <c r="FY87" s="15"/>
      <c r="FZ87" s="15"/>
      <c r="GA87" s="15"/>
      <c r="GB87" s="15"/>
      <c r="GC87" s="15"/>
      <c r="GD87" s="15"/>
      <c r="GE87" s="15"/>
      <c r="GF87" s="15"/>
      <c r="GG87" s="15"/>
      <c r="GH87" s="15"/>
      <c r="GI87" s="15"/>
      <c r="GJ87" s="15"/>
      <c r="GK87" s="15"/>
      <c r="GL87" s="15"/>
      <c r="GM87" s="15"/>
      <c r="GN87" s="15"/>
      <c r="GO87" s="15"/>
      <c r="GP87" s="15"/>
      <c r="GQ87" s="15"/>
      <c r="GR87" s="15"/>
      <c r="GS87" s="15"/>
      <c r="GT87" s="15"/>
      <c r="GU87" s="15"/>
      <c r="GV87" s="15"/>
      <c r="GW87" s="15"/>
      <c r="GX87" s="15"/>
      <c r="GY87" s="15"/>
      <c r="GZ87" s="15"/>
      <c r="HA87" s="15"/>
      <c r="HB87" s="15"/>
      <c r="HC87" s="15"/>
      <c r="HD87" s="15"/>
      <c r="HE87" s="15"/>
      <c r="HF87" s="15"/>
      <c r="HG87" s="15"/>
      <c r="HH87" s="15"/>
      <c r="HI87" s="15"/>
      <c r="HJ87" s="15"/>
      <c r="HK87" s="15"/>
      <c r="HL87" s="15"/>
      <c r="HM87" s="15"/>
      <c r="HN87" s="15"/>
      <c r="HO87" s="15"/>
      <c r="HP87" s="15"/>
      <c r="HQ87" s="15"/>
      <c r="HR87" s="15"/>
      <c r="HS87" s="15"/>
      <c r="HT87" s="15"/>
      <c r="HU87" s="15"/>
      <c r="HV87" s="15"/>
      <c r="HW87" s="15"/>
      <c r="HX87" s="15"/>
      <c r="HY87" s="15"/>
      <c r="HZ87" s="15"/>
      <c r="IA87" s="15"/>
      <c r="IB87" s="15"/>
      <c r="IC87" s="15"/>
      <c r="ID87" s="15"/>
      <c r="IE87" s="15"/>
      <c r="IF87" s="15"/>
      <c r="IG87" s="15"/>
      <c r="IH87" s="15"/>
      <c r="II87" s="15"/>
      <c r="IJ87" s="15"/>
      <c r="IK87" s="15"/>
      <c r="IL87" s="15"/>
      <c r="IM87" s="15"/>
      <c r="IN87" s="15"/>
      <c r="IO87" s="15"/>
      <c r="IP87" s="15"/>
      <c r="IQ87" s="15"/>
      <c r="IR87" s="15"/>
      <c r="IS87" s="15"/>
      <c r="IT87" s="15"/>
      <c r="IU87" s="15"/>
      <c r="IV87" s="15"/>
      <c r="IW87" s="15"/>
      <c r="IX87" s="15"/>
      <c r="IY87" s="15"/>
      <c r="IZ87" s="15"/>
      <c r="JA87" s="15"/>
      <c r="JB87" s="15"/>
      <c r="JC87" s="15"/>
      <c r="JD87" s="15"/>
      <c r="JE87" s="15"/>
      <c r="JF87" s="15"/>
      <c r="JG87" s="15"/>
      <c r="JH87" s="15"/>
      <c r="JI87" s="15"/>
      <c r="JJ87" s="15"/>
      <c r="JK87" s="15"/>
      <c r="JL87" s="15"/>
      <c r="JM87" s="15"/>
      <c r="JN87" s="15"/>
      <c r="JO87" s="15"/>
      <c r="JP87" s="15"/>
      <c r="JQ87" s="15"/>
      <c r="JR87" s="15"/>
      <c r="JS87" s="15"/>
      <c r="JT87" s="15"/>
      <c r="JU87" s="15"/>
      <c r="JV87" s="15"/>
      <c r="JW87" s="15"/>
      <c r="JX87" s="15"/>
      <c r="JY87" s="15"/>
      <c r="JZ87" s="15"/>
      <c r="KA87" s="15"/>
      <c r="KB87" s="15"/>
      <c r="KC87" s="15"/>
      <c r="KD87" s="15"/>
      <c r="KE87" s="15"/>
      <c r="KF87" s="15"/>
      <c r="KG87" s="15"/>
      <c r="KH87" s="15"/>
      <c r="KI87" s="15"/>
      <c r="KJ87" s="15"/>
      <c r="KK87" s="15"/>
      <c r="KL87" s="15"/>
      <c r="KM87" s="15"/>
      <c r="KN87" s="15"/>
      <c r="KO87" s="15"/>
      <c r="KP87" s="15"/>
      <c r="KQ87" s="15"/>
      <c r="KR87" s="15"/>
      <c r="KS87" s="15"/>
      <c r="KT87" s="15"/>
      <c r="KU87" s="15"/>
      <c r="KV87" s="15"/>
      <c r="KW87" s="15"/>
      <c r="KX87" s="15"/>
      <c r="KY87" s="15"/>
      <c r="KZ87" s="15"/>
      <c r="LA87" s="15"/>
      <c r="LB87" s="15"/>
      <c r="LC87" s="15"/>
      <c r="LD87" s="15"/>
      <c r="LE87" s="15"/>
      <c r="LF87" s="15"/>
      <c r="LG87" s="15"/>
      <c r="LH87" s="15"/>
      <c r="LI87" s="15"/>
      <c r="LJ87" s="15"/>
      <c r="LK87" s="15"/>
      <c r="LL87" s="15"/>
      <c r="LM87" s="15"/>
      <c r="LN87" s="15"/>
      <c r="LO87" s="15"/>
      <c r="LP87" s="15"/>
      <c r="LQ87" s="15"/>
      <c r="LR87" s="15"/>
      <c r="LS87" s="15"/>
      <c r="LT87" s="15"/>
      <c r="LU87" s="15"/>
      <c r="LV87" s="15"/>
      <c r="LW87" s="15"/>
      <c r="LX87" s="15"/>
      <c r="LY87" s="15"/>
      <c r="LZ87" s="15"/>
      <c r="MA87" s="15"/>
      <c r="MB87" s="15"/>
      <c r="MC87" s="15"/>
      <c r="MD87" s="15"/>
      <c r="ME87" s="15"/>
      <c r="MF87" s="15"/>
      <c r="MG87" s="15"/>
      <c r="MH87" s="15"/>
      <c r="MI87" s="15"/>
      <c r="MJ87" s="15"/>
      <c r="MK87" s="15"/>
      <c r="ML87" s="15"/>
      <c r="MM87" s="15"/>
      <c r="MN87" s="15"/>
      <c r="MO87" s="15"/>
      <c r="MP87" s="15"/>
      <c r="MQ87" s="15"/>
      <c r="MR87" s="15"/>
      <c r="MS87" s="15"/>
      <c r="MT87" s="15"/>
      <c r="MU87" s="15"/>
      <c r="MV87" s="15"/>
      <c r="MW87" s="15"/>
    </row>
    <row r="88" spans="1:361" s="3" customFormat="1" ht="33.75" hidden="1" customHeight="1" thickBot="1" x14ac:dyDescent="0.3">
      <c r="A88" s="28"/>
      <c r="B88" s="179"/>
      <c r="C88" s="31"/>
      <c r="D88" s="52"/>
      <c r="E88" s="12"/>
      <c r="F88" s="48"/>
      <c r="G88" s="48"/>
      <c r="H88" s="58"/>
      <c r="I88" s="153"/>
      <c r="J88" s="11"/>
      <c r="K88" s="11"/>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GT88" s="15"/>
      <c r="GU88" s="15"/>
      <c r="GV88" s="15"/>
      <c r="GW88" s="15"/>
      <c r="GX88" s="15"/>
      <c r="GY88" s="15"/>
      <c r="GZ88" s="15"/>
      <c r="HA88" s="15"/>
      <c r="HB88" s="15"/>
      <c r="HC88" s="15"/>
      <c r="HD88" s="15"/>
      <c r="HE88" s="15"/>
      <c r="HF88" s="15"/>
      <c r="HG88" s="15"/>
      <c r="HH88" s="15"/>
      <c r="HI88" s="15"/>
      <c r="HJ88" s="15"/>
      <c r="HK88" s="15"/>
      <c r="HL88" s="15"/>
      <c r="HM88" s="15"/>
      <c r="HN88" s="15"/>
      <c r="HO88" s="15"/>
      <c r="HP88" s="15"/>
      <c r="HQ88" s="15"/>
      <c r="HR88" s="15"/>
      <c r="HS88" s="15"/>
      <c r="HT88" s="15"/>
      <c r="HU88" s="15"/>
      <c r="HV88" s="15"/>
      <c r="HW88" s="15"/>
      <c r="HX88" s="15"/>
      <c r="HY88" s="15"/>
      <c r="HZ88" s="15"/>
      <c r="IA88" s="15"/>
      <c r="IB88" s="15"/>
      <c r="IC88" s="15"/>
      <c r="ID88" s="15"/>
      <c r="IE88" s="15"/>
      <c r="IF88" s="15"/>
      <c r="IG88" s="15"/>
      <c r="IH88" s="15"/>
      <c r="II88" s="15"/>
      <c r="IJ88" s="15"/>
      <c r="IK88" s="15"/>
      <c r="IL88" s="15"/>
      <c r="IM88" s="15"/>
      <c r="IN88" s="15"/>
      <c r="IO88" s="15"/>
      <c r="IP88" s="15"/>
      <c r="IQ88" s="15"/>
      <c r="IR88" s="15"/>
      <c r="IS88" s="15"/>
      <c r="IT88" s="15"/>
      <c r="IU88" s="15"/>
      <c r="IV88" s="15"/>
      <c r="IW88" s="15"/>
      <c r="IX88" s="15"/>
      <c r="IY88" s="15"/>
      <c r="IZ88" s="15"/>
      <c r="JA88" s="15"/>
      <c r="JB88" s="15"/>
      <c r="JC88" s="15"/>
      <c r="JD88" s="15"/>
      <c r="JE88" s="15"/>
      <c r="JF88" s="15"/>
      <c r="JG88" s="15"/>
      <c r="JH88" s="15"/>
      <c r="JI88" s="15"/>
      <c r="JJ88" s="15"/>
      <c r="JK88" s="15"/>
      <c r="JL88" s="15"/>
      <c r="JM88" s="15"/>
      <c r="JN88" s="15"/>
      <c r="JO88" s="15"/>
      <c r="JP88" s="15"/>
      <c r="JQ88" s="15"/>
      <c r="JR88" s="15"/>
      <c r="JS88" s="15"/>
      <c r="JT88" s="15"/>
      <c r="JU88" s="15"/>
      <c r="JV88" s="15"/>
      <c r="JW88" s="15"/>
      <c r="JX88" s="15"/>
      <c r="JY88" s="15"/>
      <c r="JZ88" s="15"/>
      <c r="KA88" s="15"/>
      <c r="KB88" s="15"/>
      <c r="KC88" s="15"/>
      <c r="KD88" s="15"/>
      <c r="KE88" s="15"/>
      <c r="KF88" s="15"/>
      <c r="KG88" s="15"/>
      <c r="KH88" s="15"/>
      <c r="KI88" s="15"/>
      <c r="KJ88" s="15"/>
      <c r="KK88" s="15"/>
      <c r="KL88" s="15"/>
      <c r="KM88" s="15"/>
      <c r="KN88" s="15"/>
      <c r="KO88" s="15"/>
      <c r="KP88" s="15"/>
      <c r="KQ88" s="15"/>
      <c r="KR88" s="15"/>
      <c r="KS88" s="15"/>
      <c r="KT88" s="15"/>
      <c r="KU88" s="15"/>
      <c r="KV88" s="15"/>
      <c r="KW88" s="15"/>
      <c r="KX88" s="15"/>
      <c r="KY88" s="15"/>
      <c r="KZ88" s="15"/>
      <c r="LA88" s="15"/>
      <c r="LB88" s="15"/>
      <c r="LC88" s="15"/>
      <c r="LD88" s="15"/>
      <c r="LE88" s="15"/>
      <c r="LF88" s="15"/>
      <c r="LG88" s="15"/>
      <c r="LH88" s="15"/>
      <c r="LI88" s="15"/>
      <c r="LJ88" s="15"/>
      <c r="LK88" s="15"/>
      <c r="LL88" s="15"/>
      <c r="LM88" s="15"/>
      <c r="LN88" s="15"/>
      <c r="LO88" s="15"/>
      <c r="LP88" s="15"/>
      <c r="LQ88" s="15"/>
      <c r="LR88" s="15"/>
      <c r="LS88" s="15"/>
      <c r="LT88" s="15"/>
      <c r="LU88" s="15"/>
      <c r="LV88" s="15"/>
      <c r="LW88" s="15"/>
      <c r="LX88" s="15"/>
      <c r="LY88" s="15"/>
      <c r="LZ88" s="15"/>
      <c r="MA88" s="15"/>
      <c r="MB88" s="15"/>
      <c r="MC88" s="15"/>
      <c r="MD88" s="15"/>
      <c r="ME88" s="15"/>
      <c r="MF88" s="15"/>
      <c r="MG88" s="15"/>
      <c r="MH88" s="15"/>
      <c r="MI88" s="15"/>
      <c r="MJ88" s="15"/>
      <c r="MK88" s="15"/>
      <c r="ML88" s="15"/>
      <c r="MM88" s="15"/>
      <c r="MN88" s="15"/>
      <c r="MO88" s="15"/>
      <c r="MP88" s="15"/>
      <c r="MQ88" s="15"/>
      <c r="MR88" s="15"/>
      <c r="MS88" s="15"/>
      <c r="MT88" s="15"/>
      <c r="MU88" s="15"/>
      <c r="MV88" s="15"/>
      <c r="MW88" s="15"/>
    </row>
    <row r="89" spans="1:361" s="3" customFormat="1" ht="15.75" thickBot="1" x14ac:dyDescent="0.3">
      <c r="A89" s="28"/>
      <c r="B89" s="202" t="s">
        <v>266</v>
      </c>
      <c r="C89" s="203"/>
      <c r="D89" s="204"/>
      <c r="E89" s="205"/>
      <c r="F89" s="206"/>
      <c r="G89" s="207"/>
      <c r="H89" s="208"/>
      <c r="I89" s="209"/>
      <c r="J89" s="11"/>
      <c r="K89" s="11"/>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c r="FA89" s="15"/>
      <c r="FB89" s="15"/>
      <c r="FC89" s="15"/>
      <c r="FD89" s="15"/>
      <c r="FE89" s="15"/>
      <c r="FF89" s="15"/>
      <c r="FG89" s="15"/>
      <c r="FH89" s="15"/>
      <c r="FI89" s="15"/>
      <c r="FJ89" s="15"/>
      <c r="FK89" s="15"/>
      <c r="FL89" s="15"/>
      <c r="FM89" s="15"/>
      <c r="FN89" s="15"/>
      <c r="FO89" s="15"/>
      <c r="FP89" s="15"/>
      <c r="FQ89" s="15"/>
      <c r="FR89" s="15"/>
      <c r="FS89" s="15"/>
      <c r="FT89" s="15"/>
      <c r="FU89" s="15"/>
      <c r="FV89" s="15"/>
      <c r="FW89" s="15"/>
      <c r="FX89" s="15"/>
      <c r="FY89" s="15"/>
      <c r="FZ89" s="15"/>
      <c r="GA89" s="15"/>
      <c r="GB89" s="15"/>
      <c r="GC89" s="15"/>
      <c r="GD89" s="15"/>
      <c r="GE89" s="15"/>
      <c r="GF89" s="15"/>
      <c r="GG89" s="15"/>
      <c r="GH89" s="15"/>
      <c r="GI89" s="15"/>
      <c r="GJ89" s="15"/>
      <c r="GK89" s="15"/>
      <c r="GL89" s="15"/>
      <c r="GM89" s="15"/>
      <c r="GN89" s="15"/>
      <c r="GO89" s="15"/>
      <c r="GP89" s="15"/>
      <c r="GQ89" s="15"/>
      <c r="GR89" s="15"/>
      <c r="GS89" s="15"/>
      <c r="GT89" s="15"/>
      <c r="GU89" s="15"/>
      <c r="GV89" s="15"/>
      <c r="GW89" s="15"/>
      <c r="GX89" s="15"/>
      <c r="GY89" s="15"/>
      <c r="GZ89" s="15"/>
      <c r="HA89" s="15"/>
      <c r="HB89" s="15"/>
      <c r="HC89" s="15"/>
      <c r="HD89" s="15"/>
      <c r="HE89" s="15"/>
      <c r="HF89" s="15"/>
      <c r="HG89" s="15"/>
      <c r="HH89" s="15"/>
      <c r="HI89" s="15"/>
      <c r="HJ89" s="15"/>
      <c r="HK89" s="15"/>
      <c r="HL89" s="15"/>
      <c r="HM89" s="15"/>
      <c r="HN89" s="15"/>
      <c r="HO89" s="15"/>
      <c r="HP89" s="15"/>
      <c r="HQ89" s="15"/>
      <c r="HR89" s="15"/>
      <c r="HS89" s="15"/>
      <c r="HT89" s="15"/>
      <c r="HU89" s="15"/>
      <c r="HV89" s="15"/>
      <c r="HW89" s="15"/>
      <c r="HX89" s="15"/>
      <c r="HY89" s="15"/>
      <c r="HZ89" s="15"/>
      <c r="IA89" s="15"/>
      <c r="IB89" s="15"/>
      <c r="IC89" s="15"/>
      <c r="ID89" s="15"/>
      <c r="IE89" s="15"/>
      <c r="IF89" s="15"/>
      <c r="IG89" s="15"/>
      <c r="IH89" s="15"/>
      <c r="II89" s="15"/>
      <c r="IJ89" s="15"/>
      <c r="IK89" s="15"/>
      <c r="IL89" s="15"/>
      <c r="IM89" s="15"/>
      <c r="IN89" s="15"/>
      <c r="IO89" s="15"/>
      <c r="IP89" s="15"/>
      <c r="IQ89" s="15"/>
      <c r="IR89" s="15"/>
      <c r="IS89" s="15"/>
      <c r="IT89" s="15"/>
      <c r="IU89" s="15"/>
      <c r="IV89" s="15"/>
      <c r="IW89" s="15"/>
      <c r="IX89" s="15"/>
      <c r="IY89" s="15"/>
      <c r="IZ89" s="15"/>
      <c r="JA89" s="15"/>
      <c r="JB89" s="15"/>
      <c r="JC89" s="15"/>
      <c r="JD89" s="15"/>
      <c r="JE89" s="15"/>
      <c r="JF89" s="15"/>
      <c r="JG89" s="15"/>
      <c r="JH89" s="15"/>
      <c r="JI89" s="15"/>
      <c r="JJ89" s="15"/>
      <c r="JK89" s="15"/>
      <c r="JL89" s="15"/>
      <c r="JM89" s="15"/>
      <c r="JN89" s="15"/>
      <c r="JO89" s="15"/>
      <c r="JP89" s="15"/>
      <c r="JQ89" s="15"/>
      <c r="JR89" s="15"/>
      <c r="JS89" s="15"/>
      <c r="JT89" s="15"/>
      <c r="JU89" s="15"/>
      <c r="JV89" s="15"/>
      <c r="JW89" s="15"/>
      <c r="JX89" s="15"/>
      <c r="JY89" s="15"/>
      <c r="JZ89" s="15"/>
      <c r="KA89" s="15"/>
      <c r="KB89" s="15"/>
      <c r="KC89" s="15"/>
      <c r="KD89" s="15"/>
      <c r="KE89" s="15"/>
      <c r="KF89" s="15"/>
      <c r="KG89" s="15"/>
      <c r="KH89" s="15"/>
      <c r="KI89" s="15"/>
      <c r="KJ89" s="15"/>
      <c r="KK89" s="15"/>
      <c r="KL89" s="15"/>
      <c r="KM89" s="15"/>
      <c r="KN89" s="15"/>
      <c r="KO89" s="15"/>
      <c r="KP89" s="15"/>
      <c r="KQ89" s="15"/>
      <c r="KR89" s="15"/>
      <c r="KS89" s="15"/>
      <c r="KT89" s="15"/>
      <c r="KU89" s="15"/>
      <c r="KV89" s="15"/>
      <c r="KW89" s="15"/>
      <c r="KX89" s="15"/>
      <c r="KY89" s="15"/>
      <c r="KZ89" s="15"/>
      <c r="LA89" s="15"/>
      <c r="LB89" s="15"/>
      <c r="LC89" s="15"/>
      <c r="LD89" s="15"/>
      <c r="LE89" s="15"/>
      <c r="LF89" s="15"/>
      <c r="LG89" s="15"/>
      <c r="LH89" s="15"/>
      <c r="LI89" s="15"/>
      <c r="LJ89" s="15"/>
      <c r="LK89" s="15"/>
      <c r="LL89" s="15"/>
      <c r="LM89" s="15"/>
      <c r="LN89" s="15"/>
      <c r="LO89" s="15"/>
      <c r="LP89" s="15"/>
      <c r="LQ89" s="15"/>
      <c r="LR89" s="15"/>
      <c r="LS89" s="15"/>
      <c r="LT89" s="15"/>
      <c r="LU89" s="15"/>
      <c r="LV89" s="15"/>
      <c r="LW89" s="15"/>
      <c r="LX89" s="15"/>
      <c r="LY89" s="15"/>
      <c r="LZ89" s="15"/>
      <c r="MA89" s="15"/>
      <c r="MB89" s="15"/>
      <c r="MC89" s="15"/>
      <c r="MD89" s="15"/>
      <c r="ME89" s="15"/>
      <c r="MF89" s="15"/>
      <c r="MG89" s="15"/>
      <c r="MH89" s="15"/>
      <c r="MI89" s="15"/>
      <c r="MJ89" s="15"/>
      <c r="MK89" s="15"/>
      <c r="ML89" s="15"/>
      <c r="MM89" s="15"/>
      <c r="MN89" s="15"/>
      <c r="MO89" s="15"/>
      <c r="MP89" s="15"/>
      <c r="MQ89" s="15"/>
      <c r="MR89" s="15"/>
      <c r="MS89" s="15"/>
      <c r="MT89" s="15"/>
      <c r="MU89" s="15"/>
      <c r="MV89" s="15"/>
      <c r="MW89" s="15"/>
    </row>
    <row r="90" spans="1:361" s="3" customFormat="1" ht="16.5" thickBot="1" x14ac:dyDescent="0.3">
      <c r="A90" s="28"/>
      <c r="B90" s="219" t="s">
        <v>267</v>
      </c>
      <c r="C90" s="220"/>
      <c r="D90" s="221"/>
      <c r="E90" s="222"/>
      <c r="F90" s="223"/>
      <c r="G90" s="223"/>
      <c r="H90" s="224"/>
      <c r="I90" s="225"/>
      <c r="J90" s="11"/>
      <c r="K90" s="11"/>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15"/>
      <c r="GI90" s="15"/>
      <c r="GJ90" s="15"/>
      <c r="GK90" s="15"/>
      <c r="GL90" s="15"/>
      <c r="GM90" s="15"/>
      <c r="GN90" s="15"/>
      <c r="GO90" s="15"/>
      <c r="GP90" s="15"/>
      <c r="GQ90" s="15"/>
      <c r="GR90" s="15"/>
      <c r="GS90" s="15"/>
      <c r="GT90" s="15"/>
      <c r="GU90" s="15"/>
      <c r="GV90" s="15"/>
      <c r="GW90" s="15"/>
      <c r="GX90" s="15"/>
      <c r="GY90" s="15"/>
      <c r="GZ90" s="15"/>
      <c r="HA90" s="15"/>
      <c r="HB90" s="15"/>
      <c r="HC90" s="15"/>
      <c r="HD90" s="15"/>
      <c r="HE90" s="15"/>
      <c r="HF90" s="15"/>
      <c r="HG90" s="15"/>
      <c r="HH90" s="15"/>
      <c r="HI90" s="15"/>
      <c r="HJ90" s="15"/>
      <c r="HK90" s="15"/>
      <c r="HL90" s="15"/>
      <c r="HM90" s="15"/>
      <c r="HN90" s="15"/>
      <c r="HO90" s="15"/>
      <c r="HP90" s="15"/>
      <c r="HQ90" s="15"/>
      <c r="HR90" s="15"/>
      <c r="HS90" s="15"/>
      <c r="HT90" s="15"/>
      <c r="HU90" s="15"/>
      <c r="HV90" s="15"/>
      <c r="HW90" s="15"/>
      <c r="HX90" s="15"/>
      <c r="HY90" s="15"/>
      <c r="HZ90" s="15"/>
      <c r="IA90" s="15"/>
      <c r="IB90" s="15"/>
      <c r="IC90" s="15"/>
      <c r="ID90" s="15"/>
      <c r="IE90" s="15"/>
      <c r="IF90" s="15"/>
      <c r="IG90" s="15"/>
      <c r="IH90" s="15"/>
      <c r="II90" s="15"/>
      <c r="IJ90" s="15"/>
      <c r="IK90" s="15"/>
      <c r="IL90" s="15"/>
      <c r="IM90" s="15"/>
      <c r="IN90" s="15"/>
      <c r="IO90" s="15"/>
      <c r="IP90" s="15"/>
      <c r="IQ90" s="15"/>
      <c r="IR90" s="15"/>
      <c r="IS90" s="15"/>
      <c r="IT90" s="15"/>
      <c r="IU90" s="15"/>
      <c r="IV90" s="15"/>
      <c r="IW90" s="15"/>
      <c r="IX90" s="15"/>
      <c r="IY90" s="15"/>
      <c r="IZ90" s="15"/>
      <c r="JA90" s="15"/>
      <c r="JB90" s="15"/>
      <c r="JC90" s="15"/>
      <c r="JD90" s="15"/>
      <c r="JE90" s="15"/>
      <c r="JF90" s="15"/>
      <c r="JG90" s="15"/>
      <c r="JH90" s="15"/>
      <c r="JI90" s="15"/>
      <c r="JJ90" s="15"/>
      <c r="JK90" s="15"/>
      <c r="JL90" s="15"/>
      <c r="JM90" s="15"/>
      <c r="JN90" s="15"/>
      <c r="JO90" s="15"/>
      <c r="JP90" s="15"/>
      <c r="JQ90" s="15"/>
      <c r="JR90" s="15"/>
      <c r="JS90" s="15"/>
      <c r="JT90" s="15"/>
      <c r="JU90" s="15"/>
      <c r="JV90" s="15"/>
      <c r="JW90" s="15"/>
      <c r="JX90" s="15"/>
      <c r="JY90" s="15"/>
      <c r="JZ90" s="15"/>
      <c r="KA90" s="15"/>
      <c r="KB90" s="15"/>
      <c r="KC90" s="15"/>
      <c r="KD90" s="15"/>
      <c r="KE90" s="15"/>
      <c r="KF90" s="15"/>
      <c r="KG90" s="15"/>
      <c r="KH90" s="15"/>
      <c r="KI90" s="15"/>
      <c r="KJ90" s="15"/>
      <c r="KK90" s="15"/>
      <c r="KL90" s="15"/>
      <c r="KM90" s="15"/>
      <c r="KN90" s="15"/>
      <c r="KO90" s="15"/>
      <c r="KP90" s="15"/>
      <c r="KQ90" s="15"/>
      <c r="KR90" s="15"/>
      <c r="KS90" s="15"/>
      <c r="KT90" s="15"/>
      <c r="KU90" s="15"/>
      <c r="KV90" s="15"/>
      <c r="KW90" s="15"/>
      <c r="KX90" s="15"/>
      <c r="KY90" s="15"/>
      <c r="KZ90" s="15"/>
      <c r="LA90" s="15"/>
      <c r="LB90" s="15"/>
      <c r="LC90" s="15"/>
      <c r="LD90" s="15"/>
      <c r="LE90" s="15"/>
      <c r="LF90" s="15"/>
      <c r="LG90" s="15"/>
      <c r="LH90" s="15"/>
      <c r="LI90" s="15"/>
      <c r="LJ90" s="15"/>
      <c r="LK90" s="15"/>
      <c r="LL90" s="15"/>
      <c r="LM90" s="15"/>
      <c r="LN90" s="15"/>
      <c r="LO90" s="15"/>
      <c r="LP90" s="15"/>
      <c r="LQ90" s="15"/>
      <c r="LR90" s="15"/>
      <c r="LS90" s="15"/>
      <c r="LT90" s="15"/>
      <c r="LU90" s="15"/>
      <c r="LV90" s="15"/>
      <c r="LW90" s="15"/>
      <c r="LX90" s="15"/>
      <c r="LY90" s="15"/>
      <c r="LZ90" s="15"/>
      <c r="MA90" s="15"/>
      <c r="MB90" s="15"/>
      <c r="MC90" s="15"/>
      <c r="MD90" s="15"/>
      <c r="ME90" s="15"/>
      <c r="MF90" s="15"/>
      <c r="MG90" s="15"/>
      <c r="MH90" s="15"/>
      <c r="MI90" s="15"/>
      <c r="MJ90" s="15"/>
      <c r="MK90" s="15"/>
      <c r="ML90" s="15"/>
      <c r="MM90" s="15"/>
      <c r="MN90" s="15"/>
      <c r="MO90" s="15"/>
      <c r="MP90" s="15"/>
      <c r="MQ90" s="15"/>
      <c r="MR90" s="15"/>
      <c r="MS90" s="15"/>
      <c r="MT90" s="15"/>
      <c r="MU90" s="15"/>
      <c r="MV90" s="15"/>
      <c r="MW90" s="15"/>
    </row>
    <row r="91" spans="1:361" s="3" customFormat="1" ht="30.75" thickBot="1" x14ac:dyDescent="0.3">
      <c r="A91" s="28"/>
      <c r="B91" s="211" t="s">
        <v>269</v>
      </c>
      <c r="C91" s="212" t="s">
        <v>270</v>
      </c>
      <c r="D91" s="213" t="s">
        <v>271</v>
      </c>
      <c r="E91" s="214">
        <v>1</v>
      </c>
      <c r="F91" s="215">
        <v>27</v>
      </c>
      <c r="G91" s="215">
        <v>46059</v>
      </c>
      <c r="H91" s="216" t="s">
        <v>130</v>
      </c>
      <c r="I91" s="216"/>
      <c r="J91" s="11"/>
      <c r="K91" s="11"/>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15"/>
      <c r="GI91" s="15"/>
      <c r="GJ91" s="15"/>
      <c r="GK91" s="15"/>
      <c r="GL91" s="15"/>
      <c r="GM91" s="15"/>
      <c r="GN91" s="15"/>
      <c r="GO91" s="15"/>
      <c r="GP91" s="15"/>
      <c r="GQ91" s="15"/>
      <c r="GR91" s="15"/>
      <c r="GS91" s="15"/>
      <c r="GT91" s="15"/>
      <c r="GU91" s="15"/>
      <c r="GV91" s="15"/>
      <c r="GW91" s="15"/>
      <c r="GX91" s="15"/>
      <c r="GY91" s="15"/>
      <c r="GZ91" s="15"/>
      <c r="HA91" s="15"/>
      <c r="HB91" s="15"/>
      <c r="HC91" s="15"/>
      <c r="HD91" s="15"/>
      <c r="HE91" s="15"/>
      <c r="HF91" s="15"/>
      <c r="HG91" s="15"/>
      <c r="HH91" s="15"/>
      <c r="HI91" s="15"/>
      <c r="HJ91" s="15"/>
      <c r="HK91" s="15"/>
      <c r="HL91" s="15"/>
      <c r="HM91" s="15"/>
      <c r="HN91" s="15"/>
      <c r="HO91" s="15"/>
      <c r="HP91" s="15"/>
      <c r="HQ91" s="15"/>
      <c r="HR91" s="15"/>
      <c r="HS91" s="15"/>
      <c r="HT91" s="15"/>
      <c r="HU91" s="15"/>
      <c r="HV91" s="15"/>
      <c r="HW91" s="15"/>
      <c r="HX91" s="15"/>
      <c r="HY91" s="15"/>
      <c r="HZ91" s="15"/>
      <c r="IA91" s="15"/>
      <c r="IB91" s="15"/>
      <c r="IC91" s="15"/>
      <c r="ID91" s="15"/>
      <c r="IE91" s="15"/>
      <c r="IF91" s="15"/>
      <c r="IG91" s="15"/>
      <c r="IH91" s="15"/>
      <c r="II91" s="15"/>
      <c r="IJ91" s="15"/>
      <c r="IK91" s="15"/>
      <c r="IL91" s="15"/>
      <c r="IM91" s="15"/>
      <c r="IN91" s="15"/>
      <c r="IO91" s="15"/>
      <c r="IP91" s="15"/>
      <c r="IQ91" s="15"/>
      <c r="IR91" s="15"/>
      <c r="IS91" s="15"/>
      <c r="IT91" s="15"/>
      <c r="IU91" s="15"/>
      <c r="IV91" s="15"/>
      <c r="IW91" s="15"/>
      <c r="IX91" s="15"/>
      <c r="IY91" s="15"/>
      <c r="IZ91" s="15"/>
      <c r="JA91" s="15"/>
      <c r="JB91" s="15"/>
      <c r="JC91" s="15"/>
      <c r="JD91" s="15"/>
      <c r="JE91" s="15"/>
      <c r="JF91" s="15"/>
      <c r="JG91" s="15"/>
      <c r="JH91" s="15"/>
      <c r="JI91" s="15"/>
      <c r="JJ91" s="15"/>
      <c r="JK91" s="15"/>
      <c r="JL91" s="15"/>
      <c r="JM91" s="15"/>
      <c r="JN91" s="15"/>
      <c r="JO91" s="15"/>
      <c r="JP91" s="15"/>
      <c r="JQ91" s="15"/>
      <c r="JR91" s="15"/>
      <c r="JS91" s="15"/>
      <c r="JT91" s="15"/>
      <c r="JU91" s="15"/>
      <c r="JV91" s="15"/>
      <c r="JW91" s="15"/>
      <c r="JX91" s="15"/>
      <c r="JY91" s="15"/>
      <c r="JZ91" s="15"/>
      <c r="KA91" s="15"/>
      <c r="KB91" s="15"/>
      <c r="KC91" s="15"/>
      <c r="KD91" s="15"/>
      <c r="KE91" s="15"/>
      <c r="KF91" s="15"/>
      <c r="KG91" s="15"/>
      <c r="KH91" s="15"/>
      <c r="KI91" s="15"/>
      <c r="KJ91" s="15"/>
      <c r="KK91" s="15"/>
      <c r="KL91" s="15"/>
      <c r="KM91" s="15"/>
      <c r="KN91" s="15"/>
      <c r="KO91" s="15"/>
      <c r="KP91" s="15"/>
      <c r="KQ91" s="15"/>
      <c r="KR91" s="15"/>
      <c r="KS91" s="15"/>
      <c r="KT91" s="15"/>
      <c r="KU91" s="15"/>
      <c r="KV91" s="15"/>
      <c r="KW91" s="15"/>
      <c r="KX91" s="15"/>
      <c r="KY91" s="15"/>
      <c r="KZ91" s="15"/>
      <c r="LA91" s="15"/>
      <c r="LB91" s="15"/>
      <c r="LC91" s="15"/>
      <c r="LD91" s="15"/>
      <c r="LE91" s="15"/>
      <c r="LF91" s="15"/>
      <c r="LG91" s="15"/>
      <c r="LH91" s="15"/>
      <c r="LI91" s="15"/>
      <c r="LJ91" s="15"/>
      <c r="LK91" s="15"/>
      <c r="LL91" s="15"/>
      <c r="LM91" s="15"/>
      <c r="LN91" s="15"/>
      <c r="LO91" s="15"/>
      <c r="LP91" s="15"/>
      <c r="LQ91" s="15"/>
      <c r="LR91" s="15"/>
      <c r="LS91" s="15"/>
      <c r="LT91" s="15"/>
      <c r="LU91" s="15"/>
      <c r="LV91" s="15"/>
      <c r="LW91" s="15"/>
      <c r="LX91" s="15"/>
      <c r="LY91" s="15"/>
      <c r="LZ91" s="15"/>
      <c r="MA91" s="15"/>
      <c r="MB91" s="15"/>
      <c r="MC91" s="15"/>
      <c r="MD91" s="15"/>
      <c r="ME91" s="15"/>
      <c r="MF91" s="15"/>
      <c r="MG91" s="15"/>
      <c r="MH91" s="15"/>
      <c r="MI91" s="15"/>
      <c r="MJ91" s="15"/>
      <c r="MK91" s="15"/>
      <c r="ML91" s="15"/>
      <c r="MM91" s="15"/>
      <c r="MN91" s="15"/>
      <c r="MO91" s="15"/>
      <c r="MP91" s="15"/>
      <c r="MQ91" s="15"/>
      <c r="MR91" s="15"/>
      <c r="MS91" s="15"/>
      <c r="MT91" s="15"/>
      <c r="MU91" s="15"/>
      <c r="MV91" s="15"/>
      <c r="MW91" s="15"/>
    </row>
    <row r="92" spans="1:361" s="3" customFormat="1" ht="16.5" thickBot="1" x14ac:dyDescent="0.3">
      <c r="A92" s="28"/>
      <c r="B92" s="219" t="s">
        <v>268</v>
      </c>
      <c r="C92" s="220"/>
      <c r="D92" s="221"/>
      <c r="E92" s="222"/>
      <c r="F92" s="223"/>
      <c r="G92" s="223"/>
      <c r="H92" s="224"/>
      <c r="I92" s="225"/>
      <c r="J92" s="11"/>
      <c r="K92" s="11"/>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15"/>
      <c r="GI92" s="15"/>
      <c r="GJ92" s="15"/>
      <c r="GK92" s="15"/>
      <c r="GL92" s="15"/>
      <c r="GM92" s="15"/>
      <c r="GN92" s="15"/>
      <c r="GO92" s="15"/>
      <c r="GP92" s="15"/>
      <c r="GQ92" s="15"/>
      <c r="GR92" s="15"/>
      <c r="GS92" s="15"/>
      <c r="GT92" s="15"/>
      <c r="GU92" s="15"/>
      <c r="GV92" s="15"/>
      <c r="GW92" s="15"/>
      <c r="GX92" s="15"/>
      <c r="GY92" s="15"/>
      <c r="GZ92" s="15"/>
      <c r="HA92" s="15"/>
      <c r="HB92" s="15"/>
      <c r="HC92" s="15"/>
      <c r="HD92" s="15"/>
      <c r="HE92" s="15"/>
      <c r="HF92" s="15"/>
      <c r="HG92" s="15"/>
      <c r="HH92" s="15"/>
      <c r="HI92" s="15"/>
      <c r="HJ92" s="15"/>
      <c r="HK92" s="15"/>
      <c r="HL92" s="15"/>
      <c r="HM92" s="15"/>
      <c r="HN92" s="15"/>
      <c r="HO92" s="15"/>
      <c r="HP92" s="15"/>
      <c r="HQ92" s="15"/>
      <c r="HR92" s="15"/>
      <c r="HS92" s="15"/>
      <c r="HT92" s="15"/>
      <c r="HU92" s="15"/>
      <c r="HV92" s="15"/>
      <c r="HW92" s="15"/>
      <c r="HX92" s="15"/>
      <c r="HY92" s="15"/>
      <c r="HZ92" s="15"/>
      <c r="IA92" s="15"/>
      <c r="IB92" s="15"/>
      <c r="IC92" s="15"/>
      <c r="ID92" s="15"/>
      <c r="IE92" s="15"/>
      <c r="IF92" s="15"/>
      <c r="IG92" s="15"/>
      <c r="IH92" s="15"/>
      <c r="II92" s="15"/>
      <c r="IJ92" s="15"/>
      <c r="IK92" s="15"/>
      <c r="IL92" s="15"/>
      <c r="IM92" s="15"/>
      <c r="IN92" s="15"/>
      <c r="IO92" s="15"/>
      <c r="IP92" s="15"/>
      <c r="IQ92" s="15"/>
      <c r="IR92" s="15"/>
      <c r="IS92" s="15"/>
      <c r="IT92" s="15"/>
      <c r="IU92" s="15"/>
      <c r="IV92" s="15"/>
      <c r="IW92" s="15"/>
      <c r="IX92" s="15"/>
      <c r="IY92" s="15"/>
      <c r="IZ92" s="15"/>
      <c r="JA92" s="15"/>
      <c r="JB92" s="15"/>
      <c r="JC92" s="15"/>
      <c r="JD92" s="15"/>
      <c r="JE92" s="15"/>
      <c r="JF92" s="15"/>
      <c r="JG92" s="15"/>
      <c r="JH92" s="15"/>
      <c r="JI92" s="15"/>
      <c r="JJ92" s="15"/>
      <c r="JK92" s="15"/>
      <c r="JL92" s="15"/>
      <c r="JM92" s="15"/>
      <c r="JN92" s="15"/>
      <c r="JO92" s="15"/>
      <c r="JP92" s="15"/>
      <c r="JQ92" s="15"/>
      <c r="JR92" s="15"/>
      <c r="JS92" s="15"/>
      <c r="JT92" s="15"/>
      <c r="JU92" s="15"/>
      <c r="JV92" s="15"/>
      <c r="JW92" s="15"/>
      <c r="JX92" s="15"/>
      <c r="JY92" s="15"/>
      <c r="JZ92" s="15"/>
      <c r="KA92" s="15"/>
      <c r="KB92" s="15"/>
      <c r="KC92" s="15"/>
      <c r="KD92" s="15"/>
      <c r="KE92" s="15"/>
      <c r="KF92" s="15"/>
      <c r="KG92" s="15"/>
      <c r="KH92" s="15"/>
      <c r="KI92" s="15"/>
      <c r="KJ92" s="15"/>
      <c r="KK92" s="15"/>
      <c r="KL92" s="15"/>
      <c r="KM92" s="15"/>
      <c r="KN92" s="15"/>
      <c r="KO92" s="15"/>
      <c r="KP92" s="15"/>
      <c r="KQ92" s="15"/>
      <c r="KR92" s="15"/>
      <c r="KS92" s="15"/>
      <c r="KT92" s="15"/>
      <c r="KU92" s="15"/>
      <c r="KV92" s="15"/>
      <c r="KW92" s="15"/>
      <c r="KX92" s="15"/>
      <c r="KY92" s="15"/>
      <c r="KZ92" s="15"/>
      <c r="LA92" s="15"/>
      <c r="LB92" s="15"/>
      <c r="LC92" s="15"/>
      <c r="LD92" s="15"/>
      <c r="LE92" s="15"/>
      <c r="LF92" s="15"/>
      <c r="LG92" s="15"/>
      <c r="LH92" s="15"/>
      <c r="LI92" s="15"/>
      <c r="LJ92" s="15"/>
      <c r="LK92" s="15"/>
      <c r="LL92" s="15"/>
      <c r="LM92" s="15"/>
      <c r="LN92" s="15"/>
      <c r="LO92" s="15"/>
      <c r="LP92" s="15"/>
      <c r="LQ92" s="15"/>
      <c r="LR92" s="15"/>
      <c r="LS92" s="15"/>
      <c r="LT92" s="15"/>
      <c r="LU92" s="15"/>
      <c r="LV92" s="15"/>
      <c r="LW92" s="15"/>
      <c r="LX92" s="15"/>
      <c r="LY92" s="15"/>
      <c r="LZ92" s="15"/>
      <c r="MA92" s="15"/>
      <c r="MB92" s="15"/>
      <c r="MC92" s="15"/>
      <c r="MD92" s="15"/>
      <c r="ME92" s="15"/>
      <c r="MF92" s="15"/>
      <c r="MG92" s="15"/>
      <c r="MH92" s="15"/>
      <c r="MI92" s="15"/>
      <c r="MJ92" s="15"/>
      <c r="MK92" s="15"/>
      <c r="ML92" s="15"/>
      <c r="MM92" s="15"/>
      <c r="MN92" s="15"/>
      <c r="MO92" s="15"/>
      <c r="MP92" s="15"/>
      <c r="MQ92" s="15"/>
      <c r="MR92" s="15"/>
      <c r="MS92" s="15"/>
      <c r="MT92" s="15"/>
      <c r="MU92" s="15"/>
      <c r="MV92" s="15"/>
      <c r="MW92" s="15"/>
    </row>
    <row r="93" spans="1:361" s="3" customFormat="1" ht="30.75" thickBot="1" x14ac:dyDescent="0.3">
      <c r="A93" s="28"/>
      <c r="B93" s="211" t="s">
        <v>272</v>
      </c>
      <c r="C93" s="212" t="s">
        <v>109</v>
      </c>
      <c r="D93" s="213" t="s">
        <v>273</v>
      </c>
      <c r="E93" s="214">
        <v>1</v>
      </c>
      <c r="F93" s="215">
        <v>46049</v>
      </c>
      <c r="G93" s="215">
        <v>46064</v>
      </c>
      <c r="H93" s="216" t="s">
        <v>274</v>
      </c>
      <c r="I93" s="216"/>
      <c r="J93" s="11"/>
      <c r="K93" s="11"/>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15"/>
      <c r="HQ93" s="15"/>
      <c r="HR93" s="15"/>
      <c r="HS93" s="15"/>
      <c r="HT93" s="15"/>
      <c r="HU93" s="15"/>
      <c r="HV93" s="15"/>
      <c r="HW93" s="15"/>
      <c r="HX93" s="15"/>
      <c r="HY93" s="15"/>
      <c r="HZ93" s="15"/>
      <c r="IA93" s="15"/>
      <c r="IB93" s="15"/>
      <c r="IC93" s="15"/>
      <c r="ID93" s="15"/>
      <c r="IE93" s="15"/>
      <c r="IF93" s="15"/>
      <c r="IG93" s="15"/>
      <c r="IH93" s="15"/>
      <c r="II93" s="15"/>
      <c r="IJ93" s="15"/>
      <c r="IK93" s="15"/>
      <c r="IL93" s="15"/>
      <c r="IM93" s="15"/>
      <c r="IN93" s="15"/>
      <c r="IO93" s="15"/>
      <c r="IP93" s="15"/>
      <c r="IQ93" s="15"/>
      <c r="IR93" s="15"/>
      <c r="IS93" s="15"/>
      <c r="IT93" s="15"/>
      <c r="IU93" s="15"/>
      <c r="IV93" s="15"/>
      <c r="IW93" s="15"/>
      <c r="IX93" s="15"/>
      <c r="IY93" s="15"/>
      <c r="IZ93" s="15"/>
      <c r="JA93" s="15"/>
      <c r="JB93" s="15"/>
      <c r="JC93" s="15"/>
      <c r="JD93" s="15"/>
      <c r="JE93" s="15"/>
      <c r="JF93" s="15"/>
      <c r="JG93" s="15"/>
      <c r="JH93" s="15"/>
      <c r="JI93" s="15"/>
      <c r="JJ93" s="15"/>
      <c r="JK93" s="15"/>
      <c r="JL93" s="15"/>
      <c r="JM93" s="15"/>
      <c r="JN93" s="15"/>
      <c r="JO93" s="15"/>
      <c r="JP93" s="15"/>
      <c r="JQ93" s="15"/>
      <c r="JR93" s="15"/>
      <c r="JS93" s="15"/>
      <c r="JT93" s="15"/>
      <c r="JU93" s="15"/>
      <c r="JV93" s="15"/>
      <c r="JW93" s="15"/>
      <c r="JX93" s="15"/>
      <c r="JY93" s="15"/>
      <c r="JZ93" s="15"/>
      <c r="KA93" s="15"/>
      <c r="KB93" s="15"/>
      <c r="KC93" s="15"/>
      <c r="KD93" s="15"/>
      <c r="KE93" s="15"/>
      <c r="KF93" s="15"/>
      <c r="KG93" s="15"/>
      <c r="KH93" s="15"/>
      <c r="KI93" s="15"/>
      <c r="KJ93" s="15"/>
      <c r="KK93" s="15"/>
      <c r="KL93" s="15"/>
      <c r="KM93" s="15"/>
      <c r="KN93" s="15"/>
      <c r="KO93" s="15"/>
      <c r="KP93" s="15"/>
      <c r="KQ93" s="15"/>
      <c r="KR93" s="15"/>
      <c r="KS93" s="15"/>
      <c r="KT93" s="15"/>
      <c r="KU93" s="15"/>
      <c r="KV93" s="15"/>
      <c r="KW93" s="15"/>
      <c r="KX93" s="15"/>
      <c r="KY93" s="15"/>
      <c r="KZ93" s="15"/>
      <c r="LA93" s="15"/>
      <c r="LB93" s="15"/>
      <c r="LC93" s="15"/>
      <c r="LD93" s="15"/>
      <c r="LE93" s="15"/>
      <c r="LF93" s="15"/>
      <c r="LG93" s="15"/>
      <c r="LH93" s="15"/>
      <c r="LI93" s="15"/>
      <c r="LJ93" s="15"/>
      <c r="LK93" s="15"/>
      <c r="LL93" s="15"/>
      <c r="LM93" s="15"/>
      <c r="LN93" s="15"/>
      <c r="LO93" s="15"/>
      <c r="LP93" s="15"/>
      <c r="LQ93" s="15"/>
      <c r="LR93" s="15"/>
      <c r="LS93" s="15"/>
      <c r="LT93" s="15"/>
      <c r="LU93" s="15"/>
      <c r="LV93" s="15"/>
      <c r="LW93" s="15"/>
      <c r="LX93" s="15"/>
      <c r="LY93" s="15"/>
      <c r="LZ93" s="15"/>
      <c r="MA93" s="15"/>
      <c r="MB93" s="15"/>
      <c r="MC93" s="15"/>
      <c r="MD93" s="15"/>
      <c r="ME93" s="15"/>
      <c r="MF93" s="15"/>
      <c r="MG93" s="15"/>
      <c r="MH93" s="15"/>
      <c r="MI93" s="15"/>
      <c r="MJ93" s="15"/>
      <c r="MK93" s="15"/>
      <c r="ML93" s="15"/>
      <c r="MM93" s="15"/>
      <c r="MN93" s="15"/>
      <c r="MO93" s="15"/>
      <c r="MP93" s="15"/>
      <c r="MQ93" s="15"/>
      <c r="MR93" s="15"/>
      <c r="MS93" s="15"/>
      <c r="MT93" s="15"/>
      <c r="MU93" s="15"/>
      <c r="MV93" s="15"/>
      <c r="MW93" s="15"/>
    </row>
    <row r="94" spans="1:361" s="3" customFormat="1" ht="30.75" thickBot="1" x14ac:dyDescent="0.3">
      <c r="A94" s="28"/>
      <c r="B94" s="211" t="s">
        <v>275</v>
      </c>
      <c r="C94" s="212" t="s">
        <v>276</v>
      </c>
      <c r="D94" s="213" t="s">
        <v>277</v>
      </c>
      <c r="E94" s="214">
        <v>1</v>
      </c>
      <c r="F94" s="215">
        <v>46059</v>
      </c>
      <c r="G94" s="215">
        <v>46066</v>
      </c>
      <c r="H94" s="216" t="s">
        <v>278</v>
      </c>
      <c r="I94" s="216"/>
      <c r="J94" s="11"/>
      <c r="K94" s="11"/>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c r="DZ94" s="15"/>
      <c r="EA94" s="15"/>
      <c r="EB94" s="15"/>
      <c r="EC94" s="15"/>
      <c r="ED94" s="15"/>
      <c r="EE94" s="15"/>
      <c r="EF94" s="15"/>
      <c r="EG94" s="15"/>
      <c r="EH94" s="15"/>
      <c r="EI94" s="15"/>
      <c r="EJ94" s="15"/>
      <c r="EK94" s="15"/>
      <c r="EL94" s="15"/>
      <c r="EM94" s="15"/>
      <c r="EN94" s="15"/>
      <c r="EO94" s="15"/>
      <c r="EP94" s="15"/>
      <c r="EQ94" s="15"/>
      <c r="ER94" s="15"/>
      <c r="ES94" s="15"/>
      <c r="ET94" s="15"/>
      <c r="EU94" s="15"/>
      <c r="EV94" s="15"/>
      <c r="EW94" s="15"/>
      <c r="EX94" s="15"/>
      <c r="EY94" s="15"/>
      <c r="EZ94" s="15"/>
      <c r="FA94" s="15"/>
      <c r="FB94" s="15"/>
      <c r="FC94" s="15"/>
      <c r="FD94" s="15"/>
      <c r="FE94" s="15"/>
      <c r="FF94" s="15"/>
      <c r="FG94" s="15"/>
      <c r="FH94" s="15"/>
      <c r="FI94" s="15"/>
      <c r="FJ94" s="15"/>
      <c r="FK94" s="15"/>
      <c r="FL94" s="15"/>
      <c r="FM94" s="15"/>
      <c r="FN94" s="15"/>
      <c r="FO94" s="15"/>
      <c r="FP94" s="15"/>
      <c r="FQ94" s="15"/>
      <c r="FR94" s="15"/>
      <c r="FS94" s="15"/>
      <c r="FT94" s="15"/>
      <c r="FU94" s="15"/>
      <c r="FV94" s="15"/>
      <c r="FW94" s="15"/>
      <c r="FX94" s="15"/>
      <c r="FY94" s="15"/>
      <c r="FZ94" s="15"/>
      <c r="GA94" s="15"/>
      <c r="GB94" s="15"/>
      <c r="GC94" s="15"/>
      <c r="GD94" s="15"/>
      <c r="GE94" s="15"/>
      <c r="GF94" s="15"/>
      <c r="GG94" s="15"/>
      <c r="GH94" s="15"/>
      <c r="GI94" s="15"/>
      <c r="GJ94" s="15"/>
      <c r="GK94" s="15"/>
      <c r="GL94" s="15"/>
      <c r="GM94" s="15"/>
      <c r="GN94" s="15"/>
      <c r="GO94" s="15"/>
      <c r="GP94" s="15"/>
      <c r="GQ94" s="15"/>
      <c r="GR94" s="15"/>
      <c r="GS94" s="15"/>
      <c r="GT94" s="15"/>
      <c r="GU94" s="15"/>
      <c r="GV94" s="15"/>
      <c r="GW94" s="15"/>
      <c r="GX94" s="15"/>
      <c r="GY94" s="15"/>
      <c r="GZ94" s="15"/>
      <c r="HA94" s="15"/>
      <c r="HB94" s="15"/>
      <c r="HC94" s="15"/>
      <c r="HD94" s="15"/>
      <c r="HE94" s="15"/>
      <c r="HF94" s="15"/>
      <c r="HG94" s="15"/>
      <c r="HH94" s="15"/>
      <c r="HI94" s="15"/>
      <c r="HJ94" s="15"/>
      <c r="HK94" s="15"/>
      <c r="HL94" s="15"/>
      <c r="HM94" s="15"/>
      <c r="HN94" s="15"/>
      <c r="HO94" s="15"/>
      <c r="HP94" s="15"/>
      <c r="HQ94" s="15"/>
      <c r="HR94" s="15"/>
      <c r="HS94" s="15"/>
      <c r="HT94" s="15"/>
      <c r="HU94" s="15"/>
      <c r="HV94" s="15"/>
      <c r="HW94" s="15"/>
      <c r="HX94" s="15"/>
      <c r="HY94" s="15"/>
      <c r="HZ94" s="15"/>
      <c r="IA94" s="15"/>
      <c r="IB94" s="15"/>
      <c r="IC94" s="15"/>
      <c r="ID94" s="15"/>
      <c r="IE94" s="15"/>
      <c r="IF94" s="15"/>
      <c r="IG94" s="15"/>
      <c r="IH94" s="15"/>
      <c r="II94" s="15"/>
      <c r="IJ94" s="15"/>
      <c r="IK94" s="15"/>
      <c r="IL94" s="15"/>
      <c r="IM94" s="15"/>
      <c r="IN94" s="15"/>
      <c r="IO94" s="15"/>
      <c r="IP94" s="15"/>
      <c r="IQ94" s="15"/>
      <c r="IR94" s="15"/>
      <c r="IS94" s="15"/>
      <c r="IT94" s="15"/>
      <c r="IU94" s="15"/>
      <c r="IV94" s="15"/>
      <c r="IW94" s="15"/>
      <c r="IX94" s="15"/>
      <c r="IY94" s="15"/>
      <c r="IZ94" s="15"/>
      <c r="JA94" s="15"/>
      <c r="JB94" s="15"/>
      <c r="JC94" s="15"/>
      <c r="JD94" s="15"/>
      <c r="JE94" s="15"/>
      <c r="JF94" s="15"/>
      <c r="JG94" s="15"/>
      <c r="JH94" s="15"/>
      <c r="JI94" s="15"/>
      <c r="JJ94" s="15"/>
      <c r="JK94" s="15"/>
      <c r="JL94" s="15"/>
      <c r="JM94" s="15"/>
      <c r="JN94" s="15"/>
      <c r="JO94" s="15"/>
      <c r="JP94" s="15"/>
      <c r="JQ94" s="15"/>
      <c r="JR94" s="15"/>
      <c r="JS94" s="15"/>
      <c r="JT94" s="15"/>
      <c r="JU94" s="15"/>
      <c r="JV94" s="15"/>
      <c r="JW94" s="15"/>
      <c r="JX94" s="15"/>
      <c r="JY94" s="15"/>
      <c r="JZ94" s="15"/>
      <c r="KA94" s="15"/>
      <c r="KB94" s="15"/>
      <c r="KC94" s="15"/>
      <c r="KD94" s="15"/>
      <c r="KE94" s="15"/>
      <c r="KF94" s="15"/>
      <c r="KG94" s="15"/>
      <c r="KH94" s="15"/>
      <c r="KI94" s="15"/>
      <c r="KJ94" s="15"/>
      <c r="KK94" s="15"/>
      <c r="KL94" s="15"/>
      <c r="KM94" s="15"/>
      <c r="KN94" s="15"/>
      <c r="KO94" s="15"/>
      <c r="KP94" s="15"/>
      <c r="KQ94" s="15"/>
      <c r="KR94" s="15"/>
      <c r="KS94" s="15"/>
      <c r="KT94" s="15"/>
      <c r="KU94" s="15"/>
      <c r="KV94" s="15"/>
      <c r="KW94" s="15"/>
      <c r="KX94" s="15"/>
      <c r="KY94" s="15"/>
      <c r="KZ94" s="15"/>
      <c r="LA94" s="15"/>
      <c r="LB94" s="15"/>
      <c r="LC94" s="15"/>
      <c r="LD94" s="15"/>
      <c r="LE94" s="15"/>
      <c r="LF94" s="15"/>
      <c r="LG94" s="15"/>
      <c r="LH94" s="15"/>
      <c r="LI94" s="15"/>
      <c r="LJ94" s="15"/>
      <c r="LK94" s="15"/>
      <c r="LL94" s="15"/>
      <c r="LM94" s="15"/>
      <c r="LN94" s="15"/>
      <c r="LO94" s="15"/>
      <c r="LP94" s="15"/>
      <c r="LQ94" s="15"/>
      <c r="LR94" s="15"/>
      <c r="LS94" s="15"/>
      <c r="LT94" s="15"/>
      <c r="LU94" s="15"/>
      <c r="LV94" s="15"/>
      <c r="LW94" s="15"/>
      <c r="LX94" s="15"/>
      <c r="LY94" s="15"/>
      <c r="LZ94" s="15"/>
      <c r="MA94" s="15"/>
      <c r="MB94" s="15"/>
      <c r="MC94" s="15"/>
      <c r="MD94" s="15"/>
      <c r="ME94" s="15"/>
      <c r="MF94" s="15"/>
      <c r="MG94" s="15"/>
      <c r="MH94" s="15"/>
      <c r="MI94" s="15"/>
      <c r="MJ94" s="15"/>
      <c r="MK94" s="15"/>
      <c r="ML94" s="15"/>
      <c r="MM94" s="15"/>
      <c r="MN94" s="15"/>
      <c r="MO94" s="15"/>
      <c r="MP94" s="15"/>
      <c r="MQ94" s="15"/>
      <c r="MR94" s="15"/>
      <c r="MS94" s="15"/>
      <c r="MT94" s="15"/>
      <c r="MU94" s="15"/>
      <c r="MV94" s="15"/>
      <c r="MW94" s="15"/>
    </row>
    <row r="95" spans="1:361" s="3" customFormat="1" ht="16.5" thickBot="1" x14ac:dyDescent="0.3">
      <c r="A95" s="28"/>
      <c r="B95" s="219" t="s">
        <v>281</v>
      </c>
      <c r="C95" s="220"/>
      <c r="D95" s="221"/>
      <c r="E95" s="222"/>
      <c r="F95" s="223"/>
      <c r="G95" s="223"/>
      <c r="H95" s="224"/>
      <c r="I95" s="225"/>
      <c r="J95" s="11"/>
      <c r="K95" s="11"/>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15"/>
      <c r="FG95" s="15"/>
      <c r="FH95" s="15"/>
      <c r="FI95" s="15"/>
      <c r="FJ95" s="15"/>
      <c r="FK95" s="15"/>
      <c r="FL95" s="15"/>
      <c r="FM95" s="15"/>
      <c r="FN95" s="15"/>
      <c r="FO95" s="15"/>
      <c r="FP95" s="15"/>
      <c r="FQ95" s="15"/>
      <c r="FR95" s="15"/>
      <c r="FS95" s="15"/>
      <c r="FT95" s="15"/>
      <c r="FU95" s="15"/>
      <c r="FV95" s="15"/>
      <c r="FW95" s="15"/>
      <c r="FX95" s="15"/>
      <c r="FY95" s="15"/>
      <c r="FZ95" s="15"/>
      <c r="GA95" s="15"/>
      <c r="GB95" s="15"/>
      <c r="GC95" s="15"/>
      <c r="GD95" s="15"/>
      <c r="GE95" s="15"/>
      <c r="GF95" s="15"/>
      <c r="GG95" s="15"/>
      <c r="GH95" s="15"/>
      <c r="GI95" s="15"/>
      <c r="GJ95" s="15"/>
      <c r="GK95" s="15"/>
      <c r="GL95" s="15"/>
      <c r="GM95" s="15"/>
      <c r="GN95" s="15"/>
      <c r="GO95" s="15"/>
      <c r="GP95" s="15"/>
      <c r="GQ95" s="15"/>
      <c r="GR95" s="15"/>
      <c r="GS95" s="15"/>
      <c r="GT95" s="15"/>
      <c r="GU95" s="15"/>
      <c r="GV95" s="15"/>
      <c r="GW95" s="15"/>
      <c r="GX95" s="15"/>
      <c r="GY95" s="15"/>
      <c r="GZ95" s="15"/>
      <c r="HA95" s="15"/>
      <c r="HB95" s="15"/>
      <c r="HC95" s="15"/>
      <c r="HD95" s="15"/>
      <c r="HE95" s="15"/>
      <c r="HF95" s="15"/>
      <c r="HG95" s="15"/>
      <c r="HH95" s="15"/>
      <c r="HI95" s="15"/>
      <c r="HJ95" s="15"/>
      <c r="HK95" s="15"/>
      <c r="HL95" s="15"/>
      <c r="HM95" s="15"/>
      <c r="HN95" s="15"/>
      <c r="HO95" s="15"/>
      <c r="HP95" s="15"/>
      <c r="HQ95" s="15"/>
      <c r="HR95" s="15"/>
      <c r="HS95" s="15"/>
      <c r="HT95" s="15"/>
      <c r="HU95" s="15"/>
      <c r="HV95" s="15"/>
      <c r="HW95" s="15"/>
      <c r="HX95" s="15"/>
      <c r="HY95" s="15"/>
      <c r="HZ95" s="15"/>
      <c r="IA95" s="15"/>
      <c r="IB95" s="15"/>
      <c r="IC95" s="15"/>
      <c r="ID95" s="15"/>
      <c r="IE95" s="15"/>
      <c r="IF95" s="15"/>
      <c r="IG95" s="15"/>
      <c r="IH95" s="15"/>
      <c r="II95" s="15"/>
      <c r="IJ95" s="15"/>
      <c r="IK95" s="15"/>
      <c r="IL95" s="15"/>
      <c r="IM95" s="15"/>
      <c r="IN95" s="15"/>
      <c r="IO95" s="15"/>
      <c r="IP95" s="15"/>
      <c r="IQ95" s="15"/>
      <c r="IR95" s="15"/>
      <c r="IS95" s="15"/>
      <c r="IT95" s="15"/>
      <c r="IU95" s="15"/>
      <c r="IV95" s="15"/>
      <c r="IW95" s="15"/>
      <c r="IX95" s="15"/>
      <c r="IY95" s="15"/>
      <c r="IZ95" s="15"/>
      <c r="JA95" s="15"/>
      <c r="JB95" s="15"/>
      <c r="JC95" s="15"/>
      <c r="JD95" s="15"/>
      <c r="JE95" s="15"/>
      <c r="JF95" s="15"/>
      <c r="JG95" s="15"/>
      <c r="JH95" s="15"/>
      <c r="JI95" s="15"/>
      <c r="JJ95" s="15"/>
      <c r="JK95" s="15"/>
      <c r="JL95" s="15"/>
      <c r="JM95" s="15"/>
      <c r="JN95" s="15"/>
      <c r="JO95" s="15"/>
      <c r="JP95" s="15"/>
      <c r="JQ95" s="15"/>
      <c r="JR95" s="15"/>
      <c r="JS95" s="15"/>
      <c r="JT95" s="15"/>
      <c r="JU95" s="15"/>
      <c r="JV95" s="15"/>
      <c r="JW95" s="15"/>
      <c r="JX95" s="15"/>
      <c r="JY95" s="15"/>
      <c r="JZ95" s="15"/>
      <c r="KA95" s="15"/>
      <c r="KB95" s="15"/>
      <c r="KC95" s="15"/>
      <c r="KD95" s="15"/>
      <c r="KE95" s="15"/>
      <c r="KF95" s="15"/>
      <c r="KG95" s="15"/>
      <c r="KH95" s="15"/>
      <c r="KI95" s="15"/>
      <c r="KJ95" s="15"/>
      <c r="KK95" s="15"/>
      <c r="KL95" s="15"/>
      <c r="KM95" s="15"/>
      <c r="KN95" s="15"/>
      <c r="KO95" s="15"/>
      <c r="KP95" s="15"/>
      <c r="KQ95" s="15"/>
      <c r="KR95" s="15"/>
      <c r="KS95" s="15"/>
      <c r="KT95" s="15"/>
      <c r="KU95" s="15"/>
      <c r="KV95" s="15"/>
      <c r="KW95" s="15"/>
      <c r="KX95" s="15"/>
      <c r="KY95" s="15"/>
      <c r="KZ95" s="15"/>
      <c r="LA95" s="15"/>
      <c r="LB95" s="15"/>
      <c r="LC95" s="15"/>
      <c r="LD95" s="15"/>
      <c r="LE95" s="15"/>
      <c r="LF95" s="15"/>
      <c r="LG95" s="15"/>
      <c r="LH95" s="15"/>
      <c r="LI95" s="15"/>
      <c r="LJ95" s="15"/>
      <c r="LK95" s="15"/>
      <c r="LL95" s="15"/>
      <c r="LM95" s="15"/>
      <c r="LN95" s="15"/>
      <c r="LO95" s="15"/>
      <c r="LP95" s="15"/>
      <c r="LQ95" s="15"/>
      <c r="LR95" s="15"/>
      <c r="LS95" s="15"/>
      <c r="LT95" s="15"/>
      <c r="LU95" s="15"/>
      <c r="LV95" s="15"/>
      <c r="LW95" s="15"/>
      <c r="LX95" s="15"/>
      <c r="LY95" s="15"/>
      <c r="LZ95" s="15"/>
      <c r="MA95" s="15"/>
      <c r="MB95" s="15"/>
      <c r="MC95" s="15"/>
      <c r="MD95" s="15"/>
      <c r="ME95" s="15"/>
      <c r="MF95" s="15"/>
      <c r="MG95" s="15"/>
      <c r="MH95" s="15"/>
      <c r="MI95" s="15"/>
      <c r="MJ95" s="15"/>
      <c r="MK95" s="15"/>
      <c r="ML95" s="15"/>
      <c r="MM95" s="15"/>
      <c r="MN95" s="15"/>
      <c r="MO95" s="15"/>
      <c r="MP95" s="15"/>
      <c r="MQ95" s="15"/>
      <c r="MR95" s="15"/>
      <c r="MS95" s="15"/>
      <c r="MT95" s="15"/>
      <c r="MU95" s="15"/>
      <c r="MV95" s="15"/>
      <c r="MW95" s="15"/>
    </row>
    <row r="96" spans="1:361" s="3" customFormat="1" ht="30.75" hidden="1" thickBot="1" x14ac:dyDescent="0.3">
      <c r="A96" s="28"/>
      <c r="B96" s="211" t="s">
        <v>282</v>
      </c>
      <c r="C96" s="212" t="s">
        <v>109</v>
      </c>
      <c r="D96" s="213" t="s">
        <v>284</v>
      </c>
      <c r="E96" s="214">
        <v>0</v>
      </c>
      <c r="F96" s="215"/>
      <c r="G96" s="215"/>
      <c r="H96" s="216" t="s">
        <v>283</v>
      </c>
      <c r="I96" s="216" t="s">
        <v>299</v>
      </c>
      <c r="J96" s="11"/>
      <c r="K96" s="11"/>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15"/>
      <c r="ES96" s="15"/>
      <c r="ET96" s="15"/>
      <c r="EU96" s="15"/>
      <c r="EV96" s="15"/>
      <c r="EW96" s="15"/>
      <c r="EX96" s="15"/>
      <c r="EY96" s="15"/>
      <c r="EZ96" s="15"/>
      <c r="FA96" s="15"/>
      <c r="FB96" s="15"/>
      <c r="FC96" s="15"/>
      <c r="FD96" s="15"/>
      <c r="FE96" s="15"/>
      <c r="FF96" s="15"/>
      <c r="FG96" s="15"/>
      <c r="FH96" s="15"/>
      <c r="FI96" s="15"/>
      <c r="FJ96" s="15"/>
      <c r="FK96" s="15"/>
      <c r="FL96" s="15"/>
      <c r="FM96" s="15"/>
      <c r="FN96" s="15"/>
      <c r="FO96" s="15"/>
      <c r="FP96" s="15"/>
      <c r="FQ96" s="15"/>
      <c r="FR96" s="15"/>
      <c r="FS96" s="15"/>
      <c r="FT96" s="15"/>
      <c r="FU96" s="15"/>
      <c r="FV96" s="15"/>
      <c r="FW96" s="15"/>
      <c r="FX96" s="15"/>
      <c r="FY96" s="15"/>
      <c r="FZ96" s="15"/>
      <c r="GA96" s="15"/>
      <c r="GB96" s="15"/>
      <c r="GC96" s="15"/>
      <c r="GD96" s="15"/>
      <c r="GE96" s="15"/>
      <c r="GF96" s="15"/>
      <c r="GG96" s="15"/>
      <c r="GH96" s="15"/>
      <c r="GI96" s="15"/>
      <c r="GJ96" s="15"/>
      <c r="GK96" s="15"/>
      <c r="GL96" s="15"/>
      <c r="GM96" s="15"/>
      <c r="GN96" s="15"/>
      <c r="GO96" s="15"/>
      <c r="GP96" s="15"/>
      <c r="GQ96" s="15"/>
      <c r="GR96" s="15"/>
      <c r="GS96" s="15"/>
      <c r="GT96" s="15"/>
      <c r="GU96" s="15"/>
      <c r="GV96" s="15"/>
      <c r="GW96" s="15"/>
      <c r="GX96" s="15"/>
      <c r="GY96" s="15"/>
      <c r="GZ96" s="15"/>
      <c r="HA96" s="15"/>
      <c r="HB96" s="15"/>
      <c r="HC96" s="15"/>
      <c r="HD96" s="15"/>
      <c r="HE96" s="15"/>
      <c r="HF96" s="15"/>
      <c r="HG96" s="15"/>
      <c r="HH96" s="15"/>
      <c r="HI96" s="15"/>
      <c r="HJ96" s="15"/>
      <c r="HK96" s="15"/>
      <c r="HL96" s="15"/>
      <c r="HM96" s="15"/>
      <c r="HN96" s="15"/>
      <c r="HO96" s="15"/>
      <c r="HP96" s="15"/>
      <c r="HQ96" s="15"/>
      <c r="HR96" s="15"/>
      <c r="HS96" s="15"/>
      <c r="HT96" s="15"/>
      <c r="HU96" s="15"/>
      <c r="HV96" s="15"/>
      <c r="HW96" s="15"/>
      <c r="HX96" s="15"/>
      <c r="HY96" s="15"/>
      <c r="HZ96" s="15"/>
      <c r="IA96" s="15"/>
      <c r="IB96" s="15"/>
      <c r="IC96" s="15"/>
      <c r="ID96" s="15"/>
      <c r="IE96" s="15"/>
      <c r="IF96" s="15"/>
      <c r="IG96" s="15"/>
      <c r="IH96" s="15"/>
      <c r="II96" s="15"/>
      <c r="IJ96" s="15"/>
      <c r="IK96" s="15"/>
      <c r="IL96" s="15"/>
      <c r="IM96" s="15"/>
      <c r="IN96" s="15"/>
      <c r="IO96" s="15"/>
      <c r="IP96" s="15"/>
      <c r="IQ96" s="15"/>
      <c r="IR96" s="15"/>
      <c r="IS96" s="15"/>
      <c r="IT96" s="15"/>
      <c r="IU96" s="15"/>
      <c r="IV96" s="15"/>
      <c r="IW96" s="15"/>
      <c r="IX96" s="15"/>
      <c r="IY96" s="15"/>
      <c r="IZ96" s="15"/>
      <c r="JA96" s="15"/>
      <c r="JB96" s="15"/>
      <c r="JC96" s="15"/>
      <c r="JD96" s="15"/>
      <c r="JE96" s="15"/>
      <c r="JF96" s="15"/>
      <c r="JG96" s="15"/>
      <c r="JH96" s="15"/>
      <c r="JI96" s="15"/>
      <c r="JJ96" s="15"/>
      <c r="JK96" s="15"/>
      <c r="JL96" s="15"/>
      <c r="JM96" s="15"/>
      <c r="JN96" s="15"/>
      <c r="JO96" s="15"/>
      <c r="JP96" s="15"/>
      <c r="JQ96" s="15"/>
      <c r="JR96" s="15"/>
      <c r="JS96" s="15"/>
      <c r="JT96" s="15"/>
      <c r="JU96" s="15"/>
      <c r="JV96" s="15"/>
      <c r="JW96" s="15"/>
      <c r="JX96" s="15"/>
      <c r="JY96" s="15"/>
      <c r="JZ96" s="15"/>
      <c r="KA96" s="15"/>
      <c r="KB96" s="15"/>
      <c r="KC96" s="15"/>
      <c r="KD96" s="15"/>
      <c r="KE96" s="15"/>
      <c r="KF96" s="15"/>
      <c r="KG96" s="15"/>
      <c r="KH96" s="15"/>
      <c r="KI96" s="15"/>
      <c r="KJ96" s="15"/>
      <c r="KK96" s="15"/>
      <c r="KL96" s="15"/>
      <c r="KM96" s="15"/>
      <c r="KN96" s="15"/>
      <c r="KO96" s="15"/>
      <c r="KP96" s="15"/>
      <c r="KQ96" s="15"/>
      <c r="KR96" s="15"/>
      <c r="KS96" s="15"/>
      <c r="KT96" s="15"/>
      <c r="KU96" s="15"/>
      <c r="KV96" s="15"/>
      <c r="KW96" s="15"/>
      <c r="KX96" s="15"/>
      <c r="KY96" s="15"/>
      <c r="KZ96" s="15"/>
      <c r="LA96" s="15"/>
      <c r="LB96" s="15"/>
      <c r="LC96" s="15"/>
      <c r="LD96" s="15"/>
      <c r="LE96" s="15"/>
      <c r="LF96" s="15"/>
      <c r="LG96" s="15"/>
      <c r="LH96" s="15"/>
      <c r="LI96" s="15"/>
      <c r="LJ96" s="15"/>
      <c r="LK96" s="15"/>
      <c r="LL96" s="15"/>
      <c r="LM96" s="15"/>
      <c r="LN96" s="15"/>
      <c r="LO96" s="15"/>
      <c r="LP96" s="15"/>
      <c r="LQ96" s="15"/>
      <c r="LR96" s="15"/>
      <c r="LS96" s="15"/>
      <c r="LT96" s="15"/>
      <c r="LU96" s="15"/>
      <c r="LV96" s="15"/>
      <c r="LW96" s="15"/>
      <c r="LX96" s="15"/>
      <c r="LY96" s="15"/>
      <c r="LZ96" s="15"/>
      <c r="MA96" s="15"/>
      <c r="MB96" s="15"/>
      <c r="MC96" s="15"/>
      <c r="MD96" s="15"/>
      <c r="ME96" s="15"/>
      <c r="MF96" s="15"/>
      <c r="MG96" s="15"/>
      <c r="MH96" s="15"/>
      <c r="MI96" s="15"/>
      <c r="MJ96" s="15"/>
      <c r="MK96" s="15"/>
      <c r="ML96" s="15"/>
      <c r="MM96" s="15"/>
      <c r="MN96" s="15"/>
      <c r="MO96" s="15"/>
      <c r="MP96" s="15"/>
      <c r="MQ96" s="15"/>
      <c r="MR96" s="15"/>
      <c r="MS96" s="15"/>
      <c r="MT96" s="15"/>
      <c r="MU96" s="15"/>
      <c r="MV96" s="15"/>
      <c r="MW96" s="15"/>
    </row>
    <row r="97" spans="1:361" s="3" customFormat="1" ht="63.75" thickBot="1" x14ac:dyDescent="0.3">
      <c r="A97" s="28"/>
      <c r="B97" s="202" t="s">
        <v>260</v>
      </c>
      <c r="C97" s="203"/>
      <c r="D97" s="204"/>
      <c r="E97" s="205"/>
      <c r="F97" s="206"/>
      <c r="G97" s="207"/>
      <c r="H97" s="208"/>
      <c r="I97" s="228" t="s">
        <v>297</v>
      </c>
      <c r="J97" s="11"/>
      <c r="K97" s="11"/>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c r="DZ97" s="15"/>
      <c r="EA97" s="15"/>
      <c r="EB97" s="15"/>
      <c r="EC97" s="15"/>
      <c r="ED97" s="15"/>
      <c r="EE97" s="15"/>
      <c r="EF97" s="15"/>
      <c r="EG97" s="15"/>
      <c r="EH97" s="15"/>
      <c r="EI97" s="15"/>
      <c r="EJ97" s="15"/>
      <c r="EK97" s="15"/>
      <c r="EL97" s="15"/>
      <c r="EM97" s="15"/>
      <c r="EN97" s="15"/>
      <c r="EO97" s="15"/>
      <c r="EP97" s="15"/>
      <c r="EQ97" s="15"/>
      <c r="ER97" s="15"/>
      <c r="ES97" s="15"/>
      <c r="ET97" s="15"/>
      <c r="EU97" s="15"/>
      <c r="EV97" s="15"/>
      <c r="EW97" s="15"/>
      <c r="EX97" s="15"/>
      <c r="EY97" s="15"/>
      <c r="EZ97" s="15"/>
      <c r="FA97" s="15"/>
      <c r="FB97" s="15"/>
      <c r="FC97" s="15"/>
      <c r="FD97" s="15"/>
      <c r="FE97" s="15"/>
      <c r="FF97" s="15"/>
      <c r="FG97" s="15"/>
      <c r="FH97" s="15"/>
      <c r="FI97" s="15"/>
      <c r="FJ97" s="15"/>
      <c r="FK97" s="15"/>
      <c r="FL97" s="15"/>
      <c r="FM97" s="15"/>
      <c r="FN97" s="15"/>
      <c r="FO97" s="15"/>
      <c r="FP97" s="15"/>
      <c r="FQ97" s="15"/>
      <c r="FR97" s="15"/>
      <c r="FS97" s="15"/>
      <c r="FT97" s="15"/>
      <c r="FU97" s="15"/>
      <c r="FV97" s="15"/>
      <c r="FW97" s="15"/>
      <c r="FX97" s="15"/>
      <c r="FY97" s="15"/>
      <c r="FZ97" s="15"/>
      <c r="GA97" s="15"/>
      <c r="GB97" s="15"/>
      <c r="GC97" s="15"/>
      <c r="GD97" s="15"/>
      <c r="GE97" s="15"/>
      <c r="GF97" s="15"/>
      <c r="GG97" s="15"/>
      <c r="GH97" s="15"/>
      <c r="GI97" s="15"/>
      <c r="GJ97" s="15"/>
      <c r="GK97" s="15"/>
      <c r="GL97" s="15"/>
      <c r="GM97" s="15"/>
      <c r="GN97" s="15"/>
      <c r="GO97" s="15"/>
      <c r="GP97" s="15"/>
      <c r="GQ97" s="15"/>
      <c r="GR97" s="15"/>
      <c r="GS97" s="15"/>
      <c r="GT97" s="15"/>
      <c r="GU97" s="15"/>
      <c r="GV97" s="15"/>
      <c r="GW97" s="15"/>
      <c r="GX97" s="15"/>
      <c r="GY97" s="15"/>
      <c r="GZ97" s="15"/>
      <c r="HA97" s="15"/>
      <c r="HB97" s="15"/>
      <c r="HC97" s="15"/>
      <c r="HD97" s="15"/>
      <c r="HE97" s="15"/>
      <c r="HF97" s="15"/>
      <c r="HG97" s="15"/>
      <c r="HH97" s="15"/>
      <c r="HI97" s="15"/>
      <c r="HJ97" s="15"/>
      <c r="HK97" s="15"/>
      <c r="HL97" s="15"/>
      <c r="HM97" s="15"/>
      <c r="HN97" s="15"/>
      <c r="HO97" s="15"/>
      <c r="HP97" s="15"/>
      <c r="HQ97" s="15"/>
      <c r="HR97" s="15"/>
      <c r="HS97" s="15"/>
      <c r="HT97" s="15"/>
      <c r="HU97" s="15"/>
      <c r="HV97" s="15"/>
      <c r="HW97" s="15"/>
      <c r="HX97" s="15"/>
      <c r="HY97" s="15"/>
      <c r="HZ97" s="15"/>
      <c r="IA97" s="15"/>
      <c r="IB97" s="15"/>
      <c r="IC97" s="15"/>
      <c r="ID97" s="15"/>
      <c r="IE97" s="15"/>
      <c r="IF97" s="15"/>
      <c r="IG97" s="15"/>
      <c r="IH97" s="15"/>
      <c r="II97" s="15"/>
      <c r="IJ97" s="15"/>
      <c r="IK97" s="15"/>
      <c r="IL97" s="15"/>
      <c r="IM97" s="15"/>
      <c r="IN97" s="15"/>
      <c r="IO97" s="15"/>
      <c r="IP97" s="15"/>
      <c r="IQ97" s="15"/>
      <c r="IR97" s="15"/>
      <c r="IS97" s="15"/>
      <c r="IT97" s="15"/>
      <c r="IU97" s="15"/>
      <c r="IV97" s="15"/>
      <c r="IW97" s="15"/>
      <c r="IX97" s="15"/>
      <c r="IY97" s="15"/>
      <c r="IZ97" s="15"/>
      <c r="JA97" s="15"/>
      <c r="JB97" s="15"/>
      <c r="JC97" s="15"/>
      <c r="JD97" s="15"/>
      <c r="JE97" s="15"/>
      <c r="JF97" s="15"/>
      <c r="JG97" s="15"/>
      <c r="JH97" s="15"/>
      <c r="JI97" s="15"/>
      <c r="JJ97" s="15"/>
      <c r="JK97" s="15"/>
      <c r="JL97" s="15"/>
      <c r="JM97" s="15"/>
      <c r="JN97" s="15"/>
      <c r="JO97" s="15"/>
      <c r="JP97" s="15"/>
      <c r="JQ97" s="15"/>
      <c r="JR97" s="15"/>
      <c r="JS97" s="15"/>
      <c r="JT97" s="15"/>
      <c r="JU97" s="15"/>
      <c r="JV97" s="15"/>
      <c r="JW97" s="15"/>
      <c r="JX97" s="15"/>
      <c r="JY97" s="15"/>
      <c r="JZ97" s="15"/>
      <c r="KA97" s="15"/>
      <c r="KB97" s="15"/>
      <c r="KC97" s="15"/>
      <c r="KD97" s="15"/>
      <c r="KE97" s="15"/>
      <c r="KF97" s="15"/>
      <c r="KG97" s="15"/>
      <c r="KH97" s="15"/>
      <c r="KI97" s="15"/>
      <c r="KJ97" s="15"/>
      <c r="KK97" s="15"/>
      <c r="KL97" s="15"/>
      <c r="KM97" s="15"/>
      <c r="KN97" s="15"/>
      <c r="KO97" s="15"/>
      <c r="KP97" s="15"/>
      <c r="KQ97" s="15"/>
      <c r="KR97" s="15"/>
      <c r="KS97" s="15"/>
      <c r="KT97" s="15"/>
      <c r="KU97" s="15"/>
      <c r="KV97" s="15"/>
      <c r="KW97" s="15"/>
      <c r="KX97" s="15"/>
      <c r="KY97" s="15"/>
      <c r="KZ97" s="15"/>
      <c r="LA97" s="15"/>
      <c r="LB97" s="15"/>
      <c r="LC97" s="15"/>
      <c r="LD97" s="15"/>
      <c r="LE97" s="15"/>
      <c r="LF97" s="15"/>
      <c r="LG97" s="15"/>
      <c r="LH97" s="15"/>
      <c r="LI97" s="15"/>
      <c r="LJ97" s="15"/>
      <c r="LK97" s="15"/>
      <c r="LL97" s="15"/>
      <c r="LM97" s="15"/>
      <c r="LN97" s="15"/>
      <c r="LO97" s="15"/>
      <c r="LP97" s="15"/>
      <c r="LQ97" s="15"/>
      <c r="LR97" s="15"/>
      <c r="LS97" s="15"/>
      <c r="LT97" s="15"/>
      <c r="LU97" s="15"/>
      <c r="LV97" s="15"/>
      <c r="LW97" s="15"/>
      <c r="LX97" s="15"/>
      <c r="LY97" s="15"/>
      <c r="LZ97" s="15"/>
      <c r="MA97" s="15"/>
      <c r="MB97" s="15"/>
      <c r="MC97" s="15"/>
      <c r="MD97" s="15"/>
      <c r="ME97" s="15"/>
      <c r="MF97" s="15"/>
      <c r="MG97" s="15"/>
      <c r="MH97" s="15"/>
      <c r="MI97" s="15"/>
      <c r="MJ97" s="15"/>
      <c r="MK97" s="15"/>
      <c r="ML97" s="15"/>
      <c r="MM97" s="15"/>
      <c r="MN97" s="15"/>
      <c r="MO97" s="15"/>
      <c r="MP97" s="15"/>
      <c r="MQ97" s="15"/>
      <c r="MR97" s="15"/>
      <c r="MS97" s="15"/>
      <c r="MT97" s="15"/>
      <c r="MU97" s="15"/>
      <c r="MV97" s="15"/>
      <c r="MW97" s="15"/>
    </row>
    <row r="98" spans="1:361" s="3" customFormat="1" ht="16.5" thickBot="1" x14ac:dyDescent="0.3">
      <c r="A98" s="28"/>
      <c r="B98" s="219" t="s">
        <v>251</v>
      </c>
      <c r="C98" s="220"/>
      <c r="D98" s="221"/>
      <c r="E98" s="222"/>
      <c r="F98" s="223"/>
      <c r="G98" s="223"/>
      <c r="H98" s="224"/>
      <c r="I98" s="225"/>
      <c r="J98" s="11"/>
      <c r="K98" s="11"/>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15"/>
      <c r="ES98" s="15"/>
      <c r="ET98" s="15"/>
      <c r="EU98" s="15"/>
      <c r="EV98" s="15"/>
      <c r="EW98" s="15"/>
      <c r="EX98" s="15"/>
      <c r="EY98" s="15"/>
      <c r="EZ98" s="15"/>
      <c r="FA98" s="15"/>
      <c r="FB98" s="15"/>
      <c r="FC98" s="15"/>
      <c r="FD98" s="15"/>
      <c r="FE98" s="15"/>
      <c r="FF98" s="15"/>
      <c r="FG98" s="15"/>
      <c r="FH98" s="15"/>
      <c r="FI98" s="15"/>
      <c r="FJ98" s="15"/>
      <c r="FK98" s="15"/>
      <c r="FL98" s="15"/>
      <c r="FM98" s="15"/>
      <c r="FN98" s="15"/>
      <c r="FO98" s="15"/>
      <c r="FP98" s="15"/>
      <c r="FQ98" s="15"/>
      <c r="FR98" s="15"/>
      <c r="FS98" s="15"/>
      <c r="FT98" s="15"/>
      <c r="FU98" s="15"/>
      <c r="FV98" s="15"/>
      <c r="FW98" s="15"/>
      <c r="FX98" s="15"/>
      <c r="FY98" s="15"/>
      <c r="FZ98" s="15"/>
      <c r="GA98" s="15"/>
      <c r="GB98" s="15"/>
      <c r="GC98" s="15"/>
      <c r="GD98" s="15"/>
      <c r="GE98" s="15"/>
      <c r="GF98" s="15"/>
      <c r="GG98" s="15"/>
      <c r="GH98" s="15"/>
      <c r="GI98" s="15"/>
      <c r="GJ98" s="15"/>
      <c r="GK98" s="15"/>
      <c r="GL98" s="15"/>
      <c r="GM98" s="15"/>
      <c r="GN98" s="15"/>
      <c r="GO98" s="15"/>
      <c r="GP98" s="15"/>
      <c r="GQ98" s="15"/>
      <c r="GR98" s="15"/>
      <c r="GS98" s="15"/>
      <c r="GT98" s="15"/>
      <c r="GU98" s="15"/>
      <c r="GV98" s="15"/>
      <c r="GW98" s="15"/>
      <c r="GX98" s="15"/>
      <c r="GY98" s="15"/>
      <c r="GZ98" s="15"/>
      <c r="HA98" s="15"/>
      <c r="HB98" s="15"/>
      <c r="HC98" s="15"/>
      <c r="HD98" s="15"/>
      <c r="HE98" s="15"/>
      <c r="HF98" s="15"/>
      <c r="HG98" s="15"/>
      <c r="HH98" s="15"/>
      <c r="HI98" s="15"/>
      <c r="HJ98" s="15"/>
      <c r="HK98" s="15"/>
      <c r="HL98" s="15"/>
      <c r="HM98" s="15"/>
      <c r="HN98" s="15"/>
      <c r="HO98" s="15"/>
      <c r="HP98" s="15"/>
      <c r="HQ98" s="15"/>
      <c r="HR98" s="15"/>
      <c r="HS98" s="15"/>
      <c r="HT98" s="15"/>
      <c r="HU98" s="15"/>
      <c r="HV98" s="15"/>
      <c r="HW98" s="15"/>
      <c r="HX98" s="15"/>
      <c r="HY98" s="15"/>
      <c r="HZ98" s="15"/>
      <c r="IA98" s="15"/>
      <c r="IB98" s="15"/>
      <c r="IC98" s="15"/>
      <c r="ID98" s="15"/>
      <c r="IE98" s="15"/>
      <c r="IF98" s="15"/>
      <c r="IG98" s="15"/>
      <c r="IH98" s="15"/>
      <c r="II98" s="15"/>
      <c r="IJ98" s="15"/>
      <c r="IK98" s="15"/>
      <c r="IL98" s="15"/>
      <c r="IM98" s="15"/>
      <c r="IN98" s="15"/>
      <c r="IO98" s="15"/>
      <c r="IP98" s="15"/>
      <c r="IQ98" s="15"/>
      <c r="IR98" s="15"/>
      <c r="IS98" s="15"/>
      <c r="IT98" s="15"/>
      <c r="IU98" s="15"/>
      <c r="IV98" s="15"/>
      <c r="IW98" s="15"/>
      <c r="IX98" s="15"/>
      <c r="IY98" s="15"/>
      <c r="IZ98" s="15"/>
      <c r="JA98" s="15"/>
      <c r="JB98" s="15"/>
      <c r="JC98" s="15"/>
      <c r="JD98" s="15"/>
      <c r="JE98" s="15"/>
      <c r="JF98" s="15"/>
      <c r="JG98" s="15"/>
      <c r="JH98" s="15"/>
      <c r="JI98" s="15"/>
      <c r="JJ98" s="15"/>
      <c r="JK98" s="15"/>
      <c r="JL98" s="15"/>
      <c r="JM98" s="15"/>
      <c r="JN98" s="15"/>
      <c r="JO98" s="15"/>
      <c r="JP98" s="15"/>
      <c r="JQ98" s="15"/>
      <c r="JR98" s="15"/>
      <c r="JS98" s="15"/>
      <c r="JT98" s="15"/>
      <c r="JU98" s="15"/>
      <c r="JV98" s="15"/>
      <c r="JW98" s="15"/>
      <c r="JX98" s="15"/>
      <c r="JY98" s="15"/>
      <c r="JZ98" s="15"/>
      <c r="KA98" s="15"/>
      <c r="KB98" s="15"/>
      <c r="KC98" s="15"/>
      <c r="KD98" s="15"/>
      <c r="KE98" s="15"/>
      <c r="KF98" s="15"/>
      <c r="KG98" s="15"/>
      <c r="KH98" s="15"/>
      <c r="KI98" s="15"/>
      <c r="KJ98" s="15"/>
      <c r="KK98" s="15"/>
      <c r="KL98" s="15"/>
      <c r="KM98" s="15"/>
      <c r="KN98" s="15"/>
      <c r="KO98" s="15"/>
      <c r="KP98" s="15"/>
      <c r="KQ98" s="15"/>
      <c r="KR98" s="15"/>
      <c r="KS98" s="15"/>
      <c r="KT98" s="15"/>
      <c r="KU98" s="15"/>
      <c r="KV98" s="15"/>
      <c r="KW98" s="15"/>
      <c r="KX98" s="15"/>
      <c r="KY98" s="15"/>
      <c r="KZ98" s="15"/>
      <c r="LA98" s="15"/>
      <c r="LB98" s="15"/>
      <c r="LC98" s="15"/>
      <c r="LD98" s="15"/>
      <c r="LE98" s="15"/>
      <c r="LF98" s="15"/>
      <c r="LG98" s="15"/>
      <c r="LH98" s="15"/>
      <c r="LI98" s="15"/>
      <c r="LJ98" s="15"/>
      <c r="LK98" s="15"/>
      <c r="LL98" s="15"/>
      <c r="LM98" s="15"/>
      <c r="LN98" s="15"/>
      <c r="LO98" s="15"/>
      <c r="LP98" s="15"/>
      <c r="LQ98" s="15"/>
      <c r="LR98" s="15"/>
      <c r="LS98" s="15"/>
      <c r="LT98" s="15"/>
      <c r="LU98" s="15"/>
      <c r="LV98" s="15"/>
      <c r="LW98" s="15"/>
      <c r="LX98" s="15"/>
      <c r="LY98" s="15"/>
      <c r="LZ98" s="15"/>
      <c r="MA98" s="15"/>
      <c r="MB98" s="15"/>
      <c r="MC98" s="15"/>
      <c r="MD98" s="15"/>
      <c r="ME98" s="15"/>
      <c r="MF98" s="15"/>
      <c r="MG98" s="15"/>
      <c r="MH98" s="15"/>
      <c r="MI98" s="15"/>
      <c r="MJ98" s="15"/>
      <c r="MK98" s="15"/>
      <c r="ML98" s="15"/>
      <c r="MM98" s="15"/>
      <c r="MN98" s="15"/>
      <c r="MO98" s="15"/>
      <c r="MP98" s="15"/>
      <c r="MQ98" s="15"/>
      <c r="MR98" s="15"/>
      <c r="MS98" s="15"/>
      <c r="MT98" s="15"/>
      <c r="MU98" s="15"/>
      <c r="MV98" s="15"/>
      <c r="MW98" s="15"/>
    </row>
    <row r="99" spans="1:361" s="3" customFormat="1" ht="30.75" thickBot="1" x14ac:dyDescent="0.3">
      <c r="A99" s="28"/>
      <c r="B99" s="211" t="s">
        <v>252</v>
      </c>
      <c r="C99" s="212" t="s">
        <v>253</v>
      </c>
      <c r="D99" s="213"/>
      <c r="E99" s="214" t="s">
        <v>217</v>
      </c>
      <c r="F99" s="215"/>
      <c r="G99" s="215"/>
      <c r="H99" s="216" t="s">
        <v>254</v>
      </c>
      <c r="I99" s="216" t="s">
        <v>255</v>
      </c>
      <c r="J99" s="11"/>
      <c r="K99" s="11"/>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c r="EU99" s="15"/>
      <c r="EV99" s="15"/>
      <c r="EW99" s="15"/>
      <c r="EX99" s="15"/>
      <c r="EY99" s="15"/>
      <c r="EZ99" s="15"/>
      <c r="FA99" s="15"/>
      <c r="FB99" s="15"/>
      <c r="FC99" s="15"/>
      <c r="FD99" s="15"/>
      <c r="FE99" s="15"/>
      <c r="FF99" s="15"/>
      <c r="FG99" s="15"/>
      <c r="FH99" s="15"/>
      <c r="FI99" s="15"/>
      <c r="FJ99" s="15"/>
      <c r="FK99" s="15"/>
      <c r="FL99" s="15"/>
      <c r="FM99" s="15"/>
      <c r="FN99" s="15"/>
      <c r="FO99" s="15"/>
      <c r="FP99" s="15"/>
      <c r="FQ99" s="15"/>
      <c r="FR99" s="15"/>
      <c r="FS99" s="15"/>
      <c r="FT99" s="15"/>
      <c r="FU99" s="15"/>
      <c r="FV99" s="15"/>
      <c r="FW99" s="15"/>
      <c r="FX99" s="15"/>
      <c r="FY99" s="15"/>
      <c r="FZ99" s="15"/>
      <c r="GA99" s="15"/>
      <c r="GB99" s="15"/>
      <c r="GC99" s="15"/>
      <c r="GD99" s="15"/>
      <c r="GE99" s="15"/>
      <c r="GF99" s="15"/>
      <c r="GG99" s="15"/>
      <c r="GH99" s="15"/>
      <c r="GI99" s="15"/>
      <c r="GJ99" s="15"/>
      <c r="GK99" s="15"/>
      <c r="GL99" s="15"/>
      <c r="GM99" s="15"/>
      <c r="GN99" s="15"/>
      <c r="GO99" s="15"/>
      <c r="GP99" s="15"/>
      <c r="GQ99" s="15"/>
      <c r="GR99" s="15"/>
      <c r="GS99" s="15"/>
      <c r="GT99" s="15"/>
      <c r="GU99" s="15"/>
      <c r="GV99" s="15"/>
      <c r="GW99" s="15"/>
      <c r="GX99" s="15"/>
      <c r="GY99" s="15"/>
      <c r="GZ99" s="15"/>
      <c r="HA99" s="15"/>
      <c r="HB99" s="15"/>
      <c r="HC99" s="15"/>
      <c r="HD99" s="15"/>
      <c r="HE99" s="15"/>
      <c r="HF99" s="15"/>
      <c r="HG99" s="15"/>
      <c r="HH99" s="15"/>
      <c r="HI99" s="15"/>
      <c r="HJ99" s="15"/>
      <c r="HK99" s="15"/>
      <c r="HL99" s="15"/>
      <c r="HM99" s="15"/>
      <c r="HN99" s="15"/>
      <c r="HO99" s="15"/>
      <c r="HP99" s="15"/>
      <c r="HQ99" s="15"/>
      <c r="HR99" s="15"/>
      <c r="HS99" s="15"/>
      <c r="HT99" s="15"/>
      <c r="HU99" s="15"/>
      <c r="HV99" s="15"/>
      <c r="HW99" s="15"/>
      <c r="HX99" s="15"/>
      <c r="HY99" s="15"/>
      <c r="HZ99" s="15"/>
      <c r="IA99" s="15"/>
      <c r="IB99" s="15"/>
      <c r="IC99" s="15"/>
      <c r="ID99" s="15"/>
      <c r="IE99" s="15"/>
      <c r="IF99" s="15"/>
      <c r="IG99" s="15"/>
      <c r="IH99" s="15"/>
      <c r="II99" s="15"/>
      <c r="IJ99" s="15"/>
      <c r="IK99" s="15"/>
      <c r="IL99" s="15"/>
      <c r="IM99" s="15"/>
      <c r="IN99" s="15"/>
      <c r="IO99" s="15"/>
      <c r="IP99" s="15"/>
      <c r="IQ99" s="15"/>
      <c r="IR99" s="15"/>
      <c r="IS99" s="15"/>
      <c r="IT99" s="15"/>
      <c r="IU99" s="15"/>
      <c r="IV99" s="15"/>
      <c r="IW99" s="15"/>
      <c r="IX99" s="15"/>
      <c r="IY99" s="15"/>
      <c r="IZ99" s="15"/>
      <c r="JA99" s="15"/>
      <c r="JB99" s="15"/>
      <c r="JC99" s="15"/>
      <c r="JD99" s="15"/>
      <c r="JE99" s="15"/>
      <c r="JF99" s="15"/>
      <c r="JG99" s="15"/>
      <c r="JH99" s="15"/>
      <c r="JI99" s="15"/>
      <c r="JJ99" s="15"/>
      <c r="JK99" s="15"/>
      <c r="JL99" s="15"/>
      <c r="JM99" s="15"/>
      <c r="JN99" s="15"/>
      <c r="JO99" s="15"/>
      <c r="JP99" s="15"/>
      <c r="JQ99" s="15"/>
      <c r="JR99" s="15"/>
      <c r="JS99" s="15"/>
      <c r="JT99" s="15"/>
      <c r="JU99" s="15"/>
      <c r="JV99" s="15"/>
      <c r="JW99" s="15"/>
      <c r="JX99" s="15"/>
      <c r="JY99" s="15"/>
      <c r="JZ99" s="15"/>
      <c r="KA99" s="15"/>
      <c r="KB99" s="15"/>
      <c r="KC99" s="15"/>
      <c r="KD99" s="15"/>
      <c r="KE99" s="15"/>
      <c r="KF99" s="15"/>
      <c r="KG99" s="15"/>
      <c r="KH99" s="15"/>
      <c r="KI99" s="15"/>
      <c r="KJ99" s="15"/>
      <c r="KK99" s="15"/>
      <c r="KL99" s="15"/>
      <c r="KM99" s="15"/>
      <c r="KN99" s="15"/>
      <c r="KO99" s="15"/>
      <c r="KP99" s="15"/>
      <c r="KQ99" s="15"/>
      <c r="KR99" s="15"/>
      <c r="KS99" s="15"/>
      <c r="KT99" s="15"/>
      <c r="KU99" s="15"/>
      <c r="KV99" s="15"/>
      <c r="KW99" s="15"/>
      <c r="KX99" s="15"/>
      <c r="KY99" s="15"/>
      <c r="KZ99" s="15"/>
      <c r="LA99" s="15"/>
      <c r="LB99" s="15"/>
      <c r="LC99" s="15"/>
      <c r="LD99" s="15"/>
      <c r="LE99" s="15"/>
      <c r="LF99" s="15"/>
      <c r="LG99" s="15"/>
      <c r="LH99" s="15"/>
      <c r="LI99" s="15"/>
      <c r="LJ99" s="15"/>
      <c r="LK99" s="15"/>
      <c r="LL99" s="15"/>
      <c r="LM99" s="15"/>
      <c r="LN99" s="15"/>
      <c r="LO99" s="15"/>
      <c r="LP99" s="15"/>
      <c r="LQ99" s="15"/>
      <c r="LR99" s="15"/>
      <c r="LS99" s="15"/>
      <c r="LT99" s="15"/>
      <c r="LU99" s="15"/>
      <c r="LV99" s="15"/>
      <c r="LW99" s="15"/>
      <c r="LX99" s="15"/>
      <c r="LY99" s="15"/>
      <c r="LZ99" s="15"/>
      <c r="MA99" s="15"/>
      <c r="MB99" s="15"/>
      <c r="MC99" s="15"/>
      <c r="MD99" s="15"/>
      <c r="ME99" s="15"/>
      <c r="MF99" s="15"/>
      <c r="MG99" s="15"/>
      <c r="MH99" s="15"/>
      <c r="MI99" s="15"/>
      <c r="MJ99" s="15"/>
      <c r="MK99" s="15"/>
      <c r="ML99" s="15"/>
      <c r="MM99" s="15"/>
      <c r="MN99" s="15"/>
      <c r="MO99" s="15"/>
      <c r="MP99" s="15"/>
      <c r="MQ99" s="15"/>
      <c r="MR99" s="15"/>
      <c r="MS99" s="15"/>
      <c r="MT99" s="15"/>
      <c r="MU99" s="15"/>
      <c r="MV99" s="15"/>
      <c r="MW99" s="15"/>
    </row>
    <row r="100" spans="1:361" s="3" customFormat="1" ht="15.75" thickBot="1" x14ac:dyDescent="0.3">
      <c r="A100" s="28"/>
      <c r="B100" s="211"/>
      <c r="C100" s="212"/>
      <c r="D100" s="213"/>
      <c r="E100" s="210"/>
      <c r="F100" s="215"/>
      <c r="G100" s="215"/>
      <c r="H100" s="216"/>
      <c r="I100" s="216"/>
      <c r="J100" s="11"/>
      <c r="K100" s="11"/>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15"/>
      <c r="FI100" s="15"/>
      <c r="FJ100" s="15"/>
      <c r="FK100" s="15"/>
      <c r="FL100" s="15"/>
      <c r="FM100" s="15"/>
      <c r="FN100" s="15"/>
      <c r="FO100" s="15"/>
      <c r="FP100" s="15"/>
      <c r="FQ100" s="15"/>
      <c r="FR100" s="15"/>
      <c r="FS100" s="15"/>
      <c r="FT100" s="15"/>
      <c r="FU100" s="15"/>
      <c r="FV100" s="15"/>
      <c r="FW100" s="15"/>
      <c r="FX100" s="15"/>
      <c r="FY100" s="15"/>
      <c r="FZ100" s="15"/>
      <c r="GA100" s="15"/>
      <c r="GB100" s="15"/>
      <c r="GC100" s="15"/>
      <c r="GD100" s="15"/>
      <c r="GE100" s="15"/>
      <c r="GF100" s="15"/>
      <c r="GG100" s="15"/>
      <c r="GH100" s="15"/>
      <c r="GI100" s="15"/>
      <c r="GJ100" s="15"/>
      <c r="GK100" s="15"/>
      <c r="GL100" s="15"/>
      <c r="GM100" s="15"/>
      <c r="GN100" s="15"/>
      <c r="GO100" s="15"/>
      <c r="GP100" s="15"/>
      <c r="GQ100" s="15"/>
      <c r="GR100" s="15"/>
      <c r="GS100" s="15"/>
      <c r="GT100" s="15"/>
      <c r="GU100" s="15"/>
      <c r="GV100" s="15"/>
      <c r="GW100" s="15"/>
      <c r="GX100" s="15"/>
      <c r="GY100" s="15"/>
      <c r="GZ100" s="15"/>
      <c r="HA100" s="15"/>
      <c r="HB100" s="15"/>
      <c r="HC100" s="15"/>
      <c r="HD100" s="15"/>
      <c r="HE100" s="15"/>
      <c r="HF100" s="15"/>
      <c r="HG100" s="15"/>
      <c r="HH100" s="15"/>
      <c r="HI100" s="15"/>
      <c r="HJ100" s="15"/>
      <c r="HK100" s="15"/>
      <c r="HL100" s="15"/>
      <c r="HM100" s="15"/>
      <c r="HN100" s="15"/>
      <c r="HO100" s="15"/>
      <c r="HP100" s="15"/>
      <c r="HQ100" s="15"/>
      <c r="HR100" s="15"/>
      <c r="HS100" s="15"/>
      <c r="HT100" s="15"/>
      <c r="HU100" s="15"/>
      <c r="HV100" s="15"/>
      <c r="HW100" s="15"/>
      <c r="HX100" s="15"/>
      <c r="HY100" s="15"/>
      <c r="HZ100" s="15"/>
      <c r="IA100" s="15"/>
      <c r="IB100" s="15"/>
      <c r="IC100" s="15"/>
      <c r="ID100" s="15"/>
      <c r="IE100" s="15"/>
      <c r="IF100" s="15"/>
      <c r="IG100" s="15"/>
      <c r="IH100" s="15"/>
      <c r="II100" s="15"/>
      <c r="IJ100" s="15"/>
      <c r="IK100" s="15"/>
      <c r="IL100" s="15"/>
      <c r="IM100" s="15"/>
      <c r="IN100" s="15"/>
      <c r="IO100" s="15"/>
      <c r="IP100" s="15"/>
      <c r="IQ100" s="15"/>
      <c r="IR100" s="15"/>
      <c r="IS100" s="15"/>
      <c r="IT100" s="15"/>
      <c r="IU100" s="15"/>
      <c r="IV100" s="15"/>
      <c r="IW100" s="15"/>
      <c r="IX100" s="15"/>
      <c r="IY100" s="15"/>
      <c r="IZ100" s="15"/>
      <c r="JA100" s="15"/>
      <c r="JB100" s="15"/>
      <c r="JC100" s="15"/>
      <c r="JD100" s="15"/>
      <c r="JE100" s="15"/>
      <c r="JF100" s="15"/>
      <c r="JG100" s="15"/>
      <c r="JH100" s="15"/>
      <c r="JI100" s="15"/>
      <c r="JJ100" s="15"/>
      <c r="JK100" s="15"/>
      <c r="JL100" s="15"/>
      <c r="JM100" s="15"/>
      <c r="JN100" s="15"/>
      <c r="JO100" s="15"/>
      <c r="JP100" s="15"/>
      <c r="JQ100" s="15"/>
      <c r="JR100" s="15"/>
      <c r="JS100" s="15"/>
      <c r="JT100" s="15"/>
      <c r="JU100" s="15"/>
      <c r="JV100" s="15"/>
      <c r="JW100" s="15"/>
      <c r="JX100" s="15"/>
      <c r="JY100" s="15"/>
      <c r="JZ100" s="15"/>
      <c r="KA100" s="15"/>
      <c r="KB100" s="15"/>
      <c r="KC100" s="15"/>
      <c r="KD100" s="15"/>
      <c r="KE100" s="15"/>
      <c r="KF100" s="15"/>
      <c r="KG100" s="15"/>
      <c r="KH100" s="15"/>
      <c r="KI100" s="15"/>
      <c r="KJ100" s="15"/>
      <c r="KK100" s="15"/>
      <c r="KL100" s="15"/>
      <c r="KM100" s="15"/>
      <c r="KN100" s="15"/>
      <c r="KO100" s="15"/>
      <c r="KP100" s="15"/>
      <c r="KQ100" s="15"/>
      <c r="KR100" s="15"/>
      <c r="KS100" s="15"/>
      <c r="KT100" s="15"/>
      <c r="KU100" s="15"/>
      <c r="KV100" s="15"/>
      <c r="KW100" s="15"/>
      <c r="KX100" s="15"/>
      <c r="KY100" s="15"/>
      <c r="KZ100" s="15"/>
      <c r="LA100" s="15"/>
      <c r="LB100" s="15"/>
      <c r="LC100" s="15"/>
      <c r="LD100" s="15"/>
      <c r="LE100" s="15"/>
      <c r="LF100" s="15"/>
      <c r="LG100" s="15"/>
      <c r="LH100" s="15"/>
      <c r="LI100" s="15"/>
      <c r="LJ100" s="15"/>
      <c r="LK100" s="15"/>
      <c r="LL100" s="15"/>
      <c r="LM100" s="15"/>
      <c r="LN100" s="15"/>
      <c r="LO100" s="15"/>
      <c r="LP100" s="15"/>
      <c r="LQ100" s="15"/>
      <c r="LR100" s="15"/>
      <c r="LS100" s="15"/>
      <c r="LT100" s="15"/>
      <c r="LU100" s="15"/>
      <c r="LV100" s="15"/>
      <c r="LW100" s="15"/>
      <c r="LX100" s="15"/>
      <c r="LY100" s="15"/>
      <c r="LZ100" s="15"/>
      <c r="MA100" s="15"/>
      <c r="MB100" s="15"/>
      <c r="MC100" s="15"/>
      <c r="MD100" s="15"/>
      <c r="ME100" s="15"/>
      <c r="MF100" s="15"/>
      <c r="MG100" s="15"/>
      <c r="MH100" s="15"/>
      <c r="MI100" s="15"/>
      <c r="MJ100" s="15"/>
      <c r="MK100" s="15"/>
      <c r="ML100" s="15"/>
      <c r="MM100" s="15"/>
      <c r="MN100" s="15"/>
      <c r="MO100" s="15"/>
      <c r="MP100" s="15"/>
      <c r="MQ100" s="15"/>
      <c r="MR100" s="15"/>
      <c r="MS100" s="15"/>
      <c r="MT100" s="15"/>
      <c r="MU100" s="15"/>
      <c r="MV100" s="15"/>
      <c r="MW100" s="15"/>
    </row>
    <row r="101" spans="1:361" s="3" customFormat="1" ht="16.5" thickBot="1" x14ac:dyDescent="0.3">
      <c r="A101" s="28"/>
      <c r="B101" s="219" t="s">
        <v>285</v>
      </c>
      <c r="C101" s="220"/>
      <c r="D101" s="221"/>
      <c r="E101" s="222"/>
      <c r="F101" s="223"/>
      <c r="G101" s="223"/>
      <c r="H101" s="224"/>
      <c r="I101" s="225"/>
      <c r="J101" s="11"/>
      <c r="K101" s="11"/>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c r="GB101" s="15"/>
      <c r="GC101" s="15"/>
      <c r="GD101" s="15"/>
      <c r="GE101" s="15"/>
      <c r="GF101" s="15"/>
      <c r="GG101" s="15"/>
      <c r="GH101" s="15"/>
      <c r="GI101" s="15"/>
      <c r="GJ101" s="15"/>
      <c r="GK101" s="15"/>
      <c r="GL101" s="15"/>
      <c r="GM101" s="15"/>
      <c r="GN101" s="15"/>
      <c r="GO101" s="15"/>
      <c r="GP101" s="15"/>
      <c r="GQ101" s="15"/>
      <c r="GR101" s="15"/>
      <c r="GS101" s="15"/>
      <c r="GT101" s="15"/>
      <c r="GU101" s="15"/>
      <c r="GV101" s="15"/>
      <c r="GW101" s="15"/>
      <c r="GX101" s="15"/>
      <c r="GY101" s="15"/>
      <c r="GZ101" s="15"/>
      <c r="HA101" s="15"/>
      <c r="HB101" s="15"/>
      <c r="HC101" s="15"/>
      <c r="HD101" s="15"/>
      <c r="HE101" s="15"/>
      <c r="HF101" s="15"/>
      <c r="HG101" s="15"/>
      <c r="HH101" s="15"/>
      <c r="HI101" s="15"/>
      <c r="HJ101" s="15"/>
      <c r="HK101" s="15"/>
      <c r="HL101" s="15"/>
      <c r="HM101" s="15"/>
      <c r="HN101" s="15"/>
      <c r="HO101" s="15"/>
      <c r="HP101" s="15"/>
      <c r="HQ101" s="15"/>
      <c r="HR101" s="15"/>
      <c r="HS101" s="15"/>
      <c r="HT101" s="15"/>
      <c r="HU101" s="15"/>
      <c r="HV101" s="15"/>
      <c r="HW101" s="15"/>
      <c r="HX101" s="15"/>
      <c r="HY101" s="15"/>
      <c r="HZ101" s="15"/>
      <c r="IA101" s="15"/>
      <c r="IB101" s="15"/>
      <c r="IC101" s="15"/>
      <c r="ID101" s="15"/>
      <c r="IE101" s="15"/>
      <c r="IF101" s="15"/>
      <c r="IG101" s="15"/>
      <c r="IH101" s="15"/>
      <c r="II101" s="15"/>
      <c r="IJ101" s="15"/>
      <c r="IK101" s="15"/>
      <c r="IL101" s="15"/>
      <c r="IM101" s="15"/>
      <c r="IN101" s="15"/>
      <c r="IO101" s="15"/>
      <c r="IP101" s="15"/>
      <c r="IQ101" s="15"/>
      <c r="IR101" s="15"/>
      <c r="IS101" s="15"/>
      <c r="IT101" s="15"/>
      <c r="IU101" s="15"/>
      <c r="IV101" s="15"/>
      <c r="IW101" s="15"/>
      <c r="IX101" s="15"/>
      <c r="IY101" s="15"/>
      <c r="IZ101" s="15"/>
      <c r="JA101" s="15"/>
      <c r="JB101" s="15"/>
      <c r="JC101" s="15"/>
      <c r="JD101" s="15"/>
      <c r="JE101" s="15"/>
      <c r="JF101" s="15"/>
      <c r="JG101" s="15"/>
      <c r="JH101" s="15"/>
      <c r="JI101" s="15"/>
      <c r="JJ101" s="15"/>
      <c r="JK101" s="15"/>
      <c r="JL101" s="15"/>
      <c r="JM101" s="15"/>
      <c r="JN101" s="15"/>
      <c r="JO101" s="15"/>
      <c r="JP101" s="15"/>
      <c r="JQ101" s="15"/>
      <c r="JR101" s="15"/>
      <c r="JS101" s="15"/>
      <c r="JT101" s="15"/>
      <c r="JU101" s="15"/>
      <c r="JV101" s="15"/>
      <c r="JW101" s="15"/>
      <c r="JX101" s="15"/>
      <c r="JY101" s="15"/>
      <c r="JZ101" s="15"/>
      <c r="KA101" s="15"/>
      <c r="KB101" s="15"/>
      <c r="KC101" s="15"/>
      <c r="KD101" s="15"/>
      <c r="KE101" s="15"/>
      <c r="KF101" s="15"/>
      <c r="KG101" s="15"/>
      <c r="KH101" s="15"/>
      <c r="KI101" s="15"/>
      <c r="KJ101" s="15"/>
      <c r="KK101" s="15"/>
      <c r="KL101" s="15"/>
      <c r="KM101" s="15"/>
      <c r="KN101" s="15"/>
      <c r="KO101" s="15"/>
      <c r="KP101" s="15"/>
      <c r="KQ101" s="15"/>
      <c r="KR101" s="15"/>
      <c r="KS101" s="15"/>
      <c r="KT101" s="15"/>
      <c r="KU101" s="15"/>
      <c r="KV101" s="15"/>
      <c r="KW101" s="15"/>
      <c r="KX101" s="15"/>
      <c r="KY101" s="15"/>
      <c r="KZ101" s="15"/>
      <c r="LA101" s="15"/>
      <c r="LB101" s="15"/>
      <c r="LC101" s="15"/>
      <c r="LD101" s="15"/>
      <c r="LE101" s="15"/>
      <c r="LF101" s="15"/>
      <c r="LG101" s="15"/>
      <c r="LH101" s="15"/>
      <c r="LI101" s="15"/>
      <c r="LJ101" s="15"/>
      <c r="LK101" s="15"/>
      <c r="LL101" s="15"/>
      <c r="LM101" s="15"/>
      <c r="LN101" s="15"/>
      <c r="LO101" s="15"/>
      <c r="LP101" s="15"/>
      <c r="LQ101" s="15"/>
      <c r="LR101" s="15"/>
      <c r="LS101" s="15"/>
      <c r="LT101" s="15"/>
      <c r="LU101" s="15"/>
      <c r="LV101" s="15"/>
      <c r="LW101" s="15"/>
      <c r="LX101" s="15"/>
      <c r="LY101" s="15"/>
      <c r="LZ101" s="15"/>
      <c r="MA101" s="15"/>
      <c r="MB101" s="15"/>
      <c r="MC101" s="15"/>
      <c r="MD101" s="15"/>
      <c r="ME101" s="15"/>
      <c r="MF101" s="15"/>
      <c r="MG101" s="15"/>
      <c r="MH101" s="15"/>
      <c r="MI101" s="15"/>
      <c r="MJ101" s="15"/>
      <c r="MK101" s="15"/>
      <c r="ML101" s="15"/>
      <c r="MM101" s="15"/>
      <c r="MN101" s="15"/>
      <c r="MO101" s="15"/>
      <c r="MP101" s="15"/>
      <c r="MQ101" s="15"/>
      <c r="MR101" s="15"/>
      <c r="MS101" s="15"/>
      <c r="MT101" s="15"/>
      <c r="MU101" s="15"/>
      <c r="MV101" s="15"/>
      <c r="MW101" s="15"/>
    </row>
    <row r="102" spans="1:361" s="3" customFormat="1" ht="60.75" thickBot="1" x14ac:dyDescent="0.3">
      <c r="A102" s="28"/>
      <c r="B102" s="211" t="s">
        <v>261</v>
      </c>
      <c r="C102" s="212" t="s">
        <v>262</v>
      </c>
      <c r="D102" s="213" t="s">
        <v>264</v>
      </c>
      <c r="E102" s="214">
        <v>1</v>
      </c>
      <c r="F102" s="226">
        <v>46051</v>
      </c>
      <c r="G102" s="226">
        <v>46052</v>
      </c>
      <c r="H102" s="216" t="s">
        <v>263</v>
      </c>
      <c r="I102" s="216" t="s">
        <v>265</v>
      </c>
      <c r="J102" s="11"/>
      <c r="K102" s="11"/>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c r="DF102" s="15"/>
      <c r="DG102" s="15"/>
      <c r="DH102" s="15"/>
      <c r="DI102" s="15"/>
      <c r="DJ102" s="15"/>
      <c r="DK102" s="15"/>
      <c r="DL102" s="15"/>
      <c r="DM102" s="15"/>
      <c r="DN102" s="15"/>
      <c r="DO102" s="15"/>
      <c r="DP102" s="15"/>
      <c r="DQ102" s="15"/>
      <c r="DR102" s="15"/>
      <c r="DS102" s="15"/>
      <c r="DT102" s="15"/>
      <c r="DU102" s="15"/>
      <c r="DV102" s="15"/>
      <c r="DW102" s="15"/>
      <c r="DX102" s="15"/>
      <c r="DY102" s="15"/>
      <c r="DZ102" s="15"/>
      <c r="EA102" s="15"/>
      <c r="EB102" s="15"/>
      <c r="EC102" s="15"/>
      <c r="ED102" s="15"/>
      <c r="EE102" s="15"/>
      <c r="EF102" s="15"/>
      <c r="EG102" s="15"/>
      <c r="EH102" s="15"/>
      <c r="EI102" s="15"/>
      <c r="EJ102" s="15"/>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15"/>
      <c r="FI102" s="15"/>
      <c r="FJ102" s="15"/>
      <c r="FK102" s="15"/>
      <c r="FL102" s="15"/>
      <c r="FM102" s="15"/>
      <c r="FN102" s="15"/>
      <c r="FO102" s="15"/>
      <c r="FP102" s="15"/>
      <c r="FQ102" s="15"/>
      <c r="FR102" s="15"/>
      <c r="FS102" s="15"/>
      <c r="FT102" s="15"/>
      <c r="FU102" s="15"/>
      <c r="FV102" s="15"/>
      <c r="FW102" s="15"/>
      <c r="FX102" s="15"/>
      <c r="FY102" s="15"/>
      <c r="FZ102" s="15"/>
      <c r="GA102" s="15"/>
      <c r="GB102" s="15"/>
      <c r="GC102" s="15"/>
      <c r="GD102" s="15"/>
      <c r="GE102" s="15"/>
      <c r="GF102" s="15"/>
      <c r="GG102" s="15"/>
      <c r="GH102" s="15"/>
      <c r="GI102" s="15"/>
      <c r="GJ102" s="15"/>
      <c r="GK102" s="15"/>
      <c r="GL102" s="15"/>
      <c r="GM102" s="15"/>
      <c r="GN102" s="15"/>
      <c r="GO102" s="15"/>
      <c r="GP102" s="15"/>
      <c r="GQ102" s="15"/>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c r="HN102" s="15"/>
      <c r="HO102" s="15"/>
      <c r="HP102" s="15"/>
      <c r="HQ102" s="15"/>
      <c r="HR102" s="15"/>
      <c r="HS102" s="15"/>
      <c r="HT102" s="15"/>
      <c r="HU102" s="15"/>
      <c r="HV102" s="15"/>
      <c r="HW102" s="15"/>
      <c r="HX102" s="15"/>
      <c r="HY102" s="15"/>
      <c r="HZ102" s="15"/>
      <c r="IA102" s="15"/>
      <c r="IB102" s="15"/>
      <c r="IC102" s="15"/>
      <c r="ID102" s="15"/>
      <c r="IE102" s="15"/>
      <c r="IF102" s="15"/>
      <c r="IG102" s="15"/>
      <c r="IH102" s="15"/>
      <c r="II102" s="15"/>
      <c r="IJ102" s="15"/>
      <c r="IK102" s="15"/>
      <c r="IL102" s="15"/>
      <c r="IM102" s="15"/>
      <c r="IN102" s="15"/>
      <c r="IO102" s="15"/>
      <c r="IP102" s="15"/>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5"/>
      <c r="JO102" s="15"/>
      <c r="JP102" s="15"/>
      <c r="JQ102" s="15"/>
      <c r="JR102" s="15"/>
      <c r="JS102" s="15"/>
      <c r="JT102" s="15"/>
      <c r="JU102" s="15"/>
      <c r="JV102" s="15"/>
      <c r="JW102" s="15"/>
      <c r="JX102" s="15"/>
      <c r="JY102" s="15"/>
      <c r="JZ102" s="15"/>
      <c r="KA102" s="15"/>
      <c r="KB102" s="15"/>
      <c r="KC102" s="15"/>
      <c r="KD102" s="15"/>
      <c r="KE102" s="15"/>
      <c r="KF102" s="15"/>
      <c r="KG102" s="15"/>
      <c r="KH102" s="15"/>
      <c r="KI102" s="15"/>
      <c r="KJ102" s="15"/>
      <c r="KK102" s="15"/>
      <c r="KL102" s="15"/>
      <c r="KM102" s="15"/>
      <c r="KN102" s="15"/>
      <c r="KO102" s="15"/>
      <c r="KP102" s="15"/>
      <c r="KQ102" s="15"/>
      <c r="KR102" s="15"/>
      <c r="KS102" s="15"/>
      <c r="KT102" s="15"/>
      <c r="KU102" s="15"/>
      <c r="KV102" s="15"/>
      <c r="KW102" s="15"/>
      <c r="KX102" s="15"/>
      <c r="KY102" s="15"/>
      <c r="KZ102" s="15"/>
      <c r="LA102" s="15"/>
      <c r="LB102" s="15"/>
      <c r="LC102" s="15"/>
      <c r="LD102" s="15"/>
      <c r="LE102" s="15"/>
      <c r="LF102" s="15"/>
      <c r="LG102" s="15"/>
      <c r="LH102" s="15"/>
      <c r="LI102" s="15"/>
      <c r="LJ102" s="15"/>
      <c r="LK102" s="15"/>
      <c r="LL102" s="15"/>
      <c r="LM102" s="15"/>
      <c r="LN102" s="15"/>
      <c r="LO102" s="15"/>
      <c r="LP102" s="15"/>
      <c r="LQ102" s="15"/>
      <c r="LR102" s="15"/>
      <c r="LS102" s="15"/>
      <c r="LT102" s="15"/>
      <c r="LU102" s="15"/>
      <c r="LV102" s="15"/>
      <c r="LW102" s="15"/>
      <c r="LX102" s="15"/>
      <c r="LY102" s="15"/>
      <c r="LZ102" s="15"/>
      <c r="MA102" s="15"/>
      <c r="MB102" s="15"/>
      <c r="MC102" s="15"/>
      <c r="MD102" s="15"/>
      <c r="ME102" s="15"/>
      <c r="MF102" s="15"/>
      <c r="MG102" s="15"/>
      <c r="MH102" s="15"/>
      <c r="MI102" s="15"/>
      <c r="MJ102" s="15"/>
      <c r="MK102" s="15"/>
      <c r="ML102" s="15"/>
      <c r="MM102" s="15"/>
      <c r="MN102" s="15"/>
      <c r="MO102" s="15"/>
      <c r="MP102" s="15"/>
      <c r="MQ102" s="15"/>
      <c r="MR102" s="15"/>
      <c r="MS102" s="15"/>
      <c r="MT102" s="15"/>
      <c r="MU102" s="15"/>
      <c r="MV102" s="15"/>
      <c r="MW102" s="15"/>
    </row>
    <row r="103" spans="1:361" s="3" customFormat="1" ht="16.5" thickBot="1" x14ac:dyDescent="0.3">
      <c r="A103" s="28"/>
      <c r="B103" s="219" t="s">
        <v>286</v>
      </c>
      <c r="C103" s="220"/>
      <c r="D103" s="221"/>
      <c r="E103" s="222"/>
      <c r="F103" s="223"/>
      <c r="G103" s="223"/>
      <c r="H103" s="224"/>
      <c r="I103" s="225"/>
      <c r="J103" s="11"/>
      <c r="K103" s="11"/>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c r="DF103" s="15"/>
      <c r="DG103" s="15"/>
      <c r="DH103" s="15"/>
      <c r="DI103" s="15"/>
      <c r="DJ103" s="15"/>
      <c r="DK103" s="15"/>
      <c r="DL103" s="15"/>
      <c r="DM103" s="15"/>
      <c r="DN103" s="15"/>
      <c r="DO103" s="15"/>
      <c r="DP103" s="15"/>
      <c r="DQ103" s="15"/>
      <c r="DR103" s="15"/>
      <c r="DS103" s="15"/>
      <c r="DT103" s="15"/>
      <c r="DU103" s="15"/>
      <c r="DV103" s="15"/>
      <c r="DW103" s="15"/>
      <c r="DX103" s="15"/>
      <c r="DY103" s="15"/>
      <c r="DZ103" s="15"/>
      <c r="EA103" s="15"/>
      <c r="EB103" s="15"/>
      <c r="EC103" s="15"/>
      <c r="ED103" s="15"/>
      <c r="EE103" s="15"/>
      <c r="EF103" s="15"/>
      <c r="EG103" s="15"/>
      <c r="EH103" s="15"/>
      <c r="EI103" s="15"/>
      <c r="EJ103" s="15"/>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15"/>
      <c r="FI103" s="15"/>
      <c r="FJ103" s="15"/>
      <c r="FK103" s="15"/>
      <c r="FL103" s="15"/>
      <c r="FM103" s="15"/>
      <c r="FN103" s="15"/>
      <c r="FO103" s="15"/>
      <c r="FP103" s="15"/>
      <c r="FQ103" s="15"/>
      <c r="FR103" s="15"/>
      <c r="FS103" s="15"/>
      <c r="FT103" s="15"/>
      <c r="FU103" s="15"/>
      <c r="FV103" s="15"/>
      <c r="FW103" s="15"/>
      <c r="FX103" s="15"/>
      <c r="FY103" s="15"/>
      <c r="FZ103" s="15"/>
      <c r="GA103" s="15"/>
      <c r="GB103" s="15"/>
      <c r="GC103" s="15"/>
      <c r="GD103" s="15"/>
      <c r="GE103" s="15"/>
      <c r="GF103" s="15"/>
      <c r="GG103" s="15"/>
      <c r="GH103" s="15"/>
      <c r="GI103" s="15"/>
      <c r="GJ103" s="15"/>
      <c r="GK103" s="15"/>
      <c r="GL103" s="15"/>
      <c r="GM103" s="15"/>
      <c r="GN103" s="15"/>
      <c r="GO103" s="15"/>
      <c r="GP103" s="15"/>
      <c r="GQ103" s="15"/>
      <c r="GR103" s="15"/>
      <c r="GS103" s="15"/>
      <c r="GT103" s="15"/>
      <c r="GU103" s="15"/>
      <c r="GV103" s="15"/>
      <c r="GW103" s="15"/>
      <c r="GX103" s="15"/>
      <c r="GY103" s="15"/>
      <c r="GZ103" s="15"/>
      <c r="HA103" s="15"/>
      <c r="HB103" s="15"/>
      <c r="HC103" s="15"/>
      <c r="HD103" s="15"/>
      <c r="HE103" s="15"/>
      <c r="HF103" s="15"/>
      <c r="HG103" s="15"/>
      <c r="HH103" s="15"/>
      <c r="HI103" s="15"/>
      <c r="HJ103" s="15"/>
      <c r="HK103" s="15"/>
      <c r="HL103" s="15"/>
      <c r="HM103" s="15"/>
      <c r="HN103" s="15"/>
      <c r="HO103" s="15"/>
      <c r="HP103" s="15"/>
      <c r="HQ103" s="15"/>
      <c r="HR103" s="15"/>
      <c r="HS103" s="15"/>
      <c r="HT103" s="15"/>
      <c r="HU103" s="15"/>
      <c r="HV103" s="15"/>
      <c r="HW103" s="15"/>
      <c r="HX103" s="15"/>
      <c r="HY103" s="15"/>
      <c r="HZ103" s="15"/>
      <c r="IA103" s="15"/>
      <c r="IB103" s="15"/>
      <c r="IC103" s="15"/>
      <c r="ID103" s="15"/>
      <c r="IE103" s="15"/>
      <c r="IF103" s="15"/>
      <c r="IG103" s="15"/>
      <c r="IH103" s="15"/>
      <c r="II103" s="15"/>
      <c r="IJ103" s="15"/>
      <c r="IK103" s="15"/>
      <c r="IL103" s="15"/>
      <c r="IM103" s="15"/>
      <c r="IN103" s="15"/>
      <c r="IO103" s="15"/>
      <c r="IP103" s="15"/>
      <c r="IQ103" s="15"/>
      <c r="IR103" s="15"/>
      <c r="IS103" s="15"/>
      <c r="IT103" s="15"/>
      <c r="IU103" s="15"/>
      <c r="IV103" s="15"/>
      <c r="IW103" s="15"/>
      <c r="IX103" s="15"/>
      <c r="IY103" s="15"/>
      <c r="IZ103" s="15"/>
      <c r="JA103" s="15"/>
      <c r="JB103" s="15"/>
      <c r="JC103" s="15"/>
      <c r="JD103" s="15"/>
      <c r="JE103" s="15"/>
      <c r="JF103" s="15"/>
      <c r="JG103" s="15"/>
      <c r="JH103" s="15"/>
      <c r="JI103" s="15"/>
      <c r="JJ103" s="15"/>
      <c r="JK103" s="15"/>
      <c r="JL103" s="15"/>
      <c r="JM103" s="15"/>
      <c r="JN103" s="15"/>
      <c r="JO103" s="15"/>
      <c r="JP103" s="15"/>
      <c r="JQ103" s="15"/>
      <c r="JR103" s="15"/>
      <c r="JS103" s="15"/>
      <c r="JT103" s="15"/>
      <c r="JU103" s="15"/>
      <c r="JV103" s="15"/>
      <c r="JW103" s="15"/>
      <c r="JX103" s="15"/>
      <c r="JY103" s="15"/>
      <c r="JZ103" s="15"/>
      <c r="KA103" s="15"/>
      <c r="KB103" s="15"/>
      <c r="KC103" s="15"/>
      <c r="KD103" s="15"/>
      <c r="KE103" s="15"/>
      <c r="KF103" s="15"/>
      <c r="KG103" s="15"/>
      <c r="KH103" s="15"/>
      <c r="KI103" s="15"/>
      <c r="KJ103" s="15"/>
      <c r="KK103" s="15"/>
      <c r="KL103" s="15"/>
      <c r="KM103" s="15"/>
      <c r="KN103" s="15"/>
      <c r="KO103" s="15"/>
      <c r="KP103" s="15"/>
      <c r="KQ103" s="15"/>
      <c r="KR103" s="15"/>
      <c r="KS103" s="15"/>
      <c r="KT103" s="15"/>
      <c r="KU103" s="15"/>
      <c r="KV103" s="15"/>
      <c r="KW103" s="15"/>
      <c r="KX103" s="15"/>
      <c r="KY103" s="15"/>
      <c r="KZ103" s="15"/>
      <c r="LA103" s="15"/>
      <c r="LB103" s="15"/>
      <c r="LC103" s="15"/>
      <c r="LD103" s="15"/>
      <c r="LE103" s="15"/>
      <c r="LF103" s="15"/>
      <c r="LG103" s="15"/>
      <c r="LH103" s="15"/>
      <c r="LI103" s="15"/>
      <c r="LJ103" s="15"/>
      <c r="LK103" s="15"/>
      <c r="LL103" s="15"/>
      <c r="LM103" s="15"/>
      <c r="LN103" s="15"/>
      <c r="LO103" s="15"/>
      <c r="LP103" s="15"/>
      <c r="LQ103" s="15"/>
      <c r="LR103" s="15"/>
      <c r="LS103" s="15"/>
      <c r="LT103" s="15"/>
      <c r="LU103" s="15"/>
      <c r="LV103" s="15"/>
      <c r="LW103" s="15"/>
      <c r="LX103" s="15"/>
      <c r="LY103" s="15"/>
      <c r="LZ103" s="15"/>
      <c r="MA103" s="15"/>
      <c r="MB103" s="15"/>
      <c r="MC103" s="15"/>
      <c r="MD103" s="15"/>
      <c r="ME103" s="15"/>
      <c r="MF103" s="15"/>
      <c r="MG103" s="15"/>
      <c r="MH103" s="15"/>
      <c r="MI103" s="15"/>
      <c r="MJ103" s="15"/>
      <c r="MK103" s="15"/>
      <c r="ML103" s="15"/>
      <c r="MM103" s="15"/>
      <c r="MN103" s="15"/>
      <c r="MO103" s="15"/>
      <c r="MP103" s="15"/>
      <c r="MQ103" s="15"/>
      <c r="MR103" s="15"/>
      <c r="MS103" s="15"/>
      <c r="MT103" s="15"/>
      <c r="MU103" s="15"/>
      <c r="MV103" s="15"/>
      <c r="MW103" s="15"/>
    </row>
    <row r="104" spans="1:361" s="3" customFormat="1" ht="45.75" thickBot="1" x14ac:dyDescent="0.3">
      <c r="A104" s="28"/>
      <c r="B104" s="211" t="s">
        <v>257</v>
      </c>
      <c r="C104" s="212" t="s">
        <v>256</v>
      </c>
      <c r="D104" s="213" t="s">
        <v>280</v>
      </c>
      <c r="E104" s="214">
        <v>0</v>
      </c>
      <c r="F104" s="226" t="s">
        <v>217</v>
      </c>
      <c r="G104" s="226" t="s">
        <v>217</v>
      </c>
      <c r="H104" s="216" t="s">
        <v>279</v>
      </c>
      <c r="I104" s="216" t="s">
        <v>300</v>
      </c>
      <c r="J104" s="11"/>
      <c r="K104" s="11"/>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c r="DF104" s="15"/>
      <c r="DG104" s="15"/>
      <c r="DH104" s="15"/>
      <c r="DI104" s="15"/>
      <c r="DJ104" s="15"/>
      <c r="DK104" s="15"/>
      <c r="DL104" s="15"/>
      <c r="DM104" s="15"/>
      <c r="DN104" s="15"/>
      <c r="DO104" s="15"/>
      <c r="DP104" s="15"/>
      <c r="DQ104" s="15"/>
      <c r="DR104" s="15"/>
      <c r="DS104" s="15"/>
      <c r="DT104" s="15"/>
      <c r="DU104" s="15"/>
      <c r="DV104" s="15"/>
      <c r="DW104" s="15"/>
      <c r="DX104" s="15"/>
      <c r="DY104" s="15"/>
      <c r="DZ104" s="15"/>
      <c r="EA104" s="15"/>
      <c r="EB104" s="15"/>
      <c r="EC104" s="15"/>
      <c r="ED104" s="15"/>
      <c r="EE104" s="15"/>
      <c r="EF104" s="15"/>
      <c r="EG104" s="15"/>
      <c r="EH104" s="15"/>
      <c r="EI104" s="15"/>
      <c r="EJ104" s="15"/>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15"/>
      <c r="FI104" s="15"/>
      <c r="FJ104" s="15"/>
      <c r="FK104" s="15"/>
      <c r="FL104" s="15"/>
      <c r="FM104" s="15"/>
      <c r="FN104" s="15"/>
      <c r="FO104" s="15"/>
      <c r="FP104" s="15"/>
      <c r="FQ104" s="15"/>
      <c r="FR104" s="15"/>
      <c r="FS104" s="15"/>
      <c r="FT104" s="15"/>
      <c r="FU104" s="15"/>
      <c r="FV104" s="15"/>
      <c r="FW104" s="15"/>
      <c r="FX104" s="15"/>
      <c r="FY104" s="15"/>
      <c r="FZ104" s="15"/>
      <c r="GA104" s="15"/>
      <c r="GB104" s="15"/>
      <c r="GC104" s="15"/>
      <c r="GD104" s="15"/>
      <c r="GE104" s="15"/>
      <c r="GF104" s="15"/>
      <c r="GG104" s="15"/>
      <c r="GH104" s="15"/>
      <c r="GI104" s="15"/>
      <c r="GJ104" s="15"/>
      <c r="GK104" s="15"/>
      <c r="GL104" s="15"/>
      <c r="GM104" s="15"/>
      <c r="GN104" s="15"/>
      <c r="GO104" s="15"/>
      <c r="GP104" s="15"/>
      <c r="GQ104" s="15"/>
      <c r="GR104" s="15"/>
      <c r="GS104" s="15"/>
      <c r="GT104" s="15"/>
      <c r="GU104" s="15"/>
      <c r="GV104" s="15"/>
      <c r="GW104" s="15"/>
      <c r="GX104" s="15"/>
      <c r="GY104" s="15"/>
      <c r="GZ104" s="15"/>
      <c r="HA104" s="15"/>
      <c r="HB104" s="15"/>
      <c r="HC104" s="15"/>
      <c r="HD104" s="15"/>
      <c r="HE104" s="15"/>
      <c r="HF104" s="15"/>
      <c r="HG104" s="15"/>
      <c r="HH104" s="15"/>
      <c r="HI104" s="15"/>
      <c r="HJ104" s="15"/>
      <c r="HK104" s="15"/>
      <c r="HL104" s="15"/>
      <c r="HM104" s="15"/>
      <c r="HN104" s="15"/>
      <c r="HO104" s="15"/>
      <c r="HP104" s="15"/>
      <c r="HQ104" s="15"/>
      <c r="HR104" s="15"/>
      <c r="HS104" s="15"/>
      <c r="HT104" s="15"/>
      <c r="HU104" s="15"/>
      <c r="HV104" s="15"/>
      <c r="HW104" s="15"/>
      <c r="HX104" s="15"/>
      <c r="HY104" s="15"/>
      <c r="HZ104" s="15"/>
      <c r="IA104" s="15"/>
      <c r="IB104" s="15"/>
      <c r="IC104" s="15"/>
      <c r="ID104" s="15"/>
      <c r="IE104" s="15"/>
      <c r="IF104" s="15"/>
      <c r="IG104" s="15"/>
      <c r="IH104" s="15"/>
      <c r="II104" s="15"/>
      <c r="IJ104" s="15"/>
      <c r="IK104" s="15"/>
      <c r="IL104" s="15"/>
      <c r="IM104" s="15"/>
      <c r="IN104" s="15"/>
      <c r="IO104" s="15"/>
      <c r="IP104" s="15"/>
      <c r="IQ104" s="15"/>
      <c r="IR104" s="15"/>
      <c r="IS104" s="15"/>
      <c r="IT104" s="15"/>
      <c r="IU104" s="15"/>
      <c r="IV104" s="15"/>
      <c r="IW104" s="15"/>
      <c r="IX104" s="15"/>
      <c r="IY104" s="15"/>
      <c r="IZ104" s="15"/>
      <c r="JA104" s="15"/>
      <c r="JB104" s="15"/>
      <c r="JC104" s="15"/>
      <c r="JD104" s="15"/>
      <c r="JE104" s="15"/>
      <c r="JF104" s="15"/>
      <c r="JG104" s="15"/>
      <c r="JH104" s="15"/>
      <c r="JI104" s="15"/>
      <c r="JJ104" s="15"/>
      <c r="JK104" s="15"/>
      <c r="JL104" s="15"/>
      <c r="JM104" s="15"/>
      <c r="JN104" s="15"/>
      <c r="JO104" s="15"/>
      <c r="JP104" s="15"/>
      <c r="JQ104" s="15"/>
      <c r="JR104" s="15"/>
      <c r="JS104" s="15"/>
      <c r="JT104" s="15"/>
      <c r="JU104" s="15"/>
      <c r="JV104" s="15"/>
      <c r="JW104" s="15"/>
      <c r="JX104" s="15"/>
      <c r="JY104" s="15"/>
      <c r="JZ104" s="15"/>
      <c r="KA104" s="15"/>
      <c r="KB104" s="15"/>
      <c r="KC104" s="15"/>
      <c r="KD104" s="15"/>
      <c r="KE104" s="15"/>
      <c r="KF104" s="15"/>
      <c r="KG104" s="15"/>
      <c r="KH104" s="15"/>
      <c r="KI104" s="15"/>
      <c r="KJ104" s="15"/>
      <c r="KK104" s="15"/>
      <c r="KL104" s="15"/>
      <c r="KM104" s="15"/>
      <c r="KN104" s="15"/>
      <c r="KO104" s="15"/>
      <c r="KP104" s="15"/>
      <c r="KQ104" s="15"/>
      <c r="KR104" s="15"/>
      <c r="KS104" s="15"/>
      <c r="KT104" s="15"/>
      <c r="KU104" s="15"/>
      <c r="KV104" s="15"/>
      <c r="KW104" s="15"/>
      <c r="KX104" s="15"/>
      <c r="KY104" s="15"/>
      <c r="KZ104" s="15"/>
      <c r="LA104" s="15"/>
      <c r="LB104" s="15"/>
      <c r="LC104" s="15"/>
      <c r="LD104" s="15"/>
      <c r="LE104" s="15"/>
      <c r="LF104" s="15"/>
      <c r="LG104" s="15"/>
      <c r="LH104" s="15"/>
      <c r="LI104" s="15"/>
      <c r="LJ104" s="15"/>
      <c r="LK104" s="15"/>
      <c r="LL104" s="15"/>
      <c r="LM104" s="15"/>
      <c r="LN104" s="15"/>
      <c r="LO104" s="15"/>
      <c r="LP104" s="15"/>
      <c r="LQ104" s="15"/>
      <c r="LR104" s="15"/>
      <c r="LS104" s="15"/>
      <c r="LT104" s="15"/>
      <c r="LU104" s="15"/>
      <c r="LV104" s="15"/>
      <c r="LW104" s="15"/>
      <c r="LX104" s="15"/>
      <c r="LY104" s="15"/>
      <c r="LZ104" s="15"/>
      <c r="MA104" s="15"/>
      <c r="MB104" s="15"/>
      <c r="MC104" s="15"/>
      <c r="MD104" s="15"/>
      <c r="ME104" s="15"/>
      <c r="MF104" s="15"/>
      <c r="MG104" s="15"/>
      <c r="MH104" s="15"/>
      <c r="MI104" s="15"/>
      <c r="MJ104" s="15"/>
      <c r="MK104" s="15"/>
      <c r="ML104" s="15"/>
      <c r="MM104" s="15"/>
      <c r="MN104" s="15"/>
      <c r="MO104" s="15"/>
      <c r="MP104" s="15"/>
      <c r="MQ104" s="15"/>
      <c r="MR104" s="15"/>
      <c r="MS104" s="15"/>
      <c r="MT104" s="15"/>
      <c r="MU104" s="15"/>
      <c r="MV104" s="15"/>
      <c r="MW104" s="15"/>
    </row>
    <row r="105" spans="1:361" s="3" customFormat="1" ht="16.5" thickBot="1" x14ac:dyDescent="0.3">
      <c r="A105" s="28"/>
      <c r="B105" s="219" t="s">
        <v>287</v>
      </c>
      <c r="C105" s="220"/>
      <c r="D105" s="221"/>
      <c r="E105" s="222"/>
      <c r="F105" s="223"/>
      <c r="G105" s="223"/>
      <c r="H105" s="224"/>
      <c r="I105" s="225"/>
      <c r="J105" s="11"/>
      <c r="K105" s="11"/>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c r="GB105" s="15"/>
      <c r="GC105" s="15"/>
      <c r="GD105" s="15"/>
      <c r="GE105" s="15"/>
      <c r="GF105" s="15"/>
      <c r="GG105" s="15"/>
      <c r="GH105" s="15"/>
      <c r="GI105" s="15"/>
      <c r="GJ105" s="15"/>
      <c r="GK105" s="15"/>
      <c r="GL105" s="15"/>
      <c r="GM105" s="15"/>
      <c r="GN105" s="15"/>
      <c r="GO105" s="15"/>
      <c r="GP105" s="15"/>
      <c r="GQ105" s="15"/>
      <c r="GR105" s="15"/>
      <c r="GS105" s="15"/>
      <c r="GT105" s="15"/>
      <c r="GU105" s="15"/>
      <c r="GV105" s="15"/>
      <c r="GW105" s="15"/>
      <c r="GX105" s="15"/>
      <c r="GY105" s="15"/>
      <c r="GZ105" s="15"/>
      <c r="HA105" s="15"/>
      <c r="HB105" s="15"/>
      <c r="HC105" s="15"/>
      <c r="HD105" s="15"/>
      <c r="HE105" s="15"/>
      <c r="HF105" s="15"/>
      <c r="HG105" s="15"/>
      <c r="HH105" s="15"/>
      <c r="HI105" s="15"/>
      <c r="HJ105" s="15"/>
      <c r="HK105" s="15"/>
      <c r="HL105" s="15"/>
      <c r="HM105" s="15"/>
      <c r="HN105" s="15"/>
      <c r="HO105" s="15"/>
      <c r="HP105" s="15"/>
      <c r="HQ105" s="15"/>
      <c r="HR105" s="15"/>
      <c r="HS105" s="15"/>
      <c r="HT105" s="15"/>
      <c r="HU105" s="15"/>
      <c r="HV105" s="15"/>
      <c r="HW105" s="15"/>
      <c r="HX105" s="15"/>
      <c r="HY105" s="15"/>
      <c r="HZ105" s="15"/>
      <c r="IA105" s="15"/>
      <c r="IB105" s="15"/>
      <c r="IC105" s="15"/>
      <c r="ID105" s="15"/>
      <c r="IE105" s="15"/>
      <c r="IF105" s="15"/>
      <c r="IG105" s="15"/>
      <c r="IH105" s="15"/>
      <c r="II105" s="15"/>
      <c r="IJ105" s="15"/>
      <c r="IK105" s="15"/>
      <c r="IL105" s="15"/>
      <c r="IM105" s="15"/>
      <c r="IN105" s="15"/>
      <c r="IO105" s="15"/>
      <c r="IP105" s="15"/>
      <c r="IQ105" s="15"/>
      <c r="IR105" s="15"/>
      <c r="IS105" s="15"/>
      <c r="IT105" s="15"/>
      <c r="IU105" s="15"/>
      <c r="IV105" s="15"/>
      <c r="IW105" s="15"/>
      <c r="IX105" s="15"/>
      <c r="IY105" s="15"/>
      <c r="IZ105" s="15"/>
      <c r="JA105" s="15"/>
      <c r="JB105" s="15"/>
      <c r="JC105" s="15"/>
      <c r="JD105" s="15"/>
      <c r="JE105" s="15"/>
      <c r="JF105" s="15"/>
      <c r="JG105" s="15"/>
      <c r="JH105" s="15"/>
      <c r="JI105" s="15"/>
      <c r="JJ105" s="15"/>
      <c r="JK105" s="15"/>
      <c r="JL105" s="15"/>
      <c r="JM105" s="15"/>
      <c r="JN105" s="15"/>
      <c r="JO105" s="15"/>
      <c r="JP105" s="15"/>
      <c r="JQ105" s="15"/>
      <c r="JR105" s="15"/>
      <c r="JS105" s="15"/>
      <c r="JT105" s="15"/>
      <c r="JU105" s="15"/>
      <c r="JV105" s="15"/>
      <c r="JW105" s="15"/>
      <c r="JX105" s="15"/>
      <c r="JY105" s="15"/>
      <c r="JZ105" s="15"/>
      <c r="KA105" s="15"/>
      <c r="KB105" s="15"/>
      <c r="KC105" s="15"/>
      <c r="KD105" s="15"/>
      <c r="KE105" s="15"/>
      <c r="KF105" s="15"/>
      <c r="KG105" s="15"/>
      <c r="KH105" s="15"/>
      <c r="KI105" s="15"/>
      <c r="KJ105" s="15"/>
      <c r="KK105" s="15"/>
      <c r="KL105" s="15"/>
      <c r="KM105" s="15"/>
      <c r="KN105" s="15"/>
      <c r="KO105" s="15"/>
      <c r="KP105" s="15"/>
      <c r="KQ105" s="15"/>
      <c r="KR105" s="15"/>
      <c r="KS105" s="15"/>
      <c r="KT105" s="15"/>
      <c r="KU105" s="15"/>
      <c r="KV105" s="15"/>
      <c r="KW105" s="15"/>
      <c r="KX105" s="15"/>
      <c r="KY105" s="15"/>
      <c r="KZ105" s="15"/>
      <c r="LA105" s="15"/>
      <c r="LB105" s="15"/>
      <c r="LC105" s="15"/>
      <c r="LD105" s="15"/>
      <c r="LE105" s="15"/>
      <c r="LF105" s="15"/>
      <c r="LG105" s="15"/>
      <c r="LH105" s="15"/>
      <c r="LI105" s="15"/>
      <c r="LJ105" s="15"/>
      <c r="LK105" s="15"/>
      <c r="LL105" s="15"/>
      <c r="LM105" s="15"/>
      <c r="LN105" s="15"/>
      <c r="LO105" s="15"/>
      <c r="LP105" s="15"/>
      <c r="LQ105" s="15"/>
      <c r="LR105" s="15"/>
      <c r="LS105" s="15"/>
      <c r="LT105" s="15"/>
      <c r="LU105" s="15"/>
      <c r="LV105" s="15"/>
      <c r="LW105" s="15"/>
      <c r="LX105" s="15"/>
      <c r="LY105" s="15"/>
      <c r="LZ105" s="15"/>
      <c r="MA105" s="15"/>
      <c r="MB105" s="15"/>
      <c r="MC105" s="15"/>
      <c r="MD105" s="15"/>
      <c r="ME105" s="15"/>
      <c r="MF105" s="15"/>
      <c r="MG105" s="15"/>
      <c r="MH105" s="15"/>
      <c r="MI105" s="15"/>
      <c r="MJ105" s="15"/>
      <c r="MK105" s="15"/>
      <c r="ML105" s="15"/>
      <c r="MM105" s="15"/>
      <c r="MN105" s="15"/>
      <c r="MO105" s="15"/>
      <c r="MP105" s="15"/>
      <c r="MQ105" s="15"/>
      <c r="MR105" s="15"/>
      <c r="MS105" s="15"/>
      <c r="MT105" s="15"/>
      <c r="MU105" s="15"/>
      <c r="MV105" s="15"/>
      <c r="MW105" s="15"/>
    </row>
    <row r="106" spans="1:361" s="3" customFormat="1" ht="30.75" thickBot="1" x14ac:dyDescent="0.3">
      <c r="A106" s="28"/>
      <c r="B106" s="211" t="s">
        <v>258</v>
      </c>
      <c r="C106" s="212" t="s">
        <v>259</v>
      </c>
      <c r="D106" s="213" t="s">
        <v>280</v>
      </c>
      <c r="E106" s="214">
        <v>0</v>
      </c>
      <c r="F106" s="226" t="s">
        <v>217</v>
      </c>
      <c r="G106" s="226" t="s">
        <v>217</v>
      </c>
      <c r="H106" s="216" t="s">
        <v>279</v>
      </c>
      <c r="I106" s="216" t="s">
        <v>300</v>
      </c>
      <c r="J106" s="11"/>
      <c r="K106" s="11"/>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c r="GB106" s="15"/>
      <c r="GC106" s="15"/>
      <c r="GD106" s="15"/>
      <c r="GE106" s="15"/>
      <c r="GF106" s="15"/>
      <c r="GG106" s="15"/>
      <c r="GH106" s="15"/>
      <c r="GI106" s="15"/>
      <c r="GJ106" s="15"/>
      <c r="GK106" s="15"/>
      <c r="GL106" s="15"/>
      <c r="GM106" s="15"/>
      <c r="GN106" s="15"/>
      <c r="GO106" s="15"/>
      <c r="GP106" s="15"/>
      <c r="GQ106" s="15"/>
      <c r="GR106" s="15"/>
      <c r="GS106" s="15"/>
      <c r="GT106" s="15"/>
      <c r="GU106" s="15"/>
      <c r="GV106" s="15"/>
      <c r="GW106" s="15"/>
      <c r="GX106" s="15"/>
      <c r="GY106" s="15"/>
      <c r="GZ106" s="15"/>
      <c r="HA106" s="15"/>
      <c r="HB106" s="15"/>
      <c r="HC106" s="15"/>
      <c r="HD106" s="15"/>
      <c r="HE106" s="15"/>
      <c r="HF106" s="15"/>
      <c r="HG106" s="15"/>
      <c r="HH106" s="15"/>
      <c r="HI106" s="15"/>
      <c r="HJ106" s="15"/>
      <c r="HK106" s="15"/>
      <c r="HL106" s="15"/>
      <c r="HM106" s="15"/>
      <c r="HN106" s="15"/>
      <c r="HO106" s="15"/>
      <c r="HP106" s="15"/>
      <c r="HQ106" s="15"/>
      <c r="HR106" s="15"/>
      <c r="HS106" s="15"/>
      <c r="HT106" s="15"/>
      <c r="HU106" s="15"/>
      <c r="HV106" s="15"/>
      <c r="HW106" s="15"/>
      <c r="HX106" s="15"/>
      <c r="HY106" s="15"/>
      <c r="HZ106" s="15"/>
      <c r="IA106" s="15"/>
      <c r="IB106" s="15"/>
      <c r="IC106" s="15"/>
      <c r="ID106" s="15"/>
      <c r="IE106" s="15"/>
      <c r="IF106" s="15"/>
      <c r="IG106" s="15"/>
      <c r="IH106" s="15"/>
      <c r="II106" s="15"/>
      <c r="IJ106" s="15"/>
      <c r="IK106" s="15"/>
      <c r="IL106" s="15"/>
      <c r="IM106" s="15"/>
      <c r="IN106" s="15"/>
      <c r="IO106" s="15"/>
      <c r="IP106" s="15"/>
      <c r="IQ106" s="15"/>
      <c r="IR106" s="15"/>
      <c r="IS106" s="15"/>
      <c r="IT106" s="15"/>
      <c r="IU106" s="15"/>
      <c r="IV106" s="15"/>
      <c r="IW106" s="15"/>
      <c r="IX106" s="15"/>
      <c r="IY106" s="15"/>
      <c r="IZ106" s="15"/>
      <c r="JA106" s="15"/>
      <c r="JB106" s="15"/>
      <c r="JC106" s="15"/>
      <c r="JD106" s="15"/>
      <c r="JE106" s="15"/>
      <c r="JF106" s="15"/>
      <c r="JG106" s="15"/>
      <c r="JH106" s="15"/>
      <c r="JI106" s="15"/>
      <c r="JJ106" s="15"/>
      <c r="JK106" s="15"/>
      <c r="JL106" s="15"/>
      <c r="JM106" s="15"/>
      <c r="JN106" s="15"/>
      <c r="JO106" s="15"/>
      <c r="JP106" s="15"/>
      <c r="JQ106" s="15"/>
      <c r="JR106" s="15"/>
      <c r="JS106" s="15"/>
      <c r="JT106" s="15"/>
      <c r="JU106" s="15"/>
      <c r="JV106" s="15"/>
      <c r="JW106" s="15"/>
      <c r="JX106" s="15"/>
      <c r="JY106" s="15"/>
      <c r="JZ106" s="15"/>
      <c r="KA106" s="15"/>
      <c r="KB106" s="15"/>
      <c r="KC106" s="15"/>
      <c r="KD106" s="15"/>
      <c r="KE106" s="15"/>
      <c r="KF106" s="15"/>
      <c r="KG106" s="15"/>
      <c r="KH106" s="15"/>
      <c r="KI106" s="15"/>
      <c r="KJ106" s="15"/>
      <c r="KK106" s="15"/>
      <c r="KL106" s="15"/>
      <c r="KM106" s="15"/>
      <c r="KN106" s="15"/>
      <c r="KO106" s="15"/>
      <c r="KP106" s="15"/>
      <c r="KQ106" s="15"/>
      <c r="KR106" s="15"/>
      <c r="KS106" s="15"/>
      <c r="KT106" s="15"/>
      <c r="KU106" s="15"/>
      <c r="KV106" s="15"/>
      <c r="KW106" s="15"/>
      <c r="KX106" s="15"/>
      <c r="KY106" s="15"/>
      <c r="KZ106" s="15"/>
      <c r="LA106" s="15"/>
      <c r="LB106" s="15"/>
      <c r="LC106" s="15"/>
      <c r="LD106" s="15"/>
      <c r="LE106" s="15"/>
      <c r="LF106" s="15"/>
      <c r="LG106" s="15"/>
      <c r="LH106" s="15"/>
      <c r="LI106" s="15"/>
      <c r="LJ106" s="15"/>
      <c r="LK106" s="15"/>
      <c r="LL106" s="15"/>
      <c r="LM106" s="15"/>
      <c r="LN106" s="15"/>
      <c r="LO106" s="15"/>
      <c r="LP106" s="15"/>
      <c r="LQ106" s="15"/>
      <c r="LR106" s="15"/>
      <c r="LS106" s="15"/>
      <c r="LT106" s="15"/>
      <c r="LU106" s="15"/>
      <c r="LV106" s="15"/>
      <c r="LW106" s="15"/>
      <c r="LX106" s="15"/>
      <c r="LY106" s="15"/>
      <c r="LZ106" s="15"/>
      <c r="MA106" s="15"/>
      <c r="MB106" s="15"/>
      <c r="MC106" s="15"/>
      <c r="MD106" s="15"/>
      <c r="ME106" s="15"/>
      <c r="MF106" s="15"/>
      <c r="MG106" s="15"/>
      <c r="MH106" s="15"/>
      <c r="MI106" s="15"/>
      <c r="MJ106" s="15"/>
      <c r="MK106" s="15"/>
      <c r="ML106" s="15"/>
      <c r="MM106" s="15"/>
      <c r="MN106" s="15"/>
      <c r="MO106" s="15"/>
      <c r="MP106" s="15"/>
      <c r="MQ106" s="15"/>
      <c r="MR106" s="15"/>
      <c r="MS106" s="15"/>
      <c r="MT106" s="15"/>
      <c r="MU106" s="15"/>
      <c r="MV106" s="15"/>
      <c r="MW106" s="15"/>
    </row>
    <row r="107" spans="1:361" s="3" customFormat="1" ht="16.5" thickBot="1" x14ac:dyDescent="0.3">
      <c r="A107" s="28"/>
      <c r="B107" s="219" t="s">
        <v>288</v>
      </c>
      <c r="C107" s="220"/>
      <c r="D107" s="221"/>
      <c r="E107" s="222"/>
      <c r="F107" s="223"/>
      <c r="G107" s="223"/>
      <c r="H107" s="224"/>
      <c r="I107" s="225"/>
      <c r="J107" s="11"/>
      <c r="K107" s="11"/>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5"/>
      <c r="DL107" s="15"/>
      <c r="DM107" s="15"/>
      <c r="DN107" s="15"/>
      <c r="DO107" s="15"/>
      <c r="DP107" s="15"/>
      <c r="DQ107" s="15"/>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15"/>
      <c r="FI107" s="15"/>
      <c r="FJ107" s="15"/>
      <c r="FK107" s="15"/>
      <c r="FL107" s="15"/>
      <c r="FM107" s="15"/>
      <c r="FN107" s="15"/>
      <c r="FO107" s="15"/>
      <c r="FP107" s="15"/>
      <c r="FQ107" s="15"/>
      <c r="FR107" s="15"/>
      <c r="FS107" s="15"/>
      <c r="FT107" s="15"/>
      <c r="FU107" s="15"/>
      <c r="FV107" s="15"/>
      <c r="FW107" s="15"/>
      <c r="FX107" s="15"/>
      <c r="FY107" s="15"/>
      <c r="FZ107" s="15"/>
      <c r="GA107" s="15"/>
      <c r="GB107" s="15"/>
      <c r="GC107" s="15"/>
      <c r="GD107" s="15"/>
      <c r="GE107" s="15"/>
      <c r="GF107" s="15"/>
      <c r="GG107" s="15"/>
      <c r="GH107" s="15"/>
      <c r="GI107" s="15"/>
      <c r="GJ107" s="15"/>
      <c r="GK107" s="15"/>
      <c r="GL107" s="15"/>
      <c r="GM107" s="15"/>
      <c r="GN107" s="15"/>
      <c r="GO107" s="15"/>
      <c r="GP107" s="15"/>
      <c r="GQ107" s="15"/>
      <c r="GR107" s="15"/>
      <c r="GS107" s="15"/>
      <c r="GT107" s="15"/>
      <c r="GU107" s="15"/>
      <c r="GV107" s="15"/>
      <c r="GW107" s="15"/>
      <c r="GX107" s="15"/>
      <c r="GY107" s="15"/>
      <c r="GZ107" s="15"/>
      <c r="HA107" s="15"/>
      <c r="HB107" s="15"/>
      <c r="HC107" s="15"/>
      <c r="HD107" s="15"/>
      <c r="HE107" s="15"/>
      <c r="HF107" s="15"/>
      <c r="HG107" s="15"/>
      <c r="HH107" s="15"/>
      <c r="HI107" s="15"/>
      <c r="HJ107" s="15"/>
      <c r="HK107" s="15"/>
      <c r="HL107" s="15"/>
      <c r="HM107" s="15"/>
      <c r="HN107" s="15"/>
      <c r="HO107" s="15"/>
      <c r="HP107" s="15"/>
      <c r="HQ107" s="15"/>
      <c r="HR107" s="15"/>
      <c r="HS107" s="15"/>
      <c r="HT107" s="15"/>
      <c r="HU107" s="15"/>
      <c r="HV107" s="15"/>
      <c r="HW107" s="15"/>
      <c r="HX107" s="15"/>
      <c r="HY107" s="15"/>
      <c r="HZ107" s="15"/>
      <c r="IA107" s="15"/>
      <c r="IB107" s="15"/>
      <c r="IC107" s="15"/>
      <c r="ID107" s="15"/>
      <c r="IE107" s="15"/>
      <c r="IF107" s="15"/>
      <c r="IG107" s="15"/>
      <c r="IH107" s="15"/>
      <c r="II107" s="15"/>
      <c r="IJ107" s="15"/>
      <c r="IK107" s="15"/>
      <c r="IL107" s="15"/>
      <c r="IM107" s="15"/>
      <c r="IN107" s="15"/>
      <c r="IO107" s="15"/>
      <c r="IP107" s="15"/>
      <c r="IQ107" s="15"/>
      <c r="IR107" s="15"/>
      <c r="IS107" s="15"/>
      <c r="IT107" s="15"/>
      <c r="IU107" s="15"/>
      <c r="IV107" s="15"/>
      <c r="IW107" s="15"/>
      <c r="IX107" s="15"/>
      <c r="IY107" s="15"/>
      <c r="IZ107" s="15"/>
      <c r="JA107" s="15"/>
      <c r="JB107" s="15"/>
      <c r="JC107" s="15"/>
      <c r="JD107" s="15"/>
      <c r="JE107" s="15"/>
      <c r="JF107" s="15"/>
      <c r="JG107" s="15"/>
      <c r="JH107" s="15"/>
      <c r="JI107" s="15"/>
      <c r="JJ107" s="15"/>
      <c r="JK107" s="15"/>
      <c r="JL107" s="15"/>
      <c r="JM107" s="15"/>
      <c r="JN107" s="15"/>
      <c r="JO107" s="15"/>
      <c r="JP107" s="15"/>
      <c r="JQ107" s="15"/>
      <c r="JR107" s="15"/>
      <c r="JS107" s="15"/>
      <c r="JT107" s="15"/>
      <c r="JU107" s="15"/>
      <c r="JV107" s="15"/>
      <c r="JW107" s="15"/>
      <c r="JX107" s="15"/>
      <c r="JY107" s="15"/>
      <c r="JZ107" s="15"/>
      <c r="KA107" s="15"/>
      <c r="KB107" s="15"/>
      <c r="KC107" s="15"/>
      <c r="KD107" s="15"/>
      <c r="KE107" s="15"/>
      <c r="KF107" s="15"/>
      <c r="KG107" s="15"/>
      <c r="KH107" s="15"/>
      <c r="KI107" s="15"/>
      <c r="KJ107" s="15"/>
      <c r="KK107" s="15"/>
      <c r="KL107" s="15"/>
      <c r="KM107" s="15"/>
      <c r="KN107" s="15"/>
      <c r="KO107" s="15"/>
      <c r="KP107" s="15"/>
      <c r="KQ107" s="15"/>
      <c r="KR107" s="15"/>
      <c r="KS107" s="15"/>
      <c r="KT107" s="15"/>
      <c r="KU107" s="15"/>
      <c r="KV107" s="15"/>
      <c r="KW107" s="15"/>
      <c r="KX107" s="15"/>
      <c r="KY107" s="15"/>
      <c r="KZ107" s="15"/>
      <c r="LA107" s="15"/>
      <c r="LB107" s="15"/>
      <c r="LC107" s="15"/>
      <c r="LD107" s="15"/>
      <c r="LE107" s="15"/>
      <c r="LF107" s="15"/>
      <c r="LG107" s="15"/>
      <c r="LH107" s="15"/>
      <c r="LI107" s="15"/>
      <c r="LJ107" s="15"/>
      <c r="LK107" s="15"/>
      <c r="LL107" s="15"/>
      <c r="LM107" s="15"/>
      <c r="LN107" s="15"/>
      <c r="LO107" s="15"/>
      <c r="LP107" s="15"/>
      <c r="LQ107" s="15"/>
      <c r="LR107" s="15"/>
      <c r="LS107" s="15"/>
      <c r="LT107" s="15"/>
      <c r="LU107" s="15"/>
      <c r="LV107" s="15"/>
      <c r="LW107" s="15"/>
      <c r="LX107" s="15"/>
      <c r="LY107" s="15"/>
      <c r="LZ107" s="15"/>
      <c r="MA107" s="15"/>
      <c r="MB107" s="15"/>
      <c r="MC107" s="15"/>
      <c r="MD107" s="15"/>
      <c r="ME107" s="15"/>
      <c r="MF107" s="15"/>
      <c r="MG107" s="15"/>
      <c r="MH107" s="15"/>
      <c r="MI107" s="15"/>
      <c r="MJ107" s="15"/>
      <c r="MK107" s="15"/>
      <c r="ML107" s="15"/>
      <c r="MM107" s="15"/>
      <c r="MN107" s="15"/>
      <c r="MO107" s="15"/>
      <c r="MP107" s="15"/>
      <c r="MQ107" s="15"/>
      <c r="MR107" s="15"/>
      <c r="MS107" s="15"/>
      <c r="MT107" s="15"/>
      <c r="MU107" s="15"/>
      <c r="MV107" s="15"/>
      <c r="MW107" s="15"/>
    </row>
    <row r="108" spans="1:361" s="3" customFormat="1" ht="45.75" thickBot="1" x14ac:dyDescent="0.3">
      <c r="A108" s="28"/>
      <c r="B108" s="211" t="s">
        <v>289</v>
      </c>
      <c r="C108" s="212" t="s">
        <v>290</v>
      </c>
      <c r="D108" s="213" t="s">
        <v>293</v>
      </c>
      <c r="E108" s="214">
        <v>1</v>
      </c>
      <c r="F108" s="226">
        <v>46070</v>
      </c>
      <c r="G108" s="226">
        <v>46071</v>
      </c>
      <c r="H108" s="216" t="s">
        <v>292</v>
      </c>
      <c r="I108" s="216"/>
      <c r="J108" s="11"/>
      <c r="K108" s="11"/>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5"/>
      <c r="FX108" s="15"/>
      <c r="FY108" s="15"/>
      <c r="FZ108" s="15"/>
      <c r="GA108" s="15"/>
      <c r="GB108" s="15"/>
      <c r="GC108" s="15"/>
      <c r="GD108" s="15"/>
      <c r="GE108" s="15"/>
      <c r="GF108" s="15"/>
      <c r="GG108" s="15"/>
      <c r="GH108" s="15"/>
      <c r="GI108" s="15"/>
      <c r="GJ108" s="15"/>
      <c r="GK108" s="15"/>
      <c r="GL108" s="15"/>
      <c r="GM108" s="15"/>
      <c r="GN108" s="15"/>
      <c r="GO108" s="15"/>
      <c r="GP108" s="15"/>
      <c r="GQ108" s="15"/>
      <c r="GR108" s="15"/>
      <c r="GS108" s="15"/>
      <c r="GT108" s="15"/>
      <c r="GU108" s="15"/>
      <c r="GV108" s="15"/>
      <c r="GW108" s="15"/>
      <c r="GX108" s="15"/>
      <c r="GY108" s="15"/>
      <c r="GZ108" s="15"/>
      <c r="HA108" s="15"/>
      <c r="HB108" s="15"/>
      <c r="HC108" s="15"/>
      <c r="HD108" s="15"/>
      <c r="HE108" s="15"/>
      <c r="HF108" s="15"/>
      <c r="HG108" s="15"/>
      <c r="HH108" s="15"/>
      <c r="HI108" s="15"/>
      <c r="HJ108" s="15"/>
      <c r="HK108" s="15"/>
      <c r="HL108" s="15"/>
      <c r="HM108" s="15"/>
      <c r="HN108" s="15"/>
      <c r="HO108" s="15"/>
      <c r="HP108" s="15"/>
      <c r="HQ108" s="15"/>
      <c r="HR108" s="15"/>
      <c r="HS108" s="15"/>
      <c r="HT108" s="15"/>
      <c r="HU108" s="15"/>
      <c r="HV108" s="15"/>
      <c r="HW108" s="15"/>
      <c r="HX108" s="15"/>
      <c r="HY108" s="15"/>
      <c r="HZ108" s="15"/>
      <c r="IA108" s="15"/>
      <c r="IB108" s="15"/>
      <c r="IC108" s="15"/>
      <c r="ID108" s="15"/>
      <c r="IE108" s="15"/>
      <c r="IF108" s="15"/>
      <c r="IG108" s="15"/>
      <c r="IH108" s="15"/>
      <c r="II108" s="15"/>
      <c r="IJ108" s="15"/>
      <c r="IK108" s="15"/>
      <c r="IL108" s="15"/>
      <c r="IM108" s="15"/>
      <c r="IN108" s="15"/>
      <c r="IO108" s="15"/>
      <c r="IP108" s="15"/>
      <c r="IQ108" s="15"/>
      <c r="IR108" s="15"/>
      <c r="IS108" s="15"/>
      <c r="IT108" s="15"/>
      <c r="IU108" s="15"/>
      <c r="IV108" s="15"/>
      <c r="IW108" s="15"/>
      <c r="IX108" s="15"/>
      <c r="IY108" s="15"/>
      <c r="IZ108" s="15"/>
      <c r="JA108" s="15"/>
      <c r="JB108" s="15"/>
      <c r="JC108" s="15"/>
      <c r="JD108" s="15"/>
      <c r="JE108" s="15"/>
      <c r="JF108" s="15"/>
      <c r="JG108" s="15"/>
      <c r="JH108" s="15"/>
      <c r="JI108" s="15"/>
      <c r="JJ108" s="15"/>
      <c r="JK108" s="15"/>
      <c r="JL108" s="15"/>
      <c r="JM108" s="15"/>
      <c r="JN108" s="15"/>
      <c r="JO108" s="15"/>
      <c r="JP108" s="15"/>
      <c r="JQ108" s="15"/>
      <c r="JR108" s="15"/>
      <c r="JS108" s="15"/>
      <c r="JT108" s="15"/>
      <c r="JU108" s="15"/>
      <c r="JV108" s="15"/>
      <c r="JW108" s="15"/>
      <c r="JX108" s="15"/>
      <c r="JY108" s="15"/>
      <c r="JZ108" s="15"/>
      <c r="KA108" s="15"/>
      <c r="KB108" s="15"/>
      <c r="KC108" s="15"/>
      <c r="KD108" s="15"/>
      <c r="KE108" s="15"/>
      <c r="KF108" s="15"/>
      <c r="KG108" s="15"/>
      <c r="KH108" s="15"/>
      <c r="KI108" s="15"/>
      <c r="KJ108" s="15"/>
      <c r="KK108" s="15"/>
      <c r="KL108" s="15"/>
      <c r="KM108" s="15"/>
      <c r="KN108" s="15"/>
      <c r="KO108" s="15"/>
      <c r="KP108" s="15"/>
      <c r="KQ108" s="15"/>
      <c r="KR108" s="15"/>
      <c r="KS108" s="15"/>
      <c r="KT108" s="15"/>
      <c r="KU108" s="15"/>
      <c r="KV108" s="15"/>
      <c r="KW108" s="15"/>
      <c r="KX108" s="15"/>
      <c r="KY108" s="15"/>
      <c r="KZ108" s="15"/>
      <c r="LA108" s="15"/>
      <c r="LB108" s="15"/>
      <c r="LC108" s="15"/>
      <c r="LD108" s="15"/>
      <c r="LE108" s="15"/>
      <c r="LF108" s="15"/>
      <c r="LG108" s="15"/>
      <c r="LH108" s="15"/>
      <c r="LI108" s="15"/>
      <c r="LJ108" s="15"/>
      <c r="LK108" s="15"/>
      <c r="LL108" s="15"/>
      <c r="LM108" s="15"/>
      <c r="LN108" s="15"/>
      <c r="LO108" s="15"/>
      <c r="LP108" s="15"/>
      <c r="LQ108" s="15"/>
      <c r="LR108" s="15"/>
      <c r="LS108" s="15"/>
      <c r="LT108" s="15"/>
      <c r="LU108" s="15"/>
      <c r="LV108" s="15"/>
      <c r="LW108" s="15"/>
      <c r="LX108" s="15"/>
      <c r="LY108" s="15"/>
      <c r="LZ108" s="15"/>
      <c r="MA108" s="15"/>
      <c r="MB108" s="15"/>
      <c r="MC108" s="15"/>
      <c r="MD108" s="15"/>
      <c r="ME108" s="15"/>
      <c r="MF108" s="15"/>
      <c r="MG108" s="15"/>
      <c r="MH108" s="15"/>
      <c r="MI108" s="15"/>
      <c r="MJ108" s="15"/>
      <c r="MK108" s="15"/>
      <c r="ML108" s="15"/>
      <c r="MM108" s="15"/>
      <c r="MN108" s="15"/>
      <c r="MO108" s="15"/>
      <c r="MP108" s="15"/>
      <c r="MQ108" s="15"/>
      <c r="MR108" s="15"/>
      <c r="MS108" s="15"/>
      <c r="MT108" s="15"/>
      <c r="MU108" s="15"/>
      <c r="MV108" s="15"/>
      <c r="MW108" s="15"/>
    </row>
    <row r="109" spans="1:361" s="3" customFormat="1" ht="33.75" customHeight="1" thickBot="1" x14ac:dyDescent="0.3">
      <c r="A109" s="28"/>
      <c r="B109" s="211" t="s">
        <v>294</v>
      </c>
      <c r="C109" s="212" t="s">
        <v>295</v>
      </c>
      <c r="D109" s="213" t="s">
        <v>296</v>
      </c>
      <c r="E109" s="214">
        <v>1</v>
      </c>
      <c r="F109" s="226">
        <v>46069</v>
      </c>
      <c r="G109" s="226">
        <v>46072</v>
      </c>
      <c r="H109" s="227" t="s">
        <v>291</v>
      </c>
      <c r="I109" s="216"/>
      <c r="J109" s="11"/>
      <c r="K109" s="11"/>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5"/>
      <c r="DL109" s="15"/>
      <c r="DM109" s="15"/>
      <c r="DN109" s="15"/>
      <c r="DO109" s="15"/>
      <c r="DP109" s="15"/>
      <c r="DQ109" s="15"/>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5"/>
      <c r="FX109" s="15"/>
      <c r="FY109" s="15"/>
      <c r="FZ109" s="15"/>
      <c r="GA109" s="15"/>
      <c r="GB109" s="15"/>
      <c r="GC109" s="15"/>
      <c r="GD109" s="15"/>
      <c r="GE109" s="15"/>
      <c r="GF109" s="15"/>
      <c r="GG109" s="15"/>
      <c r="GH109" s="15"/>
      <c r="GI109" s="15"/>
      <c r="GJ109" s="15"/>
      <c r="GK109" s="15"/>
      <c r="GL109" s="15"/>
      <c r="GM109" s="15"/>
      <c r="GN109" s="15"/>
      <c r="GO109" s="15"/>
      <c r="GP109" s="15"/>
      <c r="GQ109" s="15"/>
      <c r="GR109" s="15"/>
      <c r="GS109" s="15"/>
      <c r="GT109" s="15"/>
      <c r="GU109" s="15"/>
      <c r="GV109" s="15"/>
      <c r="GW109" s="15"/>
      <c r="GX109" s="15"/>
      <c r="GY109" s="15"/>
      <c r="GZ109" s="15"/>
      <c r="HA109" s="15"/>
      <c r="HB109" s="15"/>
      <c r="HC109" s="15"/>
      <c r="HD109" s="15"/>
      <c r="HE109" s="15"/>
      <c r="HF109" s="15"/>
      <c r="HG109" s="15"/>
      <c r="HH109" s="15"/>
      <c r="HI109" s="15"/>
      <c r="HJ109" s="15"/>
      <c r="HK109" s="15"/>
      <c r="HL109" s="15"/>
      <c r="HM109" s="15"/>
      <c r="HN109" s="15"/>
      <c r="HO109" s="15"/>
      <c r="HP109" s="15"/>
      <c r="HQ109" s="15"/>
      <c r="HR109" s="15"/>
      <c r="HS109" s="15"/>
      <c r="HT109" s="15"/>
      <c r="HU109" s="15"/>
      <c r="HV109" s="15"/>
      <c r="HW109" s="15"/>
      <c r="HX109" s="15"/>
      <c r="HY109" s="15"/>
      <c r="HZ109" s="15"/>
      <c r="IA109" s="15"/>
      <c r="IB109" s="15"/>
      <c r="IC109" s="15"/>
      <c r="ID109" s="15"/>
      <c r="IE109" s="15"/>
      <c r="IF109" s="15"/>
      <c r="IG109" s="15"/>
      <c r="IH109" s="15"/>
      <c r="II109" s="15"/>
      <c r="IJ109" s="15"/>
      <c r="IK109" s="15"/>
      <c r="IL109" s="15"/>
      <c r="IM109" s="15"/>
      <c r="IN109" s="15"/>
      <c r="IO109" s="15"/>
      <c r="IP109" s="15"/>
      <c r="IQ109" s="15"/>
      <c r="IR109" s="15"/>
      <c r="IS109" s="15"/>
      <c r="IT109" s="15"/>
      <c r="IU109" s="15"/>
      <c r="IV109" s="15"/>
      <c r="IW109" s="15"/>
      <c r="IX109" s="15"/>
      <c r="IY109" s="15"/>
      <c r="IZ109" s="15"/>
      <c r="JA109" s="15"/>
      <c r="JB109" s="15"/>
      <c r="JC109" s="15"/>
      <c r="JD109" s="15"/>
      <c r="JE109" s="15"/>
      <c r="JF109" s="15"/>
      <c r="JG109" s="15"/>
      <c r="JH109" s="15"/>
      <c r="JI109" s="15"/>
      <c r="JJ109" s="15"/>
      <c r="JK109" s="15"/>
      <c r="JL109" s="15"/>
      <c r="JM109" s="15"/>
      <c r="JN109" s="15"/>
      <c r="JO109" s="15"/>
      <c r="JP109" s="15"/>
      <c r="JQ109" s="15"/>
      <c r="JR109" s="15"/>
      <c r="JS109" s="15"/>
      <c r="JT109" s="15"/>
      <c r="JU109" s="15"/>
      <c r="JV109" s="15"/>
      <c r="JW109" s="15"/>
      <c r="JX109" s="15"/>
      <c r="JY109" s="15"/>
      <c r="JZ109" s="15"/>
      <c r="KA109" s="15"/>
      <c r="KB109" s="15"/>
      <c r="KC109" s="15"/>
      <c r="KD109" s="15"/>
      <c r="KE109" s="15"/>
      <c r="KF109" s="15"/>
      <c r="KG109" s="15"/>
      <c r="KH109" s="15"/>
      <c r="KI109" s="15"/>
      <c r="KJ109" s="15"/>
      <c r="KK109" s="15"/>
      <c r="KL109" s="15"/>
      <c r="KM109" s="15"/>
      <c r="KN109" s="15"/>
      <c r="KO109" s="15"/>
      <c r="KP109" s="15"/>
      <c r="KQ109" s="15"/>
      <c r="KR109" s="15"/>
      <c r="KS109" s="15"/>
      <c r="KT109" s="15"/>
      <c r="KU109" s="15"/>
      <c r="KV109" s="15"/>
      <c r="KW109" s="15"/>
      <c r="KX109" s="15"/>
      <c r="KY109" s="15"/>
      <c r="KZ109" s="15"/>
      <c r="LA109" s="15"/>
      <c r="LB109" s="15"/>
      <c r="LC109" s="15"/>
      <c r="LD109" s="15"/>
      <c r="LE109" s="15"/>
      <c r="LF109" s="15"/>
      <c r="LG109" s="15"/>
      <c r="LH109" s="15"/>
      <c r="LI109" s="15"/>
      <c r="LJ109" s="15"/>
      <c r="LK109" s="15"/>
      <c r="LL109" s="15"/>
      <c r="LM109" s="15"/>
      <c r="LN109" s="15"/>
      <c r="LO109" s="15"/>
      <c r="LP109" s="15"/>
      <c r="LQ109" s="15"/>
      <c r="LR109" s="15"/>
      <c r="LS109" s="15"/>
      <c r="LT109" s="15"/>
      <c r="LU109" s="15"/>
      <c r="LV109" s="15"/>
      <c r="LW109" s="15"/>
      <c r="LX109" s="15"/>
      <c r="LY109" s="15"/>
      <c r="LZ109" s="15"/>
      <c r="MA109" s="15"/>
      <c r="MB109" s="15"/>
      <c r="MC109" s="15"/>
      <c r="MD109" s="15"/>
      <c r="ME109" s="15"/>
      <c r="MF109" s="15"/>
      <c r="MG109" s="15"/>
      <c r="MH109" s="15"/>
      <c r="MI109" s="15"/>
      <c r="MJ109" s="15"/>
      <c r="MK109" s="15"/>
      <c r="ML109" s="15"/>
      <c r="MM109" s="15"/>
      <c r="MN109" s="15"/>
      <c r="MO109" s="15"/>
      <c r="MP109" s="15"/>
      <c r="MQ109" s="15"/>
      <c r="MR109" s="15"/>
      <c r="MS109" s="15"/>
      <c r="MT109" s="15"/>
      <c r="MU109" s="15"/>
      <c r="MV109" s="15"/>
      <c r="MW109" s="15"/>
    </row>
    <row r="110" spans="1:361" s="3" customFormat="1" ht="16.5" thickBot="1" x14ac:dyDescent="0.3">
      <c r="A110" s="28"/>
      <c r="B110" s="219" t="s">
        <v>298</v>
      </c>
      <c r="C110" s="220"/>
      <c r="D110" s="221"/>
      <c r="E110" s="222"/>
      <c r="F110" s="223"/>
      <c r="G110" s="223"/>
      <c r="H110" s="224"/>
      <c r="I110" s="225"/>
      <c r="J110" s="11"/>
      <c r="K110" s="11"/>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15"/>
      <c r="GI110" s="15"/>
      <c r="GJ110" s="15"/>
      <c r="GK110" s="15"/>
      <c r="GL110" s="15"/>
      <c r="GM110" s="15"/>
      <c r="GN110" s="15"/>
      <c r="GO110" s="15"/>
      <c r="GP110" s="15"/>
      <c r="GQ110" s="15"/>
      <c r="GR110" s="15"/>
      <c r="GS110" s="15"/>
      <c r="GT110" s="15"/>
      <c r="GU110" s="15"/>
      <c r="GV110" s="15"/>
      <c r="GW110" s="15"/>
      <c r="GX110" s="15"/>
      <c r="GY110" s="15"/>
      <c r="GZ110" s="15"/>
      <c r="HA110" s="15"/>
      <c r="HB110" s="15"/>
      <c r="HC110" s="15"/>
      <c r="HD110" s="15"/>
      <c r="HE110" s="15"/>
      <c r="HF110" s="15"/>
      <c r="HG110" s="15"/>
      <c r="HH110" s="15"/>
      <c r="HI110" s="15"/>
      <c r="HJ110" s="15"/>
      <c r="HK110" s="15"/>
      <c r="HL110" s="15"/>
      <c r="HM110" s="15"/>
      <c r="HN110" s="15"/>
      <c r="HO110" s="15"/>
      <c r="HP110" s="15"/>
      <c r="HQ110" s="15"/>
      <c r="HR110" s="15"/>
      <c r="HS110" s="15"/>
      <c r="HT110" s="15"/>
      <c r="HU110" s="15"/>
      <c r="HV110" s="15"/>
      <c r="HW110" s="15"/>
      <c r="HX110" s="15"/>
      <c r="HY110" s="15"/>
      <c r="HZ110" s="15"/>
      <c r="IA110" s="15"/>
      <c r="IB110" s="15"/>
      <c r="IC110" s="15"/>
      <c r="ID110" s="15"/>
      <c r="IE110" s="15"/>
      <c r="IF110" s="15"/>
      <c r="IG110" s="15"/>
      <c r="IH110" s="15"/>
      <c r="II110" s="15"/>
      <c r="IJ110" s="15"/>
      <c r="IK110" s="15"/>
      <c r="IL110" s="15"/>
      <c r="IM110" s="15"/>
      <c r="IN110" s="15"/>
      <c r="IO110" s="15"/>
      <c r="IP110" s="15"/>
      <c r="IQ110" s="15"/>
      <c r="IR110" s="15"/>
      <c r="IS110" s="15"/>
      <c r="IT110" s="15"/>
      <c r="IU110" s="15"/>
      <c r="IV110" s="15"/>
      <c r="IW110" s="15"/>
      <c r="IX110" s="15"/>
      <c r="IY110" s="15"/>
      <c r="IZ110" s="15"/>
      <c r="JA110" s="15"/>
      <c r="JB110" s="15"/>
      <c r="JC110" s="15"/>
      <c r="JD110" s="15"/>
      <c r="JE110" s="15"/>
      <c r="JF110" s="15"/>
      <c r="JG110" s="15"/>
      <c r="JH110" s="15"/>
      <c r="JI110" s="15"/>
      <c r="JJ110" s="15"/>
      <c r="JK110" s="15"/>
      <c r="JL110" s="15"/>
      <c r="JM110" s="15"/>
      <c r="JN110" s="15"/>
      <c r="JO110" s="15"/>
      <c r="JP110" s="15"/>
      <c r="JQ110" s="15"/>
      <c r="JR110" s="15"/>
      <c r="JS110" s="15"/>
      <c r="JT110" s="15"/>
      <c r="JU110" s="15"/>
      <c r="JV110" s="15"/>
      <c r="JW110" s="15"/>
      <c r="JX110" s="15"/>
      <c r="JY110" s="15"/>
      <c r="JZ110" s="15"/>
      <c r="KA110" s="15"/>
      <c r="KB110" s="15"/>
      <c r="KC110" s="15"/>
      <c r="KD110" s="15"/>
      <c r="KE110" s="15"/>
      <c r="KF110" s="15"/>
      <c r="KG110" s="15"/>
      <c r="KH110" s="15"/>
      <c r="KI110" s="15"/>
      <c r="KJ110" s="15"/>
      <c r="KK110" s="15"/>
      <c r="KL110" s="15"/>
      <c r="KM110" s="15"/>
      <c r="KN110" s="15"/>
      <c r="KO110" s="15"/>
      <c r="KP110" s="15"/>
      <c r="KQ110" s="15"/>
      <c r="KR110" s="15"/>
      <c r="KS110" s="15"/>
      <c r="KT110" s="15"/>
      <c r="KU110" s="15"/>
      <c r="KV110" s="15"/>
      <c r="KW110" s="15"/>
      <c r="KX110" s="15"/>
      <c r="KY110" s="15"/>
      <c r="KZ110" s="15"/>
      <c r="LA110" s="15"/>
      <c r="LB110" s="15"/>
      <c r="LC110" s="15"/>
      <c r="LD110" s="15"/>
      <c r="LE110" s="15"/>
      <c r="LF110" s="15"/>
      <c r="LG110" s="15"/>
      <c r="LH110" s="15"/>
      <c r="LI110" s="15"/>
      <c r="LJ110" s="15"/>
      <c r="LK110" s="15"/>
      <c r="LL110" s="15"/>
      <c r="LM110" s="15"/>
      <c r="LN110" s="15"/>
      <c r="LO110" s="15"/>
      <c r="LP110" s="15"/>
      <c r="LQ110" s="15"/>
      <c r="LR110" s="15"/>
      <c r="LS110" s="15"/>
      <c r="LT110" s="15"/>
      <c r="LU110" s="15"/>
      <c r="LV110" s="15"/>
      <c r="LW110" s="15"/>
      <c r="LX110" s="15"/>
      <c r="LY110" s="15"/>
      <c r="LZ110" s="15"/>
      <c r="MA110" s="15"/>
      <c r="MB110" s="15"/>
      <c r="MC110" s="15"/>
      <c r="MD110" s="15"/>
      <c r="ME110" s="15"/>
      <c r="MF110" s="15"/>
      <c r="MG110" s="15"/>
      <c r="MH110" s="15"/>
      <c r="MI110" s="15"/>
      <c r="MJ110" s="15"/>
      <c r="MK110" s="15"/>
      <c r="ML110" s="15"/>
      <c r="MM110" s="15"/>
      <c r="MN110" s="15"/>
      <c r="MO110" s="15"/>
      <c r="MP110" s="15"/>
      <c r="MQ110" s="15"/>
      <c r="MR110" s="15"/>
      <c r="MS110" s="15"/>
      <c r="MT110" s="15"/>
      <c r="MU110" s="15"/>
      <c r="MV110" s="15"/>
      <c r="MW110" s="15"/>
    </row>
    <row r="111" spans="1:361" s="3" customFormat="1" ht="45.75" thickBot="1" x14ac:dyDescent="0.3">
      <c r="A111" s="28"/>
      <c r="B111" s="211" t="s">
        <v>289</v>
      </c>
      <c r="C111" s="212" t="s">
        <v>290</v>
      </c>
      <c r="D111" s="213" t="s">
        <v>293</v>
      </c>
      <c r="E111" s="214">
        <v>1</v>
      </c>
      <c r="F111" s="226">
        <v>46069</v>
      </c>
      <c r="G111" s="226">
        <v>46069</v>
      </c>
      <c r="H111" s="216" t="s">
        <v>292</v>
      </c>
      <c r="I111" s="216"/>
      <c r="J111" s="11"/>
      <c r="K111" s="11"/>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5"/>
      <c r="FJ111" s="15"/>
      <c r="FK111" s="15"/>
      <c r="FL111" s="15"/>
      <c r="FM111" s="15"/>
      <c r="FN111" s="15"/>
      <c r="FO111" s="15"/>
      <c r="FP111" s="15"/>
      <c r="FQ111" s="15"/>
      <c r="FR111" s="15"/>
      <c r="FS111" s="15"/>
      <c r="FT111" s="15"/>
      <c r="FU111" s="15"/>
      <c r="FV111" s="15"/>
      <c r="FW111" s="15"/>
      <c r="FX111" s="15"/>
      <c r="FY111" s="15"/>
      <c r="FZ111" s="15"/>
      <c r="GA111" s="15"/>
      <c r="GB111" s="15"/>
      <c r="GC111" s="15"/>
      <c r="GD111" s="15"/>
      <c r="GE111" s="15"/>
      <c r="GF111" s="15"/>
      <c r="GG111" s="15"/>
      <c r="GH111" s="15"/>
      <c r="GI111" s="15"/>
      <c r="GJ111" s="15"/>
      <c r="GK111" s="15"/>
      <c r="GL111" s="15"/>
      <c r="GM111" s="15"/>
      <c r="GN111" s="15"/>
      <c r="GO111" s="15"/>
      <c r="GP111" s="15"/>
      <c r="GQ111" s="15"/>
      <c r="GR111" s="15"/>
      <c r="GS111" s="15"/>
      <c r="GT111" s="15"/>
      <c r="GU111" s="15"/>
      <c r="GV111" s="15"/>
      <c r="GW111" s="15"/>
      <c r="GX111" s="15"/>
      <c r="GY111" s="15"/>
      <c r="GZ111" s="15"/>
      <c r="HA111" s="15"/>
      <c r="HB111" s="15"/>
      <c r="HC111" s="15"/>
      <c r="HD111" s="15"/>
      <c r="HE111" s="15"/>
      <c r="HF111" s="15"/>
      <c r="HG111" s="15"/>
      <c r="HH111" s="15"/>
      <c r="HI111" s="15"/>
      <c r="HJ111" s="15"/>
      <c r="HK111" s="15"/>
      <c r="HL111" s="15"/>
      <c r="HM111" s="15"/>
      <c r="HN111" s="15"/>
      <c r="HO111" s="15"/>
      <c r="HP111" s="15"/>
      <c r="HQ111" s="15"/>
      <c r="HR111" s="15"/>
      <c r="HS111" s="15"/>
      <c r="HT111" s="15"/>
      <c r="HU111" s="15"/>
      <c r="HV111" s="15"/>
      <c r="HW111" s="15"/>
      <c r="HX111" s="15"/>
      <c r="HY111" s="15"/>
      <c r="HZ111" s="15"/>
      <c r="IA111" s="15"/>
      <c r="IB111" s="15"/>
      <c r="IC111" s="15"/>
      <c r="ID111" s="15"/>
      <c r="IE111" s="15"/>
      <c r="IF111" s="15"/>
      <c r="IG111" s="15"/>
      <c r="IH111" s="15"/>
      <c r="II111" s="15"/>
      <c r="IJ111" s="15"/>
      <c r="IK111" s="15"/>
      <c r="IL111" s="15"/>
      <c r="IM111" s="15"/>
      <c r="IN111" s="15"/>
      <c r="IO111" s="15"/>
      <c r="IP111" s="15"/>
      <c r="IQ111" s="15"/>
      <c r="IR111" s="15"/>
      <c r="IS111" s="15"/>
      <c r="IT111" s="15"/>
      <c r="IU111" s="15"/>
      <c r="IV111" s="15"/>
      <c r="IW111" s="15"/>
      <c r="IX111" s="15"/>
      <c r="IY111" s="15"/>
      <c r="IZ111" s="15"/>
      <c r="JA111" s="15"/>
      <c r="JB111" s="15"/>
      <c r="JC111" s="15"/>
      <c r="JD111" s="15"/>
      <c r="JE111" s="15"/>
      <c r="JF111" s="15"/>
      <c r="JG111" s="15"/>
      <c r="JH111" s="15"/>
      <c r="JI111" s="15"/>
      <c r="JJ111" s="15"/>
      <c r="JK111" s="15"/>
      <c r="JL111" s="15"/>
      <c r="JM111" s="15"/>
      <c r="JN111" s="15"/>
      <c r="JO111" s="15"/>
      <c r="JP111" s="15"/>
      <c r="JQ111" s="15"/>
      <c r="JR111" s="15"/>
      <c r="JS111" s="15"/>
      <c r="JT111" s="15"/>
      <c r="JU111" s="15"/>
      <c r="JV111" s="15"/>
      <c r="JW111" s="15"/>
      <c r="JX111" s="15"/>
      <c r="JY111" s="15"/>
      <c r="JZ111" s="15"/>
      <c r="KA111" s="15"/>
      <c r="KB111" s="15"/>
      <c r="KC111" s="15"/>
      <c r="KD111" s="15"/>
      <c r="KE111" s="15"/>
      <c r="KF111" s="15"/>
      <c r="KG111" s="15"/>
      <c r="KH111" s="15"/>
      <c r="KI111" s="15"/>
      <c r="KJ111" s="15"/>
      <c r="KK111" s="15"/>
      <c r="KL111" s="15"/>
      <c r="KM111" s="15"/>
      <c r="KN111" s="15"/>
      <c r="KO111" s="15"/>
      <c r="KP111" s="15"/>
      <c r="KQ111" s="15"/>
      <c r="KR111" s="15"/>
      <c r="KS111" s="15"/>
      <c r="KT111" s="15"/>
      <c r="KU111" s="15"/>
      <c r="KV111" s="15"/>
      <c r="KW111" s="15"/>
      <c r="KX111" s="15"/>
      <c r="KY111" s="15"/>
      <c r="KZ111" s="15"/>
      <c r="LA111" s="15"/>
      <c r="LB111" s="15"/>
      <c r="LC111" s="15"/>
      <c r="LD111" s="15"/>
      <c r="LE111" s="15"/>
      <c r="LF111" s="15"/>
      <c r="LG111" s="15"/>
      <c r="LH111" s="15"/>
      <c r="LI111" s="15"/>
      <c r="LJ111" s="15"/>
      <c r="LK111" s="15"/>
      <c r="LL111" s="15"/>
      <c r="LM111" s="15"/>
      <c r="LN111" s="15"/>
      <c r="LO111" s="15"/>
      <c r="LP111" s="15"/>
      <c r="LQ111" s="15"/>
      <c r="LR111" s="15"/>
      <c r="LS111" s="15"/>
      <c r="LT111" s="15"/>
      <c r="LU111" s="15"/>
      <c r="LV111" s="15"/>
      <c r="LW111" s="15"/>
      <c r="LX111" s="15"/>
      <c r="LY111" s="15"/>
      <c r="LZ111" s="15"/>
      <c r="MA111" s="15"/>
      <c r="MB111" s="15"/>
      <c r="MC111" s="15"/>
      <c r="MD111" s="15"/>
      <c r="ME111" s="15"/>
      <c r="MF111" s="15"/>
      <c r="MG111" s="15"/>
      <c r="MH111" s="15"/>
      <c r="MI111" s="15"/>
      <c r="MJ111" s="15"/>
      <c r="MK111" s="15"/>
      <c r="ML111" s="15"/>
      <c r="MM111" s="15"/>
      <c r="MN111" s="15"/>
      <c r="MO111" s="15"/>
      <c r="MP111" s="15"/>
      <c r="MQ111" s="15"/>
      <c r="MR111" s="15"/>
      <c r="MS111" s="15"/>
      <c r="MT111" s="15"/>
      <c r="MU111" s="15"/>
      <c r="MV111" s="15"/>
      <c r="MW111" s="15"/>
    </row>
    <row r="112" spans="1:361" s="3" customFormat="1" ht="33.75" customHeight="1" thickBot="1" x14ac:dyDescent="0.3">
      <c r="A112" s="28"/>
      <c r="B112" s="211"/>
      <c r="C112" s="217"/>
      <c r="D112" s="213"/>
      <c r="E112" s="214"/>
      <c r="F112" s="215"/>
      <c r="G112" s="215"/>
      <c r="H112" s="218"/>
      <c r="I112" s="216"/>
      <c r="J112" s="11"/>
      <c r="K112" s="11"/>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5"/>
      <c r="FX112" s="15"/>
      <c r="FY112" s="15"/>
      <c r="FZ112" s="15"/>
      <c r="GA112" s="15"/>
      <c r="GB112" s="15"/>
      <c r="GC112" s="15"/>
      <c r="GD112" s="15"/>
      <c r="GE112" s="15"/>
      <c r="GF112" s="15"/>
      <c r="GG112" s="15"/>
      <c r="GH112" s="15"/>
      <c r="GI112" s="15"/>
      <c r="GJ112" s="15"/>
      <c r="GK112" s="15"/>
      <c r="GL112" s="15"/>
      <c r="GM112" s="15"/>
      <c r="GN112" s="15"/>
      <c r="GO112" s="15"/>
      <c r="GP112" s="15"/>
      <c r="GQ112" s="15"/>
      <c r="GR112" s="15"/>
      <c r="GS112" s="15"/>
      <c r="GT112" s="15"/>
      <c r="GU112" s="15"/>
      <c r="GV112" s="15"/>
      <c r="GW112" s="15"/>
      <c r="GX112" s="15"/>
      <c r="GY112" s="15"/>
      <c r="GZ112" s="15"/>
      <c r="HA112" s="15"/>
      <c r="HB112" s="15"/>
      <c r="HC112" s="15"/>
      <c r="HD112" s="15"/>
      <c r="HE112" s="15"/>
      <c r="HF112" s="15"/>
      <c r="HG112" s="15"/>
      <c r="HH112" s="15"/>
      <c r="HI112" s="15"/>
      <c r="HJ112" s="15"/>
      <c r="HK112" s="15"/>
      <c r="HL112" s="15"/>
      <c r="HM112" s="15"/>
      <c r="HN112" s="15"/>
      <c r="HO112" s="15"/>
      <c r="HP112" s="15"/>
      <c r="HQ112" s="15"/>
      <c r="HR112" s="15"/>
      <c r="HS112" s="15"/>
      <c r="HT112" s="15"/>
      <c r="HU112" s="15"/>
      <c r="HV112" s="15"/>
      <c r="HW112" s="15"/>
      <c r="HX112" s="15"/>
      <c r="HY112" s="15"/>
      <c r="HZ112" s="15"/>
      <c r="IA112" s="15"/>
      <c r="IB112" s="15"/>
      <c r="IC112" s="15"/>
      <c r="ID112" s="15"/>
      <c r="IE112" s="15"/>
      <c r="IF112" s="15"/>
      <c r="IG112" s="15"/>
      <c r="IH112" s="15"/>
      <c r="II112" s="15"/>
      <c r="IJ112" s="15"/>
      <c r="IK112" s="15"/>
      <c r="IL112" s="15"/>
      <c r="IM112" s="15"/>
      <c r="IN112" s="15"/>
      <c r="IO112" s="15"/>
      <c r="IP112" s="15"/>
      <c r="IQ112" s="15"/>
      <c r="IR112" s="15"/>
      <c r="IS112" s="15"/>
      <c r="IT112" s="15"/>
      <c r="IU112" s="15"/>
      <c r="IV112" s="15"/>
      <c r="IW112" s="15"/>
      <c r="IX112" s="15"/>
      <c r="IY112" s="15"/>
      <c r="IZ112" s="15"/>
      <c r="JA112" s="15"/>
      <c r="JB112" s="15"/>
      <c r="JC112" s="15"/>
      <c r="JD112" s="15"/>
      <c r="JE112" s="15"/>
      <c r="JF112" s="15"/>
      <c r="JG112" s="15"/>
      <c r="JH112" s="15"/>
      <c r="JI112" s="15"/>
      <c r="JJ112" s="15"/>
      <c r="JK112" s="15"/>
      <c r="JL112" s="15"/>
      <c r="JM112" s="15"/>
      <c r="JN112" s="15"/>
      <c r="JO112" s="15"/>
      <c r="JP112" s="15"/>
      <c r="JQ112" s="15"/>
      <c r="JR112" s="15"/>
      <c r="JS112" s="15"/>
      <c r="JT112" s="15"/>
      <c r="JU112" s="15"/>
      <c r="JV112" s="15"/>
      <c r="JW112" s="15"/>
      <c r="JX112" s="15"/>
      <c r="JY112" s="15"/>
      <c r="JZ112" s="15"/>
      <c r="KA112" s="15"/>
      <c r="KB112" s="15"/>
      <c r="KC112" s="15"/>
      <c r="KD112" s="15"/>
      <c r="KE112" s="15"/>
      <c r="KF112" s="15"/>
      <c r="KG112" s="15"/>
      <c r="KH112" s="15"/>
      <c r="KI112" s="15"/>
      <c r="KJ112" s="15"/>
      <c r="KK112" s="15"/>
      <c r="KL112" s="15"/>
      <c r="KM112" s="15"/>
      <c r="KN112" s="15"/>
      <c r="KO112" s="15"/>
      <c r="KP112" s="15"/>
      <c r="KQ112" s="15"/>
      <c r="KR112" s="15"/>
      <c r="KS112" s="15"/>
      <c r="KT112" s="15"/>
      <c r="KU112" s="15"/>
      <c r="KV112" s="15"/>
      <c r="KW112" s="15"/>
      <c r="KX112" s="15"/>
      <c r="KY112" s="15"/>
      <c r="KZ112" s="15"/>
      <c r="LA112" s="15"/>
      <c r="LB112" s="15"/>
      <c r="LC112" s="15"/>
      <c r="LD112" s="15"/>
      <c r="LE112" s="15"/>
      <c r="LF112" s="15"/>
      <c r="LG112" s="15"/>
      <c r="LH112" s="15"/>
      <c r="LI112" s="15"/>
      <c r="LJ112" s="15"/>
      <c r="LK112" s="15"/>
      <c r="LL112" s="15"/>
      <c r="LM112" s="15"/>
      <c r="LN112" s="15"/>
      <c r="LO112" s="15"/>
      <c r="LP112" s="15"/>
      <c r="LQ112" s="15"/>
      <c r="LR112" s="15"/>
      <c r="LS112" s="15"/>
      <c r="LT112" s="15"/>
      <c r="LU112" s="15"/>
      <c r="LV112" s="15"/>
      <c r="LW112" s="15"/>
      <c r="LX112" s="15"/>
      <c r="LY112" s="15"/>
      <c r="LZ112" s="15"/>
      <c r="MA112" s="15"/>
      <c r="MB112" s="15"/>
      <c r="MC112" s="15"/>
      <c r="MD112" s="15"/>
      <c r="ME112" s="15"/>
      <c r="MF112" s="15"/>
      <c r="MG112" s="15"/>
      <c r="MH112" s="15"/>
      <c r="MI112" s="15"/>
      <c r="MJ112" s="15"/>
      <c r="MK112" s="15"/>
      <c r="ML112" s="15"/>
      <c r="MM112" s="15"/>
      <c r="MN112" s="15"/>
      <c r="MO112" s="15"/>
      <c r="MP112" s="15"/>
      <c r="MQ112" s="15"/>
      <c r="MR112" s="15"/>
      <c r="MS112" s="15"/>
      <c r="MT112" s="15"/>
      <c r="MU112" s="15"/>
      <c r="MV112" s="15"/>
      <c r="MW112" s="15"/>
    </row>
    <row r="113" spans="1:361" s="3" customFormat="1" ht="15.75" thickBot="1" x14ac:dyDescent="0.3">
      <c r="A113" s="28" t="s">
        <v>6</v>
      </c>
      <c r="B113" s="36"/>
      <c r="C113" s="33"/>
      <c r="D113" s="33"/>
      <c r="E113" s="10"/>
      <c r="F113" s="41"/>
      <c r="G113" s="41"/>
      <c r="H113" s="41"/>
      <c r="I113" s="41"/>
      <c r="J113" s="11"/>
      <c r="K113" s="11" t="str">
        <f t="shared" si="346"/>
        <v/>
      </c>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5"/>
      <c r="DL113" s="15"/>
      <c r="DM113" s="15"/>
      <c r="DN113" s="15"/>
      <c r="DO113" s="15"/>
      <c r="DP113" s="15"/>
      <c r="DQ113" s="15"/>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c r="FG113" s="15"/>
      <c r="FH113" s="15"/>
      <c r="FI113" s="15"/>
      <c r="FJ113" s="15"/>
      <c r="FK113" s="15"/>
      <c r="FL113" s="15"/>
      <c r="FM113" s="15"/>
      <c r="FN113" s="15"/>
      <c r="FO113" s="15"/>
      <c r="FP113" s="15"/>
      <c r="FQ113" s="15"/>
      <c r="FR113" s="15"/>
      <c r="FS113" s="15"/>
      <c r="FT113" s="15"/>
      <c r="FU113" s="15"/>
      <c r="FV113" s="15"/>
      <c r="FW113" s="15"/>
      <c r="FX113" s="15"/>
      <c r="FY113" s="15"/>
      <c r="FZ113" s="15"/>
      <c r="GA113" s="15"/>
      <c r="GB113" s="15"/>
      <c r="GC113" s="15"/>
      <c r="GD113" s="15"/>
      <c r="GE113" s="15"/>
      <c r="GF113" s="15"/>
      <c r="GG113" s="15"/>
      <c r="GH113" s="15"/>
      <c r="GI113" s="15"/>
      <c r="GJ113" s="15"/>
      <c r="GK113" s="15"/>
      <c r="GL113" s="15"/>
      <c r="GM113" s="15"/>
      <c r="GN113" s="15"/>
      <c r="GO113" s="15"/>
      <c r="GP113" s="15"/>
      <c r="GQ113" s="15"/>
      <c r="GR113" s="15"/>
      <c r="GS113" s="15"/>
      <c r="GT113" s="15"/>
      <c r="GU113" s="15"/>
      <c r="GV113" s="15"/>
      <c r="GW113" s="15"/>
      <c r="GX113" s="15"/>
      <c r="GY113" s="15"/>
      <c r="GZ113" s="15"/>
      <c r="HA113" s="15"/>
      <c r="HB113" s="15"/>
      <c r="HC113" s="15"/>
      <c r="HD113" s="15"/>
      <c r="HE113" s="15"/>
      <c r="HF113" s="15"/>
      <c r="HG113" s="15"/>
      <c r="HH113" s="15"/>
      <c r="HI113" s="15"/>
      <c r="HJ113" s="15"/>
      <c r="HK113" s="15"/>
      <c r="HL113" s="15"/>
      <c r="HM113" s="15"/>
      <c r="HN113" s="15"/>
      <c r="HO113" s="15"/>
      <c r="HP113" s="15"/>
      <c r="HQ113" s="15"/>
      <c r="HR113" s="15"/>
      <c r="HS113" s="15"/>
      <c r="HT113" s="15"/>
      <c r="HU113" s="15"/>
      <c r="HV113" s="15"/>
      <c r="HW113" s="15"/>
      <c r="HX113" s="15"/>
      <c r="HY113" s="15"/>
      <c r="HZ113" s="15"/>
      <c r="IA113" s="15"/>
      <c r="IB113" s="15"/>
      <c r="IC113" s="15"/>
      <c r="ID113" s="15"/>
      <c r="IE113" s="15"/>
      <c r="IF113" s="15"/>
      <c r="IG113" s="15"/>
      <c r="IH113" s="15"/>
      <c r="II113" s="15"/>
      <c r="IJ113" s="15"/>
      <c r="IK113" s="15"/>
      <c r="IL113" s="15"/>
      <c r="IM113" s="15"/>
      <c r="IN113" s="15"/>
      <c r="IO113" s="15"/>
      <c r="IP113" s="15"/>
      <c r="IQ113" s="15"/>
      <c r="IR113" s="15"/>
      <c r="IS113" s="15"/>
      <c r="IT113" s="15"/>
      <c r="IU113" s="15"/>
      <c r="IV113" s="15"/>
      <c r="IW113" s="15"/>
      <c r="IX113" s="15"/>
      <c r="IY113" s="15"/>
      <c r="IZ113" s="15"/>
      <c r="JA113" s="15"/>
      <c r="JB113" s="15"/>
      <c r="JC113" s="15"/>
      <c r="JD113" s="15"/>
      <c r="JE113" s="15"/>
      <c r="JF113" s="15"/>
      <c r="JG113" s="15"/>
      <c r="JH113" s="15"/>
      <c r="JI113" s="15"/>
      <c r="JJ113" s="15"/>
      <c r="JK113" s="15"/>
      <c r="JL113" s="15"/>
      <c r="JM113" s="15"/>
      <c r="JN113" s="15"/>
      <c r="JO113" s="15"/>
      <c r="JP113" s="15"/>
      <c r="JQ113" s="15"/>
      <c r="JR113" s="15"/>
      <c r="JS113" s="15"/>
      <c r="JT113" s="15"/>
      <c r="JU113" s="15"/>
      <c r="JV113" s="15"/>
      <c r="JW113" s="15"/>
      <c r="JX113" s="15"/>
      <c r="JY113" s="15"/>
      <c r="JZ113" s="15"/>
      <c r="KA113" s="15"/>
      <c r="KB113" s="15"/>
      <c r="KC113" s="15"/>
      <c r="KD113" s="15"/>
      <c r="KE113" s="15"/>
      <c r="KF113" s="15"/>
      <c r="KG113" s="15"/>
      <c r="KH113" s="15"/>
      <c r="KI113" s="15"/>
      <c r="KJ113" s="15"/>
      <c r="KK113" s="15"/>
      <c r="KL113" s="15"/>
      <c r="KM113" s="15"/>
      <c r="KN113" s="15"/>
      <c r="KO113" s="15"/>
      <c r="KP113" s="15"/>
      <c r="KQ113" s="15"/>
      <c r="KR113" s="15"/>
      <c r="KS113" s="15"/>
      <c r="KT113" s="15"/>
      <c r="KU113" s="15"/>
      <c r="KV113" s="15"/>
      <c r="KW113" s="15"/>
      <c r="KX113" s="15"/>
      <c r="KY113" s="15"/>
      <c r="KZ113" s="15"/>
      <c r="LA113" s="15"/>
      <c r="LB113" s="15"/>
      <c r="LC113" s="15"/>
      <c r="LD113" s="15"/>
      <c r="LE113" s="15"/>
      <c r="LF113" s="15"/>
      <c r="LG113" s="15"/>
      <c r="LH113" s="15"/>
      <c r="LI113" s="15"/>
      <c r="LJ113" s="15"/>
      <c r="LK113" s="15"/>
      <c r="LL113" s="15"/>
      <c r="LM113" s="15"/>
      <c r="LN113" s="15"/>
      <c r="LO113" s="15"/>
      <c r="LP113" s="15"/>
      <c r="LQ113" s="15"/>
      <c r="LR113" s="15"/>
      <c r="LS113" s="15"/>
      <c r="LT113" s="15"/>
      <c r="LU113" s="15"/>
      <c r="LV113" s="15"/>
      <c r="LW113" s="15"/>
      <c r="LX113" s="15"/>
      <c r="LY113" s="15"/>
      <c r="LZ113" s="15"/>
      <c r="MA113" s="15"/>
      <c r="MB113" s="15"/>
      <c r="MC113" s="15"/>
      <c r="MD113" s="15"/>
      <c r="ME113" s="15"/>
      <c r="MF113" s="15"/>
      <c r="MG113" s="15"/>
      <c r="MH113" s="15"/>
      <c r="MI113" s="15"/>
      <c r="MJ113" s="15"/>
      <c r="MK113" s="15"/>
      <c r="ML113" s="15"/>
      <c r="MM113" s="15"/>
      <c r="MN113" s="15"/>
      <c r="MO113" s="15"/>
      <c r="MP113" s="15"/>
      <c r="MQ113" s="15"/>
      <c r="MR113" s="15"/>
      <c r="MS113" s="15"/>
      <c r="MT113" s="15"/>
      <c r="MU113" s="15"/>
      <c r="MV113" s="15"/>
      <c r="MW113" s="15"/>
    </row>
    <row r="114" spans="1:361" s="3" customFormat="1" ht="15.75" thickBot="1" x14ac:dyDescent="0.3">
      <c r="A114" s="28" t="s">
        <v>7</v>
      </c>
      <c r="B114" s="36" t="s">
        <v>9</v>
      </c>
      <c r="C114" s="33"/>
      <c r="D114" s="33"/>
      <c r="E114" s="10"/>
      <c r="F114" s="41"/>
      <c r="G114" s="41"/>
      <c r="H114" s="41"/>
      <c r="I114" s="41"/>
      <c r="J114" s="11"/>
      <c r="K114" s="11" t="str">
        <f t="shared" si="346"/>
        <v/>
      </c>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15"/>
      <c r="GI114" s="15"/>
      <c r="GJ114" s="15"/>
      <c r="GK114" s="15"/>
      <c r="GL114" s="15"/>
      <c r="GM114" s="15"/>
      <c r="GN114" s="15"/>
      <c r="GO114" s="15"/>
      <c r="GP114" s="15"/>
      <c r="GQ114" s="15"/>
      <c r="GR114" s="15"/>
      <c r="GS114" s="15"/>
      <c r="GT114" s="15"/>
      <c r="GU114" s="15"/>
      <c r="GV114" s="15"/>
      <c r="GW114" s="15"/>
      <c r="GX114" s="15"/>
      <c r="GY114" s="15"/>
      <c r="GZ114" s="15"/>
      <c r="HA114" s="15"/>
      <c r="HB114" s="15"/>
      <c r="HC114" s="15"/>
      <c r="HD114" s="15"/>
      <c r="HE114" s="15"/>
      <c r="HF114" s="15"/>
      <c r="HG114" s="15"/>
      <c r="HH114" s="15"/>
      <c r="HI114" s="15"/>
      <c r="HJ114" s="15"/>
      <c r="HK114" s="15"/>
      <c r="HL114" s="15"/>
      <c r="HM114" s="15"/>
      <c r="HN114" s="15"/>
      <c r="HO114" s="15"/>
      <c r="HP114" s="15"/>
      <c r="HQ114" s="15"/>
      <c r="HR114" s="15"/>
      <c r="HS114" s="15"/>
      <c r="HT114" s="15"/>
      <c r="HU114" s="15"/>
      <c r="HV114" s="15"/>
      <c r="HW114" s="15"/>
      <c r="HX114" s="15"/>
      <c r="HY114" s="15"/>
      <c r="HZ114" s="15"/>
      <c r="IA114" s="15"/>
      <c r="IB114" s="15"/>
      <c r="IC114" s="15"/>
      <c r="ID114" s="15"/>
      <c r="IE114" s="15"/>
      <c r="IF114" s="15"/>
      <c r="IG114" s="15"/>
      <c r="IH114" s="15"/>
      <c r="II114" s="15"/>
      <c r="IJ114" s="15"/>
      <c r="IK114" s="15"/>
      <c r="IL114" s="15"/>
      <c r="IM114" s="15"/>
      <c r="IN114" s="15"/>
      <c r="IO114" s="15"/>
      <c r="IP114" s="15"/>
      <c r="IQ114" s="15"/>
      <c r="IR114" s="15"/>
      <c r="IS114" s="15"/>
      <c r="IT114" s="15"/>
      <c r="IU114" s="15"/>
      <c r="IV114" s="15"/>
      <c r="IW114" s="15"/>
      <c r="IX114" s="15"/>
      <c r="IY114" s="15"/>
      <c r="IZ114" s="15"/>
      <c r="JA114" s="15"/>
      <c r="JB114" s="15"/>
      <c r="JC114" s="15"/>
      <c r="JD114" s="15"/>
      <c r="JE114" s="15"/>
      <c r="JF114" s="15"/>
      <c r="JG114" s="15"/>
      <c r="JH114" s="15"/>
      <c r="JI114" s="15"/>
      <c r="JJ114" s="15"/>
      <c r="JK114" s="15"/>
      <c r="JL114" s="15"/>
      <c r="JM114" s="15"/>
      <c r="JN114" s="15"/>
      <c r="JO114" s="15"/>
      <c r="JP114" s="15"/>
      <c r="JQ114" s="15"/>
      <c r="JR114" s="15"/>
      <c r="JS114" s="15"/>
      <c r="JT114" s="15"/>
      <c r="JU114" s="15"/>
      <c r="JV114" s="15"/>
      <c r="JW114" s="15"/>
      <c r="JX114" s="15"/>
      <c r="JY114" s="15"/>
      <c r="JZ114" s="15"/>
      <c r="KA114" s="15"/>
      <c r="KB114" s="15"/>
      <c r="KC114" s="15"/>
      <c r="KD114" s="15"/>
      <c r="KE114" s="15"/>
      <c r="KF114" s="15"/>
      <c r="KG114" s="15"/>
      <c r="KH114" s="15"/>
      <c r="KI114" s="15"/>
      <c r="KJ114" s="15"/>
      <c r="KK114" s="15"/>
      <c r="KL114" s="15"/>
      <c r="KM114" s="15"/>
      <c r="KN114" s="15"/>
      <c r="KO114" s="15"/>
      <c r="KP114" s="15"/>
      <c r="KQ114" s="15"/>
      <c r="KR114" s="15"/>
      <c r="KS114" s="15"/>
      <c r="KT114" s="15"/>
      <c r="KU114" s="15"/>
      <c r="KV114" s="15"/>
      <c r="KW114" s="15"/>
      <c r="KX114" s="15"/>
      <c r="KY114" s="15"/>
      <c r="KZ114" s="15"/>
      <c r="LA114" s="15"/>
      <c r="LB114" s="15"/>
      <c r="LC114" s="15"/>
      <c r="LD114" s="15"/>
      <c r="LE114" s="15"/>
      <c r="LF114" s="15"/>
      <c r="LG114" s="15"/>
      <c r="LH114" s="15"/>
      <c r="LI114" s="15"/>
      <c r="LJ114" s="15"/>
      <c r="LK114" s="15"/>
      <c r="LL114" s="15"/>
      <c r="LM114" s="15"/>
      <c r="LN114" s="15"/>
      <c r="LO114" s="15"/>
      <c r="LP114" s="15"/>
      <c r="LQ114" s="15"/>
      <c r="LR114" s="15"/>
      <c r="LS114" s="15"/>
      <c r="LT114" s="15"/>
      <c r="LU114" s="15"/>
      <c r="LV114" s="15"/>
      <c r="LW114" s="15"/>
      <c r="LX114" s="15"/>
      <c r="LY114" s="15"/>
      <c r="LZ114" s="15"/>
      <c r="MA114" s="15"/>
      <c r="MB114" s="15"/>
      <c r="MC114" s="15"/>
      <c r="MD114" s="15"/>
      <c r="ME114" s="15"/>
      <c r="MF114" s="15"/>
      <c r="MG114" s="15"/>
      <c r="MH114" s="15"/>
      <c r="MI114" s="15"/>
      <c r="MJ114" s="15"/>
      <c r="MK114" s="15"/>
      <c r="ML114" s="15"/>
      <c r="MM114" s="15"/>
      <c r="MN114" s="15"/>
      <c r="MO114" s="15"/>
      <c r="MP114" s="15"/>
      <c r="MQ114" s="15"/>
      <c r="MR114" s="15"/>
      <c r="MS114" s="15"/>
      <c r="MT114" s="15"/>
      <c r="MU114" s="15"/>
      <c r="MV114" s="15"/>
      <c r="MW114" s="15"/>
    </row>
  </sheetData>
  <mergeCells count="56">
    <mergeCell ref="CD4:CJ4"/>
    <mergeCell ref="F3:G3"/>
    <mergeCell ref="L4:R4"/>
    <mergeCell ref="S4:Y4"/>
    <mergeCell ref="Z4:AF4"/>
    <mergeCell ref="AG4:AM4"/>
    <mergeCell ref="AN4:AT4"/>
    <mergeCell ref="AU4:BA4"/>
    <mergeCell ref="BB4:BH4"/>
    <mergeCell ref="BI4:BO4"/>
    <mergeCell ref="BP4:BV4"/>
    <mergeCell ref="BW4:CC4"/>
    <mergeCell ref="B1:C1"/>
    <mergeCell ref="B2:C2"/>
    <mergeCell ref="B3:C3"/>
    <mergeCell ref="D3:E3"/>
    <mergeCell ref="D4:E4"/>
    <mergeCell ref="DT4:DZ4"/>
    <mergeCell ref="CK4:CQ4"/>
    <mergeCell ref="CR4:CX4"/>
    <mergeCell ref="CY4:DE4"/>
    <mergeCell ref="DF4:DL4"/>
    <mergeCell ref="DM4:DS4"/>
    <mergeCell ref="EA4:EG4"/>
    <mergeCell ref="EH4:EN4"/>
    <mergeCell ref="EO4:EU4"/>
    <mergeCell ref="EV4:FB4"/>
    <mergeCell ref="FC4:FI4"/>
    <mergeCell ref="FJ4:FP4"/>
    <mergeCell ref="FQ4:FW4"/>
    <mergeCell ref="FX4:GD4"/>
    <mergeCell ref="GE4:GK4"/>
    <mergeCell ref="GL4:GR4"/>
    <mergeCell ref="GS4:GY4"/>
    <mergeCell ref="GZ4:HF4"/>
    <mergeCell ref="HG4:HM4"/>
    <mergeCell ref="HN4:HT4"/>
    <mergeCell ref="HU4:IA4"/>
    <mergeCell ref="IB4:IH4"/>
    <mergeCell ref="II4:IO4"/>
    <mergeCell ref="IP4:IV4"/>
    <mergeCell ref="IW4:JC4"/>
    <mergeCell ref="JD4:JJ4"/>
    <mergeCell ref="JK4:JQ4"/>
    <mergeCell ref="JR4:JX4"/>
    <mergeCell ref="JY4:KE4"/>
    <mergeCell ref="KF4:KL4"/>
    <mergeCell ref="KM4:KS4"/>
    <mergeCell ref="MC4:MI4"/>
    <mergeCell ref="MJ4:MP4"/>
    <mergeCell ref="MQ4:MW4"/>
    <mergeCell ref="KT4:KZ4"/>
    <mergeCell ref="LA4:LG4"/>
    <mergeCell ref="LH4:LN4"/>
    <mergeCell ref="LO4:LU4"/>
    <mergeCell ref="LV4:MB4"/>
  </mergeCells>
  <conditionalFormatting sqref="E113:E114 E24:E28 E31:E33 E7:E22 E38 E36 E41:E43 E61:E86 E47:E58">
    <cfRule type="dataBar" priority="98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CA7:CI17 BI5:BV5 CB5:CI6 BU113:BV114 L113:BG114 BI24:BN28 BU24:BV28 L24:BG28 L31:BG33 BU31:BV33 BI31:BN33 L5:BG22 BU6:BV22 BI6:BN22 CA18:DY33 EA18:EF33 EH18:EM33 EO18:ET33 EV18:FA33 FC18:FH33 FJ18:FO33 FQ18:FV33 FX18:GC33 GE18:GJ33 GL18:GQ33 GS18:GX33 GZ18:HE33 HG18:HL33 HN18:HS33 HU18:HZ33 IB18:IG33 II18:IN33 IP18:IU33 IW18:JB33 JD18:JI33 JK18:JP33 JR18:JW33 JY18:KD33 KF18:KK33 KM18:KR33 KT18:KY33 LA18:LF33 LH18:LM33 LO18:LT33 LV18:MA33 MC18:MH33 MJ18:MO33 MQ18:MV33 MQ38:MV38 MQ36:MV36 MJ38:MO38 MJ36:MO36 MC38:MH38 MC36:MH36 LV38:MA38 LV36:MA36 LO38:LT38 LO36:LT36 LH38:LM38 LH36:LM36 LA38:LF38 LA36:LF36 KT38:KY38 KT36:KY36 KM38:KR38 KM36:KR36 KF38:KK38 KF36:KK36 JY38:KD38 JY36:KD36 JR38:JW38 JR36:JW36 JK38:JP38 JK36:JP36 JD38:JI38 JD36:JI36 IW38:JB38 IW36:JB36 IP38:IU38 IP36:IU36 II38:IN38 II36:IN36 IB38:IG38 IB36:IG36 HU38:HZ38 HU36:HZ36 HN38:HS38 HN36:HS36 HG38:HL38 HG36:HL36 GZ38:HE38 GZ36:HE36 GS38:GX38 GS36:GX36 GL38:GQ38 GL36:GQ36 GE38:GJ38 GE36:GJ36 FX38:GC38 FX36:GC36 FQ38:FV38 FQ36:FV36 FJ38:FO38 FJ36:FO36 FC38:FH38 FC36:FH36 EV38:FA38 EV36:FA36 EO38:ET38 EO36:ET36 EH38:EM38 EH36:EM36 EA38:EF38 EA36:EF36 CA38:DY38 CA36:DY36 BI38:BN38 BI36:BN36 BU38:BV38 BU36:BV36 L38:BG38 L36:BG36 L41:BG43 BU41:BV43 BI41:BN43 CA41:DY43 EA41:EF43 EH41:EM43 EO41:ET43 EV41:FA43 FC41:FH43 FJ41:FO43 FQ41:FV43 FX41:GC43 GE41:GJ43 GL41:GQ43 GS41:GX43 GZ41:HE43 HG41:HL43 HN41:HS43 HU41:HZ43 IB41:IG43 II41:IN43 IP41:IU43 IW41:JB43 JD41:JI43 JK41:JP43 JR41:JW43 JY41:KD43 KF41:KK43 KM41:KR43 KT41:KY43 LA41:LF43 LH41:LM43 LO41:LT43 LV41:MA43 MC41:MH43 MJ41:MO43 MQ41:MV43 MQ61:MV88 MJ61:MO88 MC61:MH88 LV61:MA88 LO61:LT88 LH61:LM88 LA61:LF88 KT61:KY88 KM61:KR88 KF61:KK88 JY61:KD88 JR61:JW88 JK61:JP88 JD61:JI88 IW61:JB88 IP61:IU88 II61:IN88 IB61:IG88 HU61:HZ88 HN61:HS88 HG61:HL88 GZ61:HE88 GS61:GX88 GL61:GQ88 GE61:GJ88 FX61:GC88 FQ61:FV88 FJ61:FO88 FC61:FH88 EV61:FA88 EO61:ET88 EH61:EM88 EA61:EF88 CA61:DY88 BI61:BN86 BU61:BV86 L61:BG86 MQ47:MV58 MJ47:MO58 MC47:MH58 LV47:MA58 LO47:LT58 LH47:LM58 LA47:LF58 KT47:KY58 KM47:KR58 KF47:KK58 JY47:KD58 JR47:JW58 JK47:JP58 JD47:JI58 IW47:JB58 IP47:IU58 II47:IN58 IB47:IG58 HU47:HZ58 HN47:HS58 HG47:HL58 GZ47:HE58 GS47:GX58 GL47:GQ58 GE47:GJ58 FX47:GC58 FQ47:FV58 FJ47:FO58 FC47:FH58 EV47:FA58 EO47:ET58 EH47:EM58 EA47:EF58 CA47:DY58 BI47:BN58 BU47:BV58 L47:BG58 CA109:DY109 EA109:EF109 EH109:EM109 EO109:ET109 EV109:FA109 FC109:FH109 FJ109:FO109 FQ109:FV109 FX109:GC109 GE109:GJ109 GL109:GQ109 GS109:GX109 GZ109:HE109 HG109:HL109 HN109:HS109 HU109:HZ109 IB109:IG109 II109:IN109 IP109:IU109 IW109:JB109 JD109:JI109 JK109:JP109 JR109:JW109 JY109:KD109 KF109:KK109 KM109:KR109 KT109:KY109 LA109:LF109 LH109:LM109 LO109:LT109 LV109:MA109 MC109:MH109 MJ109:MO109 MQ109:MV109 MQ112:MV114 MJ112:MO114 MC112:MH114 LV112:MA114 LO112:LT114 LH112:LM114 LA112:LF114 KT112:KY114 KM112:KR114 KF112:KK114 JY112:KD114 JR112:JW114 JK112:JP114 JD112:JI114 IW112:JB114 IP112:IU114 II112:IN114 IB112:IG114 HU112:HZ114 HN112:HS114 HG112:HL114 GZ112:HE114 GS112:GX114 GL112:GQ114 GE112:GJ114 FX112:GC114 FQ112:FV114 FJ112:FO114 FC112:FH114 EV112:FA114 EO112:ET114 EH112:EM114 EA112:EF114 CA112:DY114">
    <cfRule type="expression" dxfId="644" priority="968">
      <formula>AND(TODAY()&gt;=L$5,TODAY()&lt;M$5)</formula>
    </cfRule>
  </conditionalFormatting>
  <conditionalFormatting sqref="L7:CX17 L113:DZ114 L24:MW28 L31:MW33 L18:MW22 L38:MW38 L36:MW36 L41:MW43 L61:MW86 L47:MW58">
    <cfRule type="expression" dxfId="643" priority="957">
      <formula>AND(task_start&lt;=L$5,ROUNDDOWN((task_end-task_start+1)*task_progress,0)+task_start-1&gt;=L$5)</formula>
    </cfRule>
  </conditionalFormatting>
  <conditionalFormatting sqref="BH113:BH114 BH24:BH28 BH31:BH33 BH5:BH22 BH38 BH36 BH41:BH43 BH61:BH86 BH47:BH58">
    <cfRule type="expression" dxfId="642" priority="992">
      <formula>AND(TODAY()&gt;=BH$5,TODAY()&lt;CD$5)</formula>
    </cfRule>
  </conditionalFormatting>
  <conditionalFormatting sqref="BH113:BH114 BH24:BH28 BH31:BH33 BH7:BH22 BH38 BH36 BH41:BH43 BH61:BH86 BH47:BH58">
    <cfRule type="expression" dxfId="641" priority="995" stopIfTrue="1">
      <formula>AND(task_end&gt;=BH$5,task_start&lt;CD$5)</formula>
    </cfRule>
  </conditionalFormatting>
  <conditionalFormatting sqref="BI113:BN114">
    <cfRule type="expression" dxfId="640" priority="959">
      <formula>AND(TODAY()&gt;=BI$5,TODAY()&lt;BJ$5)</formula>
    </cfRule>
  </conditionalFormatting>
  <conditionalFormatting sqref="BI113:BN114 BU24:BV28 L24:BG28 BI24:BN28 BI31:BN33 L31:BG33 BU31:BV33 BI7:BN22 L7:BG22 BU7:BV22 CA18:DY33 EA18:EF33 EH18:EM33 EO18:ET33 EV18:FA33 FC18:FH33 FJ18:FO33 FQ18:FV33 FX18:GC33 GE18:GJ33 GL18:GQ33 GS18:GX33 GZ18:HE33 HG18:HL33 HN18:HS33 HU18:HZ33 IB18:IG33 II18:IN33 IP18:IU33 IW18:JB33 JD18:JI33 JK18:JP33 JR18:JW33 JY18:KD33 KF18:KK33 KM18:KR33 KT18:KY33 LA18:LF33 LH18:LM33 LO18:LT33 LV18:MA33 MC18:MH33 MJ18:MO33 MQ18:MV33 MQ38:MV38 MQ36:MV36 MJ38:MO38 MJ36:MO36 MC38:MH38 MC36:MH36 LV38:MA38 LV36:MA36 LO38:LT38 LO36:LT36 LH38:LM38 LH36:LM36 LA38:LF38 LA36:LF36 KT38:KY38 KT36:KY36 KM38:KR38 KM36:KR36 KF38:KK38 KF36:KK36 JY38:KD38 JY36:KD36 JR38:JW38 JR36:JW36 JK38:JP38 JK36:JP36 JD38:JI38 JD36:JI36 IW38:JB38 IW36:JB36 IP38:IU38 IP36:IU36 II38:IN38 II36:IN36 IB38:IG38 IB36:IG36 HU38:HZ38 HU36:HZ36 HN38:HS38 HN36:HS36 HG38:HL38 HG36:HL36 GZ38:HE38 GZ36:HE36 GS38:GX38 GS36:GX36 GL38:GQ38 GL36:GQ36 GE38:GJ38 GE36:GJ36 FX38:GC38 FX36:GC36 FQ38:FV38 FQ36:FV36 FJ38:FO38 FJ36:FO36 FC38:FH38 FC36:FH36 EV38:FA38 EV36:FA36 EO38:ET38 EO36:ET36 EH38:EM38 EH36:EM36 EA38:EF38 EA36:EF36 CA38:DY38 CA36:DY36 BU38:BV38 BU36:BV36 L38:BG38 L36:BG36 BI38:BN38 BI36:BN36 BI41:BN43 L41:BG43 BU41:BV43 CA41:DY43 EA41:EF43 EH41:EM43 EO41:ET43 EV41:FA43 FC41:FH43 FJ41:FO43 FQ41:FV43 FX41:GC43 GE41:GJ43 GL41:GQ43 GS41:GX43 GZ41:HE43 HG41:HL43 HN41:HS43 HU41:HZ43 IB41:IG43 II41:IN43 IP41:IU43 IW41:JB43 JD41:JI43 JK41:JP43 JR41:JW43 JY41:KD43 KF41:KK43 KM41:KR43 KT41:KY43 LA41:LF43 LH41:LM43 LO41:LT43 LV41:MA43 MC41:MH43 MJ41:MO43 MQ41:MV43 MQ61:MV88 MJ61:MO88 MC61:MH88 LV61:MA88 LO61:LT88 LH61:LM88 LA61:LF88 KT61:KY88 KM61:KR88 KF61:KK88 JY61:KD88 JR61:JW88 JK61:JP88 JD61:JI88 IW61:JB88 IP61:IU88 II61:IN88 IB61:IG88 HU61:HZ88 HN61:HS88 HG61:HL88 GZ61:HE88 GS61:GX88 GL61:GQ88 GE61:GJ88 FX61:GC88 FQ61:FV88 FJ61:FO88 FC61:FH88 EV61:FA88 EO61:ET88 EH61:EM88 EA61:EF88 CA61:DY88 BU61:BV86 L61:BG86 BI61:BN86 MQ47:MV58 MJ47:MO58 MC47:MH58 LV47:MA58 LO47:LT58 LH47:LM58 LA47:LF58 KT47:KY58 KM47:KR58 KF47:KK58 JY47:KD58 JR47:JW58 JK47:JP58 JD47:JI58 IW47:JB58 IP47:IU58 II47:IN58 IB47:IG58 HU47:HZ58 HN47:HS58 HG47:HL58 GZ47:HE58 GS47:GX58 GL47:GQ58 GE47:GJ58 FX47:GC58 FQ47:FV58 FJ47:FO58 FC47:FH58 EV47:FA58 EO47:ET58 EH47:EM58 EA47:EF58 CA47:DY58 BU47:BV58 L47:BG58 BI47:BN58 CA109:DY109 EA109:EF109 EH109:EM109 EO109:ET109 EV109:FA109 FC109:FH109 FJ109:FO109 FQ109:FV109 FX109:GC109 GE109:GJ109 GL109:GQ109 GS109:GX109 GZ109:HE109 HG109:HL109 HN109:HS109 HU109:HZ109 IB109:IG109 II109:IN109 IP109:IU109 IW109:JB109 JD109:JI109 JK109:JP109 JR109:JW109 JY109:KD109 KF109:KK109 KM109:KR109 KT109:KY109 LA109:LF109 LH109:LM109 LO109:LT109 LV109:MA109 MC109:MH109 MJ109:MO109 MQ109:MV109 MQ112:MV114 MJ112:MO114 MC112:MH114 LV112:MA114 LO112:LT114 LH112:LM114 LA112:LF114 KT112:KY114 KM112:KR114 KF112:KK114 JY112:KD114 JR112:JW114 JK112:JP114 JD112:JI114 IW112:JB114 IP112:IU114 II112:IN114 IB112:IG114 HU112:HZ114 HN112:HS114 HG112:HL114 GZ112:HE114 GS112:GX114 GL112:GQ114 GE112:GJ114 FX112:GC114 FQ112:FV114 FJ112:FO114 FC112:FH114 EV112:FA114 EO112:ET114 EH112:EM114 EA112:EF114 CA112:DY114">
    <cfRule type="expression" dxfId="639" priority="958" stopIfTrue="1">
      <formula>AND(task_end&gt;=L$5,task_start&lt;M$5)</formula>
    </cfRule>
  </conditionalFormatting>
  <conditionalFormatting sqref="BO113:BO114 BO24:BO28 BO31:BO33 BO6:BO22 BO38 BO36 BO41:BO43 BO61:BO86 BO47:BO58">
    <cfRule type="expression" dxfId="638" priority="960">
      <formula>AND(TODAY()&gt;=BO$5,TODAY()&lt;CY$5)</formula>
    </cfRule>
  </conditionalFormatting>
  <conditionalFormatting sqref="BO113:BO114 BO24:BO28 BO31:BO33 BO7:BO22 BO38 BO36 BO41:BO43 BO61:BO86 BO47:BO58">
    <cfRule type="expression" dxfId="637" priority="962" stopIfTrue="1">
      <formula>AND(task_end&gt;=BO$5,task_start&lt;CY$5)</formula>
    </cfRule>
  </conditionalFormatting>
  <conditionalFormatting sqref="BP113:BT114 BP24:BT28 BP31:BT33 BP6:BT22 BP38:BT38 BP36:BT36 BP41:BT43 BP61:BT86 BP47:BT58">
    <cfRule type="expression" dxfId="636" priority="1015">
      <formula>AND(TODAY()&gt;=BP$5,TODAY()&lt;CF$5)</formula>
    </cfRule>
  </conditionalFormatting>
  <conditionalFormatting sqref="BP113:BT114 BP24:BT28 BP31:BT33 BP7:BT22 BP38:BT38 BP36:BT36 BP41:BT43 BP61:BT86 BP47:BT58">
    <cfRule type="expression" dxfId="635" priority="1017" stopIfTrue="1">
      <formula>AND(task_end&gt;=BP$5,task_start&lt;CF$5)</formula>
    </cfRule>
  </conditionalFormatting>
  <conditionalFormatting sqref="BW113:BX114 BW24:BX28 BW31:BX33 BW7:BX22 BW38:BX38 BW36:BX36 BW41:BX43 BW61:BX86 BW47:BX58">
    <cfRule type="expression" dxfId="634" priority="1021" stopIfTrue="1">
      <formula>AND(task_end&gt;=BW$5,task_start&lt;CA$5)</formula>
    </cfRule>
  </conditionalFormatting>
  <conditionalFormatting sqref="BW5:CA5 BW113:BX114 BW24:BX28 BW31:BX33 BW7:BX22 BW38:BX38 BW36:BX36 BW41:BX43 BW61:BX86 BW47:BX58">
    <cfRule type="expression" dxfId="633" priority="1018">
      <formula>AND(TODAY()&gt;=BW$5,TODAY()&lt;CA$5)</formula>
    </cfRule>
  </conditionalFormatting>
  <conditionalFormatting sqref="BW6:CA6">
    <cfRule type="expression" dxfId="632" priority="1031">
      <formula>AND(TODAY()&gt;=BW$5,TODAY()&lt;DA$5)</formula>
    </cfRule>
  </conditionalFormatting>
  <conditionalFormatting sqref="BY113:BY114 BY24:BY28 BY31:BY33 BY7:BY22 BY38 BY36 BY41:BY43 BY61:BY86 BY47:BY58">
    <cfRule type="expression" dxfId="631" priority="1011">
      <formula>AND(TODAY()&gt;=BY$5,TODAY()&lt;CB$5)</formula>
    </cfRule>
    <cfRule type="expression" dxfId="630" priority="1014" stopIfTrue="1">
      <formula>AND(task_end&gt;=BY$5,task_start&lt;CB$5)</formula>
    </cfRule>
  </conditionalFormatting>
  <conditionalFormatting sqref="BZ113:BZ114 BZ24:BZ28 BZ31:BZ33 BZ7:BZ22 BZ38 BZ36 BZ41:BZ43 BZ61:BZ86 BZ47:BZ58">
    <cfRule type="expression" dxfId="629" priority="1001">
      <formula>AND(TODAY()&gt;=BZ$5,TODAY()&lt;CB$5)</formula>
    </cfRule>
    <cfRule type="expression" dxfId="628" priority="1007" stopIfTrue="1">
      <formula>AND(task_end&gt;=BZ$5,task_start&lt;CB$5)</formula>
    </cfRule>
  </conditionalFormatting>
  <conditionalFormatting sqref="CA7:CI17 BU113:BV114 L113:BG114">
    <cfRule type="expression" dxfId="627" priority="967" stopIfTrue="1">
      <formula>AND(task_end&gt;=L$5,task_start&lt;M$5)</formula>
    </cfRule>
  </conditionalFormatting>
  <conditionalFormatting sqref="CJ5:CJ17 CQ5:CQ17 CX5:CX17">
    <cfRule type="expression" dxfId="626" priority="1023">
      <formula>AND(TODAY()&gt;=CJ$5,TODAY()&lt;CY$5)</formula>
    </cfRule>
  </conditionalFormatting>
  <conditionalFormatting sqref="CJ7:CJ17 CQ7:CQ17 CX7:CX17">
    <cfRule type="expression" dxfId="625" priority="1027" stopIfTrue="1">
      <formula>AND(task_end&gt;=CJ$5,task_start&lt;CY$5)</formula>
    </cfRule>
  </conditionalFormatting>
  <conditionalFormatting sqref="CK5:CP17">
    <cfRule type="expression" dxfId="624" priority="955">
      <formula>AND(TODAY()&gt;=CK$5,TODAY()&lt;CL$5)</formula>
    </cfRule>
  </conditionalFormatting>
  <conditionalFormatting sqref="CK7:CP17">
    <cfRule type="expression" dxfId="623" priority="954" stopIfTrue="1">
      <formula>AND(task_end&gt;=CK$5,task_start&lt;CL$5)</formula>
    </cfRule>
  </conditionalFormatting>
  <conditionalFormatting sqref="CR5:CW17">
    <cfRule type="expression" dxfId="622" priority="953">
      <formula>AND(TODAY()&gt;=CR$5,TODAY()&lt;CS$5)</formula>
    </cfRule>
  </conditionalFormatting>
  <conditionalFormatting sqref="CR7:CW17">
    <cfRule type="expression" dxfId="621" priority="952" stopIfTrue="1">
      <formula>AND(task_end&gt;=CR$5,task_start&lt;CS$5)</formula>
    </cfRule>
  </conditionalFormatting>
  <conditionalFormatting sqref="CY5:DD17">
    <cfRule type="expression" dxfId="620" priority="948">
      <formula>AND(TODAY()&gt;=CY$5,TODAY()&lt;CZ$5)</formula>
    </cfRule>
  </conditionalFormatting>
  <conditionalFormatting sqref="CY7:DD17">
    <cfRule type="expression" dxfId="619" priority="947" stopIfTrue="1">
      <formula>AND(task_end&gt;=CY$5,task_start&lt;CZ$5)</formula>
    </cfRule>
  </conditionalFormatting>
  <conditionalFormatting sqref="CY7:DE17">
    <cfRule type="expression" dxfId="618" priority="949">
      <formula>AND(task_start&lt;=CY$5,ROUNDDOWN((task_end-task_start+1)*task_progress,0)+task_start-1&gt;=CY$5)</formula>
    </cfRule>
  </conditionalFormatting>
  <conditionalFormatting sqref="DE5:DE17">
    <cfRule type="expression" dxfId="617" priority="950">
      <formula>AND(TODAY()&gt;=DE$5,TODAY()&lt;DT$5)</formula>
    </cfRule>
  </conditionalFormatting>
  <conditionalFormatting sqref="DE7:DE17">
    <cfRule type="expression" dxfId="616" priority="951" stopIfTrue="1">
      <formula>AND(task_end&gt;=DE$5,task_start&lt;DT$5)</formula>
    </cfRule>
  </conditionalFormatting>
  <conditionalFormatting sqref="DF5:DK17">
    <cfRule type="expression" dxfId="615" priority="943">
      <formula>AND(TODAY()&gt;=DF$5,TODAY()&lt;DG$5)</formula>
    </cfRule>
  </conditionalFormatting>
  <conditionalFormatting sqref="DF7:DK17">
    <cfRule type="expression" dxfId="614" priority="942" stopIfTrue="1">
      <formula>AND(task_end&gt;=DF$5,task_start&lt;DG$5)</formula>
    </cfRule>
  </conditionalFormatting>
  <conditionalFormatting sqref="DF7:DL17">
    <cfRule type="expression" dxfId="613" priority="944">
      <formula>AND(task_start&lt;=DF$5,ROUNDDOWN((task_end-task_start+1)*task_progress,0)+task_start-1&gt;=DF$5)</formula>
    </cfRule>
  </conditionalFormatting>
  <conditionalFormatting sqref="DL5:DL17">
    <cfRule type="expression" dxfId="612" priority="945">
      <formula>AND(TODAY()&gt;=DL$5,TODAY()&lt;MX$5)</formula>
    </cfRule>
  </conditionalFormatting>
  <conditionalFormatting sqref="DL7:DL17">
    <cfRule type="expression" dxfId="611" priority="946" stopIfTrue="1">
      <formula>AND(task_end&gt;=DL$5,task_start&lt;MX$5)</formula>
    </cfRule>
  </conditionalFormatting>
  <conditionalFormatting sqref="DM5:DR17">
    <cfRule type="expression" dxfId="610" priority="938">
      <formula>AND(TODAY()&gt;=DM$5,TODAY()&lt;DN$5)</formula>
    </cfRule>
  </conditionalFormatting>
  <conditionalFormatting sqref="DM7:DR17">
    <cfRule type="expression" dxfId="609" priority="937" stopIfTrue="1">
      <formula>AND(task_end&gt;=DM$5,task_start&lt;DN$5)</formula>
    </cfRule>
  </conditionalFormatting>
  <conditionalFormatting sqref="DM7:DS17">
    <cfRule type="expression" dxfId="608" priority="939">
      <formula>AND(task_start&lt;=DM$5,ROUNDDOWN((task_end-task_start+1)*task_progress,0)+task_start-1&gt;=DM$5)</formula>
    </cfRule>
  </conditionalFormatting>
  <conditionalFormatting sqref="DS5:DS17">
    <cfRule type="expression" dxfId="607" priority="940">
      <formula>AND(TODAY()&gt;=DS$5,TODAY()&lt;NE$5)</formula>
    </cfRule>
  </conditionalFormatting>
  <conditionalFormatting sqref="DS7:DS17">
    <cfRule type="expression" dxfId="606" priority="941" stopIfTrue="1">
      <formula>AND(task_end&gt;=DS$5,task_start&lt;NE$5)</formula>
    </cfRule>
  </conditionalFormatting>
  <conditionalFormatting sqref="DT5:DY17">
    <cfRule type="expression" dxfId="605" priority="933">
      <formula>AND(TODAY()&gt;=DT$5,TODAY()&lt;DU$5)</formula>
    </cfRule>
  </conditionalFormatting>
  <conditionalFormatting sqref="DT7:DY17">
    <cfRule type="expression" dxfId="604" priority="932" stopIfTrue="1">
      <formula>AND(task_end&gt;=DT$5,task_start&lt;DU$5)</formula>
    </cfRule>
  </conditionalFormatting>
  <conditionalFormatting sqref="DT7:DZ17">
    <cfRule type="expression" dxfId="603" priority="934">
      <formula>AND(task_start&lt;=DT$5,ROUNDDOWN((task_end-task_start+1)*task_progress,0)+task_start-1&gt;=DT$5)</formula>
    </cfRule>
  </conditionalFormatting>
  <conditionalFormatting sqref="DZ5:DZ17">
    <cfRule type="expression" dxfId="602" priority="935">
      <formula>AND(TODAY()&gt;=DZ$5,TODAY()&lt;NL$5)</formula>
    </cfRule>
  </conditionalFormatting>
  <conditionalFormatting sqref="DZ7:DZ17">
    <cfRule type="expression" dxfId="601" priority="936" stopIfTrue="1">
      <formula>AND(task_end&gt;=DZ$5,task_start&lt;NL$5)</formula>
    </cfRule>
  </conditionalFormatting>
  <conditionalFormatting sqref="E87:E88 E109 E112">
    <cfRule type="dataBar" priority="903">
      <dataBar>
        <cfvo type="num" val="0"/>
        <cfvo type="num" val="1"/>
        <color theme="0" tint="-0.249977111117893"/>
      </dataBar>
      <extLst>
        <ext xmlns:x14="http://schemas.microsoft.com/office/spreadsheetml/2009/9/main" uri="{B025F937-C7B1-47D3-B67F-A62EFF666E3E}">
          <x14:id>{5DC85D2E-551F-4C05-AEA1-F829B92303BA}</x14:id>
        </ext>
      </extLst>
    </cfRule>
  </conditionalFormatting>
  <conditionalFormatting sqref="L87:BG88 BU87:BV88 BU109:BV109 L109:BG109 L112:BG112 BU112:BV112">
    <cfRule type="expression" dxfId="600" priority="902">
      <formula>AND(TODAY()&gt;=L$5,TODAY()&lt;M$5)</formula>
    </cfRule>
  </conditionalFormatting>
  <conditionalFormatting sqref="L87:DZ88 L109:DZ109 L112:DZ112">
    <cfRule type="expression" dxfId="599" priority="896">
      <formula>AND(task_start&lt;=L$5,ROUNDDOWN((task_end-task_start+1)*task_progress,0)+task_start-1&gt;=L$5)</formula>
    </cfRule>
  </conditionalFormatting>
  <conditionalFormatting sqref="BH87:BH88 BH109 BH112">
    <cfRule type="expression" dxfId="598" priority="904">
      <formula>AND(TODAY()&gt;=BH$5,TODAY()&lt;CD$5)</formula>
    </cfRule>
  </conditionalFormatting>
  <conditionalFormatting sqref="BH87:BH88 BH109 BH112">
    <cfRule type="expression" dxfId="597" priority="905" stopIfTrue="1">
      <formula>AND(task_end&gt;=BH$5,task_start&lt;CD$5)</formula>
    </cfRule>
  </conditionalFormatting>
  <conditionalFormatting sqref="BI87:BN88 BI109:BN109 BI112:BN112">
    <cfRule type="expression" dxfId="596" priority="898">
      <formula>AND(TODAY()&gt;=BI$5,TODAY()&lt;BJ$5)</formula>
    </cfRule>
  </conditionalFormatting>
  <conditionalFormatting sqref="BI87:BN88 BI109:BN109 BI112:BN112">
    <cfRule type="expression" dxfId="595" priority="897" stopIfTrue="1">
      <formula>AND(task_end&gt;=BI$5,task_start&lt;BJ$5)</formula>
    </cfRule>
  </conditionalFormatting>
  <conditionalFormatting sqref="BO87:BO88 BO109 BO112">
    <cfRule type="expression" dxfId="594" priority="899">
      <formula>AND(TODAY()&gt;=BO$5,TODAY()&lt;CY$5)</formula>
    </cfRule>
  </conditionalFormatting>
  <conditionalFormatting sqref="BO87:BO88 BO109 BO112">
    <cfRule type="expression" dxfId="593" priority="900" stopIfTrue="1">
      <formula>AND(task_end&gt;=BO$5,task_start&lt;CY$5)</formula>
    </cfRule>
  </conditionalFormatting>
  <conditionalFormatting sqref="BP87:BT88 BP109:BT109 BP112:BT112">
    <cfRule type="expression" dxfId="592" priority="910">
      <formula>AND(TODAY()&gt;=BP$5,TODAY()&lt;CF$5)</formula>
    </cfRule>
  </conditionalFormatting>
  <conditionalFormatting sqref="BP87:BT88 BP109:BT109 BP112:BT112">
    <cfRule type="expression" dxfId="591" priority="911" stopIfTrue="1">
      <formula>AND(task_end&gt;=BP$5,task_start&lt;CF$5)</formula>
    </cfRule>
  </conditionalFormatting>
  <conditionalFormatting sqref="BW87:BX88 BW109:BX109 BW112:BX112">
    <cfRule type="expression" dxfId="590" priority="913" stopIfTrue="1">
      <formula>AND(task_end&gt;=BW$5,task_start&lt;CA$5)</formula>
    </cfRule>
  </conditionalFormatting>
  <conditionalFormatting sqref="BW87:BX88 BW109:BX109 BW112:BX112">
    <cfRule type="expression" dxfId="589" priority="912">
      <formula>AND(TODAY()&gt;=BW$5,TODAY()&lt;CA$5)</formula>
    </cfRule>
  </conditionalFormatting>
  <conditionalFormatting sqref="BY87:BY88 BY109 BY112">
    <cfRule type="expression" dxfId="588" priority="908">
      <formula>AND(TODAY()&gt;=BY$5,TODAY()&lt;CB$5)</formula>
    </cfRule>
    <cfRule type="expression" dxfId="587" priority="909" stopIfTrue="1">
      <formula>AND(task_end&gt;=BY$5,task_start&lt;CB$5)</formula>
    </cfRule>
  </conditionalFormatting>
  <conditionalFormatting sqref="BZ87:BZ88 BZ109 BZ112">
    <cfRule type="expression" dxfId="586" priority="906">
      <formula>AND(TODAY()&gt;=BZ$5,TODAY()&lt;CB$5)</formula>
    </cfRule>
    <cfRule type="expression" dxfId="585" priority="907" stopIfTrue="1">
      <formula>AND(task_end&gt;=BZ$5,task_start&lt;CB$5)</formula>
    </cfRule>
  </conditionalFormatting>
  <conditionalFormatting sqref="L87:BG88 BU87:BV88 BU109:BV109 L109:BG109 L112:BG112 BU112:BV112">
    <cfRule type="expression" dxfId="584" priority="901" stopIfTrue="1">
      <formula>AND(task_end&gt;=L$5,task_start&lt;M$5)</formula>
    </cfRule>
  </conditionalFormatting>
  <conditionalFormatting sqref="E23">
    <cfRule type="dataBar" priority="885">
      <dataBar>
        <cfvo type="num" val="0"/>
        <cfvo type="num" val="1"/>
        <color theme="0" tint="-0.249977111117893"/>
      </dataBar>
      <extLst>
        <ext xmlns:x14="http://schemas.microsoft.com/office/spreadsheetml/2009/9/main" uri="{B025F937-C7B1-47D3-B67F-A62EFF666E3E}">
          <x14:id>{C712EFF7-67C0-4C64-A5D5-32E0F9CE3762}</x14:id>
        </ext>
      </extLst>
    </cfRule>
  </conditionalFormatting>
  <conditionalFormatting sqref="BI23:BN23 BU23:BV23 L23:BG23">
    <cfRule type="expression" dxfId="583" priority="884">
      <formula>AND(TODAY()&gt;=L$5,TODAY()&lt;M$5)</formula>
    </cfRule>
  </conditionalFormatting>
  <conditionalFormatting sqref="L23:DZ23">
    <cfRule type="expression" dxfId="582" priority="880">
      <formula>AND(task_start&lt;=L$5,ROUNDDOWN((task_end-task_start+1)*task_progress,0)+task_start-1&gt;=L$5)</formula>
    </cfRule>
  </conditionalFormatting>
  <conditionalFormatting sqref="BH23">
    <cfRule type="expression" dxfId="581" priority="886">
      <formula>AND(TODAY()&gt;=BH$5,TODAY()&lt;CD$5)</formula>
    </cfRule>
  </conditionalFormatting>
  <conditionalFormatting sqref="BH23">
    <cfRule type="expression" dxfId="580" priority="887" stopIfTrue="1">
      <formula>AND(task_end&gt;=BH$5,task_start&lt;CD$5)</formula>
    </cfRule>
  </conditionalFormatting>
  <conditionalFormatting sqref="BU23:BV23 L23:BG23 BI23:BN23">
    <cfRule type="expression" dxfId="579" priority="881" stopIfTrue="1">
      <formula>AND(task_end&gt;=L$5,task_start&lt;M$5)</formula>
    </cfRule>
  </conditionalFormatting>
  <conditionalFormatting sqref="BO23">
    <cfRule type="expression" dxfId="578" priority="882">
      <formula>AND(TODAY()&gt;=BO$5,TODAY()&lt;CY$5)</formula>
    </cfRule>
  </conditionalFormatting>
  <conditionalFormatting sqref="BO23">
    <cfRule type="expression" dxfId="577" priority="883" stopIfTrue="1">
      <formula>AND(task_end&gt;=BO$5,task_start&lt;CY$5)</formula>
    </cfRule>
  </conditionalFormatting>
  <conditionalFormatting sqref="BP23:BT23">
    <cfRule type="expression" dxfId="576" priority="892">
      <formula>AND(TODAY()&gt;=BP$5,TODAY()&lt;CF$5)</formula>
    </cfRule>
  </conditionalFormatting>
  <conditionalFormatting sqref="BP23:BT23">
    <cfRule type="expression" dxfId="575" priority="893" stopIfTrue="1">
      <formula>AND(task_end&gt;=BP$5,task_start&lt;CF$5)</formula>
    </cfRule>
  </conditionalFormatting>
  <conditionalFormatting sqref="BW23:BX23">
    <cfRule type="expression" dxfId="574" priority="895" stopIfTrue="1">
      <formula>AND(task_end&gt;=BW$5,task_start&lt;CA$5)</formula>
    </cfRule>
  </conditionalFormatting>
  <conditionalFormatting sqref="BW23:BX23">
    <cfRule type="expression" dxfId="573" priority="894">
      <formula>AND(TODAY()&gt;=BW$5,TODAY()&lt;CA$5)</formula>
    </cfRule>
  </conditionalFormatting>
  <conditionalFormatting sqref="BY23">
    <cfRule type="expression" dxfId="572" priority="890">
      <formula>AND(TODAY()&gt;=BY$5,TODAY()&lt;CB$5)</formula>
    </cfRule>
    <cfRule type="expression" dxfId="571" priority="891" stopIfTrue="1">
      <formula>AND(task_end&gt;=BY$5,task_start&lt;CB$5)</formula>
    </cfRule>
  </conditionalFormatting>
  <conditionalFormatting sqref="BZ23">
    <cfRule type="expression" dxfId="570" priority="888">
      <formula>AND(TODAY()&gt;=BZ$5,TODAY()&lt;CB$5)</formula>
    </cfRule>
    <cfRule type="expression" dxfId="569" priority="889" stopIfTrue="1">
      <formula>AND(task_end&gt;=BZ$5,task_start&lt;CB$5)</formula>
    </cfRule>
  </conditionalFormatting>
  <conditionalFormatting sqref="E29:E30">
    <cfRule type="dataBar" priority="869">
      <dataBar>
        <cfvo type="num" val="0"/>
        <cfvo type="num" val="1"/>
        <color theme="0" tint="-0.249977111117893"/>
      </dataBar>
      <extLst>
        <ext xmlns:x14="http://schemas.microsoft.com/office/spreadsheetml/2009/9/main" uri="{B025F937-C7B1-47D3-B67F-A62EFF666E3E}">
          <x14:id>{4B514E0C-1AC2-4A06-A5E3-77DB22849210}</x14:id>
        </ext>
      </extLst>
    </cfRule>
  </conditionalFormatting>
  <conditionalFormatting sqref="BI29:BN30 BU29:BV30 L29:BG30">
    <cfRule type="expression" dxfId="568" priority="868">
      <formula>AND(TODAY()&gt;=L$5,TODAY()&lt;M$5)</formula>
    </cfRule>
  </conditionalFormatting>
  <conditionalFormatting sqref="L29:DZ30">
    <cfRule type="expression" dxfId="567" priority="864">
      <formula>AND(task_start&lt;=L$5,ROUNDDOWN((task_end-task_start+1)*task_progress,0)+task_start-1&gt;=L$5)</formula>
    </cfRule>
  </conditionalFormatting>
  <conditionalFormatting sqref="BH29:BH30">
    <cfRule type="expression" dxfId="566" priority="870">
      <formula>AND(TODAY()&gt;=BH$5,TODAY()&lt;CD$5)</formula>
    </cfRule>
  </conditionalFormatting>
  <conditionalFormatting sqref="BH29:BH30">
    <cfRule type="expression" dxfId="565" priority="871" stopIfTrue="1">
      <formula>AND(task_end&gt;=BH$5,task_start&lt;CD$5)</formula>
    </cfRule>
  </conditionalFormatting>
  <conditionalFormatting sqref="BU29:BV30 L29:BG30 BI29:BN30">
    <cfRule type="expression" dxfId="564" priority="865" stopIfTrue="1">
      <formula>AND(task_end&gt;=L$5,task_start&lt;M$5)</formula>
    </cfRule>
  </conditionalFormatting>
  <conditionalFormatting sqref="BO29:BO30">
    <cfRule type="expression" dxfId="563" priority="866">
      <formula>AND(TODAY()&gt;=BO$5,TODAY()&lt;CY$5)</formula>
    </cfRule>
  </conditionalFormatting>
  <conditionalFormatting sqref="BO29:BO30">
    <cfRule type="expression" dxfId="562" priority="867" stopIfTrue="1">
      <formula>AND(task_end&gt;=BO$5,task_start&lt;CY$5)</formula>
    </cfRule>
  </conditionalFormatting>
  <conditionalFormatting sqref="BP29:BT30">
    <cfRule type="expression" dxfId="561" priority="876">
      <formula>AND(TODAY()&gt;=BP$5,TODAY()&lt;CF$5)</formula>
    </cfRule>
  </conditionalFormatting>
  <conditionalFormatting sqref="BP29:BT30">
    <cfRule type="expression" dxfId="560" priority="877" stopIfTrue="1">
      <formula>AND(task_end&gt;=BP$5,task_start&lt;CF$5)</formula>
    </cfRule>
  </conditionalFormatting>
  <conditionalFormatting sqref="BW29:BX30">
    <cfRule type="expression" dxfId="559" priority="879" stopIfTrue="1">
      <formula>AND(task_end&gt;=BW$5,task_start&lt;CA$5)</formula>
    </cfRule>
  </conditionalFormatting>
  <conditionalFormatting sqref="BW29:BX30">
    <cfRule type="expression" dxfId="558" priority="878">
      <formula>AND(TODAY()&gt;=BW$5,TODAY()&lt;CA$5)</formula>
    </cfRule>
  </conditionalFormatting>
  <conditionalFormatting sqref="BY29:BY30">
    <cfRule type="expression" dxfId="557" priority="874">
      <formula>AND(TODAY()&gt;=BY$5,TODAY()&lt;CB$5)</formula>
    </cfRule>
    <cfRule type="expression" dxfId="556" priority="875" stopIfTrue="1">
      <formula>AND(task_end&gt;=BY$5,task_start&lt;CB$5)</formula>
    </cfRule>
  </conditionalFormatting>
  <conditionalFormatting sqref="BZ29:BZ30">
    <cfRule type="expression" dxfId="555" priority="872">
      <formula>AND(TODAY()&gt;=BZ$5,TODAY()&lt;CB$5)</formula>
    </cfRule>
    <cfRule type="expression" dxfId="554" priority="873" stopIfTrue="1">
      <formula>AND(task_end&gt;=BZ$5,task_start&lt;CB$5)</formula>
    </cfRule>
  </conditionalFormatting>
  <conditionalFormatting sqref="DZ18:DZ33 EG18:EG33 EN18:EN33 EU18:EU33 FB18:FB33 FI18:FI33 FP18:FP33 FW18:FW33 GD18:GD33 GK18:GK33 GR18:GR33 GY18:GY33 HF18:HF33 HM18:HM33 HT18:HT33 IA18:IA33 IH18:IH33 IO18:IO33 IV18:IV33 JC18:JC33 JJ18:JJ33 JQ18:JQ33 JX18:JX33 KE18:KE33 KL18:KL33 KS18:KS33 KZ18:KZ33 LG18:LG33 LN18:LN33 LU18:LU33 MB18:MB33 MI18:MI33 MP18:MP33 MW18:MW33 MW38 MW36 MP38 MP36 MI38 MI36 MB38 MB36 LU38 LU36 LN38 LN36 LG38 LG36 KZ38 KZ36 KS38 KS36 KL38 KL36 KE38 KE36 JX38 JX36 JQ38 JQ36 JJ38 JJ36 JC38 JC36 IV38 IV36 IO38 IO36 IH38 IH36 IA38 IA36 HT38 HT36 HM38 HM36 HF38 HF36 GY38 GY36 GR38 GR36 GK38 GK36 GD38 GD36 FW38 FW36 FP38 FP36 FI38 FI36 FB38 FB36 EU38 EU36 EN38 EN36 EG38 EG36 DZ38 DZ36 DZ41:DZ43 EG41:EG43 EN41:EN43 EU41:EU43 FB41:FB43 FI41:FI43 FP41:FP43 FW41:FW43 GD41:GD43 GK41:GK43 GR41:GR43 GY41:GY43 HF41:HF43 HM41:HM43 HT41:HT43 IA41:IA43 IH41:IH43 IO41:IO43 IV41:IV43 JC41:JC43 JJ41:JJ43 JQ41:JQ43 JX41:JX43 KE41:KE43 KL41:KL43 KS41:KS43 KZ41:KZ43 LG41:LG43 LN41:LN43 LU41:LU43 MB41:MB43 MI41:MI43 MP41:MP43 MW41:MW43 MW61:MW88 MP61:MP88 MI61:MI88 MB61:MB88 LU61:LU88 LN61:LN88 LG61:LG88 KZ61:KZ88 KS61:KS88 KL61:KL88 KE61:KE88 JX61:JX88 JQ61:JQ88 JJ61:JJ88 JC61:JC88 IV61:IV88 IO61:IO88 IH61:IH88 IA61:IA88 HT61:HT88 HM61:HM88 HF61:HF88 GY61:GY88 GR61:GR88 GK61:GK88 GD61:GD88 FW61:FW88 FP61:FP88 FI61:FI88 FB61:FB88 EU61:EU88 EN61:EN88 EG61:EG88 DZ61:DZ88 MW47:MW58 MP47:MP58 MI47:MI58 MB47:MB58 LU47:LU58 LN47:LN58 LG47:LG58 KZ47:KZ58 KS47:KS58 KL47:KL58 KE47:KE58 JX47:JX58 JQ47:JQ58 JJ47:JJ58 JC47:JC58 IV47:IV58 IO47:IO58 IH47:IH58 IA47:IA58 HT47:HT58 HM47:HM58 HF47:HF58 GY47:GY58 GR47:GR58 GK47:GK58 GD47:GD58 FW47:FW58 FP47:FP58 FI47:FI58 FB47:FB58 EU47:EU58 EN47:EN58 EG47:EG58 DZ47:DZ58 DZ109 EG109 EN109 EU109 FB109 FI109 FP109 FW109 GD109 GK109 GR109 GY109 HF109 HM109 HT109 IA109 IH109 IO109 IV109 JC109 JJ109 JQ109 JX109 KE109 KL109 KS109 KZ109 LG109 LN109 LU109 MB109 MI109 MP109 MW109 MW112:MW114 MP112:MP114 MI112:MI114 MB112:MB114 LU112:LU114 LN112:LN114 LG112:LG114 KZ112:KZ114 KS112:KS114 KL112:KL114 KE112:KE114 JX112:JX114 JQ112:JQ114 JJ112:JJ114 JC112:JC114 IV112:IV114 IO112:IO114 IH112:IH114 IA112:IA114 HT112:HT114 HM112:HM114 HF112:HF114 GY112:GY114 GR112:GR114 GK112:GK114 GD112:GD114 FW112:FW114 FP112:FP114 FI112:FI114 FB112:FB114 EU112:EU114 EN112:EN114 EG112:EG114 DZ112:DZ114">
    <cfRule type="expression" dxfId="553" priority="1033">
      <formula>AND(TODAY()&gt;=DZ$5,TODAY()&lt;MX$5)</formula>
    </cfRule>
  </conditionalFormatting>
  <conditionalFormatting sqref="DZ18:DZ33 EG18:EG33 EN18:EN33 EU18:EU33 FB18:FB33 FI18:FI33 FP18:FP33 FW18:FW33 GD18:GD33 GK18:GK33 GR18:GR33 GY18:GY33 HF18:HF33 HM18:HM33 HT18:HT33 IA18:IA33 IH18:IH33 IO18:IO33 IV18:IV33 JC18:JC33 JJ18:JJ33 JQ18:JQ33 JX18:JX33 KE18:KE33 KL18:KL33 KS18:KS33 KZ18:KZ33 LG18:LG33 LN18:LN33 LU18:LU33 MB18:MB33 MI18:MI33 MP18:MP33 MW18:MW33 MW38 MW36 MP38 MP36 MI38 MI36 MB38 MB36 LU38 LU36 LN38 LN36 LG38 LG36 KZ38 KZ36 KS38 KS36 KL38 KL36 KE38 KE36 JX38 JX36 JQ38 JQ36 JJ38 JJ36 JC38 JC36 IV38 IV36 IO38 IO36 IH38 IH36 IA38 IA36 HT38 HT36 HM38 HM36 HF38 HF36 GY38 GY36 GR38 GR36 GK38 GK36 GD38 GD36 FW38 FW36 FP38 FP36 FI38 FI36 FB38 FB36 EU38 EU36 EN38 EN36 EG38 EG36 DZ38 DZ36 DZ41:DZ43 EG41:EG43 EN41:EN43 EU41:EU43 FB41:FB43 FI41:FI43 FP41:FP43 FW41:FW43 GD41:GD43 GK41:GK43 GR41:GR43 GY41:GY43 HF41:HF43 HM41:HM43 HT41:HT43 IA41:IA43 IH41:IH43 IO41:IO43 IV41:IV43 JC41:JC43 JJ41:JJ43 JQ41:JQ43 JX41:JX43 KE41:KE43 KL41:KL43 KS41:KS43 KZ41:KZ43 LG41:LG43 LN41:LN43 LU41:LU43 MB41:MB43 MI41:MI43 MP41:MP43 MW41:MW43 MW61:MW88 MP61:MP88 MI61:MI88 MB61:MB88 LU61:LU88 LN61:LN88 LG61:LG88 KZ61:KZ88 KS61:KS88 KL61:KL88 KE61:KE88 JX61:JX88 JQ61:JQ88 JJ61:JJ88 JC61:JC88 IV61:IV88 IO61:IO88 IH61:IH88 IA61:IA88 HT61:HT88 HM61:HM88 HF61:HF88 GY61:GY88 GR61:GR88 GK61:GK88 GD61:GD88 FW61:FW88 FP61:FP88 FI61:FI88 FB61:FB88 EU61:EU88 EN61:EN88 EG61:EG88 DZ61:DZ88 MW47:MW58 MP47:MP58 MI47:MI58 MB47:MB58 LU47:LU58 LN47:LN58 LG47:LG58 KZ47:KZ58 KS47:KS58 KL47:KL58 KE47:KE58 JX47:JX58 JQ47:JQ58 JJ47:JJ58 JC47:JC58 IV47:IV58 IO47:IO58 IH47:IH58 IA47:IA58 HT47:HT58 HM47:HM58 HF47:HF58 GY47:GY58 GR47:GR58 GK47:GK58 GD47:GD58 FW47:FW58 FP47:FP58 FI47:FI58 FB47:FB58 EU47:EU58 EN47:EN58 EG47:EG58 DZ47:DZ58 DZ109 EG109 EN109 EU109 FB109 FI109 FP109 FW109 GD109 GK109 GR109 GY109 HF109 HM109 HT109 IA109 IH109 IO109 IV109 JC109 JJ109 JQ109 JX109 KE109 KL109 KS109 KZ109 LG109 LN109 LU109 MB109 MI109 MP109 MW109 MW112:MW114 MP112:MP114 MI112:MI114 MB112:MB114 LU112:LU114 LN112:LN114 LG112:LG114 KZ112:KZ114 KS112:KS114 KL112:KL114 KE112:KE114 JX112:JX114 JQ112:JQ114 JJ112:JJ114 JC112:JC114 IV112:IV114 IO112:IO114 IH112:IH114 IA112:IA114 HT112:HT114 HM112:HM114 HF112:HF114 GY112:GY114 GR112:GR114 GK112:GK114 GD112:GD114 FW112:FW114 FP112:FP114 FI112:FI114 FB112:FB114 EU112:EU114 EN112:EN114 EG112:EG114 DZ112:DZ114">
    <cfRule type="expression" dxfId="552" priority="1041" stopIfTrue="1">
      <formula>AND(task_end&gt;=DZ$5,task_start&lt;MX$5)</formula>
    </cfRule>
  </conditionalFormatting>
  <conditionalFormatting sqref="EA113:EG114">
    <cfRule type="expression" dxfId="551" priority="859">
      <formula>AND(task_start&lt;=EA$5,ROUNDDOWN((task_end-task_start+1)*task_progress,0)+task_start-1&gt;=EA$5)</formula>
    </cfRule>
  </conditionalFormatting>
  <conditionalFormatting sqref="EA5:EF17">
    <cfRule type="expression" dxfId="550" priority="855">
      <formula>AND(TODAY()&gt;=EA$5,TODAY()&lt;EB$5)</formula>
    </cfRule>
  </conditionalFormatting>
  <conditionalFormatting sqref="EA7:EF17">
    <cfRule type="expression" dxfId="549" priority="854" stopIfTrue="1">
      <formula>AND(task_end&gt;=EA$5,task_start&lt;EB$5)</formula>
    </cfRule>
  </conditionalFormatting>
  <conditionalFormatting sqref="EA7:EG17">
    <cfRule type="expression" dxfId="548" priority="856">
      <formula>AND(task_start&lt;=EA$5,ROUNDDOWN((task_end-task_start+1)*task_progress,0)+task_start-1&gt;=EA$5)</formula>
    </cfRule>
  </conditionalFormatting>
  <conditionalFormatting sqref="EG5:EG17">
    <cfRule type="expression" dxfId="547" priority="857">
      <formula>AND(TODAY()&gt;=EG$5,TODAY()&lt;NS$5)</formula>
    </cfRule>
  </conditionalFormatting>
  <conditionalFormatting sqref="EG7:EG17">
    <cfRule type="expression" dxfId="546" priority="858" stopIfTrue="1">
      <formula>AND(task_end&gt;=EG$5,task_start&lt;NS$5)</formula>
    </cfRule>
  </conditionalFormatting>
  <conditionalFormatting sqref="EA87:EG88 EA109:EG109 EA112:EG112">
    <cfRule type="expression" dxfId="545" priority="853">
      <formula>AND(task_start&lt;=EA$5,ROUNDDOWN((task_end-task_start+1)*task_progress,0)+task_start-1&gt;=EA$5)</formula>
    </cfRule>
  </conditionalFormatting>
  <conditionalFormatting sqref="EA23:EG23">
    <cfRule type="expression" dxfId="544" priority="852">
      <formula>AND(task_start&lt;=EA$5,ROUNDDOWN((task_end-task_start+1)*task_progress,0)+task_start-1&gt;=EA$5)</formula>
    </cfRule>
  </conditionalFormatting>
  <conditionalFormatting sqref="EA29:EG30">
    <cfRule type="expression" dxfId="543" priority="851">
      <formula>AND(task_start&lt;=EA$5,ROUNDDOWN((task_end-task_start+1)*task_progress,0)+task_start-1&gt;=EA$5)</formula>
    </cfRule>
  </conditionalFormatting>
  <conditionalFormatting sqref="EH113:EN114">
    <cfRule type="expression" dxfId="542" priority="846">
      <formula>AND(task_start&lt;=EH$5,ROUNDDOWN((task_end-task_start+1)*task_progress,0)+task_start-1&gt;=EH$5)</formula>
    </cfRule>
  </conditionalFormatting>
  <conditionalFormatting sqref="EH5:EM17">
    <cfRule type="expression" dxfId="541" priority="842">
      <formula>AND(TODAY()&gt;=EH$5,TODAY()&lt;EI$5)</formula>
    </cfRule>
  </conditionalFormatting>
  <conditionalFormatting sqref="EH7:EM17">
    <cfRule type="expression" dxfId="540" priority="841" stopIfTrue="1">
      <formula>AND(task_end&gt;=EH$5,task_start&lt;EI$5)</formula>
    </cfRule>
  </conditionalFormatting>
  <conditionalFormatting sqref="EH7:EN17">
    <cfRule type="expression" dxfId="539" priority="843">
      <formula>AND(task_start&lt;=EH$5,ROUNDDOWN((task_end-task_start+1)*task_progress,0)+task_start-1&gt;=EH$5)</formula>
    </cfRule>
  </conditionalFormatting>
  <conditionalFormatting sqref="EN5:EN17">
    <cfRule type="expression" dxfId="538" priority="844">
      <formula>AND(TODAY()&gt;=EN$5,TODAY()&lt;NZ$5)</formula>
    </cfRule>
  </conditionalFormatting>
  <conditionalFormatting sqref="EN7:EN17">
    <cfRule type="expression" dxfId="537" priority="845" stopIfTrue="1">
      <formula>AND(task_end&gt;=EN$5,task_start&lt;NZ$5)</formula>
    </cfRule>
  </conditionalFormatting>
  <conditionalFormatting sqref="EH87:EN88 EH109:EN109 EH112:EN112">
    <cfRule type="expression" dxfId="536" priority="840">
      <formula>AND(task_start&lt;=EH$5,ROUNDDOWN((task_end-task_start+1)*task_progress,0)+task_start-1&gt;=EH$5)</formula>
    </cfRule>
  </conditionalFormatting>
  <conditionalFormatting sqref="EH23:EN23">
    <cfRule type="expression" dxfId="535" priority="839">
      <formula>AND(task_start&lt;=EH$5,ROUNDDOWN((task_end-task_start+1)*task_progress,0)+task_start-1&gt;=EH$5)</formula>
    </cfRule>
  </conditionalFormatting>
  <conditionalFormatting sqref="EH29:EN30">
    <cfRule type="expression" dxfId="534" priority="838">
      <formula>AND(task_start&lt;=EH$5,ROUNDDOWN((task_end-task_start+1)*task_progress,0)+task_start-1&gt;=EH$5)</formula>
    </cfRule>
  </conditionalFormatting>
  <conditionalFormatting sqref="EO113:EU114">
    <cfRule type="expression" dxfId="533" priority="833">
      <formula>AND(task_start&lt;=EO$5,ROUNDDOWN((task_end-task_start+1)*task_progress,0)+task_start-1&gt;=EO$5)</formula>
    </cfRule>
  </conditionalFormatting>
  <conditionalFormatting sqref="EO5:ET17">
    <cfRule type="expression" dxfId="532" priority="829">
      <formula>AND(TODAY()&gt;=EO$5,TODAY()&lt;EP$5)</formula>
    </cfRule>
  </conditionalFormatting>
  <conditionalFormatting sqref="EO7:ET17">
    <cfRule type="expression" dxfId="531" priority="828" stopIfTrue="1">
      <formula>AND(task_end&gt;=EO$5,task_start&lt;EP$5)</formula>
    </cfRule>
  </conditionalFormatting>
  <conditionalFormatting sqref="EO7:EU17">
    <cfRule type="expression" dxfId="530" priority="830">
      <formula>AND(task_start&lt;=EO$5,ROUNDDOWN((task_end-task_start+1)*task_progress,0)+task_start-1&gt;=EO$5)</formula>
    </cfRule>
  </conditionalFormatting>
  <conditionalFormatting sqref="EU5:EU17">
    <cfRule type="expression" dxfId="529" priority="831">
      <formula>AND(TODAY()&gt;=EU$5,TODAY()&lt;OG$5)</formula>
    </cfRule>
  </conditionalFormatting>
  <conditionalFormatting sqref="EU7:EU17">
    <cfRule type="expression" dxfId="528" priority="832" stopIfTrue="1">
      <formula>AND(task_end&gt;=EU$5,task_start&lt;OG$5)</formula>
    </cfRule>
  </conditionalFormatting>
  <conditionalFormatting sqref="EO87:EU88 EO109:EU109 EO112:EU112">
    <cfRule type="expression" dxfId="527" priority="827">
      <formula>AND(task_start&lt;=EO$5,ROUNDDOWN((task_end-task_start+1)*task_progress,0)+task_start-1&gt;=EO$5)</formula>
    </cfRule>
  </conditionalFormatting>
  <conditionalFormatting sqref="EO23:EU23">
    <cfRule type="expression" dxfId="526" priority="826">
      <formula>AND(task_start&lt;=EO$5,ROUNDDOWN((task_end-task_start+1)*task_progress,0)+task_start-1&gt;=EO$5)</formula>
    </cfRule>
  </conditionalFormatting>
  <conditionalFormatting sqref="EO29:EU30">
    <cfRule type="expression" dxfId="525" priority="825">
      <formula>AND(task_start&lt;=EO$5,ROUNDDOWN((task_end-task_start+1)*task_progress,0)+task_start-1&gt;=EO$5)</formula>
    </cfRule>
  </conditionalFormatting>
  <conditionalFormatting sqref="EV113:FB114">
    <cfRule type="expression" dxfId="524" priority="820">
      <formula>AND(task_start&lt;=EV$5,ROUNDDOWN((task_end-task_start+1)*task_progress,0)+task_start-1&gt;=EV$5)</formula>
    </cfRule>
  </conditionalFormatting>
  <conditionalFormatting sqref="EV5:FA17">
    <cfRule type="expression" dxfId="523" priority="816">
      <formula>AND(TODAY()&gt;=EV$5,TODAY()&lt;EW$5)</formula>
    </cfRule>
  </conditionalFormatting>
  <conditionalFormatting sqref="EV7:FA17">
    <cfRule type="expression" dxfId="522" priority="815" stopIfTrue="1">
      <formula>AND(task_end&gt;=EV$5,task_start&lt;EW$5)</formula>
    </cfRule>
  </conditionalFormatting>
  <conditionalFormatting sqref="EV7:FB17">
    <cfRule type="expression" dxfId="521" priority="817">
      <formula>AND(task_start&lt;=EV$5,ROUNDDOWN((task_end-task_start+1)*task_progress,0)+task_start-1&gt;=EV$5)</formula>
    </cfRule>
  </conditionalFormatting>
  <conditionalFormatting sqref="FB5:FB17">
    <cfRule type="expression" dxfId="520" priority="818">
      <formula>AND(TODAY()&gt;=FB$5,TODAY()&lt;ON$5)</formula>
    </cfRule>
  </conditionalFormatting>
  <conditionalFormatting sqref="FB7:FB17">
    <cfRule type="expression" dxfId="519" priority="819" stopIfTrue="1">
      <formula>AND(task_end&gt;=FB$5,task_start&lt;ON$5)</formula>
    </cfRule>
  </conditionalFormatting>
  <conditionalFormatting sqref="EV87:FB88 EV109:FB109 EV112:FB112">
    <cfRule type="expression" dxfId="518" priority="814">
      <formula>AND(task_start&lt;=EV$5,ROUNDDOWN((task_end-task_start+1)*task_progress,0)+task_start-1&gt;=EV$5)</formula>
    </cfRule>
  </conditionalFormatting>
  <conditionalFormatting sqref="EV23:FB23">
    <cfRule type="expression" dxfId="517" priority="813">
      <formula>AND(task_start&lt;=EV$5,ROUNDDOWN((task_end-task_start+1)*task_progress,0)+task_start-1&gt;=EV$5)</formula>
    </cfRule>
  </conditionalFormatting>
  <conditionalFormatting sqref="EV29:FB30">
    <cfRule type="expression" dxfId="516" priority="812">
      <formula>AND(task_start&lt;=EV$5,ROUNDDOWN((task_end-task_start+1)*task_progress,0)+task_start-1&gt;=EV$5)</formula>
    </cfRule>
  </conditionalFormatting>
  <conditionalFormatting sqref="FC113:FI114">
    <cfRule type="expression" dxfId="515" priority="807">
      <formula>AND(task_start&lt;=FC$5,ROUNDDOWN((task_end-task_start+1)*task_progress,0)+task_start-1&gt;=FC$5)</formula>
    </cfRule>
  </conditionalFormatting>
  <conditionalFormatting sqref="FC5:FH17">
    <cfRule type="expression" dxfId="514" priority="803">
      <formula>AND(TODAY()&gt;=FC$5,TODAY()&lt;FD$5)</formula>
    </cfRule>
  </conditionalFormatting>
  <conditionalFormatting sqref="FC7:FH17">
    <cfRule type="expression" dxfId="513" priority="802" stopIfTrue="1">
      <formula>AND(task_end&gt;=FC$5,task_start&lt;FD$5)</formula>
    </cfRule>
  </conditionalFormatting>
  <conditionalFormatting sqref="FC7:FI17">
    <cfRule type="expression" dxfId="512" priority="804">
      <formula>AND(task_start&lt;=FC$5,ROUNDDOWN((task_end-task_start+1)*task_progress,0)+task_start-1&gt;=FC$5)</formula>
    </cfRule>
  </conditionalFormatting>
  <conditionalFormatting sqref="FI5:FI17">
    <cfRule type="expression" dxfId="511" priority="805">
      <formula>AND(TODAY()&gt;=FI$5,TODAY()&lt;OU$5)</formula>
    </cfRule>
  </conditionalFormatting>
  <conditionalFormatting sqref="FI7:FI17">
    <cfRule type="expression" dxfId="510" priority="806" stopIfTrue="1">
      <formula>AND(task_end&gt;=FI$5,task_start&lt;OU$5)</formula>
    </cfRule>
  </conditionalFormatting>
  <conditionalFormatting sqref="FC87:FI88 FC109:FI109 FC112:FI112">
    <cfRule type="expression" dxfId="509" priority="801">
      <formula>AND(task_start&lt;=FC$5,ROUNDDOWN((task_end-task_start+1)*task_progress,0)+task_start-1&gt;=FC$5)</formula>
    </cfRule>
  </conditionalFormatting>
  <conditionalFormatting sqref="FC23:FI23">
    <cfRule type="expression" dxfId="508" priority="800">
      <formula>AND(task_start&lt;=FC$5,ROUNDDOWN((task_end-task_start+1)*task_progress,0)+task_start-1&gt;=FC$5)</formula>
    </cfRule>
  </conditionalFormatting>
  <conditionalFormatting sqref="FC29:FI30">
    <cfRule type="expression" dxfId="507" priority="799">
      <formula>AND(task_start&lt;=FC$5,ROUNDDOWN((task_end-task_start+1)*task_progress,0)+task_start-1&gt;=FC$5)</formula>
    </cfRule>
  </conditionalFormatting>
  <conditionalFormatting sqref="FJ113:FP114">
    <cfRule type="expression" dxfId="506" priority="794">
      <formula>AND(task_start&lt;=FJ$5,ROUNDDOWN((task_end-task_start+1)*task_progress,0)+task_start-1&gt;=FJ$5)</formula>
    </cfRule>
  </conditionalFormatting>
  <conditionalFormatting sqref="FJ5:FO17">
    <cfRule type="expression" dxfId="505" priority="790">
      <formula>AND(TODAY()&gt;=FJ$5,TODAY()&lt;FK$5)</formula>
    </cfRule>
  </conditionalFormatting>
  <conditionalFormatting sqref="FJ7:FO17">
    <cfRule type="expression" dxfId="504" priority="789" stopIfTrue="1">
      <formula>AND(task_end&gt;=FJ$5,task_start&lt;FK$5)</formula>
    </cfRule>
  </conditionalFormatting>
  <conditionalFormatting sqref="FJ7:FP17">
    <cfRule type="expression" dxfId="503" priority="791">
      <formula>AND(task_start&lt;=FJ$5,ROUNDDOWN((task_end-task_start+1)*task_progress,0)+task_start-1&gt;=FJ$5)</formula>
    </cfRule>
  </conditionalFormatting>
  <conditionalFormatting sqref="FP5:FP17">
    <cfRule type="expression" dxfId="502" priority="792">
      <formula>AND(TODAY()&gt;=FP$5,TODAY()&lt;PB$5)</formula>
    </cfRule>
  </conditionalFormatting>
  <conditionalFormatting sqref="FP7:FP17">
    <cfRule type="expression" dxfId="501" priority="793" stopIfTrue="1">
      <formula>AND(task_end&gt;=FP$5,task_start&lt;PB$5)</formula>
    </cfRule>
  </conditionalFormatting>
  <conditionalFormatting sqref="FJ87:FP88 FJ109:FP109 FJ112:FP112">
    <cfRule type="expression" dxfId="500" priority="788">
      <formula>AND(task_start&lt;=FJ$5,ROUNDDOWN((task_end-task_start+1)*task_progress,0)+task_start-1&gt;=FJ$5)</formula>
    </cfRule>
  </conditionalFormatting>
  <conditionalFormatting sqref="FJ23:FP23">
    <cfRule type="expression" dxfId="499" priority="787">
      <formula>AND(task_start&lt;=FJ$5,ROUNDDOWN((task_end-task_start+1)*task_progress,0)+task_start-1&gt;=FJ$5)</formula>
    </cfRule>
  </conditionalFormatting>
  <conditionalFormatting sqref="FJ29:FP30">
    <cfRule type="expression" dxfId="498" priority="786">
      <formula>AND(task_start&lt;=FJ$5,ROUNDDOWN((task_end-task_start+1)*task_progress,0)+task_start-1&gt;=FJ$5)</formula>
    </cfRule>
  </conditionalFormatting>
  <conditionalFormatting sqref="FQ113:FW114">
    <cfRule type="expression" dxfId="497" priority="781">
      <formula>AND(task_start&lt;=FQ$5,ROUNDDOWN((task_end-task_start+1)*task_progress,0)+task_start-1&gt;=FQ$5)</formula>
    </cfRule>
  </conditionalFormatting>
  <conditionalFormatting sqref="FQ5:FV17">
    <cfRule type="expression" dxfId="496" priority="777">
      <formula>AND(TODAY()&gt;=FQ$5,TODAY()&lt;FR$5)</formula>
    </cfRule>
  </conditionalFormatting>
  <conditionalFormatting sqref="FQ7:FV17">
    <cfRule type="expression" dxfId="495" priority="776" stopIfTrue="1">
      <formula>AND(task_end&gt;=FQ$5,task_start&lt;FR$5)</formula>
    </cfRule>
  </conditionalFormatting>
  <conditionalFormatting sqref="FQ7:FW17">
    <cfRule type="expression" dxfId="494" priority="778">
      <formula>AND(task_start&lt;=FQ$5,ROUNDDOWN((task_end-task_start+1)*task_progress,0)+task_start-1&gt;=FQ$5)</formula>
    </cfRule>
  </conditionalFormatting>
  <conditionalFormatting sqref="FW5:FW17">
    <cfRule type="expression" dxfId="493" priority="779">
      <formula>AND(TODAY()&gt;=FW$5,TODAY()&lt;PI$5)</formula>
    </cfRule>
  </conditionalFormatting>
  <conditionalFormatting sqref="FW7:FW17">
    <cfRule type="expression" dxfId="492" priority="780" stopIfTrue="1">
      <formula>AND(task_end&gt;=FW$5,task_start&lt;PI$5)</formula>
    </cfRule>
  </conditionalFormatting>
  <conditionalFormatting sqref="FQ87:FW88 FQ109:FW109 FQ112:FW112">
    <cfRule type="expression" dxfId="491" priority="775">
      <formula>AND(task_start&lt;=FQ$5,ROUNDDOWN((task_end-task_start+1)*task_progress,0)+task_start-1&gt;=FQ$5)</formula>
    </cfRule>
  </conditionalFormatting>
  <conditionalFormatting sqref="FQ23:FW23">
    <cfRule type="expression" dxfId="490" priority="774">
      <formula>AND(task_start&lt;=FQ$5,ROUNDDOWN((task_end-task_start+1)*task_progress,0)+task_start-1&gt;=FQ$5)</formula>
    </cfRule>
  </conditionalFormatting>
  <conditionalFormatting sqref="FQ29:FW30">
    <cfRule type="expression" dxfId="489" priority="773">
      <formula>AND(task_start&lt;=FQ$5,ROUNDDOWN((task_end-task_start+1)*task_progress,0)+task_start-1&gt;=FQ$5)</formula>
    </cfRule>
  </conditionalFormatting>
  <conditionalFormatting sqref="FX113:GD114">
    <cfRule type="expression" dxfId="488" priority="768">
      <formula>AND(task_start&lt;=FX$5,ROUNDDOWN((task_end-task_start+1)*task_progress,0)+task_start-1&gt;=FX$5)</formula>
    </cfRule>
  </conditionalFormatting>
  <conditionalFormatting sqref="FX5:GC17">
    <cfRule type="expression" dxfId="487" priority="764">
      <formula>AND(TODAY()&gt;=FX$5,TODAY()&lt;FY$5)</formula>
    </cfRule>
  </conditionalFormatting>
  <conditionalFormatting sqref="FX7:GC17">
    <cfRule type="expression" dxfId="486" priority="763" stopIfTrue="1">
      <formula>AND(task_end&gt;=FX$5,task_start&lt;FY$5)</formula>
    </cfRule>
  </conditionalFormatting>
  <conditionalFormatting sqref="FX7:GD17">
    <cfRule type="expression" dxfId="485" priority="765">
      <formula>AND(task_start&lt;=FX$5,ROUNDDOWN((task_end-task_start+1)*task_progress,0)+task_start-1&gt;=FX$5)</formula>
    </cfRule>
  </conditionalFormatting>
  <conditionalFormatting sqref="GD5:GD17">
    <cfRule type="expression" dxfId="484" priority="766">
      <formula>AND(TODAY()&gt;=GD$5,TODAY()&lt;PP$5)</formula>
    </cfRule>
  </conditionalFormatting>
  <conditionalFormatting sqref="GD7:GD17">
    <cfRule type="expression" dxfId="483" priority="767" stopIfTrue="1">
      <formula>AND(task_end&gt;=GD$5,task_start&lt;PP$5)</formula>
    </cfRule>
  </conditionalFormatting>
  <conditionalFormatting sqref="FX87:GD88 FX109:GD109 FX112:GD112">
    <cfRule type="expression" dxfId="482" priority="762">
      <formula>AND(task_start&lt;=FX$5,ROUNDDOWN((task_end-task_start+1)*task_progress,0)+task_start-1&gt;=FX$5)</formula>
    </cfRule>
  </conditionalFormatting>
  <conditionalFormatting sqref="FX23:GD23">
    <cfRule type="expression" dxfId="481" priority="761">
      <formula>AND(task_start&lt;=FX$5,ROUNDDOWN((task_end-task_start+1)*task_progress,0)+task_start-1&gt;=FX$5)</formula>
    </cfRule>
  </conditionalFormatting>
  <conditionalFormatting sqref="FX29:GD30">
    <cfRule type="expression" dxfId="480" priority="760">
      <formula>AND(task_start&lt;=FX$5,ROUNDDOWN((task_end-task_start+1)*task_progress,0)+task_start-1&gt;=FX$5)</formula>
    </cfRule>
  </conditionalFormatting>
  <conditionalFormatting sqref="GE113:GK114">
    <cfRule type="expression" dxfId="479" priority="755">
      <formula>AND(task_start&lt;=GE$5,ROUNDDOWN((task_end-task_start+1)*task_progress,0)+task_start-1&gt;=GE$5)</formula>
    </cfRule>
  </conditionalFormatting>
  <conditionalFormatting sqref="GE5:GJ17">
    <cfRule type="expression" dxfId="478" priority="751">
      <formula>AND(TODAY()&gt;=GE$5,TODAY()&lt;GF$5)</formula>
    </cfRule>
  </conditionalFormatting>
  <conditionalFormatting sqref="GE7:GJ17">
    <cfRule type="expression" dxfId="477" priority="750" stopIfTrue="1">
      <formula>AND(task_end&gt;=GE$5,task_start&lt;GF$5)</formula>
    </cfRule>
  </conditionalFormatting>
  <conditionalFormatting sqref="GE7:GK17">
    <cfRule type="expression" dxfId="476" priority="752">
      <formula>AND(task_start&lt;=GE$5,ROUNDDOWN((task_end-task_start+1)*task_progress,0)+task_start-1&gt;=GE$5)</formula>
    </cfRule>
  </conditionalFormatting>
  <conditionalFormatting sqref="GK5:GK17">
    <cfRule type="expression" dxfId="475" priority="753">
      <formula>AND(TODAY()&gt;=GK$5,TODAY()&lt;PW$5)</formula>
    </cfRule>
  </conditionalFormatting>
  <conditionalFormatting sqref="GK7:GK17">
    <cfRule type="expression" dxfId="474" priority="754" stopIfTrue="1">
      <formula>AND(task_end&gt;=GK$5,task_start&lt;PW$5)</formula>
    </cfRule>
  </conditionalFormatting>
  <conditionalFormatting sqref="GE87:GK88 GE109:GK109 GE112:GK112">
    <cfRule type="expression" dxfId="473" priority="749">
      <formula>AND(task_start&lt;=GE$5,ROUNDDOWN((task_end-task_start+1)*task_progress,0)+task_start-1&gt;=GE$5)</formula>
    </cfRule>
  </conditionalFormatting>
  <conditionalFormatting sqref="GE23:GK23">
    <cfRule type="expression" dxfId="472" priority="748">
      <formula>AND(task_start&lt;=GE$5,ROUNDDOWN((task_end-task_start+1)*task_progress,0)+task_start-1&gt;=GE$5)</formula>
    </cfRule>
  </conditionalFormatting>
  <conditionalFormatting sqref="GE29:GK30">
    <cfRule type="expression" dxfId="471" priority="747">
      <formula>AND(task_start&lt;=GE$5,ROUNDDOWN((task_end-task_start+1)*task_progress,0)+task_start-1&gt;=GE$5)</formula>
    </cfRule>
  </conditionalFormatting>
  <conditionalFormatting sqref="GL113:GR114">
    <cfRule type="expression" dxfId="470" priority="742">
      <formula>AND(task_start&lt;=GL$5,ROUNDDOWN((task_end-task_start+1)*task_progress,0)+task_start-1&gt;=GL$5)</formula>
    </cfRule>
  </conditionalFormatting>
  <conditionalFormatting sqref="GL5:GQ17">
    <cfRule type="expression" dxfId="469" priority="738">
      <formula>AND(TODAY()&gt;=GL$5,TODAY()&lt;GM$5)</formula>
    </cfRule>
  </conditionalFormatting>
  <conditionalFormatting sqref="GL7:GQ17">
    <cfRule type="expression" dxfId="468" priority="737" stopIfTrue="1">
      <formula>AND(task_end&gt;=GL$5,task_start&lt;GM$5)</formula>
    </cfRule>
  </conditionalFormatting>
  <conditionalFormatting sqref="GL7:GR17">
    <cfRule type="expression" dxfId="467" priority="739">
      <formula>AND(task_start&lt;=GL$5,ROUNDDOWN((task_end-task_start+1)*task_progress,0)+task_start-1&gt;=GL$5)</formula>
    </cfRule>
  </conditionalFormatting>
  <conditionalFormatting sqref="GR5:GR17">
    <cfRule type="expression" dxfId="466" priority="740">
      <formula>AND(TODAY()&gt;=GR$5,TODAY()&lt;QD$5)</formula>
    </cfRule>
  </conditionalFormatting>
  <conditionalFormatting sqref="GR7:GR17">
    <cfRule type="expression" dxfId="465" priority="741" stopIfTrue="1">
      <formula>AND(task_end&gt;=GR$5,task_start&lt;QD$5)</formula>
    </cfRule>
  </conditionalFormatting>
  <conditionalFormatting sqref="GL87:GR88 GL109:GR109 GL112:GR112">
    <cfRule type="expression" dxfId="464" priority="736">
      <formula>AND(task_start&lt;=GL$5,ROUNDDOWN((task_end-task_start+1)*task_progress,0)+task_start-1&gt;=GL$5)</formula>
    </cfRule>
  </conditionalFormatting>
  <conditionalFormatting sqref="GL23:GR23">
    <cfRule type="expression" dxfId="463" priority="735">
      <formula>AND(task_start&lt;=GL$5,ROUNDDOWN((task_end-task_start+1)*task_progress,0)+task_start-1&gt;=GL$5)</formula>
    </cfRule>
  </conditionalFormatting>
  <conditionalFormatting sqref="GL29:GR30">
    <cfRule type="expression" dxfId="462" priority="734">
      <formula>AND(task_start&lt;=GL$5,ROUNDDOWN((task_end-task_start+1)*task_progress,0)+task_start-1&gt;=GL$5)</formula>
    </cfRule>
  </conditionalFormatting>
  <conditionalFormatting sqref="GS113:GY114">
    <cfRule type="expression" dxfId="461" priority="729">
      <formula>AND(task_start&lt;=GS$5,ROUNDDOWN((task_end-task_start+1)*task_progress,0)+task_start-1&gt;=GS$5)</formula>
    </cfRule>
  </conditionalFormatting>
  <conditionalFormatting sqref="GS5:GX17">
    <cfRule type="expression" dxfId="460" priority="725">
      <formula>AND(TODAY()&gt;=GS$5,TODAY()&lt;GT$5)</formula>
    </cfRule>
  </conditionalFormatting>
  <conditionalFormatting sqref="GS7:GX17">
    <cfRule type="expression" dxfId="459" priority="724" stopIfTrue="1">
      <formula>AND(task_end&gt;=GS$5,task_start&lt;GT$5)</formula>
    </cfRule>
  </conditionalFormatting>
  <conditionalFormatting sqref="GS7:GY17">
    <cfRule type="expression" dxfId="458" priority="726">
      <formula>AND(task_start&lt;=GS$5,ROUNDDOWN((task_end-task_start+1)*task_progress,0)+task_start-1&gt;=GS$5)</formula>
    </cfRule>
  </conditionalFormatting>
  <conditionalFormatting sqref="GY5:GY17">
    <cfRule type="expression" dxfId="457" priority="727">
      <formula>AND(TODAY()&gt;=GY$5,TODAY()&lt;QK$5)</formula>
    </cfRule>
  </conditionalFormatting>
  <conditionalFormatting sqref="GY7:GY17">
    <cfRule type="expression" dxfId="456" priority="728" stopIfTrue="1">
      <formula>AND(task_end&gt;=GY$5,task_start&lt;QK$5)</formula>
    </cfRule>
  </conditionalFormatting>
  <conditionalFormatting sqref="GS87:GY88 GS109:GY109 GS112:GY112">
    <cfRule type="expression" dxfId="455" priority="723">
      <formula>AND(task_start&lt;=GS$5,ROUNDDOWN((task_end-task_start+1)*task_progress,0)+task_start-1&gt;=GS$5)</formula>
    </cfRule>
  </conditionalFormatting>
  <conditionalFormatting sqref="GS23:GY23">
    <cfRule type="expression" dxfId="454" priority="722">
      <formula>AND(task_start&lt;=GS$5,ROUNDDOWN((task_end-task_start+1)*task_progress,0)+task_start-1&gt;=GS$5)</formula>
    </cfRule>
  </conditionalFormatting>
  <conditionalFormatting sqref="GS29:GY30">
    <cfRule type="expression" dxfId="453" priority="721">
      <formula>AND(task_start&lt;=GS$5,ROUNDDOWN((task_end-task_start+1)*task_progress,0)+task_start-1&gt;=GS$5)</formula>
    </cfRule>
  </conditionalFormatting>
  <conditionalFormatting sqref="GZ113:HF114">
    <cfRule type="expression" dxfId="452" priority="716">
      <formula>AND(task_start&lt;=GZ$5,ROUNDDOWN((task_end-task_start+1)*task_progress,0)+task_start-1&gt;=GZ$5)</formula>
    </cfRule>
  </conditionalFormatting>
  <conditionalFormatting sqref="GZ5:HE17">
    <cfRule type="expression" dxfId="451" priority="712">
      <formula>AND(TODAY()&gt;=GZ$5,TODAY()&lt;HA$5)</formula>
    </cfRule>
  </conditionalFormatting>
  <conditionalFormatting sqref="GZ7:HE17">
    <cfRule type="expression" dxfId="450" priority="711" stopIfTrue="1">
      <formula>AND(task_end&gt;=GZ$5,task_start&lt;HA$5)</formula>
    </cfRule>
  </conditionalFormatting>
  <conditionalFormatting sqref="GZ7:HF17">
    <cfRule type="expression" dxfId="449" priority="713">
      <formula>AND(task_start&lt;=GZ$5,ROUNDDOWN((task_end-task_start+1)*task_progress,0)+task_start-1&gt;=GZ$5)</formula>
    </cfRule>
  </conditionalFormatting>
  <conditionalFormatting sqref="HF5:HF17">
    <cfRule type="expression" dxfId="448" priority="714">
      <formula>AND(TODAY()&gt;=HF$5,TODAY()&lt;QR$5)</formula>
    </cfRule>
  </conditionalFormatting>
  <conditionalFormatting sqref="HF7:HF17">
    <cfRule type="expression" dxfId="447" priority="715" stopIfTrue="1">
      <formula>AND(task_end&gt;=HF$5,task_start&lt;QR$5)</formula>
    </cfRule>
  </conditionalFormatting>
  <conditionalFormatting sqref="GZ87:HF88 GZ109:HF109 GZ112:HF112">
    <cfRule type="expression" dxfId="446" priority="710">
      <formula>AND(task_start&lt;=GZ$5,ROUNDDOWN((task_end-task_start+1)*task_progress,0)+task_start-1&gt;=GZ$5)</formula>
    </cfRule>
  </conditionalFormatting>
  <conditionalFormatting sqref="GZ23:HF23">
    <cfRule type="expression" dxfId="445" priority="709">
      <formula>AND(task_start&lt;=GZ$5,ROUNDDOWN((task_end-task_start+1)*task_progress,0)+task_start-1&gt;=GZ$5)</formula>
    </cfRule>
  </conditionalFormatting>
  <conditionalFormatting sqref="GZ29:HF30">
    <cfRule type="expression" dxfId="444" priority="708">
      <formula>AND(task_start&lt;=GZ$5,ROUNDDOWN((task_end-task_start+1)*task_progress,0)+task_start-1&gt;=GZ$5)</formula>
    </cfRule>
  </conditionalFormatting>
  <conditionalFormatting sqref="HG113:HM114">
    <cfRule type="expression" dxfId="443" priority="703">
      <formula>AND(task_start&lt;=HG$5,ROUNDDOWN((task_end-task_start+1)*task_progress,0)+task_start-1&gt;=HG$5)</formula>
    </cfRule>
  </conditionalFormatting>
  <conditionalFormatting sqref="HG5:HL17">
    <cfRule type="expression" dxfId="442" priority="699">
      <formula>AND(TODAY()&gt;=HG$5,TODAY()&lt;HH$5)</formula>
    </cfRule>
  </conditionalFormatting>
  <conditionalFormatting sqref="HG7:HL17">
    <cfRule type="expression" dxfId="441" priority="698" stopIfTrue="1">
      <formula>AND(task_end&gt;=HG$5,task_start&lt;HH$5)</formula>
    </cfRule>
  </conditionalFormatting>
  <conditionalFormatting sqref="HG7:HM17">
    <cfRule type="expression" dxfId="440" priority="700">
      <formula>AND(task_start&lt;=HG$5,ROUNDDOWN((task_end-task_start+1)*task_progress,0)+task_start-1&gt;=HG$5)</formula>
    </cfRule>
  </conditionalFormatting>
  <conditionalFormatting sqref="HM5:HM17">
    <cfRule type="expression" dxfId="439" priority="701">
      <formula>AND(TODAY()&gt;=HM$5,TODAY()&lt;QY$5)</formula>
    </cfRule>
  </conditionalFormatting>
  <conditionalFormatting sqref="HM7:HM17">
    <cfRule type="expression" dxfId="438" priority="702" stopIfTrue="1">
      <formula>AND(task_end&gt;=HM$5,task_start&lt;QY$5)</formula>
    </cfRule>
  </conditionalFormatting>
  <conditionalFormatting sqref="HG87:HM88 HG109:HM109 HG112:HM112">
    <cfRule type="expression" dxfId="437" priority="697">
      <formula>AND(task_start&lt;=HG$5,ROUNDDOWN((task_end-task_start+1)*task_progress,0)+task_start-1&gt;=HG$5)</formula>
    </cfRule>
  </conditionalFormatting>
  <conditionalFormatting sqref="HG23:HM23">
    <cfRule type="expression" dxfId="436" priority="696">
      <formula>AND(task_start&lt;=HG$5,ROUNDDOWN((task_end-task_start+1)*task_progress,0)+task_start-1&gt;=HG$5)</formula>
    </cfRule>
  </conditionalFormatting>
  <conditionalFormatting sqref="HG29:HM30">
    <cfRule type="expression" dxfId="435" priority="695">
      <formula>AND(task_start&lt;=HG$5,ROUNDDOWN((task_end-task_start+1)*task_progress,0)+task_start-1&gt;=HG$5)</formula>
    </cfRule>
  </conditionalFormatting>
  <conditionalFormatting sqref="HN113:HT114">
    <cfRule type="expression" dxfId="434" priority="690">
      <formula>AND(task_start&lt;=HN$5,ROUNDDOWN((task_end-task_start+1)*task_progress,0)+task_start-1&gt;=HN$5)</formula>
    </cfRule>
  </conditionalFormatting>
  <conditionalFormatting sqref="HN5:HS17">
    <cfRule type="expression" dxfId="433" priority="686">
      <formula>AND(TODAY()&gt;=HN$5,TODAY()&lt;HO$5)</formula>
    </cfRule>
  </conditionalFormatting>
  <conditionalFormatting sqref="HN7:HS17">
    <cfRule type="expression" dxfId="432" priority="685" stopIfTrue="1">
      <formula>AND(task_end&gt;=HN$5,task_start&lt;HO$5)</formula>
    </cfRule>
  </conditionalFormatting>
  <conditionalFormatting sqref="HN7:HT17">
    <cfRule type="expression" dxfId="431" priority="687">
      <formula>AND(task_start&lt;=HN$5,ROUNDDOWN((task_end-task_start+1)*task_progress,0)+task_start-1&gt;=HN$5)</formula>
    </cfRule>
  </conditionalFormatting>
  <conditionalFormatting sqref="HT5:HT17">
    <cfRule type="expression" dxfId="430" priority="688">
      <formula>AND(TODAY()&gt;=HT$5,TODAY()&lt;RF$5)</formula>
    </cfRule>
  </conditionalFormatting>
  <conditionalFormatting sqref="HT7:HT17">
    <cfRule type="expression" dxfId="429" priority="689" stopIfTrue="1">
      <formula>AND(task_end&gt;=HT$5,task_start&lt;RF$5)</formula>
    </cfRule>
  </conditionalFormatting>
  <conditionalFormatting sqref="HN87:HT88 HN109:HT109 HN112:HT112">
    <cfRule type="expression" dxfId="428" priority="684">
      <formula>AND(task_start&lt;=HN$5,ROUNDDOWN((task_end-task_start+1)*task_progress,0)+task_start-1&gt;=HN$5)</formula>
    </cfRule>
  </conditionalFormatting>
  <conditionalFormatting sqref="HN23:HT23">
    <cfRule type="expression" dxfId="427" priority="683">
      <formula>AND(task_start&lt;=HN$5,ROUNDDOWN((task_end-task_start+1)*task_progress,0)+task_start-1&gt;=HN$5)</formula>
    </cfRule>
  </conditionalFormatting>
  <conditionalFormatting sqref="HN29:HT30">
    <cfRule type="expression" dxfId="426" priority="682">
      <formula>AND(task_start&lt;=HN$5,ROUNDDOWN((task_end-task_start+1)*task_progress,0)+task_start-1&gt;=HN$5)</formula>
    </cfRule>
  </conditionalFormatting>
  <conditionalFormatting sqref="HU113:IA114">
    <cfRule type="expression" dxfId="425" priority="677">
      <formula>AND(task_start&lt;=HU$5,ROUNDDOWN((task_end-task_start+1)*task_progress,0)+task_start-1&gt;=HU$5)</formula>
    </cfRule>
  </conditionalFormatting>
  <conditionalFormatting sqref="HU5:HZ17">
    <cfRule type="expression" dxfId="424" priority="673">
      <formula>AND(TODAY()&gt;=HU$5,TODAY()&lt;HV$5)</formula>
    </cfRule>
  </conditionalFormatting>
  <conditionalFormatting sqref="HU7:HZ17">
    <cfRule type="expression" dxfId="423" priority="672" stopIfTrue="1">
      <formula>AND(task_end&gt;=HU$5,task_start&lt;HV$5)</formula>
    </cfRule>
  </conditionalFormatting>
  <conditionalFormatting sqref="HU7:IA17">
    <cfRule type="expression" dxfId="422" priority="674">
      <formula>AND(task_start&lt;=HU$5,ROUNDDOWN((task_end-task_start+1)*task_progress,0)+task_start-1&gt;=HU$5)</formula>
    </cfRule>
  </conditionalFormatting>
  <conditionalFormatting sqref="IA5:IA17">
    <cfRule type="expression" dxfId="421" priority="675">
      <formula>AND(TODAY()&gt;=IA$5,TODAY()&lt;RM$5)</formula>
    </cfRule>
  </conditionalFormatting>
  <conditionalFormatting sqref="IA7:IA17">
    <cfRule type="expression" dxfId="420" priority="676" stopIfTrue="1">
      <formula>AND(task_end&gt;=IA$5,task_start&lt;RM$5)</formula>
    </cfRule>
  </conditionalFormatting>
  <conditionalFormatting sqref="HU87:IA88 HU109:IA109 HU112:IA112">
    <cfRule type="expression" dxfId="419" priority="671">
      <formula>AND(task_start&lt;=HU$5,ROUNDDOWN((task_end-task_start+1)*task_progress,0)+task_start-1&gt;=HU$5)</formula>
    </cfRule>
  </conditionalFormatting>
  <conditionalFormatting sqref="HU23:IA23">
    <cfRule type="expression" dxfId="418" priority="670">
      <formula>AND(task_start&lt;=HU$5,ROUNDDOWN((task_end-task_start+1)*task_progress,0)+task_start-1&gt;=HU$5)</formula>
    </cfRule>
  </conditionalFormatting>
  <conditionalFormatting sqref="HU29:IA30">
    <cfRule type="expression" dxfId="417" priority="669">
      <formula>AND(task_start&lt;=HU$5,ROUNDDOWN((task_end-task_start+1)*task_progress,0)+task_start-1&gt;=HU$5)</formula>
    </cfRule>
  </conditionalFormatting>
  <conditionalFormatting sqref="IB113:IH114">
    <cfRule type="expression" dxfId="416" priority="664">
      <formula>AND(task_start&lt;=IB$5,ROUNDDOWN((task_end-task_start+1)*task_progress,0)+task_start-1&gt;=IB$5)</formula>
    </cfRule>
  </conditionalFormatting>
  <conditionalFormatting sqref="IB5:IG17">
    <cfRule type="expression" dxfId="415" priority="660">
      <formula>AND(TODAY()&gt;=IB$5,TODAY()&lt;IC$5)</formula>
    </cfRule>
  </conditionalFormatting>
  <conditionalFormatting sqref="IB7:IG17">
    <cfRule type="expression" dxfId="414" priority="659" stopIfTrue="1">
      <formula>AND(task_end&gt;=IB$5,task_start&lt;IC$5)</formula>
    </cfRule>
  </conditionalFormatting>
  <conditionalFormatting sqref="IB7:IH17">
    <cfRule type="expression" dxfId="413" priority="661">
      <formula>AND(task_start&lt;=IB$5,ROUNDDOWN((task_end-task_start+1)*task_progress,0)+task_start-1&gt;=IB$5)</formula>
    </cfRule>
  </conditionalFormatting>
  <conditionalFormatting sqref="IH5:IH17">
    <cfRule type="expression" dxfId="412" priority="662">
      <formula>AND(TODAY()&gt;=IH$5,TODAY()&lt;RT$5)</formula>
    </cfRule>
  </conditionalFormatting>
  <conditionalFormatting sqref="IH7:IH17">
    <cfRule type="expression" dxfId="411" priority="663" stopIfTrue="1">
      <formula>AND(task_end&gt;=IH$5,task_start&lt;RT$5)</formula>
    </cfRule>
  </conditionalFormatting>
  <conditionalFormatting sqref="IB87:IH88 IB109:IH109 IB112:IH112">
    <cfRule type="expression" dxfId="410" priority="658">
      <formula>AND(task_start&lt;=IB$5,ROUNDDOWN((task_end-task_start+1)*task_progress,0)+task_start-1&gt;=IB$5)</formula>
    </cfRule>
  </conditionalFormatting>
  <conditionalFormatting sqref="IB23:IH23">
    <cfRule type="expression" dxfId="409" priority="657">
      <formula>AND(task_start&lt;=IB$5,ROUNDDOWN((task_end-task_start+1)*task_progress,0)+task_start-1&gt;=IB$5)</formula>
    </cfRule>
  </conditionalFormatting>
  <conditionalFormatting sqref="IB29:IH30">
    <cfRule type="expression" dxfId="408" priority="656">
      <formula>AND(task_start&lt;=IB$5,ROUNDDOWN((task_end-task_start+1)*task_progress,0)+task_start-1&gt;=IB$5)</formula>
    </cfRule>
  </conditionalFormatting>
  <conditionalFormatting sqref="II113:IO114">
    <cfRule type="expression" dxfId="407" priority="651">
      <formula>AND(task_start&lt;=II$5,ROUNDDOWN((task_end-task_start+1)*task_progress,0)+task_start-1&gt;=II$5)</formula>
    </cfRule>
  </conditionalFormatting>
  <conditionalFormatting sqref="II5:IN17">
    <cfRule type="expression" dxfId="406" priority="647">
      <formula>AND(TODAY()&gt;=II$5,TODAY()&lt;IJ$5)</formula>
    </cfRule>
  </conditionalFormatting>
  <conditionalFormatting sqref="II7:IN17">
    <cfRule type="expression" dxfId="405" priority="646" stopIfTrue="1">
      <formula>AND(task_end&gt;=II$5,task_start&lt;IJ$5)</formula>
    </cfRule>
  </conditionalFormatting>
  <conditionalFormatting sqref="II7:IO17">
    <cfRule type="expression" dxfId="404" priority="648">
      <formula>AND(task_start&lt;=II$5,ROUNDDOWN((task_end-task_start+1)*task_progress,0)+task_start-1&gt;=II$5)</formula>
    </cfRule>
  </conditionalFormatting>
  <conditionalFormatting sqref="IO5:IO17">
    <cfRule type="expression" dxfId="403" priority="649">
      <formula>AND(TODAY()&gt;=IO$5,TODAY()&lt;SA$5)</formula>
    </cfRule>
  </conditionalFormatting>
  <conditionalFormatting sqref="IO7:IO17">
    <cfRule type="expression" dxfId="402" priority="650" stopIfTrue="1">
      <formula>AND(task_end&gt;=IO$5,task_start&lt;SA$5)</formula>
    </cfRule>
  </conditionalFormatting>
  <conditionalFormatting sqref="II87:IO88 II109:IO109 II112:IO112">
    <cfRule type="expression" dxfId="401" priority="645">
      <formula>AND(task_start&lt;=II$5,ROUNDDOWN((task_end-task_start+1)*task_progress,0)+task_start-1&gt;=II$5)</formula>
    </cfRule>
  </conditionalFormatting>
  <conditionalFormatting sqref="II23:IO23">
    <cfRule type="expression" dxfId="400" priority="644">
      <formula>AND(task_start&lt;=II$5,ROUNDDOWN((task_end-task_start+1)*task_progress,0)+task_start-1&gt;=II$5)</formula>
    </cfRule>
  </conditionalFormatting>
  <conditionalFormatting sqref="II29:IO30">
    <cfRule type="expression" dxfId="399" priority="643">
      <formula>AND(task_start&lt;=II$5,ROUNDDOWN((task_end-task_start+1)*task_progress,0)+task_start-1&gt;=II$5)</formula>
    </cfRule>
  </conditionalFormatting>
  <conditionalFormatting sqref="IP113:IV114">
    <cfRule type="expression" dxfId="398" priority="638">
      <formula>AND(task_start&lt;=IP$5,ROUNDDOWN((task_end-task_start+1)*task_progress,0)+task_start-1&gt;=IP$5)</formula>
    </cfRule>
  </conditionalFormatting>
  <conditionalFormatting sqref="IP5:IU17">
    <cfRule type="expression" dxfId="397" priority="634">
      <formula>AND(TODAY()&gt;=IP$5,TODAY()&lt;IQ$5)</formula>
    </cfRule>
  </conditionalFormatting>
  <conditionalFormatting sqref="IP7:IU17">
    <cfRule type="expression" dxfId="396" priority="633" stopIfTrue="1">
      <formula>AND(task_end&gt;=IP$5,task_start&lt;IQ$5)</formula>
    </cfRule>
  </conditionalFormatting>
  <conditionalFormatting sqref="IP7:IV17">
    <cfRule type="expression" dxfId="395" priority="635">
      <formula>AND(task_start&lt;=IP$5,ROUNDDOWN((task_end-task_start+1)*task_progress,0)+task_start-1&gt;=IP$5)</formula>
    </cfRule>
  </conditionalFormatting>
  <conditionalFormatting sqref="IV5:IV17">
    <cfRule type="expression" dxfId="394" priority="636">
      <formula>AND(TODAY()&gt;=IV$5,TODAY()&lt;SH$5)</formula>
    </cfRule>
  </conditionalFormatting>
  <conditionalFormatting sqref="IV7:IV17">
    <cfRule type="expression" dxfId="393" priority="637" stopIfTrue="1">
      <formula>AND(task_end&gt;=IV$5,task_start&lt;SH$5)</formula>
    </cfRule>
  </conditionalFormatting>
  <conditionalFormatting sqref="IP87:IV88 IP109:IV109 IP112:IV112">
    <cfRule type="expression" dxfId="392" priority="632">
      <formula>AND(task_start&lt;=IP$5,ROUNDDOWN((task_end-task_start+1)*task_progress,0)+task_start-1&gt;=IP$5)</formula>
    </cfRule>
  </conditionalFormatting>
  <conditionalFormatting sqref="IP23:IV23">
    <cfRule type="expression" dxfId="391" priority="631">
      <formula>AND(task_start&lt;=IP$5,ROUNDDOWN((task_end-task_start+1)*task_progress,0)+task_start-1&gt;=IP$5)</formula>
    </cfRule>
  </conditionalFormatting>
  <conditionalFormatting sqref="IP29:IV30">
    <cfRule type="expression" dxfId="390" priority="630">
      <formula>AND(task_start&lt;=IP$5,ROUNDDOWN((task_end-task_start+1)*task_progress,0)+task_start-1&gt;=IP$5)</formula>
    </cfRule>
  </conditionalFormatting>
  <conditionalFormatting sqref="IW113:JC114">
    <cfRule type="expression" dxfId="389" priority="625">
      <formula>AND(task_start&lt;=IW$5,ROUNDDOWN((task_end-task_start+1)*task_progress,0)+task_start-1&gt;=IW$5)</formula>
    </cfRule>
  </conditionalFormatting>
  <conditionalFormatting sqref="IW5:JB17">
    <cfRule type="expression" dxfId="388" priority="621">
      <formula>AND(TODAY()&gt;=IW$5,TODAY()&lt;IX$5)</formula>
    </cfRule>
  </conditionalFormatting>
  <conditionalFormatting sqref="IW7:JB17">
    <cfRule type="expression" dxfId="387" priority="620" stopIfTrue="1">
      <formula>AND(task_end&gt;=IW$5,task_start&lt;IX$5)</formula>
    </cfRule>
  </conditionalFormatting>
  <conditionalFormatting sqref="IW7:JC17">
    <cfRule type="expression" dxfId="386" priority="622">
      <formula>AND(task_start&lt;=IW$5,ROUNDDOWN((task_end-task_start+1)*task_progress,0)+task_start-1&gt;=IW$5)</formula>
    </cfRule>
  </conditionalFormatting>
  <conditionalFormatting sqref="JC5:JC17">
    <cfRule type="expression" dxfId="385" priority="623">
      <formula>AND(TODAY()&gt;=JC$5,TODAY()&lt;SO$5)</formula>
    </cfRule>
  </conditionalFormatting>
  <conditionalFormatting sqref="JC7:JC17">
    <cfRule type="expression" dxfId="384" priority="624" stopIfTrue="1">
      <formula>AND(task_end&gt;=JC$5,task_start&lt;SO$5)</formula>
    </cfRule>
  </conditionalFormatting>
  <conditionalFormatting sqref="IW87:JC88 IW109:JC109 IW112:JC112">
    <cfRule type="expression" dxfId="383" priority="619">
      <formula>AND(task_start&lt;=IW$5,ROUNDDOWN((task_end-task_start+1)*task_progress,0)+task_start-1&gt;=IW$5)</formula>
    </cfRule>
  </conditionalFormatting>
  <conditionalFormatting sqref="IW23:JC23">
    <cfRule type="expression" dxfId="382" priority="618">
      <formula>AND(task_start&lt;=IW$5,ROUNDDOWN((task_end-task_start+1)*task_progress,0)+task_start-1&gt;=IW$5)</formula>
    </cfRule>
  </conditionalFormatting>
  <conditionalFormatting sqref="IW29:JC30">
    <cfRule type="expression" dxfId="381" priority="617">
      <formula>AND(task_start&lt;=IW$5,ROUNDDOWN((task_end-task_start+1)*task_progress,0)+task_start-1&gt;=IW$5)</formula>
    </cfRule>
  </conditionalFormatting>
  <conditionalFormatting sqref="JD113:JJ114">
    <cfRule type="expression" dxfId="380" priority="612">
      <formula>AND(task_start&lt;=JD$5,ROUNDDOWN((task_end-task_start+1)*task_progress,0)+task_start-1&gt;=JD$5)</formula>
    </cfRule>
  </conditionalFormatting>
  <conditionalFormatting sqref="JD5:JI17">
    <cfRule type="expression" dxfId="379" priority="608">
      <formula>AND(TODAY()&gt;=JD$5,TODAY()&lt;JE$5)</formula>
    </cfRule>
  </conditionalFormatting>
  <conditionalFormatting sqref="JD7:JI17">
    <cfRule type="expression" dxfId="378" priority="607" stopIfTrue="1">
      <formula>AND(task_end&gt;=JD$5,task_start&lt;JE$5)</formula>
    </cfRule>
  </conditionalFormatting>
  <conditionalFormatting sqref="JD7:JJ17">
    <cfRule type="expression" dxfId="377" priority="609">
      <formula>AND(task_start&lt;=JD$5,ROUNDDOWN((task_end-task_start+1)*task_progress,0)+task_start-1&gt;=JD$5)</formula>
    </cfRule>
  </conditionalFormatting>
  <conditionalFormatting sqref="JJ5:JJ17">
    <cfRule type="expression" dxfId="376" priority="610">
      <formula>AND(TODAY()&gt;=JJ$5,TODAY()&lt;SV$5)</formula>
    </cfRule>
  </conditionalFormatting>
  <conditionalFormatting sqref="JJ7:JJ17">
    <cfRule type="expression" dxfId="375" priority="611" stopIfTrue="1">
      <formula>AND(task_end&gt;=JJ$5,task_start&lt;SV$5)</formula>
    </cfRule>
  </conditionalFormatting>
  <conditionalFormatting sqref="JD87:JJ88 JD109:JJ109 JD112:JJ112">
    <cfRule type="expression" dxfId="374" priority="606">
      <formula>AND(task_start&lt;=JD$5,ROUNDDOWN((task_end-task_start+1)*task_progress,0)+task_start-1&gt;=JD$5)</formula>
    </cfRule>
  </conditionalFormatting>
  <conditionalFormatting sqref="JD23:JJ23">
    <cfRule type="expression" dxfId="373" priority="605">
      <formula>AND(task_start&lt;=JD$5,ROUNDDOWN((task_end-task_start+1)*task_progress,0)+task_start-1&gt;=JD$5)</formula>
    </cfRule>
  </conditionalFormatting>
  <conditionalFormatting sqref="JD29:JJ30">
    <cfRule type="expression" dxfId="372" priority="604">
      <formula>AND(task_start&lt;=JD$5,ROUNDDOWN((task_end-task_start+1)*task_progress,0)+task_start-1&gt;=JD$5)</formula>
    </cfRule>
  </conditionalFormatting>
  <conditionalFormatting sqref="JK113:JQ114">
    <cfRule type="expression" dxfId="371" priority="599">
      <formula>AND(task_start&lt;=JK$5,ROUNDDOWN((task_end-task_start+1)*task_progress,0)+task_start-1&gt;=JK$5)</formula>
    </cfRule>
  </conditionalFormatting>
  <conditionalFormatting sqref="JK5:JP17">
    <cfRule type="expression" dxfId="370" priority="595">
      <formula>AND(TODAY()&gt;=JK$5,TODAY()&lt;JL$5)</formula>
    </cfRule>
  </conditionalFormatting>
  <conditionalFormatting sqref="JK7:JP17">
    <cfRule type="expression" dxfId="369" priority="594" stopIfTrue="1">
      <formula>AND(task_end&gt;=JK$5,task_start&lt;JL$5)</formula>
    </cfRule>
  </conditionalFormatting>
  <conditionalFormatting sqref="JK7:JQ17">
    <cfRule type="expression" dxfId="368" priority="596">
      <formula>AND(task_start&lt;=JK$5,ROUNDDOWN((task_end-task_start+1)*task_progress,0)+task_start-1&gt;=JK$5)</formula>
    </cfRule>
  </conditionalFormatting>
  <conditionalFormatting sqref="JQ5:JQ17">
    <cfRule type="expression" dxfId="367" priority="597">
      <formula>AND(TODAY()&gt;=JQ$5,TODAY()&lt;TC$5)</formula>
    </cfRule>
  </conditionalFormatting>
  <conditionalFormatting sqref="JQ7:JQ17">
    <cfRule type="expression" dxfId="366" priority="598" stopIfTrue="1">
      <formula>AND(task_end&gt;=JQ$5,task_start&lt;TC$5)</formula>
    </cfRule>
  </conditionalFormatting>
  <conditionalFormatting sqref="JK87:JQ88 JK109:JQ109 JK112:JQ112">
    <cfRule type="expression" dxfId="365" priority="593">
      <formula>AND(task_start&lt;=JK$5,ROUNDDOWN((task_end-task_start+1)*task_progress,0)+task_start-1&gt;=JK$5)</formula>
    </cfRule>
  </conditionalFormatting>
  <conditionalFormatting sqref="JK23:JQ23">
    <cfRule type="expression" dxfId="364" priority="592">
      <formula>AND(task_start&lt;=JK$5,ROUNDDOWN((task_end-task_start+1)*task_progress,0)+task_start-1&gt;=JK$5)</formula>
    </cfRule>
  </conditionalFormatting>
  <conditionalFormatting sqref="JK29:JQ30">
    <cfRule type="expression" dxfId="363" priority="591">
      <formula>AND(task_start&lt;=JK$5,ROUNDDOWN((task_end-task_start+1)*task_progress,0)+task_start-1&gt;=JK$5)</formula>
    </cfRule>
  </conditionalFormatting>
  <conditionalFormatting sqref="JR113:JX114">
    <cfRule type="expression" dxfId="362" priority="586">
      <formula>AND(task_start&lt;=JR$5,ROUNDDOWN((task_end-task_start+1)*task_progress,0)+task_start-1&gt;=JR$5)</formula>
    </cfRule>
  </conditionalFormatting>
  <conditionalFormatting sqref="JR5:JW17">
    <cfRule type="expression" dxfId="361" priority="582">
      <formula>AND(TODAY()&gt;=JR$5,TODAY()&lt;JS$5)</formula>
    </cfRule>
  </conditionalFormatting>
  <conditionalFormatting sqref="JR7:JW17">
    <cfRule type="expression" dxfId="360" priority="581" stopIfTrue="1">
      <formula>AND(task_end&gt;=JR$5,task_start&lt;JS$5)</formula>
    </cfRule>
  </conditionalFormatting>
  <conditionalFormatting sqref="JR7:JX17">
    <cfRule type="expression" dxfId="359" priority="583">
      <formula>AND(task_start&lt;=JR$5,ROUNDDOWN((task_end-task_start+1)*task_progress,0)+task_start-1&gt;=JR$5)</formula>
    </cfRule>
  </conditionalFormatting>
  <conditionalFormatting sqref="JX5:JX17">
    <cfRule type="expression" dxfId="358" priority="584">
      <formula>AND(TODAY()&gt;=JX$5,TODAY()&lt;TJ$5)</formula>
    </cfRule>
  </conditionalFormatting>
  <conditionalFormatting sqref="JX7:JX17">
    <cfRule type="expression" dxfId="357" priority="585" stopIfTrue="1">
      <formula>AND(task_end&gt;=JX$5,task_start&lt;TJ$5)</formula>
    </cfRule>
  </conditionalFormatting>
  <conditionalFormatting sqref="JR87:JX88 JR109:JX109 JR112:JX112">
    <cfRule type="expression" dxfId="356" priority="580">
      <formula>AND(task_start&lt;=JR$5,ROUNDDOWN((task_end-task_start+1)*task_progress,0)+task_start-1&gt;=JR$5)</formula>
    </cfRule>
  </conditionalFormatting>
  <conditionalFormatting sqref="JR23:JX23">
    <cfRule type="expression" dxfId="355" priority="579">
      <formula>AND(task_start&lt;=JR$5,ROUNDDOWN((task_end-task_start+1)*task_progress,0)+task_start-1&gt;=JR$5)</formula>
    </cfRule>
  </conditionalFormatting>
  <conditionalFormatting sqref="JR29:JX30">
    <cfRule type="expression" dxfId="354" priority="578">
      <formula>AND(task_start&lt;=JR$5,ROUNDDOWN((task_end-task_start+1)*task_progress,0)+task_start-1&gt;=JR$5)</formula>
    </cfRule>
  </conditionalFormatting>
  <conditionalFormatting sqref="JY113:KE114">
    <cfRule type="expression" dxfId="353" priority="573">
      <formula>AND(task_start&lt;=JY$5,ROUNDDOWN((task_end-task_start+1)*task_progress,0)+task_start-1&gt;=JY$5)</formula>
    </cfRule>
  </conditionalFormatting>
  <conditionalFormatting sqref="JY5:KD17">
    <cfRule type="expression" dxfId="352" priority="569">
      <formula>AND(TODAY()&gt;=JY$5,TODAY()&lt;JZ$5)</formula>
    </cfRule>
  </conditionalFormatting>
  <conditionalFormatting sqref="JY7:KD17">
    <cfRule type="expression" dxfId="351" priority="568" stopIfTrue="1">
      <formula>AND(task_end&gt;=JY$5,task_start&lt;JZ$5)</formula>
    </cfRule>
  </conditionalFormatting>
  <conditionalFormatting sqref="JY7:KE17">
    <cfRule type="expression" dxfId="350" priority="570">
      <formula>AND(task_start&lt;=JY$5,ROUNDDOWN((task_end-task_start+1)*task_progress,0)+task_start-1&gt;=JY$5)</formula>
    </cfRule>
  </conditionalFormatting>
  <conditionalFormatting sqref="KE5:KE17">
    <cfRule type="expression" dxfId="349" priority="571">
      <formula>AND(TODAY()&gt;=KE$5,TODAY()&lt;TQ$5)</formula>
    </cfRule>
  </conditionalFormatting>
  <conditionalFormatting sqref="KE7:KE17">
    <cfRule type="expression" dxfId="348" priority="572" stopIfTrue="1">
      <formula>AND(task_end&gt;=KE$5,task_start&lt;TQ$5)</formula>
    </cfRule>
  </conditionalFormatting>
  <conditionalFormatting sqref="JY87:KE88 JY109:KE109 JY112:KE112">
    <cfRule type="expression" dxfId="347" priority="567">
      <formula>AND(task_start&lt;=JY$5,ROUNDDOWN((task_end-task_start+1)*task_progress,0)+task_start-1&gt;=JY$5)</formula>
    </cfRule>
  </conditionalFormatting>
  <conditionalFormatting sqref="JY23:KE23">
    <cfRule type="expression" dxfId="346" priority="566">
      <formula>AND(task_start&lt;=JY$5,ROUNDDOWN((task_end-task_start+1)*task_progress,0)+task_start-1&gt;=JY$5)</formula>
    </cfRule>
  </conditionalFormatting>
  <conditionalFormatting sqref="JY29:KE30">
    <cfRule type="expression" dxfId="345" priority="565">
      <formula>AND(task_start&lt;=JY$5,ROUNDDOWN((task_end-task_start+1)*task_progress,0)+task_start-1&gt;=JY$5)</formula>
    </cfRule>
  </conditionalFormatting>
  <conditionalFormatting sqref="KF113:KL114">
    <cfRule type="expression" dxfId="344" priority="560">
      <formula>AND(task_start&lt;=KF$5,ROUNDDOWN((task_end-task_start+1)*task_progress,0)+task_start-1&gt;=KF$5)</formula>
    </cfRule>
  </conditionalFormatting>
  <conditionalFormatting sqref="KF5:KK17">
    <cfRule type="expression" dxfId="343" priority="556">
      <formula>AND(TODAY()&gt;=KF$5,TODAY()&lt;KG$5)</formula>
    </cfRule>
  </conditionalFormatting>
  <conditionalFormatting sqref="KF7:KK17">
    <cfRule type="expression" dxfId="342" priority="555" stopIfTrue="1">
      <formula>AND(task_end&gt;=KF$5,task_start&lt;KG$5)</formula>
    </cfRule>
  </conditionalFormatting>
  <conditionalFormatting sqref="KF7:KL17">
    <cfRule type="expression" dxfId="341" priority="557">
      <formula>AND(task_start&lt;=KF$5,ROUNDDOWN((task_end-task_start+1)*task_progress,0)+task_start-1&gt;=KF$5)</formula>
    </cfRule>
  </conditionalFormatting>
  <conditionalFormatting sqref="KL5:KL17">
    <cfRule type="expression" dxfId="340" priority="558">
      <formula>AND(TODAY()&gt;=KL$5,TODAY()&lt;TX$5)</formula>
    </cfRule>
  </conditionalFormatting>
  <conditionalFormatting sqref="KL7:KL17">
    <cfRule type="expression" dxfId="339" priority="559" stopIfTrue="1">
      <formula>AND(task_end&gt;=KL$5,task_start&lt;TX$5)</formula>
    </cfRule>
  </conditionalFormatting>
  <conditionalFormatting sqref="KF87:KL88 KF109:KL109 KF112:KL112">
    <cfRule type="expression" dxfId="338" priority="554">
      <formula>AND(task_start&lt;=KF$5,ROUNDDOWN((task_end-task_start+1)*task_progress,0)+task_start-1&gt;=KF$5)</formula>
    </cfRule>
  </conditionalFormatting>
  <conditionalFormatting sqref="KF23:KL23">
    <cfRule type="expression" dxfId="337" priority="553">
      <formula>AND(task_start&lt;=KF$5,ROUNDDOWN((task_end-task_start+1)*task_progress,0)+task_start-1&gt;=KF$5)</formula>
    </cfRule>
  </conditionalFormatting>
  <conditionalFormatting sqref="KF29:KL30">
    <cfRule type="expression" dxfId="336" priority="552">
      <formula>AND(task_start&lt;=KF$5,ROUNDDOWN((task_end-task_start+1)*task_progress,0)+task_start-1&gt;=KF$5)</formula>
    </cfRule>
  </conditionalFormatting>
  <conditionalFormatting sqref="KM113:KS114">
    <cfRule type="expression" dxfId="335" priority="547">
      <formula>AND(task_start&lt;=KM$5,ROUNDDOWN((task_end-task_start+1)*task_progress,0)+task_start-1&gt;=KM$5)</formula>
    </cfRule>
  </conditionalFormatting>
  <conditionalFormatting sqref="KM5:KR17">
    <cfRule type="expression" dxfId="334" priority="543">
      <formula>AND(TODAY()&gt;=KM$5,TODAY()&lt;KN$5)</formula>
    </cfRule>
  </conditionalFormatting>
  <conditionalFormatting sqref="KM7:KR17">
    <cfRule type="expression" dxfId="333" priority="542" stopIfTrue="1">
      <formula>AND(task_end&gt;=KM$5,task_start&lt;KN$5)</formula>
    </cfRule>
  </conditionalFormatting>
  <conditionalFormatting sqref="KM7:KS17">
    <cfRule type="expression" dxfId="332" priority="544">
      <formula>AND(task_start&lt;=KM$5,ROUNDDOWN((task_end-task_start+1)*task_progress,0)+task_start-1&gt;=KM$5)</formula>
    </cfRule>
  </conditionalFormatting>
  <conditionalFormatting sqref="KS5:KS17">
    <cfRule type="expression" dxfId="331" priority="545">
      <formula>AND(TODAY()&gt;=KS$5,TODAY()&lt;UE$5)</formula>
    </cfRule>
  </conditionalFormatting>
  <conditionalFormatting sqref="KS7:KS17">
    <cfRule type="expression" dxfId="330" priority="546" stopIfTrue="1">
      <formula>AND(task_end&gt;=KS$5,task_start&lt;UE$5)</formula>
    </cfRule>
  </conditionalFormatting>
  <conditionalFormatting sqref="KM87:KS88 KM109:KS109 KM112:KS112">
    <cfRule type="expression" dxfId="329" priority="541">
      <formula>AND(task_start&lt;=KM$5,ROUNDDOWN((task_end-task_start+1)*task_progress,0)+task_start-1&gt;=KM$5)</formula>
    </cfRule>
  </conditionalFormatting>
  <conditionalFormatting sqref="KM23:KS23">
    <cfRule type="expression" dxfId="328" priority="540">
      <formula>AND(task_start&lt;=KM$5,ROUNDDOWN((task_end-task_start+1)*task_progress,0)+task_start-1&gt;=KM$5)</formula>
    </cfRule>
  </conditionalFormatting>
  <conditionalFormatting sqref="KM29:KS30">
    <cfRule type="expression" dxfId="327" priority="539">
      <formula>AND(task_start&lt;=KM$5,ROUNDDOWN((task_end-task_start+1)*task_progress,0)+task_start-1&gt;=KM$5)</formula>
    </cfRule>
  </conditionalFormatting>
  <conditionalFormatting sqref="KT113:KZ114">
    <cfRule type="expression" dxfId="326" priority="534">
      <formula>AND(task_start&lt;=KT$5,ROUNDDOWN((task_end-task_start+1)*task_progress,0)+task_start-1&gt;=KT$5)</formula>
    </cfRule>
  </conditionalFormatting>
  <conditionalFormatting sqref="KT5:KY17">
    <cfRule type="expression" dxfId="325" priority="530">
      <formula>AND(TODAY()&gt;=KT$5,TODAY()&lt;KU$5)</formula>
    </cfRule>
  </conditionalFormatting>
  <conditionalFormatting sqref="KT7:KY17">
    <cfRule type="expression" dxfId="324" priority="529" stopIfTrue="1">
      <formula>AND(task_end&gt;=KT$5,task_start&lt;KU$5)</formula>
    </cfRule>
  </conditionalFormatting>
  <conditionalFormatting sqref="KT7:KZ17">
    <cfRule type="expression" dxfId="323" priority="531">
      <formula>AND(task_start&lt;=KT$5,ROUNDDOWN((task_end-task_start+1)*task_progress,0)+task_start-1&gt;=KT$5)</formula>
    </cfRule>
  </conditionalFormatting>
  <conditionalFormatting sqref="KZ5:KZ17">
    <cfRule type="expression" dxfId="322" priority="532">
      <formula>AND(TODAY()&gt;=KZ$5,TODAY()&lt;UL$5)</formula>
    </cfRule>
  </conditionalFormatting>
  <conditionalFormatting sqref="KZ7:KZ17">
    <cfRule type="expression" dxfId="321" priority="533" stopIfTrue="1">
      <formula>AND(task_end&gt;=KZ$5,task_start&lt;UL$5)</formula>
    </cfRule>
  </conditionalFormatting>
  <conditionalFormatting sqref="KT87:KZ88 KT109:KZ109 KT112:KZ112">
    <cfRule type="expression" dxfId="320" priority="528">
      <formula>AND(task_start&lt;=KT$5,ROUNDDOWN((task_end-task_start+1)*task_progress,0)+task_start-1&gt;=KT$5)</formula>
    </cfRule>
  </conditionalFormatting>
  <conditionalFormatting sqref="KT23:KZ23">
    <cfRule type="expression" dxfId="319" priority="527">
      <formula>AND(task_start&lt;=KT$5,ROUNDDOWN((task_end-task_start+1)*task_progress,0)+task_start-1&gt;=KT$5)</formula>
    </cfRule>
  </conditionalFormatting>
  <conditionalFormatting sqref="KT29:KZ30">
    <cfRule type="expression" dxfId="318" priority="526">
      <formula>AND(task_start&lt;=KT$5,ROUNDDOWN((task_end-task_start+1)*task_progress,0)+task_start-1&gt;=KT$5)</formula>
    </cfRule>
  </conditionalFormatting>
  <conditionalFormatting sqref="LA113:LG114">
    <cfRule type="expression" dxfId="317" priority="521">
      <formula>AND(task_start&lt;=LA$5,ROUNDDOWN((task_end-task_start+1)*task_progress,0)+task_start-1&gt;=LA$5)</formula>
    </cfRule>
  </conditionalFormatting>
  <conditionalFormatting sqref="LA5:LF17">
    <cfRule type="expression" dxfId="316" priority="517">
      <formula>AND(TODAY()&gt;=LA$5,TODAY()&lt;LB$5)</formula>
    </cfRule>
  </conditionalFormatting>
  <conditionalFormatting sqref="LA7:LF17">
    <cfRule type="expression" dxfId="315" priority="516" stopIfTrue="1">
      <formula>AND(task_end&gt;=LA$5,task_start&lt;LB$5)</formula>
    </cfRule>
  </conditionalFormatting>
  <conditionalFormatting sqref="LA7:LG17">
    <cfRule type="expression" dxfId="314" priority="518">
      <formula>AND(task_start&lt;=LA$5,ROUNDDOWN((task_end-task_start+1)*task_progress,0)+task_start-1&gt;=LA$5)</formula>
    </cfRule>
  </conditionalFormatting>
  <conditionalFormatting sqref="LG5:LG17">
    <cfRule type="expression" dxfId="313" priority="519">
      <formula>AND(TODAY()&gt;=LG$5,TODAY()&lt;US$5)</formula>
    </cfRule>
  </conditionalFormatting>
  <conditionalFormatting sqref="LG7:LG17">
    <cfRule type="expression" dxfId="312" priority="520" stopIfTrue="1">
      <formula>AND(task_end&gt;=LG$5,task_start&lt;US$5)</formula>
    </cfRule>
  </conditionalFormatting>
  <conditionalFormatting sqref="LA87:LG88 LA109:LG109 LA112:LG112">
    <cfRule type="expression" dxfId="311" priority="515">
      <formula>AND(task_start&lt;=LA$5,ROUNDDOWN((task_end-task_start+1)*task_progress,0)+task_start-1&gt;=LA$5)</formula>
    </cfRule>
  </conditionalFormatting>
  <conditionalFormatting sqref="LA23:LG23">
    <cfRule type="expression" dxfId="310" priority="514">
      <formula>AND(task_start&lt;=LA$5,ROUNDDOWN((task_end-task_start+1)*task_progress,0)+task_start-1&gt;=LA$5)</formula>
    </cfRule>
  </conditionalFormatting>
  <conditionalFormatting sqref="LA29:LG30">
    <cfRule type="expression" dxfId="309" priority="513">
      <formula>AND(task_start&lt;=LA$5,ROUNDDOWN((task_end-task_start+1)*task_progress,0)+task_start-1&gt;=LA$5)</formula>
    </cfRule>
  </conditionalFormatting>
  <conditionalFormatting sqref="LH113:LN114">
    <cfRule type="expression" dxfId="308" priority="508">
      <formula>AND(task_start&lt;=LH$5,ROUNDDOWN((task_end-task_start+1)*task_progress,0)+task_start-1&gt;=LH$5)</formula>
    </cfRule>
  </conditionalFormatting>
  <conditionalFormatting sqref="LH5:LM17">
    <cfRule type="expression" dxfId="307" priority="504">
      <formula>AND(TODAY()&gt;=LH$5,TODAY()&lt;LI$5)</formula>
    </cfRule>
  </conditionalFormatting>
  <conditionalFormatting sqref="LH7:LM17">
    <cfRule type="expression" dxfId="306" priority="503" stopIfTrue="1">
      <formula>AND(task_end&gt;=LH$5,task_start&lt;LI$5)</formula>
    </cfRule>
  </conditionalFormatting>
  <conditionalFormatting sqref="LH7:LN17">
    <cfRule type="expression" dxfId="305" priority="505">
      <formula>AND(task_start&lt;=LH$5,ROUNDDOWN((task_end-task_start+1)*task_progress,0)+task_start-1&gt;=LH$5)</formula>
    </cfRule>
  </conditionalFormatting>
  <conditionalFormatting sqref="LN5:LN17">
    <cfRule type="expression" dxfId="304" priority="506">
      <formula>AND(TODAY()&gt;=LN$5,TODAY()&lt;UZ$5)</formula>
    </cfRule>
  </conditionalFormatting>
  <conditionalFormatting sqref="LN7:LN17">
    <cfRule type="expression" dxfId="303" priority="507" stopIfTrue="1">
      <formula>AND(task_end&gt;=LN$5,task_start&lt;UZ$5)</formula>
    </cfRule>
  </conditionalFormatting>
  <conditionalFormatting sqref="LH87:LN88 LH109:LN109 LH112:LN112">
    <cfRule type="expression" dxfId="302" priority="502">
      <formula>AND(task_start&lt;=LH$5,ROUNDDOWN((task_end-task_start+1)*task_progress,0)+task_start-1&gt;=LH$5)</formula>
    </cfRule>
  </conditionalFormatting>
  <conditionalFormatting sqref="LH23:LN23">
    <cfRule type="expression" dxfId="301" priority="501">
      <formula>AND(task_start&lt;=LH$5,ROUNDDOWN((task_end-task_start+1)*task_progress,0)+task_start-1&gt;=LH$5)</formula>
    </cfRule>
  </conditionalFormatting>
  <conditionalFormatting sqref="LH29:LN30">
    <cfRule type="expression" dxfId="300" priority="500">
      <formula>AND(task_start&lt;=LH$5,ROUNDDOWN((task_end-task_start+1)*task_progress,0)+task_start-1&gt;=LH$5)</formula>
    </cfRule>
  </conditionalFormatting>
  <conditionalFormatting sqref="LO113:LU114">
    <cfRule type="expression" dxfId="299" priority="495">
      <formula>AND(task_start&lt;=LO$5,ROUNDDOWN((task_end-task_start+1)*task_progress,0)+task_start-1&gt;=LO$5)</formula>
    </cfRule>
  </conditionalFormatting>
  <conditionalFormatting sqref="LO5:LT17">
    <cfRule type="expression" dxfId="298" priority="491">
      <formula>AND(TODAY()&gt;=LO$5,TODAY()&lt;LP$5)</formula>
    </cfRule>
  </conditionalFormatting>
  <conditionalFormatting sqref="LO7:LT17">
    <cfRule type="expression" dxfId="297" priority="490" stopIfTrue="1">
      <formula>AND(task_end&gt;=LO$5,task_start&lt;LP$5)</formula>
    </cfRule>
  </conditionalFormatting>
  <conditionalFormatting sqref="LO7:LU17">
    <cfRule type="expression" dxfId="296" priority="492">
      <formula>AND(task_start&lt;=LO$5,ROUNDDOWN((task_end-task_start+1)*task_progress,0)+task_start-1&gt;=LO$5)</formula>
    </cfRule>
  </conditionalFormatting>
  <conditionalFormatting sqref="LU5:LU17">
    <cfRule type="expression" dxfId="295" priority="493">
      <formula>AND(TODAY()&gt;=LU$5,TODAY()&lt;VG$5)</formula>
    </cfRule>
  </conditionalFormatting>
  <conditionalFormatting sqref="LU7:LU17">
    <cfRule type="expression" dxfId="294" priority="494" stopIfTrue="1">
      <formula>AND(task_end&gt;=LU$5,task_start&lt;VG$5)</formula>
    </cfRule>
  </conditionalFormatting>
  <conditionalFormatting sqref="LO87:LU88 LO109:LU109 LO112:LU112">
    <cfRule type="expression" dxfId="293" priority="489">
      <formula>AND(task_start&lt;=LO$5,ROUNDDOWN((task_end-task_start+1)*task_progress,0)+task_start-1&gt;=LO$5)</formula>
    </cfRule>
  </conditionalFormatting>
  <conditionalFormatting sqref="LO23:LU23">
    <cfRule type="expression" dxfId="292" priority="488">
      <formula>AND(task_start&lt;=LO$5,ROUNDDOWN((task_end-task_start+1)*task_progress,0)+task_start-1&gt;=LO$5)</formula>
    </cfRule>
  </conditionalFormatting>
  <conditionalFormatting sqref="LO29:LU30">
    <cfRule type="expression" dxfId="291" priority="487">
      <formula>AND(task_start&lt;=LO$5,ROUNDDOWN((task_end-task_start+1)*task_progress,0)+task_start-1&gt;=LO$5)</formula>
    </cfRule>
  </conditionalFormatting>
  <conditionalFormatting sqref="LV113:MB114">
    <cfRule type="expression" dxfId="290" priority="482">
      <formula>AND(task_start&lt;=LV$5,ROUNDDOWN((task_end-task_start+1)*task_progress,0)+task_start-1&gt;=LV$5)</formula>
    </cfRule>
  </conditionalFormatting>
  <conditionalFormatting sqref="LV5:MA17">
    <cfRule type="expression" dxfId="289" priority="478">
      <formula>AND(TODAY()&gt;=LV$5,TODAY()&lt;LW$5)</formula>
    </cfRule>
  </conditionalFormatting>
  <conditionalFormatting sqref="LV7:MA17">
    <cfRule type="expression" dxfId="288" priority="477" stopIfTrue="1">
      <formula>AND(task_end&gt;=LV$5,task_start&lt;LW$5)</formula>
    </cfRule>
  </conditionalFormatting>
  <conditionalFormatting sqref="LV7:MB17">
    <cfRule type="expression" dxfId="287" priority="479">
      <formula>AND(task_start&lt;=LV$5,ROUNDDOWN((task_end-task_start+1)*task_progress,0)+task_start-1&gt;=LV$5)</formula>
    </cfRule>
  </conditionalFormatting>
  <conditionalFormatting sqref="MB5:MB17">
    <cfRule type="expression" dxfId="286" priority="480">
      <formula>AND(TODAY()&gt;=MB$5,TODAY()&lt;VN$5)</formula>
    </cfRule>
  </conditionalFormatting>
  <conditionalFormatting sqref="MB7:MB17">
    <cfRule type="expression" dxfId="285" priority="481" stopIfTrue="1">
      <formula>AND(task_end&gt;=MB$5,task_start&lt;VN$5)</formula>
    </cfRule>
  </conditionalFormatting>
  <conditionalFormatting sqref="LV87:MB88 LV109:MB109 LV112:MB112">
    <cfRule type="expression" dxfId="284" priority="476">
      <formula>AND(task_start&lt;=LV$5,ROUNDDOWN((task_end-task_start+1)*task_progress,0)+task_start-1&gt;=LV$5)</formula>
    </cfRule>
  </conditionalFormatting>
  <conditionalFormatting sqref="LV23:MB23">
    <cfRule type="expression" dxfId="283" priority="475">
      <formula>AND(task_start&lt;=LV$5,ROUNDDOWN((task_end-task_start+1)*task_progress,0)+task_start-1&gt;=LV$5)</formula>
    </cfRule>
  </conditionalFormatting>
  <conditionalFormatting sqref="LV29:MB30">
    <cfRule type="expression" dxfId="282" priority="474">
      <formula>AND(task_start&lt;=LV$5,ROUNDDOWN((task_end-task_start+1)*task_progress,0)+task_start-1&gt;=LV$5)</formula>
    </cfRule>
  </conditionalFormatting>
  <conditionalFormatting sqref="MC113:MI114">
    <cfRule type="expression" dxfId="281" priority="469">
      <formula>AND(task_start&lt;=MC$5,ROUNDDOWN((task_end-task_start+1)*task_progress,0)+task_start-1&gt;=MC$5)</formula>
    </cfRule>
  </conditionalFormatting>
  <conditionalFormatting sqref="MC5:MH17">
    <cfRule type="expression" dxfId="280" priority="465">
      <formula>AND(TODAY()&gt;=MC$5,TODAY()&lt;MD$5)</formula>
    </cfRule>
  </conditionalFormatting>
  <conditionalFormatting sqref="MC7:MH17">
    <cfRule type="expression" dxfId="279" priority="464" stopIfTrue="1">
      <formula>AND(task_end&gt;=MC$5,task_start&lt;MD$5)</formula>
    </cfRule>
  </conditionalFormatting>
  <conditionalFormatting sqref="MC7:MI17">
    <cfRule type="expression" dxfId="278" priority="466">
      <formula>AND(task_start&lt;=MC$5,ROUNDDOWN((task_end-task_start+1)*task_progress,0)+task_start-1&gt;=MC$5)</formula>
    </cfRule>
  </conditionalFormatting>
  <conditionalFormatting sqref="MI5:MI17">
    <cfRule type="expression" dxfId="277" priority="467">
      <formula>AND(TODAY()&gt;=MI$5,TODAY()&lt;VU$5)</formula>
    </cfRule>
  </conditionalFormatting>
  <conditionalFormatting sqref="MI7:MI17">
    <cfRule type="expression" dxfId="276" priority="468" stopIfTrue="1">
      <formula>AND(task_end&gt;=MI$5,task_start&lt;VU$5)</formula>
    </cfRule>
  </conditionalFormatting>
  <conditionalFormatting sqref="MC87:MI88 MC109:MI109 MC112:MI112">
    <cfRule type="expression" dxfId="275" priority="463">
      <formula>AND(task_start&lt;=MC$5,ROUNDDOWN((task_end-task_start+1)*task_progress,0)+task_start-1&gt;=MC$5)</formula>
    </cfRule>
  </conditionalFormatting>
  <conditionalFormatting sqref="MC23:MI23">
    <cfRule type="expression" dxfId="274" priority="462">
      <formula>AND(task_start&lt;=MC$5,ROUNDDOWN((task_end-task_start+1)*task_progress,0)+task_start-1&gt;=MC$5)</formula>
    </cfRule>
  </conditionalFormatting>
  <conditionalFormatting sqref="MC29:MI30">
    <cfRule type="expression" dxfId="273" priority="461">
      <formula>AND(task_start&lt;=MC$5,ROUNDDOWN((task_end-task_start+1)*task_progress,0)+task_start-1&gt;=MC$5)</formula>
    </cfRule>
  </conditionalFormatting>
  <conditionalFormatting sqref="MJ113:MP114">
    <cfRule type="expression" dxfId="272" priority="456">
      <formula>AND(task_start&lt;=MJ$5,ROUNDDOWN((task_end-task_start+1)*task_progress,0)+task_start-1&gt;=MJ$5)</formula>
    </cfRule>
  </conditionalFormatting>
  <conditionalFormatting sqref="MJ5:MO17">
    <cfRule type="expression" dxfId="271" priority="452">
      <formula>AND(TODAY()&gt;=MJ$5,TODAY()&lt;MK$5)</formula>
    </cfRule>
  </conditionalFormatting>
  <conditionalFormatting sqref="MJ7:MO17">
    <cfRule type="expression" dxfId="270" priority="451" stopIfTrue="1">
      <formula>AND(task_end&gt;=MJ$5,task_start&lt;MK$5)</formula>
    </cfRule>
  </conditionalFormatting>
  <conditionalFormatting sqref="MJ7:MP17">
    <cfRule type="expression" dxfId="269" priority="453">
      <formula>AND(task_start&lt;=MJ$5,ROUNDDOWN((task_end-task_start+1)*task_progress,0)+task_start-1&gt;=MJ$5)</formula>
    </cfRule>
  </conditionalFormatting>
  <conditionalFormatting sqref="MP5:MP17">
    <cfRule type="expression" dxfId="268" priority="454">
      <formula>AND(TODAY()&gt;=MP$5,TODAY()&lt;WB$5)</formula>
    </cfRule>
  </conditionalFormatting>
  <conditionalFormatting sqref="MP7:MP17">
    <cfRule type="expression" dxfId="267" priority="455" stopIfTrue="1">
      <formula>AND(task_end&gt;=MP$5,task_start&lt;WB$5)</formula>
    </cfRule>
  </conditionalFormatting>
  <conditionalFormatting sqref="MJ87:MP88 MJ109:MP109 MJ112:MP112">
    <cfRule type="expression" dxfId="266" priority="450">
      <formula>AND(task_start&lt;=MJ$5,ROUNDDOWN((task_end-task_start+1)*task_progress,0)+task_start-1&gt;=MJ$5)</formula>
    </cfRule>
  </conditionalFormatting>
  <conditionalFormatting sqref="MJ23:MP23">
    <cfRule type="expression" dxfId="265" priority="449">
      <formula>AND(task_start&lt;=MJ$5,ROUNDDOWN((task_end-task_start+1)*task_progress,0)+task_start-1&gt;=MJ$5)</formula>
    </cfRule>
  </conditionalFormatting>
  <conditionalFormatting sqref="MJ29:MP30">
    <cfRule type="expression" dxfId="264" priority="448">
      <formula>AND(task_start&lt;=MJ$5,ROUNDDOWN((task_end-task_start+1)*task_progress,0)+task_start-1&gt;=MJ$5)</formula>
    </cfRule>
  </conditionalFormatting>
  <conditionalFormatting sqref="MQ113:MW114">
    <cfRule type="expression" dxfId="263" priority="443">
      <formula>AND(task_start&lt;=MQ$5,ROUNDDOWN((task_end-task_start+1)*task_progress,0)+task_start-1&gt;=MQ$5)</formula>
    </cfRule>
  </conditionalFormatting>
  <conditionalFormatting sqref="MQ5:MV17">
    <cfRule type="expression" dxfId="262" priority="439">
      <formula>AND(TODAY()&gt;=MQ$5,TODAY()&lt;MR$5)</formula>
    </cfRule>
  </conditionalFormatting>
  <conditionalFormatting sqref="MQ7:MV17">
    <cfRule type="expression" dxfId="261" priority="438" stopIfTrue="1">
      <formula>AND(task_end&gt;=MQ$5,task_start&lt;MR$5)</formula>
    </cfRule>
  </conditionalFormatting>
  <conditionalFormatting sqref="MQ7:MW17">
    <cfRule type="expression" dxfId="260" priority="440">
      <formula>AND(task_start&lt;=MQ$5,ROUNDDOWN((task_end-task_start+1)*task_progress,0)+task_start-1&gt;=MQ$5)</formula>
    </cfRule>
  </conditionalFormatting>
  <conditionalFormatting sqref="MW5:MW17">
    <cfRule type="expression" dxfId="259" priority="441">
      <formula>AND(TODAY()&gt;=MW$5,TODAY()&lt;WI$5)</formula>
    </cfRule>
  </conditionalFormatting>
  <conditionalFormatting sqref="MW7:MW17">
    <cfRule type="expression" dxfId="258" priority="442" stopIfTrue="1">
      <formula>AND(task_end&gt;=MW$5,task_start&lt;WI$5)</formula>
    </cfRule>
  </conditionalFormatting>
  <conditionalFormatting sqref="MQ87:MW88 MQ109:MW109 MQ112:MW112">
    <cfRule type="expression" dxfId="257" priority="437">
      <formula>AND(task_start&lt;=MQ$5,ROUNDDOWN((task_end-task_start+1)*task_progress,0)+task_start-1&gt;=MQ$5)</formula>
    </cfRule>
  </conditionalFormatting>
  <conditionalFormatting sqref="MQ23:MW23">
    <cfRule type="expression" dxfId="256" priority="436">
      <formula>AND(task_start&lt;=MQ$5,ROUNDDOWN((task_end-task_start+1)*task_progress,0)+task_start-1&gt;=MQ$5)</formula>
    </cfRule>
  </conditionalFormatting>
  <conditionalFormatting sqref="MQ29:MW30">
    <cfRule type="expression" dxfId="255" priority="435">
      <formula>AND(task_start&lt;=MQ$5,ROUNDDOWN((task_end-task_start+1)*task_progress,0)+task_start-1&gt;=MQ$5)</formula>
    </cfRule>
  </conditionalFormatting>
  <conditionalFormatting sqref="E34:E35">
    <cfRule type="dataBar" priority="422">
      <dataBar>
        <cfvo type="num" val="0"/>
        <cfvo type="num" val="1"/>
        <color theme="0" tint="-0.249977111117893"/>
      </dataBar>
      <extLst>
        <ext xmlns:x14="http://schemas.microsoft.com/office/spreadsheetml/2009/9/main" uri="{B025F937-C7B1-47D3-B67F-A62EFF666E3E}">
          <x14:id>{6C1DCB77-7F3D-42EB-8845-D6DC15CA9585}</x14:id>
        </ext>
      </extLst>
    </cfRule>
  </conditionalFormatting>
  <conditionalFormatting sqref="L34:BG35 BU34:BV35 BI34:BN35 CA34:DY35 EA34:EF35 EH34:EM35 EO34:ET35 EV34:FA35 FC34:FH35 FJ34:FO35 FQ34:FV35 FX34:GC35 GE34:GJ35 GL34:GQ35 GS34:GX35 GZ34:HE35 HG34:HL35 HN34:HS35 HU34:HZ35 IB34:IG35 II34:IN35 IP34:IU35 IW34:JB35 JD34:JI35 JK34:JP35 JR34:JW35 JY34:KD35 KF34:KK35 KM34:KR35 KT34:KY35 LA34:LF35 LH34:LM35 LO34:LT35 LV34:MA35 MC34:MH35 MJ34:MO35 MQ34:MV35 MQ37:MV37 MJ37:MO37 MC37:MH37 LV37:MA37 LO37:LT37 LH37:LM37 LA37:LF37 KT37:KY37 KM37:KR37 KF37:KK37 JY37:KD37 JR37:JW37 JK37:JP37 JD37:JI37 IW37:JB37 IP37:IU37 II37:IN37 IB37:IG37 HU37:HZ37 HN37:HS37 HG37:HL37 GZ37:HE37 GS37:GX37 GL37:GQ37 GE37:GJ37 FX37:GC37 FQ37:FV37 FJ37:FO37 FC37:FH37 EV37:FA37 EO37:ET37 EH37:EM37 EA37:EF37 CA37:DY37 BI37:BN37 BU37:BV37 L37:BG37">
    <cfRule type="expression" dxfId="254" priority="421">
      <formula>AND(TODAY()&gt;=L$5,TODAY()&lt;M$5)</formula>
    </cfRule>
  </conditionalFormatting>
  <conditionalFormatting sqref="L34:MW35 L37:MW37">
    <cfRule type="expression" dxfId="253" priority="417">
      <formula>AND(task_start&lt;=L$5,ROUNDDOWN((task_end-task_start+1)*task_progress,0)+task_start-1&gt;=L$5)</formula>
    </cfRule>
  </conditionalFormatting>
  <conditionalFormatting sqref="BH34:BH35 BH37">
    <cfRule type="expression" dxfId="252" priority="423">
      <formula>AND(TODAY()&gt;=BH$5,TODAY()&lt;CD$5)</formula>
    </cfRule>
  </conditionalFormatting>
  <conditionalFormatting sqref="BH34:BH35 BH37">
    <cfRule type="expression" dxfId="251" priority="424" stopIfTrue="1">
      <formula>AND(task_end&gt;=BH$5,task_start&lt;CD$5)</formula>
    </cfRule>
  </conditionalFormatting>
  <conditionalFormatting sqref="BI34:BN35 L34:BG35 BU34:BV35 CA34:DY35 EA34:EF35 EH34:EM35 EO34:ET35 EV34:FA35 FC34:FH35 FJ34:FO35 FQ34:FV35 FX34:GC35 GE34:GJ35 GL34:GQ35 GS34:GX35 GZ34:HE35 HG34:HL35 HN34:HS35 HU34:HZ35 IB34:IG35 II34:IN35 IP34:IU35 IW34:JB35 JD34:JI35 JK34:JP35 JR34:JW35 JY34:KD35 KF34:KK35 KM34:KR35 KT34:KY35 LA34:LF35 LH34:LM35 LO34:LT35 LV34:MA35 MC34:MH35 MJ34:MO35 MQ34:MV35 MQ37:MV37 MJ37:MO37 MC37:MH37 LV37:MA37 LO37:LT37 LH37:LM37 LA37:LF37 KT37:KY37 KM37:KR37 KF37:KK37 JY37:KD37 JR37:JW37 JK37:JP37 JD37:JI37 IW37:JB37 IP37:IU37 II37:IN37 IB37:IG37 HU37:HZ37 HN37:HS37 HG37:HL37 GZ37:HE37 GS37:GX37 GL37:GQ37 GE37:GJ37 FX37:GC37 FQ37:FV37 FJ37:FO37 FC37:FH37 EV37:FA37 EO37:ET37 EH37:EM37 EA37:EF37 CA37:DY37 BU37:BV37 L37:BG37 BI37:BN37">
    <cfRule type="expression" dxfId="250" priority="418" stopIfTrue="1">
      <formula>AND(task_end&gt;=L$5,task_start&lt;M$5)</formula>
    </cfRule>
  </conditionalFormatting>
  <conditionalFormatting sqref="BO34:BO35 BO37">
    <cfRule type="expression" dxfId="249" priority="419">
      <formula>AND(TODAY()&gt;=BO$5,TODAY()&lt;CY$5)</formula>
    </cfRule>
  </conditionalFormatting>
  <conditionalFormatting sqref="BO34:BO35 BO37">
    <cfRule type="expression" dxfId="248" priority="420" stopIfTrue="1">
      <formula>AND(task_end&gt;=BO$5,task_start&lt;CY$5)</formula>
    </cfRule>
  </conditionalFormatting>
  <conditionalFormatting sqref="BP34:BT35 BP37:BT37">
    <cfRule type="expression" dxfId="247" priority="429">
      <formula>AND(TODAY()&gt;=BP$5,TODAY()&lt;CF$5)</formula>
    </cfRule>
  </conditionalFormatting>
  <conditionalFormatting sqref="BP34:BT35 BP37:BT37">
    <cfRule type="expression" dxfId="246" priority="430" stopIfTrue="1">
      <formula>AND(task_end&gt;=BP$5,task_start&lt;CF$5)</formula>
    </cfRule>
  </conditionalFormatting>
  <conditionalFormatting sqref="BW34:BX35 BW37:BX37">
    <cfRule type="expression" dxfId="245" priority="432" stopIfTrue="1">
      <formula>AND(task_end&gt;=BW$5,task_start&lt;CA$5)</formula>
    </cfRule>
  </conditionalFormatting>
  <conditionalFormatting sqref="BW34:BX35 BW37:BX37">
    <cfRule type="expression" dxfId="244" priority="431">
      <formula>AND(TODAY()&gt;=BW$5,TODAY()&lt;CA$5)</formula>
    </cfRule>
  </conditionalFormatting>
  <conditionalFormatting sqref="BY34:BY35 BY37">
    <cfRule type="expression" dxfId="243" priority="427">
      <formula>AND(TODAY()&gt;=BY$5,TODAY()&lt;CB$5)</formula>
    </cfRule>
    <cfRule type="expression" dxfId="242" priority="428" stopIfTrue="1">
      <formula>AND(task_end&gt;=BY$5,task_start&lt;CB$5)</formula>
    </cfRule>
  </conditionalFormatting>
  <conditionalFormatting sqref="BZ34:BZ35 BZ37">
    <cfRule type="expression" dxfId="241" priority="425">
      <formula>AND(TODAY()&gt;=BZ$5,TODAY()&lt;CB$5)</formula>
    </cfRule>
    <cfRule type="expression" dxfId="240" priority="426" stopIfTrue="1">
      <formula>AND(task_end&gt;=BZ$5,task_start&lt;CB$5)</formula>
    </cfRule>
  </conditionalFormatting>
  <conditionalFormatting sqref="DZ34:DZ35 EG34:EG35 EN34:EN35 EU34:EU35 FB34:FB35 FI34:FI35 FP34:FP35 FW34:FW35 GD34:GD35 GK34:GK35 GR34:GR35 GY34:GY35 HF34:HF35 HM34:HM35 HT34:HT35 IA34:IA35 IH34:IH35 IO34:IO35 IV34:IV35 JC34:JC35 JJ34:JJ35 JQ34:JQ35 JX34:JX35 KE34:KE35 KL34:KL35 KS34:KS35 KZ34:KZ35 LG34:LG35 LN34:LN35 LU34:LU35 MB34:MB35 MI34:MI35 MP34:MP35 MW34:MW35 MW37 MP37 MI37 MB37 LU37 LN37 LG37 KZ37 KS37 KL37 KE37 JX37 JQ37 JJ37 JC37 IV37 IO37 IH37 IA37 HT37 HM37 HF37 GY37 GR37 GK37 GD37 FW37 FP37 FI37 FB37 EU37 EN37 EG37 DZ37">
    <cfRule type="expression" dxfId="239" priority="433">
      <formula>AND(TODAY()&gt;=DZ$5,TODAY()&lt;MX$5)</formula>
    </cfRule>
  </conditionalFormatting>
  <conditionalFormatting sqref="DZ34:DZ35 EG34:EG35 EN34:EN35 EU34:EU35 FB34:FB35 FI34:FI35 FP34:FP35 FW34:FW35 GD34:GD35 GK34:GK35 GR34:GR35 GY34:GY35 HF34:HF35 HM34:HM35 HT34:HT35 IA34:IA35 IH34:IH35 IO34:IO35 IV34:IV35 JC34:JC35 JJ34:JJ35 JQ34:JQ35 JX34:JX35 KE34:KE35 KL34:KL35 KS34:KS35 KZ34:KZ35 LG34:LG35 LN34:LN35 LU34:LU35 MB34:MB35 MI34:MI35 MP34:MP35 MW34:MW35 MW37 MP37 MI37 MB37 LU37 LN37 LG37 KZ37 KS37 KL37 KE37 JX37 JQ37 JJ37 JC37 IV37 IO37 IH37 IA37 HT37 HM37 HF37 GY37 GR37 GK37 GD37 FW37 FP37 FI37 FB37 EU37 EN37 EG37 DZ37">
    <cfRule type="expression" dxfId="238" priority="434" stopIfTrue="1">
      <formula>AND(task_end&gt;=DZ$5,task_start&lt;MX$5)</formula>
    </cfRule>
  </conditionalFormatting>
  <conditionalFormatting sqref="E37">
    <cfRule type="dataBar" priority="416">
      <dataBar>
        <cfvo type="num" val="0"/>
        <cfvo type="num" val="1"/>
        <color theme="0" tint="-0.249977111117893"/>
      </dataBar>
      <extLst>
        <ext xmlns:x14="http://schemas.microsoft.com/office/spreadsheetml/2009/9/main" uri="{B025F937-C7B1-47D3-B67F-A62EFF666E3E}">
          <x14:id>{7A0E0A3A-9863-4D8B-9AD6-405DF3E82D43}</x14:id>
        </ext>
      </extLst>
    </cfRule>
  </conditionalFormatting>
  <conditionalFormatting sqref="E39:E42">
    <cfRule type="dataBar" priority="385">
      <dataBar>
        <cfvo type="num" val="0"/>
        <cfvo type="num" val="1"/>
        <color theme="0" tint="-0.249977111117893"/>
      </dataBar>
      <extLst>
        <ext xmlns:x14="http://schemas.microsoft.com/office/spreadsheetml/2009/9/main" uri="{B025F937-C7B1-47D3-B67F-A62EFF666E3E}">
          <x14:id>{DDFCE06C-FA69-4330-A51C-9E3A86915609}</x14:id>
        </ext>
      </extLst>
    </cfRule>
  </conditionalFormatting>
  <conditionalFormatting sqref="L39:BG42 BU39:BV42 BI39:BN42 CA39:DY42 EA39:EF42 EH39:EM42 EO39:ET42 EV39:FA42 FC39:FH42 FJ39:FO42 FQ39:FV42 FX39:GC42 GE39:GJ42 GL39:GQ42 GS39:GX42 GZ39:HE42 HG39:HL42 HN39:HS42 HU39:HZ42 IB39:IG42 II39:IN42 IP39:IU42 IW39:JB42 JD39:JI42 JK39:JP42 JR39:JW42 JY39:KD42 KF39:KK42 KM39:KR42 KT39:KY42 LA39:LF42 LH39:LM42 LO39:LT42 LV39:MA42 MC39:MH42 MJ39:MO42 MQ39:MV42">
    <cfRule type="expression" dxfId="237" priority="384">
      <formula>AND(TODAY()&gt;=L$5,TODAY()&lt;M$5)</formula>
    </cfRule>
  </conditionalFormatting>
  <conditionalFormatting sqref="L39:MW42">
    <cfRule type="expression" dxfId="236" priority="380">
      <formula>AND(task_start&lt;=L$5,ROUNDDOWN((task_end-task_start+1)*task_progress,0)+task_start-1&gt;=L$5)</formula>
    </cfRule>
  </conditionalFormatting>
  <conditionalFormatting sqref="BH39:BH42">
    <cfRule type="expression" dxfId="235" priority="386">
      <formula>AND(TODAY()&gt;=BH$5,TODAY()&lt;CD$5)</formula>
    </cfRule>
  </conditionalFormatting>
  <conditionalFormatting sqref="BH39:BH42">
    <cfRule type="expression" dxfId="234" priority="387" stopIfTrue="1">
      <formula>AND(task_end&gt;=BH$5,task_start&lt;CD$5)</formula>
    </cfRule>
  </conditionalFormatting>
  <conditionalFormatting sqref="BI39:BN42 L39:BG42 BU39:BV42 CA39:DY42 EA39:EF42 EH39:EM42 EO39:ET42 EV39:FA42 FC39:FH42 FJ39:FO42 FQ39:FV42 FX39:GC42 GE39:GJ42 GL39:GQ42 GS39:GX42 GZ39:HE42 HG39:HL42 HN39:HS42 HU39:HZ42 IB39:IG42 II39:IN42 IP39:IU42 IW39:JB42 JD39:JI42 JK39:JP42 JR39:JW42 JY39:KD42 KF39:KK42 KM39:KR42 KT39:KY42 LA39:LF42 LH39:LM42 LO39:LT42 LV39:MA42 MC39:MH42 MJ39:MO42 MQ39:MV42">
    <cfRule type="expression" dxfId="233" priority="381" stopIfTrue="1">
      <formula>AND(task_end&gt;=L$5,task_start&lt;M$5)</formula>
    </cfRule>
  </conditionalFormatting>
  <conditionalFormatting sqref="BO39:BO42">
    <cfRule type="expression" dxfId="232" priority="382">
      <formula>AND(TODAY()&gt;=BO$5,TODAY()&lt;CY$5)</formula>
    </cfRule>
  </conditionalFormatting>
  <conditionalFormatting sqref="BO39:BO42">
    <cfRule type="expression" dxfId="231" priority="383" stopIfTrue="1">
      <formula>AND(task_end&gt;=BO$5,task_start&lt;CY$5)</formula>
    </cfRule>
  </conditionalFormatting>
  <conditionalFormatting sqref="BP39:BT42">
    <cfRule type="expression" dxfId="230" priority="392">
      <formula>AND(TODAY()&gt;=BP$5,TODAY()&lt;CF$5)</formula>
    </cfRule>
  </conditionalFormatting>
  <conditionalFormatting sqref="BP39:BT42">
    <cfRule type="expression" dxfId="229" priority="393" stopIfTrue="1">
      <formula>AND(task_end&gt;=BP$5,task_start&lt;CF$5)</formula>
    </cfRule>
  </conditionalFormatting>
  <conditionalFormatting sqref="BW39:BX42">
    <cfRule type="expression" dxfId="228" priority="395" stopIfTrue="1">
      <formula>AND(task_end&gt;=BW$5,task_start&lt;CA$5)</formula>
    </cfRule>
  </conditionalFormatting>
  <conditionalFormatting sqref="BW39:BX42">
    <cfRule type="expression" dxfId="227" priority="394">
      <formula>AND(TODAY()&gt;=BW$5,TODAY()&lt;CA$5)</formula>
    </cfRule>
  </conditionalFormatting>
  <conditionalFormatting sqref="BY39:BY42">
    <cfRule type="expression" dxfId="226" priority="390">
      <formula>AND(TODAY()&gt;=BY$5,TODAY()&lt;CB$5)</formula>
    </cfRule>
    <cfRule type="expression" dxfId="225" priority="391" stopIfTrue="1">
      <formula>AND(task_end&gt;=BY$5,task_start&lt;CB$5)</formula>
    </cfRule>
  </conditionalFormatting>
  <conditionalFormatting sqref="BZ39:BZ42">
    <cfRule type="expression" dxfId="224" priority="388">
      <formula>AND(TODAY()&gt;=BZ$5,TODAY()&lt;CB$5)</formula>
    </cfRule>
    <cfRule type="expression" dxfId="223" priority="389" stopIfTrue="1">
      <formula>AND(task_end&gt;=BZ$5,task_start&lt;CB$5)</formula>
    </cfRule>
  </conditionalFormatting>
  <conditionalFormatting sqref="DZ39:DZ42 EG39:EG42 EN39:EN42 EU39:EU42 FB39:FB42 FI39:FI42 FP39:FP42 FW39:FW42 GD39:GD42 GK39:GK42 GR39:GR42 GY39:GY42 HF39:HF42 HM39:HM42 HT39:HT42 IA39:IA42 IH39:IH42 IO39:IO42 IV39:IV42 JC39:JC42 JJ39:JJ42 JQ39:JQ42 JX39:JX42 KE39:KE42 KL39:KL42 KS39:KS42 KZ39:KZ42 LG39:LG42 LN39:LN42 LU39:LU42 MB39:MB42 MI39:MI42 MP39:MP42 MW39:MW42">
    <cfRule type="expression" dxfId="222" priority="396">
      <formula>AND(TODAY()&gt;=DZ$5,TODAY()&lt;MX$5)</formula>
    </cfRule>
  </conditionalFormatting>
  <conditionalFormatting sqref="DZ39:DZ42 EG39:EG42 EN39:EN42 EU39:EU42 FB39:FB42 FI39:FI42 FP39:FP42 FW39:FW42 GD39:GD42 GK39:GK42 GR39:GR42 GY39:GY42 HF39:HF42 HM39:HM42 HT39:HT42 IA39:IA42 IH39:IH42 IO39:IO42 IV39:IV42 JC39:JC42 JJ39:JJ42 JQ39:JQ42 JX39:JX42 KE39:KE42 KL39:KL42 KS39:KS42 KZ39:KZ42 LG39:LG42 LN39:LN42 LU39:LU42 MB39:MB42 MI39:MI42 MP39:MP42 MW39:MW42">
    <cfRule type="expression" dxfId="221" priority="397" stopIfTrue="1">
      <formula>AND(task_end&gt;=DZ$5,task_start&lt;MX$5)</formula>
    </cfRule>
  </conditionalFormatting>
  <conditionalFormatting sqref="E59:E60">
    <cfRule type="dataBar" priority="366">
      <dataBar>
        <cfvo type="num" val="0"/>
        <cfvo type="num" val="1"/>
        <color theme="0" tint="-0.249977111117893"/>
      </dataBar>
      <extLst>
        <ext xmlns:x14="http://schemas.microsoft.com/office/spreadsheetml/2009/9/main" uri="{B025F937-C7B1-47D3-B67F-A62EFF666E3E}">
          <x14:id>{3D6F19D8-387D-424C-89F3-85C78D6F3B24}</x14:id>
        </ext>
      </extLst>
    </cfRule>
  </conditionalFormatting>
  <conditionalFormatting sqref="L59:BG60 BU59:BV60 BI59:BN60 CA59:DY60 EA59:EF60 EH59:EM60 EO59:ET60 EV59:FA60 FC59:FH60 FJ59:FO60 FQ59:FV60 FX59:GC60 GE59:GJ60 GL59:GQ60 GS59:GX60 GZ59:HE60 HG59:HL60 HN59:HS60 HU59:HZ60 IB59:IG60 II59:IN60 IP59:IU60 IW59:JB60 JD59:JI60 JK59:JP60 JR59:JW60 JY59:KD60 KF59:KK60 KM59:KR60 KT59:KY60 LA59:LF60 LH59:LM60 LO59:LT60 LV59:MA60 MC59:MH60 MJ59:MO60 MQ59:MV60">
    <cfRule type="expression" dxfId="220" priority="365">
      <formula>AND(TODAY()&gt;=L$5,TODAY()&lt;M$5)</formula>
    </cfRule>
  </conditionalFormatting>
  <conditionalFormatting sqref="L59:MW60">
    <cfRule type="expression" dxfId="219" priority="361">
      <formula>AND(task_start&lt;=L$5,ROUNDDOWN((task_end-task_start+1)*task_progress,0)+task_start-1&gt;=L$5)</formula>
    </cfRule>
  </conditionalFormatting>
  <conditionalFormatting sqref="BH59:BH60">
    <cfRule type="expression" dxfId="218" priority="367">
      <formula>AND(TODAY()&gt;=BH$5,TODAY()&lt;CD$5)</formula>
    </cfRule>
  </conditionalFormatting>
  <conditionalFormatting sqref="BH59:BH60">
    <cfRule type="expression" dxfId="217" priority="368" stopIfTrue="1">
      <formula>AND(task_end&gt;=BH$5,task_start&lt;CD$5)</formula>
    </cfRule>
  </conditionalFormatting>
  <conditionalFormatting sqref="BI59:BN60 L59:BG60 BU59:BV60 CA59:DY60 EA59:EF60 EH59:EM60 EO59:ET60 EV59:FA60 FC59:FH60 FJ59:FO60 FQ59:FV60 FX59:GC60 GE59:GJ60 GL59:GQ60 GS59:GX60 GZ59:HE60 HG59:HL60 HN59:HS60 HU59:HZ60 IB59:IG60 II59:IN60 IP59:IU60 IW59:JB60 JD59:JI60 JK59:JP60 JR59:JW60 JY59:KD60 KF59:KK60 KM59:KR60 KT59:KY60 LA59:LF60 LH59:LM60 LO59:LT60 LV59:MA60 MC59:MH60 MJ59:MO60 MQ59:MV60">
    <cfRule type="expression" dxfId="216" priority="362" stopIfTrue="1">
      <formula>AND(task_end&gt;=L$5,task_start&lt;M$5)</formula>
    </cfRule>
  </conditionalFormatting>
  <conditionalFormatting sqref="BO59:BO60">
    <cfRule type="expression" dxfId="215" priority="363">
      <formula>AND(TODAY()&gt;=BO$5,TODAY()&lt;CY$5)</formula>
    </cfRule>
  </conditionalFormatting>
  <conditionalFormatting sqref="BO59:BO60">
    <cfRule type="expression" dxfId="214" priority="364" stopIfTrue="1">
      <formula>AND(task_end&gt;=BO$5,task_start&lt;CY$5)</formula>
    </cfRule>
  </conditionalFormatting>
  <conditionalFormatting sqref="BP59:BT60">
    <cfRule type="expression" dxfId="213" priority="373">
      <formula>AND(TODAY()&gt;=BP$5,TODAY()&lt;CF$5)</formula>
    </cfRule>
  </conditionalFormatting>
  <conditionalFormatting sqref="BP59:BT60">
    <cfRule type="expression" dxfId="212" priority="374" stopIfTrue="1">
      <formula>AND(task_end&gt;=BP$5,task_start&lt;CF$5)</formula>
    </cfRule>
  </conditionalFormatting>
  <conditionalFormatting sqref="BW59:BX60">
    <cfRule type="expression" dxfId="211" priority="376" stopIfTrue="1">
      <formula>AND(task_end&gt;=BW$5,task_start&lt;CA$5)</formula>
    </cfRule>
  </conditionalFormatting>
  <conditionalFormatting sqref="BW59:BX60">
    <cfRule type="expression" dxfId="210" priority="375">
      <formula>AND(TODAY()&gt;=BW$5,TODAY()&lt;CA$5)</formula>
    </cfRule>
  </conditionalFormatting>
  <conditionalFormatting sqref="BY59:BY60">
    <cfRule type="expression" dxfId="209" priority="371">
      <formula>AND(TODAY()&gt;=BY$5,TODAY()&lt;CB$5)</formula>
    </cfRule>
    <cfRule type="expression" dxfId="208" priority="372" stopIfTrue="1">
      <formula>AND(task_end&gt;=BY$5,task_start&lt;CB$5)</formula>
    </cfRule>
  </conditionalFormatting>
  <conditionalFormatting sqref="BZ59:BZ60">
    <cfRule type="expression" dxfId="207" priority="369">
      <formula>AND(TODAY()&gt;=BZ$5,TODAY()&lt;CB$5)</formula>
    </cfRule>
    <cfRule type="expression" dxfId="206" priority="370" stopIfTrue="1">
      <formula>AND(task_end&gt;=BZ$5,task_start&lt;CB$5)</formula>
    </cfRule>
  </conditionalFormatting>
  <conditionalFormatting sqref="DZ59:DZ60 EG59:EG60 EN59:EN60 EU59:EU60 FB59:FB60 FI59:FI60 FP59:FP60 FW59:FW60 GD59:GD60 GK59:GK60 GR59:GR60 GY59:GY60 HF59:HF60 HM59:HM60 HT59:HT60 IA59:IA60 IH59:IH60 IO59:IO60 IV59:IV60 JC59:JC60 JJ59:JJ60 JQ59:JQ60 JX59:JX60 KE59:KE60 KL59:KL60 KS59:KS60 KZ59:KZ60 LG59:LG60 LN59:LN60 LU59:LU60 MB59:MB60 MI59:MI60 MP59:MP60 MW59:MW60">
    <cfRule type="expression" dxfId="205" priority="377">
      <formula>AND(TODAY()&gt;=DZ$5,TODAY()&lt;MX$5)</formula>
    </cfRule>
  </conditionalFormatting>
  <conditionalFormatting sqref="DZ59:DZ60 EG59:EG60 EN59:EN60 EU59:EU60 FB59:FB60 FI59:FI60 FP59:FP60 FW59:FW60 GD59:GD60 GK59:GK60 GR59:GR60 GY59:GY60 HF59:HF60 HM59:HM60 HT59:HT60 IA59:IA60 IH59:IH60 IO59:IO60 IV59:IV60 JC59:JC60 JJ59:JJ60 JQ59:JQ60 JX59:JX60 KE59:KE60 KL59:KL60 KS59:KS60 KZ59:KZ60 LG59:LG60 LN59:LN60 LU59:LU60 MB59:MB60 MI59:MI60 MP59:MP60 MW59:MW60">
    <cfRule type="expression" dxfId="204" priority="378" stopIfTrue="1">
      <formula>AND(task_end&gt;=DZ$5,task_start&lt;MX$5)</formula>
    </cfRule>
  </conditionalFormatting>
  <conditionalFormatting sqref="E44:E46">
    <cfRule type="dataBar" priority="348">
      <dataBar>
        <cfvo type="num" val="0"/>
        <cfvo type="num" val="1"/>
        <color theme="0" tint="-0.249977111117893"/>
      </dataBar>
      <extLst>
        <ext xmlns:x14="http://schemas.microsoft.com/office/spreadsheetml/2009/9/main" uri="{B025F937-C7B1-47D3-B67F-A62EFF666E3E}">
          <x14:id>{D222DAD6-05EA-492B-B50A-E3406B3B0FBE}</x14:id>
        </ext>
      </extLst>
    </cfRule>
  </conditionalFormatting>
  <conditionalFormatting sqref="MQ44:MV46 MJ44:MO46 MC44:MH46 LV44:MA46 LO44:LT46 LH44:LM46 LA44:LF46 KT44:KY46 KM44:KR46 KF44:KK46 JY44:KD46 JR44:JW46 JK44:JP46 JD44:JI46 IW44:JB46 IP44:IU46 II44:IN46 IB44:IG46 HU44:HZ46 HN44:HS46 HG44:HL46 GZ44:HE46 GS44:GX46 GL44:GQ46 GE44:GJ46 FX44:GC46 FQ44:FV46 FJ44:FO46 FC44:FH46 EV44:FA46 EO44:ET46 EH44:EM46 EA44:EF46 CA44:DY46 BI44:BN46 BU44:BV46 L44:BG46">
    <cfRule type="expression" dxfId="203" priority="347">
      <formula>AND(TODAY()&gt;=L$5,TODAY()&lt;M$5)</formula>
    </cfRule>
  </conditionalFormatting>
  <conditionalFormatting sqref="L44:MW46">
    <cfRule type="expression" dxfId="202" priority="343">
      <formula>AND(task_start&lt;=L$5,ROUNDDOWN((task_end-task_start+1)*task_progress,0)+task_start-1&gt;=L$5)</formula>
    </cfRule>
  </conditionalFormatting>
  <conditionalFormatting sqref="BH44:BH46">
    <cfRule type="expression" dxfId="201" priority="349">
      <formula>AND(TODAY()&gt;=BH$5,TODAY()&lt;CD$5)</formula>
    </cfRule>
  </conditionalFormatting>
  <conditionalFormatting sqref="BH44:BH46">
    <cfRule type="expression" dxfId="200" priority="350" stopIfTrue="1">
      <formula>AND(task_end&gt;=BH$5,task_start&lt;CD$5)</formula>
    </cfRule>
  </conditionalFormatting>
  <conditionalFormatting sqref="MQ44:MV46 MJ44:MO46 MC44:MH46 LV44:MA46 LO44:LT46 LH44:LM46 LA44:LF46 KT44:KY46 KM44:KR46 KF44:KK46 JY44:KD46 JR44:JW46 JK44:JP46 JD44:JI46 IW44:JB46 IP44:IU46 II44:IN46 IB44:IG46 HU44:HZ46 HN44:HS46 HG44:HL46 GZ44:HE46 GS44:GX46 GL44:GQ46 GE44:GJ46 FX44:GC46 FQ44:FV46 FJ44:FO46 FC44:FH46 EV44:FA46 EO44:ET46 EH44:EM46 EA44:EF46 CA44:DY46 BU44:BV46 L44:BG46 BI44:BN46">
    <cfRule type="expression" dxfId="199" priority="344" stopIfTrue="1">
      <formula>AND(task_end&gt;=L$5,task_start&lt;M$5)</formula>
    </cfRule>
  </conditionalFormatting>
  <conditionalFormatting sqref="BO44:BO46">
    <cfRule type="expression" dxfId="198" priority="345">
      <formula>AND(TODAY()&gt;=BO$5,TODAY()&lt;CY$5)</formula>
    </cfRule>
  </conditionalFormatting>
  <conditionalFormatting sqref="BO44:BO46">
    <cfRule type="expression" dxfId="197" priority="346" stopIfTrue="1">
      <formula>AND(task_end&gt;=BO$5,task_start&lt;CY$5)</formula>
    </cfRule>
  </conditionalFormatting>
  <conditionalFormatting sqref="BP44:BT46">
    <cfRule type="expression" dxfId="196" priority="355">
      <formula>AND(TODAY()&gt;=BP$5,TODAY()&lt;CF$5)</formula>
    </cfRule>
  </conditionalFormatting>
  <conditionalFormatting sqref="BP44:BT46">
    <cfRule type="expression" dxfId="195" priority="356" stopIfTrue="1">
      <formula>AND(task_end&gt;=BP$5,task_start&lt;CF$5)</formula>
    </cfRule>
  </conditionalFormatting>
  <conditionalFormatting sqref="BW44:BX46">
    <cfRule type="expression" dxfId="194" priority="358" stopIfTrue="1">
      <formula>AND(task_end&gt;=BW$5,task_start&lt;CA$5)</formula>
    </cfRule>
  </conditionalFormatting>
  <conditionalFormatting sqref="BW44:BX46">
    <cfRule type="expression" dxfId="193" priority="357">
      <formula>AND(TODAY()&gt;=BW$5,TODAY()&lt;CA$5)</formula>
    </cfRule>
  </conditionalFormatting>
  <conditionalFormatting sqref="BY44:BY46">
    <cfRule type="expression" dxfId="192" priority="353">
      <formula>AND(TODAY()&gt;=BY$5,TODAY()&lt;CB$5)</formula>
    </cfRule>
    <cfRule type="expression" dxfId="191" priority="354" stopIfTrue="1">
      <formula>AND(task_end&gt;=BY$5,task_start&lt;CB$5)</formula>
    </cfRule>
  </conditionalFormatting>
  <conditionalFormatting sqref="BZ44:BZ46">
    <cfRule type="expression" dxfId="190" priority="351">
      <formula>AND(TODAY()&gt;=BZ$5,TODAY()&lt;CB$5)</formula>
    </cfRule>
    <cfRule type="expression" dxfId="189" priority="352" stopIfTrue="1">
      <formula>AND(task_end&gt;=BZ$5,task_start&lt;CB$5)</formula>
    </cfRule>
  </conditionalFormatting>
  <conditionalFormatting sqref="MW44:MW46 MP44:MP46 MI44:MI46 MB44:MB46 LU44:LU46 LN44:LN46 LG44:LG46 KZ44:KZ46 KS44:KS46 KL44:KL46 KE44:KE46 JX44:JX46 JQ44:JQ46 JJ44:JJ46 JC44:JC46 IV44:IV46 IO44:IO46 IH44:IH46 IA44:IA46 HT44:HT46 HM44:HM46 HF44:HF46 GY44:GY46 GR44:GR46 GK44:GK46 GD44:GD46 FW44:FW46 FP44:FP46 FI44:FI46 FB44:FB46 EU44:EU46 EN44:EN46 EG44:EG46 DZ44:DZ46">
    <cfRule type="expression" dxfId="188" priority="359">
      <formula>AND(TODAY()&gt;=DZ$5,TODAY()&lt;MX$5)</formula>
    </cfRule>
  </conditionalFormatting>
  <conditionalFormatting sqref="MW44:MW46 MP44:MP46 MI44:MI46 MB44:MB46 LU44:LU46 LN44:LN46 LG44:LG46 KZ44:KZ46 KS44:KS46 KL44:KL46 KE44:KE46 JX44:JX46 JQ44:JQ46 JJ44:JJ46 JC44:JC46 IV44:IV46 IO44:IO46 IH44:IH46 IA44:IA46 HT44:HT46 HM44:HM46 HF44:HF46 GY44:GY46 GR44:GR46 GK44:GK46 GD44:GD46 FW44:FW46 FP44:FP46 FI44:FI46 FB44:FB46 EU44:EU46 EN44:EN46 EG44:EG46 DZ44:DZ46">
    <cfRule type="expression" dxfId="187" priority="360" stopIfTrue="1">
      <formula>AND(task_end&gt;=DZ$5,task_start&lt;MX$5)</formula>
    </cfRule>
  </conditionalFormatting>
  <conditionalFormatting sqref="E97:E100">
    <cfRule type="dataBar" priority="330">
      <dataBar>
        <cfvo type="num" val="0"/>
        <cfvo type="num" val="1"/>
        <color theme="0" tint="-0.249977111117893"/>
      </dataBar>
      <extLst>
        <ext xmlns:x14="http://schemas.microsoft.com/office/spreadsheetml/2009/9/main" uri="{B025F937-C7B1-47D3-B67F-A62EFF666E3E}">
          <x14:id>{A77F7842-738A-4BFC-B61B-719A1590289E}</x14:id>
        </ext>
      </extLst>
    </cfRule>
  </conditionalFormatting>
  <conditionalFormatting sqref="MQ97:MV100 MJ97:MO100 MC97:MH100 LV97:MA100 LO97:LT100 LH97:LM100 LA97:LF100 KT97:KY100 KM97:KR100 KF97:KK100 JY97:KD100 JR97:JW100 JK97:JP100 JD97:JI100 IW97:JB100 IP97:IU100 II97:IN100 IB97:IG100 HU97:HZ100 HN97:HS100 HG97:HL100 GZ97:HE100 GS97:GX100 GL97:GQ100 GE97:GJ100 FX97:GC100 FQ97:FV100 FJ97:FO100 FC97:FH100 EV97:FA100 EO97:ET100 EH97:EM100 EA97:EF100 CA97:DY100 BI97:BN100 BU97:BV100 L97:BG100">
    <cfRule type="expression" dxfId="186" priority="329">
      <formula>AND(TODAY()&gt;=L$5,TODAY()&lt;M$5)</formula>
    </cfRule>
  </conditionalFormatting>
  <conditionalFormatting sqref="L97:MW100">
    <cfRule type="expression" dxfId="185" priority="325">
      <formula>AND(task_start&lt;=L$5,ROUNDDOWN((task_end-task_start+1)*task_progress,0)+task_start-1&gt;=L$5)</formula>
    </cfRule>
  </conditionalFormatting>
  <conditionalFormatting sqref="BH97:BH100">
    <cfRule type="expression" dxfId="184" priority="331">
      <formula>AND(TODAY()&gt;=BH$5,TODAY()&lt;CD$5)</formula>
    </cfRule>
  </conditionalFormatting>
  <conditionalFormatting sqref="BH97:BH100">
    <cfRule type="expression" dxfId="183" priority="332" stopIfTrue="1">
      <formula>AND(task_end&gt;=BH$5,task_start&lt;CD$5)</formula>
    </cfRule>
  </conditionalFormatting>
  <conditionalFormatting sqref="MQ97:MV100 MJ97:MO100 MC97:MH100 LV97:MA100 LO97:LT100 LH97:LM100 LA97:LF100 KT97:KY100 KM97:KR100 KF97:KK100 JY97:KD100 JR97:JW100 JK97:JP100 JD97:JI100 IW97:JB100 IP97:IU100 II97:IN100 IB97:IG100 HU97:HZ100 HN97:HS100 HG97:HL100 GZ97:HE100 GS97:GX100 GL97:GQ100 GE97:GJ100 FX97:GC100 FQ97:FV100 FJ97:FO100 FC97:FH100 EV97:FA100 EO97:ET100 EH97:EM100 EA97:EF100 CA97:DY100 BU97:BV100 L97:BG100 BI97:BN100">
    <cfRule type="expression" dxfId="182" priority="326" stopIfTrue="1">
      <formula>AND(task_end&gt;=L$5,task_start&lt;M$5)</formula>
    </cfRule>
  </conditionalFormatting>
  <conditionalFormatting sqref="BO97:BO100">
    <cfRule type="expression" dxfId="181" priority="327">
      <formula>AND(TODAY()&gt;=BO$5,TODAY()&lt;CY$5)</formula>
    </cfRule>
  </conditionalFormatting>
  <conditionalFormatting sqref="BO97:BO100">
    <cfRule type="expression" dxfId="180" priority="328" stopIfTrue="1">
      <formula>AND(task_end&gt;=BO$5,task_start&lt;CY$5)</formula>
    </cfRule>
  </conditionalFormatting>
  <conditionalFormatting sqref="BP97:BT100">
    <cfRule type="expression" dxfId="179" priority="337">
      <formula>AND(TODAY()&gt;=BP$5,TODAY()&lt;CF$5)</formula>
    </cfRule>
  </conditionalFormatting>
  <conditionalFormatting sqref="BP97:BT100">
    <cfRule type="expression" dxfId="178" priority="338" stopIfTrue="1">
      <formula>AND(task_end&gt;=BP$5,task_start&lt;CF$5)</formula>
    </cfRule>
  </conditionalFormatting>
  <conditionalFormatting sqref="BW97:BX100">
    <cfRule type="expression" dxfId="177" priority="340" stopIfTrue="1">
      <formula>AND(task_end&gt;=BW$5,task_start&lt;CA$5)</formula>
    </cfRule>
  </conditionalFormatting>
  <conditionalFormatting sqref="BW97:BX100">
    <cfRule type="expression" dxfId="176" priority="339">
      <formula>AND(TODAY()&gt;=BW$5,TODAY()&lt;CA$5)</formula>
    </cfRule>
  </conditionalFormatting>
  <conditionalFormatting sqref="BY97:BY100">
    <cfRule type="expression" dxfId="175" priority="335">
      <formula>AND(TODAY()&gt;=BY$5,TODAY()&lt;CB$5)</formula>
    </cfRule>
    <cfRule type="expression" dxfId="174" priority="336" stopIfTrue="1">
      <formula>AND(task_end&gt;=BY$5,task_start&lt;CB$5)</formula>
    </cfRule>
  </conditionalFormatting>
  <conditionalFormatting sqref="BZ97:BZ100">
    <cfRule type="expression" dxfId="173" priority="333">
      <formula>AND(TODAY()&gt;=BZ$5,TODAY()&lt;CB$5)</formula>
    </cfRule>
    <cfRule type="expression" dxfId="172" priority="334" stopIfTrue="1">
      <formula>AND(task_end&gt;=BZ$5,task_start&lt;CB$5)</formula>
    </cfRule>
  </conditionalFormatting>
  <conditionalFormatting sqref="MW97:MW100 MP97:MP100 MI97:MI100 MB97:MB100 LU97:LU100 LN97:LN100 LG97:LG100 KZ97:KZ100 KS97:KS100 KL97:KL100 KE97:KE100 JX97:JX100 JQ97:JQ100 JJ97:JJ100 JC97:JC100 IV97:IV100 IO97:IO100 IH97:IH100 IA97:IA100 HT97:HT100 HM97:HM100 HF97:HF100 GY97:GY100 GR97:GR100 GK97:GK100 GD97:GD100 FW97:FW100 FP97:FP100 FI97:FI100 FB97:FB100 EU97:EU100 EN97:EN100 EG97:EG100 DZ97:DZ100">
    <cfRule type="expression" dxfId="171" priority="341">
      <formula>AND(TODAY()&gt;=DZ$5,TODAY()&lt;MX$5)</formula>
    </cfRule>
  </conditionalFormatting>
  <conditionalFormatting sqref="MW97:MW100 MP97:MP100 MI97:MI100 MB97:MB100 LU97:LU100 LN97:LN100 LG97:LG100 KZ97:KZ100 KS97:KS100 KL97:KL100 KE97:KE100 JX97:JX100 JQ97:JQ100 JJ97:JJ100 JC97:JC100 IV97:IV100 IO97:IO100 IH97:IH100 IA97:IA100 HT97:HT100 HM97:HM100 HF97:HF100 GY97:GY100 GR97:GR100 GK97:GK100 GD97:GD100 FW97:FW100 FP97:FP100 FI97:FI100 FB97:FB100 EU97:EU100 EN97:EN100 EG97:EG100 DZ97:DZ100">
    <cfRule type="expression" dxfId="170" priority="342" stopIfTrue="1">
      <formula>AND(task_end&gt;=DZ$5,task_start&lt;MX$5)</formula>
    </cfRule>
  </conditionalFormatting>
  <conditionalFormatting sqref="E103:E104">
    <cfRule type="dataBar" priority="312">
      <dataBar>
        <cfvo type="num" val="0"/>
        <cfvo type="num" val="1"/>
        <color theme="0" tint="-0.249977111117893"/>
      </dataBar>
      <extLst>
        <ext xmlns:x14="http://schemas.microsoft.com/office/spreadsheetml/2009/9/main" uri="{B025F937-C7B1-47D3-B67F-A62EFF666E3E}">
          <x14:id>{1C0C7E4D-2FBA-4755-9ADD-FE0828E5ED48}</x14:id>
        </ext>
      </extLst>
    </cfRule>
  </conditionalFormatting>
  <conditionalFormatting sqref="MQ103:MV104 MJ103:MO104 MC103:MH104 LV103:MA104 LO103:LT104 LH103:LM104 LA103:LF104 KT103:KY104 KM103:KR104 KF103:KK104 JY103:KD104 JR103:JW104 JK103:JP104 JD103:JI104 IW103:JB104 IP103:IU104 II103:IN104 IB103:IG104 HU103:HZ104 HN103:HS104 HG103:HL104 GZ103:HE104 GS103:GX104 GL103:GQ104 GE103:GJ104 FX103:GC104 FQ103:FV104 FJ103:FO104 FC103:FH104 EV103:FA104 EO103:ET104 EH103:EM104 EA103:EF104 CA103:DY104 BI103:BN104 BU103:BV104 L103:BG104">
    <cfRule type="expression" dxfId="169" priority="311">
      <formula>AND(TODAY()&gt;=L$5,TODAY()&lt;M$5)</formula>
    </cfRule>
  </conditionalFormatting>
  <conditionalFormatting sqref="L103:MW104">
    <cfRule type="expression" dxfId="168" priority="307">
      <formula>AND(task_start&lt;=L$5,ROUNDDOWN((task_end-task_start+1)*task_progress,0)+task_start-1&gt;=L$5)</formula>
    </cfRule>
  </conditionalFormatting>
  <conditionalFormatting sqref="BH103:BH104">
    <cfRule type="expression" dxfId="167" priority="313">
      <formula>AND(TODAY()&gt;=BH$5,TODAY()&lt;CD$5)</formula>
    </cfRule>
  </conditionalFormatting>
  <conditionalFormatting sqref="BH103:BH104">
    <cfRule type="expression" dxfId="166" priority="314" stopIfTrue="1">
      <formula>AND(task_end&gt;=BH$5,task_start&lt;CD$5)</formula>
    </cfRule>
  </conditionalFormatting>
  <conditionalFormatting sqref="MQ103:MV104 MJ103:MO104 MC103:MH104 LV103:MA104 LO103:LT104 LH103:LM104 LA103:LF104 KT103:KY104 KM103:KR104 KF103:KK104 JY103:KD104 JR103:JW104 JK103:JP104 JD103:JI104 IW103:JB104 IP103:IU104 II103:IN104 IB103:IG104 HU103:HZ104 HN103:HS104 HG103:HL104 GZ103:HE104 GS103:GX104 GL103:GQ104 GE103:GJ104 FX103:GC104 FQ103:FV104 FJ103:FO104 FC103:FH104 EV103:FA104 EO103:ET104 EH103:EM104 EA103:EF104 CA103:DY104 BU103:BV104 L103:BG104 BI103:BN104">
    <cfRule type="expression" dxfId="165" priority="308" stopIfTrue="1">
      <formula>AND(task_end&gt;=L$5,task_start&lt;M$5)</formula>
    </cfRule>
  </conditionalFormatting>
  <conditionalFormatting sqref="BO103:BO104">
    <cfRule type="expression" dxfId="164" priority="309">
      <formula>AND(TODAY()&gt;=BO$5,TODAY()&lt;CY$5)</formula>
    </cfRule>
  </conditionalFormatting>
  <conditionalFormatting sqref="BO103:BO104">
    <cfRule type="expression" dxfId="163" priority="310" stopIfTrue="1">
      <formula>AND(task_end&gt;=BO$5,task_start&lt;CY$5)</formula>
    </cfRule>
  </conditionalFormatting>
  <conditionalFormatting sqref="BP103:BT104">
    <cfRule type="expression" dxfId="162" priority="319">
      <formula>AND(TODAY()&gt;=BP$5,TODAY()&lt;CF$5)</formula>
    </cfRule>
  </conditionalFormatting>
  <conditionalFormatting sqref="BP103:BT104">
    <cfRule type="expression" dxfId="161" priority="320" stopIfTrue="1">
      <formula>AND(task_end&gt;=BP$5,task_start&lt;CF$5)</formula>
    </cfRule>
  </conditionalFormatting>
  <conditionalFormatting sqref="BW103:BX104">
    <cfRule type="expression" dxfId="160" priority="322" stopIfTrue="1">
      <formula>AND(task_end&gt;=BW$5,task_start&lt;CA$5)</formula>
    </cfRule>
  </conditionalFormatting>
  <conditionalFormatting sqref="BW103:BX104">
    <cfRule type="expression" dxfId="159" priority="321">
      <formula>AND(TODAY()&gt;=BW$5,TODAY()&lt;CA$5)</formula>
    </cfRule>
  </conditionalFormatting>
  <conditionalFormatting sqref="BY103:BY104">
    <cfRule type="expression" dxfId="158" priority="317">
      <formula>AND(TODAY()&gt;=BY$5,TODAY()&lt;CB$5)</formula>
    </cfRule>
    <cfRule type="expression" dxfId="157" priority="318" stopIfTrue="1">
      <formula>AND(task_end&gt;=BY$5,task_start&lt;CB$5)</formula>
    </cfRule>
  </conditionalFormatting>
  <conditionalFormatting sqref="BZ103:BZ104">
    <cfRule type="expression" dxfId="156" priority="315">
      <formula>AND(TODAY()&gt;=BZ$5,TODAY()&lt;CB$5)</formula>
    </cfRule>
    <cfRule type="expression" dxfId="155" priority="316" stopIfTrue="1">
      <formula>AND(task_end&gt;=BZ$5,task_start&lt;CB$5)</formula>
    </cfRule>
  </conditionalFormatting>
  <conditionalFormatting sqref="MW103:MW104 MP103:MP104 MI103:MI104 MB103:MB104 LU103:LU104 LN103:LN104 LG103:LG104 KZ103:KZ104 KS103:KS104 KL103:KL104 KE103:KE104 JX103:JX104 JQ103:JQ104 JJ103:JJ104 JC103:JC104 IV103:IV104 IO103:IO104 IH103:IH104 IA103:IA104 HT103:HT104 HM103:HM104 HF103:HF104 GY103:GY104 GR103:GR104 GK103:GK104 GD103:GD104 FW103:FW104 FP103:FP104 FI103:FI104 FB103:FB104 EU103:EU104 EN103:EN104 EG103:EG104 DZ103:DZ104">
    <cfRule type="expression" dxfId="154" priority="323">
      <formula>AND(TODAY()&gt;=DZ$5,TODAY()&lt;MX$5)</formula>
    </cfRule>
  </conditionalFormatting>
  <conditionalFormatting sqref="MW103:MW104 MP103:MP104 MI103:MI104 MB103:MB104 LU103:LU104 LN103:LN104 LG103:LG104 KZ103:KZ104 KS103:KS104 KL103:KL104 KE103:KE104 JX103:JX104 JQ103:JQ104 JJ103:JJ104 JC103:JC104 IV103:IV104 IO103:IO104 IH103:IH104 IA103:IA104 HT103:HT104 HM103:HM104 HF103:HF104 GY103:GY104 GR103:GR104 GK103:GK104 GD103:GD104 FW103:FW104 FP103:FP104 FI103:FI104 FB103:FB104 EU103:EU104 EN103:EN104 EG103:EG104 DZ103:DZ104">
    <cfRule type="expression" dxfId="153" priority="324" stopIfTrue="1">
      <formula>AND(task_end&gt;=DZ$5,task_start&lt;MX$5)</formula>
    </cfRule>
  </conditionalFormatting>
  <conditionalFormatting sqref="E105:E106">
    <cfRule type="dataBar" priority="294">
      <dataBar>
        <cfvo type="num" val="0"/>
        <cfvo type="num" val="1"/>
        <color theme="0" tint="-0.249977111117893"/>
      </dataBar>
      <extLst>
        <ext xmlns:x14="http://schemas.microsoft.com/office/spreadsheetml/2009/9/main" uri="{B025F937-C7B1-47D3-B67F-A62EFF666E3E}">
          <x14:id>{DFBC511F-4052-43B1-82F0-BA4DC3AAB662}</x14:id>
        </ext>
      </extLst>
    </cfRule>
  </conditionalFormatting>
  <conditionalFormatting sqref="MQ105:MV106 MJ105:MO106 MC105:MH106 LV105:MA106 LO105:LT106 LH105:LM106 LA105:LF106 KT105:KY106 KM105:KR106 KF105:KK106 JY105:KD106 JR105:JW106 JK105:JP106 JD105:JI106 IW105:JB106 IP105:IU106 II105:IN106 IB105:IG106 HU105:HZ106 HN105:HS106 HG105:HL106 GZ105:HE106 GS105:GX106 GL105:GQ106 GE105:GJ106 FX105:GC106 FQ105:FV106 FJ105:FO106 FC105:FH106 EV105:FA106 EO105:ET106 EH105:EM106 EA105:EF106 CA105:DY106 BI105:BN106 BU105:BV106 L105:BG106">
    <cfRule type="expression" dxfId="152" priority="293">
      <formula>AND(TODAY()&gt;=L$5,TODAY()&lt;M$5)</formula>
    </cfRule>
  </conditionalFormatting>
  <conditionalFormatting sqref="L105:MW106">
    <cfRule type="expression" dxfId="151" priority="289">
      <formula>AND(task_start&lt;=L$5,ROUNDDOWN((task_end-task_start+1)*task_progress,0)+task_start-1&gt;=L$5)</formula>
    </cfRule>
  </conditionalFormatting>
  <conditionalFormatting sqref="BH105:BH106">
    <cfRule type="expression" dxfId="150" priority="295">
      <formula>AND(TODAY()&gt;=BH$5,TODAY()&lt;CD$5)</formula>
    </cfRule>
  </conditionalFormatting>
  <conditionalFormatting sqref="BH105:BH106">
    <cfRule type="expression" dxfId="149" priority="296" stopIfTrue="1">
      <formula>AND(task_end&gt;=BH$5,task_start&lt;CD$5)</formula>
    </cfRule>
  </conditionalFormatting>
  <conditionalFormatting sqref="MQ105:MV106 MJ105:MO106 MC105:MH106 LV105:MA106 LO105:LT106 LH105:LM106 LA105:LF106 KT105:KY106 KM105:KR106 KF105:KK106 JY105:KD106 JR105:JW106 JK105:JP106 JD105:JI106 IW105:JB106 IP105:IU106 II105:IN106 IB105:IG106 HU105:HZ106 HN105:HS106 HG105:HL106 GZ105:HE106 GS105:GX106 GL105:GQ106 GE105:GJ106 FX105:GC106 FQ105:FV106 FJ105:FO106 FC105:FH106 EV105:FA106 EO105:ET106 EH105:EM106 EA105:EF106 CA105:DY106 BU105:BV106 L105:BG106 BI105:BN106">
    <cfRule type="expression" dxfId="148" priority="290" stopIfTrue="1">
      <formula>AND(task_end&gt;=L$5,task_start&lt;M$5)</formula>
    </cfRule>
  </conditionalFormatting>
  <conditionalFormatting sqref="BO105:BO106">
    <cfRule type="expression" dxfId="147" priority="291">
      <formula>AND(TODAY()&gt;=BO$5,TODAY()&lt;CY$5)</formula>
    </cfRule>
  </conditionalFormatting>
  <conditionalFormatting sqref="BO105:BO106">
    <cfRule type="expression" dxfId="146" priority="292" stopIfTrue="1">
      <formula>AND(task_end&gt;=BO$5,task_start&lt;CY$5)</formula>
    </cfRule>
  </conditionalFormatting>
  <conditionalFormatting sqref="BP105:BT106">
    <cfRule type="expression" dxfId="145" priority="301">
      <formula>AND(TODAY()&gt;=BP$5,TODAY()&lt;CF$5)</formula>
    </cfRule>
  </conditionalFormatting>
  <conditionalFormatting sqref="BP105:BT106">
    <cfRule type="expression" dxfId="144" priority="302" stopIfTrue="1">
      <formula>AND(task_end&gt;=BP$5,task_start&lt;CF$5)</formula>
    </cfRule>
  </conditionalFormatting>
  <conditionalFormatting sqref="BW105:BX106">
    <cfRule type="expression" dxfId="143" priority="304" stopIfTrue="1">
      <formula>AND(task_end&gt;=BW$5,task_start&lt;CA$5)</formula>
    </cfRule>
  </conditionalFormatting>
  <conditionalFormatting sqref="BW105:BX106">
    <cfRule type="expression" dxfId="142" priority="303">
      <formula>AND(TODAY()&gt;=BW$5,TODAY()&lt;CA$5)</formula>
    </cfRule>
  </conditionalFormatting>
  <conditionalFormatting sqref="BY105:BY106">
    <cfRule type="expression" dxfId="141" priority="299">
      <formula>AND(TODAY()&gt;=BY$5,TODAY()&lt;CB$5)</formula>
    </cfRule>
    <cfRule type="expression" dxfId="140" priority="300" stopIfTrue="1">
      <formula>AND(task_end&gt;=BY$5,task_start&lt;CB$5)</formula>
    </cfRule>
  </conditionalFormatting>
  <conditionalFormatting sqref="BZ105:BZ106">
    <cfRule type="expression" dxfId="139" priority="297">
      <formula>AND(TODAY()&gt;=BZ$5,TODAY()&lt;CB$5)</formula>
    </cfRule>
    <cfRule type="expression" dxfId="138" priority="298" stopIfTrue="1">
      <formula>AND(task_end&gt;=BZ$5,task_start&lt;CB$5)</formula>
    </cfRule>
  </conditionalFormatting>
  <conditionalFormatting sqref="MW105:MW106 MP105:MP106 MI105:MI106 MB105:MB106 LU105:LU106 LN105:LN106 LG105:LG106 KZ105:KZ106 KS105:KS106 KL105:KL106 KE105:KE106 JX105:JX106 JQ105:JQ106 JJ105:JJ106 JC105:JC106 IV105:IV106 IO105:IO106 IH105:IH106 IA105:IA106 HT105:HT106 HM105:HM106 HF105:HF106 GY105:GY106 GR105:GR106 GK105:GK106 GD105:GD106 FW105:FW106 FP105:FP106 FI105:FI106 FB105:FB106 EU105:EU106 EN105:EN106 EG105:EG106 DZ105:DZ106">
    <cfRule type="expression" dxfId="137" priority="305">
      <formula>AND(TODAY()&gt;=DZ$5,TODAY()&lt;MX$5)</formula>
    </cfRule>
  </conditionalFormatting>
  <conditionalFormatting sqref="MW105:MW106 MP105:MP106 MI105:MI106 MB105:MB106 LU105:LU106 LN105:LN106 LG105:LG106 KZ105:KZ106 KS105:KS106 KL105:KL106 KE105:KE106 JX105:JX106 JQ105:JQ106 JJ105:JJ106 JC105:JC106 IV105:IV106 IO105:IO106 IH105:IH106 IA105:IA106 HT105:HT106 HM105:HM106 HF105:HF106 GY105:GY106 GR105:GR106 GK105:GK106 GD105:GD106 FW105:FW106 FP105:FP106 FI105:FI106 FB105:FB106 EU105:EU106 EN105:EN106 EG105:EG106 DZ105:DZ106">
    <cfRule type="expression" dxfId="136" priority="306" stopIfTrue="1">
      <formula>AND(task_end&gt;=DZ$5,task_start&lt;MX$5)</formula>
    </cfRule>
  </conditionalFormatting>
  <conditionalFormatting sqref="E101:E102">
    <cfRule type="dataBar" priority="276">
      <dataBar>
        <cfvo type="num" val="0"/>
        <cfvo type="num" val="1"/>
        <color theme="0" tint="-0.249977111117893"/>
      </dataBar>
      <extLst>
        <ext xmlns:x14="http://schemas.microsoft.com/office/spreadsheetml/2009/9/main" uri="{B025F937-C7B1-47D3-B67F-A62EFF666E3E}">
          <x14:id>{57A96C61-8793-4941-A07C-B4FC980E41D6}</x14:id>
        </ext>
      </extLst>
    </cfRule>
  </conditionalFormatting>
  <conditionalFormatting sqref="MQ101:MV102 MJ101:MO102 MC101:MH102 LV101:MA102 LO101:LT102 LH101:LM102 LA101:LF102 KT101:KY102 KM101:KR102 KF101:KK102 JY101:KD102 JR101:JW102 JK101:JP102 JD101:JI102 IW101:JB102 IP101:IU102 II101:IN102 IB101:IG102 HU101:HZ102 HN101:HS102 HG101:HL102 GZ101:HE102 GS101:GX102 GL101:GQ102 GE101:GJ102 FX101:GC102 FQ101:FV102 FJ101:FO102 FC101:FH102 EV101:FA102 EO101:ET102 EH101:EM102 EA101:EF102 CA101:DY102 BI101:BN102 BU101:BV102 L101:BG102">
    <cfRule type="expression" dxfId="135" priority="275">
      <formula>AND(TODAY()&gt;=L$5,TODAY()&lt;M$5)</formula>
    </cfRule>
  </conditionalFormatting>
  <conditionalFormatting sqref="L101:MW102">
    <cfRule type="expression" dxfId="134" priority="271">
      <formula>AND(task_start&lt;=L$5,ROUNDDOWN((task_end-task_start+1)*task_progress,0)+task_start-1&gt;=L$5)</formula>
    </cfRule>
  </conditionalFormatting>
  <conditionalFormatting sqref="BH101:BH102">
    <cfRule type="expression" dxfId="133" priority="277">
      <formula>AND(TODAY()&gt;=BH$5,TODAY()&lt;CD$5)</formula>
    </cfRule>
  </conditionalFormatting>
  <conditionalFormatting sqref="BH101:BH102">
    <cfRule type="expression" dxfId="132" priority="278" stopIfTrue="1">
      <formula>AND(task_end&gt;=BH$5,task_start&lt;CD$5)</formula>
    </cfRule>
  </conditionalFormatting>
  <conditionalFormatting sqref="MQ101:MV102 MJ101:MO102 MC101:MH102 LV101:MA102 LO101:LT102 LH101:LM102 LA101:LF102 KT101:KY102 KM101:KR102 KF101:KK102 JY101:KD102 JR101:JW102 JK101:JP102 JD101:JI102 IW101:JB102 IP101:IU102 II101:IN102 IB101:IG102 HU101:HZ102 HN101:HS102 HG101:HL102 GZ101:HE102 GS101:GX102 GL101:GQ102 GE101:GJ102 FX101:GC102 FQ101:FV102 FJ101:FO102 FC101:FH102 EV101:FA102 EO101:ET102 EH101:EM102 EA101:EF102 CA101:DY102 BU101:BV102 L101:BG102 BI101:BN102">
    <cfRule type="expression" dxfId="131" priority="272" stopIfTrue="1">
      <formula>AND(task_end&gt;=L$5,task_start&lt;M$5)</formula>
    </cfRule>
  </conditionalFormatting>
  <conditionalFormatting sqref="BO101:BO102">
    <cfRule type="expression" dxfId="130" priority="273">
      <formula>AND(TODAY()&gt;=BO$5,TODAY()&lt;CY$5)</formula>
    </cfRule>
  </conditionalFormatting>
  <conditionalFormatting sqref="BO101:BO102">
    <cfRule type="expression" dxfId="129" priority="274" stopIfTrue="1">
      <formula>AND(task_end&gt;=BO$5,task_start&lt;CY$5)</formula>
    </cfRule>
  </conditionalFormatting>
  <conditionalFormatting sqref="BP101:BT102">
    <cfRule type="expression" dxfId="128" priority="283">
      <formula>AND(TODAY()&gt;=BP$5,TODAY()&lt;CF$5)</formula>
    </cfRule>
  </conditionalFormatting>
  <conditionalFormatting sqref="BP101:BT102">
    <cfRule type="expression" dxfId="127" priority="284" stopIfTrue="1">
      <formula>AND(task_end&gt;=BP$5,task_start&lt;CF$5)</formula>
    </cfRule>
  </conditionalFormatting>
  <conditionalFormatting sqref="BW101:BX102">
    <cfRule type="expression" dxfId="126" priority="286" stopIfTrue="1">
      <formula>AND(task_end&gt;=BW$5,task_start&lt;CA$5)</formula>
    </cfRule>
  </conditionalFormatting>
  <conditionalFormatting sqref="BW101:BX102">
    <cfRule type="expression" dxfId="125" priority="285">
      <formula>AND(TODAY()&gt;=BW$5,TODAY()&lt;CA$5)</formula>
    </cfRule>
  </conditionalFormatting>
  <conditionalFormatting sqref="BY101:BY102">
    <cfRule type="expression" dxfId="124" priority="281">
      <formula>AND(TODAY()&gt;=BY$5,TODAY()&lt;CB$5)</formula>
    </cfRule>
    <cfRule type="expression" dxfId="123" priority="282" stopIfTrue="1">
      <formula>AND(task_end&gt;=BY$5,task_start&lt;CB$5)</formula>
    </cfRule>
  </conditionalFormatting>
  <conditionalFormatting sqref="BZ101:BZ102">
    <cfRule type="expression" dxfId="122" priority="279">
      <formula>AND(TODAY()&gt;=BZ$5,TODAY()&lt;CB$5)</formula>
    </cfRule>
    <cfRule type="expression" dxfId="121" priority="280" stopIfTrue="1">
      <formula>AND(task_end&gt;=BZ$5,task_start&lt;CB$5)</formula>
    </cfRule>
  </conditionalFormatting>
  <conditionalFormatting sqref="MW101:MW102 MP101:MP102 MI101:MI102 MB101:MB102 LU101:LU102 LN101:LN102 LG101:LG102 KZ101:KZ102 KS101:KS102 KL101:KL102 KE101:KE102 JX101:JX102 JQ101:JQ102 JJ101:JJ102 JC101:JC102 IV101:IV102 IO101:IO102 IH101:IH102 IA101:IA102 HT101:HT102 HM101:HM102 HF101:HF102 GY101:GY102 GR101:GR102 GK101:GK102 GD101:GD102 FW101:FW102 FP101:FP102 FI101:FI102 FB101:FB102 EU101:EU102 EN101:EN102 EG101:EG102 DZ101:DZ102">
    <cfRule type="expression" dxfId="120" priority="287">
      <formula>AND(TODAY()&gt;=DZ$5,TODAY()&lt;MX$5)</formula>
    </cfRule>
  </conditionalFormatting>
  <conditionalFormatting sqref="MW101:MW102 MP101:MP102 MI101:MI102 MB101:MB102 LU101:LU102 LN101:LN102 LG101:LG102 KZ101:KZ102 KS101:KS102 KL101:KL102 KE101:KE102 JX101:JX102 JQ101:JQ102 JJ101:JJ102 JC101:JC102 IV101:IV102 IO101:IO102 IH101:IH102 IA101:IA102 HT101:HT102 HM101:HM102 HF101:HF102 GY101:GY102 GR101:GR102 GK101:GK102 GD101:GD102 FW101:FW102 FP101:FP102 FI101:FI102 FB101:FB102 EU101:EU102 EN101:EN102 EG101:EG102 DZ101:DZ102">
    <cfRule type="expression" dxfId="119" priority="288" stopIfTrue="1">
      <formula>AND(task_end&gt;=DZ$5,task_start&lt;MX$5)</formula>
    </cfRule>
  </conditionalFormatting>
  <conditionalFormatting sqref="E96">
    <cfRule type="dataBar" priority="60">
      <dataBar>
        <cfvo type="num" val="0"/>
        <cfvo type="num" val="1"/>
        <color theme="0" tint="-0.249977111117893"/>
      </dataBar>
      <extLst>
        <ext xmlns:x14="http://schemas.microsoft.com/office/spreadsheetml/2009/9/main" uri="{B025F937-C7B1-47D3-B67F-A62EFF666E3E}">
          <x14:id>{AF109B8A-266A-42D2-9B5E-CE128A575AD5}</x14:id>
        </ext>
      </extLst>
    </cfRule>
  </conditionalFormatting>
  <conditionalFormatting sqref="MQ96:MV96 MJ96:MO96 MC96:MH96 LV96:MA96 LO96:LT96 LH96:LM96 LA96:LF96 KT96:KY96 KM96:KR96 KF96:KK96 JY96:KD96 JR96:JW96 JK96:JP96 JD96:JI96 IW96:JB96 IP96:IU96 II96:IN96 IB96:IG96 HU96:HZ96 HN96:HS96 HG96:HL96 GZ96:HE96 GS96:GX96 GL96:GQ96 GE96:GJ96 FX96:GC96 FQ96:FV96 FJ96:FO96 FC96:FH96 EV96:FA96 EO96:ET96 EH96:EM96 EA96:EF96 CA96:DY96 BI96:BN96 BU96:BV96 L96:BG96">
    <cfRule type="expression" dxfId="118" priority="59">
      <formula>AND(TODAY()&gt;=L$5,TODAY()&lt;M$5)</formula>
    </cfRule>
  </conditionalFormatting>
  <conditionalFormatting sqref="L96:MW96">
    <cfRule type="expression" dxfId="117" priority="55">
      <formula>AND(task_start&lt;=L$5,ROUNDDOWN((task_end-task_start+1)*task_progress,0)+task_start-1&gt;=L$5)</formula>
    </cfRule>
  </conditionalFormatting>
  <conditionalFormatting sqref="BH96">
    <cfRule type="expression" dxfId="116" priority="61">
      <formula>AND(TODAY()&gt;=BH$5,TODAY()&lt;CD$5)</formula>
    </cfRule>
  </conditionalFormatting>
  <conditionalFormatting sqref="BH96">
    <cfRule type="expression" dxfId="115" priority="62" stopIfTrue="1">
      <formula>AND(task_end&gt;=BH$5,task_start&lt;CD$5)</formula>
    </cfRule>
  </conditionalFormatting>
  <conditionalFormatting sqref="MQ96:MV96 MJ96:MO96 MC96:MH96 LV96:MA96 LO96:LT96 LH96:LM96 LA96:LF96 KT96:KY96 KM96:KR96 KF96:KK96 JY96:KD96 JR96:JW96 JK96:JP96 JD96:JI96 IW96:JB96 IP96:IU96 II96:IN96 IB96:IG96 HU96:HZ96 HN96:HS96 HG96:HL96 GZ96:HE96 GS96:GX96 GL96:GQ96 GE96:GJ96 FX96:GC96 FQ96:FV96 FJ96:FO96 FC96:FH96 EV96:FA96 EO96:ET96 EH96:EM96 EA96:EF96 CA96:DY96 BU96:BV96 L96:BG96 BI96:BN96">
    <cfRule type="expression" dxfId="114" priority="56" stopIfTrue="1">
      <formula>AND(task_end&gt;=L$5,task_start&lt;M$5)</formula>
    </cfRule>
  </conditionalFormatting>
  <conditionalFormatting sqref="BO96">
    <cfRule type="expression" dxfId="113" priority="57">
      <formula>AND(TODAY()&gt;=BO$5,TODAY()&lt;CY$5)</formula>
    </cfRule>
  </conditionalFormatting>
  <conditionalFormatting sqref="BO96">
    <cfRule type="expression" dxfId="112" priority="58" stopIfTrue="1">
      <formula>AND(task_end&gt;=BO$5,task_start&lt;CY$5)</formula>
    </cfRule>
  </conditionalFormatting>
  <conditionalFormatting sqref="BP96:BT96">
    <cfRule type="expression" dxfId="111" priority="67">
      <formula>AND(TODAY()&gt;=BP$5,TODAY()&lt;CF$5)</formula>
    </cfRule>
  </conditionalFormatting>
  <conditionalFormatting sqref="BP96:BT96">
    <cfRule type="expression" dxfId="110" priority="68" stopIfTrue="1">
      <formula>AND(task_end&gt;=BP$5,task_start&lt;CF$5)</formula>
    </cfRule>
  </conditionalFormatting>
  <conditionalFormatting sqref="BW96:BX96">
    <cfRule type="expression" dxfId="109" priority="70" stopIfTrue="1">
      <formula>AND(task_end&gt;=BW$5,task_start&lt;CA$5)</formula>
    </cfRule>
  </conditionalFormatting>
  <conditionalFormatting sqref="BW96:BX96">
    <cfRule type="expression" dxfId="108" priority="69">
      <formula>AND(TODAY()&gt;=BW$5,TODAY()&lt;CA$5)</formula>
    </cfRule>
  </conditionalFormatting>
  <conditionalFormatting sqref="BY96">
    <cfRule type="expression" dxfId="107" priority="65">
      <formula>AND(TODAY()&gt;=BY$5,TODAY()&lt;CB$5)</formula>
    </cfRule>
    <cfRule type="expression" dxfId="106" priority="66" stopIfTrue="1">
      <formula>AND(task_end&gt;=BY$5,task_start&lt;CB$5)</formula>
    </cfRule>
  </conditionalFormatting>
  <conditionalFormatting sqref="BZ96">
    <cfRule type="expression" dxfId="105" priority="63">
      <formula>AND(TODAY()&gt;=BZ$5,TODAY()&lt;CB$5)</formula>
    </cfRule>
    <cfRule type="expression" dxfId="104" priority="64" stopIfTrue="1">
      <formula>AND(task_end&gt;=BZ$5,task_start&lt;CB$5)</formula>
    </cfRule>
  </conditionalFormatting>
  <conditionalFormatting sqref="MW96 MP96 MI96 MB96 LU96 LN96 LG96 KZ96 KS96 KL96 KE96 JX96 JQ96 JJ96 JC96 IV96 IO96 IH96 IA96 HT96 HM96 HF96 GY96 GR96 GK96 GD96 FW96 FP96 FI96 FB96 EU96 EN96 EG96 DZ96">
    <cfRule type="expression" dxfId="103" priority="71">
      <formula>AND(TODAY()&gt;=DZ$5,TODAY()&lt;MX$5)</formula>
    </cfRule>
  </conditionalFormatting>
  <conditionalFormatting sqref="MW96 MP96 MI96 MB96 LU96 LN96 LG96 KZ96 KS96 KL96 KE96 JX96 JQ96 JJ96 JC96 IV96 IO96 IH96 IA96 HT96 HM96 HF96 GY96 GR96 GK96 GD96 FW96 FP96 FI96 FB96 EU96 EN96 EG96 DZ96">
    <cfRule type="expression" dxfId="102" priority="72" stopIfTrue="1">
      <formula>AND(task_end&gt;=DZ$5,task_start&lt;MX$5)</formula>
    </cfRule>
  </conditionalFormatting>
  <conditionalFormatting sqref="E92:E93">
    <cfRule type="dataBar" priority="96">
      <dataBar>
        <cfvo type="num" val="0"/>
        <cfvo type="num" val="1"/>
        <color theme="0" tint="-0.249977111117893"/>
      </dataBar>
      <extLst>
        <ext xmlns:x14="http://schemas.microsoft.com/office/spreadsheetml/2009/9/main" uri="{B025F937-C7B1-47D3-B67F-A62EFF666E3E}">
          <x14:id>{04BCEC47-F450-4FBC-8680-7ACE013CD062}</x14:id>
        </ext>
      </extLst>
    </cfRule>
  </conditionalFormatting>
  <conditionalFormatting sqref="MQ92:MV93 MJ92:MO93 MC92:MH93 LV92:MA93 LO92:LT93 LH92:LM93 LA92:LF93 KT92:KY93 KM92:KR93 KF92:KK93 JY92:KD93 JR92:JW93 JK92:JP93 JD92:JI93 IW92:JB93 IP92:IU93 II92:IN93 IB92:IG93 HU92:HZ93 HN92:HS93 HG92:HL93 GZ92:HE93 GS92:GX93 GL92:GQ93 GE92:GJ93 FX92:GC93 FQ92:FV93 FJ92:FO93 FC92:FH93 EV92:FA93 EO92:ET93 EH92:EM93 EA92:EF93 CA92:DY93 BI92:BN93 BU92:BV93 L92:BG93">
    <cfRule type="expression" dxfId="101" priority="95">
      <formula>AND(TODAY()&gt;=L$5,TODAY()&lt;M$5)</formula>
    </cfRule>
  </conditionalFormatting>
  <conditionalFormatting sqref="L92:MW93">
    <cfRule type="expression" dxfId="100" priority="91">
      <formula>AND(task_start&lt;=L$5,ROUNDDOWN((task_end-task_start+1)*task_progress,0)+task_start-1&gt;=L$5)</formula>
    </cfRule>
  </conditionalFormatting>
  <conditionalFormatting sqref="BH92:BH93">
    <cfRule type="expression" dxfId="99" priority="97">
      <formula>AND(TODAY()&gt;=BH$5,TODAY()&lt;CD$5)</formula>
    </cfRule>
  </conditionalFormatting>
  <conditionalFormatting sqref="BH92:BH93">
    <cfRule type="expression" dxfId="98" priority="98" stopIfTrue="1">
      <formula>AND(task_end&gt;=BH$5,task_start&lt;CD$5)</formula>
    </cfRule>
  </conditionalFormatting>
  <conditionalFormatting sqref="MQ92:MV93 MJ92:MO93 MC92:MH93 LV92:MA93 LO92:LT93 LH92:LM93 LA92:LF93 KT92:KY93 KM92:KR93 KF92:KK93 JY92:KD93 JR92:JW93 JK92:JP93 JD92:JI93 IW92:JB93 IP92:IU93 II92:IN93 IB92:IG93 HU92:HZ93 HN92:HS93 HG92:HL93 GZ92:HE93 GS92:GX93 GL92:GQ93 GE92:GJ93 FX92:GC93 FQ92:FV93 FJ92:FO93 FC92:FH93 EV92:FA93 EO92:ET93 EH92:EM93 EA92:EF93 CA92:DY93 BU92:BV93 L92:BG93 BI92:BN93">
    <cfRule type="expression" dxfId="97" priority="92" stopIfTrue="1">
      <formula>AND(task_end&gt;=L$5,task_start&lt;M$5)</formula>
    </cfRule>
  </conditionalFormatting>
  <conditionalFormatting sqref="BO92:BO93">
    <cfRule type="expression" dxfId="96" priority="93">
      <formula>AND(TODAY()&gt;=BO$5,TODAY()&lt;CY$5)</formula>
    </cfRule>
  </conditionalFormatting>
  <conditionalFormatting sqref="BO92:BO93">
    <cfRule type="expression" dxfId="95" priority="94" stopIfTrue="1">
      <formula>AND(task_end&gt;=BO$5,task_start&lt;CY$5)</formula>
    </cfRule>
  </conditionalFormatting>
  <conditionalFormatting sqref="BP92:BT93">
    <cfRule type="expression" dxfId="94" priority="103">
      <formula>AND(TODAY()&gt;=BP$5,TODAY()&lt;CF$5)</formula>
    </cfRule>
  </conditionalFormatting>
  <conditionalFormatting sqref="BP92:BT93">
    <cfRule type="expression" dxfId="93" priority="104" stopIfTrue="1">
      <formula>AND(task_end&gt;=BP$5,task_start&lt;CF$5)</formula>
    </cfRule>
  </conditionalFormatting>
  <conditionalFormatting sqref="BW92:BX93">
    <cfRule type="expression" dxfId="92" priority="106" stopIfTrue="1">
      <formula>AND(task_end&gt;=BW$5,task_start&lt;CA$5)</formula>
    </cfRule>
  </conditionalFormatting>
  <conditionalFormatting sqref="BW92:BX93">
    <cfRule type="expression" dxfId="91" priority="105">
      <formula>AND(TODAY()&gt;=BW$5,TODAY()&lt;CA$5)</formula>
    </cfRule>
  </conditionalFormatting>
  <conditionalFormatting sqref="BY92:BY93">
    <cfRule type="expression" dxfId="90" priority="101">
      <formula>AND(TODAY()&gt;=BY$5,TODAY()&lt;CB$5)</formula>
    </cfRule>
    <cfRule type="expression" dxfId="89" priority="102" stopIfTrue="1">
      <formula>AND(task_end&gt;=BY$5,task_start&lt;CB$5)</formula>
    </cfRule>
  </conditionalFormatting>
  <conditionalFormatting sqref="BZ92:BZ93">
    <cfRule type="expression" dxfId="88" priority="99">
      <formula>AND(TODAY()&gt;=BZ$5,TODAY()&lt;CB$5)</formula>
    </cfRule>
    <cfRule type="expression" dxfId="87" priority="100" stopIfTrue="1">
      <formula>AND(task_end&gt;=BZ$5,task_start&lt;CB$5)</formula>
    </cfRule>
  </conditionalFormatting>
  <conditionalFormatting sqref="MW92:MW93 MP92:MP93 MI92:MI93 MB92:MB93 LU92:LU93 LN92:LN93 LG92:LG93 KZ92:KZ93 KS92:KS93 KL92:KL93 KE92:KE93 JX92:JX93 JQ92:JQ93 JJ92:JJ93 JC92:JC93 IV92:IV93 IO92:IO93 IH92:IH93 IA92:IA93 HT92:HT93 HM92:HM93 HF92:HF93 GY92:GY93 GR92:GR93 GK92:GK93 GD92:GD93 FW92:FW93 FP92:FP93 FI92:FI93 FB92:FB93 EU92:EU93 EN92:EN93 EG92:EG93 DZ92:DZ93">
    <cfRule type="expression" dxfId="86" priority="107">
      <formula>AND(TODAY()&gt;=DZ$5,TODAY()&lt;MX$5)</formula>
    </cfRule>
  </conditionalFormatting>
  <conditionalFormatting sqref="MW92:MW93 MP92:MP93 MI92:MI93 MB92:MB93 LU92:LU93 LN92:LN93 LG92:LG93 KZ92:KZ93 KS92:KS93 KL92:KL93 KE92:KE93 JX92:JX93 JQ92:JQ93 JJ92:JJ93 JC92:JC93 IV92:IV93 IO92:IO93 IH92:IH93 IA92:IA93 HT92:HT93 HM92:HM93 HF92:HF93 GY92:GY93 GR92:GR93 GK92:GK93 GD92:GD93 FW92:FW93 FP92:FP93 FI92:FI93 FB92:FB93 EU92:EU93 EN92:EN93 EG92:EG93 DZ92:DZ93">
    <cfRule type="expression" dxfId="85" priority="108" stopIfTrue="1">
      <formula>AND(task_end&gt;=DZ$5,task_start&lt;MX$5)</formula>
    </cfRule>
  </conditionalFormatting>
  <conditionalFormatting sqref="E89:E91">
    <cfRule type="dataBar" priority="132">
      <dataBar>
        <cfvo type="num" val="0"/>
        <cfvo type="num" val="1"/>
        <color theme="0" tint="-0.249977111117893"/>
      </dataBar>
      <extLst>
        <ext xmlns:x14="http://schemas.microsoft.com/office/spreadsheetml/2009/9/main" uri="{B025F937-C7B1-47D3-B67F-A62EFF666E3E}">
          <x14:id>{D126D8DF-2D0A-470F-8981-8C0D8479A2A4}</x14:id>
        </ext>
      </extLst>
    </cfRule>
  </conditionalFormatting>
  <conditionalFormatting sqref="MQ89:MV91 MJ89:MO91 MC89:MH91 LV89:MA91 LO89:LT91 LH89:LM91 LA89:LF91 KT89:KY91 KM89:KR91 KF89:KK91 JY89:KD91 JR89:JW91 JK89:JP91 JD89:JI91 IW89:JB91 IP89:IU91 II89:IN91 IB89:IG91 HU89:HZ91 HN89:HS91 HG89:HL91 GZ89:HE91 GS89:GX91 GL89:GQ91 GE89:GJ91 FX89:GC91 FQ89:FV91 FJ89:FO91 FC89:FH91 EV89:FA91 EO89:ET91 EH89:EM91 EA89:EF91 CA89:DY91 BI89:BN91 BU89:BV91 L89:BG91">
    <cfRule type="expression" dxfId="84" priority="131">
      <formula>AND(TODAY()&gt;=L$5,TODAY()&lt;M$5)</formula>
    </cfRule>
  </conditionalFormatting>
  <conditionalFormatting sqref="L89:MW91">
    <cfRule type="expression" dxfId="83" priority="127">
      <formula>AND(task_start&lt;=L$5,ROUNDDOWN((task_end-task_start+1)*task_progress,0)+task_start-1&gt;=L$5)</formula>
    </cfRule>
  </conditionalFormatting>
  <conditionalFormatting sqref="BH89:BH91">
    <cfRule type="expression" dxfId="82" priority="133">
      <formula>AND(TODAY()&gt;=BH$5,TODAY()&lt;CD$5)</formula>
    </cfRule>
  </conditionalFormatting>
  <conditionalFormatting sqref="BH89:BH91">
    <cfRule type="expression" dxfId="81" priority="134" stopIfTrue="1">
      <formula>AND(task_end&gt;=BH$5,task_start&lt;CD$5)</formula>
    </cfRule>
  </conditionalFormatting>
  <conditionalFormatting sqref="MQ89:MV91 MJ89:MO91 MC89:MH91 LV89:MA91 LO89:LT91 LH89:LM91 LA89:LF91 KT89:KY91 KM89:KR91 KF89:KK91 JY89:KD91 JR89:JW91 JK89:JP91 JD89:JI91 IW89:JB91 IP89:IU91 II89:IN91 IB89:IG91 HU89:HZ91 HN89:HS91 HG89:HL91 GZ89:HE91 GS89:GX91 GL89:GQ91 GE89:GJ91 FX89:GC91 FQ89:FV91 FJ89:FO91 FC89:FH91 EV89:FA91 EO89:ET91 EH89:EM91 EA89:EF91 CA89:DY91 BU89:BV91 L89:BG91 BI89:BN91">
    <cfRule type="expression" dxfId="80" priority="128" stopIfTrue="1">
      <formula>AND(task_end&gt;=L$5,task_start&lt;M$5)</formula>
    </cfRule>
  </conditionalFormatting>
  <conditionalFormatting sqref="BO89:BO91">
    <cfRule type="expression" dxfId="79" priority="129">
      <formula>AND(TODAY()&gt;=BO$5,TODAY()&lt;CY$5)</formula>
    </cfRule>
  </conditionalFormatting>
  <conditionalFormatting sqref="BO89:BO91">
    <cfRule type="expression" dxfId="78" priority="130" stopIfTrue="1">
      <formula>AND(task_end&gt;=BO$5,task_start&lt;CY$5)</formula>
    </cfRule>
  </conditionalFormatting>
  <conditionalFormatting sqref="BP89:BT91">
    <cfRule type="expression" dxfId="77" priority="139">
      <formula>AND(TODAY()&gt;=BP$5,TODAY()&lt;CF$5)</formula>
    </cfRule>
  </conditionalFormatting>
  <conditionalFormatting sqref="BP89:BT91">
    <cfRule type="expression" dxfId="76" priority="140" stopIfTrue="1">
      <formula>AND(task_end&gt;=BP$5,task_start&lt;CF$5)</formula>
    </cfRule>
  </conditionalFormatting>
  <conditionalFormatting sqref="BW89:BX91">
    <cfRule type="expression" dxfId="75" priority="142" stopIfTrue="1">
      <formula>AND(task_end&gt;=BW$5,task_start&lt;CA$5)</formula>
    </cfRule>
  </conditionalFormatting>
  <conditionalFormatting sqref="BW89:BX91">
    <cfRule type="expression" dxfId="74" priority="141">
      <formula>AND(TODAY()&gt;=BW$5,TODAY()&lt;CA$5)</formula>
    </cfRule>
  </conditionalFormatting>
  <conditionalFormatting sqref="BY89:BY91">
    <cfRule type="expression" dxfId="73" priority="137">
      <formula>AND(TODAY()&gt;=BY$5,TODAY()&lt;CB$5)</formula>
    </cfRule>
    <cfRule type="expression" dxfId="72" priority="138" stopIfTrue="1">
      <formula>AND(task_end&gt;=BY$5,task_start&lt;CB$5)</formula>
    </cfRule>
  </conditionalFormatting>
  <conditionalFormatting sqref="BZ89:BZ91">
    <cfRule type="expression" dxfId="71" priority="135">
      <formula>AND(TODAY()&gt;=BZ$5,TODAY()&lt;CB$5)</formula>
    </cfRule>
    <cfRule type="expression" dxfId="70" priority="136" stopIfTrue="1">
      <formula>AND(task_end&gt;=BZ$5,task_start&lt;CB$5)</formula>
    </cfRule>
  </conditionalFormatting>
  <conditionalFormatting sqref="MW89:MW91 MP89:MP91 MI89:MI91 MB89:MB91 LU89:LU91 LN89:LN91 LG89:LG91 KZ89:KZ91 KS89:KS91 KL89:KL91 KE89:KE91 JX89:JX91 JQ89:JQ91 JJ89:JJ91 JC89:JC91 IV89:IV91 IO89:IO91 IH89:IH91 IA89:IA91 HT89:HT91 HM89:HM91 HF89:HF91 GY89:GY91 GR89:GR91 GK89:GK91 GD89:GD91 FW89:FW91 FP89:FP91 FI89:FI91 FB89:FB91 EU89:EU91 EN89:EN91 EG89:EG91 DZ89:DZ91">
    <cfRule type="expression" dxfId="69" priority="143">
      <formula>AND(TODAY()&gt;=DZ$5,TODAY()&lt;MX$5)</formula>
    </cfRule>
  </conditionalFormatting>
  <conditionalFormatting sqref="MW89:MW91 MP89:MP91 MI89:MI91 MB89:MB91 LU89:LU91 LN89:LN91 LG89:LG91 KZ89:KZ91 KS89:KS91 KL89:KL91 KE89:KE91 JX89:JX91 JQ89:JQ91 JJ89:JJ91 JC89:JC91 IV89:IV91 IO89:IO91 IH89:IH91 IA89:IA91 HT89:HT91 HM89:HM91 HF89:HF91 GY89:GY91 GR89:GR91 GK89:GK91 GD89:GD91 FW89:FW91 FP89:FP91 FI89:FI91 FB89:FB91 EU89:EU91 EN89:EN91 EG89:EG91 DZ89:DZ91">
    <cfRule type="expression" dxfId="68" priority="144" stopIfTrue="1">
      <formula>AND(task_end&gt;=DZ$5,task_start&lt;MX$5)</formula>
    </cfRule>
  </conditionalFormatting>
  <conditionalFormatting sqref="L95:MW95">
    <cfRule type="expression" dxfId="67" priority="37">
      <formula>AND(task_start&lt;=L$5,ROUNDDOWN((task_end-task_start+1)*task_progress,0)+task_start-1&gt;=L$5)</formula>
    </cfRule>
  </conditionalFormatting>
  <conditionalFormatting sqref="E95">
    <cfRule type="dataBar" priority="42">
      <dataBar>
        <cfvo type="num" val="0"/>
        <cfvo type="num" val="1"/>
        <color theme="0" tint="-0.249977111117893"/>
      </dataBar>
      <extLst>
        <ext xmlns:x14="http://schemas.microsoft.com/office/spreadsheetml/2009/9/main" uri="{B025F937-C7B1-47D3-B67F-A62EFF666E3E}">
          <x14:id>{788F302C-640E-4E91-8EBB-D1B90FC2FB31}</x14:id>
        </ext>
      </extLst>
    </cfRule>
  </conditionalFormatting>
  <conditionalFormatting sqref="MQ95:MV95 MJ95:MO95 MC95:MH95 LV95:MA95 LO95:LT95 LH95:LM95 LA95:LF95 KT95:KY95 KM95:KR95 KF95:KK95 JY95:KD95 JR95:JW95 JK95:JP95 JD95:JI95 IW95:JB95 IP95:IU95 II95:IN95 IB95:IG95 HU95:HZ95 HN95:HS95 HG95:HL95 GZ95:HE95 GS95:GX95 GL95:GQ95 GE95:GJ95 FX95:GC95 FQ95:FV95 FJ95:FO95 FC95:FH95 EV95:FA95 EO95:ET95 EH95:EM95 EA95:EF95 CA95:DY95 BI95:BN95 BU95:BV95 L95:BG95">
    <cfRule type="expression" dxfId="66" priority="41">
      <formula>AND(TODAY()&gt;=L$5,TODAY()&lt;M$5)</formula>
    </cfRule>
  </conditionalFormatting>
  <conditionalFormatting sqref="L107:MW108">
    <cfRule type="expression" dxfId="65" priority="19">
      <formula>AND(task_start&lt;=L$5,ROUNDDOWN((task_end-task_start+1)*task_progress,0)+task_start-1&gt;=L$5)</formula>
    </cfRule>
  </conditionalFormatting>
  <conditionalFormatting sqref="BH95">
    <cfRule type="expression" dxfId="64" priority="43">
      <formula>AND(TODAY()&gt;=BH$5,TODAY()&lt;CD$5)</formula>
    </cfRule>
  </conditionalFormatting>
  <conditionalFormatting sqref="BH95">
    <cfRule type="expression" dxfId="63" priority="44" stopIfTrue="1">
      <formula>AND(task_end&gt;=BH$5,task_start&lt;CD$5)</formula>
    </cfRule>
  </conditionalFormatting>
  <conditionalFormatting sqref="MQ95:MV95 MJ95:MO95 MC95:MH95 LV95:MA95 LO95:LT95 LH95:LM95 LA95:LF95 KT95:KY95 KM95:KR95 KF95:KK95 JY95:KD95 JR95:JW95 JK95:JP95 JD95:JI95 IW95:JB95 IP95:IU95 II95:IN95 IB95:IG95 HU95:HZ95 HN95:HS95 HG95:HL95 GZ95:HE95 GS95:GX95 GL95:GQ95 GE95:GJ95 FX95:GC95 FQ95:FV95 FJ95:FO95 FC95:FH95 EV95:FA95 EO95:ET95 EH95:EM95 EA95:EF95 CA95:DY95 BU95:BV95 L95:BG95 BI95:BN95">
    <cfRule type="expression" dxfId="62" priority="38" stopIfTrue="1">
      <formula>AND(task_end&gt;=L$5,task_start&lt;M$5)</formula>
    </cfRule>
  </conditionalFormatting>
  <conditionalFormatting sqref="BO95">
    <cfRule type="expression" dxfId="61" priority="39">
      <formula>AND(TODAY()&gt;=BO$5,TODAY()&lt;CY$5)</formula>
    </cfRule>
  </conditionalFormatting>
  <conditionalFormatting sqref="BO95">
    <cfRule type="expression" dxfId="60" priority="40" stopIfTrue="1">
      <formula>AND(task_end&gt;=BO$5,task_start&lt;CY$5)</formula>
    </cfRule>
  </conditionalFormatting>
  <conditionalFormatting sqref="BP95:BT95">
    <cfRule type="expression" dxfId="59" priority="49">
      <formula>AND(TODAY()&gt;=BP$5,TODAY()&lt;CF$5)</formula>
    </cfRule>
  </conditionalFormatting>
  <conditionalFormatting sqref="BP95:BT95">
    <cfRule type="expression" dxfId="58" priority="50" stopIfTrue="1">
      <formula>AND(task_end&gt;=BP$5,task_start&lt;CF$5)</formula>
    </cfRule>
  </conditionalFormatting>
  <conditionalFormatting sqref="BW95:BX95">
    <cfRule type="expression" dxfId="57" priority="52" stopIfTrue="1">
      <formula>AND(task_end&gt;=BW$5,task_start&lt;CA$5)</formula>
    </cfRule>
  </conditionalFormatting>
  <conditionalFormatting sqref="BW95:BX95">
    <cfRule type="expression" dxfId="56" priority="51">
      <formula>AND(TODAY()&gt;=BW$5,TODAY()&lt;CA$5)</formula>
    </cfRule>
  </conditionalFormatting>
  <conditionalFormatting sqref="BY95">
    <cfRule type="expression" dxfId="55" priority="47">
      <formula>AND(TODAY()&gt;=BY$5,TODAY()&lt;CB$5)</formula>
    </cfRule>
    <cfRule type="expression" dxfId="54" priority="48" stopIfTrue="1">
      <formula>AND(task_end&gt;=BY$5,task_start&lt;CB$5)</formula>
    </cfRule>
  </conditionalFormatting>
  <conditionalFormatting sqref="BZ95">
    <cfRule type="expression" dxfId="53" priority="45">
      <formula>AND(TODAY()&gt;=BZ$5,TODAY()&lt;CB$5)</formula>
    </cfRule>
    <cfRule type="expression" dxfId="52" priority="46" stopIfTrue="1">
      <formula>AND(task_end&gt;=BZ$5,task_start&lt;CB$5)</formula>
    </cfRule>
  </conditionalFormatting>
  <conditionalFormatting sqref="MW95 MP95 MI95 MB95 LU95 LN95 LG95 KZ95 KS95 KL95 KE95 JX95 JQ95 JJ95 JC95 IV95 IO95 IH95 IA95 HT95 HM95 HF95 GY95 GR95 GK95 GD95 FW95 FP95 FI95 FB95 EU95 EN95 EG95 DZ95">
    <cfRule type="expression" dxfId="51" priority="53">
      <formula>AND(TODAY()&gt;=DZ$5,TODAY()&lt;MX$5)</formula>
    </cfRule>
  </conditionalFormatting>
  <conditionalFormatting sqref="MW95 MP95 MI95 MB95 LU95 LN95 LG95 KZ95 KS95 KL95 KE95 JX95 JQ95 JJ95 JC95 IV95 IO95 IH95 IA95 HT95 HM95 HF95 GY95 GR95 GK95 GD95 FW95 FP95 FI95 FB95 EU95 EN95 EG95 DZ95">
    <cfRule type="expression" dxfId="50" priority="54" stopIfTrue="1">
      <formula>AND(task_end&gt;=DZ$5,task_start&lt;MX$5)</formula>
    </cfRule>
  </conditionalFormatting>
  <conditionalFormatting sqref="E94">
    <cfRule type="dataBar" priority="78">
      <dataBar>
        <cfvo type="num" val="0"/>
        <cfvo type="num" val="1"/>
        <color theme="0" tint="-0.249977111117893"/>
      </dataBar>
      <extLst>
        <ext xmlns:x14="http://schemas.microsoft.com/office/spreadsheetml/2009/9/main" uri="{B025F937-C7B1-47D3-B67F-A62EFF666E3E}">
          <x14:id>{CA0EA56C-DDF7-43B2-89BB-68430727522E}</x14:id>
        </ext>
      </extLst>
    </cfRule>
  </conditionalFormatting>
  <conditionalFormatting sqref="MQ94:MV94 MJ94:MO94 MC94:MH94 LV94:MA94 LO94:LT94 LH94:LM94 LA94:LF94 KT94:KY94 KM94:KR94 KF94:KK94 JY94:KD94 JR94:JW94 JK94:JP94 JD94:JI94 IW94:JB94 IP94:IU94 II94:IN94 IB94:IG94 HU94:HZ94 HN94:HS94 HG94:HL94 GZ94:HE94 GS94:GX94 GL94:GQ94 GE94:GJ94 FX94:GC94 FQ94:FV94 FJ94:FO94 FC94:FH94 EV94:FA94 EO94:ET94 EH94:EM94 EA94:EF94 CA94:DY94 BI94:BN94 BU94:BV94 L94:BG94">
    <cfRule type="expression" dxfId="49" priority="77">
      <formula>AND(TODAY()&gt;=L$5,TODAY()&lt;M$5)</formula>
    </cfRule>
  </conditionalFormatting>
  <conditionalFormatting sqref="L94:MW94">
    <cfRule type="expression" dxfId="48" priority="73">
      <formula>AND(task_start&lt;=L$5,ROUNDDOWN((task_end-task_start+1)*task_progress,0)+task_start-1&gt;=L$5)</formula>
    </cfRule>
  </conditionalFormatting>
  <conditionalFormatting sqref="BH94">
    <cfRule type="expression" dxfId="47" priority="79">
      <formula>AND(TODAY()&gt;=BH$5,TODAY()&lt;CD$5)</formula>
    </cfRule>
  </conditionalFormatting>
  <conditionalFormatting sqref="BH94">
    <cfRule type="expression" dxfId="46" priority="80" stopIfTrue="1">
      <formula>AND(task_end&gt;=BH$5,task_start&lt;CD$5)</formula>
    </cfRule>
  </conditionalFormatting>
  <conditionalFormatting sqref="MQ94:MV94 MJ94:MO94 MC94:MH94 LV94:MA94 LO94:LT94 LH94:LM94 LA94:LF94 KT94:KY94 KM94:KR94 KF94:KK94 JY94:KD94 JR94:JW94 JK94:JP94 JD94:JI94 IW94:JB94 IP94:IU94 II94:IN94 IB94:IG94 HU94:HZ94 HN94:HS94 HG94:HL94 GZ94:HE94 GS94:GX94 GL94:GQ94 GE94:GJ94 FX94:GC94 FQ94:FV94 FJ94:FO94 FC94:FH94 EV94:FA94 EO94:ET94 EH94:EM94 EA94:EF94 CA94:DY94 BU94:BV94 L94:BG94 BI94:BN94">
    <cfRule type="expression" dxfId="45" priority="74" stopIfTrue="1">
      <formula>AND(task_end&gt;=L$5,task_start&lt;M$5)</formula>
    </cfRule>
  </conditionalFormatting>
  <conditionalFormatting sqref="BO94">
    <cfRule type="expression" dxfId="44" priority="75">
      <formula>AND(TODAY()&gt;=BO$5,TODAY()&lt;CY$5)</formula>
    </cfRule>
  </conditionalFormatting>
  <conditionalFormatting sqref="BO94">
    <cfRule type="expression" dxfId="43" priority="76" stopIfTrue="1">
      <formula>AND(task_end&gt;=BO$5,task_start&lt;CY$5)</formula>
    </cfRule>
  </conditionalFormatting>
  <conditionalFormatting sqref="BP94:BT94">
    <cfRule type="expression" dxfId="42" priority="85">
      <formula>AND(TODAY()&gt;=BP$5,TODAY()&lt;CF$5)</formula>
    </cfRule>
  </conditionalFormatting>
  <conditionalFormatting sqref="BP94:BT94">
    <cfRule type="expression" dxfId="41" priority="86" stopIfTrue="1">
      <formula>AND(task_end&gt;=BP$5,task_start&lt;CF$5)</formula>
    </cfRule>
  </conditionalFormatting>
  <conditionalFormatting sqref="BW94:BX94">
    <cfRule type="expression" dxfId="40" priority="88" stopIfTrue="1">
      <formula>AND(task_end&gt;=BW$5,task_start&lt;CA$5)</formula>
    </cfRule>
  </conditionalFormatting>
  <conditionalFormatting sqref="BW94:BX94">
    <cfRule type="expression" dxfId="39" priority="87">
      <formula>AND(TODAY()&gt;=BW$5,TODAY()&lt;CA$5)</formula>
    </cfRule>
  </conditionalFormatting>
  <conditionalFormatting sqref="BY94">
    <cfRule type="expression" dxfId="38" priority="83">
      <formula>AND(TODAY()&gt;=BY$5,TODAY()&lt;CB$5)</formula>
    </cfRule>
    <cfRule type="expression" dxfId="37" priority="84" stopIfTrue="1">
      <formula>AND(task_end&gt;=BY$5,task_start&lt;CB$5)</formula>
    </cfRule>
  </conditionalFormatting>
  <conditionalFormatting sqref="BZ94">
    <cfRule type="expression" dxfId="36" priority="81">
      <formula>AND(TODAY()&gt;=BZ$5,TODAY()&lt;CB$5)</formula>
    </cfRule>
    <cfRule type="expression" dxfId="35" priority="82" stopIfTrue="1">
      <formula>AND(task_end&gt;=BZ$5,task_start&lt;CB$5)</formula>
    </cfRule>
  </conditionalFormatting>
  <conditionalFormatting sqref="MW94 MP94 MI94 MB94 LU94 LN94 LG94 KZ94 KS94 KL94 KE94 JX94 JQ94 JJ94 JC94 IV94 IO94 IH94 IA94 HT94 HM94 HF94 GY94 GR94 GK94 GD94 FW94 FP94 FI94 FB94 EU94 EN94 EG94 DZ94">
    <cfRule type="expression" dxfId="34" priority="89">
      <formula>AND(TODAY()&gt;=DZ$5,TODAY()&lt;MX$5)</formula>
    </cfRule>
  </conditionalFormatting>
  <conditionalFormatting sqref="MW94 MP94 MI94 MB94 LU94 LN94 LG94 KZ94 KS94 KL94 KE94 JX94 JQ94 JJ94 JC94 IV94 IO94 IH94 IA94 HT94 HM94 HF94 GY94 GR94 GK94 GD94 FW94 FP94 FI94 FB94 EU94 EN94 EG94 DZ94">
    <cfRule type="expression" dxfId="33" priority="90" stopIfTrue="1">
      <formula>AND(task_end&gt;=DZ$5,task_start&lt;MX$5)</formula>
    </cfRule>
  </conditionalFormatting>
  <conditionalFormatting sqref="E107:E108">
    <cfRule type="dataBar" priority="24">
      <dataBar>
        <cfvo type="num" val="0"/>
        <cfvo type="num" val="1"/>
        <color theme="0" tint="-0.249977111117893"/>
      </dataBar>
      <extLst>
        <ext xmlns:x14="http://schemas.microsoft.com/office/spreadsheetml/2009/9/main" uri="{B025F937-C7B1-47D3-B67F-A62EFF666E3E}">
          <x14:id>{C025A2C1-ADCC-4D08-8CCB-849D7AF35E94}</x14:id>
        </ext>
      </extLst>
    </cfRule>
  </conditionalFormatting>
  <conditionalFormatting sqref="MQ107:MV108 MJ107:MO108 MC107:MH108 LV107:MA108 LO107:LT108 LH107:LM108 LA107:LF108 KT107:KY108 KM107:KR108 KF107:KK108 JY107:KD108 JR107:JW108 JK107:JP108 JD107:JI108 IW107:JB108 IP107:IU108 II107:IN108 IB107:IG108 HU107:HZ108 HN107:HS108 HG107:HL108 GZ107:HE108 GS107:GX108 GL107:GQ108 GE107:GJ108 FX107:GC108 FQ107:FV108 FJ107:FO108 FC107:FH108 EV107:FA108 EO107:ET108 EH107:EM108 EA107:EF108 CA107:DY108 BI107:BN108 BU107:BV108 L107:BG108">
    <cfRule type="expression" dxfId="32" priority="23">
      <formula>AND(TODAY()&gt;=L$5,TODAY()&lt;M$5)</formula>
    </cfRule>
  </conditionalFormatting>
  <conditionalFormatting sqref="BH107:BH108">
    <cfRule type="expression" dxfId="31" priority="25">
      <formula>AND(TODAY()&gt;=BH$5,TODAY()&lt;CD$5)</formula>
    </cfRule>
  </conditionalFormatting>
  <conditionalFormatting sqref="BH107:BH108">
    <cfRule type="expression" dxfId="30" priority="26" stopIfTrue="1">
      <formula>AND(task_end&gt;=BH$5,task_start&lt;CD$5)</formula>
    </cfRule>
  </conditionalFormatting>
  <conditionalFormatting sqref="MQ107:MV108 MJ107:MO108 MC107:MH108 LV107:MA108 LO107:LT108 LH107:LM108 LA107:LF108 KT107:KY108 KM107:KR108 KF107:KK108 JY107:KD108 JR107:JW108 JK107:JP108 JD107:JI108 IW107:JB108 IP107:IU108 II107:IN108 IB107:IG108 HU107:HZ108 HN107:HS108 HG107:HL108 GZ107:HE108 GS107:GX108 GL107:GQ108 GE107:GJ108 FX107:GC108 FQ107:FV108 FJ107:FO108 FC107:FH108 EV107:FA108 EO107:ET108 EH107:EM108 EA107:EF108 CA107:DY108 BU107:BV108 L107:BG108 BI107:BN108">
    <cfRule type="expression" dxfId="29" priority="20" stopIfTrue="1">
      <formula>AND(task_end&gt;=L$5,task_start&lt;M$5)</formula>
    </cfRule>
  </conditionalFormatting>
  <conditionalFormatting sqref="BO107:BO108">
    <cfRule type="expression" dxfId="28" priority="21">
      <formula>AND(TODAY()&gt;=BO$5,TODAY()&lt;CY$5)</formula>
    </cfRule>
  </conditionalFormatting>
  <conditionalFormatting sqref="BO107:BO108">
    <cfRule type="expression" dxfId="27" priority="22" stopIfTrue="1">
      <formula>AND(task_end&gt;=BO$5,task_start&lt;CY$5)</formula>
    </cfRule>
  </conditionalFormatting>
  <conditionalFormatting sqref="BP107:BT108">
    <cfRule type="expression" dxfId="26" priority="31">
      <formula>AND(TODAY()&gt;=BP$5,TODAY()&lt;CF$5)</formula>
    </cfRule>
  </conditionalFormatting>
  <conditionalFormatting sqref="BP107:BT108">
    <cfRule type="expression" dxfId="25" priority="32" stopIfTrue="1">
      <formula>AND(task_end&gt;=BP$5,task_start&lt;CF$5)</formula>
    </cfRule>
  </conditionalFormatting>
  <conditionalFormatting sqref="BW107:BX108">
    <cfRule type="expression" dxfId="24" priority="34" stopIfTrue="1">
      <formula>AND(task_end&gt;=BW$5,task_start&lt;CA$5)</formula>
    </cfRule>
  </conditionalFormatting>
  <conditionalFormatting sqref="BW107:BX108">
    <cfRule type="expression" dxfId="23" priority="33">
      <formula>AND(TODAY()&gt;=BW$5,TODAY()&lt;CA$5)</formula>
    </cfRule>
  </conditionalFormatting>
  <conditionalFormatting sqref="BY107:BY108">
    <cfRule type="expression" dxfId="22" priority="29">
      <formula>AND(TODAY()&gt;=BY$5,TODAY()&lt;CB$5)</formula>
    </cfRule>
    <cfRule type="expression" dxfId="21" priority="30" stopIfTrue="1">
      <formula>AND(task_end&gt;=BY$5,task_start&lt;CB$5)</formula>
    </cfRule>
  </conditionalFormatting>
  <conditionalFormatting sqref="BZ107:BZ108">
    <cfRule type="expression" dxfId="20" priority="27">
      <formula>AND(TODAY()&gt;=BZ$5,TODAY()&lt;CB$5)</formula>
    </cfRule>
    <cfRule type="expression" dxfId="19" priority="28" stopIfTrue="1">
      <formula>AND(task_end&gt;=BZ$5,task_start&lt;CB$5)</formula>
    </cfRule>
  </conditionalFormatting>
  <conditionalFormatting sqref="MW107:MW108 MP107:MP108 MI107:MI108 MB107:MB108 LU107:LU108 LN107:LN108 LG107:LG108 KZ107:KZ108 KS107:KS108 KL107:KL108 KE107:KE108 JX107:JX108 JQ107:JQ108 JJ107:JJ108 JC107:JC108 IV107:IV108 IO107:IO108 IH107:IH108 IA107:IA108 HT107:HT108 HM107:HM108 HF107:HF108 GY107:GY108 GR107:GR108 GK107:GK108 GD107:GD108 FW107:FW108 FP107:FP108 FI107:FI108 FB107:FB108 EU107:EU108 EN107:EN108 EG107:EG108 DZ107:DZ108">
    <cfRule type="expression" dxfId="18" priority="35">
      <formula>AND(TODAY()&gt;=DZ$5,TODAY()&lt;MX$5)</formula>
    </cfRule>
  </conditionalFormatting>
  <conditionalFormatting sqref="MW107:MW108 MP107:MP108 MI107:MI108 MB107:MB108 LU107:LU108 LN107:LN108 LG107:LG108 KZ107:KZ108 KS107:KS108 KL107:KL108 KE107:KE108 JX107:JX108 JQ107:JQ108 JJ107:JJ108 JC107:JC108 IV107:IV108 IO107:IO108 IH107:IH108 IA107:IA108 HT107:HT108 HM107:HM108 HF107:HF108 GY107:GY108 GR107:GR108 GK107:GK108 GD107:GD108 FW107:FW108 FP107:FP108 FI107:FI108 FB107:FB108 EU107:EU108 EN107:EN108 EG107:EG108 DZ107:DZ108">
    <cfRule type="expression" dxfId="17" priority="36" stopIfTrue="1">
      <formula>AND(task_end&gt;=DZ$5,task_start&lt;MX$5)</formula>
    </cfRule>
  </conditionalFormatting>
  <conditionalFormatting sqref="L110:MW111">
    <cfRule type="expression" dxfId="16" priority="1">
      <formula>AND(task_start&lt;=L$5,ROUNDDOWN((task_end-task_start+1)*task_progress,0)+task_start-1&gt;=L$5)</formula>
    </cfRule>
  </conditionalFormatting>
  <conditionalFormatting sqref="E110:E111">
    <cfRule type="dataBar" priority="6">
      <dataBar>
        <cfvo type="num" val="0"/>
        <cfvo type="num" val="1"/>
        <color theme="0" tint="-0.249977111117893"/>
      </dataBar>
      <extLst>
        <ext xmlns:x14="http://schemas.microsoft.com/office/spreadsheetml/2009/9/main" uri="{B025F937-C7B1-47D3-B67F-A62EFF666E3E}">
          <x14:id>{C5BC7FF2-6B74-42C9-844E-C505843FACB1}</x14:id>
        </ext>
      </extLst>
    </cfRule>
  </conditionalFormatting>
  <conditionalFormatting sqref="MQ110:MV111 MJ110:MO111 MC110:MH111 LV110:MA111 LO110:LT111 LH110:LM111 LA110:LF111 KT110:KY111 KM110:KR111 KF110:KK111 JY110:KD111 JR110:JW111 JK110:JP111 JD110:JI111 IW110:JB111 IP110:IU111 II110:IN111 IB110:IG111 HU110:HZ111 HN110:HS111 HG110:HL111 GZ110:HE111 GS110:GX111 GL110:GQ111 GE110:GJ111 FX110:GC111 FQ110:FV111 FJ110:FO111 FC110:FH111 EV110:FA111 EO110:ET111 EH110:EM111 EA110:EF111 CA110:DY111 BI110:BN111 BU110:BV111 L110:BG111">
    <cfRule type="expression" dxfId="15" priority="5">
      <formula>AND(TODAY()&gt;=L$5,TODAY()&lt;M$5)</formula>
    </cfRule>
  </conditionalFormatting>
  <conditionalFormatting sqref="BH110:BH111">
    <cfRule type="expression" dxfId="14" priority="7">
      <formula>AND(TODAY()&gt;=BH$5,TODAY()&lt;CD$5)</formula>
    </cfRule>
  </conditionalFormatting>
  <conditionalFormatting sqref="BH110:BH111">
    <cfRule type="expression" dxfId="13" priority="8" stopIfTrue="1">
      <formula>AND(task_end&gt;=BH$5,task_start&lt;CD$5)</formula>
    </cfRule>
  </conditionalFormatting>
  <conditionalFormatting sqref="MQ110:MV111 MJ110:MO111 MC110:MH111 LV110:MA111 LO110:LT111 LH110:LM111 LA110:LF111 KT110:KY111 KM110:KR111 KF110:KK111 JY110:KD111 JR110:JW111 JK110:JP111 JD110:JI111 IW110:JB111 IP110:IU111 II110:IN111 IB110:IG111 HU110:HZ111 HN110:HS111 HG110:HL111 GZ110:HE111 GS110:GX111 GL110:GQ111 GE110:GJ111 FX110:GC111 FQ110:FV111 FJ110:FO111 FC110:FH111 EV110:FA111 EO110:ET111 EH110:EM111 EA110:EF111 CA110:DY111 BU110:BV111 L110:BG111 BI110:BN111">
    <cfRule type="expression" dxfId="12" priority="2" stopIfTrue="1">
      <formula>AND(task_end&gt;=L$5,task_start&lt;M$5)</formula>
    </cfRule>
  </conditionalFormatting>
  <conditionalFormatting sqref="BO110:BO111">
    <cfRule type="expression" dxfId="11" priority="3">
      <formula>AND(TODAY()&gt;=BO$5,TODAY()&lt;CY$5)</formula>
    </cfRule>
  </conditionalFormatting>
  <conditionalFormatting sqref="BO110:BO111">
    <cfRule type="expression" dxfId="10" priority="4" stopIfTrue="1">
      <formula>AND(task_end&gt;=BO$5,task_start&lt;CY$5)</formula>
    </cfRule>
  </conditionalFormatting>
  <conditionalFormatting sqref="BP110:BT111">
    <cfRule type="expression" dxfId="9" priority="13">
      <formula>AND(TODAY()&gt;=BP$5,TODAY()&lt;CF$5)</formula>
    </cfRule>
  </conditionalFormatting>
  <conditionalFormatting sqref="BP110:BT111">
    <cfRule type="expression" dxfId="8" priority="14" stopIfTrue="1">
      <formula>AND(task_end&gt;=BP$5,task_start&lt;CF$5)</formula>
    </cfRule>
  </conditionalFormatting>
  <conditionalFormatting sqref="BW110:BX111">
    <cfRule type="expression" dxfId="7" priority="16" stopIfTrue="1">
      <formula>AND(task_end&gt;=BW$5,task_start&lt;CA$5)</formula>
    </cfRule>
  </conditionalFormatting>
  <conditionalFormatting sqref="BW110:BX111">
    <cfRule type="expression" dxfId="6" priority="15">
      <formula>AND(TODAY()&gt;=BW$5,TODAY()&lt;CA$5)</formula>
    </cfRule>
  </conditionalFormatting>
  <conditionalFormatting sqref="BY110:BY111">
    <cfRule type="expression" dxfId="5" priority="11">
      <formula>AND(TODAY()&gt;=BY$5,TODAY()&lt;CB$5)</formula>
    </cfRule>
    <cfRule type="expression" dxfId="4" priority="12" stopIfTrue="1">
      <formula>AND(task_end&gt;=BY$5,task_start&lt;CB$5)</formula>
    </cfRule>
  </conditionalFormatting>
  <conditionalFormatting sqref="BZ110:BZ111">
    <cfRule type="expression" dxfId="3" priority="9">
      <formula>AND(TODAY()&gt;=BZ$5,TODAY()&lt;CB$5)</formula>
    </cfRule>
    <cfRule type="expression" dxfId="2" priority="10" stopIfTrue="1">
      <formula>AND(task_end&gt;=BZ$5,task_start&lt;CB$5)</formula>
    </cfRule>
  </conditionalFormatting>
  <conditionalFormatting sqref="MW110:MW111 MP110:MP111 MI110:MI111 MB110:MB111 LU110:LU111 LN110:LN111 LG110:LG111 KZ110:KZ111 KS110:KS111 KL110:KL111 KE110:KE111 JX110:JX111 JQ110:JQ111 JJ110:JJ111 JC110:JC111 IV110:IV111 IO110:IO111 IH110:IH111 IA110:IA111 HT110:HT111 HM110:HM111 HF110:HF111 GY110:GY111 GR110:GR111 GK110:GK111 GD110:GD111 FW110:FW111 FP110:FP111 FI110:FI111 FB110:FB111 EU110:EU111 EN110:EN111 EG110:EG111 DZ110:DZ111">
    <cfRule type="expression" dxfId="1" priority="17">
      <formula>AND(TODAY()&gt;=DZ$5,TODAY()&lt;MX$5)</formula>
    </cfRule>
  </conditionalFormatting>
  <conditionalFormatting sqref="MW110:MW111 MP110:MP111 MI110:MI111 MB110:MB111 LU110:LU111 LN110:LN111 LG110:LG111 KZ110:KZ111 KS110:KS111 KL110:KL111 KE110:KE111 JX110:JX111 JQ110:JQ111 JJ110:JJ111 JC110:JC111 IV110:IV111 IO110:IO111 IH110:IH111 IA110:IA111 HT110:HT111 HM110:HM111 HF110:HF111 GY110:GY111 GR110:GR111 GK110:GK111 GD110:GD111 FW110:FW111 FP110:FP111 FI110:FI111 FB110:FB111 EU110:EU111 EN110:EN111 EG110:EG111 DZ110:DZ111">
    <cfRule type="expression" dxfId="0" priority="18" stopIfTrue="1">
      <formula>AND(task_end&gt;=DZ$5,task_start&lt;MX$5)</formula>
    </cfRule>
  </conditionalFormatting>
  <dataValidations disablePrompts="1" count="1">
    <dataValidation type="whole" operator="greaterThanOrEqual" allowBlank="1" showInputMessage="1" promptTitle="Mostrar semana" prompt="Al cambiar este número, se desplazará la vista del diagrama de Gantt." sqref="F4">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E113:E114 E24:E28 E31:E33 E7:E22 E38 E36 E41:E43 E61:E86 E47:E58</xm:sqref>
        </x14:conditionalFormatting>
        <x14:conditionalFormatting xmlns:xm="http://schemas.microsoft.com/office/excel/2006/main">
          <x14:cfRule type="dataBar" id="{5DC85D2E-551F-4C05-AEA1-F829B92303BA}">
            <x14:dataBar minLength="0" maxLength="100" gradient="0">
              <x14:cfvo type="num">
                <xm:f>0</xm:f>
              </x14:cfvo>
              <x14:cfvo type="num">
                <xm:f>1</xm:f>
              </x14:cfvo>
              <x14:negativeFillColor rgb="FFFF0000"/>
              <x14:axisColor rgb="FF000000"/>
            </x14:dataBar>
          </x14:cfRule>
          <xm:sqref>E87:E88 E109 E112</xm:sqref>
        </x14:conditionalFormatting>
        <x14:conditionalFormatting xmlns:xm="http://schemas.microsoft.com/office/excel/2006/main">
          <x14:cfRule type="dataBar" id="{C712EFF7-67C0-4C64-A5D5-32E0F9CE3762}">
            <x14:dataBar minLength="0" maxLength="100" gradient="0">
              <x14:cfvo type="num">
                <xm:f>0</xm:f>
              </x14:cfvo>
              <x14:cfvo type="num">
                <xm:f>1</xm:f>
              </x14:cfvo>
              <x14:negativeFillColor rgb="FFFF0000"/>
              <x14:axisColor rgb="FF000000"/>
            </x14:dataBar>
          </x14:cfRule>
          <xm:sqref>E23</xm:sqref>
        </x14:conditionalFormatting>
        <x14:conditionalFormatting xmlns:xm="http://schemas.microsoft.com/office/excel/2006/main">
          <x14:cfRule type="dataBar" id="{4B514E0C-1AC2-4A06-A5E3-77DB22849210}">
            <x14:dataBar minLength="0" maxLength="100" gradient="0">
              <x14:cfvo type="num">
                <xm:f>0</xm:f>
              </x14:cfvo>
              <x14:cfvo type="num">
                <xm:f>1</xm:f>
              </x14:cfvo>
              <x14:negativeFillColor rgb="FFFF0000"/>
              <x14:axisColor rgb="FF000000"/>
            </x14:dataBar>
          </x14:cfRule>
          <xm:sqref>E29:E30</xm:sqref>
        </x14:conditionalFormatting>
        <x14:conditionalFormatting xmlns:xm="http://schemas.microsoft.com/office/excel/2006/main">
          <x14:cfRule type="dataBar" id="{6C1DCB77-7F3D-42EB-8845-D6DC15CA9585}">
            <x14:dataBar minLength="0" maxLength="100" gradient="0">
              <x14:cfvo type="num">
                <xm:f>0</xm:f>
              </x14:cfvo>
              <x14:cfvo type="num">
                <xm:f>1</xm:f>
              </x14:cfvo>
              <x14:negativeFillColor rgb="FFFF0000"/>
              <x14:axisColor rgb="FF000000"/>
            </x14:dataBar>
          </x14:cfRule>
          <xm:sqref>E34:E35</xm:sqref>
        </x14:conditionalFormatting>
        <x14:conditionalFormatting xmlns:xm="http://schemas.microsoft.com/office/excel/2006/main">
          <x14:cfRule type="dataBar" id="{7A0E0A3A-9863-4D8B-9AD6-405DF3E82D43}">
            <x14:dataBar minLength="0" maxLength="100" gradient="0">
              <x14:cfvo type="num">
                <xm:f>0</xm:f>
              </x14:cfvo>
              <x14:cfvo type="num">
                <xm:f>1</xm:f>
              </x14:cfvo>
              <x14:negativeFillColor rgb="FFFF0000"/>
              <x14:axisColor rgb="FF000000"/>
            </x14:dataBar>
          </x14:cfRule>
          <xm:sqref>E37</xm:sqref>
        </x14:conditionalFormatting>
        <x14:conditionalFormatting xmlns:xm="http://schemas.microsoft.com/office/excel/2006/main">
          <x14:cfRule type="dataBar" id="{DDFCE06C-FA69-4330-A51C-9E3A86915609}">
            <x14:dataBar minLength="0" maxLength="100" gradient="0">
              <x14:cfvo type="num">
                <xm:f>0</xm:f>
              </x14:cfvo>
              <x14:cfvo type="num">
                <xm:f>1</xm:f>
              </x14:cfvo>
              <x14:negativeFillColor rgb="FFFF0000"/>
              <x14:axisColor rgb="FF000000"/>
            </x14:dataBar>
          </x14:cfRule>
          <xm:sqref>E39:E42</xm:sqref>
        </x14:conditionalFormatting>
        <x14:conditionalFormatting xmlns:xm="http://schemas.microsoft.com/office/excel/2006/main">
          <x14:cfRule type="dataBar" id="{3D6F19D8-387D-424C-89F3-85C78D6F3B24}">
            <x14:dataBar minLength="0" maxLength="100" gradient="0">
              <x14:cfvo type="num">
                <xm:f>0</xm:f>
              </x14:cfvo>
              <x14:cfvo type="num">
                <xm:f>1</xm:f>
              </x14:cfvo>
              <x14:negativeFillColor rgb="FFFF0000"/>
              <x14:axisColor rgb="FF000000"/>
            </x14:dataBar>
          </x14:cfRule>
          <xm:sqref>E59:E60</xm:sqref>
        </x14:conditionalFormatting>
        <x14:conditionalFormatting xmlns:xm="http://schemas.microsoft.com/office/excel/2006/main">
          <x14:cfRule type="dataBar" id="{D222DAD6-05EA-492B-B50A-E3406B3B0FBE}">
            <x14:dataBar minLength="0" maxLength="100" gradient="0">
              <x14:cfvo type="num">
                <xm:f>0</xm:f>
              </x14:cfvo>
              <x14:cfvo type="num">
                <xm:f>1</xm:f>
              </x14:cfvo>
              <x14:negativeFillColor rgb="FFFF0000"/>
              <x14:axisColor rgb="FF000000"/>
            </x14:dataBar>
          </x14:cfRule>
          <xm:sqref>E44:E46</xm:sqref>
        </x14:conditionalFormatting>
        <x14:conditionalFormatting xmlns:xm="http://schemas.microsoft.com/office/excel/2006/main">
          <x14:cfRule type="dataBar" id="{A77F7842-738A-4BFC-B61B-719A1590289E}">
            <x14:dataBar minLength="0" maxLength="100" gradient="0">
              <x14:cfvo type="num">
                <xm:f>0</xm:f>
              </x14:cfvo>
              <x14:cfvo type="num">
                <xm:f>1</xm:f>
              </x14:cfvo>
              <x14:negativeFillColor rgb="FFFF0000"/>
              <x14:axisColor rgb="FF000000"/>
            </x14:dataBar>
          </x14:cfRule>
          <xm:sqref>E97:E100</xm:sqref>
        </x14:conditionalFormatting>
        <x14:conditionalFormatting xmlns:xm="http://schemas.microsoft.com/office/excel/2006/main">
          <x14:cfRule type="dataBar" id="{1C0C7E4D-2FBA-4755-9ADD-FE0828E5ED48}">
            <x14:dataBar minLength="0" maxLength="100" gradient="0">
              <x14:cfvo type="num">
                <xm:f>0</xm:f>
              </x14:cfvo>
              <x14:cfvo type="num">
                <xm:f>1</xm:f>
              </x14:cfvo>
              <x14:negativeFillColor rgb="FFFF0000"/>
              <x14:axisColor rgb="FF000000"/>
            </x14:dataBar>
          </x14:cfRule>
          <xm:sqref>E103:E104</xm:sqref>
        </x14:conditionalFormatting>
        <x14:conditionalFormatting xmlns:xm="http://schemas.microsoft.com/office/excel/2006/main">
          <x14:cfRule type="dataBar" id="{DFBC511F-4052-43B1-82F0-BA4DC3AAB662}">
            <x14:dataBar minLength="0" maxLength="100" gradient="0">
              <x14:cfvo type="num">
                <xm:f>0</xm:f>
              </x14:cfvo>
              <x14:cfvo type="num">
                <xm:f>1</xm:f>
              </x14:cfvo>
              <x14:negativeFillColor rgb="FFFF0000"/>
              <x14:axisColor rgb="FF000000"/>
            </x14:dataBar>
          </x14:cfRule>
          <xm:sqref>E105:E106</xm:sqref>
        </x14:conditionalFormatting>
        <x14:conditionalFormatting xmlns:xm="http://schemas.microsoft.com/office/excel/2006/main">
          <x14:cfRule type="dataBar" id="{57A96C61-8793-4941-A07C-B4FC980E41D6}">
            <x14:dataBar minLength="0" maxLength="100" gradient="0">
              <x14:cfvo type="num">
                <xm:f>0</xm:f>
              </x14:cfvo>
              <x14:cfvo type="num">
                <xm:f>1</xm:f>
              </x14:cfvo>
              <x14:negativeFillColor rgb="FFFF0000"/>
              <x14:axisColor rgb="FF000000"/>
            </x14:dataBar>
          </x14:cfRule>
          <xm:sqref>E101:E102</xm:sqref>
        </x14:conditionalFormatting>
        <x14:conditionalFormatting xmlns:xm="http://schemas.microsoft.com/office/excel/2006/main">
          <x14:cfRule type="dataBar" id="{AF109B8A-266A-42D2-9B5E-CE128A575AD5}">
            <x14:dataBar minLength="0" maxLength="100" gradient="0">
              <x14:cfvo type="num">
                <xm:f>0</xm:f>
              </x14:cfvo>
              <x14:cfvo type="num">
                <xm:f>1</xm:f>
              </x14:cfvo>
              <x14:negativeFillColor rgb="FFFF0000"/>
              <x14:axisColor rgb="FF000000"/>
            </x14:dataBar>
          </x14:cfRule>
          <xm:sqref>E96</xm:sqref>
        </x14:conditionalFormatting>
        <x14:conditionalFormatting xmlns:xm="http://schemas.microsoft.com/office/excel/2006/main">
          <x14:cfRule type="dataBar" id="{04BCEC47-F450-4FBC-8680-7ACE013CD062}">
            <x14:dataBar minLength="0" maxLength="100" gradient="0">
              <x14:cfvo type="num">
                <xm:f>0</xm:f>
              </x14:cfvo>
              <x14:cfvo type="num">
                <xm:f>1</xm:f>
              </x14:cfvo>
              <x14:negativeFillColor rgb="FFFF0000"/>
              <x14:axisColor rgb="FF000000"/>
            </x14:dataBar>
          </x14:cfRule>
          <xm:sqref>E92:E93</xm:sqref>
        </x14:conditionalFormatting>
        <x14:conditionalFormatting xmlns:xm="http://schemas.microsoft.com/office/excel/2006/main">
          <x14:cfRule type="dataBar" id="{D126D8DF-2D0A-470F-8981-8C0D8479A2A4}">
            <x14:dataBar minLength="0" maxLength="100" gradient="0">
              <x14:cfvo type="num">
                <xm:f>0</xm:f>
              </x14:cfvo>
              <x14:cfvo type="num">
                <xm:f>1</xm:f>
              </x14:cfvo>
              <x14:negativeFillColor rgb="FFFF0000"/>
              <x14:axisColor rgb="FF000000"/>
            </x14:dataBar>
          </x14:cfRule>
          <xm:sqref>E89:E91</xm:sqref>
        </x14:conditionalFormatting>
        <x14:conditionalFormatting xmlns:xm="http://schemas.microsoft.com/office/excel/2006/main">
          <x14:cfRule type="dataBar" id="{788F302C-640E-4E91-8EBB-D1B90FC2FB31}">
            <x14:dataBar minLength="0" maxLength="100" gradient="0">
              <x14:cfvo type="num">
                <xm:f>0</xm:f>
              </x14:cfvo>
              <x14:cfvo type="num">
                <xm:f>1</xm:f>
              </x14:cfvo>
              <x14:negativeFillColor rgb="FFFF0000"/>
              <x14:axisColor rgb="FF000000"/>
            </x14:dataBar>
          </x14:cfRule>
          <xm:sqref>E95</xm:sqref>
        </x14:conditionalFormatting>
        <x14:conditionalFormatting xmlns:xm="http://schemas.microsoft.com/office/excel/2006/main">
          <x14:cfRule type="dataBar" id="{CA0EA56C-DDF7-43B2-89BB-68430727522E}">
            <x14:dataBar minLength="0" maxLength="100" gradient="0">
              <x14:cfvo type="num">
                <xm:f>0</xm:f>
              </x14:cfvo>
              <x14:cfvo type="num">
                <xm:f>1</xm:f>
              </x14:cfvo>
              <x14:negativeFillColor rgb="FFFF0000"/>
              <x14:axisColor rgb="FF000000"/>
            </x14:dataBar>
          </x14:cfRule>
          <xm:sqref>E94</xm:sqref>
        </x14:conditionalFormatting>
        <x14:conditionalFormatting xmlns:xm="http://schemas.microsoft.com/office/excel/2006/main">
          <x14:cfRule type="dataBar" id="{C025A2C1-ADCC-4D08-8CCB-849D7AF35E94}">
            <x14:dataBar minLength="0" maxLength="100" gradient="0">
              <x14:cfvo type="num">
                <xm:f>0</xm:f>
              </x14:cfvo>
              <x14:cfvo type="num">
                <xm:f>1</xm:f>
              </x14:cfvo>
              <x14:negativeFillColor rgb="FFFF0000"/>
              <x14:axisColor rgb="FF000000"/>
            </x14:dataBar>
          </x14:cfRule>
          <xm:sqref>E107:E108</xm:sqref>
        </x14:conditionalFormatting>
        <x14:conditionalFormatting xmlns:xm="http://schemas.microsoft.com/office/excel/2006/main">
          <x14:cfRule type="dataBar" id="{C5BC7FF2-6B74-42C9-844E-C505843FACB1}">
            <x14:dataBar minLength="0" maxLength="100" gradient="0">
              <x14:cfvo type="num">
                <xm:f>0</xm:f>
              </x14:cfvo>
              <x14:cfvo type="num">
                <xm:f>1</xm:f>
              </x14:cfvo>
              <x14:negativeFillColor rgb="FFFF0000"/>
              <x14:axisColor rgb="FF000000"/>
            </x14:dataBar>
          </x14:cfRule>
          <xm:sqref>E110:E111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6"/>
  <sheetViews>
    <sheetView showGridLines="0" topLeftCell="A10" zoomScaleNormal="100" workbookViewId="0">
      <selection activeCell="A15" sqref="A15"/>
    </sheetView>
  </sheetViews>
  <sheetFormatPr defaultColWidth="9.140625" defaultRowHeight="12.75" x14ac:dyDescent="0.2"/>
  <cols>
    <col min="1" max="1" width="87.140625" style="18" customWidth="1"/>
    <col min="2" max="16384" width="9.140625" style="2"/>
  </cols>
  <sheetData>
    <row r="1" spans="1:2" ht="46.5" customHeight="1" x14ac:dyDescent="0.2"/>
    <row r="2" spans="1:2" s="20" customFormat="1" ht="15.75" x14ac:dyDescent="0.25">
      <c r="A2" s="19" t="s">
        <v>16</v>
      </c>
      <c r="B2" s="19"/>
    </row>
    <row r="3" spans="1:2" s="24" customFormat="1" ht="27" customHeight="1" x14ac:dyDescent="0.25">
      <c r="A3" s="40" t="s">
        <v>17</v>
      </c>
      <c r="B3" s="25"/>
    </row>
    <row r="4" spans="1:2" s="21" customFormat="1" ht="26.25" x14ac:dyDescent="0.4">
      <c r="A4" s="22" t="s">
        <v>18</v>
      </c>
    </row>
    <row r="5" spans="1:2" ht="74.099999999999994" customHeight="1" x14ac:dyDescent="0.2">
      <c r="A5" s="23" t="s">
        <v>19</v>
      </c>
    </row>
    <row r="6" spans="1:2" ht="26.25" customHeight="1" x14ac:dyDescent="0.2">
      <c r="A6" s="22" t="s">
        <v>20</v>
      </c>
    </row>
    <row r="7" spans="1:2" s="18" customFormat="1" ht="228" customHeight="1" x14ac:dyDescent="0.25">
      <c r="A7" s="27" t="s">
        <v>21</v>
      </c>
    </row>
    <row r="8" spans="1:2" s="21" customFormat="1" ht="26.25" x14ac:dyDescent="0.4">
      <c r="A8" s="22" t="s">
        <v>22</v>
      </c>
    </row>
    <row r="9" spans="1:2" ht="75" x14ac:dyDescent="0.2">
      <c r="A9" s="23" t="s">
        <v>23</v>
      </c>
    </row>
    <row r="10" spans="1:2" s="18" customFormat="1" ht="27.95" customHeight="1" x14ac:dyDescent="0.25">
      <c r="A10" s="26" t="s">
        <v>24</v>
      </c>
    </row>
    <row r="11" spans="1:2" s="21" customFormat="1" ht="26.25" x14ac:dyDescent="0.4">
      <c r="A11" s="22" t="s">
        <v>25</v>
      </c>
    </row>
    <row r="12" spans="1:2" ht="30" x14ac:dyDescent="0.2">
      <c r="A12" s="23" t="s">
        <v>26</v>
      </c>
    </row>
    <row r="13" spans="1:2" s="18" customFormat="1" ht="27.95" customHeight="1" x14ac:dyDescent="0.25">
      <c r="A13" s="26" t="s">
        <v>27</v>
      </c>
    </row>
    <row r="14" spans="1:2" s="21" customFormat="1" ht="26.25" x14ac:dyDescent="0.4">
      <c r="A14" s="22" t="s">
        <v>28</v>
      </c>
    </row>
    <row r="15" spans="1:2" ht="93.75" customHeight="1" x14ac:dyDescent="0.2">
      <c r="A15" s="23" t="s">
        <v>29</v>
      </c>
    </row>
    <row r="16" spans="1:2" ht="90" x14ac:dyDescent="0.2">
      <c r="A16" s="23" t="s">
        <v>30</v>
      </c>
    </row>
  </sheetData>
  <hyperlinks>
    <hyperlink ref="A13" r:id="rId1"/>
    <hyperlink ref="A10" r:id="rId2"/>
    <hyperlink ref="A3" r:id="rId3"/>
    <hyperlink ref="A2" r:id="rId4"/>
  </hyperlinks>
  <pageMargins left="0.5" right="0.5" top="0.5" bottom="0.5" header="0.3" footer="0.3"/>
  <pageSetup paperSize="9"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Sheet2</vt:lpstr>
      <vt:lpstr>Sheet1</vt:lpstr>
      <vt:lpstr>Gantt</vt:lpstr>
      <vt:lpstr>Acerca de</vt:lpstr>
      <vt:lpstr>Inicio_del_proyecto</vt:lpstr>
      <vt:lpstr>Gantt!Print_Titles</vt:lpstr>
      <vt:lpstr>Semana_para_mostrar</vt:lpstr>
      <vt:lpstr>Gantt!task_end</vt:lpstr>
      <vt:lpstr>Gantt!task_progress</vt:lpstr>
      <vt:lpstr>Gantt!task_start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2026-02-09T23:11:33Z</dcterms:created>
  <dcterms:modified xsi:type="dcterms:W3CDTF">2026-03-26T23:50:34Z</dcterms:modified>
</cp:coreProperties>
</file>